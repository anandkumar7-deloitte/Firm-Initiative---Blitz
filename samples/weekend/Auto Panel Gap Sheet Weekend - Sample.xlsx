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ap Sheet" sheetId="1" state="visible" r:id="rId3"/>
    <sheet name="Pivot" sheetId="2" state="visible" r:id="rId4"/>
    <sheet name="Skill Mapping" sheetId="3" state="visible" r:id="rId5"/>
    <sheet name="Panel Details" sheetId="4" state="visible" r:id="rId6"/>
    <sheet name="Followup" sheetId="5" state="visible" r:id="rId7"/>
    <sheet name="MasterPanel" sheetId="6" state="visible" r:id="rId8"/>
    <sheet name="Survey Response" sheetId="7" state="visible" r:id="rId9"/>
    <sheet name="Auto Process" sheetId="8" state="visible" r:id="rId10"/>
    <sheet name="Final Panel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<sst xmlns="http://schemas.openxmlformats.org/spreadsheetml/2006/main" count="41700" uniqueCount="3725">
  <si>
    <t xml:space="preserve">Chennai</t>
  </si>
  <si>
    <t xml:space="preserve">Skills</t>
  </si>
  <si>
    <t xml:space="preserve">Line Up</t>
  </si>
  <si>
    <t xml:space="preserve">Slot Metrics</t>
  </si>
  <si>
    <t xml:space="preserve">Panel Metrics</t>
  </si>
  <si>
    <t xml:space="preserve">R1 Slots</t>
  </si>
  <si>
    <t xml:space="preserve">R2 Slots</t>
  </si>
  <si>
    <t xml:space="preserve">R1 Panel</t>
  </si>
  <si>
    <t xml:space="preserve">R2 Panel</t>
  </si>
  <si>
    <t xml:space="preserve">Ask</t>
  </si>
  <si>
    <t xml:space="preserve">Available</t>
  </si>
  <si>
    <t xml:space="preserve">Gap</t>
  </si>
  <si>
    <t xml:space="preserve">Excess</t>
  </si>
  <si>
    <t xml:space="preserve">Databricks</t>
  </si>
  <si>
    <t xml:space="preserve">Gen AI</t>
  </si>
  <si>
    <t xml:space="preserve">GCP Data Engineering</t>
  </si>
  <si>
    <t xml:space="preserve">Pyspark</t>
  </si>
  <si>
    <t xml:space="preserve">Machine learning</t>
  </si>
  <si>
    <t xml:space="preserve">Azure Data Engineering</t>
  </si>
  <si>
    <t xml:space="preserve">Total</t>
  </si>
  <si>
    <t xml:space="preserve">Sum of Number of Slots</t>
  </si>
  <si>
    <t xml:space="preserve">R1</t>
  </si>
  <si>
    <t xml:space="preserve">R2</t>
  </si>
  <si>
    <t xml:space="preserve">Grand Total</t>
  </si>
  <si>
    <t xml:space="preserve">Databricks </t>
  </si>
  <si>
    <t xml:space="preserve">Survey/Gap Skill</t>
  </si>
  <si>
    <t xml:space="preserve">Master Skill</t>
  </si>
  <si>
    <t xml:space="preserve">Databricks - Data Engineer</t>
  </si>
  <si>
    <t xml:space="preserve">Google Cloud Platform (GCP) - Data Engineer</t>
  </si>
  <si>
    <t xml:space="preserve">Machine Learning</t>
  </si>
  <si>
    <t xml:space="preserve">Microsoft Azure - Data Engineer</t>
  </si>
  <si>
    <t xml:space="preserve">ID</t>
  </si>
  <si>
    <t xml:space="preserve">Email</t>
  </si>
  <si>
    <t xml:space="preserve">Name</t>
  </si>
  <si>
    <t xml:space="preserve">Mobile</t>
  </si>
  <si>
    <t xml:space="preserve">Primary Skill</t>
  </si>
  <si>
    <t xml:space="preserve">Secondary Skill</t>
  </si>
  <si>
    <t xml:space="preserve">Location</t>
  </si>
  <si>
    <t xml:space="preserve">Designation</t>
  </si>
  <si>
    <t xml:space="preserve">Level</t>
  </si>
  <si>
    <t xml:space="preserve">Number of Slots</t>
  </si>
  <si>
    <t xml:space="preserve">Comments</t>
  </si>
  <si>
    <t xml:space="preserve">In Master Panel List?</t>
  </si>
  <si>
    <t xml:space="preserve">Panel to Travel</t>
  </si>
  <si>
    <t xml:space="preserve">srcRow</t>
  </si>
  <si>
    <t xml:space="preserve">Primary skill (submitted)</t>
  </si>
  <si>
    <t xml:space="preserve">Secondary skill (submitted)</t>
  </si>
  <si>
    <t xml:space="preserve">Note</t>
  </si>
  <si>
    <t xml:space="preserve">id</t>
  </si>
  <si>
    <t xml:space="preserve">email</t>
  </si>
  <si>
    <t xml:space="preserve">Panel Name</t>
  </si>
  <si>
    <t xml:space="preserve">New Designation</t>
  </si>
  <si>
    <t xml:space="preserve">Contact</t>
  </si>
  <si>
    <t xml:space="preserve">R1/R2/R3</t>
  </si>
  <si>
    <t xml:space="preserve">Skill</t>
  </si>
  <si>
    <t xml:space="preserve">Skill Group</t>
  </si>
  <si>
    <t xml:space="preserve">Panel Approved ?</t>
  </si>
  <si>
    <t xml:space="preserve">aaabishek@deloitte.com</t>
  </si>
  <si>
    <t xml:space="preserve">Abishek Abishek</t>
  </si>
  <si>
    <t xml:space="preserve">Senior Consultant</t>
  </si>
  <si>
    <t xml:space="preserve">L45 - AI and Data Science Engineer III</t>
  </si>
  <si>
    <t xml:space="preserve">Bengaluru</t>
  </si>
  <si>
    <t xml:space="preserve">DS</t>
  </si>
  <si>
    <t xml:space="preserve">Y</t>
  </si>
  <si>
    <t xml:space="preserve">MLOPs</t>
  </si>
  <si>
    <t xml:space="preserve">Abishek, S A </t>
  </si>
  <si>
    <t xml:space="preserve">AI</t>
  </si>
  <si>
    <t xml:space="preserve">aajazshaikh@deloitte.com</t>
  </si>
  <si>
    <t xml:space="preserve">Afnan Shaikh</t>
  </si>
  <si>
    <t xml:space="preserve">Pune</t>
  </si>
  <si>
    <t xml:space="preserve">AWS - Admin</t>
  </si>
  <si>
    <t xml:space="preserve">Amazon Web Services (AWS)</t>
  </si>
  <si>
    <t xml:space="preserve">Big Data Admin</t>
  </si>
  <si>
    <t xml:space="preserve">Big Data</t>
  </si>
  <si>
    <t xml:space="preserve">Ajaz Shaikh, Afnan</t>
  </si>
  <si>
    <t xml:space="preserve">Full Stack Development - Python</t>
  </si>
  <si>
    <t xml:space="preserve">Python</t>
  </si>
  <si>
    <t xml:space="preserve">aamadan@deloitte.com</t>
  </si>
  <si>
    <t xml:space="preserve">Aanchal Madan</t>
  </si>
  <si>
    <t xml:space="preserve">L45 - Analytics and Insights Engineer III</t>
  </si>
  <si>
    <t xml:space="preserve">Hyderabad</t>
  </si>
  <si>
    <t xml:space="preserve">Google Cloud Platform (GCP) - Architect</t>
  </si>
  <si>
    <t xml:space="preserve">Google Cloud Platform (GCP)</t>
  </si>
  <si>
    <t xml:space="preserve">Product Management</t>
  </si>
  <si>
    <t xml:space="preserve">Functional</t>
  </si>
  <si>
    <t xml:space="preserve">SQL</t>
  </si>
  <si>
    <t xml:space="preserve">Madan, Aanchal </t>
  </si>
  <si>
    <t xml:space="preserve">Business Analysis</t>
  </si>
  <si>
    <t xml:space="preserve">Data Analysis</t>
  </si>
  <si>
    <t xml:space="preserve">Data</t>
  </si>
  <si>
    <t xml:space="preserve">aanair@deloitte.com</t>
  </si>
  <si>
    <t xml:space="preserve">Nair, Aarthi</t>
  </si>
  <si>
    <t xml:space="preserve">L45 - Data Management Engineer III</t>
  </si>
  <si>
    <t xml:space="preserve">PL/SQL</t>
  </si>
  <si>
    <t xml:space="preserve">Aarthi Somasekharan Nair</t>
  </si>
  <si>
    <t xml:space="preserve">AI &amp; Data Testing</t>
  </si>
  <si>
    <t xml:space="preserve">Testing</t>
  </si>
  <si>
    <t xml:space="preserve">Aarthi Nair</t>
  </si>
  <si>
    <t xml:space="preserve">SAP BODS</t>
  </si>
  <si>
    <t xml:space="preserve">SAP</t>
  </si>
  <si>
    <t xml:space="preserve">aanilshah@deloitte.com</t>
  </si>
  <si>
    <t xml:space="preserve">Anil Shah, Anuj</t>
  </si>
  <si>
    <t xml:space="preserve">Consultant</t>
  </si>
  <si>
    <t xml:space="preserve">L35 - Data Engineer II</t>
  </si>
  <si>
    <t xml:space="preserve">Mumbai</t>
  </si>
  <si>
    <t xml:space="preserve">aapurvaroy@deloitte.com</t>
  </si>
  <si>
    <t xml:space="preserve">Arjun Roy</t>
  </si>
  <si>
    <t xml:space="preserve">L45 - Data Engineer III</t>
  </si>
  <si>
    <t xml:space="preserve">AWS - Data Engineer</t>
  </si>
  <si>
    <t xml:space="preserve">Informatica Big Data Management (BDM)</t>
  </si>
  <si>
    <t xml:space="preserve">Informatica</t>
  </si>
  <si>
    <t xml:space="preserve">PySpark</t>
  </si>
  <si>
    <t xml:space="preserve">aarpatil@deloitte.com</t>
  </si>
  <si>
    <t xml:space="preserve">Aarti Patil</t>
  </si>
  <si>
    <t xml:space="preserve">Manager</t>
  </si>
  <si>
    <t xml:space="preserve">L55 - Lead Data Engineer II</t>
  </si>
  <si>
    <t xml:space="preserve">Talend</t>
  </si>
  <si>
    <t xml:space="preserve">ETL</t>
  </si>
  <si>
    <t xml:space="preserve">aayyubpeerzade@deloitte.com</t>
  </si>
  <si>
    <t xml:space="preserve">Akib Ayyub Peerzade</t>
  </si>
  <si>
    <t xml:space="preserve">Informatica Intelligent Data Management Cloud (IDMC) - CDI/CAI</t>
  </si>
  <si>
    <t xml:space="preserve">Informatica Intelligent Cloud Services (IICS)</t>
  </si>
  <si>
    <t xml:space="preserve">ababur@deloitte.com</t>
  </si>
  <si>
    <t xml:space="preserve">Aravindha Babu R</t>
  </si>
  <si>
    <t xml:space="preserve">L55 - Lead Data Management Engineer II</t>
  </si>
  <si>
    <t xml:space="preserve">Babu R, Aravindha</t>
  </si>
  <si>
    <t xml:space="preserve">Teradata - Developer</t>
  </si>
  <si>
    <t xml:space="preserve">Aravindha Kumar Babu R</t>
  </si>
  <si>
    <t xml:space="preserve">Data Modelling</t>
  </si>
  <si>
    <t xml:space="preserve">Data Mapping</t>
  </si>
  <si>
    <t xml:space="preserve">SAS</t>
  </si>
  <si>
    <t xml:space="preserve">Oracle OFSAA</t>
  </si>
  <si>
    <t xml:space="preserve">Oracle</t>
  </si>
  <si>
    <t xml:space="preserve">Snowflake - Developer</t>
  </si>
  <si>
    <t xml:space="preserve">Snowflake</t>
  </si>
  <si>
    <t xml:space="preserve">Babu R, Aravindha Kumar </t>
  </si>
  <si>
    <t xml:space="preserve">Babu R, Aravindha Kumar</t>
  </si>
  <si>
    <t xml:space="preserve">Databricks - Architect</t>
  </si>
  <si>
    <t xml:space="preserve">abaghosh@deloitte.com</t>
  </si>
  <si>
    <t xml:space="preserve">Abantika Ghosh</t>
  </si>
  <si>
    <t xml:space="preserve">Kolkata</t>
  </si>
  <si>
    <t xml:space="preserve">abaldewa@deloitte.com</t>
  </si>
  <si>
    <t xml:space="preserve">Ankita Baldewa</t>
  </si>
  <si>
    <t xml:space="preserve">L45 - AI and Data Solutions Engineer</t>
  </si>
  <si>
    <t xml:space="preserve">Gurgaon</t>
  </si>
  <si>
    <t xml:space="preserve">Informatica Power Center (IPC)</t>
  </si>
  <si>
    <t xml:space="preserve">Microsoft SQL</t>
  </si>
  <si>
    <t xml:space="preserve">abbiswal@deloitte.com</t>
  </si>
  <si>
    <t xml:space="preserve">Biswal, Abhishek</t>
  </si>
  <si>
    <t xml:space="preserve">Hadoop</t>
  </si>
  <si>
    <t xml:space="preserve">Spark</t>
  </si>
  <si>
    <t xml:space="preserve">Power BI</t>
  </si>
  <si>
    <t xml:space="preserve">Visualization</t>
  </si>
  <si>
    <t xml:space="preserve">abdrahaman@deloitte.com</t>
  </si>
  <si>
    <t xml:space="preserve">Rahaman, Abdur </t>
  </si>
  <si>
    <t xml:space="preserve">L35 - AI and Data Science Engineer II</t>
  </si>
  <si>
    <t xml:space="preserve">Data Science</t>
  </si>
  <si>
    <t xml:space="preserve">abhiawasthi@deloitte.com</t>
  </si>
  <si>
    <t xml:space="preserve">Abhishek Awasthi</t>
  </si>
  <si>
    <t xml:space="preserve">abhichaubey@deloitte.com</t>
  </si>
  <si>
    <t xml:space="preserve">Abhishek Chaubey</t>
  </si>
  <si>
    <t xml:space="preserve">DBT</t>
  </si>
  <si>
    <t xml:space="preserve">Chaubey, Abhishek </t>
  </si>
  <si>
    <t xml:space="preserve">abhijimishra@deloitte.com</t>
  </si>
  <si>
    <t xml:space="preserve">Mishra, Abhijit</t>
  </si>
  <si>
    <t xml:space="preserve">L55 - Lead AI and Data Solutions Engineer II</t>
  </si>
  <si>
    <t xml:space="preserve">Agentic AI</t>
  </si>
  <si>
    <t xml:space="preserve">abhijnandi@deloitte.com</t>
  </si>
  <si>
    <t xml:space="preserve">Nandi, Abhijeet</t>
  </si>
  <si>
    <t xml:space="preserve">L55 - Lead Analytics and Insights Engineer II</t>
  </si>
  <si>
    <t xml:space="preserve">Abhijeet Nandi</t>
  </si>
  <si>
    <t xml:space="preserve">IBM Cognos BI</t>
  </si>
  <si>
    <t xml:space="preserve">Tableau</t>
  </si>
  <si>
    <t xml:space="preserve">abhimohanty@deloitte.com</t>
  </si>
  <si>
    <t xml:space="preserve">Abhijit Mohanty</t>
  </si>
  <si>
    <t xml:space="preserve">abhinaykumar@deloitte.com</t>
  </si>
  <si>
    <t xml:space="preserve">Abhinay Kumar</t>
  </si>
  <si>
    <t xml:space="preserve">abhinkhandelwal@deloitte.com</t>
  </si>
  <si>
    <t xml:space="preserve">Khandelwal, Abhinav</t>
  </si>
  <si>
    <t xml:space="preserve">abhisengupta@deloitte.com</t>
  </si>
  <si>
    <t xml:space="preserve">Sengupta, Abhishek</t>
  </si>
  <si>
    <t xml:space="preserve">Philadelphia</t>
  </si>
  <si>
    <t xml:space="preserve">Abhishek Sengupta</t>
  </si>
  <si>
    <t xml:space="preserve">abhishekagarwal4@deloitte.com</t>
  </si>
  <si>
    <t xml:space="preserve">Abhishek Agarwal</t>
  </si>
  <si>
    <t xml:space="preserve">Informatica Data Quality (IDQ)</t>
  </si>
  <si>
    <t xml:space="preserve">Data Quality</t>
  </si>
  <si>
    <t xml:space="preserve">abhishekkumgupta@deloitte.com</t>
  </si>
  <si>
    <t xml:space="preserve">Abhishek Gupta</t>
  </si>
  <si>
    <t xml:space="preserve">abhisheklnu5@deloitte.com</t>
  </si>
  <si>
    <t xml:space="preserve">Lnu, Abhishek </t>
  </si>
  <si>
    <t xml:space="preserve">Lnu, Abhishek</t>
  </si>
  <si>
    <t xml:space="preserve">abhisheksharma13@deloitte.com</t>
  </si>
  <si>
    <t xml:space="preserve">Sharma, Abhishek </t>
  </si>
  <si>
    <t xml:space="preserve">abhisheksharma32@deloitte.com</t>
  </si>
  <si>
    <t xml:space="preserve">Sharma, Abhishek</t>
  </si>
  <si>
    <t xml:space="preserve">abhishesrivasta3@deloitte.com</t>
  </si>
  <si>
    <t xml:space="preserve">Abhishek Srivastava</t>
  </si>
  <si>
    <t xml:space="preserve">abism@deloitte.com</t>
  </si>
  <si>
    <t xml:space="preserve">M, Abishek</t>
  </si>
  <si>
    <t xml:space="preserve">St. Louis</t>
  </si>
  <si>
    <t xml:space="preserve">abmehta@deloitte.com</t>
  </si>
  <si>
    <t xml:space="preserve">Mehta, ABHISHEK</t>
  </si>
  <si>
    <t xml:space="preserve">Microsoft Azure</t>
  </si>
  <si>
    <t xml:space="preserve">Abhishek mehta</t>
  </si>
  <si>
    <t xml:space="preserve">Delhi</t>
  </si>
  <si>
    <t xml:space="preserve">abmurarka@deloitte.com</t>
  </si>
  <si>
    <t xml:space="preserve">Murarka, Abhishek</t>
  </si>
  <si>
    <t xml:space="preserve">abotcha@deloitte.com</t>
  </si>
  <si>
    <t xml:space="preserve">Botcha, Anil Raj</t>
  </si>
  <si>
    <t xml:space="preserve">abypurohit@deloitte.com</t>
  </si>
  <si>
    <t xml:space="preserve">ABYAKTA PUROHIT</t>
  </si>
  <si>
    <t xml:space="preserve">Scala</t>
  </si>
  <si>
    <t xml:space="preserve">achandragupta@deloitte.com</t>
  </si>
  <si>
    <t xml:space="preserve">ALOK CHANDRA GUPTA</t>
  </si>
  <si>
    <t xml:space="preserve">Oracle Analytics Cloud (OAC)</t>
  </si>
  <si>
    <t xml:space="preserve">Alok Chandra Gupta</t>
  </si>
  <si>
    <t xml:space="preserve">Oracle Data Integrator (ODI)</t>
  </si>
  <si>
    <t xml:space="preserve">Oracle Integration Cloud (OIC)</t>
  </si>
  <si>
    <t xml:space="preserve">acp@deloitte.com</t>
  </si>
  <si>
    <t xml:space="preserve">C P, Avinash</t>
  </si>
  <si>
    <t xml:space="preserve">Informatica Axon</t>
  </si>
  <si>
    <t xml:space="preserve">Data Lineage</t>
  </si>
  <si>
    <t xml:space="preserve">Informatica Enterprise Data Catalog (EDC)</t>
  </si>
  <si>
    <t xml:space="preserve">Data Catalog</t>
  </si>
  <si>
    <t xml:space="preserve">Avinash C P</t>
  </si>
  <si>
    <t xml:space="preserve">Informatica Intelligent Data Management Cloud (IDMC) - MDM + CDQ</t>
  </si>
  <si>
    <t xml:space="preserve">Informatica Master Data Management (MDM)</t>
  </si>
  <si>
    <t xml:space="preserve">MDM</t>
  </si>
  <si>
    <t xml:space="preserve">adbhowmick@deloitte.com</t>
  </si>
  <si>
    <t xml:space="preserve">Aditya Bhowmick</t>
  </si>
  <si>
    <t xml:space="preserve">Reltio MDM</t>
  </si>
  <si>
    <t xml:space="preserve">adharchoudhury@deloitte.com</t>
  </si>
  <si>
    <t xml:space="preserve">Arnab Dhar Choudhury</t>
  </si>
  <si>
    <t xml:space="preserve">Power Automate</t>
  </si>
  <si>
    <t xml:space="preserve">Automation</t>
  </si>
  <si>
    <t xml:space="preserve">adijain@deloitte.com</t>
  </si>
  <si>
    <t xml:space="preserve">Jain, Aditya</t>
  </si>
  <si>
    <t xml:space="preserve">Specialist Senior</t>
  </si>
  <si>
    <t xml:space="preserve">Oracle Argus</t>
  </si>
  <si>
    <t xml:space="preserve">E2B</t>
  </si>
  <si>
    <t xml:space="preserve">PV</t>
  </si>
  <si>
    <t xml:space="preserve">PV Reporting</t>
  </si>
  <si>
    <t xml:space="preserve">aditagrawal@deloitte.com</t>
  </si>
  <si>
    <t xml:space="preserve">Aditya Agrawal</t>
  </si>
  <si>
    <t xml:space="preserve">AWS - Data Architect</t>
  </si>
  <si>
    <t xml:space="preserve">aditmanchanda@deloitte.com</t>
  </si>
  <si>
    <t xml:space="preserve">Aditi Manchanda</t>
  </si>
  <si>
    <t xml:space="preserve">IBM Infosphere Datastage</t>
  </si>
  <si>
    <t xml:space="preserve">adityam9@deloitte.com</t>
  </si>
  <si>
    <t xml:space="preserve">Aditya M</t>
  </si>
  <si>
    <t xml:space="preserve">Qliksense / Qlikview</t>
  </si>
  <si>
    <t xml:space="preserve">adkoppula@deloitte.com</t>
  </si>
  <si>
    <t xml:space="preserve">Aditya Koppula</t>
  </si>
  <si>
    <t xml:space="preserve">Informatica Admin</t>
  </si>
  <si>
    <t xml:space="preserve">Koppula, Aditya</t>
  </si>
  <si>
    <t xml:space="preserve">admurthy@deloitte.com</t>
  </si>
  <si>
    <t xml:space="preserve">Aditya Murthy</t>
  </si>
  <si>
    <t xml:space="preserve">adpanda@deloitte.com</t>
  </si>
  <si>
    <t xml:space="preserve">Panda, Adarsh</t>
  </si>
  <si>
    <t xml:space="preserve">Adarsh Panda</t>
  </si>
  <si>
    <t xml:space="preserve">Streamsets</t>
  </si>
  <si>
    <t xml:space="preserve">adpotnis@deloitte.com</t>
  </si>
  <si>
    <t xml:space="preserve">Potnis, Aditya</t>
  </si>
  <si>
    <t xml:space="preserve">Aditya Potnis</t>
  </si>
  <si>
    <t xml:space="preserve">Looker</t>
  </si>
  <si>
    <t xml:space="preserve">aelumalai@deloitte.com</t>
  </si>
  <si>
    <t xml:space="preserve">Elumalai, Anbarasu</t>
  </si>
  <si>
    <t xml:space="preserve">L55 - Lead AI and Data Science Engineer II</t>
  </si>
  <si>
    <t xml:space="preserve">agaikar@deloitte.com</t>
  </si>
  <si>
    <t xml:space="preserve">Akshada Gaikar</t>
  </si>
  <si>
    <t xml:space="preserve">agangrade@deloitte.com</t>
  </si>
  <si>
    <t xml:space="preserve">Gangrade, Akrati</t>
  </si>
  <si>
    <t xml:space="preserve">akrati gangrade</t>
  </si>
  <si>
    <t xml:space="preserve">agantait@deloitte.com</t>
  </si>
  <si>
    <t xml:space="preserve">Archishman Gantait</t>
  </si>
  <si>
    <t xml:space="preserve">agilda@deloitte.com</t>
  </si>
  <si>
    <t xml:space="preserve">Amrish Gilda</t>
  </si>
  <si>
    <t xml:space="preserve">L65 - Associate Vice President, Data Engineering</t>
  </si>
  <si>
    <t xml:space="preserve">Gilda, Amrish</t>
  </si>
  <si>
    <t xml:space="preserve">Python Data Engineering</t>
  </si>
  <si>
    <t xml:space="preserve">agmazumder@deloitte.com</t>
  </si>
  <si>
    <t xml:space="preserve">Agnihotra Mazumder</t>
  </si>
  <si>
    <t xml:space="preserve">Mazumder, Agnihotra</t>
  </si>
  <si>
    <t xml:space="preserve">Microsoft SSIS</t>
  </si>
  <si>
    <t xml:space="preserve">agovindaiah@deloitte.com</t>
  </si>
  <si>
    <t xml:space="preserve">Anil Govindaiah</t>
  </si>
  <si>
    <t xml:space="preserve">agusain@deloitte.com</t>
  </si>
  <si>
    <t xml:space="preserve">Anurag Gusain</t>
  </si>
  <si>
    <t xml:space="preserve">Angular JS</t>
  </si>
  <si>
    <t xml:space="preserve">Front-End</t>
  </si>
  <si>
    <t xml:space="preserve">Oracle MDM</t>
  </si>
  <si>
    <t xml:space="preserve">ahkadri@deloitte.com</t>
  </si>
  <si>
    <t xml:space="preserve">Adithya H Kadri</t>
  </si>
  <si>
    <t xml:space="preserve">ahosarkar@deloitte.com</t>
  </si>
  <si>
    <t xml:space="preserve">Ahona Sarkar</t>
  </si>
  <si>
    <t xml:space="preserve">ahudedagaddi@deloitte.com</t>
  </si>
  <si>
    <t xml:space="preserve">Ashvin Hudedagaddi</t>
  </si>
  <si>
    <t xml:space="preserve">aindubajranglal@deloitte.com</t>
  </si>
  <si>
    <t xml:space="preserve">Aggarwal, Indu</t>
  </si>
  <si>
    <t xml:space="preserve">ajadia@deloitte.com</t>
  </si>
  <si>
    <t xml:space="preserve">Jadia, Aditya</t>
  </si>
  <si>
    <t xml:space="preserve">'+919407273786</t>
  </si>
  <si>
    <t xml:space="preserve">Jadia, Aditya </t>
  </si>
  <si>
    <t xml:space="preserve">Aditya Jadia</t>
  </si>
  <si>
    <t xml:space="preserve">ajakrishnan@deloitte.com</t>
  </si>
  <si>
    <t xml:space="preserve">Ajay Krishnan Krishnan</t>
  </si>
  <si>
    <t xml:space="preserve">DevOps</t>
  </si>
  <si>
    <t xml:space="preserve">Krishnan, Ajay</t>
  </si>
  <si>
    <t xml:space="preserve">ajiv@deloitte.com</t>
  </si>
  <si>
    <t xml:space="preserve">Ajith Kumar V</t>
  </si>
  <si>
    <t xml:space="preserve">ajogeorge@deloitte.com</t>
  </si>
  <si>
    <t xml:space="preserve">Ajoy George</t>
  </si>
  <si>
    <t xml:space="preserve">Jersey City</t>
  </si>
  <si>
    <t xml:space="preserve">Snowflake - Architect</t>
  </si>
  <si>
    <t xml:space="preserve">ajtk@deloitte.com</t>
  </si>
  <si>
    <t xml:space="preserve">T K, Ajay</t>
  </si>
  <si>
    <t xml:space="preserve">Kubernetes</t>
  </si>
  <si>
    <t xml:space="preserve">Infrastructure as Code</t>
  </si>
  <si>
    <t xml:space="preserve">Admin</t>
  </si>
  <si>
    <t xml:space="preserve">FinOps</t>
  </si>
  <si>
    <t xml:space="preserve">Cloud Engineering</t>
  </si>
  <si>
    <t xml:space="preserve">Site Reliability Engineering</t>
  </si>
  <si>
    <t xml:space="preserve">akajha@deloitte.com</t>
  </si>
  <si>
    <t xml:space="preserve">Jha, Akash Kumar</t>
  </si>
  <si>
    <t xml:space="preserve">Collibra</t>
  </si>
  <si>
    <t xml:space="preserve">Data Governance</t>
  </si>
  <si>
    <t xml:space="preserve">akankshrivastava@deloitte.com</t>
  </si>
  <si>
    <t xml:space="preserve">Akanksha Shrivastava</t>
  </si>
  <si>
    <t xml:space="preserve">akappagantula@deloitte.com</t>
  </si>
  <si>
    <t xml:space="preserve">Anand Kappagantula</t>
  </si>
  <si>
    <t xml:space="preserve">Senior Manager</t>
  </si>
  <si>
    <t xml:space="preserve">R3</t>
  </si>
  <si>
    <t xml:space="preserve">UiPath</t>
  </si>
  <si>
    <t xml:space="preserve">akaranwal@deloitte.com</t>
  </si>
  <si>
    <t xml:space="preserve">Ayush Karanwal</t>
  </si>
  <si>
    <t xml:space="preserve">akarya@deloitte.com</t>
  </si>
  <si>
    <t xml:space="preserve">Arya, AKSHAY</t>
  </si>
  <si>
    <t xml:space="preserve">AKSHAY Arya</t>
  </si>
  <si>
    <t xml:space="preserve">Informatica Cloud Data Governance &amp; Catalog</t>
  </si>
  <si>
    <t xml:space="preserve">akasdeep@deloitte.com</t>
  </si>
  <si>
    <t xml:space="preserve">Akash Deep </t>
  </si>
  <si>
    <t xml:space="preserve">Deep, Akash</t>
  </si>
  <si>
    <t xml:space="preserve">akashsrivastava6@deloitte.com</t>
  </si>
  <si>
    <t xml:space="preserve">Akash Srivastava</t>
  </si>
  <si>
    <t xml:space="preserve">Front End Development - React</t>
  </si>
  <si>
    <t xml:space="preserve">Full Stack Development - Microsoft .Net</t>
  </si>
  <si>
    <t xml:space="preserve">Microsoft .Net</t>
  </si>
  <si>
    <t xml:space="preserve">akdande@deloitte.com</t>
  </si>
  <si>
    <t xml:space="preserve">Akash Dande</t>
  </si>
  <si>
    <t xml:space="preserve">Blue Prism</t>
  </si>
  <si>
    <t xml:space="preserve">akhbansal@deloitte.com</t>
  </si>
  <si>
    <t xml:space="preserve">Akhilesh, Bansal</t>
  </si>
  <si>
    <t xml:space="preserve">Bansal, Akhilesh</t>
  </si>
  <si>
    <t xml:space="preserve">akkaushik@deloitte.com</t>
  </si>
  <si>
    <t xml:space="preserve">Akanksha Kaushik</t>
  </si>
  <si>
    <t xml:space="preserve">akokitkar@deloitte.com</t>
  </si>
  <si>
    <t xml:space="preserve">Avdhoot Kokitkar</t>
  </si>
  <si>
    <t xml:space="preserve">akolamuri@deloitte.com</t>
  </si>
  <si>
    <t xml:space="preserve">Anisha Kolamuri</t>
  </si>
  <si>
    <t xml:space="preserve">Gajjela, Sudhir </t>
  </si>
  <si>
    <t xml:space="preserve">akomarlasathyanar@deloitte.com</t>
  </si>
  <si>
    <t xml:space="preserve">Komarla SathyanarayanaSetty, Anand</t>
  </si>
  <si>
    <t xml:space="preserve">Anand Komarla SathyanarayanaSetty</t>
  </si>
  <si>
    <t xml:space="preserve">akshasingh@deloitte.com</t>
  </si>
  <si>
    <t xml:space="preserve">Singh, Akshayjeet</t>
  </si>
  <si>
    <t xml:space="preserve">L65 - Associate Vice President, AI and Data Solutions</t>
  </si>
  <si>
    <t xml:space="preserve">akshatjain3@deloitte.com</t>
  </si>
  <si>
    <t xml:space="preserve">Akshat Jain</t>
  </si>
  <si>
    <t xml:space="preserve">akshatmittal@deloitte.com</t>
  </si>
  <si>
    <t xml:space="preserve">Mittal, Akshat</t>
  </si>
  <si>
    <t xml:space="preserve">Microsoft SSRS</t>
  </si>
  <si>
    <t xml:space="preserve">Akshat Mittal</t>
  </si>
  <si>
    <t xml:space="preserve">akthapar@deloitte.com</t>
  </si>
  <si>
    <t xml:space="preserve">Akriti Thapar</t>
  </si>
  <si>
    <t xml:space="preserve">akuchibhatla@deloitte.com</t>
  </si>
  <si>
    <t xml:space="preserve">Kuchibhatla, Anil</t>
  </si>
  <si>
    <t xml:space="preserve">L55 - Manager, Functional Transformation</t>
  </si>
  <si>
    <t xml:space="preserve">akumararora@deloitte.com</t>
  </si>
  <si>
    <t xml:space="preserve">Akshay Arora</t>
  </si>
  <si>
    <t xml:space="preserve">Akshay Kumar Arora</t>
  </si>
  <si>
    <t xml:space="preserve">Dataiku</t>
  </si>
  <si>
    <t xml:space="preserve">Kumar Arora, Akshay</t>
  </si>
  <si>
    <t xml:space="preserve">akumarbiswas@deloitte.com</t>
  </si>
  <si>
    <t xml:space="preserve">Abhick Biswas</t>
  </si>
  <si>
    <t xml:space="preserve">AWS - DevOps Engineer</t>
  </si>
  <si>
    <t xml:space="preserve">Oracle OBIA-OBIEE</t>
  </si>
  <si>
    <t xml:space="preserve">Full Stack Development- Angular/React/Java/Node JS</t>
  </si>
  <si>
    <t xml:space="preserve">Java</t>
  </si>
  <si>
    <t xml:space="preserve">UI/UX</t>
  </si>
  <si>
    <t xml:space="preserve">akumarjha@deloitte.com</t>
  </si>
  <si>
    <t xml:space="preserve">Atul Jha</t>
  </si>
  <si>
    <t xml:space="preserve">SAP BOBJ</t>
  </si>
  <si>
    <t xml:space="preserve">Big Data Developer</t>
  </si>
  <si>
    <t xml:space="preserve">akumarmishra@deloitte.com</t>
  </si>
  <si>
    <t xml:space="preserve">Abhishek Kumar Mishra</t>
  </si>
  <si>
    <t xml:space="preserve">Oracle SQL</t>
  </si>
  <si>
    <t xml:space="preserve">Kumar Mishra, Abhishek</t>
  </si>
  <si>
    <t xml:space="preserve">Informatica SAS</t>
  </si>
  <si>
    <t xml:space="preserve">akumarmitra@deloitte.com</t>
  </si>
  <si>
    <t xml:space="preserve">Avishek Kumar Mitra</t>
  </si>
  <si>
    <t xml:space="preserve">Google Cloud Platform (GCP) - Admin</t>
  </si>
  <si>
    <t xml:space="preserve">alangote@deloitte.com</t>
  </si>
  <si>
    <t xml:space="preserve">Ashish Langote</t>
  </si>
  <si>
    <t xml:space="preserve">almaurya@deloitte.com</t>
  </si>
  <si>
    <t xml:space="preserve">Alok Maurya</t>
  </si>
  <si>
    <t xml:space="preserve">alpriyanka@deloitte.com</t>
  </si>
  <si>
    <t xml:space="preserve">PRIYANKA ALURU</t>
  </si>
  <si>
    <t xml:space="preserve">Pentaho</t>
  </si>
  <si>
    <t xml:space="preserve">Unix Scripting</t>
  </si>
  <si>
    <t xml:space="preserve">Unix</t>
  </si>
  <si>
    <t xml:space="preserve">amadhabpanigrahi@deloitte.com</t>
  </si>
  <si>
    <t xml:space="preserve">Madhab Panigrahi, Amlan</t>
  </si>
  <si>
    <t xml:space="preserve">Physical AI-IH</t>
  </si>
  <si>
    <t xml:space="preserve">amamahato@deloitte.com</t>
  </si>
  <si>
    <t xml:space="preserve">Amardeep Mahato</t>
  </si>
  <si>
    <t xml:space="preserve">Google Cloud Platform (GCP) - DevOps Engineer</t>
  </si>
  <si>
    <t xml:space="preserve">amanmaheshwari@deloitte.com</t>
  </si>
  <si>
    <t xml:space="preserve">Aman Maheshwari</t>
  </si>
  <si>
    <t xml:space="preserve">amarkumar9@deloitte.com</t>
  </si>
  <si>
    <t xml:space="preserve">Amar Kumar</t>
  </si>
  <si>
    <t xml:space="preserve">Automation Anywhere</t>
  </si>
  <si>
    <t xml:space="preserve">amarnkumar@deloitte.com</t>
  </si>
  <si>
    <t xml:space="preserve">Amarnath Kumar</t>
  </si>
  <si>
    <t xml:space="preserve">Hive</t>
  </si>
  <si>
    <t xml:space="preserve">amdaga@deloitte.com</t>
  </si>
  <si>
    <t xml:space="preserve">Amit Daga</t>
  </si>
  <si>
    <t xml:space="preserve">amfatima@deloitte.com</t>
  </si>
  <si>
    <t xml:space="preserve">Fatima, Ambareen</t>
  </si>
  <si>
    <t xml:space="preserve">amishitole@deloitte.com</t>
  </si>
  <si>
    <t xml:space="preserve">Amit Gopal Shitole</t>
  </si>
  <si>
    <t xml:space="preserve">Amit Shitole</t>
  </si>
  <si>
    <t xml:space="preserve">AMITGUPTA9@DELOITTE.COM</t>
  </si>
  <si>
    <t xml:space="preserve">Gupta, Amit</t>
  </si>
  <si>
    <t xml:space="preserve">amitkumar39@deloitte.com</t>
  </si>
  <si>
    <t xml:space="preserve">Kumar, Amit</t>
  </si>
  <si>
    <t xml:space="preserve">Amit Kumar</t>
  </si>
  <si>
    <t xml:space="preserve">CSS</t>
  </si>
  <si>
    <t xml:space="preserve">HTML</t>
  </si>
  <si>
    <t xml:space="preserve">Kumar, Amit </t>
  </si>
  <si>
    <t xml:space="preserve">Javascript</t>
  </si>
  <si>
    <t xml:space="preserve">amitkumarsingh@deloitte.com</t>
  </si>
  <si>
    <t xml:space="preserve">amitshrivastava@deloitte.com</t>
  </si>
  <si>
    <t xml:space="preserve">Amit Shrivastava</t>
  </si>
  <si>
    <t xml:space="preserve">Shrivastava, Amit</t>
  </si>
  <si>
    <t xml:space="preserve">amnishad@deloitte.com</t>
  </si>
  <si>
    <t xml:space="preserve">AmarChand Nishad</t>
  </si>
  <si>
    <t xml:space="preserve">AmarChand Satyanarayan Nishad</t>
  </si>
  <si>
    <t xml:space="preserve">amogm@deloitte.com</t>
  </si>
  <si>
    <t xml:space="preserve">Amogha M</t>
  </si>
  <si>
    <t xml:space="preserve">ampattanayak@deloitte.com</t>
  </si>
  <si>
    <t xml:space="preserve">Pattanayak, Amrit </t>
  </si>
  <si>
    <t xml:space="preserve">Amrit Pattanayak</t>
  </si>
  <si>
    <t xml:space="preserve">amraghu@deloitte.com</t>
  </si>
  <si>
    <t xml:space="preserve">Raghu, Amrutha</t>
  </si>
  <si>
    <t xml:space="preserve">Amrutha Raghu</t>
  </si>
  <si>
    <t xml:space="preserve">GenAI Prompt Engineering</t>
  </si>
  <si>
    <t xml:space="preserve">amrdeb@deloitte.com</t>
  </si>
  <si>
    <t xml:space="preserve">Amrita Deb</t>
  </si>
  <si>
    <t xml:space="preserve">amrisarkar@deloitte.com</t>
  </si>
  <si>
    <t xml:space="preserve">Sarkar, Amrit</t>
  </si>
  <si>
    <t xml:space="preserve">amritsinha@deloitte.com</t>
  </si>
  <si>
    <t xml:space="preserve">Amritanshu Sinha</t>
  </si>
  <si>
    <t xml:space="preserve">Python AI</t>
  </si>
  <si>
    <t xml:space="preserve">Sinha, Amritanshu</t>
  </si>
  <si>
    <t xml:space="preserve">amsakarwala@deloitte.com</t>
  </si>
  <si>
    <t xml:space="preserve">M Sakarwala, Aliasgar</t>
  </si>
  <si>
    <t xml:space="preserve">Aliasgar Mustaq Sakarwala</t>
  </si>
  <si>
    <t xml:space="preserve">Data Architect</t>
  </si>
  <si>
    <t xml:space="preserve">amsarkar@deloitte.com</t>
  </si>
  <si>
    <t xml:space="preserve">Amardeep Sarkar</t>
  </si>
  <si>
    <t xml:space="preserve">Sarkar, Amardeep</t>
  </si>
  <si>
    <t xml:space="preserve">amsinha@deloitte.com</t>
  </si>
  <si>
    <t xml:space="preserve">Sinha, Amrita</t>
  </si>
  <si>
    <t xml:space="preserve">amunshi@deloitte.com</t>
  </si>
  <si>
    <t xml:space="preserve">Munshi, Akhilesh</t>
  </si>
  <si>
    <t xml:space="preserve">anachaturvedi@deloitte.com</t>
  </si>
  <si>
    <t xml:space="preserve">Anant Chaturvedi</t>
  </si>
  <si>
    <t xml:space="preserve">Chaturvedi, Anant</t>
  </si>
  <si>
    <t xml:space="preserve">anadutta@deloitte.com</t>
  </si>
  <si>
    <t xml:space="preserve">Dutta, Ananya</t>
  </si>
  <si>
    <t xml:space="preserve">Ananya Dutta</t>
  </si>
  <si>
    <t xml:space="preserve">anagpure@deloitte.com</t>
  </si>
  <si>
    <t xml:space="preserve">amit nagpure</t>
  </si>
  <si>
    <t xml:space="preserve">anandsingh@deloitte.com</t>
  </si>
  <si>
    <t xml:space="preserve">Anand Singh</t>
  </si>
  <si>
    <t xml:space="preserve">anbhowmik@deloitte.com</t>
  </si>
  <si>
    <t xml:space="preserve">Aniket Bhowmik</t>
  </si>
  <si>
    <t xml:space="preserve">AbInitio</t>
  </si>
  <si>
    <t xml:space="preserve">ancverma@deloitte.com</t>
  </si>
  <si>
    <t xml:space="preserve">Anchal Verma</t>
  </si>
  <si>
    <t xml:space="preserve">SAP BI BOBJ</t>
  </si>
  <si>
    <t xml:space="preserve">andash@deloitte.com</t>
  </si>
  <si>
    <t xml:space="preserve">Ansuman Dash</t>
  </si>
  <si>
    <t xml:space="preserve">AWS - ML Engineer</t>
  </si>
  <si>
    <t xml:space="preserve">andash@DELOITTE.com</t>
  </si>
  <si>
    <t xml:space="preserve">Dash, Ansuman</t>
  </si>
  <si>
    <t xml:space="preserve">angangupta4@deloitte.com</t>
  </si>
  <si>
    <t xml:space="preserve">Gupta, Angan</t>
  </si>
  <si>
    <t xml:space="preserve">Angan Gupta</t>
  </si>
  <si>
    <t xml:space="preserve">angour@deloitte.com</t>
  </si>
  <si>
    <t xml:space="preserve">Gour, Aniket</t>
  </si>
  <si>
    <t xml:space="preserve">L65 - Associate Vice President, AI and Data Science</t>
  </si>
  <si>
    <t xml:space="preserve">Aniket Gour</t>
  </si>
  <si>
    <t xml:space="preserve">Intelligent Document Processing</t>
  </si>
  <si>
    <t xml:space="preserve">IDP</t>
  </si>
  <si>
    <t xml:space="preserve">angupta12@deloitte.com</t>
  </si>
  <si>
    <t xml:space="preserve">Gupta, Anurag</t>
  </si>
  <si>
    <t xml:space="preserve">anikbhattacharya@deloitte.com</t>
  </si>
  <si>
    <t xml:space="preserve">Aniket Bhattacharya</t>
  </si>
  <si>
    <t xml:space="preserve">Stibo</t>
  </si>
  <si>
    <t xml:space="preserve">anilkumar93@deloitte.com</t>
  </si>
  <si>
    <t xml:space="preserve">Anil Kumar</t>
  </si>
  <si>
    <t xml:space="preserve">Kumar, Anil</t>
  </si>
  <si>
    <t xml:space="preserve">animathur@deloitte.com</t>
  </si>
  <si>
    <t xml:space="preserve">Animesh Mathur</t>
  </si>
  <si>
    <t xml:space="preserve">AI - Architect</t>
  </si>
  <si>
    <t xml:space="preserve">animmahapatra@deloitte.com</t>
  </si>
  <si>
    <t xml:space="preserve">Animesh Mahapatra</t>
  </si>
  <si>
    <t xml:space="preserve">animsingh@deloitte.com</t>
  </si>
  <si>
    <t xml:space="preserve">Animesh Singh</t>
  </si>
  <si>
    <t xml:space="preserve">anirbdas@deloitte.com</t>
  </si>
  <si>
    <t xml:space="preserve">Das, Anirban</t>
  </si>
  <si>
    <t xml:space="preserve">Anirban Das</t>
  </si>
  <si>
    <t xml:space="preserve">Das, Anirban </t>
  </si>
  <si>
    <t xml:space="preserve">anirbkundu@deloitte.com</t>
  </si>
  <si>
    <t xml:space="preserve">Anirban Kundu</t>
  </si>
  <si>
    <t xml:space="preserve">anirpaul@deloitte.com</t>
  </si>
  <si>
    <t xml:space="preserve">Aniruddha Paul</t>
  </si>
  <si>
    <t xml:space="preserve">anirudas@deloitte.com</t>
  </si>
  <si>
    <t xml:space="preserve">Aniruddha Das</t>
  </si>
  <si>
    <t xml:space="preserve">ankant@deloitte.com</t>
  </si>
  <si>
    <t xml:space="preserve">Kant, Ankur</t>
  </si>
  <si>
    <t xml:space="preserve">9948851231/ 9121012981</t>
  </si>
  <si>
    <t xml:space="preserve">ankbhatt@deloitte.com</t>
  </si>
  <si>
    <t xml:space="preserve">Ankit Bhatt</t>
  </si>
  <si>
    <t xml:space="preserve">ankchopra@deloitte.com</t>
  </si>
  <si>
    <t xml:space="preserve">Ankit Chopra</t>
  </si>
  <si>
    <t xml:space="preserve">ankhbanerjee@deloitte.com</t>
  </si>
  <si>
    <t xml:space="preserve">Ankhi Banerjee</t>
  </si>
  <si>
    <t xml:space="preserve">Banerjee, Ankhi </t>
  </si>
  <si>
    <t xml:space="preserve">ankijoshi@deloitte.com</t>
  </si>
  <si>
    <t xml:space="preserve">Joshi, Ankit</t>
  </si>
  <si>
    <t xml:space="preserve">ankitagupta98@deloitte.com</t>
  </si>
  <si>
    <t xml:space="preserve">Gupta, Ankita</t>
  </si>
  <si>
    <t xml:space="preserve">ankitapandey3@deloitte.com</t>
  </si>
  <si>
    <t xml:space="preserve">Ankita Pandey</t>
  </si>
  <si>
    <t xml:space="preserve">ankitasinha74@deloitte.com</t>
  </si>
  <si>
    <t xml:space="preserve">Ankita Sinha</t>
  </si>
  <si>
    <t xml:space="preserve">Informatica Cloud Data Management</t>
  </si>
  <si>
    <t xml:space="preserve">ankitsharma5@deloitte.com</t>
  </si>
  <si>
    <t xml:space="preserve">Ankit</t>
  </si>
  <si>
    <t xml:space="preserve">Ankit Sharma</t>
  </si>
  <si>
    <t xml:space="preserve">ankitsingla@deloitte.com</t>
  </si>
  <si>
    <t xml:space="preserve">Ankit Singla</t>
  </si>
  <si>
    <t xml:space="preserve">ankumar5@deloitte.com</t>
  </si>
  <si>
    <t xml:space="preserve">Anuj Kumar</t>
  </si>
  <si>
    <t xml:space="preserve">anmanurkar@deloitte.com</t>
  </si>
  <si>
    <t xml:space="preserve">Anagha Manurkar</t>
  </si>
  <si>
    <t xml:space="preserve">Manurkar, Anagha Vasudev</t>
  </si>
  <si>
    <t xml:space="preserve">anmkumar@deloitte.com</t>
  </si>
  <si>
    <t xml:space="preserve">Anmol Kumar</t>
  </si>
  <si>
    <t xml:space="preserve">anmojain@deloitte.com</t>
  </si>
  <si>
    <t xml:space="preserve">Anmol Jain</t>
  </si>
  <si>
    <t xml:space="preserve">anmokumar@deloitte.com</t>
  </si>
  <si>
    <t xml:space="preserve">Kumar, Anmol</t>
  </si>
  <si>
    <t xml:space="preserve">annreddy@deloitte.com</t>
  </si>
  <si>
    <t xml:space="preserve">Reddy, Annreddy Kranthi Reddy</t>
  </si>
  <si>
    <t xml:space="preserve">anokrishna@deloitte.com</t>
  </si>
  <si>
    <t xml:space="preserve">Anoop Krishna</t>
  </si>
  <si>
    <t xml:space="preserve">SAP Business Objects (BO)</t>
  </si>
  <si>
    <t xml:space="preserve">anprasanth@deloitte.com</t>
  </si>
  <si>
    <t xml:space="preserve">Prasanth, Annapragada Krishna</t>
  </si>
  <si>
    <t xml:space="preserve">ansanand@deloitte.com</t>
  </si>
  <si>
    <t xml:space="preserve">Anshuman Anand</t>
  </si>
  <si>
    <t xml:space="preserve">anshitsrivastava@deloitte.com</t>
  </si>
  <si>
    <t xml:space="preserve">Anshita Srivastava</t>
  </si>
  <si>
    <t xml:space="preserve">anshuljain2@deloitte.com</t>
  </si>
  <si>
    <t xml:space="preserve">Anshul Jain</t>
  </si>
  <si>
    <t xml:space="preserve">anspillai@deloitte.com</t>
  </si>
  <si>
    <t xml:space="preserve">ANSHU PILLAI</t>
  </si>
  <si>
    <t xml:space="preserve">anubagarwal@deloitte.com</t>
  </si>
  <si>
    <t xml:space="preserve">Anubhav Agarwal</t>
  </si>
  <si>
    <t xml:space="preserve">anubgoel@deloitte.com</t>
  </si>
  <si>
    <t xml:space="preserve">Goel, Anubhav</t>
  </si>
  <si>
    <t xml:space="preserve">anubhwalia@deloitte.com</t>
  </si>
  <si>
    <t xml:space="preserve">Walia, Anubhav</t>
  </si>
  <si>
    <t xml:space="preserve">L45 - Software Engineer III</t>
  </si>
  <si>
    <t xml:space="preserve">anuchoudhary@deloitte.com</t>
  </si>
  <si>
    <t xml:space="preserve">Anurag Choudhary</t>
  </si>
  <si>
    <t xml:space="preserve">anujgupta4@deloitte.com</t>
  </si>
  <si>
    <t xml:space="preserve">Gupta, Anuj</t>
  </si>
  <si>
    <t xml:space="preserve">anujgupta89@deloitte.com</t>
  </si>
  <si>
    <t xml:space="preserve">Anuj Gupta</t>
  </si>
  <si>
    <t xml:space="preserve">anukhare@deloitte.com</t>
  </si>
  <si>
    <t xml:space="preserve">Anu Khare</t>
  </si>
  <si>
    <t xml:space="preserve">anupamkumar@deloitte.com</t>
  </si>
  <si>
    <t xml:space="preserve">Kumar, ANUPAM</t>
  </si>
  <si>
    <t xml:space="preserve">Anupam Kumar</t>
  </si>
  <si>
    <t xml:space="preserve">aprusty@deloitte.com</t>
  </si>
  <si>
    <t xml:space="preserve">Prusty, Akankshya P</t>
  </si>
  <si>
    <t xml:space="preserve">anurjaiswal@deloitte.com</t>
  </si>
  <si>
    <t xml:space="preserve">Anuraag Jaiswal</t>
  </si>
  <si>
    <t xml:space="preserve">Jaiswal, Anuraag</t>
  </si>
  <si>
    <t xml:space="preserve">anushak8@deloitte.com</t>
  </si>
  <si>
    <t xml:space="preserve">K, Anusha</t>
  </si>
  <si>
    <t xml:space="preserve">anussarkar@deloitte.com</t>
  </si>
  <si>
    <t xml:space="preserve">Anusuya Sarkar</t>
  </si>
  <si>
    <t xml:space="preserve">anwechatterjee@deloitte.com</t>
  </si>
  <si>
    <t xml:space="preserve">Anwesha Chatterjee</t>
  </si>
  <si>
    <t xml:space="preserve">Google Cloud Platform (GCP) - ML Engineer</t>
  </si>
  <si>
    <t xml:space="preserve">apaidipati@deloitte.com</t>
  </si>
  <si>
    <t xml:space="preserve">Paidipati, Akhila</t>
  </si>
  <si>
    <t xml:space="preserve">apenmetsa@deloitte.com</t>
  </si>
  <si>
    <t xml:space="preserve">Penmetsa, Anusha</t>
  </si>
  <si>
    <t xml:space="preserve">apernapati@deloitte.com</t>
  </si>
  <si>
    <t xml:space="preserve">Pernapati, Amarnath</t>
  </si>
  <si>
    <t xml:space="preserve">Prusty, Akankshya</t>
  </si>
  <si>
    <t xml:space="preserve">apulickal@deloitte.com</t>
  </si>
  <si>
    <t xml:space="preserve">Pulickal, Antony</t>
  </si>
  <si>
    <t xml:space="preserve">L65 - Associate Vice President, Data Management</t>
  </si>
  <si>
    <t xml:space="preserve">arajvanshi@deloitte.com</t>
  </si>
  <si>
    <t xml:space="preserve">Ankita Rajvanshi</t>
  </si>
  <si>
    <t xml:space="preserve">aranjeetsingh@deloitte.com</t>
  </si>
  <si>
    <t xml:space="preserve">Ashish LNU</t>
  </si>
  <si>
    <t xml:space="preserve">arbhat@deloitte.com</t>
  </si>
  <si>
    <t xml:space="preserve">Aravinda Bhat</t>
  </si>
  <si>
    <t xml:space="preserve">arciyer@deloitte.com</t>
  </si>
  <si>
    <t xml:space="preserve">Archana Iyer</t>
  </si>
  <si>
    <t xml:space="preserve">Microsoft Azure - Architect</t>
  </si>
  <si>
    <t xml:space="preserve">AWS - Architect</t>
  </si>
  <si>
    <t xml:space="preserve">arcravikumar@deloitte.com</t>
  </si>
  <si>
    <t xml:space="preserve">Archana Ravikumar</t>
  </si>
  <si>
    <t xml:space="preserve">AWS - Bedrock Engineering</t>
  </si>
  <si>
    <t xml:space="preserve">areji@deloitte.com</t>
  </si>
  <si>
    <t xml:space="preserve">Reji, Anieta</t>
  </si>
  <si>
    <t xml:space="preserve">aridhawan@deloitte.com</t>
  </si>
  <si>
    <t xml:space="preserve">Arish Dhawan</t>
  </si>
  <si>
    <t xml:space="preserve">arijbanerjee@deloitte.com</t>
  </si>
  <si>
    <t xml:space="preserve">Banerjee, Arijit</t>
  </si>
  <si>
    <t xml:space="preserve">arindaroy@deloitte.com</t>
  </si>
  <si>
    <t xml:space="preserve">Arindam Roy</t>
  </si>
  <si>
    <t xml:space="preserve">ollibra</t>
  </si>
  <si>
    <t xml:space="preserve">ariray@deloitte.com</t>
  </si>
  <si>
    <t xml:space="preserve">Aritra Ray</t>
  </si>
  <si>
    <t xml:space="preserve">arjjana@deloitte.com</t>
  </si>
  <si>
    <t xml:space="preserve">Arju Jana</t>
  </si>
  <si>
    <t xml:space="preserve">arjung5@deloitte.com</t>
  </si>
  <si>
    <t xml:space="preserve">Arjun G</t>
  </si>
  <si>
    <t xml:space="preserve">arkumari@deloitte.com</t>
  </si>
  <si>
    <t xml:space="preserve">Kumari, Aruna</t>
  </si>
  <si>
    <t xml:space="preserve">arnabghosh74@deloitte.com</t>
  </si>
  <si>
    <t xml:space="preserve">Ghosh, Arnab</t>
  </si>
  <si>
    <t xml:space="preserve">arnmondal@deloitte.com</t>
  </si>
  <si>
    <t xml:space="preserve">Mondal, ARNAB</t>
  </si>
  <si>
    <t xml:space="preserve">ARNAB Mondal</t>
  </si>
  <si>
    <t xml:space="preserve">Arnab Mondal</t>
  </si>
  <si>
    <t xml:space="preserve">arpibansal@deloitte.com</t>
  </si>
  <si>
    <t xml:space="preserve">Arpit Bansal</t>
  </si>
  <si>
    <t xml:space="preserve">arpitgupta7@deloitte.com</t>
  </si>
  <si>
    <t xml:space="preserve">Gupta, Arpit</t>
  </si>
  <si>
    <t xml:space="preserve">Arpit Gupta</t>
  </si>
  <si>
    <t xml:space="preserve">arpitjain32@deloitte.com</t>
  </si>
  <si>
    <t xml:space="preserve">Jain, Arpit</t>
  </si>
  <si>
    <t xml:space="preserve">arsb@deloitte.com</t>
  </si>
  <si>
    <t xml:space="preserve">ARUN PRAKASH SB</t>
  </si>
  <si>
    <t xml:space="preserve">arupdey3@deloitte.com</t>
  </si>
  <si>
    <t xml:space="preserve">Arup Dey</t>
  </si>
  <si>
    <t xml:space="preserve">Dallas</t>
  </si>
  <si>
    <t xml:space="preserve">Java J2EE/Java Data Engineering</t>
  </si>
  <si>
    <t xml:space="preserve">arurs@deloitte.com</t>
  </si>
  <si>
    <t xml:space="preserve">Arun RS</t>
  </si>
  <si>
    <t xml:space="preserve">R S Arun</t>
  </si>
  <si>
    <t xml:space="preserve">Arun R S</t>
  </si>
  <si>
    <t xml:space="preserve">arusgupta@deloitte.com</t>
  </si>
  <si>
    <t xml:space="preserve">Gupta, Arushi</t>
  </si>
  <si>
    <t xml:space="preserve">asadhale@deloitte.com</t>
  </si>
  <si>
    <t xml:space="preserve">Sadhale, Abhilash</t>
  </si>
  <si>
    <t xml:space="preserve">Microsoft SSAS</t>
  </si>
  <si>
    <t xml:space="preserve">Abhilash Sadhale</t>
  </si>
  <si>
    <t xml:space="preserve">asasawa@deloitte.com</t>
  </si>
  <si>
    <t xml:space="preserve">Ashish Asawa</t>
  </si>
  <si>
    <t xml:space="preserve">Asawa, Ashish</t>
  </si>
  <si>
    <t xml:space="preserve">asekar@deloitte.com</t>
  </si>
  <si>
    <t xml:space="preserve">Agilan Sekar</t>
  </si>
  <si>
    <t xml:space="preserve">ashankaradivareka@deloitte.com</t>
  </si>
  <si>
    <t xml:space="preserve">Akshay Shankar Adivarekar</t>
  </si>
  <si>
    <t xml:space="preserve">SQL Server</t>
  </si>
  <si>
    <t xml:space="preserve">ashankarlallulla@deloitte.com</t>
  </si>
  <si>
    <t xml:space="preserve">Shankarlal Lulla, Amit</t>
  </si>
  <si>
    <t xml:space="preserve">Abinitio</t>
  </si>
  <si>
    <t xml:space="preserve">ashbiyani@deloitte.com</t>
  </si>
  <si>
    <t xml:space="preserve">Biyani, Ashwir Ambesh</t>
  </si>
  <si>
    <t xml:space="preserve">ashishagarwal24@deloitte.com</t>
  </si>
  <si>
    <t xml:space="preserve">Ashish Kumar Agarwal</t>
  </si>
  <si>
    <t xml:space="preserve">Salesforce</t>
  </si>
  <si>
    <t xml:space="preserve">Agarwal, Ashish </t>
  </si>
  <si>
    <t xml:space="preserve">ashishagarwal9@deloitte.com</t>
  </si>
  <si>
    <t xml:space="preserve">Agarwal, Ashish</t>
  </si>
  <si>
    <t xml:space="preserve">Ashish Agarwal</t>
  </si>
  <si>
    <t xml:space="preserve">Typescript</t>
  </si>
  <si>
    <t xml:space="preserve">ashishkumgupta@deloitte.com</t>
  </si>
  <si>
    <t xml:space="preserve">Ashish Kumar Gupta</t>
  </si>
  <si>
    <t xml:space="preserve">MicroStrategy</t>
  </si>
  <si>
    <t xml:space="preserve">ashispandey@deloitte.com</t>
  </si>
  <si>
    <t xml:space="preserve">Ashish Pandey</t>
  </si>
  <si>
    <t xml:space="preserve">ashispatil@deloitte.com</t>
  </si>
  <si>
    <t xml:space="preserve">Ashish Patil</t>
  </si>
  <si>
    <t xml:space="preserve">ashivhare@deloitte.com</t>
  </si>
  <si>
    <t xml:space="preserve">Shivhare, Akshiti</t>
  </si>
  <si>
    <t xml:space="preserve">asingan@deloitte.com</t>
  </si>
  <si>
    <t xml:space="preserve">Singan, Abhishek</t>
  </si>
  <si>
    <t xml:space="preserve">asingla@deloitte.com</t>
  </si>
  <si>
    <t xml:space="preserve">Singla, Ashok</t>
  </si>
  <si>
    <t xml:space="preserve">Natural Language Processing (NLP)</t>
  </si>
  <si>
    <t xml:space="preserve">askainth@deloitte.com</t>
  </si>
  <si>
    <t xml:space="preserve">Ashish Kainth</t>
  </si>
  <si>
    <t xml:space="preserve">Data Enginner</t>
  </si>
  <si>
    <t xml:space="preserve">asmdatta@deloitte.com</t>
  </si>
  <si>
    <t xml:space="preserve">Asmita Datta</t>
  </si>
  <si>
    <t xml:space="preserve">assangwan@deloitte.com</t>
  </si>
  <si>
    <t xml:space="preserve">Ashish Sangwan</t>
  </si>
  <si>
    <t xml:space="preserve">Sangwan, Ashish</t>
  </si>
  <si>
    <t xml:space="preserve">asthpandey@deloitte.com</t>
  </si>
  <si>
    <t xml:space="preserve">Astha Pandey</t>
  </si>
  <si>
    <t xml:space="preserve">asuryaprakash@deloitte.com</t>
  </si>
  <si>
    <t xml:space="preserve">Archana Suryaprakash</t>
  </si>
  <si>
    <t xml:space="preserve">Suryaprakash, Archana</t>
  </si>
  <si>
    <t xml:space="preserve">Oracle Fusion Analytics Warehouse (FAW/FDI)</t>
  </si>
  <si>
    <t xml:space="preserve">aszzaman@deloitte.com</t>
  </si>
  <si>
    <t xml:space="preserve">Zzaman, Ashique</t>
  </si>
  <si>
    <t xml:space="preserve">Ashique Zzaman</t>
  </si>
  <si>
    <t xml:space="preserve">atadas@deloitte.com</t>
  </si>
  <si>
    <t xml:space="preserve">Atanu Das</t>
  </si>
  <si>
    <t xml:space="preserve">atadepalli@deloitte.com</t>
  </si>
  <si>
    <t xml:space="preserve">Tadepalli, Anil</t>
  </si>
  <si>
    <t xml:space="preserve">atghosh@deloitte.com</t>
  </si>
  <si>
    <t xml:space="preserve">Ghosh, Atanu</t>
  </si>
  <si>
    <t xml:space="preserve">atsingh@deloitte.com</t>
  </si>
  <si>
    <t xml:space="preserve">Atul singh</t>
  </si>
  <si>
    <t xml:space="preserve">atvishal@deloitte.com</t>
  </si>
  <si>
    <t xml:space="preserve">Atul Vishal</t>
  </si>
  <si>
    <t xml:space="preserve">atvishwakarma@deloitte.com</t>
  </si>
  <si>
    <t xml:space="preserve">Atul Vishwakarma</t>
  </si>
  <si>
    <t xml:space="preserve">aukundu@deloitte.com</t>
  </si>
  <si>
    <t xml:space="preserve">Kundu, Auditi</t>
  </si>
  <si>
    <t xml:space="preserve">avduttachowdhury@deloitte.com</t>
  </si>
  <si>
    <t xml:space="preserve">Abhishek Dutta Chowdhury</t>
  </si>
  <si>
    <t xml:space="preserve">avenkatasubbaakhi@deloitte.com</t>
  </si>
  <si>
    <t xml:space="preserve">Akhilesh</t>
  </si>
  <si>
    <t xml:space="preserve">avichakraborty@deloitte.com</t>
  </si>
  <si>
    <t xml:space="preserve">Chakraborty, Avinab</t>
  </si>
  <si>
    <t xml:space="preserve">avinpandey@deloitte.com</t>
  </si>
  <si>
    <t xml:space="preserve">Pandey, Avinash</t>
  </si>
  <si>
    <t xml:space="preserve">avinsinha@deloitte.com</t>
  </si>
  <si>
    <t xml:space="preserve">Avinash Sinha</t>
  </si>
  <si>
    <t xml:space="preserve">avisharma@deloitte.com</t>
  </si>
  <si>
    <t xml:space="preserve">Sharma, Avinash</t>
  </si>
  <si>
    <t xml:space="preserve">AWS - Devops Engineer</t>
  </si>
  <si>
    <t xml:space="preserve">avmamidi@deloitte.com</t>
  </si>
  <si>
    <t xml:space="preserve">MAMIDI, AVINASH </t>
  </si>
  <si>
    <t xml:space="preserve">MAMIDI, AVINASH</t>
  </si>
  <si>
    <t xml:space="preserve">avmanoli@deloitte.com</t>
  </si>
  <si>
    <t xml:space="preserve">Avinash Manoli</t>
  </si>
  <si>
    <t xml:space="preserve">Manoli, Avinash A</t>
  </si>
  <si>
    <t xml:space="preserve">avpatnaik@deloitte.com</t>
  </si>
  <si>
    <t xml:space="preserve">Patnaik, Avinash</t>
  </si>
  <si>
    <t xml:space="preserve">L35 - Data Management Engineer II</t>
  </si>
  <si>
    <t xml:space="preserve">collibra</t>
  </si>
  <si>
    <t xml:space="preserve">avsen@deloitte.com</t>
  </si>
  <si>
    <t xml:space="preserve">Sen, Avirup</t>
  </si>
  <si>
    <t xml:space="preserve">ayaganteeswarudu@deloitte.com</t>
  </si>
  <si>
    <t xml:space="preserve">Yaganteeswarudu, Akkem</t>
  </si>
  <si>
    <t xml:space="preserve">Gen AI-IH</t>
  </si>
  <si>
    <t xml:space="preserve">ayobasu@deloitte.com</t>
  </si>
  <si>
    <t xml:space="preserve">Ayon Basu</t>
  </si>
  <si>
    <t xml:space="preserve">Basu, Ayon</t>
  </si>
  <si>
    <t xml:space="preserve">Informatica Intelligent Data Management Cloud (IDMC) - CDQ</t>
  </si>
  <si>
    <t xml:space="preserve">aypatra@deloitte.com</t>
  </si>
  <si>
    <t xml:space="preserve">Patra, Ayusna</t>
  </si>
  <si>
    <t xml:space="preserve">Indianapolis</t>
  </si>
  <si>
    <t xml:space="preserve">ayushigupta@deloitte.com</t>
  </si>
  <si>
    <t xml:space="preserve">Ayushi Gupta</t>
  </si>
  <si>
    <t xml:space="preserve">SAP HANA</t>
  </si>
  <si>
    <t xml:space="preserve">Azure Data Factory (ADF)</t>
  </si>
  <si>
    <t xml:space="preserve">babhigna@deloitte.com</t>
  </si>
  <si>
    <t xml:space="preserve">Abhigna Bandi</t>
  </si>
  <si>
    <t xml:space="preserve">baganguly@deloitte.com</t>
  </si>
  <si>
    <t xml:space="preserve">Ganguly, Basabdatta Ganguly</t>
  </si>
  <si>
    <t xml:space="preserve">baggarwal@deloitte.com</t>
  </si>
  <si>
    <t xml:space="preserve">Aggarwal, Bhawna</t>
  </si>
  <si>
    <t xml:space="preserve">Bhawna Aggarwal</t>
  </si>
  <si>
    <t xml:space="preserve">balajis3@deloitte.com</t>
  </si>
  <si>
    <t xml:space="preserve">S, Balaji </t>
  </si>
  <si>
    <t xml:space="preserve">Onshore</t>
  </si>
  <si>
    <t xml:space="preserve">Balaji Sankaranarayanan</t>
  </si>
  <si>
    <t xml:space="preserve">IBM Infosphere QualityStage</t>
  </si>
  <si>
    <t xml:space="preserve">Lake Mary</t>
  </si>
  <si>
    <t xml:space="preserve">balhari@deloitte.com</t>
  </si>
  <si>
    <t xml:space="preserve">Hari, Hari</t>
  </si>
  <si>
    <t xml:space="preserve">Hari Hari</t>
  </si>
  <si>
    <t xml:space="preserve">balng@deloitte.com</t>
  </si>
  <si>
    <t xml:space="preserve">Bala, N G</t>
  </si>
  <si>
    <t xml:space="preserve">N G, Bala Murugan</t>
  </si>
  <si>
    <t xml:space="preserve">barath@deloitte.com</t>
  </si>
  <si>
    <t xml:space="preserve">Rath, Banshidhar</t>
  </si>
  <si>
    <t xml:space="preserve">Banshidhar Rath</t>
  </si>
  <si>
    <t xml:space="preserve">Apache Hive</t>
  </si>
  <si>
    <t xml:space="preserve">Big Data Engineering</t>
  </si>
  <si>
    <t xml:space="preserve">bas@deloitte.com</t>
  </si>
  <si>
    <t xml:space="preserve">Basith Ali Shahul Hameed</t>
  </si>
  <si>
    <t xml:space="preserve">bcheppalli@deloitte.com</t>
  </si>
  <si>
    <t xml:space="preserve">Bharath Cheppalli</t>
  </si>
  <si>
    <t xml:space="preserve">bgajjalabusigari@deloitte.com</t>
  </si>
  <si>
    <t xml:space="preserve">G Bhaskar Reddy</t>
  </si>
  <si>
    <t xml:space="preserve">bhapandey@deloitte.com</t>
  </si>
  <si>
    <t xml:space="preserve">Bharat Pandey</t>
  </si>
  <si>
    <t xml:space="preserve">bhargaw@deloitte.com</t>
  </si>
  <si>
    <t xml:space="preserve">., Bhargawi</t>
  </si>
  <si>
    <t xml:space="preserve">bhaskakumar@deloitte.com</t>
  </si>
  <si>
    <t xml:space="preserve">Bhaskar Kumar</t>
  </si>
  <si>
    <t xml:space="preserve">bhavesjain@deloitte.com</t>
  </si>
  <si>
    <t xml:space="preserve">Bhavesh Jain</t>
  </si>
  <si>
    <t xml:space="preserve">bibaby@deloitte.com</t>
  </si>
  <si>
    <t xml:space="preserve">Bincy Baby</t>
  </si>
  <si>
    <t xml:space="preserve">Oracle OBIEE</t>
  </si>
  <si>
    <t xml:space="preserve">Scrum Master</t>
  </si>
  <si>
    <t xml:space="preserve">blingamaneni@deloitte.com</t>
  </si>
  <si>
    <t xml:space="preserve">Bhargavi Lingamaneni</t>
  </si>
  <si>
    <t xml:space="preserve">Snowflake - Admin</t>
  </si>
  <si>
    <t xml:space="preserve">Lingamaneni, Bhar</t>
  </si>
  <si>
    <t xml:space="preserve">bmahalik@deloitte.com</t>
  </si>
  <si>
    <t xml:space="preserve">BhabaniShankar Mahalik</t>
  </si>
  <si>
    <t xml:space="preserve">Microsoft Azure - DevOpsEngineer</t>
  </si>
  <si>
    <t xml:space="preserve">bnandula@deloitte.com</t>
  </si>
  <si>
    <t xml:space="preserve">Bhaskar Nandula</t>
  </si>
  <si>
    <t xml:space="preserve">bovani@deloitte.com</t>
  </si>
  <si>
    <t xml:space="preserve">Vani Vani</t>
  </si>
  <si>
    <t xml:space="preserve">bpeddapadamala@deloitte.com</t>
  </si>
  <si>
    <t xml:space="preserve">Brahma Peddapadamala</t>
  </si>
  <si>
    <t xml:space="preserve">Database Admin</t>
  </si>
  <si>
    <t xml:space="preserve">bphaldesai@deloitte.com</t>
  </si>
  <si>
    <t xml:space="preserve">Phaldesai, Bindiya</t>
  </si>
  <si>
    <t xml:space="preserve">braggarwal@deloitte.com</t>
  </si>
  <si>
    <t xml:space="preserve">Brijesh Aggarwal</t>
  </si>
  <si>
    <t xml:space="preserve">brajeshkumar@deloitte.com</t>
  </si>
  <si>
    <t xml:space="preserve">Bongurala, Rajesh Kumar</t>
  </si>
  <si>
    <t xml:space="preserve">Rajesh Rajesh Kumar</t>
  </si>
  <si>
    <t xml:space="preserve">Terraform</t>
  </si>
  <si>
    <t xml:space="preserve">brathinasamy@deloitte.com</t>
  </si>
  <si>
    <t xml:space="preserve">Rathinasamy, Balamurugan</t>
  </si>
  <si>
    <t xml:space="preserve">Balamurugan Rathinasamy</t>
  </si>
  <si>
    <t xml:space="preserve">brimittal@deloitte.com</t>
  </si>
  <si>
    <t xml:space="preserve">Mittal, Brinda</t>
  </si>
  <si>
    <t xml:space="preserve">Brinda Mittal</t>
  </si>
  <si>
    <t xml:space="preserve">bsambhubhaibhanus@deloitte.com</t>
  </si>
  <si>
    <t xml:space="preserve">Bhavin Sambhubhai Bhanushali</t>
  </si>
  <si>
    <t xml:space="preserve">bsm@deloitte.com</t>
  </si>
  <si>
    <t xml:space="preserve">S M, Balamurugan</t>
  </si>
  <si>
    <t xml:space="preserve">btiwary@deloitte.com</t>
  </si>
  <si>
    <t xml:space="preserve">Bishnu Tiwary</t>
  </si>
  <si>
    <t xml:space="preserve">Bishnu Mohan Tiwary</t>
  </si>
  <si>
    <t xml:space="preserve">bujanakiraman@deloitte.com</t>
  </si>
  <si>
    <t xml:space="preserve">Janakiraman, Buvaneswari</t>
  </si>
  <si>
    <t xml:space="preserve">bukhan@deloitte.com</t>
  </si>
  <si>
    <t xml:space="preserve">Burhan Khan </t>
  </si>
  <si>
    <t xml:space="preserve">Burhan Khan</t>
  </si>
  <si>
    <t xml:space="preserve">Full Stack Developer - AI</t>
  </si>
  <si>
    <t xml:space="preserve">Khan, Burhan</t>
  </si>
  <si>
    <t xml:space="preserve">bvamsymohan@deloitte.com</t>
  </si>
  <si>
    <t xml:space="preserve">Vamsy Mohan Baru</t>
  </si>
  <si>
    <t xml:space="preserve">Baru Vamsy Mohan</t>
  </si>
  <si>
    <t xml:space="preserve">bvasundhara@deloitte.com</t>
  </si>
  <si>
    <t xml:space="preserve">Vasundhara Bellam</t>
  </si>
  <si>
    <t xml:space="preserve">bzagade@deloitte.com</t>
  </si>
  <si>
    <t xml:space="preserve">Zagade, Babasaheb Ranganath</t>
  </si>
  <si>
    <t xml:space="preserve">Babasaheb Zagade</t>
  </si>
  <si>
    <t xml:space="preserve">carulraj@deloitte.com</t>
  </si>
  <si>
    <t xml:space="preserve">Chandru Arulraj</t>
  </si>
  <si>
    <t xml:space="preserve">cgajbhiye@deloitte.com</t>
  </si>
  <si>
    <t xml:space="preserve">Chaitali Gajbhiye</t>
  </si>
  <si>
    <t xml:space="preserve">cgopalakrishna@deloitte.com</t>
  </si>
  <si>
    <t xml:space="preserve">chaithra Gopalakrishna</t>
  </si>
  <si>
    <t xml:space="preserve">chandsahoo@deloitte.com</t>
  </si>
  <si>
    <t xml:space="preserve">Sahoo, Chandan Kumar</t>
  </si>
  <si>
    <t xml:space="preserve">chanjain@deloitte.com</t>
  </si>
  <si>
    <t xml:space="preserve">Chandan Kumar Jain</t>
  </si>
  <si>
    <t xml:space="preserve">Chandan Jain</t>
  </si>
  <si>
    <t xml:space="preserve">chdas@deloitte.com</t>
  </si>
  <si>
    <t xml:space="preserve">Das, Chinmaya</t>
  </si>
  <si>
    <t xml:space="preserve">Chinmaya Das</t>
  </si>
  <si>
    <t xml:space="preserve">chirag8@deloitte.com</t>
  </si>
  <si>
    <t xml:space="preserve">Chirag</t>
  </si>
  <si>
    <t xml:space="preserve">chkk@deloitte.com</t>
  </si>
  <si>
    <t xml:space="preserve">Chakravarthy K K</t>
  </si>
  <si>
    <t xml:space="preserve">chramya@deloitte.com</t>
  </si>
  <si>
    <t xml:space="preserve">Ramya, Ramya</t>
  </si>
  <si>
    <t xml:space="preserve">Ramya Chintha</t>
  </si>
  <si>
    <t xml:space="preserve">Ramya Ramya</t>
  </si>
  <si>
    <t xml:space="preserve">ckiran@deloitte.com</t>
  </si>
  <si>
    <t xml:space="preserve">Kiran Kiran</t>
  </si>
  <si>
    <t xml:space="preserve">cmhaske@deloitte.com</t>
  </si>
  <si>
    <t xml:space="preserve">Mhaske, Chetan</t>
  </si>
  <si>
    <t xml:space="preserve">cprabhudev@deloitte.com</t>
  </si>
  <si>
    <t xml:space="preserve">Chaitra Prabhudev</t>
  </si>
  <si>
    <t xml:space="preserve">Prabhudev, Chaitra</t>
  </si>
  <si>
    <t xml:space="preserve">csankarasubrahman@deloitte.com</t>
  </si>
  <si>
    <t xml:space="preserve">Sankarasubrahmaniyan Nagayam, Chocks</t>
  </si>
  <si>
    <t xml:space="preserve">dachandran@deloitte.com</t>
  </si>
  <si>
    <t xml:space="preserve">David Chandran</t>
  </si>
  <si>
    <t xml:space="preserve">darpmehta@deloitte.com</t>
  </si>
  <si>
    <t xml:space="preserve">Darpan Mehta</t>
  </si>
  <si>
    <t xml:space="preserve">L65 - Associate Vice President, Analytics and Insights</t>
  </si>
  <si>
    <t xml:space="preserve">dashah@deloitte.com</t>
  </si>
  <si>
    <t xml:space="preserve">Darshil Shah</t>
  </si>
  <si>
    <t xml:space="preserve">dbharathigillala@deloitte.com</t>
  </si>
  <si>
    <t xml:space="preserve">Divya Reddy</t>
  </si>
  <si>
    <t xml:space="preserve">Divya Reddy Gillala</t>
  </si>
  <si>
    <t xml:space="preserve">dchandrans@deloitte.com</t>
  </si>
  <si>
    <t xml:space="preserve">Dharani Chandran S</t>
  </si>
  <si>
    <t xml:space="preserve">Chandran S, Dharani</t>
  </si>
  <si>
    <t xml:space="preserve">dchilaka@deloitte.com</t>
  </si>
  <si>
    <t xml:space="preserve">Devendra Chilaka</t>
  </si>
  <si>
    <t xml:space="preserve">ddebdut@deloitte.com</t>
  </si>
  <si>
    <t xml:space="preserve">Debdut Dey</t>
  </si>
  <si>
    <t xml:space="preserve">ddhandhukia@deloitte.com</t>
  </si>
  <si>
    <t xml:space="preserve">Dhandhukia, Davesh</t>
  </si>
  <si>
    <t xml:space="preserve">'+919867860721</t>
  </si>
  <si>
    <t xml:space="preserve">Davesh Dhandhukia</t>
  </si>
  <si>
    <t xml:space="preserve">DEEGHOSH@DELOITTE.COM</t>
  </si>
  <si>
    <t xml:space="preserve">Ghosh, Deepanjan</t>
  </si>
  <si>
    <t xml:space="preserve">deekb@deloitte.com</t>
  </si>
  <si>
    <t xml:space="preserve">B, Deekshitha</t>
  </si>
  <si>
    <t xml:space="preserve">deekss@deloitte.com</t>
  </si>
  <si>
    <t xml:space="preserve">Deeksha S</t>
  </si>
  <si>
    <t xml:space="preserve">deepaksharma3@deloitte.com</t>
  </si>
  <si>
    <t xml:space="preserve">Deepak Sharma</t>
  </si>
  <si>
    <t xml:space="preserve">Sharma, Deepak</t>
  </si>
  <si>
    <t xml:space="preserve">deepansagarwal@deloitte.com</t>
  </si>
  <si>
    <t xml:space="preserve">Deepanshu Agrawal</t>
  </si>
  <si>
    <t xml:space="preserve">Appian</t>
  </si>
  <si>
    <t xml:space="preserve">deepanshugupta7@deloitte.com</t>
  </si>
  <si>
    <t xml:space="preserve">Gupta, Deepanshu</t>
  </si>
  <si>
    <t xml:space="preserve">deepara2@deloitte.com</t>
  </si>
  <si>
    <t xml:space="preserve">Deepashri R A</t>
  </si>
  <si>
    <t xml:space="preserve">deepbhattacharyya@deloitte.com</t>
  </si>
  <si>
    <t xml:space="preserve">Deeptanoy Bhattacharyya</t>
  </si>
  <si>
    <t xml:space="preserve">Deep Bhattacharyya</t>
  </si>
  <si>
    <t xml:space="preserve">deepikagupta2@deloitte.com</t>
  </si>
  <si>
    <t xml:space="preserve">Gupta, Deepika</t>
  </si>
  <si>
    <t xml:space="preserve">depamnani@deloitte.com</t>
  </si>
  <si>
    <t xml:space="preserve">Deepa Pamnani</t>
  </si>
  <si>
    <t xml:space="preserve">deparida@deloitte.com</t>
  </si>
  <si>
    <t xml:space="preserve">Parida, Deebyadeep</t>
  </si>
  <si>
    <t xml:space="preserve">Deebyadeep Parida</t>
  </si>
  <si>
    <t xml:space="preserve">Deebyadeep Parida </t>
  </si>
  <si>
    <t xml:space="preserve">MLOPs-IH</t>
  </si>
  <si>
    <t xml:space="preserve">deroy@deloitte.com</t>
  </si>
  <si>
    <t xml:space="preserve">Roy, Debdip</t>
  </si>
  <si>
    <t xml:space="preserve">devendrakumar@deloitte.com</t>
  </si>
  <si>
    <t xml:space="preserve">Kumar, Devendra </t>
  </si>
  <si>
    <t xml:space="preserve">devfnu@deloitte.com</t>
  </si>
  <si>
    <t xml:space="preserve">C, Devaraj</t>
  </si>
  <si>
    <t xml:space="preserve">Fnu, Devaraj</t>
  </si>
  <si>
    <t xml:space="preserve">dhabraham@deloitte.com</t>
  </si>
  <si>
    <t xml:space="preserve">Dhanu Abraham</t>
  </si>
  <si>
    <t xml:space="preserve">dhjha@deloitte.com</t>
  </si>
  <si>
    <t xml:space="preserve">Dharmendra Jha</t>
  </si>
  <si>
    <t xml:space="preserve">dhparmar@deloitte.com</t>
  </si>
  <si>
    <t xml:space="preserve">Parmar, Dhaval</t>
  </si>
  <si>
    <t xml:space="preserve">dibhatnagar@deloitte.com</t>
  </si>
  <si>
    <t xml:space="preserve">Bhatnagar, Divyani</t>
  </si>
  <si>
    <t xml:space="preserve">dichoudhary@deloitte.com</t>
  </si>
  <si>
    <t xml:space="preserve">Dinesh Choudhary</t>
  </si>
  <si>
    <t xml:space="preserve">dijangiti@deloitte.com</t>
  </si>
  <si>
    <t xml:space="preserve">Divya Jangiti</t>
  </si>
  <si>
    <t xml:space="preserve">dikasliwal@deloitte.com</t>
  </si>
  <si>
    <t xml:space="preserve">divyansh kasliwal</t>
  </si>
  <si>
    <t xml:space="preserve">Kasliwal, Divyansh </t>
  </si>
  <si>
    <t xml:space="preserve">Divyansh Kasliwal</t>
  </si>
  <si>
    <t xml:space="preserve">dimatta@deloitte.com</t>
  </si>
  <si>
    <t xml:space="preserve">Dimple Matta</t>
  </si>
  <si>
    <t xml:space="preserve">diray@deloitte.com</t>
  </si>
  <si>
    <t xml:space="preserve">Dipankar Ray</t>
  </si>
  <si>
    <t xml:space="preserve">diray@DELOITTE.com</t>
  </si>
  <si>
    <t xml:space="preserve">Ray, Dipankar</t>
  </si>
  <si>
    <t xml:space="preserve">disuthar@deloitte.com</t>
  </si>
  <si>
    <t xml:space="preserve">Disha Suthar</t>
  </si>
  <si>
    <t xml:space="preserve">divyajain24@deloitte.com</t>
  </si>
  <si>
    <t xml:space="preserve">Divya Jain</t>
  </si>
  <si>
    <t xml:space="preserve">Jain, Divya </t>
  </si>
  <si>
    <t xml:space="preserve">ABBYY</t>
  </si>
  <si>
    <t xml:space="preserve">divyashrn@deloitte.com</t>
  </si>
  <si>
    <t xml:space="preserve">Divyashree N</t>
  </si>
  <si>
    <t xml:space="preserve">divyasingh8@deloitte.com</t>
  </si>
  <si>
    <t xml:space="preserve">Singh, Divya</t>
  </si>
  <si>
    <t xml:space="preserve">djayaram@deloitte.com</t>
  </si>
  <si>
    <t xml:space="preserve">deepthi jayaram</t>
  </si>
  <si>
    <t xml:space="preserve">Agile Framework</t>
  </si>
  <si>
    <t xml:space="preserve">Deepthi Jayaram</t>
  </si>
  <si>
    <t xml:space="preserve">Jayaram, Deepthi </t>
  </si>
  <si>
    <t xml:space="preserve">djha@deloitte.com</t>
  </si>
  <si>
    <t xml:space="preserve">Jha, Deepa</t>
  </si>
  <si>
    <t xml:space="preserve">Babu, Kapusetti Mani</t>
  </si>
  <si>
    <t xml:space="preserve">dmanne@deloitte.com</t>
  </si>
  <si>
    <t xml:space="preserve">Manne, Dinakar</t>
  </si>
  <si>
    <t xml:space="preserve">dnaidubonu@deloitte.com</t>
  </si>
  <si>
    <t xml:space="preserve">Damodara Naidu Bonu</t>
  </si>
  <si>
    <t xml:space="preserve">Naidu Bonu, Damodara</t>
  </si>
  <si>
    <t xml:space="preserve">dpatkar@deloitte.com</t>
  </si>
  <si>
    <t xml:space="preserve">Patkar, Dhanashri Ashok</t>
  </si>
  <si>
    <t xml:space="preserve">Dhanashri Patkar</t>
  </si>
  <si>
    <t xml:space="preserve">drakhonde@deloitte.com</t>
  </si>
  <si>
    <t xml:space="preserve">Rakhonde, Dattaram</t>
  </si>
  <si>
    <t xml:space="preserve">dramakrishna@deloitte.com</t>
  </si>
  <si>
    <t xml:space="preserve">Ramakrishna, Dharavath</t>
  </si>
  <si>
    <t xml:space="preserve">dramkewalgupta@deloitte.com</t>
  </si>
  <si>
    <t xml:space="preserve">Dhananjay Ramkewal Gupta</t>
  </si>
  <si>
    <t xml:space="preserve">dravinder@deloitte.com</t>
  </si>
  <si>
    <t xml:space="preserve">Ravinder Ravinder</t>
  </si>
  <si>
    <t xml:space="preserve">dsarjanrao@deloitte.com</t>
  </si>
  <si>
    <t xml:space="preserve">Dhillipkumar Sarjanrao</t>
  </si>
  <si>
    <t xml:space="preserve">Dhillip Sarjanrao</t>
  </si>
  <si>
    <t xml:space="preserve">dsreekumar@deloitte.com</t>
  </si>
  <si>
    <t xml:space="preserve">Dipak S</t>
  </si>
  <si>
    <t xml:space="preserve">Data Stewardship</t>
  </si>
  <si>
    <t xml:space="preserve">dtikyani@deloitte.com</t>
  </si>
  <si>
    <t xml:space="preserve">Tikyani, Devesh</t>
  </si>
  <si>
    <t xml:space="preserve">dyadlapalli@deloitte.com</t>
  </si>
  <si>
    <t xml:space="preserve">Deepa Yadlapalli</t>
  </si>
  <si>
    <t xml:space="preserve">dyarramsetty@deloitte.com</t>
  </si>
  <si>
    <t xml:space="preserve">Devallu Yarramsetty</t>
  </si>
  <si>
    <t xml:space="preserve">ektraj@deloitte.com</t>
  </si>
  <si>
    <t xml:space="preserve">Ekta Raj</t>
  </si>
  <si>
    <t xml:space="preserve">Deep Learning</t>
  </si>
  <si>
    <t xml:space="preserve">Raj, Ekta</t>
  </si>
  <si>
    <t xml:space="preserve">Machine Learning-IH</t>
  </si>
  <si>
    <t xml:space="preserve">emmkumar@deloitte.com</t>
  </si>
  <si>
    <t xml:space="preserve">SANTHOSH KUMAR EMMADI</t>
  </si>
  <si>
    <t xml:space="preserve">Santhosh Kumar</t>
  </si>
  <si>
    <t xml:space="preserve">eraviramavarapras@deloitte.com</t>
  </si>
  <si>
    <t xml:space="preserve">Emani Ravi Rama Vara Prasad</t>
  </si>
  <si>
    <t xml:space="preserve">etippanna@deloitte.com</t>
  </si>
  <si>
    <t xml:space="preserve">Emmanuel Tippanna</t>
  </si>
  <si>
    <t xml:space="preserve">faimohamed@deloitte.com</t>
  </si>
  <si>
    <t xml:space="preserve">Mohamed, Faizal</t>
  </si>
  <si>
    <t xml:space="preserve">Faizal Mohamed</t>
  </si>
  <si>
    <t xml:space="preserve">faqueelahmedshaik@deloitte.com</t>
  </si>
  <si>
    <t xml:space="preserve">Faizan Aqueel Ahmed Shaikh</t>
  </si>
  <si>
    <t xml:space="preserve">farhanukhan@deloitte.com</t>
  </si>
  <si>
    <t xml:space="preserve">Khan, Farhan Ulla</t>
  </si>
  <si>
    <t xml:space="preserve">faymohammed@deloitte.com</t>
  </si>
  <si>
    <t xml:space="preserve">Mohammed, Faiz</t>
  </si>
  <si>
    <t xml:space="preserve">Faiz Mohammed</t>
  </si>
  <si>
    <t xml:space="preserve">fpathan@deloitte.com</t>
  </si>
  <si>
    <t xml:space="preserve">Pathan, Firdaus</t>
  </si>
  <si>
    <t xml:space="preserve">Firdaus</t>
  </si>
  <si>
    <t xml:space="preserve">Firdaus Pathan</t>
  </si>
  <si>
    <t xml:space="preserve">frarh@deloitte.com</t>
  </si>
  <si>
    <t xml:space="preserve">Fahim Rarh</t>
  </si>
  <si>
    <t xml:space="preserve">gaarora@deloitte.com</t>
  </si>
  <si>
    <t xml:space="preserve">Arora, Gaurav</t>
  </si>
  <si>
    <t xml:space="preserve">gagade@deloitte.com</t>
  </si>
  <si>
    <t xml:space="preserve">Agade, Gaurao</t>
  </si>
  <si>
    <t xml:space="preserve">Gaurao Agade</t>
  </si>
  <si>
    <t xml:space="preserve">gagkaur@deloitte.com</t>
  </si>
  <si>
    <t xml:space="preserve">Gagandeep Kaur</t>
  </si>
  <si>
    <t xml:space="preserve">Gagan Kaur</t>
  </si>
  <si>
    <t xml:space="preserve">gakumarjha@deloitte.com</t>
  </si>
  <si>
    <t xml:space="preserve">Kumar Jha, Gaurav </t>
  </si>
  <si>
    <t xml:space="preserve">Kumar Jha, Gaurav</t>
  </si>
  <si>
    <t xml:space="preserve">ganayak@deloitte.com</t>
  </si>
  <si>
    <t xml:space="preserve">Nayak, Ganesh</t>
  </si>
  <si>
    <t xml:space="preserve">Ganesh Nayak</t>
  </si>
  <si>
    <t xml:space="preserve">gansari@deloitte.com</t>
  </si>
  <si>
    <t xml:space="preserve">Gulerana Ansari</t>
  </si>
  <si>
    <t xml:space="preserve">Gul Ansari</t>
  </si>
  <si>
    <t xml:space="preserve">garbhatia@deloitte.com</t>
  </si>
  <si>
    <t xml:space="preserve">Garima Bhatia</t>
  </si>
  <si>
    <t xml:space="preserve">gargisharma@deloitte.com</t>
  </si>
  <si>
    <t xml:space="preserve">Sharma, Gargi</t>
  </si>
  <si>
    <t xml:space="preserve">garjungoud@deloitte.com</t>
  </si>
  <si>
    <t xml:space="preserve">Arjun Goud, Gayathri</t>
  </si>
  <si>
    <t xml:space="preserve">hyderabad</t>
  </si>
  <si>
    <t xml:space="preserve">gauravgupta87@deloitte.com</t>
  </si>
  <si>
    <t xml:space="preserve">Gaurav Gupta</t>
  </si>
  <si>
    <t xml:space="preserve">L45 - Data and Analytics Domain Senior Consultant</t>
  </si>
  <si>
    <t xml:space="preserve">Life Science Domain</t>
  </si>
  <si>
    <t xml:space="preserve">gauravkkumar@deloitte.com</t>
  </si>
  <si>
    <t xml:space="preserve">Kumar, Gaurav Kumar</t>
  </si>
  <si>
    <t xml:space="preserve">'+919971888231</t>
  </si>
  <si>
    <t xml:space="preserve">Gaurav Kumar Kumar</t>
  </si>
  <si>
    <t xml:space="preserve">Kumar, Gaurav</t>
  </si>
  <si>
    <t xml:space="preserve">gbagade@deloitte.com</t>
  </si>
  <si>
    <t xml:space="preserve">Gaurav Bagade</t>
  </si>
  <si>
    <t xml:space="preserve">gbalugari@deloitte.com</t>
  </si>
  <si>
    <t xml:space="preserve">Balugari, Ganesh Teja</t>
  </si>
  <si>
    <t xml:space="preserve">Ganesh Teja Balugari</t>
  </si>
  <si>
    <t xml:space="preserve">gebiswal@deloitte.com</t>
  </si>
  <si>
    <t xml:space="preserve">Biswal, Geetija</t>
  </si>
  <si>
    <t xml:space="preserve">Geetija Biswal</t>
  </si>
  <si>
    <t xml:space="preserve">gedv@deloitte.com</t>
  </si>
  <si>
    <t xml:space="preserve">D V, Geethanjali</t>
  </si>
  <si>
    <t xml:space="preserve">Geethanjali D V</t>
  </si>
  <si>
    <t xml:space="preserve">ggella@deloitte.com</t>
  </si>
  <si>
    <t xml:space="preserve">Gella, Geethika Gupta</t>
  </si>
  <si>
    <t xml:space="preserve">gimani@deloitte.com</t>
  </si>
  <si>
    <t xml:space="preserve">Girish Mani</t>
  </si>
  <si>
    <t xml:space="preserve">Conversational AI</t>
  </si>
  <si>
    <t xml:space="preserve">gjhunjhunwala@deloitte.com</t>
  </si>
  <si>
    <t xml:space="preserve">Jhunjhunwala, Gaurav</t>
  </si>
  <si>
    <t xml:space="preserve">gkiranmayee@deloitte.com</t>
  </si>
  <si>
    <t xml:space="preserve">Gunreddy Kiranmayee</t>
  </si>
  <si>
    <t xml:space="preserve">gkotha@deloitte.com</t>
  </si>
  <si>
    <t xml:space="preserve">Gayatri Kotha</t>
  </si>
  <si>
    <t xml:space="preserve">glala@deloitte.com</t>
  </si>
  <si>
    <t xml:space="preserve">Lala, Gaurav</t>
  </si>
  <si>
    <t xml:space="preserve">Gaurav Lala</t>
  </si>
  <si>
    <t xml:space="preserve">gobehera@deloitte.com</t>
  </si>
  <si>
    <t xml:space="preserve">Behera, Goutam</t>
  </si>
  <si>
    <t xml:space="preserve">Goutam Behera</t>
  </si>
  <si>
    <t xml:space="preserve">Data modelling</t>
  </si>
  <si>
    <t xml:space="preserve">gopai@deloitte.com</t>
  </si>
  <si>
    <t xml:space="preserve">Gopal Pai</t>
  </si>
  <si>
    <t xml:space="preserve">gopthareja@deloitte.com</t>
  </si>
  <si>
    <t xml:space="preserve">Thareja, Gopesh</t>
  </si>
  <si>
    <t xml:space="preserve">govraj@deloitte.com</t>
  </si>
  <si>
    <t xml:space="preserve">Govind Raj</t>
  </si>
  <si>
    <t xml:space="preserve">Raj, Govind</t>
  </si>
  <si>
    <t xml:space="preserve">gowramu@deloitte.com</t>
  </si>
  <si>
    <t xml:space="preserve">Ramu, Gowda Dinesh</t>
  </si>
  <si>
    <t xml:space="preserve">gpachori@deloitte.com</t>
  </si>
  <si>
    <t xml:space="preserve">Gourav pachori</t>
  </si>
  <si>
    <t xml:space="preserve">Gourav Pachori</t>
  </si>
  <si>
    <t xml:space="preserve">gpattnayak@deloitte.com</t>
  </si>
  <si>
    <t xml:space="preserve">Gunjan Pattnayak</t>
  </si>
  <si>
    <t xml:space="preserve">Pattnayak, Gunjan</t>
  </si>
  <si>
    <t xml:space="preserve">gramachandran@deloitte.com</t>
  </si>
  <si>
    <t xml:space="preserve">Ganesh Mangal R</t>
  </si>
  <si>
    <t xml:space="preserve">gramdeomishra@deloitte.com</t>
  </si>
  <si>
    <t xml:space="preserve">Gayatri Ramdeo Mishra</t>
  </si>
  <si>
    <t xml:space="preserve">grankireddy@deloitte.com</t>
  </si>
  <si>
    <t xml:space="preserve">Gayathri, Rankireddy</t>
  </si>
  <si>
    <t xml:space="preserve">Gayathri Gayathri</t>
  </si>
  <si>
    <t xml:space="preserve">gsaipratap@deloitte.com</t>
  </si>
  <si>
    <t xml:space="preserve">Sai Pratap Gunturu</t>
  </si>
  <si>
    <t xml:space="preserve">gsanaik@deloitte.com</t>
  </si>
  <si>
    <t xml:space="preserve">Gulshan Sanaik</t>
  </si>
  <si>
    <t xml:space="preserve">Sanaik, Gulshan</t>
  </si>
  <si>
    <t xml:space="preserve">gsaraogi@deloitte.com</t>
  </si>
  <si>
    <t xml:space="preserve">Gaurav Saraogi</t>
  </si>
  <si>
    <t xml:space="preserve">gshailajapatel@deloitte.com</t>
  </si>
  <si>
    <t xml:space="preserve">Shailaja Patel, Gone</t>
  </si>
  <si>
    <t xml:space="preserve">gsunilraj@deloitte.com</t>
  </si>
  <si>
    <t xml:space="preserve">Sunil Gantakala</t>
  </si>
  <si>
    <t xml:space="preserve">gvidyasagar@deloitte.com</t>
  </si>
  <si>
    <t xml:space="preserve">Vidyasagar Vidyasagar</t>
  </si>
  <si>
    <t xml:space="preserve">hapandit@deloitte.com</t>
  </si>
  <si>
    <t xml:space="preserve">Pandit, Harshal</t>
  </si>
  <si>
    <t xml:space="preserve">haparashar@deloitte.com</t>
  </si>
  <si>
    <t xml:space="preserve">Parashar, Harsh</t>
  </si>
  <si>
    <t xml:space="preserve">harchadha@deloitte.com</t>
  </si>
  <si>
    <t xml:space="preserve">Chadha, Harleen</t>
  </si>
  <si>
    <t xml:space="preserve">Harleen Kaur Chadha</t>
  </si>
  <si>
    <t xml:space="preserve">haresingh@deloitte.com</t>
  </si>
  <si>
    <t xml:space="preserve">Harendra Singh</t>
  </si>
  <si>
    <t xml:space="preserve">Singh, Harendra</t>
  </si>
  <si>
    <t xml:space="preserve">harikik@deloitte.com</t>
  </si>
  <si>
    <t xml:space="preserve">Hari Kishore Kummeta</t>
  </si>
  <si>
    <t xml:space="preserve">harjain@deloitte.com</t>
  </si>
  <si>
    <t xml:space="preserve">Jain, Harsh</t>
  </si>
  <si>
    <t xml:space="preserve">Harsh Jain</t>
  </si>
  <si>
    <t xml:space="preserve">harkh@deloitte.com</t>
  </si>
  <si>
    <t xml:space="preserve">Harshitha K H</t>
  </si>
  <si>
    <t xml:space="preserve">harleenkaur7@deloitte.com</t>
  </si>
  <si>
    <t xml:space="preserve">Kaur, Harleen</t>
  </si>
  <si>
    <t xml:space="preserve">hchhibubhaipatel@deloitte.com</t>
  </si>
  <si>
    <t xml:space="preserve">Hardik Patel</t>
  </si>
  <si>
    <t xml:space="preserve">Informatica PIM 360</t>
  </si>
  <si>
    <t xml:space="preserve">hdhyani@deloitte.com</t>
  </si>
  <si>
    <t xml:space="preserve">Harsh Dhyani</t>
  </si>
  <si>
    <t xml:space="preserve">hdronamsai@deloitte.com</t>
  </si>
  <si>
    <t xml:space="preserve">Hari Priya Dronam Sai</t>
  </si>
  <si>
    <t xml:space="preserve">hegautam@deloitte.com</t>
  </si>
  <si>
    <t xml:space="preserve">Gautam, Hemant</t>
  </si>
  <si>
    <t xml:space="preserve">hehaque@deloitte.com</t>
  </si>
  <si>
    <t xml:space="preserve">Haque, Hesamul</t>
  </si>
  <si>
    <t xml:space="preserve">AWS - Quicksight</t>
  </si>
  <si>
    <t xml:space="preserve">PMO</t>
  </si>
  <si>
    <t xml:space="preserve">hghanekar@deloitte.com</t>
  </si>
  <si>
    <t xml:space="preserve">Ghanekar, Harshad</t>
  </si>
  <si>
    <t xml:space="preserve">hhanda@deloitte.com</t>
  </si>
  <si>
    <t xml:space="preserve">Heena Handa</t>
  </si>
  <si>
    <t xml:space="preserve">hhanumanthreddy@deloitte.com</t>
  </si>
  <si>
    <t xml:space="preserve">Hanumanth Reddy, Hanumanth</t>
  </si>
  <si>
    <t xml:space="preserve">Hanumanth Hanumanth Reddy</t>
  </si>
  <si>
    <t xml:space="preserve">hibhatia@deloitte.com</t>
  </si>
  <si>
    <t xml:space="preserve">Bhatia, Hitesh</t>
  </si>
  <si>
    <t xml:space="preserve">hibisht@deloitte.com</t>
  </si>
  <si>
    <t xml:space="preserve">Himani Bisht</t>
  </si>
  <si>
    <t xml:space="preserve">hikhan@deloitte.com</t>
  </si>
  <si>
    <t xml:space="preserve">Khan, Hina</t>
  </si>
  <si>
    <t xml:space="preserve">himaman@deloitte.com</t>
  </si>
  <si>
    <t xml:space="preserve">Himanshu Aman</t>
  </si>
  <si>
    <t xml:space="preserve">himanshu2@deloitte.com</t>
  </si>
  <si>
    <t xml:space="preserve">Himaunsh.,</t>
  </si>
  <si>
    <t xml:space="preserve">himanshugupta35@deloitte.com</t>
  </si>
  <si>
    <t xml:space="preserve">HIMANSHU GUPTA</t>
  </si>
  <si>
    <t xml:space="preserve">Himanshu Gupta</t>
  </si>
  <si>
    <t xml:space="preserve">himanshuksharma@deloitte.com</t>
  </si>
  <si>
    <t xml:space="preserve">Sharma, Himanshu Kumar</t>
  </si>
  <si>
    <t xml:space="preserve">himanshusharma6@deloitte.com</t>
  </si>
  <si>
    <t xml:space="preserve">Sharma, Himanshu</t>
  </si>
  <si>
    <t xml:space="preserve">Himanshu Sharma</t>
  </si>
  <si>
    <t xml:space="preserve">himhimaja@deloitte.com</t>
  </si>
  <si>
    <t xml:space="preserve">Himaja Koormala</t>
  </si>
  <si>
    <t xml:space="preserve">hinagarwal@deloitte.com</t>
  </si>
  <si>
    <t xml:space="preserve">Hina Agarwal</t>
  </si>
  <si>
    <t xml:space="preserve">Apache NiFi</t>
  </si>
  <si>
    <t xml:space="preserve">hithakkar@deloitte.com</t>
  </si>
  <si>
    <t xml:space="preserve">Thakkar, Hiten</t>
  </si>
  <si>
    <t xml:space="preserve">Hiten Manoj Thakkar</t>
  </si>
  <si>
    <t xml:space="preserve">Hiten Thakkar</t>
  </si>
  <si>
    <t xml:space="preserve">hjhaveri@deloitte.com</t>
  </si>
  <si>
    <t xml:space="preserve">Jhaveri, Henna Ambrish</t>
  </si>
  <si>
    <t xml:space="preserve">hkacker@deloitte.com</t>
  </si>
  <si>
    <t xml:space="preserve">HARSHIT KACKER</t>
  </si>
  <si>
    <t xml:space="preserve">hkacker@deloitte.com </t>
  </si>
  <si>
    <t xml:space="preserve">hkosambi@deloitte.com</t>
  </si>
  <si>
    <t xml:space="preserve">Hitesh Kosambi</t>
  </si>
  <si>
    <t xml:space="preserve">hkurisipati@deloitte.com</t>
  </si>
  <si>
    <t xml:space="preserve">Kurisipati, Haritha</t>
  </si>
  <si>
    <t xml:space="preserve">Haritha Kurisipati</t>
  </si>
  <si>
    <t xml:space="preserve">hmaharshi@deloitte.com</t>
  </si>
  <si>
    <t xml:space="preserve">Hari Bhargav Maharshi</t>
  </si>
  <si>
    <t xml:space="preserve">hmallik@deloitte.com</t>
  </si>
  <si>
    <t xml:space="preserve">Hasibul Mainuddin Mallik</t>
  </si>
  <si>
    <t xml:space="preserve">Data Migration</t>
  </si>
  <si>
    <t xml:space="preserve">hmiradwal@deloitte.com</t>
  </si>
  <si>
    <t xml:space="preserve">Himlove Miradwal</t>
  </si>
  <si>
    <t xml:space="preserve">hnirmal@deloitte.com</t>
  </si>
  <si>
    <t xml:space="preserve">Harsh Nirmal</t>
  </si>
  <si>
    <t xml:space="preserve">MLOps</t>
  </si>
  <si>
    <t xml:space="preserve">hobhandari@deloitte.com</t>
  </si>
  <si>
    <t xml:space="preserve">Bhandari, Honey</t>
  </si>
  <si>
    <t xml:space="preserve">Honey Bhandari</t>
  </si>
  <si>
    <t xml:space="preserve">homprakashhotchan@deloitte.com</t>
  </si>
  <si>
    <t xml:space="preserve">Hitesh Omprakash Hotchandani</t>
  </si>
  <si>
    <t xml:space="preserve">Omprakash Hotchandani, Hitesh </t>
  </si>
  <si>
    <t xml:space="preserve">hpradeepshrivasta@deloitte.com</t>
  </si>
  <si>
    <t xml:space="preserve">Harsh Pradeep Shrivastav</t>
  </si>
  <si>
    <t xml:space="preserve">hshanmuganathan@deloitte.com</t>
  </si>
  <si>
    <t xml:space="preserve">Hari Hara Sudhan Shanmuganathan</t>
  </si>
  <si>
    <t xml:space="preserve">Hari Shanmuganathan</t>
  </si>
  <si>
    <t xml:space="preserve">Shanmuganathan, Hari Hara Sudhan </t>
  </si>
  <si>
    <t xml:space="preserve">Palantir</t>
  </si>
  <si>
    <t xml:space="preserve">hsingaluri@deloitte.com</t>
  </si>
  <si>
    <t xml:space="preserve">Harsha Venkata Sai Nadh, Harsha</t>
  </si>
  <si>
    <t xml:space="preserve">hsolanki@deloitte.com</t>
  </si>
  <si>
    <t xml:space="preserve">Hardik Solanki</t>
  </si>
  <si>
    <t xml:space="preserve">hsriharshini@deloitte.com</t>
  </si>
  <si>
    <t xml:space="preserve">Sri Harshini</t>
  </si>
  <si>
    <t xml:space="preserve">hvalavala@deloitte.com</t>
  </si>
  <si>
    <t xml:space="preserve">Hanish Valavala</t>
  </si>
  <si>
    <t xml:space="preserve">hvasireddy@deloitte.com</t>
  </si>
  <si>
    <t xml:space="preserve">HARI KRISHNA VASIREDDY</t>
  </si>
  <si>
    <t xml:space="preserve">Vasireddy Hari Krishna</t>
  </si>
  <si>
    <t xml:space="preserve">Harikrishna V</t>
  </si>
  <si>
    <t xml:space="preserve">hyadav@deloitte.com</t>
  </si>
  <si>
    <t xml:space="preserve">Yadav, Hemant</t>
  </si>
  <si>
    <t xml:space="preserve">iakramquraishi@deloitte.com</t>
  </si>
  <si>
    <t xml:space="preserve">Akram Quraishi, Imran </t>
  </si>
  <si>
    <t xml:space="preserve">Akram Quraishi, Imran</t>
  </si>
  <si>
    <t xml:space="preserve">imisal@deloitte.com</t>
  </si>
  <si>
    <t xml:space="preserve">Ishani Misal</t>
  </si>
  <si>
    <t xml:space="preserve">indrasingh@deloitte.com</t>
  </si>
  <si>
    <t xml:space="preserve">Singh, Indrasen</t>
  </si>
  <si>
    <t xml:space="preserve">Indrasen Singh</t>
  </si>
  <si>
    <t xml:space="preserve">indrdutta@deloitte.com</t>
  </si>
  <si>
    <t xml:space="preserve">Dutta, Indranil</t>
  </si>
  <si>
    <t xml:space="preserve">DUTTA, INDRANIL</t>
  </si>
  <si>
    <t xml:space="preserve">ippatro@deloitte.com</t>
  </si>
  <si>
    <t xml:space="preserve">Ipsita Patro</t>
  </si>
  <si>
    <t xml:space="preserve">isgill@deloitte.com</t>
  </si>
  <si>
    <t xml:space="preserve">Gill, Isha</t>
  </si>
  <si>
    <t xml:space="preserve">ishaprakash@deloitte.com</t>
  </si>
  <si>
    <t xml:space="preserve">Prakash, Ishan</t>
  </si>
  <si>
    <t xml:space="preserve">ishan prakash</t>
  </si>
  <si>
    <t xml:space="preserve">Prakash, Ishan </t>
  </si>
  <si>
    <t xml:space="preserve">ithapak@deloitte.com</t>
  </si>
  <si>
    <t xml:space="preserve">Ikshit Thapak</t>
  </si>
  <si>
    <t xml:space="preserve">jafsyed@deloitte.com</t>
  </si>
  <si>
    <t xml:space="preserve">Syed, Jaffar Sadiq</t>
  </si>
  <si>
    <t xml:space="preserve">jaigarg@deloitte.com</t>
  </si>
  <si>
    <t xml:space="preserve">Jainesh Garg</t>
  </si>
  <si>
    <t xml:space="preserve">Garg, Jainesh </t>
  </si>
  <si>
    <t xml:space="preserve">jassanand@deloitte.com</t>
  </si>
  <si>
    <t xml:space="preserve">Anand, Jassneet Singh</t>
  </si>
  <si>
    <t xml:space="preserve">jatinkumar@deloitte.com</t>
  </si>
  <si>
    <t xml:space="preserve">Jatin Kumar</t>
  </si>
  <si>
    <t xml:space="preserve">jatthuluri@deloitte.com</t>
  </si>
  <si>
    <t xml:space="preserve">Atthuluri, Jayaprakash</t>
  </si>
  <si>
    <t xml:space="preserve">Jayaprakash Atthuluri</t>
  </si>
  <si>
    <t xml:space="preserve">jbuddanooka@deloitte.com</t>
  </si>
  <si>
    <t xml:space="preserve">Buddanooka, Jaganmohan Rao</t>
  </si>
  <si>
    <t xml:space="preserve">jdharod@deloitte.com</t>
  </si>
  <si>
    <t xml:space="preserve">Dharod, Jinkle Shailesh</t>
  </si>
  <si>
    <t xml:space="preserve">jedutta@deloitte.com</t>
  </si>
  <si>
    <t xml:space="preserve">Dutta, Jeet</t>
  </si>
  <si>
    <t xml:space="preserve">Agentic AI-IH</t>
  </si>
  <si>
    <t xml:space="preserve">jenjain@deloitte.com</t>
  </si>
  <si>
    <t xml:space="preserve">Jenika Jain</t>
  </si>
  <si>
    <t xml:space="preserve">Jain, Jenika</t>
  </si>
  <si>
    <t xml:space="preserve">jharsharma@deloitte.com</t>
  </si>
  <si>
    <t xml:space="preserve">Sharma, Jharna</t>
  </si>
  <si>
    <t xml:space="preserve">jjayanthteja@deloitte.com</t>
  </si>
  <si>
    <t xml:space="preserve">Jayanthteja, Kommabathula</t>
  </si>
  <si>
    <t xml:space="preserve">jjithinchowdary@deloitte.com</t>
  </si>
  <si>
    <t xml:space="preserve">Jithin Jithin Chowdary</t>
  </si>
  <si>
    <t xml:space="preserve">Jithin Chowdary, Jithin </t>
  </si>
  <si>
    <t xml:space="preserve">Jithin Chowdary, Jithin</t>
  </si>
  <si>
    <t xml:space="preserve">jjosevarghese@deloitte.com</t>
  </si>
  <si>
    <t xml:space="preserve">Joash Jose Varghese</t>
  </si>
  <si>
    <t xml:space="preserve">jkamboj@deloitte.com</t>
  </si>
  <si>
    <t xml:space="preserve">jatin kamboj</t>
  </si>
  <si>
    <t xml:space="preserve">Jatin Kamboj</t>
  </si>
  <si>
    <t xml:space="preserve">jkommineni@deloitte.com</t>
  </si>
  <si>
    <t xml:space="preserve">Kommineni, Jagadeesh</t>
  </si>
  <si>
    <t xml:space="preserve">Jagadeesh Kommineni</t>
  </si>
  <si>
    <t xml:space="preserve">jmaddala@deloitte.com</t>
  </si>
  <si>
    <t xml:space="preserve">Jayanthi Maddala</t>
  </si>
  <si>
    <t xml:space="preserve">jmakhija@deloitte.com</t>
  </si>
  <si>
    <t xml:space="preserve">Makhija, Jagriti </t>
  </si>
  <si>
    <t xml:space="preserve">Makhija, Jagriti</t>
  </si>
  <si>
    <t xml:space="preserve">jobosco@deloitte.com</t>
  </si>
  <si>
    <t xml:space="preserve">Bosco, Joish </t>
  </si>
  <si>
    <t xml:space="preserve">jruparudrani@deloitte.com</t>
  </si>
  <si>
    <t xml:space="preserve">Ruparudrani, Jammula</t>
  </si>
  <si>
    <t xml:space="preserve">Ruparudrani, Jammula </t>
  </si>
  <si>
    <t xml:space="preserve">Jammula Ruparudrani</t>
  </si>
  <si>
    <t xml:space="preserve">jsangoji@deloitte.com</t>
  </si>
  <si>
    <t xml:space="preserve">Jyothi Jyothi</t>
  </si>
  <si>
    <t xml:space="preserve">Jyothi Sangoji</t>
  </si>
  <si>
    <t xml:space="preserve">Alteryx</t>
  </si>
  <si>
    <t xml:space="preserve">jsivapuram@deloitte.com</t>
  </si>
  <si>
    <t xml:space="preserve">Sivapuram, Jayasri</t>
  </si>
  <si>
    <t xml:space="preserve">Oracle EBS</t>
  </si>
  <si>
    <t xml:space="preserve">Jayasri Sivapuram</t>
  </si>
  <si>
    <t xml:space="preserve">jtripathi@deloitte.com</t>
  </si>
  <si>
    <t xml:space="preserve">Tripathi, Jigyasu</t>
  </si>
  <si>
    <t xml:space="preserve">jvegad@deloitte.com</t>
  </si>
  <si>
    <t xml:space="preserve">Jitesh</t>
  </si>
  <si>
    <t xml:space="preserve">jvinitbhoir@deloitte.com</t>
  </si>
  <si>
    <t xml:space="preserve">Jetal Vinit Bhoir</t>
  </si>
  <si>
    <t xml:space="preserve">jvirwani@deloitte.com</t>
  </si>
  <si>
    <t xml:space="preserve">Virwani, Jitesh</t>
  </si>
  <si>
    <t xml:space="preserve">Jitesh Virwani</t>
  </si>
  <si>
    <t xml:space="preserve">Confluent</t>
  </si>
  <si>
    <t xml:space="preserve">Streaming</t>
  </si>
  <si>
    <t xml:space="preserve">Kafka</t>
  </si>
  <si>
    <t xml:space="preserve">jysoni@deloitte.com</t>
  </si>
  <si>
    <t xml:space="preserve">Soni, Jyoti </t>
  </si>
  <si>
    <t xml:space="preserve">kabhishek6@deloitte.com</t>
  </si>
  <si>
    <t xml:space="preserve">Abhishek, K</t>
  </si>
  <si>
    <t xml:space="preserve">kakaria@deloitte.com</t>
  </si>
  <si>
    <t xml:space="preserve">Karan Karia</t>
  </si>
  <si>
    <t xml:space="preserve">kakhattar@deloitte.com</t>
  </si>
  <si>
    <t xml:space="preserve">Khattar, Kapil</t>
  </si>
  <si>
    <t xml:space="preserve">kallam@deloitte.com</t>
  </si>
  <si>
    <t xml:space="preserve">Karthik Allam</t>
  </si>
  <si>
    <t xml:space="preserve">Allam, Karthik Kumar</t>
  </si>
  <si>
    <t xml:space="preserve">kamalsingh3@deloitte.com</t>
  </si>
  <si>
    <t xml:space="preserve">Singh, Kamal</t>
  </si>
  <si>
    <t xml:space="preserve">Agentic AI - IH</t>
  </si>
  <si>
    <t xml:space="preserve">kambasta@deloitte.com</t>
  </si>
  <si>
    <t xml:space="preserve">Kavita LNU</t>
  </si>
  <si>
    <t xml:space="preserve">kancmishra@deloitte.com</t>
  </si>
  <si>
    <t xml:space="preserve">Kanchan Mishra</t>
  </si>
  <si>
    <t xml:space="preserve">Mishra, Kanchan</t>
  </si>
  <si>
    <t xml:space="preserve">kanichauhan@deloitte.com</t>
  </si>
  <si>
    <t xml:space="preserve">Kanika Chauhan</t>
  </si>
  <si>
    <t xml:space="preserve">kapilkapoor@deloitte.com</t>
  </si>
  <si>
    <t xml:space="preserve">Kapil Kapoor</t>
  </si>
  <si>
    <t xml:space="preserve">karamesh@deloitte.com</t>
  </si>
  <si>
    <t xml:space="preserve">Karthik Ramesh</t>
  </si>
  <si>
    <t xml:space="preserve">'+919738413752</t>
  </si>
  <si>
    <t xml:space="preserve">karankumar6@deloitte.com</t>
  </si>
  <si>
    <t xml:space="preserve">Karan Kumar</t>
  </si>
  <si>
    <t xml:space="preserve">Salesforce Einstein</t>
  </si>
  <si>
    <t xml:space="preserve">karranusha@deloitte.com</t>
  </si>
  <si>
    <t xml:space="preserve">karri Anusha</t>
  </si>
  <si>
    <t xml:space="preserve">Anusha, karri</t>
  </si>
  <si>
    <t xml:space="preserve">kasaidivija@deloitte.com</t>
  </si>
  <si>
    <t xml:space="preserve">Katari Sai Divija</t>
  </si>
  <si>
    <t xml:space="preserve">kasaiteja@deloitte.com</t>
  </si>
  <si>
    <t xml:space="preserve">Aravind Sai Teja</t>
  </si>
  <si>
    <t xml:space="preserve">kasanjay@deloitte.com</t>
  </si>
  <si>
    <t xml:space="preserve">Sanjay Kammari</t>
  </si>
  <si>
    <t xml:space="preserve">kaustshinde@deloitte.com</t>
  </si>
  <si>
    <t xml:space="preserve">Shinde, Kaustubh</t>
  </si>
  <si>
    <t xml:space="preserve">Physical AI</t>
  </si>
  <si>
    <t xml:space="preserve">kbairagoni@deloitte.com</t>
  </si>
  <si>
    <t xml:space="preserve">Kumaraswamy Bairagoni</t>
  </si>
  <si>
    <t xml:space="preserve">kcheruku@deloitte.com</t>
  </si>
  <si>
    <t xml:space="preserve">kchouhan@deloitte.com</t>
  </si>
  <si>
    <t xml:space="preserve">Chouhan, Kapil Singh</t>
  </si>
  <si>
    <t xml:space="preserve">kdeepakjoshi@deloitte.com</t>
  </si>
  <si>
    <t xml:space="preserve">Kadambari Deepak Joshi</t>
  </si>
  <si>
    <t xml:space="preserve">kgadepalli@deloitte.com</t>
  </si>
  <si>
    <t xml:space="preserve">Kalyanaram Gadepalli</t>
  </si>
  <si>
    <t xml:space="preserve">Databricks - Admin</t>
  </si>
  <si>
    <t xml:space="preserve">khariom@deloitte.com</t>
  </si>
  <si>
    <t xml:space="preserve">KUMAR HARIOM</t>
  </si>
  <si>
    <t xml:space="preserve">Hariom Hariom</t>
  </si>
  <si>
    <t xml:space="preserve">khsrivastava@deloitte.com</t>
  </si>
  <si>
    <t xml:space="preserve">Khushi Srivastava</t>
  </si>
  <si>
    <t xml:space="preserve">kiagrawal@deloitte.com</t>
  </si>
  <si>
    <t xml:space="preserve">Kirty Agrawal</t>
  </si>
  <si>
    <t xml:space="preserve">Agrawal, Kirty</t>
  </si>
  <si>
    <t xml:space="preserve">kinikhila@deloitte.com</t>
  </si>
  <si>
    <t xml:space="preserve">Nikhila Kichayagari</t>
  </si>
  <si>
    <t xml:space="preserve">kirankirankumar@deloitte.com</t>
  </si>
  <si>
    <t xml:space="preserve">Kiran Kiran Kumar</t>
  </si>
  <si>
    <t xml:space="preserve">kkrishnappa@deloitte.com</t>
  </si>
  <si>
    <t xml:space="preserve">Krishnappa, Kavitha</t>
  </si>
  <si>
    <t xml:space="preserve">kkundhurthi@deloitte.com</t>
  </si>
  <si>
    <t xml:space="preserve">Kundhurthi, Kalyani</t>
  </si>
  <si>
    <t xml:space="preserve">kmehra@deloitte.com</t>
  </si>
  <si>
    <t xml:space="preserve">Mehra, Karan</t>
  </si>
  <si>
    <t xml:space="preserve">Karan Mehra</t>
  </si>
  <si>
    <t xml:space="preserve">kmitul@deloitte.com</t>
  </si>
  <si>
    <t xml:space="preserve">Kumar Mitul</t>
  </si>
  <si>
    <t xml:space="preserve">knevtiya@deloitte.com</t>
  </si>
  <si>
    <t xml:space="preserve">Nevtiya, Krishna</t>
  </si>
  <si>
    <t xml:space="preserve">knishant@deloitte.com</t>
  </si>
  <si>
    <t xml:space="preserve">Kumar Nishant</t>
  </si>
  <si>
    <t xml:space="preserve">+91 8296485024</t>
  </si>
  <si>
    <t xml:space="preserve">kodharmendra@deloitte.com</t>
  </si>
  <si>
    <t xml:space="preserve">Dharmendra Dharmendra</t>
  </si>
  <si>
    <t xml:space="preserve">kparimal@deloitte.com</t>
  </si>
  <si>
    <t xml:space="preserve">Parimal Kumar</t>
  </si>
  <si>
    <t xml:space="preserve">Parimal Parimal</t>
  </si>
  <si>
    <t xml:space="preserve">kpeyyeti@deloitte.com</t>
  </si>
  <si>
    <t xml:space="preserve">Kajol Peyyeti</t>
  </si>
  <si>
    <t xml:space="preserve">Data analysis</t>
  </si>
  <si>
    <t xml:space="preserve">kpranay@deloitte.com</t>
  </si>
  <si>
    <t xml:space="preserve">Pranay Kancharla</t>
  </si>
  <si>
    <t xml:space="preserve">krajendravedak@deloitte.com</t>
  </si>
  <si>
    <t xml:space="preserve">Kunal Rajendra Vedak</t>
  </si>
  <si>
    <t xml:space="preserve">krajreddy@deloitte.com</t>
  </si>
  <si>
    <t xml:space="preserve">Rajender Reddy Reddy</t>
  </si>
  <si>
    <t xml:space="preserve">krasheed@deloitte.com</t>
  </si>
  <si>
    <t xml:space="preserve">Kubra Rasheed</t>
  </si>
  <si>
    <t xml:space="preserve">krashmi@deloitte.com</t>
  </si>
  <si>
    <t xml:space="preserve">Rashmi, Kalidindi</t>
  </si>
  <si>
    <t xml:space="preserve">krekha@deloitte.com</t>
  </si>
  <si>
    <t xml:space="preserve">Rekha Rekha</t>
  </si>
  <si>
    <t xml:space="preserve">Rekha, Rekha</t>
  </si>
  <si>
    <t xml:space="preserve">krijain@deloitte.com</t>
  </si>
  <si>
    <t xml:space="preserve">Kriti Jain</t>
  </si>
  <si>
    <t xml:space="preserve">krkranthi@deloitte.com</t>
  </si>
  <si>
    <t xml:space="preserve">Kranthi Nallabothula</t>
  </si>
  <si>
    <t xml:space="preserve">Informatica ActiveVOS</t>
  </si>
  <si>
    <t xml:space="preserve">krnagar@deloitte.com</t>
  </si>
  <si>
    <t xml:space="preserve">Krishnamurty Nagar</t>
  </si>
  <si>
    <t xml:space="preserve">krongali@deloitte.com</t>
  </si>
  <si>
    <t xml:space="preserve">Karthik Rongali</t>
  </si>
  <si>
    <t xml:space="preserve">krudrapati@deloitte.com</t>
  </si>
  <si>
    <t xml:space="preserve">Karuna Rudrapati Rudrapati</t>
  </si>
  <si>
    <t xml:space="preserve">kruprasad@deloitte.com</t>
  </si>
  <si>
    <t xml:space="preserve">kruthi rama prasad</t>
  </si>
  <si>
    <t xml:space="preserve">Syniti</t>
  </si>
  <si>
    <t xml:space="preserve">ksailikhitha@deloitte.com</t>
  </si>
  <si>
    <t xml:space="preserve">Kotha Sai Likhitha</t>
  </si>
  <si>
    <t xml:space="preserve">ksanthi@deloitte.com</t>
  </si>
  <si>
    <t xml:space="preserve">ksanthi Santhi</t>
  </si>
  <si>
    <t xml:space="preserve">ksawanth@deloitte.com</t>
  </si>
  <si>
    <t xml:space="preserve">Sawanth, Karthik</t>
  </si>
  <si>
    <t xml:space="preserve">Karthik Sawanth</t>
  </si>
  <si>
    <t xml:space="preserve">ReactJS</t>
  </si>
  <si>
    <t xml:space="preserve">kshilpashwini@deloitte.com</t>
  </si>
  <si>
    <t xml:space="preserve">Shilpashwini Shilpashwini</t>
  </si>
  <si>
    <t xml:space="preserve">kshunmugam@deloitte.com</t>
  </si>
  <si>
    <t xml:space="preserve">karthick</t>
  </si>
  <si>
    <t xml:space="preserve">ksusmitha@deloitte.com</t>
  </si>
  <si>
    <t xml:space="preserve">Susmitha, Kantem</t>
  </si>
  <si>
    <t xml:space="preserve">ktapasvi@deloitte.com</t>
  </si>
  <si>
    <t xml:space="preserve">KT Tapasvi</t>
  </si>
  <si>
    <t xml:space="preserve">ktirumalasetti@deloitte.com</t>
  </si>
  <si>
    <t xml:space="preserve">Kiran</t>
  </si>
  <si>
    <t xml:space="preserve">Tirumalasetti Kiran</t>
  </si>
  <si>
    <t xml:space="preserve">kuchaudhary@deloitte.com</t>
  </si>
  <si>
    <t xml:space="preserve">Chaudhary, Kushal</t>
  </si>
  <si>
    <t xml:space="preserve">kudayvaidya@deloitte.com</t>
  </si>
  <si>
    <t xml:space="preserve">Uday Vaidya, Kaustubha </t>
  </si>
  <si>
    <t xml:space="preserve">Kaustubha Uday Vaidya</t>
  </si>
  <si>
    <t xml:space="preserve">Kujaiswal@deloitte.com</t>
  </si>
  <si>
    <t xml:space="preserve">Kushagra Jaiswal</t>
  </si>
  <si>
    <t xml:space="preserve">kumarer@deloitte.com</t>
  </si>
  <si>
    <t xml:space="preserve">Kumaresh R</t>
  </si>
  <si>
    <t xml:space="preserve">kushalshah@deloitte.com</t>
  </si>
  <si>
    <t xml:space="preserve">Kushal Shah</t>
  </si>
  <si>
    <t xml:space="preserve">kvirk@deloitte.com</t>
  </si>
  <si>
    <t xml:space="preserve">Karanbir Singh Virk</t>
  </si>
  <si>
    <t xml:space="preserve">kvsdm@deloitte.com</t>
  </si>
  <si>
    <t xml:space="preserve">Kanchi Venkata Sai Dheeraj Murthy</t>
  </si>
  <si>
    <t xml:space="preserve">laksyadav@deloitte.com</t>
  </si>
  <si>
    <t xml:space="preserve">Yadav, Lakshmi</t>
  </si>
  <si>
    <t xml:space="preserve">laljoshi@deloitte.com</t>
  </si>
  <si>
    <t xml:space="preserve">Lalit Joshi</t>
  </si>
  <si>
    <t xml:space="preserve">lbasavaraju@deloitte.com</t>
  </si>
  <si>
    <t xml:space="preserve">Basavaraju, Lathamani</t>
  </si>
  <si>
    <t xml:space="preserve">Lathamani Basavaraju</t>
  </si>
  <si>
    <t xml:space="preserve">lbhardwaj@deloitte.com</t>
  </si>
  <si>
    <t xml:space="preserve">Bhardwaj, Lakshit Kumaar </t>
  </si>
  <si>
    <t xml:space="preserve">Lakshit Bhardwaj</t>
  </si>
  <si>
    <t xml:space="preserve">lbhaskar@deloitte.com</t>
  </si>
  <si>
    <t xml:space="preserve">Bhaskar, Lalita</t>
  </si>
  <si>
    <t xml:space="preserve">ldeepak@deloitte.com</t>
  </si>
  <si>
    <t xml:space="preserve">L Deepak</t>
  </si>
  <si>
    <t xml:space="preserve">ldevendrarawat@deloitte.com</t>
  </si>
  <si>
    <t xml:space="preserve">Laxmi Devendra Rawat</t>
  </si>
  <si>
    <t xml:space="preserve">lingad@deloitte.com</t>
  </si>
  <si>
    <t xml:space="preserve">Linga Durai D</t>
  </si>
  <si>
    <t xml:space="preserve">Linga durai D</t>
  </si>
  <si>
    <t xml:space="preserve">lingewar@deloitte.com</t>
  </si>
  <si>
    <t xml:space="preserve">Lithika Madan Ingewar</t>
  </si>
  <si>
    <t xml:space="preserve">lipriyadarshini@deloitte.com</t>
  </si>
  <si>
    <t xml:space="preserve">Priyadarshini, Lipsa</t>
  </si>
  <si>
    <t xml:space="preserve">ljena@deloitte.com</t>
  </si>
  <si>
    <t xml:space="preserve">Lipsita Jena</t>
  </si>
  <si>
    <t xml:space="preserve">lkakaraparthi@deloitte.com</t>
  </si>
  <si>
    <t xml:space="preserve">Kakaraparthi, Venkat</t>
  </si>
  <si>
    <t xml:space="preserve">Venkat Kakaraparthi</t>
  </si>
  <si>
    <t xml:space="preserve">Informatica Intelligent Data Management Cloud (IDMC) - CDI</t>
  </si>
  <si>
    <t xml:space="preserve">lkakaraparthi@DELOITTE.com</t>
  </si>
  <si>
    <t xml:space="preserve">Kakaraparthi, Lakshmi Sri Venkateswara</t>
  </si>
  <si>
    <t xml:space="preserve">lsuganya@deloitte.com</t>
  </si>
  <si>
    <t xml:space="preserve">L S Suganya</t>
  </si>
  <si>
    <t xml:space="preserve">lt@deloitte.com</t>
  </si>
  <si>
    <t xml:space="preserve">Loghanaayaghi T</t>
  </si>
  <si>
    <t xml:space="preserve">Incorta</t>
  </si>
  <si>
    <t xml:space="preserve">lvyasakoundinya@deloitte.com</t>
  </si>
  <si>
    <t xml:space="preserve">Vyasa Koundinya Lanka</t>
  </si>
  <si>
    <t xml:space="preserve">lyadavalli@deloitte.com</t>
  </si>
  <si>
    <t xml:space="preserve">Yadavalli, Lakshmi Sumathi</t>
  </si>
  <si>
    <t xml:space="preserve">Lakshmi Sumathi Yadavalli</t>
  </si>
  <si>
    <t xml:space="preserve">madbalan@deloitte.com</t>
  </si>
  <si>
    <t xml:space="preserve">Madhu Balan</t>
  </si>
  <si>
    <t xml:space="preserve">mahcm@deloitte.com</t>
  </si>
  <si>
    <t xml:space="preserve">C M, Mahadevan</t>
  </si>
  <si>
    <t xml:space="preserve">Mahadevan C M</t>
  </si>
  <si>
    <t xml:space="preserve">mahesjain@deloitte.com</t>
  </si>
  <si>
    <t xml:space="preserve">Mahesh Jain</t>
  </si>
  <si>
    <t xml:space="preserve">mahrathore@deloitte.com</t>
  </si>
  <si>
    <t xml:space="preserve">Mahendra Rathore</t>
  </si>
  <si>
    <t xml:space="preserve">Rathore, Mahendra </t>
  </si>
  <si>
    <t xml:space="preserve">makohli@deloitte.com</t>
  </si>
  <si>
    <t xml:space="preserve">Mandeep SINGH Kohli</t>
  </si>
  <si>
    <t xml:space="preserve">malamuri@deloitte.com</t>
  </si>
  <si>
    <t xml:space="preserve">Mahalakshmi Sravya Alamuri</t>
  </si>
  <si>
    <t xml:space="preserve">mambera@deloitte.com</t>
  </si>
  <si>
    <t xml:space="preserve">Bera, Mampi</t>
  </si>
  <si>
    <t xml:space="preserve">Mampi Bera</t>
  </si>
  <si>
    <t xml:space="preserve">mandube@deloitte.com</t>
  </si>
  <si>
    <t xml:space="preserve">Mansi Dube</t>
  </si>
  <si>
    <t xml:space="preserve">manideedas@deloitte.com</t>
  </si>
  <si>
    <t xml:space="preserve">Das, Mani Deepa</t>
  </si>
  <si>
    <t xml:space="preserve">L45 - Integration Engineer III</t>
  </si>
  <si>
    <t xml:space="preserve">Mulesoft</t>
  </si>
  <si>
    <t xml:space="preserve">API Integration</t>
  </si>
  <si>
    <t xml:space="preserve">Integration</t>
  </si>
  <si>
    <t xml:space="preserve">manishasharma4@deloitte.com</t>
  </si>
  <si>
    <t xml:space="preserve">Manisha Sharma</t>
  </si>
  <si>
    <t xml:space="preserve">manishgarg@deloitte.com</t>
  </si>
  <si>
    <t xml:space="preserve">Manisha Garg</t>
  </si>
  <si>
    <t xml:space="preserve">Manisha LNU</t>
  </si>
  <si>
    <t xml:space="preserve">manishjain7@deloitte.com</t>
  </si>
  <si>
    <t xml:space="preserve">Jain, Manish</t>
  </si>
  <si>
    <t xml:space="preserve">manisjoshi@deloitte.com</t>
  </si>
  <si>
    <t xml:space="preserve">Manish Joshi</t>
  </si>
  <si>
    <t xml:space="preserve">manja@deloitte.com</t>
  </si>
  <si>
    <t xml:space="preserve">Manjunath Aralikatti</t>
  </si>
  <si>
    <t xml:space="preserve">L55 - PROJECT - Lead Data Management Engineer II</t>
  </si>
  <si>
    <t xml:space="preserve">Project Management</t>
  </si>
  <si>
    <t xml:space="preserve">mankansal@deloitte.com</t>
  </si>
  <si>
    <t xml:space="preserve">Kansal, MANISHA</t>
  </si>
  <si>
    <t xml:space="preserve">Manisha Kansal</t>
  </si>
  <si>
    <t xml:space="preserve">manmondal@deloitte.com</t>
  </si>
  <si>
    <t xml:space="preserve">Mondal, Manish Kumar</t>
  </si>
  <si>
    <t xml:space="preserve">manonaik@deloitte.com</t>
  </si>
  <si>
    <t xml:space="preserve">Naik, Manohari</t>
  </si>
  <si>
    <t xml:space="preserve">masamudrala@deloitte.com</t>
  </si>
  <si>
    <t xml:space="preserve">Madhav Madhav</t>
  </si>
  <si>
    <t xml:space="preserve">Madhav Samudrala</t>
  </si>
  <si>
    <t xml:space="preserve">mashivakumar@deloitte.com</t>
  </si>
  <si>
    <t xml:space="preserve">Mallepogu Shiva Kumar</t>
  </si>
  <si>
    <t xml:space="preserve">mavenkatesan@deloitte.com</t>
  </si>
  <si>
    <t xml:space="preserve">Venkatesan, Madhumitha</t>
  </si>
  <si>
    <t xml:space="preserve">maybn@deloitte.com</t>
  </si>
  <si>
    <t xml:space="preserve">Mayur B N</t>
  </si>
  <si>
    <t xml:space="preserve">mayshah@deloitte.com</t>
  </si>
  <si>
    <t xml:space="preserve">Shah, Mayank</t>
  </si>
  <si>
    <t xml:space="preserve">Mayank Shah</t>
  </si>
  <si>
    <t xml:space="preserve">mbalasubramaniam@deloitte.com</t>
  </si>
  <si>
    <t xml:space="preserve">Balasubramaniam, Mohanraj</t>
  </si>
  <si>
    <t xml:space="preserve">Mohan Balasubramaniam</t>
  </si>
  <si>
    <t xml:space="preserve">mbavishi@deloitte.com</t>
  </si>
  <si>
    <t xml:space="preserve">Monica J Bavishi</t>
  </si>
  <si>
    <t xml:space="preserve">Monica Bavishi</t>
  </si>
  <si>
    <t xml:space="preserve">mbayyapu@deloitte.com</t>
  </si>
  <si>
    <t xml:space="preserve">Manita</t>
  </si>
  <si>
    <t xml:space="preserve">Manita Bayyapu</t>
  </si>
  <si>
    <t xml:space="preserve">mbhadoria@deloitte.com</t>
  </si>
  <si>
    <t xml:space="preserve">Manvendra Bhadoria</t>
  </si>
  <si>
    <t xml:space="preserve">mbhati@deloitte.com</t>
  </si>
  <si>
    <t xml:space="preserve">Mohit Bhati</t>
  </si>
  <si>
    <t xml:space="preserve">L55 - Lead Architect</t>
  </si>
  <si>
    <t xml:space="preserve">mbinjola@deloitte.com</t>
  </si>
  <si>
    <t xml:space="preserve">Binjola, Maheshanand</t>
  </si>
  <si>
    <t xml:space="preserve">mbkaushikkumar@deloitte.com</t>
  </si>
  <si>
    <t xml:space="preserve">Kaushik Kumar</t>
  </si>
  <si>
    <t xml:space="preserve">mchinnamani@deloitte.com</t>
  </si>
  <si>
    <t xml:space="preserve">Minu</t>
  </si>
  <si>
    <t xml:space="preserve">Minu Chinnamani</t>
  </si>
  <si>
    <t xml:space="preserve">mchouksey@deloitte.com</t>
  </si>
  <si>
    <t xml:space="preserve">Mansi Chouksey</t>
  </si>
  <si>
    <t xml:space="preserve">mchowdam@deloitte.com</t>
  </si>
  <si>
    <t xml:space="preserve">Malyadri Chowdam</t>
  </si>
  <si>
    <t xml:space="preserve">mdevgaonkar@deloitte.com</t>
  </si>
  <si>
    <t xml:space="preserve">Devgaonkar, Mayur</t>
  </si>
  <si>
    <t xml:space="preserve">'+919773256359</t>
  </si>
  <si>
    <t xml:space="preserve">Core Java</t>
  </si>
  <si>
    <t xml:space="preserve">Mayur Devgaonkar</t>
  </si>
  <si>
    <t xml:space="preserve">medasgupta@deloitte.com</t>
  </si>
  <si>
    <t xml:space="preserve">Meenakshi Dasgupta</t>
  </si>
  <si>
    <t xml:space="preserve">GenAI Product Owner</t>
  </si>
  <si>
    <t xml:space="preserve">meghalagarwal@deloitte.com</t>
  </si>
  <si>
    <t xml:space="preserve">Meghal Agarwal</t>
  </si>
  <si>
    <t xml:space="preserve">Agarwal, Meghal</t>
  </si>
  <si>
    <t xml:space="preserve">meghrbiswas@deloitte.com</t>
  </si>
  <si>
    <t xml:space="preserve">Meghraj Biswas</t>
  </si>
  <si>
    <t xml:space="preserve">melbdsouza@deloitte.com</t>
  </si>
  <si>
    <t xml:space="preserve">Melbon Dsouza</t>
  </si>
  <si>
    <t xml:space="preserve">Melbon D'souza</t>
  </si>
  <si>
    <t xml:space="preserve">mfarook@deloitte.com</t>
  </si>
  <si>
    <t xml:space="preserve">Mohammed Farook M</t>
  </si>
  <si>
    <t xml:space="preserve">Tempe</t>
  </si>
  <si>
    <t xml:space="preserve">mgilda@deloitte.com</t>
  </si>
  <si>
    <t xml:space="preserve">Manisha Gilda</t>
  </si>
  <si>
    <t xml:space="preserve">Gilda, Manisha </t>
  </si>
  <si>
    <t xml:space="preserve">mhasmukhnayak@deloitte.com</t>
  </si>
  <si>
    <t xml:space="preserve">Hasmukh Nayak, Manav </t>
  </si>
  <si>
    <t xml:space="preserve">mhota@deloitte.com</t>
  </si>
  <si>
    <t xml:space="preserve">Madhulita Hota</t>
  </si>
  <si>
    <t xml:space="preserve">mipillai@deloitte.com</t>
  </si>
  <si>
    <t xml:space="preserve">Mikha Pillai</t>
  </si>
  <si>
    <t xml:space="preserve">mitagrawal@deloitte.com</t>
  </si>
  <si>
    <t xml:space="preserve">MITESH Agrawal</t>
  </si>
  <si>
    <t xml:space="preserve">miverma@deloitte.com</t>
  </si>
  <si>
    <t xml:space="preserve">Verma, Mitali</t>
  </si>
  <si>
    <t xml:space="preserve">mkajay@deloitte.com</t>
  </si>
  <si>
    <t xml:space="preserve">Ajay MK</t>
  </si>
  <si>
    <t xml:space="preserve">Ajay, M K</t>
  </si>
  <si>
    <t xml:space="preserve">mkarthikt@deloitte.com</t>
  </si>
  <si>
    <t xml:space="preserve">Madhu Karthik Talasila</t>
  </si>
  <si>
    <t xml:space="preserve">mkhemani@deloitte.com</t>
  </si>
  <si>
    <t xml:space="preserve">Mohit Kumar Khemani</t>
  </si>
  <si>
    <t xml:space="preserve">mkukreti@deloitte.com</t>
  </si>
  <si>
    <t xml:space="preserve">Manish Kukreti</t>
  </si>
  <si>
    <t xml:space="preserve">mlenka@deloitte.com</t>
  </si>
  <si>
    <t xml:space="preserve">Mita Lenka</t>
  </si>
  <si>
    <t xml:space="preserve">mmaksoodkhan@deloitte.com</t>
  </si>
  <si>
    <t xml:space="preserve">Maksood khan, Mansoor</t>
  </si>
  <si>
    <t xml:space="preserve">'+919920626484</t>
  </si>
  <si>
    <t xml:space="preserve">Mansoor Maksood khan</t>
  </si>
  <si>
    <t xml:space="preserve">mmanik@deloitte.com</t>
  </si>
  <si>
    <t xml:space="preserve">Manik, Madhusmita</t>
  </si>
  <si>
    <t xml:space="preserve">Manik, Madhusmita </t>
  </si>
  <si>
    <t xml:space="preserve">mmanoria@deloitte.com</t>
  </si>
  <si>
    <t xml:space="preserve">Jain, Megha</t>
  </si>
  <si>
    <t xml:space="preserve">mmuthulakshmi@deloitte.com</t>
  </si>
  <si>
    <t xml:space="preserve">Muthulakshmi M</t>
  </si>
  <si>
    <t xml:space="preserve">Muthulakshmi Muthulakshmi</t>
  </si>
  <si>
    <t xml:space="preserve">mnaraindasbhanga@deloitte.com</t>
  </si>
  <si>
    <t xml:space="preserve">Manish Bhanga</t>
  </si>
  <si>
    <t xml:space="preserve">mnisha2@deloitte.com</t>
  </si>
  <si>
    <t xml:space="preserve">NISHA, M </t>
  </si>
  <si>
    <t xml:space="preserve">moahuja@deloitte.com</t>
  </si>
  <si>
    <t xml:space="preserve">Monisha Ahuja Ahuja</t>
  </si>
  <si>
    <t xml:space="preserve">Databricks - ML Engineer</t>
  </si>
  <si>
    <t xml:space="preserve">Ahuja, Monisha Ahuja</t>
  </si>
  <si>
    <t xml:space="preserve">Ahuja, Monisha</t>
  </si>
  <si>
    <t xml:space="preserve">moamirkhan@deloitte.com</t>
  </si>
  <si>
    <t xml:space="preserve">Agrawal Sit, Roma</t>
  </si>
  <si>
    <t xml:space="preserve">moazharali@deloitte.com</t>
  </si>
  <si>
    <t xml:space="preserve">Azhar Mohammed</t>
  </si>
  <si>
    <t xml:space="preserve">Snap Logic</t>
  </si>
  <si>
    <t xml:space="preserve">moduseja@deloitte.com</t>
  </si>
  <si>
    <t xml:space="preserve">Moksh Duseja</t>
  </si>
  <si>
    <t xml:space="preserve">Duseja, Moksh</t>
  </si>
  <si>
    <t xml:space="preserve">mohakgupta@deloitte.com</t>
  </si>
  <si>
    <t xml:space="preserve">Mohak Gupta</t>
  </si>
  <si>
    <t xml:space="preserve">Oracle Data Base</t>
  </si>
  <si>
    <t xml:space="preserve">mohammanas@deloitte.com</t>
  </si>
  <si>
    <t xml:space="preserve">Anas, Mohammad</t>
  </si>
  <si>
    <t xml:space="preserve">mohamn@deloitte.com</t>
  </si>
  <si>
    <t xml:space="preserve">MOHAMED NIZAMUDEEN N</t>
  </si>
  <si>
    <t xml:space="preserve">Mohamed Nizamudeen N</t>
  </si>
  <si>
    <t xml:space="preserve">mointi@deloitte.com</t>
  </si>
  <si>
    <t xml:space="preserve">Mounika Inti</t>
  </si>
  <si>
    <t xml:space="preserve">mojani@deloitte.com</t>
  </si>
  <si>
    <t xml:space="preserve">Mohnish Jani</t>
  </si>
  <si>
    <t xml:space="preserve">+91 8128946314</t>
  </si>
  <si>
    <t xml:space="preserve">molanka@deloitte.com</t>
  </si>
  <si>
    <t xml:space="preserve">Mouli Lanka</t>
  </si>
  <si>
    <t xml:space="preserve">Lanka, Mouli</t>
  </si>
  <si>
    <t xml:space="preserve">momoudgil@deloitte.com</t>
  </si>
  <si>
    <t xml:space="preserve">Mohit Moudgil</t>
  </si>
  <si>
    <t xml:space="preserve">L55 - Data and Analytics Domain Manager</t>
  </si>
  <si>
    <t xml:space="preserve">Oracle Argus Safety</t>
  </si>
  <si>
    <t xml:space="preserve">Moudgil, Mohit</t>
  </si>
  <si>
    <t xml:space="preserve">monarang@deloitte.com</t>
  </si>
  <si>
    <t xml:space="preserve">Narang, Mohit</t>
  </si>
  <si>
    <t xml:space="preserve">Mohit Narang</t>
  </si>
  <si>
    <t xml:space="preserve">mosrivastava@deloitte.com</t>
  </si>
  <si>
    <t xml:space="preserve">Mohit Srivastava</t>
  </si>
  <si>
    <t xml:space="preserve">Srivastava, Mohit</t>
  </si>
  <si>
    <t xml:space="preserve">mparamasivan@deloitte.com</t>
  </si>
  <si>
    <t xml:space="preserve">Paramasivan, Mastani</t>
  </si>
  <si>
    <t xml:space="preserve">Mastani</t>
  </si>
  <si>
    <t xml:space="preserve">mphoplunkar@deloitte.com</t>
  </si>
  <si>
    <t xml:space="preserve">musab phoplunkar</t>
  </si>
  <si>
    <t xml:space="preserve">Musab Phoplunkar</t>
  </si>
  <si>
    <t xml:space="preserve">mpoonacha@deloitte.com</t>
  </si>
  <si>
    <t xml:space="preserve">Ashma Poonacha</t>
  </si>
  <si>
    <t xml:space="preserve">mpraveenkumar@deloitte.com</t>
  </si>
  <si>
    <t xml:space="preserve">Praveen Kumar Malarouthu</t>
  </si>
  <si>
    <t xml:space="preserve">mrajasekhar@deloitte.com</t>
  </si>
  <si>
    <t xml:space="preserve">Rajasekhar, Rajasekhar</t>
  </si>
  <si>
    <t xml:space="preserve">Rajasekhar Markapuram</t>
  </si>
  <si>
    <t xml:space="preserve">Raja Rajasekhar</t>
  </si>
  <si>
    <t xml:space="preserve">mrammohanarao@deloitte.com</t>
  </si>
  <si>
    <t xml:space="preserve">Ram Rammohana Rao</t>
  </si>
  <si>
    <t xml:space="preserve">mraodokala@deloitte.com</t>
  </si>
  <si>
    <t xml:space="preserve">Dokala, Mohan Ranga D</t>
  </si>
  <si>
    <t xml:space="preserve">Mohana Ranga Rao Dokala</t>
  </si>
  <si>
    <t xml:space="preserve">MRAODOKALA@DELOITTE.COM</t>
  </si>
  <si>
    <t xml:space="preserve">Dokala, Mohan</t>
  </si>
  <si>
    <t xml:space="preserve">mriyazuddin@deloitte.com</t>
  </si>
  <si>
    <t xml:space="preserve">Riyazuddin Riyazuddin</t>
  </si>
  <si>
    <t xml:space="preserve">mrpavan@deloitte.com</t>
  </si>
  <si>
    <t xml:space="preserve">Pavan MR</t>
  </si>
  <si>
    <t xml:space="preserve">Data Warehouse (DWH)</t>
  </si>
  <si>
    <t xml:space="preserve">msabarish@deloitte.com</t>
  </si>
  <si>
    <t xml:space="preserve">Sabarish Sabarish</t>
  </si>
  <si>
    <t xml:space="preserve">'+919160433299</t>
  </si>
  <si>
    <t xml:space="preserve">msasikanth@deloitte.com</t>
  </si>
  <si>
    <t xml:space="preserve">Mahesh Sasikanth</t>
  </si>
  <si>
    <t xml:space="preserve">mshahidakhtar@deloitte.com</t>
  </si>
  <si>
    <t xml:space="preserve">Mohammad Shahid Akhtar</t>
  </si>
  <si>
    <t xml:space="preserve">msivaramakrishna@deloitte.com</t>
  </si>
  <si>
    <t xml:space="preserve">Siva Ramakrishna Mangisetty</t>
  </si>
  <si>
    <t xml:space="preserve">Siva Sivaramakrishna</t>
  </si>
  <si>
    <t xml:space="preserve">msowmya@deloitte.com</t>
  </si>
  <si>
    <t xml:space="preserve">Sowmya, Sowmya</t>
  </si>
  <si>
    <t xml:space="preserve">Sowmya, Muddada</t>
  </si>
  <si>
    <t xml:space="preserve">msufyanibrahimsha@deloitte.com</t>
  </si>
  <si>
    <t xml:space="preserve">Mohd Sufyan Shaikh</t>
  </si>
  <si>
    <t xml:space="preserve">mtawfeeq@deloitte.com</t>
  </si>
  <si>
    <t xml:space="preserve">Mohmmad Tawfeeq</t>
  </si>
  <si>
    <t xml:space="preserve">Tawfeeq Tawfeeq</t>
  </si>
  <si>
    <t xml:space="preserve">mukfnu@deloitte.com</t>
  </si>
  <si>
    <t xml:space="preserve">Mukul Dudeja</t>
  </si>
  <si>
    <t xml:space="preserve">Gen AI Prompt Engineer</t>
  </si>
  <si>
    <t xml:space="preserve">muktgupta@deloitte.com</t>
  </si>
  <si>
    <t xml:space="preserve">Gupta, Mukta</t>
  </si>
  <si>
    <t xml:space="preserve">mukuk@deloitte.com</t>
  </si>
  <si>
    <t xml:space="preserve">K, Mukundhan</t>
  </si>
  <si>
    <t xml:space="preserve">mvembulu@deloitte.com</t>
  </si>
  <si>
    <t xml:space="preserve">Moorthi Vembulu</t>
  </si>
  <si>
    <t xml:space="preserve">mvura@deloitte.com</t>
  </si>
  <si>
    <t xml:space="preserve">Mallika Vura</t>
  </si>
  <si>
    <t xml:space="preserve">nabsahu@deloitte.com</t>
  </si>
  <si>
    <t xml:space="preserve">Nabojeet Sahu</t>
  </si>
  <si>
    <t xml:space="preserve">nacverma@deloitte.com</t>
  </si>
  <si>
    <t xml:space="preserve">Verma, Nachiketa</t>
  </si>
  <si>
    <t xml:space="preserve">nagkl@deloitte.com</t>
  </si>
  <si>
    <t xml:space="preserve">Nagarjun KL</t>
  </si>
  <si>
    <t xml:space="preserve">nagkumar@deloitte.com</t>
  </si>
  <si>
    <t xml:space="preserve">Bannela Kuruva, Nagendra</t>
  </si>
  <si>
    <t xml:space="preserve">najain@deloitte.com</t>
  </si>
  <si>
    <t xml:space="preserve">Naman Jain</t>
  </si>
  <si>
    <t xml:space="preserve">namrdas@deloitte.com</t>
  </si>
  <si>
    <t xml:space="preserve">Das, Namrata </t>
  </si>
  <si>
    <t xml:space="preserve">Das, Namrata</t>
  </si>
  <si>
    <t xml:space="preserve">nancgarg@deloitte.com</t>
  </si>
  <si>
    <t xml:space="preserve">Garg, Nancy</t>
  </si>
  <si>
    <t xml:space="preserve">nandkumar@deloitte.com</t>
  </si>
  <si>
    <t xml:space="preserve">Nandan Kumar</t>
  </si>
  <si>
    <t xml:space="preserve">naniy@deloitte.com</t>
  </si>
  <si>
    <t xml:space="preserve">Y Nanil Kumar</t>
  </si>
  <si>
    <t xml:space="preserve">nansarkar@deloitte.com</t>
  </si>
  <si>
    <t xml:space="preserve">Nandan Sarkar</t>
  </si>
  <si>
    <t xml:space="preserve">NANSARKAR@DELOITTE.COM</t>
  </si>
  <si>
    <t xml:space="preserve">Sarkar, Nandan</t>
  </si>
  <si>
    <t xml:space="preserve">narendreddy@deloitte.com</t>
  </si>
  <si>
    <t xml:space="preserve">Reddy, Narendra</t>
  </si>
  <si>
    <t xml:space="preserve">Narendra Reddy</t>
  </si>
  <si>
    <t xml:space="preserve">nashokkesai@deloitte.com</t>
  </si>
  <si>
    <t xml:space="preserve">Neha Ashok Kesai</t>
  </si>
  <si>
    <t xml:space="preserve">natdash@deloitte.com</t>
  </si>
  <si>
    <t xml:space="preserve">Natasha Dash</t>
  </si>
  <si>
    <t xml:space="preserve">naveesingh@DELOITTE.com</t>
  </si>
  <si>
    <t xml:space="preserve">Naveen Singh</t>
  </si>
  <si>
    <t xml:space="preserve">Singh, Naveen</t>
  </si>
  <si>
    <t xml:space="preserve">navejain@deloitte.com</t>
  </si>
  <si>
    <t xml:space="preserve">Naveen Jain</t>
  </si>
  <si>
    <t xml:space="preserve">navyar@deloitte.com</t>
  </si>
  <si>
    <t xml:space="preserve">Navyashree R</t>
  </si>
  <si>
    <t xml:space="preserve">nbhattacharjee@deloitte.com</t>
  </si>
  <si>
    <t xml:space="preserve">Bhattacharjee, Namrata</t>
  </si>
  <si>
    <t xml:space="preserve">nbhavya@deloitte.com</t>
  </si>
  <si>
    <t xml:space="preserve">Bhavya Naidu</t>
  </si>
  <si>
    <t xml:space="preserve">Bhavya Bhavya</t>
  </si>
  <si>
    <t xml:space="preserve">Bhavya, Naidu </t>
  </si>
  <si>
    <t xml:space="preserve">Bhavya, Naidu</t>
  </si>
  <si>
    <t xml:space="preserve">nchandrashekharna@deloitte.com</t>
  </si>
  <si>
    <t xml:space="preserve">Nutan Chandrashekhar Naik</t>
  </si>
  <si>
    <t xml:space="preserve">nchandu@deloitte.com</t>
  </si>
  <si>
    <t xml:space="preserve">Chandu Chandu</t>
  </si>
  <si>
    <t xml:space="preserve">ndosaj@deloitte.com</t>
  </si>
  <si>
    <t xml:space="preserve">Neha Dosaj</t>
  </si>
  <si>
    <t xml:space="preserve">nebhatia@deloitte.com</t>
  </si>
  <si>
    <t xml:space="preserve">Neelam Bhatia</t>
  </si>
  <si>
    <t xml:space="preserve">NEETC@DELOITTE.COM</t>
  </si>
  <si>
    <t xml:space="preserve">C, Neethu K</t>
  </si>
  <si>
    <t xml:space="preserve">neetc@deloitte.com</t>
  </si>
  <si>
    <t xml:space="preserve">NEETHU K C</t>
  </si>
  <si>
    <t xml:space="preserve">neeyadav@deloitte.com</t>
  </si>
  <si>
    <t xml:space="preserve">Yadav, Neelesh</t>
  </si>
  <si>
    <t xml:space="preserve">Neelesh Yadav</t>
  </si>
  <si>
    <t xml:space="preserve">nehabhatt@deloitte.com</t>
  </si>
  <si>
    <t xml:space="preserve">Bhatt, Neha</t>
  </si>
  <si>
    <t xml:space="preserve">Neha Bhatt</t>
  </si>
  <si>
    <t xml:space="preserve">nehachoudhary@deloitte.com</t>
  </si>
  <si>
    <t xml:space="preserve">Neha Choudhary</t>
  </si>
  <si>
    <t xml:space="preserve">nehaljain7@deloitte.com</t>
  </si>
  <si>
    <t xml:space="preserve">Nehal Jain</t>
  </si>
  <si>
    <t xml:space="preserve">nehbakshi@deloitte.com</t>
  </si>
  <si>
    <t xml:space="preserve">Neha Bakshi</t>
  </si>
  <si>
    <t xml:space="preserve">nesehrawat@deloitte.com</t>
  </si>
  <si>
    <t xml:space="preserve">Neha Sehrawat</t>
  </si>
  <si>
    <t xml:space="preserve">ngurajala@deloitte.com</t>
  </si>
  <si>
    <t xml:space="preserve">Nirosha Gurajala</t>
  </si>
  <si>
    <t xml:space="preserve">nharkara@deloitte.com</t>
  </si>
  <si>
    <t xml:space="preserve">Harkara, Nitignya</t>
  </si>
  <si>
    <t xml:space="preserve">nibabu@deloitte.com</t>
  </si>
  <si>
    <t xml:space="preserve">Vinod, Nisha</t>
  </si>
  <si>
    <t xml:space="preserve">Nisha Vinod</t>
  </si>
  <si>
    <t xml:space="preserve">nidhfnu@deloitte.com</t>
  </si>
  <si>
    <t xml:space="preserve">Kasture, Nidhi</t>
  </si>
  <si>
    <t xml:space="preserve">nikhaneja@deloitte.com</t>
  </si>
  <si>
    <t xml:space="preserve">Nitin Khaneja</t>
  </si>
  <si>
    <t xml:space="preserve">nikhilbansal5@deloitte.com</t>
  </si>
  <si>
    <t xml:space="preserve">Nikhil Bansal</t>
  </si>
  <si>
    <t xml:space="preserve">nikhrane@deloitte.com</t>
  </si>
  <si>
    <t xml:space="preserve">Rane, Nikhil</t>
  </si>
  <si>
    <t xml:space="preserve">nikini@deloitte.com</t>
  </si>
  <si>
    <t xml:space="preserve">Kini, Nikhil</t>
  </si>
  <si>
    <t xml:space="preserve">Nikhil Kini</t>
  </si>
  <si>
    <t xml:space="preserve">nipuri@deloitte.com</t>
  </si>
  <si>
    <t xml:space="preserve">Dhawan, Niharika</t>
  </si>
  <si>
    <t xml:space="preserve">nirajendran@deloitte.com</t>
  </si>
  <si>
    <t xml:space="preserve">Nisanth Rajendran</t>
  </si>
  <si>
    <t xml:space="preserve">nirthakkar@deloitte.com</t>
  </si>
  <si>
    <t xml:space="preserve">Thakkar, Nirmal</t>
  </si>
  <si>
    <t xml:space="preserve">nirtiwari@deloitte.com</t>
  </si>
  <si>
    <t xml:space="preserve">Nirbhay Tiwari</t>
  </si>
  <si>
    <t xml:space="preserve">nisgautam@deloitte.com</t>
  </si>
  <si>
    <t xml:space="preserve">Gautam, Nishit</t>
  </si>
  <si>
    <t xml:space="preserve">nishagupta@deloitte.com</t>
  </si>
  <si>
    <t xml:space="preserve">Gupta, Nisha</t>
  </si>
  <si>
    <t xml:space="preserve">Nisha Gupta</t>
  </si>
  <si>
    <t xml:space="preserve">nishantkumar32@deloitte.com</t>
  </si>
  <si>
    <t xml:space="preserve">Kumar, Nishant</t>
  </si>
  <si>
    <t xml:space="preserve">nishegupta@deloitte.com</t>
  </si>
  <si>
    <t xml:space="preserve">Nisheeth Gupta</t>
  </si>
  <si>
    <t xml:space="preserve">nisinghal@deloitte.com</t>
  </si>
  <si>
    <t xml:space="preserve">Singhal, Nitendra</t>
  </si>
  <si>
    <t xml:space="preserve">Nitendra Singhal</t>
  </si>
  <si>
    <t xml:space="preserve">nisrajan@deloitte.com</t>
  </si>
  <si>
    <t xml:space="preserve">Nisha Rajan</t>
  </si>
  <si>
    <t xml:space="preserve">niteshpatil@deloitte.com</t>
  </si>
  <si>
    <t xml:space="preserve">Nitesh Patil</t>
  </si>
  <si>
    <t xml:space="preserve">nitingarg@deloitte.com</t>
  </si>
  <si>
    <t xml:space="preserve">Nitin Garg</t>
  </si>
  <si>
    <t xml:space="preserve">nitingoyal7@deloitte.com</t>
  </si>
  <si>
    <t xml:space="preserve">Nitin Goyal</t>
  </si>
  <si>
    <t xml:space="preserve">nitisbhardwaj@deloitte.com</t>
  </si>
  <si>
    <t xml:space="preserve">Bhardwaj, Nitish</t>
  </si>
  <si>
    <t xml:space="preserve">nitishkumar42@deloitte.com</t>
  </si>
  <si>
    <t xml:space="preserve">Kumar, Nitish</t>
  </si>
  <si>
    <t xml:space="preserve">nitish kumar</t>
  </si>
  <si>
    <t xml:space="preserve">Nitish Kumar</t>
  </si>
  <si>
    <t xml:space="preserve">nitpandey@deloitte.com</t>
  </si>
  <si>
    <t xml:space="preserve">Nitin Pandey</t>
  </si>
  <si>
    <t xml:space="preserve">nivvijayakumar@deloitte.com</t>
  </si>
  <si>
    <t xml:space="preserve">Nivedha Vijayakumar</t>
  </si>
  <si>
    <t xml:space="preserve">nkaushik@deloitte.com</t>
  </si>
  <si>
    <t xml:space="preserve">Kaushik, Namrata</t>
  </si>
  <si>
    <t xml:space="preserve">nkumbum@deloitte.com</t>
  </si>
  <si>
    <t xml:space="preserve">Nagarjuna Reddy Kumbum</t>
  </si>
  <si>
    <t xml:space="preserve">nmadduri@deloitte.com</t>
  </si>
  <si>
    <t xml:space="preserve">Nataraj Madduri</t>
  </si>
  <si>
    <t xml:space="preserve">nmanik@deloitte.com</t>
  </si>
  <si>
    <t xml:space="preserve">Nibedeeta Manik</t>
  </si>
  <si>
    <t xml:space="preserve">nnavyavani@deloitte.com</t>
  </si>
  <si>
    <t xml:space="preserve">Navyavani Devisetti</t>
  </si>
  <si>
    <t xml:space="preserve">nningaraddi@deloitte.com</t>
  </si>
  <si>
    <t xml:space="preserve">Nitesh Ningareddi</t>
  </si>
  <si>
    <t xml:space="preserve">nniranjankumar@deloitte.com</t>
  </si>
  <si>
    <t xml:space="preserve">Niranjan Niranjan Kumar</t>
  </si>
  <si>
    <t xml:space="preserve">npatidar@deloitte.com</t>
  </si>
  <si>
    <t xml:space="preserve">niranjan patidar</t>
  </si>
  <si>
    <t xml:space="preserve">Niranjan patidar</t>
  </si>
  <si>
    <t xml:space="preserve">nrajmohan@deloitte.com</t>
  </si>
  <si>
    <t xml:space="preserve">Narla, Raj Mohan</t>
  </si>
  <si>
    <t xml:space="preserve">nrathod@deloitte.com</t>
  </si>
  <si>
    <t xml:space="preserve">Ninad Rathod</t>
  </si>
  <si>
    <t xml:space="preserve">Ninad Bharat Rathod</t>
  </si>
  <si>
    <t xml:space="preserve">nrupamdalela@deloitte.com</t>
  </si>
  <si>
    <t xml:space="preserve">Nikita Dalela</t>
  </si>
  <si>
    <t xml:space="preserve">Nikita Rupam Dalela</t>
  </si>
  <si>
    <t xml:space="preserve">nsachdeva@deloitte.com</t>
  </si>
  <si>
    <t xml:space="preserve">NANCY SACHDEVA</t>
  </si>
  <si>
    <t xml:space="preserve">nsaisrivasanthi@deloitte.com</t>
  </si>
  <si>
    <t xml:space="preserve">Sai Sri Vasanthi, Nidumolu</t>
  </si>
  <si>
    <t xml:space="preserve">nshivajipawar@deloitte.com</t>
  </si>
  <si>
    <t xml:space="preserve">Nitin Shivaji Pawar</t>
  </si>
  <si>
    <t xml:space="preserve">nsingal@deloitte.com</t>
  </si>
  <si>
    <t xml:space="preserve">Singal, Niharika</t>
  </si>
  <si>
    <t xml:space="preserve">nsripramodkrishna@deloitte.com</t>
  </si>
  <si>
    <t xml:space="preserve">Sri Pramod Krishna, Nanduru </t>
  </si>
  <si>
    <t xml:space="preserve">Sri Pramod Krishna, Nanduru</t>
  </si>
  <si>
    <t xml:space="preserve">nvenkataramayya@deloitte.com</t>
  </si>
  <si>
    <t xml:space="preserve">Venkata Ramayya Nadipalli</t>
  </si>
  <si>
    <t xml:space="preserve">Venkat Venkata Ramayya</t>
  </si>
  <si>
    <t xml:space="preserve">obadole@deloitte.com</t>
  </si>
  <si>
    <t xml:space="preserve">Ojal Badole</t>
  </si>
  <si>
    <t xml:space="preserve">omahipatideshpand@deloitte.com</t>
  </si>
  <si>
    <t xml:space="preserve">Mahipati Deshpande, Omkar</t>
  </si>
  <si>
    <t xml:space="preserve">oshivpuje@deloitte.com</t>
  </si>
  <si>
    <t xml:space="preserve">Shivpuje, Om</t>
  </si>
  <si>
    <t xml:space="preserve">pabdulgani@deloitte.com</t>
  </si>
  <si>
    <t xml:space="preserve">Abdul Gani, Peer Mohamed</t>
  </si>
  <si>
    <t xml:space="preserve">pabdulgani@DELOITTE.com</t>
  </si>
  <si>
    <t xml:space="preserve">pacheruku@deloitte.com</t>
  </si>
  <si>
    <t xml:space="preserve">Cheruku, Parthip</t>
  </si>
  <si>
    <t xml:space="preserve">pagarwala@deloitte.com</t>
  </si>
  <si>
    <t xml:space="preserve">Agarwala, Palak</t>
  </si>
  <si>
    <t xml:space="preserve">Palak Agarwala</t>
  </si>
  <si>
    <t xml:space="preserve">pagreddy@deloitte.com</t>
  </si>
  <si>
    <t xml:space="preserve">Reddy, Pagidal Venkata Subba</t>
  </si>
  <si>
    <t xml:space="preserve">pajerambhai@deloitte.com</t>
  </si>
  <si>
    <t xml:space="preserve">PATEL ANAND JERAMBHAI</t>
  </si>
  <si>
    <t xml:space="preserve">Anand Jerambhai</t>
  </si>
  <si>
    <t xml:space="preserve">pakalidindi@deloitte.com</t>
  </si>
  <si>
    <t xml:space="preserve">Kalidindi, Pavan </t>
  </si>
  <si>
    <t xml:space="preserve">Kalidindi, Pavan</t>
  </si>
  <si>
    <t xml:space="preserve">Pavan Rama Sri Satya Pavan Varma</t>
  </si>
  <si>
    <t xml:space="preserve">pakashpattanaik@deloitte.com</t>
  </si>
  <si>
    <t xml:space="preserve">PRIYA AKASH PATTANAIK</t>
  </si>
  <si>
    <t xml:space="preserve">Akash Pattanaik</t>
  </si>
  <si>
    <t xml:space="preserve">Pattanaik, Priya Akash</t>
  </si>
  <si>
    <t xml:space="preserve">pakumars@deloitte.com</t>
  </si>
  <si>
    <t xml:space="preserve">Pavan Kumar S</t>
  </si>
  <si>
    <t xml:space="preserve">palsawant@deloitte.com</t>
  </si>
  <si>
    <t xml:space="preserve">Sawant, Palaash</t>
  </si>
  <si>
    <t xml:space="preserve">pambekar@deloitte.com</t>
  </si>
  <si>
    <t xml:space="preserve">Prathamesh Ambekar</t>
  </si>
  <si>
    <t xml:space="preserve">pankaagarwal@deloitte.com</t>
  </si>
  <si>
    <t xml:space="preserve">pankaj kumar agarwal</t>
  </si>
  <si>
    <t xml:space="preserve">L55 - Delivery Architect, Data Engineering and Conversion Technical Solutions</t>
  </si>
  <si>
    <t xml:space="preserve">pankatiwari@deloitte.com</t>
  </si>
  <si>
    <t xml:space="preserve">Pankaj Tiwari</t>
  </si>
  <si>
    <t xml:space="preserve">pardekumar@deloitte.com</t>
  </si>
  <si>
    <t xml:space="preserve">Pardeep Kumar</t>
  </si>
  <si>
    <t xml:space="preserve">Node js</t>
  </si>
  <si>
    <t xml:space="preserve">Pardeep Kumar Kumar</t>
  </si>
  <si>
    <t xml:space="preserve">parithas@deloitte.com</t>
  </si>
  <si>
    <t xml:space="preserve">Arithas, Priyanga</t>
  </si>
  <si>
    <t xml:space="preserve">Priyanga Arithas</t>
  </si>
  <si>
    <t xml:space="preserve">parkulkarni@deloitte.com</t>
  </si>
  <si>
    <t xml:space="preserve">Kulkarni, Partha</t>
  </si>
  <si>
    <t xml:space="preserve">Partha Kulkarni</t>
  </si>
  <si>
    <t xml:space="preserve">parora@deloitte.com</t>
  </si>
  <si>
    <t xml:space="preserve">Arora, Prerit</t>
  </si>
  <si>
    <t xml:space="preserve">parsmishra@deloitte.com</t>
  </si>
  <si>
    <t xml:space="preserve">Mishra, Parsuram</t>
  </si>
  <si>
    <t xml:space="preserve">Parsuram Mishra</t>
  </si>
  <si>
    <t xml:space="preserve">pavkonduru@deloitte.com</t>
  </si>
  <si>
    <t xml:space="preserve">Konduru, Pavan Kumar </t>
  </si>
  <si>
    <t xml:space="preserve">Konduru, Pavan Kumar</t>
  </si>
  <si>
    <t xml:space="preserve">pavramesh@deloitte.com</t>
  </si>
  <si>
    <t xml:space="preserve">Pavithra Ramesh</t>
  </si>
  <si>
    <t xml:space="preserve">pavsaxena@deloitte.com</t>
  </si>
  <si>
    <t xml:space="preserve">Saxena, Pavni</t>
  </si>
  <si>
    <t xml:space="preserve">payagarwal@deloitte.com</t>
  </si>
  <si>
    <t xml:space="preserve">Payal Agarwal</t>
  </si>
  <si>
    <t xml:space="preserve">pbalasubramaniam@deloitte.com</t>
  </si>
  <si>
    <t xml:space="preserve">Balasubramaniam, Praveen Raj</t>
  </si>
  <si>
    <t xml:space="preserve">'+918095485175</t>
  </si>
  <si>
    <t xml:space="preserve">Praveen Balasubramaniam</t>
  </si>
  <si>
    <t xml:space="preserve">Oracle OBIA</t>
  </si>
  <si>
    <t xml:space="preserve">pdakshinakabat@deloitte.com</t>
  </si>
  <si>
    <t xml:space="preserve">Prajnashree Dakshinakabat</t>
  </si>
  <si>
    <t xml:space="preserve">pdevisarathchandr@deloitte.com</t>
  </si>
  <si>
    <t xml:space="preserve">PUVVULA DEVI SARATH CHANDRA</t>
  </si>
  <si>
    <t xml:space="preserve">pdhulipala@deloitte.com</t>
  </si>
  <si>
    <t xml:space="preserve">Dhulipala, Prathyusha</t>
  </si>
  <si>
    <t xml:space="preserve">Prathyusha Dhulipala</t>
  </si>
  <si>
    <t xml:space="preserve">peraviteja@deloitte.com</t>
  </si>
  <si>
    <t xml:space="preserve">Raviteja Raviteja</t>
  </si>
  <si>
    <t xml:space="preserve">pgurav@deloitte.com</t>
  </si>
  <si>
    <t xml:space="preserve">Prapti Gurav</t>
  </si>
  <si>
    <t xml:space="preserve">phavargi@deloitte.com</t>
  </si>
  <si>
    <t xml:space="preserve">Havargi, Praveen</t>
  </si>
  <si>
    <t xml:space="preserve">phchalla@deloitte.com</t>
  </si>
  <si>
    <t xml:space="preserve">Phanisri Challa</t>
  </si>
  <si>
    <t xml:space="preserve">phunaidkhanhabibk@deloitte.com</t>
  </si>
  <si>
    <t xml:space="preserve">Hunaidkhan Pathan Hunaidkhan Habibkhan</t>
  </si>
  <si>
    <t xml:space="preserve">OpenAI Engineering</t>
  </si>
  <si>
    <t xml:space="preserve">Hunaidkhan Habibkhan, Pathan</t>
  </si>
  <si>
    <t xml:space="preserve">piranjan@deloitte.com</t>
  </si>
  <si>
    <t xml:space="preserve">Piyush Ranjan</t>
  </si>
  <si>
    <t xml:space="preserve">piyushkumar9@deloitte.com</t>
  </si>
  <si>
    <t xml:space="preserve">Piyush Kumar</t>
  </si>
  <si>
    <t xml:space="preserve">pkowkuntla@deloitte.com</t>
  </si>
  <si>
    <t xml:space="preserve">Pavan kumar Kowkuntla</t>
  </si>
  <si>
    <t xml:space="preserve">Microsoft SSMS</t>
  </si>
  <si>
    <t xml:space="preserve">Pavan Kumar Kowkuntla</t>
  </si>
  <si>
    <t xml:space="preserve">pkumarpadhy@deloitte.com</t>
  </si>
  <si>
    <t xml:space="preserve">Pradeep Kumar Padhy</t>
  </si>
  <si>
    <t xml:space="preserve">pmahato@deloitte.com</t>
  </si>
  <si>
    <t xml:space="preserve">Priyanka Mahato</t>
  </si>
  <si>
    <t xml:space="preserve">pmallya@deloitte.com</t>
  </si>
  <si>
    <t xml:space="preserve">Mallya, Pritheesh</t>
  </si>
  <si>
    <t xml:space="preserve">Pritheesh Mallya</t>
  </si>
  <si>
    <t xml:space="preserve">pmandarapu@deloitte.com</t>
  </si>
  <si>
    <t xml:space="preserve">Prasanna Mandarapu</t>
  </si>
  <si>
    <t xml:space="preserve">pmarthala@deloitte.com</t>
  </si>
  <si>
    <t xml:space="preserve">Pradeep Reddy Marthala</t>
  </si>
  <si>
    <t xml:space="preserve">Marthala, Pradeep Reddy</t>
  </si>
  <si>
    <t xml:space="preserve">Docker</t>
  </si>
  <si>
    <t xml:space="preserve">NV AI</t>
  </si>
  <si>
    <t xml:space="preserve">AI Infra</t>
  </si>
  <si>
    <t xml:space="preserve">pmohinder@deloitte.com</t>
  </si>
  <si>
    <t xml:space="preserve">Mohinder, Preeti</t>
  </si>
  <si>
    <t xml:space="preserve">pmridula@deloitte.com</t>
  </si>
  <si>
    <t xml:space="preserve">Mridula Pandu</t>
  </si>
  <si>
    <t xml:space="preserve">pnacharaju@deloitte.com</t>
  </si>
  <si>
    <t xml:space="preserve">Preetham Nacharaju</t>
  </si>
  <si>
    <t xml:space="preserve">ponyadav@deloitte.com</t>
  </si>
  <si>
    <t xml:space="preserve">Rajasekhar Yadav</t>
  </si>
  <si>
    <t xml:space="preserve">poojain@deloitte.com</t>
  </si>
  <si>
    <t xml:space="preserve">Pooja Jain</t>
  </si>
  <si>
    <t xml:space="preserve">poojasingh4@deloitte.com</t>
  </si>
  <si>
    <t xml:space="preserve">Pooja Singh</t>
  </si>
  <si>
    <t xml:space="preserve">poojnayak@deloitte.com</t>
  </si>
  <si>
    <t xml:space="preserve">Pooja Nayak</t>
  </si>
  <si>
    <t xml:space="preserve">posengupta@deloitte.com</t>
  </si>
  <si>
    <t xml:space="preserve">Pooja Sengupta</t>
  </si>
  <si>
    <t xml:space="preserve">posrikanth@deloitte.com</t>
  </si>
  <si>
    <t xml:space="preserve">Srikanth, Porandla</t>
  </si>
  <si>
    <t xml:space="preserve">Srikanth</t>
  </si>
  <si>
    <t xml:space="preserve">Porandla Srikanth</t>
  </si>
  <si>
    <t xml:space="preserve">pouppal@deloitte.com</t>
  </si>
  <si>
    <t xml:space="preserve">Uppal, Pomil</t>
  </si>
  <si>
    <t xml:space="preserve">ppallavisunil@deloitte.com</t>
  </si>
  <si>
    <t xml:space="preserve">Pallavi Patil</t>
  </si>
  <si>
    <t xml:space="preserve">Pallavi Pallavi Sunil</t>
  </si>
  <si>
    <t xml:space="preserve"> 91+9860415987</t>
  </si>
  <si>
    <t xml:space="preserve">ppranusha@deloitte.com</t>
  </si>
  <si>
    <t xml:space="preserve">Pranusha Chirravuri</t>
  </si>
  <si>
    <t xml:space="preserve">ppravinkumarshah@deloitte.com</t>
  </si>
  <si>
    <t xml:space="preserve">Prashali Pravinkumar Shah</t>
  </si>
  <si>
    <t xml:space="preserve">ppreethi2@deloitte.com</t>
  </si>
  <si>
    <t xml:space="preserve">Preethi, P</t>
  </si>
  <si>
    <t xml:space="preserve">NoSQL</t>
  </si>
  <si>
    <t xml:space="preserve">ppriyadarshi@deloitte.com</t>
  </si>
  <si>
    <t xml:space="preserve">Priyadarshi, Prashant</t>
  </si>
  <si>
    <t xml:space="preserve">Prashant Priyadarshi</t>
  </si>
  <si>
    <t xml:space="preserve">ppriyanka3@deloitte.com</t>
  </si>
  <si>
    <t xml:space="preserve">Priyanka P</t>
  </si>
  <si>
    <t xml:space="preserve">praditya@deloitte.com</t>
  </si>
  <si>
    <t xml:space="preserve">Prakhar Aditya</t>
  </si>
  <si>
    <t xml:space="preserve">pradysingh@deloitte.com</t>
  </si>
  <si>
    <t xml:space="preserve">Singh, Pradyumn</t>
  </si>
  <si>
    <t xml:space="preserve">pragasinha@deloitte.com</t>
  </si>
  <si>
    <t xml:space="preserve">Pragati Sinha</t>
  </si>
  <si>
    <t xml:space="preserve">Sinha, Pragati </t>
  </si>
  <si>
    <t xml:space="preserve">prahate@deloitte.com</t>
  </si>
  <si>
    <t xml:space="preserve">Prerna Rahate</t>
  </si>
  <si>
    <t xml:space="preserve">prajkiran@deloitte.com</t>
  </si>
  <si>
    <t xml:space="preserve">Raj Kiran, raj kiran</t>
  </si>
  <si>
    <t xml:space="preserve">raj kiran Raj Kiran</t>
  </si>
  <si>
    <t xml:space="preserve">praksinha@deloitte.com</t>
  </si>
  <si>
    <t xml:space="preserve">Sinha, Prakhar</t>
  </si>
  <si>
    <t xml:space="preserve">pranavsharma83@deloitte.com</t>
  </si>
  <si>
    <t xml:space="preserve">Pranav Sharma</t>
  </si>
  <si>
    <t xml:space="preserve">Sharma, Pranav </t>
  </si>
  <si>
    <t xml:space="preserve">pranprakash@deloitte.com</t>
  </si>
  <si>
    <t xml:space="preserve">Pranshu, Prakash </t>
  </si>
  <si>
    <t xml:space="preserve">pranroy@deloitte.com</t>
  </si>
  <si>
    <t xml:space="preserve">Roy, Pranoy</t>
  </si>
  <si>
    <t xml:space="preserve">PRANROY@DELOITTE.COM</t>
  </si>
  <si>
    <t xml:space="preserve">Panoy Roy</t>
  </si>
  <si>
    <t xml:space="preserve">pranshsaxena@deloitte.com</t>
  </si>
  <si>
    <t xml:space="preserve">Pransh Saxena</t>
  </si>
  <si>
    <t xml:space="preserve">prasdixit@deloitte.com</t>
  </si>
  <si>
    <t xml:space="preserve">Prashanth Dixit</t>
  </si>
  <si>
    <t xml:space="preserve">Core PV Business</t>
  </si>
  <si>
    <t xml:space="preserve">Elevate Safety</t>
  </si>
  <si>
    <t xml:space="preserve">prashasingh@deloitte.com</t>
  </si>
  <si>
    <t xml:space="preserve">Singh, Prashant Kumar</t>
  </si>
  <si>
    <t xml:space="preserve">Prashant Singh</t>
  </si>
  <si>
    <t xml:space="preserve">prashrivastava@deloitte.com</t>
  </si>
  <si>
    <t xml:space="preserve">prakhar shrivastava</t>
  </si>
  <si>
    <t xml:space="preserve">prateesingh@deloitte.com</t>
  </si>
  <si>
    <t xml:space="preserve">Singh, Prateek</t>
  </si>
  <si>
    <t xml:space="preserve">praveenjkumar@deloitte.com</t>
  </si>
  <si>
    <t xml:space="preserve">Jami Praveen Kumar</t>
  </si>
  <si>
    <t xml:space="preserve">pravkota@deloitte.com</t>
  </si>
  <si>
    <t xml:space="preserve">Pravallika Kota</t>
  </si>
  <si>
    <t xml:space="preserve">prbogra@deloitte.com</t>
  </si>
  <si>
    <t xml:space="preserve">Bogra, Priya</t>
  </si>
  <si>
    <t xml:space="preserve">predatta@deloitte.com</t>
  </si>
  <si>
    <t xml:space="preserve">Preeti Datta</t>
  </si>
  <si>
    <t xml:space="preserve">prejain@deloitte.com</t>
  </si>
  <si>
    <t xml:space="preserve">Preeti Jain</t>
  </si>
  <si>
    <t xml:space="preserve">prekmishra@deloitte.com</t>
  </si>
  <si>
    <t xml:space="preserve">Mishra, Preksha</t>
  </si>
  <si>
    <t xml:space="preserve">PREKRISHNAN@DELOITTE.COM</t>
  </si>
  <si>
    <t xml:space="preserve">Krishnan, prem</t>
  </si>
  <si>
    <t xml:space="preserve">premprakash@deloitte.com</t>
  </si>
  <si>
    <t xml:space="preserve">Prem Prakash</t>
  </si>
  <si>
    <t xml:space="preserve">Product Design</t>
  </si>
  <si>
    <t xml:space="preserve">prenaik@deloitte.com</t>
  </si>
  <si>
    <t xml:space="preserve">Naik, Premanand chandrakant </t>
  </si>
  <si>
    <t xml:space="preserve">Naik, Premanand chandrakant</t>
  </si>
  <si>
    <t xml:space="preserve">pribose@deloitte.com</t>
  </si>
  <si>
    <t xml:space="preserve">Pritam Bose</t>
  </si>
  <si>
    <t xml:space="preserve">Bose, Pritam</t>
  </si>
  <si>
    <t xml:space="preserve">prinfnu@deloitte.com</t>
  </si>
  <si>
    <t xml:space="preserve">Fnu, Prince</t>
  </si>
  <si>
    <t xml:space="preserve">Prince Fnu</t>
  </si>
  <si>
    <t xml:space="preserve">prisagar@deloitte.com</t>
  </si>
  <si>
    <t xml:space="preserve">priyanka sagar</t>
  </si>
  <si>
    <t xml:space="preserve">pritnag@deloitte.com</t>
  </si>
  <si>
    <t xml:space="preserve">Prithvi Nag</t>
  </si>
  <si>
    <t xml:space="preserve">pritripathy@deloitte.com</t>
  </si>
  <si>
    <t xml:space="preserve">Tripathy, Priyabrata</t>
  </si>
  <si>
    <t xml:space="preserve">'+919819797442</t>
  </si>
  <si>
    <t xml:space="preserve">priyajain9@deloitte.com</t>
  </si>
  <si>
    <t xml:space="preserve">Priya Jain</t>
  </si>
  <si>
    <t xml:space="preserve">Jain, Priya</t>
  </si>
  <si>
    <t xml:space="preserve">priyankasharma@deloitte.com</t>
  </si>
  <si>
    <t xml:space="preserve">Priyanka Sharma</t>
  </si>
  <si>
    <t xml:space="preserve">priyankb@deloitte.com</t>
  </si>
  <si>
    <t xml:space="preserve">Priyanka Baskaran</t>
  </si>
  <si>
    <t xml:space="preserve">priyankkgupta@deloitte.com</t>
  </si>
  <si>
    <t xml:space="preserve">Gupta, Priyank Kumar</t>
  </si>
  <si>
    <t xml:space="preserve">priyankpandey@deloitte.com</t>
  </si>
  <si>
    <t xml:space="preserve">Priyanka Pandey</t>
  </si>
  <si>
    <t xml:space="preserve">MS SQL Server</t>
  </si>
  <si>
    <t xml:space="preserve">priyasharma7@deloitte.com</t>
  </si>
  <si>
    <t xml:space="preserve">Priya Sharma</t>
  </si>
  <si>
    <t xml:space="preserve">priyjose@deloitte.com</t>
  </si>
  <si>
    <t xml:space="preserve">Priyanka Jose</t>
  </si>
  <si>
    <t xml:space="preserve">priypadmanabhan@deloitte.com</t>
  </si>
  <si>
    <t xml:space="preserve">Priya Padmanabhan</t>
  </si>
  <si>
    <t xml:space="preserve">PRIYPADMANABHAN@DELOITTE.COM</t>
  </si>
  <si>
    <t xml:space="preserve">Padmanabhan, Priya</t>
  </si>
  <si>
    <t xml:space="preserve">prkura@deloitte.com</t>
  </si>
  <si>
    <t xml:space="preserve">Pragathi Kura</t>
  </si>
  <si>
    <t xml:space="preserve">protyghosh@deloitte.com</t>
  </si>
  <si>
    <t xml:space="preserve">Protyush</t>
  </si>
  <si>
    <t xml:space="preserve">prprabhash@deloitte.com</t>
  </si>
  <si>
    <t xml:space="preserve">Priyanka Prabhash</t>
  </si>
  <si>
    <t xml:space="preserve">Power Apps</t>
  </si>
  <si>
    <t xml:space="preserve">prsircar@deloitte.com</t>
  </si>
  <si>
    <t xml:space="preserve">Sircar, Prosenjit</t>
  </si>
  <si>
    <t xml:space="preserve">Prosenjit Sircar</t>
  </si>
  <si>
    <t xml:space="preserve">prupeshbalasaheb@deloitte.com</t>
  </si>
  <si>
    <t xml:space="preserve">Rupesh Balasaheb</t>
  </si>
  <si>
    <t xml:space="preserve">psadhukhan@deloitte.com</t>
  </si>
  <si>
    <t xml:space="preserve">Purbendu Sadhukhan</t>
  </si>
  <si>
    <t xml:space="preserve">Rest API</t>
  </si>
  <si>
    <t xml:space="preserve">psamanta@deloitte.com</t>
  </si>
  <si>
    <t xml:space="preserve">Samanta, Parthasakha</t>
  </si>
  <si>
    <t xml:space="preserve">Parthasakha Samanta</t>
  </si>
  <si>
    <t xml:space="preserve">psathuluri@deloitte.com</t>
  </si>
  <si>
    <t xml:space="preserve">Sathuluri, Prasanthi</t>
  </si>
  <si>
    <t xml:space="preserve">psatishmahajan@deloitte.com</t>
  </si>
  <si>
    <t xml:space="preserve">Pranav Mahajan</t>
  </si>
  <si>
    <t xml:space="preserve">pseethepalli@deloitte.com</t>
  </si>
  <si>
    <t xml:space="preserve">Seethepalli, Seshu Pavan Kumar</t>
  </si>
  <si>
    <t xml:space="preserve">'+919550778282</t>
  </si>
  <si>
    <t xml:space="preserve">Seshu Pavan Kumar Seethepalli</t>
  </si>
  <si>
    <t xml:space="preserve">psethi@DELOITTE.com</t>
  </si>
  <si>
    <t xml:space="preserve">Sethi, Priyanka</t>
  </si>
  <si>
    <t xml:space="preserve">L55 - Manager, Strategy, Growth, and Transformation</t>
  </si>
  <si>
    <t xml:space="preserve">pshankarmhetre@deloitte.com</t>
  </si>
  <si>
    <t xml:space="preserve">Priyanka Shankar Mhetre</t>
  </si>
  <si>
    <t xml:space="preserve">psowseel@deloitte.com</t>
  </si>
  <si>
    <t xml:space="preserve">Pasumarthi Sowseel</t>
  </si>
  <si>
    <t xml:space="preserve">psrinath@deloitte.com</t>
  </si>
  <si>
    <t xml:space="preserve">S, Prajwal</t>
  </si>
  <si>
    <t xml:space="preserve">Prajwal Srinath</t>
  </si>
  <si>
    <t xml:space="preserve">pssawant@deloitte.com</t>
  </si>
  <si>
    <t xml:space="preserve">Sameer Sawant, Pallavi</t>
  </si>
  <si>
    <t xml:space="preserve">psudhir@deloitte.com</t>
  </si>
  <si>
    <t xml:space="preserve">Piyush Sudhir</t>
  </si>
  <si>
    <t xml:space="preserve">pswarnkar@deloitte.com</t>
  </si>
  <si>
    <t xml:space="preserve">Swarnkar, Puneet</t>
  </si>
  <si>
    <t xml:space="preserve">pukuricheti@deloitte.com</t>
  </si>
  <si>
    <t xml:space="preserve">Pujitha Kuricheti</t>
  </si>
  <si>
    <t xml:space="preserve">pulkjain@deloitte.com</t>
  </si>
  <si>
    <t xml:space="preserve">Pulkit Jain</t>
  </si>
  <si>
    <t xml:space="preserve">punechaturvedi@deloitte.com</t>
  </si>
  <si>
    <t xml:space="preserve">Puneet Chaturvedi</t>
  </si>
  <si>
    <t xml:space="preserve">puneekhandelwal@deloitte.com</t>
  </si>
  <si>
    <t xml:space="preserve">Puneet Khandelwal</t>
  </si>
  <si>
    <t xml:space="preserve">Business Strategy / Tech Strategy</t>
  </si>
  <si>
    <t xml:space="preserve">pvasantpawar@deloitte.com</t>
  </si>
  <si>
    <t xml:space="preserve">Vasant Pawar, Prerana</t>
  </si>
  <si>
    <t xml:space="preserve">pvegesna@deloitte.com</t>
  </si>
  <si>
    <t xml:space="preserve">Vegesna, Pavan Varma</t>
  </si>
  <si>
    <t xml:space="preserve">pvenkatahemalatha@deloitte.com</t>
  </si>
  <si>
    <t xml:space="preserve">Paravada Venkata Hema Latha</t>
  </si>
  <si>
    <t xml:space="preserve">pvidyavani@deloitte.com</t>
  </si>
  <si>
    <t xml:space="preserve">Vidya Vani, Palli</t>
  </si>
  <si>
    <t xml:space="preserve">rachagarwal@deloitte.com</t>
  </si>
  <si>
    <t xml:space="preserve">Rachit Agarwal</t>
  </si>
  <si>
    <t xml:space="preserve">radhgupta@deloitte.com</t>
  </si>
  <si>
    <t xml:space="preserve">Radhika Kakar</t>
  </si>
  <si>
    <t xml:space="preserve">radjonnalagadda@deloitte.com</t>
  </si>
  <si>
    <t xml:space="preserve">Jonnalagadda Radhika</t>
  </si>
  <si>
    <t xml:space="preserve">ragbhatia@deloitte.com</t>
  </si>
  <si>
    <t xml:space="preserve">Ragina Bhatia</t>
  </si>
  <si>
    <t xml:space="preserve">ragrawalsit@deloitte.com</t>
  </si>
  <si>
    <t xml:space="preserve">rahuldubey@deloitte.com</t>
  </si>
  <si>
    <t xml:space="preserve">Rahul Dubey</t>
  </si>
  <si>
    <t xml:space="preserve">rahulgarg@deloitte.com</t>
  </si>
  <si>
    <t xml:space="preserve">Rahul Garg</t>
  </si>
  <si>
    <t xml:space="preserve">Garg, Rahul</t>
  </si>
  <si>
    <t xml:space="preserve">rahulgupta57@deloitte.com</t>
  </si>
  <si>
    <t xml:space="preserve">Rahul Gupta</t>
  </si>
  <si>
    <t xml:space="preserve">Gupta, Rahul</t>
  </si>
  <si>
    <t xml:space="preserve">rahulkumar58@deloitte.com</t>
  </si>
  <si>
    <t xml:space="preserve">Rahul Kumar</t>
  </si>
  <si>
    <t xml:space="preserve">Oracle BI Publisher</t>
  </si>
  <si>
    <t xml:space="preserve">rahulrgoel@deloitte.com</t>
  </si>
  <si>
    <t xml:space="preserve">Goel, Rahul</t>
  </si>
  <si>
    <t xml:space="preserve">rahvishwakarma@deloitte.com</t>
  </si>
  <si>
    <t xml:space="preserve">Vishwakarma, Rahul </t>
  </si>
  <si>
    <t xml:space="preserve">raimathew@deloitte.com</t>
  </si>
  <si>
    <t xml:space="preserve">Mathew, Raina</t>
  </si>
  <si>
    <t xml:space="preserve">rajaanand@deloitte.com</t>
  </si>
  <si>
    <t xml:space="preserve">Anand, Rajat</t>
  </si>
  <si>
    <t xml:space="preserve">rajaramesh@deloitte.com</t>
  </si>
  <si>
    <t xml:space="preserve">Rajan Ramesh</t>
  </si>
  <si>
    <t xml:space="preserve">rajasen@deloitte.com</t>
  </si>
  <si>
    <t xml:space="preserve">Rajat Sen</t>
  </si>
  <si>
    <t xml:space="preserve">rajatiwari@deloitte.com</t>
  </si>
  <si>
    <t xml:space="preserve">Tiwari, Rajan</t>
  </si>
  <si>
    <t xml:space="preserve">'+917353909100</t>
  </si>
  <si>
    <t xml:space="preserve">Rajan Tiwari</t>
  </si>
  <si>
    <t xml:space="preserve">rajaykumar@deloitte.com</t>
  </si>
  <si>
    <t xml:space="preserve">Ravi Ajay Kumar</t>
  </si>
  <si>
    <t xml:space="preserve">rajchoudhury@deloitte.com</t>
  </si>
  <si>
    <t xml:space="preserve">Rajarshi Choudhury</t>
  </si>
  <si>
    <t xml:space="preserve">Choudhury, Rajarshi</t>
  </si>
  <si>
    <t xml:space="preserve">rajeeverma@deloitte.com</t>
  </si>
  <si>
    <t xml:space="preserve">Rajeev Verma</t>
  </si>
  <si>
    <t xml:space="preserve">rajeevranjan@deloitte.com</t>
  </si>
  <si>
    <t xml:space="preserve">Rajeev Ranjan</t>
  </si>
  <si>
    <t xml:space="preserve">rajkeshri@deloitte.com</t>
  </si>
  <si>
    <t xml:space="preserve">Keshri, Raj</t>
  </si>
  <si>
    <t xml:space="preserve">Raj Keshri</t>
  </si>
  <si>
    <t xml:space="preserve">rajkumar92@deloitte.com</t>
  </si>
  <si>
    <t xml:space="preserve">Raj Kumar</t>
  </si>
  <si>
    <t xml:space="preserve">rakeshkumar33@deloitte.com</t>
  </si>
  <si>
    <t xml:space="preserve">Kumar, Rakesh</t>
  </si>
  <si>
    <t xml:space="preserve">'+918186037282</t>
  </si>
  <si>
    <t xml:space="preserve">Rakesh Kumar</t>
  </si>
  <si>
    <t xml:space="preserve">rakhanam@deloitte.com</t>
  </si>
  <si>
    <t xml:space="preserve">Khanam, Rashiqua</t>
  </si>
  <si>
    <t xml:space="preserve">rakhjain@deloitte.com</t>
  </si>
  <si>
    <t xml:space="preserve">Jain, Rakhi</t>
  </si>
  <si>
    <t xml:space="preserve">ralluri@deloitte.com</t>
  </si>
  <si>
    <t xml:space="preserve">Rajyalaxmi Alluri</t>
  </si>
  <si>
    <t xml:space="preserve">Alluri, Rajyalakshmi</t>
  </si>
  <si>
    <t xml:space="preserve">ramanarayanan@deloitte.com</t>
  </si>
  <si>
    <t xml:space="preserve">RK Narayanan</t>
  </si>
  <si>
    <t xml:space="preserve">Narayanan, RK</t>
  </si>
  <si>
    <t xml:space="preserve">Narayanan, Ramakrishna</t>
  </si>
  <si>
    <t xml:space="preserve">ramnkaur@deloitte.com</t>
  </si>
  <si>
    <t xml:space="preserve">Ramneek Kaur</t>
  </si>
  <si>
    <t xml:space="preserve">ramthati@deloitte.com</t>
  </si>
  <si>
    <t xml:space="preserve">Thati, Ram Prasad</t>
  </si>
  <si>
    <t xml:space="preserve">Thati, Ram Prasad </t>
  </si>
  <si>
    <t xml:space="preserve">ramyavangala@deloitte.com</t>
  </si>
  <si>
    <t xml:space="preserve">Vangala, Ramya Sri</t>
  </si>
  <si>
    <t xml:space="preserve">RAMYAVANGALA@DELOITTE.COM</t>
  </si>
  <si>
    <t xml:space="preserve">Ramya Sri Vangala</t>
  </si>
  <si>
    <t xml:space="preserve">rapant@deloitte.com</t>
  </si>
  <si>
    <t xml:space="preserve">Rahul Pant</t>
  </si>
  <si>
    <t xml:space="preserve">Pant, Rahul</t>
  </si>
  <si>
    <t xml:space="preserve">rapilla@deloitte.com</t>
  </si>
  <si>
    <t xml:space="preserve">PILLA, RAJ KUMAR</t>
  </si>
  <si>
    <t xml:space="preserve">rashmikumari63@deloitte.com</t>
  </si>
  <si>
    <t xml:space="preserve">Rashmi Kumari</t>
  </si>
  <si>
    <t xml:space="preserve">ratjain@deloitte.com</t>
  </si>
  <si>
    <t xml:space="preserve">Rati Jain</t>
  </si>
  <si>
    <t xml:space="preserve">ravaliravali@deloitte.com</t>
  </si>
  <si>
    <t xml:space="preserve">Ravali Ganapavarapu</t>
  </si>
  <si>
    <t xml:space="preserve">ravdhar@deloitte.com</t>
  </si>
  <si>
    <t xml:space="preserve">Dhar, Ravi Kumar</t>
  </si>
  <si>
    <t xml:space="preserve">Ravi Dhar</t>
  </si>
  <si>
    <t xml:space="preserve">raviranjan6@deloitte.com</t>
  </si>
  <si>
    <t xml:space="preserve">Ranjan, Ravi</t>
  </si>
  <si>
    <t xml:space="preserve">ravsrivastava@deloitte.com</t>
  </si>
  <si>
    <t xml:space="preserve">Ravi Srivastava</t>
  </si>
  <si>
    <t xml:space="preserve">rcelur@deloitte.com</t>
  </si>
  <si>
    <t xml:space="preserve">Rohit Celur</t>
  </si>
  <si>
    <t xml:space="preserve">rcherukupalli@deloitte.com</t>
  </si>
  <si>
    <t xml:space="preserve">Ramya Cherukupalli</t>
  </si>
  <si>
    <t xml:space="preserve">rchourasiya@deloitte.com</t>
  </si>
  <si>
    <t xml:space="preserve">Chourasiya, Rahul</t>
  </si>
  <si>
    <t xml:space="preserve">Rahul Chourasiya</t>
  </si>
  <si>
    <t xml:space="preserve">rdashore@deloitte.com</t>
  </si>
  <si>
    <t xml:space="preserve">Rachit Dashore</t>
  </si>
  <si>
    <t xml:space="preserve">rdedhia@deloitte.com</t>
  </si>
  <si>
    <t xml:space="preserve">Rushabh Dedhia</t>
  </si>
  <si>
    <t xml:space="preserve">rdhule@deloitte.com</t>
  </si>
  <si>
    <t xml:space="preserve">Rohan Dhule</t>
  </si>
  <si>
    <t xml:space="preserve">rengupta@deloitte.com</t>
  </si>
  <si>
    <t xml:space="preserve">Gupta, Renu</t>
  </si>
  <si>
    <t xml:space="preserve">Renu Suresh Gupta</t>
  </si>
  <si>
    <t xml:space="preserve">Gupta Renu Suresh</t>
  </si>
  <si>
    <t xml:space="preserve">rensharma@deloitte.com</t>
  </si>
  <si>
    <t xml:space="preserve">Renu Sharma</t>
  </si>
  <si>
    <t xml:space="preserve">reshukla@deloitte.com</t>
  </si>
  <si>
    <t xml:space="preserve">Reeti Shukla</t>
  </si>
  <si>
    <t xml:space="preserve">rgurjar@deloitte.com</t>
  </si>
  <si>
    <t xml:space="preserve">Rahul Gurjar</t>
  </si>
  <si>
    <t xml:space="preserve">rhegde@deloitte.com</t>
  </si>
  <si>
    <t xml:space="preserve">Riya Uday Hegde</t>
  </si>
  <si>
    <t xml:space="preserve">rimdas@deloitte.com</t>
  </si>
  <si>
    <t xml:space="preserve">Das, Rima</t>
  </si>
  <si>
    <t xml:space="preserve">Rima Das</t>
  </si>
  <si>
    <t xml:space="preserve">rinkysharma7@deloitte.com</t>
  </si>
  <si>
    <t xml:space="preserve">Rinky Sharma</t>
  </si>
  <si>
    <t xml:space="preserve">Sharma, Rinky</t>
  </si>
  <si>
    <t xml:space="preserve">risahoo@deloitte.com</t>
  </si>
  <si>
    <t xml:space="preserve">Sahoo, Rishikesh</t>
  </si>
  <si>
    <t xml:space="preserve">risdwivedi@deloitte.com</t>
  </si>
  <si>
    <t xml:space="preserve">Dwivedi, Rishabh Dwivedi </t>
  </si>
  <si>
    <t xml:space="preserve">Dwivedi, Rishabh Dwivedi</t>
  </si>
  <si>
    <t xml:space="preserve">rishabhjain92@deloitte.com</t>
  </si>
  <si>
    <t xml:space="preserve">Rishabh Jain</t>
  </si>
  <si>
    <t xml:space="preserve">rishankar@deloitte.com</t>
  </si>
  <si>
    <t xml:space="preserve">Ritam Shankar</t>
  </si>
  <si>
    <t xml:space="preserve">rishsahni@deloitte.com</t>
  </si>
  <si>
    <t xml:space="preserve">sahni, Rishabh</t>
  </si>
  <si>
    <t xml:space="preserve">risjaiswal@deloitte.com</t>
  </si>
  <si>
    <t xml:space="preserve">Rishabh Jaiswal</t>
  </si>
  <si>
    <t xml:space="preserve">DocuSign CLM</t>
  </si>
  <si>
    <t xml:space="preserve">CLM</t>
  </si>
  <si>
    <t xml:space="preserve">riskumari@deloitte.com</t>
  </si>
  <si>
    <t xml:space="preserve">Rishu Kumari</t>
  </si>
  <si>
    <t xml:space="preserve">ritchatterjee@deloitte.com</t>
  </si>
  <si>
    <t xml:space="preserve">Chatterjee, Ritwik</t>
  </si>
  <si>
    <t xml:space="preserve">Ritwik Chatterjee</t>
  </si>
  <si>
    <t xml:space="preserve">Chatterjee, Ritwik </t>
  </si>
  <si>
    <t xml:space="preserve">ritchoudhary@deloitte.com</t>
  </si>
  <si>
    <t xml:space="preserve">CHOUDHARY, Ritika</t>
  </si>
  <si>
    <t xml:space="preserve">Data Analytics</t>
  </si>
  <si>
    <t xml:space="preserve">riyade@deloitte.com</t>
  </si>
  <si>
    <t xml:space="preserve">Riyanka De</t>
  </si>
  <si>
    <t xml:space="preserve">rjumani@deloitte.com</t>
  </si>
  <si>
    <t xml:space="preserve">JUMANI, Romit</t>
  </si>
  <si>
    <t xml:space="preserve">Romit Jumani</t>
  </si>
  <si>
    <t xml:space="preserve">rjyotisaha@deloitte.com</t>
  </si>
  <si>
    <t xml:space="preserve">Rahul Jyoti Saha</t>
  </si>
  <si>
    <t xml:space="preserve">Rahul Shah</t>
  </si>
  <si>
    <t xml:space="preserve">rkamalsingh@deloitte.com</t>
  </si>
  <si>
    <t xml:space="preserve">Kamal Singh, Raj</t>
  </si>
  <si>
    <t xml:space="preserve">Selenium Automation Testing</t>
  </si>
  <si>
    <t xml:space="preserve">rkamepalli@deloitte.com</t>
  </si>
  <si>
    <t xml:space="preserve">Kamepalli, RAM</t>
  </si>
  <si>
    <t xml:space="preserve">rkumargupta@deloitte.com</t>
  </si>
  <si>
    <t xml:space="preserve">Kumar Gupta, Rachit</t>
  </si>
  <si>
    <t xml:space="preserve">Rachit Kumar Gupta</t>
  </si>
  <si>
    <t xml:space="preserve">rkumarjena@deloitte.com</t>
  </si>
  <si>
    <t xml:space="preserve">Ranjit Kumar Jena</t>
  </si>
  <si>
    <t xml:space="preserve">rkumarmani@deloitte.com</t>
  </si>
  <si>
    <t xml:space="preserve">Mani, RAJESH</t>
  </si>
  <si>
    <t xml:space="preserve">rkumarmohapatra@deloitte.com</t>
  </si>
  <si>
    <t xml:space="preserve">Rohit Mohapatra</t>
  </si>
  <si>
    <t xml:space="preserve">rkumarpal@deloitte.com</t>
  </si>
  <si>
    <t xml:space="preserve">Rakesh Kumar Pal</t>
  </si>
  <si>
    <t xml:space="preserve">rkumarviswanathan@deloitte.com</t>
  </si>
  <si>
    <t xml:space="preserve">Kumar Viswanathan, Rajini</t>
  </si>
  <si>
    <t xml:space="preserve">Rajini A V</t>
  </si>
  <si>
    <t xml:space="preserve">rlalchandani@deloitte.com</t>
  </si>
  <si>
    <t xml:space="preserve">Lalchandani, Roshan Lalchandani</t>
  </si>
  <si>
    <t xml:space="preserve">Roshan Lalchandani</t>
  </si>
  <si>
    <t xml:space="preserve">Roshan Lalchandani Lalchandani</t>
  </si>
  <si>
    <t xml:space="preserve">rmohanaramana@deloitte.com</t>
  </si>
  <si>
    <t xml:space="preserve">Mohana Ramana, Ramisetty</t>
  </si>
  <si>
    <t xml:space="preserve">rmudunuri@deloitte.com</t>
  </si>
  <si>
    <t xml:space="preserve">Mudunuri, Rakesh</t>
  </si>
  <si>
    <t xml:space="preserve">rmungimalla@deloitte.com</t>
  </si>
  <si>
    <t xml:space="preserve">Rahul Mungimalla</t>
  </si>
  <si>
    <t xml:space="preserve">rohansingh@deloitte.com</t>
  </si>
  <si>
    <t xml:space="preserve">Singh, Rohan Kumar</t>
  </si>
  <si>
    <t xml:space="preserve">rohansingh24@deloitte.com</t>
  </si>
  <si>
    <t xml:space="preserve">Rohan Singh</t>
  </si>
  <si>
    <t xml:space="preserve">rohbharti@deloitte.com</t>
  </si>
  <si>
    <t xml:space="preserve">Rohit Bharti</t>
  </si>
  <si>
    <t xml:space="preserve">romachatterjee@deloitte.com</t>
  </si>
  <si>
    <t xml:space="preserve">Roma Chatterjee</t>
  </si>
  <si>
    <t xml:space="preserve">rosengar@deloitte.com</t>
  </si>
  <si>
    <t xml:space="preserve">Rohit Sengar</t>
  </si>
  <si>
    <t xml:space="preserve">roskumar@deloitte.com</t>
  </si>
  <si>
    <t xml:space="preserve">Kumar, Roshan</t>
  </si>
  <si>
    <t xml:space="preserve">rpattjoshi@deloitte.com</t>
  </si>
  <si>
    <t xml:space="preserve">rupashree pattjoshi</t>
  </si>
  <si>
    <t xml:space="preserve">rrajkhowa@deloitte.com</t>
  </si>
  <si>
    <t xml:space="preserve">Raktim Rajkhowa</t>
  </si>
  <si>
    <t xml:space="preserve">rratnakar@deloitte.com</t>
  </si>
  <si>
    <t xml:space="preserve">Rao Rakshit Ratnakar</t>
  </si>
  <si>
    <t xml:space="preserve">rsatyakala@deloitte.com</t>
  </si>
  <si>
    <t xml:space="preserve">Satyakala Ramisetty</t>
  </si>
  <si>
    <t xml:space="preserve">rsgursale@deloitte.com</t>
  </si>
  <si>
    <t xml:space="preserve">Rohan Gursale</t>
  </si>
  <si>
    <t xml:space="preserve">rsindhura@deloitte.com</t>
  </si>
  <si>
    <t xml:space="preserve">Sindhura Ravipati</t>
  </si>
  <si>
    <t xml:space="preserve">rsudheerkumar@deloitte.com</t>
  </si>
  <si>
    <t xml:space="preserve">R Sudheer Kumar</t>
  </si>
  <si>
    <t xml:space="preserve">rthenpandian@deloitte.com</t>
  </si>
  <si>
    <t xml:space="preserve">Thenpandian, Raja</t>
  </si>
  <si>
    <t xml:space="preserve">Raja K Thenpandian</t>
  </si>
  <si>
    <t xml:space="preserve">Raja Thenpandian</t>
  </si>
  <si>
    <t xml:space="preserve">Edge Data Engineering</t>
  </si>
  <si>
    <t xml:space="preserve">ruawasthi@deloitte.com</t>
  </si>
  <si>
    <t xml:space="preserve">Awasthi, Ruchika</t>
  </si>
  <si>
    <t xml:space="preserve">ruchagarwal@deloitte.com</t>
  </si>
  <si>
    <t xml:space="preserve">Agarwal, Ruchika</t>
  </si>
  <si>
    <t xml:space="preserve">rumbarkar@deloitte.com</t>
  </si>
  <si>
    <t xml:space="preserve">Rahul Rameshrao Umbarkar</t>
  </si>
  <si>
    <t xml:space="preserve">rv@deloitte.com</t>
  </si>
  <si>
    <t xml:space="preserve">Rajadharshini V</t>
  </si>
  <si>
    <t xml:space="preserve">rvemuri@deloitte.com</t>
  </si>
  <si>
    <t xml:space="preserve">Vemuri, Raviteja</t>
  </si>
  <si>
    <t xml:space="preserve">IBM MDM</t>
  </si>
  <si>
    <t xml:space="preserve">Raviteja Vemuri</t>
  </si>
  <si>
    <t xml:space="preserve">rvmanchikanti@deloitte.com</t>
  </si>
  <si>
    <t xml:space="preserve">Tarakanadh Manchikanti</t>
  </si>
  <si>
    <t xml:space="preserve">saakumar@deloitte.com</t>
  </si>
  <si>
    <t xml:space="preserve">Saawan Kumar</t>
  </si>
  <si>
    <t xml:space="preserve">saaprakash@deloitte.com</t>
  </si>
  <si>
    <t xml:space="preserve">Saai Prakash</t>
  </si>
  <si>
    <t xml:space="preserve">Saai Rahavendar Prakash</t>
  </si>
  <si>
    <t xml:space="preserve">sabagwan@deloitte.com</t>
  </si>
  <si>
    <t xml:space="preserve">Sabina Bagwan</t>
  </si>
  <si>
    <t xml:space="preserve">sabajjuri@deloitte.com</t>
  </si>
  <si>
    <t xml:space="preserve">Sandeep Bajjuri</t>
  </si>
  <si>
    <t xml:space="preserve">sabariss@deloitte.com</t>
  </si>
  <si>
    <t xml:space="preserve">Sabarish S</t>
  </si>
  <si>
    <t xml:space="preserve">S, Sabarish</t>
  </si>
  <si>
    <t xml:space="preserve">sabdey@deloitte.com</t>
  </si>
  <si>
    <t xml:space="preserve">Dey, Sabyasachi</t>
  </si>
  <si>
    <t xml:space="preserve">sabhagat@deloitte.com</t>
  </si>
  <si>
    <t xml:space="preserve">Sagar Bhagat</t>
  </si>
  <si>
    <t xml:space="preserve">sachinjain5@deloitte.com</t>
  </si>
  <si>
    <t xml:space="preserve">Jain, Sachin</t>
  </si>
  <si>
    <t xml:space="preserve">sachinksingh@deloitte.com</t>
  </si>
  <si>
    <t xml:space="preserve">Mr Singh</t>
  </si>
  <si>
    <t xml:space="preserve">Sachin Kumar Singh</t>
  </si>
  <si>
    <t xml:space="preserve">Singh, Sachin Kumar K </t>
  </si>
  <si>
    <t xml:space="preserve">sack@deloitte.com</t>
  </si>
  <si>
    <t xml:space="preserve">Karkun, Sachin</t>
  </si>
  <si>
    <t xml:space="preserve">Sachin Karkun</t>
  </si>
  <si>
    <t xml:space="preserve">sacpanigrahi@deloitte.com</t>
  </si>
  <si>
    <t xml:space="preserve">Panigrahi, Sachidananda</t>
  </si>
  <si>
    <t xml:space="preserve">MongoDB</t>
  </si>
  <si>
    <t xml:space="preserve">sacsathyanarayana@deloitte.com</t>
  </si>
  <si>
    <t xml:space="preserve">Sachin Thadakmanlu Sathyanarayana</t>
  </si>
  <si>
    <t xml:space="preserve">sagarjain@deloitte.com</t>
  </si>
  <si>
    <t xml:space="preserve">Sagar N Jain</t>
  </si>
  <si>
    <t xml:space="preserve">Sagar Jain</t>
  </si>
  <si>
    <t xml:space="preserve">saggandhi@deloitte.com</t>
  </si>
  <si>
    <t xml:space="preserve">Sagar Gandhi</t>
  </si>
  <si>
    <t xml:space="preserve">sahibansal@deloitte.com</t>
  </si>
  <si>
    <t xml:space="preserve">Sahil Bansal</t>
  </si>
  <si>
    <t xml:space="preserve">Bansal, Sahil</t>
  </si>
  <si>
    <t xml:space="preserve">sahts@deloitte.com</t>
  </si>
  <si>
    <t xml:space="preserve">T S, Sahana T S</t>
  </si>
  <si>
    <t xml:space="preserve">Sahana T S T S</t>
  </si>
  <si>
    <t xml:space="preserve">saicgudi@deloitte.com</t>
  </si>
  <si>
    <t xml:space="preserve">Gudi Saicharan Reddy</t>
  </si>
  <si>
    <t xml:space="preserve">saikdutta@deloitte.com</t>
  </si>
  <si>
    <t xml:space="preserve">Dutta, Saikat</t>
  </si>
  <si>
    <t xml:space="preserve">Saikat Dutta</t>
  </si>
  <si>
    <t xml:space="preserve">saikrisaikrishna@deloitte.com</t>
  </si>
  <si>
    <t xml:space="preserve">krishna Sai Krishna</t>
  </si>
  <si>
    <t xml:space="preserve">sakssethi@deloitte.com</t>
  </si>
  <si>
    <t xml:space="preserve">Sethi, Sakshi</t>
  </si>
  <si>
    <t xml:space="preserve">sakumaryadav@deloitte.com</t>
  </si>
  <si>
    <t xml:space="preserve">Sanjeev Kumar Yadav</t>
  </si>
  <si>
    <t xml:space="preserve">salam@deloitte.com</t>
  </si>
  <si>
    <t xml:space="preserve">Alam, Shafi</t>
  </si>
  <si>
    <t xml:space="preserve">Shafi Alam</t>
  </si>
  <si>
    <t xml:space="preserve">salma6@deloitte.com</t>
  </si>
  <si>
    <t xml:space="preserve">Salma Lnu</t>
  </si>
  <si>
    <t xml:space="preserve">Outsystems</t>
  </si>
  <si>
    <t xml:space="preserve">salnaik@deloitte.com</t>
  </si>
  <si>
    <t xml:space="preserve">Salil Naik</t>
  </si>
  <si>
    <t xml:space="preserve">Naik, Salil</t>
  </si>
  <si>
    <t xml:space="preserve">Oracle Incentive Cloud (OIC)</t>
  </si>
  <si>
    <t xml:space="preserve">samahanta@deloitte.com</t>
  </si>
  <si>
    <t xml:space="preserve">Sanghita Mahanta</t>
  </si>
  <si>
    <t xml:space="preserve">samdaga@deloitte.com</t>
  </si>
  <si>
    <t xml:space="preserve">Daga, Samir</t>
  </si>
  <si>
    <t xml:space="preserve">samedi@deloitte.com</t>
  </si>
  <si>
    <t xml:space="preserve">Sai Kumar Medi</t>
  </si>
  <si>
    <t xml:space="preserve">sameea@deloitte.com</t>
  </si>
  <si>
    <t xml:space="preserve">A, Sameer</t>
  </si>
  <si>
    <t xml:space="preserve">Sameer A</t>
  </si>
  <si>
    <t xml:space="preserve">Ajuvath, Mohamed Sameer</t>
  </si>
  <si>
    <t xml:space="preserve">samhari@deloitte.com</t>
  </si>
  <si>
    <t xml:space="preserve">Hari, Samyuktha</t>
  </si>
  <si>
    <t xml:space="preserve">R</t>
  </si>
  <si>
    <t xml:space="preserve">samikapoor@deloitte.com</t>
  </si>
  <si>
    <t xml:space="preserve">Kapoor, SAMIKSHA</t>
  </si>
  <si>
    <t xml:space="preserve">samisahu@deloitte.com</t>
  </si>
  <si>
    <t xml:space="preserve">Samir Sahu</t>
  </si>
  <si>
    <t xml:space="preserve">sampurohit@deloitte.com</t>
  </si>
  <si>
    <t xml:space="preserve">Sameer Purohit</t>
  </si>
  <si>
    <t xml:space="preserve">samradas@deloitte.com</t>
  </si>
  <si>
    <t xml:space="preserve">Samrat Das</t>
  </si>
  <si>
    <t xml:space="preserve">samrbanerjee@deloitte.com</t>
  </si>
  <si>
    <t xml:space="preserve">Samrat Banerjee</t>
  </si>
  <si>
    <t xml:space="preserve">Banerjee, Samrat</t>
  </si>
  <si>
    <t xml:space="preserve">sanbghosh@deloitte.com</t>
  </si>
  <si>
    <t xml:space="preserve">Sanbrita Ghosh</t>
  </si>
  <si>
    <t xml:space="preserve">sandichakraborty@deloitte.com</t>
  </si>
  <si>
    <t xml:space="preserve">Sandipan Chakraborty</t>
  </si>
  <si>
    <t xml:space="preserve">sandprasad@deloitte.com</t>
  </si>
  <si>
    <t xml:space="preserve">Prasad, Sandeep</t>
  </si>
  <si>
    <t xml:space="preserve">sandshekhar@deloitte.com</t>
  </si>
  <si>
    <t xml:space="preserve">Shekhar, Sandeep </t>
  </si>
  <si>
    <t xml:space="preserve">Shekhar, Sandeep</t>
  </si>
  <si>
    <t xml:space="preserve">sangrpatil@deloitte.com</t>
  </si>
  <si>
    <t xml:space="preserve">Patil, Sangram</t>
  </si>
  <si>
    <t xml:space="preserve">'+918888771413</t>
  </si>
  <si>
    <t xml:space="preserve">sangsingh@deloitte.com</t>
  </si>
  <si>
    <t xml:space="preserve">Singh, Sangeeta</t>
  </si>
  <si>
    <t xml:space="preserve">sanjsaha@deloitte.com</t>
  </si>
  <si>
    <t xml:space="preserve">Saha, Sanjoy</t>
  </si>
  <si>
    <t xml:space="preserve">sansekhar@deloitte.com</t>
  </si>
  <si>
    <t xml:space="preserve">Sekhar, Santhosh</t>
  </si>
  <si>
    <t xml:space="preserve">Santhosh Sekhar</t>
  </si>
  <si>
    <t xml:space="preserve">santmohanty@deloitte.com</t>
  </si>
  <si>
    <t xml:space="preserve">Santwana Mohanty</t>
  </si>
  <si>
    <t xml:space="preserve">santoshkumar5@deloitte.com</t>
  </si>
  <si>
    <t xml:space="preserve">Kumar, Santosh</t>
  </si>
  <si>
    <t xml:space="preserve">Santosh Kumar</t>
  </si>
  <si>
    <t xml:space="preserve">sapdey@deloitte.com</t>
  </si>
  <si>
    <t xml:space="preserve">Dey, Saptarshi</t>
  </si>
  <si>
    <t xml:space="preserve">Saptarshi Dey</t>
  </si>
  <si>
    <t xml:space="preserve">Dey, Saptarshi </t>
  </si>
  <si>
    <t xml:space="preserve">sapkansal@deloitte.com</t>
  </si>
  <si>
    <t xml:space="preserve">Sapan Kumar Kansal</t>
  </si>
  <si>
    <t xml:space="preserve">sapsarkar@deloitte.com</t>
  </si>
  <si>
    <t xml:space="preserve">Saptarshi Sarkar</t>
  </si>
  <si>
    <t xml:space="preserve">Sarkar, Saptarshi </t>
  </si>
  <si>
    <t xml:space="preserve">saravt@deloitte.com</t>
  </si>
  <si>
    <t xml:space="preserve">Saravanapriyan T</t>
  </si>
  <si>
    <t xml:space="preserve">Saravana T</t>
  </si>
  <si>
    <t xml:space="preserve">sarballa@deloitte.com</t>
  </si>
  <si>
    <t xml:space="preserve">Balla Saratkumar Gumpaswamy</t>
  </si>
  <si>
    <t xml:space="preserve">Gumpaswamy Balla, Saratkumar </t>
  </si>
  <si>
    <t xml:space="preserve">Gumpaswamy Balla, Saratkumar</t>
  </si>
  <si>
    <t xml:space="preserve">sasbalaji@deloitte.com</t>
  </si>
  <si>
    <t xml:space="preserve">Balaji, Sashank</t>
  </si>
  <si>
    <t xml:space="preserve">saseela@deloitte.com</t>
  </si>
  <si>
    <t xml:space="preserve">Sai Krupan Seela</t>
  </si>
  <si>
    <t xml:space="preserve">Seela, Sai Krupan </t>
  </si>
  <si>
    <t xml:space="preserve">sasehgal@deloitte.com</t>
  </si>
  <si>
    <t xml:space="preserve">Sehgal, Sagar</t>
  </si>
  <si>
    <t xml:space="preserve">Apache Airflow</t>
  </si>
  <si>
    <t xml:space="preserve">sassarangi@deloitte.com</t>
  </si>
  <si>
    <t xml:space="preserve">Sarangi, Sasmita</t>
  </si>
  <si>
    <t xml:space="preserve">Sasmita Sarangi</t>
  </si>
  <si>
    <t xml:space="preserve">Cloud Admin</t>
  </si>
  <si>
    <t xml:space="preserve">satalwar@deloitte.com</t>
  </si>
  <si>
    <t xml:space="preserve">Sahil Talwar</t>
  </si>
  <si>
    <t xml:space="preserve">satvirsingh@deloitte.com</t>
  </si>
  <si>
    <t xml:space="preserve">Satvir Singh</t>
  </si>
  <si>
    <t xml:space="preserve">sauchaudhary@deloitte.com</t>
  </si>
  <si>
    <t xml:space="preserve">Chaudhary, Saurabh</t>
  </si>
  <si>
    <t xml:space="preserve">saurabhkumar27@deloitte.com</t>
  </si>
  <si>
    <t xml:space="preserve">Kumar, Saurabh</t>
  </si>
  <si>
    <t xml:space="preserve">Saurabh Kumar</t>
  </si>
  <si>
    <t xml:space="preserve">saurabhsingh39@deloitte.com</t>
  </si>
  <si>
    <t xml:space="preserve">Saurabh Singh</t>
  </si>
  <si>
    <t xml:space="preserve">saurabsinha@deloitte.com</t>
  </si>
  <si>
    <t xml:space="preserve">Saurabh Sinha</t>
  </si>
  <si>
    <t xml:space="preserve">sauravgupta4@deloitte.com</t>
  </si>
  <si>
    <t xml:space="preserve">Gupta, Saurav</t>
  </si>
  <si>
    <t xml:space="preserve">saurjha@deloitte.com</t>
  </si>
  <si>
    <t xml:space="preserve">Saurav Kumar Jha</t>
  </si>
  <si>
    <t xml:space="preserve">Saurav Jha</t>
  </si>
  <si>
    <t xml:space="preserve">saushukla@deloitte.com</t>
  </si>
  <si>
    <t xml:space="preserve">Saumya Shukla</t>
  </si>
  <si>
    <t xml:space="preserve">sautandon@deloitte.com</t>
  </si>
  <si>
    <t xml:space="preserve">Tandon, Saurabh</t>
  </si>
  <si>
    <t xml:space="preserve">Saurabh Tandon</t>
  </si>
  <si>
    <t xml:space="preserve">sayakroy@deloitte.com</t>
  </si>
  <si>
    <t xml:space="preserve">Roy, Sayak</t>
  </si>
  <si>
    <t xml:space="preserve">sazaveri@deloitte.com</t>
  </si>
  <si>
    <t xml:space="preserve">Seema Parasar</t>
  </si>
  <si>
    <t xml:space="preserve">sbadragoni@deloitte.com</t>
  </si>
  <si>
    <t xml:space="preserve">Badragoni, Shirish B</t>
  </si>
  <si>
    <t xml:space="preserve">Shirish B Badragoni</t>
  </si>
  <si>
    <t xml:space="preserve">sbandhu@deloitte.com</t>
  </si>
  <si>
    <t xml:space="preserve">Siddharth Bandhu</t>
  </si>
  <si>
    <t xml:space="preserve">sbasavaraju@deloitte.com</t>
  </si>
  <si>
    <t xml:space="preserve">Basavaraju, Swetha</t>
  </si>
  <si>
    <t xml:space="preserve">Swetha Basavaraju</t>
  </si>
  <si>
    <t xml:space="preserve">sbrijwani@deloitte.com</t>
  </si>
  <si>
    <t xml:space="preserve">Sagar Brijwani</t>
  </si>
  <si>
    <t xml:space="preserve">L45 - Senior Consultant, Technical Transformation</t>
  </si>
  <si>
    <t xml:space="preserve">schintamaneni@deloitte.com</t>
  </si>
  <si>
    <t xml:space="preserve">Chintamaneni, Srutisri</t>
  </si>
  <si>
    <t xml:space="preserve">Srutisri Chintamaneni</t>
  </si>
  <si>
    <t xml:space="preserve">schithajallu@deloitte.com</t>
  </si>
  <si>
    <t xml:space="preserve">Sindhura Chithajallu</t>
  </si>
  <si>
    <t xml:space="preserve">sdassharma@deloitte.com</t>
  </si>
  <si>
    <t xml:space="preserve">Das Sharma, Sai</t>
  </si>
  <si>
    <t xml:space="preserve">Sai Das Sharma</t>
  </si>
  <si>
    <t xml:space="preserve">senas6@deloitte.com</t>
  </si>
  <si>
    <t xml:space="preserve">Senathipathi S</t>
  </si>
  <si>
    <t xml:space="preserve">seturi@deloitte.com</t>
  </si>
  <si>
    <t xml:space="preserve">Santhosh Eturi</t>
  </si>
  <si>
    <t xml:space="preserve">sgajjela@deloitte.com</t>
  </si>
  <si>
    <t xml:space="preserve">Sudhir Gajjela</t>
  </si>
  <si>
    <t xml:space="preserve">sgangishetty@deloitte.com</t>
  </si>
  <si>
    <t xml:space="preserve">Satish G Gangishetty</t>
  </si>
  <si>
    <t xml:space="preserve">sgarripelly@deloitte.com</t>
  </si>
  <si>
    <t xml:space="preserve">Garripelly, Sai Krishna</t>
  </si>
  <si>
    <t xml:space="preserve">Data Profiling</t>
  </si>
  <si>
    <t xml:space="preserve">Sai Krishna Garripelly</t>
  </si>
  <si>
    <t xml:space="preserve">sghodke@deloitte.com</t>
  </si>
  <si>
    <t xml:space="preserve">Ghodke, Sonia</t>
  </si>
  <si>
    <t xml:space="preserve">sgopalakrishna@deloitte.com</t>
  </si>
  <si>
    <t xml:space="preserve">Sriram Gopalakrishna</t>
  </si>
  <si>
    <t xml:space="preserve">Gopalakrishna, Sriram</t>
  </si>
  <si>
    <t xml:space="preserve">sgorpoti@deloitte.com</t>
  </si>
  <si>
    <t xml:space="preserve">Gorpoti, Suresh</t>
  </si>
  <si>
    <t xml:space="preserve">Suresh Gorpoti</t>
  </si>
  <si>
    <t xml:space="preserve">shaiarora@deloitte.com</t>
  </si>
  <si>
    <t xml:space="preserve">Shailendra Arora</t>
  </si>
  <si>
    <t xml:space="preserve">shailsrivastava@deloitte.com</t>
  </si>
  <si>
    <t xml:space="preserve">Shailesh Srivastava</t>
  </si>
  <si>
    <t xml:space="preserve">Shailesh srivastava</t>
  </si>
  <si>
    <t xml:space="preserve">srivastava, Shailesh</t>
  </si>
  <si>
    <t xml:space="preserve">shalsingh@deloitte.com</t>
  </si>
  <si>
    <t xml:space="preserve">SINGH, Shalvan</t>
  </si>
  <si>
    <t xml:space="preserve">shamjha@deloitte.com</t>
  </si>
  <si>
    <t xml:space="preserve">Shambhawi Jha</t>
  </si>
  <si>
    <t xml:space="preserve">sharinarayanan@deloitte.com</t>
  </si>
  <si>
    <t xml:space="preserve">Shilpa Harinarayanan</t>
  </si>
  <si>
    <t xml:space="preserve">sharjain@deloitte.com</t>
  </si>
  <si>
    <t xml:space="preserve">Jain, Sharad</t>
  </si>
  <si>
    <t xml:space="preserve">sharjain@DELOITTE.com</t>
  </si>
  <si>
    <t xml:space="preserve">sharpathak@deloitte.com</t>
  </si>
  <si>
    <t xml:space="preserve">Sharv Pathak</t>
  </si>
  <si>
    <t xml:space="preserve">sharsen@deloitte.com</t>
  </si>
  <si>
    <t xml:space="preserve">Sharmistha Sen</t>
  </si>
  <si>
    <t xml:space="preserve">shashirkumar@deloitte.com</t>
  </si>
  <si>
    <t xml:space="preserve">Kumar, Shashi Ranjan</t>
  </si>
  <si>
    <t xml:space="preserve">shashmishra@deloitte.com</t>
  </si>
  <si>
    <t xml:space="preserve">Shashank Shankar Mishra</t>
  </si>
  <si>
    <t xml:space="preserve">shasrathore@deloitte.com</t>
  </si>
  <si>
    <t xml:space="preserve">Shashank Rathore</t>
  </si>
  <si>
    <t xml:space="preserve">shatomar@deloitte.com</t>
  </si>
  <si>
    <t xml:space="preserve">Shailendra Singh Tomar</t>
  </si>
  <si>
    <t xml:space="preserve">Shailendra Tomar</t>
  </si>
  <si>
    <t xml:space="preserve">shbeig@deloitte.com</t>
  </si>
  <si>
    <t xml:space="preserve">Showkat Ali Beig</t>
  </si>
  <si>
    <t xml:space="preserve">IBM ODM</t>
  </si>
  <si>
    <t xml:space="preserve">shchalasani@deloitte.com</t>
  </si>
  <si>
    <t xml:space="preserve">Shruti Chalasani</t>
  </si>
  <si>
    <t xml:space="preserve">Shruti Chalasani Chalasani</t>
  </si>
  <si>
    <t xml:space="preserve">shdebroy@deloitte.com</t>
  </si>
  <si>
    <t xml:space="preserve">Deb Roy, Shirshendu</t>
  </si>
  <si>
    <t xml:space="preserve">Shirshendu Deb Roy</t>
  </si>
  <si>
    <t xml:space="preserve">sheek@deloitte.com</t>
  </si>
  <si>
    <t xml:space="preserve">Sheeba K</t>
  </si>
  <si>
    <t xml:space="preserve">shefmathur@deloitte.com</t>
  </si>
  <si>
    <t xml:space="preserve">Shefali Mathur</t>
  </si>
  <si>
    <t xml:space="preserve">sheshaikh@deloitte.com</t>
  </si>
  <si>
    <t xml:space="preserve">Shaikh, Sheeba</t>
  </si>
  <si>
    <t xml:space="preserve">Sheeba Shaikh</t>
  </si>
  <si>
    <t xml:space="preserve">shgautam@deloitte.com</t>
  </si>
  <si>
    <t xml:space="preserve">Shilpa Gautam</t>
  </si>
  <si>
    <t xml:space="preserve">shikverma@deloitte.com</t>
  </si>
  <si>
    <t xml:space="preserve">Verma, Shikha</t>
  </si>
  <si>
    <t xml:space="preserve">Shikha Verma</t>
  </si>
  <si>
    <t xml:space="preserve">shilmishra@deloitte.com</t>
  </si>
  <si>
    <t xml:space="preserve">Mishra, Shilpika</t>
  </si>
  <si>
    <t xml:space="preserve">shilpasingh6@deloitte.com</t>
  </si>
  <si>
    <t xml:space="preserve">Shilpa Singh</t>
  </si>
  <si>
    <t xml:space="preserve">shilpisharma@deloitte.com</t>
  </si>
  <si>
    <t xml:space="preserve">Shilpi Sharma</t>
  </si>
  <si>
    <t xml:space="preserve">shinair@deloitte.com</t>
  </si>
  <si>
    <t xml:space="preserve">Nair, Shilpa</t>
  </si>
  <si>
    <t xml:space="preserve">shishikumar@deloitte.com</t>
  </si>
  <si>
    <t xml:space="preserve">Shishir Kumar</t>
  </si>
  <si>
    <t xml:space="preserve">Autosys</t>
  </si>
  <si>
    <t xml:space="preserve">Jenkins</t>
  </si>
  <si>
    <t xml:space="preserve">Data warehousing</t>
  </si>
  <si>
    <t xml:space="preserve">shivamshukla@deloitte.com</t>
  </si>
  <si>
    <t xml:space="preserve">Shivam Shukla</t>
  </si>
  <si>
    <t xml:space="preserve">shlobo@deloitte.com</t>
  </si>
  <si>
    <t xml:space="preserve">Lobo, Sherwin</t>
  </si>
  <si>
    <t xml:space="preserve">Lobo, Sherwin Alex </t>
  </si>
  <si>
    <t xml:space="preserve">Lobo, Sherwin Alex</t>
  </si>
  <si>
    <t xml:space="preserve">shmathur@deloitte.com</t>
  </si>
  <si>
    <t xml:space="preserve">Mathur, Shubham</t>
  </si>
  <si>
    <t xml:space="preserve">shreerak@deloitte.com</t>
  </si>
  <si>
    <t xml:space="preserve">Shreeraksha</t>
  </si>
  <si>
    <t xml:space="preserve">shrjoshi@deloitte.com</t>
  </si>
  <si>
    <t xml:space="preserve">Shreepad Joshi</t>
  </si>
  <si>
    <t xml:space="preserve">shrr@deloitte.com</t>
  </si>
  <si>
    <t xml:space="preserve">R, Shruthi</t>
  </si>
  <si>
    <t xml:space="preserve">Shruthi R</t>
  </si>
  <si>
    <t xml:space="preserve">shrsarda@deloitte.com</t>
  </si>
  <si>
    <t xml:space="preserve">Shruti Sarda</t>
  </si>
  <si>
    <t xml:space="preserve">shrsengupta@deloitte.com</t>
  </si>
  <si>
    <t xml:space="preserve">Sengupta, Shreya</t>
  </si>
  <si>
    <t xml:space="preserve">shrushukla@deloitte.com</t>
  </si>
  <si>
    <t xml:space="preserve">Shukla, Shruti </t>
  </si>
  <si>
    <t xml:space="preserve">shrutijain2@deloitte.com</t>
  </si>
  <si>
    <t xml:space="preserve">Shruti jain</t>
  </si>
  <si>
    <t xml:space="preserve">shubhagoel@deloitte.com</t>
  </si>
  <si>
    <t xml:space="preserve">Shubham Goel</t>
  </si>
  <si>
    <t xml:space="preserve">shubhamjain68@deloitte.com</t>
  </si>
  <si>
    <t xml:space="preserve">Jain, Shubham</t>
  </si>
  <si>
    <t xml:space="preserve">shubhapatil@deloitte.com</t>
  </si>
  <si>
    <t xml:space="preserve">Patil, Shubham Sunil</t>
  </si>
  <si>
    <t xml:space="preserve">shubiswas@deloitte.com</t>
  </si>
  <si>
    <t xml:space="preserve">Shuvankar Biswas</t>
  </si>
  <si>
    <t xml:space="preserve">shubraj@deloitte.com</t>
  </si>
  <si>
    <t xml:space="preserve">Shubham Raj</t>
  </si>
  <si>
    <t xml:space="preserve">shubsaxena@deloitte.com</t>
  </si>
  <si>
    <t xml:space="preserve">Saxena, Shubham</t>
  </si>
  <si>
    <t xml:space="preserve">Shubham Saxena</t>
  </si>
  <si>
    <t xml:space="preserve">shudaykumar@deloitte.com</t>
  </si>
  <si>
    <t xml:space="preserve">Udaykumar, Shah Dharmil</t>
  </si>
  <si>
    <t xml:space="preserve">shujindal@deloitte.com</t>
  </si>
  <si>
    <t xml:space="preserve">Jindal, Shubham</t>
  </si>
  <si>
    <t xml:space="preserve">shusahoo@deloitte.com</t>
  </si>
  <si>
    <t xml:space="preserve">Sahoo, Shubhendu</t>
  </si>
  <si>
    <t xml:space="preserve">Sahoo, Shubhendu Sekhar</t>
  </si>
  <si>
    <t xml:space="preserve">shusrivastava@deloitte.com</t>
  </si>
  <si>
    <t xml:space="preserve">Shubham Srivastava</t>
  </si>
  <si>
    <t xml:space="preserve">shussainmanaswala@deloitte.com</t>
  </si>
  <si>
    <t xml:space="preserve">SHABBIR ANASWALA</t>
  </si>
  <si>
    <t xml:space="preserve">Shabbir Hussain M Anaswala</t>
  </si>
  <si>
    <t xml:space="preserve">shweverma@deloitte.com</t>
  </si>
  <si>
    <t xml:space="preserve">Shweta Verma</t>
  </si>
  <si>
    <t xml:space="preserve">sichawla@deloitte.com</t>
  </si>
  <si>
    <t xml:space="preserve">Simer Preet Chawla</t>
  </si>
  <si>
    <t xml:space="preserve">siddgarg@deloitte.com</t>
  </si>
  <si>
    <t xml:space="preserve">Garg, Siddharth</t>
  </si>
  <si>
    <t xml:space="preserve">siddhmishra@deloitte.com</t>
  </si>
  <si>
    <t xml:space="preserve">Siddharth Mishra</t>
  </si>
  <si>
    <t xml:space="preserve">Oracle AI Developer</t>
  </si>
  <si>
    <t xml:space="preserve">sidgautam@deloitte.com</t>
  </si>
  <si>
    <t xml:space="preserve">Siddharth Gautam</t>
  </si>
  <si>
    <t xml:space="preserve">sidnagar@deloitte.com</t>
  </si>
  <si>
    <t xml:space="preserve">Siddhant Nagar</t>
  </si>
  <si>
    <t xml:space="preserve">sikamal@deloitte.com</t>
  </si>
  <si>
    <t xml:space="preserve">Siddharth Kamal</t>
  </si>
  <si>
    <t xml:space="preserve">silapavuluri@deloitte.com</t>
  </si>
  <si>
    <t xml:space="preserve">Shreedhar ilapavuluri</t>
  </si>
  <si>
    <t xml:space="preserve">Shreedhar Ilapavuluri</t>
  </si>
  <si>
    <t xml:space="preserve">silsahu@deloitte.com</t>
  </si>
  <si>
    <t xml:space="preserve">Silpalipsu Sahu</t>
  </si>
  <si>
    <t xml:space="preserve">simrsingh@deloitte.com</t>
  </si>
  <si>
    <t xml:space="preserve">Singh, Simranjeet</t>
  </si>
  <si>
    <t xml:space="preserve">sinagaraj@deloitte.com</t>
  </si>
  <si>
    <t xml:space="preserve">SIvaramakrishna Nagaraj</t>
  </si>
  <si>
    <t xml:space="preserve">Sivaramakrishnan Nagaraj</t>
  </si>
  <si>
    <t xml:space="preserve">sipinisetty@deloitte.com</t>
  </si>
  <si>
    <t xml:space="preserve">sandhya P</t>
  </si>
  <si>
    <t xml:space="preserve">sittamalla@deloitte.com</t>
  </si>
  <si>
    <t xml:space="preserve">Ittamalla, Satheesh Kumar</t>
  </si>
  <si>
    <t xml:space="preserve">Satheesh Kumar Ittamalla</t>
  </si>
  <si>
    <t xml:space="preserve">sivag@deloitte.com</t>
  </si>
  <si>
    <t xml:space="preserve">Siva Kumar G</t>
  </si>
  <si>
    <t xml:space="preserve">Siva Kumar Gunapandian</t>
  </si>
  <si>
    <t xml:space="preserve">sjagdeeshchandrap@deloitte.com</t>
  </si>
  <si>
    <t xml:space="preserve">Samit Jagdeeshchandra Prabhu</t>
  </si>
  <si>
    <t xml:space="preserve">Samit Prabhu</t>
  </si>
  <si>
    <t xml:space="preserve">sjainmd@deloitte.com</t>
  </si>
  <si>
    <t xml:space="preserve">Shreyas Jain MD</t>
  </si>
  <si>
    <t xml:space="preserve">sjanu@deloitte.com</t>
  </si>
  <si>
    <t xml:space="preserve">Shreya Janu</t>
  </si>
  <si>
    <t xml:space="preserve">skaali@deloitte.com</t>
  </si>
  <si>
    <t xml:space="preserve">Ali, Sk Asif</t>
  </si>
  <si>
    <t xml:space="preserve">skalarikkal@deloitte.com</t>
  </si>
  <si>
    <t xml:space="preserve">Kalarikkal Sanjeev, Suraj</t>
  </si>
  <si>
    <t xml:space="preserve">Suraj Shenoy Kalarikkal</t>
  </si>
  <si>
    <t xml:space="preserve">Suraj Kalarikkal Sanjeev</t>
  </si>
  <si>
    <t xml:space="preserve">skalluri@deloitte.com</t>
  </si>
  <si>
    <t xml:space="preserve">Kalluri, Diwakar</t>
  </si>
  <si>
    <t xml:space="preserve">skaruneshchaube@deloitte.com</t>
  </si>
  <si>
    <t xml:space="preserve">Shivam Karunesh Chaube</t>
  </si>
  <si>
    <t xml:space="preserve">Chaube, Shivam Karunesh</t>
  </si>
  <si>
    <t xml:space="preserve">skerkar@deloitte.com</t>
  </si>
  <si>
    <t xml:space="preserve">Kerkar, Sunil</t>
  </si>
  <si>
    <t xml:space="preserve">Sunil Kerkar</t>
  </si>
  <si>
    <t xml:space="preserve">skubde@deloitte.com</t>
  </si>
  <si>
    <t xml:space="preserve">Kubde, Sushant</t>
  </si>
  <si>
    <t xml:space="preserve">Sushant Kubde</t>
  </si>
  <si>
    <t xml:space="preserve">skumarisingh@deloitte.com</t>
  </si>
  <si>
    <t xml:space="preserve">Sweta Kumari Singh</t>
  </si>
  <si>
    <t xml:space="preserve">Spring Boot</t>
  </si>
  <si>
    <t xml:space="preserve">FastAPI</t>
  </si>
  <si>
    <t xml:space="preserve">PostgreSQL</t>
  </si>
  <si>
    <t xml:space="preserve">skumarnanda@deloitte.com</t>
  </si>
  <si>
    <t xml:space="preserve">Sailesh Kumar Nanda</t>
  </si>
  <si>
    <t xml:space="preserve">Kumar Nanda, Sailesh</t>
  </si>
  <si>
    <t xml:space="preserve">skumbhakar@deloitte.com</t>
  </si>
  <si>
    <t xml:space="preserve">Siva Das</t>
  </si>
  <si>
    <t xml:space="preserve">skuttalamkonar@deloitte.com</t>
  </si>
  <si>
    <t xml:space="preserve">Konar, Senthil</t>
  </si>
  <si>
    <t xml:space="preserve">smagidi@deloitte.com</t>
  </si>
  <si>
    <t xml:space="preserve">Shiva Prasad Magidi</t>
  </si>
  <si>
    <t xml:space="preserve">smanchanamola@deloitte.com</t>
  </si>
  <si>
    <t xml:space="preserve">Sridhar Manchanamola</t>
  </si>
  <si>
    <t xml:space="preserve">smarwari@deloitte.com</t>
  </si>
  <si>
    <t xml:space="preserve">Shivam Marwari</t>
  </si>
  <si>
    <t xml:space="preserve">smisal@deloitte.com</t>
  </si>
  <si>
    <t xml:space="preserve">Samiksha Swapnil Kekan</t>
  </si>
  <si>
    <t xml:space="preserve">smohammedayaaz@deloitte.com</t>
  </si>
  <si>
    <t xml:space="preserve">Ayaaz Mohammed Ayaaz</t>
  </si>
  <si>
    <t xml:space="preserve">smohammedg@deloitte.com</t>
  </si>
  <si>
    <t xml:space="preserve">Mohammed G, Shoaib Mohammed</t>
  </si>
  <si>
    <t xml:space="preserve">Shoaib Mohammed G</t>
  </si>
  <si>
    <t xml:space="preserve">Mohammed G, Shoaib</t>
  </si>
  <si>
    <t xml:space="preserve">smshetty@deloitte.com</t>
  </si>
  <si>
    <t xml:space="preserve">Smita Shetty</t>
  </si>
  <si>
    <t xml:space="preserve">snaidugunti@deloitte.com</t>
  </si>
  <si>
    <t xml:space="preserve">Suresh Naidu Gunti</t>
  </si>
  <si>
    <t xml:space="preserve">snareshgandhi@deloitte.com</t>
  </si>
  <si>
    <t xml:space="preserve">Sonam Gandhi</t>
  </si>
  <si>
    <t xml:space="preserve">snatampalli@deloitte.com</t>
  </si>
  <si>
    <t xml:space="preserve">Sairam Sampath Natampalli</t>
  </si>
  <si>
    <t xml:space="preserve">Conversation AI</t>
  </si>
  <si>
    <t xml:space="preserve">sneharsingh@deloitte.com</t>
  </si>
  <si>
    <t xml:space="preserve">Sneha Singh</t>
  </si>
  <si>
    <t xml:space="preserve">snemalikanti@deloitte.com</t>
  </si>
  <si>
    <t xml:space="preserve">Srilatha Nemalikanti</t>
  </si>
  <si>
    <t xml:space="preserve">snmore@deloitte.com</t>
  </si>
  <si>
    <t xml:space="preserve">More, Snehal More</t>
  </si>
  <si>
    <t xml:space="preserve">Snehal More</t>
  </si>
  <si>
    <t xml:space="preserve">Snehal More More</t>
  </si>
  <si>
    <t xml:space="preserve">snrathor@deloitte.com</t>
  </si>
  <si>
    <t xml:space="preserve">Sneha Rathor</t>
  </si>
  <si>
    <t xml:space="preserve">Austin</t>
  </si>
  <si>
    <t xml:space="preserve">Sneha Rathore</t>
  </si>
  <si>
    <t xml:space="preserve">sobalasubramanian@deloitte.com</t>
  </si>
  <si>
    <t xml:space="preserve">Soundar Balasubramanian</t>
  </si>
  <si>
    <t xml:space="preserve">sohchakraborty@deloitte.com</t>
  </si>
  <si>
    <t xml:space="preserve">Soham Chakraborty</t>
  </si>
  <si>
    <t xml:space="preserve">sohray@deloitte.com</t>
  </si>
  <si>
    <t xml:space="preserve">Soham Ray</t>
  </si>
  <si>
    <t xml:space="preserve">somyagupta@deloitte.com</t>
  </si>
  <si>
    <t xml:space="preserve">Gupta, Somya</t>
  </si>
  <si>
    <t xml:space="preserve">sonigupta@deloitte.com</t>
  </si>
  <si>
    <t xml:space="preserve">Gupta, Sonil</t>
  </si>
  <si>
    <t xml:space="preserve">Sonil Gupta</t>
  </si>
  <si>
    <t xml:space="preserve">sosaha@deloitte.com</t>
  </si>
  <si>
    <t xml:space="preserve">Soumyajit Saha</t>
  </si>
  <si>
    <t xml:space="preserve">sosamanta@deloitte.com</t>
  </si>
  <si>
    <t xml:space="preserve">Samanta, Soham</t>
  </si>
  <si>
    <t xml:space="preserve">sosarna@deloitte.com</t>
  </si>
  <si>
    <t xml:space="preserve">Sonam Sarna</t>
  </si>
  <si>
    <t xml:space="preserve">soumitghosh@deloitte.com</t>
  </si>
  <si>
    <t xml:space="preserve">Soumita Ghosh</t>
  </si>
  <si>
    <t xml:space="preserve">soupn@deloitte.com</t>
  </si>
  <si>
    <t xml:space="preserve">P N, Soumya</t>
  </si>
  <si>
    <t xml:space="preserve">sourajput@deloitte.com</t>
  </si>
  <si>
    <t xml:space="preserve">Sourabh Singh Rajput</t>
  </si>
  <si>
    <t xml:space="preserve">Sourabh Rajput</t>
  </si>
  <si>
    <t xml:space="preserve">sourapaul@deloitte.com</t>
  </si>
  <si>
    <t xml:space="preserve">Paul, Souradeep</t>
  </si>
  <si>
    <t xml:space="preserve">sourasarkar@deloitte.com</t>
  </si>
  <si>
    <t xml:space="preserve">Sarkar, Sourav</t>
  </si>
  <si>
    <t xml:space="preserve">souravbanerjee@deloitte.com</t>
  </si>
  <si>
    <t xml:space="preserve">Sourav Banerjee</t>
  </si>
  <si>
    <t xml:space="preserve">sousinha@deloitte.com</t>
  </si>
  <si>
    <t xml:space="preserve">Sinha, Soumya</t>
  </si>
  <si>
    <t xml:space="preserve">souvikdey8@deloitte.com</t>
  </si>
  <si>
    <t xml:space="preserve">Dey, Souvik</t>
  </si>
  <si>
    <t xml:space="preserve">sowmib@deloitte.com</t>
  </si>
  <si>
    <t xml:space="preserve">sowmii Sowmiya</t>
  </si>
  <si>
    <t xml:space="preserve">sowmyas@deloitte.com</t>
  </si>
  <si>
    <t xml:space="preserve">Sowmya S</t>
  </si>
  <si>
    <t xml:space="preserve">spatnala@deloitte.com</t>
  </si>
  <si>
    <t xml:space="preserve">Patnala, Sai Kiran</t>
  </si>
  <si>
    <t xml:space="preserve">ROHINI SAI KIRAN PATNALA</t>
  </si>
  <si>
    <t xml:space="preserve">Sai Kiran Patnala</t>
  </si>
  <si>
    <t xml:space="preserve">spayyavula@deloitte.com</t>
  </si>
  <si>
    <t xml:space="preserve">Payyavula Sandeep</t>
  </si>
  <si>
    <t xml:space="preserve">sprabhakarrao@deloitte.com</t>
  </si>
  <si>
    <t xml:space="preserve">Satish Prabhakar Rao</t>
  </si>
  <si>
    <t xml:space="preserve">spraffulkumar@deloitte.com</t>
  </si>
  <si>
    <t xml:space="preserve">Shakhai Prafful Kumar</t>
  </si>
  <si>
    <t xml:space="preserve">spraharaj@deloitte.com</t>
  </si>
  <si>
    <t xml:space="preserve">Praharaj, Sarita</t>
  </si>
  <si>
    <t xml:space="preserve">IBM cognos BI</t>
  </si>
  <si>
    <t xml:space="preserve">Sarita Praharaj</t>
  </si>
  <si>
    <t xml:space="preserve">sprasadsingh@deloitte.com</t>
  </si>
  <si>
    <t xml:space="preserve">Sandeep Prasad Singh</t>
  </si>
  <si>
    <t xml:space="preserve">sprudhviraj@deloitte.com</t>
  </si>
  <si>
    <t xml:space="preserve">Prudhvi Raj, Prudhvi Raj</t>
  </si>
  <si>
    <t xml:space="preserve">Prudhvi Raj Prudhvi Raj</t>
  </si>
  <si>
    <t xml:space="preserve">spsm@deloitte.com</t>
  </si>
  <si>
    <t xml:space="preserve">Surya P.s.m</t>
  </si>
  <si>
    <t xml:space="preserve">Surya Teja P.S.M</t>
  </si>
  <si>
    <t xml:space="preserve">spujitha@deloitte.com</t>
  </si>
  <si>
    <t xml:space="preserve">Pujitha Pujitha</t>
  </si>
  <si>
    <t xml:space="preserve">Pujitha, Solasa</t>
  </si>
  <si>
    <t xml:space="preserve">spushpanathan@deloitte.com</t>
  </si>
  <si>
    <t xml:space="preserve">Pushpanathan, Sujitha</t>
  </si>
  <si>
    <t xml:space="preserve">Sujitha Pushpanathan</t>
  </si>
  <si>
    <t xml:space="preserve">Viswanath, Suhith Gullapalli </t>
  </si>
  <si>
    <t xml:space="preserve">sputhiyavalappil@deloitte.com</t>
  </si>
  <si>
    <t xml:space="preserve">Sruthi Puthiya Valappil</t>
  </si>
  <si>
    <t xml:space="preserve">spydimarri@deloitte.com</t>
  </si>
  <si>
    <t xml:space="preserve">Pydimarri, Srivally</t>
  </si>
  <si>
    <t xml:space="preserve">Srivally Pydimarri</t>
  </si>
  <si>
    <t xml:space="preserve">srajamane@deloitte.com</t>
  </si>
  <si>
    <t xml:space="preserve">Rajamane, Sannidhi</t>
  </si>
  <si>
    <t xml:space="preserve">Sannidhi Rajamane</t>
  </si>
  <si>
    <t xml:space="preserve">srajasandar@deloitte.com</t>
  </si>
  <si>
    <t xml:space="preserve">Rajasandar, Shangary</t>
  </si>
  <si>
    <t xml:space="preserve">srajeevjayaswal@deloitte.com</t>
  </si>
  <si>
    <t xml:space="preserve">Shruti Jayaswal</t>
  </si>
  <si>
    <t xml:space="preserve">srathakirshnan@deloitte.com</t>
  </si>
  <si>
    <t xml:space="preserve">Rathakirshnan, Saravanaganesh</t>
  </si>
  <si>
    <t xml:space="preserve">Saran Rathakirshnan</t>
  </si>
  <si>
    <t xml:space="preserve">srathore@deloitte.com</t>
  </si>
  <si>
    <t xml:space="preserve">LNU, Sanyogita</t>
  </si>
  <si>
    <t xml:space="preserve">Rathore, Sanyogita</t>
  </si>
  <si>
    <t xml:space="preserve">sravreddy@deloitte.com</t>
  </si>
  <si>
    <t xml:space="preserve">Sravanth Reddy K</t>
  </si>
  <si>
    <t xml:space="preserve">srch@deloitte.com</t>
  </si>
  <si>
    <t xml:space="preserve">Sreevalli Chinthamaneni</t>
  </si>
  <si>
    <t xml:space="preserve">srdasari@deloitte.com</t>
  </si>
  <si>
    <t xml:space="preserve">Dasari, Sreenu</t>
  </si>
  <si>
    <t xml:space="preserve">Sreenu Dasari</t>
  </si>
  <si>
    <t xml:space="preserve">Dasari, Sreenubabu</t>
  </si>
  <si>
    <t xml:space="preserve">sreghosh@deloitte.com</t>
  </si>
  <si>
    <t xml:space="preserve">Sreemoyee Ghosh</t>
  </si>
  <si>
    <t xml:space="preserve">srigr@deloitte.com</t>
  </si>
  <si>
    <t xml:space="preserve">Srivatshan G R</t>
  </si>
  <si>
    <t xml:space="preserve">srizvi@deloitte.com</t>
  </si>
  <si>
    <t xml:space="preserve">Rizvi, Sadiq</t>
  </si>
  <si>
    <t xml:space="preserve">SAP Power Designer</t>
  </si>
  <si>
    <t xml:space="preserve">srkappala@deloitte.com</t>
  </si>
  <si>
    <t xml:space="preserve">Srikanth Kappala</t>
  </si>
  <si>
    <t xml:space="preserve">srmadduluri@deloitte.com</t>
  </si>
  <si>
    <t xml:space="preserve">Sridutt, Sridutt</t>
  </si>
  <si>
    <t xml:space="preserve">srpadhee@deloitte.com</t>
  </si>
  <si>
    <t xml:space="preserve">Srabani Padhee</t>
  </si>
  <si>
    <t xml:space="preserve">srphani@deloitte.com</t>
  </si>
  <si>
    <t xml:space="preserve">Phani Srikantam</t>
  </si>
  <si>
    <t xml:space="preserve">srprabhat@deloitte.com</t>
  </si>
  <si>
    <t xml:space="preserve">Srikant Prabhat</t>
  </si>
  <si>
    <t xml:space="preserve">srsadineni@deloitte.com</t>
  </si>
  <si>
    <t xml:space="preserve">Sadineni, Sudha</t>
  </si>
  <si>
    <t xml:space="preserve">Sri Sai Sudha Sadineni</t>
  </si>
  <si>
    <t xml:space="preserve">srsagar@deloitte.com</t>
  </si>
  <si>
    <t xml:space="preserve">Srishti Sagar</t>
  </si>
  <si>
    <t xml:space="preserve">srvoruganti@deloitte.com</t>
  </si>
  <si>
    <t xml:space="preserve">Srikeerti Voruganti</t>
  </si>
  <si>
    <t xml:space="preserve">Srikeerti, Sri</t>
  </si>
  <si>
    <t xml:space="preserve">'+91409581028727</t>
  </si>
  <si>
    <t xml:space="preserve">ssachingulabrao@deloitte.com</t>
  </si>
  <si>
    <t xml:space="preserve">Sachin Gulabrao Tirkhunde</t>
  </si>
  <si>
    <t xml:space="preserve">Sachin Gulabrao, Tirkhunde </t>
  </si>
  <si>
    <t xml:space="preserve">Sachin Gulabrao, Tirkhunde</t>
  </si>
  <si>
    <t xml:space="preserve">ssaklani@deloitte.com</t>
  </si>
  <si>
    <t xml:space="preserve">Saklani, Samvedna</t>
  </si>
  <si>
    <t xml:space="preserve">Samvedna Saklani</t>
  </si>
  <si>
    <t xml:space="preserve">ssanand@deloitte.com</t>
  </si>
  <si>
    <t xml:space="preserve">Sagar S Anand</t>
  </si>
  <si>
    <t xml:space="preserve">ssarilla@deloitte.com</t>
  </si>
  <si>
    <t xml:space="preserve">Sarilla, Soujanya</t>
  </si>
  <si>
    <t xml:space="preserve">Soujanya</t>
  </si>
  <si>
    <t xml:space="preserve">ssasi@deloitte.com</t>
  </si>
  <si>
    <t xml:space="preserve">Sasi, Soumya</t>
  </si>
  <si>
    <t xml:space="preserve">Soumya Sasi</t>
  </si>
  <si>
    <t xml:space="preserve">ssasidharan@deloitte.com</t>
  </si>
  <si>
    <t xml:space="preserve">Sasidharan, Sivan</t>
  </si>
  <si>
    <t xml:space="preserve">SSASIDHARAN@DELOITTE.COM</t>
  </si>
  <si>
    <t xml:space="preserve">sselvasekar@deloitte.com</t>
  </si>
  <si>
    <t xml:space="preserve">Selvasekar, Santhosh Kumar</t>
  </si>
  <si>
    <t xml:space="preserve">sshankarsahu@deloitte.com</t>
  </si>
  <si>
    <t xml:space="preserve">Sahu, Shankar</t>
  </si>
  <si>
    <t xml:space="preserve">sshanthaseelan@deloitte.com</t>
  </si>
  <si>
    <t xml:space="preserve">Shanthaseelan, S</t>
  </si>
  <si>
    <t xml:space="preserve">Shanthaseelan, S </t>
  </si>
  <si>
    <t xml:space="preserve">sshanubhoga@deloitte.com</t>
  </si>
  <si>
    <t xml:space="preserve">Swathi Shanubhoga</t>
  </si>
  <si>
    <t xml:space="preserve">ssheela@deloitte.com</t>
  </si>
  <si>
    <t xml:space="preserve">Sidhant Sheela</t>
  </si>
  <si>
    <t xml:space="preserve">sshivanand@deloitte.com</t>
  </si>
  <si>
    <t xml:space="preserve">Soumya Shivananda</t>
  </si>
  <si>
    <t xml:space="preserve">ssinghkushwaha@deloitte.com</t>
  </si>
  <si>
    <t xml:space="preserve">Shailender Singh Kushwaha</t>
  </si>
  <si>
    <t xml:space="preserve">ssinghlamba@deloitte.com</t>
  </si>
  <si>
    <t xml:space="preserve">Simranjeet Singh</t>
  </si>
  <si>
    <t xml:space="preserve">Simranjeet Singh Lamba</t>
  </si>
  <si>
    <t xml:space="preserve">ssonawane@deloitte.com</t>
  </si>
  <si>
    <t xml:space="preserve">Sonawane, Saili</t>
  </si>
  <si>
    <t xml:space="preserve">ssreekanth@deloitte.com</t>
  </si>
  <si>
    <t xml:space="preserve">Smitha Sreekanth</t>
  </si>
  <si>
    <t xml:space="preserve">ssrikantam@deloitte.com</t>
  </si>
  <si>
    <t xml:space="preserve">Sai Kamal Srikantam</t>
  </si>
  <si>
    <t xml:space="preserve">Matillion</t>
  </si>
  <si>
    <t xml:space="preserve">ssubhashsavant@deloitte.com</t>
  </si>
  <si>
    <t xml:space="preserve">Subhash Savant, Shruti</t>
  </si>
  <si>
    <t xml:space="preserve">Shruti Savant Subhash Savant</t>
  </si>
  <si>
    <t xml:space="preserve">ssudhanayak@deloitte.com</t>
  </si>
  <si>
    <t xml:space="preserve">Suman Sudha Nayak</t>
  </si>
  <si>
    <t xml:space="preserve">ssudharson@deloitte.com</t>
  </si>
  <si>
    <t xml:space="preserve">Sudharsan, Shwetha</t>
  </si>
  <si>
    <t xml:space="preserve">ssureshchandrapan@deloitte.com</t>
  </si>
  <si>
    <t xml:space="preserve">Santosh Panda</t>
  </si>
  <si>
    <t xml:space="preserve">ssureshwankhede@deloitte.com</t>
  </si>
  <si>
    <t xml:space="preserve">Suresh Wankhede, Sakshi</t>
  </si>
  <si>
    <t xml:space="preserve">sswarnkar@deloitte.com</t>
  </si>
  <si>
    <t xml:space="preserve">Swarnkar, Shivam </t>
  </si>
  <si>
    <t xml:space="preserve">Swarnkar, Shivam</t>
  </si>
  <si>
    <t xml:space="preserve">ssyedmohamed@deloitte.com</t>
  </si>
  <si>
    <t xml:space="preserve">Syed Mohamed, Seena</t>
  </si>
  <si>
    <t xml:space="preserve">Seena Syed Mohamed</t>
  </si>
  <si>
    <t xml:space="preserve">stadepalle@deloitte.com</t>
  </si>
  <si>
    <t xml:space="preserve">Tadepalle, Seshu</t>
  </si>
  <si>
    <t xml:space="preserve">Seshubabu Tadepalle</t>
  </si>
  <si>
    <t xml:space="preserve">standle@deloitte.com</t>
  </si>
  <si>
    <t xml:space="preserve">Shalini Tandle</t>
  </si>
  <si>
    <t xml:space="preserve">sthalankidwarakan@deloitte.com</t>
  </si>
  <si>
    <t xml:space="preserve">Shashank Thalanki Dwarakanath</t>
  </si>
  <si>
    <t xml:space="preserve">sthammagonda@deloitte.com</t>
  </si>
  <si>
    <t xml:space="preserve">Samba Thammagonda</t>
  </si>
  <si>
    <t xml:space="preserve">stondwalkar@deloitte.com</t>
  </si>
  <si>
    <t xml:space="preserve">Sanchit Ravindra Tondwalkar</t>
  </si>
  <si>
    <t xml:space="preserve">API Automation Testing</t>
  </si>
  <si>
    <t xml:space="preserve">subhguha@deloitte.com</t>
  </si>
  <si>
    <t xml:space="preserve">Guha, Subhasish</t>
  </si>
  <si>
    <t xml:space="preserve">subhosale@deloitte.com</t>
  </si>
  <si>
    <t xml:space="preserve">Bhosale, Suraj Saudagar </t>
  </si>
  <si>
    <t xml:space="preserve">Suraj Bhosale</t>
  </si>
  <si>
    <t xml:space="preserve">suchandrika@deloitte.com</t>
  </si>
  <si>
    <t xml:space="preserve">A Sudha Chandrika</t>
  </si>
  <si>
    <t xml:space="preserve">Sudha Chandrika</t>
  </si>
  <si>
    <t xml:space="preserve">suchikumari@deloitte.com</t>
  </si>
  <si>
    <t xml:space="preserve">Suchit Kumari</t>
  </si>
  <si>
    <t xml:space="preserve">Suchitra Kumari</t>
  </si>
  <si>
    <t xml:space="preserve">suchowdary@deloitte.com</t>
  </si>
  <si>
    <t xml:space="preserve">anusha sunkavalli</t>
  </si>
  <si>
    <t xml:space="preserve">Anusha Chowdary</t>
  </si>
  <si>
    <t xml:space="preserve">sudessen@deloitte.com</t>
  </si>
  <si>
    <t xml:space="preserve">Sudeshna Sen</t>
  </si>
  <si>
    <t xml:space="preserve">sudhulipudi@deloitte.com</t>
  </si>
  <si>
    <t xml:space="preserve">Dhulipudi, Sudhakar</t>
  </si>
  <si>
    <t xml:space="preserve">'+919885414733</t>
  </si>
  <si>
    <t xml:space="preserve">sudubey@deloitte.com</t>
  </si>
  <si>
    <t xml:space="preserve">Sukrati Dubey</t>
  </si>
  <si>
    <t xml:space="preserve">suhviswanath@deloitte.com</t>
  </si>
  <si>
    <t xml:space="preserve">Suhith Gullapalli Viswanath</t>
  </si>
  <si>
    <t xml:space="preserve">sukkumar@deloitte.com</t>
  </si>
  <si>
    <t xml:space="preserve">Kumar, Sukesh</t>
  </si>
  <si>
    <t xml:space="preserve">Sukesh Kumar</t>
  </si>
  <si>
    <t xml:space="preserve">sumaggarwal@deloitte.com</t>
  </si>
  <si>
    <t xml:space="preserve">Sumeet Aggarwal</t>
  </si>
  <si>
    <t xml:space="preserve">sumashetty@deloitte.com</t>
  </si>
  <si>
    <t xml:space="preserve">Shetty, Suma</t>
  </si>
  <si>
    <t xml:space="preserve">sumbanik@deloitte.com</t>
  </si>
  <si>
    <t xml:space="preserve">Sumit Banik</t>
  </si>
  <si>
    <t xml:space="preserve">sumitgupta4@deloitte.com</t>
  </si>
  <si>
    <t xml:space="preserve">Gupta, Sumit</t>
  </si>
  <si>
    <t xml:space="preserve">Sumit Gupta</t>
  </si>
  <si>
    <t xml:space="preserve">sumote@deloitte.com</t>
  </si>
  <si>
    <t xml:space="preserve">Subhash Mote</t>
  </si>
  <si>
    <t xml:space="preserve">sunasood@deloitte.com</t>
  </si>
  <si>
    <t xml:space="preserve">Sunakshi Sood</t>
  </si>
  <si>
    <t xml:space="preserve">sunayak@deloitte.com</t>
  </si>
  <si>
    <t xml:space="preserve">Sumit Nayak</t>
  </si>
  <si>
    <t xml:space="preserve">sunikr@deloitte.com</t>
  </si>
  <si>
    <t xml:space="preserve">Sunil K R</t>
  </si>
  <si>
    <t xml:space="preserve">sunikumar@deloitte.com</t>
  </si>
  <si>
    <t xml:space="preserve">Kumar, Sunil</t>
  </si>
  <si>
    <t xml:space="preserve">Sunil Kumar</t>
  </si>
  <si>
    <t xml:space="preserve">sunilkumar42@deloitte.com</t>
  </si>
  <si>
    <t xml:space="preserve">Sunilkumar Lnu</t>
  </si>
  <si>
    <t xml:space="preserve">sunsrivastava@deloitte.com</t>
  </si>
  <si>
    <t xml:space="preserve">Sunny Srivastava</t>
  </si>
  <si>
    <t xml:space="preserve">suoberoi@deloitte.com</t>
  </si>
  <si>
    <t xml:space="preserve">Sumedha Oberoi</t>
  </si>
  <si>
    <t xml:space="preserve">supahwa@deloitte.com</t>
  </si>
  <si>
    <t xml:space="preserve">Pahwa, Sumit</t>
  </si>
  <si>
    <t xml:space="preserve">supkarmakar@deloitte.com</t>
  </si>
  <si>
    <t xml:space="preserve">Supratik Karmakar</t>
  </si>
  <si>
    <t xml:space="preserve">supsamal@deloitte.com</t>
  </si>
  <si>
    <t xml:space="preserve">Supratik Samal</t>
  </si>
  <si>
    <t xml:space="preserve">surbhijain3@deloitte.com</t>
  </si>
  <si>
    <t xml:space="preserve">Jain, SURBHI</t>
  </si>
  <si>
    <t xml:space="preserve">Surbhi Jain</t>
  </si>
  <si>
    <t xml:space="preserve">surengarajan@deloitte.com</t>
  </si>
  <si>
    <t xml:space="preserve">Subashini Rengarajan</t>
  </si>
  <si>
    <t xml:space="preserve">sursukumaran@deloitte.com</t>
  </si>
  <si>
    <t xml:space="preserve">Sukumaran, Suresh</t>
  </si>
  <si>
    <t xml:space="preserve">Suresh Sukumaran</t>
  </si>
  <si>
    <t xml:space="preserve">suryan7@deloitte.com</t>
  </si>
  <si>
    <t xml:space="preserve">N, Surya</t>
  </si>
  <si>
    <t xml:space="preserve">susadagopan@deloitte.com</t>
  </si>
  <si>
    <t xml:space="preserve">Sudharsanan Sadagopan</t>
  </si>
  <si>
    <t xml:space="preserve">susaicharan@deloitte.com</t>
  </si>
  <si>
    <t xml:space="preserve">SaiCharan Sunkara</t>
  </si>
  <si>
    <t xml:space="preserve">SaiCharan Sai Charan</t>
  </si>
  <si>
    <t xml:space="preserve">susbhatt@deloitte.com</t>
  </si>
  <si>
    <t xml:space="preserve">Sushma Bhatt</t>
  </si>
  <si>
    <t xml:space="preserve">susdash@deloitte.com</t>
  </si>
  <si>
    <t xml:space="preserve">Sushant Dash</t>
  </si>
  <si>
    <t xml:space="preserve">sushmita7@deloitte.com</t>
  </si>
  <si>
    <t xml:space="preserve">Sushmita Singh</t>
  </si>
  <si>
    <t xml:space="preserve">., Sushmita </t>
  </si>
  <si>
    <t xml:space="preserve">Atlanta</t>
  </si>
  <si>
    <t xml:space="preserve">Sushmita Lnu</t>
  </si>
  <si>
    <t xml:space="preserve">sushmk@deloitte.com</t>
  </si>
  <si>
    <t xml:space="preserve">Sushmitha K</t>
  </si>
  <si>
    <t xml:space="preserve">susujay@deloitte.com</t>
  </si>
  <si>
    <t xml:space="preserve">Sujay G</t>
  </si>
  <si>
    <t xml:space="preserve">Gajula Sujay</t>
  </si>
  <si>
    <t xml:space="preserve">Sujay Sujay</t>
  </si>
  <si>
    <t xml:space="preserve">susunagar@deloitte.com</t>
  </si>
  <si>
    <t xml:space="preserve">Sujata Sunagar</t>
  </si>
  <si>
    <t xml:space="preserve">sutyagi@deloitte.com</t>
  </si>
  <si>
    <t xml:space="preserve">SUMIT Tyagi</t>
  </si>
  <si>
    <t xml:space="preserve">'+919971798736</t>
  </si>
  <si>
    <t xml:space="preserve">suus@deloitte.com</t>
  </si>
  <si>
    <t xml:space="preserve">Subramanya U S</t>
  </si>
  <si>
    <t xml:space="preserve">suvrdas@deloitte.com</t>
  </si>
  <si>
    <t xml:space="preserve">Das, Suvrobitan</t>
  </si>
  <si>
    <t xml:space="preserve">SUVRDAS@DELOITTE.COM</t>
  </si>
  <si>
    <t xml:space="preserve">svalipireddy@deloitte.com</t>
  </si>
  <si>
    <t xml:space="preserve">Valipireddy, Sateesh Kumar</t>
  </si>
  <si>
    <t xml:space="preserve">Sateesh Kumar Valipireddy</t>
  </si>
  <si>
    <t xml:space="preserve">svelayudhan@deloitte.com</t>
  </si>
  <si>
    <t xml:space="preserve">Shalini V</t>
  </si>
  <si>
    <t xml:space="preserve">svenkatasaisanjay@deloitte.com</t>
  </si>
  <si>
    <t xml:space="preserve">Venkata Sai Sanjay Varma, Sanjay Varma</t>
  </si>
  <si>
    <t xml:space="preserve">swabajaj@deloitte.com</t>
  </si>
  <si>
    <t xml:space="preserve">Bajaj, Swati</t>
  </si>
  <si>
    <t xml:space="preserve">Swati Bajaj</t>
  </si>
  <si>
    <t xml:space="preserve">swabhaumik@deloitte.com</t>
  </si>
  <si>
    <t xml:space="preserve">Bhaumik, Swayanta</t>
  </si>
  <si>
    <t xml:space="preserve">swadk@deloitte.com</t>
  </si>
  <si>
    <t xml:space="preserve">K, Swaditya </t>
  </si>
  <si>
    <t xml:space="preserve">swapoddar@deloitte.com</t>
  </si>
  <si>
    <t xml:space="preserve">Swati</t>
  </si>
  <si>
    <t xml:space="preserve">swarprakash@deloitte.com</t>
  </si>
  <si>
    <t xml:space="preserve">Prakash, Swaraj</t>
  </si>
  <si>
    <t xml:space="preserve">Swaraj Prakash</t>
  </si>
  <si>
    <t xml:space="preserve">swathc@deloitte.com</t>
  </si>
  <si>
    <t xml:space="preserve">Swathi C</t>
  </si>
  <si>
    <t xml:space="preserve">swatigupta9@deloitte.com</t>
  </si>
  <si>
    <t xml:space="preserve">Gupta, Swati</t>
  </si>
  <si>
    <t xml:space="preserve">swatkumari@deloitte.com</t>
  </si>
  <si>
    <t xml:space="preserve">Swati Kumari</t>
  </si>
  <si>
    <t xml:space="preserve">swaymishra@deloitte.com</t>
  </si>
  <si>
    <t xml:space="preserve">Mishra, Swayamsiddha</t>
  </si>
  <si>
    <t xml:space="preserve">swaysingh@deloitte.com</t>
  </si>
  <si>
    <t xml:space="preserve">Singh, Swayambhu</t>
  </si>
  <si>
    <t xml:space="preserve">swbakshi@deloitte.com</t>
  </si>
  <si>
    <t xml:space="preserve">Swagat Sambit Bakshi</t>
  </si>
  <si>
    <t xml:space="preserve">Swagat Bakshi</t>
  </si>
  <si>
    <t xml:space="preserve">swdora@deloitte.com</t>
  </si>
  <si>
    <t xml:space="preserve">Swadhin Sangram Dora</t>
  </si>
  <si>
    <t xml:space="preserve">swdugar@deloitte.com</t>
  </si>
  <si>
    <t xml:space="preserve">Sweta Tanna</t>
  </si>
  <si>
    <t xml:space="preserve">swetripathi@deloitte.com</t>
  </si>
  <si>
    <t xml:space="preserve">Sweksha Tripathi</t>
  </si>
  <si>
    <t xml:space="preserve">Tripathi, Sweksha</t>
  </si>
  <si>
    <t xml:space="preserve">syedazhussain@deloitte.com</t>
  </si>
  <si>
    <t xml:space="preserve">Syed Azhar Hussain</t>
  </si>
  <si>
    <t xml:space="preserve">syehussaini@deloitte.com</t>
  </si>
  <si>
    <t xml:space="preserve">Hussaini, Abrar</t>
  </si>
  <si>
    <t xml:space="preserve">syehussaini@DELOITTE.com</t>
  </si>
  <si>
    <t xml:space="preserve">Hussaini, Syed Abrar</t>
  </si>
  <si>
    <t xml:space="preserve">syerabolu@deloitte.com</t>
  </si>
  <si>
    <t xml:space="preserve">Yerabolu, Shilpa</t>
  </si>
  <si>
    <t xml:space="preserve">szaheerulla@deloitte.com</t>
  </si>
  <si>
    <t xml:space="preserve">Zaheerulla, Syed</t>
  </si>
  <si>
    <t xml:space="preserve">'+918105617617</t>
  </si>
  <si>
    <t xml:space="preserve">tajindsingh@deloitte.com</t>
  </si>
  <si>
    <t xml:space="preserve">Tajinder singh</t>
  </si>
  <si>
    <t xml:space="preserve">tanrahman@deloitte.com</t>
  </si>
  <si>
    <t xml:space="preserve">Tanya Rahman</t>
  </si>
  <si>
    <t xml:space="preserve">Rahman, Tanya</t>
  </si>
  <si>
    <t xml:space="preserve">tansaini@deloitte.com</t>
  </si>
  <si>
    <t xml:space="preserve">Saini, Tanvi</t>
  </si>
  <si>
    <t xml:space="preserve">tchaudhuri@deloitte.com</t>
  </si>
  <si>
    <t xml:space="preserve">Tathagata Chaudhuri</t>
  </si>
  <si>
    <t xml:space="preserve">Chaudhuri, Tathagata</t>
  </si>
  <si>
    <t xml:space="preserve">tejasjain@deloitte.com</t>
  </si>
  <si>
    <t xml:space="preserve">Jain, tejas</t>
  </si>
  <si>
    <t xml:space="preserve">Tejas Jain</t>
  </si>
  <si>
    <t xml:space="preserve">Jain, Tejas</t>
  </si>
  <si>
    <t xml:space="preserve">thariprasad@deloitte.com</t>
  </si>
  <si>
    <t xml:space="preserve">Teru Hariprasad</t>
  </si>
  <si>
    <t xml:space="preserve">thmurugan@deloitte.com</t>
  </si>
  <si>
    <t xml:space="preserve">Thiru Murugan</t>
  </si>
  <si>
    <t xml:space="preserve">tide@deloitte.com</t>
  </si>
  <si>
    <t xml:space="preserve">Tirthadip De</t>
  </si>
  <si>
    <t xml:space="preserve">tmodi@deloitte.com</t>
  </si>
  <si>
    <t xml:space="preserve">Modi, Tejas Piyush</t>
  </si>
  <si>
    <t xml:space="preserve">tnagarohithkumar@deloitte.com</t>
  </si>
  <si>
    <t xml:space="preserve">Naga Rohith Kumar, Naga Rohith</t>
  </si>
  <si>
    <t xml:space="preserve">Naga Rohith Kumar Thodime</t>
  </si>
  <si>
    <t xml:space="preserve">Naga Rohith Kumar, Thodime</t>
  </si>
  <si>
    <t xml:space="preserve">tnaveenkumar6@deloitte.com</t>
  </si>
  <si>
    <t xml:space="preserve">T Naveen Kumar</t>
  </si>
  <si>
    <t xml:space="preserve">Naveen Naveen Kumar</t>
  </si>
  <si>
    <t xml:space="preserve">toahmad@deloitte.com</t>
  </si>
  <si>
    <t xml:space="preserve">Tousif Ahmad</t>
  </si>
  <si>
    <t xml:space="preserve">tpadman@deloitte.com</t>
  </si>
  <si>
    <t xml:space="preserve">Theertha Padman</t>
  </si>
  <si>
    <t xml:space="preserve">tparathnalli@deloitte.com</t>
  </si>
  <si>
    <t xml:space="preserve">Tasnim Iram N Parathnalli</t>
  </si>
  <si>
    <t xml:space="preserve">trajkumarbatra@deloitte.com</t>
  </si>
  <si>
    <t xml:space="preserve">Tamanna Rajkumar Batra</t>
  </si>
  <si>
    <t xml:space="preserve">trapeti@deloitte.com</t>
  </si>
  <si>
    <t xml:space="preserve">Rapeti, Tulasi</t>
  </si>
  <si>
    <t xml:space="preserve">trapeti@DELOITTE.com</t>
  </si>
  <si>
    <t xml:space="preserve">TRAPETI@DELOITTE.COM</t>
  </si>
  <si>
    <t xml:space="preserve">trchaudhuri@deloitte.com</t>
  </si>
  <si>
    <t xml:space="preserve">Trisha Chaudhuri</t>
  </si>
  <si>
    <t xml:space="preserve">tselvi@deloitte.com</t>
  </si>
  <si>
    <t xml:space="preserve">Tamil Selvi Dharmalingam</t>
  </si>
  <si>
    <t xml:space="preserve">Microsoft Azure - ML Engineer</t>
  </si>
  <si>
    <t xml:space="preserve">Dharmalingam, Tamil Selvi</t>
  </si>
  <si>
    <t xml:space="preserve">tshankarappa@deloitte.com</t>
  </si>
  <si>
    <t xml:space="preserve">Shankarappa, Tejasvi</t>
  </si>
  <si>
    <t xml:space="preserve">tsholapurkar@deloitte.com</t>
  </si>
  <si>
    <t xml:space="preserve">TUSHAR SHOLAPURKAR</t>
  </si>
  <si>
    <t xml:space="preserve">Tushar Sholapurkar</t>
  </si>
  <si>
    <t xml:space="preserve">tswetha@deloitte.com</t>
  </si>
  <si>
    <t xml:space="preserve">Swetha Thallam</t>
  </si>
  <si>
    <t xml:space="preserve">ubadhwar@deloitte.com</t>
  </si>
  <si>
    <t xml:space="preserve">urvashi badhwar maini</t>
  </si>
  <si>
    <t xml:space="preserve">ubanarase@deloitte.com</t>
  </si>
  <si>
    <t xml:space="preserve">Banarase, Utkarsha</t>
  </si>
  <si>
    <t xml:space="preserve">Utkarsha Banarase</t>
  </si>
  <si>
    <t xml:space="preserve">udevarapalli@deloitte.com</t>
  </si>
  <si>
    <t xml:space="preserve">Devarapalli, Uma</t>
  </si>
  <si>
    <t xml:space="preserve">Uma Sireesha Devarapalli</t>
  </si>
  <si>
    <t xml:space="preserve">Uma Devarapalli</t>
  </si>
  <si>
    <t xml:space="preserve">ukaturi@deloitte.com</t>
  </si>
  <si>
    <t xml:space="preserve">Ugesh Katuri</t>
  </si>
  <si>
    <t xml:space="preserve">ukonduri@deloitte.com</t>
  </si>
  <si>
    <t xml:space="preserve">uttara Konduri</t>
  </si>
  <si>
    <t xml:space="preserve">unsinha@deloitte.com</t>
  </si>
  <si>
    <t xml:space="preserve">Unnat Sinha</t>
  </si>
  <si>
    <t xml:space="preserve">uphatak@deloitte.com</t>
  </si>
  <si>
    <t xml:space="preserve">udita phatak</t>
  </si>
  <si>
    <t xml:space="preserve">Udita Phatak</t>
  </si>
  <si>
    <t xml:space="preserve">usailakshmanuttej@deloitte.com</t>
  </si>
  <si>
    <t xml:space="preserve">Sai Lakshman Uttej, Uttej</t>
  </si>
  <si>
    <t xml:space="preserve">ushdas@deloitte.com</t>
  </si>
  <si>
    <t xml:space="preserve">Das, Ushashi</t>
  </si>
  <si>
    <t xml:space="preserve">utenzing@deloitte.com</t>
  </si>
  <si>
    <t xml:space="preserve">Tenzing, Ugyal</t>
  </si>
  <si>
    <t xml:space="preserve">utpde@deloitte.com</t>
  </si>
  <si>
    <t xml:space="preserve">De, Utpal</t>
  </si>
  <si>
    <t xml:space="preserve">uvachharajani@deloitte.com</t>
  </si>
  <si>
    <t xml:space="preserve">Vachharajani, Utsav</t>
  </si>
  <si>
    <t xml:space="preserve">uvadlamani@deloitte.com</t>
  </si>
  <si>
    <t xml:space="preserve">Vadlamani, Ujwal</t>
  </si>
  <si>
    <t xml:space="preserve">uvatsal@DELOITTE.com</t>
  </si>
  <si>
    <t xml:space="preserve">Vatsal, Utsav</t>
  </si>
  <si>
    <t xml:space="preserve">Data Warehousing</t>
  </si>
  <si>
    <t xml:space="preserve">vadb@deloitte.com</t>
  </si>
  <si>
    <t xml:space="preserve">vadiraj D B</t>
  </si>
  <si>
    <t xml:space="preserve">Vadiraj D B</t>
  </si>
  <si>
    <t xml:space="preserve">vaibhabansal@deloitte.com</t>
  </si>
  <si>
    <t xml:space="preserve">Bansal, Vaibhav</t>
  </si>
  <si>
    <t xml:space="preserve">VAIBHABANSAL@DELOITTE.COM</t>
  </si>
  <si>
    <t xml:space="preserve">Vaibhav Bansal</t>
  </si>
  <si>
    <t xml:space="preserve">vaibhavgupta6@deloitte.com</t>
  </si>
  <si>
    <t xml:space="preserve">Vaibhav Gupta</t>
  </si>
  <si>
    <t xml:space="preserve">Gupta, Vaibhav</t>
  </si>
  <si>
    <t xml:space="preserve">vaibhjain@deloitte.com</t>
  </si>
  <si>
    <t xml:space="preserve">Jain, Vaibhav</t>
  </si>
  <si>
    <t xml:space="preserve">Vaibhav Jain</t>
  </si>
  <si>
    <t xml:space="preserve">vaibmohan@deloitte.com</t>
  </si>
  <si>
    <t xml:space="preserve">Vaibhav Mohan</t>
  </si>
  <si>
    <t xml:space="preserve">Mohan, Vaibhav</t>
  </si>
  <si>
    <t xml:space="preserve">valuri@deloitte.com</t>
  </si>
  <si>
    <t xml:space="preserve">Viswanath Aluri</t>
  </si>
  <si>
    <t xml:space="preserve">vanandamevanniar@deloitte.com</t>
  </si>
  <si>
    <t xml:space="preserve">Vignesh Vanniar</t>
  </si>
  <si>
    <t xml:space="preserve">Report Builder</t>
  </si>
  <si>
    <t xml:space="preserve">Microsoft fabric</t>
  </si>
  <si>
    <t xml:space="preserve">Anandame Vanniar, Vignesh</t>
  </si>
  <si>
    <t xml:space="preserve">L45 - Analytics and Insights Engineer I</t>
  </si>
  <si>
    <t xml:space="preserve">varsv@deloitte.com</t>
  </si>
  <si>
    <t xml:space="preserve">V, Varsha</t>
  </si>
  <si>
    <t xml:space="preserve">varungupta9@deloitte.com</t>
  </si>
  <si>
    <t xml:space="preserve">Gupta, Varun</t>
  </si>
  <si>
    <t xml:space="preserve">varun gupta</t>
  </si>
  <si>
    <t xml:space="preserve">vasanusha@deloitte.com</t>
  </si>
  <si>
    <t xml:space="preserve">Anusha Vasigala</t>
  </si>
  <si>
    <t xml:space="preserve">vasharma@deloitte.com</t>
  </si>
  <si>
    <t xml:space="preserve">Vasundhara Sharma</t>
  </si>
  <si>
    <t xml:space="preserve">Sharma, Vasundhara</t>
  </si>
  <si>
    <t xml:space="preserve">vavangala@deloitte.com</t>
  </si>
  <si>
    <t xml:space="preserve">Vangala, Vamsi</t>
  </si>
  <si>
    <t xml:space="preserve">vbalasubrahmanyas@deloitte.com</t>
  </si>
  <si>
    <t xml:space="preserve">Bala Subrahmanya Sharma, Vedam</t>
  </si>
  <si>
    <t xml:space="preserve">vbattupalli@deloitte.com</t>
  </si>
  <si>
    <t xml:space="preserve">Vandana Battupalli</t>
  </si>
  <si>
    <t xml:space="preserve">Weblogic</t>
  </si>
  <si>
    <t xml:space="preserve">Tomcat</t>
  </si>
  <si>
    <t xml:space="preserve">Jboss</t>
  </si>
  <si>
    <t xml:space="preserve">vbhujbal@deloitte.com</t>
  </si>
  <si>
    <t xml:space="preserve">Vishal Bhujbal</t>
  </si>
  <si>
    <t xml:space="preserve">Bhujbal, Vishal </t>
  </si>
  <si>
    <t xml:space="preserve">Bhujbal, Vishal</t>
  </si>
  <si>
    <t xml:space="preserve">vbhutaki@deloitte.com</t>
  </si>
  <si>
    <t xml:space="preserve">Vikas Bhutaki</t>
  </si>
  <si>
    <t xml:space="preserve">vboya@deloitte.com</t>
  </si>
  <si>
    <t xml:space="preserve">Boya, Vishal</t>
  </si>
  <si>
    <t xml:space="preserve">Boya, Venkata Ramulu Vishal </t>
  </si>
  <si>
    <t xml:space="preserve">vchauhan@deloitte.com</t>
  </si>
  <si>
    <t xml:space="preserve">Virendra Singh Chauhan</t>
  </si>
  <si>
    <t xml:space="preserve">vchellaboina@deloitte.com</t>
  </si>
  <si>
    <t xml:space="preserve">Chellaboina, Satya</t>
  </si>
  <si>
    <t xml:space="preserve">Chellaboina, V V Satyanarayana</t>
  </si>
  <si>
    <t xml:space="preserve">Satya Chellaboina</t>
  </si>
  <si>
    <t xml:space="preserve">vdineshkharwa@deloitte.com</t>
  </si>
  <si>
    <t xml:space="preserve">Dinesh Kharwa, Varsha</t>
  </si>
  <si>
    <t xml:space="preserve">Varsha Kharwa</t>
  </si>
  <si>
    <t xml:space="preserve">vdm@deloitte.com</t>
  </si>
  <si>
    <t xml:space="preserve">Vivek Dm</t>
  </si>
  <si>
    <t xml:space="preserve">vedereddy@deloitte.com</t>
  </si>
  <si>
    <t xml:space="preserve">Pallavi Reddy</t>
  </si>
  <si>
    <t xml:space="preserve">vejain@deloitte.com</t>
  </si>
  <si>
    <t xml:space="preserve">Jain, Vernika Jain</t>
  </si>
  <si>
    <t xml:space="preserve">Vernika Jain Jain</t>
  </si>
  <si>
    <t xml:space="preserve">Jain, Vernika</t>
  </si>
  <si>
    <t xml:space="preserve">vesekaran@deloitte.com</t>
  </si>
  <si>
    <t xml:space="preserve">Sekaran, Venkatesh</t>
  </si>
  <si>
    <t xml:space="preserve">vgeethanjali@deloitte.com</t>
  </si>
  <si>
    <t xml:space="preserve">Geetha Geethanjali</t>
  </si>
  <si>
    <t xml:space="preserve">vhsrinivas@deloitte.com</t>
  </si>
  <si>
    <t xml:space="preserve">Harsha Srinivas</t>
  </si>
  <si>
    <t xml:space="preserve">vichinnadurai@deloitte.com</t>
  </si>
  <si>
    <t xml:space="preserve">Vigneshwara Chinnadurai</t>
  </si>
  <si>
    <t xml:space="preserve">vickumar@deloitte.com</t>
  </si>
  <si>
    <t xml:space="preserve">Vickey Kumar</t>
  </si>
  <si>
    <t xml:space="preserve">vidixit@deloitte.com</t>
  </si>
  <si>
    <t xml:space="preserve">Vaibhav Dixit</t>
  </si>
  <si>
    <t xml:space="preserve">Vibhav Dixit</t>
  </si>
  <si>
    <t xml:space="preserve">vidjain@deloitte.com</t>
  </si>
  <si>
    <t xml:space="preserve">Vidit Jain</t>
  </si>
  <si>
    <t xml:space="preserve">vidmestry@deloitte.com</t>
  </si>
  <si>
    <t xml:space="preserve">Mestry, Vidyadhar</t>
  </si>
  <si>
    <t xml:space="preserve">Vidyadhar Mestry</t>
  </si>
  <si>
    <t xml:space="preserve">vignm@deloitte.com</t>
  </si>
  <si>
    <t xml:space="preserve">Vignesh M</t>
  </si>
  <si>
    <t xml:space="preserve">vikagupta@deloitte.com</t>
  </si>
  <si>
    <t xml:space="preserve">Vikas Gupta</t>
  </si>
  <si>
    <t xml:space="preserve">vikashkumar52@deloitte.com</t>
  </si>
  <si>
    <t xml:space="preserve">Vikash Kumar</t>
  </si>
  <si>
    <t xml:space="preserve">vikaspatel@deloitte.com</t>
  </si>
  <si>
    <t xml:space="preserve">Vikash Patel</t>
  </si>
  <si>
    <t xml:space="preserve">vikrreddy@deloitte.com</t>
  </si>
  <si>
    <t xml:space="preserve">Reddy, Vikram</t>
  </si>
  <si>
    <t xml:space="preserve">vimalkumar@deloitte.com</t>
  </si>
  <si>
    <t xml:space="preserve">Kumar, Vimal</t>
  </si>
  <si>
    <t xml:space="preserve">Vimal kumar</t>
  </si>
  <si>
    <t xml:space="preserve">Vimal Kumar</t>
  </si>
  <si>
    <t xml:space="preserve">vinoda8@deloitte.com</t>
  </si>
  <si>
    <t xml:space="preserve">Vinod A</t>
  </si>
  <si>
    <t xml:space="preserve">Chandran, David Rohan</t>
  </si>
  <si>
    <t xml:space="preserve">Visdhiman@deloitte.com</t>
  </si>
  <si>
    <t xml:space="preserve">Vishal Dhiman</t>
  </si>
  <si>
    <t xml:space="preserve">vishalgupta64@deloitte.com</t>
  </si>
  <si>
    <t xml:space="preserve">Vishal Gupta</t>
  </si>
  <si>
    <t xml:space="preserve">Gupta, Vishal</t>
  </si>
  <si>
    <t xml:space="preserve">vishalsharma78@deloitte.com</t>
  </si>
  <si>
    <t xml:space="preserve">Vishal Sharma</t>
  </si>
  <si>
    <t xml:space="preserve">vishekumar@deloitte.com</t>
  </si>
  <si>
    <t xml:space="preserve">Kumar, Vishesh</t>
  </si>
  <si>
    <t xml:space="preserve">visitaram@deloitte.com</t>
  </si>
  <si>
    <t xml:space="preserve">Vijaykumar Sitaram</t>
  </si>
  <si>
    <t xml:space="preserve">vivekpatel@deloitte.com</t>
  </si>
  <si>
    <t xml:space="preserve">Patel, Vivek</t>
  </si>
  <si>
    <t xml:space="preserve">Vivek Patel</t>
  </si>
  <si>
    <t xml:space="preserve">Chicago</t>
  </si>
  <si>
    <t xml:space="preserve">SAP MDG</t>
  </si>
  <si>
    <t xml:space="preserve">vivekumarsingh@deloitte.com</t>
  </si>
  <si>
    <t xml:space="preserve">Vivek Kumar Singh</t>
  </si>
  <si>
    <t xml:space="preserve">vjillela@deloitte.com</t>
  </si>
  <si>
    <t xml:space="preserve">Vijay Jillela</t>
  </si>
  <si>
    <t xml:space="preserve">SAP DATASPHERE/SAC</t>
  </si>
  <si>
    <t xml:space="preserve">vjogu@deloitte.com</t>
  </si>
  <si>
    <t xml:space="preserve">vijayaramarao JOGU</t>
  </si>
  <si>
    <t xml:space="preserve">Vijay Jogu</t>
  </si>
  <si>
    <t xml:space="preserve">vkankar@deloitte.com</t>
  </si>
  <si>
    <t xml:space="preserve">Kankar, Vikram</t>
  </si>
  <si>
    <t xml:space="preserve">Vikram Kankar</t>
  </si>
  <si>
    <t xml:space="preserve">vkaul@deloitte.com</t>
  </si>
  <si>
    <t xml:space="preserve">Vishal Kaul</t>
  </si>
  <si>
    <t xml:space="preserve">vkhade@deloitte.com</t>
  </si>
  <si>
    <t xml:space="preserve">Khade, Vikas</t>
  </si>
  <si>
    <t xml:space="preserve">vkhashabaravidhon@deloitte.com</t>
  </si>
  <si>
    <t xml:space="preserve">Vikas Ravidhone</t>
  </si>
  <si>
    <t xml:space="preserve">vkrishnatejahari@deloitte.com</t>
  </si>
  <si>
    <t xml:space="preserve">VASUDEVA KRISHNA TEJA HARI</t>
  </si>
  <si>
    <t xml:space="preserve">Krishna Hari</t>
  </si>
  <si>
    <t xml:space="preserve">vkunnath@deloitte.com</t>
  </si>
  <si>
    <t xml:space="preserve">Vivin Kunnath</t>
  </si>
  <si>
    <t xml:space="preserve">vmadduri@deloitte.com</t>
  </si>
  <si>
    <t xml:space="preserve">Vani Sireesha Madduri</t>
  </si>
  <si>
    <t xml:space="preserve">Vani Sireesha Madduri Madduri</t>
  </si>
  <si>
    <t xml:space="preserve">vmadhavan@deloitte.com</t>
  </si>
  <si>
    <t xml:space="preserve">Madhavan, Vinoth</t>
  </si>
  <si>
    <t xml:space="preserve">vmalaiyappan@deloitte.com</t>
  </si>
  <si>
    <t xml:space="preserve">Malaiyappan, Vignesh</t>
  </si>
  <si>
    <t xml:space="preserve">Vignesh Malaiyappan</t>
  </si>
  <si>
    <t xml:space="preserve">vmantravadi@deloitte.com</t>
  </si>
  <si>
    <t xml:space="preserve">Vamsi Mantravadi</t>
  </si>
  <si>
    <t xml:space="preserve">vnagasivasatyasri@deloitte.com</t>
  </si>
  <si>
    <t xml:space="preserve">venkata naga siva satya sridevi Potharaju</t>
  </si>
  <si>
    <t xml:space="preserve">vpoonia@deloitte.com</t>
  </si>
  <si>
    <t xml:space="preserve">Vikash Poonia</t>
  </si>
  <si>
    <t xml:space="preserve">Poonia, Vikash</t>
  </si>
  <si>
    <t xml:space="preserve">vprasaddarawath@deloitte.com</t>
  </si>
  <si>
    <t xml:space="preserve">Prasad Darawath, Venkata</t>
  </si>
  <si>
    <t xml:space="preserve">vraju@deloitte.com</t>
  </si>
  <si>
    <t xml:space="preserve">CH VISHNU VARDHAN RAJU</t>
  </si>
  <si>
    <t xml:space="preserve">Oracle Object Store</t>
  </si>
  <si>
    <t xml:space="preserve">Vishnu Raju</t>
  </si>
  <si>
    <t xml:space="preserve">vrasam@deloitte.com</t>
  </si>
  <si>
    <t xml:space="preserve">Vaishnavi Rasam</t>
  </si>
  <si>
    <t xml:space="preserve">Apache Hadoop Admin</t>
  </si>
  <si>
    <t xml:space="preserve">Rasam, Vaishnavi</t>
  </si>
  <si>
    <t xml:space="preserve">Devops</t>
  </si>
  <si>
    <t xml:space="preserve">vraval@deloitte.com</t>
  </si>
  <si>
    <t xml:space="preserve">Raval, Vishesh</t>
  </si>
  <si>
    <t xml:space="preserve">vravindramangleka@deloitte.com</t>
  </si>
  <si>
    <t xml:space="preserve">Varad Ravindra Manglekar</t>
  </si>
  <si>
    <t xml:space="preserve">vrkrishnan@deloitte.com</t>
  </si>
  <si>
    <t xml:space="preserve">Vishnu R Krishnan</t>
  </si>
  <si>
    <t xml:space="preserve">vsarathkumarreddy@deloitte.com</t>
  </si>
  <si>
    <t xml:space="preserve">Sarath Kumar Reddy, Valipireddy </t>
  </si>
  <si>
    <t xml:space="preserve">vsengupta@deloitte.com</t>
  </si>
  <si>
    <t xml:space="preserve">Sengupta, Ved</t>
  </si>
  <si>
    <t xml:space="preserve">vsimgekar@deloitte.com</t>
  </si>
  <si>
    <t xml:space="preserve">Vikas Simgekar</t>
  </si>
  <si>
    <t xml:space="preserve">vsinghthakur@deloitte.com</t>
  </si>
  <si>
    <t xml:space="preserve">Varsha Singh Thakur</t>
  </si>
  <si>
    <t xml:space="preserve">vsinkar@deloitte.com</t>
  </si>
  <si>
    <t xml:space="preserve">Viren Eknath Sinkar</t>
  </si>
  <si>
    <t xml:space="preserve">vsirivuri@deloitte.com</t>
  </si>
  <si>
    <t xml:space="preserve">Vamsi Sirivuri</t>
  </si>
  <si>
    <t xml:space="preserve">vsrudraraju@deloitte.com</t>
  </si>
  <si>
    <t xml:space="preserve">Rudraraju, V S Avinash Varma</t>
  </si>
  <si>
    <t xml:space="preserve">vsubrahmanyam@deloitte.com</t>
  </si>
  <si>
    <t xml:space="preserve">Subbu Venkata Subrahmanyam</t>
  </si>
  <si>
    <t xml:space="preserve">IBM Sterling B2B Integrator</t>
  </si>
  <si>
    <t xml:space="preserve">vthotasai@deloitte.com</t>
  </si>
  <si>
    <t xml:space="preserve">Thota Sai, Vijay</t>
  </si>
  <si>
    <t xml:space="preserve">vtickoo@deloitte.com</t>
  </si>
  <si>
    <t xml:space="preserve">Vishal Tickoo</t>
  </si>
  <si>
    <t xml:space="preserve">vvashishatha@deloitte.com</t>
  </si>
  <si>
    <t xml:space="preserve">Vashishatha, VINEET VASHISHATHA</t>
  </si>
  <si>
    <t xml:space="preserve">vvasu@deloitte.com</t>
  </si>
  <si>
    <t xml:space="preserve">Venkatesh Vasu</t>
  </si>
  <si>
    <t xml:space="preserve">vvelooru@deloitte.com</t>
  </si>
  <si>
    <t xml:space="preserve">Vijay Velooru</t>
  </si>
  <si>
    <t xml:space="preserve">wamohammedabdul@deloitte.com</t>
  </si>
  <si>
    <t xml:space="preserve">Waseem Mohammed Abdul</t>
  </si>
  <si>
    <t xml:space="preserve">yakshaik@deloitte.com</t>
  </si>
  <si>
    <t xml:space="preserve">Shaik, Yakub Pasha</t>
  </si>
  <si>
    <t xml:space="preserve">ycheedella@deloitte.com</t>
  </si>
  <si>
    <t xml:space="preserve">Yashvanth Cheedella</t>
  </si>
  <si>
    <t xml:space="preserve">ynagavaibhav@deloitte.com</t>
  </si>
  <si>
    <t xml:space="preserve">Nagavaibhav, Yadalam </t>
  </si>
  <si>
    <t xml:space="preserve">yogejoshi@deloitte.com</t>
  </si>
  <si>
    <t xml:space="preserve">Yogesh Joshi</t>
  </si>
  <si>
    <t xml:space="preserve">ysurendrakode@deloitte.com</t>
  </si>
  <si>
    <t xml:space="preserve">Surendra Kode, Yatin</t>
  </si>
  <si>
    <t xml:space="preserve">yvenkatagiridhar@deloitte.com</t>
  </si>
  <si>
    <t xml:space="preserve">Venkatagiridhar, Yallapragada</t>
  </si>
  <si>
    <t xml:space="preserve">yyagnikmaheshbhai@deloitte.com</t>
  </si>
  <si>
    <t xml:space="preserve">Pandya, Yagnik</t>
  </si>
  <si>
    <t xml:space="preserve">dhagopalakrishnan@deloitte.com</t>
  </si>
  <si>
    <t xml:space="preserve">Dharshan Gopalakrishnan</t>
  </si>
  <si>
    <t xml:space="preserve">shasr@deloitte.com</t>
  </si>
  <si>
    <t xml:space="preserve">R, Shashishekar</t>
  </si>
  <si>
    <t xml:space="preserve">ishujain@deloitte.com</t>
  </si>
  <si>
    <t xml:space="preserve">Jain, ISHU</t>
  </si>
  <si>
    <t xml:space="preserve">gayathv@deloitte.com</t>
  </si>
  <si>
    <t xml:space="preserve">V, Gayathri</t>
  </si>
  <si>
    <t xml:space="preserve">shubham36@deloitte.com</t>
  </si>
  <si>
    <t xml:space="preserve">Shubham</t>
  </si>
  <si>
    <t xml:space="preserve">Dhyani, Harsh</t>
  </si>
  <si>
    <t xml:space="preserve">odilipudawant@deloitte.com</t>
  </si>
  <si>
    <t xml:space="preserve">Udawant, Omkar</t>
  </si>
  <si>
    <t xml:space="preserve">L45-Data Engineer III</t>
  </si>
  <si>
    <t xml:space="preserve">Venkata Hema Latha, Paravada</t>
  </si>
  <si>
    <t xml:space="preserve">Bosco, Joish</t>
  </si>
  <si>
    <t xml:space="preserve">Shukla, Shruti</t>
  </si>
  <si>
    <t xml:space="preserve">L45 - AI and Data Science Engineer</t>
  </si>
  <si>
    <t xml:space="preserve">Rane, Nikhil Digambar</t>
  </si>
  <si>
    <t xml:space="preserve">sdaripa@deloitte.com</t>
  </si>
  <si>
    <t xml:space="preserve">Daripa, Subhasis</t>
  </si>
  <si>
    <t xml:space="preserve">nalip@deloitte.com</t>
  </si>
  <si>
    <t xml:space="preserve">P, Nalina</t>
  </si>
  <si>
    <t xml:space="preserve">Dutta Chowdhury, Avishek</t>
  </si>
  <si>
    <t xml:space="preserve">supbose@deloitte.com</t>
  </si>
  <si>
    <t xml:space="preserve">Bose, Suprateek</t>
  </si>
  <si>
    <t xml:space="preserve">srnandiyala@deloitte.com</t>
  </si>
  <si>
    <t xml:space="preserve">NANDIYALA, SRINIVAS</t>
  </si>
  <si>
    <t xml:space="preserve">Vishesh Kumar</t>
  </si>
  <si>
    <t xml:space="preserve">Banglore</t>
  </si>
  <si>
    <t xml:space="preserve">radamaraju@deloitte.com</t>
  </si>
  <si>
    <t xml:space="preserve">Raja Ram Damaraju</t>
  </si>
  <si>
    <t xml:space="preserve">agirnar@deloitte.com</t>
  </si>
  <si>
    <t xml:space="preserve">Anjali Girnar</t>
  </si>
  <si>
    <t xml:space="preserve">Informatica MDM SAS</t>
  </si>
  <si>
    <t xml:space="preserve">shilpaul@deloitte.com</t>
  </si>
  <si>
    <t xml:space="preserve">Shiladittya Paul</t>
  </si>
  <si>
    <t xml:space="preserve">kkl1@deloitte.com</t>
  </si>
  <si>
    <t xml:space="preserve">Kedari Keremane</t>
  </si>
  <si>
    <t xml:space="preserve">Informatica MDM Admin</t>
  </si>
  <si>
    <t xml:space="preserve">Informatica MDM SaaS</t>
  </si>
  <si>
    <t xml:space="preserve">nilojha@deloitte.com</t>
  </si>
  <si>
    <t xml:space="preserve">Nilanjana Ojha</t>
  </si>
  <si>
    <t xml:space="preserve">L45 - AI &amp; Data Solutions Data Engineer</t>
  </si>
  <si>
    <t xml:space="preserve">njhamtani@deloitte.com</t>
  </si>
  <si>
    <t xml:space="preserve">Nitin Jatmani</t>
  </si>
  <si>
    <t xml:space="preserve">smastan@deloitte.com</t>
  </si>
  <si>
    <t xml:space="preserve">Mastan Shaik</t>
  </si>
  <si>
    <t xml:space="preserve">avnkanchan@deloitte.com</t>
  </si>
  <si>
    <t xml:space="preserve">Avni Kanchan</t>
  </si>
  <si>
    <t xml:space="preserve">chincd@deloitte.com</t>
  </si>
  <si>
    <t xml:space="preserve">Chinchu D</t>
  </si>
  <si>
    <t xml:space="preserve">konagarwal@deloitte.com</t>
  </si>
  <si>
    <t xml:space="preserve">Agarwal, Konika</t>
  </si>
  <si>
    <t xml:space="preserve">mohanr@deloitte.com</t>
  </si>
  <si>
    <t xml:space="preserve">R, Mohan Kumar</t>
  </si>
  <si>
    <t xml:space="preserve">R S, Arun</t>
  </si>
  <si>
    <t xml:space="preserve">siddharthjain2@deloitte.com</t>
  </si>
  <si>
    <t xml:space="preserve">Jain, Siddharth</t>
  </si>
  <si>
    <t xml:space="preserve">skhanb@deloitte.com</t>
  </si>
  <si>
    <t xml:space="preserve">Khan B, Salman</t>
  </si>
  <si>
    <t xml:space="preserve">chennai</t>
  </si>
  <si>
    <t xml:space="preserve">kaipuri@deloitte.com</t>
  </si>
  <si>
    <t xml:space="preserve">Puri, Kailas</t>
  </si>
  <si>
    <t xml:space="preserve">rekalra@deloitte.com</t>
  </si>
  <si>
    <t xml:space="preserve">Kalra, Renu</t>
  </si>
  <si>
    <t xml:space="preserve">shivapathak@deloitte.com</t>
  </si>
  <si>
    <t xml:space="preserve">Shivangi Tiwari</t>
  </si>
  <si>
    <t xml:space="preserve">Uipath</t>
  </si>
  <si>
    <t xml:space="preserve">vjaywantraochaudh@deloitte.com</t>
  </si>
  <si>
    <t xml:space="preserve">Jaywantrao Chaudhari, Vasudha</t>
  </si>
  <si>
    <t xml:space="preserve">kpurushottamkulka@deloitte.com</t>
  </si>
  <si>
    <t xml:space="preserve">Purushottam Kulkarni, Kedar</t>
  </si>
  <si>
    <t xml:space="preserve">shsarode@deloitte.com</t>
  </si>
  <si>
    <t xml:space="preserve">Sarode, Shreyas</t>
  </si>
  <si>
    <t xml:space="preserve">souvimondal@deloitte.com</t>
  </si>
  <si>
    <t xml:space="preserve">Mondal, Souvik</t>
  </si>
  <si>
    <t xml:space="preserve">lgarrepelli@deloitte.com</t>
  </si>
  <si>
    <t xml:space="preserve">Garrepelli, Laxmipranavi</t>
  </si>
  <si>
    <t xml:space="preserve">drv@deloitte.com</t>
  </si>
  <si>
    <t xml:space="preserve">R V, Dhileeban Krishna</t>
  </si>
  <si>
    <t xml:space="preserve">rravikiran@deloitte.com</t>
  </si>
  <si>
    <t xml:space="preserve">Ravikiran, Ravikiran</t>
  </si>
  <si>
    <t xml:space="preserve">Bhatt, Sushma</t>
  </si>
  <si>
    <t xml:space="preserve">Bharti, Rohit Kumar Kumar</t>
  </si>
  <si>
    <t xml:space="preserve">hkaler@deloitte.com</t>
  </si>
  <si>
    <t xml:space="preserve">Kaler, Harsh</t>
  </si>
  <si>
    <t xml:space="preserve">L35 - Consultant, Technical Transformation</t>
  </si>
  <si>
    <t xml:space="preserve">gijohn@deloitte.com</t>
  </si>
  <si>
    <t xml:space="preserve">John, Gibin</t>
  </si>
  <si>
    <t xml:space="preserve">adarshsingh6@deloitte.com</t>
  </si>
  <si>
    <t xml:space="preserve">Singh, Adarsh</t>
  </si>
  <si>
    <t xml:space="preserve">bhajha@deloitte.com</t>
  </si>
  <si>
    <t xml:space="preserve">Jha, Bhargavi</t>
  </si>
  <si>
    <t xml:space="preserve">vpatro@deloitte.com</t>
  </si>
  <si>
    <t xml:space="preserve">Patro, Venketesh</t>
  </si>
  <si>
    <t xml:space="preserve">L35 - Software Engineer II</t>
  </si>
  <si>
    <t xml:space="preserve">kirutn@deloitte.com</t>
  </si>
  <si>
    <t xml:space="preserve">KIRUTHIGA NATARAJAN</t>
  </si>
  <si>
    <t xml:space="preserve">Roy, Arjun</t>
  </si>
  <si>
    <t xml:space="preserve">Sharma, Ankit</t>
  </si>
  <si>
    <t xml:space="preserve">kujaiswal@deloitte.com</t>
  </si>
  <si>
    <t xml:space="preserve">Jaiswal, Kushagra</t>
  </si>
  <si>
    <t xml:space="preserve">dvenkatanaveenkum@deloitte.com</t>
  </si>
  <si>
    <t xml:space="preserve">Venkata Naveen Kumar, Dama</t>
  </si>
  <si>
    <t xml:space="preserve">ssarangapani@deloitte.com</t>
  </si>
  <si>
    <t xml:space="preserve">Sarangapani, Sowmiyaa</t>
  </si>
  <si>
    <t xml:space="preserve">sshekhar2@deloitte.com</t>
  </si>
  <si>
    <t xml:space="preserve">shekhar, shashank</t>
  </si>
  <si>
    <t xml:space="preserve">arzbansal@deloitte.com</t>
  </si>
  <si>
    <t xml:space="preserve">Bansal, Arzoo</t>
  </si>
  <si>
    <t xml:space="preserve">Cheruku, Kodanda Ramireddy</t>
  </si>
  <si>
    <t xml:space="preserve">Kukreti, Manish</t>
  </si>
  <si>
    <t xml:space="preserve">Jain, Shruti</t>
  </si>
  <si>
    <t xml:space="preserve">Jain, Divya</t>
  </si>
  <si>
    <t xml:space="preserve">prathjoshi@deloitte.com</t>
  </si>
  <si>
    <t xml:space="preserve">Joshi, Prathmesh</t>
  </si>
  <si>
    <t xml:space="preserve">Fnu, Mukul</t>
  </si>
  <si>
    <t xml:space="preserve">Bhardwaj, Lakshit Kumaar</t>
  </si>
  <si>
    <t xml:space="preserve">avbrahma@deloitte.com</t>
  </si>
  <si>
    <t xml:space="preserve">Brahma, Avishek</t>
  </si>
  <si>
    <t xml:space="preserve">vakunwar@deloitte.com</t>
  </si>
  <si>
    <t xml:space="preserve">Kunwar, Vaibhav</t>
  </si>
  <si>
    <t xml:space="preserve">ankbhatnagar@deloitte.com</t>
  </si>
  <si>
    <t xml:space="preserve">Bhatnagar, Ankita</t>
  </si>
  <si>
    <t xml:space="preserve">jsivakumar@deloitte.com</t>
  </si>
  <si>
    <t xml:space="preserve">Sivakumar, Jayasankari</t>
  </si>
  <si>
    <t xml:space="preserve">vragavig@deloitte.com</t>
  </si>
  <si>
    <t xml:space="preserve">Ragavi G, Vijaya</t>
  </si>
  <si>
    <t xml:space="preserve">Mohanty, Abhijit</t>
  </si>
  <si>
    <t xml:space="preserve">varasanal@deloitte.com</t>
  </si>
  <si>
    <t xml:space="preserve">Arasanal, Veeresh</t>
  </si>
  <si>
    <t xml:space="preserve">Swetha, Thallam</t>
  </si>
  <si>
    <t xml:space="preserve">amishra81@deloitte.com</t>
  </si>
  <si>
    <t xml:space="preserve">Mishra, Anish</t>
  </si>
  <si>
    <t xml:space="preserve">Mahajan, Pranav</t>
  </si>
  <si>
    <t xml:space="preserve">Vinit Bhoir, Jetal</t>
  </si>
  <si>
    <t xml:space="preserve">maranga@deloitte.com</t>
  </si>
  <si>
    <t xml:space="preserve">Ranga, Manisha</t>
  </si>
  <si>
    <t xml:space="preserve">namrathasingh@deloitte.com</t>
  </si>
  <si>
    <t xml:space="preserve">Singh, Namratha</t>
  </si>
  <si>
    <t xml:space="preserve">basirisha@deloitte.com</t>
  </si>
  <si>
    <t xml:space="preserve">Sirisha, Badri</t>
  </si>
  <si>
    <t xml:space="preserve">tisengupta@deloitte.com</t>
  </si>
  <si>
    <t xml:space="preserve">Sengupta, Titash</t>
  </si>
  <si>
    <t xml:space="preserve">kdrudra@deloitte.com</t>
  </si>
  <si>
    <t xml:space="preserve">RUDRA, KARTHIK DHEERAJ</t>
  </si>
  <si>
    <t xml:space="preserve">jhumbal@deloitte.com</t>
  </si>
  <si>
    <t xml:space="preserve">Humbal, Jatin</t>
  </si>
  <si>
    <t xml:space="preserve">Yarramsetty, Devallu</t>
  </si>
  <si>
    <t xml:space="preserve">Mandarapu, Prasanna</t>
  </si>
  <si>
    <t xml:space="preserve">Start time</t>
  </si>
  <si>
    <t xml:space="preserve">Completion time</t>
  </si>
  <si>
    <t xml:space="preserve">Last modified time</t>
  </si>
  <si>
    <t xml:space="preserve">Mobile Number</t>
  </si>
  <si>
    <t xml:space="preserve">Please select your location</t>
  </si>
  <si>
    <t xml:space="preserve">Are you available to conduct interviews scheduled for the weekend of September 26th, 2026?</t>
  </si>
  <si>
    <t xml:space="preserve">Are you taking for the first time?</t>
  </si>
  <si>
    <t xml:space="preserve">Kindly select your primary skill</t>
  </si>
  <si>
    <t xml:space="preserve">Kindly select your secondary skill</t>
  </si>
  <si>
    <t xml:space="preserve">Please select your designation</t>
  </si>
  <si>
    <t xml:space="preserve">AUTO PROCESS (Chennai) v3 - simplified. Number of Slots is always 8 (fixed, per instruction - no duration parsing). Routing: check Primary skill first (approved AND still has capacity vs Gap Sheet's Ask, first-come-first-served by completion time) - if it fits, place there. Else check Secondary skill the same way. Else -&gt; Followup. Capacity is tracked here directly against the Ask numbers (not the live Gap Sheet Available column) to avoid a circular reference, since Panel Details itself depends on this routing.</t>
  </si>
  <si>
    <t xml:space="preserve">Survey(check)</t>
  </si>
  <si>
    <t xml:space="preserve">Auto(check)</t>
  </si>
  <si>
    <t xml:space="preserve">Check</t>
  </si>
  <si>
    <t xml:space="preserve">Route</t>
  </si>
  <si>
    <t xml:space="preserve">Is Latest</t>
  </si>
  <si>
    <t xml:space="preserve">Survey ID</t>
  </si>
  <si>
    <t xml:space="preserve">Completion</t>
  </si>
  <si>
    <t xml:space="preserve">Email (norm)</t>
  </si>
  <si>
    <t xml:space="preserve">Available raw</t>
  </si>
  <si>
    <t xml:space="preserve">Primary raw</t>
  </si>
  <si>
    <t xml:space="preserve">Mapped Primary</t>
  </si>
  <si>
    <t xml:space="preserve">Secondary raw</t>
  </si>
  <si>
    <t xml:space="preserve">Mapped Secondary</t>
  </si>
  <si>
    <t xml:space="preserve">PrimaryApproved?</t>
  </si>
  <si>
    <t xml:space="preserve">PrimaryAsk</t>
  </si>
  <si>
    <t xml:space="preserve">PrimaryKey</t>
  </si>
  <si>
    <t xml:space="preserve">PriorMatchesPrimary</t>
  </si>
  <si>
    <t xml:space="preserve">PrimaryRequired?</t>
  </si>
  <si>
    <t xml:space="preserve">SecondaryApproved?</t>
  </si>
  <si>
    <t xml:space="preserve">SecondaryAsk</t>
  </si>
  <si>
    <t xml:space="preserve">SecondaryKey</t>
  </si>
  <si>
    <t xml:space="preserve">PriorMatchesSecondary</t>
  </si>
  <si>
    <t xml:space="preserve">SecondaryRequired?</t>
  </si>
  <si>
    <t xml:space="preserve">MatchedSkill</t>
  </si>
  <si>
    <t xml:space="preserve">MatchedKey</t>
  </si>
  <si>
    <t xml:space="preserve">Comment</t>
  </si>
  <si>
    <t xml:space="preserve">Primary skill</t>
  </si>
  <si>
    <t xml:space="preserve">Secondary skill</t>
  </si>
  <si>
    <t xml:space="preserve">In Master Panel List ?</t>
  </si>
  <si>
    <t xml:space="preserve">Booking confirmation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</si>
</sst>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"/>
    <numFmt numFmtId="167" formatCode="@"/>
    <numFmt numFmtId="168" formatCode="0.00E+00"/>
    <numFmt numFmtId="169" formatCode="m/d/yy\ h:mm:ss"/>
  </numFmts>
  <fonts count="26">
    <font>
      <sz val="11"/>
      <color theme="1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Verdana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Aptos Narrow"/>
      <family val="2"/>
      <charset val="1"/>
    </font>
    <font>
      <b val="true"/>
      <sz val="8"/>
      <color theme="0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Calibri"/>
      <family val="0"/>
      <charset val="1"/>
    </font>
    <font>
      <sz val="8"/>
      <color theme="1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9"/>
      <color rgb="FFE0E0E0"/>
      <name val="Segoe UI"/>
      <family val="2"/>
      <charset val="1"/>
    </font>
    <font>
      <b val="true"/>
      <sz val="9"/>
      <color rgb="FFFFFFFF"/>
      <name val="Segoe UI"/>
      <family val="2"/>
      <charset val="1"/>
    </font>
    <font>
      <sz val="9"/>
      <color rgb="FF000000"/>
      <name val="Segoe UI"/>
      <family val="2"/>
      <charset val="1"/>
    </font>
    <font>
      <sz val="9"/>
      <color rgb="FF9C0006"/>
      <name val="Segoe UI"/>
      <family val="2"/>
      <charset val="1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sz val="8"/>
      <color theme="1"/>
      <name val="Segoe UI"/>
      <family val="2"/>
      <charset val="1"/>
    </font>
    <font>
      <b val="true"/>
      <sz val="9"/>
      <color rgb="FFB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8"/>
      <color rgb="FFFFFFFF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5"/>
        <bgColor rgb="FF006100"/>
      </patternFill>
    </fill>
    <fill>
      <patternFill patternType="solid">
        <fgColor theme="4"/>
        <bgColor rgb="FF808000"/>
      </patternFill>
    </fill>
    <fill>
      <patternFill patternType="solid">
        <fgColor theme="1" tint="0.3498"/>
        <bgColor rgb="FF2E5E3A"/>
      </patternFill>
    </fill>
    <fill>
      <patternFill patternType="solid">
        <fgColor theme="0" tint="-0.05"/>
        <bgColor rgb="FFFFFFFF"/>
      </patternFill>
    </fill>
    <fill>
      <patternFill patternType="solid">
        <fgColor rgb="FF2E5E3A"/>
        <bgColor rgb="FF046A38"/>
      </patternFill>
    </fill>
    <fill>
      <patternFill patternType="solid">
        <fgColor rgb="FF4472C4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FFC7CE"/>
        <bgColor rgb="FFF4B6B6"/>
      </patternFill>
    </fill>
    <fill>
      <patternFill patternType="solid">
        <fgColor rgb="FFE8F5CF"/>
        <bgColor rgb="FFF2F2F2"/>
      </patternFill>
    </fill>
    <fill>
      <patternFill patternType="solid">
        <fgColor rgb="FFD9E1E7"/>
        <bgColor rgb="FFE0E0E0"/>
      </patternFill>
    </fill>
    <fill>
      <patternFill patternType="solid">
        <fgColor rgb="FFC7E0CB"/>
        <bgColor rgb="FFC6EFCE"/>
      </patternFill>
    </fill>
    <fill>
      <patternFill patternType="solid">
        <fgColor rgb="FFFCE4CC"/>
        <bgColor rgb="FFFFEB9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4" tint="0.3999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Hyperlink 3" xfId="21"/>
    <cellStyle name="Normal 10" xfId="22"/>
    <cellStyle name="Normal 2" xfId="23"/>
    <cellStyle name="Normal 2 2" xfId="24"/>
    <cellStyle name="Normal 3" xfId="25"/>
    <cellStyle name="Normal 4" xfId="26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BAE370"/>
      <rgbColor rgb="FFFF00FF"/>
      <rgbColor rgb="FF00FFFF"/>
      <rgbColor rgb="FF9C0006"/>
      <rgbColor rgb="FF006100"/>
      <rgbColor rgb="FF000080"/>
      <rgbColor rgb="FF808000"/>
      <rgbColor rgb="FF800080"/>
      <rgbColor rgb="FF046A38"/>
      <rgbColor rgb="FFBFBFBF"/>
      <rgbColor rgb="FF808080"/>
      <rgbColor rgb="FFC7E0CB"/>
      <rgbColor rgb="FF993366"/>
      <rgbColor rgb="FFE8F5CF"/>
      <rgbColor rgb="FFF2F2F2"/>
      <rgbColor rgb="FF660066"/>
      <rgbColor rgb="FFFF8080"/>
      <rgbColor rgb="FF0066CC"/>
      <rgbColor rgb="FFD9D9D9"/>
      <rgbColor rgb="FF000080"/>
      <rgbColor rgb="FFFF00FF"/>
      <rgbColor rgb="FFFCE4CC"/>
      <rgbColor rgb="FF00FFFF"/>
      <rgbColor rgb="FF800080"/>
      <rgbColor rgb="FFB00000"/>
      <rgbColor rgb="FF008080"/>
      <rgbColor rgb="FF0000FF"/>
      <rgbColor rgb="FF00A3E0"/>
      <rgbColor rgb="FFD9E1E7"/>
      <rgbColor rgb="FFC6EFCE"/>
      <rgbColor rgb="FFFFEB9C"/>
      <rgbColor rgb="FFBBBBBB"/>
      <rgbColor rgb="FFF4B6B6"/>
      <rgbColor rgb="FFE0E0E0"/>
      <rgbColor rgb="FFFFC7CE"/>
      <rgbColor rgb="FF4472C4"/>
      <rgbColor rgb="FF33CCCC"/>
      <rgbColor rgb="FF86BC25"/>
      <rgbColor rgb="FFFFC000"/>
      <rgbColor rgb="FFFF9900"/>
      <rgbColor rgb="FFED7D31"/>
      <rgbColor rgb="FF595959"/>
      <rgbColor rgb="FF999999"/>
      <rgbColor rgb="FF003366"/>
      <rgbColor rgb="FF339966"/>
      <rgbColor rgb="FF003300"/>
      <rgbColor rgb="FF2E5E3A"/>
      <rgbColor rgb="FF9C57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Deloitte 16_9 onscreen">
  <a:themeElements>
    <a:clrScheme name="Deloitt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Deloitte Powerpoint font">
      <a:majorFont>
        <a:latin typeface="Verdana" pitchFamily="0" charset="1"/>
        <a:ea typeface=""/>
        <a:cs typeface=""/>
      </a:majorFont>
      <a:minorFont>
        <a:latin typeface="Verdana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hasr@deloitte.com" TargetMode="External"/><Relationship Id="rId2" Type="http://schemas.openxmlformats.org/officeDocument/2006/relationships/hyperlink" Target="mailto:pvenkatahemalatha@deloitte.com" TargetMode="External"/><Relationship Id="rId3" Type="http://schemas.openxmlformats.org/officeDocument/2006/relationships/hyperlink" Target="mailto:adarshsingh6@deloitte.com" TargetMode="External"/><Relationship Id="rId4" Type="http://schemas.openxmlformats.org/officeDocument/2006/relationships/hyperlink" Target="mailto:prathjoshi@deloitte.com" TargetMode="External"/><Relationship Id="rId5" Type="http://schemas.openxmlformats.org/officeDocument/2006/relationships/hyperlink" Target="mailto:prathjoshi@deloitte.com" TargetMode="External"/><Relationship Id="rId6" Type="http://schemas.openxmlformats.org/officeDocument/2006/relationships/hyperlink" Target="mailto:mukfnu@deloitte.com" TargetMode="External"/><Relationship Id="rId7" Type="http://schemas.openxmlformats.org/officeDocument/2006/relationships/hyperlink" Target="mailto:maranga@deloitte.com" TargetMode="External"/><Relationship Id="rId8" Type="http://schemas.openxmlformats.org/officeDocument/2006/relationships/hyperlink" Target="mailto:namrathasingh@deloitte.com" TargetMode="External"/><Relationship Id="rId9" Type="http://schemas.openxmlformats.org/officeDocument/2006/relationships/hyperlink" Target="mailto:basirisha@deloitte.com" TargetMode="External"/><Relationship Id="rId10" Type="http://schemas.openxmlformats.org/officeDocument/2006/relationships/hyperlink" Target="mailto:tisengupta@deloitte.com" TargetMode="External"/><Relationship Id="rId11" Type="http://schemas.openxmlformats.org/officeDocument/2006/relationships/hyperlink" Target="mailto:sauravgupta4@deloitte.com" TargetMode="External"/><Relationship Id="rId12" Type="http://schemas.openxmlformats.org/officeDocument/2006/relationships/hyperlink" Target="mailto:kdrudra@deloitte.com" TargetMode="External"/><Relationship Id="rId13" Type="http://schemas.openxmlformats.org/officeDocument/2006/relationships/hyperlink" Target="mailto:dyarramsetty@deloitte.com" TargetMode="External"/><Relationship Id="rId14" Type="http://schemas.openxmlformats.org/officeDocument/2006/relationships/hyperlink" Target="mailto:pmandarapu@deloitt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7421875" defaultRowHeight="14.25" zeroHeight="false" outlineLevelRow="0" outlineLevelCol="0"/>
  <cols>
    <col collapsed="false" customWidth="true" hidden="false" outlineLevel="0" max="1" min="1" style="1" width="14.72"/>
    <col collapsed="false" customWidth="true" hidden="false" outlineLevel="0" max="2" min="2" style="1" width="5.5"/>
    <col collapsed="false" customWidth="true" hidden="false" outlineLevel="0" max="3" min="3" style="1" width="3.28"/>
    <col collapsed="false" customWidth="true" hidden="false" outlineLevel="0" max="4" min="4" style="2" width="6.5"/>
    <col collapsed="false" customWidth="true" hidden="false" outlineLevel="0" max="5" min="5" style="1" width="3.28"/>
    <col collapsed="false" customWidth="true" hidden="false" outlineLevel="0" max="6" min="6" style="1" width="4.71"/>
    <col collapsed="false" customWidth="true" hidden="false" outlineLevel="0" max="7" min="7" style="1" width="3"/>
    <col collapsed="false" customWidth="true" hidden="false" outlineLevel="0" max="8" min="8" style="1" width="6.5"/>
    <col collapsed="false" customWidth="true" hidden="false" outlineLevel="0" max="9" min="9" style="1" width="3.28"/>
    <col collapsed="false" customWidth="true" hidden="false" outlineLevel="0" max="10" min="10" style="1" width="4.71"/>
    <col collapsed="false" customWidth="true" hidden="false" outlineLevel="0" max="11" min="11" style="1" width="3"/>
    <col collapsed="false" customWidth="true" hidden="false" outlineLevel="0" max="12" min="12" style="1" width="6.5"/>
    <col collapsed="false" customWidth="true" hidden="false" outlineLevel="0" max="13" min="13" style="1" width="3.28"/>
    <col collapsed="false" customWidth="true" hidden="false" outlineLevel="0" max="14" min="14" style="1" width="4.71"/>
    <col collapsed="false" customWidth="true" hidden="false" outlineLevel="0" max="15" min="15" style="1" width="3"/>
    <col collapsed="false" customWidth="true" hidden="false" outlineLevel="0" max="16" min="16" style="1" width="6.5"/>
    <col collapsed="false" customWidth="true" hidden="false" outlineLevel="0" max="17" min="17" style="1" width="3.28"/>
    <col collapsed="false" customWidth="true" hidden="false" outlineLevel="0" max="18" min="18" style="1" width="4.71"/>
    <col collapsed="false" customWidth="false" hidden="false" outlineLevel="0" max="16384" min="19" style="1" width="9.07"/>
  </cols>
  <sheetData>
    <row r="1" customFormat="false" ht="20.25" hidden="false" customHeight="true" outlineLevel="0" collapsed="false">
      <c r="A1" s="3" t="s">
        <v>0</v>
      </c>
    </row>
    <row r="3" customFormat="false" ht="15" hidden="false" customHeight="true" outlineLevel="0" collapsed="false">
      <c r="A3" s="4" t="s">
        <v>1</v>
      </c>
      <c r="B3" s="4" t="s">
        <v>2</v>
      </c>
      <c r="C3" s="5" t="s">
        <v>3</v>
      </c>
      <c r="D3" s="5"/>
      <c r="E3" s="5"/>
      <c r="F3" s="5"/>
      <c r="G3" s="5"/>
      <c r="H3" s="5"/>
      <c r="I3" s="5"/>
      <c r="J3" s="5"/>
      <c r="K3" s="6" t="s">
        <v>4</v>
      </c>
      <c r="L3" s="6"/>
      <c r="M3" s="6"/>
      <c r="N3" s="6"/>
      <c r="O3" s="6"/>
      <c r="P3" s="6"/>
      <c r="Q3" s="6"/>
      <c r="R3" s="6"/>
    </row>
    <row r="4" customFormat="false" ht="15" hidden="false" customHeight="true" outlineLevel="0" collapsed="false">
      <c r="A4" s="4"/>
      <c r="B4" s="4"/>
      <c r="C4" s="5" t="s">
        <v>5</v>
      </c>
      <c r="D4" s="5"/>
      <c r="E4" s="5"/>
      <c r="F4" s="5"/>
      <c r="G4" s="5" t="s">
        <v>6</v>
      </c>
      <c r="H4" s="5"/>
      <c r="I4" s="5"/>
      <c r="J4" s="5"/>
      <c r="K4" s="6" t="s">
        <v>7</v>
      </c>
      <c r="L4" s="6"/>
      <c r="M4" s="6"/>
      <c r="N4" s="6"/>
      <c r="O4" s="6" t="s">
        <v>8</v>
      </c>
      <c r="P4" s="6"/>
      <c r="Q4" s="6"/>
      <c r="R4" s="6"/>
    </row>
    <row r="5" customFormat="false" ht="15" hidden="false" customHeight="true" outlineLevel="0" collapsed="false">
      <c r="A5" s="4"/>
      <c r="B5" s="4"/>
      <c r="C5" s="5" t="s">
        <v>9</v>
      </c>
      <c r="D5" s="5" t="s">
        <v>10</v>
      </c>
      <c r="E5" s="5" t="s">
        <v>11</v>
      </c>
      <c r="F5" s="5" t="s">
        <v>12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9</v>
      </c>
      <c r="P5" s="6" t="s">
        <v>10</v>
      </c>
      <c r="Q5" s="6" t="s">
        <v>11</v>
      </c>
      <c r="R5" s="6" t="s">
        <v>12</v>
      </c>
    </row>
    <row r="6" customFormat="false" ht="15" hidden="false" customHeight="true" outlineLevel="0" collapsed="false">
      <c r="A6" s="7" t="s">
        <v>13</v>
      </c>
      <c r="B6" s="7" t="n">
        <v>50</v>
      </c>
      <c r="C6" s="8" t="n">
        <v>50</v>
      </c>
      <c r="D6" s="9" t="n">
        <f aca="false">SUMPRODUCT((TRIM('Panel Details'!$E$2:$E$501)=TRIM($A6))*('Panel Details'!$I$2:$I$501="R1")*N('Panel Details'!$J$2:$J$501))</f>
        <v>0</v>
      </c>
      <c r="E6" s="10" t="n">
        <f aca="false">IF(($C6-$D6)&lt;0,0,$C6-$D6)</f>
        <v>50</v>
      </c>
      <c r="F6" s="10" t="n">
        <f aca="false">IF($E6=0,$D6-$C6,0)</f>
        <v>0</v>
      </c>
      <c r="G6" s="9" t="n">
        <v>20</v>
      </c>
      <c r="H6" s="9" t="n">
        <f aca="false">SUMPRODUCT((TRIM('Panel Details'!$E$2:$E$501)=TRIM($A6))*('Panel Details'!$I$2:$I$501="R2")*N('Panel Details'!$J$2:$J$501))</f>
        <v>0</v>
      </c>
      <c r="I6" s="10" t="n">
        <f aca="false">IF(($G6-$H6)&lt;0,0,$G6-$H6)</f>
        <v>20</v>
      </c>
      <c r="J6" s="10" t="n">
        <f aca="false">IF($I6=0,$H6-$G6,0)</f>
        <v>0</v>
      </c>
      <c r="K6" s="10" t="n">
        <f aca="false">_xlfn.CEILING.MATH($C6/8)</f>
        <v>7</v>
      </c>
      <c r="L6" s="10" t="n">
        <f aca="false">_xlfn.CEILING.MATH($D6/8)</f>
        <v>0</v>
      </c>
      <c r="M6" s="10" t="n">
        <f aca="false">IF(($K6-$L6)&lt;0,0,$K6-$L6)</f>
        <v>7</v>
      </c>
      <c r="N6" s="10" t="n">
        <f aca="false">IF($M6=0,$L6-$K6,0)</f>
        <v>0</v>
      </c>
      <c r="O6" s="10" t="n">
        <f aca="false">_xlfn.CEILING.MATH($G6/8)</f>
        <v>3</v>
      </c>
      <c r="P6" s="10" t="n">
        <f aca="false">_xlfn.CEILING.MATH($H6/8)</f>
        <v>0</v>
      </c>
      <c r="Q6" s="10" t="n">
        <f aca="false">IF(($O6-$P6)&lt;0,0,$O6-$P6)</f>
        <v>3</v>
      </c>
      <c r="R6" s="10" t="n">
        <f aca="false">IF($Q6=0,$P6-$O6,0)</f>
        <v>0</v>
      </c>
    </row>
    <row r="7" customFormat="false" ht="15" hidden="false" customHeight="true" outlineLevel="0" collapsed="false">
      <c r="A7" s="7" t="s">
        <v>14</v>
      </c>
      <c r="B7" s="7" t="n">
        <v>50</v>
      </c>
      <c r="C7" s="8" t="n">
        <v>50</v>
      </c>
      <c r="D7" s="9" t="n">
        <f aca="false">SUMPRODUCT((TRIM('Panel Details'!$E$2:$E$501)=TRIM($A7))*('Panel Details'!$I$2:$I$501="R1")*N('Panel Details'!$J$2:$J$501))</f>
        <v>0</v>
      </c>
      <c r="E7" s="10" t="n">
        <f aca="false">IF(($C7-$D7)&lt;0,0,$C7-$D7)</f>
        <v>50</v>
      </c>
      <c r="F7" s="10" t="n">
        <f aca="false">IF($E7=0,$D7-$C7,0)</f>
        <v>0</v>
      </c>
      <c r="G7" s="9" t="n">
        <v>20</v>
      </c>
      <c r="H7" s="9" t="n">
        <f aca="false">SUMPRODUCT((TRIM('Panel Details'!$E$2:$E$501)=TRIM($A7))*('Panel Details'!$I$2:$I$501="R2")*N('Panel Details'!$J$2:$J$501))</f>
        <v>0</v>
      </c>
      <c r="I7" s="10" t="n">
        <f aca="false">IF(($G7-$H7)&lt;0,0,$G7-$H7)</f>
        <v>20</v>
      </c>
      <c r="J7" s="10" t="n">
        <f aca="false">IF($I7=0,$H7-$G7,0)</f>
        <v>0</v>
      </c>
      <c r="K7" s="10" t="n">
        <f aca="false">_xlfn.CEILING.MATH($C7/8)</f>
        <v>7</v>
      </c>
      <c r="L7" s="10" t="n">
        <f aca="false">_xlfn.CEILING.MATH($D7/8)</f>
        <v>0</v>
      </c>
      <c r="M7" s="10" t="n">
        <f aca="false">IF(($K7-$L7)&lt;0,0,$K7-$L7)</f>
        <v>7</v>
      </c>
      <c r="N7" s="10" t="n">
        <f aca="false">IF($M7=0,$L7-$K7,0)</f>
        <v>0</v>
      </c>
      <c r="O7" s="10" t="n">
        <f aca="false">_xlfn.CEILING.MATH($G7/8)</f>
        <v>3</v>
      </c>
      <c r="P7" s="10" t="n">
        <f aca="false">_xlfn.CEILING.MATH($H7/8)</f>
        <v>0</v>
      </c>
      <c r="Q7" s="10" t="n">
        <f aca="false">IF(($O7-$P7)&lt;0,0,$O7-$P7)</f>
        <v>3</v>
      </c>
      <c r="R7" s="10" t="n">
        <f aca="false">IF($Q7=0,$P7-$O7,0)</f>
        <v>0</v>
      </c>
    </row>
    <row r="8" customFormat="false" ht="15" hidden="false" customHeight="true" outlineLevel="0" collapsed="false">
      <c r="A8" s="7" t="s">
        <v>15</v>
      </c>
      <c r="B8" s="7" t="n">
        <v>50</v>
      </c>
      <c r="C8" s="8" t="n">
        <v>50</v>
      </c>
      <c r="D8" s="9" t="n">
        <f aca="false">SUMPRODUCT((TRIM('Panel Details'!$E$2:$E$501)=TRIM($A8))*('Panel Details'!$I$2:$I$501="R1")*N('Panel Details'!$J$2:$J$501))</f>
        <v>0</v>
      </c>
      <c r="E8" s="10" t="n">
        <f aca="false">IF(($C8-$D8)&lt;0,0,$C8-$D8)</f>
        <v>50</v>
      </c>
      <c r="F8" s="10" t="n">
        <f aca="false">IF($E8=0,$D8-$C8,0)</f>
        <v>0</v>
      </c>
      <c r="G8" s="9" t="n">
        <v>20</v>
      </c>
      <c r="H8" s="9" t="n">
        <f aca="false">SUMPRODUCT((TRIM('Panel Details'!$E$2:$E$501)=TRIM($A8))*('Panel Details'!$I$2:$I$501="R2")*N('Panel Details'!$J$2:$J$501))</f>
        <v>0</v>
      </c>
      <c r="I8" s="10" t="n">
        <f aca="false">IF(($G8-$H8)&lt;0,0,$G8-$H8)</f>
        <v>20</v>
      </c>
      <c r="J8" s="10" t="n">
        <f aca="false">IF($I8=0,$H8-$G8,0)</f>
        <v>0</v>
      </c>
      <c r="K8" s="10" t="n">
        <f aca="false">_xlfn.CEILING.MATH($C8/8)</f>
        <v>7</v>
      </c>
      <c r="L8" s="10" t="n">
        <f aca="false">_xlfn.CEILING.MATH($D8/8)</f>
        <v>0</v>
      </c>
      <c r="M8" s="10" t="n">
        <f aca="false">IF(($K8-$L8)&lt;0,0,$K8-$L8)</f>
        <v>7</v>
      </c>
      <c r="N8" s="10" t="n">
        <f aca="false">IF($M8=0,$L8-$K8,0)</f>
        <v>0</v>
      </c>
      <c r="O8" s="10" t="n">
        <f aca="false">_xlfn.CEILING.MATH($G8/8)</f>
        <v>3</v>
      </c>
      <c r="P8" s="10" t="n">
        <f aca="false">_xlfn.CEILING.MATH($H8/8)</f>
        <v>0</v>
      </c>
      <c r="Q8" s="10" t="n">
        <f aca="false">IF(($O8-$P8)&lt;0,0,$O8-$P8)</f>
        <v>3</v>
      </c>
      <c r="R8" s="10" t="n">
        <f aca="false">IF($Q8=0,$P8-$O8,0)</f>
        <v>0</v>
      </c>
    </row>
    <row r="9" customFormat="false" ht="15" hidden="false" customHeight="true" outlineLevel="0" collapsed="false">
      <c r="A9" s="7" t="s">
        <v>16</v>
      </c>
      <c r="B9" s="7" t="n">
        <v>30</v>
      </c>
      <c r="C9" s="8" t="n">
        <v>30</v>
      </c>
      <c r="D9" s="9" t="n">
        <f aca="false">SUMPRODUCT((TRIM('Panel Details'!$E$2:$E$501)=TRIM($A9))*('Panel Details'!$I$2:$I$501="R1")*N('Panel Details'!$J$2:$J$501))</f>
        <v>0</v>
      </c>
      <c r="E9" s="10" t="n">
        <f aca="false">IF(($C9-$D9)&lt;0,0,$C9-$D9)</f>
        <v>30</v>
      </c>
      <c r="F9" s="10" t="n">
        <f aca="false">IF($E9=0,$D9-$C9,0)</f>
        <v>0</v>
      </c>
      <c r="G9" s="9" t="n">
        <v>12</v>
      </c>
      <c r="H9" s="9" t="n">
        <f aca="false">SUMPRODUCT((TRIM('Panel Details'!$E$2:$E$501)=TRIM($A9))*('Panel Details'!$I$2:$I$501="R2")*N('Panel Details'!$J$2:$J$501))</f>
        <v>0</v>
      </c>
      <c r="I9" s="10" t="n">
        <f aca="false">IF(($G9-$H9)&lt;0,0,$G9-$H9)</f>
        <v>12</v>
      </c>
      <c r="J9" s="10" t="n">
        <f aca="false">IF($I9=0,$H9-$G9,0)</f>
        <v>0</v>
      </c>
      <c r="K9" s="10" t="n">
        <f aca="false">_xlfn.CEILING.MATH($C9/8)</f>
        <v>4</v>
      </c>
      <c r="L9" s="10" t="n">
        <f aca="false">_xlfn.CEILING.MATH($D9/8)</f>
        <v>0</v>
      </c>
      <c r="M9" s="10" t="n">
        <f aca="false">IF(($K9-$L9)&lt;0,0,$K9-$L9)</f>
        <v>4</v>
      </c>
      <c r="N9" s="10" t="n">
        <f aca="false">IF($M9=0,$L9-$K9,0)</f>
        <v>0</v>
      </c>
      <c r="O9" s="10" t="n">
        <f aca="false">_xlfn.CEILING.MATH($G9/8)</f>
        <v>2</v>
      </c>
      <c r="P9" s="10" t="n">
        <f aca="false">_xlfn.CEILING.MATH($H9/8)</f>
        <v>0</v>
      </c>
      <c r="Q9" s="10" t="n">
        <f aca="false">IF(($O9-$P9)&lt;0,0,$O9-$P9)</f>
        <v>2</v>
      </c>
      <c r="R9" s="10" t="n">
        <f aca="false">IF($Q9=0,$P9-$O9,0)</f>
        <v>0</v>
      </c>
    </row>
    <row r="10" customFormat="false" ht="15" hidden="false" customHeight="true" outlineLevel="0" collapsed="false">
      <c r="A10" s="7" t="s">
        <v>17</v>
      </c>
      <c r="B10" s="7" t="n">
        <v>30</v>
      </c>
      <c r="C10" s="8" t="n">
        <v>30</v>
      </c>
      <c r="D10" s="9" t="n">
        <f aca="false">SUMPRODUCT((TRIM('Panel Details'!$E$2:$E$501)=TRIM($A10))*('Panel Details'!$I$2:$I$501="R1")*N('Panel Details'!$J$2:$J$501))</f>
        <v>0</v>
      </c>
      <c r="E10" s="10" t="n">
        <f aca="false">IF(($C10-$D10)&lt;0,0,$C10-$D10)</f>
        <v>30</v>
      </c>
      <c r="F10" s="10" t="n">
        <f aca="false">IF($E10=0,$D10-$C10,0)</f>
        <v>0</v>
      </c>
      <c r="G10" s="9" t="n">
        <v>12</v>
      </c>
      <c r="H10" s="9" t="n">
        <f aca="false">SUMPRODUCT((TRIM('Panel Details'!$E$2:$E$501)=TRIM($A10))*('Panel Details'!$I$2:$I$501="R2")*N('Panel Details'!$J$2:$J$501))</f>
        <v>0</v>
      </c>
      <c r="I10" s="10" t="n">
        <f aca="false">IF(($G10-$H10)&lt;0,0,$G10-$H10)</f>
        <v>12</v>
      </c>
      <c r="J10" s="10" t="n">
        <f aca="false">IF($I10=0,$H10-$G10,0)</f>
        <v>0</v>
      </c>
      <c r="K10" s="10" t="n">
        <f aca="false">_xlfn.CEILING.MATH($C10/8)</f>
        <v>4</v>
      </c>
      <c r="L10" s="10" t="n">
        <f aca="false">_xlfn.CEILING.MATH($D10/8)</f>
        <v>0</v>
      </c>
      <c r="M10" s="10" t="n">
        <f aca="false">IF(($K10-$L10)&lt;0,0,$K10-$L10)</f>
        <v>4</v>
      </c>
      <c r="N10" s="10" t="n">
        <f aca="false">IF($M10=0,$L10-$K10,0)</f>
        <v>0</v>
      </c>
      <c r="O10" s="10" t="n">
        <f aca="false">_xlfn.CEILING.MATH($G10/8)</f>
        <v>2</v>
      </c>
      <c r="P10" s="10" t="n">
        <f aca="false">_xlfn.CEILING.MATH($H10/8)</f>
        <v>0</v>
      </c>
      <c r="Q10" s="10" t="n">
        <f aca="false">IF(($O10-$P10)&lt;0,0,$O10-$P10)</f>
        <v>2</v>
      </c>
      <c r="R10" s="10" t="n">
        <f aca="false">IF($Q10=0,$P10-$O10,0)</f>
        <v>0</v>
      </c>
    </row>
    <row r="11" customFormat="false" ht="15" hidden="false" customHeight="true" outlineLevel="0" collapsed="false">
      <c r="A11" s="7" t="s">
        <v>18</v>
      </c>
      <c r="B11" s="7" t="n">
        <v>40</v>
      </c>
      <c r="C11" s="8" t="n">
        <v>40</v>
      </c>
      <c r="D11" s="9" t="n">
        <f aca="false">SUMPRODUCT((TRIM('Panel Details'!$E$2:$E$501)=TRIM($A11))*('Panel Details'!$I$2:$I$501="R1")*N('Panel Details'!$J$2:$J$501))</f>
        <v>0</v>
      </c>
      <c r="E11" s="10" t="n">
        <f aca="false">IF(($C11-$D11)&lt;0,0,$C11-$D11)</f>
        <v>40</v>
      </c>
      <c r="F11" s="10" t="n">
        <f aca="false">IF($E11=0,$D11-$C11,0)</f>
        <v>0</v>
      </c>
      <c r="G11" s="9" t="n">
        <v>16</v>
      </c>
      <c r="H11" s="9" t="n">
        <f aca="false">SUMPRODUCT((TRIM('Panel Details'!$E$2:$E$501)=TRIM($A11))*('Panel Details'!$I$2:$I$501="R2")*N('Panel Details'!$J$2:$J$501))</f>
        <v>0</v>
      </c>
      <c r="I11" s="10" t="n">
        <f aca="false">IF(($G11-$H11)&lt;0,0,$G11-$H11)</f>
        <v>16</v>
      </c>
      <c r="J11" s="10" t="n">
        <f aca="false">IF($I11=0,$H11-$G11,0)</f>
        <v>0</v>
      </c>
      <c r="K11" s="10" t="n">
        <f aca="false">_xlfn.CEILING.MATH($C11/8)</f>
        <v>5</v>
      </c>
      <c r="L11" s="10" t="n">
        <f aca="false">_xlfn.CEILING.MATH($D11/8)</f>
        <v>0</v>
      </c>
      <c r="M11" s="10" t="n">
        <f aca="false">IF(($K11-$L11)&lt;0,0,$K11-$L11)</f>
        <v>5</v>
      </c>
      <c r="N11" s="10" t="n">
        <f aca="false">IF($M11=0,$L11-$K11,0)</f>
        <v>0</v>
      </c>
      <c r="O11" s="10" t="n">
        <f aca="false">_xlfn.CEILING.MATH($G11/8)</f>
        <v>2</v>
      </c>
      <c r="P11" s="10" t="n">
        <f aca="false">_xlfn.CEILING.MATH($H11/8)</f>
        <v>0</v>
      </c>
      <c r="Q11" s="10" t="n">
        <f aca="false">IF(($O11-$P11)&lt;0,0,$O11-$P11)</f>
        <v>2</v>
      </c>
      <c r="R11" s="10" t="n">
        <f aca="false">IF($Q11=0,$P11-$O11,0)</f>
        <v>0</v>
      </c>
    </row>
    <row r="12" customFormat="false" ht="15" hidden="false" customHeight="true" outlineLevel="0" collapsed="false">
      <c r="A12" s="3" t="s">
        <v>19</v>
      </c>
      <c r="B12" s="11" t="n">
        <f aca="false">SUM(B6:B11)</f>
        <v>250</v>
      </c>
      <c r="C12" s="12" t="n">
        <f aca="false">SUM(C6:C11)</f>
        <v>250</v>
      </c>
      <c r="D12" s="12" t="n">
        <f aca="false">SUM(D6:D11)</f>
        <v>0</v>
      </c>
      <c r="E12" s="12" t="n">
        <f aca="false">SUM(E6:E11)</f>
        <v>250</v>
      </c>
      <c r="F12" s="12" t="n">
        <f aca="false">SUM(F6:F11)</f>
        <v>0</v>
      </c>
      <c r="G12" s="12" t="n">
        <f aca="false">SUM(G6:G11)</f>
        <v>100</v>
      </c>
      <c r="H12" s="12" t="n">
        <f aca="false">SUM(H6:H11)</f>
        <v>0</v>
      </c>
      <c r="I12" s="12" t="n">
        <f aca="false">SUM(I6:I11)</f>
        <v>100</v>
      </c>
      <c r="J12" s="12" t="n">
        <f aca="false">SUM(J6:J11)</f>
        <v>0</v>
      </c>
      <c r="K12" s="13" t="n">
        <f aca="false">SUM(K6:K11)</f>
        <v>34</v>
      </c>
      <c r="L12" s="13" t="n">
        <f aca="false">SUM(L6:L11)</f>
        <v>0</v>
      </c>
      <c r="M12" s="13" t="n">
        <f aca="false">SUM(M6:M11)</f>
        <v>34</v>
      </c>
      <c r="N12" s="13" t="n">
        <f aca="false">SUM(N6:N11)</f>
        <v>0</v>
      </c>
      <c r="O12" s="13" t="n">
        <f aca="false">SUM(O6:O11)</f>
        <v>15</v>
      </c>
      <c r="P12" s="13" t="n">
        <f aca="false">SUM(P6:P11)</f>
        <v>0</v>
      </c>
      <c r="Q12" s="13" t="n">
        <f aca="false">SUM(Q6:Q11)</f>
        <v>15</v>
      </c>
      <c r="R12" s="13" t="n">
        <f aca="false">SUM(R6:R11)</f>
        <v>0</v>
      </c>
    </row>
    <row r="13" s="1" customFormat="true" ht="15" hidden="false" customHeight="true" outlineLevel="0" collapsed="false"/>
    <row r="14" s="1" customFormat="true" ht="15" hidden="false" customHeight="true" outlineLevel="0" collapsed="false"/>
    <row r="16" s="1" customFormat="true" ht="15" hidden="false" customHeight="true" outlineLevel="0" collapsed="false"/>
    <row r="17" s="1" customFormat="true" ht="15" hidden="false" customHeight="true" outlineLevel="0" collapsed="false"/>
    <row r="18" s="1" customFormat="true" ht="15" hidden="false" customHeight="true" outlineLevel="0" collapsed="false"/>
    <row r="19" s="1" customFormat="true" ht="15" hidden="false" customHeight="true" outlineLevel="0" collapsed="false"/>
    <row r="20" s="1" customFormat="true" ht="15" hidden="false" customHeight="true" outlineLevel="0" collapsed="false"/>
    <row r="21" s="1" customFormat="true" ht="15" hidden="false" customHeight="true" outlineLevel="0" collapsed="false"/>
    <row r="22" s="1" customFormat="true" ht="15" hidden="false" customHeight="true" outlineLevel="0" collapsed="false"/>
    <row r="23" s="1" customFormat="true" ht="15" hidden="false" customHeight="true" outlineLevel="0" collapsed="false"/>
    <row r="24" s="1" customFormat="true" ht="15" hidden="false" customHeight="true" outlineLevel="0" collapsed="false"/>
    <row r="25" s="1" customFormat="true" ht="15" hidden="false" customHeight="true" outlineLevel="0" collapsed="false"/>
    <row r="26" s="1" customFormat="true" ht="15" hidden="false" customHeight="true" outlineLevel="0" collapsed="false"/>
    <row r="27" s="1" customFormat="true" ht="15" hidden="false" customHeight="true" outlineLevel="0" collapsed="false"/>
    <row r="28" s="1" customFormat="true" ht="15" hidden="false" customHeight="true" outlineLevel="0" collapsed="false"/>
    <row r="29" s="1" customFormat="true" ht="15" hidden="false" customHeight="true" outlineLevel="0" collapsed="false"/>
    <row r="30" s="1" customFormat="true" ht="15" hidden="false" customHeight="true" outlineLevel="0" collapsed="false"/>
    <row r="31" s="1" customFormat="true" ht="15" hidden="false" customHeight="true" outlineLevel="0" collapsed="false"/>
    <row r="32" s="1" customFormat="true" ht="15" hidden="false" customHeight="true" outlineLevel="0" collapsed="false"/>
    <row r="33" s="1" customFormat="true" ht="15" hidden="false" customHeight="true" outlineLevel="0" collapsed="false"/>
    <row r="34" s="1" customFormat="true" ht="15" hidden="false" customHeight="true" outlineLevel="0" collapsed="false"/>
    <row r="35" s="1" customFormat="true" ht="15" hidden="false" customHeight="true" outlineLevel="0" collapsed="false"/>
    <row r="36" s="1" customFormat="true" ht="15" hidden="false" customHeight="true" outlineLevel="0" collapsed="false"/>
    <row r="37" s="1" customFormat="true" ht="15" hidden="false" customHeight="true" outlineLevel="0" collapsed="false"/>
    <row r="38" s="1" customFormat="true" ht="15" hidden="false" customHeight="true" outlineLevel="0" collapsed="false"/>
    <row r="39" s="1" customFormat="true" ht="15" hidden="false" customHeight="true" outlineLevel="0" collapsed="false"/>
    <row r="40" s="1" customFormat="true" ht="15" hidden="false" customHeight="true" outlineLevel="0" collapsed="false"/>
    <row r="41" s="1" customFormat="true" ht="15" hidden="false" customHeight="true" outlineLevel="0" collapsed="false"/>
    <row r="42" s="1" customFormat="true" ht="15" hidden="false" customHeight="true" outlineLevel="0" collapsed="false"/>
    <row r="43" s="1" customFormat="true" ht="15" hidden="false" customHeight="true" outlineLevel="0" collapsed="false"/>
    <row r="44" s="1" customFormat="true" ht="15" hidden="false" customHeight="true" outlineLevel="0" collapsed="false"/>
    <row r="45" s="1" customFormat="true" ht="15" hidden="false" customHeight="true" outlineLevel="0" collapsed="false"/>
  </sheetData>
  <mergeCells count="8">
    <mergeCell ref="A3:A5"/>
    <mergeCell ref="B3:B5"/>
    <mergeCell ref="C3:J3"/>
    <mergeCell ref="K3:R3"/>
    <mergeCell ref="C4:F4"/>
    <mergeCell ref="G4:J4"/>
    <mergeCell ref="K4:N4"/>
    <mergeCell ref="O4:R4"/>
  </mergeCells>
  <conditionalFormatting sqref="E6:E11 I6:I11 M6:M11 Q6:Q11">
    <cfRule type="cellIs" priority="2" operator="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1</formula>
    </cfRule>
    <cfRule type="cellIs" priority="4" operator="between" aboveAverage="0" equalAverage="0" bottom="0" percent="0" rank="0" text="" dxfId="2">
      <formula>1</formula>
      <formula>2</formula>
    </cfRule>
  </conditionalFormatting>
  <conditionalFormatting sqref="F6:F11 J6:J11 N6:N11 R6:R11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4" width="30"/>
  </cols>
  <sheetData>
    <row r="3" customFormat="false" ht="15" hidden="false" customHeight="true" outlineLevel="0" collapsed="false">
      <c r="B3" s="15" t="s">
        <v>20</v>
      </c>
    </row>
    <row r="4" customFormat="false" ht="15" hidden="false" customHeight="true" outlineLevel="0" collapsed="false">
      <c r="B4" s="16" t="s">
        <v>1</v>
      </c>
      <c r="C4" s="16" t="s">
        <v>21</v>
      </c>
      <c r="D4" s="16" t="s">
        <v>22</v>
      </c>
      <c r="E4" s="16" t="s">
        <v>23</v>
      </c>
    </row>
    <row r="5" customFormat="false" ht="15" hidden="false" customHeight="true" outlineLevel="0" collapsed="false">
      <c r="B5" s="17" t="s">
        <v>24</v>
      </c>
      <c r="C5" s="17" t="n">
        <f aca="false">SUMPRODUCT((TRIM('Panel Details'!$E$2:$E$501)=TRIM($B5))*('Panel Details'!$I$2:$I$501="R1")*N('Panel Details'!$J$2:$J$501))</f>
        <v>0</v>
      </c>
      <c r="D5" s="17" t="n">
        <f aca="false">SUMPRODUCT((TRIM('Panel Details'!$E$2:$E$501)=TRIM($B5))*('Panel Details'!$I$2:$I$501="R2")*N('Panel Details'!$J$2:$J$501))</f>
        <v>0</v>
      </c>
      <c r="E5" s="17" t="n">
        <f aca="false">C5+D5</f>
        <v>0</v>
      </c>
    </row>
    <row r="6" customFormat="false" ht="15" hidden="false" customHeight="true" outlineLevel="0" collapsed="false">
      <c r="B6" s="17" t="s">
        <v>14</v>
      </c>
      <c r="C6" s="17" t="n">
        <f aca="false">SUMPRODUCT((TRIM('Panel Details'!$E$2:$E$501)=TRIM($B6))*('Panel Details'!$I$2:$I$501="R1")*N('Panel Details'!$J$2:$J$501))</f>
        <v>0</v>
      </c>
      <c r="D6" s="17" t="n">
        <f aca="false">SUMPRODUCT((TRIM('Panel Details'!$E$2:$E$501)=TRIM($B6))*('Panel Details'!$I$2:$I$501="R2")*N('Panel Details'!$J$2:$J$501))</f>
        <v>0</v>
      </c>
      <c r="E6" s="17" t="n">
        <f aca="false">C6+D6</f>
        <v>0</v>
      </c>
    </row>
    <row r="7" customFormat="false" ht="15" hidden="false" customHeight="true" outlineLevel="0" collapsed="false">
      <c r="B7" s="17" t="s">
        <v>15</v>
      </c>
      <c r="C7" s="17" t="n">
        <f aca="false">SUMPRODUCT((TRIM('Panel Details'!$E$2:$E$501)=TRIM($B7))*('Panel Details'!$I$2:$I$501="R1")*N('Panel Details'!$J$2:$J$501))</f>
        <v>0</v>
      </c>
      <c r="D7" s="17" t="n">
        <f aca="false">SUMPRODUCT((TRIM('Panel Details'!$E$2:$E$501)=TRIM($B7))*('Panel Details'!$I$2:$I$501="R2")*N('Panel Details'!$J$2:$J$501))</f>
        <v>0</v>
      </c>
      <c r="E7" s="17" t="n">
        <f aca="false">C7+D7</f>
        <v>0</v>
      </c>
    </row>
    <row r="8" customFormat="false" ht="15" hidden="false" customHeight="true" outlineLevel="0" collapsed="false">
      <c r="B8" s="17" t="s">
        <v>16</v>
      </c>
      <c r="C8" s="17" t="n">
        <f aca="false">SUMPRODUCT((TRIM('Panel Details'!$E$2:$E$501)=TRIM($B8))*('Panel Details'!$I$2:$I$501="R1")*N('Panel Details'!$J$2:$J$501))</f>
        <v>0</v>
      </c>
      <c r="D8" s="17" t="n">
        <f aca="false">SUMPRODUCT((TRIM('Panel Details'!$E$2:$E$501)=TRIM($B8))*('Panel Details'!$I$2:$I$501="R2")*N('Panel Details'!$J$2:$J$501))</f>
        <v>0</v>
      </c>
      <c r="E8" s="17" t="n">
        <f aca="false">C8+D8</f>
        <v>0</v>
      </c>
    </row>
    <row r="9" customFormat="false" ht="15" hidden="false" customHeight="true" outlineLevel="0" collapsed="false">
      <c r="B9" s="17" t="s">
        <v>17</v>
      </c>
      <c r="C9" s="17" t="n">
        <f aca="false">SUMPRODUCT((TRIM('Panel Details'!$E$2:$E$501)=TRIM($B9))*('Panel Details'!$I$2:$I$501="R1")*N('Panel Details'!$J$2:$J$501))</f>
        <v>0</v>
      </c>
      <c r="D9" s="17" t="n">
        <f aca="false">SUMPRODUCT((TRIM('Panel Details'!$E$2:$E$501)=TRIM($B9))*('Panel Details'!$I$2:$I$501="R2")*N('Panel Details'!$J$2:$J$501))</f>
        <v>0</v>
      </c>
      <c r="E9" s="17" t="n">
        <f aca="false">C9+D9</f>
        <v>0</v>
      </c>
    </row>
    <row r="10" customFormat="false" ht="15" hidden="false" customHeight="true" outlineLevel="0" collapsed="false">
      <c r="B10" s="17" t="s">
        <v>18</v>
      </c>
      <c r="C10" s="17" t="n">
        <f aca="false">SUMPRODUCT((TRIM('Panel Details'!$E$2:$E$501)=TRIM($B10))*('Panel Details'!$I$2:$I$501="R1")*N('Panel Details'!$J$2:$J$501))</f>
        <v>0</v>
      </c>
      <c r="D10" s="17" t="n">
        <f aca="false">SUMPRODUCT((TRIM('Panel Details'!$E$2:$E$501)=TRIM($B10))*('Panel Details'!$I$2:$I$501="R2")*N('Panel Details'!$J$2:$J$501))</f>
        <v>0</v>
      </c>
      <c r="E10" s="17" t="n">
        <f aca="false">C10+D10</f>
        <v>0</v>
      </c>
    </row>
    <row r="11" customFormat="false" ht="15" hidden="false" customHeight="true" outlineLevel="0" collapsed="false">
      <c r="B11" s="15" t="s">
        <v>23</v>
      </c>
      <c r="C11" s="15" t="n">
        <f aca="false">SUM(C5:C10)</f>
        <v>0</v>
      </c>
      <c r="D11" s="15" t="n">
        <f aca="false">SUM(D5:D10)</f>
        <v>0</v>
      </c>
      <c r="E11" s="15" t="n">
        <f aca="false">SUM(E5:E10)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4" width="26"/>
    <col collapsed="false" customWidth="true" hidden="false" outlineLevel="0" max="2" min="2" style="14" width="40"/>
  </cols>
  <sheetData>
    <row r="1" customFormat="false" ht="15" hidden="false" customHeight="true" outlineLevel="0" collapsed="false">
      <c r="A1" s="18" t="s">
        <v>25</v>
      </c>
      <c r="B1" s="18" t="s">
        <v>26</v>
      </c>
    </row>
    <row r="2" customFormat="false" ht="15" hidden="false" customHeight="true" outlineLevel="0" collapsed="false">
      <c r="A2" s="17" t="s">
        <v>13</v>
      </c>
      <c r="B2" s="17" t="s">
        <v>27</v>
      </c>
    </row>
    <row r="3" customFormat="false" ht="15" hidden="false" customHeight="true" outlineLevel="0" collapsed="false">
      <c r="A3" s="17" t="s">
        <v>14</v>
      </c>
      <c r="B3" s="17" t="s">
        <v>14</v>
      </c>
    </row>
    <row r="4" customFormat="false" ht="15" hidden="false" customHeight="true" outlineLevel="0" collapsed="false">
      <c r="A4" s="17" t="s">
        <v>15</v>
      </c>
      <c r="B4" s="17" t="s">
        <v>28</v>
      </c>
    </row>
    <row r="5" customFormat="false" ht="15" hidden="false" customHeight="true" outlineLevel="0" collapsed="false">
      <c r="A5" s="17" t="s">
        <v>16</v>
      </c>
      <c r="B5" s="17" t="s">
        <v>16</v>
      </c>
    </row>
    <row r="6" customFormat="false" ht="15" hidden="false" customHeight="true" outlineLevel="0" collapsed="false">
      <c r="A6" s="17" t="s">
        <v>17</v>
      </c>
      <c r="B6" s="17" t="s">
        <v>29</v>
      </c>
    </row>
    <row r="7" customFormat="false" ht="15" hidden="false" customHeight="true" outlineLevel="0" collapsed="false">
      <c r="A7" s="17" t="s">
        <v>18</v>
      </c>
      <c r="B7" s="1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O501"/>
  <sheetViews>
    <sheetView showFormulas="false" showGridLines="false" showRowColHeaders="true" showZeros="true" rightToLeft="false" tabSelected="true" showOutlineSymbols="true" defaultGridColor="true" view="normal" topLeftCell="A1" colorId="64" zoomScale="57" zoomScaleNormal="57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28.78125" defaultRowHeight="13.5" zeroHeight="false" outlineLevelRow="0" outlineLevelCol="0"/>
  <cols>
    <col collapsed="false" customWidth="true" hidden="false" outlineLevel="0" max="1" min="1" style="19" width="18"/>
    <col collapsed="false" customWidth="true" hidden="false" outlineLevel="0" max="2" min="2" style="19" width="15.21"/>
    <col collapsed="false" customWidth="true" hidden="false" outlineLevel="0" max="3" min="3" style="20" width="12.93"/>
    <col collapsed="false" customWidth="true" hidden="false" outlineLevel="0" max="5" min="4" style="19" width="12.43"/>
    <col collapsed="false" customWidth="true" hidden="false" outlineLevel="0" max="6" min="6" style="19" width="11.43"/>
    <col collapsed="false" customWidth="true" hidden="false" outlineLevel="0" max="7" min="7" style="19" width="16.43"/>
    <col collapsed="false" customWidth="true" hidden="false" outlineLevel="0" max="8" min="8" style="19" width="14.07"/>
    <col collapsed="false" customWidth="true" hidden="false" outlineLevel="0" max="9" min="9" style="19" width="22"/>
    <col collapsed="false" customWidth="true" hidden="false" outlineLevel="0" max="10" min="10" style="19" width="7.43"/>
    <col collapsed="false" customWidth="true" hidden="false" outlineLevel="0" max="11" min="11" style="19" width="12.57"/>
    <col collapsed="false" customWidth="true" hidden="false" outlineLevel="0" max="12" min="12" style="19" width="9.57"/>
    <col collapsed="false" customWidth="false" hidden="false" outlineLevel="0" max="16384" min="13" style="19" width="28.78"/>
  </cols>
  <sheetData>
    <row r="1" s="25" customFormat="true" ht="13.5" hidden="false" customHeight="true" outlineLevel="0" collapsed="false">
      <c r="A1" s="21" t="s">
        <v>31</v>
      </c>
      <c r="B1" s="21" t="s">
        <v>32</v>
      </c>
      <c r="C1" s="22" t="s">
        <v>33</v>
      </c>
      <c r="D1" s="21" t="s">
        <v>34</v>
      </c>
      <c r="E1" s="21" t="s">
        <v>35</v>
      </c>
      <c r="F1" s="21" t="s">
        <v>36</v>
      </c>
      <c r="G1" s="21" t="s">
        <v>37</v>
      </c>
      <c r="H1" s="21" t="s">
        <v>38</v>
      </c>
      <c r="I1" s="23" t="s">
        <v>39</v>
      </c>
      <c r="J1" s="23" t="s">
        <v>40</v>
      </c>
      <c r="K1" s="23" t="s">
        <v>41</v>
      </c>
      <c r="L1" s="24" t="s">
        <v>42</v>
      </c>
      <c r="M1" s="25" t="s">
        <v>43</v>
      </c>
      <c r="O1" s="26" t="s">
        <v>44</v>
      </c>
    </row>
    <row r="2" customFormat="false" ht="13.5" hidden="false" customHeight="true" outlineLevel="0" collapsed="false">
      <c r="A2" s="27" t="str">
        <f aca="false">IF($O2="","",INDEX('Auto Process'!$AC:$AC,$O2))</f>
        <v/>
      </c>
      <c r="B2" s="17" t="str">
        <f aca="false">IF($O2="","",INDEX('Auto Process'!$AD:$AD,$O2))</f>
        <v/>
      </c>
      <c r="C2" s="17" t="str">
        <f aca="false">IF($O2="","",INDEX('Auto Process'!$AE:$AE,$O2))</f>
        <v/>
      </c>
      <c r="D2" s="17" t="str">
        <f aca="false">IF($O2="","",INDEX('Auto Process'!$AF:$AF,$O2))</f>
        <v/>
      </c>
      <c r="E2" s="17" t="str">
        <f aca="false">IF($O2="","",INDEX('Auto Process'!$AG:$AG,$O2))</f>
        <v/>
      </c>
      <c r="F2" s="17" t="str">
        <f aca="false">IF($O2="","",INDEX('Auto Process'!$AH:$AH,$O2))</f>
        <v/>
      </c>
      <c r="G2" s="17" t="str">
        <f aca="false">IF($O2="","",INDEX('Auto Process'!$AI:$AI,$O2))</f>
        <v/>
      </c>
      <c r="H2" s="17" t="str">
        <f aca="false">IF($O2="","",INDEX('Auto Process'!$AJ:$AJ,$O2))</f>
        <v/>
      </c>
      <c r="I2" s="17" t="str">
        <f aca="false">IF($O2="","",INDEX('Auto Process'!$AK:$AK,$O2))</f>
        <v/>
      </c>
      <c r="J2" s="17" t="str">
        <f aca="false">IF($O2="","",INDEX('Auto Process'!$AL:$AL,$O2))</f>
        <v/>
      </c>
      <c r="K2" s="17" t="str">
        <f aca="false">IF($O2="","",INDEX('Auto Process'!$AM:$AM,$O2))</f>
        <v/>
      </c>
      <c r="L2" s="17" t="str">
        <f aca="false">IF($O2="","",INDEX('Auto Process'!$AN:$AN,$O2))</f>
        <v/>
      </c>
      <c r="M2" s="17" t="str">
        <f aca="false">IF($O2="","",INDEX('Auto Process'!$AO:$AO,$O2))</f>
        <v/>
      </c>
      <c r="O2" s="19" t="str">
        <f aca="false">IFERROR(_xlfn.AGGREGATE(15,6,ROW('Auto Process'!$D$4:$D$503)/('Auto Process'!$D$4:$D$503="Panel Details"),ROW()-1),"")</f>
        <v/>
      </c>
    </row>
    <row r="3" customFormat="false" ht="13.5" hidden="false" customHeight="true" outlineLevel="0" collapsed="false">
      <c r="A3" s="27" t="str">
        <f aca="false">IF($O3="","",INDEX('Auto Process'!$AC:$AC,$O3))</f>
        <v/>
      </c>
      <c r="B3" s="17" t="str">
        <f aca="false">IF($O3="","",INDEX('Auto Process'!$AD:$AD,$O3))</f>
        <v/>
      </c>
      <c r="C3" s="17" t="str">
        <f aca="false">IF($O3="","",INDEX('Auto Process'!$AE:$AE,$O3))</f>
        <v/>
      </c>
      <c r="D3" s="17" t="str">
        <f aca="false">IF($O3="","",INDEX('Auto Process'!$AF:$AF,$O3))</f>
        <v/>
      </c>
      <c r="E3" s="17" t="str">
        <f aca="false">IF($O3="","",INDEX('Auto Process'!$AG:$AG,$O3))</f>
        <v/>
      </c>
      <c r="F3" s="17" t="str">
        <f aca="false">IF($O3="","",INDEX('Auto Process'!$AH:$AH,$O3))</f>
        <v/>
      </c>
      <c r="G3" s="17" t="str">
        <f aca="false">IF($O3="","",INDEX('Auto Process'!$AI:$AI,$O3))</f>
        <v/>
      </c>
      <c r="H3" s="17" t="str">
        <f aca="false">IF($O3="","",INDEX('Auto Process'!$AJ:$AJ,$O3))</f>
        <v/>
      </c>
      <c r="I3" s="17" t="str">
        <f aca="false">IF($O3="","",INDEX('Auto Process'!$AK:$AK,$O3))</f>
        <v/>
      </c>
      <c r="J3" s="17" t="str">
        <f aca="false">IF($O3="","",INDEX('Auto Process'!$AL:$AL,$O3))</f>
        <v/>
      </c>
      <c r="K3" s="17" t="str">
        <f aca="false">IF($O3="","",INDEX('Auto Process'!$AM:$AM,$O3))</f>
        <v/>
      </c>
      <c r="L3" s="17" t="str">
        <f aca="false">IF($O3="","",INDEX('Auto Process'!$AN:$AN,$O3))</f>
        <v/>
      </c>
      <c r="M3" s="17" t="str">
        <f aca="false">IF($O3="","",INDEX('Auto Process'!$AO:$AO,$O3))</f>
        <v/>
      </c>
      <c r="O3" s="19" t="str">
        <f aca="false">IFERROR(_xlfn.AGGREGATE(15,6,ROW('Auto Process'!$D$4:$D$503)/('Auto Process'!$D$4:$D$503="Panel Details"),ROW()-1),"")</f>
        <v/>
      </c>
    </row>
    <row r="4" customFormat="false" ht="13.5" hidden="false" customHeight="true" outlineLevel="0" collapsed="false">
      <c r="A4" s="27" t="str">
        <f aca="false">IF($O4="","",INDEX('Auto Process'!$AC:$AC,$O4))</f>
        <v/>
      </c>
      <c r="B4" s="17" t="str">
        <f aca="false">IF($O4="","",INDEX('Auto Process'!$AD:$AD,$O4))</f>
        <v/>
      </c>
      <c r="C4" s="17" t="str">
        <f aca="false">IF($O4="","",INDEX('Auto Process'!$AE:$AE,$O4))</f>
        <v/>
      </c>
      <c r="D4" s="17" t="str">
        <f aca="false">IF($O4="","",INDEX('Auto Process'!$AF:$AF,$O4))</f>
        <v/>
      </c>
      <c r="E4" s="17" t="str">
        <f aca="false">IF($O4="","",INDEX('Auto Process'!$AG:$AG,$O4))</f>
        <v/>
      </c>
      <c r="F4" s="17" t="str">
        <f aca="false">IF($O4="","",INDEX('Auto Process'!$AH:$AH,$O4))</f>
        <v/>
      </c>
      <c r="G4" s="17" t="str">
        <f aca="false">IF($O4="","",INDEX('Auto Process'!$AI:$AI,$O4))</f>
        <v/>
      </c>
      <c r="H4" s="17" t="str">
        <f aca="false">IF($O4="","",INDEX('Auto Process'!$AJ:$AJ,$O4))</f>
        <v/>
      </c>
      <c r="I4" s="17" t="str">
        <f aca="false">IF($O4="","",INDEX('Auto Process'!$AK:$AK,$O4))</f>
        <v/>
      </c>
      <c r="J4" s="17" t="str">
        <f aca="false">IF($O4="","",INDEX('Auto Process'!$AL:$AL,$O4))</f>
        <v/>
      </c>
      <c r="K4" s="17" t="str">
        <f aca="false">IF($O4="","",INDEX('Auto Process'!$AM:$AM,$O4))</f>
        <v/>
      </c>
      <c r="L4" s="17" t="str">
        <f aca="false">IF($O4="","",INDEX('Auto Process'!$AN:$AN,$O4))</f>
        <v/>
      </c>
      <c r="M4" s="17" t="str">
        <f aca="false">IF($O4="","",INDEX('Auto Process'!$AO:$AO,$O4))</f>
        <v/>
      </c>
      <c r="O4" s="19" t="str">
        <f aca="false">IFERROR(_xlfn.AGGREGATE(15,6,ROW('Auto Process'!$D$4:$D$503)/('Auto Process'!$D$4:$D$503="Panel Details"),ROW()-1),"")</f>
        <v/>
      </c>
    </row>
    <row r="5" customFormat="false" ht="13.5" hidden="false" customHeight="true" outlineLevel="0" collapsed="false">
      <c r="A5" s="27" t="str">
        <f aca="false">IF($O5="","",INDEX('Auto Process'!$AC:$AC,$O5))</f>
        <v/>
      </c>
      <c r="B5" s="17" t="str">
        <f aca="false">IF($O5="","",INDEX('Auto Process'!$AD:$AD,$O5))</f>
        <v/>
      </c>
      <c r="C5" s="17" t="str">
        <f aca="false">IF($O5="","",INDEX('Auto Process'!$AE:$AE,$O5))</f>
        <v/>
      </c>
      <c r="D5" s="17" t="str">
        <f aca="false">IF($O5="","",INDEX('Auto Process'!$AF:$AF,$O5))</f>
        <v/>
      </c>
      <c r="E5" s="17" t="str">
        <f aca="false">IF($O5="","",INDEX('Auto Process'!$AG:$AG,$O5))</f>
        <v/>
      </c>
      <c r="F5" s="17" t="str">
        <f aca="false">IF($O5="","",INDEX('Auto Process'!$AH:$AH,$O5))</f>
        <v/>
      </c>
      <c r="G5" s="17" t="str">
        <f aca="false">IF($O5="","",INDEX('Auto Process'!$AI:$AI,$O5))</f>
        <v/>
      </c>
      <c r="H5" s="17" t="str">
        <f aca="false">IF($O5="","",INDEX('Auto Process'!$AJ:$AJ,$O5))</f>
        <v/>
      </c>
      <c r="I5" s="17" t="str">
        <f aca="false">IF($O5="","",INDEX('Auto Process'!$AK:$AK,$O5))</f>
        <v/>
      </c>
      <c r="J5" s="17" t="str">
        <f aca="false">IF($O5="","",INDEX('Auto Process'!$AL:$AL,$O5))</f>
        <v/>
      </c>
      <c r="K5" s="17" t="str">
        <f aca="false">IF($O5="","",INDEX('Auto Process'!$AM:$AM,$O5))</f>
        <v/>
      </c>
      <c r="L5" s="17" t="str">
        <f aca="false">IF($O5="","",INDEX('Auto Process'!$AN:$AN,$O5))</f>
        <v/>
      </c>
      <c r="M5" s="17" t="str">
        <f aca="false">IF($O5="","",INDEX('Auto Process'!$AO:$AO,$O5))</f>
        <v/>
      </c>
      <c r="O5" s="19" t="str">
        <f aca="false">IFERROR(_xlfn.AGGREGATE(15,6,ROW('Auto Process'!$D$4:$D$503)/('Auto Process'!$D$4:$D$503="Panel Details"),ROW()-1),"")</f>
        <v/>
      </c>
    </row>
    <row r="6" customFormat="false" ht="13.5" hidden="false" customHeight="true" outlineLevel="0" collapsed="false">
      <c r="A6" s="27" t="str">
        <f aca="false">IF($O6="","",INDEX('Auto Process'!$AC:$AC,$O6))</f>
        <v/>
      </c>
      <c r="B6" s="17" t="str">
        <f aca="false">IF($O6="","",INDEX('Auto Process'!$AD:$AD,$O6))</f>
        <v/>
      </c>
      <c r="C6" s="17" t="str">
        <f aca="false">IF($O6="","",INDEX('Auto Process'!$AE:$AE,$O6))</f>
        <v/>
      </c>
      <c r="D6" s="17" t="str">
        <f aca="false">IF($O6="","",INDEX('Auto Process'!$AF:$AF,$O6))</f>
        <v/>
      </c>
      <c r="E6" s="17" t="str">
        <f aca="false">IF($O6="","",INDEX('Auto Process'!$AG:$AG,$O6))</f>
        <v/>
      </c>
      <c r="F6" s="17" t="str">
        <f aca="false">IF($O6="","",INDEX('Auto Process'!$AH:$AH,$O6))</f>
        <v/>
      </c>
      <c r="G6" s="17" t="str">
        <f aca="false">IF($O6="","",INDEX('Auto Process'!$AI:$AI,$O6))</f>
        <v/>
      </c>
      <c r="H6" s="17" t="str">
        <f aca="false">IF($O6="","",INDEX('Auto Process'!$AJ:$AJ,$O6))</f>
        <v/>
      </c>
      <c r="I6" s="17" t="str">
        <f aca="false">IF($O6="","",INDEX('Auto Process'!$AK:$AK,$O6))</f>
        <v/>
      </c>
      <c r="J6" s="17" t="str">
        <f aca="false">IF($O6="","",INDEX('Auto Process'!$AL:$AL,$O6))</f>
        <v/>
      </c>
      <c r="K6" s="17" t="str">
        <f aca="false">IF($O6="","",INDEX('Auto Process'!$AM:$AM,$O6))</f>
        <v/>
      </c>
      <c r="L6" s="17" t="str">
        <f aca="false">IF($O6="","",INDEX('Auto Process'!$AN:$AN,$O6))</f>
        <v/>
      </c>
      <c r="M6" s="17" t="str">
        <f aca="false">IF($O6="","",INDEX('Auto Process'!$AO:$AO,$O6))</f>
        <v/>
      </c>
      <c r="O6" s="19" t="str">
        <f aca="false">IFERROR(_xlfn.AGGREGATE(15,6,ROW('Auto Process'!$D$4:$D$503)/('Auto Process'!$D$4:$D$503="Panel Details"),ROW()-1),"")</f>
        <v/>
      </c>
    </row>
    <row r="7" customFormat="false" ht="13.5" hidden="false" customHeight="true" outlineLevel="0" collapsed="false">
      <c r="A7" s="27" t="str">
        <f aca="false">IF($O7="","",INDEX('Auto Process'!$AC:$AC,$O7))</f>
        <v/>
      </c>
      <c r="B7" s="17" t="str">
        <f aca="false">IF($O7="","",INDEX('Auto Process'!$AD:$AD,$O7))</f>
        <v/>
      </c>
      <c r="C7" s="17" t="str">
        <f aca="false">IF($O7="","",INDEX('Auto Process'!$AE:$AE,$O7))</f>
        <v/>
      </c>
      <c r="D7" s="17" t="str">
        <f aca="false">IF($O7="","",INDEX('Auto Process'!$AF:$AF,$O7))</f>
        <v/>
      </c>
      <c r="E7" s="17" t="str">
        <f aca="false">IF($O7="","",INDEX('Auto Process'!$AG:$AG,$O7))</f>
        <v/>
      </c>
      <c r="F7" s="17" t="str">
        <f aca="false">IF($O7="","",INDEX('Auto Process'!$AH:$AH,$O7))</f>
        <v/>
      </c>
      <c r="G7" s="17" t="str">
        <f aca="false">IF($O7="","",INDEX('Auto Process'!$AI:$AI,$O7))</f>
        <v/>
      </c>
      <c r="H7" s="17" t="str">
        <f aca="false">IF($O7="","",INDEX('Auto Process'!$AJ:$AJ,$O7))</f>
        <v/>
      </c>
      <c r="I7" s="17" t="str">
        <f aca="false">IF($O7="","",INDEX('Auto Process'!$AK:$AK,$O7))</f>
        <v/>
      </c>
      <c r="J7" s="17" t="str">
        <f aca="false">IF($O7="","",INDEX('Auto Process'!$AL:$AL,$O7))</f>
        <v/>
      </c>
      <c r="K7" s="17" t="str">
        <f aca="false">IF($O7="","",INDEX('Auto Process'!$AM:$AM,$O7))</f>
        <v/>
      </c>
      <c r="L7" s="17" t="str">
        <f aca="false">IF($O7="","",INDEX('Auto Process'!$AN:$AN,$O7))</f>
        <v/>
      </c>
      <c r="M7" s="17" t="str">
        <f aca="false">IF($O7="","",INDEX('Auto Process'!$AO:$AO,$O7))</f>
        <v/>
      </c>
      <c r="O7" s="19" t="str">
        <f aca="false">IFERROR(_xlfn.AGGREGATE(15,6,ROW('Auto Process'!$D$4:$D$503)/('Auto Process'!$D$4:$D$503="Panel Details"),ROW()-1),"")</f>
        <v/>
      </c>
    </row>
    <row r="8" customFormat="false" ht="13.5" hidden="false" customHeight="true" outlineLevel="0" collapsed="false">
      <c r="A8" s="27" t="str">
        <f aca="false">IF($O8="","",INDEX('Auto Process'!$AC:$AC,$O8))</f>
        <v/>
      </c>
      <c r="B8" s="17" t="str">
        <f aca="false">IF($O8="","",INDEX('Auto Process'!$AD:$AD,$O8))</f>
        <v/>
      </c>
      <c r="C8" s="17" t="str">
        <f aca="false">IF($O8="","",INDEX('Auto Process'!$AE:$AE,$O8))</f>
        <v/>
      </c>
      <c r="D8" s="17" t="str">
        <f aca="false">IF($O8="","",INDEX('Auto Process'!$AF:$AF,$O8))</f>
        <v/>
      </c>
      <c r="E8" s="17" t="str">
        <f aca="false">IF($O8="","",INDEX('Auto Process'!$AG:$AG,$O8))</f>
        <v/>
      </c>
      <c r="F8" s="17" t="str">
        <f aca="false">IF($O8="","",INDEX('Auto Process'!$AH:$AH,$O8))</f>
        <v/>
      </c>
      <c r="G8" s="17" t="str">
        <f aca="false">IF($O8="","",INDEX('Auto Process'!$AI:$AI,$O8))</f>
        <v/>
      </c>
      <c r="H8" s="17" t="str">
        <f aca="false">IF($O8="","",INDEX('Auto Process'!$AJ:$AJ,$O8))</f>
        <v/>
      </c>
      <c r="I8" s="17" t="str">
        <f aca="false">IF($O8="","",INDEX('Auto Process'!$AK:$AK,$O8))</f>
        <v/>
      </c>
      <c r="J8" s="17" t="str">
        <f aca="false">IF($O8="","",INDEX('Auto Process'!$AL:$AL,$O8))</f>
        <v/>
      </c>
      <c r="K8" s="17" t="str">
        <f aca="false">IF($O8="","",INDEX('Auto Process'!$AM:$AM,$O8))</f>
        <v/>
      </c>
      <c r="L8" s="17" t="str">
        <f aca="false">IF($O8="","",INDEX('Auto Process'!$AN:$AN,$O8))</f>
        <v/>
      </c>
      <c r="M8" s="17" t="str">
        <f aca="false">IF($O8="","",INDEX('Auto Process'!$AO:$AO,$O8))</f>
        <v/>
      </c>
      <c r="O8" s="19" t="str">
        <f aca="false">IFERROR(_xlfn.AGGREGATE(15,6,ROW('Auto Process'!$D$4:$D$503)/('Auto Process'!$D$4:$D$503="Panel Details"),ROW()-1),"")</f>
        <v/>
      </c>
    </row>
    <row r="9" customFormat="false" ht="13.5" hidden="false" customHeight="true" outlineLevel="0" collapsed="false">
      <c r="A9" s="27" t="str">
        <f aca="false">IF($O9="","",INDEX('Auto Process'!$AC:$AC,$O9))</f>
        <v/>
      </c>
      <c r="B9" s="17" t="str">
        <f aca="false">IF($O9="","",INDEX('Auto Process'!$AD:$AD,$O9))</f>
        <v/>
      </c>
      <c r="C9" s="17" t="str">
        <f aca="false">IF($O9="","",INDEX('Auto Process'!$AE:$AE,$O9))</f>
        <v/>
      </c>
      <c r="D9" s="17" t="str">
        <f aca="false">IF($O9="","",INDEX('Auto Process'!$AF:$AF,$O9))</f>
        <v/>
      </c>
      <c r="E9" s="17" t="str">
        <f aca="false">IF($O9="","",INDEX('Auto Process'!$AG:$AG,$O9))</f>
        <v/>
      </c>
      <c r="F9" s="17" t="str">
        <f aca="false">IF($O9="","",INDEX('Auto Process'!$AH:$AH,$O9))</f>
        <v/>
      </c>
      <c r="G9" s="17" t="str">
        <f aca="false">IF($O9="","",INDEX('Auto Process'!$AI:$AI,$O9))</f>
        <v/>
      </c>
      <c r="H9" s="17" t="str">
        <f aca="false">IF($O9="","",INDEX('Auto Process'!$AJ:$AJ,$O9))</f>
        <v/>
      </c>
      <c r="I9" s="17" t="str">
        <f aca="false">IF($O9="","",INDEX('Auto Process'!$AK:$AK,$O9))</f>
        <v/>
      </c>
      <c r="J9" s="17" t="str">
        <f aca="false">IF($O9="","",INDEX('Auto Process'!$AL:$AL,$O9))</f>
        <v/>
      </c>
      <c r="K9" s="17" t="str">
        <f aca="false">IF($O9="","",INDEX('Auto Process'!$AM:$AM,$O9))</f>
        <v/>
      </c>
      <c r="L9" s="17" t="str">
        <f aca="false">IF($O9="","",INDEX('Auto Process'!$AN:$AN,$O9))</f>
        <v/>
      </c>
      <c r="M9" s="17" t="str">
        <f aca="false">IF($O9="","",INDEX('Auto Process'!$AO:$AO,$O9))</f>
        <v/>
      </c>
      <c r="O9" s="19" t="str">
        <f aca="false">IFERROR(_xlfn.AGGREGATE(15,6,ROW('Auto Process'!$D$4:$D$503)/('Auto Process'!$D$4:$D$503="Panel Details"),ROW()-1),"")</f>
        <v/>
      </c>
    </row>
    <row r="10" customFormat="false" ht="13.5" hidden="false" customHeight="true" outlineLevel="0" collapsed="false">
      <c r="A10" s="27" t="str">
        <f aca="false">IF($O10="","",INDEX('Auto Process'!$AC:$AC,$O10))</f>
        <v/>
      </c>
      <c r="B10" s="17" t="str">
        <f aca="false">IF($O10="","",INDEX('Auto Process'!$AD:$AD,$O10))</f>
        <v/>
      </c>
      <c r="C10" s="17" t="str">
        <f aca="false">IF($O10="","",INDEX('Auto Process'!$AE:$AE,$O10))</f>
        <v/>
      </c>
      <c r="D10" s="17" t="str">
        <f aca="false">IF($O10="","",INDEX('Auto Process'!$AF:$AF,$O10))</f>
        <v/>
      </c>
      <c r="E10" s="17" t="str">
        <f aca="false">IF($O10="","",INDEX('Auto Process'!$AG:$AG,$O10))</f>
        <v/>
      </c>
      <c r="F10" s="17" t="str">
        <f aca="false">IF($O10="","",INDEX('Auto Process'!$AH:$AH,$O10))</f>
        <v/>
      </c>
      <c r="G10" s="17" t="str">
        <f aca="false">IF($O10="","",INDEX('Auto Process'!$AI:$AI,$O10))</f>
        <v/>
      </c>
      <c r="H10" s="17" t="str">
        <f aca="false">IF($O10="","",INDEX('Auto Process'!$AJ:$AJ,$O10))</f>
        <v/>
      </c>
      <c r="I10" s="17" t="str">
        <f aca="false">IF($O10="","",INDEX('Auto Process'!$AK:$AK,$O10))</f>
        <v/>
      </c>
      <c r="J10" s="17" t="str">
        <f aca="false">IF($O10="","",INDEX('Auto Process'!$AL:$AL,$O10))</f>
        <v/>
      </c>
      <c r="K10" s="17" t="str">
        <f aca="false">IF($O10="","",INDEX('Auto Process'!$AM:$AM,$O10))</f>
        <v/>
      </c>
      <c r="L10" s="17" t="str">
        <f aca="false">IF($O10="","",INDEX('Auto Process'!$AN:$AN,$O10))</f>
        <v/>
      </c>
      <c r="M10" s="17" t="str">
        <f aca="false">IF($O10="","",INDEX('Auto Process'!$AO:$AO,$O10))</f>
        <v/>
      </c>
      <c r="O10" s="19" t="str">
        <f aca="false">IFERROR(_xlfn.AGGREGATE(15,6,ROW('Auto Process'!$D$4:$D$503)/('Auto Process'!$D$4:$D$503="Panel Details"),ROW()-1),"")</f>
        <v/>
      </c>
    </row>
    <row r="11" customFormat="false" ht="13.5" hidden="false" customHeight="true" outlineLevel="0" collapsed="false">
      <c r="A11" s="27" t="str">
        <f aca="false">IF($O11="","",INDEX('Auto Process'!$AC:$AC,$O11))</f>
        <v/>
      </c>
      <c r="B11" s="17" t="str">
        <f aca="false">IF($O11="","",INDEX('Auto Process'!$AD:$AD,$O11))</f>
        <v/>
      </c>
      <c r="C11" s="17" t="str">
        <f aca="false">IF($O11="","",INDEX('Auto Process'!$AE:$AE,$O11))</f>
        <v/>
      </c>
      <c r="D11" s="17" t="str">
        <f aca="false">IF($O11="","",INDEX('Auto Process'!$AF:$AF,$O11))</f>
        <v/>
      </c>
      <c r="E11" s="17" t="str">
        <f aca="false">IF($O11="","",INDEX('Auto Process'!$AG:$AG,$O11))</f>
        <v/>
      </c>
      <c r="F11" s="17" t="str">
        <f aca="false">IF($O11="","",INDEX('Auto Process'!$AH:$AH,$O11))</f>
        <v/>
      </c>
      <c r="G11" s="17" t="str">
        <f aca="false">IF($O11="","",INDEX('Auto Process'!$AI:$AI,$O11))</f>
        <v/>
      </c>
      <c r="H11" s="17" t="str">
        <f aca="false">IF($O11="","",INDEX('Auto Process'!$AJ:$AJ,$O11))</f>
        <v/>
      </c>
      <c r="I11" s="17" t="str">
        <f aca="false">IF($O11="","",INDEX('Auto Process'!$AK:$AK,$O11))</f>
        <v/>
      </c>
      <c r="J11" s="17" t="str">
        <f aca="false">IF($O11="","",INDEX('Auto Process'!$AL:$AL,$O11))</f>
        <v/>
      </c>
      <c r="K11" s="17" t="str">
        <f aca="false">IF($O11="","",INDEX('Auto Process'!$AM:$AM,$O11))</f>
        <v/>
      </c>
      <c r="L11" s="17" t="str">
        <f aca="false">IF($O11="","",INDEX('Auto Process'!$AN:$AN,$O11))</f>
        <v/>
      </c>
      <c r="M11" s="17" t="str">
        <f aca="false">IF($O11="","",INDEX('Auto Process'!$AO:$AO,$O11))</f>
        <v/>
      </c>
      <c r="O11" s="19" t="str">
        <f aca="false">IFERROR(_xlfn.AGGREGATE(15,6,ROW('Auto Process'!$D$4:$D$503)/('Auto Process'!$D$4:$D$503="Panel Details"),ROW()-1),"")</f>
        <v/>
      </c>
    </row>
    <row r="12" customFormat="false" ht="13.5" hidden="false" customHeight="true" outlineLevel="0" collapsed="false">
      <c r="A12" s="27" t="str">
        <f aca="false">IF($O12="","",INDEX('Auto Process'!$AC:$AC,$O12))</f>
        <v/>
      </c>
      <c r="B12" s="17" t="str">
        <f aca="false">IF($O12="","",INDEX('Auto Process'!$AD:$AD,$O12))</f>
        <v/>
      </c>
      <c r="C12" s="17" t="str">
        <f aca="false">IF($O12="","",INDEX('Auto Process'!$AE:$AE,$O12))</f>
        <v/>
      </c>
      <c r="D12" s="17" t="str">
        <f aca="false">IF($O12="","",INDEX('Auto Process'!$AF:$AF,$O12))</f>
        <v/>
      </c>
      <c r="E12" s="17" t="str">
        <f aca="false">IF($O12="","",INDEX('Auto Process'!$AG:$AG,$O12))</f>
        <v/>
      </c>
      <c r="F12" s="17" t="str">
        <f aca="false">IF($O12="","",INDEX('Auto Process'!$AH:$AH,$O12))</f>
        <v/>
      </c>
      <c r="G12" s="17" t="str">
        <f aca="false">IF($O12="","",INDEX('Auto Process'!$AI:$AI,$O12))</f>
        <v/>
      </c>
      <c r="H12" s="17" t="str">
        <f aca="false">IF($O12="","",INDEX('Auto Process'!$AJ:$AJ,$O12))</f>
        <v/>
      </c>
      <c r="I12" s="17" t="str">
        <f aca="false">IF($O12="","",INDEX('Auto Process'!$AK:$AK,$O12))</f>
        <v/>
      </c>
      <c r="J12" s="17" t="str">
        <f aca="false">IF($O12="","",INDEX('Auto Process'!$AL:$AL,$O12))</f>
        <v/>
      </c>
      <c r="K12" s="17" t="str">
        <f aca="false">IF($O12="","",INDEX('Auto Process'!$AM:$AM,$O12))</f>
        <v/>
      </c>
      <c r="L12" s="17" t="str">
        <f aca="false">IF($O12="","",INDEX('Auto Process'!$AN:$AN,$O12))</f>
        <v/>
      </c>
      <c r="M12" s="17" t="str">
        <f aca="false">IF($O12="","",INDEX('Auto Process'!$AO:$AO,$O12))</f>
        <v/>
      </c>
      <c r="O12" s="19" t="str">
        <f aca="false">IFERROR(_xlfn.AGGREGATE(15,6,ROW('Auto Process'!$D$4:$D$503)/('Auto Process'!$D$4:$D$503="Panel Details"),ROW()-1),"")</f>
        <v/>
      </c>
    </row>
    <row r="13" customFormat="false" ht="13.5" hidden="false" customHeight="true" outlineLevel="0" collapsed="false">
      <c r="A13" s="27" t="str">
        <f aca="false">IF($O13="","",INDEX('Auto Process'!$AC:$AC,$O13))</f>
        <v/>
      </c>
      <c r="B13" s="17" t="str">
        <f aca="false">IF($O13="","",INDEX('Auto Process'!$AD:$AD,$O13))</f>
        <v/>
      </c>
      <c r="C13" s="17" t="str">
        <f aca="false">IF($O13="","",INDEX('Auto Process'!$AE:$AE,$O13))</f>
        <v/>
      </c>
      <c r="D13" s="17" t="str">
        <f aca="false">IF($O13="","",INDEX('Auto Process'!$AF:$AF,$O13))</f>
        <v/>
      </c>
      <c r="E13" s="17" t="str">
        <f aca="false">IF($O13="","",INDEX('Auto Process'!$AG:$AG,$O13))</f>
        <v/>
      </c>
      <c r="F13" s="17" t="str">
        <f aca="false">IF($O13="","",INDEX('Auto Process'!$AH:$AH,$O13))</f>
        <v/>
      </c>
      <c r="G13" s="17" t="str">
        <f aca="false">IF($O13="","",INDEX('Auto Process'!$AI:$AI,$O13))</f>
        <v/>
      </c>
      <c r="H13" s="17" t="str">
        <f aca="false">IF($O13="","",INDEX('Auto Process'!$AJ:$AJ,$O13))</f>
        <v/>
      </c>
      <c r="I13" s="17" t="str">
        <f aca="false">IF($O13="","",INDEX('Auto Process'!$AK:$AK,$O13))</f>
        <v/>
      </c>
      <c r="J13" s="17" t="str">
        <f aca="false">IF($O13="","",INDEX('Auto Process'!$AL:$AL,$O13))</f>
        <v/>
      </c>
      <c r="K13" s="17" t="str">
        <f aca="false">IF($O13="","",INDEX('Auto Process'!$AM:$AM,$O13))</f>
        <v/>
      </c>
      <c r="L13" s="17" t="str">
        <f aca="false">IF($O13="","",INDEX('Auto Process'!$AN:$AN,$O13))</f>
        <v/>
      </c>
      <c r="M13" s="17" t="str">
        <f aca="false">IF($O13="","",INDEX('Auto Process'!$AO:$AO,$O13))</f>
        <v/>
      </c>
      <c r="O13" s="19" t="str">
        <f aca="false">IFERROR(_xlfn.AGGREGATE(15,6,ROW('Auto Process'!$D$4:$D$503)/('Auto Process'!$D$4:$D$503="Panel Details"),ROW()-1),"")</f>
        <v/>
      </c>
    </row>
    <row r="14" customFormat="false" ht="13.5" hidden="false" customHeight="true" outlineLevel="0" collapsed="false">
      <c r="A14" s="27" t="str">
        <f aca="false">IF($O14="","",INDEX('Auto Process'!$AC:$AC,$O14))</f>
        <v/>
      </c>
      <c r="B14" s="17" t="str">
        <f aca="false">IF($O14="","",INDEX('Auto Process'!$AD:$AD,$O14))</f>
        <v/>
      </c>
      <c r="C14" s="17" t="str">
        <f aca="false">IF($O14="","",INDEX('Auto Process'!$AE:$AE,$O14))</f>
        <v/>
      </c>
      <c r="D14" s="17" t="str">
        <f aca="false">IF($O14="","",INDEX('Auto Process'!$AF:$AF,$O14))</f>
        <v/>
      </c>
      <c r="E14" s="17" t="str">
        <f aca="false">IF($O14="","",INDEX('Auto Process'!$AG:$AG,$O14))</f>
        <v/>
      </c>
      <c r="F14" s="17" t="str">
        <f aca="false">IF($O14="","",INDEX('Auto Process'!$AH:$AH,$O14))</f>
        <v/>
      </c>
      <c r="G14" s="17" t="str">
        <f aca="false">IF($O14="","",INDEX('Auto Process'!$AI:$AI,$O14))</f>
        <v/>
      </c>
      <c r="H14" s="17" t="str">
        <f aca="false">IF($O14="","",INDEX('Auto Process'!$AJ:$AJ,$O14))</f>
        <v/>
      </c>
      <c r="I14" s="17" t="str">
        <f aca="false">IF($O14="","",INDEX('Auto Process'!$AK:$AK,$O14))</f>
        <v/>
      </c>
      <c r="J14" s="17" t="str">
        <f aca="false">IF($O14="","",INDEX('Auto Process'!$AL:$AL,$O14))</f>
        <v/>
      </c>
      <c r="K14" s="17" t="str">
        <f aca="false">IF($O14="","",INDEX('Auto Process'!$AM:$AM,$O14))</f>
        <v/>
      </c>
      <c r="L14" s="17" t="str">
        <f aca="false">IF($O14="","",INDEX('Auto Process'!$AN:$AN,$O14))</f>
        <v/>
      </c>
      <c r="M14" s="17" t="str">
        <f aca="false">IF($O14="","",INDEX('Auto Process'!$AO:$AO,$O14))</f>
        <v/>
      </c>
      <c r="O14" s="19" t="str">
        <f aca="false">IFERROR(_xlfn.AGGREGATE(15,6,ROW('Auto Process'!$D$4:$D$503)/('Auto Process'!$D$4:$D$503="Panel Details"),ROW()-1),"")</f>
        <v/>
      </c>
    </row>
    <row r="15" customFormat="false" ht="13.5" hidden="false" customHeight="true" outlineLevel="0" collapsed="false">
      <c r="A15" s="27" t="str">
        <f aca="false">IF($O15="","",INDEX('Auto Process'!$AC:$AC,$O15))</f>
        <v/>
      </c>
      <c r="B15" s="17" t="str">
        <f aca="false">IF($O15="","",INDEX('Auto Process'!$AD:$AD,$O15))</f>
        <v/>
      </c>
      <c r="C15" s="17" t="str">
        <f aca="false">IF($O15="","",INDEX('Auto Process'!$AE:$AE,$O15))</f>
        <v/>
      </c>
      <c r="D15" s="17" t="str">
        <f aca="false">IF($O15="","",INDEX('Auto Process'!$AF:$AF,$O15))</f>
        <v/>
      </c>
      <c r="E15" s="17" t="str">
        <f aca="false">IF($O15="","",INDEX('Auto Process'!$AG:$AG,$O15))</f>
        <v/>
      </c>
      <c r="F15" s="17" t="str">
        <f aca="false">IF($O15="","",INDEX('Auto Process'!$AH:$AH,$O15))</f>
        <v/>
      </c>
      <c r="G15" s="17" t="str">
        <f aca="false">IF($O15="","",INDEX('Auto Process'!$AI:$AI,$O15))</f>
        <v/>
      </c>
      <c r="H15" s="17" t="str">
        <f aca="false">IF($O15="","",INDEX('Auto Process'!$AJ:$AJ,$O15))</f>
        <v/>
      </c>
      <c r="I15" s="17" t="str">
        <f aca="false">IF($O15="","",INDEX('Auto Process'!$AK:$AK,$O15))</f>
        <v/>
      </c>
      <c r="J15" s="17" t="str">
        <f aca="false">IF($O15="","",INDEX('Auto Process'!$AL:$AL,$O15))</f>
        <v/>
      </c>
      <c r="K15" s="17" t="str">
        <f aca="false">IF($O15="","",INDEX('Auto Process'!$AM:$AM,$O15))</f>
        <v/>
      </c>
      <c r="L15" s="17" t="str">
        <f aca="false">IF($O15="","",INDEX('Auto Process'!$AN:$AN,$O15))</f>
        <v/>
      </c>
      <c r="M15" s="17" t="str">
        <f aca="false">IF($O15="","",INDEX('Auto Process'!$AO:$AO,$O15))</f>
        <v/>
      </c>
      <c r="O15" s="19" t="str">
        <f aca="false">IFERROR(_xlfn.AGGREGATE(15,6,ROW('Auto Process'!$D$4:$D$503)/('Auto Process'!$D$4:$D$503="Panel Details"),ROW()-1),"")</f>
        <v/>
      </c>
    </row>
    <row r="16" customFormat="false" ht="13.5" hidden="false" customHeight="true" outlineLevel="0" collapsed="false">
      <c r="A16" s="27" t="str">
        <f aca="false">IF($O16="","",INDEX('Auto Process'!$AC:$AC,$O16))</f>
        <v/>
      </c>
      <c r="B16" s="17" t="str">
        <f aca="false">IF($O16="","",INDEX('Auto Process'!$AD:$AD,$O16))</f>
        <v/>
      </c>
      <c r="C16" s="17" t="str">
        <f aca="false">IF($O16="","",INDEX('Auto Process'!$AE:$AE,$O16))</f>
        <v/>
      </c>
      <c r="D16" s="17" t="str">
        <f aca="false">IF($O16="","",INDEX('Auto Process'!$AF:$AF,$O16))</f>
        <v/>
      </c>
      <c r="E16" s="17" t="str">
        <f aca="false">IF($O16="","",INDEX('Auto Process'!$AG:$AG,$O16))</f>
        <v/>
      </c>
      <c r="F16" s="17" t="str">
        <f aca="false">IF($O16="","",INDEX('Auto Process'!$AH:$AH,$O16))</f>
        <v/>
      </c>
      <c r="G16" s="17" t="str">
        <f aca="false">IF($O16="","",INDEX('Auto Process'!$AI:$AI,$O16))</f>
        <v/>
      </c>
      <c r="H16" s="17" t="str">
        <f aca="false">IF($O16="","",INDEX('Auto Process'!$AJ:$AJ,$O16))</f>
        <v/>
      </c>
      <c r="I16" s="17" t="str">
        <f aca="false">IF($O16="","",INDEX('Auto Process'!$AK:$AK,$O16))</f>
        <v/>
      </c>
      <c r="J16" s="17" t="str">
        <f aca="false">IF($O16="","",INDEX('Auto Process'!$AL:$AL,$O16))</f>
        <v/>
      </c>
      <c r="K16" s="17" t="str">
        <f aca="false">IF($O16="","",INDEX('Auto Process'!$AM:$AM,$O16))</f>
        <v/>
      </c>
      <c r="L16" s="17" t="str">
        <f aca="false">IF($O16="","",INDEX('Auto Process'!$AN:$AN,$O16))</f>
        <v/>
      </c>
      <c r="M16" s="17" t="str">
        <f aca="false">IF($O16="","",INDEX('Auto Process'!$AO:$AO,$O16))</f>
        <v/>
      </c>
      <c r="O16" s="19" t="str">
        <f aca="false">IFERROR(_xlfn.AGGREGATE(15,6,ROW('Auto Process'!$D$4:$D$503)/('Auto Process'!$D$4:$D$503="Panel Details"),ROW()-1),"")</f>
        <v/>
      </c>
    </row>
    <row r="17" customFormat="false" ht="13.5" hidden="false" customHeight="true" outlineLevel="0" collapsed="false">
      <c r="A17" s="27" t="str">
        <f aca="false">IF($O17="","",INDEX('Auto Process'!$AC:$AC,$O17))</f>
        <v/>
      </c>
      <c r="B17" s="17" t="str">
        <f aca="false">IF($O17="","",INDEX('Auto Process'!$AD:$AD,$O17))</f>
        <v/>
      </c>
      <c r="C17" s="17" t="str">
        <f aca="false">IF($O17="","",INDEX('Auto Process'!$AE:$AE,$O17))</f>
        <v/>
      </c>
      <c r="D17" s="17" t="str">
        <f aca="false">IF($O17="","",INDEX('Auto Process'!$AF:$AF,$O17))</f>
        <v/>
      </c>
      <c r="E17" s="17" t="str">
        <f aca="false">IF($O17="","",INDEX('Auto Process'!$AG:$AG,$O17))</f>
        <v/>
      </c>
      <c r="F17" s="17" t="str">
        <f aca="false">IF($O17="","",INDEX('Auto Process'!$AH:$AH,$O17))</f>
        <v/>
      </c>
      <c r="G17" s="17" t="str">
        <f aca="false">IF($O17="","",INDEX('Auto Process'!$AI:$AI,$O17))</f>
        <v/>
      </c>
      <c r="H17" s="17" t="str">
        <f aca="false">IF($O17="","",INDEX('Auto Process'!$AJ:$AJ,$O17))</f>
        <v/>
      </c>
      <c r="I17" s="17" t="str">
        <f aca="false">IF($O17="","",INDEX('Auto Process'!$AK:$AK,$O17))</f>
        <v/>
      </c>
      <c r="J17" s="17" t="str">
        <f aca="false">IF($O17="","",INDEX('Auto Process'!$AL:$AL,$O17))</f>
        <v/>
      </c>
      <c r="K17" s="17" t="str">
        <f aca="false">IF($O17="","",INDEX('Auto Process'!$AM:$AM,$O17))</f>
        <v/>
      </c>
      <c r="L17" s="17" t="str">
        <f aca="false">IF($O17="","",INDEX('Auto Process'!$AN:$AN,$O17))</f>
        <v/>
      </c>
      <c r="M17" s="17" t="str">
        <f aca="false">IF($O17="","",INDEX('Auto Process'!$AO:$AO,$O17))</f>
        <v/>
      </c>
      <c r="O17" s="19" t="str">
        <f aca="false">IFERROR(_xlfn.AGGREGATE(15,6,ROW('Auto Process'!$D$4:$D$503)/('Auto Process'!$D$4:$D$503="Panel Details"),ROW()-1),"")</f>
        <v/>
      </c>
    </row>
    <row r="18" customFormat="false" ht="13.5" hidden="false" customHeight="true" outlineLevel="0" collapsed="false">
      <c r="A18" s="27" t="str">
        <f aca="false">IF($O18="","",INDEX('Auto Process'!$AC:$AC,$O18))</f>
        <v/>
      </c>
      <c r="B18" s="17" t="str">
        <f aca="false">IF($O18="","",INDEX('Auto Process'!$AD:$AD,$O18))</f>
        <v/>
      </c>
      <c r="C18" s="17" t="str">
        <f aca="false">IF($O18="","",INDEX('Auto Process'!$AE:$AE,$O18))</f>
        <v/>
      </c>
      <c r="D18" s="17" t="str">
        <f aca="false">IF($O18="","",INDEX('Auto Process'!$AF:$AF,$O18))</f>
        <v/>
      </c>
      <c r="E18" s="17" t="str">
        <f aca="false">IF($O18="","",INDEX('Auto Process'!$AG:$AG,$O18))</f>
        <v/>
      </c>
      <c r="F18" s="17" t="str">
        <f aca="false">IF($O18="","",INDEX('Auto Process'!$AH:$AH,$O18))</f>
        <v/>
      </c>
      <c r="G18" s="17" t="str">
        <f aca="false">IF($O18="","",INDEX('Auto Process'!$AI:$AI,$O18))</f>
        <v/>
      </c>
      <c r="H18" s="17" t="str">
        <f aca="false">IF($O18="","",INDEX('Auto Process'!$AJ:$AJ,$O18))</f>
        <v/>
      </c>
      <c r="I18" s="17" t="str">
        <f aca="false">IF($O18="","",INDEX('Auto Process'!$AK:$AK,$O18))</f>
        <v/>
      </c>
      <c r="J18" s="17" t="str">
        <f aca="false">IF($O18="","",INDEX('Auto Process'!$AL:$AL,$O18))</f>
        <v/>
      </c>
      <c r="K18" s="17" t="str">
        <f aca="false">IF($O18="","",INDEX('Auto Process'!$AM:$AM,$O18))</f>
        <v/>
      </c>
      <c r="L18" s="17" t="str">
        <f aca="false">IF($O18="","",INDEX('Auto Process'!$AN:$AN,$O18))</f>
        <v/>
      </c>
      <c r="M18" s="17" t="str">
        <f aca="false">IF($O18="","",INDEX('Auto Process'!$AO:$AO,$O18))</f>
        <v/>
      </c>
      <c r="O18" s="19" t="str">
        <f aca="false">IFERROR(_xlfn.AGGREGATE(15,6,ROW('Auto Process'!$D$4:$D$503)/('Auto Process'!$D$4:$D$503="Panel Details"),ROW()-1),"")</f>
        <v/>
      </c>
    </row>
    <row r="19" customFormat="false" ht="13.5" hidden="false" customHeight="true" outlineLevel="0" collapsed="false">
      <c r="A19" s="27" t="str">
        <f aca="false">IF($O19="","",INDEX('Auto Process'!$AC:$AC,$O19))</f>
        <v/>
      </c>
      <c r="B19" s="17" t="str">
        <f aca="false">IF($O19="","",INDEX('Auto Process'!$AD:$AD,$O19))</f>
        <v/>
      </c>
      <c r="C19" s="17" t="str">
        <f aca="false">IF($O19="","",INDEX('Auto Process'!$AE:$AE,$O19))</f>
        <v/>
      </c>
      <c r="D19" s="17" t="str">
        <f aca="false">IF($O19="","",INDEX('Auto Process'!$AF:$AF,$O19))</f>
        <v/>
      </c>
      <c r="E19" s="17" t="str">
        <f aca="false">IF($O19="","",INDEX('Auto Process'!$AG:$AG,$O19))</f>
        <v/>
      </c>
      <c r="F19" s="17" t="str">
        <f aca="false">IF($O19="","",INDEX('Auto Process'!$AH:$AH,$O19))</f>
        <v/>
      </c>
      <c r="G19" s="17" t="str">
        <f aca="false">IF($O19="","",INDEX('Auto Process'!$AI:$AI,$O19))</f>
        <v/>
      </c>
      <c r="H19" s="17" t="str">
        <f aca="false">IF($O19="","",INDEX('Auto Process'!$AJ:$AJ,$O19))</f>
        <v/>
      </c>
      <c r="I19" s="17" t="str">
        <f aca="false">IF($O19="","",INDEX('Auto Process'!$AK:$AK,$O19))</f>
        <v/>
      </c>
      <c r="J19" s="17" t="str">
        <f aca="false">IF($O19="","",INDEX('Auto Process'!$AL:$AL,$O19))</f>
        <v/>
      </c>
      <c r="K19" s="17" t="str">
        <f aca="false">IF($O19="","",INDEX('Auto Process'!$AM:$AM,$O19))</f>
        <v/>
      </c>
      <c r="L19" s="17" t="str">
        <f aca="false">IF($O19="","",INDEX('Auto Process'!$AN:$AN,$O19))</f>
        <v/>
      </c>
      <c r="M19" s="17" t="str">
        <f aca="false">IF($O19="","",INDEX('Auto Process'!$AO:$AO,$O19))</f>
        <v/>
      </c>
      <c r="O19" s="19" t="str">
        <f aca="false">IFERROR(_xlfn.AGGREGATE(15,6,ROW('Auto Process'!$D$4:$D$503)/('Auto Process'!$D$4:$D$503="Panel Details"),ROW()-1),"")</f>
        <v/>
      </c>
    </row>
    <row r="20" customFormat="false" ht="13.5" hidden="false" customHeight="true" outlineLevel="0" collapsed="false">
      <c r="A20" s="27" t="str">
        <f aca="false">IF($O20="","",INDEX('Auto Process'!$AC:$AC,$O20))</f>
        <v/>
      </c>
      <c r="B20" s="17" t="str">
        <f aca="false">IF($O20="","",INDEX('Auto Process'!$AD:$AD,$O20))</f>
        <v/>
      </c>
      <c r="C20" s="17" t="str">
        <f aca="false">IF($O20="","",INDEX('Auto Process'!$AE:$AE,$O20))</f>
        <v/>
      </c>
      <c r="D20" s="17" t="str">
        <f aca="false">IF($O20="","",INDEX('Auto Process'!$AF:$AF,$O20))</f>
        <v/>
      </c>
      <c r="E20" s="17" t="str">
        <f aca="false">IF($O20="","",INDEX('Auto Process'!$AG:$AG,$O20))</f>
        <v/>
      </c>
      <c r="F20" s="17" t="str">
        <f aca="false">IF($O20="","",INDEX('Auto Process'!$AH:$AH,$O20))</f>
        <v/>
      </c>
      <c r="G20" s="17" t="str">
        <f aca="false">IF($O20="","",INDEX('Auto Process'!$AI:$AI,$O20))</f>
        <v/>
      </c>
      <c r="H20" s="17" t="str">
        <f aca="false">IF($O20="","",INDEX('Auto Process'!$AJ:$AJ,$O20))</f>
        <v/>
      </c>
      <c r="I20" s="17" t="str">
        <f aca="false">IF($O20="","",INDEX('Auto Process'!$AK:$AK,$O20))</f>
        <v/>
      </c>
      <c r="J20" s="17" t="str">
        <f aca="false">IF($O20="","",INDEX('Auto Process'!$AL:$AL,$O20))</f>
        <v/>
      </c>
      <c r="K20" s="17" t="str">
        <f aca="false">IF($O20="","",INDEX('Auto Process'!$AM:$AM,$O20))</f>
        <v/>
      </c>
      <c r="L20" s="17" t="str">
        <f aca="false">IF($O20="","",INDEX('Auto Process'!$AN:$AN,$O20))</f>
        <v/>
      </c>
      <c r="M20" s="17" t="str">
        <f aca="false">IF($O20="","",INDEX('Auto Process'!$AO:$AO,$O20))</f>
        <v/>
      </c>
      <c r="O20" s="19" t="str">
        <f aca="false">IFERROR(_xlfn.AGGREGATE(15,6,ROW('Auto Process'!$D$4:$D$503)/('Auto Process'!$D$4:$D$503="Panel Details"),ROW()-1),"")</f>
        <v/>
      </c>
    </row>
    <row r="21" customFormat="false" ht="13.5" hidden="false" customHeight="true" outlineLevel="0" collapsed="false">
      <c r="A21" s="27" t="str">
        <f aca="false">IF($O21="","",INDEX('Auto Process'!$AC:$AC,$O21))</f>
        <v/>
      </c>
      <c r="B21" s="17" t="str">
        <f aca="false">IF($O21="","",INDEX('Auto Process'!$AD:$AD,$O21))</f>
        <v/>
      </c>
      <c r="C21" s="17" t="str">
        <f aca="false">IF($O21="","",INDEX('Auto Process'!$AE:$AE,$O21))</f>
        <v/>
      </c>
      <c r="D21" s="17" t="str">
        <f aca="false">IF($O21="","",INDEX('Auto Process'!$AF:$AF,$O21))</f>
        <v/>
      </c>
      <c r="E21" s="17" t="str">
        <f aca="false">IF($O21="","",INDEX('Auto Process'!$AG:$AG,$O21))</f>
        <v/>
      </c>
      <c r="F21" s="17" t="str">
        <f aca="false">IF($O21="","",INDEX('Auto Process'!$AH:$AH,$O21))</f>
        <v/>
      </c>
      <c r="G21" s="17" t="str">
        <f aca="false">IF($O21="","",INDEX('Auto Process'!$AI:$AI,$O21))</f>
        <v/>
      </c>
      <c r="H21" s="17" t="str">
        <f aca="false">IF($O21="","",INDEX('Auto Process'!$AJ:$AJ,$O21))</f>
        <v/>
      </c>
      <c r="I21" s="17" t="str">
        <f aca="false">IF($O21="","",INDEX('Auto Process'!$AK:$AK,$O21))</f>
        <v/>
      </c>
      <c r="J21" s="17" t="str">
        <f aca="false">IF($O21="","",INDEX('Auto Process'!$AL:$AL,$O21))</f>
        <v/>
      </c>
      <c r="K21" s="17" t="str">
        <f aca="false">IF($O21="","",INDEX('Auto Process'!$AM:$AM,$O21))</f>
        <v/>
      </c>
      <c r="L21" s="17" t="str">
        <f aca="false">IF($O21="","",INDEX('Auto Process'!$AN:$AN,$O21))</f>
        <v/>
      </c>
      <c r="M21" s="17" t="str">
        <f aca="false">IF($O21="","",INDEX('Auto Process'!$AO:$AO,$O21))</f>
        <v/>
      </c>
      <c r="O21" s="19" t="str">
        <f aca="false">IFERROR(_xlfn.AGGREGATE(15,6,ROW('Auto Process'!$D$4:$D$503)/('Auto Process'!$D$4:$D$503="Panel Details"),ROW()-1),"")</f>
        <v/>
      </c>
    </row>
    <row r="22" customFormat="false" ht="13.5" hidden="false" customHeight="true" outlineLevel="0" collapsed="false">
      <c r="A22" s="27" t="str">
        <f aca="false">IF($O22="","",INDEX('Auto Process'!$AC:$AC,$O22))</f>
        <v/>
      </c>
      <c r="B22" s="17" t="str">
        <f aca="false">IF($O22="","",INDEX('Auto Process'!$AD:$AD,$O22))</f>
        <v/>
      </c>
      <c r="C22" s="17" t="str">
        <f aca="false">IF($O22="","",INDEX('Auto Process'!$AE:$AE,$O22))</f>
        <v/>
      </c>
      <c r="D22" s="17" t="str">
        <f aca="false">IF($O22="","",INDEX('Auto Process'!$AF:$AF,$O22))</f>
        <v/>
      </c>
      <c r="E22" s="17" t="str">
        <f aca="false">IF($O22="","",INDEX('Auto Process'!$AG:$AG,$O22))</f>
        <v/>
      </c>
      <c r="F22" s="17" t="str">
        <f aca="false">IF($O22="","",INDEX('Auto Process'!$AH:$AH,$O22))</f>
        <v/>
      </c>
      <c r="G22" s="17" t="str">
        <f aca="false">IF($O22="","",INDEX('Auto Process'!$AI:$AI,$O22))</f>
        <v/>
      </c>
      <c r="H22" s="17" t="str">
        <f aca="false">IF($O22="","",INDEX('Auto Process'!$AJ:$AJ,$O22))</f>
        <v/>
      </c>
      <c r="I22" s="17" t="str">
        <f aca="false">IF($O22="","",INDEX('Auto Process'!$AK:$AK,$O22))</f>
        <v/>
      </c>
      <c r="J22" s="17" t="str">
        <f aca="false">IF($O22="","",INDEX('Auto Process'!$AL:$AL,$O22))</f>
        <v/>
      </c>
      <c r="K22" s="17" t="str">
        <f aca="false">IF($O22="","",INDEX('Auto Process'!$AM:$AM,$O22))</f>
        <v/>
      </c>
      <c r="L22" s="17" t="str">
        <f aca="false">IF($O22="","",INDEX('Auto Process'!$AN:$AN,$O22))</f>
        <v/>
      </c>
      <c r="M22" s="17" t="str">
        <f aca="false">IF($O22="","",INDEX('Auto Process'!$AO:$AO,$O22))</f>
        <v/>
      </c>
      <c r="O22" s="19" t="str">
        <f aca="false">IFERROR(_xlfn.AGGREGATE(15,6,ROW('Auto Process'!$D$4:$D$503)/('Auto Process'!$D$4:$D$503="Panel Details"),ROW()-1),"")</f>
        <v/>
      </c>
    </row>
    <row r="23" customFormat="false" ht="13.5" hidden="false" customHeight="true" outlineLevel="0" collapsed="false">
      <c r="A23" s="27" t="str">
        <f aca="false">IF($O23="","",INDEX('Auto Process'!$AC:$AC,$O23))</f>
        <v/>
      </c>
      <c r="B23" s="17" t="str">
        <f aca="false">IF($O23="","",INDEX('Auto Process'!$AD:$AD,$O23))</f>
        <v/>
      </c>
      <c r="C23" s="17" t="str">
        <f aca="false">IF($O23="","",INDEX('Auto Process'!$AE:$AE,$O23))</f>
        <v/>
      </c>
      <c r="D23" s="17" t="str">
        <f aca="false">IF($O23="","",INDEX('Auto Process'!$AF:$AF,$O23))</f>
        <v/>
      </c>
      <c r="E23" s="17" t="str">
        <f aca="false">IF($O23="","",INDEX('Auto Process'!$AG:$AG,$O23))</f>
        <v/>
      </c>
      <c r="F23" s="17" t="str">
        <f aca="false">IF($O23="","",INDEX('Auto Process'!$AH:$AH,$O23))</f>
        <v/>
      </c>
      <c r="G23" s="17" t="str">
        <f aca="false">IF($O23="","",INDEX('Auto Process'!$AI:$AI,$O23))</f>
        <v/>
      </c>
      <c r="H23" s="17" t="str">
        <f aca="false">IF($O23="","",INDEX('Auto Process'!$AJ:$AJ,$O23))</f>
        <v/>
      </c>
      <c r="I23" s="17" t="str">
        <f aca="false">IF($O23="","",INDEX('Auto Process'!$AK:$AK,$O23))</f>
        <v/>
      </c>
      <c r="J23" s="17" t="str">
        <f aca="false">IF($O23="","",INDEX('Auto Process'!$AL:$AL,$O23))</f>
        <v/>
      </c>
      <c r="K23" s="17" t="str">
        <f aca="false">IF($O23="","",INDEX('Auto Process'!$AM:$AM,$O23))</f>
        <v/>
      </c>
      <c r="L23" s="17" t="str">
        <f aca="false">IF($O23="","",INDEX('Auto Process'!$AN:$AN,$O23))</f>
        <v/>
      </c>
      <c r="M23" s="17" t="str">
        <f aca="false">IF($O23="","",INDEX('Auto Process'!$AO:$AO,$O23))</f>
        <v/>
      </c>
      <c r="O23" s="19" t="str">
        <f aca="false">IFERROR(_xlfn.AGGREGATE(15,6,ROW('Auto Process'!$D$4:$D$503)/('Auto Process'!$D$4:$D$503="Panel Details"),ROW()-1),"")</f>
        <v/>
      </c>
    </row>
    <row r="24" customFormat="false" ht="13.5" hidden="false" customHeight="true" outlineLevel="0" collapsed="false">
      <c r="A24" s="27" t="str">
        <f aca="false">IF($O24="","",INDEX('Auto Process'!$AC:$AC,$O24))</f>
        <v/>
      </c>
      <c r="B24" s="17" t="str">
        <f aca="false">IF($O24="","",INDEX('Auto Process'!$AD:$AD,$O24))</f>
        <v/>
      </c>
      <c r="C24" s="17" t="str">
        <f aca="false">IF($O24="","",INDEX('Auto Process'!$AE:$AE,$O24))</f>
        <v/>
      </c>
      <c r="D24" s="17" t="str">
        <f aca="false">IF($O24="","",INDEX('Auto Process'!$AF:$AF,$O24))</f>
        <v/>
      </c>
      <c r="E24" s="17" t="str">
        <f aca="false">IF($O24="","",INDEX('Auto Process'!$AG:$AG,$O24))</f>
        <v/>
      </c>
      <c r="F24" s="17" t="str">
        <f aca="false">IF($O24="","",INDEX('Auto Process'!$AH:$AH,$O24))</f>
        <v/>
      </c>
      <c r="G24" s="17" t="str">
        <f aca="false">IF($O24="","",INDEX('Auto Process'!$AI:$AI,$O24))</f>
        <v/>
      </c>
      <c r="H24" s="17" t="str">
        <f aca="false">IF($O24="","",INDEX('Auto Process'!$AJ:$AJ,$O24))</f>
        <v/>
      </c>
      <c r="I24" s="17" t="str">
        <f aca="false">IF($O24="","",INDEX('Auto Process'!$AK:$AK,$O24))</f>
        <v/>
      </c>
      <c r="J24" s="17" t="str">
        <f aca="false">IF($O24="","",INDEX('Auto Process'!$AL:$AL,$O24))</f>
        <v/>
      </c>
      <c r="K24" s="17" t="str">
        <f aca="false">IF($O24="","",INDEX('Auto Process'!$AM:$AM,$O24))</f>
        <v/>
      </c>
      <c r="L24" s="17" t="str">
        <f aca="false">IF($O24="","",INDEX('Auto Process'!$AN:$AN,$O24))</f>
        <v/>
      </c>
      <c r="M24" s="17" t="str">
        <f aca="false">IF($O24="","",INDEX('Auto Process'!$AO:$AO,$O24))</f>
        <v/>
      </c>
      <c r="O24" s="19" t="str">
        <f aca="false">IFERROR(_xlfn.AGGREGATE(15,6,ROW('Auto Process'!$D$4:$D$503)/('Auto Process'!$D$4:$D$503="Panel Details"),ROW()-1),"")</f>
        <v/>
      </c>
    </row>
    <row r="25" customFormat="false" ht="13.5" hidden="false" customHeight="true" outlineLevel="0" collapsed="false">
      <c r="A25" s="27" t="str">
        <f aca="false">IF($O25="","",INDEX('Auto Process'!$AC:$AC,$O25))</f>
        <v/>
      </c>
      <c r="B25" s="17" t="str">
        <f aca="false">IF($O25="","",INDEX('Auto Process'!$AD:$AD,$O25))</f>
        <v/>
      </c>
      <c r="C25" s="17" t="str">
        <f aca="false">IF($O25="","",INDEX('Auto Process'!$AE:$AE,$O25))</f>
        <v/>
      </c>
      <c r="D25" s="17" t="str">
        <f aca="false">IF($O25="","",INDEX('Auto Process'!$AF:$AF,$O25))</f>
        <v/>
      </c>
      <c r="E25" s="17" t="str">
        <f aca="false">IF($O25="","",INDEX('Auto Process'!$AG:$AG,$O25))</f>
        <v/>
      </c>
      <c r="F25" s="17" t="str">
        <f aca="false">IF($O25="","",INDEX('Auto Process'!$AH:$AH,$O25))</f>
        <v/>
      </c>
      <c r="G25" s="17" t="str">
        <f aca="false">IF($O25="","",INDEX('Auto Process'!$AI:$AI,$O25))</f>
        <v/>
      </c>
      <c r="H25" s="17" t="str">
        <f aca="false">IF($O25="","",INDEX('Auto Process'!$AJ:$AJ,$O25))</f>
        <v/>
      </c>
      <c r="I25" s="17" t="str">
        <f aca="false">IF($O25="","",INDEX('Auto Process'!$AK:$AK,$O25))</f>
        <v/>
      </c>
      <c r="J25" s="17" t="str">
        <f aca="false">IF($O25="","",INDEX('Auto Process'!$AL:$AL,$O25))</f>
        <v/>
      </c>
      <c r="K25" s="17" t="str">
        <f aca="false">IF($O25="","",INDEX('Auto Process'!$AM:$AM,$O25))</f>
        <v/>
      </c>
      <c r="L25" s="17" t="str">
        <f aca="false">IF($O25="","",INDEX('Auto Process'!$AN:$AN,$O25))</f>
        <v/>
      </c>
      <c r="M25" s="17" t="str">
        <f aca="false">IF($O25="","",INDEX('Auto Process'!$AO:$AO,$O25))</f>
        <v/>
      </c>
      <c r="O25" s="19" t="str">
        <f aca="false">IFERROR(_xlfn.AGGREGATE(15,6,ROW('Auto Process'!$D$4:$D$503)/('Auto Process'!$D$4:$D$503="Panel Details"),ROW()-1),"")</f>
        <v/>
      </c>
    </row>
    <row r="26" customFormat="false" ht="13.5" hidden="false" customHeight="true" outlineLevel="0" collapsed="false">
      <c r="A26" s="27" t="str">
        <f aca="false">IF($O26="","",INDEX('Auto Process'!$AC:$AC,$O26))</f>
        <v/>
      </c>
      <c r="B26" s="17" t="str">
        <f aca="false">IF($O26="","",INDEX('Auto Process'!$AD:$AD,$O26))</f>
        <v/>
      </c>
      <c r="C26" s="17" t="str">
        <f aca="false">IF($O26="","",INDEX('Auto Process'!$AE:$AE,$O26))</f>
        <v/>
      </c>
      <c r="D26" s="17" t="str">
        <f aca="false">IF($O26="","",INDEX('Auto Process'!$AF:$AF,$O26))</f>
        <v/>
      </c>
      <c r="E26" s="17" t="str">
        <f aca="false">IF($O26="","",INDEX('Auto Process'!$AG:$AG,$O26))</f>
        <v/>
      </c>
      <c r="F26" s="17" t="str">
        <f aca="false">IF($O26="","",INDEX('Auto Process'!$AH:$AH,$O26))</f>
        <v/>
      </c>
      <c r="G26" s="17" t="str">
        <f aca="false">IF($O26="","",INDEX('Auto Process'!$AI:$AI,$O26))</f>
        <v/>
      </c>
      <c r="H26" s="17" t="str">
        <f aca="false">IF($O26="","",INDEX('Auto Process'!$AJ:$AJ,$O26))</f>
        <v/>
      </c>
      <c r="I26" s="17" t="str">
        <f aca="false">IF($O26="","",INDEX('Auto Process'!$AK:$AK,$O26))</f>
        <v/>
      </c>
      <c r="J26" s="17" t="str">
        <f aca="false">IF($O26="","",INDEX('Auto Process'!$AL:$AL,$O26))</f>
        <v/>
      </c>
      <c r="K26" s="17" t="str">
        <f aca="false">IF($O26="","",INDEX('Auto Process'!$AM:$AM,$O26))</f>
        <v/>
      </c>
      <c r="L26" s="17" t="str">
        <f aca="false">IF($O26="","",INDEX('Auto Process'!$AN:$AN,$O26))</f>
        <v/>
      </c>
      <c r="M26" s="17" t="str">
        <f aca="false">IF($O26="","",INDEX('Auto Process'!$AO:$AO,$O26))</f>
        <v/>
      </c>
      <c r="O26" s="19" t="str">
        <f aca="false">IFERROR(_xlfn.AGGREGATE(15,6,ROW('Auto Process'!$D$4:$D$503)/('Auto Process'!$D$4:$D$503="Panel Details"),ROW()-1),"")</f>
        <v/>
      </c>
    </row>
    <row r="27" customFormat="false" ht="13.5" hidden="false" customHeight="true" outlineLevel="0" collapsed="false">
      <c r="A27" s="27" t="str">
        <f aca="false">IF($O27="","",INDEX('Auto Process'!$AC:$AC,$O27))</f>
        <v/>
      </c>
      <c r="B27" s="17" t="str">
        <f aca="false">IF($O27="","",INDEX('Auto Process'!$AD:$AD,$O27))</f>
        <v/>
      </c>
      <c r="C27" s="17" t="str">
        <f aca="false">IF($O27="","",INDEX('Auto Process'!$AE:$AE,$O27))</f>
        <v/>
      </c>
      <c r="D27" s="17" t="str">
        <f aca="false">IF($O27="","",INDEX('Auto Process'!$AF:$AF,$O27))</f>
        <v/>
      </c>
      <c r="E27" s="17" t="str">
        <f aca="false">IF($O27="","",INDEX('Auto Process'!$AG:$AG,$O27))</f>
        <v/>
      </c>
      <c r="F27" s="17" t="str">
        <f aca="false">IF($O27="","",INDEX('Auto Process'!$AH:$AH,$O27))</f>
        <v/>
      </c>
      <c r="G27" s="17" t="str">
        <f aca="false">IF($O27="","",INDEX('Auto Process'!$AI:$AI,$O27))</f>
        <v/>
      </c>
      <c r="H27" s="17" t="str">
        <f aca="false">IF($O27="","",INDEX('Auto Process'!$AJ:$AJ,$O27))</f>
        <v/>
      </c>
      <c r="I27" s="17" t="str">
        <f aca="false">IF($O27="","",INDEX('Auto Process'!$AK:$AK,$O27))</f>
        <v/>
      </c>
      <c r="J27" s="17" t="str">
        <f aca="false">IF($O27="","",INDEX('Auto Process'!$AL:$AL,$O27))</f>
        <v/>
      </c>
      <c r="K27" s="17" t="str">
        <f aca="false">IF($O27="","",INDEX('Auto Process'!$AM:$AM,$O27))</f>
        <v/>
      </c>
      <c r="L27" s="17" t="str">
        <f aca="false">IF($O27="","",INDEX('Auto Process'!$AN:$AN,$O27))</f>
        <v/>
      </c>
      <c r="M27" s="17" t="str">
        <f aca="false">IF($O27="","",INDEX('Auto Process'!$AO:$AO,$O27))</f>
        <v/>
      </c>
      <c r="O27" s="19" t="str">
        <f aca="false">IFERROR(_xlfn.AGGREGATE(15,6,ROW('Auto Process'!$D$4:$D$503)/('Auto Process'!$D$4:$D$503="Panel Details"),ROW()-1),"")</f>
        <v/>
      </c>
    </row>
    <row r="28" customFormat="false" ht="13.5" hidden="false" customHeight="true" outlineLevel="0" collapsed="false">
      <c r="A28" s="27" t="str">
        <f aca="false">IF($O28="","",INDEX('Auto Process'!$AC:$AC,$O28))</f>
        <v/>
      </c>
      <c r="B28" s="17" t="str">
        <f aca="false">IF($O28="","",INDEX('Auto Process'!$AD:$AD,$O28))</f>
        <v/>
      </c>
      <c r="C28" s="17" t="str">
        <f aca="false">IF($O28="","",INDEX('Auto Process'!$AE:$AE,$O28))</f>
        <v/>
      </c>
      <c r="D28" s="17" t="str">
        <f aca="false">IF($O28="","",INDEX('Auto Process'!$AF:$AF,$O28))</f>
        <v/>
      </c>
      <c r="E28" s="17" t="str">
        <f aca="false">IF($O28="","",INDEX('Auto Process'!$AG:$AG,$O28))</f>
        <v/>
      </c>
      <c r="F28" s="17" t="str">
        <f aca="false">IF($O28="","",INDEX('Auto Process'!$AH:$AH,$O28))</f>
        <v/>
      </c>
      <c r="G28" s="17" t="str">
        <f aca="false">IF($O28="","",INDEX('Auto Process'!$AI:$AI,$O28))</f>
        <v/>
      </c>
      <c r="H28" s="17" t="str">
        <f aca="false">IF($O28="","",INDEX('Auto Process'!$AJ:$AJ,$O28))</f>
        <v/>
      </c>
      <c r="I28" s="17" t="str">
        <f aca="false">IF($O28="","",INDEX('Auto Process'!$AK:$AK,$O28))</f>
        <v/>
      </c>
      <c r="J28" s="17" t="str">
        <f aca="false">IF($O28="","",INDEX('Auto Process'!$AL:$AL,$O28))</f>
        <v/>
      </c>
      <c r="K28" s="17" t="str">
        <f aca="false">IF($O28="","",INDEX('Auto Process'!$AM:$AM,$O28))</f>
        <v/>
      </c>
      <c r="L28" s="17" t="str">
        <f aca="false">IF($O28="","",INDEX('Auto Process'!$AN:$AN,$O28))</f>
        <v/>
      </c>
      <c r="M28" s="17" t="str">
        <f aca="false">IF($O28="","",INDEX('Auto Process'!$AO:$AO,$O28))</f>
        <v/>
      </c>
      <c r="O28" s="19" t="str">
        <f aca="false">IFERROR(_xlfn.AGGREGATE(15,6,ROW('Auto Process'!$D$4:$D$503)/('Auto Process'!$D$4:$D$503="Panel Details"),ROW()-1),"")</f>
        <v/>
      </c>
    </row>
    <row r="29" customFormat="false" ht="13.5" hidden="false" customHeight="true" outlineLevel="0" collapsed="false">
      <c r="A29" s="27" t="str">
        <f aca="false">IF($O29="","",INDEX('Auto Process'!$AC:$AC,$O29))</f>
        <v/>
      </c>
      <c r="B29" s="17" t="str">
        <f aca="false">IF($O29="","",INDEX('Auto Process'!$AD:$AD,$O29))</f>
        <v/>
      </c>
      <c r="C29" s="17" t="str">
        <f aca="false">IF($O29="","",INDEX('Auto Process'!$AE:$AE,$O29))</f>
        <v/>
      </c>
      <c r="D29" s="17" t="str">
        <f aca="false">IF($O29="","",INDEX('Auto Process'!$AF:$AF,$O29))</f>
        <v/>
      </c>
      <c r="E29" s="17" t="str">
        <f aca="false">IF($O29="","",INDEX('Auto Process'!$AG:$AG,$O29))</f>
        <v/>
      </c>
      <c r="F29" s="17" t="str">
        <f aca="false">IF($O29="","",INDEX('Auto Process'!$AH:$AH,$O29))</f>
        <v/>
      </c>
      <c r="G29" s="17" t="str">
        <f aca="false">IF($O29="","",INDEX('Auto Process'!$AI:$AI,$O29))</f>
        <v/>
      </c>
      <c r="H29" s="17" t="str">
        <f aca="false">IF($O29="","",INDEX('Auto Process'!$AJ:$AJ,$O29))</f>
        <v/>
      </c>
      <c r="I29" s="17" t="str">
        <f aca="false">IF($O29="","",INDEX('Auto Process'!$AK:$AK,$O29))</f>
        <v/>
      </c>
      <c r="J29" s="17" t="str">
        <f aca="false">IF($O29="","",INDEX('Auto Process'!$AL:$AL,$O29))</f>
        <v/>
      </c>
      <c r="K29" s="17" t="str">
        <f aca="false">IF($O29="","",INDEX('Auto Process'!$AM:$AM,$O29))</f>
        <v/>
      </c>
      <c r="L29" s="17" t="str">
        <f aca="false">IF($O29="","",INDEX('Auto Process'!$AN:$AN,$O29))</f>
        <v/>
      </c>
      <c r="M29" s="17" t="str">
        <f aca="false">IF($O29="","",INDEX('Auto Process'!$AO:$AO,$O29))</f>
        <v/>
      </c>
      <c r="O29" s="19" t="str">
        <f aca="false">IFERROR(_xlfn.AGGREGATE(15,6,ROW('Auto Process'!$D$4:$D$503)/('Auto Process'!$D$4:$D$503="Panel Details"),ROW()-1),"")</f>
        <v/>
      </c>
    </row>
    <row r="30" customFormat="false" ht="13.5" hidden="false" customHeight="true" outlineLevel="0" collapsed="false">
      <c r="A30" s="27" t="str">
        <f aca="false">IF($O30="","",INDEX('Auto Process'!$AC:$AC,$O30))</f>
        <v/>
      </c>
      <c r="B30" s="17" t="str">
        <f aca="false">IF($O30="","",INDEX('Auto Process'!$AD:$AD,$O30))</f>
        <v/>
      </c>
      <c r="C30" s="17" t="str">
        <f aca="false">IF($O30="","",INDEX('Auto Process'!$AE:$AE,$O30))</f>
        <v/>
      </c>
      <c r="D30" s="17" t="str">
        <f aca="false">IF($O30="","",INDEX('Auto Process'!$AF:$AF,$O30))</f>
        <v/>
      </c>
      <c r="E30" s="17" t="str">
        <f aca="false">IF($O30="","",INDEX('Auto Process'!$AG:$AG,$O30))</f>
        <v/>
      </c>
      <c r="F30" s="17" t="str">
        <f aca="false">IF($O30="","",INDEX('Auto Process'!$AH:$AH,$O30))</f>
        <v/>
      </c>
      <c r="G30" s="17" t="str">
        <f aca="false">IF($O30="","",INDEX('Auto Process'!$AI:$AI,$O30))</f>
        <v/>
      </c>
      <c r="H30" s="17" t="str">
        <f aca="false">IF($O30="","",INDEX('Auto Process'!$AJ:$AJ,$O30))</f>
        <v/>
      </c>
      <c r="I30" s="17" t="str">
        <f aca="false">IF($O30="","",INDEX('Auto Process'!$AK:$AK,$O30))</f>
        <v/>
      </c>
      <c r="J30" s="17" t="str">
        <f aca="false">IF($O30="","",INDEX('Auto Process'!$AL:$AL,$O30))</f>
        <v/>
      </c>
      <c r="K30" s="17" t="str">
        <f aca="false">IF($O30="","",INDEX('Auto Process'!$AM:$AM,$O30))</f>
        <v/>
      </c>
      <c r="L30" s="17" t="str">
        <f aca="false">IF($O30="","",INDEX('Auto Process'!$AN:$AN,$O30))</f>
        <v/>
      </c>
      <c r="M30" s="17" t="str">
        <f aca="false">IF($O30="","",INDEX('Auto Process'!$AO:$AO,$O30))</f>
        <v/>
      </c>
      <c r="O30" s="19" t="str">
        <f aca="false">IFERROR(_xlfn.AGGREGATE(15,6,ROW('Auto Process'!$D$4:$D$503)/('Auto Process'!$D$4:$D$503="Panel Details"),ROW()-1),"")</f>
        <v/>
      </c>
    </row>
    <row r="31" customFormat="false" ht="13.5" hidden="false" customHeight="true" outlineLevel="0" collapsed="false">
      <c r="A31" s="27" t="str">
        <f aca="false">IF($O31="","",INDEX('Auto Process'!$AC:$AC,$O31))</f>
        <v/>
      </c>
      <c r="B31" s="17" t="str">
        <f aca="false">IF($O31="","",INDEX('Auto Process'!$AD:$AD,$O31))</f>
        <v/>
      </c>
      <c r="C31" s="17" t="str">
        <f aca="false">IF($O31="","",INDEX('Auto Process'!$AE:$AE,$O31))</f>
        <v/>
      </c>
      <c r="D31" s="17" t="str">
        <f aca="false">IF($O31="","",INDEX('Auto Process'!$AF:$AF,$O31))</f>
        <v/>
      </c>
      <c r="E31" s="17" t="str">
        <f aca="false">IF($O31="","",INDEX('Auto Process'!$AG:$AG,$O31))</f>
        <v/>
      </c>
      <c r="F31" s="17" t="str">
        <f aca="false">IF($O31="","",INDEX('Auto Process'!$AH:$AH,$O31))</f>
        <v/>
      </c>
      <c r="G31" s="17" t="str">
        <f aca="false">IF($O31="","",INDEX('Auto Process'!$AI:$AI,$O31))</f>
        <v/>
      </c>
      <c r="H31" s="17" t="str">
        <f aca="false">IF($O31="","",INDEX('Auto Process'!$AJ:$AJ,$O31))</f>
        <v/>
      </c>
      <c r="I31" s="17" t="str">
        <f aca="false">IF($O31="","",INDEX('Auto Process'!$AK:$AK,$O31))</f>
        <v/>
      </c>
      <c r="J31" s="17" t="str">
        <f aca="false">IF($O31="","",INDEX('Auto Process'!$AL:$AL,$O31))</f>
        <v/>
      </c>
      <c r="K31" s="17" t="str">
        <f aca="false">IF($O31="","",INDEX('Auto Process'!$AM:$AM,$O31))</f>
        <v/>
      </c>
      <c r="L31" s="17" t="str">
        <f aca="false">IF($O31="","",INDEX('Auto Process'!$AN:$AN,$O31))</f>
        <v/>
      </c>
      <c r="M31" s="17" t="str">
        <f aca="false">IF($O31="","",INDEX('Auto Process'!$AO:$AO,$O31))</f>
        <v/>
      </c>
      <c r="O31" s="19" t="str">
        <f aca="false">IFERROR(_xlfn.AGGREGATE(15,6,ROW('Auto Process'!$D$4:$D$503)/('Auto Process'!$D$4:$D$503="Panel Details"),ROW()-1),"")</f>
        <v/>
      </c>
    </row>
    <row r="32" customFormat="false" ht="13.5" hidden="false" customHeight="true" outlineLevel="0" collapsed="false">
      <c r="A32" s="27" t="str">
        <f aca="false">IF($O32="","",INDEX('Auto Process'!$AC:$AC,$O32))</f>
        <v/>
      </c>
      <c r="B32" s="17" t="str">
        <f aca="false">IF($O32="","",INDEX('Auto Process'!$AD:$AD,$O32))</f>
        <v/>
      </c>
      <c r="C32" s="17" t="str">
        <f aca="false">IF($O32="","",INDEX('Auto Process'!$AE:$AE,$O32))</f>
        <v/>
      </c>
      <c r="D32" s="17" t="str">
        <f aca="false">IF($O32="","",INDEX('Auto Process'!$AF:$AF,$O32))</f>
        <v/>
      </c>
      <c r="E32" s="17" t="str">
        <f aca="false">IF($O32="","",INDEX('Auto Process'!$AG:$AG,$O32))</f>
        <v/>
      </c>
      <c r="F32" s="17" t="str">
        <f aca="false">IF($O32="","",INDEX('Auto Process'!$AH:$AH,$O32))</f>
        <v/>
      </c>
      <c r="G32" s="17" t="str">
        <f aca="false">IF($O32="","",INDEX('Auto Process'!$AI:$AI,$O32))</f>
        <v/>
      </c>
      <c r="H32" s="17" t="str">
        <f aca="false">IF($O32="","",INDEX('Auto Process'!$AJ:$AJ,$O32))</f>
        <v/>
      </c>
      <c r="I32" s="17" t="str">
        <f aca="false">IF($O32="","",INDEX('Auto Process'!$AK:$AK,$O32))</f>
        <v/>
      </c>
      <c r="J32" s="17" t="str">
        <f aca="false">IF($O32="","",INDEX('Auto Process'!$AL:$AL,$O32))</f>
        <v/>
      </c>
      <c r="K32" s="17" t="str">
        <f aca="false">IF($O32="","",INDEX('Auto Process'!$AM:$AM,$O32))</f>
        <v/>
      </c>
      <c r="L32" s="17" t="str">
        <f aca="false">IF($O32="","",INDEX('Auto Process'!$AN:$AN,$O32))</f>
        <v/>
      </c>
      <c r="M32" s="17" t="str">
        <f aca="false">IF($O32="","",INDEX('Auto Process'!$AO:$AO,$O32))</f>
        <v/>
      </c>
      <c r="O32" s="19" t="str">
        <f aca="false">IFERROR(_xlfn.AGGREGATE(15,6,ROW('Auto Process'!$D$4:$D$503)/('Auto Process'!$D$4:$D$503="Panel Details"),ROW()-1),"")</f>
        <v/>
      </c>
    </row>
    <row r="33" customFormat="false" ht="13.5" hidden="false" customHeight="true" outlineLevel="0" collapsed="false">
      <c r="A33" s="27" t="str">
        <f aca="false">IF($O33="","",INDEX('Auto Process'!$AC:$AC,$O33))</f>
        <v/>
      </c>
      <c r="B33" s="17" t="str">
        <f aca="false">IF($O33="","",INDEX('Auto Process'!$AD:$AD,$O33))</f>
        <v/>
      </c>
      <c r="C33" s="17" t="str">
        <f aca="false">IF($O33="","",INDEX('Auto Process'!$AE:$AE,$O33))</f>
        <v/>
      </c>
      <c r="D33" s="17" t="str">
        <f aca="false">IF($O33="","",INDEX('Auto Process'!$AF:$AF,$O33))</f>
        <v/>
      </c>
      <c r="E33" s="17" t="str">
        <f aca="false">IF($O33="","",INDEX('Auto Process'!$AG:$AG,$O33))</f>
        <v/>
      </c>
      <c r="F33" s="17" t="str">
        <f aca="false">IF($O33="","",INDEX('Auto Process'!$AH:$AH,$O33))</f>
        <v/>
      </c>
      <c r="G33" s="17" t="str">
        <f aca="false">IF($O33="","",INDEX('Auto Process'!$AI:$AI,$O33))</f>
        <v/>
      </c>
      <c r="H33" s="17" t="str">
        <f aca="false">IF($O33="","",INDEX('Auto Process'!$AJ:$AJ,$O33))</f>
        <v/>
      </c>
      <c r="I33" s="17" t="str">
        <f aca="false">IF($O33="","",INDEX('Auto Process'!$AK:$AK,$O33))</f>
        <v/>
      </c>
      <c r="J33" s="17" t="str">
        <f aca="false">IF($O33="","",INDEX('Auto Process'!$AL:$AL,$O33))</f>
        <v/>
      </c>
      <c r="K33" s="17" t="str">
        <f aca="false">IF($O33="","",INDEX('Auto Process'!$AM:$AM,$O33))</f>
        <v/>
      </c>
      <c r="L33" s="17" t="str">
        <f aca="false">IF($O33="","",INDEX('Auto Process'!$AN:$AN,$O33))</f>
        <v/>
      </c>
      <c r="M33" s="17" t="str">
        <f aca="false">IF($O33="","",INDEX('Auto Process'!$AO:$AO,$O33))</f>
        <v/>
      </c>
      <c r="O33" s="19" t="str">
        <f aca="false">IFERROR(_xlfn.AGGREGATE(15,6,ROW('Auto Process'!$D$4:$D$503)/('Auto Process'!$D$4:$D$503="Panel Details"),ROW()-1),"")</f>
        <v/>
      </c>
    </row>
    <row r="34" customFormat="false" ht="13.5" hidden="false" customHeight="true" outlineLevel="0" collapsed="false">
      <c r="A34" s="27" t="str">
        <f aca="false">IF($O34="","",INDEX('Auto Process'!$AC:$AC,$O34))</f>
        <v/>
      </c>
      <c r="B34" s="17" t="str">
        <f aca="false">IF($O34="","",INDEX('Auto Process'!$AD:$AD,$O34))</f>
        <v/>
      </c>
      <c r="C34" s="17" t="str">
        <f aca="false">IF($O34="","",INDEX('Auto Process'!$AE:$AE,$O34))</f>
        <v/>
      </c>
      <c r="D34" s="17" t="str">
        <f aca="false">IF($O34="","",INDEX('Auto Process'!$AF:$AF,$O34))</f>
        <v/>
      </c>
      <c r="E34" s="17" t="str">
        <f aca="false">IF($O34="","",INDEX('Auto Process'!$AG:$AG,$O34))</f>
        <v/>
      </c>
      <c r="F34" s="17" t="str">
        <f aca="false">IF($O34="","",INDEX('Auto Process'!$AH:$AH,$O34))</f>
        <v/>
      </c>
      <c r="G34" s="17" t="str">
        <f aca="false">IF($O34="","",INDEX('Auto Process'!$AI:$AI,$O34))</f>
        <v/>
      </c>
      <c r="H34" s="17" t="str">
        <f aca="false">IF($O34="","",INDEX('Auto Process'!$AJ:$AJ,$O34))</f>
        <v/>
      </c>
      <c r="I34" s="17" t="str">
        <f aca="false">IF($O34="","",INDEX('Auto Process'!$AK:$AK,$O34))</f>
        <v/>
      </c>
      <c r="J34" s="17" t="str">
        <f aca="false">IF($O34="","",INDEX('Auto Process'!$AL:$AL,$O34))</f>
        <v/>
      </c>
      <c r="K34" s="17" t="str">
        <f aca="false">IF($O34="","",INDEX('Auto Process'!$AM:$AM,$O34))</f>
        <v/>
      </c>
      <c r="L34" s="17" t="str">
        <f aca="false">IF($O34="","",INDEX('Auto Process'!$AN:$AN,$O34))</f>
        <v/>
      </c>
      <c r="M34" s="17" t="str">
        <f aca="false">IF($O34="","",INDEX('Auto Process'!$AO:$AO,$O34))</f>
        <v/>
      </c>
      <c r="O34" s="19" t="str">
        <f aca="false">IFERROR(_xlfn.AGGREGATE(15,6,ROW('Auto Process'!$D$4:$D$503)/('Auto Process'!$D$4:$D$503="Panel Details"),ROW()-1),"")</f>
        <v/>
      </c>
    </row>
    <row r="35" customFormat="false" ht="13.5" hidden="false" customHeight="true" outlineLevel="0" collapsed="false">
      <c r="A35" s="27" t="str">
        <f aca="false">IF($O35="","",INDEX('Auto Process'!$AC:$AC,$O35))</f>
        <v/>
      </c>
      <c r="B35" s="17" t="str">
        <f aca="false">IF($O35="","",INDEX('Auto Process'!$AD:$AD,$O35))</f>
        <v/>
      </c>
      <c r="C35" s="17" t="str">
        <f aca="false">IF($O35="","",INDEX('Auto Process'!$AE:$AE,$O35))</f>
        <v/>
      </c>
      <c r="D35" s="17" t="str">
        <f aca="false">IF($O35="","",INDEX('Auto Process'!$AF:$AF,$O35))</f>
        <v/>
      </c>
      <c r="E35" s="17" t="str">
        <f aca="false">IF($O35="","",INDEX('Auto Process'!$AG:$AG,$O35))</f>
        <v/>
      </c>
      <c r="F35" s="17" t="str">
        <f aca="false">IF($O35="","",INDEX('Auto Process'!$AH:$AH,$O35))</f>
        <v/>
      </c>
      <c r="G35" s="17" t="str">
        <f aca="false">IF($O35="","",INDEX('Auto Process'!$AI:$AI,$O35))</f>
        <v/>
      </c>
      <c r="H35" s="17" t="str">
        <f aca="false">IF($O35="","",INDEX('Auto Process'!$AJ:$AJ,$O35))</f>
        <v/>
      </c>
      <c r="I35" s="17" t="str">
        <f aca="false">IF($O35="","",INDEX('Auto Process'!$AK:$AK,$O35))</f>
        <v/>
      </c>
      <c r="J35" s="17" t="str">
        <f aca="false">IF($O35="","",INDEX('Auto Process'!$AL:$AL,$O35))</f>
        <v/>
      </c>
      <c r="K35" s="17" t="str">
        <f aca="false">IF($O35="","",INDEX('Auto Process'!$AM:$AM,$O35))</f>
        <v/>
      </c>
      <c r="L35" s="17" t="str">
        <f aca="false">IF($O35="","",INDEX('Auto Process'!$AN:$AN,$O35))</f>
        <v/>
      </c>
      <c r="M35" s="17" t="str">
        <f aca="false">IF($O35="","",INDEX('Auto Process'!$AO:$AO,$O35))</f>
        <v/>
      </c>
      <c r="O35" s="19" t="str">
        <f aca="false">IFERROR(_xlfn.AGGREGATE(15,6,ROW('Auto Process'!$D$4:$D$503)/('Auto Process'!$D$4:$D$503="Panel Details"),ROW()-1),"")</f>
        <v/>
      </c>
    </row>
    <row r="36" customFormat="false" ht="13.5" hidden="false" customHeight="true" outlineLevel="0" collapsed="false">
      <c r="A36" s="27" t="str">
        <f aca="false">IF($O36="","",INDEX('Auto Process'!$AC:$AC,$O36))</f>
        <v/>
      </c>
      <c r="B36" s="17" t="str">
        <f aca="false">IF($O36="","",INDEX('Auto Process'!$AD:$AD,$O36))</f>
        <v/>
      </c>
      <c r="C36" s="17" t="str">
        <f aca="false">IF($O36="","",INDEX('Auto Process'!$AE:$AE,$O36))</f>
        <v/>
      </c>
      <c r="D36" s="17" t="str">
        <f aca="false">IF($O36="","",INDEX('Auto Process'!$AF:$AF,$O36))</f>
        <v/>
      </c>
      <c r="E36" s="17" t="str">
        <f aca="false">IF($O36="","",INDEX('Auto Process'!$AG:$AG,$O36))</f>
        <v/>
      </c>
      <c r="F36" s="17" t="str">
        <f aca="false">IF($O36="","",INDEX('Auto Process'!$AH:$AH,$O36))</f>
        <v/>
      </c>
      <c r="G36" s="17" t="str">
        <f aca="false">IF($O36="","",INDEX('Auto Process'!$AI:$AI,$O36))</f>
        <v/>
      </c>
      <c r="H36" s="17" t="str">
        <f aca="false">IF($O36="","",INDEX('Auto Process'!$AJ:$AJ,$O36))</f>
        <v/>
      </c>
      <c r="I36" s="17" t="str">
        <f aca="false">IF($O36="","",INDEX('Auto Process'!$AK:$AK,$O36))</f>
        <v/>
      </c>
      <c r="J36" s="17" t="str">
        <f aca="false">IF($O36="","",INDEX('Auto Process'!$AL:$AL,$O36))</f>
        <v/>
      </c>
      <c r="K36" s="17" t="str">
        <f aca="false">IF($O36="","",INDEX('Auto Process'!$AM:$AM,$O36))</f>
        <v/>
      </c>
      <c r="L36" s="17" t="str">
        <f aca="false">IF($O36="","",INDEX('Auto Process'!$AN:$AN,$O36))</f>
        <v/>
      </c>
      <c r="M36" s="17" t="str">
        <f aca="false">IF($O36="","",INDEX('Auto Process'!$AO:$AO,$O36))</f>
        <v/>
      </c>
      <c r="O36" s="19" t="str">
        <f aca="false">IFERROR(_xlfn.AGGREGATE(15,6,ROW('Auto Process'!$D$4:$D$503)/('Auto Process'!$D$4:$D$503="Panel Details"),ROW()-1),"")</f>
        <v/>
      </c>
    </row>
    <row r="37" customFormat="false" ht="13.5" hidden="false" customHeight="true" outlineLevel="0" collapsed="false">
      <c r="A37" s="27" t="str">
        <f aca="false">IF($O37="","",INDEX('Auto Process'!$AC:$AC,$O37))</f>
        <v/>
      </c>
      <c r="B37" s="17" t="str">
        <f aca="false">IF($O37="","",INDEX('Auto Process'!$AD:$AD,$O37))</f>
        <v/>
      </c>
      <c r="C37" s="17" t="str">
        <f aca="false">IF($O37="","",INDEX('Auto Process'!$AE:$AE,$O37))</f>
        <v/>
      </c>
      <c r="D37" s="17" t="str">
        <f aca="false">IF($O37="","",INDEX('Auto Process'!$AF:$AF,$O37))</f>
        <v/>
      </c>
      <c r="E37" s="17" t="str">
        <f aca="false">IF($O37="","",INDEX('Auto Process'!$AG:$AG,$O37))</f>
        <v/>
      </c>
      <c r="F37" s="17" t="str">
        <f aca="false">IF($O37="","",INDEX('Auto Process'!$AH:$AH,$O37))</f>
        <v/>
      </c>
      <c r="G37" s="17" t="str">
        <f aca="false">IF($O37="","",INDEX('Auto Process'!$AI:$AI,$O37))</f>
        <v/>
      </c>
      <c r="H37" s="17" t="str">
        <f aca="false">IF($O37="","",INDEX('Auto Process'!$AJ:$AJ,$O37))</f>
        <v/>
      </c>
      <c r="I37" s="17" t="str">
        <f aca="false">IF($O37="","",INDEX('Auto Process'!$AK:$AK,$O37))</f>
        <v/>
      </c>
      <c r="J37" s="17" t="str">
        <f aca="false">IF($O37="","",INDEX('Auto Process'!$AL:$AL,$O37))</f>
        <v/>
      </c>
      <c r="K37" s="17" t="str">
        <f aca="false">IF($O37="","",INDEX('Auto Process'!$AM:$AM,$O37))</f>
        <v/>
      </c>
      <c r="L37" s="17" t="str">
        <f aca="false">IF($O37="","",INDEX('Auto Process'!$AN:$AN,$O37))</f>
        <v/>
      </c>
      <c r="M37" s="17" t="str">
        <f aca="false">IF($O37="","",INDEX('Auto Process'!$AO:$AO,$O37))</f>
        <v/>
      </c>
      <c r="O37" s="19" t="str">
        <f aca="false">IFERROR(_xlfn.AGGREGATE(15,6,ROW('Auto Process'!$D$4:$D$503)/('Auto Process'!$D$4:$D$503="Panel Details"),ROW()-1),"")</f>
        <v/>
      </c>
    </row>
    <row r="38" customFormat="false" ht="13.5" hidden="false" customHeight="true" outlineLevel="0" collapsed="false">
      <c r="A38" s="27" t="str">
        <f aca="false">IF($O38="","",INDEX('Auto Process'!$AC:$AC,$O38))</f>
        <v/>
      </c>
      <c r="B38" s="17" t="str">
        <f aca="false">IF($O38="","",INDEX('Auto Process'!$AD:$AD,$O38))</f>
        <v/>
      </c>
      <c r="C38" s="17" t="str">
        <f aca="false">IF($O38="","",INDEX('Auto Process'!$AE:$AE,$O38))</f>
        <v/>
      </c>
      <c r="D38" s="17" t="str">
        <f aca="false">IF($O38="","",INDEX('Auto Process'!$AF:$AF,$O38))</f>
        <v/>
      </c>
      <c r="E38" s="17" t="str">
        <f aca="false">IF($O38="","",INDEX('Auto Process'!$AG:$AG,$O38))</f>
        <v/>
      </c>
      <c r="F38" s="17" t="str">
        <f aca="false">IF($O38="","",INDEX('Auto Process'!$AH:$AH,$O38))</f>
        <v/>
      </c>
      <c r="G38" s="17" t="str">
        <f aca="false">IF($O38="","",INDEX('Auto Process'!$AI:$AI,$O38))</f>
        <v/>
      </c>
      <c r="H38" s="17" t="str">
        <f aca="false">IF($O38="","",INDEX('Auto Process'!$AJ:$AJ,$O38))</f>
        <v/>
      </c>
      <c r="I38" s="17" t="str">
        <f aca="false">IF($O38="","",INDEX('Auto Process'!$AK:$AK,$O38))</f>
        <v/>
      </c>
      <c r="J38" s="17" t="str">
        <f aca="false">IF($O38="","",INDEX('Auto Process'!$AL:$AL,$O38))</f>
        <v/>
      </c>
      <c r="K38" s="17" t="str">
        <f aca="false">IF($O38="","",INDEX('Auto Process'!$AM:$AM,$O38))</f>
        <v/>
      </c>
      <c r="L38" s="17" t="str">
        <f aca="false">IF($O38="","",INDEX('Auto Process'!$AN:$AN,$O38))</f>
        <v/>
      </c>
      <c r="M38" s="17" t="str">
        <f aca="false">IF($O38="","",INDEX('Auto Process'!$AO:$AO,$O38))</f>
        <v/>
      </c>
      <c r="O38" s="19" t="str">
        <f aca="false">IFERROR(_xlfn.AGGREGATE(15,6,ROW('Auto Process'!$D$4:$D$503)/('Auto Process'!$D$4:$D$503="Panel Details"),ROW()-1),"")</f>
        <v/>
      </c>
    </row>
    <row r="39" customFormat="false" ht="13.5" hidden="false" customHeight="true" outlineLevel="0" collapsed="false">
      <c r="A39" s="27" t="str">
        <f aca="false">IF($O39="","",INDEX('Auto Process'!$AC:$AC,$O39))</f>
        <v/>
      </c>
      <c r="B39" s="17" t="str">
        <f aca="false">IF($O39="","",INDEX('Auto Process'!$AD:$AD,$O39))</f>
        <v/>
      </c>
      <c r="C39" s="17" t="str">
        <f aca="false">IF($O39="","",INDEX('Auto Process'!$AE:$AE,$O39))</f>
        <v/>
      </c>
      <c r="D39" s="17" t="str">
        <f aca="false">IF($O39="","",INDEX('Auto Process'!$AF:$AF,$O39))</f>
        <v/>
      </c>
      <c r="E39" s="17" t="str">
        <f aca="false">IF($O39="","",INDEX('Auto Process'!$AG:$AG,$O39))</f>
        <v/>
      </c>
      <c r="F39" s="17" t="str">
        <f aca="false">IF($O39="","",INDEX('Auto Process'!$AH:$AH,$O39))</f>
        <v/>
      </c>
      <c r="G39" s="17" t="str">
        <f aca="false">IF($O39="","",INDEX('Auto Process'!$AI:$AI,$O39))</f>
        <v/>
      </c>
      <c r="H39" s="17" t="str">
        <f aca="false">IF($O39="","",INDEX('Auto Process'!$AJ:$AJ,$O39))</f>
        <v/>
      </c>
      <c r="I39" s="17" t="str">
        <f aca="false">IF($O39="","",INDEX('Auto Process'!$AK:$AK,$O39))</f>
        <v/>
      </c>
      <c r="J39" s="17" t="str">
        <f aca="false">IF($O39="","",INDEX('Auto Process'!$AL:$AL,$O39))</f>
        <v/>
      </c>
      <c r="K39" s="17" t="str">
        <f aca="false">IF($O39="","",INDEX('Auto Process'!$AM:$AM,$O39))</f>
        <v/>
      </c>
      <c r="L39" s="17" t="str">
        <f aca="false">IF($O39="","",INDEX('Auto Process'!$AN:$AN,$O39))</f>
        <v/>
      </c>
      <c r="M39" s="17" t="str">
        <f aca="false">IF($O39="","",INDEX('Auto Process'!$AO:$AO,$O39))</f>
        <v/>
      </c>
      <c r="O39" s="19" t="str">
        <f aca="false">IFERROR(_xlfn.AGGREGATE(15,6,ROW('Auto Process'!$D$4:$D$503)/('Auto Process'!$D$4:$D$503="Panel Details"),ROW()-1),"")</f>
        <v/>
      </c>
    </row>
    <row r="40" customFormat="false" ht="13.5" hidden="false" customHeight="true" outlineLevel="0" collapsed="false">
      <c r="A40" s="27" t="str">
        <f aca="false">IF($O40="","",INDEX('Auto Process'!$AC:$AC,$O40))</f>
        <v/>
      </c>
      <c r="B40" s="17" t="str">
        <f aca="false">IF($O40="","",INDEX('Auto Process'!$AD:$AD,$O40))</f>
        <v/>
      </c>
      <c r="C40" s="17" t="str">
        <f aca="false">IF($O40="","",INDEX('Auto Process'!$AE:$AE,$O40))</f>
        <v/>
      </c>
      <c r="D40" s="17" t="str">
        <f aca="false">IF($O40="","",INDEX('Auto Process'!$AF:$AF,$O40))</f>
        <v/>
      </c>
      <c r="E40" s="17" t="str">
        <f aca="false">IF($O40="","",INDEX('Auto Process'!$AG:$AG,$O40))</f>
        <v/>
      </c>
      <c r="F40" s="17" t="str">
        <f aca="false">IF($O40="","",INDEX('Auto Process'!$AH:$AH,$O40))</f>
        <v/>
      </c>
      <c r="G40" s="17" t="str">
        <f aca="false">IF($O40="","",INDEX('Auto Process'!$AI:$AI,$O40))</f>
        <v/>
      </c>
      <c r="H40" s="17" t="str">
        <f aca="false">IF($O40="","",INDEX('Auto Process'!$AJ:$AJ,$O40))</f>
        <v/>
      </c>
      <c r="I40" s="17" t="str">
        <f aca="false">IF($O40="","",INDEX('Auto Process'!$AK:$AK,$O40))</f>
        <v/>
      </c>
      <c r="J40" s="17" t="str">
        <f aca="false">IF($O40="","",INDEX('Auto Process'!$AL:$AL,$O40))</f>
        <v/>
      </c>
      <c r="K40" s="17" t="str">
        <f aca="false">IF($O40="","",INDEX('Auto Process'!$AM:$AM,$O40))</f>
        <v/>
      </c>
      <c r="L40" s="17" t="str">
        <f aca="false">IF($O40="","",INDEX('Auto Process'!$AN:$AN,$O40))</f>
        <v/>
      </c>
      <c r="M40" s="17" t="str">
        <f aca="false">IF($O40="","",INDEX('Auto Process'!$AO:$AO,$O40))</f>
        <v/>
      </c>
      <c r="O40" s="19" t="str">
        <f aca="false">IFERROR(_xlfn.AGGREGATE(15,6,ROW('Auto Process'!$D$4:$D$503)/('Auto Process'!$D$4:$D$503="Panel Details"),ROW()-1),"")</f>
        <v/>
      </c>
    </row>
    <row r="41" customFormat="false" ht="13.5" hidden="false" customHeight="true" outlineLevel="0" collapsed="false">
      <c r="A41" s="27" t="str">
        <f aca="false">IF($O41="","",INDEX('Auto Process'!$AC:$AC,$O41))</f>
        <v/>
      </c>
      <c r="B41" s="17" t="str">
        <f aca="false">IF($O41="","",INDEX('Auto Process'!$AD:$AD,$O41))</f>
        <v/>
      </c>
      <c r="C41" s="17" t="str">
        <f aca="false">IF($O41="","",INDEX('Auto Process'!$AE:$AE,$O41))</f>
        <v/>
      </c>
      <c r="D41" s="17" t="str">
        <f aca="false">IF($O41="","",INDEX('Auto Process'!$AF:$AF,$O41))</f>
        <v/>
      </c>
      <c r="E41" s="17" t="str">
        <f aca="false">IF($O41="","",INDEX('Auto Process'!$AG:$AG,$O41))</f>
        <v/>
      </c>
      <c r="F41" s="17" t="str">
        <f aca="false">IF($O41="","",INDEX('Auto Process'!$AH:$AH,$O41))</f>
        <v/>
      </c>
      <c r="G41" s="17" t="str">
        <f aca="false">IF($O41="","",INDEX('Auto Process'!$AI:$AI,$O41))</f>
        <v/>
      </c>
      <c r="H41" s="17" t="str">
        <f aca="false">IF($O41="","",INDEX('Auto Process'!$AJ:$AJ,$O41))</f>
        <v/>
      </c>
      <c r="I41" s="17" t="str">
        <f aca="false">IF($O41="","",INDEX('Auto Process'!$AK:$AK,$O41))</f>
        <v/>
      </c>
      <c r="J41" s="17" t="str">
        <f aca="false">IF($O41="","",INDEX('Auto Process'!$AL:$AL,$O41))</f>
        <v/>
      </c>
      <c r="K41" s="17" t="str">
        <f aca="false">IF($O41="","",INDEX('Auto Process'!$AM:$AM,$O41))</f>
        <v/>
      </c>
      <c r="L41" s="17" t="str">
        <f aca="false">IF($O41="","",INDEX('Auto Process'!$AN:$AN,$O41))</f>
        <v/>
      </c>
      <c r="M41" s="17" t="str">
        <f aca="false">IF($O41="","",INDEX('Auto Process'!$AO:$AO,$O41))</f>
        <v/>
      </c>
      <c r="O41" s="19" t="str">
        <f aca="false">IFERROR(_xlfn.AGGREGATE(15,6,ROW('Auto Process'!$D$4:$D$503)/('Auto Process'!$D$4:$D$503="Panel Details"),ROW()-1),"")</f>
        <v/>
      </c>
    </row>
    <row r="42" customFormat="false" ht="13.5" hidden="false" customHeight="true" outlineLevel="0" collapsed="false">
      <c r="A42" s="27" t="str">
        <f aca="false">IF($O42="","",INDEX('Auto Process'!$AC:$AC,$O42))</f>
        <v/>
      </c>
      <c r="B42" s="17" t="str">
        <f aca="false">IF($O42="","",INDEX('Auto Process'!$AD:$AD,$O42))</f>
        <v/>
      </c>
      <c r="C42" s="17" t="str">
        <f aca="false">IF($O42="","",INDEX('Auto Process'!$AE:$AE,$O42))</f>
        <v/>
      </c>
      <c r="D42" s="17" t="str">
        <f aca="false">IF($O42="","",INDEX('Auto Process'!$AF:$AF,$O42))</f>
        <v/>
      </c>
      <c r="E42" s="17" t="str">
        <f aca="false">IF($O42="","",INDEX('Auto Process'!$AG:$AG,$O42))</f>
        <v/>
      </c>
      <c r="F42" s="17" t="str">
        <f aca="false">IF($O42="","",INDEX('Auto Process'!$AH:$AH,$O42))</f>
        <v/>
      </c>
      <c r="G42" s="17" t="str">
        <f aca="false">IF($O42="","",INDEX('Auto Process'!$AI:$AI,$O42))</f>
        <v/>
      </c>
      <c r="H42" s="17" t="str">
        <f aca="false">IF($O42="","",INDEX('Auto Process'!$AJ:$AJ,$O42))</f>
        <v/>
      </c>
      <c r="I42" s="17" t="str">
        <f aca="false">IF($O42="","",INDEX('Auto Process'!$AK:$AK,$O42))</f>
        <v/>
      </c>
      <c r="J42" s="17" t="str">
        <f aca="false">IF($O42="","",INDEX('Auto Process'!$AL:$AL,$O42))</f>
        <v/>
      </c>
      <c r="K42" s="17" t="str">
        <f aca="false">IF($O42="","",INDEX('Auto Process'!$AM:$AM,$O42))</f>
        <v/>
      </c>
      <c r="L42" s="17" t="str">
        <f aca="false">IF($O42="","",INDEX('Auto Process'!$AN:$AN,$O42))</f>
        <v/>
      </c>
      <c r="M42" s="17" t="str">
        <f aca="false">IF($O42="","",INDEX('Auto Process'!$AO:$AO,$O42))</f>
        <v/>
      </c>
      <c r="O42" s="19" t="str">
        <f aca="false">IFERROR(_xlfn.AGGREGATE(15,6,ROW('Auto Process'!$D$4:$D$503)/('Auto Process'!$D$4:$D$503="Panel Details"),ROW()-1),"")</f>
        <v/>
      </c>
    </row>
    <row r="43" customFormat="false" ht="13.5" hidden="false" customHeight="true" outlineLevel="0" collapsed="false">
      <c r="A43" s="27" t="str">
        <f aca="false">IF($O43="","",INDEX('Auto Process'!$AC:$AC,$O43))</f>
        <v/>
      </c>
      <c r="B43" s="17" t="str">
        <f aca="false">IF($O43="","",INDEX('Auto Process'!$AD:$AD,$O43))</f>
        <v/>
      </c>
      <c r="C43" s="17" t="str">
        <f aca="false">IF($O43="","",INDEX('Auto Process'!$AE:$AE,$O43))</f>
        <v/>
      </c>
      <c r="D43" s="17" t="str">
        <f aca="false">IF($O43="","",INDEX('Auto Process'!$AF:$AF,$O43))</f>
        <v/>
      </c>
      <c r="E43" s="17" t="str">
        <f aca="false">IF($O43="","",INDEX('Auto Process'!$AG:$AG,$O43))</f>
        <v/>
      </c>
      <c r="F43" s="17" t="str">
        <f aca="false">IF($O43="","",INDEX('Auto Process'!$AH:$AH,$O43))</f>
        <v/>
      </c>
      <c r="G43" s="17" t="str">
        <f aca="false">IF($O43="","",INDEX('Auto Process'!$AI:$AI,$O43))</f>
        <v/>
      </c>
      <c r="H43" s="17" t="str">
        <f aca="false">IF($O43="","",INDEX('Auto Process'!$AJ:$AJ,$O43))</f>
        <v/>
      </c>
      <c r="I43" s="17" t="str">
        <f aca="false">IF($O43="","",INDEX('Auto Process'!$AK:$AK,$O43))</f>
        <v/>
      </c>
      <c r="J43" s="17" t="str">
        <f aca="false">IF($O43="","",INDEX('Auto Process'!$AL:$AL,$O43))</f>
        <v/>
      </c>
      <c r="K43" s="17" t="str">
        <f aca="false">IF($O43="","",INDEX('Auto Process'!$AM:$AM,$O43))</f>
        <v/>
      </c>
      <c r="L43" s="17" t="str">
        <f aca="false">IF($O43="","",INDEX('Auto Process'!$AN:$AN,$O43))</f>
        <v/>
      </c>
      <c r="M43" s="17" t="str">
        <f aca="false">IF($O43="","",INDEX('Auto Process'!$AO:$AO,$O43))</f>
        <v/>
      </c>
      <c r="O43" s="19" t="str">
        <f aca="false">IFERROR(_xlfn.AGGREGATE(15,6,ROW('Auto Process'!$D$4:$D$503)/('Auto Process'!$D$4:$D$503="Panel Details"),ROW()-1),"")</f>
        <v/>
      </c>
    </row>
    <row r="44" customFormat="false" ht="13.5" hidden="false" customHeight="true" outlineLevel="0" collapsed="false">
      <c r="A44" s="27" t="str">
        <f aca="false">IF($O44="","",INDEX('Auto Process'!$AC:$AC,$O44))</f>
        <v/>
      </c>
      <c r="B44" s="17" t="str">
        <f aca="false">IF($O44="","",INDEX('Auto Process'!$AD:$AD,$O44))</f>
        <v/>
      </c>
      <c r="C44" s="17" t="str">
        <f aca="false">IF($O44="","",INDEX('Auto Process'!$AE:$AE,$O44))</f>
        <v/>
      </c>
      <c r="D44" s="17" t="str">
        <f aca="false">IF($O44="","",INDEX('Auto Process'!$AF:$AF,$O44))</f>
        <v/>
      </c>
      <c r="E44" s="17" t="str">
        <f aca="false">IF($O44="","",INDEX('Auto Process'!$AG:$AG,$O44))</f>
        <v/>
      </c>
      <c r="F44" s="17" t="str">
        <f aca="false">IF($O44="","",INDEX('Auto Process'!$AH:$AH,$O44))</f>
        <v/>
      </c>
      <c r="G44" s="17" t="str">
        <f aca="false">IF($O44="","",INDEX('Auto Process'!$AI:$AI,$O44))</f>
        <v/>
      </c>
      <c r="H44" s="17" t="str">
        <f aca="false">IF($O44="","",INDEX('Auto Process'!$AJ:$AJ,$O44))</f>
        <v/>
      </c>
      <c r="I44" s="17" t="str">
        <f aca="false">IF($O44="","",INDEX('Auto Process'!$AK:$AK,$O44))</f>
        <v/>
      </c>
      <c r="J44" s="17" t="str">
        <f aca="false">IF($O44="","",INDEX('Auto Process'!$AL:$AL,$O44))</f>
        <v/>
      </c>
      <c r="K44" s="17" t="str">
        <f aca="false">IF($O44="","",INDEX('Auto Process'!$AM:$AM,$O44))</f>
        <v/>
      </c>
      <c r="L44" s="17" t="str">
        <f aca="false">IF($O44="","",INDEX('Auto Process'!$AN:$AN,$O44))</f>
        <v/>
      </c>
      <c r="M44" s="17" t="str">
        <f aca="false">IF($O44="","",INDEX('Auto Process'!$AO:$AO,$O44))</f>
        <v/>
      </c>
      <c r="O44" s="19" t="str">
        <f aca="false">IFERROR(_xlfn.AGGREGATE(15,6,ROW('Auto Process'!$D$4:$D$503)/('Auto Process'!$D$4:$D$503="Panel Details"),ROW()-1),"")</f>
        <v/>
      </c>
    </row>
    <row r="45" customFormat="false" ht="13.5" hidden="false" customHeight="true" outlineLevel="0" collapsed="false">
      <c r="A45" s="27" t="str">
        <f aca="false">IF($O45="","",INDEX('Auto Process'!$AC:$AC,$O45))</f>
        <v/>
      </c>
      <c r="B45" s="17" t="str">
        <f aca="false">IF($O45="","",INDEX('Auto Process'!$AD:$AD,$O45))</f>
        <v/>
      </c>
      <c r="C45" s="17" t="str">
        <f aca="false">IF($O45="","",INDEX('Auto Process'!$AE:$AE,$O45))</f>
        <v/>
      </c>
      <c r="D45" s="17" t="str">
        <f aca="false">IF($O45="","",INDEX('Auto Process'!$AF:$AF,$O45))</f>
        <v/>
      </c>
      <c r="E45" s="17" t="str">
        <f aca="false">IF($O45="","",INDEX('Auto Process'!$AG:$AG,$O45))</f>
        <v/>
      </c>
      <c r="F45" s="17" t="str">
        <f aca="false">IF($O45="","",INDEX('Auto Process'!$AH:$AH,$O45))</f>
        <v/>
      </c>
      <c r="G45" s="17" t="str">
        <f aca="false">IF($O45="","",INDEX('Auto Process'!$AI:$AI,$O45))</f>
        <v/>
      </c>
      <c r="H45" s="17" t="str">
        <f aca="false">IF($O45="","",INDEX('Auto Process'!$AJ:$AJ,$O45))</f>
        <v/>
      </c>
      <c r="I45" s="17" t="str">
        <f aca="false">IF($O45="","",INDEX('Auto Process'!$AK:$AK,$O45))</f>
        <v/>
      </c>
      <c r="J45" s="17" t="str">
        <f aca="false">IF($O45="","",INDEX('Auto Process'!$AL:$AL,$O45))</f>
        <v/>
      </c>
      <c r="K45" s="17" t="str">
        <f aca="false">IF($O45="","",INDEX('Auto Process'!$AM:$AM,$O45))</f>
        <v/>
      </c>
      <c r="L45" s="17" t="str">
        <f aca="false">IF($O45="","",INDEX('Auto Process'!$AN:$AN,$O45))</f>
        <v/>
      </c>
      <c r="M45" s="17" t="str">
        <f aca="false">IF($O45="","",INDEX('Auto Process'!$AO:$AO,$O45))</f>
        <v/>
      </c>
      <c r="O45" s="19" t="str">
        <f aca="false">IFERROR(_xlfn.AGGREGATE(15,6,ROW('Auto Process'!$D$4:$D$503)/('Auto Process'!$D$4:$D$503="Panel Details"),ROW()-1),"")</f>
        <v/>
      </c>
    </row>
    <row r="46" customFormat="false" ht="13.5" hidden="false" customHeight="true" outlineLevel="0" collapsed="false">
      <c r="A46" s="27" t="str">
        <f aca="false">IF($O46="","",INDEX('Auto Process'!$AC:$AC,$O46))</f>
        <v/>
      </c>
      <c r="B46" s="17" t="str">
        <f aca="false">IF($O46="","",INDEX('Auto Process'!$AD:$AD,$O46))</f>
        <v/>
      </c>
      <c r="C46" s="17" t="str">
        <f aca="false">IF($O46="","",INDEX('Auto Process'!$AE:$AE,$O46))</f>
        <v/>
      </c>
      <c r="D46" s="17" t="str">
        <f aca="false">IF($O46="","",INDEX('Auto Process'!$AF:$AF,$O46))</f>
        <v/>
      </c>
      <c r="E46" s="17" t="str">
        <f aca="false">IF($O46="","",INDEX('Auto Process'!$AG:$AG,$O46))</f>
        <v/>
      </c>
      <c r="F46" s="17" t="str">
        <f aca="false">IF($O46="","",INDEX('Auto Process'!$AH:$AH,$O46))</f>
        <v/>
      </c>
      <c r="G46" s="17" t="str">
        <f aca="false">IF($O46="","",INDEX('Auto Process'!$AI:$AI,$O46))</f>
        <v/>
      </c>
      <c r="H46" s="17" t="str">
        <f aca="false">IF($O46="","",INDEX('Auto Process'!$AJ:$AJ,$O46))</f>
        <v/>
      </c>
      <c r="I46" s="17" t="str">
        <f aca="false">IF($O46="","",INDEX('Auto Process'!$AK:$AK,$O46))</f>
        <v/>
      </c>
      <c r="J46" s="17" t="str">
        <f aca="false">IF($O46="","",INDEX('Auto Process'!$AL:$AL,$O46))</f>
        <v/>
      </c>
      <c r="K46" s="17" t="str">
        <f aca="false">IF($O46="","",INDEX('Auto Process'!$AM:$AM,$O46))</f>
        <v/>
      </c>
      <c r="L46" s="17" t="str">
        <f aca="false">IF($O46="","",INDEX('Auto Process'!$AN:$AN,$O46))</f>
        <v/>
      </c>
      <c r="M46" s="17" t="str">
        <f aca="false">IF($O46="","",INDEX('Auto Process'!$AO:$AO,$O46))</f>
        <v/>
      </c>
      <c r="O46" s="19" t="str">
        <f aca="false">IFERROR(_xlfn.AGGREGATE(15,6,ROW('Auto Process'!$D$4:$D$503)/('Auto Process'!$D$4:$D$503="Panel Details"),ROW()-1),"")</f>
        <v/>
      </c>
    </row>
    <row r="47" customFormat="false" ht="13.5" hidden="false" customHeight="true" outlineLevel="0" collapsed="false">
      <c r="A47" s="27" t="str">
        <f aca="false">IF($O47="","",INDEX('Auto Process'!$AC:$AC,$O47))</f>
        <v/>
      </c>
      <c r="B47" s="17" t="str">
        <f aca="false">IF($O47="","",INDEX('Auto Process'!$AD:$AD,$O47))</f>
        <v/>
      </c>
      <c r="C47" s="17" t="str">
        <f aca="false">IF($O47="","",INDEX('Auto Process'!$AE:$AE,$O47))</f>
        <v/>
      </c>
      <c r="D47" s="17" t="str">
        <f aca="false">IF($O47="","",INDEX('Auto Process'!$AF:$AF,$O47))</f>
        <v/>
      </c>
      <c r="E47" s="17" t="str">
        <f aca="false">IF($O47="","",INDEX('Auto Process'!$AG:$AG,$O47))</f>
        <v/>
      </c>
      <c r="F47" s="17" t="str">
        <f aca="false">IF($O47="","",INDEX('Auto Process'!$AH:$AH,$O47))</f>
        <v/>
      </c>
      <c r="G47" s="17" t="str">
        <f aca="false">IF($O47="","",INDEX('Auto Process'!$AI:$AI,$O47))</f>
        <v/>
      </c>
      <c r="H47" s="17" t="str">
        <f aca="false">IF($O47="","",INDEX('Auto Process'!$AJ:$AJ,$O47))</f>
        <v/>
      </c>
      <c r="I47" s="17" t="str">
        <f aca="false">IF($O47="","",INDEX('Auto Process'!$AK:$AK,$O47))</f>
        <v/>
      </c>
      <c r="J47" s="17" t="str">
        <f aca="false">IF($O47="","",INDEX('Auto Process'!$AL:$AL,$O47))</f>
        <v/>
      </c>
      <c r="K47" s="17" t="str">
        <f aca="false">IF($O47="","",INDEX('Auto Process'!$AM:$AM,$O47))</f>
        <v/>
      </c>
      <c r="L47" s="17" t="str">
        <f aca="false">IF($O47="","",INDEX('Auto Process'!$AN:$AN,$O47))</f>
        <v/>
      </c>
      <c r="M47" s="17" t="str">
        <f aca="false">IF($O47="","",INDEX('Auto Process'!$AO:$AO,$O47))</f>
        <v/>
      </c>
      <c r="O47" s="19" t="str">
        <f aca="false">IFERROR(_xlfn.AGGREGATE(15,6,ROW('Auto Process'!$D$4:$D$503)/('Auto Process'!$D$4:$D$503="Panel Details"),ROW()-1),"")</f>
        <v/>
      </c>
    </row>
    <row r="48" customFormat="false" ht="13.5" hidden="false" customHeight="true" outlineLevel="0" collapsed="false">
      <c r="A48" s="27" t="str">
        <f aca="false">IF($O48="","",INDEX('Auto Process'!$AC:$AC,$O48))</f>
        <v/>
      </c>
      <c r="B48" s="17" t="str">
        <f aca="false">IF($O48="","",INDEX('Auto Process'!$AD:$AD,$O48))</f>
        <v/>
      </c>
      <c r="C48" s="17" t="str">
        <f aca="false">IF($O48="","",INDEX('Auto Process'!$AE:$AE,$O48))</f>
        <v/>
      </c>
      <c r="D48" s="17" t="str">
        <f aca="false">IF($O48="","",INDEX('Auto Process'!$AF:$AF,$O48))</f>
        <v/>
      </c>
      <c r="E48" s="17" t="str">
        <f aca="false">IF($O48="","",INDEX('Auto Process'!$AG:$AG,$O48))</f>
        <v/>
      </c>
      <c r="F48" s="17" t="str">
        <f aca="false">IF($O48="","",INDEX('Auto Process'!$AH:$AH,$O48))</f>
        <v/>
      </c>
      <c r="G48" s="17" t="str">
        <f aca="false">IF($O48="","",INDEX('Auto Process'!$AI:$AI,$O48))</f>
        <v/>
      </c>
      <c r="H48" s="17" t="str">
        <f aca="false">IF($O48="","",INDEX('Auto Process'!$AJ:$AJ,$O48))</f>
        <v/>
      </c>
      <c r="I48" s="17" t="str">
        <f aca="false">IF($O48="","",INDEX('Auto Process'!$AK:$AK,$O48))</f>
        <v/>
      </c>
      <c r="J48" s="17" t="str">
        <f aca="false">IF($O48="","",INDEX('Auto Process'!$AL:$AL,$O48))</f>
        <v/>
      </c>
      <c r="K48" s="17" t="str">
        <f aca="false">IF($O48="","",INDEX('Auto Process'!$AM:$AM,$O48))</f>
        <v/>
      </c>
      <c r="L48" s="17" t="str">
        <f aca="false">IF($O48="","",INDEX('Auto Process'!$AN:$AN,$O48))</f>
        <v/>
      </c>
      <c r="M48" s="17" t="str">
        <f aca="false">IF($O48="","",INDEX('Auto Process'!$AO:$AO,$O48))</f>
        <v/>
      </c>
      <c r="O48" s="19" t="str">
        <f aca="false">IFERROR(_xlfn.AGGREGATE(15,6,ROW('Auto Process'!$D$4:$D$503)/('Auto Process'!$D$4:$D$503="Panel Details"),ROW()-1),"")</f>
        <v/>
      </c>
    </row>
    <row r="49" customFormat="false" ht="13.5" hidden="false" customHeight="true" outlineLevel="0" collapsed="false">
      <c r="A49" s="27" t="str">
        <f aca="false">IF($O49="","",INDEX('Auto Process'!$AC:$AC,$O49))</f>
        <v/>
      </c>
      <c r="B49" s="17" t="str">
        <f aca="false">IF($O49="","",INDEX('Auto Process'!$AD:$AD,$O49))</f>
        <v/>
      </c>
      <c r="C49" s="17" t="str">
        <f aca="false">IF($O49="","",INDEX('Auto Process'!$AE:$AE,$O49))</f>
        <v/>
      </c>
      <c r="D49" s="17" t="str">
        <f aca="false">IF($O49="","",INDEX('Auto Process'!$AF:$AF,$O49))</f>
        <v/>
      </c>
      <c r="E49" s="17" t="str">
        <f aca="false">IF($O49="","",INDEX('Auto Process'!$AG:$AG,$O49))</f>
        <v/>
      </c>
      <c r="F49" s="17" t="str">
        <f aca="false">IF($O49="","",INDEX('Auto Process'!$AH:$AH,$O49))</f>
        <v/>
      </c>
      <c r="G49" s="17" t="str">
        <f aca="false">IF($O49="","",INDEX('Auto Process'!$AI:$AI,$O49))</f>
        <v/>
      </c>
      <c r="H49" s="17" t="str">
        <f aca="false">IF($O49="","",INDEX('Auto Process'!$AJ:$AJ,$O49))</f>
        <v/>
      </c>
      <c r="I49" s="17" t="str">
        <f aca="false">IF($O49="","",INDEX('Auto Process'!$AK:$AK,$O49))</f>
        <v/>
      </c>
      <c r="J49" s="17" t="str">
        <f aca="false">IF($O49="","",INDEX('Auto Process'!$AL:$AL,$O49))</f>
        <v/>
      </c>
      <c r="K49" s="17" t="str">
        <f aca="false">IF($O49="","",INDEX('Auto Process'!$AM:$AM,$O49))</f>
        <v/>
      </c>
      <c r="L49" s="17" t="str">
        <f aca="false">IF($O49="","",INDEX('Auto Process'!$AN:$AN,$O49))</f>
        <v/>
      </c>
      <c r="M49" s="17" t="str">
        <f aca="false">IF($O49="","",INDEX('Auto Process'!$AO:$AO,$O49))</f>
        <v/>
      </c>
      <c r="O49" s="19" t="str">
        <f aca="false">IFERROR(_xlfn.AGGREGATE(15,6,ROW('Auto Process'!$D$4:$D$503)/('Auto Process'!$D$4:$D$503="Panel Details"),ROW()-1),"")</f>
        <v/>
      </c>
    </row>
    <row r="50" customFormat="false" ht="13.5" hidden="false" customHeight="true" outlineLevel="0" collapsed="false">
      <c r="A50" s="27" t="str">
        <f aca="false">IF($O50="","",INDEX('Auto Process'!$AC:$AC,$O50))</f>
        <v/>
      </c>
      <c r="B50" s="17" t="str">
        <f aca="false">IF($O50="","",INDEX('Auto Process'!$AD:$AD,$O50))</f>
        <v/>
      </c>
      <c r="C50" s="28" t="str">
        <f aca="false">IF($O50="","",INDEX('Auto Process'!$AE:$AE,$O50))</f>
        <v/>
      </c>
      <c r="D50" s="17" t="str">
        <f aca="false">IF($O50="","",INDEX('Auto Process'!$AF:$AF,$O50))</f>
        <v/>
      </c>
      <c r="E50" s="17" t="str">
        <f aca="false">IF($O50="","",INDEX('Auto Process'!$AG:$AG,$O50))</f>
        <v/>
      </c>
      <c r="F50" s="17" t="str">
        <f aca="false">IF($O50="","",INDEX('Auto Process'!$AH:$AH,$O50))</f>
        <v/>
      </c>
      <c r="G50" s="17" t="str">
        <f aca="false">IF($O50="","",INDEX('Auto Process'!$AI:$AI,$O50))</f>
        <v/>
      </c>
      <c r="H50" s="17" t="str">
        <f aca="false">IF($O50="","",INDEX('Auto Process'!$AJ:$AJ,$O50))</f>
        <v/>
      </c>
      <c r="I50" s="17" t="str">
        <f aca="false">IF($O50="","",INDEX('Auto Process'!$AK:$AK,$O50))</f>
        <v/>
      </c>
      <c r="J50" s="17" t="str">
        <f aca="false">IF($O50="","",INDEX('Auto Process'!$AL:$AL,$O50))</f>
        <v/>
      </c>
      <c r="K50" s="17" t="str">
        <f aca="false">IF($O50="","",INDEX('Auto Process'!$AM:$AM,$O50))</f>
        <v/>
      </c>
      <c r="L50" s="17" t="str">
        <f aca="false">IF($O50="","",INDEX('Auto Process'!$AN:$AN,$O50))</f>
        <v/>
      </c>
      <c r="M50" s="17" t="str">
        <f aca="false">IF($O50="","",INDEX('Auto Process'!$AO:$AO,$O50))</f>
        <v/>
      </c>
      <c r="O50" s="19" t="str">
        <f aca="false">IFERROR(_xlfn.AGGREGATE(15,6,ROW('Auto Process'!$D$4:$D$503)/('Auto Process'!$D$4:$D$503="Panel Details"),ROW()-1),"")</f>
        <v/>
      </c>
    </row>
    <row r="51" customFormat="false" ht="13.5" hidden="false" customHeight="true" outlineLevel="0" collapsed="false">
      <c r="A51" s="27" t="str">
        <f aca="false">IF($O51="","",INDEX('Auto Process'!$AC:$AC,$O51))</f>
        <v/>
      </c>
      <c r="B51" s="17" t="str">
        <f aca="false">IF($O51="","",INDEX('Auto Process'!$AD:$AD,$O51))</f>
        <v/>
      </c>
      <c r="C51" s="28" t="str">
        <f aca="false">IF($O51="","",INDEX('Auto Process'!$AE:$AE,$O51))</f>
        <v/>
      </c>
      <c r="D51" s="17" t="str">
        <f aca="false">IF($O51="","",INDEX('Auto Process'!$AF:$AF,$O51))</f>
        <v/>
      </c>
      <c r="E51" s="17" t="str">
        <f aca="false">IF($O51="","",INDEX('Auto Process'!$AG:$AG,$O51))</f>
        <v/>
      </c>
      <c r="F51" s="17" t="str">
        <f aca="false">IF($O51="","",INDEX('Auto Process'!$AH:$AH,$O51))</f>
        <v/>
      </c>
      <c r="G51" s="17" t="str">
        <f aca="false">IF($O51="","",INDEX('Auto Process'!$AI:$AI,$O51))</f>
        <v/>
      </c>
      <c r="H51" s="17" t="str">
        <f aca="false">IF($O51="","",INDEX('Auto Process'!$AJ:$AJ,$O51))</f>
        <v/>
      </c>
      <c r="I51" s="17" t="str">
        <f aca="false">IF($O51="","",INDEX('Auto Process'!$AK:$AK,$O51))</f>
        <v/>
      </c>
      <c r="J51" s="17" t="str">
        <f aca="false">IF($O51="","",INDEX('Auto Process'!$AL:$AL,$O51))</f>
        <v/>
      </c>
      <c r="K51" s="17" t="str">
        <f aca="false">IF($O51="","",INDEX('Auto Process'!$AM:$AM,$O51))</f>
        <v/>
      </c>
      <c r="L51" s="17" t="str">
        <f aca="false">IF($O51="","",INDEX('Auto Process'!$AN:$AN,$O51))</f>
        <v/>
      </c>
      <c r="M51" s="17" t="str">
        <f aca="false">IF($O51="","",INDEX('Auto Process'!$AO:$AO,$O51))</f>
        <v/>
      </c>
      <c r="O51" s="19" t="str">
        <f aca="false">IFERROR(_xlfn.AGGREGATE(15,6,ROW('Auto Process'!$D$4:$D$503)/('Auto Process'!$D$4:$D$503="Panel Details"),ROW()-1),"")</f>
        <v/>
      </c>
    </row>
    <row r="52" customFormat="false" ht="13.5" hidden="false" customHeight="true" outlineLevel="0" collapsed="false">
      <c r="A52" s="27" t="str">
        <f aca="false">IF($O52="","",INDEX('Auto Process'!$AC:$AC,$O52))</f>
        <v/>
      </c>
      <c r="B52" s="17" t="str">
        <f aca="false">IF($O52="","",INDEX('Auto Process'!$AD:$AD,$O52))</f>
        <v/>
      </c>
      <c r="C52" s="28" t="str">
        <f aca="false">IF($O52="","",INDEX('Auto Process'!$AE:$AE,$O52))</f>
        <v/>
      </c>
      <c r="D52" s="17" t="str">
        <f aca="false">IF($O52="","",INDEX('Auto Process'!$AF:$AF,$O52))</f>
        <v/>
      </c>
      <c r="E52" s="17" t="str">
        <f aca="false">IF($O52="","",INDEX('Auto Process'!$AG:$AG,$O52))</f>
        <v/>
      </c>
      <c r="F52" s="17" t="str">
        <f aca="false">IF($O52="","",INDEX('Auto Process'!$AH:$AH,$O52))</f>
        <v/>
      </c>
      <c r="G52" s="17" t="str">
        <f aca="false">IF($O52="","",INDEX('Auto Process'!$AI:$AI,$O52))</f>
        <v/>
      </c>
      <c r="H52" s="17" t="str">
        <f aca="false">IF($O52="","",INDEX('Auto Process'!$AJ:$AJ,$O52))</f>
        <v/>
      </c>
      <c r="I52" s="17" t="str">
        <f aca="false">IF($O52="","",INDEX('Auto Process'!$AK:$AK,$O52))</f>
        <v/>
      </c>
      <c r="J52" s="17" t="str">
        <f aca="false">IF($O52="","",INDEX('Auto Process'!$AL:$AL,$O52))</f>
        <v/>
      </c>
      <c r="K52" s="17" t="str">
        <f aca="false">IF($O52="","",INDEX('Auto Process'!$AM:$AM,$O52))</f>
        <v/>
      </c>
      <c r="L52" s="17" t="str">
        <f aca="false">IF($O52="","",INDEX('Auto Process'!$AN:$AN,$O52))</f>
        <v/>
      </c>
      <c r="M52" s="17" t="str">
        <f aca="false">IF($O52="","",INDEX('Auto Process'!$AO:$AO,$O52))</f>
        <v/>
      </c>
      <c r="O52" s="19" t="str">
        <f aca="false">IFERROR(_xlfn.AGGREGATE(15,6,ROW('Auto Process'!$D$4:$D$503)/('Auto Process'!$D$4:$D$503="Panel Details"),ROW()-1),"")</f>
        <v/>
      </c>
    </row>
    <row r="53" customFormat="false" ht="13.5" hidden="false" customHeight="true" outlineLevel="0" collapsed="false">
      <c r="A53" s="27" t="str">
        <f aca="false">IF($O53="","",INDEX('Auto Process'!$AC:$AC,$O53))</f>
        <v/>
      </c>
      <c r="B53" s="17" t="str">
        <f aca="false">IF($O53="","",INDEX('Auto Process'!$AD:$AD,$O53))</f>
        <v/>
      </c>
      <c r="C53" s="28" t="str">
        <f aca="false">IF($O53="","",INDEX('Auto Process'!$AE:$AE,$O53))</f>
        <v/>
      </c>
      <c r="D53" s="17" t="str">
        <f aca="false">IF($O53="","",INDEX('Auto Process'!$AF:$AF,$O53))</f>
        <v/>
      </c>
      <c r="E53" s="17" t="str">
        <f aca="false">IF($O53="","",INDEX('Auto Process'!$AG:$AG,$O53))</f>
        <v/>
      </c>
      <c r="F53" s="17" t="str">
        <f aca="false">IF($O53="","",INDEX('Auto Process'!$AH:$AH,$O53))</f>
        <v/>
      </c>
      <c r="G53" s="17" t="str">
        <f aca="false">IF($O53="","",INDEX('Auto Process'!$AI:$AI,$O53))</f>
        <v/>
      </c>
      <c r="H53" s="17" t="str">
        <f aca="false">IF($O53="","",INDEX('Auto Process'!$AJ:$AJ,$O53))</f>
        <v/>
      </c>
      <c r="I53" s="17" t="str">
        <f aca="false">IF($O53="","",INDEX('Auto Process'!$AK:$AK,$O53))</f>
        <v/>
      </c>
      <c r="J53" s="17" t="str">
        <f aca="false">IF($O53="","",INDEX('Auto Process'!$AL:$AL,$O53))</f>
        <v/>
      </c>
      <c r="K53" s="17" t="str">
        <f aca="false">IF($O53="","",INDEX('Auto Process'!$AM:$AM,$O53))</f>
        <v/>
      </c>
      <c r="L53" s="17" t="str">
        <f aca="false">IF($O53="","",INDEX('Auto Process'!$AN:$AN,$O53))</f>
        <v/>
      </c>
      <c r="M53" s="17" t="str">
        <f aca="false">IF($O53="","",INDEX('Auto Process'!$AO:$AO,$O53))</f>
        <v/>
      </c>
      <c r="O53" s="19" t="str">
        <f aca="false">IFERROR(_xlfn.AGGREGATE(15,6,ROW('Auto Process'!$D$4:$D$503)/('Auto Process'!$D$4:$D$503="Panel Details"),ROW()-1),"")</f>
        <v/>
      </c>
    </row>
    <row r="54" customFormat="false" ht="13.5" hidden="false" customHeight="true" outlineLevel="0" collapsed="false">
      <c r="A54" s="27" t="str">
        <f aca="false">IF($O54="","",INDEX('Auto Process'!$AC:$AC,$O54))</f>
        <v/>
      </c>
      <c r="B54" s="17" t="str">
        <f aca="false">IF($O54="","",INDEX('Auto Process'!$AD:$AD,$O54))</f>
        <v/>
      </c>
      <c r="C54" s="28" t="str">
        <f aca="false">IF($O54="","",INDEX('Auto Process'!$AE:$AE,$O54))</f>
        <v/>
      </c>
      <c r="D54" s="17" t="str">
        <f aca="false">IF($O54="","",INDEX('Auto Process'!$AF:$AF,$O54))</f>
        <v/>
      </c>
      <c r="E54" s="17" t="str">
        <f aca="false">IF($O54="","",INDEX('Auto Process'!$AG:$AG,$O54))</f>
        <v/>
      </c>
      <c r="F54" s="17" t="str">
        <f aca="false">IF($O54="","",INDEX('Auto Process'!$AH:$AH,$O54))</f>
        <v/>
      </c>
      <c r="G54" s="17" t="str">
        <f aca="false">IF($O54="","",INDEX('Auto Process'!$AI:$AI,$O54))</f>
        <v/>
      </c>
      <c r="H54" s="17" t="str">
        <f aca="false">IF($O54="","",INDEX('Auto Process'!$AJ:$AJ,$O54))</f>
        <v/>
      </c>
      <c r="I54" s="17" t="str">
        <f aca="false">IF($O54="","",INDEX('Auto Process'!$AK:$AK,$O54))</f>
        <v/>
      </c>
      <c r="J54" s="17" t="str">
        <f aca="false">IF($O54="","",INDEX('Auto Process'!$AL:$AL,$O54))</f>
        <v/>
      </c>
      <c r="K54" s="17" t="str">
        <f aca="false">IF($O54="","",INDEX('Auto Process'!$AM:$AM,$O54))</f>
        <v/>
      </c>
      <c r="L54" s="17" t="str">
        <f aca="false">IF($O54="","",INDEX('Auto Process'!$AN:$AN,$O54))</f>
        <v/>
      </c>
      <c r="M54" s="17" t="str">
        <f aca="false">IF($O54="","",INDEX('Auto Process'!$AO:$AO,$O54))</f>
        <v/>
      </c>
      <c r="O54" s="19" t="str">
        <f aca="false">IFERROR(_xlfn.AGGREGATE(15,6,ROW('Auto Process'!$D$4:$D$503)/('Auto Process'!$D$4:$D$503="Panel Details"),ROW()-1),"")</f>
        <v/>
      </c>
    </row>
    <row r="55" customFormat="false" ht="13.5" hidden="false" customHeight="true" outlineLevel="0" collapsed="false">
      <c r="A55" s="27" t="str">
        <f aca="false">IF($O55="","",INDEX('Auto Process'!$AC:$AC,$O55))</f>
        <v/>
      </c>
      <c r="B55" s="17" t="str">
        <f aca="false">IF($O55="","",INDEX('Auto Process'!$AD:$AD,$O55))</f>
        <v/>
      </c>
      <c r="C55" s="17" t="str">
        <f aca="false">IF($O55="","",INDEX('Auto Process'!$AE:$AE,$O55))</f>
        <v/>
      </c>
      <c r="D55" s="17" t="str">
        <f aca="false">IF($O55="","",INDEX('Auto Process'!$AF:$AF,$O55))</f>
        <v/>
      </c>
      <c r="E55" s="17" t="str">
        <f aca="false">IF($O55="","",INDEX('Auto Process'!$AG:$AG,$O55))</f>
        <v/>
      </c>
      <c r="F55" s="17" t="str">
        <f aca="false">IF($O55="","",INDEX('Auto Process'!$AH:$AH,$O55))</f>
        <v/>
      </c>
      <c r="G55" s="17" t="str">
        <f aca="false">IF($O55="","",INDEX('Auto Process'!$AI:$AI,$O55))</f>
        <v/>
      </c>
      <c r="H55" s="17" t="str">
        <f aca="false">IF($O55="","",INDEX('Auto Process'!$AJ:$AJ,$O55))</f>
        <v/>
      </c>
      <c r="I55" s="17" t="str">
        <f aca="false">IF($O55="","",INDEX('Auto Process'!$AK:$AK,$O55))</f>
        <v/>
      </c>
      <c r="J55" s="17" t="str">
        <f aca="false">IF($O55="","",INDEX('Auto Process'!$AL:$AL,$O55))</f>
        <v/>
      </c>
      <c r="K55" s="17" t="str">
        <f aca="false">IF($O55="","",INDEX('Auto Process'!$AM:$AM,$O55))</f>
        <v/>
      </c>
      <c r="L55" s="17" t="str">
        <f aca="false">IF($O55="","",INDEX('Auto Process'!$AN:$AN,$O55))</f>
        <v/>
      </c>
      <c r="M55" s="17" t="str">
        <f aca="false">IF($O55="","",INDEX('Auto Process'!$AO:$AO,$O55))</f>
        <v/>
      </c>
      <c r="O55" s="19" t="str">
        <f aca="false">IFERROR(_xlfn.AGGREGATE(15,6,ROW('Auto Process'!$D$4:$D$503)/('Auto Process'!$D$4:$D$503="Panel Details"),ROW()-1),"")</f>
        <v/>
      </c>
    </row>
    <row r="56" customFormat="false" ht="13.5" hidden="false" customHeight="true" outlineLevel="0" collapsed="false">
      <c r="A56" s="27" t="str">
        <f aca="false">IF($O56="","",INDEX('Auto Process'!$AC:$AC,$O56))</f>
        <v/>
      </c>
      <c r="B56" s="17" t="str">
        <f aca="false">IF($O56="","",INDEX('Auto Process'!$AD:$AD,$O56))</f>
        <v/>
      </c>
      <c r="C56" s="17" t="str">
        <f aca="false">IF($O56="","",INDEX('Auto Process'!$AE:$AE,$O56))</f>
        <v/>
      </c>
      <c r="D56" s="17" t="str">
        <f aca="false">IF($O56="","",INDEX('Auto Process'!$AF:$AF,$O56))</f>
        <v/>
      </c>
      <c r="E56" s="17" t="str">
        <f aca="false">IF($O56="","",INDEX('Auto Process'!$AG:$AG,$O56))</f>
        <v/>
      </c>
      <c r="F56" s="17" t="str">
        <f aca="false">IF($O56="","",INDEX('Auto Process'!$AH:$AH,$O56))</f>
        <v/>
      </c>
      <c r="G56" s="17" t="str">
        <f aca="false">IF($O56="","",INDEX('Auto Process'!$AI:$AI,$O56))</f>
        <v/>
      </c>
      <c r="H56" s="17" t="str">
        <f aca="false">IF($O56="","",INDEX('Auto Process'!$AJ:$AJ,$O56))</f>
        <v/>
      </c>
      <c r="I56" s="17" t="str">
        <f aca="false">IF($O56="","",INDEX('Auto Process'!$AK:$AK,$O56))</f>
        <v/>
      </c>
      <c r="J56" s="17" t="str">
        <f aca="false">IF($O56="","",INDEX('Auto Process'!$AL:$AL,$O56))</f>
        <v/>
      </c>
      <c r="K56" s="17" t="str">
        <f aca="false">IF($O56="","",INDEX('Auto Process'!$AM:$AM,$O56))</f>
        <v/>
      </c>
      <c r="L56" s="17" t="str">
        <f aca="false">IF($O56="","",INDEX('Auto Process'!$AN:$AN,$O56))</f>
        <v/>
      </c>
      <c r="M56" s="17" t="str">
        <f aca="false">IF($O56="","",INDEX('Auto Process'!$AO:$AO,$O56))</f>
        <v/>
      </c>
      <c r="O56" s="19" t="str">
        <f aca="false">IFERROR(_xlfn.AGGREGATE(15,6,ROW('Auto Process'!$D$4:$D$503)/('Auto Process'!$D$4:$D$503="Panel Details"),ROW()-1),"")</f>
        <v/>
      </c>
    </row>
    <row r="57" customFormat="false" ht="13.5" hidden="false" customHeight="true" outlineLevel="0" collapsed="false">
      <c r="A57" s="27" t="str">
        <f aca="false">IF($O57="","",INDEX('Auto Process'!$AC:$AC,$O57))</f>
        <v/>
      </c>
      <c r="B57" s="17" t="str">
        <f aca="false">IF($O57="","",INDEX('Auto Process'!$AD:$AD,$O57))</f>
        <v/>
      </c>
      <c r="C57" s="17" t="str">
        <f aca="false">IF($O57="","",INDEX('Auto Process'!$AE:$AE,$O57))</f>
        <v/>
      </c>
      <c r="D57" s="17" t="str">
        <f aca="false">IF($O57="","",INDEX('Auto Process'!$AF:$AF,$O57))</f>
        <v/>
      </c>
      <c r="E57" s="17" t="str">
        <f aca="false">IF($O57="","",INDEX('Auto Process'!$AG:$AG,$O57))</f>
        <v/>
      </c>
      <c r="F57" s="17" t="str">
        <f aca="false">IF($O57="","",INDEX('Auto Process'!$AH:$AH,$O57))</f>
        <v/>
      </c>
      <c r="G57" s="17" t="str">
        <f aca="false">IF($O57="","",INDEX('Auto Process'!$AI:$AI,$O57))</f>
        <v/>
      </c>
      <c r="H57" s="17" t="str">
        <f aca="false">IF($O57="","",INDEX('Auto Process'!$AJ:$AJ,$O57))</f>
        <v/>
      </c>
      <c r="I57" s="17" t="str">
        <f aca="false">IF($O57="","",INDEX('Auto Process'!$AK:$AK,$O57))</f>
        <v/>
      </c>
      <c r="J57" s="17" t="str">
        <f aca="false">IF($O57="","",INDEX('Auto Process'!$AL:$AL,$O57))</f>
        <v/>
      </c>
      <c r="K57" s="17" t="str">
        <f aca="false">IF($O57="","",INDEX('Auto Process'!$AM:$AM,$O57))</f>
        <v/>
      </c>
      <c r="L57" s="17" t="str">
        <f aca="false">IF($O57="","",INDEX('Auto Process'!$AN:$AN,$O57))</f>
        <v/>
      </c>
      <c r="M57" s="17" t="str">
        <f aca="false">IF($O57="","",INDEX('Auto Process'!$AO:$AO,$O57))</f>
        <v/>
      </c>
      <c r="O57" s="19" t="str">
        <f aca="false">IFERROR(_xlfn.AGGREGATE(15,6,ROW('Auto Process'!$D$4:$D$503)/('Auto Process'!$D$4:$D$503="Panel Details"),ROW()-1),"")</f>
        <v/>
      </c>
    </row>
    <row r="58" customFormat="false" ht="13.5" hidden="false" customHeight="true" outlineLevel="0" collapsed="false">
      <c r="A58" s="27" t="str">
        <f aca="false">IF($O58="","",INDEX('Auto Process'!$AC:$AC,$O58))</f>
        <v/>
      </c>
      <c r="B58" s="17" t="str">
        <f aca="false">IF($O58="","",INDEX('Auto Process'!$AD:$AD,$O58))</f>
        <v/>
      </c>
      <c r="C58" s="17" t="str">
        <f aca="false">IF($O58="","",INDEX('Auto Process'!$AE:$AE,$O58))</f>
        <v/>
      </c>
      <c r="D58" s="17" t="str">
        <f aca="false">IF($O58="","",INDEX('Auto Process'!$AF:$AF,$O58))</f>
        <v/>
      </c>
      <c r="E58" s="17" t="str">
        <f aca="false">IF($O58="","",INDEX('Auto Process'!$AG:$AG,$O58))</f>
        <v/>
      </c>
      <c r="F58" s="17" t="str">
        <f aca="false">IF($O58="","",INDEX('Auto Process'!$AH:$AH,$O58))</f>
        <v/>
      </c>
      <c r="G58" s="17" t="str">
        <f aca="false">IF($O58="","",INDEX('Auto Process'!$AI:$AI,$O58))</f>
        <v/>
      </c>
      <c r="H58" s="17" t="str">
        <f aca="false">IF($O58="","",INDEX('Auto Process'!$AJ:$AJ,$O58))</f>
        <v/>
      </c>
      <c r="I58" s="17" t="str">
        <f aca="false">IF($O58="","",INDEX('Auto Process'!$AK:$AK,$O58))</f>
        <v/>
      </c>
      <c r="J58" s="17" t="str">
        <f aca="false">IF($O58="","",INDEX('Auto Process'!$AL:$AL,$O58))</f>
        <v/>
      </c>
      <c r="K58" s="17" t="str">
        <f aca="false">IF($O58="","",INDEX('Auto Process'!$AM:$AM,$O58))</f>
        <v/>
      </c>
      <c r="L58" s="17" t="str">
        <f aca="false">IF($O58="","",INDEX('Auto Process'!$AN:$AN,$O58))</f>
        <v/>
      </c>
      <c r="M58" s="17" t="str">
        <f aca="false">IF($O58="","",INDEX('Auto Process'!$AO:$AO,$O58))</f>
        <v/>
      </c>
      <c r="O58" s="19" t="str">
        <f aca="false">IFERROR(_xlfn.AGGREGATE(15,6,ROW('Auto Process'!$D$4:$D$503)/('Auto Process'!$D$4:$D$503="Panel Details"),ROW()-1),"")</f>
        <v/>
      </c>
    </row>
    <row r="59" customFormat="false" ht="13.5" hidden="false" customHeight="true" outlineLevel="0" collapsed="false">
      <c r="A59" s="27" t="str">
        <f aca="false">IF($O59="","",INDEX('Auto Process'!$AC:$AC,$O59))</f>
        <v/>
      </c>
      <c r="B59" s="17" t="str">
        <f aca="false">IF($O59="","",INDEX('Auto Process'!$AD:$AD,$O59))</f>
        <v/>
      </c>
      <c r="C59" s="17" t="str">
        <f aca="false">IF($O59="","",INDEX('Auto Process'!$AE:$AE,$O59))</f>
        <v/>
      </c>
      <c r="D59" s="17" t="str">
        <f aca="false">IF($O59="","",INDEX('Auto Process'!$AF:$AF,$O59))</f>
        <v/>
      </c>
      <c r="E59" s="17" t="str">
        <f aca="false">IF($O59="","",INDEX('Auto Process'!$AG:$AG,$O59))</f>
        <v/>
      </c>
      <c r="F59" s="17" t="str">
        <f aca="false">IF($O59="","",INDEX('Auto Process'!$AH:$AH,$O59))</f>
        <v/>
      </c>
      <c r="G59" s="17" t="str">
        <f aca="false">IF($O59="","",INDEX('Auto Process'!$AI:$AI,$O59))</f>
        <v/>
      </c>
      <c r="H59" s="17" t="str">
        <f aca="false">IF($O59="","",INDEX('Auto Process'!$AJ:$AJ,$O59))</f>
        <v/>
      </c>
      <c r="I59" s="17" t="str">
        <f aca="false">IF($O59="","",INDEX('Auto Process'!$AK:$AK,$O59))</f>
        <v/>
      </c>
      <c r="J59" s="17" t="str">
        <f aca="false">IF($O59="","",INDEX('Auto Process'!$AL:$AL,$O59))</f>
        <v/>
      </c>
      <c r="K59" s="17" t="str">
        <f aca="false">IF($O59="","",INDEX('Auto Process'!$AM:$AM,$O59))</f>
        <v/>
      </c>
      <c r="L59" s="17" t="str">
        <f aca="false">IF($O59="","",INDEX('Auto Process'!$AN:$AN,$O59))</f>
        <v/>
      </c>
      <c r="M59" s="17" t="str">
        <f aca="false">IF($O59="","",INDEX('Auto Process'!$AO:$AO,$O59))</f>
        <v/>
      </c>
      <c r="O59" s="19" t="str">
        <f aca="false">IFERROR(_xlfn.AGGREGATE(15,6,ROW('Auto Process'!$D$4:$D$503)/('Auto Process'!$D$4:$D$503="Panel Details"),ROW()-1),"")</f>
        <v/>
      </c>
    </row>
    <row r="60" customFormat="false" ht="13.5" hidden="false" customHeight="true" outlineLevel="0" collapsed="false">
      <c r="A60" s="27" t="str">
        <f aca="false">IF($O60="","",INDEX('Auto Process'!$AC:$AC,$O60))</f>
        <v/>
      </c>
      <c r="B60" s="17" t="str">
        <f aca="false">IF($O60="","",INDEX('Auto Process'!$AD:$AD,$O60))</f>
        <v/>
      </c>
      <c r="C60" s="17" t="str">
        <f aca="false">IF($O60="","",INDEX('Auto Process'!$AE:$AE,$O60))</f>
        <v/>
      </c>
      <c r="D60" s="17" t="str">
        <f aca="false">IF($O60="","",INDEX('Auto Process'!$AF:$AF,$O60))</f>
        <v/>
      </c>
      <c r="E60" s="17" t="str">
        <f aca="false">IF($O60="","",INDEX('Auto Process'!$AG:$AG,$O60))</f>
        <v/>
      </c>
      <c r="F60" s="17" t="str">
        <f aca="false">IF($O60="","",INDEX('Auto Process'!$AH:$AH,$O60))</f>
        <v/>
      </c>
      <c r="G60" s="17" t="str">
        <f aca="false">IF($O60="","",INDEX('Auto Process'!$AI:$AI,$O60))</f>
        <v/>
      </c>
      <c r="H60" s="17" t="str">
        <f aca="false">IF($O60="","",INDEX('Auto Process'!$AJ:$AJ,$O60))</f>
        <v/>
      </c>
      <c r="I60" s="17" t="str">
        <f aca="false">IF($O60="","",INDEX('Auto Process'!$AK:$AK,$O60))</f>
        <v/>
      </c>
      <c r="J60" s="17" t="str">
        <f aca="false">IF($O60="","",INDEX('Auto Process'!$AL:$AL,$O60))</f>
        <v/>
      </c>
      <c r="K60" s="17" t="str">
        <f aca="false">IF($O60="","",INDEX('Auto Process'!$AM:$AM,$O60))</f>
        <v/>
      </c>
      <c r="L60" s="17" t="str">
        <f aca="false">IF($O60="","",INDEX('Auto Process'!$AN:$AN,$O60))</f>
        <v/>
      </c>
      <c r="M60" s="17" t="str">
        <f aca="false">IF($O60="","",INDEX('Auto Process'!$AO:$AO,$O60))</f>
        <v/>
      </c>
      <c r="O60" s="19" t="str">
        <f aca="false">IFERROR(_xlfn.AGGREGATE(15,6,ROW('Auto Process'!$D$4:$D$503)/('Auto Process'!$D$4:$D$503="Panel Details"),ROW()-1),"")</f>
        <v/>
      </c>
    </row>
    <row r="61" customFormat="false" ht="13.5" hidden="false" customHeight="true" outlineLevel="0" collapsed="false">
      <c r="A61" s="27" t="str">
        <f aca="false">IF($O61="","",INDEX('Auto Process'!$AC:$AC,$O61))</f>
        <v/>
      </c>
      <c r="B61" s="17" t="str">
        <f aca="false">IF($O61="","",INDEX('Auto Process'!$AD:$AD,$O61))</f>
        <v/>
      </c>
      <c r="C61" s="17" t="str">
        <f aca="false">IF($O61="","",INDEX('Auto Process'!$AE:$AE,$O61))</f>
        <v/>
      </c>
      <c r="D61" s="17" t="str">
        <f aca="false">IF($O61="","",INDEX('Auto Process'!$AF:$AF,$O61))</f>
        <v/>
      </c>
      <c r="E61" s="17" t="str">
        <f aca="false">IF($O61="","",INDEX('Auto Process'!$AG:$AG,$O61))</f>
        <v/>
      </c>
      <c r="F61" s="17" t="str">
        <f aca="false">IF($O61="","",INDEX('Auto Process'!$AH:$AH,$O61))</f>
        <v/>
      </c>
      <c r="G61" s="17" t="str">
        <f aca="false">IF($O61="","",INDEX('Auto Process'!$AI:$AI,$O61))</f>
        <v/>
      </c>
      <c r="H61" s="17" t="str">
        <f aca="false">IF($O61="","",INDEX('Auto Process'!$AJ:$AJ,$O61))</f>
        <v/>
      </c>
      <c r="I61" s="17" t="str">
        <f aca="false">IF($O61="","",INDEX('Auto Process'!$AK:$AK,$O61))</f>
        <v/>
      </c>
      <c r="J61" s="17" t="str">
        <f aca="false">IF($O61="","",INDEX('Auto Process'!$AL:$AL,$O61))</f>
        <v/>
      </c>
      <c r="K61" s="17" t="str">
        <f aca="false">IF($O61="","",INDEX('Auto Process'!$AM:$AM,$O61))</f>
        <v/>
      </c>
      <c r="L61" s="17" t="str">
        <f aca="false">IF($O61="","",INDEX('Auto Process'!$AN:$AN,$O61))</f>
        <v/>
      </c>
      <c r="M61" s="17" t="str">
        <f aca="false">IF($O61="","",INDEX('Auto Process'!$AO:$AO,$O61))</f>
        <v/>
      </c>
      <c r="O61" s="19" t="str">
        <f aca="false">IFERROR(_xlfn.AGGREGATE(15,6,ROW('Auto Process'!$D$4:$D$503)/('Auto Process'!$D$4:$D$503="Panel Details"),ROW()-1),"")</f>
        <v/>
      </c>
    </row>
    <row r="62" customFormat="false" ht="13.5" hidden="false" customHeight="true" outlineLevel="0" collapsed="false">
      <c r="A62" s="27" t="str">
        <f aca="false">IF($O62="","",INDEX('Auto Process'!$AC:$AC,$O62))</f>
        <v/>
      </c>
      <c r="B62" s="17" t="str">
        <f aca="false">IF($O62="","",INDEX('Auto Process'!$AD:$AD,$O62))</f>
        <v/>
      </c>
      <c r="C62" s="17" t="str">
        <f aca="false">IF($O62="","",INDEX('Auto Process'!$AE:$AE,$O62))</f>
        <v/>
      </c>
      <c r="D62" s="17" t="str">
        <f aca="false">IF($O62="","",INDEX('Auto Process'!$AF:$AF,$O62))</f>
        <v/>
      </c>
      <c r="E62" s="17" t="str">
        <f aca="false">IF($O62="","",INDEX('Auto Process'!$AG:$AG,$O62))</f>
        <v/>
      </c>
      <c r="F62" s="17" t="str">
        <f aca="false">IF($O62="","",INDEX('Auto Process'!$AH:$AH,$O62))</f>
        <v/>
      </c>
      <c r="G62" s="17" t="str">
        <f aca="false">IF($O62="","",INDEX('Auto Process'!$AI:$AI,$O62))</f>
        <v/>
      </c>
      <c r="H62" s="17" t="str">
        <f aca="false">IF($O62="","",INDEX('Auto Process'!$AJ:$AJ,$O62))</f>
        <v/>
      </c>
      <c r="I62" s="17" t="str">
        <f aca="false">IF($O62="","",INDEX('Auto Process'!$AK:$AK,$O62))</f>
        <v/>
      </c>
      <c r="J62" s="17" t="str">
        <f aca="false">IF($O62="","",INDEX('Auto Process'!$AL:$AL,$O62))</f>
        <v/>
      </c>
      <c r="K62" s="17" t="str">
        <f aca="false">IF($O62="","",INDEX('Auto Process'!$AM:$AM,$O62))</f>
        <v/>
      </c>
      <c r="L62" s="17" t="str">
        <f aca="false">IF($O62="","",INDEX('Auto Process'!$AN:$AN,$O62))</f>
        <v/>
      </c>
      <c r="M62" s="17" t="str">
        <f aca="false">IF($O62="","",INDEX('Auto Process'!$AO:$AO,$O62))</f>
        <v/>
      </c>
      <c r="O62" s="19" t="str">
        <f aca="false">IFERROR(_xlfn.AGGREGATE(15,6,ROW('Auto Process'!$D$4:$D$503)/('Auto Process'!$D$4:$D$503="Panel Details"),ROW()-1),"")</f>
        <v/>
      </c>
    </row>
    <row r="63" customFormat="false" ht="13.5" hidden="false" customHeight="true" outlineLevel="0" collapsed="false">
      <c r="A63" s="27" t="str">
        <f aca="false">IF($O63="","",INDEX('Auto Process'!$AC:$AC,$O63))</f>
        <v/>
      </c>
      <c r="B63" s="17" t="str">
        <f aca="false">IF($O63="","",INDEX('Auto Process'!$AD:$AD,$O63))</f>
        <v/>
      </c>
      <c r="C63" s="17" t="str">
        <f aca="false">IF($O63="","",INDEX('Auto Process'!$AE:$AE,$O63))</f>
        <v/>
      </c>
      <c r="D63" s="17" t="str">
        <f aca="false">IF($O63="","",INDEX('Auto Process'!$AF:$AF,$O63))</f>
        <v/>
      </c>
      <c r="E63" s="17" t="str">
        <f aca="false">IF($O63="","",INDEX('Auto Process'!$AG:$AG,$O63))</f>
        <v/>
      </c>
      <c r="F63" s="17" t="str">
        <f aca="false">IF($O63="","",INDEX('Auto Process'!$AH:$AH,$O63))</f>
        <v/>
      </c>
      <c r="G63" s="17" t="str">
        <f aca="false">IF($O63="","",INDEX('Auto Process'!$AI:$AI,$O63))</f>
        <v/>
      </c>
      <c r="H63" s="17" t="str">
        <f aca="false">IF($O63="","",INDEX('Auto Process'!$AJ:$AJ,$O63))</f>
        <v/>
      </c>
      <c r="I63" s="17" t="str">
        <f aca="false">IF($O63="","",INDEX('Auto Process'!$AK:$AK,$O63))</f>
        <v/>
      </c>
      <c r="J63" s="17" t="str">
        <f aca="false">IF($O63="","",INDEX('Auto Process'!$AL:$AL,$O63))</f>
        <v/>
      </c>
      <c r="K63" s="17" t="str">
        <f aca="false">IF($O63="","",INDEX('Auto Process'!$AM:$AM,$O63))</f>
        <v/>
      </c>
      <c r="L63" s="17" t="str">
        <f aca="false">IF($O63="","",INDEX('Auto Process'!$AN:$AN,$O63))</f>
        <v/>
      </c>
      <c r="M63" s="17" t="str">
        <f aca="false">IF($O63="","",INDEX('Auto Process'!$AO:$AO,$O63))</f>
        <v/>
      </c>
      <c r="O63" s="19" t="str">
        <f aca="false">IFERROR(_xlfn.AGGREGATE(15,6,ROW('Auto Process'!$D$4:$D$503)/('Auto Process'!$D$4:$D$503="Panel Details"),ROW()-1),"")</f>
        <v/>
      </c>
    </row>
    <row r="64" customFormat="false" ht="13.5" hidden="false" customHeight="true" outlineLevel="0" collapsed="false">
      <c r="A64" s="27" t="str">
        <f aca="false">IF($O64="","",INDEX('Auto Process'!$AC:$AC,$O64))</f>
        <v/>
      </c>
      <c r="B64" s="17" t="str">
        <f aca="false">IF($O64="","",INDEX('Auto Process'!$AD:$AD,$O64))</f>
        <v/>
      </c>
      <c r="C64" s="17" t="str">
        <f aca="false">IF($O64="","",INDEX('Auto Process'!$AE:$AE,$O64))</f>
        <v/>
      </c>
      <c r="D64" s="17" t="str">
        <f aca="false">IF($O64="","",INDEX('Auto Process'!$AF:$AF,$O64))</f>
        <v/>
      </c>
      <c r="E64" s="17" t="str">
        <f aca="false">IF($O64="","",INDEX('Auto Process'!$AG:$AG,$O64))</f>
        <v/>
      </c>
      <c r="F64" s="17" t="str">
        <f aca="false">IF($O64="","",INDEX('Auto Process'!$AH:$AH,$O64))</f>
        <v/>
      </c>
      <c r="G64" s="17" t="str">
        <f aca="false">IF($O64="","",INDEX('Auto Process'!$AI:$AI,$O64))</f>
        <v/>
      </c>
      <c r="H64" s="17" t="str">
        <f aca="false">IF($O64="","",INDEX('Auto Process'!$AJ:$AJ,$O64))</f>
        <v/>
      </c>
      <c r="I64" s="17" t="str">
        <f aca="false">IF($O64="","",INDEX('Auto Process'!$AK:$AK,$O64))</f>
        <v/>
      </c>
      <c r="J64" s="17" t="str">
        <f aca="false">IF($O64="","",INDEX('Auto Process'!$AL:$AL,$O64))</f>
        <v/>
      </c>
      <c r="K64" s="17" t="str">
        <f aca="false">IF($O64="","",INDEX('Auto Process'!$AM:$AM,$O64))</f>
        <v/>
      </c>
      <c r="L64" s="17" t="str">
        <f aca="false">IF($O64="","",INDEX('Auto Process'!$AN:$AN,$O64))</f>
        <v/>
      </c>
      <c r="M64" s="17" t="str">
        <f aca="false">IF($O64="","",INDEX('Auto Process'!$AO:$AO,$O64))</f>
        <v/>
      </c>
      <c r="O64" s="19" t="str">
        <f aca="false">IFERROR(_xlfn.AGGREGATE(15,6,ROW('Auto Process'!$D$4:$D$503)/('Auto Process'!$D$4:$D$503="Panel Details"),ROW()-1),"")</f>
        <v/>
      </c>
    </row>
    <row r="65" customFormat="false" ht="13.5" hidden="false" customHeight="true" outlineLevel="0" collapsed="false">
      <c r="A65" s="27" t="str">
        <f aca="false">IF($O65="","",INDEX('Auto Process'!$AC:$AC,$O65))</f>
        <v/>
      </c>
      <c r="B65" s="17" t="str">
        <f aca="false">IF($O65="","",INDEX('Auto Process'!$AD:$AD,$O65))</f>
        <v/>
      </c>
      <c r="C65" s="17" t="str">
        <f aca="false">IF($O65="","",INDEX('Auto Process'!$AE:$AE,$O65))</f>
        <v/>
      </c>
      <c r="D65" s="17" t="str">
        <f aca="false">IF($O65="","",INDEX('Auto Process'!$AF:$AF,$O65))</f>
        <v/>
      </c>
      <c r="E65" s="17" t="str">
        <f aca="false">IF($O65="","",INDEX('Auto Process'!$AG:$AG,$O65))</f>
        <v/>
      </c>
      <c r="F65" s="17" t="str">
        <f aca="false">IF($O65="","",INDEX('Auto Process'!$AH:$AH,$O65))</f>
        <v/>
      </c>
      <c r="G65" s="17" t="str">
        <f aca="false">IF($O65="","",INDEX('Auto Process'!$AI:$AI,$O65))</f>
        <v/>
      </c>
      <c r="H65" s="17" t="str">
        <f aca="false">IF($O65="","",INDEX('Auto Process'!$AJ:$AJ,$O65))</f>
        <v/>
      </c>
      <c r="I65" s="17" t="str">
        <f aca="false">IF($O65="","",INDEX('Auto Process'!$AK:$AK,$O65))</f>
        <v/>
      </c>
      <c r="J65" s="17" t="str">
        <f aca="false">IF($O65="","",INDEX('Auto Process'!$AL:$AL,$O65))</f>
        <v/>
      </c>
      <c r="K65" s="17" t="str">
        <f aca="false">IF($O65="","",INDEX('Auto Process'!$AM:$AM,$O65))</f>
        <v/>
      </c>
      <c r="L65" s="17" t="str">
        <f aca="false">IF($O65="","",INDEX('Auto Process'!$AN:$AN,$O65))</f>
        <v/>
      </c>
      <c r="M65" s="17" t="str">
        <f aca="false">IF($O65="","",INDEX('Auto Process'!$AO:$AO,$O65))</f>
        <v/>
      </c>
      <c r="O65" s="19" t="str">
        <f aca="false">IFERROR(_xlfn.AGGREGATE(15,6,ROW('Auto Process'!$D$4:$D$503)/('Auto Process'!$D$4:$D$503="Panel Details"),ROW()-1),"")</f>
        <v/>
      </c>
    </row>
    <row r="66" customFormat="false" ht="13.5" hidden="false" customHeight="true" outlineLevel="0" collapsed="false">
      <c r="A66" s="27" t="str">
        <f aca="false">IF($O66="","",INDEX('Auto Process'!$AC:$AC,$O66))</f>
        <v/>
      </c>
      <c r="B66" s="17" t="str">
        <f aca="false">IF($O66="","",INDEX('Auto Process'!$AD:$AD,$O66))</f>
        <v/>
      </c>
      <c r="C66" s="17" t="str">
        <f aca="false">IF($O66="","",INDEX('Auto Process'!$AE:$AE,$O66))</f>
        <v/>
      </c>
      <c r="D66" s="17" t="str">
        <f aca="false">IF($O66="","",INDEX('Auto Process'!$AF:$AF,$O66))</f>
        <v/>
      </c>
      <c r="E66" s="17" t="str">
        <f aca="false">IF($O66="","",INDEX('Auto Process'!$AG:$AG,$O66))</f>
        <v/>
      </c>
      <c r="F66" s="17" t="str">
        <f aca="false">IF($O66="","",INDEX('Auto Process'!$AH:$AH,$O66))</f>
        <v/>
      </c>
      <c r="G66" s="17" t="str">
        <f aca="false">IF($O66="","",INDEX('Auto Process'!$AI:$AI,$O66))</f>
        <v/>
      </c>
      <c r="H66" s="17" t="str">
        <f aca="false">IF($O66="","",INDEX('Auto Process'!$AJ:$AJ,$O66))</f>
        <v/>
      </c>
      <c r="I66" s="17" t="str">
        <f aca="false">IF($O66="","",INDEX('Auto Process'!$AK:$AK,$O66))</f>
        <v/>
      </c>
      <c r="J66" s="17" t="str">
        <f aca="false">IF($O66="","",INDEX('Auto Process'!$AL:$AL,$O66))</f>
        <v/>
      </c>
      <c r="K66" s="17" t="str">
        <f aca="false">IF($O66="","",INDEX('Auto Process'!$AM:$AM,$O66))</f>
        <v/>
      </c>
      <c r="L66" s="17" t="str">
        <f aca="false">IF($O66="","",INDEX('Auto Process'!$AN:$AN,$O66))</f>
        <v/>
      </c>
      <c r="M66" s="17" t="str">
        <f aca="false">IF($O66="","",INDEX('Auto Process'!$AO:$AO,$O66))</f>
        <v/>
      </c>
      <c r="O66" s="19" t="str">
        <f aca="false">IFERROR(_xlfn.AGGREGATE(15,6,ROW('Auto Process'!$D$4:$D$503)/('Auto Process'!$D$4:$D$503="Panel Details"),ROW()-1),"")</f>
        <v/>
      </c>
    </row>
    <row r="67" customFormat="false" ht="13.5" hidden="false" customHeight="true" outlineLevel="0" collapsed="false">
      <c r="A67" s="27" t="str">
        <f aca="false">IF($O67="","",INDEX('Auto Process'!$AC:$AC,$O67))</f>
        <v/>
      </c>
      <c r="B67" s="17" t="str">
        <f aca="false">IF($O67="","",INDEX('Auto Process'!$AD:$AD,$O67))</f>
        <v/>
      </c>
      <c r="C67" s="17" t="str">
        <f aca="false">IF($O67="","",INDEX('Auto Process'!$AE:$AE,$O67))</f>
        <v/>
      </c>
      <c r="D67" s="17" t="str">
        <f aca="false">IF($O67="","",INDEX('Auto Process'!$AF:$AF,$O67))</f>
        <v/>
      </c>
      <c r="E67" s="17" t="str">
        <f aca="false">IF($O67="","",INDEX('Auto Process'!$AG:$AG,$O67))</f>
        <v/>
      </c>
      <c r="F67" s="17" t="str">
        <f aca="false">IF($O67="","",INDEX('Auto Process'!$AH:$AH,$O67))</f>
        <v/>
      </c>
      <c r="G67" s="17" t="str">
        <f aca="false">IF($O67="","",INDEX('Auto Process'!$AI:$AI,$O67))</f>
        <v/>
      </c>
      <c r="H67" s="17" t="str">
        <f aca="false">IF($O67="","",INDEX('Auto Process'!$AJ:$AJ,$O67))</f>
        <v/>
      </c>
      <c r="I67" s="17" t="str">
        <f aca="false">IF($O67="","",INDEX('Auto Process'!$AK:$AK,$O67))</f>
        <v/>
      </c>
      <c r="J67" s="17" t="str">
        <f aca="false">IF($O67="","",INDEX('Auto Process'!$AL:$AL,$O67))</f>
        <v/>
      </c>
      <c r="K67" s="17" t="str">
        <f aca="false">IF($O67="","",INDEX('Auto Process'!$AM:$AM,$O67))</f>
        <v/>
      </c>
      <c r="L67" s="17" t="str">
        <f aca="false">IF($O67="","",INDEX('Auto Process'!$AN:$AN,$O67))</f>
        <v/>
      </c>
      <c r="M67" s="17" t="str">
        <f aca="false">IF($O67="","",INDEX('Auto Process'!$AO:$AO,$O67))</f>
        <v/>
      </c>
      <c r="O67" s="19" t="str">
        <f aca="false">IFERROR(_xlfn.AGGREGATE(15,6,ROW('Auto Process'!$D$4:$D$503)/('Auto Process'!$D$4:$D$503="Panel Details"),ROW()-1),"")</f>
        <v/>
      </c>
    </row>
    <row r="68" customFormat="false" ht="13.5" hidden="false" customHeight="true" outlineLevel="0" collapsed="false">
      <c r="A68" s="27" t="str">
        <f aca="false">IF($O68="","",INDEX('Auto Process'!$AC:$AC,$O68))</f>
        <v/>
      </c>
      <c r="B68" s="17" t="str">
        <f aca="false">IF($O68="","",INDEX('Auto Process'!$AD:$AD,$O68))</f>
        <v/>
      </c>
      <c r="C68" s="17" t="str">
        <f aca="false">IF($O68="","",INDEX('Auto Process'!$AE:$AE,$O68))</f>
        <v/>
      </c>
      <c r="D68" s="17" t="str">
        <f aca="false">IF($O68="","",INDEX('Auto Process'!$AF:$AF,$O68))</f>
        <v/>
      </c>
      <c r="E68" s="17" t="str">
        <f aca="false">IF($O68="","",INDEX('Auto Process'!$AG:$AG,$O68))</f>
        <v/>
      </c>
      <c r="F68" s="17" t="str">
        <f aca="false">IF($O68="","",INDEX('Auto Process'!$AH:$AH,$O68))</f>
        <v/>
      </c>
      <c r="G68" s="17" t="str">
        <f aca="false">IF($O68="","",INDEX('Auto Process'!$AI:$AI,$O68))</f>
        <v/>
      </c>
      <c r="H68" s="17" t="str">
        <f aca="false">IF($O68="","",INDEX('Auto Process'!$AJ:$AJ,$O68))</f>
        <v/>
      </c>
      <c r="I68" s="17" t="str">
        <f aca="false">IF($O68="","",INDEX('Auto Process'!$AK:$AK,$O68))</f>
        <v/>
      </c>
      <c r="J68" s="17" t="str">
        <f aca="false">IF($O68="","",INDEX('Auto Process'!$AL:$AL,$O68))</f>
        <v/>
      </c>
      <c r="K68" s="17" t="str">
        <f aca="false">IF($O68="","",INDEX('Auto Process'!$AM:$AM,$O68))</f>
        <v/>
      </c>
      <c r="L68" s="17" t="str">
        <f aca="false">IF($O68="","",INDEX('Auto Process'!$AN:$AN,$O68))</f>
        <v/>
      </c>
      <c r="M68" s="17" t="str">
        <f aca="false">IF($O68="","",INDEX('Auto Process'!$AO:$AO,$O68))</f>
        <v/>
      </c>
      <c r="O68" s="19" t="str">
        <f aca="false">IFERROR(_xlfn.AGGREGATE(15,6,ROW('Auto Process'!$D$4:$D$503)/('Auto Process'!$D$4:$D$503="Panel Details"),ROW()-1),"")</f>
        <v/>
      </c>
    </row>
    <row r="69" customFormat="false" ht="13.5" hidden="false" customHeight="true" outlineLevel="0" collapsed="false">
      <c r="A69" s="27" t="str">
        <f aca="false">IF($O69="","",INDEX('Auto Process'!$AC:$AC,$O69))</f>
        <v/>
      </c>
      <c r="B69" s="17" t="str">
        <f aca="false">IF($O69="","",INDEX('Auto Process'!$AD:$AD,$O69))</f>
        <v/>
      </c>
      <c r="C69" s="17" t="str">
        <f aca="false">IF($O69="","",INDEX('Auto Process'!$AE:$AE,$O69))</f>
        <v/>
      </c>
      <c r="D69" s="17" t="str">
        <f aca="false">IF($O69="","",INDEX('Auto Process'!$AF:$AF,$O69))</f>
        <v/>
      </c>
      <c r="E69" s="17" t="str">
        <f aca="false">IF($O69="","",INDEX('Auto Process'!$AG:$AG,$O69))</f>
        <v/>
      </c>
      <c r="F69" s="17" t="str">
        <f aca="false">IF($O69="","",INDEX('Auto Process'!$AH:$AH,$O69))</f>
        <v/>
      </c>
      <c r="G69" s="17" t="str">
        <f aca="false">IF($O69="","",INDEX('Auto Process'!$AI:$AI,$O69))</f>
        <v/>
      </c>
      <c r="H69" s="17" t="str">
        <f aca="false">IF($O69="","",INDEX('Auto Process'!$AJ:$AJ,$O69))</f>
        <v/>
      </c>
      <c r="I69" s="17" t="str">
        <f aca="false">IF($O69="","",INDEX('Auto Process'!$AK:$AK,$O69))</f>
        <v/>
      </c>
      <c r="J69" s="17" t="str">
        <f aca="false">IF($O69="","",INDEX('Auto Process'!$AL:$AL,$O69))</f>
        <v/>
      </c>
      <c r="K69" s="17" t="str">
        <f aca="false">IF($O69="","",INDEX('Auto Process'!$AM:$AM,$O69))</f>
        <v/>
      </c>
      <c r="L69" s="17" t="str">
        <f aca="false">IF($O69="","",INDEX('Auto Process'!$AN:$AN,$O69))</f>
        <v/>
      </c>
      <c r="M69" s="17" t="str">
        <f aca="false">IF($O69="","",INDEX('Auto Process'!$AO:$AO,$O69))</f>
        <v/>
      </c>
      <c r="O69" s="19" t="str">
        <f aca="false">IFERROR(_xlfn.AGGREGATE(15,6,ROW('Auto Process'!$D$4:$D$503)/('Auto Process'!$D$4:$D$503="Panel Details"),ROW()-1),"")</f>
        <v/>
      </c>
    </row>
    <row r="70" customFormat="false" ht="13.5" hidden="false" customHeight="true" outlineLevel="0" collapsed="false">
      <c r="A70" s="27" t="str">
        <f aca="false">IF($O70="","",INDEX('Auto Process'!$AC:$AC,$O70))</f>
        <v/>
      </c>
      <c r="B70" s="17" t="str">
        <f aca="false">IF($O70="","",INDEX('Auto Process'!$AD:$AD,$O70))</f>
        <v/>
      </c>
      <c r="C70" s="17" t="str">
        <f aca="false">IF($O70="","",INDEX('Auto Process'!$AE:$AE,$O70))</f>
        <v/>
      </c>
      <c r="D70" s="17" t="str">
        <f aca="false">IF($O70="","",INDEX('Auto Process'!$AF:$AF,$O70))</f>
        <v/>
      </c>
      <c r="E70" s="17" t="str">
        <f aca="false">IF($O70="","",INDEX('Auto Process'!$AG:$AG,$O70))</f>
        <v/>
      </c>
      <c r="F70" s="17" t="str">
        <f aca="false">IF($O70="","",INDEX('Auto Process'!$AH:$AH,$O70))</f>
        <v/>
      </c>
      <c r="G70" s="17" t="str">
        <f aca="false">IF($O70="","",INDEX('Auto Process'!$AI:$AI,$O70))</f>
        <v/>
      </c>
      <c r="H70" s="17" t="str">
        <f aca="false">IF($O70="","",INDEX('Auto Process'!$AJ:$AJ,$O70))</f>
        <v/>
      </c>
      <c r="I70" s="17" t="str">
        <f aca="false">IF($O70="","",INDEX('Auto Process'!$AK:$AK,$O70))</f>
        <v/>
      </c>
      <c r="J70" s="17" t="str">
        <f aca="false">IF($O70="","",INDEX('Auto Process'!$AL:$AL,$O70))</f>
        <v/>
      </c>
      <c r="K70" s="17" t="str">
        <f aca="false">IF($O70="","",INDEX('Auto Process'!$AM:$AM,$O70))</f>
        <v/>
      </c>
      <c r="L70" s="17" t="str">
        <f aca="false">IF($O70="","",INDEX('Auto Process'!$AN:$AN,$O70))</f>
        <v/>
      </c>
      <c r="M70" s="17" t="str">
        <f aca="false">IF($O70="","",INDEX('Auto Process'!$AO:$AO,$O70))</f>
        <v/>
      </c>
      <c r="O70" s="19" t="str">
        <f aca="false">IFERROR(_xlfn.AGGREGATE(15,6,ROW('Auto Process'!$D$4:$D$503)/('Auto Process'!$D$4:$D$503="Panel Details"),ROW()-1),"")</f>
        <v/>
      </c>
    </row>
    <row r="71" customFormat="false" ht="13.5" hidden="false" customHeight="true" outlineLevel="0" collapsed="false">
      <c r="A71" s="27" t="str">
        <f aca="false">IF($O71="","",INDEX('Auto Process'!$AC:$AC,$O71))</f>
        <v/>
      </c>
      <c r="B71" s="17" t="str">
        <f aca="false">IF($O71="","",INDEX('Auto Process'!$AD:$AD,$O71))</f>
        <v/>
      </c>
      <c r="C71" s="17" t="str">
        <f aca="false">IF($O71="","",INDEX('Auto Process'!$AE:$AE,$O71))</f>
        <v/>
      </c>
      <c r="D71" s="17" t="str">
        <f aca="false">IF($O71="","",INDEX('Auto Process'!$AF:$AF,$O71))</f>
        <v/>
      </c>
      <c r="E71" s="17" t="str">
        <f aca="false">IF($O71="","",INDEX('Auto Process'!$AG:$AG,$O71))</f>
        <v/>
      </c>
      <c r="F71" s="17" t="str">
        <f aca="false">IF($O71="","",INDEX('Auto Process'!$AH:$AH,$O71))</f>
        <v/>
      </c>
      <c r="G71" s="17" t="str">
        <f aca="false">IF($O71="","",INDEX('Auto Process'!$AI:$AI,$O71))</f>
        <v/>
      </c>
      <c r="H71" s="17" t="str">
        <f aca="false">IF($O71="","",INDEX('Auto Process'!$AJ:$AJ,$O71))</f>
        <v/>
      </c>
      <c r="I71" s="17" t="str">
        <f aca="false">IF($O71="","",INDEX('Auto Process'!$AK:$AK,$O71))</f>
        <v/>
      </c>
      <c r="J71" s="17" t="str">
        <f aca="false">IF($O71="","",INDEX('Auto Process'!$AL:$AL,$O71))</f>
        <v/>
      </c>
      <c r="K71" s="17" t="str">
        <f aca="false">IF($O71="","",INDEX('Auto Process'!$AM:$AM,$O71))</f>
        <v/>
      </c>
      <c r="L71" s="17" t="str">
        <f aca="false">IF($O71="","",INDEX('Auto Process'!$AN:$AN,$O71))</f>
        <v/>
      </c>
      <c r="M71" s="17" t="str">
        <f aca="false">IF($O71="","",INDEX('Auto Process'!$AO:$AO,$O71))</f>
        <v/>
      </c>
      <c r="O71" s="19" t="str">
        <f aca="false">IFERROR(_xlfn.AGGREGATE(15,6,ROW('Auto Process'!$D$4:$D$503)/('Auto Process'!$D$4:$D$503="Panel Details"),ROW()-1),"")</f>
        <v/>
      </c>
    </row>
    <row r="72" customFormat="false" ht="13.5" hidden="false" customHeight="true" outlineLevel="0" collapsed="false">
      <c r="A72" s="27" t="str">
        <f aca="false">IF($O72="","",INDEX('Auto Process'!$AC:$AC,$O72))</f>
        <v/>
      </c>
      <c r="B72" s="17" t="str">
        <f aca="false">IF($O72="","",INDEX('Auto Process'!$AD:$AD,$O72))</f>
        <v/>
      </c>
      <c r="C72" s="17" t="str">
        <f aca="false">IF($O72="","",INDEX('Auto Process'!$AE:$AE,$O72))</f>
        <v/>
      </c>
      <c r="D72" s="17" t="str">
        <f aca="false">IF($O72="","",INDEX('Auto Process'!$AF:$AF,$O72))</f>
        <v/>
      </c>
      <c r="E72" s="17" t="str">
        <f aca="false">IF($O72="","",INDEX('Auto Process'!$AG:$AG,$O72))</f>
        <v/>
      </c>
      <c r="F72" s="17" t="str">
        <f aca="false">IF($O72="","",INDEX('Auto Process'!$AH:$AH,$O72))</f>
        <v/>
      </c>
      <c r="G72" s="17" t="str">
        <f aca="false">IF($O72="","",INDEX('Auto Process'!$AI:$AI,$O72))</f>
        <v/>
      </c>
      <c r="H72" s="17" t="str">
        <f aca="false">IF($O72="","",INDEX('Auto Process'!$AJ:$AJ,$O72))</f>
        <v/>
      </c>
      <c r="I72" s="17" t="str">
        <f aca="false">IF($O72="","",INDEX('Auto Process'!$AK:$AK,$O72))</f>
        <v/>
      </c>
      <c r="J72" s="17" t="str">
        <f aca="false">IF($O72="","",INDEX('Auto Process'!$AL:$AL,$O72))</f>
        <v/>
      </c>
      <c r="K72" s="17" t="str">
        <f aca="false">IF($O72="","",INDEX('Auto Process'!$AM:$AM,$O72))</f>
        <v/>
      </c>
      <c r="L72" s="17" t="str">
        <f aca="false">IF($O72="","",INDEX('Auto Process'!$AN:$AN,$O72))</f>
        <v/>
      </c>
      <c r="M72" s="17" t="str">
        <f aca="false">IF($O72="","",INDEX('Auto Process'!$AO:$AO,$O72))</f>
        <v/>
      </c>
      <c r="O72" s="19" t="str">
        <f aca="false">IFERROR(_xlfn.AGGREGATE(15,6,ROW('Auto Process'!$D$4:$D$503)/('Auto Process'!$D$4:$D$503="Panel Details"),ROW()-1),"")</f>
        <v/>
      </c>
    </row>
    <row r="73" customFormat="false" ht="13.5" hidden="false" customHeight="true" outlineLevel="0" collapsed="false">
      <c r="A73" s="27" t="str">
        <f aca="false">IF($O73="","",INDEX('Auto Process'!$AC:$AC,$O73))</f>
        <v/>
      </c>
      <c r="B73" s="17" t="str">
        <f aca="false">IF($O73="","",INDEX('Auto Process'!$AD:$AD,$O73))</f>
        <v/>
      </c>
      <c r="C73" s="17" t="str">
        <f aca="false">IF($O73="","",INDEX('Auto Process'!$AE:$AE,$O73))</f>
        <v/>
      </c>
      <c r="D73" s="17" t="str">
        <f aca="false">IF($O73="","",INDEX('Auto Process'!$AF:$AF,$O73))</f>
        <v/>
      </c>
      <c r="E73" s="17" t="str">
        <f aca="false">IF($O73="","",INDEX('Auto Process'!$AG:$AG,$O73))</f>
        <v/>
      </c>
      <c r="F73" s="17" t="str">
        <f aca="false">IF($O73="","",INDEX('Auto Process'!$AH:$AH,$O73))</f>
        <v/>
      </c>
      <c r="G73" s="17" t="str">
        <f aca="false">IF($O73="","",INDEX('Auto Process'!$AI:$AI,$O73))</f>
        <v/>
      </c>
      <c r="H73" s="17" t="str">
        <f aca="false">IF($O73="","",INDEX('Auto Process'!$AJ:$AJ,$O73))</f>
        <v/>
      </c>
      <c r="I73" s="17" t="str">
        <f aca="false">IF($O73="","",INDEX('Auto Process'!$AK:$AK,$O73))</f>
        <v/>
      </c>
      <c r="J73" s="17" t="str">
        <f aca="false">IF($O73="","",INDEX('Auto Process'!$AL:$AL,$O73))</f>
        <v/>
      </c>
      <c r="K73" s="17" t="str">
        <f aca="false">IF($O73="","",INDEX('Auto Process'!$AM:$AM,$O73))</f>
        <v/>
      </c>
      <c r="L73" s="17" t="str">
        <f aca="false">IF($O73="","",INDEX('Auto Process'!$AN:$AN,$O73))</f>
        <v/>
      </c>
      <c r="M73" s="17" t="str">
        <f aca="false">IF($O73="","",INDEX('Auto Process'!$AO:$AO,$O73))</f>
        <v/>
      </c>
      <c r="O73" s="19" t="str">
        <f aca="false">IFERROR(_xlfn.AGGREGATE(15,6,ROW('Auto Process'!$D$4:$D$503)/('Auto Process'!$D$4:$D$503="Panel Details"),ROW()-1),"")</f>
        <v/>
      </c>
    </row>
    <row r="74" customFormat="false" ht="13.5" hidden="false" customHeight="true" outlineLevel="0" collapsed="false">
      <c r="A74" s="27" t="str">
        <f aca="false">IF($O74="","",INDEX('Auto Process'!$AC:$AC,$O74))</f>
        <v/>
      </c>
      <c r="B74" s="17" t="str">
        <f aca="false">IF($O74="","",INDEX('Auto Process'!$AD:$AD,$O74))</f>
        <v/>
      </c>
      <c r="C74" s="17" t="str">
        <f aca="false">IF($O74="","",INDEX('Auto Process'!$AE:$AE,$O74))</f>
        <v/>
      </c>
      <c r="D74" s="17" t="str">
        <f aca="false">IF($O74="","",INDEX('Auto Process'!$AF:$AF,$O74))</f>
        <v/>
      </c>
      <c r="E74" s="17" t="str">
        <f aca="false">IF($O74="","",INDEX('Auto Process'!$AG:$AG,$O74))</f>
        <v/>
      </c>
      <c r="F74" s="17" t="str">
        <f aca="false">IF($O74="","",INDEX('Auto Process'!$AH:$AH,$O74))</f>
        <v/>
      </c>
      <c r="G74" s="17" t="str">
        <f aca="false">IF($O74="","",INDEX('Auto Process'!$AI:$AI,$O74))</f>
        <v/>
      </c>
      <c r="H74" s="17" t="str">
        <f aca="false">IF($O74="","",INDEX('Auto Process'!$AJ:$AJ,$O74))</f>
        <v/>
      </c>
      <c r="I74" s="17" t="str">
        <f aca="false">IF($O74="","",INDEX('Auto Process'!$AK:$AK,$O74))</f>
        <v/>
      </c>
      <c r="J74" s="17" t="str">
        <f aca="false">IF($O74="","",INDEX('Auto Process'!$AL:$AL,$O74))</f>
        <v/>
      </c>
      <c r="K74" s="17" t="str">
        <f aca="false">IF($O74="","",INDEX('Auto Process'!$AM:$AM,$O74))</f>
        <v/>
      </c>
      <c r="L74" s="17" t="str">
        <f aca="false">IF($O74="","",INDEX('Auto Process'!$AN:$AN,$O74))</f>
        <v/>
      </c>
      <c r="M74" s="17" t="str">
        <f aca="false">IF($O74="","",INDEX('Auto Process'!$AO:$AO,$O74))</f>
        <v/>
      </c>
      <c r="O74" s="19" t="str">
        <f aca="false">IFERROR(_xlfn.AGGREGATE(15,6,ROW('Auto Process'!$D$4:$D$503)/('Auto Process'!$D$4:$D$503="Panel Details"),ROW()-1),"")</f>
        <v/>
      </c>
    </row>
    <row r="75" customFormat="false" ht="13.5" hidden="false" customHeight="true" outlineLevel="0" collapsed="false">
      <c r="A75" s="27" t="str">
        <f aca="false">IF($O75="","",INDEX('Auto Process'!$AC:$AC,$O75))</f>
        <v/>
      </c>
      <c r="B75" s="17" t="str">
        <f aca="false">IF($O75="","",INDEX('Auto Process'!$AD:$AD,$O75))</f>
        <v/>
      </c>
      <c r="C75" s="17" t="str">
        <f aca="false">IF($O75="","",INDEX('Auto Process'!$AE:$AE,$O75))</f>
        <v/>
      </c>
      <c r="D75" s="17" t="str">
        <f aca="false">IF($O75="","",INDEX('Auto Process'!$AF:$AF,$O75))</f>
        <v/>
      </c>
      <c r="E75" s="17" t="str">
        <f aca="false">IF($O75="","",INDEX('Auto Process'!$AG:$AG,$O75))</f>
        <v/>
      </c>
      <c r="F75" s="17" t="str">
        <f aca="false">IF($O75="","",INDEX('Auto Process'!$AH:$AH,$O75))</f>
        <v/>
      </c>
      <c r="G75" s="17" t="str">
        <f aca="false">IF($O75="","",INDEX('Auto Process'!$AI:$AI,$O75))</f>
        <v/>
      </c>
      <c r="H75" s="17" t="str">
        <f aca="false">IF($O75="","",INDEX('Auto Process'!$AJ:$AJ,$O75))</f>
        <v/>
      </c>
      <c r="I75" s="17" t="str">
        <f aca="false">IF($O75="","",INDEX('Auto Process'!$AK:$AK,$O75))</f>
        <v/>
      </c>
      <c r="J75" s="17" t="str">
        <f aca="false">IF($O75="","",INDEX('Auto Process'!$AL:$AL,$O75))</f>
        <v/>
      </c>
      <c r="K75" s="17" t="str">
        <f aca="false">IF($O75="","",INDEX('Auto Process'!$AM:$AM,$O75))</f>
        <v/>
      </c>
      <c r="L75" s="17" t="str">
        <f aca="false">IF($O75="","",INDEX('Auto Process'!$AN:$AN,$O75))</f>
        <v/>
      </c>
      <c r="M75" s="17" t="str">
        <f aca="false">IF($O75="","",INDEX('Auto Process'!$AO:$AO,$O75))</f>
        <v/>
      </c>
      <c r="O75" s="19" t="str">
        <f aca="false">IFERROR(_xlfn.AGGREGATE(15,6,ROW('Auto Process'!$D$4:$D$503)/('Auto Process'!$D$4:$D$503="Panel Details"),ROW()-1),"")</f>
        <v/>
      </c>
    </row>
    <row r="76" customFormat="false" ht="13.5" hidden="false" customHeight="true" outlineLevel="0" collapsed="false">
      <c r="A76" s="27" t="str">
        <f aca="false">IF($O76="","",INDEX('Auto Process'!$AC:$AC,$O76))</f>
        <v/>
      </c>
      <c r="B76" s="17" t="str">
        <f aca="false">IF($O76="","",INDEX('Auto Process'!$AD:$AD,$O76))</f>
        <v/>
      </c>
      <c r="C76" s="17" t="str">
        <f aca="false">IF($O76="","",INDEX('Auto Process'!$AE:$AE,$O76))</f>
        <v/>
      </c>
      <c r="D76" s="17" t="str">
        <f aca="false">IF($O76="","",INDEX('Auto Process'!$AF:$AF,$O76))</f>
        <v/>
      </c>
      <c r="E76" s="17" t="str">
        <f aca="false">IF($O76="","",INDEX('Auto Process'!$AG:$AG,$O76))</f>
        <v/>
      </c>
      <c r="F76" s="17" t="str">
        <f aca="false">IF($O76="","",INDEX('Auto Process'!$AH:$AH,$O76))</f>
        <v/>
      </c>
      <c r="G76" s="17" t="str">
        <f aca="false">IF($O76="","",INDEX('Auto Process'!$AI:$AI,$O76))</f>
        <v/>
      </c>
      <c r="H76" s="17" t="str">
        <f aca="false">IF($O76="","",INDEX('Auto Process'!$AJ:$AJ,$O76))</f>
        <v/>
      </c>
      <c r="I76" s="17" t="str">
        <f aca="false">IF($O76="","",INDEX('Auto Process'!$AK:$AK,$O76))</f>
        <v/>
      </c>
      <c r="J76" s="17" t="str">
        <f aca="false">IF($O76="","",INDEX('Auto Process'!$AL:$AL,$O76))</f>
        <v/>
      </c>
      <c r="K76" s="17" t="str">
        <f aca="false">IF($O76="","",INDEX('Auto Process'!$AM:$AM,$O76))</f>
        <v/>
      </c>
      <c r="L76" s="17" t="str">
        <f aca="false">IF($O76="","",INDEX('Auto Process'!$AN:$AN,$O76))</f>
        <v/>
      </c>
      <c r="M76" s="17" t="str">
        <f aca="false">IF($O76="","",INDEX('Auto Process'!$AO:$AO,$O76))</f>
        <v/>
      </c>
      <c r="O76" s="19" t="str">
        <f aca="false">IFERROR(_xlfn.AGGREGATE(15,6,ROW('Auto Process'!$D$4:$D$503)/('Auto Process'!$D$4:$D$503="Panel Details"),ROW()-1),"")</f>
        <v/>
      </c>
    </row>
    <row r="77" customFormat="false" ht="13.5" hidden="false" customHeight="true" outlineLevel="0" collapsed="false">
      <c r="A77" s="27" t="str">
        <f aca="false">IF($O77="","",INDEX('Auto Process'!$AC:$AC,$O77))</f>
        <v/>
      </c>
      <c r="B77" s="17" t="str">
        <f aca="false">IF($O77="","",INDEX('Auto Process'!$AD:$AD,$O77))</f>
        <v/>
      </c>
      <c r="C77" s="17" t="str">
        <f aca="false">IF($O77="","",INDEX('Auto Process'!$AE:$AE,$O77))</f>
        <v/>
      </c>
      <c r="D77" s="17" t="str">
        <f aca="false">IF($O77="","",INDEX('Auto Process'!$AF:$AF,$O77))</f>
        <v/>
      </c>
      <c r="E77" s="17" t="str">
        <f aca="false">IF($O77="","",INDEX('Auto Process'!$AG:$AG,$O77))</f>
        <v/>
      </c>
      <c r="F77" s="17" t="str">
        <f aca="false">IF($O77="","",INDEX('Auto Process'!$AH:$AH,$O77))</f>
        <v/>
      </c>
      <c r="G77" s="17" t="str">
        <f aca="false">IF($O77="","",INDEX('Auto Process'!$AI:$AI,$O77))</f>
        <v/>
      </c>
      <c r="H77" s="17" t="str">
        <f aca="false">IF($O77="","",INDEX('Auto Process'!$AJ:$AJ,$O77))</f>
        <v/>
      </c>
      <c r="I77" s="17" t="str">
        <f aca="false">IF($O77="","",INDEX('Auto Process'!$AK:$AK,$O77))</f>
        <v/>
      </c>
      <c r="J77" s="17" t="str">
        <f aca="false">IF($O77="","",INDEX('Auto Process'!$AL:$AL,$O77))</f>
        <v/>
      </c>
      <c r="K77" s="17" t="str">
        <f aca="false">IF($O77="","",INDEX('Auto Process'!$AM:$AM,$O77))</f>
        <v/>
      </c>
      <c r="L77" s="17" t="str">
        <f aca="false">IF($O77="","",INDEX('Auto Process'!$AN:$AN,$O77))</f>
        <v/>
      </c>
      <c r="M77" s="17" t="str">
        <f aca="false">IF($O77="","",INDEX('Auto Process'!$AO:$AO,$O77))</f>
        <v/>
      </c>
      <c r="O77" s="19" t="str">
        <f aca="false">IFERROR(_xlfn.AGGREGATE(15,6,ROW('Auto Process'!$D$4:$D$503)/('Auto Process'!$D$4:$D$503="Panel Details"),ROW()-1),"")</f>
        <v/>
      </c>
    </row>
    <row r="78" customFormat="false" ht="13.5" hidden="false" customHeight="true" outlineLevel="0" collapsed="false">
      <c r="A78" s="27" t="str">
        <f aca="false">IF($O78="","",INDEX('Auto Process'!$AC:$AC,$O78))</f>
        <v/>
      </c>
      <c r="B78" s="17" t="str">
        <f aca="false">IF($O78="","",INDEX('Auto Process'!$AD:$AD,$O78))</f>
        <v/>
      </c>
      <c r="C78" s="17" t="str">
        <f aca="false">IF($O78="","",INDEX('Auto Process'!$AE:$AE,$O78))</f>
        <v/>
      </c>
      <c r="D78" s="17" t="str">
        <f aca="false">IF($O78="","",INDEX('Auto Process'!$AF:$AF,$O78))</f>
        <v/>
      </c>
      <c r="E78" s="17" t="str">
        <f aca="false">IF($O78="","",INDEX('Auto Process'!$AG:$AG,$O78))</f>
        <v/>
      </c>
      <c r="F78" s="17" t="str">
        <f aca="false">IF($O78="","",INDEX('Auto Process'!$AH:$AH,$O78))</f>
        <v/>
      </c>
      <c r="G78" s="17" t="str">
        <f aca="false">IF($O78="","",INDEX('Auto Process'!$AI:$AI,$O78))</f>
        <v/>
      </c>
      <c r="H78" s="17" t="str">
        <f aca="false">IF($O78="","",INDEX('Auto Process'!$AJ:$AJ,$O78))</f>
        <v/>
      </c>
      <c r="I78" s="17" t="str">
        <f aca="false">IF($O78="","",INDEX('Auto Process'!$AK:$AK,$O78))</f>
        <v/>
      </c>
      <c r="J78" s="17" t="str">
        <f aca="false">IF($O78="","",INDEX('Auto Process'!$AL:$AL,$O78))</f>
        <v/>
      </c>
      <c r="K78" s="17" t="str">
        <f aca="false">IF($O78="","",INDEX('Auto Process'!$AM:$AM,$O78))</f>
        <v/>
      </c>
      <c r="L78" s="17" t="str">
        <f aca="false">IF($O78="","",INDEX('Auto Process'!$AN:$AN,$O78))</f>
        <v/>
      </c>
      <c r="M78" s="17" t="str">
        <f aca="false">IF($O78="","",INDEX('Auto Process'!$AO:$AO,$O78))</f>
        <v/>
      </c>
      <c r="O78" s="19" t="str">
        <f aca="false">IFERROR(_xlfn.AGGREGATE(15,6,ROW('Auto Process'!$D$4:$D$503)/('Auto Process'!$D$4:$D$503="Panel Details"),ROW()-1),"")</f>
        <v/>
      </c>
    </row>
    <row r="79" customFormat="false" ht="13.5" hidden="false" customHeight="true" outlineLevel="0" collapsed="false">
      <c r="A79" s="27" t="str">
        <f aca="false">IF($O79="","",INDEX('Auto Process'!$AC:$AC,$O79))</f>
        <v/>
      </c>
      <c r="B79" s="17" t="str">
        <f aca="false">IF($O79="","",INDEX('Auto Process'!$AD:$AD,$O79))</f>
        <v/>
      </c>
      <c r="C79" s="17" t="str">
        <f aca="false">IF($O79="","",INDEX('Auto Process'!$AE:$AE,$O79))</f>
        <v/>
      </c>
      <c r="D79" s="17" t="str">
        <f aca="false">IF($O79="","",INDEX('Auto Process'!$AF:$AF,$O79))</f>
        <v/>
      </c>
      <c r="E79" s="17" t="str">
        <f aca="false">IF($O79="","",INDEX('Auto Process'!$AG:$AG,$O79))</f>
        <v/>
      </c>
      <c r="F79" s="17" t="str">
        <f aca="false">IF($O79="","",INDEX('Auto Process'!$AH:$AH,$O79))</f>
        <v/>
      </c>
      <c r="G79" s="17" t="str">
        <f aca="false">IF($O79="","",INDEX('Auto Process'!$AI:$AI,$O79))</f>
        <v/>
      </c>
      <c r="H79" s="17" t="str">
        <f aca="false">IF($O79="","",INDEX('Auto Process'!$AJ:$AJ,$O79))</f>
        <v/>
      </c>
      <c r="I79" s="17" t="str">
        <f aca="false">IF($O79="","",INDEX('Auto Process'!$AK:$AK,$O79))</f>
        <v/>
      </c>
      <c r="J79" s="17" t="str">
        <f aca="false">IF($O79="","",INDEX('Auto Process'!$AL:$AL,$O79))</f>
        <v/>
      </c>
      <c r="K79" s="17" t="str">
        <f aca="false">IF($O79="","",INDEX('Auto Process'!$AM:$AM,$O79))</f>
        <v/>
      </c>
      <c r="L79" s="17" t="str">
        <f aca="false">IF($O79="","",INDEX('Auto Process'!$AN:$AN,$O79))</f>
        <v/>
      </c>
      <c r="M79" s="17" t="str">
        <f aca="false">IF($O79="","",INDEX('Auto Process'!$AO:$AO,$O79))</f>
        <v/>
      </c>
      <c r="O79" s="19" t="str">
        <f aca="false">IFERROR(_xlfn.AGGREGATE(15,6,ROW('Auto Process'!$D$4:$D$503)/('Auto Process'!$D$4:$D$503="Panel Details"),ROW()-1),"")</f>
        <v/>
      </c>
    </row>
    <row r="80" customFormat="false" ht="13.5" hidden="false" customHeight="true" outlineLevel="0" collapsed="false">
      <c r="A80" s="27" t="str">
        <f aca="false">IF($O80="","",INDEX('Auto Process'!$AC:$AC,$O80))</f>
        <v/>
      </c>
      <c r="B80" s="17" t="str">
        <f aca="false">IF($O80="","",INDEX('Auto Process'!$AD:$AD,$O80))</f>
        <v/>
      </c>
      <c r="C80" s="17" t="str">
        <f aca="false">IF($O80="","",INDEX('Auto Process'!$AE:$AE,$O80))</f>
        <v/>
      </c>
      <c r="D80" s="17" t="str">
        <f aca="false">IF($O80="","",INDEX('Auto Process'!$AF:$AF,$O80))</f>
        <v/>
      </c>
      <c r="E80" s="17" t="str">
        <f aca="false">IF($O80="","",INDEX('Auto Process'!$AG:$AG,$O80))</f>
        <v/>
      </c>
      <c r="F80" s="17" t="str">
        <f aca="false">IF($O80="","",INDEX('Auto Process'!$AH:$AH,$O80))</f>
        <v/>
      </c>
      <c r="G80" s="17" t="str">
        <f aca="false">IF($O80="","",INDEX('Auto Process'!$AI:$AI,$O80))</f>
        <v/>
      </c>
      <c r="H80" s="17" t="str">
        <f aca="false">IF($O80="","",INDEX('Auto Process'!$AJ:$AJ,$O80))</f>
        <v/>
      </c>
      <c r="I80" s="17" t="str">
        <f aca="false">IF($O80="","",INDEX('Auto Process'!$AK:$AK,$O80))</f>
        <v/>
      </c>
      <c r="J80" s="17" t="str">
        <f aca="false">IF($O80="","",INDEX('Auto Process'!$AL:$AL,$O80))</f>
        <v/>
      </c>
      <c r="K80" s="17" t="str">
        <f aca="false">IF($O80="","",INDEX('Auto Process'!$AM:$AM,$O80))</f>
        <v/>
      </c>
      <c r="L80" s="17" t="str">
        <f aca="false">IF($O80="","",INDEX('Auto Process'!$AN:$AN,$O80))</f>
        <v/>
      </c>
      <c r="M80" s="17" t="str">
        <f aca="false">IF($O80="","",INDEX('Auto Process'!$AO:$AO,$O80))</f>
        <v/>
      </c>
      <c r="O80" s="19" t="str">
        <f aca="false">IFERROR(_xlfn.AGGREGATE(15,6,ROW('Auto Process'!$D$4:$D$503)/('Auto Process'!$D$4:$D$503="Panel Details"),ROW()-1),"")</f>
        <v/>
      </c>
    </row>
    <row r="81" customFormat="false" ht="13.5" hidden="false" customHeight="true" outlineLevel="0" collapsed="false">
      <c r="A81" s="27" t="str">
        <f aca="false">IF($O81="","",INDEX('Auto Process'!$AC:$AC,$O81))</f>
        <v/>
      </c>
      <c r="B81" s="17" t="str">
        <f aca="false">IF($O81="","",INDEX('Auto Process'!$AD:$AD,$O81))</f>
        <v/>
      </c>
      <c r="C81" s="17" t="str">
        <f aca="false">IF($O81="","",INDEX('Auto Process'!$AE:$AE,$O81))</f>
        <v/>
      </c>
      <c r="D81" s="17" t="str">
        <f aca="false">IF($O81="","",INDEX('Auto Process'!$AF:$AF,$O81))</f>
        <v/>
      </c>
      <c r="E81" s="17" t="str">
        <f aca="false">IF($O81="","",INDEX('Auto Process'!$AG:$AG,$O81))</f>
        <v/>
      </c>
      <c r="F81" s="17" t="str">
        <f aca="false">IF($O81="","",INDEX('Auto Process'!$AH:$AH,$O81))</f>
        <v/>
      </c>
      <c r="G81" s="17" t="str">
        <f aca="false">IF($O81="","",INDEX('Auto Process'!$AI:$AI,$O81))</f>
        <v/>
      </c>
      <c r="H81" s="17" t="str">
        <f aca="false">IF($O81="","",INDEX('Auto Process'!$AJ:$AJ,$O81))</f>
        <v/>
      </c>
      <c r="I81" s="17" t="str">
        <f aca="false">IF($O81="","",INDEX('Auto Process'!$AK:$AK,$O81))</f>
        <v/>
      </c>
      <c r="J81" s="17" t="str">
        <f aca="false">IF($O81="","",INDEX('Auto Process'!$AL:$AL,$O81))</f>
        <v/>
      </c>
      <c r="K81" s="17" t="str">
        <f aca="false">IF($O81="","",INDEX('Auto Process'!$AM:$AM,$O81))</f>
        <v/>
      </c>
      <c r="L81" s="17" t="str">
        <f aca="false">IF($O81="","",INDEX('Auto Process'!$AN:$AN,$O81))</f>
        <v/>
      </c>
      <c r="M81" s="17" t="str">
        <f aca="false">IF($O81="","",INDEX('Auto Process'!$AO:$AO,$O81))</f>
        <v/>
      </c>
      <c r="O81" s="19" t="str">
        <f aca="false">IFERROR(_xlfn.AGGREGATE(15,6,ROW('Auto Process'!$D$4:$D$503)/('Auto Process'!$D$4:$D$503="Panel Details"),ROW()-1),"")</f>
        <v/>
      </c>
    </row>
    <row r="82" customFormat="false" ht="13.5" hidden="false" customHeight="true" outlineLevel="0" collapsed="false">
      <c r="A82" s="27" t="str">
        <f aca="false">IF($O82="","",INDEX('Auto Process'!$AC:$AC,$O82))</f>
        <v/>
      </c>
      <c r="B82" s="17" t="str">
        <f aca="false">IF($O82="","",INDEX('Auto Process'!$AD:$AD,$O82))</f>
        <v/>
      </c>
      <c r="C82" s="17" t="str">
        <f aca="false">IF($O82="","",INDEX('Auto Process'!$AE:$AE,$O82))</f>
        <v/>
      </c>
      <c r="D82" s="17" t="str">
        <f aca="false">IF($O82="","",INDEX('Auto Process'!$AF:$AF,$O82))</f>
        <v/>
      </c>
      <c r="E82" s="17" t="str">
        <f aca="false">IF($O82="","",INDEX('Auto Process'!$AG:$AG,$O82))</f>
        <v/>
      </c>
      <c r="F82" s="17" t="str">
        <f aca="false">IF($O82="","",INDEX('Auto Process'!$AH:$AH,$O82))</f>
        <v/>
      </c>
      <c r="G82" s="17" t="str">
        <f aca="false">IF($O82="","",INDEX('Auto Process'!$AI:$AI,$O82))</f>
        <v/>
      </c>
      <c r="H82" s="17" t="str">
        <f aca="false">IF($O82="","",INDEX('Auto Process'!$AJ:$AJ,$O82))</f>
        <v/>
      </c>
      <c r="I82" s="17" t="str">
        <f aca="false">IF($O82="","",INDEX('Auto Process'!$AK:$AK,$O82))</f>
        <v/>
      </c>
      <c r="J82" s="17" t="str">
        <f aca="false">IF($O82="","",INDEX('Auto Process'!$AL:$AL,$O82))</f>
        <v/>
      </c>
      <c r="K82" s="17" t="str">
        <f aca="false">IF($O82="","",INDEX('Auto Process'!$AM:$AM,$O82))</f>
        <v/>
      </c>
      <c r="L82" s="17" t="str">
        <f aca="false">IF($O82="","",INDEX('Auto Process'!$AN:$AN,$O82))</f>
        <v/>
      </c>
      <c r="M82" s="17" t="str">
        <f aca="false">IF($O82="","",INDEX('Auto Process'!$AO:$AO,$O82))</f>
        <v/>
      </c>
      <c r="O82" s="19" t="str">
        <f aca="false">IFERROR(_xlfn.AGGREGATE(15,6,ROW('Auto Process'!$D$4:$D$503)/('Auto Process'!$D$4:$D$503="Panel Details"),ROW()-1),"")</f>
        <v/>
      </c>
    </row>
    <row r="83" customFormat="false" ht="13.5" hidden="false" customHeight="true" outlineLevel="0" collapsed="false">
      <c r="A83" s="27" t="str">
        <f aca="false">IF($O83="","",INDEX('Auto Process'!$AC:$AC,$O83))</f>
        <v/>
      </c>
      <c r="B83" s="17" t="str">
        <f aca="false">IF($O83="","",INDEX('Auto Process'!$AD:$AD,$O83))</f>
        <v/>
      </c>
      <c r="C83" s="17" t="str">
        <f aca="false">IF($O83="","",INDEX('Auto Process'!$AE:$AE,$O83))</f>
        <v/>
      </c>
      <c r="D83" s="17" t="str">
        <f aca="false">IF($O83="","",INDEX('Auto Process'!$AF:$AF,$O83))</f>
        <v/>
      </c>
      <c r="E83" s="17" t="str">
        <f aca="false">IF($O83="","",INDEX('Auto Process'!$AG:$AG,$O83))</f>
        <v/>
      </c>
      <c r="F83" s="17" t="str">
        <f aca="false">IF($O83="","",INDEX('Auto Process'!$AH:$AH,$O83))</f>
        <v/>
      </c>
      <c r="G83" s="17" t="str">
        <f aca="false">IF($O83="","",INDEX('Auto Process'!$AI:$AI,$O83))</f>
        <v/>
      </c>
      <c r="H83" s="17" t="str">
        <f aca="false">IF($O83="","",INDEX('Auto Process'!$AJ:$AJ,$O83))</f>
        <v/>
      </c>
      <c r="I83" s="17" t="str">
        <f aca="false">IF($O83="","",INDEX('Auto Process'!$AK:$AK,$O83))</f>
        <v/>
      </c>
      <c r="J83" s="17" t="str">
        <f aca="false">IF($O83="","",INDEX('Auto Process'!$AL:$AL,$O83))</f>
        <v/>
      </c>
      <c r="K83" s="17" t="str">
        <f aca="false">IF($O83="","",INDEX('Auto Process'!$AM:$AM,$O83))</f>
        <v/>
      </c>
      <c r="L83" s="17" t="str">
        <f aca="false">IF($O83="","",INDEX('Auto Process'!$AN:$AN,$O83))</f>
        <v/>
      </c>
      <c r="M83" s="17" t="str">
        <f aca="false">IF($O83="","",INDEX('Auto Process'!$AO:$AO,$O83))</f>
        <v/>
      </c>
      <c r="O83" s="19" t="str">
        <f aca="false">IFERROR(_xlfn.AGGREGATE(15,6,ROW('Auto Process'!$D$4:$D$503)/('Auto Process'!$D$4:$D$503="Panel Details"),ROW()-1),"")</f>
        <v/>
      </c>
    </row>
    <row r="84" customFormat="false" ht="13.5" hidden="false" customHeight="true" outlineLevel="0" collapsed="false">
      <c r="A84" s="27" t="str">
        <f aca="false">IF($O84="","",INDEX('Auto Process'!$AC:$AC,$O84))</f>
        <v/>
      </c>
      <c r="B84" s="17" t="str">
        <f aca="false">IF($O84="","",INDEX('Auto Process'!$AD:$AD,$O84))</f>
        <v/>
      </c>
      <c r="C84" s="17" t="str">
        <f aca="false">IF($O84="","",INDEX('Auto Process'!$AE:$AE,$O84))</f>
        <v/>
      </c>
      <c r="D84" s="17" t="str">
        <f aca="false">IF($O84="","",INDEX('Auto Process'!$AF:$AF,$O84))</f>
        <v/>
      </c>
      <c r="E84" s="17" t="str">
        <f aca="false">IF($O84="","",INDEX('Auto Process'!$AG:$AG,$O84))</f>
        <v/>
      </c>
      <c r="F84" s="17" t="str">
        <f aca="false">IF($O84="","",INDEX('Auto Process'!$AH:$AH,$O84))</f>
        <v/>
      </c>
      <c r="G84" s="17" t="str">
        <f aca="false">IF($O84="","",INDEX('Auto Process'!$AI:$AI,$O84))</f>
        <v/>
      </c>
      <c r="H84" s="17" t="str">
        <f aca="false">IF($O84="","",INDEX('Auto Process'!$AJ:$AJ,$O84))</f>
        <v/>
      </c>
      <c r="I84" s="17" t="str">
        <f aca="false">IF($O84="","",INDEX('Auto Process'!$AK:$AK,$O84))</f>
        <v/>
      </c>
      <c r="J84" s="17" t="str">
        <f aca="false">IF($O84="","",INDEX('Auto Process'!$AL:$AL,$O84))</f>
        <v/>
      </c>
      <c r="K84" s="17" t="str">
        <f aca="false">IF($O84="","",INDEX('Auto Process'!$AM:$AM,$O84))</f>
        <v/>
      </c>
      <c r="L84" s="17" t="str">
        <f aca="false">IF($O84="","",INDEX('Auto Process'!$AN:$AN,$O84))</f>
        <v/>
      </c>
      <c r="M84" s="17" t="str">
        <f aca="false">IF($O84="","",INDEX('Auto Process'!$AO:$AO,$O84))</f>
        <v/>
      </c>
      <c r="O84" s="19" t="str">
        <f aca="false">IFERROR(_xlfn.AGGREGATE(15,6,ROW('Auto Process'!$D$4:$D$503)/('Auto Process'!$D$4:$D$503="Panel Details"),ROW()-1),"")</f>
        <v/>
      </c>
    </row>
    <row r="85" customFormat="false" ht="13.5" hidden="false" customHeight="true" outlineLevel="0" collapsed="false">
      <c r="A85" s="27" t="str">
        <f aca="false">IF($O85="","",INDEX('Auto Process'!$AC:$AC,$O85))</f>
        <v/>
      </c>
      <c r="B85" s="17" t="str">
        <f aca="false">IF($O85="","",INDEX('Auto Process'!$AD:$AD,$O85))</f>
        <v/>
      </c>
      <c r="C85" s="17" t="str">
        <f aca="false">IF($O85="","",INDEX('Auto Process'!$AE:$AE,$O85))</f>
        <v/>
      </c>
      <c r="D85" s="17" t="str">
        <f aca="false">IF($O85="","",INDEX('Auto Process'!$AF:$AF,$O85))</f>
        <v/>
      </c>
      <c r="E85" s="17" t="str">
        <f aca="false">IF($O85="","",INDEX('Auto Process'!$AG:$AG,$O85))</f>
        <v/>
      </c>
      <c r="F85" s="17" t="str">
        <f aca="false">IF($O85="","",INDEX('Auto Process'!$AH:$AH,$O85))</f>
        <v/>
      </c>
      <c r="G85" s="17" t="str">
        <f aca="false">IF($O85="","",INDEX('Auto Process'!$AI:$AI,$O85))</f>
        <v/>
      </c>
      <c r="H85" s="17" t="str">
        <f aca="false">IF($O85="","",INDEX('Auto Process'!$AJ:$AJ,$O85))</f>
        <v/>
      </c>
      <c r="I85" s="17" t="str">
        <f aca="false">IF($O85="","",INDEX('Auto Process'!$AK:$AK,$O85))</f>
        <v/>
      </c>
      <c r="J85" s="17" t="str">
        <f aca="false">IF($O85="","",INDEX('Auto Process'!$AL:$AL,$O85))</f>
        <v/>
      </c>
      <c r="K85" s="17" t="str">
        <f aca="false">IF($O85="","",INDEX('Auto Process'!$AM:$AM,$O85))</f>
        <v/>
      </c>
      <c r="L85" s="17" t="str">
        <f aca="false">IF($O85="","",INDEX('Auto Process'!$AN:$AN,$O85))</f>
        <v/>
      </c>
      <c r="M85" s="17" t="str">
        <f aca="false">IF($O85="","",INDEX('Auto Process'!$AO:$AO,$O85))</f>
        <v/>
      </c>
      <c r="O85" s="19" t="str">
        <f aca="false">IFERROR(_xlfn.AGGREGATE(15,6,ROW('Auto Process'!$D$4:$D$503)/('Auto Process'!$D$4:$D$503="Panel Details"),ROW()-1),"")</f>
        <v/>
      </c>
    </row>
    <row r="86" customFormat="false" ht="13.5" hidden="false" customHeight="true" outlineLevel="0" collapsed="false">
      <c r="A86" s="27" t="str">
        <f aca="false">IF($O86="","",INDEX('Auto Process'!$AC:$AC,$O86))</f>
        <v/>
      </c>
      <c r="B86" s="17" t="str">
        <f aca="false">IF($O86="","",INDEX('Auto Process'!$AD:$AD,$O86))</f>
        <v/>
      </c>
      <c r="C86" s="17" t="str">
        <f aca="false">IF($O86="","",INDEX('Auto Process'!$AE:$AE,$O86))</f>
        <v/>
      </c>
      <c r="D86" s="17" t="str">
        <f aca="false">IF($O86="","",INDEX('Auto Process'!$AF:$AF,$O86))</f>
        <v/>
      </c>
      <c r="E86" s="17" t="str">
        <f aca="false">IF($O86="","",INDEX('Auto Process'!$AG:$AG,$O86))</f>
        <v/>
      </c>
      <c r="F86" s="17" t="str">
        <f aca="false">IF($O86="","",INDEX('Auto Process'!$AH:$AH,$O86))</f>
        <v/>
      </c>
      <c r="G86" s="17" t="str">
        <f aca="false">IF($O86="","",INDEX('Auto Process'!$AI:$AI,$O86))</f>
        <v/>
      </c>
      <c r="H86" s="17" t="str">
        <f aca="false">IF($O86="","",INDEX('Auto Process'!$AJ:$AJ,$O86))</f>
        <v/>
      </c>
      <c r="I86" s="17" t="str">
        <f aca="false">IF($O86="","",INDEX('Auto Process'!$AK:$AK,$O86))</f>
        <v/>
      </c>
      <c r="J86" s="17" t="str">
        <f aca="false">IF($O86="","",INDEX('Auto Process'!$AL:$AL,$O86))</f>
        <v/>
      </c>
      <c r="K86" s="17" t="str">
        <f aca="false">IF($O86="","",INDEX('Auto Process'!$AM:$AM,$O86))</f>
        <v/>
      </c>
      <c r="L86" s="17" t="str">
        <f aca="false">IF($O86="","",INDEX('Auto Process'!$AN:$AN,$O86))</f>
        <v/>
      </c>
      <c r="M86" s="17" t="str">
        <f aca="false">IF($O86="","",INDEX('Auto Process'!$AO:$AO,$O86))</f>
        <v/>
      </c>
      <c r="O86" s="19" t="str">
        <f aca="false">IFERROR(_xlfn.AGGREGATE(15,6,ROW('Auto Process'!$D$4:$D$503)/('Auto Process'!$D$4:$D$503="Panel Details"),ROW()-1),"")</f>
        <v/>
      </c>
    </row>
    <row r="87" customFormat="false" ht="13.5" hidden="false" customHeight="true" outlineLevel="0" collapsed="false">
      <c r="A87" s="27" t="str">
        <f aca="false">IF($O87="","",INDEX('Auto Process'!$AC:$AC,$O87))</f>
        <v/>
      </c>
      <c r="B87" s="17" t="str">
        <f aca="false">IF($O87="","",INDEX('Auto Process'!$AD:$AD,$O87))</f>
        <v/>
      </c>
      <c r="C87" s="17" t="str">
        <f aca="false">IF($O87="","",INDEX('Auto Process'!$AE:$AE,$O87))</f>
        <v/>
      </c>
      <c r="D87" s="17" t="str">
        <f aca="false">IF($O87="","",INDEX('Auto Process'!$AF:$AF,$O87))</f>
        <v/>
      </c>
      <c r="E87" s="17" t="str">
        <f aca="false">IF($O87="","",INDEX('Auto Process'!$AG:$AG,$O87))</f>
        <v/>
      </c>
      <c r="F87" s="17" t="str">
        <f aca="false">IF($O87="","",INDEX('Auto Process'!$AH:$AH,$O87))</f>
        <v/>
      </c>
      <c r="G87" s="17" t="str">
        <f aca="false">IF($O87="","",INDEX('Auto Process'!$AI:$AI,$O87))</f>
        <v/>
      </c>
      <c r="H87" s="17" t="str">
        <f aca="false">IF($O87="","",INDEX('Auto Process'!$AJ:$AJ,$O87))</f>
        <v/>
      </c>
      <c r="I87" s="17" t="str">
        <f aca="false">IF($O87="","",INDEX('Auto Process'!$AK:$AK,$O87))</f>
        <v/>
      </c>
      <c r="J87" s="17" t="str">
        <f aca="false">IF($O87="","",INDEX('Auto Process'!$AL:$AL,$O87))</f>
        <v/>
      </c>
      <c r="K87" s="17" t="str">
        <f aca="false">IF($O87="","",INDEX('Auto Process'!$AM:$AM,$O87))</f>
        <v/>
      </c>
      <c r="L87" s="17" t="str">
        <f aca="false">IF($O87="","",INDEX('Auto Process'!$AN:$AN,$O87))</f>
        <v/>
      </c>
      <c r="M87" s="17" t="str">
        <f aca="false">IF($O87="","",INDEX('Auto Process'!$AO:$AO,$O87))</f>
        <v/>
      </c>
      <c r="O87" s="19" t="str">
        <f aca="false">IFERROR(_xlfn.AGGREGATE(15,6,ROW('Auto Process'!$D$4:$D$503)/('Auto Process'!$D$4:$D$503="Panel Details"),ROW()-1),"")</f>
        <v/>
      </c>
    </row>
    <row r="88" customFormat="false" ht="13.5" hidden="false" customHeight="true" outlineLevel="0" collapsed="false">
      <c r="A88" s="27" t="str">
        <f aca="false">IF($O88="","",INDEX('Auto Process'!$AC:$AC,$O88))</f>
        <v/>
      </c>
      <c r="B88" s="17" t="str">
        <f aca="false">IF($O88="","",INDEX('Auto Process'!$AD:$AD,$O88))</f>
        <v/>
      </c>
      <c r="C88" s="17" t="str">
        <f aca="false">IF($O88="","",INDEX('Auto Process'!$AE:$AE,$O88))</f>
        <v/>
      </c>
      <c r="D88" s="17" t="str">
        <f aca="false">IF($O88="","",INDEX('Auto Process'!$AF:$AF,$O88))</f>
        <v/>
      </c>
      <c r="E88" s="17" t="str">
        <f aca="false">IF($O88="","",INDEX('Auto Process'!$AG:$AG,$O88))</f>
        <v/>
      </c>
      <c r="F88" s="17" t="str">
        <f aca="false">IF($O88="","",INDEX('Auto Process'!$AH:$AH,$O88))</f>
        <v/>
      </c>
      <c r="G88" s="17" t="str">
        <f aca="false">IF($O88="","",INDEX('Auto Process'!$AI:$AI,$O88))</f>
        <v/>
      </c>
      <c r="H88" s="17" t="str">
        <f aca="false">IF($O88="","",INDEX('Auto Process'!$AJ:$AJ,$O88))</f>
        <v/>
      </c>
      <c r="I88" s="17" t="str">
        <f aca="false">IF($O88="","",INDEX('Auto Process'!$AK:$AK,$O88))</f>
        <v/>
      </c>
      <c r="J88" s="17" t="str">
        <f aca="false">IF($O88="","",INDEX('Auto Process'!$AL:$AL,$O88))</f>
        <v/>
      </c>
      <c r="K88" s="17" t="str">
        <f aca="false">IF($O88="","",INDEX('Auto Process'!$AM:$AM,$O88))</f>
        <v/>
      </c>
      <c r="L88" s="17" t="str">
        <f aca="false">IF($O88="","",INDEX('Auto Process'!$AN:$AN,$O88))</f>
        <v/>
      </c>
      <c r="M88" s="17" t="str">
        <f aca="false">IF($O88="","",INDEX('Auto Process'!$AO:$AO,$O88))</f>
        <v/>
      </c>
      <c r="O88" s="19" t="str">
        <f aca="false">IFERROR(_xlfn.AGGREGATE(15,6,ROW('Auto Process'!$D$4:$D$503)/('Auto Process'!$D$4:$D$503="Panel Details"),ROW()-1),"")</f>
        <v/>
      </c>
    </row>
    <row r="89" customFormat="false" ht="13.5" hidden="false" customHeight="true" outlineLevel="0" collapsed="false">
      <c r="A89" s="27" t="str">
        <f aca="false">IF($O89="","",INDEX('Auto Process'!$AC:$AC,$O89))</f>
        <v/>
      </c>
      <c r="B89" s="17" t="str">
        <f aca="false">IF($O89="","",INDEX('Auto Process'!$AD:$AD,$O89))</f>
        <v/>
      </c>
      <c r="C89" s="17" t="str">
        <f aca="false">IF($O89="","",INDEX('Auto Process'!$AE:$AE,$O89))</f>
        <v/>
      </c>
      <c r="D89" s="17" t="str">
        <f aca="false">IF($O89="","",INDEX('Auto Process'!$AF:$AF,$O89))</f>
        <v/>
      </c>
      <c r="E89" s="17" t="str">
        <f aca="false">IF($O89="","",INDEX('Auto Process'!$AG:$AG,$O89))</f>
        <v/>
      </c>
      <c r="F89" s="17" t="str">
        <f aca="false">IF($O89="","",INDEX('Auto Process'!$AH:$AH,$O89))</f>
        <v/>
      </c>
      <c r="G89" s="17" t="str">
        <f aca="false">IF($O89="","",INDEX('Auto Process'!$AI:$AI,$O89))</f>
        <v/>
      </c>
      <c r="H89" s="17" t="str">
        <f aca="false">IF($O89="","",INDEX('Auto Process'!$AJ:$AJ,$O89))</f>
        <v/>
      </c>
      <c r="I89" s="17" t="str">
        <f aca="false">IF($O89="","",INDEX('Auto Process'!$AK:$AK,$O89))</f>
        <v/>
      </c>
      <c r="J89" s="17" t="str">
        <f aca="false">IF($O89="","",INDEX('Auto Process'!$AL:$AL,$O89))</f>
        <v/>
      </c>
      <c r="K89" s="17" t="str">
        <f aca="false">IF($O89="","",INDEX('Auto Process'!$AM:$AM,$O89))</f>
        <v/>
      </c>
      <c r="L89" s="17" t="str">
        <f aca="false">IF($O89="","",INDEX('Auto Process'!$AN:$AN,$O89))</f>
        <v/>
      </c>
      <c r="M89" s="17" t="str">
        <f aca="false">IF($O89="","",INDEX('Auto Process'!$AO:$AO,$O89))</f>
        <v/>
      </c>
      <c r="O89" s="19" t="str">
        <f aca="false">IFERROR(_xlfn.AGGREGATE(15,6,ROW('Auto Process'!$D$4:$D$503)/('Auto Process'!$D$4:$D$503="Panel Details"),ROW()-1),"")</f>
        <v/>
      </c>
    </row>
    <row r="90" customFormat="false" ht="13.5" hidden="false" customHeight="true" outlineLevel="0" collapsed="false">
      <c r="A90" s="27" t="str">
        <f aca="false">IF($O90="","",INDEX('Auto Process'!$AC:$AC,$O90))</f>
        <v/>
      </c>
      <c r="B90" s="17" t="str">
        <f aca="false">IF($O90="","",INDEX('Auto Process'!$AD:$AD,$O90))</f>
        <v/>
      </c>
      <c r="C90" s="17" t="str">
        <f aca="false">IF($O90="","",INDEX('Auto Process'!$AE:$AE,$O90))</f>
        <v/>
      </c>
      <c r="D90" s="17" t="str">
        <f aca="false">IF($O90="","",INDEX('Auto Process'!$AF:$AF,$O90))</f>
        <v/>
      </c>
      <c r="E90" s="17" t="str">
        <f aca="false">IF($O90="","",INDEX('Auto Process'!$AG:$AG,$O90))</f>
        <v/>
      </c>
      <c r="F90" s="17" t="str">
        <f aca="false">IF($O90="","",INDEX('Auto Process'!$AH:$AH,$O90))</f>
        <v/>
      </c>
      <c r="G90" s="17" t="str">
        <f aca="false">IF($O90="","",INDEX('Auto Process'!$AI:$AI,$O90))</f>
        <v/>
      </c>
      <c r="H90" s="17" t="str">
        <f aca="false">IF($O90="","",INDEX('Auto Process'!$AJ:$AJ,$O90))</f>
        <v/>
      </c>
      <c r="I90" s="17" t="str">
        <f aca="false">IF($O90="","",INDEX('Auto Process'!$AK:$AK,$O90))</f>
        <v/>
      </c>
      <c r="J90" s="17" t="str">
        <f aca="false">IF($O90="","",INDEX('Auto Process'!$AL:$AL,$O90))</f>
        <v/>
      </c>
      <c r="K90" s="17" t="str">
        <f aca="false">IF($O90="","",INDEX('Auto Process'!$AM:$AM,$O90))</f>
        <v/>
      </c>
      <c r="L90" s="17" t="str">
        <f aca="false">IF($O90="","",INDEX('Auto Process'!$AN:$AN,$O90))</f>
        <v/>
      </c>
      <c r="M90" s="17" t="str">
        <f aca="false">IF($O90="","",INDEX('Auto Process'!$AO:$AO,$O90))</f>
        <v/>
      </c>
      <c r="O90" s="19" t="str">
        <f aca="false">IFERROR(_xlfn.AGGREGATE(15,6,ROW('Auto Process'!$D$4:$D$503)/('Auto Process'!$D$4:$D$503="Panel Details"),ROW()-1),"")</f>
        <v/>
      </c>
    </row>
    <row r="91" customFormat="false" ht="13.5" hidden="false" customHeight="true" outlineLevel="0" collapsed="false">
      <c r="A91" s="27" t="str">
        <f aca="false">IF($O91="","",INDEX('Auto Process'!$AC:$AC,$O91))</f>
        <v/>
      </c>
      <c r="B91" s="17" t="str">
        <f aca="false">IF($O91="","",INDEX('Auto Process'!$AD:$AD,$O91))</f>
        <v/>
      </c>
      <c r="C91" s="17" t="str">
        <f aca="false">IF($O91="","",INDEX('Auto Process'!$AE:$AE,$O91))</f>
        <v/>
      </c>
      <c r="D91" s="17" t="str">
        <f aca="false">IF($O91="","",INDEX('Auto Process'!$AF:$AF,$O91))</f>
        <v/>
      </c>
      <c r="E91" s="17" t="str">
        <f aca="false">IF($O91="","",INDEX('Auto Process'!$AG:$AG,$O91))</f>
        <v/>
      </c>
      <c r="F91" s="17" t="str">
        <f aca="false">IF($O91="","",INDEX('Auto Process'!$AH:$AH,$O91))</f>
        <v/>
      </c>
      <c r="G91" s="17" t="str">
        <f aca="false">IF($O91="","",INDEX('Auto Process'!$AI:$AI,$O91))</f>
        <v/>
      </c>
      <c r="H91" s="17" t="str">
        <f aca="false">IF($O91="","",INDEX('Auto Process'!$AJ:$AJ,$O91))</f>
        <v/>
      </c>
      <c r="I91" s="17" t="str">
        <f aca="false">IF($O91="","",INDEX('Auto Process'!$AK:$AK,$O91))</f>
        <v/>
      </c>
      <c r="J91" s="17" t="str">
        <f aca="false">IF($O91="","",INDEX('Auto Process'!$AL:$AL,$O91))</f>
        <v/>
      </c>
      <c r="K91" s="17" t="str">
        <f aca="false">IF($O91="","",INDEX('Auto Process'!$AM:$AM,$O91))</f>
        <v/>
      </c>
      <c r="L91" s="17" t="str">
        <f aca="false">IF($O91="","",INDEX('Auto Process'!$AN:$AN,$O91))</f>
        <v/>
      </c>
      <c r="M91" s="17" t="str">
        <f aca="false">IF($O91="","",INDEX('Auto Process'!$AO:$AO,$O91))</f>
        <v/>
      </c>
      <c r="O91" s="19" t="str">
        <f aca="false">IFERROR(_xlfn.AGGREGATE(15,6,ROW('Auto Process'!$D$4:$D$503)/('Auto Process'!$D$4:$D$503="Panel Details"),ROW()-1),"")</f>
        <v/>
      </c>
    </row>
    <row r="92" customFormat="false" ht="13.5" hidden="false" customHeight="true" outlineLevel="0" collapsed="false">
      <c r="A92" s="27" t="str">
        <f aca="false">IF($O92="","",INDEX('Auto Process'!$AC:$AC,$O92))</f>
        <v/>
      </c>
      <c r="B92" s="17" t="str">
        <f aca="false">IF($O92="","",INDEX('Auto Process'!$AD:$AD,$O92))</f>
        <v/>
      </c>
      <c r="C92" s="17" t="str">
        <f aca="false">IF($O92="","",INDEX('Auto Process'!$AE:$AE,$O92))</f>
        <v/>
      </c>
      <c r="D92" s="17" t="str">
        <f aca="false">IF($O92="","",INDEX('Auto Process'!$AF:$AF,$O92))</f>
        <v/>
      </c>
      <c r="E92" s="17" t="str">
        <f aca="false">IF($O92="","",INDEX('Auto Process'!$AG:$AG,$O92))</f>
        <v/>
      </c>
      <c r="F92" s="17" t="str">
        <f aca="false">IF($O92="","",INDEX('Auto Process'!$AH:$AH,$O92))</f>
        <v/>
      </c>
      <c r="G92" s="17" t="str">
        <f aca="false">IF($O92="","",INDEX('Auto Process'!$AI:$AI,$O92))</f>
        <v/>
      </c>
      <c r="H92" s="17" t="str">
        <f aca="false">IF($O92="","",INDEX('Auto Process'!$AJ:$AJ,$O92))</f>
        <v/>
      </c>
      <c r="I92" s="17" t="str">
        <f aca="false">IF($O92="","",INDEX('Auto Process'!$AK:$AK,$O92))</f>
        <v/>
      </c>
      <c r="J92" s="17" t="str">
        <f aca="false">IF($O92="","",INDEX('Auto Process'!$AL:$AL,$O92))</f>
        <v/>
      </c>
      <c r="K92" s="17" t="str">
        <f aca="false">IF($O92="","",INDEX('Auto Process'!$AM:$AM,$O92))</f>
        <v/>
      </c>
      <c r="L92" s="17" t="str">
        <f aca="false">IF($O92="","",INDEX('Auto Process'!$AN:$AN,$O92))</f>
        <v/>
      </c>
      <c r="M92" s="17" t="str">
        <f aca="false">IF($O92="","",INDEX('Auto Process'!$AO:$AO,$O92))</f>
        <v/>
      </c>
      <c r="O92" s="19" t="str">
        <f aca="false">IFERROR(_xlfn.AGGREGATE(15,6,ROW('Auto Process'!$D$4:$D$503)/('Auto Process'!$D$4:$D$503="Panel Details"),ROW()-1),"")</f>
        <v/>
      </c>
    </row>
    <row r="93" customFormat="false" ht="13.5" hidden="false" customHeight="true" outlineLevel="0" collapsed="false">
      <c r="A93" s="27" t="str">
        <f aca="false">IF($O93="","",INDEX('Auto Process'!$AC:$AC,$O93))</f>
        <v/>
      </c>
      <c r="B93" s="17" t="str">
        <f aca="false">IF($O93="","",INDEX('Auto Process'!$AD:$AD,$O93))</f>
        <v/>
      </c>
      <c r="C93" s="17" t="str">
        <f aca="false">IF($O93="","",INDEX('Auto Process'!$AE:$AE,$O93))</f>
        <v/>
      </c>
      <c r="D93" s="17" t="str">
        <f aca="false">IF($O93="","",INDEX('Auto Process'!$AF:$AF,$O93))</f>
        <v/>
      </c>
      <c r="E93" s="17" t="str">
        <f aca="false">IF($O93="","",INDEX('Auto Process'!$AG:$AG,$O93))</f>
        <v/>
      </c>
      <c r="F93" s="17" t="str">
        <f aca="false">IF($O93="","",INDEX('Auto Process'!$AH:$AH,$O93))</f>
        <v/>
      </c>
      <c r="G93" s="17" t="str">
        <f aca="false">IF($O93="","",INDEX('Auto Process'!$AI:$AI,$O93))</f>
        <v/>
      </c>
      <c r="H93" s="17" t="str">
        <f aca="false">IF($O93="","",INDEX('Auto Process'!$AJ:$AJ,$O93))</f>
        <v/>
      </c>
      <c r="I93" s="17" t="str">
        <f aca="false">IF($O93="","",INDEX('Auto Process'!$AK:$AK,$O93))</f>
        <v/>
      </c>
      <c r="J93" s="17" t="str">
        <f aca="false">IF($O93="","",INDEX('Auto Process'!$AL:$AL,$O93))</f>
        <v/>
      </c>
      <c r="K93" s="17" t="str">
        <f aca="false">IF($O93="","",INDEX('Auto Process'!$AM:$AM,$O93))</f>
        <v/>
      </c>
      <c r="L93" s="17" t="str">
        <f aca="false">IF($O93="","",INDEX('Auto Process'!$AN:$AN,$O93))</f>
        <v/>
      </c>
      <c r="M93" s="17" t="str">
        <f aca="false">IF($O93="","",INDEX('Auto Process'!$AO:$AO,$O93))</f>
        <v/>
      </c>
      <c r="O93" s="19" t="str">
        <f aca="false">IFERROR(_xlfn.AGGREGATE(15,6,ROW('Auto Process'!$D$4:$D$503)/('Auto Process'!$D$4:$D$503="Panel Details"),ROW()-1),"")</f>
        <v/>
      </c>
    </row>
    <row r="94" customFormat="false" ht="13.5" hidden="false" customHeight="true" outlineLevel="0" collapsed="false">
      <c r="A94" s="27" t="str">
        <f aca="false">IF($O94="","",INDEX('Auto Process'!$AC:$AC,$O94))</f>
        <v/>
      </c>
      <c r="B94" s="17" t="str">
        <f aca="false">IF($O94="","",INDEX('Auto Process'!$AD:$AD,$O94))</f>
        <v/>
      </c>
      <c r="C94" s="17" t="str">
        <f aca="false">IF($O94="","",INDEX('Auto Process'!$AE:$AE,$O94))</f>
        <v/>
      </c>
      <c r="D94" s="17" t="str">
        <f aca="false">IF($O94="","",INDEX('Auto Process'!$AF:$AF,$O94))</f>
        <v/>
      </c>
      <c r="E94" s="17" t="str">
        <f aca="false">IF($O94="","",INDEX('Auto Process'!$AG:$AG,$O94))</f>
        <v/>
      </c>
      <c r="F94" s="17" t="str">
        <f aca="false">IF($O94="","",INDEX('Auto Process'!$AH:$AH,$O94))</f>
        <v/>
      </c>
      <c r="G94" s="17" t="str">
        <f aca="false">IF($O94="","",INDEX('Auto Process'!$AI:$AI,$O94))</f>
        <v/>
      </c>
      <c r="H94" s="17" t="str">
        <f aca="false">IF($O94="","",INDEX('Auto Process'!$AJ:$AJ,$O94))</f>
        <v/>
      </c>
      <c r="I94" s="17" t="str">
        <f aca="false">IF($O94="","",INDEX('Auto Process'!$AK:$AK,$O94))</f>
        <v/>
      </c>
      <c r="J94" s="17" t="str">
        <f aca="false">IF($O94="","",INDEX('Auto Process'!$AL:$AL,$O94))</f>
        <v/>
      </c>
      <c r="K94" s="17" t="str">
        <f aca="false">IF($O94="","",INDEX('Auto Process'!$AM:$AM,$O94))</f>
        <v/>
      </c>
      <c r="L94" s="17" t="str">
        <f aca="false">IF($O94="","",INDEX('Auto Process'!$AN:$AN,$O94))</f>
        <v/>
      </c>
      <c r="M94" s="17" t="str">
        <f aca="false">IF($O94="","",INDEX('Auto Process'!$AO:$AO,$O94))</f>
        <v/>
      </c>
      <c r="O94" s="19" t="str">
        <f aca="false">IFERROR(_xlfn.AGGREGATE(15,6,ROW('Auto Process'!$D$4:$D$503)/('Auto Process'!$D$4:$D$503="Panel Details"),ROW()-1),"")</f>
        <v/>
      </c>
    </row>
    <row r="95" customFormat="false" ht="13.5" hidden="false" customHeight="true" outlineLevel="0" collapsed="false">
      <c r="A95" s="27" t="str">
        <f aca="false">IF($O95="","",INDEX('Auto Process'!$AC:$AC,$O95))</f>
        <v/>
      </c>
      <c r="B95" s="17" t="str">
        <f aca="false">IF($O95="","",INDEX('Auto Process'!$AD:$AD,$O95))</f>
        <v/>
      </c>
      <c r="C95" s="17" t="str">
        <f aca="false">IF($O95="","",INDEX('Auto Process'!$AE:$AE,$O95))</f>
        <v/>
      </c>
      <c r="D95" s="17" t="str">
        <f aca="false">IF($O95="","",INDEX('Auto Process'!$AF:$AF,$O95))</f>
        <v/>
      </c>
      <c r="E95" s="17" t="str">
        <f aca="false">IF($O95="","",INDEX('Auto Process'!$AG:$AG,$O95))</f>
        <v/>
      </c>
      <c r="F95" s="17" t="str">
        <f aca="false">IF($O95="","",INDEX('Auto Process'!$AH:$AH,$O95))</f>
        <v/>
      </c>
      <c r="G95" s="17" t="str">
        <f aca="false">IF($O95="","",INDEX('Auto Process'!$AI:$AI,$O95))</f>
        <v/>
      </c>
      <c r="H95" s="17" t="str">
        <f aca="false">IF($O95="","",INDEX('Auto Process'!$AJ:$AJ,$O95))</f>
        <v/>
      </c>
      <c r="I95" s="17" t="str">
        <f aca="false">IF($O95="","",INDEX('Auto Process'!$AK:$AK,$O95))</f>
        <v/>
      </c>
      <c r="J95" s="17" t="str">
        <f aca="false">IF($O95="","",INDEX('Auto Process'!$AL:$AL,$O95))</f>
        <v/>
      </c>
      <c r="K95" s="17" t="str">
        <f aca="false">IF($O95="","",INDEX('Auto Process'!$AM:$AM,$O95))</f>
        <v/>
      </c>
      <c r="L95" s="17" t="str">
        <f aca="false">IF($O95="","",INDEX('Auto Process'!$AN:$AN,$O95))</f>
        <v/>
      </c>
      <c r="M95" s="17" t="str">
        <f aca="false">IF($O95="","",INDEX('Auto Process'!$AO:$AO,$O95))</f>
        <v/>
      </c>
      <c r="O95" s="19" t="str">
        <f aca="false">IFERROR(_xlfn.AGGREGATE(15,6,ROW('Auto Process'!$D$4:$D$503)/('Auto Process'!$D$4:$D$503="Panel Details"),ROW()-1),"")</f>
        <v/>
      </c>
    </row>
    <row r="96" customFormat="false" ht="13.5" hidden="false" customHeight="true" outlineLevel="0" collapsed="false">
      <c r="A96" s="27" t="str">
        <f aca="false">IF($O96="","",INDEX('Auto Process'!$AC:$AC,$O96))</f>
        <v/>
      </c>
      <c r="B96" s="17" t="str">
        <f aca="false">IF($O96="","",INDEX('Auto Process'!$AD:$AD,$O96))</f>
        <v/>
      </c>
      <c r="C96" s="17" t="str">
        <f aca="false">IF($O96="","",INDEX('Auto Process'!$AE:$AE,$O96))</f>
        <v/>
      </c>
      <c r="D96" s="17" t="str">
        <f aca="false">IF($O96="","",INDEX('Auto Process'!$AF:$AF,$O96))</f>
        <v/>
      </c>
      <c r="E96" s="17" t="str">
        <f aca="false">IF($O96="","",INDEX('Auto Process'!$AG:$AG,$O96))</f>
        <v/>
      </c>
      <c r="F96" s="17" t="str">
        <f aca="false">IF($O96="","",INDEX('Auto Process'!$AH:$AH,$O96))</f>
        <v/>
      </c>
      <c r="G96" s="17" t="str">
        <f aca="false">IF($O96="","",INDEX('Auto Process'!$AI:$AI,$O96))</f>
        <v/>
      </c>
      <c r="H96" s="17" t="str">
        <f aca="false">IF($O96="","",INDEX('Auto Process'!$AJ:$AJ,$O96))</f>
        <v/>
      </c>
      <c r="I96" s="17" t="str">
        <f aca="false">IF($O96="","",INDEX('Auto Process'!$AK:$AK,$O96))</f>
        <v/>
      </c>
      <c r="J96" s="17" t="str">
        <f aca="false">IF($O96="","",INDEX('Auto Process'!$AL:$AL,$O96))</f>
        <v/>
      </c>
      <c r="K96" s="17" t="str">
        <f aca="false">IF($O96="","",INDEX('Auto Process'!$AM:$AM,$O96))</f>
        <v/>
      </c>
      <c r="L96" s="17" t="str">
        <f aca="false">IF($O96="","",INDEX('Auto Process'!$AN:$AN,$O96))</f>
        <v/>
      </c>
      <c r="M96" s="17" t="str">
        <f aca="false">IF($O96="","",INDEX('Auto Process'!$AO:$AO,$O96))</f>
        <v/>
      </c>
      <c r="O96" s="19" t="str">
        <f aca="false">IFERROR(_xlfn.AGGREGATE(15,6,ROW('Auto Process'!$D$4:$D$503)/('Auto Process'!$D$4:$D$503="Panel Details"),ROW()-1),"")</f>
        <v/>
      </c>
    </row>
    <row r="97" customFormat="false" ht="13.5" hidden="false" customHeight="true" outlineLevel="0" collapsed="false">
      <c r="A97" s="27" t="str">
        <f aca="false">IF($O97="","",INDEX('Auto Process'!$AC:$AC,$O97))</f>
        <v/>
      </c>
      <c r="B97" s="17" t="str">
        <f aca="false">IF($O97="","",INDEX('Auto Process'!$AD:$AD,$O97))</f>
        <v/>
      </c>
      <c r="C97" s="17" t="str">
        <f aca="false">IF($O97="","",INDEX('Auto Process'!$AE:$AE,$O97))</f>
        <v/>
      </c>
      <c r="D97" s="17" t="str">
        <f aca="false">IF($O97="","",INDEX('Auto Process'!$AF:$AF,$O97))</f>
        <v/>
      </c>
      <c r="E97" s="17" t="str">
        <f aca="false">IF($O97="","",INDEX('Auto Process'!$AG:$AG,$O97))</f>
        <v/>
      </c>
      <c r="F97" s="17" t="str">
        <f aca="false">IF($O97="","",INDEX('Auto Process'!$AH:$AH,$O97))</f>
        <v/>
      </c>
      <c r="G97" s="17" t="str">
        <f aca="false">IF($O97="","",INDEX('Auto Process'!$AI:$AI,$O97))</f>
        <v/>
      </c>
      <c r="H97" s="17" t="str">
        <f aca="false">IF($O97="","",INDEX('Auto Process'!$AJ:$AJ,$O97))</f>
        <v/>
      </c>
      <c r="I97" s="17" t="str">
        <f aca="false">IF($O97="","",INDEX('Auto Process'!$AK:$AK,$O97))</f>
        <v/>
      </c>
      <c r="J97" s="17" t="str">
        <f aca="false">IF($O97="","",INDEX('Auto Process'!$AL:$AL,$O97))</f>
        <v/>
      </c>
      <c r="K97" s="17" t="str">
        <f aca="false">IF($O97="","",INDEX('Auto Process'!$AM:$AM,$O97))</f>
        <v/>
      </c>
      <c r="L97" s="17" t="str">
        <f aca="false">IF($O97="","",INDEX('Auto Process'!$AN:$AN,$O97))</f>
        <v/>
      </c>
      <c r="M97" s="17" t="str">
        <f aca="false">IF($O97="","",INDEX('Auto Process'!$AO:$AO,$O97))</f>
        <v/>
      </c>
      <c r="O97" s="19" t="str">
        <f aca="false">IFERROR(_xlfn.AGGREGATE(15,6,ROW('Auto Process'!$D$4:$D$503)/('Auto Process'!$D$4:$D$503="Panel Details"),ROW()-1),"")</f>
        <v/>
      </c>
    </row>
    <row r="98" customFormat="false" ht="13.5" hidden="false" customHeight="true" outlineLevel="0" collapsed="false">
      <c r="A98" s="27" t="str">
        <f aca="false">IF($O98="","",INDEX('Auto Process'!$AC:$AC,$O98))</f>
        <v/>
      </c>
      <c r="B98" s="17" t="str">
        <f aca="false">IF($O98="","",INDEX('Auto Process'!$AD:$AD,$O98))</f>
        <v/>
      </c>
      <c r="C98" s="17" t="str">
        <f aca="false">IF($O98="","",INDEX('Auto Process'!$AE:$AE,$O98))</f>
        <v/>
      </c>
      <c r="D98" s="17" t="str">
        <f aca="false">IF($O98="","",INDEX('Auto Process'!$AF:$AF,$O98))</f>
        <v/>
      </c>
      <c r="E98" s="17" t="str">
        <f aca="false">IF($O98="","",INDEX('Auto Process'!$AG:$AG,$O98))</f>
        <v/>
      </c>
      <c r="F98" s="17" t="str">
        <f aca="false">IF($O98="","",INDEX('Auto Process'!$AH:$AH,$O98))</f>
        <v/>
      </c>
      <c r="G98" s="17" t="str">
        <f aca="false">IF($O98="","",INDEX('Auto Process'!$AI:$AI,$O98))</f>
        <v/>
      </c>
      <c r="H98" s="17" t="str">
        <f aca="false">IF($O98="","",INDEX('Auto Process'!$AJ:$AJ,$O98))</f>
        <v/>
      </c>
      <c r="I98" s="17" t="str">
        <f aca="false">IF($O98="","",INDEX('Auto Process'!$AK:$AK,$O98))</f>
        <v/>
      </c>
      <c r="J98" s="17" t="str">
        <f aca="false">IF($O98="","",INDEX('Auto Process'!$AL:$AL,$O98))</f>
        <v/>
      </c>
      <c r="K98" s="17" t="str">
        <f aca="false">IF($O98="","",INDEX('Auto Process'!$AM:$AM,$O98))</f>
        <v/>
      </c>
      <c r="L98" s="17" t="str">
        <f aca="false">IF($O98="","",INDEX('Auto Process'!$AN:$AN,$O98))</f>
        <v/>
      </c>
      <c r="M98" s="17" t="str">
        <f aca="false">IF($O98="","",INDEX('Auto Process'!$AO:$AO,$O98))</f>
        <v/>
      </c>
      <c r="O98" s="19" t="str">
        <f aca="false">IFERROR(_xlfn.AGGREGATE(15,6,ROW('Auto Process'!$D$4:$D$503)/('Auto Process'!$D$4:$D$503="Panel Details"),ROW()-1),"")</f>
        <v/>
      </c>
    </row>
    <row r="99" customFormat="false" ht="13.5" hidden="false" customHeight="true" outlineLevel="0" collapsed="false">
      <c r="A99" s="27" t="str">
        <f aca="false">IF($O99="","",INDEX('Auto Process'!$AC:$AC,$O99))</f>
        <v/>
      </c>
      <c r="B99" s="17" t="str">
        <f aca="false">IF($O99="","",INDEX('Auto Process'!$AD:$AD,$O99))</f>
        <v/>
      </c>
      <c r="C99" s="17" t="str">
        <f aca="false">IF($O99="","",INDEX('Auto Process'!$AE:$AE,$O99))</f>
        <v/>
      </c>
      <c r="D99" s="17" t="str">
        <f aca="false">IF($O99="","",INDEX('Auto Process'!$AF:$AF,$O99))</f>
        <v/>
      </c>
      <c r="E99" s="17" t="str">
        <f aca="false">IF($O99="","",INDEX('Auto Process'!$AG:$AG,$O99))</f>
        <v/>
      </c>
      <c r="F99" s="17" t="str">
        <f aca="false">IF($O99="","",INDEX('Auto Process'!$AH:$AH,$O99))</f>
        <v/>
      </c>
      <c r="G99" s="17" t="str">
        <f aca="false">IF($O99="","",INDEX('Auto Process'!$AI:$AI,$O99))</f>
        <v/>
      </c>
      <c r="H99" s="17" t="str">
        <f aca="false">IF($O99="","",INDEX('Auto Process'!$AJ:$AJ,$O99))</f>
        <v/>
      </c>
      <c r="I99" s="17" t="str">
        <f aca="false">IF($O99="","",INDEX('Auto Process'!$AK:$AK,$O99))</f>
        <v/>
      </c>
      <c r="J99" s="17" t="str">
        <f aca="false">IF($O99="","",INDEX('Auto Process'!$AL:$AL,$O99))</f>
        <v/>
      </c>
      <c r="K99" s="17" t="str">
        <f aca="false">IF($O99="","",INDEX('Auto Process'!$AM:$AM,$O99))</f>
        <v/>
      </c>
      <c r="L99" s="17" t="str">
        <f aca="false">IF($O99="","",INDEX('Auto Process'!$AN:$AN,$O99))</f>
        <v/>
      </c>
      <c r="M99" s="17" t="str">
        <f aca="false">IF($O99="","",INDEX('Auto Process'!$AO:$AO,$O99))</f>
        <v/>
      </c>
      <c r="O99" s="19" t="str">
        <f aca="false">IFERROR(_xlfn.AGGREGATE(15,6,ROW('Auto Process'!$D$4:$D$503)/('Auto Process'!$D$4:$D$503="Panel Details"),ROW()-1),"")</f>
        <v/>
      </c>
    </row>
    <row r="100" customFormat="false" ht="13.5" hidden="false" customHeight="true" outlineLevel="0" collapsed="false">
      <c r="A100" s="27" t="str">
        <f aca="false">IF($O100="","",INDEX('Auto Process'!$AC:$AC,$O100))</f>
        <v/>
      </c>
      <c r="B100" s="17" t="str">
        <f aca="false">IF($O100="","",INDEX('Auto Process'!$AD:$AD,$O100))</f>
        <v/>
      </c>
      <c r="C100" s="17" t="str">
        <f aca="false">IF($O100="","",INDEX('Auto Process'!$AE:$AE,$O100))</f>
        <v/>
      </c>
      <c r="D100" s="17" t="str">
        <f aca="false">IF($O100="","",INDEX('Auto Process'!$AF:$AF,$O100))</f>
        <v/>
      </c>
      <c r="E100" s="17" t="str">
        <f aca="false">IF($O100="","",INDEX('Auto Process'!$AG:$AG,$O100))</f>
        <v/>
      </c>
      <c r="F100" s="17" t="str">
        <f aca="false">IF($O100="","",INDEX('Auto Process'!$AH:$AH,$O100))</f>
        <v/>
      </c>
      <c r="G100" s="17" t="str">
        <f aca="false">IF($O100="","",INDEX('Auto Process'!$AI:$AI,$O100))</f>
        <v/>
      </c>
      <c r="H100" s="17" t="str">
        <f aca="false">IF($O100="","",INDEX('Auto Process'!$AJ:$AJ,$O100))</f>
        <v/>
      </c>
      <c r="I100" s="17" t="str">
        <f aca="false">IF($O100="","",INDEX('Auto Process'!$AK:$AK,$O100))</f>
        <v/>
      </c>
      <c r="J100" s="17" t="str">
        <f aca="false">IF($O100="","",INDEX('Auto Process'!$AL:$AL,$O100))</f>
        <v/>
      </c>
      <c r="K100" s="17" t="str">
        <f aca="false">IF($O100="","",INDEX('Auto Process'!$AM:$AM,$O100))</f>
        <v/>
      </c>
      <c r="L100" s="17" t="str">
        <f aca="false">IF($O100="","",INDEX('Auto Process'!$AN:$AN,$O100))</f>
        <v/>
      </c>
      <c r="M100" s="17" t="str">
        <f aca="false">IF($O100="","",INDEX('Auto Process'!$AO:$AO,$O100))</f>
        <v/>
      </c>
      <c r="O100" s="19" t="str">
        <f aca="false">IFERROR(_xlfn.AGGREGATE(15,6,ROW('Auto Process'!$D$4:$D$503)/('Auto Process'!$D$4:$D$503="Panel Details"),ROW()-1),"")</f>
        <v/>
      </c>
    </row>
    <row r="101" customFormat="false" ht="13.5" hidden="false" customHeight="true" outlineLevel="0" collapsed="false">
      <c r="A101" s="27" t="str">
        <f aca="false">IF($O101="","",INDEX('Auto Process'!$AC:$AC,$O101))</f>
        <v/>
      </c>
      <c r="B101" s="17" t="str">
        <f aca="false">IF($O101="","",INDEX('Auto Process'!$AD:$AD,$O101))</f>
        <v/>
      </c>
      <c r="C101" s="17" t="str">
        <f aca="false">IF($O101="","",INDEX('Auto Process'!$AE:$AE,$O101))</f>
        <v/>
      </c>
      <c r="D101" s="17" t="str">
        <f aca="false">IF($O101="","",INDEX('Auto Process'!$AF:$AF,$O101))</f>
        <v/>
      </c>
      <c r="E101" s="17" t="str">
        <f aca="false">IF($O101="","",INDEX('Auto Process'!$AG:$AG,$O101))</f>
        <v/>
      </c>
      <c r="F101" s="17" t="str">
        <f aca="false">IF($O101="","",INDEX('Auto Process'!$AH:$AH,$O101))</f>
        <v/>
      </c>
      <c r="G101" s="17" t="str">
        <f aca="false">IF($O101="","",INDEX('Auto Process'!$AI:$AI,$O101))</f>
        <v/>
      </c>
      <c r="H101" s="17" t="str">
        <f aca="false">IF($O101="","",INDEX('Auto Process'!$AJ:$AJ,$O101))</f>
        <v/>
      </c>
      <c r="I101" s="17" t="str">
        <f aca="false">IF($O101="","",INDEX('Auto Process'!$AK:$AK,$O101))</f>
        <v/>
      </c>
      <c r="J101" s="17" t="str">
        <f aca="false">IF($O101="","",INDEX('Auto Process'!$AL:$AL,$O101))</f>
        <v/>
      </c>
      <c r="K101" s="17" t="str">
        <f aca="false">IF($O101="","",INDEX('Auto Process'!$AM:$AM,$O101))</f>
        <v/>
      </c>
      <c r="L101" s="17" t="str">
        <f aca="false">IF($O101="","",INDEX('Auto Process'!$AN:$AN,$O101))</f>
        <v/>
      </c>
      <c r="M101" s="17" t="str">
        <f aca="false">IF($O101="","",INDEX('Auto Process'!$AO:$AO,$O101))</f>
        <v/>
      </c>
      <c r="O101" s="19" t="str">
        <f aca="false">IFERROR(_xlfn.AGGREGATE(15,6,ROW('Auto Process'!$D$4:$D$503)/('Auto Process'!$D$4:$D$503="Panel Details"),ROW()-1),"")</f>
        <v/>
      </c>
    </row>
    <row r="102" customFormat="false" ht="13.5" hidden="false" customHeight="true" outlineLevel="0" collapsed="false">
      <c r="A102" s="27" t="str">
        <f aca="false">IF($O102="","",INDEX('Auto Process'!$AC:$AC,$O102))</f>
        <v/>
      </c>
      <c r="B102" s="17" t="str">
        <f aca="false">IF($O102="","",INDEX('Auto Process'!$AD:$AD,$O102))</f>
        <v/>
      </c>
      <c r="C102" s="17" t="str">
        <f aca="false">IF($O102="","",INDEX('Auto Process'!$AE:$AE,$O102))</f>
        <v/>
      </c>
      <c r="D102" s="17" t="str">
        <f aca="false">IF($O102="","",INDEX('Auto Process'!$AF:$AF,$O102))</f>
        <v/>
      </c>
      <c r="E102" s="17" t="str">
        <f aca="false">IF($O102="","",INDEX('Auto Process'!$AG:$AG,$O102))</f>
        <v/>
      </c>
      <c r="F102" s="17" t="str">
        <f aca="false">IF($O102="","",INDEX('Auto Process'!$AH:$AH,$O102))</f>
        <v/>
      </c>
      <c r="G102" s="17" t="str">
        <f aca="false">IF($O102="","",INDEX('Auto Process'!$AI:$AI,$O102))</f>
        <v/>
      </c>
      <c r="H102" s="17" t="str">
        <f aca="false">IF($O102="","",INDEX('Auto Process'!$AJ:$AJ,$O102))</f>
        <v/>
      </c>
      <c r="I102" s="17" t="str">
        <f aca="false">IF($O102="","",INDEX('Auto Process'!$AK:$AK,$O102))</f>
        <v/>
      </c>
      <c r="J102" s="17" t="str">
        <f aca="false">IF($O102="","",INDEX('Auto Process'!$AL:$AL,$O102))</f>
        <v/>
      </c>
      <c r="K102" s="17" t="str">
        <f aca="false">IF($O102="","",INDEX('Auto Process'!$AM:$AM,$O102))</f>
        <v/>
      </c>
      <c r="L102" s="17" t="str">
        <f aca="false">IF($O102="","",INDEX('Auto Process'!$AN:$AN,$O102))</f>
        <v/>
      </c>
      <c r="M102" s="17" t="str">
        <f aca="false">IF($O102="","",INDEX('Auto Process'!$AO:$AO,$O102))</f>
        <v/>
      </c>
      <c r="O102" s="19" t="str">
        <f aca="false">IFERROR(_xlfn.AGGREGATE(15,6,ROW('Auto Process'!$D$4:$D$503)/('Auto Process'!$D$4:$D$503="Panel Details"),ROW()-1),"")</f>
        <v/>
      </c>
    </row>
    <row r="103" customFormat="false" ht="13.5" hidden="false" customHeight="true" outlineLevel="0" collapsed="false">
      <c r="A103" s="27" t="str">
        <f aca="false">IF($O103="","",INDEX('Auto Process'!$AC:$AC,$O103))</f>
        <v/>
      </c>
      <c r="B103" s="17" t="str">
        <f aca="false">IF($O103="","",INDEX('Auto Process'!$AD:$AD,$O103))</f>
        <v/>
      </c>
      <c r="C103" s="17" t="str">
        <f aca="false">IF($O103="","",INDEX('Auto Process'!$AE:$AE,$O103))</f>
        <v/>
      </c>
      <c r="D103" s="17" t="str">
        <f aca="false">IF($O103="","",INDEX('Auto Process'!$AF:$AF,$O103))</f>
        <v/>
      </c>
      <c r="E103" s="17" t="str">
        <f aca="false">IF($O103="","",INDEX('Auto Process'!$AG:$AG,$O103))</f>
        <v/>
      </c>
      <c r="F103" s="17" t="str">
        <f aca="false">IF($O103="","",INDEX('Auto Process'!$AH:$AH,$O103))</f>
        <v/>
      </c>
      <c r="G103" s="17" t="str">
        <f aca="false">IF($O103="","",INDEX('Auto Process'!$AI:$AI,$O103))</f>
        <v/>
      </c>
      <c r="H103" s="17" t="str">
        <f aca="false">IF($O103="","",INDEX('Auto Process'!$AJ:$AJ,$O103))</f>
        <v/>
      </c>
      <c r="I103" s="17" t="str">
        <f aca="false">IF($O103="","",INDEX('Auto Process'!$AK:$AK,$O103))</f>
        <v/>
      </c>
      <c r="J103" s="17" t="str">
        <f aca="false">IF($O103="","",INDEX('Auto Process'!$AL:$AL,$O103))</f>
        <v/>
      </c>
      <c r="K103" s="17" t="str">
        <f aca="false">IF($O103="","",INDEX('Auto Process'!$AM:$AM,$O103))</f>
        <v/>
      </c>
      <c r="L103" s="17" t="str">
        <f aca="false">IF($O103="","",INDEX('Auto Process'!$AN:$AN,$O103))</f>
        <v/>
      </c>
      <c r="M103" s="17" t="str">
        <f aca="false">IF($O103="","",INDEX('Auto Process'!$AO:$AO,$O103))</f>
        <v/>
      </c>
      <c r="O103" s="19" t="str">
        <f aca="false">IFERROR(_xlfn.AGGREGATE(15,6,ROW('Auto Process'!$D$4:$D$503)/('Auto Process'!$D$4:$D$503="Panel Details"),ROW()-1),"")</f>
        <v/>
      </c>
    </row>
    <row r="104" customFormat="false" ht="13.5" hidden="false" customHeight="true" outlineLevel="0" collapsed="false">
      <c r="A104" s="27" t="str">
        <f aca="false">IF($O104="","",INDEX('Auto Process'!$AC:$AC,$O104))</f>
        <v/>
      </c>
      <c r="B104" s="17" t="str">
        <f aca="false">IF($O104="","",INDEX('Auto Process'!$AD:$AD,$O104))</f>
        <v/>
      </c>
      <c r="C104" s="17" t="str">
        <f aca="false">IF($O104="","",INDEX('Auto Process'!$AE:$AE,$O104))</f>
        <v/>
      </c>
      <c r="D104" s="17" t="str">
        <f aca="false">IF($O104="","",INDEX('Auto Process'!$AF:$AF,$O104))</f>
        <v/>
      </c>
      <c r="E104" s="17" t="str">
        <f aca="false">IF($O104="","",INDEX('Auto Process'!$AG:$AG,$O104))</f>
        <v/>
      </c>
      <c r="F104" s="17" t="str">
        <f aca="false">IF($O104="","",INDEX('Auto Process'!$AH:$AH,$O104))</f>
        <v/>
      </c>
      <c r="G104" s="17" t="str">
        <f aca="false">IF($O104="","",INDEX('Auto Process'!$AI:$AI,$O104))</f>
        <v/>
      </c>
      <c r="H104" s="17" t="str">
        <f aca="false">IF($O104="","",INDEX('Auto Process'!$AJ:$AJ,$O104))</f>
        <v/>
      </c>
      <c r="I104" s="17" t="str">
        <f aca="false">IF($O104="","",INDEX('Auto Process'!$AK:$AK,$O104))</f>
        <v/>
      </c>
      <c r="J104" s="17" t="str">
        <f aca="false">IF($O104="","",INDEX('Auto Process'!$AL:$AL,$O104))</f>
        <v/>
      </c>
      <c r="K104" s="17" t="str">
        <f aca="false">IF($O104="","",INDEX('Auto Process'!$AM:$AM,$O104))</f>
        <v/>
      </c>
      <c r="L104" s="17" t="str">
        <f aca="false">IF($O104="","",INDEX('Auto Process'!$AN:$AN,$O104))</f>
        <v/>
      </c>
      <c r="M104" s="17" t="str">
        <f aca="false">IF($O104="","",INDEX('Auto Process'!$AO:$AO,$O104))</f>
        <v/>
      </c>
      <c r="O104" s="19" t="str">
        <f aca="false">IFERROR(_xlfn.AGGREGATE(15,6,ROW('Auto Process'!$D$4:$D$503)/('Auto Process'!$D$4:$D$503="Panel Details"),ROW()-1),"")</f>
        <v/>
      </c>
    </row>
    <row r="105" customFormat="false" ht="13.5" hidden="false" customHeight="true" outlineLevel="0" collapsed="false">
      <c r="A105" s="27" t="str">
        <f aca="false">IF($O105="","",INDEX('Auto Process'!$AC:$AC,$O105))</f>
        <v/>
      </c>
      <c r="B105" s="17" t="str">
        <f aca="false">IF($O105="","",INDEX('Auto Process'!$AD:$AD,$O105))</f>
        <v/>
      </c>
      <c r="C105" s="17" t="str">
        <f aca="false">IF($O105="","",INDEX('Auto Process'!$AE:$AE,$O105))</f>
        <v/>
      </c>
      <c r="D105" s="17" t="str">
        <f aca="false">IF($O105="","",INDEX('Auto Process'!$AF:$AF,$O105))</f>
        <v/>
      </c>
      <c r="E105" s="17" t="str">
        <f aca="false">IF($O105="","",INDEX('Auto Process'!$AG:$AG,$O105))</f>
        <v/>
      </c>
      <c r="F105" s="17" t="str">
        <f aca="false">IF($O105="","",INDEX('Auto Process'!$AH:$AH,$O105))</f>
        <v/>
      </c>
      <c r="G105" s="17" t="str">
        <f aca="false">IF($O105="","",INDEX('Auto Process'!$AI:$AI,$O105))</f>
        <v/>
      </c>
      <c r="H105" s="17" t="str">
        <f aca="false">IF($O105="","",INDEX('Auto Process'!$AJ:$AJ,$O105))</f>
        <v/>
      </c>
      <c r="I105" s="17" t="str">
        <f aca="false">IF($O105="","",INDEX('Auto Process'!$AK:$AK,$O105))</f>
        <v/>
      </c>
      <c r="J105" s="17" t="str">
        <f aca="false">IF($O105="","",INDEX('Auto Process'!$AL:$AL,$O105))</f>
        <v/>
      </c>
      <c r="K105" s="17" t="str">
        <f aca="false">IF($O105="","",INDEX('Auto Process'!$AM:$AM,$O105))</f>
        <v/>
      </c>
      <c r="L105" s="17" t="str">
        <f aca="false">IF($O105="","",INDEX('Auto Process'!$AN:$AN,$O105))</f>
        <v/>
      </c>
      <c r="M105" s="17" t="str">
        <f aca="false">IF($O105="","",INDEX('Auto Process'!$AO:$AO,$O105))</f>
        <v/>
      </c>
      <c r="O105" s="19" t="str">
        <f aca="false">IFERROR(_xlfn.AGGREGATE(15,6,ROW('Auto Process'!$D$4:$D$503)/('Auto Process'!$D$4:$D$503="Panel Details"),ROW()-1),"")</f>
        <v/>
      </c>
    </row>
    <row r="106" customFormat="false" ht="13.5" hidden="false" customHeight="true" outlineLevel="0" collapsed="false">
      <c r="A106" s="27" t="str">
        <f aca="false">IF($O106="","",INDEX('Auto Process'!$AC:$AC,$O106))</f>
        <v/>
      </c>
      <c r="B106" s="17" t="str">
        <f aca="false">IF($O106="","",INDEX('Auto Process'!$AD:$AD,$O106))</f>
        <v/>
      </c>
      <c r="C106" s="17" t="str">
        <f aca="false">IF($O106="","",INDEX('Auto Process'!$AE:$AE,$O106))</f>
        <v/>
      </c>
      <c r="D106" s="17" t="str">
        <f aca="false">IF($O106="","",INDEX('Auto Process'!$AF:$AF,$O106))</f>
        <v/>
      </c>
      <c r="E106" s="17" t="str">
        <f aca="false">IF($O106="","",INDEX('Auto Process'!$AG:$AG,$O106))</f>
        <v/>
      </c>
      <c r="F106" s="17" t="str">
        <f aca="false">IF($O106="","",INDEX('Auto Process'!$AH:$AH,$O106))</f>
        <v/>
      </c>
      <c r="G106" s="17" t="str">
        <f aca="false">IF($O106="","",INDEX('Auto Process'!$AI:$AI,$O106))</f>
        <v/>
      </c>
      <c r="H106" s="17" t="str">
        <f aca="false">IF($O106="","",INDEX('Auto Process'!$AJ:$AJ,$O106))</f>
        <v/>
      </c>
      <c r="I106" s="17" t="str">
        <f aca="false">IF($O106="","",INDEX('Auto Process'!$AK:$AK,$O106))</f>
        <v/>
      </c>
      <c r="J106" s="17" t="str">
        <f aca="false">IF($O106="","",INDEX('Auto Process'!$AL:$AL,$O106))</f>
        <v/>
      </c>
      <c r="K106" s="17" t="str">
        <f aca="false">IF($O106="","",INDEX('Auto Process'!$AM:$AM,$O106))</f>
        <v/>
      </c>
      <c r="L106" s="17" t="str">
        <f aca="false">IF($O106="","",INDEX('Auto Process'!$AN:$AN,$O106))</f>
        <v/>
      </c>
      <c r="M106" s="17" t="str">
        <f aca="false">IF($O106="","",INDEX('Auto Process'!$AO:$AO,$O106))</f>
        <v/>
      </c>
      <c r="O106" s="19" t="str">
        <f aca="false">IFERROR(_xlfn.AGGREGATE(15,6,ROW('Auto Process'!$D$4:$D$503)/('Auto Process'!$D$4:$D$503="Panel Details"),ROW()-1),"")</f>
        <v/>
      </c>
    </row>
    <row r="107" customFormat="false" ht="13.5" hidden="false" customHeight="true" outlineLevel="0" collapsed="false">
      <c r="A107" s="27" t="str">
        <f aca="false">IF($O107="","",INDEX('Auto Process'!$AC:$AC,$O107))</f>
        <v/>
      </c>
      <c r="B107" s="17" t="str">
        <f aca="false">IF($O107="","",INDEX('Auto Process'!$AD:$AD,$O107))</f>
        <v/>
      </c>
      <c r="C107" s="17" t="str">
        <f aca="false">IF($O107="","",INDEX('Auto Process'!$AE:$AE,$O107))</f>
        <v/>
      </c>
      <c r="D107" s="17" t="str">
        <f aca="false">IF($O107="","",INDEX('Auto Process'!$AF:$AF,$O107))</f>
        <v/>
      </c>
      <c r="E107" s="17" t="str">
        <f aca="false">IF($O107="","",INDEX('Auto Process'!$AG:$AG,$O107))</f>
        <v/>
      </c>
      <c r="F107" s="17" t="str">
        <f aca="false">IF($O107="","",INDEX('Auto Process'!$AH:$AH,$O107))</f>
        <v/>
      </c>
      <c r="G107" s="17" t="str">
        <f aca="false">IF($O107="","",INDEX('Auto Process'!$AI:$AI,$O107))</f>
        <v/>
      </c>
      <c r="H107" s="17" t="str">
        <f aca="false">IF($O107="","",INDEX('Auto Process'!$AJ:$AJ,$O107))</f>
        <v/>
      </c>
      <c r="I107" s="17" t="str">
        <f aca="false">IF($O107="","",INDEX('Auto Process'!$AK:$AK,$O107))</f>
        <v/>
      </c>
      <c r="J107" s="17" t="str">
        <f aca="false">IF($O107="","",INDEX('Auto Process'!$AL:$AL,$O107))</f>
        <v/>
      </c>
      <c r="K107" s="17" t="str">
        <f aca="false">IF($O107="","",INDEX('Auto Process'!$AM:$AM,$O107))</f>
        <v/>
      </c>
      <c r="L107" s="17" t="str">
        <f aca="false">IF($O107="","",INDEX('Auto Process'!$AN:$AN,$O107))</f>
        <v/>
      </c>
      <c r="M107" s="17" t="str">
        <f aca="false">IF($O107="","",INDEX('Auto Process'!$AO:$AO,$O107))</f>
        <v/>
      </c>
      <c r="O107" s="19" t="str">
        <f aca="false">IFERROR(_xlfn.AGGREGATE(15,6,ROW('Auto Process'!$D$4:$D$503)/('Auto Process'!$D$4:$D$503="Panel Details"),ROW()-1),"")</f>
        <v/>
      </c>
    </row>
    <row r="108" customFormat="false" ht="13.5" hidden="false" customHeight="true" outlineLevel="0" collapsed="false">
      <c r="A108" s="27" t="str">
        <f aca="false">IF($O108="","",INDEX('Auto Process'!$AC:$AC,$O108))</f>
        <v/>
      </c>
      <c r="B108" s="17" t="str">
        <f aca="false">IF($O108="","",INDEX('Auto Process'!$AD:$AD,$O108))</f>
        <v/>
      </c>
      <c r="C108" s="17" t="str">
        <f aca="false">IF($O108="","",INDEX('Auto Process'!$AE:$AE,$O108))</f>
        <v/>
      </c>
      <c r="D108" s="17" t="str">
        <f aca="false">IF($O108="","",INDEX('Auto Process'!$AF:$AF,$O108))</f>
        <v/>
      </c>
      <c r="E108" s="17" t="str">
        <f aca="false">IF($O108="","",INDEX('Auto Process'!$AG:$AG,$O108))</f>
        <v/>
      </c>
      <c r="F108" s="17" t="str">
        <f aca="false">IF($O108="","",INDEX('Auto Process'!$AH:$AH,$O108))</f>
        <v/>
      </c>
      <c r="G108" s="17" t="str">
        <f aca="false">IF($O108="","",INDEX('Auto Process'!$AI:$AI,$O108))</f>
        <v/>
      </c>
      <c r="H108" s="17" t="str">
        <f aca="false">IF($O108="","",INDEX('Auto Process'!$AJ:$AJ,$O108))</f>
        <v/>
      </c>
      <c r="I108" s="17" t="str">
        <f aca="false">IF($O108="","",INDEX('Auto Process'!$AK:$AK,$O108))</f>
        <v/>
      </c>
      <c r="J108" s="17" t="str">
        <f aca="false">IF($O108="","",INDEX('Auto Process'!$AL:$AL,$O108))</f>
        <v/>
      </c>
      <c r="K108" s="17" t="str">
        <f aca="false">IF($O108="","",INDEX('Auto Process'!$AM:$AM,$O108))</f>
        <v/>
      </c>
      <c r="L108" s="17" t="str">
        <f aca="false">IF($O108="","",INDEX('Auto Process'!$AN:$AN,$O108))</f>
        <v/>
      </c>
      <c r="M108" s="17" t="str">
        <f aca="false">IF($O108="","",INDEX('Auto Process'!$AO:$AO,$O108))</f>
        <v/>
      </c>
      <c r="O108" s="19" t="str">
        <f aca="false">IFERROR(_xlfn.AGGREGATE(15,6,ROW('Auto Process'!$D$4:$D$503)/('Auto Process'!$D$4:$D$503="Panel Details"),ROW()-1),"")</f>
        <v/>
      </c>
    </row>
    <row r="109" customFormat="false" ht="13.5" hidden="false" customHeight="true" outlineLevel="0" collapsed="false">
      <c r="A109" s="27" t="str">
        <f aca="false">IF($O109="","",INDEX('Auto Process'!$AC:$AC,$O109))</f>
        <v/>
      </c>
      <c r="B109" s="17" t="str">
        <f aca="false">IF($O109="","",INDEX('Auto Process'!$AD:$AD,$O109))</f>
        <v/>
      </c>
      <c r="C109" s="17" t="str">
        <f aca="false">IF($O109="","",INDEX('Auto Process'!$AE:$AE,$O109))</f>
        <v/>
      </c>
      <c r="D109" s="17" t="str">
        <f aca="false">IF($O109="","",INDEX('Auto Process'!$AF:$AF,$O109))</f>
        <v/>
      </c>
      <c r="E109" s="17" t="str">
        <f aca="false">IF($O109="","",INDEX('Auto Process'!$AG:$AG,$O109))</f>
        <v/>
      </c>
      <c r="F109" s="17" t="str">
        <f aca="false">IF($O109="","",INDEX('Auto Process'!$AH:$AH,$O109))</f>
        <v/>
      </c>
      <c r="G109" s="17" t="str">
        <f aca="false">IF($O109="","",INDEX('Auto Process'!$AI:$AI,$O109))</f>
        <v/>
      </c>
      <c r="H109" s="17" t="str">
        <f aca="false">IF($O109="","",INDEX('Auto Process'!$AJ:$AJ,$O109))</f>
        <v/>
      </c>
      <c r="I109" s="17" t="str">
        <f aca="false">IF($O109="","",INDEX('Auto Process'!$AK:$AK,$O109))</f>
        <v/>
      </c>
      <c r="J109" s="17" t="str">
        <f aca="false">IF($O109="","",INDEX('Auto Process'!$AL:$AL,$O109))</f>
        <v/>
      </c>
      <c r="K109" s="17" t="str">
        <f aca="false">IF($O109="","",INDEX('Auto Process'!$AM:$AM,$O109))</f>
        <v/>
      </c>
      <c r="L109" s="17" t="str">
        <f aca="false">IF($O109="","",INDEX('Auto Process'!$AN:$AN,$O109))</f>
        <v/>
      </c>
      <c r="M109" s="17" t="str">
        <f aca="false">IF($O109="","",INDEX('Auto Process'!$AO:$AO,$O109))</f>
        <v/>
      </c>
      <c r="O109" s="19" t="str">
        <f aca="false">IFERROR(_xlfn.AGGREGATE(15,6,ROW('Auto Process'!$D$4:$D$503)/('Auto Process'!$D$4:$D$503="Panel Details"),ROW()-1),"")</f>
        <v/>
      </c>
    </row>
    <row r="110" customFormat="false" ht="13.5" hidden="false" customHeight="true" outlineLevel="0" collapsed="false">
      <c r="A110" s="27" t="str">
        <f aca="false">IF($O110="","",INDEX('Auto Process'!$AC:$AC,$O110))</f>
        <v/>
      </c>
      <c r="B110" s="17" t="str">
        <f aca="false">IF($O110="","",INDEX('Auto Process'!$AD:$AD,$O110))</f>
        <v/>
      </c>
      <c r="C110" s="17" t="str">
        <f aca="false">IF($O110="","",INDEX('Auto Process'!$AE:$AE,$O110))</f>
        <v/>
      </c>
      <c r="D110" s="17" t="str">
        <f aca="false">IF($O110="","",INDEX('Auto Process'!$AF:$AF,$O110))</f>
        <v/>
      </c>
      <c r="E110" s="17" t="str">
        <f aca="false">IF($O110="","",INDEX('Auto Process'!$AG:$AG,$O110))</f>
        <v/>
      </c>
      <c r="F110" s="17" t="str">
        <f aca="false">IF($O110="","",INDEX('Auto Process'!$AH:$AH,$O110))</f>
        <v/>
      </c>
      <c r="G110" s="17" t="str">
        <f aca="false">IF($O110="","",INDEX('Auto Process'!$AI:$AI,$O110))</f>
        <v/>
      </c>
      <c r="H110" s="17" t="str">
        <f aca="false">IF($O110="","",INDEX('Auto Process'!$AJ:$AJ,$O110))</f>
        <v/>
      </c>
      <c r="I110" s="17" t="str">
        <f aca="false">IF($O110="","",INDEX('Auto Process'!$AK:$AK,$O110))</f>
        <v/>
      </c>
      <c r="J110" s="17" t="str">
        <f aca="false">IF($O110="","",INDEX('Auto Process'!$AL:$AL,$O110))</f>
        <v/>
      </c>
      <c r="K110" s="17" t="str">
        <f aca="false">IF($O110="","",INDEX('Auto Process'!$AM:$AM,$O110))</f>
        <v/>
      </c>
      <c r="L110" s="17" t="str">
        <f aca="false">IF($O110="","",INDEX('Auto Process'!$AN:$AN,$O110))</f>
        <v/>
      </c>
      <c r="M110" s="17" t="str">
        <f aca="false">IF($O110="","",INDEX('Auto Process'!$AO:$AO,$O110))</f>
        <v/>
      </c>
      <c r="O110" s="19" t="str">
        <f aca="false">IFERROR(_xlfn.AGGREGATE(15,6,ROW('Auto Process'!$D$4:$D$503)/('Auto Process'!$D$4:$D$503="Panel Details"),ROW()-1),"")</f>
        <v/>
      </c>
    </row>
    <row r="111" customFormat="false" ht="13.5" hidden="false" customHeight="true" outlineLevel="0" collapsed="false">
      <c r="A111" s="27" t="str">
        <f aca="false">IF($O111="","",INDEX('Auto Process'!$AC:$AC,$O111))</f>
        <v/>
      </c>
      <c r="B111" s="17" t="str">
        <f aca="false">IF($O111="","",INDEX('Auto Process'!$AD:$AD,$O111))</f>
        <v/>
      </c>
      <c r="C111" s="17" t="str">
        <f aca="false">IF($O111="","",INDEX('Auto Process'!$AE:$AE,$O111))</f>
        <v/>
      </c>
      <c r="D111" s="17" t="str">
        <f aca="false">IF($O111="","",INDEX('Auto Process'!$AF:$AF,$O111))</f>
        <v/>
      </c>
      <c r="E111" s="17" t="str">
        <f aca="false">IF($O111="","",INDEX('Auto Process'!$AG:$AG,$O111))</f>
        <v/>
      </c>
      <c r="F111" s="17" t="str">
        <f aca="false">IF($O111="","",INDEX('Auto Process'!$AH:$AH,$O111))</f>
        <v/>
      </c>
      <c r="G111" s="17" t="str">
        <f aca="false">IF($O111="","",INDEX('Auto Process'!$AI:$AI,$O111))</f>
        <v/>
      </c>
      <c r="H111" s="17" t="str">
        <f aca="false">IF($O111="","",INDEX('Auto Process'!$AJ:$AJ,$O111))</f>
        <v/>
      </c>
      <c r="I111" s="17" t="str">
        <f aca="false">IF($O111="","",INDEX('Auto Process'!$AK:$AK,$O111))</f>
        <v/>
      </c>
      <c r="J111" s="17" t="str">
        <f aca="false">IF($O111="","",INDEX('Auto Process'!$AL:$AL,$O111))</f>
        <v/>
      </c>
      <c r="K111" s="17" t="str">
        <f aca="false">IF($O111="","",INDEX('Auto Process'!$AM:$AM,$O111))</f>
        <v/>
      </c>
      <c r="L111" s="17" t="str">
        <f aca="false">IF($O111="","",INDEX('Auto Process'!$AN:$AN,$O111))</f>
        <v/>
      </c>
      <c r="M111" s="17" t="str">
        <f aca="false">IF($O111="","",INDEX('Auto Process'!$AO:$AO,$O111))</f>
        <v/>
      </c>
      <c r="O111" s="19" t="str">
        <f aca="false">IFERROR(_xlfn.AGGREGATE(15,6,ROW('Auto Process'!$D$4:$D$503)/('Auto Process'!$D$4:$D$503="Panel Details"),ROW()-1),"")</f>
        <v/>
      </c>
    </row>
    <row r="112" customFormat="false" ht="13.5" hidden="false" customHeight="true" outlineLevel="0" collapsed="false">
      <c r="A112" s="27" t="str">
        <f aca="false">IF($O112="","",INDEX('Auto Process'!$AC:$AC,$O112))</f>
        <v/>
      </c>
      <c r="B112" s="17" t="str">
        <f aca="false">IF($O112="","",INDEX('Auto Process'!$AD:$AD,$O112))</f>
        <v/>
      </c>
      <c r="C112" s="17" t="str">
        <f aca="false">IF($O112="","",INDEX('Auto Process'!$AE:$AE,$O112))</f>
        <v/>
      </c>
      <c r="D112" s="17" t="str">
        <f aca="false">IF($O112="","",INDEX('Auto Process'!$AF:$AF,$O112))</f>
        <v/>
      </c>
      <c r="E112" s="17" t="str">
        <f aca="false">IF($O112="","",INDEX('Auto Process'!$AG:$AG,$O112))</f>
        <v/>
      </c>
      <c r="F112" s="17" t="str">
        <f aca="false">IF($O112="","",INDEX('Auto Process'!$AH:$AH,$O112))</f>
        <v/>
      </c>
      <c r="G112" s="17" t="str">
        <f aca="false">IF($O112="","",INDEX('Auto Process'!$AI:$AI,$O112))</f>
        <v/>
      </c>
      <c r="H112" s="17" t="str">
        <f aca="false">IF($O112="","",INDEX('Auto Process'!$AJ:$AJ,$O112))</f>
        <v/>
      </c>
      <c r="I112" s="17" t="str">
        <f aca="false">IF($O112="","",INDEX('Auto Process'!$AK:$AK,$O112))</f>
        <v/>
      </c>
      <c r="J112" s="17" t="str">
        <f aca="false">IF($O112="","",INDEX('Auto Process'!$AL:$AL,$O112))</f>
        <v/>
      </c>
      <c r="K112" s="17" t="str">
        <f aca="false">IF($O112="","",INDEX('Auto Process'!$AM:$AM,$O112))</f>
        <v/>
      </c>
      <c r="L112" s="17" t="str">
        <f aca="false">IF($O112="","",INDEX('Auto Process'!$AN:$AN,$O112))</f>
        <v/>
      </c>
      <c r="M112" s="17" t="str">
        <f aca="false">IF($O112="","",INDEX('Auto Process'!$AO:$AO,$O112))</f>
        <v/>
      </c>
      <c r="O112" s="19" t="str">
        <f aca="false">IFERROR(_xlfn.AGGREGATE(15,6,ROW('Auto Process'!$D$4:$D$503)/('Auto Process'!$D$4:$D$503="Panel Details"),ROW()-1),"")</f>
        <v/>
      </c>
    </row>
    <row r="113" customFormat="false" ht="13.5" hidden="false" customHeight="true" outlineLevel="0" collapsed="false">
      <c r="A113" s="27" t="str">
        <f aca="false">IF($O113="","",INDEX('Auto Process'!$AC:$AC,$O113))</f>
        <v/>
      </c>
      <c r="B113" s="17" t="str">
        <f aca="false">IF($O113="","",INDEX('Auto Process'!$AD:$AD,$O113))</f>
        <v/>
      </c>
      <c r="C113" s="17" t="str">
        <f aca="false">IF($O113="","",INDEX('Auto Process'!$AE:$AE,$O113))</f>
        <v/>
      </c>
      <c r="D113" s="17" t="str">
        <f aca="false">IF($O113="","",INDEX('Auto Process'!$AF:$AF,$O113))</f>
        <v/>
      </c>
      <c r="E113" s="17" t="str">
        <f aca="false">IF($O113="","",INDEX('Auto Process'!$AG:$AG,$O113))</f>
        <v/>
      </c>
      <c r="F113" s="17" t="str">
        <f aca="false">IF($O113="","",INDEX('Auto Process'!$AH:$AH,$O113))</f>
        <v/>
      </c>
      <c r="G113" s="17" t="str">
        <f aca="false">IF($O113="","",INDEX('Auto Process'!$AI:$AI,$O113))</f>
        <v/>
      </c>
      <c r="H113" s="17" t="str">
        <f aca="false">IF($O113="","",INDEX('Auto Process'!$AJ:$AJ,$O113))</f>
        <v/>
      </c>
      <c r="I113" s="17" t="str">
        <f aca="false">IF($O113="","",INDEX('Auto Process'!$AK:$AK,$O113))</f>
        <v/>
      </c>
      <c r="J113" s="17" t="str">
        <f aca="false">IF($O113="","",INDEX('Auto Process'!$AL:$AL,$O113))</f>
        <v/>
      </c>
      <c r="K113" s="17" t="str">
        <f aca="false">IF($O113="","",INDEX('Auto Process'!$AM:$AM,$O113))</f>
        <v/>
      </c>
      <c r="L113" s="17" t="str">
        <f aca="false">IF($O113="","",INDEX('Auto Process'!$AN:$AN,$O113))</f>
        <v/>
      </c>
      <c r="M113" s="17" t="str">
        <f aca="false">IF($O113="","",INDEX('Auto Process'!$AO:$AO,$O113))</f>
        <v/>
      </c>
      <c r="O113" s="19" t="str">
        <f aca="false">IFERROR(_xlfn.AGGREGATE(15,6,ROW('Auto Process'!$D$4:$D$503)/('Auto Process'!$D$4:$D$503="Panel Details"),ROW()-1),"")</f>
        <v/>
      </c>
    </row>
    <row r="114" customFormat="false" ht="13.5" hidden="false" customHeight="true" outlineLevel="0" collapsed="false">
      <c r="A114" s="27" t="str">
        <f aca="false">IF($O114="","",INDEX('Auto Process'!$AC:$AC,$O114))</f>
        <v/>
      </c>
      <c r="B114" s="17" t="str">
        <f aca="false">IF($O114="","",INDEX('Auto Process'!$AD:$AD,$O114))</f>
        <v/>
      </c>
      <c r="C114" s="17" t="str">
        <f aca="false">IF($O114="","",INDEX('Auto Process'!$AE:$AE,$O114))</f>
        <v/>
      </c>
      <c r="D114" s="17" t="str">
        <f aca="false">IF($O114="","",INDEX('Auto Process'!$AF:$AF,$O114))</f>
        <v/>
      </c>
      <c r="E114" s="17" t="str">
        <f aca="false">IF($O114="","",INDEX('Auto Process'!$AG:$AG,$O114))</f>
        <v/>
      </c>
      <c r="F114" s="17" t="str">
        <f aca="false">IF($O114="","",INDEX('Auto Process'!$AH:$AH,$O114))</f>
        <v/>
      </c>
      <c r="G114" s="17" t="str">
        <f aca="false">IF($O114="","",INDEX('Auto Process'!$AI:$AI,$O114))</f>
        <v/>
      </c>
      <c r="H114" s="17" t="str">
        <f aca="false">IF($O114="","",INDEX('Auto Process'!$AJ:$AJ,$O114))</f>
        <v/>
      </c>
      <c r="I114" s="17" t="str">
        <f aca="false">IF($O114="","",INDEX('Auto Process'!$AK:$AK,$O114))</f>
        <v/>
      </c>
      <c r="J114" s="17" t="str">
        <f aca="false">IF($O114="","",INDEX('Auto Process'!$AL:$AL,$O114))</f>
        <v/>
      </c>
      <c r="K114" s="17" t="str">
        <f aca="false">IF($O114="","",INDEX('Auto Process'!$AM:$AM,$O114))</f>
        <v/>
      </c>
      <c r="L114" s="17" t="str">
        <f aca="false">IF($O114="","",INDEX('Auto Process'!$AN:$AN,$O114))</f>
        <v/>
      </c>
      <c r="M114" s="17" t="str">
        <f aca="false">IF($O114="","",INDEX('Auto Process'!$AO:$AO,$O114))</f>
        <v/>
      </c>
      <c r="O114" s="19" t="str">
        <f aca="false">IFERROR(_xlfn.AGGREGATE(15,6,ROW('Auto Process'!$D$4:$D$503)/('Auto Process'!$D$4:$D$503="Panel Details"),ROW()-1),"")</f>
        <v/>
      </c>
    </row>
    <row r="115" customFormat="false" ht="13.5" hidden="false" customHeight="true" outlineLevel="0" collapsed="false">
      <c r="A115" s="27" t="str">
        <f aca="false">IF($O115="","",INDEX('Auto Process'!$AC:$AC,$O115))</f>
        <v/>
      </c>
      <c r="B115" s="17" t="str">
        <f aca="false">IF($O115="","",INDEX('Auto Process'!$AD:$AD,$O115))</f>
        <v/>
      </c>
      <c r="C115" s="17" t="str">
        <f aca="false">IF($O115="","",INDEX('Auto Process'!$AE:$AE,$O115))</f>
        <v/>
      </c>
      <c r="D115" s="17" t="str">
        <f aca="false">IF($O115="","",INDEX('Auto Process'!$AF:$AF,$O115))</f>
        <v/>
      </c>
      <c r="E115" s="17" t="str">
        <f aca="false">IF($O115="","",INDEX('Auto Process'!$AG:$AG,$O115))</f>
        <v/>
      </c>
      <c r="F115" s="17" t="str">
        <f aca="false">IF($O115="","",INDEX('Auto Process'!$AH:$AH,$O115))</f>
        <v/>
      </c>
      <c r="G115" s="17" t="str">
        <f aca="false">IF($O115="","",INDEX('Auto Process'!$AI:$AI,$O115))</f>
        <v/>
      </c>
      <c r="H115" s="17" t="str">
        <f aca="false">IF($O115="","",INDEX('Auto Process'!$AJ:$AJ,$O115))</f>
        <v/>
      </c>
      <c r="I115" s="17" t="str">
        <f aca="false">IF($O115="","",INDEX('Auto Process'!$AK:$AK,$O115))</f>
        <v/>
      </c>
      <c r="J115" s="17" t="str">
        <f aca="false">IF($O115="","",INDEX('Auto Process'!$AL:$AL,$O115))</f>
        <v/>
      </c>
      <c r="K115" s="17" t="str">
        <f aca="false">IF($O115="","",INDEX('Auto Process'!$AM:$AM,$O115))</f>
        <v/>
      </c>
      <c r="L115" s="17" t="str">
        <f aca="false">IF($O115="","",INDEX('Auto Process'!$AN:$AN,$O115))</f>
        <v/>
      </c>
      <c r="M115" s="17" t="str">
        <f aca="false">IF($O115="","",INDEX('Auto Process'!$AO:$AO,$O115))</f>
        <v/>
      </c>
      <c r="O115" s="19" t="str">
        <f aca="false">IFERROR(_xlfn.AGGREGATE(15,6,ROW('Auto Process'!$D$4:$D$503)/('Auto Process'!$D$4:$D$503="Panel Details"),ROW()-1),"")</f>
        <v/>
      </c>
    </row>
    <row r="116" customFormat="false" ht="13.5" hidden="false" customHeight="true" outlineLevel="0" collapsed="false">
      <c r="A116" s="27" t="str">
        <f aca="false">IF($O116="","",INDEX('Auto Process'!$AC:$AC,$O116))</f>
        <v/>
      </c>
      <c r="B116" s="17" t="str">
        <f aca="false">IF($O116="","",INDEX('Auto Process'!$AD:$AD,$O116))</f>
        <v/>
      </c>
      <c r="C116" s="17" t="str">
        <f aca="false">IF($O116="","",INDEX('Auto Process'!$AE:$AE,$O116))</f>
        <v/>
      </c>
      <c r="D116" s="17" t="str">
        <f aca="false">IF($O116="","",INDEX('Auto Process'!$AF:$AF,$O116))</f>
        <v/>
      </c>
      <c r="E116" s="17" t="str">
        <f aca="false">IF($O116="","",INDEX('Auto Process'!$AG:$AG,$O116))</f>
        <v/>
      </c>
      <c r="F116" s="17" t="str">
        <f aca="false">IF($O116="","",INDEX('Auto Process'!$AH:$AH,$O116))</f>
        <v/>
      </c>
      <c r="G116" s="17" t="str">
        <f aca="false">IF($O116="","",INDEX('Auto Process'!$AI:$AI,$O116))</f>
        <v/>
      </c>
      <c r="H116" s="17" t="str">
        <f aca="false">IF($O116="","",INDEX('Auto Process'!$AJ:$AJ,$O116))</f>
        <v/>
      </c>
      <c r="I116" s="17" t="str">
        <f aca="false">IF($O116="","",INDEX('Auto Process'!$AK:$AK,$O116))</f>
        <v/>
      </c>
      <c r="J116" s="17" t="str">
        <f aca="false">IF($O116="","",INDEX('Auto Process'!$AL:$AL,$O116))</f>
        <v/>
      </c>
      <c r="K116" s="17" t="str">
        <f aca="false">IF($O116="","",INDEX('Auto Process'!$AM:$AM,$O116))</f>
        <v/>
      </c>
      <c r="L116" s="17" t="str">
        <f aca="false">IF($O116="","",INDEX('Auto Process'!$AN:$AN,$O116))</f>
        <v/>
      </c>
      <c r="M116" s="17" t="str">
        <f aca="false">IF($O116="","",INDEX('Auto Process'!$AO:$AO,$O116))</f>
        <v/>
      </c>
      <c r="O116" s="19" t="str">
        <f aca="false">IFERROR(_xlfn.AGGREGATE(15,6,ROW('Auto Process'!$D$4:$D$503)/('Auto Process'!$D$4:$D$503="Panel Details"),ROW()-1),"")</f>
        <v/>
      </c>
    </row>
    <row r="117" customFormat="false" ht="13.5" hidden="false" customHeight="true" outlineLevel="0" collapsed="false">
      <c r="A117" s="27" t="str">
        <f aca="false">IF($O117="","",INDEX('Auto Process'!$AC:$AC,$O117))</f>
        <v/>
      </c>
      <c r="B117" s="17" t="str">
        <f aca="false">IF($O117="","",INDEX('Auto Process'!$AD:$AD,$O117))</f>
        <v/>
      </c>
      <c r="C117" s="17" t="str">
        <f aca="false">IF($O117="","",INDEX('Auto Process'!$AE:$AE,$O117))</f>
        <v/>
      </c>
      <c r="D117" s="17" t="str">
        <f aca="false">IF($O117="","",INDEX('Auto Process'!$AF:$AF,$O117))</f>
        <v/>
      </c>
      <c r="E117" s="17" t="str">
        <f aca="false">IF($O117="","",INDEX('Auto Process'!$AG:$AG,$O117))</f>
        <v/>
      </c>
      <c r="F117" s="17" t="str">
        <f aca="false">IF($O117="","",INDEX('Auto Process'!$AH:$AH,$O117))</f>
        <v/>
      </c>
      <c r="G117" s="17" t="str">
        <f aca="false">IF($O117="","",INDEX('Auto Process'!$AI:$AI,$O117))</f>
        <v/>
      </c>
      <c r="H117" s="17" t="str">
        <f aca="false">IF($O117="","",INDEX('Auto Process'!$AJ:$AJ,$O117))</f>
        <v/>
      </c>
      <c r="I117" s="17" t="str">
        <f aca="false">IF($O117="","",INDEX('Auto Process'!$AK:$AK,$O117))</f>
        <v/>
      </c>
      <c r="J117" s="17" t="str">
        <f aca="false">IF($O117="","",INDEX('Auto Process'!$AL:$AL,$O117))</f>
        <v/>
      </c>
      <c r="K117" s="17" t="str">
        <f aca="false">IF($O117="","",INDEX('Auto Process'!$AM:$AM,$O117))</f>
        <v/>
      </c>
      <c r="L117" s="17" t="str">
        <f aca="false">IF($O117="","",INDEX('Auto Process'!$AN:$AN,$O117))</f>
        <v/>
      </c>
      <c r="M117" s="17" t="str">
        <f aca="false">IF($O117="","",INDEX('Auto Process'!$AO:$AO,$O117))</f>
        <v/>
      </c>
      <c r="O117" s="19" t="str">
        <f aca="false">IFERROR(_xlfn.AGGREGATE(15,6,ROW('Auto Process'!$D$4:$D$503)/('Auto Process'!$D$4:$D$503="Panel Details"),ROW()-1),"")</f>
        <v/>
      </c>
    </row>
    <row r="118" customFormat="false" ht="13.5" hidden="false" customHeight="true" outlineLevel="0" collapsed="false">
      <c r="A118" s="27" t="str">
        <f aca="false">IF($O118="","",INDEX('Auto Process'!$AC:$AC,$O118))</f>
        <v/>
      </c>
      <c r="B118" s="17" t="str">
        <f aca="false">IF($O118="","",INDEX('Auto Process'!$AD:$AD,$O118))</f>
        <v/>
      </c>
      <c r="C118" s="17" t="str">
        <f aca="false">IF($O118="","",INDEX('Auto Process'!$AE:$AE,$O118))</f>
        <v/>
      </c>
      <c r="D118" s="17" t="str">
        <f aca="false">IF($O118="","",INDEX('Auto Process'!$AF:$AF,$O118))</f>
        <v/>
      </c>
      <c r="E118" s="17" t="str">
        <f aca="false">IF($O118="","",INDEX('Auto Process'!$AG:$AG,$O118))</f>
        <v/>
      </c>
      <c r="F118" s="17" t="str">
        <f aca="false">IF($O118="","",INDEX('Auto Process'!$AH:$AH,$O118))</f>
        <v/>
      </c>
      <c r="G118" s="17" t="str">
        <f aca="false">IF($O118="","",INDEX('Auto Process'!$AI:$AI,$O118))</f>
        <v/>
      </c>
      <c r="H118" s="17" t="str">
        <f aca="false">IF($O118="","",INDEX('Auto Process'!$AJ:$AJ,$O118))</f>
        <v/>
      </c>
      <c r="I118" s="17" t="str">
        <f aca="false">IF($O118="","",INDEX('Auto Process'!$AK:$AK,$O118))</f>
        <v/>
      </c>
      <c r="J118" s="17" t="str">
        <f aca="false">IF($O118="","",INDEX('Auto Process'!$AL:$AL,$O118))</f>
        <v/>
      </c>
      <c r="K118" s="17" t="str">
        <f aca="false">IF($O118="","",INDEX('Auto Process'!$AM:$AM,$O118))</f>
        <v/>
      </c>
      <c r="L118" s="17" t="str">
        <f aca="false">IF($O118="","",INDEX('Auto Process'!$AN:$AN,$O118))</f>
        <v/>
      </c>
      <c r="M118" s="17" t="str">
        <f aca="false">IF($O118="","",INDEX('Auto Process'!$AO:$AO,$O118))</f>
        <v/>
      </c>
      <c r="O118" s="19" t="str">
        <f aca="false">IFERROR(_xlfn.AGGREGATE(15,6,ROW('Auto Process'!$D$4:$D$503)/('Auto Process'!$D$4:$D$503="Panel Details"),ROW()-1),"")</f>
        <v/>
      </c>
    </row>
    <row r="119" customFormat="false" ht="13.5" hidden="false" customHeight="true" outlineLevel="0" collapsed="false">
      <c r="A119" s="27" t="str">
        <f aca="false">IF($O119="","",INDEX('Auto Process'!$AC:$AC,$O119))</f>
        <v/>
      </c>
      <c r="B119" s="17" t="str">
        <f aca="false">IF($O119="","",INDEX('Auto Process'!$AD:$AD,$O119))</f>
        <v/>
      </c>
      <c r="C119" s="17" t="str">
        <f aca="false">IF($O119="","",INDEX('Auto Process'!$AE:$AE,$O119))</f>
        <v/>
      </c>
      <c r="D119" s="17" t="str">
        <f aca="false">IF($O119="","",INDEX('Auto Process'!$AF:$AF,$O119))</f>
        <v/>
      </c>
      <c r="E119" s="17" t="str">
        <f aca="false">IF($O119="","",INDEX('Auto Process'!$AG:$AG,$O119))</f>
        <v/>
      </c>
      <c r="F119" s="17" t="str">
        <f aca="false">IF($O119="","",INDEX('Auto Process'!$AH:$AH,$O119))</f>
        <v/>
      </c>
      <c r="G119" s="17" t="str">
        <f aca="false">IF($O119="","",INDEX('Auto Process'!$AI:$AI,$O119))</f>
        <v/>
      </c>
      <c r="H119" s="17" t="str">
        <f aca="false">IF($O119="","",INDEX('Auto Process'!$AJ:$AJ,$O119))</f>
        <v/>
      </c>
      <c r="I119" s="17" t="str">
        <f aca="false">IF($O119="","",INDEX('Auto Process'!$AK:$AK,$O119))</f>
        <v/>
      </c>
      <c r="J119" s="17" t="str">
        <f aca="false">IF($O119="","",INDEX('Auto Process'!$AL:$AL,$O119))</f>
        <v/>
      </c>
      <c r="K119" s="17" t="str">
        <f aca="false">IF($O119="","",INDEX('Auto Process'!$AM:$AM,$O119))</f>
        <v/>
      </c>
      <c r="L119" s="17" t="str">
        <f aca="false">IF($O119="","",INDEX('Auto Process'!$AN:$AN,$O119))</f>
        <v/>
      </c>
      <c r="M119" s="17" t="str">
        <f aca="false">IF($O119="","",INDEX('Auto Process'!$AO:$AO,$O119))</f>
        <v/>
      </c>
      <c r="O119" s="19" t="str">
        <f aca="false">IFERROR(_xlfn.AGGREGATE(15,6,ROW('Auto Process'!$D$4:$D$503)/('Auto Process'!$D$4:$D$503="Panel Details"),ROW()-1),"")</f>
        <v/>
      </c>
    </row>
    <row r="120" customFormat="false" ht="13.5" hidden="false" customHeight="true" outlineLevel="0" collapsed="false">
      <c r="A120" s="27" t="str">
        <f aca="false">IF($O120="","",INDEX('Auto Process'!$AC:$AC,$O120))</f>
        <v/>
      </c>
      <c r="B120" s="17" t="str">
        <f aca="false">IF($O120="","",INDEX('Auto Process'!$AD:$AD,$O120))</f>
        <v/>
      </c>
      <c r="C120" s="17" t="str">
        <f aca="false">IF($O120="","",INDEX('Auto Process'!$AE:$AE,$O120))</f>
        <v/>
      </c>
      <c r="D120" s="17" t="str">
        <f aca="false">IF($O120="","",INDEX('Auto Process'!$AF:$AF,$O120))</f>
        <v/>
      </c>
      <c r="E120" s="17" t="str">
        <f aca="false">IF($O120="","",INDEX('Auto Process'!$AG:$AG,$O120))</f>
        <v/>
      </c>
      <c r="F120" s="17" t="str">
        <f aca="false">IF($O120="","",INDEX('Auto Process'!$AH:$AH,$O120))</f>
        <v/>
      </c>
      <c r="G120" s="17" t="str">
        <f aca="false">IF($O120="","",INDEX('Auto Process'!$AI:$AI,$O120))</f>
        <v/>
      </c>
      <c r="H120" s="17" t="str">
        <f aca="false">IF($O120="","",INDEX('Auto Process'!$AJ:$AJ,$O120))</f>
        <v/>
      </c>
      <c r="I120" s="17" t="str">
        <f aca="false">IF($O120="","",INDEX('Auto Process'!$AK:$AK,$O120))</f>
        <v/>
      </c>
      <c r="J120" s="17" t="str">
        <f aca="false">IF($O120="","",INDEX('Auto Process'!$AL:$AL,$O120))</f>
        <v/>
      </c>
      <c r="K120" s="17" t="str">
        <f aca="false">IF($O120="","",INDEX('Auto Process'!$AM:$AM,$O120))</f>
        <v/>
      </c>
      <c r="L120" s="17" t="str">
        <f aca="false">IF($O120="","",INDEX('Auto Process'!$AN:$AN,$O120))</f>
        <v/>
      </c>
      <c r="M120" s="17" t="str">
        <f aca="false">IF($O120="","",INDEX('Auto Process'!$AO:$AO,$O120))</f>
        <v/>
      </c>
      <c r="O120" s="19" t="str">
        <f aca="false">IFERROR(_xlfn.AGGREGATE(15,6,ROW('Auto Process'!$D$4:$D$503)/('Auto Process'!$D$4:$D$503="Panel Details"),ROW()-1),"")</f>
        <v/>
      </c>
    </row>
    <row r="121" customFormat="false" ht="13.5" hidden="false" customHeight="true" outlineLevel="0" collapsed="false">
      <c r="A121" s="27" t="str">
        <f aca="false">IF($O121="","",INDEX('Auto Process'!$AC:$AC,$O121))</f>
        <v/>
      </c>
      <c r="B121" s="17" t="str">
        <f aca="false">IF($O121="","",INDEX('Auto Process'!$AD:$AD,$O121))</f>
        <v/>
      </c>
      <c r="C121" s="17" t="str">
        <f aca="false">IF($O121="","",INDEX('Auto Process'!$AE:$AE,$O121))</f>
        <v/>
      </c>
      <c r="D121" s="17" t="str">
        <f aca="false">IF($O121="","",INDEX('Auto Process'!$AF:$AF,$O121))</f>
        <v/>
      </c>
      <c r="E121" s="17" t="str">
        <f aca="false">IF($O121="","",INDEX('Auto Process'!$AG:$AG,$O121))</f>
        <v/>
      </c>
      <c r="F121" s="17" t="str">
        <f aca="false">IF($O121="","",INDEX('Auto Process'!$AH:$AH,$O121))</f>
        <v/>
      </c>
      <c r="G121" s="17" t="str">
        <f aca="false">IF($O121="","",INDEX('Auto Process'!$AI:$AI,$O121))</f>
        <v/>
      </c>
      <c r="H121" s="17" t="str">
        <f aca="false">IF($O121="","",INDEX('Auto Process'!$AJ:$AJ,$O121))</f>
        <v/>
      </c>
      <c r="I121" s="17" t="str">
        <f aca="false">IF($O121="","",INDEX('Auto Process'!$AK:$AK,$O121))</f>
        <v/>
      </c>
      <c r="J121" s="17" t="str">
        <f aca="false">IF($O121="","",INDEX('Auto Process'!$AL:$AL,$O121))</f>
        <v/>
      </c>
      <c r="K121" s="17" t="str">
        <f aca="false">IF($O121="","",INDEX('Auto Process'!$AM:$AM,$O121))</f>
        <v/>
      </c>
      <c r="L121" s="17" t="str">
        <f aca="false">IF($O121="","",INDEX('Auto Process'!$AN:$AN,$O121))</f>
        <v/>
      </c>
      <c r="M121" s="17" t="str">
        <f aca="false">IF($O121="","",INDEX('Auto Process'!$AO:$AO,$O121))</f>
        <v/>
      </c>
      <c r="O121" s="19" t="str">
        <f aca="false">IFERROR(_xlfn.AGGREGATE(15,6,ROW('Auto Process'!$D$4:$D$503)/('Auto Process'!$D$4:$D$503="Panel Details"),ROW()-1),"")</f>
        <v/>
      </c>
    </row>
    <row r="122" customFormat="false" ht="13.5" hidden="false" customHeight="true" outlineLevel="0" collapsed="false">
      <c r="A122" s="27" t="str">
        <f aca="false">IF($O122="","",INDEX('Auto Process'!$AC:$AC,$O122))</f>
        <v/>
      </c>
      <c r="B122" s="17" t="str">
        <f aca="false">IF($O122="","",INDEX('Auto Process'!$AD:$AD,$O122))</f>
        <v/>
      </c>
      <c r="C122" s="17" t="str">
        <f aca="false">IF($O122="","",INDEX('Auto Process'!$AE:$AE,$O122))</f>
        <v/>
      </c>
      <c r="D122" s="17" t="str">
        <f aca="false">IF($O122="","",INDEX('Auto Process'!$AF:$AF,$O122))</f>
        <v/>
      </c>
      <c r="E122" s="17" t="str">
        <f aca="false">IF($O122="","",INDEX('Auto Process'!$AG:$AG,$O122))</f>
        <v/>
      </c>
      <c r="F122" s="17" t="str">
        <f aca="false">IF($O122="","",INDEX('Auto Process'!$AH:$AH,$O122))</f>
        <v/>
      </c>
      <c r="G122" s="17" t="str">
        <f aca="false">IF($O122="","",INDEX('Auto Process'!$AI:$AI,$O122))</f>
        <v/>
      </c>
      <c r="H122" s="17" t="str">
        <f aca="false">IF($O122="","",INDEX('Auto Process'!$AJ:$AJ,$O122))</f>
        <v/>
      </c>
      <c r="I122" s="17" t="str">
        <f aca="false">IF($O122="","",INDEX('Auto Process'!$AK:$AK,$O122))</f>
        <v/>
      </c>
      <c r="J122" s="17" t="str">
        <f aca="false">IF($O122="","",INDEX('Auto Process'!$AL:$AL,$O122))</f>
        <v/>
      </c>
      <c r="K122" s="17" t="str">
        <f aca="false">IF($O122="","",INDEX('Auto Process'!$AM:$AM,$O122))</f>
        <v/>
      </c>
      <c r="L122" s="17" t="str">
        <f aca="false">IF($O122="","",INDEX('Auto Process'!$AN:$AN,$O122))</f>
        <v/>
      </c>
      <c r="M122" s="17" t="str">
        <f aca="false">IF($O122="","",INDEX('Auto Process'!$AO:$AO,$O122))</f>
        <v/>
      </c>
      <c r="O122" s="19" t="str">
        <f aca="false">IFERROR(_xlfn.AGGREGATE(15,6,ROW('Auto Process'!$D$4:$D$503)/('Auto Process'!$D$4:$D$503="Panel Details"),ROW()-1),"")</f>
        <v/>
      </c>
    </row>
    <row r="123" customFormat="false" ht="13.5" hidden="false" customHeight="true" outlineLevel="0" collapsed="false">
      <c r="A123" s="27" t="str">
        <f aca="false">IF($O123="","",INDEX('Auto Process'!$AC:$AC,$O123))</f>
        <v/>
      </c>
      <c r="B123" s="17" t="str">
        <f aca="false">IF($O123="","",INDEX('Auto Process'!$AD:$AD,$O123))</f>
        <v/>
      </c>
      <c r="C123" s="17" t="str">
        <f aca="false">IF($O123="","",INDEX('Auto Process'!$AE:$AE,$O123))</f>
        <v/>
      </c>
      <c r="D123" s="17" t="str">
        <f aca="false">IF($O123="","",INDEX('Auto Process'!$AF:$AF,$O123))</f>
        <v/>
      </c>
      <c r="E123" s="17" t="str">
        <f aca="false">IF($O123="","",INDEX('Auto Process'!$AG:$AG,$O123))</f>
        <v/>
      </c>
      <c r="F123" s="17" t="str">
        <f aca="false">IF($O123="","",INDEX('Auto Process'!$AH:$AH,$O123))</f>
        <v/>
      </c>
      <c r="G123" s="17" t="str">
        <f aca="false">IF($O123="","",INDEX('Auto Process'!$AI:$AI,$O123))</f>
        <v/>
      </c>
      <c r="H123" s="17" t="str">
        <f aca="false">IF($O123="","",INDEX('Auto Process'!$AJ:$AJ,$O123))</f>
        <v/>
      </c>
      <c r="I123" s="17" t="str">
        <f aca="false">IF($O123="","",INDEX('Auto Process'!$AK:$AK,$O123))</f>
        <v/>
      </c>
      <c r="J123" s="17" t="str">
        <f aca="false">IF($O123="","",INDEX('Auto Process'!$AL:$AL,$O123))</f>
        <v/>
      </c>
      <c r="K123" s="17" t="str">
        <f aca="false">IF($O123="","",INDEX('Auto Process'!$AM:$AM,$O123))</f>
        <v/>
      </c>
      <c r="L123" s="17" t="str">
        <f aca="false">IF($O123="","",INDEX('Auto Process'!$AN:$AN,$O123))</f>
        <v/>
      </c>
      <c r="M123" s="17" t="str">
        <f aca="false">IF($O123="","",INDEX('Auto Process'!$AO:$AO,$O123))</f>
        <v/>
      </c>
      <c r="O123" s="19" t="str">
        <f aca="false">IFERROR(_xlfn.AGGREGATE(15,6,ROW('Auto Process'!$D$4:$D$503)/('Auto Process'!$D$4:$D$503="Panel Details"),ROW()-1),"")</f>
        <v/>
      </c>
    </row>
    <row r="124" customFormat="false" ht="13.5" hidden="false" customHeight="true" outlineLevel="0" collapsed="false">
      <c r="A124" s="27" t="str">
        <f aca="false">IF($O124="","",INDEX('Auto Process'!$AC:$AC,$O124))</f>
        <v/>
      </c>
      <c r="B124" s="17" t="str">
        <f aca="false">IF($O124="","",INDEX('Auto Process'!$AD:$AD,$O124))</f>
        <v/>
      </c>
      <c r="C124" s="17" t="str">
        <f aca="false">IF($O124="","",INDEX('Auto Process'!$AE:$AE,$O124))</f>
        <v/>
      </c>
      <c r="D124" s="17" t="str">
        <f aca="false">IF($O124="","",INDEX('Auto Process'!$AF:$AF,$O124))</f>
        <v/>
      </c>
      <c r="E124" s="17" t="str">
        <f aca="false">IF($O124="","",INDEX('Auto Process'!$AG:$AG,$O124))</f>
        <v/>
      </c>
      <c r="F124" s="17" t="str">
        <f aca="false">IF($O124="","",INDEX('Auto Process'!$AH:$AH,$O124))</f>
        <v/>
      </c>
      <c r="G124" s="17" t="str">
        <f aca="false">IF($O124="","",INDEX('Auto Process'!$AI:$AI,$O124))</f>
        <v/>
      </c>
      <c r="H124" s="17" t="str">
        <f aca="false">IF($O124="","",INDEX('Auto Process'!$AJ:$AJ,$O124))</f>
        <v/>
      </c>
      <c r="I124" s="17" t="str">
        <f aca="false">IF($O124="","",INDEX('Auto Process'!$AK:$AK,$O124))</f>
        <v/>
      </c>
      <c r="J124" s="17" t="str">
        <f aca="false">IF($O124="","",INDEX('Auto Process'!$AL:$AL,$O124))</f>
        <v/>
      </c>
      <c r="K124" s="17" t="str">
        <f aca="false">IF($O124="","",INDEX('Auto Process'!$AM:$AM,$O124))</f>
        <v/>
      </c>
      <c r="L124" s="17" t="str">
        <f aca="false">IF($O124="","",INDEX('Auto Process'!$AN:$AN,$O124))</f>
        <v/>
      </c>
      <c r="M124" s="17" t="str">
        <f aca="false">IF($O124="","",INDEX('Auto Process'!$AO:$AO,$O124))</f>
        <v/>
      </c>
      <c r="O124" s="19" t="str">
        <f aca="false">IFERROR(_xlfn.AGGREGATE(15,6,ROW('Auto Process'!$D$4:$D$503)/('Auto Process'!$D$4:$D$503="Panel Details"),ROW()-1),"")</f>
        <v/>
      </c>
    </row>
    <row r="125" customFormat="false" ht="13.5" hidden="false" customHeight="true" outlineLevel="0" collapsed="false">
      <c r="A125" s="27" t="str">
        <f aca="false">IF($O125="","",INDEX('Auto Process'!$AC:$AC,$O125))</f>
        <v/>
      </c>
      <c r="B125" s="17" t="str">
        <f aca="false">IF($O125="","",INDEX('Auto Process'!$AD:$AD,$O125))</f>
        <v/>
      </c>
      <c r="C125" s="17" t="str">
        <f aca="false">IF($O125="","",INDEX('Auto Process'!$AE:$AE,$O125))</f>
        <v/>
      </c>
      <c r="D125" s="17" t="str">
        <f aca="false">IF($O125="","",INDEX('Auto Process'!$AF:$AF,$O125))</f>
        <v/>
      </c>
      <c r="E125" s="17" t="str">
        <f aca="false">IF($O125="","",INDEX('Auto Process'!$AG:$AG,$O125))</f>
        <v/>
      </c>
      <c r="F125" s="17" t="str">
        <f aca="false">IF($O125="","",INDEX('Auto Process'!$AH:$AH,$O125))</f>
        <v/>
      </c>
      <c r="G125" s="17" t="str">
        <f aca="false">IF($O125="","",INDEX('Auto Process'!$AI:$AI,$O125))</f>
        <v/>
      </c>
      <c r="H125" s="17" t="str">
        <f aca="false">IF($O125="","",INDEX('Auto Process'!$AJ:$AJ,$O125))</f>
        <v/>
      </c>
      <c r="I125" s="17" t="str">
        <f aca="false">IF($O125="","",INDEX('Auto Process'!$AK:$AK,$O125))</f>
        <v/>
      </c>
      <c r="J125" s="17" t="str">
        <f aca="false">IF($O125="","",INDEX('Auto Process'!$AL:$AL,$O125))</f>
        <v/>
      </c>
      <c r="K125" s="17" t="str">
        <f aca="false">IF($O125="","",INDEX('Auto Process'!$AM:$AM,$O125))</f>
        <v/>
      </c>
      <c r="L125" s="17" t="str">
        <f aca="false">IF($O125="","",INDEX('Auto Process'!$AN:$AN,$O125))</f>
        <v/>
      </c>
      <c r="M125" s="17" t="str">
        <f aca="false">IF($O125="","",INDEX('Auto Process'!$AO:$AO,$O125))</f>
        <v/>
      </c>
      <c r="O125" s="19" t="str">
        <f aca="false">IFERROR(_xlfn.AGGREGATE(15,6,ROW('Auto Process'!$D$4:$D$503)/('Auto Process'!$D$4:$D$503="Panel Details"),ROW()-1),"")</f>
        <v/>
      </c>
    </row>
    <row r="126" customFormat="false" ht="13.5" hidden="false" customHeight="true" outlineLevel="0" collapsed="false">
      <c r="A126" s="27" t="str">
        <f aca="false">IF($O126="","",INDEX('Auto Process'!$AC:$AC,$O126))</f>
        <v/>
      </c>
      <c r="B126" s="17" t="str">
        <f aca="false">IF($O126="","",INDEX('Auto Process'!$AD:$AD,$O126))</f>
        <v/>
      </c>
      <c r="C126" s="17" t="str">
        <f aca="false">IF($O126="","",INDEX('Auto Process'!$AE:$AE,$O126))</f>
        <v/>
      </c>
      <c r="D126" s="17" t="str">
        <f aca="false">IF($O126="","",INDEX('Auto Process'!$AF:$AF,$O126))</f>
        <v/>
      </c>
      <c r="E126" s="17" t="str">
        <f aca="false">IF($O126="","",INDEX('Auto Process'!$AG:$AG,$O126))</f>
        <v/>
      </c>
      <c r="F126" s="17" t="str">
        <f aca="false">IF($O126="","",INDEX('Auto Process'!$AH:$AH,$O126))</f>
        <v/>
      </c>
      <c r="G126" s="17" t="str">
        <f aca="false">IF($O126="","",INDEX('Auto Process'!$AI:$AI,$O126))</f>
        <v/>
      </c>
      <c r="H126" s="17" t="str">
        <f aca="false">IF($O126="","",INDEX('Auto Process'!$AJ:$AJ,$O126))</f>
        <v/>
      </c>
      <c r="I126" s="17" t="str">
        <f aca="false">IF($O126="","",INDEX('Auto Process'!$AK:$AK,$O126))</f>
        <v/>
      </c>
      <c r="J126" s="17" t="str">
        <f aca="false">IF($O126="","",INDEX('Auto Process'!$AL:$AL,$O126))</f>
        <v/>
      </c>
      <c r="K126" s="17" t="str">
        <f aca="false">IF($O126="","",INDEX('Auto Process'!$AM:$AM,$O126))</f>
        <v/>
      </c>
      <c r="L126" s="17" t="str">
        <f aca="false">IF($O126="","",INDEX('Auto Process'!$AN:$AN,$O126))</f>
        <v/>
      </c>
      <c r="M126" s="17" t="str">
        <f aca="false">IF($O126="","",INDEX('Auto Process'!$AO:$AO,$O126))</f>
        <v/>
      </c>
      <c r="O126" s="19" t="str">
        <f aca="false">IFERROR(_xlfn.AGGREGATE(15,6,ROW('Auto Process'!$D$4:$D$503)/('Auto Process'!$D$4:$D$503="Panel Details"),ROW()-1),"")</f>
        <v/>
      </c>
    </row>
    <row r="127" customFormat="false" ht="13.5" hidden="false" customHeight="true" outlineLevel="0" collapsed="false">
      <c r="A127" s="27" t="str">
        <f aca="false">IF($O127="","",INDEX('Auto Process'!$AC:$AC,$O127))</f>
        <v/>
      </c>
      <c r="B127" s="17" t="str">
        <f aca="false">IF($O127="","",INDEX('Auto Process'!$AD:$AD,$O127))</f>
        <v/>
      </c>
      <c r="C127" s="17" t="str">
        <f aca="false">IF($O127="","",INDEX('Auto Process'!$AE:$AE,$O127))</f>
        <v/>
      </c>
      <c r="D127" s="17" t="str">
        <f aca="false">IF($O127="","",INDEX('Auto Process'!$AF:$AF,$O127))</f>
        <v/>
      </c>
      <c r="E127" s="17" t="str">
        <f aca="false">IF($O127="","",INDEX('Auto Process'!$AG:$AG,$O127))</f>
        <v/>
      </c>
      <c r="F127" s="17" t="str">
        <f aca="false">IF($O127="","",INDEX('Auto Process'!$AH:$AH,$O127))</f>
        <v/>
      </c>
      <c r="G127" s="17" t="str">
        <f aca="false">IF($O127="","",INDEX('Auto Process'!$AI:$AI,$O127))</f>
        <v/>
      </c>
      <c r="H127" s="17" t="str">
        <f aca="false">IF($O127="","",INDEX('Auto Process'!$AJ:$AJ,$O127))</f>
        <v/>
      </c>
      <c r="I127" s="17" t="str">
        <f aca="false">IF($O127="","",INDEX('Auto Process'!$AK:$AK,$O127))</f>
        <v/>
      </c>
      <c r="J127" s="17" t="str">
        <f aca="false">IF($O127="","",INDEX('Auto Process'!$AL:$AL,$O127))</f>
        <v/>
      </c>
      <c r="K127" s="17" t="str">
        <f aca="false">IF($O127="","",INDEX('Auto Process'!$AM:$AM,$O127))</f>
        <v/>
      </c>
      <c r="L127" s="17" t="str">
        <f aca="false">IF($O127="","",INDEX('Auto Process'!$AN:$AN,$O127))</f>
        <v/>
      </c>
      <c r="M127" s="17" t="str">
        <f aca="false">IF($O127="","",INDEX('Auto Process'!$AO:$AO,$O127))</f>
        <v/>
      </c>
      <c r="O127" s="19" t="str">
        <f aca="false">IFERROR(_xlfn.AGGREGATE(15,6,ROW('Auto Process'!$D$4:$D$503)/('Auto Process'!$D$4:$D$503="Panel Details"),ROW()-1),"")</f>
        <v/>
      </c>
    </row>
    <row r="128" customFormat="false" ht="13.5" hidden="false" customHeight="true" outlineLevel="0" collapsed="false">
      <c r="A128" s="27" t="str">
        <f aca="false">IF($O128="","",INDEX('Auto Process'!$AC:$AC,$O128))</f>
        <v/>
      </c>
      <c r="B128" s="17" t="str">
        <f aca="false">IF($O128="","",INDEX('Auto Process'!$AD:$AD,$O128))</f>
        <v/>
      </c>
      <c r="C128" s="17" t="str">
        <f aca="false">IF($O128="","",INDEX('Auto Process'!$AE:$AE,$O128))</f>
        <v/>
      </c>
      <c r="D128" s="17" t="str">
        <f aca="false">IF($O128="","",INDEX('Auto Process'!$AF:$AF,$O128))</f>
        <v/>
      </c>
      <c r="E128" s="17" t="str">
        <f aca="false">IF($O128="","",INDEX('Auto Process'!$AG:$AG,$O128))</f>
        <v/>
      </c>
      <c r="F128" s="17" t="str">
        <f aca="false">IF($O128="","",INDEX('Auto Process'!$AH:$AH,$O128))</f>
        <v/>
      </c>
      <c r="G128" s="17" t="str">
        <f aca="false">IF($O128="","",INDEX('Auto Process'!$AI:$AI,$O128))</f>
        <v/>
      </c>
      <c r="H128" s="17" t="str">
        <f aca="false">IF($O128="","",INDEX('Auto Process'!$AJ:$AJ,$O128))</f>
        <v/>
      </c>
      <c r="I128" s="17" t="str">
        <f aca="false">IF($O128="","",INDEX('Auto Process'!$AK:$AK,$O128))</f>
        <v/>
      </c>
      <c r="J128" s="17" t="str">
        <f aca="false">IF($O128="","",INDEX('Auto Process'!$AL:$AL,$O128))</f>
        <v/>
      </c>
      <c r="K128" s="17" t="str">
        <f aca="false">IF($O128="","",INDEX('Auto Process'!$AM:$AM,$O128))</f>
        <v/>
      </c>
      <c r="L128" s="17" t="str">
        <f aca="false">IF($O128="","",INDEX('Auto Process'!$AN:$AN,$O128))</f>
        <v/>
      </c>
      <c r="M128" s="17" t="str">
        <f aca="false">IF($O128="","",INDEX('Auto Process'!$AO:$AO,$O128))</f>
        <v/>
      </c>
      <c r="O128" s="19" t="str">
        <f aca="false">IFERROR(_xlfn.AGGREGATE(15,6,ROW('Auto Process'!$D$4:$D$503)/('Auto Process'!$D$4:$D$503="Panel Details"),ROW()-1),"")</f>
        <v/>
      </c>
    </row>
    <row r="129" customFormat="false" ht="13.5" hidden="false" customHeight="true" outlineLevel="0" collapsed="false">
      <c r="A129" s="27" t="str">
        <f aca="false">IF($O129="","",INDEX('Auto Process'!$AC:$AC,$O129))</f>
        <v/>
      </c>
      <c r="B129" s="17" t="str">
        <f aca="false">IF($O129="","",INDEX('Auto Process'!$AD:$AD,$O129))</f>
        <v/>
      </c>
      <c r="C129" s="17" t="str">
        <f aca="false">IF($O129="","",INDEX('Auto Process'!$AE:$AE,$O129))</f>
        <v/>
      </c>
      <c r="D129" s="17" t="str">
        <f aca="false">IF($O129="","",INDEX('Auto Process'!$AF:$AF,$O129))</f>
        <v/>
      </c>
      <c r="E129" s="17" t="str">
        <f aca="false">IF($O129="","",INDEX('Auto Process'!$AG:$AG,$O129))</f>
        <v/>
      </c>
      <c r="F129" s="17" t="str">
        <f aca="false">IF($O129="","",INDEX('Auto Process'!$AH:$AH,$O129))</f>
        <v/>
      </c>
      <c r="G129" s="17" t="str">
        <f aca="false">IF($O129="","",INDEX('Auto Process'!$AI:$AI,$O129))</f>
        <v/>
      </c>
      <c r="H129" s="17" t="str">
        <f aca="false">IF($O129="","",INDEX('Auto Process'!$AJ:$AJ,$O129))</f>
        <v/>
      </c>
      <c r="I129" s="17" t="str">
        <f aca="false">IF($O129="","",INDEX('Auto Process'!$AK:$AK,$O129))</f>
        <v/>
      </c>
      <c r="J129" s="17" t="str">
        <f aca="false">IF($O129="","",INDEX('Auto Process'!$AL:$AL,$O129))</f>
        <v/>
      </c>
      <c r="K129" s="17" t="str">
        <f aca="false">IF($O129="","",INDEX('Auto Process'!$AM:$AM,$O129))</f>
        <v/>
      </c>
      <c r="L129" s="17" t="str">
        <f aca="false">IF($O129="","",INDEX('Auto Process'!$AN:$AN,$O129))</f>
        <v/>
      </c>
      <c r="M129" s="17" t="str">
        <f aca="false">IF($O129="","",INDEX('Auto Process'!$AO:$AO,$O129))</f>
        <v/>
      </c>
      <c r="O129" s="19" t="str">
        <f aca="false">IFERROR(_xlfn.AGGREGATE(15,6,ROW('Auto Process'!$D$4:$D$503)/('Auto Process'!$D$4:$D$503="Panel Details"),ROW()-1),"")</f>
        <v/>
      </c>
    </row>
    <row r="130" customFormat="false" ht="13.5" hidden="false" customHeight="true" outlineLevel="0" collapsed="false">
      <c r="A130" s="27" t="str">
        <f aca="false">IF($O130="","",INDEX('Auto Process'!$AC:$AC,$O130))</f>
        <v/>
      </c>
      <c r="B130" s="17" t="str">
        <f aca="false">IF($O130="","",INDEX('Auto Process'!$AD:$AD,$O130))</f>
        <v/>
      </c>
      <c r="C130" s="17" t="str">
        <f aca="false">IF($O130="","",INDEX('Auto Process'!$AE:$AE,$O130))</f>
        <v/>
      </c>
      <c r="D130" s="17" t="str">
        <f aca="false">IF($O130="","",INDEX('Auto Process'!$AF:$AF,$O130))</f>
        <v/>
      </c>
      <c r="E130" s="17" t="str">
        <f aca="false">IF($O130="","",INDEX('Auto Process'!$AG:$AG,$O130))</f>
        <v/>
      </c>
      <c r="F130" s="17" t="str">
        <f aca="false">IF($O130="","",INDEX('Auto Process'!$AH:$AH,$O130))</f>
        <v/>
      </c>
      <c r="G130" s="17" t="str">
        <f aca="false">IF($O130="","",INDEX('Auto Process'!$AI:$AI,$O130))</f>
        <v/>
      </c>
      <c r="H130" s="17" t="str">
        <f aca="false">IF($O130="","",INDEX('Auto Process'!$AJ:$AJ,$O130))</f>
        <v/>
      </c>
      <c r="I130" s="17" t="str">
        <f aca="false">IF($O130="","",INDEX('Auto Process'!$AK:$AK,$O130))</f>
        <v/>
      </c>
      <c r="J130" s="17" t="str">
        <f aca="false">IF($O130="","",INDEX('Auto Process'!$AL:$AL,$O130))</f>
        <v/>
      </c>
      <c r="K130" s="17" t="str">
        <f aca="false">IF($O130="","",INDEX('Auto Process'!$AM:$AM,$O130))</f>
        <v/>
      </c>
      <c r="L130" s="17" t="str">
        <f aca="false">IF($O130="","",INDEX('Auto Process'!$AN:$AN,$O130))</f>
        <v/>
      </c>
      <c r="M130" s="17" t="str">
        <f aca="false">IF($O130="","",INDEX('Auto Process'!$AO:$AO,$O130))</f>
        <v/>
      </c>
      <c r="O130" s="19" t="str">
        <f aca="false">IFERROR(_xlfn.AGGREGATE(15,6,ROW('Auto Process'!$D$4:$D$503)/('Auto Process'!$D$4:$D$503="Panel Details"),ROW()-1),"")</f>
        <v/>
      </c>
    </row>
    <row r="131" customFormat="false" ht="13.5" hidden="false" customHeight="true" outlineLevel="0" collapsed="false">
      <c r="A131" s="27" t="str">
        <f aca="false">IF($O131="","",INDEX('Auto Process'!$AC:$AC,$O131))</f>
        <v/>
      </c>
      <c r="B131" s="17" t="str">
        <f aca="false">IF($O131="","",INDEX('Auto Process'!$AD:$AD,$O131))</f>
        <v/>
      </c>
      <c r="C131" s="17" t="str">
        <f aca="false">IF($O131="","",INDEX('Auto Process'!$AE:$AE,$O131))</f>
        <v/>
      </c>
      <c r="D131" s="17" t="str">
        <f aca="false">IF($O131="","",INDEX('Auto Process'!$AF:$AF,$O131))</f>
        <v/>
      </c>
      <c r="E131" s="17" t="str">
        <f aca="false">IF($O131="","",INDEX('Auto Process'!$AG:$AG,$O131))</f>
        <v/>
      </c>
      <c r="F131" s="17" t="str">
        <f aca="false">IF($O131="","",INDEX('Auto Process'!$AH:$AH,$O131))</f>
        <v/>
      </c>
      <c r="G131" s="17" t="str">
        <f aca="false">IF($O131="","",INDEX('Auto Process'!$AI:$AI,$O131))</f>
        <v/>
      </c>
      <c r="H131" s="17" t="str">
        <f aca="false">IF($O131="","",INDEX('Auto Process'!$AJ:$AJ,$O131))</f>
        <v/>
      </c>
      <c r="I131" s="17" t="str">
        <f aca="false">IF($O131="","",INDEX('Auto Process'!$AK:$AK,$O131))</f>
        <v/>
      </c>
      <c r="J131" s="17" t="str">
        <f aca="false">IF($O131="","",INDEX('Auto Process'!$AL:$AL,$O131))</f>
        <v/>
      </c>
      <c r="K131" s="17" t="str">
        <f aca="false">IF($O131="","",INDEX('Auto Process'!$AM:$AM,$O131))</f>
        <v/>
      </c>
      <c r="L131" s="17" t="str">
        <f aca="false">IF($O131="","",INDEX('Auto Process'!$AN:$AN,$O131))</f>
        <v/>
      </c>
      <c r="M131" s="17" t="str">
        <f aca="false">IF($O131="","",INDEX('Auto Process'!$AO:$AO,$O131))</f>
        <v/>
      </c>
      <c r="O131" s="19" t="str">
        <f aca="false">IFERROR(_xlfn.AGGREGATE(15,6,ROW('Auto Process'!$D$4:$D$503)/('Auto Process'!$D$4:$D$503="Panel Details"),ROW()-1),"")</f>
        <v/>
      </c>
    </row>
    <row r="132" customFormat="false" ht="13.5" hidden="false" customHeight="true" outlineLevel="0" collapsed="false">
      <c r="A132" s="27" t="str">
        <f aca="false">IF($O132="","",INDEX('Auto Process'!$AC:$AC,$O132))</f>
        <v/>
      </c>
      <c r="B132" s="17" t="str">
        <f aca="false">IF($O132="","",INDEX('Auto Process'!$AD:$AD,$O132))</f>
        <v/>
      </c>
      <c r="C132" s="17" t="str">
        <f aca="false">IF($O132="","",INDEX('Auto Process'!$AE:$AE,$O132))</f>
        <v/>
      </c>
      <c r="D132" s="17" t="str">
        <f aca="false">IF($O132="","",INDEX('Auto Process'!$AF:$AF,$O132))</f>
        <v/>
      </c>
      <c r="E132" s="17" t="str">
        <f aca="false">IF($O132="","",INDEX('Auto Process'!$AG:$AG,$O132))</f>
        <v/>
      </c>
      <c r="F132" s="17" t="str">
        <f aca="false">IF($O132="","",INDEX('Auto Process'!$AH:$AH,$O132))</f>
        <v/>
      </c>
      <c r="G132" s="17" t="str">
        <f aca="false">IF($O132="","",INDEX('Auto Process'!$AI:$AI,$O132))</f>
        <v/>
      </c>
      <c r="H132" s="17" t="str">
        <f aca="false">IF($O132="","",INDEX('Auto Process'!$AJ:$AJ,$O132))</f>
        <v/>
      </c>
      <c r="I132" s="17" t="str">
        <f aca="false">IF($O132="","",INDEX('Auto Process'!$AK:$AK,$O132))</f>
        <v/>
      </c>
      <c r="J132" s="17" t="str">
        <f aca="false">IF($O132="","",INDEX('Auto Process'!$AL:$AL,$O132))</f>
        <v/>
      </c>
      <c r="K132" s="17" t="str">
        <f aca="false">IF($O132="","",INDEX('Auto Process'!$AM:$AM,$O132))</f>
        <v/>
      </c>
      <c r="L132" s="17" t="str">
        <f aca="false">IF($O132="","",INDEX('Auto Process'!$AN:$AN,$O132))</f>
        <v/>
      </c>
      <c r="M132" s="17" t="str">
        <f aca="false">IF($O132="","",INDEX('Auto Process'!$AO:$AO,$O132))</f>
        <v/>
      </c>
      <c r="O132" s="19" t="str">
        <f aca="false">IFERROR(_xlfn.AGGREGATE(15,6,ROW('Auto Process'!$D$4:$D$503)/('Auto Process'!$D$4:$D$503="Panel Details"),ROW()-1),"")</f>
        <v/>
      </c>
    </row>
    <row r="133" customFormat="false" ht="13.5" hidden="false" customHeight="true" outlineLevel="0" collapsed="false">
      <c r="A133" s="27" t="str">
        <f aca="false">IF($O133="","",INDEX('Auto Process'!$AC:$AC,$O133))</f>
        <v/>
      </c>
      <c r="B133" s="17" t="str">
        <f aca="false">IF($O133="","",INDEX('Auto Process'!$AD:$AD,$O133))</f>
        <v/>
      </c>
      <c r="C133" s="17" t="str">
        <f aca="false">IF($O133="","",INDEX('Auto Process'!$AE:$AE,$O133))</f>
        <v/>
      </c>
      <c r="D133" s="17" t="str">
        <f aca="false">IF($O133="","",INDEX('Auto Process'!$AF:$AF,$O133))</f>
        <v/>
      </c>
      <c r="E133" s="17" t="str">
        <f aca="false">IF($O133="","",INDEX('Auto Process'!$AG:$AG,$O133))</f>
        <v/>
      </c>
      <c r="F133" s="17" t="str">
        <f aca="false">IF($O133="","",INDEX('Auto Process'!$AH:$AH,$O133))</f>
        <v/>
      </c>
      <c r="G133" s="17" t="str">
        <f aca="false">IF($O133="","",INDEX('Auto Process'!$AI:$AI,$O133))</f>
        <v/>
      </c>
      <c r="H133" s="17" t="str">
        <f aca="false">IF($O133="","",INDEX('Auto Process'!$AJ:$AJ,$O133))</f>
        <v/>
      </c>
      <c r="I133" s="17" t="str">
        <f aca="false">IF($O133="","",INDEX('Auto Process'!$AK:$AK,$O133))</f>
        <v/>
      </c>
      <c r="J133" s="17" t="str">
        <f aca="false">IF($O133="","",INDEX('Auto Process'!$AL:$AL,$O133))</f>
        <v/>
      </c>
      <c r="K133" s="17" t="str">
        <f aca="false">IF($O133="","",INDEX('Auto Process'!$AM:$AM,$O133))</f>
        <v/>
      </c>
      <c r="L133" s="17" t="str">
        <f aca="false">IF($O133="","",INDEX('Auto Process'!$AN:$AN,$O133))</f>
        <v/>
      </c>
      <c r="M133" s="17" t="str">
        <f aca="false">IF($O133="","",INDEX('Auto Process'!$AO:$AO,$O133))</f>
        <v/>
      </c>
      <c r="O133" s="19" t="str">
        <f aca="false">IFERROR(_xlfn.AGGREGATE(15,6,ROW('Auto Process'!$D$4:$D$503)/('Auto Process'!$D$4:$D$503="Panel Details"),ROW()-1),"")</f>
        <v/>
      </c>
    </row>
    <row r="134" customFormat="false" ht="13.5" hidden="false" customHeight="true" outlineLevel="0" collapsed="false">
      <c r="A134" s="27" t="str">
        <f aca="false">IF($O134="","",INDEX('Auto Process'!$AC:$AC,$O134))</f>
        <v/>
      </c>
      <c r="B134" s="17" t="str">
        <f aca="false">IF($O134="","",INDEX('Auto Process'!$AD:$AD,$O134))</f>
        <v/>
      </c>
      <c r="C134" s="17" t="str">
        <f aca="false">IF($O134="","",INDEX('Auto Process'!$AE:$AE,$O134))</f>
        <v/>
      </c>
      <c r="D134" s="17" t="str">
        <f aca="false">IF($O134="","",INDEX('Auto Process'!$AF:$AF,$O134))</f>
        <v/>
      </c>
      <c r="E134" s="17" t="str">
        <f aca="false">IF($O134="","",INDEX('Auto Process'!$AG:$AG,$O134))</f>
        <v/>
      </c>
      <c r="F134" s="17" t="str">
        <f aca="false">IF($O134="","",INDEX('Auto Process'!$AH:$AH,$O134))</f>
        <v/>
      </c>
      <c r="G134" s="17" t="str">
        <f aca="false">IF($O134="","",INDEX('Auto Process'!$AI:$AI,$O134))</f>
        <v/>
      </c>
      <c r="H134" s="17" t="str">
        <f aca="false">IF($O134="","",INDEX('Auto Process'!$AJ:$AJ,$O134))</f>
        <v/>
      </c>
      <c r="I134" s="17" t="str">
        <f aca="false">IF($O134="","",INDEX('Auto Process'!$AK:$AK,$O134))</f>
        <v/>
      </c>
      <c r="J134" s="17" t="str">
        <f aca="false">IF($O134="","",INDEX('Auto Process'!$AL:$AL,$O134))</f>
        <v/>
      </c>
      <c r="K134" s="17" t="str">
        <f aca="false">IF($O134="","",INDEX('Auto Process'!$AM:$AM,$O134))</f>
        <v/>
      </c>
      <c r="L134" s="17" t="str">
        <f aca="false">IF($O134="","",INDEX('Auto Process'!$AN:$AN,$O134))</f>
        <v/>
      </c>
      <c r="M134" s="17" t="str">
        <f aca="false">IF($O134="","",INDEX('Auto Process'!$AO:$AO,$O134))</f>
        <v/>
      </c>
      <c r="O134" s="19" t="str">
        <f aca="false">IFERROR(_xlfn.AGGREGATE(15,6,ROW('Auto Process'!$D$4:$D$503)/('Auto Process'!$D$4:$D$503="Panel Details"),ROW()-1),"")</f>
        <v/>
      </c>
    </row>
    <row r="135" customFormat="false" ht="13.5" hidden="false" customHeight="true" outlineLevel="0" collapsed="false">
      <c r="A135" s="27" t="str">
        <f aca="false">IF($O135="","",INDEX('Auto Process'!$AC:$AC,$O135))</f>
        <v/>
      </c>
      <c r="B135" s="17" t="str">
        <f aca="false">IF($O135="","",INDEX('Auto Process'!$AD:$AD,$O135))</f>
        <v/>
      </c>
      <c r="C135" s="17" t="str">
        <f aca="false">IF($O135="","",INDEX('Auto Process'!$AE:$AE,$O135))</f>
        <v/>
      </c>
      <c r="D135" s="17" t="str">
        <f aca="false">IF($O135="","",INDEX('Auto Process'!$AF:$AF,$O135))</f>
        <v/>
      </c>
      <c r="E135" s="17" t="str">
        <f aca="false">IF($O135="","",INDEX('Auto Process'!$AG:$AG,$O135))</f>
        <v/>
      </c>
      <c r="F135" s="17" t="str">
        <f aca="false">IF($O135="","",INDEX('Auto Process'!$AH:$AH,$O135))</f>
        <v/>
      </c>
      <c r="G135" s="17" t="str">
        <f aca="false">IF($O135="","",INDEX('Auto Process'!$AI:$AI,$O135))</f>
        <v/>
      </c>
      <c r="H135" s="17" t="str">
        <f aca="false">IF($O135="","",INDEX('Auto Process'!$AJ:$AJ,$O135))</f>
        <v/>
      </c>
      <c r="I135" s="17" t="str">
        <f aca="false">IF($O135="","",INDEX('Auto Process'!$AK:$AK,$O135))</f>
        <v/>
      </c>
      <c r="J135" s="17" t="str">
        <f aca="false">IF($O135="","",INDEX('Auto Process'!$AL:$AL,$O135))</f>
        <v/>
      </c>
      <c r="K135" s="17" t="str">
        <f aca="false">IF($O135="","",INDEX('Auto Process'!$AM:$AM,$O135))</f>
        <v/>
      </c>
      <c r="L135" s="17" t="str">
        <f aca="false">IF($O135="","",INDEX('Auto Process'!$AN:$AN,$O135))</f>
        <v/>
      </c>
      <c r="M135" s="17" t="str">
        <f aca="false">IF($O135="","",INDEX('Auto Process'!$AO:$AO,$O135))</f>
        <v/>
      </c>
      <c r="O135" s="19" t="str">
        <f aca="false">IFERROR(_xlfn.AGGREGATE(15,6,ROW('Auto Process'!$D$4:$D$503)/('Auto Process'!$D$4:$D$503="Panel Details"),ROW()-1),"")</f>
        <v/>
      </c>
    </row>
    <row r="136" customFormat="false" ht="13.5" hidden="false" customHeight="true" outlineLevel="0" collapsed="false">
      <c r="A136" s="27" t="str">
        <f aca="false">IF($O136="","",INDEX('Auto Process'!$AC:$AC,$O136))</f>
        <v/>
      </c>
      <c r="B136" s="17" t="str">
        <f aca="false">IF($O136="","",INDEX('Auto Process'!$AD:$AD,$O136))</f>
        <v/>
      </c>
      <c r="C136" s="17" t="str">
        <f aca="false">IF($O136="","",INDEX('Auto Process'!$AE:$AE,$O136))</f>
        <v/>
      </c>
      <c r="D136" s="17" t="str">
        <f aca="false">IF($O136="","",INDEX('Auto Process'!$AF:$AF,$O136))</f>
        <v/>
      </c>
      <c r="E136" s="17" t="str">
        <f aca="false">IF($O136="","",INDEX('Auto Process'!$AG:$AG,$O136))</f>
        <v/>
      </c>
      <c r="F136" s="17" t="str">
        <f aca="false">IF($O136="","",INDEX('Auto Process'!$AH:$AH,$O136))</f>
        <v/>
      </c>
      <c r="G136" s="17" t="str">
        <f aca="false">IF($O136="","",INDEX('Auto Process'!$AI:$AI,$O136))</f>
        <v/>
      </c>
      <c r="H136" s="17" t="str">
        <f aca="false">IF($O136="","",INDEX('Auto Process'!$AJ:$AJ,$O136))</f>
        <v/>
      </c>
      <c r="I136" s="17" t="str">
        <f aca="false">IF($O136="","",INDEX('Auto Process'!$AK:$AK,$O136))</f>
        <v/>
      </c>
      <c r="J136" s="17" t="str">
        <f aca="false">IF($O136="","",INDEX('Auto Process'!$AL:$AL,$O136))</f>
        <v/>
      </c>
      <c r="K136" s="17" t="str">
        <f aca="false">IF($O136="","",INDEX('Auto Process'!$AM:$AM,$O136))</f>
        <v/>
      </c>
      <c r="L136" s="17" t="str">
        <f aca="false">IF($O136="","",INDEX('Auto Process'!$AN:$AN,$O136))</f>
        <v/>
      </c>
      <c r="M136" s="17" t="str">
        <f aca="false">IF($O136="","",INDEX('Auto Process'!$AO:$AO,$O136))</f>
        <v/>
      </c>
      <c r="O136" s="19" t="str">
        <f aca="false">IFERROR(_xlfn.AGGREGATE(15,6,ROW('Auto Process'!$D$4:$D$503)/('Auto Process'!$D$4:$D$503="Panel Details"),ROW()-1),"")</f>
        <v/>
      </c>
    </row>
    <row r="137" customFormat="false" ht="13.5" hidden="false" customHeight="true" outlineLevel="0" collapsed="false">
      <c r="A137" s="27" t="str">
        <f aca="false">IF($O137="","",INDEX('Auto Process'!$AC:$AC,$O137))</f>
        <v/>
      </c>
      <c r="B137" s="17" t="str">
        <f aca="false">IF($O137="","",INDEX('Auto Process'!$AD:$AD,$O137))</f>
        <v/>
      </c>
      <c r="C137" s="17" t="str">
        <f aca="false">IF($O137="","",INDEX('Auto Process'!$AE:$AE,$O137))</f>
        <v/>
      </c>
      <c r="D137" s="17" t="str">
        <f aca="false">IF($O137="","",INDEX('Auto Process'!$AF:$AF,$O137))</f>
        <v/>
      </c>
      <c r="E137" s="17" t="str">
        <f aca="false">IF($O137="","",INDEX('Auto Process'!$AG:$AG,$O137))</f>
        <v/>
      </c>
      <c r="F137" s="17" t="str">
        <f aca="false">IF($O137="","",INDEX('Auto Process'!$AH:$AH,$O137))</f>
        <v/>
      </c>
      <c r="G137" s="17" t="str">
        <f aca="false">IF($O137="","",INDEX('Auto Process'!$AI:$AI,$O137))</f>
        <v/>
      </c>
      <c r="H137" s="17" t="str">
        <f aca="false">IF($O137="","",INDEX('Auto Process'!$AJ:$AJ,$O137))</f>
        <v/>
      </c>
      <c r="I137" s="17" t="str">
        <f aca="false">IF($O137="","",INDEX('Auto Process'!$AK:$AK,$O137))</f>
        <v/>
      </c>
      <c r="J137" s="17" t="str">
        <f aca="false">IF($O137="","",INDEX('Auto Process'!$AL:$AL,$O137))</f>
        <v/>
      </c>
      <c r="K137" s="17" t="str">
        <f aca="false">IF($O137="","",INDEX('Auto Process'!$AM:$AM,$O137))</f>
        <v/>
      </c>
      <c r="L137" s="17" t="str">
        <f aca="false">IF($O137="","",INDEX('Auto Process'!$AN:$AN,$O137))</f>
        <v/>
      </c>
      <c r="M137" s="17" t="str">
        <f aca="false">IF($O137="","",INDEX('Auto Process'!$AO:$AO,$O137))</f>
        <v/>
      </c>
      <c r="O137" s="19" t="str">
        <f aca="false">IFERROR(_xlfn.AGGREGATE(15,6,ROW('Auto Process'!$D$4:$D$503)/('Auto Process'!$D$4:$D$503="Panel Details"),ROW()-1),"")</f>
        <v/>
      </c>
    </row>
    <row r="138" customFormat="false" ht="13.5" hidden="false" customHeight="true" outlineLevel="0" collapsed="false">
      <c r="A138" s="27" t="str">
        <f aca="false">IF($O138="","",INDEX('Auto Process'!$AC:$AC,$O138))</f>
        <v/>
      </c>
      <c r="B138" s="17" t="str">
        <f aca="false">IF($O138="","",INDEX('Auto Process'!$AD:$AD,$O138))</f>
        <v/>
      </c>
      <c r="C138" s="17" t="str">
        <f aca="false">IF($O138="","",INDEX('Auto Process'!$AE:$AE,$O138))</f>
        <v/>
      </c>
      <c r="D138" s="17" t="str">
        <f aca="false">IF($O138="","",INDEX('Auto Process'!$AF:$AF,$O138))</f>
        <v/>
      </c>
      <c r="E138" s="17" t="str">
        <f aca="false">IF($O138="","",INDEX('Auto Process'!$AG:$AG,$O138))</f>
        <v/>
      </c>
      <c r="F138" s="17" t="str">
        <f aca="false">IF($O138="","",INDEX('Auto Process'!$AH:$AH,$O138))</f>
        <v/>
      </c>
      <c r="G138" s="17" t="str">
        <f aca="false">IF($O138="","",INDEX('Auto Process'!$AI:$AI,$O138))</f>
        <v/>
      </c>
      <c r="H138" s="17" t="str">
        <f aca="false">IF($O138="","",INDEX('Auto Process'!$AJ:$AJ,$O138))</f>
        <v/>
      </c>
      <c r="I138" s="17" t="str">
        <f aca="false">IF($O138="","",INDEX('Auto Process'!$AK:$AK,$O138))</f>
        <v/>
      </c>
      <c r="J138" s="17" t="str">
        <f aca="false">IF($O138="","",INDEX('Auto Process'!$AL:$AL,$O138))</f>
        <v/>
      </c>
      <c r="K138" s="17" t="str">
        <f aca="false">IF($O138="","",INDEX('Auto Process'!$AM:$AM,$O138))</f>
        <v/>
      </c>
      <c r="L138" s="17" t="str">
        <f aca="false">IF($O138="","",INDEX('Auto Process'!$AN:$AN,$O138))</f>
        <v/>
      </c>
      <c r="M138" s="17" t="str">
        <f aca="false">IF($O138="","",INDEX('Auto Process'!$AO:$AO,$O138))</f>
        <v/>
      </c>
      <c r="O138" s="19" t="str">
        <f aca="false">IFERROR(_xlfn.AGGREGATE(15,6,ROW('Auto Process'!$D$4:$D$503)/('Auto Process'!$D$4:$D$503="Panel Details"),ROW()-1),"")</f>
        <v/>
      </c>
    </row>
    <row r="139" customFormat="false" ht="13.5" hidden="false" customHeight="true" outlineLevel="0" collapsed="false">
      <c r="A139" s="27" t="str">
        <f aca="false">IF($O139="","",INDEX('Auto Process'!$AC:$AC,$O139))</f>
        <v/>
      </c>
      <c r="B139" s="17" t="str">
        <f aca="false">IF($O139="","",INDEX('Auto Process'!$AD:$AD,$O139))</f>
        <v/>
      </c>
      <c r="C139" s="17" t="str">
        <f aca="false">IF($O139="","",INDEX('Auto Process'!$AE:$AE,$O139))</f>
        <v/>
      </c>
      <c r="D139" s="17" t="str">
        <f aca="false">IF($O139="","",INDEX('Auto Process'!$AF:$AF,$O139))</f>
        <v/>
      </c>
      <c r="E139" s="17" t="str">
        <f aca="false">IF($O139="","",INDEX('Auto Process'!$AG:$AG,$O139))</f>
        <v/>
      </c>
      <c r="F139" s="17" t="str">
        <f aca="false">IF($O139="","",INDEX('Auto Process'!$AH:$AH,$O139))</f>
        <v/>
      </c>
      <c r="G139" s="17" t="str">
        <f aca="false">IF($O139="","",INDEX('Auto Process'!$AI:$AI,$O139))</f>
        <v/>
      </c>
      <c r="H139" s="17" t="str">
        <f aca="false">IF($O139="","",INDEX('Auto Process'!$AJ:$AJ,$O139))</f>
        <v/>
      </c>
      <c r="I139" s="17" t="str">
        <f aca="false">IF($O139="","",INDEX('Auto Process'!$AK:$AK,$O139))</f>
        <v/>
      </c>
      <c r="J139" s="17" t="str">
        <f aca="false">IF($O139="","",INDEX('Auto Process'!$AL:$AL,$O139))</f>
        <v/>
      </c>
      <c r="K139" s="17" t="str">
        <f aca="false">IF($O139="","",INDEX('Auto Process'!$AM:$AM,$O139))</f>
        <v/>
      </c>
      <c r="L139" s="17" t="str">
        <f aca="false">IF($O139="","",INDEX('Auto Process'!$AN:$AN,$O139))</f>
        <v/>
      </c>
      <c r="M139" s="17" t="str">
        <f aca="false">IF($O139="","",INDEX('Auto Process'!$AO:$AO,$O139))</f>
        <v/>
      </c>
      <c r="O139" s="19" t="str">
        <f aca="false">IFERROR(_xlfn.AGGREGATE(15,6,ROW('Auto Process'!$D$4:$D$503)/('Auto Process'!$D$4:$D$503="Panel Details"),ROW()-1),"")</f>
        <v/>
      </c>
    </row>
    <row r="140" customFormat="false" ht="13.5" hidden="false" customHeight="true" outlineLevel="0" collapsed="false">
      <c r="A140" s="27" t="str">
        <f aca="false">IF($O140="","",INDEX('Auto Process'!$AC:$AC,$O140))</f>
        <v/>
      </c>
      <c r="B140" s="17" t="str">
        <f aca="false">IF($O140="","",INDEX('Auto Process'!$AD:$AD,$O140))</f>
        <v/>
      </c>
      <c r="C140" s="17" t="str">
        <f aca="false">IF($O140="","",INDEX('Auto Process'!$AE:$AE,$O140))</f>
        <v/>
      </c>
      <c r="D140" s="17" t="str">
        <f aca="false">IF($O140="","",INDEX('Auto Process'!$AF:$AF,$O140))</f>
        <v/>
      </c>
      <c r="E140" s="17" t="str">
        <f aca="false">IF($O140="","",INDEX('Auto Process'!$AG:$AG,$O140))</f>
        <v/>
      </c>
      <c r="F140" s="17" t="str">
        <f aca="false">IF($O140="","",INDEX('Auto Process'!$AH:$AH,$O140))</f>
        <v/>
      </c>
      <c r="G140" s="17" t="str">
        <f aca="false">IF($O140="","",INDEX('Auto Process'!$AI:$AI,$O140))</f>
        <v/>
      </c>
      <c r="H140" s="17" t="str">
        <f aca="false">IF($O140="","",INDEX('Auto Process'!$AJ:$AJ,$O140))</f>
        <v/>
      </c>
      <c r="I140" s="17" t="str">
        <f aca="false">IF($O140="","",INDEX('Auto Process'!$AK:$AK,$O140))</f>
        <v/>
      </c>
      <c r="J140" s="17" t="str">
        <f aca="false">IF($O140="","",INDEX('Auto Process'!$AL:$AL,$O140))</f>
        <v/>
      </c>
      <c r="K140" s="17" t="str">
        <f aca="false">IF($O140="","",INDEX('Auto Process'!$AM:$AM,$O140))</f>
        <v/>
      </c>
      <c r="L140" s="17" t="str">
        <f aca="false">IF($O140="","",INDEX('Auto Process'!$AN:$AN,$O140))</f>
        <v/>
      </c>
      <c r="M140" s="17" t="str">
        <f aca="false">IF($O140="","",INDEX('Auto Process'!$AO:$AO,$O140))</f>
        <v/>
      </c>
      <c r="O140" s="19" t="str">
        <f aca="false">IFERROR(_xlfn.AGGREGATE(15,6,ROW('Auto Process'!$D$4:$D$503)/('Auto Process'!$D$4:$D$503="Panel Details"),ROW()-1),"")</f>
        <v/>
      </c>
    </row>
    <row r="141" customFormat="false" ht="13.5" hidden="false" customHeight="true" outlineLevel="0" collapsed="false">
      <c r="A141" s="27" t="str">
        <f aca="false">IF($O141="","",INDEX('Auto Process'!$AC:$AC,$O141))</f>
        <v/>
      </c>
      <c r="B141" s="17" t="str">
        <f aca="false">IF($O141="","",INDEX('Auto Process'!$AD:$AD,$O141))</f>
        <v/>
      </c>
      <c r="C141" s="17" t="str">
        <f aca="false">IF($O141="","",INDEX('Auto Process'!$AE:$AE,$O141))</f>
        <v/>
      </c>
      <c r="D141" s="17" t="str">
        <f aca="false">IF($O141="","",INDEX('Auto Process'!$AF:$AF,$O141))</f>
        <v/>
      </c>
      <c r="E141" s="17" t="str">
        <f aca="false">IF($O141="","",INDEX('Auto Process'!$AG:$AG,$O141))</f>
        <v/>
      </c>
      <c r="F141" s="17" t="str">
        <f aca="false">IF($O141="","",INDEX('Auto Process'!$AH:$AH,$O141))</f>
        <v/>
      </c>
      <c r="G141" s="17" t="str">
        <f aca="false">IF($O141="","",INDEX('Auto Process'!$AI:$AI,$O141))</f>
        <v/>
      </c>
      <c r="H141" s="17" t="str">
        <f aca="false">IF($O141="","",INDEX('Auto Process'!$AJ:$AJ,$O141))</f>
        <v/>
      </c>
      <c r="I141" s="17" t="str">
        <f aca="false">IF($O141="","",INDEX('Auto Process'!$AK:$AK,$O141))</f>
        <v/>
      </c>
      <c r="J141" s="17" t="str">
        <f aca="false">IF($O141="","",INDEX('Auto Process'!$AL:$AL,$O141))</f>
        <v/>
      </c>
      <c r="K141" s="17" t="str">
        <f aca="false">IF($O141="","",INDEX('Auto Process'!$AM:$AM,$O141))</f>
        <v/>
      </c>
      <c r="L141" s="17" t="str">
        <f aca="false">IF($O141="","",INDEX('Auto Process'!$AN:$AN,$O141))</f>
        <v/>
      </c>
      <c r="M141" s="17" t="str">
        <f aca="false">IF($O141="","",INDEX('Auto Process'!$AO:$AO,$O141))</f>
        <v/>
      </c>
      <c r="O141" s="19" t="str">
        <f aca="false">IFERROR(_xlfn.AGGREGATE(15,6,ROW('Auto Process'!$D$4:$D$503)/('Auto Process'!$D$4:$D$503="Panel Details"),ROW()-1),"")</f>
        <v/>
      </c>
    </row>
    <row r="142" customFormat="false" ht="13.5" hidden="false" customHeight="true" outlineLevel="0" collapsed="false">
      <c r="A142" s="27" t="str">
        <f aca="false">IF($O142="","",INDEX('Auto Process'!$AC:$AC,$O142))</f>
        <v/>
      </c>
      <c r="B142" s="17" t="str">
        <f aca="false">IF($O142="","",INDEX('Auto Process'!$AD:$AD,$O142))</f>
        <v/>
      </c>
      <c r="C142" s="17" t="str">
        <f aca="false">IF($O142="","",INDEX('Auto Process'!$AE:$AE,$O142))</f>
        <v/>
      </c>
      <c r="D142" s="17" t="str">
        <f aca="false">IF($O142="","",INDEX('Auto Process'!$AF:$AF,$O142))</f>
        <v/>
      </c>
      <c r="E142" s="17" t="str">
        <f aca="false">IF($O142="","",INDEX('Auto Process'!$AG:$AG,$O142))</f>
        <v/>
      </c>
      <c r="F142" s="17" t="str">
        <f aca="false">IF($O142="","",INDEX('Auto Process'!$AH:$AH,$O142))</f>
        <v/>
      </c>
      <c r="G142" s="17" t="str">
        <f aca="false">IF($O142="","",INDEX('Auto Process'!$AI:$AI,$O142))</f>
        <v/>
      </c>
      <c r="H142" s="17" t="str">
        <f aca="false">IF($O142="","",INDEX('Auto Process'!$AJ:$AJ,$O142))</f>
        <v/>
      </c>
      <c r="I142" s="17" t="str">
        <f aca="false">IF($O142="","",INDEX('Auto Process'!$AK:$AK,$O142))</f>
        <v/>
      </c>
      <c r="J142" s="17" t="str">
        <f aca="false">IF($O142="","",INDEX('Auto Process'!$AL:$AL,$O142))</f>
        <v/>
      </c>
      <c r="K142" s="17" t="str">
        <f aca="false">IF($O142="","",INDEX('Auto Process'!$AM:$AM,$O142))</f>
        <v/>
      </c>
      <c r="L142" s="17" t="str">
        <f aca="false">IF($O142="","",INDEX('Auto Process'!$AN:$AN,$O142))</f>
        <v/>
      </c>
      <c r="M142" s="17" t="str">
        <f aca="false">IF($O142="","",INDEX('Auto Process'!$AO:$AO,$O142))</f>
        <v/>
      </c>
      <c r="O142" s="19" t="str">
        <f aca="false">IFERROR(_xlfn.AGGREGATE(15,6,ROW('Auto Process'!$D$4:$D$503)/('Auto Process'!$D$4:$D$503="Panel Details"),ROW()-1),"")</f>
        <v/>
      </c>
    </row>
    <row r="143" customFormat="false" ht="13.5" hidden="false" customHeight="true" outlineLevel="0" collapsed="false">
      <c r="A143" s="27" t="str">
        <f aca="false">IF($O143="","",INDEX('Auto Process'!$AC:$AC,$O143))</f>
        <v/>
      </c>
      <c r="B143" s="17" t="str">
        <f aca="false">IF($O143="","",INDEX('Auto Process'!$AD:$AD,$O143))</f>
        <v/>
      </c>
      <c r="C143" s="17" t="str">
        <f aca="false">IF($O143="","",INDEX('Auto Process'!$AE:$AE,$O143))</f>
        <v/>
      </c>
      <c r="D143" s="17" t="str">
        <f aca="false">IF($O143="","",INDEX('Auto Process'!$AF:$AF,$O143))</f>
        <v/>
      </c>
      <c r="E143" s="17" t="str">
        <f aca="false">IF($O143="","",INDEX('Auto Process'!$AG:$AG,$O143))</f>
        <v/>
      </c>
      <c r="F143" s="17" t="str">
        <f aca="false">IF($O143="","",INDEX('Auto Process'!$AH:$AH,$O143))</f>
        <v/>
      </c>
      <c r="G143" s="17" t="str">
        <f aca="false">IF($O143="","",INDEX('Auto Process'!$AI:$AI,$O143))</f>
        <v/>
      </c>
      <c r="H143" s="17" t="str">
        <f aca="false">IF($O143="","",INDEX('Auto Process'!$AJ:$AJ,$O143))</f>
        <v/>
      </c>
      <c r="I143" s="17" t="str">
        <f aca="false">IF($O143="","",INDEX('Auto Process'!$AK:$AK,$O143))</f>
        <v/>
      </c>
      <c r="J143" s="17" t="str">
        <f aca="false">IF($O143="","",INDEX('Auto Process'!$AL:$AL,$O143))</f>
        <v/>
      </c>
      <c r="K143" s="17" t="str">
        <f aca="false">IF($O143="","",INDEX('Auto Process'!$AM:$AM,$O143))</f>
        <v/>
      </c>
      <c r="L143" s="17" t="str">
        <f aca="false">IF($O143="","",INDEX('Auto Process'!$AN:$AN,$O143))</f>
        <v/>
      </c>
      <c r="M143" s="17" t="str">
        <f aca="false">IF($O143="","",INDEX('Auto Process'!$AO:$AO,$O143))</f>
        <v/>
      </c>
      <c r="O143" s="19" t="str">
        <f aca="false">IFERROR(_xlfn.AGGREGATE(15,6,ROW('Auto Process'!$D$4:$D$503)/('Auto Process'!$D$4:$D$503="Panel Details"),ROW()-1),"")</f>
        <v/>
      </c>
    </row>
    <row r="144" customFormat="false" ht="13.5" hidden="false" customHeight="true" outlineLevel="0" collapsed="false">
      <c r="A144" s="27" t="str">
        <f aca="false">IF($O144="","",INDEX('Auto Process'!$AC:$AC,$O144))</f>
        <v/>
      </c>
      <c r="B144" s="17" t="str">
        <f aca="false">IF($O144="","",INDEX('Auto Process'!$AD:$AD,$O144))</f>
        <v/>
      </c>
      <c r="C144" s="17" t="str">
        <f aca="false">IF($O144="","",INDEX('Auto Process'!$AE:$AE,$O144))</f>
        <v/>
      </c>
      <c r="D144" s="17" t="str">
        <f aca="false">IF($O144="","",INDEX('Auto Process'!$AF:$AF,$O144))</f>
        <v/>
      </c>
      <c r="E144" s="17" t="str">
        <f aca="false">IF($O144="","",INDEX('Auto Process'!$AG:$AG,$O144))</f>
        <v/>
      </c>
      <c r="F144" s="17" t="str">
        <f aca="false">IF($O144="","",INDEX('Auto Process'!$AH:$AH,$O144))</f>
        <v/>
      </c>
      <c r="G144" s="17" t="str">
        <f aca="false">IF($O144="","",INDEX('Auto Process'!$AI:$AI,$O144))</f>
        <v/>
      </c>
      <c r="H144" s="17" t="str">
        <f aca="false">IF($O144="","",INDEX('Auto Process'!$AJ:$AJ,$O144))</f>
        <v/>
      </c>
      <c r="I144" s="17" t="str">
        <f aca="false">IF($O144="","",INDEX('Auto Process'!$AK:$AK,$O144))</f>
        <v/>
      </c>
      <c r="J144" s="17" t="str">
        <f aca="false">IF($O144="","",INDEX('Auto Process'!$AL:$AL,$O144))</f>
        <v/>
      </c>
      <c r="K144" s="17" t="str">
        <f aca="false">IF($O144="","",INDEX('Auto Process'!$AM:$AM,$O144))</f>
        <v/>
      </c>
      <c r="L144" s="17" t="str">
        <f aca="false">IF($O144="","",INDEX('Auto Process'!$AN:$AN,$O144))</f>
        <v/>
      </c>
      <c r="M144" s="17" t="str">
        <f aca="false">IF($O144="","",INDEX('Auto Process'!$AO:$AO,$O144))</f>
        <v/>
      </c>
      <c r="O144" s="19" t="str">
        <f aca="false">IFERROR(_xlfn.AGGREGATE(15,6,ROW('Auto Process'!$D$4:$D$503)/('Auto Process'!$D$4:$D$503="Panel Details"),ROW()-1),"")</f>
        <v/>
      </c>
    </row>
    <row r="145" customFormat="false" ht="13.5" hidden="false" customHeight="true" outlineLevel="0" collapsed="false">
      <c r="A145" s="27" t="str">
        <f aca="false">IF($O145="","",INDEX('Auto Process'!$AC:$AC,$O145))</f>
        <v/>
      </c>
      <c r="B145" s="17" t="str">
        <f aca="false">IF($O145="","",INDEX('Auto Process'!$AD:$AD,$O145))</f>
        <v/>
      </c>
      <c r="C145" s="17" t="str">
        <f aca="false">IF($O145="","",INDEX('Auto Process'!$AE:$AE,$O145))</f>
        <v/>
      </c>
      <c r="D145" s="17" t="str">
        <f aca="false">IF($O145="","",INDEX('Auto Process'!$AF:$AF,$O145))</f>
        <v/>
      </c>
      <c r="E145" s="17" t="str">
        <f aca="false">IF($O145="","",INDEX('Auto Process'!$AG:$AG,$O145))</f>
        <v/>
      </c>
      <c r="F145" s="17" t="str">
        <f aca="false">IF($O145="","",INDEX('Auto Process'!$AH:$AH,$O145))</f>
        <v/>
      </c>
      <c r="G145" s="17" t="str">
        <f aca="false">IF($O145="","",INDEX('Auto Process'!$AI:$AI,$O145))</f>
        <v/>
      </c>
      <c r="H145" s="17" t="str">
        <f aca="false">IF($O145="","",INDEX('Auto Process'!$AJ:$AJ,$O145))</f>
        <v/>
      </c>
      <c r="I145" s="17" t="str">
        <f aca="false">IF($O145="","",INDEX('Auto Process'!$AK:$AK,$O145))</f>
        <v/>
      </c>
      <c r="J145" s="17" t="str">
        <f aca="false">IF($O145="","",INDEX('Auto Process'!$AL:$AL,$O145))</f>
        <v/>
      </c>
      <c r="K145" s="17" t="str">
        <f aca="false">IF($O145="","",INDEX('Auto Process'!$AM:$AM,$O145))</f>
        <v/>
      </c>
      <c r="L145" s="17" t="str">
        <f aca="false">IF($O145="","",INDEX('Auto Process'!$AN:$AN,$O145))</f>
        <v/>
      </c>
      <c r="M145" s="17" t="str">
        <f aca="false">IF($O145="","",INDEX('Auto Process'!$AO:$AO,$O145))</f>
        <v/>
      </c>
      <c r="O145" s="19" t="str">
        <f aca="false">IFERROR(_xlfn.AGGREGATE(15,6,ROW('Auto Process'!$D$4:$D$503)/('Auto Process'!$D$4:$D$503="Panel Details"),ROW()-1),"")</f>
        <v/>
      </c>
    </row>
    <row r="146" customFormat="false" ht="13.5" hidden="false" customHeight="true" outlineLevel="0" collapsed="false">
      <c r="A146" s="27" t="str">
        <f aca="false">IF($O146="","",INDEX('Auto Process'!$AC:$AC,$O146))</f>
        <v/>
      </c>
      <c r="B146" s="17" t="str">
        <f aca="false">IF($O146="","",INDEX('Auto Process'!$AD:$AD,$O146))</f>
        <v/>
      </c>
      <c r="C146" s="17" t="str">
        <f aca="false">IF($O146="","",INDEX('Auto Process'!$AE:$AE,$O146))</f>
        <v/>
      </c>
      <c r="D146" s="17" t="str">
        <f aca="false">IF($O146="","",INDEX('Auto Process'!$AF:$AF,$O146))</f>
        <v/>
      </c>
      <c r="E146" s="17" t="str">
        <f aca="false">IF($O146="","",INDEX('Auto Process'!$AG:$AG,$O146))</f>
        <v/>
      </c>
      <c r="F146" s="17" t="str">
        <f aca="false">IF($O146="","",INDEX('Auto Process'!$AH:$AH,$O146))</f>
        <v/>
      </c>
      <c r="G146" s="17" t="str">
        <f aca="false">IF($O146="","",INDEX('Auto Process'!$AI:$AI,$O146))</f>
        <v/>
      </c>
      <c r="H146" s="17" t="str">
        <f aca="false">IF($O146="","",INDEX('Auto Process'!$AJ:$AJ,$O146))</f>
        <v/>
      </c>
      <c r="I146" s="17" t="str">
        <f aca="false">IF($O146="","",INDEX('Auto Process'!$AK:$AK,$O146))</f>
        <v/>
      </c>
      <c r="J146" s="17" t="str">
        <f aca="false">IF($O146="","",INDEX('Auto Process'!$AL:$AL,$O146))</f>
        <v/>
      </c>
      <c r="K146" s="17" t="str">
        <f aca="false">IF($O146="","",INDEX('Auto Process'!$AM:$AM,$O146))</f>
        <v/>
      </c>
      <c r="L146" s="17" t="str">
        <f aca="false">IF($O146="","",INDEX('Auto Process'!$AN:$AN,$O146))</f>
        <v/>
      </c>
      <c r="M146" s="17" t="str">
        <f aca="false">IF($O146="","",INDEX('Auto Process'!$AO:$AO,$O146))</f>
        <v/>
      </c>
      <c r="O146" s="19" t="str">
        <f aca="false">IFERROR(_xlfn.AGGREGATE(15,6,ROW('Auto Process'!$D$4:$D$503)/('Auto Process'!$D$4:$D$503="Panel Details"),ROW()-1),"")</f>
        <v/>
      </c>
    </row>
    <row r="147" customFormat="false" ht="13.5" hidden="false" customHeight="true" outlineLevel="0" collapsed="false">
      <c r="A147" s="27" t="str">
        <f aca="false">IF($O147="","",INDEX('Auto Process'!$AC:$AC,$O147))</f>
        <v/>
      </c>
      <c r="B147" s="17" t="str">
        <f aca="false">IF($O147="","",INDEX('Auto Process'!$AD:$AD,$O147))</f>
        <v/>
      </c>
      <c r="C147" s="17" t="str">
        <f aca="false">IF($O147="","",INDEX('Auto Process'!$AE:$AE,$O147))</f>
        <v/>
      </c>
      <c r="D147" s="17" t="str">
        <f aca="false">IF($O147="","",INDEX('Auto Process'!$AF:$AF,$O147))</f>
        <v/>
      </c>
      <c r="E147" s="17" t="str">
        <f aca="false">IF($O147="","",INDEX('Auto Process'!$AG:$AG,$O147))</f>
        <v/>
      </c>
      <c r="F147" s="17" t="str">
        <f aca="false">IF($O147="","",INDEX('Auto Process'!$AH:$AH,$O147))</f>
        <v/>
      </c>
      <c r="G147" s="17" t="str">
        <f aca="false">IF($O147="","",INDEX('Auto Process'!$AI:$AI,$O147))</f>
        <v/>
      </c>
      <c r="H147" s="17" t="str">
        <f aca="false">IF($O147="","",INDEX('Auto Process'!$AJ:$AJ,$O147))</f>
        <v/>
      </c>
      <c r="I147" s="17" t="str">
        <f aca="false">IF($O147="","",INDEX('Auto Process'!$AK:$AK,$O147))</f>
        <v/>
      </c>
      <c r="J147" s="17" t="str">
        <f aca="false">IF($O147="","",INDEX('Auto Process'!$AL:$AL,$O147))</f>
        <v/>
      </c>
      <c r="K147" s="17" t="str">
        <f aca="false">IF($O147="","",INDEX('Auto Process'!$AM:$AM,$O147))</f>
        <v/>
      </c>
      <c r="L147" s="17" t="str">
        <f aca="false">IF($O147="","",INDEX('Auto Process'!$AN:$AN,$O147))</f>
        <v/>
      </c>
      <c r="M147" s="17" t="str">
        <f aca="false">IF($O147="","",INDEX('Auto Process'!$AO:$AO,$O147))</f>
        <v/>
      </c>
      <c r="O147" s="19" t="str">
        <f aca="false">IFERROR(_xlfn.AGGREGATE(15,6,ROW('Auto Process'!$D$4:$D$503)/('Auto Process'!$D$4:$D$503="Panel Details"),ROW()-1),"")</f>
        <v/>
      </c>
    </row>
    <row r="148" customFormat="false" ht="13.5" hidden="false" customHeight="true" outlineLevel="0" collapsed="false">
      <c r="A148" s="27" t="str">
        <f aca="false">IF($O148="","",INDEX('Auto Process'!$AC:$AC,$O148))</f>
        <v/>
      </c>
      <c r="B148" s="17" t="str">
        <f aca="false">IF($O148="","",INDEX('Auto Process'!$AD:$AD,$O148))</f>
        <v/>
      </c>
      <c r="C148" s="17" t="str">
        <f aca="false">IF($O148="","",INDEX('Auto Process'!$AE:$AE,$O148))</f>
        <v/>
      </c>
      <c r="D148" s="17" t="str">
        <f aca="false">IF($O148="","",INDEX('Auto Process'!$AF:$AF,$O148))</f>
        <v/>
      </c>
      <c r="E148" s="17" t="str">
        <f aca="false">IF($O148="","",INDEX('Auto Process'!$AG:$AG,$O148))</f>
        <v/>
      </c>
      <c r="F148" s="17" t="str">
        <f aca="false">IF($O148="","",INDEX('Auto Process'!$AH:$AH,$O148))</f>
        <v/>
      </c>
      <c r="G148" s="17" t="str">
        <f aca="false">IF($O148="","",INDEX('Auto Process'!$AI:$AI,$O148))</f>
        <v/>
      </c>
      <c r="H148" s="17" t="str">
        <f aca="false">IF($O148="","",INDEX('Auto Process'!$AJ:$AJ,$O148))</f>
        <v/>
      </c>
      <c r="I148" s="17" t="str">
        <f aca="false">IF($O148="","",INDEX('Auto Process'!$AK:$AK,$O148))</f>
        <v/>
      </c>
      <c r="J148" s="17" t="str">
        <f aca="false">IF($O148="","",INDEX('Auto Process'!$AL:$AL,$O148))</f>
        <v/>
      </c>
      <c r="K148" s="17" t="str">
        <f aca="false">IF($O148="","",INDEX('Auto Process'!$AM:$AM,$O148))</f>
        <v/>
      </c>
      <c r="L148" s="17" t="str">
        <f aca="false">IF($O148="","",INDEX('Auto Process'!$AN:$AN,$O148))</f>
        <v/>
      </c>
      <c r="M148" s="17" t="str">
        <f aca="false">IF($O148="","",INDEX('Auto Process'!$AO:$AO,$O148))</f>
        <v/>
      </c>
      <c r="O148" s="19" t="str">
        <f aca="false">IFERROR(_xlfn.AGGREGATE(15,6,ROW('Auto Process'!$D$4:$D$503)/('Auto Process'!$D$4:$D$503="Panel Details"),ROW()-1),"")</f>
        <v/>
      </c>
    </row>
    <row r="149" customFormat="false" ht="13.5" hidden="false" customHeight="true" outlineLevel="0" collapsed="false">
      <c r="A149" s="27" t="str">
        <f aca="false">IF($O149="","",INDEX('Auto Process'!$AC:$AC,$O149))</f>
        <v/>
      </c>
      <c r="B149" s="17" t="str">
        <f aca="false">IF($O149="","",INDEX('Auto Process'!$AD:$AD,$O149))</f>
        <v/>
      </c>
      <c r="C149" s="17" t="str">
        <f aca="false">IF($O149="","",INDEX('Auto Process'!$AE:$AE,$O149))</f>
        <v/>
      </c>
      <c r="D149" s="17" t="str">
        <f aca="false">IF($O149="","",INDEX('Auto Process'!$AF:$AF,$O149))</f>
        <v/>
      </c>
      <c r="E149" s="17" t="str">
        <f aca="false">IF($O149="","",INDEX('Auto Process'!$AG:$AG,$O149))</f>
        <v/>
      </c>
      <c r="F149" s="17" t="str">
        <f aca="false">IF($O149="","",INDEX('Auto Process'!$AH:$AH,$O149))</f>
        <v/>
      </c>
      <c r="G149" s="17" t="str">
        <f aca="false">IF($O149="","",INDEX('Auto Process'!$AI:$AI,$O149))</f>
        <v/>
      </c>
      <c r="H149" s="17" t="str">
        <f aca="false">IF($O149="","",INDEX('Auto Process'!$AJ:$AJ,$O149))</f>
        <v/>
      </c>
      <c r="I149" s="17" t="str">
        <f aca="false">IF($O149="","",INDEX('Auto Process'!$AK:$AK,$O149))</f>
        <v/>
      </c>
      <c r="J149" s="17" t="str">
        <f aca="false">IF($O149="","",INDEX('Auto Process'!$AL:$AL,$O149))</f>
        <v/>
      </c>
      <c r="K149" s="17" t="str">
        <f aca="false">IF($O149="","",INDEX('Auto Process'!$AM:$AM,$O149))</f>
        <v/>
      </c>
      <c r="L149" s="17" t="str">
        <f aca="false">IF($O149="","",INDEX('Auto Process'!$AN:$AN,$O149))</f>
        <v/>
      </c>
      <c r="M149" s="17" t="str">
        <f aca="false">IF($O149="","",INDEX('Auto Process'!$AO:$AO,$O149))</f>
        <v/>
      </c>
      <c r="O149" s="19" t="str">
        <f aca="false">IFERROR(_xlfn.AGGREGATE(15,6,ROW('Auto Process'!$D$4:$D$503)/('Auto Process'!$D$4:$D$503="Panel Details"),ROW()-1),"")</f>
        <v/>
      </c>
    </row>
    <row r="150" customFormat="false" ht="13.5" hidden="false" customHeight="true" outlineLevel="0" collapsed="false">
      <c r="A150" s="27" t="str">
        <f aca="false">IF($O150="","",INDEX('Auto Process'!$AC:$AC,$O150))</f>
        <v/>
      </c>
      <c r="B150" s="17" t="str">
        <f aca="false">IF($O150="","",INDEX('Auto Process'!$AD:$AD,$O150))</f>
        <v/>
      </c>
      <c r="C150" s="17" t="str">
        <f aca="false">IF($O150="","",INDEX('Auto Process'!$AE:$AE,$O150))</f>
        <v/>
      </c>
      <c r="D150" s="17" t="str">
        <f aca="false">IF($O150="","",INDEX('Auto Process'!$AF:$AF,$O150))</f>
        <v/>
      </c>
      <c r="E150" s="17" t="str">
        <f aca="false">IF($O150="","",INDEX('Auto Process'!$AG:$AG,$O150))</f>
        <v/>
      </c>
      <c r="F150" s="17" t="str">
        <f aca="false">IF($O150="","",INDEX('Auto Process'!$AH:$AH,$O150))</f>
        <v/>
      </c>
      <c r="G150" s="17" t="str">
        <f aca="false">IF($O150="","",INDEX('Auto Process'!$AI:$AI,$O150))</f>
        <v/>
      </c>
      <c r="H150" s="17" t="str">
        <f aca="false">IF($O150="","",INDEX('Auto Process'!$AJ:$AJ,$O150))</f>
        <v/>
      </c>
      <c r="I150" s="17" t="str">
        <f aca="false">IF($O150="","",INDEX('Auto Process'!$AK:$AK,$O150))</f>
        <v/>
      </c>
      <c r="J150" s="17" t="str">
        <f aca="false">IF($O150="","",INDEX('Auto Process'!$AL:$AL,$O150))</f>
        <v/>
      </c>
      <c r="K150" s="17" t="str">
        <f aca="false">IF($O150="","",INDEX('Auto Process'!$AM:$AM,$O150))</f>
        <v/>
      </c>
      <c r="L150" s="17" t="str">
        <f aca="false">IF($O150="","",INDEX('Auto Process'!$AN:$AN,$O150))</f>
        <v/>
      </c>
      <c r="M150" s="17" t="str">
        <f aca="false">IF($O150="","",INDEX('Auto Process'!$AO:$AO,$O150))</f>
        <v/>
      </c>
      <c r="O150" s="19" t="str">
        <f aca="false">IFERROR(_xlfn.AGGREGATE(15,6,ROW('Auto Process'!$D$4:$D$503)/('Auto Process'!$D$4:$D$503="Panel Details"),ROW()-1),"")</f>
        <v/>
      </c>
    </row>
    <row r="151" customFormat="false" ht="13.5" hidden="false" customHeight="true" outlineLevel="0" collapsed="false">
      <c r="A151" s="27" t="str">
        <f aca="false">IF($O151="","",INDEX('Auto Process'!$AC:$AC,$O151))</f>
        <v/>
      </c>
      <c r="B151" s="17" t="str">
        <f aca="false">IF($O151="","",INDEX('Auto Process'!$AD:$AD,$O151))</f>
        <v/>
      </c>
      <c r="C151" s="17" t="str">
        <f aca="false">IF($O151="","",INDEX('Auto Process'!$AE:$AE,$O151))</f>
        <v/>
      </c>
      <c r="D151" s="17" t="str">
        <f aca="false">IF($O151="","",INDEX('Auto Process'!$AF:$AF,$O151))</f>
        <v/>
      </c>
      <c r="E151" s="17" t="str">
        <f aca="false">IF($O151="","",INDEX('Auto Process'!$AG:$AG,$O151))</f>
        <v/>
      </c>
      <c r="F151" s="17" t="str">
        <f aca="false">IF($O151="","",INDEX('Auto Process'!$AH:$AH,$O151))</f>
        <v/>
      </c>
      <c r="G151" s="17" t="str">
        <f aca="false">IF($O151="","",INDEX('Auto Process'!$AI:$AI,$O151))</f>
        <v/>
      </c>
      <c r="H151" s="17" t="str">
        <f aca="false">IF($O151="","",INDEX('Auto Process'!$AJ:$AJ,$O151))</f>
        <v/>
      </c>
      <c r="I151" s="17" t="str">
        <f aca="false">IF($O151="","",INDEX('Auto Process'!$AK:$AK,$O151))</f>
        <v/>
      </c>
      <c r="J151" s="17" t="str">
        <f aca="false">IF($O151="","",INDEX('Auto Process'!$AL:$AL,$O151))</f>
        <v/>
      </c>
      <c r="K151" s="17" t="str">
        <f aca="false">IF($O151="","",INDEX('Auto Process'!$AM:$AM,$O151))</f>
        <v/>
      </c>
      <c r="L151" s="17" t="str">
        <f aca="false">IF($O151="","",INDEX('Auto Process'!$AN:$AN,$O151))</f>
        <v/>
      </c>
      <c r="M151" s="17" t="str">
        <f aca="false">IF($O151="","",INDEX('Auto Process'!$AO:$AO,$O151))</f>
        <v/>
      </c>
      <c r="O151" s="19" t="str">
        <f aca="false">IFERROR(_xlfn.AGGREGATE(15,6,ROW('Auto Process'!$D$4:$D$503)/('Auto Process'!$D$4:$D$503="Panel Details"),ROW()-1),"")</f>
        <v/>
      </c>
    </row>
    <row r="152" customFormat="false" ht="13.5" hidden="false" customHeight="true" outlineLevel="0" collapsed="false">
      <c r="A152" s="27" t="str">
        <f aca="false">IF($O152="","",INDEX('Auto Process'!$AC:$AC,$O152))</f>
        <v/>
      </c>
      <c r="B152" s="17" t="str">
        <f aca="false">IF($O152="","",INDEX('Auto Process'!$AD:$AD,$O152))</f>
        <v/>
      </c>
      <c r="C152" s="17" t="str">
        <f aca="false">IF($O152="","",INDEX('Auto Process'!$AE:$AE,$O152))</f>
        <v/>
      </c>
      <c r="D152" s="17" t="str">
        <f aca="false">IF($O152="","",INDEX('Auto Process'!$AF:$AF,$O152))</f>
        <v/>
      </c>
      <c r="E152" s="17" t="str">
        <f aca="false">IF($O152="","",INDEX('Auto Process'!$AG:$AG,$O152))</f>
        <v/>
      </c>
      <c r="F152" s="17" t="str">
        <f aca="false">IF($O152="","",INDEX('Auto Process'!$AH:$AH,$O152))</f>
        <v/>
      </c>
      <c r="G152" s="17" t="str">
        <f aca="false">IF($O152="","",INDEX('Auto Process'!$AI:$AI,$O152))</f>
        <v/>
      </c>
      <c r="H152" s="17" t="str">
        <f aca="false">IF($O152="","",INDEX('Auto Process'!$AJ:$AJ,$O152))</f>
        <v/>
      </c>
      <c r="I152" s="17" t="str">
        <f aca="false">IF($O152="","",INDEX('Auto Process'!$AK:$AK,$O152))</f>
        <v/>
      </c>
      <c r="J152" s="17" t="str">
        <f aca="false">IF($O152="","",INDEX('Auto Process'!$AL:$AL,$O152))</f>
        <v/>
      </c>
      <c r="K152" s="17" t="str">
        <f aca="false">IF($O152="","",INDEX('Auto Process'!$AM:$AM,$O152))</f>
        <v/>
      </c>
      <c r="L152" s="17" t="str">
        <f aca="false">IF($O152="","",INDEX('Auto Process'!$AN:$AN,$O152))</f>
        <v/>
      </c>
      <c r="M152" s="17" t="str">
        <f aca="false">IF($O152="","",INDEX('Auto Process'!$AO:$AO,$O152))</f>
        <v/>
      </c>
      <c r="O152" s="19" t="str">
        <f aca="false">IFERROR(_xlfn.AGGREGATE(15,6,ROW('Auto Process'!$D$4:$D$503)/('Auto Process'!$D$4:$D$503="Panel Details"),ROW()-1),"")</f>
        <v/>
      </c>
    </row>
    <row r="153" customFormat="false" ht="13.5" hidden="false" customHeight="true" outlineLevel="0" collapsed="false">
      <c r="A153" s="27" t="str">
        <f aca="false">IF($O153="","",INDEX('Auto Process'!$AC:$AC,$O153))</f>
        <v/>
      </c>
      <c r="B153" s="17" t="str">
        <f aca="false">IF($O153="","",INDEX('Auto Process'!$AD:$AD,$O153))</f>
        <v/>
      </c>
      <c r="C153" s="17" t="str">
        <f aca="false">IF($O153="","",INDEX('Auto Process'!$AE:$AE,$O153))</f>
        <v/>
      </c>
      <c r="D153" s="17" t="str">
        <f aca="false">IF($O153="","",INDEX('Auto Process'!$AF:$AF,$O153))</f>
        <v/>
      </c>
      <c r="E153" s="17" t="str">
        <f aca="false">IF($O153="","",INDEX('Auto Process'!$AG:$AG,$O153))</f>
        <v/>
      </c>
      <c r="F153" s="17" t="str">
        <f aca="false">IF($O153="","",INDEX('Auto Process'!$AH:$AH,$O153))</f>
        <v/>
      </c>
      <c r="G153" s="17" t="str">
        <f aca="false">IF($O153="","",INDEX('Auto Process'!$AI:$AI,$O153))</f>
        <v/>
      </c>
      <c r="H153" s="17" t="str">
        <f aca="false">IF($O153="","",INDEX('Auto Process'!$AJ:$AJ,$O153))</f>
        <v/>
      </c>
      <c r="I153" s="17" t="str">
        <f aca="false">IF($O153="","",INDEX('Auto Process'!$AK:$AK,$O153))</f>
        <v/>
      </c>
      <c r="J153" s="17" t="str">
        <f aca="false">IF($O153="","",INDEX('Auto Process'!$AL:$AL,$O153))</f>
        <v/>
      </c>
      <c r="K153" s="17" t="str">
        <f aca="false">IF($O153="","",INDEX('Auto Process'!$AM:$AM,$O153))</f>
        <v/>
      </c>
      <c r="L153" s="17" t="str">
        <f aca="false">IF($O153="","",INDEX('Auto Process'!$AN:$AN,$O153))</f>
        <v/>
      </c>
      <c r="M153" s="17" t="str">
        <f aca="false">IF($O153="","",INDEX('Auto Process'!$AO:$AO,$O153))</f>
        <v/>
      </c>
      <c r="O153" s="19" t="str">
        <f aca="false">IFERROR(_xlfn.AGGREGATE(15,6,ROW('Auto Process'!$D$4:$D$503)/('Auto Process'!$D$4:$D$503="Panel Details"),ROW()-1),"")</f>
        <v/>
      </c>
    </row>
    <row r="154" customFormat="false" ht="13.5" hidden="false" customHeight="true" outlineLevel="0" collapsed="false">
      <c r="A154" s="27" t="str">
        <f aca="false">IF($O154="","",INDEX('Auto Process'!$AC:$AC,$O154))</f>
        <v/>
      </c>
      <c r="B154" s="17" t="str">
        <f aca="false">IF($O154="","",INDEX('Auto Process'!$AD:$AD,$O154))</f>
        <v/>
      </c>
      <c r="C154" s="17" t="str">
        <f aca="false">IF($O154="","",INDEX('Auto Process'!$AE:$AE,$O154))</f>
        <v/>
      </c>
      <c r="D154" s="17" t="str">
        <f aca="false">IF($O154="","",INDEX('Auto Process'!$AF:$AF,$O154))</f>
        <v/>
      </c>
      <c r="E154" s="17" t="str">
        <f aca="false">IF($O154="","",INDEX('Auto Process'!$AG:$AG,$O154))</f>
        <v/>
      </c>
      <c r="F154" s="17" t="str">
        <f aca="false">IF($O154="","",INDEX('Auto Process'!$AH:$AH,$O154))</f>
        <v/>
      </c>
      <c r="G154" s="17" t="str">
        <f aca="false">IF($O154="","",INDEX('Auto Process'!$AI:$AI,$O154))</f>
        <v/>
      </c>
      <c r="H154" s="17" t="str">
        <f aca="false">IF($O154="","",INDEX('Auto Process'!$AJ:$AJ,$O154))</f>
        <v/>
      </c>
      <c r="I154" s="17" t="str">
        <f aca="false">IF($O154="","",INDEX('Auto Process'!$AK:$AK,$O154))</f>
        <v/>
      </c>
      <c r="J154" s="17" t="str">
        <f aca="false">IF($O154="","",INDEX('Auto Process'!$AL:$AL,$O154))</f>
        <v/>
      </c>
      <c r="K154" s="17" t="str">
        <f aca="false">IF($O154="","",INDEX('Auto Process'!$AM:$AM,$O154))</f>
        <v/>
      </c>
      <c r="L154" s="17" t="str">
        <f aca="false">IF($O154="","",INDEX('Auto Process'!$AN:$AN,$O154))</f>
        <v/>
      </c>
      <c r="M154" s="17" t="str">
        <f aca="false">IF($O154="","",INDEX('Auto Process'!$AO:$AO,$O154))</f>
        <v/>
      </c>
      <c r="O154" s="19" t="str">
        <f aca="false">IFERROR(_xlfn.AGGREGATE(15,6,ROW('Auto Process'!$D$4:$D$503)/('Auto Process'!$D$4:$D$503="Panel Details"),ROW()-1),"")</f>
        <v/>
      </c>
    </row>
    <row r="155" customFormat="false" ht="13.5" hidden="false" customHeight="true" outlineLevel="0" collapsed="false">
      <c r="A155" s="27" t="str">
        <f aca="false">IF($O155="","",INDEX('Auto Process'!$AC:$AC,$O155))</f>
        <v/>
      </c>
      <c r="B155" s="17" t="str">
        <f aca="false">IF($O155="","",INDEX('Auto Process'!$AD:$AD,$O155))</f>
        <v/>
      </c>
      <c r="C155" s="17" t="str">
        <f aca="false">IF($O155="","",INDEX('Auto Process'!$AE:$AE,$O155))</f>
        <v/>
      </c>
      <c r="D155" s="17" t="str">
        <f aca="false">IF($O155="","",INDEX('Auto Process'!$AF:$AF,$O155))</f>
        <v/>
      </c>
      <c r="E155" s="17" t="str">
        <f aca="false">IF($O155="","",INDEX('Auto Process'!$AG:$AG,$O155))</f>
        <v/>
      </c>
      <c r="F155" s="17" t="str">
        <f aca="false">IF($O155="","",INDEX('Auto Process'!$AH:$AH,$O155))</f>
        <v/>
      </c>
      <c r="G155" s="17" t="str">
        <f aca="false">IF($O155="","",INDEX('Auto Process'!$AI:$AI,$O155))</f>
        <v/>
      </c>
      <c r="H155" s="17" t="str">
        <f aca="false">IF($O155="","",INDEX('Auto Process'!$AJ:$AJ,$O155))</f>
        <v/>
      </c>
      <c r="I155" s="17" t="str">
        <f aca="false">IF($O155="","",INDEX('Auto Process'!$AK:$AK,$O155))</f>
        <v/>
      </c>
      <c r="J155" s="17" t="str">
        <f aca="false">IF($O155="","",INDEX('Auto Process'!$AL:$AL,$O155))</f>
        <v/>
      </c>
      <c r="K155" s="17" t="str">
        <f aca="false">IF($O155="","",INDEX('Auto Process'!$AM:$AM,$O155))</f>
        <v/>
      </c>
      <c r="L155" s="17" t="str">
        <f aca="false">IF($O155="","",INDEX('Auto Process'!$AN:$AN,$O155))</f>
        <v/>
      </c>
      <c r="M155" s="17" t="str">
        <f aca="false">IF($O155="","",INDEX('Auto Process'!$AO:$AO,$O155))</f>
        <v/>
      </c>
      <c r="O155" s="19" t="str">
        <f aca="false">IFERROR(_xlfn.AGGREGATE(15,6,ROW('Auto Process'!$D$4:$D$503)/('Auto Process'!$D$4:$D$503="Panel Details"),ROW()-1),"")</f>
        <v/>
      </c>
    </row>
    <row r="156" customFormat="false" ht="13.5" hidden="false" customHeight="true" outlineLevel="0" collapsed="false">
      <c r="A156" s="27" t="str">
        <f aca="false">IF($O156="","",INDEX('Auto Process'!$AC:$AC,$O156))</f>
        <v/>
      </c>
      <c r="B156" s="17" t="str">
        <f aca="false">IF($O156="","",INDEX('Auto Process'!$AD:$AD,$O156))</f>
        <v/>
      </c>
      <c r="C156" s="17" t="str">
        <f aca="false">IF($O156="","",INDEX('Auto Process'!$AE:$AE,$O156))</f>
        <v/>
      </c>
      <c r="D156" s="17" t="str">
        <f aca="false">IF($O156="","",INDEX('Auto Process'!$AF:$AF,$O156))</f>
        <v/>
      </c>
      <c r="E156" s="17" t="str">
        <f aca="false">IF($O156="","",INDEX('Auto Process'!$AG:$AG,$O156))</f>
        <v/>
      </c>
      <c r="F156" s="17" t="str">
        <f aca="false">IF($O156="","",INDEX('Auto Process'!$AH:$AH,$O156))</f>
        <v/>
      </c>
      <c r="G156" s="17" t="str">
        <f aca="false">IF($O156="","",INDEX('Auto Process'!$AI:$AI,$O156))</f>
        <v/>
      </c>
      <c r="H156" s="17" t="str">
        <f aca="false">IF($O156="","",INDEX('Auto Process'!$AJ:$AJ,$O156))</f>
        <v/>
      </c>
      <c r="I156" s="17" t="str">
        <f aca="false">IF($O156="","",INDEX('Auto Process'!$AK:$AK,$O156))</f>
        <v/>
      </c>
      <c r="J156" s="17" t="str">
        <f aca="false">IF($O156="","",INDEX('Auto Process'!$AL:$AL,$O156))</f>
        <v/>
      </c>
      <c r="K156" s="17" t="str">
        <f aca="false">IF($O156="","",INDEX('Auto Process'!$AM:$AM,$O156))</f>
        <v/>
      </c>
      <c r="L156" s="17" t="str">
        <f aca="false">IF($O156="","",INDEX('Auto Process'!$AN:$AN,$O156))</f>
        <v/>
      </c>
      <c r="M156" s="17" t="str">
        <f aca="false">IF($O156="","",INDEX('Auto Process'!$AO:$AO,$O156))</f>
        <v/>
      </c>
      <c r="O156" s="19" t="str">
        <f aca="false">IFERROR(_xlfn.AGGREGATE(15,6,ROW('Auto Process'!$D$4:$D$503)/('Auto Process'!$D$4:$D$503="Panel Details"),ROW()-1),"")</f>
        <v/>
      </c>
    </row>
    <row r="157" customFormat="false" ht="13.5" hidden="false" customHeight="true" outlineLevel="0" collapsed="false">
      <c r="A157" s="27" t="str">
        <f aca="false">IF($O157="","",INDEX('Auto Process'!$AC:$AC,$O157))</f>
        <v/>
      </c>
      <c r="B157" s="17" t="str">
        <f aca="false">IF($O157="","",INDEX('Auto Process'!$AD:$AD,$O157))</f>
        <v/>
      </c>
      <c r="C157" s="17" t="str">
        <f aca="false">IF($O157="","",INDEX('Auto Process'!$AE:$AE,$O157))</f>
        <v/>
      </c>
      <c r="D157" s="17" t="str">
        <f aca="false">IF($O157="","",INDEX('Auto Process'!$AF:$AF,$O157))</f>
        <v/>
      </c>
      <c r="E157" s="17" t="str">
        <f aca="false">IF($O157="","",INDEX('Auto Process'!$AG:$AG,$O157))</f>
        <v/>
      </c>
      <c r="F157" s="17" t="str">
        <f aca="false">IF($O157="","",INDEX('Auto Process'!$AH:$AH,$O157))</f>
        <v/>
      </c>
      <c r="G157" s="17" t="str">
        <f aca="false">IF($O157="","",INDEX('Auto Process'!$AI:$AI,$O157))</f>
        <v/>
      </c>
      <c r="H157" s="17" t="str">
        <f aca="false">IF($O157="","",INDEX('Auto Process'!$AJ:$AJ,$O157))</f>
        <v/>
      </c>
      <c r="I157" s="17" t="str">
        <f aca="false">IF($O157="","",INDEX('Auto Process'!$AK:$AK,$O157))</f>
        <v/>
      </c>
      <c r="J157" s="17" t="str">
        <f aca="false">IF($O157="","",INDEX('Auto Process'!$AL:$AL,$O157))</f>
        <v/>
      </c>
      <c r="K157" s="17" t="str">
        <f aca="false">IF($O157="","",INDEX('Auto Process'!$AM:$AM,$O157))</f>
        <v/>
      </c>
      <c r="L157" s="17" t="str">
        <f aca="false">IF($O157="","",INDEX('Auto Process'!$AN:$AN,$O157))</f>
        <v/>
      </c>
      <c r="M157" s="17" t="str">
        <f aca="false">IF($O157="","",INDEX('Auto Process'!$AO:$AO,$O157))</f>
        <v/>
      </c>
      <c r="O157" s="19" t="str">
        <f aca="false">IFERROR(_xlfn.AGGREGATE(15,6,ROW('Auto Process'!$D$4:$D$503)/('Auto Process'!$D$4:$D$503="Panel Details"),ROW()-1),"")</f>
        <v/>
      </c>
    </row>
    <row r="158" customFormat="false" ht="13.5" hidden="false" customHeight="true" outlineLevel="0" collapsed="false">
      <c r="A158" s="27" t="str">
        <f aca="false">IF($O158="","",INDEX('Auto Process'!$AC:$AC,$O158))</f>
        <v/>
      </c>
      <c r="B158" s="17" t="str">
        <f aca="false">IF($O158="","",INDEX('Auto Process'!$AD:$AD,$O158))</f>
        <v/>
      </c>
      <c r="C158" s="17" t="str">
        <f aca="false">IF($O158="","",INDEX('Auto Process'!$AE:$AE,$O158))</f>
        <v/>
      </c>
      <c r="D158" s="17" t="str">
        <f aca="false">IF($O158="","",INDEX('Auto Process'!$AF:$AF,$O158))</f>
        <v/>
      </c>
      <c r="E158" s="17" t="str">
        <f aca="false">IF($O158="","",INDEX('Auto Process'!$AG:$AG,$O158))</f>
        <v/>
      </c>
      <c r="F158" s="17" t="str">
        <f aca="false">IF($O158="","",INDEX('Auto Process'!$AH:$AH,$O158))</f>
        <v/>
      </c>
      <c r="G158" s="17" t="str">
        <f aca="false">IF($O158="","",INDEX('Auto Process'!$AI:$AI,$O158))</f>
        <v/>
      </c>
      <c r="H158" s="17" t="str">
        <f aca="false">IF($O158="","",INDEX('Auto Process'!$AJ:$AJ,$O158))</f>
        <v/>
      </c>
      <c r="I158" s="17" t="str">
        <f aca="false">IF($O158="","",INDEX('Auto Process'!$AK:$AK,$O158))</f>
        <v/>
      </c>
      <c r="J158" s="17" t="str">
        <f aca="false">IF($O158="","",INDEX('Auto Process'!$AL:$AL,$O158))</f>
        <v/>
      </c>
      <c r="K158" s="17" t="str">
        <f aca="false">IF($O158="","",INDEX('Auto Process'!$AM:$AM,$O158))</f>
        <v/>
      </c>
      <c r="L158" s="17" t="str">
        <f aca="false">IF($O158="","",INDEX('Auto Process'!$AN:$AN,$O158))</f>
        <v/>
      </c>
      <c r="M158" s="17" t="str">
        <f aca="false">IF($O158="","",INDEX('Auto Process'!$AO:$AO,$O158))</f>
        <v/>
      </c>
      <c r="O158" s="19" t="str">
        <f aca="false">IFERROR(_xlfn.AGGREGATE(15,6,ROW('Auto Process'!$D$4:$D$503)/('Auto Process'!$D$4:$D$503="Panel Details"),ROW()-1),"")</f>
        <v/>
      </c>
    </row>
    <row r="159" customFormat="false" ht="13.5" hidden="false" customHeight="true" outlineLevel="0" collapsed="false">
      <c r="A159" s="27" t="str">
        <f aca="false">IF($O159="","",INDEX('Auto Process'!$AC:$AC,$O159))</f>
        <v/>
      </c>
      <c r="B159" s="17" t="str">
        <f aca="false">IF($O159="","",INDEX('Auto Process'!$AD:$AD,$O159))</f>
        <v/>
      </c>
      <c r="C159" s="17" t="str">
        <f aca="false">IF($O159="","",INDEX('Auto Process'!$AE:$AE,$O159))</f>
        <v/>
      </c>
      <c r="D159" s="17" t="str">
        <f aca="false">IF($O159="","",INDEX('Auto Process'!$AF:$AF,$O159))</f>
        <v/>
      </c>
      <c r="E159" s="17" t="str">
        <f aca="false">IF($O159="","",INDEX('Auto Process'!$AG:$AG,$O159))</f>
        <v/>
      </c>
      <c r="F159" s="17" t="str">
        <f aca="false">IF($O159="","",INDEX('Auto Process'!$AH:$AH,$O159))</f>
        <v/>
      </c>
      <c r="G159" s="17" t="str">
        <f aca="false">IF($O159="","",INDEX('Auto Process'!$AI:$AI,$O159))</f>
        <v/>
      </c>
      <c r="H159" s="17" t="str">
        <f aca="false">IF($O159="","",INDEX('Auto Process'!$AJ:$AJ,$O159))</f>
        <v/>
      </c>
      <c r="I159" s="17" t="str">
        <f aca="false">IF($O159="","",INDEX('Auto Process'!$AK:$AK,$O159))</f>
        <v/>
      </c>
      <c r="J159" s="17" t="str">
        <f aca="false">IF($O159="","",INDEX('Auto Process'!$AL:$AL,$O159))</f>
        <v/>
      </c>
      <c r="K159" s="17" t="str">
        <f aca="false">IF($O159="","",INDEX('Auto Process'!$AM:$AM,$O159))</f>
        <v/>
      </c>
      <c r="L159" s="17" t="str">
        <f aca="false">IF($O159="","",INDEX('Auto Process'!$AN:$AN,$O159))</f>
        <v/>
      </c>
      <c r="M159" s="17" t="str">
        <f aca="false">IF($O159="","",INDEX('Auto Process'!$AO:$AO,$O159))</f>
        <v/>
      </c>
      <c r="O159" s="19" t="str">
        <f aca="false">IFERROR(_xlfn.AGGREGATE(15,6,ROW('Auto Process'!$D$4:$D$503)/('Auto Process'!$D$4:$D$503="Panel Details"),ROW()-1),"")</f>
        <v/>
      </c>
    </row>
    <row r="160" customFormat="false" ht="13.5" hidden="false" customHeight="true" outlineLevel="0" collapsed="false">
      <c r="A160" s="27" t="str">
        <f aca="false">IF($O160="","",INDEX('Auto Process'!$AC:$AC,$O160))</f>
        <v/>
      </c>
      <c r="B160" s="17" t="str">
        <f aca="false">IF($O160="","",INDEX('Auto Process'!$AD:$AD,$O160))</f>
        <v/>
      </c>
      <c r="C160" s="17" t="str">
        <f aca="false">IF($O160="","",INDEX('Auto Process'!$AE:$AE,$O160))</f>
        <v/>
      </c>
      <c r="D160" s="17" t="str">
        <f aca="false">IF($O160="","",INDEX('Auto Process'!$AF:$AF,$O160))</f>
        <v/>
      </c>
      <c r="E160" s="17" t="str">
        <f aca="false">IF($O160="","",INDEX('Auto Process'!$AG:$AG,$O160))</f>
        <v/>
      </c>
      <c r="F160" s="17" t="str">
        <f aca="false">IF($O160="","",INDEX('Auto Process'!$AH:$AH,$O160))</f>
        <v/>
      </c>
      <c r="G160" s="17" t="str">
        <f aca="false">IF($O160="","",INDEX('Auto Process'!$AI:$AI,$O160))</f>
        <v/>
      </c>
      <c r="H160" s="17" t="str">
        <f aca="false">IF($O160="","",INDEX('Auto Process'!$AJ:$AJ,$O160))</f>
        <v/>
      </c>
      <c r="I160" s="17" t="str">
        <f aca="false">IF($O160="","",INDEX('Auto Process'!$AK:$AK,$O160))</f>
        <v/>
      </c>
      <c r="J160" s="17" t="str">
        <f aca="false">IF($O160="","",INDEX('Auto Process'!$AL:$AL,$O160))</f>
        <v/>
      </c>
      <c r="K160" s="17" t="str">
        <f aca="false">IF($O160="","",INDEX('Auto Process'!$AM:$AM,$O160))</f>
        <v/>
      </c>
      <c r="L160" s="17" t="str">
        <f aca="false">IF($O160="","",INDEX('Auto Process'!$AN:$AN,$O160))</f>
        <v/>
      </c>
      <c r="M160" s="17" t="str">
        <f aca="false">IF($O160="","",INDEX('Auto Process'!$AO:$AO,$O160))</f>
        <v/>
      </c>
      <c r="O160" s="19" t="str">
        <f aca="false">IFERROR(_xlfn.AGGREGATE(15,6,ROW('Auto Process'!$D$4:$D$503)/('Auto Process'!$D$4:$D$503="Panel Details"),ROW()-1),"")</f>
        <v/>
      </c>
    </row>
    <row r="161" customFormat="false" ht="13.5" hidden="false" customHeight="true" outlineLevel="0" collapsed="false">
      <c r="A161" s="27" t="str">
        <f aca="false">IF($O161="","",INDEX('Auto Process'!$AC:$AC,$O161))</f>
        <v/>
      </c>
      <c r="B161" s="17" t="str">
        <f aca="false">IF($O161="","",INDEX('Auto Process'!$AD:$AD,$O161))</f>
        <v/>
      </c>
      <c r="C161" s="17" t="str">
        <f aca="false">IF($O161="","",INDEX('Auto Process'!$AE:$AE,$O161))</f>
        <v/>
      </c>
      <c r="D161" s="17" t="str">
        <f aca="false">IF($O161="","",INDEX('Auto Process'!$AF:$AF,$O161))</f>
        <v/>
      </c>
      <c r="E161" s="17" t="str">
        <f aca="false">IF($O161="","",INDEX('Auto Process'!$AG:$AG,$O161))</f>
        <v/>
      </c>
      <c r="F161" s="17" t="str">
        <f aca="false">IF($O161="","",INDEX('Auto Process'!$AH:$AH,$O161))</f>
        <v/>
      </c>
      <c r="G161" s="17" t="str">
        <f aca="false">IF($O161="","",INDEX('Auto Process'!$AI:$AI,$O161))</f>
        <v/>
      </c>
      <c r="H161" s="17" t="str">
        <f aca="false">IF($O161="","",INDEX('Auto Process'!$AJ:$AJ,$O161))</f>
        <v/>
      </c>
      <c r="I161" s="17" t="str">
        <f aca="false">IF($O161="","",INDEX('Auto Process'!$AK:$AK,$O161))</f>
        <v/>
      </c>
      <c r="J161" s="17" t="str">
        <f aca="false">IF($O161="","",INDEX('Auto Process'!$AL:$AL,$O161))</f>
        <v/>
      </c>
      <c r="K161" s="17" t="str">
        <f aca="false">IF($O161="","",INDEX('Auto Process'!$AM:$AM,$O161))</f>
        <v/>
      </c>
      <c r="L161" s="17" t="str">
        <f aca="false">IF($O161="","",INDEX('Auto Process'!$AN:$AN,$O161))</f>
        <v/>
      </c>
      <c r="M161" s="17" t="str">
        <f aca="false">IF($O161="","",INDEX('Auto Process'!$AO:$AO,$O161))</f>
        <v/>
      </c>
      <c r="O161" s="19" t="str">
        <f aca="false">IFERROR(_xlfn.AGGREGATE(15,6,ROW('Auto Process'!$D$4:$D$503)/('Auto Process'!$D$4:$D$503="Panel Details"),ROW()-1),"")</f>
        <v/>
      </c>
    </row>
    <row r="162" customFormat="false" ht="13.5" hidden="false" customHeight="true" outlineLevel="0" collapsed="false">
      <c r="A162" s="27" t="str">
        <f aca="false">IF($O162="","",INDEX('Auto Process'!$AC:$AC,$O162))</f>
        <v/>
      </c>
      <c r="B162" s="17" t="str">
        <f aca="false">IF($O162="","",INDEX('Auto Process'!$AD:$AD,$O162))</f>
        <v/>
      </c>
      <c r="C162" s="17" t="str">
        <f aca="false">IF($O162="","",INDEX('Auto Process'!$AE:$AE,$O162))</f>
        <v/>
      </c>
      <c r="D162" s="17" t="str">
        <f aca="false">IF($O162="","",INDEX('Auto Process'!$AF:$AF,$O162))</f>
        <v/>
      </c>
      <c r="E162" s="17" t="str">
        <f aca="false">IF($O162="","",INDEX('Auto Process'!$AG:$AG,$O162))</f>
        <v/>
      </c>
      <c r="F162" s="17" t="str">
        <f aca="false">IF($O162="","",INDEX('Auto Process'!$AH:$AH,$O162))</f>
        <v/>
      </c>
      <c r="G162" s="17" t="str">
        <f aca="false">IF($O162="","",INDEX('Auto Process'!$AI:$AI,$O162))</f>
        <v/>
      </c>
      <c r="H162" s="17" t="str">
        <f aca="false">IF($O162="","",INDEX('Auto Process'!$AJ:$AJ,$O162))</f>
        <v/>
      </c>
      <c r="I162" s="17" t="str">
        <f aca="false">IF($O162="","",INDEX('Auto Process'!$AK:$AK,$O162))</f>
        <v/>
      </c>
      <c r="J162" s="17" t="str">
        <f aca="false">IF($O162="","",INDEX('Auto Process'!$AL:$AL,$O162))</f>
        <v/>
      </c>
      <c r="K162" s="17" t="str">
        <f aca="false">IF($O162="","",INDEX('Auto Process'!$AM:$AM,$O162))</f>
        <v/>
      </c>
      <c r="L162" s="17" t="str">
        <f aca="false">IF($O162="","",INDEX('Auto Process'!$AN:$AN,$O162))</f>
        <v/>
      </c>
      <c r="M162" s="17" t="str">
        <f aca="false">IF($O162="","",INDEX('Auto Process'!$AO:$AO,$O162))</f>
        <v/>
      </c>
      <c r="O162" s="19" t="str">
        <f aca="false">IFERROR(_xlfn.AGGREGATE(15,6,ROW('Auto Process'!$D$4:$D$503)/('Auto Process'!$D$4:$D$503="Panel Details"),ROW()-1),"")</f>
        <v/>
      </c>
    </row>
    <row r="163" customFormat="false" ht="13.5" hidden="false" customHeight="true" outlineLevel="0" collapsed="false">
      <c r="A163" s="27" t="str">
        <f aca="false">IF($O163="","",INDEX('Auto Process'!$AC:$AC,$O163))</f>
        <v/>
      </c>
      <c r="B163" s="17" t="str">
        <f aca="false">IF($O163="","",INDEX('Auto Process'!$AD:$AD,$O163))</f>
        <v/>
      </c>
      <c r="C163" s="17" t="str">
        <f aca="false">IF($O163="","",INDEX('Auto Process'!$AE:$AE,$O163))</f>
        <v/>
      </c>
      <c r="D163" s="17" t="str">
        <f aca="false">IF($O163="","",INDEX('Auto Process'!$AF:$AF,$O163))</f>
        <v/>
      </c>
      <c r="E163" s="17" t="str">
        <f aca="false">IF($O163="","",INDEX('Auto Process'!$AG:$AG,$O163))</f>
        <v/>
      </c>
      <c r="F163" s="17" t="str">
        <f aca="false">IF($O163="","",INDEX('Auto Process'!$AH:$AH,$O163))</f>
        <v/>
      </c>
      <c r="G163" s="17" t="str">
        <f aca="false">IF($O163="","",INDEX('Auto Process'!$AI:$AI,$O163))</f>
        <v/>
      </c>
      <c r="H163" s="17" t="str">
        <f aca="false">IF($O163="","",INDEX('Auto Process'!$AJ:$AJ,$O163))</f>
        <v/>
      </c>
      <c r="I163" s="17" t="str">
        <f aca="false">IF($O163="","",INDEX('Auto Process'!$AK:$AK,$O163))</f>
        <v/>
      </c>
      <c r="J163" s="17" t="str">
        <f aca="false">IF($O163="","",INDEX('Auto Process'!$AL:$AL,$O163))</f>
        <v/>
      </c>
      <c r="K163" s="17" t="str">
        <f aca="false">IF($O163="","",INDEX('Auto Process'!$AM:$AM,$O163))</f>
        <v/>
      </c>
      <c r="L163" s="17" t="str">
        <f aca="false">IF($O163="","",INDEX('Auto Process'!$AN:$AN,$O163))</f>
        <v/>
      </c>
      <c r="M163" s="17" t="str">
        <f aca="false">IF($O163="","",INDEX('Auto Process'!$AO:$AO,$O163))</f>
        <v/>
      </c>
      <c r="O163" s="19" t="str">
        <f aca="false">IFERROR(_xlfn.AGGREGATE(15,6,ROW('Auto Process'!$D$4:$D$503)/('Auto Process'!$D$4:$D$503="Panel Details"),ROW()-1),"")</f>
        <v/>
      </c>
    </row>
    <row r="164" customFormat="false" ht="13.5" hidden="false" customHeight="true" outlineLevel="0" collapsed="false">
      <c r="A164" s="27" t="str">
        <f aca="false">IF($O164="","",INDEX('Auto Process'!$AC:$AC,$O164))</f>
        <v/>
      </c>
      <c r="B164" s="17" t="str">
        <f aca="false">IF($O164="","",INDEX('Auto Process'!$AD:$AD,$O164))</f>
        <v/>
      </c>
      <c r="C164" s="17" t="str">
        <f aca="false">IF($O164="","",INDEX('Auto Process'!$AE:$AE,$O164))</f>
        <v/>
      </c>
      <c r="D164" s="17" t="str">
        <f aca="false">IF($O164="","",INDEX('Auto Process'!$AF:$AF,$O164))</f>
        <v/>
      </c>
      <c r="E164" s="17" t="str">
        <f aca="false">IF($O164="","",INDEX('Auto Process'!$AG:$AG,$O164))</f>
        <v/>
      </c>
      <c r="F164" s="17" t="str">
        <f aca="false">IF($O164="","",INDEX('Auto Process'!$AH:$AH,$O164))</f>
        <v/>
      </c>
      <c r="G164" s="17" t="str">
        <f aca="false">IF($O164="","",INDEX('Auto Process'!$AI:$AI,$O164))</f>
        <v/>
      </c>
      <c r="H164" s="17" t="str">
        <f aca="false">IF($O164="","",INDEX('Auto Process'!$AJ:$AJ,$O164))</f>
        <v/>
      </c>
      <c r="I164" s="17" t="str">
        <f aca="false">IF($O164="","",INDEX('Auto Process'!$AK:$AK,$O164))</f>
        <v/>
      </c>
      <c r="J164" s="17" t="str">
        <f aca="false">IF($O164="","",INDEX('Auto Process'!$AL:$AL,$O164))</f>
        <v/>
      </c>
      <c r="K164" s="17" t="str">
        <f aca="false">IF($O164="","",INDEX('Auto Process'!$AM:$AM,$O164))</f>
        <v/>
      </c>
      <c r="L164" s="17" t="str">
        <f aca="false">IF($O164="","",INDEX('Auto Process'!$AN:$AN,$O164))</f>
        <v/>
      </c>
      <c r="M164" s="17" t="str">
        <f aca="false">IF($O164="","",INDEX('Auto Process'!$AO:$AO,$O164))</f>
        <v/>
      </c>
      <c r="O164" s="19" t="str">
        <f aca="false">IFERROR(_xlfn.AGGREGATE(15,6,ROW('Auto Process'!$D$4:$D$503)/('Auto Process'!$D$4:$D$503="Panel Details"),ROW()-1),"")</f>
        <v/>
      </c>
    </row>
    <row r="165" customFormat="false" ht="13.5" hidden="false" customHeight="true" outlineLevel="0" collapsed="false">
      <c r="A165" s="27" t="str">
        <f aca="false">IF($O165="","",INDEX('Auto Process'!$AC:$AC,$O165))</f>
        <v/>
      </c>
      <c r="B165" s="17" t="str">
        <f aca="false">IF($O165="","",INDEX('Auto Process'!$AD:$AD,$O165))</f>
        <v/>
      </c>
      <c r="C165" s="17" t="str">
        <f aca="false">IF($O165="","",INDEX('Auto Process'!$AE:$AE,$O165))</f>
        <v/>
      </c>
      <c r="D165" s="17" t="str">
        <f aca="false">IF($O165="","",INDEX('Auto Process'!$AF:$AF,$O165))</f>
        <v/>
      </c>
      <c r="E165" s="17" t="str">
        <f aca="false">IF($O165="","",INDEX('Auto Process'!$AG:$AG,$O165))</f>
        <v/>
      </c>
      <c r="F165" s="17" t="str">
        <f aca="false">IF($O165="","",INDEX('Auto Process'!$AH:$AH,$O165))</f>
        <v/>
      </c>
      <c r="G165" s="17" t="str">
        <f aca="false">IF($O165="","",INDEX('Auto Process'!$AI:$AI,$O165))</f>
        <v/>
      </c>
      <c r="H165" s="17" t="str">
        <f aca="false">IF($O165="","",INDEX('Auto Process'!$AJ:$AJ,$O165))</f>
        <v/>
      </c>
      <c r="I165" s="17" t="str">
        <f aca="false">IF($O165="","",INDEX('Auto Process'!$AK:$AK,$O165))</f>
        <v/>
      </c>
      <c r="J165" s="17" t="str">
        <f aca="false">IF($O165="","",INDEX('Auto Process'!$AL:$AL,$O165))</f>
        <v/>
      </c>
      <c r="K165" s="17" t="str">
        <f aca="false">IF($O165="","",INDEX('Auto Process'!$AM:$AM,$O165))</f>
        <v/>
      </c>
      <c r="L165" s="17" t="str">
        <f aca="false">IF($O165="","",INDEX('Auto Process'!$AN:$AN,$O165))</f>
        <v/>
      </c>
      <c r="M165" s="17" t="str">
        <f aca="false">IF($O165="","",INDEX('Auto Process'!$AO:$AO,$O165))</f>
        <v/>
      </c>
      <c r="O165" s="19" t="str">
        <f aca="false">IFERROR(_xlfn.AGGREGATE(15,6,ROW('Auto Process'!$D$4:$D$503)/('Auto Process'!$D$4:$D$503="Panel Details"),ROW()-1),"")</f>
        <v/>
      </c>
    </row>
    <row r="166" customFormat="false" ht="13.5" hidden="false" customHeight="true" outlineLevel="0" collapsed="false">
      <c r="A166" s="27" t="str">
        <f aca="false">IF($O166="","",INDEX('Auto Process'!$AC:$AC,$O166))</f>
        <v/>
      </c>
      <c r="B166" s="17" t="str">
        <f aca="false">IF($O166="","",INDEX('Auto Process'!$AD:$AD,$O166))</f>
        <v/>
      </c>
      <c r="C166" s="17" t="str">
        <f aca="false">IF($O166="","",INDEX('Auto Process'!$AE:$AE,$O166))</f>
        <v/>
      </c>
      <c r="D166" s="17" t="str">
        <f aca="false">IF($O166="","",INDEX('Auto Process'!$AF:$AF,$O166))</f>
        <v/>
      </c>
      <c r="E166" s="17" t="str">
        <f aca="false">IF($O166="","",INDEX('Auto Process'!$AG:$AG,$O166))</f>
        <v/>
      </c>
      <c r="F166" s="17" t="str">
        <f aca="false">IF($O166="","",INDEX('Auto Process'!$AH:$AH,$O166))</f>
        <v/>
      </c>
      <c r="G166" s="17" t="str">
        <f aca="false">IF($O166="","",INDEX('Auto Process'!$AI:$AI,$O166))</f>
        <v/>
      </c>
      <c r="H166" s="17" t="str">
        <f aca="false">IF($O166="","",INDEX('Auto Process'!$AJ:$AJ,$O166))</f>
        <v/>
      </c>
      <c r="I166" s="17" t="str">
        <f aca="false">IF($O166="","",INDEX('Auto Process'!$AK:$AK,$O166))</f>
        <v/>
      </c>
      <c r="J166" s="17" t="str">
        <f aca="false">IF($O166="","",INDEX('Auto Process'!$AL:$AL,$O166))</f>
        <v/>
      </c>
      <c r="K166" s="17" t="str">
        <f aca="false">IF($O166="","",INDEX('Auto Process'!$AM:$AM,$O166))</f>
        <v/>
      </c>
      <c r="L166" s="17" t="str">
        <f aca="false">IF($O166="","",INDEX('Auto Process'!$AN:$AN,$O166))</f>
        <v/>
      </c>
      <c r="M166" s="17" t="str">
        <f aca="false">IF($O166="","",INDEX('Auto Process'!$AO:$AO,$O166))</f>
        <v/>
      </c>
      <c r="O166" s="19" t="str">
        <f aca="false">IFERROR(_xlfn.AGGREGATE(15,6,ROW('Auto Process'!$D$4:$D$503)/('Auto Process'!$D$4:$D$503="Panel Details"),ROW()-1),"")</f>
        <v/>
      </c>
    </row>
    <row r="167" customFormat="false" ht="13.5" hidden="false" customHeight="true" outlineLevel="0" collapsed="false">
      <c r="A167" s="27" t="str">
        <f aca="false">IF($O167="","",INDEX('Auto Process'!$AC:$AC,$O167))</f>
        <v/>
      </c>
      <c r="B167" s="17" t="str">
        <f aca="false">IF($O167="","",INDEX('Auto Process'!$AD:$AD,$O167))</f>
        <v/>
      </c>
      <c r="C167" s="17" t="str">
        <f aca="false">IF($O167="","",INDEX('Auto Process'!$AE:$AE,$O167))</f>
        <v/>
      </c>
      <c r="D167" s="17" t="str">
        <f aca="false">IF($O167="","",INDEX('Auto Process'!$AF:$AF,$O167))</f>
        <v/>
      </c>
      <c r="E167" s="17" t="str">
        <f aca="false">IF($O167="","",INDEX('Auto Process'!$AG:$AG,$O167))</f>
        <v/>
      </c>
      <c r="F167" s="17" t="str">
        <f aca="false">IF($O167="","",INDEX('Auto Process'!$AH:$AH,$O167))</f>
        <v/>
      </c>
      <c r="G167" s="17" t="str">
        <f aca="false">IF($O167="","",INDEX('Auto Process'!$AI:$AI,$O167))</f>
        <v/>
      </c>
      <c r="H167" s="17" t="str">
        <f aca="false">IF($O167="","",INDEX('Auto Process'!$AJ:$AJ,$O167))</f>
        <v/>
      </c>
      <c r="I167" s="17" t="str">
        <f aca="false">IF($O167="","",INDEX('Auto Process'!$AK:$AK,$O167))</f>
        <v/>
      </c>
      <c r="J167" s="17" t="str">
        <f aca="false">IF($O167="","",INDEX('Auto Process'!$AL:$AL,$O167))</f>
        <v/>
      </c>
      <c r="K167" s="17" t="str">
        <f aca="false">IF($O167="","",INDEX('Auto Process'!$AM:$AM,$O167))</f>
        <v/>
      </c>
      <c r="L167" s="17" t="str">
        <f aca="false">IF($O167="","",INDEX('Auto Process'!$AN:$AN,$O167))</f>
        <v/>
      </c>
      <c r="M167" s="17" t="str">
        <f aca="false">IF($O167="","",INDEX('Auto Process'!$AO:$AO,$O167))</f>
        <v/>
      </c>
      <c r="O167" s="19" t="str">
        <f aca="false">IFERROR(_xlfn.AGGREGATE(15,6,ROW('Auto Process'!$D$4:$D$503)/('Auto Process'!$D$4:$D$503="Panel Details"),ROW()-1),"")</f>
        <v/>
      </c>
    </row>
    <row r="168" customFormat="false" ht="13.5" hidden="false" customHeight="true" outlineLevel="0" collapsed="false">
      <c r="A168" s="27" t="str">
        <f aca="false">IF($O168="","",INDEX('Auto Process'!$AC:$AC,$O168))</f>
        <v/>
      </c>
      <c r="B168" s="17" t="str">
        <f aca="false">IF($O168="","",INDEX('Auto Process'!$AD:$AD,$O168))</f>
        <v/>
      </c>
      <c r="C168" s="17" t="str">
        <f aca="false">IF($O168="","",INDEX('Auto Process'!$AE:$AE,$O168))</f>
        <v/>
      </c>
      <c r="D168" s="17" t="str">
        <f aca="false">IF($O168="","",INDEX('Auto Process'!$AF:$AF,$O168))</f>
        <v/>
      </c>
      <c r="E168" s="17" t="str">
        <f aca="false">IF($O168="","",INDEX('Auto Process'!$AG:$AG,$O168))</f>
        <v/>
      </c>
      <c r="F168" s="17" t="str">
        <f aca="false">IF($O168="","",INDEX('Auto Process'!$AH:$AH,$O168))</f>
        <v/>
      </c>
      <c r="G168" s="17" t="str">
        <f aca="false">IF($O168="","",INDEX('Auto Process'!$AI:$AI,$O168))</f>
        <v/>
      </c>
      <c r="H168" s="17" t="str">
        <f aca="false">IF($O168="","",INDEX('Auto Process'!$AJ:$AJ,$O168))</f>
        <v/>
      </c>
      <c r="I168" s="17" t="str">
        <f aca="false">IF($O168="","",INDEX('Auto Process'!$AK:$AK,$O168))</f>
        <v/>
      </c>
      <c r="J168" s="17" t="str">
        <f aca="false">IF($O168="","",INDEX('Auto Process'!$AL:$AL,$O168))</f>
        <v/>
      </c>
      <c r="K168" s="17" t="str">
        <f aca="false">IF($O168="","",INDEX('Auto Process'!$AM:$AM,$O168))</f>
        <v/>
      </c>
      <c r="L168" s="17" t="str">
        <f aca="false">IF($O168="","",INDEX('Auto Process'!$AN:$AN,$O168))</f>
        <v/>
      </c>
      <c r="M168" s="17" t="str">
        <f aca="false">IF($O168="","",INDEX('Auto Process'!$AO:$AO,$O168))</f>
        <v/>
      </c>
      <c r="O168" s="19" t="str">
        <f aca="false">IFERROR(_xlfn.AGGREGATE(15,6,ROW('Auto Process'!$D$4:$D$503)/('Auto Process'!$D$4:$D$503="Panel Details"),ROW()-1),"")</f>
        <v/>
      </c>
    </row>
    <row r="169" customFormat="false" ht="13.5" hidden="false" customHeight="true" outlineLevel="0" collapsed="false">
      <c r="A169" s="27" t="str">
        <f aca="false">IF($O169="","",INDEX('Auto Process'!$AC:$AC,$O169))</f>
        <v/>
      </c>
      <c r="B169" s="17" t="str">
        <f aca="false">IF($O169="","",INDEX('Auto Process'!$AD:$AD,$O169))</f>
        <v/>
      </c>
      <c r="C169" s="17" t="str">
        <f aca="false">IF($O169="","",INDEX('Auto Process'!$AE:$AE,$O169))</f>
        <v/>
      </c>
      <c r="D169" s="17" t="str">
        <f aca="false">IF($O169="","",INDEX('Auto Process'!$AF:$AF,$O169))</f>
        <v/>
      </c>
      <c r="E169" s="17" t="str">
        <f aca="false">IF($O169="","",INDEX('Auto Process'!$AG:$AG,$O169))</f>
        <v/>
      </c>
      <c r="F169" s="17" t="str">
        <f aca="false">IF($O169="","",INDEX('Auto Process'!$AH:$AH,$O169))</f>
        <v/>
      </c>
      <c r="G169" s="17" t="str">
        <f aca="false">IF($O169="","",INDEX('Auto Process'!$AI:$AI,$O169))</f>
        <v/>
      </c>
      <c r="H169" s="17" t="str">
        <f aca="false">IF($O169="","",INDEX('Auto Process'!$AJ:$AJ,$O169))</f>
        <v/>
      </c>
      <c r="I169" s="17" t="str">
        <f aca="false">IF($O169="","",INDEX('Auto Process'!$AK:$AK,$O169))</f>
        <v/>
      </c>
      <c r="J169" s="17" t="str">
        <f aca="false">IF($O169="","",INDEX('Auto Process'!$AL:$AL,$O169))</f>
        <v/>
      </c>
      <c r="K169" s="17" t="str">
        <f aca="false">IF($O169="","",INDEX('Auto Process'!$AM:$AM,$O169))</f>
        <v/>
      </c>
      <c r="L169" s="17" t="str">
        <f aca="false">IF($O169="","",INDEX('Auto Process'!$AN:$AN,$O169))</f>
        <v/>
      </c>
      <c r="M169" s="17" t="str">
        <f aca="false">IF($O169="","",INDEX('Auto Process'!$AO:$AO,$O169))</f>
        <v/>
      </c>
      <c r="O169" s="19" t="str">
        <f aca="false">IFERROR(_xlfn.AGGREGATE(15,6,ROW('Auto Process'!$D$4:$D$503)/('Auto Process'!$D$4:$D$503="Panel Details"),ROW()-1),"")</f>
        <v/>
      </c>
    </row>
    <row r="170" customFormat="false" ht="13.5" hidden="false" customHeight="true" outlineLevel="0" collapsed="false">
      <c r="A170" s="27" t="str">
        <f aca="false">IF($O170="","",INDEX('Auto Process'!$AC:$AC,$O170))</f>
        <v/>
      </c>
      <c r="B170" s="17" t="str">
        <f aca="false">IF($O170="","",INDEX('Auto Process'!$AD:$AD,$O170))</f>
        <v/>
      </c>
      <c r="C170" s="17" t="str">
        <f aca="false">IF($O170="","",INDEX('Auto Process'!$AE:$AE,$O170))</f>
        <v/>
      </c>
      <c r="D170" s="17" t="str">
        <f aca="false">IF($O170="","",INDEX('Auto Process'!$AF:$AF,$O170))</f>
        <v/>
      </c>
      <c r="E170" s="17" t="str">
        <f aca="false">IF($O170="","",INDEX('Auto Process'!$AG:$AG,$O170))</f>
        <v/>
      </c>
      <c r="F170" s="17" t="str">
        <f aca="false">IF($O170="","",INDEX('Auto Process'!$AH:$AH,$O170))</f>
        <v/>
      </c>
      <c r="G170" s="17" t="str">
        <f aca="false">IF($O170="","",INDEX('Auto Process'!$AI:$AI,$O170))</f>
        <v/>
      </c>
      <c r="H170" s="17" t="str">
        <f aca="false">IF($O170="","",INDEX('Auto Process'!$AJ:$AJ,$O170))</f>
        <v/>
      </c>
      <c r="I170" s="17" t="str">
        <f aca="false">IF($O170="","",INDEX('Auto Process'!$AK:$AK,$O170))</f>
        <v/>
      </c>
      <c r="J170" s="17" t="str">
        <f aca="false">IF($O170="","",INDEX('Auto Process'!$AL:$AL,$O170))</f>
        <v/>
      </c>
      <c r="K170" s="17" t="str">
        <f aca="false">IF($O170="","",INDEX('Auto Process'!$AM:$AM,$O170))</f>
        <v/>
      </c>
      <c r="L170" s="17" t="str">
        <f aca="false">IF($O170="","",INDEX('Auto Process'!$AN:$AN,$O170))</f>
        <v/>
      </c>
      <c r="M170" s="17" t="str">
        <f aca="false">IF($O170="","",INDEX('Auto Process'!$AO:$AO,$O170))</f>
        <v/>
      </c>
      <c r="O170" s="19" t="str">
        <f aca="false">IFERROR(_xlfn.AGGREGATE(15,6,ROW('Auto Process'!$D$4:$D$503)/('Auto Process'!$D$4:$D$503="Panel Details"),ROW()-1),"")</f>
        <v/>
      </c>
    </row>
    <row r="171" customFormat="false" ht="13.5" hidden="false" customHeight="true" outlineLevel="0" collapsed="false">
      <c r="A171" s="27" t="str">
        <f aca="false">IF($O171="","",INDEX('Auto Process'!$AC:$AC,$O171))</f>
        <v/>
      </c>
      <c r="B171" s="17" t="str">
        <f aca="false">IF($O171="","",INDEX('Auto Process'!$AD:$AD,$O171))</f>
        <v/>
      </c>
      <c r="C171" s="17" t="str">
        <f aca="false">IF($O171="","",INDEX('Auto Process'!$AE:$AE,$O171))</f>
        <v/>
      </c>
      <c r="D171" s="17" t="str">
        <f aca="false">IF($O171="","",INDEX('Auto Process'!$AF:$AF,$O171))</f>
        <v/>
      </c>
      <c r="E171" s="17" t="str">
        <f aca="false">IF($O171="","",INDEX('Auto Process'!$AG:$AG,$O171))</f>
        <v/>
      </c>
      <c r="F171" s="17" t="str">
        <f aca="false">IF($O171="","",INDEX('Auto Process'!$AH:$AH,$O171))</f>
        <v/>
      </c>
      <c r="G171" s="17" t="str">
        <f aca="false">IF($O171="","",INDEX('Auto Process'!$AI:$AI,$O171))</f>
        <v/>
      </c>
      <c r="H171" s="17" t="str">
        <f aca="false">IF($O171="","",INDEX('Auto Process'!$AJ:$AJ,$O171))</f>
        <v/>
      </c>
      <c r="I171" s="17" t="str">
        <f aca="false">IF($O171="","",INDEX('Auto Process'!$AK:$AK,$O171))</f>
        <v/>
      </c>
      <c r="J171" s="17" t="str">
        <f aca="false">IF($O171="","",INDEX('Auto Process'!$AL:$AL,$O171))</f>
        <v/>
      </c>
      <c r="K171" s="17" t="str">
        <f aca="false">IF($O171="","",INDEX('Auto Process'!$AM:$AM,$O171))</f>
        <v/>
      </c>
      <c r="L171" s="17" t="str">
        <f aca="false">IF($O171="","",INDEX('Auto Process'!$AN:$AN,$O171))</f>
        <v/>
      </c>
      <c r="M171" s="17" t="str">
        <f aca="false">IF($O171="","",INDEX('Auto Process'!$AO:$AO,$O171))</f>
        <v/>
      </c>
      <c r="O171" s="19" t="str">
        <f aca="false">IFERROR(_xlfn.AGGREGATE(15,6,ROW('Auto Process'!$D$4:$D$503)/('Auto Process'!$D$4:$D$503="Panel Details"),ROW()-1),"")</f>
        <v/>
      </c>
    </row>
    <row r="172" customFormat="false" ht="13.5" hidden="false" customHeight="true" outlineLevel="0" collapsed="false">
      <c r="A172" s="27" t="str">
        <f aca="false">IF($O172="","",INDEX('Auto Process'!$AC:$AC,$O172))</f>
        <v/>
      </c>
      <c r="B172" s="17" t="str">
        <f aca="false">IF($O172="","",INDEX('Auto Process'!$AD:$AD,$O172))</f>
        <v/>
      </c>
      <c r="C172" s="17" t="str">
        <f aca="false">IF($O172="","",INDEX('Auto Process'!$AE:$AE,$O172))</f>
        <v/>
      </c>
      <c r="D172" s="17" t="str">
        <f aca="false">IF($O172="","",INDEX('Auto Process'!$AF:$AF,$O172))</f>
        <v/>
      </c>
      <c r="E172" s="17" t="str">
        <f aca="false">IF($O172="","",INDEX('Auto Process'!$AG:$AG,$O172))</f>
        <v/>
      </c>
      <c r="F172" s="17" t="str">
        <f aca="false">IF($O172="","",INDEX('Auto Process'!$AH:$AH,$O172))</f>
        <v/>
      </c>
      <c r="G172" s="17" t="str">
        <f aca="false">IF($O172="","",INDEX('Auto Process'!$AI:$AI,$O172))</f>
        <v/>
      </c>
      <c r="H172" s="17" t="str">
        <f aca="false">IF($O172="","",INDEX('Auto Process'!$AJ:$AJ,$O172))</f>
        <v/>
      </c>
      <c r="I172" s="17" t="str">
        <f aca="false">IF($O172="","",INDEX('Auto Process'!$AK:$AK,$O172))</f>
        <v/>
      </c>
      <c r="J172" s="17" t="str">
        <f aca="false">IF($O172="","",INDEX('Auto Process'!$AL:$AL,$O172))</f>
        <v/>
      </c>
      <c r="K172" s="17" t="str">
        <f aca="false">IF($O172="","",INDEX('Auto Process'!$AM:$AM,$O172))</f>
        <v/>
      </c>
      <c r="L172" s="17" t="str">
        <f aca="false">IF($O172="","",INDEX('Auto Process'!$AN:$AN,$O172))</f>
        <v/>
      </c>
      <c r="M172" s="17" t="str">
        <f aca="false">IF($O172="","",INDEX('Auto Process'!$AO:$AO,$O172))</f>
        <v/>
      </c>
      <c r="O172" s="19" t="str">
        <f aca="false">IFERROR(_xlfn.AGGREGATE(15,6,ROW('Auto Process'!$D$4:$D$503)/('Auto Process'!$D$4:$D$503="Panel Details"),ROW()-1),"")</f>
        <v/>
      </c>
    </row>
    <row r="173" customFormat="false" ht="13.5" hidden="false" customHeight="true" outlineLevel="0" collapsed="false">
      <c r="A173" s="27" t="str">
        <f aca="false">IF($O173="","",INDEX('Auto Process'!$AC:$AC,$O173))</f>
        <v/>
      </c>
      <c r="B173" s="17" t="str">
        <f aca="false">IF($O173="","",INDEX('Auto Process'!$AD:$AD,$O173))</f>
        <v/>
      </c>
      <c r="C173" s="17" t="str">
        <f aca="false">IF($O173="","",INDEX('Auto Process'!$AE:$AE,$O173))</f>
        <v/>
      </c>
      <c r="D173" s="17" t="str">
        <f aca="false">IF($O173="","",INDEX('Auto Process'!$AF:$AF,$O173))</f>
        <v/>
      </c>
      <c r="E173" s="17" t="str">
        <f aca="false">IF($O173="","",INDEX('Auto Process'!$AG:$AG,$O173))</f>
        <v/>
      </c>
      <c r="F173" s="17" t="str">
        <f aca="false">IF($O173="","",INDEX('Auto Process'!$AH:$AH,$O173))</f>
        <v/>
      </c>
      <c r="G173" s="17" t="str">
        <f aca="false">IF($O173="","",INDEX('Auto Process'!$AI:$AI,$O173))</f>
        <v/>
      </c>
      <c r="H173" s="17" t="str">
        <f aca="false">IF($O173="","",INDEX('Auto Process'!$AJ:$AJ,$O173))</f>
        <v/>
      </c>
      <c r="I173" s="17" t="str">
        <f aca="false">IF($O173="","",INDEX('Auto Process'!$AK:$AK,$O173))</f>
        <v/>
      </c>
      <c r="J173" s="17" t="str">
        <f aca="false">IF($O173="","",INDEX('Auto Process'!$AL:$AL,$O173))</f>
        <v/>
      </c>
      <c r="K173" s="17" t="str">
        <f aca="false">IF($O173="","",INDEX('Auto Process'!$AM:$AM,$O173))</f>
        <v/>
      </c>
      <c r="L173" s="17" t="str">
        <f aca="false">IF($O173="","",INDEX('Auto Process'!$AN:$AN,$O173))</f>
        <v/>
      </c>
      <c r="M173" s="17" t="str">
        <f aca="false">IF($O173="","",INDEX('Auto Process'!$AO:$AO,$O173))</f>
        <v/>
      </c>
      <c r="O173" s="19" t="str">
        <f aca="false">IFERROR(_xlfn.AGGREGATE(15,6,ROW('Auto Process'!$D$4:$D$503)/('Auto Process'!$D$4:$D$503="Panel Details"),ROW()-1),"")</f>
        <v/>
      </c>
    </row>
    <row r="174" customFormat="false" ht="13.5" hidden="false" customHeight="true" outlineLevel="0" collapsed="false">
      <c r="A174" s="27" t="str">
        <f aca="false">IF($O174="","",INDEX('Auto Process'!$AC:$AC,$O174))</f>
        <v/>
      </c>
      <c r="B174" s="17" t="str">
        <f aca="false">IF($O174="","",INDEX('Auto Process'!$AD:$AD,$O174))</f>
        <v/>
      </c>
      <c r="C174" s="17" t="str">
        <f aca="false">IF($O174="","",INDEX('Auto Process'!$AE:$AE,$O174))</f>
        <v/>
      </c>
      <c r="D174" s="17" t="str">
        <f aca="false">IF($O174="","",INDEX('Auto Process'!$AF:$AF,$O174))</f>
        <v/>
      </c>
      <c r="E174" s="17" t="str">
        <f aca="false">IF($O174="","",INDEX('Auto Process'!$AG:$AG,$O174))</f>
        <v/>
      </c>
      <c r="F174" s="17" t="str">
        <f aca="false">IF($O174="","",INDEX('Auto Process'!$AH:$AH,$O174))</f>
        <v/>
      </c>
      <c r="G174" s="17" t="str">
        <f aca="false">IF($O174="","",INDEX('Auto Process'!$AI:$AI,$O174))</f>
        <v/>
      </c>
      <c r="H174" s="17" t="str">
        <f aca="false">IF($O174="","",INDEX('Auto Process'!$AJ:$AJ,$O174))</f>
        <v/>
      </c>
      <c r="I174" s="17" t="str">
        <f aca="false">IF($O174="","",INDEX('Auto Process'!$AK:$AK,$O174))</f>
        <v/>
      </c>
      <c r="J174" s="17" t="str">
        <f aca="false">IF($O174="","",INDEX('Auto Process'!$AL:$AL,$O174))</f>
        <v/>
      </c>
      <c r="K174" s="17" t="str">
        <f aca="false">IF($O174="","",INDEX('Auto Process'!$AM:$AM,$O174))</f>
        <v/>
      </c>
      <c r="L174" s="17" t="str">
        <f aca="false">IF($O174="","",INDEX('Auto Process'!$AN:$AN,$O174))</f>
        <v/>
      </c>
      <c r="M174" s="17" t="str">
        <f aca="false">IF($O174="","",INDEX('Auto Process'!$AO:$AO,$O174))</f>
        <v/>
      </c>
      <c r="O174" s="19" t="str">
        <f aca="false">IFERROR(_xlfn.AGGREGATE(15,6,ROW('Auto Process'!$D$4:$D$503)/('Auto Process'!$D$4:$D$503="Panel Details"),ROW()-1),"")</f>
        <v/>
      </c>
    </row>
    <row r="175" customFormat="false" ht="13.5" hidden="false" customHeight="true" outlineLevel="0" collapsed="false">
      <c r="A175" s="27" t="str">
        <f aca="false">IF($O175="","",INDEX('Auto Process'!$AC:$AC,$O175))</f>
        <v/>
      </c>
      <c r="B175" s="17" t="str">
        <f aca="false">IF($O175="","",INDEX('Auto Process'!$AD:$AD,$O175))</f>
        <v/>
      </c>
      <c r="C175" s="17" t="str">
        <f aca="false">IF($O175="","",INDEX('Auto Process'!$AE:$AE,$O175))</f>
        <v/>
      </c>
      <c r="D175" s="17" t="str">
        <f aca="false">IF($O175="","",INDEX('Auto Process'!$AF:$AF,$O175))</f>
        <v/>
      </c>
      <c r="E175" s="17" t="str">
        <f aca="false">IF($O175="","",INDEX('Auto Process'!$AG:$AG,$O175))</f>
        <v/>
      </c>
      <c r="F175" s="17" t="str">
        <f aca="false">IF($O175="","",INDEX('Auto Process'!$AH:$AH,$O175))</f>
        <v/>
      </c>
      <c r="G175" s="17" t="str">
        <f aca="false">IF($O175="","",INDEX('Auto Process'!$AI:$AI,$O175))</f>
        <v/>
      </c>
      <c r="H175" s="17" t="str">
        <f aca="false">IF($O175="","",INDEX('Auto Process'!$AJ:$AJ,$O175))</f>
        <v/>
      </c>
      <c r="I175" s="17" t="str">
        <f aca="false">IF($O175="","",INDEX('Auto Process'!$AK:$AK,$O175))</f>
        <v/>
      </c>
      <c r="J175" s="17" t="str">
        <f aca="false">IF($O175="","",INDEX('Auto Process'!$AL:$AL,$O175))</f>
        <v/>
      </c>
      <c r="K175" s="17" t="str">
        <f aca="false">IF($O175="","",INDEX('Auto Process'!$AM:$AM,$O175))</f>
        <v/>
      </c>
      <c r="L175" s="17" t="str">
        <f aca="false">IF($O175="","",INDEX('Auto Process'!$AN:$AN,$O175))</f>
        <v/>
      </c>
      <c r="M175" s="17" t="str">
        <f aca="false">IF($O175="","",INDEX('Auto Process'!$AO:$AO,$O175))</f>
        <v/>
      </c>
      <c r="O175" s="19" t="str">
        <f aca="false">IFERROR(_xlfn.AGGREGATE(15,6,ROW('Auto Process'!$D$4:$D$503)/('Auto Process'!$D$4:$D$503="Panel Details"),ROW()-1),"")</f>
        <v/>
      </c>
    </row>
    <row r="176" customFormat="false" ht="13.5" hidden="false" customHeight="true" outlineLevel="0" collapsed="false">
      <c r="A176" s="27" t="str">
        <f aca="false">IF($O176="","",INDEX('Auto Process'!$AC:$AC,$O176))</f>
        <v/>
      </c>
      <c r="B176" s="17" t="str">
        <f aca="false">IF($O176="","",INDEX('Auto Process'!$AD:$AD,$O176))</f>
        <v/>
      </c>
      <c r="C176" s="17" t="str">
        <f aca="false">IF($O176="","",INDEX('Auto Process'!$AE:$AE,$O176))</f>
        <v/>
      </c>
      <c r="D176" s="17" t="str">
        <f aca="false">IF($O176="","",INDEX('Auto Process'!$AF:$AF,$O176))</f>
        <v/>
      </c>
      <c r="E176" s="17" t="str">
        <f aca="false">IF($O176="","",INDEX('Auto Process'!$AG:$AG,$O176))</f>
        <v/>
      </c>
      <c r="F176" s="17" t="str">
        <f aca="false">IF($O176="","",INDEX('Auto Process'!$AH:$AH,$O176))</f>
        <v/>
      </c>
      <c r="G176" s="17" t="str">
        <f aca="false">IF($O176="","",INDEX('Auto Process'!$AI:$AI,$O176))</f>
        <v/>
      </c>
      <c r="H176" s="17" t="str">
        <f aca="false">IF($O176="","",INDEX('Auto Process'!$AJ:$AJ,$O176))</f>
        <v/>
      </c>
      <c r="I176" s="17" t="str">
        <f aca="false">IF($O176="","",INDEX('Auto Process'!$AK:$AK,$O176))</f>
        <v/>
      </c>
      <c r="J176" s="17" t="str">
        <f aca="false">IF($O176="","",INDEX('Auto Process'!$AL:$AL,$O176))</f>
        <v/>
      </c>
      <c r="K176" s="17" t="str">
        <f aca="false">IF($O176="","",INDEX('Auto Process'!$AM:$AM,$O176))</f>
        <v/>
      </c>
      <c r="L176" s="17" t="str">
        <f aca="false">IF($O176="","",INDEX('Auto Process'!$AN:$AN,$O176))</f>
        <v/>
      </c>
      <c r="M176" s="17" t="str">
        <f aca="false">IF($O176="","",INDEX('Auto Process'!$AO:$AO,$O176))</f>
        <v/>
      </c>
      <c r="O176" s="19" t="str">
        <f aca="false">IFERROR(_xlfn.AGGREGATE(15,6,ROW('Auto Process'!$D$4:$D$503)/('Auto Process'!$D$4:$D$503="Panel Details"),ROW()-1),"")</f>
        <v/>
      </c>
    </row>
    <row r="177" customFormat="false" ht="13.5" hidden="false" customHeight="true" outlineLevel="0" collapsed="false">
      <c r="A177" s="27" t="str">
        <f aca="false">IF($O177="","",INDEX('Auto Process'!$AC:$AC,$O177))</f>
        <v/>
      </c>
      <c r="B177" s="17" t="str">
        <f aca="false">IF($O177="","",INDEX('Auto Process'!$AD:$AD,$O177))</f>
        <v/>
      </c>
      <c r="C177" s="17" t="str">
        <f aca="false">IF($O177="","",INDEX('Auto Process'!$AE:$AE,$O177))</f>
        <v/>
      </c>
      <c r="D177" s="17" t="str">
        <f aca="false">IF($O177="","",INDEX('Auto Process'!$AF:$AF,$O177))</f>
        <v/>
      </c>
      <c r="E177" s="17" t="str">
        <f aca="false">IF($O177="","",INDEX('Auto Process'!$AG:$AG,$O177))</f>
        <v/>
      </c>
      <c r="F177" s="17" t="str">
        <f aca="false">IF($O177="","",INDEX('Auto Process'!$AH:$AH,$O177))</f>
        <v/>
      </c>
      <c r="G177" s="17" t="str">
        <f aca="false">IF($O177="","",INDEX('Auto Process'!$AI:$AI,$O177))</f>
        <v/>
      </c>
      <c r="H177" s="17" t="str">
        <f aca="false">IF($O177="","",INDEX('Auto Process'!$AJ:$AJ,$O177))</f>
        <v/>
      </c>
      <c r="I177" s="17" t="str">
        <f aca="false">IF($O177="","",INDEX('Auto Process'!$AK:$AK,$O177))</f>
        <v/>
      </c>
      <c r="J177" s="17" t="str">
        <f aca="false">IF($O177="","",INDEX('Auto Process'!$AL:$AL,$O177))</f>
        <v/>
      </c>
      <c r="K177" s="17" t="str">
        <f aca="false">IF($O177="","",INDEX('Auto Process'!$AM:$AM,$O177))</f>
        <v/>
      </c>
      <c r="L177" s="17" t="str">
        <f aca="false">IF($O177="","",INDEX('Auto Process'!$AN:$AN,$O177))</f>
        <v/>
      </c>
      <c r="M177" s="17" t="str">
        <f aca="false">IF($O177="","",INDEX('Auto Process'!$AO:$AO,$O177))</f>
        <v/>
      </c>
      <c r="O177" s="19" t="str">
        <f aca="false">IFERROR(_xlfn.AGGREGATE(15,6,ROW('Auto Process'!$D$4:$D$503)/('Auto Process'!$D$4:$D$503="Panel Details"),ROW()-1),"")</f>
        <v/>
      </c>
    </row>
    <row r="178" customFormat="false" ht="13.5" hidden="false" customHeight="true" outlineLevel="0" collapsed="false">
      <c r="A178" s="27" t="str">
        <f aca="false">IF($O178="","",INDEX('Auto Process'!$AC:$AC,$O178))</f>
        <v/>
      </c>
      <c r="B178" s="17" t="str">
        <f aca="false">IF($O178="","",INDEX('Auto Process'!$AD:$AD,$O178))</f>
        <v/>
      </c>
      <c r="C178" s="17" t="str">
        <f aca="false">IF($O178="","",INDEX('Auto Process'!$AE:$AE,$O178))</f>
        <v/>
      </c>
      <c r="D178" s="17" t="str">
        <f aca="false">IF($O178="","",INDEX('Auto Process'!$AF:$AF,$O178))</f>
        <v/>
      </c>
      <c r="E178" s="17" t="str">
        <f aca="false">IF($O178="","",INDEX('Auto Process'!$AG:$AG,$O178))</f>
        <v/>
      </c>
      <c r="F178" s="17" t="str">
        <f aca="false">IF($O178="","",INDEX('Auto Process'!$AH:$AH,$O178))</f>
        <v/>
      </c>
      <c r="G178" s="17" t="str">
        <f aca="false">IF($O178="","",INDEX('Auto Process'!$AI:$AI,$O178))</f>
        <v/>
      </c>
      <c r="H178" s="17" t="str">
        <f aca="false">IF($O178="","",INDEX('Auto Process'!$AJ:$AJ,$O178))</f>
        <v/>
      </c>
      <c r="I178" s="17" t="str">
        <f aca="false">IF($O178="","",INDEX('Auto Process'!$AK:$AK,$O178))</f>
        <v/>
      </c>
      <c r="J178" s="17" t="str">
        <f aca="false">IF($O178="","",INDEX('Auto Process'!$AL:$AL,$O178))</f>
        <v/>
      </c>
      <c r="K178" s="17" t="str">
        <f aca="false">IF($O178="","",INDEX('Auto Process'!$AM:$AM,$O178))</f>
        <v/>
      </c>
      <c r="L178" s="17" t="str">
        <f aca="false">IF($O178="","",INDEX('Auto Process'!$AN:$AN,$O178))</f>
        <v/>
      </c>
      <c r="M178" s="17" t="str">
        <f aca="false">IF($O178="","",INDEX('Auto Process'!$AO:$AO,$O178))</f>
        <v/>
      </c>
      <c r="O178" s="19" t="str">
        <f aca="false">IFERROR(_xlfn.AGGREGATE(15,6,ROW('Auto Process'!$D$4:$D$503)/('Auto Process'!$D$4:$D$503="Panel Details"),ROW()-1),"")</f>
        <v/>
      </c>
    </row>
    <row r="179" customFormat="false" ht="13.5" hidden="false" customHeight="true" outlineLevel="0" collapsed="false">
      <c r="A179" s="27" t="str">
        <f aca="false">IF($O179="","",INDEX('Auto Process'!$AC:$AC,$O179))</f>
        <v/>
      </c>
      <c r="B179" s="17" t="str">
        <f aca="false">IF($O179="","",INDEX('Auto Process'!$AD:$AD,$O179))</f>
        <v/>
      </c>
      <c r="C179" s="17" t="str">
        <f aca="false">IF($O179="","",INDEX('Auto Process'!$AE:$AE,$O179))</f>
        <v/>
      </c>
      <c r="D179" s="17" t="str">
        <f aca="false">IF($O179="","",INDEX('Auto Process'!$AF:$AF,$O179))</f>
        <v/>
      </c>
      <c r="E179" s="17" t="str">
        <f aca="false">IF($O179="","",INDEX('Auto Process'!$AG:$AG,$O179))</f>
        <v/>
      </c>
      <c r="F179" s="17" t="str">
        <f aca="false">IF($O179="","",INDEX('Auto Process'!$AH:$AH,$O179))</f>
        <v/>
      </c>
      <c r="G179" s="17" t="str">
        <f aca="false">IF($O179="","",INDEX('Auto Process'!$AI:$AI,$O179))</f>
        <v/>
      </c>
      <c r="H179" s="17" t="str">
        <f aca="false">IF($O179="","",INDEX('Auto Process'!$AJ:$AJ,$O179))</f>
        <v/>
      </c>
      <c r="I179" s="17" t="str">
        <f aca="false">IF($O179="","",INDEX('Auto Process'!$AK:$AK,$O179))</f>
        <v/>
      </c>
      <c r="J179" s="17" t="str">
        <f aca="false">IF($O179="","",INDEX('Auto Process'!$AL:$AL,$O179))</f>
        <v/>
      </c>
      <c r="K179" s="17" t="str">
        <f aca="false">IF($O179="","",INDEX('Auto Process'!$AM:$AM,$O179))</f>
        <v/>
      </c>
      <c r="L179" s="17" t="str">
        <f aca="false">IF($O179="","",INDEX('Auto Process'!$AN:$AN,$O179))</f>
        <v/>
      </c>
      <c r="M179" s="17" t="str">
        <f aca="false">IF($O179="","",INDEX('Auto Process'!$AO:$AO,$O179))</f>
        <v/>
      </c>
      <c r="O179" s="19" t="str">
        <f aca="false">IFERROR(_xlfn.AGGREGATE(15,6,ROW('Auto Process'!$D$4:$D$503)/('Auto Process'!$D$4:$D$503="Panel Details"),ROW()-1),"")</f>
        <v/>
      </c>
    </row>
    <row r="180" customFormat="false" ht="13.5" hidden="false" customHeight="true" outlineLevel="0" collapsed="false">
      <c r="A180" s="27" t="str">
        <f aca="false">IF($O180="","",INDEX('Auto Process'!$AC:$AC,$O180))</f>
        <v/>
      </c>
      <c r="B180" s="17" t="str">
        <f aca="false">IF($O180="","",INDEX('Auto Process'!$AD:$AD,$O180))</f>
        <v/>
      </c>
      <c r="C180" s="17" t="str">
        <f aca="false">IF($O180="","",INDEX('Auto Process'!$AE:$AE,$O180))</f>
        <v/>
      </c>
      <c r="D180" s="17" t="str">
        <f aca="false">IF($O180="","",INDEX('Auto Process'!$AF:$AF,$O180))</f>
        <v/>
      </c>
      <c r="E180" s="17" t="str">
        <f aca="false">IF($O180="","",INDEX('Auto Process'!$AG:$AG,$O180))</f>
        <v/>
      </c>
      <c r="F180" s="17" t="str">
        <f aca="false">IF($O180="","",INDEX('Auto Process'!$AH:$AH,$O180))</f>
        <v/>
      </c>
      <c r="G180" s="17" t="str">
        <f aca="false">IF($O180="","",INDEX('Auto Process'!$AI:$AI,$O180))</f>
        <v/>
      </c>
      <c r="H180" s="17" t="str">
        <f aca="false">IF($O180="","",INDEX('Auto Process'!$AJ:$AJ,$O180))</f>
        <v/>
      </c>
      <c r="I180" s="17" t="str">
        <f aca="false">IF($O180="","",INDEX('Auto Process'!$AK:$AK,$O180))</f>
        <v/>
      </c>
      <c r="J180" s="17" t="str">
        <f aca="false">IF($O180="","",INDEX('Auto Process'!$AL:$AL,$O180))</f>
        <v/>
      </c>
      <c r="K180" s="17" t="str">
        <f aca="false">IF($O180="","",INDEX('Auto Process'!$AM:$AM,$O180))</f>
        <v/>
      </c>
      <c r="L180" s="17" t="str">
        <f aca="false">IF($O180="","",INDEX('Auto Process'!$AN:$AN,$O180))</f>
        <v/>
      </c>
      <c r="M180" s="17" t="str">
        <f aca="false">IF($O180="","",INDEX('Auto Process'!$AO:$AO,$O180))</f>
        <v/>
      </c>
      <c r="O180" s="19" t="str">
        <f aca="false">IFERROR(_xlfn.AGGREGATE(15,6,ROW('Auto Process'!$D$4:$D$503)/('Auto Process'!$D$4:$D$503="Panel Details"),ROW()-1),"")</f>
        <v/>
      </c>
    </row>
    <row r="181" customFormat="false" ht="13.5" hidden="false" customHeight="true" outlineLevel="0" collapsed="false">
      <c r="A181" s="27" t="str">
        <f aca="false">IF($O181="","",INDEX('Auto Process'!$AC:$AC,$O181))</f>
        <v/>
      </c>
      <c r="B181" s="17" t="str">
        <f aca="false">IF($O181="","",INDEX('Auto Process'!$AD:$AD,$O181))</f>
        <v/>
      </c>
      <c r="C181" s="17" t="str">
        <f aca="false">IF($O181="","",INDEX('Auto Process'!$AE:$AE,$O181))</f>
        <v/>
      </c>
      <c r="D181" s="17" t="str">
        <f aca="false">IF($O181="","",INDEX('Auto Process'!$AF:$AF,$O181))</f>
        <v/>
      </c>
      <c r="E181" s="17" t="str">
        <f aca="false">IF($O181="","",INDEX('Auto Process'!$AG:$AG,$O181))</f>
        <v/>
      </c>
      <c r="F181" s="17" t="str">
        <f aca="false">IF($O181="","",INDEX('Auto Process'!$AH:$AH,$O181))</f>
        <v/>
      </c>
      <c r="G181" s="17" t="str">
        <f aca="false">IF($O181="","",INDEX('Auto Process'!$AI:$AI,$O181))</f>
        <v/>
      </c>
      <c r="H181" s="17" t="str">
        <f aca="false">IF($O181="","",INDEX('Auto Process'!$AJ:$AJ,$O181))</f>
        <v/>
      </c>
      <c r="I181" s="17" t="str">
        <f aca="false">IF($O181="","",INDEX('Auto Process'!$AK:$AK,$O181))</f>
        <v/>
      </c>
      <c r="J181" s="17" t="str">
        <f aca="false">IF($O181="","",INDEX('Auto Process'!$AL:$AL,$O181))</f>
        <v/>
      </c>
      <c r="K181" s="17" t="str">
        <f aca="false">IF($O181="","",INDEX('Auto Process'!$AM:$AM,$O181))</f>
        <v/>
      </c>
      <c r="L181" s="17" t="str">
        <f aca="false">IF($O181="","",INDEX('Auto Process'!$AN:$AN,$O181))</f>
        <v/>
      </c>
      <c r="M181" s="17" t="str">
        <f aca="false">IF($O181="","",INDEX('Auto Process'!$AO:$AO,$O181))</f>
        <v/>
      </c>
      <c r="O181" s="19" t="str">
        <f aca="false">IFERROR(_xlfn.AGGREGATE(15,6,ROW('Auto Process'!$D$4:$D$503)/('Auto Process'!$D$4:$D$503="Panel Details"),ROW()-1),"")</f>
        <v/>
      </c>
    </row>
    <row r="182" customFormat="false" ht="13.5" hidden="false" customHeight="true" outlineLevel="0" collapsed="false">
      <c r="A182" s="27" t="str">
        <f aca="false">IF($O182="","",INDEX('Auto Process'!$AC:$AC,$O182))</f>
        <v/>
      </c>
      <c r="B182" s="17" t="str">
        <f aca="false">IF($O182="","",INDEX('Auto Process'!$AD:$AD,$O182))</f>
        <v/>
      </c>
      <c r="C182" s="17" t="str">
        <f aca="false">IF($O182="","",INDEX('Auto Process'!$AE:$AE,$O182))</f>
        <v/>
      </c>
      <c r="D182" s="17" t="str">
        <f aca="false">IF($O182="","",INDEX('Auto Process'!$AF:$AF,$O182))</f>
        <v/>
      </c>
      <c r="E182" s="17" t="str">
        <f aca="false">IF($O182="","",INDEX('Auto Process'!$AG:$AG,$O182))</f>
        <v/>
      </c>
      <c r="F182" s="17" t="str">
        <f aca="false">IF($O182="","",INDEX('Auto Process'!$AH:$AH,$O182))</f>
        <v/>
      </c>
      <c r="G182" s="17" t="str">
        <f aca="false">IF($O182="","",INDEX('Auto Process'!$AI:$AI,$O182))</f>
        <v/>
      </c>
      <c r="H182" s="17" t="str">
        <f aca="false">IF($O182="","",INDEX('Auto Process'!$AJ:$AJ,$O182))</f>
        <v/>
      </c>
      <c r="I182" s="17" t="str">
        <f aca="false">IF($O182="","",INDEX('Auto Process'!$AK:$AK,$O182))</f>
        <v/>
      </c>
      <c r="J182" s="17" t="str">
        <f aca="false">IF($O182="","",INDEX('Auto Process'!$AL:$AL,$O182))</f>
        <v/>
      </c>
      <c r="K182" s="17" t="str">
        <f aca="false">IF($O182="","",INDEX('Auto Process'!$AM:$AM,$O182))</f>
        <v/>
      </c>
      <c r="L182" s="17" t="str">
        <f aca="false">IF($O182="","",INDEX('Auto Process'!$AN:$AN,$O182))</f>
        <v/>
      </c>
      <c r="M182" s="17" t="str">
        <f aca="false">IF($O182="","",INDEX('Auto Process'!$AO:$AO,$O182))</f>
        <v/>
      </c>
      <c r="O182" s="19" t="str">
        <f aca="false">IFERROR(_xlfn.AGGREGATE(15,6,ROW('Auto Process'!$D$4:$D$503)/('Auto Process'!$D$4:$D$503="Panel Details"),ROW()-1),"")</f>
        <v/>
      </c>
    </row>
    <row r="183" customFormat="false" ht="13.5" hidden="false" customHeight="true" outlineLevel="0" collapsed="false">
      <c r="A183" s="27" t="str">
        <f aca="false">IF($O183="","",INDEX('Auto Process'!$AC:$AC,$O183))</f>
        <v/>
      </c>
      <c r="B183" s="17" t="str">
        <f aca="false">IF($O183="","",INDEX('Auto Process'!$AD:$AD,$O183))</f>
        <v/>
      </c>
      <c r="C183" s="17" t="str">
        <f aca="false">IF($O183="","",INDEX('Auto Process'!$AE:$AE,$O183))</f>
        <v/>
      </c>
      <c r="D183" s="17" t="str">
        <f aca="false">IF($O183="","",INDEX('Auto Process'!$AF:$AF,$O183))</f>
        <v/>
      </c>
      <c r="E183" s="17" t="str">
        <f aca="false">IF($O183="","",INDEX('Auto Process'!$AG:$AG,$O183))</f>
        <v/>
      </c>
      <c r="F183" s="17" t="str">
        <f aca="false">IF($O183="","",INDEX('Auto Process'!$AH:$AH,$O183))</f>
        <v/>
      </c>
      <c r="G183" s="17" t="str">
        <f aca="false">IF($O183="","",INDEX('Auto Process'!$AI:$AI,$O183))</f>
        <v/>
      </c>
      <c r="H183" s="17" t="str">
        <f aca="false">IF($O183="","",INDEX('Auto Process'!$AJ:$AJ,$O183))</f>
        <v/>
      </c>
      <c r="I183" s="17" t="str">
        <f aca="false">IF($O183="","",INDEX('Auto Process'!$AK:$AK,$O183))</f>
        <v/>
      </c>
      <c r="J183" s="17" t="str">
        <f aca="false">IF($O183="","",INDEX('Auto Process'!$AL:$AL,$O183))</f>
        <v/>
      </c>
      <c r="K183" s="17" t="str">
        <f aca="false">IF($O183="","",INDEX('Auto Process'!$AM:$AM,$O183))</f>
        <v/>
      </c>
      <c r="L183" s="17" t="str">
        <f aca="false">IF($O183="","",INDEX('Auto Process'!$AN:$AN,$O183))</f>
        <v/>
      </c>
      <c r="M183" s="17" t="str">
        <f aca="false">IF($O183="","",INDEX('Auto Process'!$AO:$AO,$O183))</f>
        <v/>
      </c>
      <c r="O183" s="19" t="str">
        <f aca="false">IFERROR(_xlfn.AGGREGATE(15,6,ROW('Auto Process'!$D$4:$D$503)/('Auto Process'!$D$4:$D$503="Panel Details"),ROW()-1),"")</f>
        <v/>
      </c>
    </row>
    <row r="184" customFormat="false" ht="13.5" hidden="false" customHeight="true" outlineLevel="0" collapsed="false">
      <c r="A184" s="27" t="str">
        <f aca="false">IF($O184="","",INDEX('Auto Process'!$AC:$AC,$O184))</f>
        <v/>
      </c>
      <c r="B184" s="17" t="str">
        <f aca="false">IF($O184="","",INDEX('Auto Process'!$AD:$AD,$O184))</f>
        <v/>
      </c>
      <c r="C184" s="17" t="str">
        <f aca="false">IF($O184="","",INDEX('Auto Process'!$AE:$AE,$O184))</f>
        <v/>
      </c>
      <c r="D184" s="17" t="str">
        <f aca="false">IF($O184="","",INDEX('Auto Process'!$AF:$AF,$O184))</f>
        <v/>
      </c>
      <c r="E184" s="17" t="str">
        <f aca="false">IF($O184="","",INDEX('Auto Process'!$AG:$AG,$O184))</f>
        <v/>
      </c>
      <c r="F184" s="17" t="str">
        <f aca="false">IF($O184="","",INDEX('Auto Process'!$AH:$AH,$O184))</f>
        <v/>
      </c>
      <c r="G184" s="17" t="str">
        <f aca="false">IF($O184="","",INDEX('Auto Process'!$AI:$AI,$O184))</f>
        <v/>
      </c>
      <c r="H184" s="17" t="str">
        <f aca="false">IF($O184="","",INDEX('Auto Process'!$AJ:$AJ,$O184))</f>
        <v/>
      </c>
      <c r="I184" s="17" t="str">
        <f aca="false">IF($O184="","",INDEX('Auto Process'!$AK:$AK,$O184))</f>
        <v/>
      </c>
      <c r="J184" s="17" t="str">
        <f aca="false">IF($O184="","",INDEX('Auto Process'!$AL:$AL,$O184))</f>
        <v/>
      </c>
      <c r="K184" s="17" t="str">
        <f aca="false">IF($O184="","",INDEX('Auto Process'!$AM:$AM,$O184))</f>
        <v/>
      </c>
      <c r="L184" s="17" t="str">
        <f aca="false">IF($O184="","",INDEX('Auto Process'!$AN:$AN,$O184))</f>
        <v/>
      </c>
      <c r="M184" s="17" t="str">
        <f aca="false">IF($O184="","",INDEX('Auto Process'!$AO:$AO,$O184))</f>
        <v/>
      </c>
      <c r="O184" s="19" t="str">
        <f aca="false">IFERROR(_xlfn.AGGREGATE(15,6,ROW('Auto Process'!$D$4:$D$503)/('Auto Process'!$D$4:$D$503="Panel Details"),ROW()-1),"")</f>
        <v/>
      </c>
    </row>
    <row r="185" customFormat="false" ht="13.5" hidden="false" customHeight="true" outlineLevel="0" collapsed="false">
      <c r="A185" s="27" t="str">
        <f aca="false">IF($O185="","",INDEX('Auto Process'!$AC:$AC,$O185))</f>
        <v/>
      </c>
      <c r="B185" s="17" t="str">
        <f aca="false">IF($O185="","",INDEX('Auto Process'!$AD:$AD,$O185))</f>
        <v/>
      </c>
      <c r="C185" s="17" t="str">
        <f aca="false">IF($O185="","",INDEX('Auto Process'!$AE:$AE,$O185))</f>
        <v/>
      </c>
      <c r="D185" s="17" t="str">
        <f aca="false">IF($O185="","",INDEX('Auto Process'!$AF:$AF,$O185))</f>
        <v/>
      </c>
      <c r="E185" s="17" t="str">
        <f aca="false">IF($O185="","",INDEX('Auto Process'!$AG:$AG,$O185))</f>
        <v/>
      </c>
      <c r="F185" s="17" t="str">
        <f aca="false">IF($O185="","",INDEX('Auto Process'!$AH:$AH,$O185))</f>
        <v/>
      </c>
      <c r="G185" s="17" t="str">
        <f aca="false">IF($O185="","",INDEX('Auto Process'!$AI:$AI,$O185))</f>
        <v/>
      </c>
      <c r="H185" s="17" t="str">
        <f aca="false">IF($O185="","",INDEX('Auto Process'!$AJ:$AJ,$O185))</f>
        <v/>
      </c>
      <c r="I185" s="17" t="str">
        <f aca="false">IF($O185="","",INDEX('Auto Process'!$AK:$AK,$O185))</f>
        <v/>
      </c>
      <c r="J185" s="17" t="str">
        <f aca="false">IF($O185="","",INDEX('Auto Process'!$AL:$AL,$O185))</f>
        <v/>
      </c>
      <c r="K185" s="17" t="str">
        <f aca="false">IF($O185="","",INDEX('Auto Process'!$AM:$AM,$O185))</f>
        <v/>
      </c>
      <c r="L185" s="17" t="str">
        <f aca="false">IF($O185="","",INDEX('Auto Process'!$AN:$AN,$O185))</f>
        <v/>
      </c>
      <c r="M185" s="17" t="str">
        <f aca="false">IF($O185="","",INDEX('Auto Process'!$AO:$AO,$O185))</f>
        <v/>
      </c>
      <c r="O185" s="19" t="str">
        <f aca="false">IFERROR(_xlfn.AGGREGATE(15,6,ROW('Auto Process'!$D$4:$D$503)/('Auto Process'!$D$4:$D$503="Panel Details"),ROW()-1),"")</f>
        <v/>
      </c>
    </row>
    <row r="186" customFormat="false" ht="13.5" hidden="false" customHeight="true" outlineLevel="0" collapsed="false">
      <c r="A186" s="27" t="str">
        <f aca="false">IF($O186="","",INDEX('Auto Process'!$AC:$AC,$O186))</f>
        <v/>
      </c>
      <c r="B186" s="17" t="str">
        <f aca="false">IF($O186="","",INDEX('Auto Process'!$AD:$AD,$O186))</f>
        <v/>
      </c>
      <c r="C186" s="17" t="str">
        <f aca="false">IF($O186="","",INDEX('Auto Process'!$AE:$AE,$O186))</f>
        <v/>
      </c>
      <c r="D186" s="17" t="str">
        <f aca="false">IF($O186="","",INDEX('Auto Process'!$AF:$AF,$O186))</f>
        <v/>
      </c>
      <c r="E186" s="17" t="str">
        <f aca="false">IF($O186="","",INDEX('Auto Process'!$AG:$AG,$O186))</f>
        <v/>
      </c>
      <c r="F186" s="17" t="str">
        <f aca="false">IF($O186="","",INDEX('Auto Process'!$AH:$AH,$O186))</f>
        <v/>
      </c>
      <c r="G186" s="17" t="str">
        <f aca="false">IF($O186="","",INDEX('Auto Process'!$AI:$AI,$O186))</f>
        <v/>
      </c>
      <c r="H186" s="17" t="str">
        <f aca="false">IF($O186="","",INDEX('Auto Process'!$AJ:$AJ,$O186))</f>
        <v/>
      </c>
      <c r="I186" s="17" t="str">
        <f aca="false">IF($O186="","",INDEX('Auto Process'!$AK:$AK,$O186))</f>
        <v/>
      </c>
      <c r="J186" s="17" t="str">
        <f aca="false">IF($O186="","",INDEX('Auto Process'!$AL:$AL,$O186))</f>
        <v/>
      </c>
      <c r="K186" s="17" t="str">
        <f aca="false">IF($O186="","",INDEX('Auto Process'!$AM:$AM,$O186))</f>
        <v/>
      </c>
      <c r="L186" s="17" t="str">
        <f aca="false">IF($O186="","",INDEX('Auto Process'!$AN:$AN,$O186))</f>
        <v/>
      </c>
      <c r="M186" s="17" t="str">
        <f aca="false">IF($O186="","",INDEX('Auto Process'!$AO:$AO,$O186))</f>
        <v/>
      </c>
      <c r="O186" s="19" t="str">
        <f aca="false">IFERROR(_xlfn.AGGREGATE(15,6,ROW('Auto Process'!$D$4:$D$503)/('Auto Process'!$D$4:$D$503="Panel Details"),ROW()-1),"")</f>
        <v/>
      </c>
    </row>
    <row r="187" customFormat="false" ht="13.5" hidden="false" customHeight="true" outlineLevel="0" collapsed="false">
      <c r="A187" s="27" t="str">
        <f aca="false">IF($O187="","",INDEX('Auto Process'!$AC:$AC,$O187))</f>
        <v/>
      </c>
      <c r="B187" s="17" t="str">
        <f aca="false">IF($O187="","",INDEX('Auto Process'!$AD:$AD,$O187))</f>
        <v/>
      </c>
      <c r="C187" s="17" t="str">
        <f aca="false">IF($O187="","",INDEX('Auto Process'!$AE:$AE,$O187))</f>
        <v/>
      </c>
      <c r="D187" s="17" t="str">
        <f aca="false">IF($O187="","",INDEX('Auto Process'!$AF:$AF,$O187))</f>
        <v/>
      </c>
      <c r="E187" s="17" t="str">
        <f aca="false">IF($O187="","",INDEX('Auto Process'!$AG:$AG,$O187))</f>
        <v/>
      </c>
      <c r="F187" s="17" t="str">
        <f aca="false">IF($O187="","",INDEX('Auto Process'!$AH:$AH,$O187))</f>
        <v/>
      </c>
      <c r="G187" s="17" t="str">
        <f aca="false">IF($O187="","",INDEX('Auto Process'!$AI:$AI,$O187))</f>
        <v/>
      </c>
      <c r="H187" s="17" t="str">
        <f aca="false">IF($O187="","",INDEX('Auto Process'!$AJ:$AJ,$O187))</f>
        <v/>
      </c>
      <c r="I187" s="17" t="str">
        <f aca="false">IF($O187="","",INDEX('Auto Process'!$AK:$AK,$O187))</f>
        <v/>
      </c>
      <c r="J187" s="17" t="str">
        <f aca="false">IF($O187="","",INDEX('Auto Process'!$AL:$AL,$O187))</f>
        <v/>
      </c>
      <c r="K187" s="17" t="str">
        <f aca="false">IF($O187="","",INDEX('Auto Process'!$AM:$AM,$O187))</f>
        <v/>
      </c>
      <c r="L187" s="17" t="str">
        <f aca="false">IF($O187="","",INDEX('Auto Process'!$AN:$AN,$O187))</f>
        <v/>
      </c>
      <c r="M187" s="17" t="str">
        <f aca="false">IF($O187="","",INDEX('Auto Process'!$AO:$AO,$O187))</f>
        <v/>
      </c>
      <c r="O187" s="19" t="str">
        <f aca="false">IFERROR(_xlfn.AGGREGATE(15,6,ROW('Auto Process'!$D$4:$D$503)/('Auto Process'!$D$4:$D$503="Panel Details"),ROW()-1),"")</f>
        <v/>
      </c>
    </row>
    <row r="188" customFormat="false" ht="13.5" hidden="false" customHeight="true" outlineLevel="0" collapsed="false">
      <c r="A188" s="27" t="str">
        <f aca="false">IF($O188="","",INDEX('Auto Process'!$AC:$AC,$O188))</f>
        <v/>
      </c>
      <c r="B188" s="17" t="str">
        <f aca="false">IF($O188="","",INDEX('Auto Process'!$AD:$AD,$O188))</f>
        <v/>
      </c>
      <c r="C188" s="17" t="str">
        <f aca="false">IF($O188="","",INDEX('Auto Process'!$AE:$AE,$O188))</f>
        <v/>
      </c>
      <c r="D188" s="17" t="str">
        <f aca="false">IF($O188="","",INDEX('Auto Process'!$AF:$AF,$O188))</f>
        <v/>
      </c>
      <c r="E188" s="17" t="str">
        <f aca="false">IF($O188="","",INDEX('Auto Process'!$AG:$AG,$O188))</f>
        <v/>
      </c>
      <c r="F188" s="17" t="str">
        <f aca="false">IF($O188="","",INDEX('Auto Process'!$AH:$AH,$O188))</f>
        <v/>
      </c>
      <c r="G188" s="17" t="str">
        <f aca="false">IF($O188="","",INDEX('Auto Process'!$AI:$AI,$O188))</f>
        <v/>
      </c>
      <c r="H188" s="17" t="str">
        <f aca="false">IF($O188="","",INDEX('Auto Process'!$AJ:$AJ,$O188))</f>
        <v/>
      </c>
      <c r="I188" s="17" t="str">
        <f aca="false">IF($O188="","",INDEX('Auto Process'!$AK:$AK,$O188))</f>
        <v/>
      </c>
      <c r="J188" s="17" t="str">
        <f aca="false">IF($O188="","",INDEX('Auto Process'!$AL:$AL,$O188))</f>
        <v/>
      </c>
      <c r="K188" s="17" t="str">
        <f aca="false">IF($O188="","",INDEX('Auto Process'!$AM:$AM,$O188))</f>
        <v/>
      </c>
      <c r="L188" s="17" t="str">
        <f aca="false">IF($O188="","",INDEX('Auto Process'!$AN:$AN,$O188))</f>
        <v/>
      </c>
      <c r="M188" s="17" t="str">
        <f aca="false">IF($O188="","",INDEX('Auto Process'!$AO:$AO,$O188))</f>
        <v/>
      </c>
      <c r="O188" s="19" t="str">
        <f aca="false">IFERROR(_xlfn.AGGREGATE(15,6,ROW('Auto Process'!$D$4:$D$503)/('Auto Process'!$D$4:$D$503="Panel Details"),ROW()-1),"")</f>
        <v/>
      </c>
    </row>
    <row r="189" customFormat="false" ht="13.5" hidden="false" customHeight="true" outlineLevel="0" collapsed="false">
      <c r="A189" s="27" t="str">
        <f aca="false">IF($O189="","",INDEX('Auto Process'!$AC:$AC,$O189))</f>
        <v/>
      </c>
      <c r="B189" s="17" t="str">
        <f aca="false">IF($O189="","",INDEX('Auto Process'!$AD:$AD,$O189))</f>
        <v/>
      </c>
      <c r="C189" s="17" t="str">
        <f aca="false">IF($O189="","",INDEX('Auto Process'!$AE:$AE,$O189))</f>
        <v/>
      </c>
      <c r="D189" s="17" t="str">
        <f aca="false">IF($O189="","",INDEX('Auto Process'!$AF:$AF,$O189))</f>
        <v/>
      </c>
      <c r="E189" s="17" t="str">
        <f aca="false">IF($O189="","",INDEX('Auto Process'!$AG:$AG,$O189))</f>
        <v/>
      </c>
      <c r="F189" s="17" t="str">
        <f aca="false">IF($O189="","",INDEX('Auto Process'!$AH:$AH,$O189))</f>
        <v/>
      </c>
      <c r="G189" s="17" t="str">
        <f aca="false">IF($O189="","",INDEX('Auto Process'!$AI:$AI,$O189))</f>
        <v/>
      </c>
      <c r="H189" s="17" t="str">
        <f aca="false">IF($O189="","",INDEX('Auto Process'!$AJ:$AJ,$O189))</f>
        <v/>
      </c>
      <c r="I189" s="17" t="str">
        <f aca="false">IF($O189="","",INDEX('Auto Process'!$AK:$AK,$O189))</f>
        <v/>
      </c>
      <c r="J189" s="17" t="str">
        <f aca="false">IF($O189="","",INDEX('Auto Process'!$AL:$AL,$O189))</f>
        <v/>
      </c>
      <c r="K189" s="17" t="str">
        <f aca="false">IF($O189="","",INDEX('Auto Process'!$AM:$AM,$O189))</f>
        <v/>
      </c>
      <c r="L189" s="17" t="str">
        <f aca="false">IF($O189="","",INDEX('Auto Process'!$AN:$AN,$O189))</f>
        <v/>
      </c>
      <c r="M189" s="17" t="str">
        <f aca="false">IF($O189="","",INDEX('Auto Process'!$AO:$AO,$O189))</f>
        <v/>
      </c>
      <c r="O189" s="19" t="str">
        <f aca="false">IFERROR(_xlfn.AGGREGATE(15,6,ROW('Auto Process'!$D$4:$D$503)/('Auto Process'!$D$4:$D$503="Panel Details"),ROW()-1),"")</f>
        <v/>
      </c>
    </row>
    <row r="190" customFormat="false" ht="13.5" hidden="false" customHeight="true" outlineLevel="0" collapsed="false">
      <c r="A190" s="27" t="str">
        <f aca="false">IF($O190="","",INDEX('Auto Process'!$AC:$AC,$O190))</f>
        <v/>
      </c>
      <c r="B190" s="17" t="str">
        <f aca="false">IF($O190="","",INDEX('Auto Process'!$AD:$AD,$O190))</f>
        <v/>
      </c>
      <c r="C190" s="17" t="str">
        <f aca="false">IF($O190="","",INDEX('Auto Process'!$AE:$AE,$O190))</f>
        <v/>
      </c>
      <c r="D190" s="17" t="str">
        <f aca="false">IF($O190="","",INDEX('Auto Process'!$AF:$AF,$O190))</f>
        <v/>
      </c>
      <c r="E190" s="17" t="str">
        <f aca="false">IF($O190="","",INDEX('Auto Process'!$AG:$AG,$O190))</f>
        <v/>
      </c>
      <c r="F190" s="17" t="str">
        <f aca="false">IF($O190="","",INDEX('Auto Process'!$AH:$AH,$O190))</f>
        <v/>
      </c>
      <c r="G190" s="17" t="str">
        <f aca="false">IF($O190="","",INDEX('Auto Process'!$AI:$AI,$O190))</f>
        <v/>
      </c>
      <c r="H190" s="17" t="str">
        <f aca="false">IF($O190="","",INDEX('Auto Process'!$AJ:$AJ,$O190))</f>
        <v/>
      </c>
      <c r="I190" s="17" t="str">
        <f aca="false">IF($O190="","",INDEX('Auto Process'!$AK:$AK,$O190))</f>
        <v/>
      </c>
      <c r="J190" s="17" t="str">
        <f aca="false">IF($O190="","",INDEX('Auto Process'!$AL:$AL,$O190))</f>
        <v/>
      </c>
      <c r="K190" s="17" t="str">
        <f aca="false">IF($O190="","",INDEX('Auto Process'!$AM:$AM,$O190))</f>
        <v/>
      </c>
      <c r="L190" s="17" t="str">
        <f aca="false">IF($O190="","",INDEX('Auto Process'!$AN:$AN,$O190))</f>
        <v/>
      </c>
      <c r="M190" s="17" t="str">
        <f aca="false">IF($O190="","",INDEX('Auto Process'!$AO:$AO,$O190))</f>
        <v/>
      </c>
      <c r="O190" s="19" t="str">
        <f aca="false">IFERROR(_xlfn.AGGREGATE(15,6,ROW('Auto Process'!$D$4:$D$503)/('Auto Process'!$D$4:$D$503="Panel Details"),ROW()-1),"")</f>
        <v/>
      </c>
    </row>
    <row r="191" customFormat="false" ht="13.5" hidden="false" customHeight="true" outlineLevel="0" collapsed="false">
      <c r="A191" s="27" t="str">
        <f aca="false">IF($O191="","",INDEX('Auto Process'!$AC:$AC,$O191))</f>
        <v/>
      </c>
      <c r="B191" s="17" t="str">
        <f aca="false">IF($O191="","",INDEX('Auto Process'!$AD:$AD,$O191))</f>
        <v/>
      </c>
      <c r="C191" s="17" t="str">
        <f aca="false">IF($O191="","",INDEX('Auto Process'!$AE:$AE,$O191))</f>
        <v/>
      </c>
      <c r="D191" s="17" t="str">
        <f aca="false">IF($O191="","",INDEX('Auto Process'!$AF:$AF,$O191))</f>
        <v/>
      </c>
      <c r="E191" s="17" t="str">
        <f aca="false">IF($O191="","",INDEX('Auto Process'!$AG:$AG,$O191))</f>
        <v/>
      </c>
      <c r="F191" s="17" t="str">
        <f aca="false">IF($O191="","",INDEX('Auto Process'!$AH:$AH,$O191))</f>
        <v/>
      </c>
      <c r="G191" s="17" t="str">
        <f aca="false">IF($O191="","",INDEX('Auto Process'!$AI:$AI,$O191))</f>
        <v/>
      </c>
      <c r="H191" s="17" t="str">
        <f aca="false">IF($O191="","",INDEX('Auto Process'!$AJ:$AJ,$O191))</f>
        <v/>
      </c>
      <c r="I191" s="17" t="str">
        <f aca="false">IF($O191="","",INDEX('Auto Process'!$AK:$AK,$O191))</f>
        <v/>
      </c>
      <c r="J191" s="17" t="str">
        <f aca="false">IF($O191="","",INDEX('Auto Process'!$AL:$AL,$O191))</f>
        <v/>
      </c>
      <c r="K191" s="17" t="str">
        <f aca="false">IF($O191="","",INDEX('Auto Process'!$AM:$AM,$O191))</f>
        <v/>
      </c>
      <c r="L191" s="17" t="str">
        <f aca="false">IF($O191="","",INDEX('Auto Process'!$AN:$AN,$O191))</f>
        <v/>
      </c>
      <c r="M191" s="17" t="str">
        <f aca="false">IF($O191="","",INDEX('Auto Process'!$AO:$AO,$O191))</f>
        <v/>
      </c>
      <c r="O191" s="19" t="str">
        <f aca="false">IFERROR(_xlfn.AGGREGATE(15,6,ROW('Auto Process'!$D$4:$D$503)/('Auto Process'!$D$4:$D$503="Panel Details"),ROW()-1),"")</f>
        <v/>
      </c>
    </row>
    <row r="192" customFormat="false" ht="13.5" hidden="false" customHeight="true" outlineLevel="0" collapsed="false">
      <c r="A192" s="27" t="str">
        <f aca="false">IF($O192="","",INDEX('Auto Process'!$AC:$AC,$O192))</f>
        <v/>
      </c>
      <c r="B192" s="17" t="str">
        <f aca="false">IF($O192="","",INDEX('Auto Process'!$AD:$AD,$O192))</f>
        <v/>
      </c>
      <c r="C192" s="17" t="str">
        <f aca="false">IF($O192="","",INDEX('Auto Process'!$AE:$AE,$O192))</f>
        <v/>
      </c>
      <c r="D192" s="17" t="str">
        <f aca="false">IF($O192="","",INDEX('Auto Process'!$AF:$AF,$O192))</f>
        <v/>
      </c>
      <c r="E192" s="17" t="str">
        <f aca="false">IF($O192="","",INDEX('Auto Process'!$AG:$AG,$O192))</f>
        <v/>
      </c>
      <c r="F192" s="17" t="str">
        <f aca="false">IF($O192="","",INDEX('Auto Process'!$AH:$AH,$O192))</f>
        <v/>
      </c>
      <c r="G192" s="17" t="str">
        <f aca="false">IF($O192="","",INDEX('Auto Process'!$AI:$AI,$O192))</f>
        <v/>
      </c>
      <c r="H192" s="17" t="str">
        <f aca="false">IF($O192="","",INDEX('Auto Process'!$AJ:$AJ,$O192))</f>
        <v/>
      </c>
      <c r="I192" s="17" t="str">
        <f aca="false">IF($O192="","",INDEX('Auto Process'!$AK:$AK,$O192))</f>
        <v/>
      </c>
      <c r="J192" s="17" t="str">
        <f aca="false">IF($O192="","",INDEX('Auto Process'!$AL:$AL,$O192))</f>
        <v/>
      </c>
      <c r="K192" s="17" t="str">
        <f aca="false">IF($O192="","",INDEX('Auto Process'!$AM:$AM,$O192))</f>
        <v/>
      </c>
      <c r="L192" s="17" t="str">
        <f aca="false">IF($O192="","",INDEX('Auto Process'!$AN:$AN,$O192))</f>
        <v/>
      </c>
      <c r="M192" s="17" t="str">
        <f aca="false">IF($O192="","",INDEX('Auto Process'!$AO:$AO,$O192))</f>
        <v/>
      </c>
      <c r="O192" s="19" t="str">
        <f aca="false">IFERROR(_xlfn.AGGREGATE(15,6,ROW('Auto Process'!$D$4:$D$503)/('Auto Process'!$D$4:$D$503="Panel Details"),ROW()-1),"")</f>
        <v/>
      </c>
    </row>
    <row r="193" customFormat="false" ht="13.5" hidden="false" customHeight="true" outlineLevel="0" collapsed="false">
      <c r="A193" s="27" t="str">
        <f aca="false">IF($O193="","",INDEX('Auto Process'!$AC:$AC,$O193))</f>
        <v/>
      </c>
      <c r="B193" s="17" t="str">
        <f aca="false">IF($O193="","",INDEX('Auto Process'!$AD:$AD,$O193))</f>
        <v/>
      </c>
      <c r="C193" s="17" t="str">
        <f aca="false">IF($O193="","",INDEX('Auto Process'!$AE:$AE,$O193))</f>
        <v/>
      </c>
      <c r="D193" s="17" t="str">
        <f aca="false">IF($O193="","",INDEX('Auto Process'!$AF:$AF,$O193))</f>
        <v/>
      </c>
      <c r="E193" s="17" t="str">
        <f aca="false">IF($O193="","",INDEX('Auto Process'!$AG:$AG,$O193))</f>
        <v/>
      </c>
      <c r="F193" s="17" t="str">
        <f aca="false">IF($O193="","",INDEX('Auto Process'!$AH:$AH,$O193))</f>
        <v/>
      </c>
      <c r="G193" s="17" t="str">
        <f aca="false">IF($O193="","",INDEX('Auto Process'!$AI:$AI,$O193))</f>
        <v/>
      </c>
      <c r="H193" s="17" t="str">
        <f aca="false">IF($O193="","",INDEX('Auto Process'!$AJ:$AJ,$O193))</f>
        <v/>
      </c>
      <c r="I193" s="17" t="str">
        <f aca="false">IF($O193="","",INDEX('Auto Process'!$AK:$AK,$O193))</f>
        <v/>
      </c>
      <c r="J193" s="17" t="str">
        <f aca="false">IF($O193="","",INDEX('Auto Process'!$AL:$AL,$O193))</f>
        <v/>
      </c>
      <c r="K193" s="17" t="str">
        <f aca="false">IF($O193="","",INDEX('Auto Process'!$AM:$AM,$O193))</f>
        <v/>
      </c>
      <c r="L193" s="17" t="str">
        <f aca="false">IF($O193="","",INDEX('Auto Process'!$AN:$AN,$O193))</f>
        <v/>
      </c>
      <c r="M193" s="17" t="str">
        <f aca="false">IF($O193="","",INDEX('Auto Process'!$AO:$AO,$O193))</f>
        <v/>
      </c>
      <c r="O193" s="19" t="str">
        <f aca="false">IFERROR(_xlfn.AGGREGATE(15,6,ROW('Auto Process'!$D$4:$D$503)/('Auto Process'!$D$4:$D$503="Panel Details"),ROW()-1),"")</f>
        <v/>
      </c>
    </row>
    <row r="194" customFormat="false" ht="13.5" hidden="false" customHeight="true" outlineLevel="0" collapsed="false">
      <c r="A194" s="27" t="str">
        <f aca="false">IF($O194="","",INDEX('Auto Process'!$AC:$AC,$O194))</f>
        <v/>
      </c>
      <c r="B194" s="17" t="str">
        <f aca="false">IF($O194="","",INDEX('Auto Process'!$AD:$AD,$O194))</f>
        <v/>
      </c>
      <c r="C194" s="17" t="str">
        <f aca="false">IF($O194="","",INDEX('Auto Process'!$AE:$AE,$O194))</f>
        <v/>
      </c>
      <c r="D194" s="17" t="str">
        <f aca="false">IF($O194="","",INDEX('Auto Process'!$AF:$AF,$O194))</f>
        <v/>
      </c>
      <c r="E194" s="17" t="str">
        <f aca="false">IF($O194="","",INDEX('Auto Process'!$AG:$AG,$O194))</f>
        <v/>
      </c>
      <c r="F194" s="17" t="str">
        <f aca="false">IF($O194="","",INDEX('Auto Process'!$AH:$AH,$O194))</f>
        <v/>
      </c>
      <c r="G194" s="17" t="str">
        <f aca="false">IF($O194="","",INDEX('Auto Process'!$AI:$AI,$O194))</f>
        <v/>
      </c>
      <c r="H194" s="17" t="str">
        <f aca="false">IF($O194="","",INDEX('Auto Process'!$AJ:$AJ,$O194))</f>
        <v/>
      </c>
      <c r="I194" s="17" t="str">
        <f aca="false">IF($O194="","",INDEX('Auto Process'!$AK:$AK,$O194))</f>
        <v/>
      </c>
      <c r="J194" s="17" t="str">
        <f aca="false">IF($O194="","",INDEX('Auto Process'!$AL:$AL,$O194))</f>
        <v/>
      </c>
      <c r="K194" s="17" t="str">
        <f aca="false">IF($O194="","",INDEX('Auto Process'!$AM:$AM,$O194))</f>
        <v/>
      </c>
      <c r="L194" s="17" t="str">
        <f aca="false">IF($O194="","",INDEX('Auto Process'!$AN:$AN,$O194))</f>
        <v/>
      </c>
      <c r="M194" s="17" t="str">
        <f aca="false">IF($O194="","",INDEX('Auto Process'!$AO:$AO,$O194))</f>
        <v/>
      </c>
      <c r="O194" s="19" t="str">
        <f aca="false">IFERROR(_xlfn.AGGREGATE(15,6,ROW('Auto Process'!$D$4:$D$503)/('Auto Process'!$D$4:$D$503="Panel Details"),ROW()-1),"")</f>
        <v/>
      </c>
    </row>
    <row r="195" customFormat="false" ht="13.5" hidden="false" customHeight="true" outlineLevel="0" collapsed="false">
      <c r="A195" s="27" t="str">
        <f aca="false">IF($O195="","",INDEX('Auto Process'!$AC:$AC,$O195))</f>
        <v/>
      </c>
      <c r="B195" s="17" t="str">
        <f aca="false">IF($O195="","",INDEX('Auto Process'!$AD:$AD,$O195))</f>
        <v/>
      </c>
      <c r="C195" s="17" t="str">
        <f aca="false">IF($O195="","",INDEX('Auto Process'!$AE:$AE,$O195))</f>
        <v/>
      </c>
      <c r="D195" s="17" t="str">
        <f aca="false">IF($O195="","",INDEX('Auto Process'!$AF:$AF,$O195))</f>
        <v/>
      </c>
      <c r="E195" s="17" t="str">
        <f aca="false">IF($O195="","",INDEX('Auto Process'!$AG:$AG,$O195))</f>
        <v/>
      </c>
      <c r="F195" s="17" t="str">
        <f aca="false">IF($O195="","",INDEX('Auto Process'!$AH:$AH,$O195))</f>
        <v/>
      </c>
      <c r="G195" s="17" t="str">
        <f aca="false">IF($O195="","",INDEX('Auto Process'!$AI:$AI,$O195))</f>
        <v/>
      </c>
      <c r="H195" s="17" t="str">
        <f aca="false">IF($O195="","",INDEX('Auto Process'!$AJ:$AJ,$O195))</f>
        <v/>
      </c>
      <c r="I195" s="17" t="str">
        <f aca="false">IF($O195="","",INDEX('Auto Process'!$AK:$AK,$O195))</f>
        <v/>
      </c>
      <c r="J195" s="17" t="str">
        <f aca="false">IF($O195="","",INDEX('Auto Process'!$AL:$AL,$O195))</f>
        <v/>
      </c>
      <c r="K195" s="17" t="str">
        <f aca="false">IF($O195="","",INDEX('Auto Process'!$AM:$AM,$O195))</f>
        <v/>
      </c>
      <c r="L195" s="17" t="str">
        <f aca="false">IF($O195="","",INDEX('Auto Process'!$AN:$AN,$O195))</f>
        <v/>
      </c>
      <c r="M195" s="17" t="str">
        <f aca="false">IF($O195="","",INDEX('Auto Process'!$AO:$AO,$O195))</f>
        <v/>
      </c>
      <c r="O195" s="19" t="str">
        <f aca="false">IFERROR(_xlfn.AGGREGATE(15,6,ROW('Auto Process'!$D$4:$D$503)/('Auto Process'!$D$4:$D$503="Panel Details"),ROW()-1),"")</f>
        <v/>
      </c>
    </row>
    <row r="196" customFormat="false" ht="13.5" hidden="false" customHeight="true" outlineLevel="0" collapsed="false">
      <c r="A196" s="27" t="str">
        <f aca="false">IF($O196="","",INDEX('Auto Process'!$AC:$AC,$O196))</f>
        <v/>
      </c>
      <c r="B196" s="17" t="str">
        <f aca="false">IF($O196="","",INDEX('Auto Process'!$AD:$AD,$O196))</f>
        <v/>
      </c>
      <c r="C196" s="17" t="str">
        <f aca="false">IF($O196="","",INDEX('Auto Process'!$AE:$AE,$O196))</f>
        <v/>
      </c>
      <c r="D196" s="17" t="str">
        <f aca="false">IF($O196="","",INDEX('Auto Process'!$AF:$AF,$O196))</f>
        <v/>
      </c>
      <c r="E196" s="17" t="str">
        <f aca="false">IF($O196="","",INDEX('Auto Process'!$AG:$AG,$O196))</f>
        <v/>
      </c>
      <c r="F196" s="17" t="str">
        <f aca="false">IF($O196="","",INDEX('Auto Process'!$AH:$AH,$O196))</f>
        <v/>
      </c>
      <c r="G196" s="17" t="str">
        <f aca="false">IF($O196="","",INDEX('Auto Process'!$AI:$AI,$O196))</f>
        <v/>
      </c>
      <c r="H196" s="17" t="str">
        <f aca="false">IF($O196="","",INDEX('Auto Process'!$AJ:$AJ,$O196))</f>
        <v/>
      </c>
      <c r="I196" s="17" t="str">
        <f aca="false">IF($O196="","",INDEX('Auto Process'!$AK:$AK,$O196))</f>
        <v/>
      </c>
      <c r="J196" s="17" t="str">
        <f aca="false">IF($O196="","",INDEX('Auto Process'!$AL:$AL,$O196))</f>
        <v/>
      </c>
      <c r="K196" s="17" t="str">
        <f aca="false">IF($O196="","",INDEX('Auto Process'!$AM:$AM,$O196))</f>
        <v/>
      </c>
      <c r="L196" s="17" t="str">
        <f aca="false">IF($O196="","",INDEX('Auto Process'!$AN:$AN,$O196))</f>
        <v/>
      </c>
      <c r="M196" s="17" t="str">
        <f aca="false">IF($O196="","",INDEX('Auto Process'!$AO:$AO,$O196))</f>
        <v/>
      </c>
      <c r="O196" s="19" t="str">
        <f aca="false">IFERROR(_xlfn.AGGREGATE(15,6,ROW('Auto Process'!$D$4:$D$503)/('Auto Process'!$D$4:$D$503="Panel Details"),ROW()-1),"")</f>
        <v/>
      </c>
    </row>
    <row r="197" customFormat="false" ht="13.5" hidden="false" customHeight="true" outlineLevel="0" collapsed="false">
      <c r="A197" s="27" t="str">
        <f aca="false">IF($O197="","",INDEX('Auto Process'!$AC:$AC,$O197))</f>
        <v/>
      </c>
      <c r="B197" s="17" t="str">
        <f aca="false">IF($O197="","",INDEX('Auto Process'!$AD:$AD,$O197))</f>
        <v/>
      </c>
      <c r="C197" s="17" t="str">
        <f aca="false">IF($O197="","",INDEX('Auto Process'!$AE:$AE,$O197))</f>
        <v/>
      </c>
      <c r="D197" s="17" t="str">
        <f aca="false">IF($O197="","",INDEX('Auto Process'!$AF:$AF,$O197))</f>
        <v/>
      </c>
      <c r="E197" s="17" t="str">
        <f aca="false">IF($O197="","",INDEX('Auto Process'!$AG:$AG,$O197))</f>
        <v/>
      </c>
      <c r="F197" s="17" t="str">
        <f aca="false">IF($O197="","",INDEX('Auto Process'!$AH:$AH,$O197))</f>
        <v/>
      </c>
      <c r="G197" s="17" t="str">
        <f aca="false">IF($O197="","",INDEX('Auto Process'!$AI:$AI,$O197))</f>
        <v/>
      </c>
      <c r="H197" s="17" t="str">
        <f aca="false">IF($O197="","",INDEX('Auto Process'!$AJ:$AJ,$O197))</f>
        <v/>
      </c>
      <c r="I197" s="17" t="str">
        <f aca="false">IF($O197="","",INDEX('Auto Process'!$AK:$AK,$O197))</f>
        <v/>
      </c>
      <c r="J197" s="17" t="str">
        <f aca="false">IF($O197="","",INDEX('Auto Process'!$AL:$AL,$O197))</f>
        <v/>
      </c>
      <c r="K197" s="17" t="str">
        <f aca="false">IF($O197="","",INDEX('Auto Process'!$AM:$AM,$O197))</f>
        <v/>
      </c>
      <c r="L197" s="17" t="str">
        <f aca="false">IF($O197="","",INDEX('Auto Process'!$AN:$AN,$O197))</f>
        <v/>
      </c>
      <c r="M197" s="17" t="str">
        <f aca="false">IF($O197="","",INDEX('Auto Process'!$AO:$AO,$O197))</f>
        <v/>
      </c>
      <c r="O197" s="19" t="str">
        <f aca="false">IFERROR(_xlfn.AGGREGATE(15,6,ROW('Auto Process'!$D$4:$D$503)/('Auto Process'!$D$4:$D$503="Panel Details"),ROW()-1),"")</f>
        <v/>
      </c>
    </row>
    <row r="198" customFormat="false" ht="13.5" hidden="false" customHeight="true" outlineLevel="0" collapsed="false">
      <c r="A198" s="27" t="str">
        <f aca="false">IF($O198="","",INDEX('Auto Process'!$AC:$AC,$O198))</f>
        <v/>
      </c>
      <c r="B198" s="17" t="str">
        <f aca="false">IF($O198="","",INDEX('Auto Process'!$AD:$AD,$O198))</f>
        <v/>
      </c>
      <c r="C198" s="17" t="str">
        <f aca="false">IF($O198="","",INDEX('Auto Process'!$AE:$AE,$O198))</f>
        <v/>
      </c>
      <c r="D198" s="17" t="str">
        <f aca="false">IF($O198="","",INDEX('Auto Process'!$AF:$AF,$O198))</f>
        <v/>
      </c>
      <c r="E198" s="17" t="str">
        <f aca="false">IF($O198="","",INDEX('Auto Process'!$AG:$AG,$O198))</f>
        <v/>
      </c>
      <c r="F198" s="17" t="str">
        <f aca="false">IF($O198="","",INDEX('Auto Process'!$AH:$AH,$O198))</f>
        <v/>
      </c>
      <c r="G198" s="17" t="str">
        <f aca="false">IF($O198="","",INDEX('Auto Process'!$AI:$AI,$O198))</f>
        <v/>
      </c>
      <c r="H198" s="17" t="str">
        <f aca="false">IF($O198="","",INDEX('Auto Process'!$AJ:$AJ,$O198))</f>
        <v/>
      </c>
      <c r="I198" s="17" t="str">
        <f aca="false">IF($O198="","",INDEX('Auto Process'!$AK:$AK,$O198))</f>
        <v/>
      </c>
      <c r="J198" s="17" t="str">
        <f aca="false">IF($O198="","",INDEX('Auto Process'!$AL:$AL,$O198))</f>
        <v/>
      </c>
      <c r="K198" s="17" t="str">
        <f aca="false">IF($O198="","",INDEX('Auto Process'!$AM:$AM,$O198))</f>
        <v/>
      </c>
      <c r="L198" s="17" t="str">
        <f aca="false">IF($O198="","",INDEX('Auto Process'!$AN:$AN,$O198))</f>
        <v/>
      </c>
      <c r="M198" s="17" t="str">
        <f aca="false">IF($O198="","",INDEX('Auto Process'!$AO:$AO,$O198))</f>
        <v/>
      </c>
      <c r="O198" s="19" t="str">
        <f aca="false">IFERROR(_xlfn.AGGREGATE(15,6,ROW('Auto Process'!$D$4:$D$503)/('Auto Process'!$D$4:$D$503="Panel Details"),ROW()-1),"")</f>
        <v/>
      </c>
    </row>
    <row r="199" customFormat="false" ht="13.5" hidden="false" customHeight="true" outlineLevel="0" collapsed="false">
      <c r="A199" s="27" t="str">
        <f aca="false">IF($O199="","",INDEX('Auto Process'!$AC:$AC,$O199))</f>
        <v/>
      </c>
      <c r="B199" s="17" t="str">
        <f aca="false">IF($O199="","",INDEX('Auto Process'!$AD:$AD,$O199))</f>
        <v/>
      </c>
      <c r="C199" s="17" t="str">
        <f aca="false">IF($O199="","",INDEX('Auto Process'!$AE:$AE,$O199))</f>
        <v/>
      </c>
      <c r="D199" s="17" t="str">
        <f aca="false">IF($O199="","",INDEX('Auto Process'!$AF:$AF,$O199))</f>
        <v/>
      </c>
      <c r="E199" s="17" t="str">
        <f aca="false">IF($O199="","",INDEX('Auto Process'!$AG:$AG,$O199))</f>
        <v/>
      </c>
      <c r="F199" s="17" t="str">
        <f aca="false">IF($O199="","",INDEX('Auto Process'!$AH:$AH,$O199))</f>
        <v/>
      </c>
      <c r="G199" s="17" t="str">
        <f aca="false">IF($O199="","",INDEX('Auto Process'!$AI:$AI,$O199))</f>
        <v/>
      </c>
      <c r="H199" s="17" t="str">
        <f aca="false">IF($O199="","",INDEX('Auto Process'!$AJ:$AJ,$O199))</f>
        <v/>
      </c>
      <c r="I199" s="17" t="str">
        <f aca="false">IF($O199="","",INDEX('Auto Process'!$AK:$AK,$O199))</f>
        <v/>
      </c>
      <c r="J199" s="17" t="str">
        <f aca="false">IF($O199="","",INDEX('Auto Process'!$AL:$AL,$O199))</f>
        <v/>
      </c>
      <c r="K199" s="17" t="str">
        <f aca="false">IF($O199="","",INDEX('Auto Process'!$AM:$AM,$O199))</f>
        <v/>
      </c>
      <c r="L199" s="17" t="str">
        <f aca="false">IF($O199="","",INDEX('Auto Process'!$AN:$AN,$O199))</f>
        <v/>
      </c>
      <c r="M199" s="17" t="str">
        <f aca="false">IF($O199="","",INDEX('Auto Process'!$AO:$AO,$O199))</f>
        <v/>
      </c>
      <c r="O199" s="19" t="str">
        <f aca="false">IFERROR(_xlfn.AGGREGATE(15,6,ROW('Auto Process'!$D$4:$D$503)/('Auto Process'!$D$4:$D$503="Panel Details"),ROW()-1),"")</f>
        <v/>
      </c>
    </row>
    <row r="200" customFormat="false" ht="13.5" hidden="false" customHeight="true" outlineLevel="0" collapsed="false">
      <c r="A200" s="27" t="str">
        <f aca="false">IF($O200="","",INDEX('Auto Process'!$AC:$AC,$O200))</f>
        <v/>
      </c>
      <c r="B200" s="17" t="str">
        <f aca="false">IF($O200="","",INDEX('Auto Process'!$AD:$AD,$O200))</f>
        <v/>
      </c>
      <c r="C200" s="17" t="str">
        <f aca="false">IF($O200="","",INDEX('Auto Process'!$AE:$AE,$O200))</f>
        <v/>
      </c>
      <c r="D200" s="17" t="str">
        <f aca="false">IF($O200="","",INDEX('Auto Process'!$AF:$AF,$O200))</f>
        <v/>
      </c>
      <c r="E200" s="17" t="str">
        <f aca="false">IF($O200="","",INDEX('Auto Process'!$AG:$AG,$O200))</f>
        <v/>
      </c>
      <c r="F200" s="17" t="str">
        <f aca="false">IF($O200="","",INDEX('Auto Process'!$AH:$AH,$O200))</f>
        <v/>
      </c>
      <c r="G200" s="17" t="str">
        <f aca="false">IF($O200="","",INDEX('Auto Process'!$AI:$AI,$O200))</f>
        <v/>
      </c>
      <c r="H200" s="17" t="str">
        <f aca="false">IF($O200="","",INDEX('Auto Process'!$AJ:$AJ,$O200))</f>
        <v/>
      </c>
      <c r="I200" s="17" t="str">
        <f aca="false">IF($O200="","",INDEX('Auto Process'!$AK:$AK,$O200))</f>
        <v/>
      </c>
      <c r="J200" s="17" t="str">
        <f aca="false">IF($O200="","",INDEX('Auto Process'!$AL:$AL,$O200))</f>
        <v/>
      </c>
      <c r="K200" s="17" t="str">
        <f aca="false">IF($O200="","",INDEX('Auto Process'!$AM:$AM,$O200))</f>
        <v/>
      </c>
      <c r="L200" s="17" t="str">
        <f aca="false">IF($O200="","",INDEX('Auto Process'!$AN:$AN,$O200))</f>
        <v/>
      </c>
      <c r="M200" s="17" t="str">
        <f aca="false">IF($O200="","",INDEX('Auto Process'!$AO:$AO,$O200))</f>
        <v/>
      </c>
      <c r="O200" s="19" t="str">
        <f aca="false">IFERROR(_xlfn.AGGREGATE(15,6,ROW('Auto Process'!$D$4:$D$503)/('Auto Process'!$D$4:$D$503="Panel Details"),ROW()-1),"")</f>
        <v/>
      </c>
    </row>
    <row r="201" customFormat="false" ht="13.5" hidden="false" customHeight="true" outlineLevel="0" collapsed="false">
      <c r="A201" s="27" t="str">
        <f aca="false">IF($O201="","",INDEX('Auto Process'!$AC:$AC,$O201))</f>
        <v/>
      </c>
      <c r="B201" s="17" t="str">
        <f aca="false">IF($O201="","",INDEX('Auto Process'!$AD:$AD,$O201))</f>
        <v/>
      </c>
      <c r="C201" s="17" t="str">
        <f aca="false">IF($O201="","",INDEX('Auto Process'!$AE:$AE,$O201))</f>
        <v/>
      </c>
      <c r="D201" s="17" t="str">
        <f aca="false">IF($O201="","",INDEX('Auto Process'!$AF:$AF,$O201))</f>
        <v/>
      </c>
      <c r="E201" s="17" t="str">
        <f aca="false">IF($O201="","",INDEX('Auto Process'!$AG:$AG,$O201))</f>
        <v/>
      </c>
      <c r="F201" s="17" t="str">
        <f aca="false">IF($O201="","",INDEX('Auto Process'!$AH:$AH,$O201))</f>
        <v/>
      </c>
      <c r="G201" s="17" t="str">
        <f aca="false">IF($O201="","",INDEX('Auto Process'!$AI:$AI,$O201))</f>
        <v/>
      </c>
      <c r="H201" s="17" t="str">
        <f aca="false">IF($O201="","",INDEX('Auto Process'!$AJ:$AJ,$O201))</f>
        <v/>
      </c>
      <c r="I201" s="17" t="str">
        <f aca="false">IF($O201="","",INDEX('Auto Process'!$AK:$AK,$O201))</f>
        <v/>
      </c>
      <c r="J201" s="17" t="str">
        <f aca="false">IF($O201="","",INDEX('Auto Process'!$AL:$AL,$O201))</f>
        <v/>
      </c>
      <c r="K201" s="17" t="str">
        <f aca="false">IF($O201="","",INDEX('Auto Process'!$AM:$AM,$O201))</f>
        <v/>
      </c>
      <c r="L201" s="17" t="str">
        <f aca="false">IF($O201="","",INDEX('Auto Process'!$AN:$AN,$O201))</f>
        <v/>
      </c>
      <c r="M201" s="17" t="str">
        <f aca="false">IF($O201="","",INDEX('Auto Process'!$AO:$AO,$O201))</f>
        <v/>
      </c>
      <c r="O201" s="19" t="str">
        <f aca="false">IFERROR(_xlfn.AGGREGATE(15,6,ROW('Auto Process'!$D$4:$D$503)/('Auto Process'!$D$4:$D$503="Panel Details"),ROW()-1),"")</f>
        <v/>
      </c>
    </row>
    <row r="202" customFormat="false" ht="13.5" hidden="false" customHeight="true" outlineLevel="0" collapsed="false">
      <c r="A202" s="27" t="str">
        <f aca="false">IF($O202="","",INDEX('Auto Process'!$AC:$AC,$O202))</f>
        <v/>
      </c>
      <c r="B202" s="17" t="str">
        <f aca="false">IF($O202="","",INDEX('Auto Process'!$AD:$AD,$O202))</f>
        <v/>
      </c>
      <c r="C202" s="17" t="str">
        <f aca="false">IF($O202="","",INDEX('Auto Process'!$AE:$AE,$O202))</f>
        <v/>
      </c>
      <c r="D202" s="17" t="str">
        <f aca="false">IF($O202="","",INDEX('Auto Process'!$AF:$AF,$O202))</f>
        <v/>
      </c>
      <c r="E202" s="17" t="str">
        <f aca="false">IF($O202="","",INDEX('Auto Process'!$AG:$AG,$O202))</f>
        <v/>
      </c>
      <c r="F202" s="17" t="str">
        <f aca="false">IF($O202="","",INDEX('Auto Process'!$AH:$AH,$O202))</f>
        <v/>
      </c>
      <c r="G202" s="17" t="str">
        <f aca="false">IF($O202="","",INDEX('Auto Process'!$AI:$AI,$O202))</f>
        <v/>
      </c>
      <c r="H202" s="17" t="str">
        <f aca="false">IF($O202="","",INDEX('Auto Process'!$AJ:$AJ,$O202))</f>
        <v/>
      </c>
      <c r="I202" s="17" t="str">
        <f aca="false">IF($O202="","",INDEX('Auto Process'!$AK:$AK,$O202))</f>
        <v/>
      </c>
      <c r="J202" s="17" t="str">
        <f aca="false">IF($O202="","",INDEX('Auto Process'!$AL:$AL,$O202))</f>
        <v/>
      </c>
      <c r="K202" s="17" t="str">
        <f aca="false">IF($O202="","",INDEX('Auto Process'!$AM:$AM,$O202))</f>
        <v/>
      </c>
      <c r="L202" s="17" t="str">
        <f aca="false">IF($O202="","",INDEX('Auto Process'!$AN:$AN,$O202))</f>
        <v/>
      </c>
      <c r="M202" s="17" t="str">
        <f aca="false">IF($O202="","",INDEX('Auto Process'!$AO:$AO,$O202))</f>
        <v/>
      </c>
      <c r="O202" s="19" t="str">
        <f aca="false">IFERROR(_xlfn.AGGREGATE(15,6,ROW('Auto Process'!$D$4:$D$503)/('Auto Process'!$D$4:$D$503="Panel Details"),ROW()-1),"")</f>
        <v/>
      </c>
    </row>
    <row r="203" customFormat="false" ht="13.5" hidden="false" customHeight="true" outlineLevel="0" collapsed="false">
      <c r="A203" s="27" t="str">
        <f aca="false">IF($O203="","",INDEX('Auto Process'!$AC:$AC,$O203))</f>
        <v/>
      </c>
      <c r="B203" s="17" t="str">
        <f aca="false">IF($O203="","",INDEX('Auto Process'!$AD:$AD,$O203))</f>
        <v/>
      </c>
      <c r="C203" s="17" t="str">
        <f aca="false">IF($O203="","",INDEX('Auto Process'!$AE:$AE,$O203))</f>
        <v/>
      </c>
      <c r="D203" s="17" t="str">
        <f aca="false">IF($O203="","",INDEX('Auto Process'!$AF:$AF,$O203))</f>
        <v/>
      </c>
      <c r="E203" s="17" t="str">
        <f aca="false">IF($O203="","",INDEX('Auto Process'!$AG:$AG,$O203))</f>
        <v/>
      </c>
      <c r="F203" s="17" t="str">
        <f aca="false">IF($O203="","",INDEX('Auto Process'!$AH:$AH,$O203))</f>
        <v/>
      </c>
      <c r="G203" s="17" t="str">
        <f aca="false">IF($O203="","",INDEX('Auto Process'!$AI:$AI,$O203))</f>
        <v/>
      </c>
      <c r="H203" s="17" t="str">
        <f aca="false">IF($O203="","",INDEX('Auto Process'!$AJ:$AJ,$O203))</f>
        <v/>
      </c>
      <c r="I203" s="17" t="str">
        <f aca="false">IF($O203="","",INDEX('Auto Process'!$AK:$AK,$O203))</f>
        <v/>
      </c>
      <c r="J203" s="17" t="str">
        <f aca="false">IF($O203="","",INDEX('Auto Process'!$AL:$AL,$O203))</f>
        <v/>
      </c>
      <c r="K203" s="17" t="str">
        <f aca="false">IF($O203="","",INDEX('Auto Process'!$AM:$AM,$O203))</f>
        <v/>
      </c>
      <c r="L203" s="17" t="str">
        <f aca="false">IF($O203="","",INDEX('Auto Process'!$AN:$AN,$O203))</f>
        <v/>
      </c>
      <c r="M203" s="17" t="str">
        <f aca="false">IF($O203="","",INDEX('Auto Process'!$AO:$AO,$O203))</f>
        <v/>
      </c>
      <c r="O203" s="19" t="str">
        <f aca="false">IFERROR(_xlfn.AGGREGATE(15,6,ROW('Auto Process'!$D$4:$D$503)/('Auto Process'!$D$4:$D$503="Panel Details"),ROW()-1),"")</f>
        <v/>
      </c>
    </row>
    <row r="204" customFormat="false" ht="13.5" hidden="false" customHeight="true" outlineLevel="0" collapsed="false">
      <c r="A204" s="27" t="str">
        <f aca="false">IF($O204="","",INDEX('Auto Process'!$AC:$AC,$O204))</f>
        <v/>
      </c>
      <c r="B204" s="17" t="str">
        <f aca="false">IF($O204="","",INDEX('Auto Process'!$AD:$AD,$O204))</f>
        <v/>
      </c>
      <c r="C204" s="17" t="str">
        <f aca="false">IF($O204="","",INDEX('Auto Process'!$AE:$AE,$O204))</f>
        <v/>
      </c>
      <c r="D204" s="17" t="str">
        <f aca="false">IF($O204="","",INDEX('Auto Process'!$AF:$AF,$O204))</f>
        <v/>
      </c>
      <c r="E204" s="17" t="str">
        <f aca="false">IF($O204="","",INDEX('Auto Process'!$AG:$AG,$O204))</f>
        <v/>
      </c>
      <c r="F204" s="17" t="str">
        <f aca="false">IF($O204="","",INDEX('Auto Process'!$AH:$AH,$O204))</f>
        <v/>
      </c>
      <c r="G204" s="17" t="str">
        <f aca="false">IF($O204="","",INDEX('Auto Process'!$AI:$AI,$O204))</f>
        <v/>
      </c>
      <c r="H204" s="17" t="str">
        <f aca="false">IF($O204="","",INDEX('Auto Process'!$AJ:$AJ,$O204))</f>
        <v/>
      </c>
      <c r="I204" s="17" t="str">
        <f aca="false">IF($O204="","",INDEX('Auto Process'!$AK:$AK,$O204))</f>
        <v/>
      </c>
      <c r="J204" s="17" t="str">
        <f aca="false">IF($O204="","",INDEX('Auto Process'!$AL:$AL,$O204))</f>
        <v/>
      </c>
      <c r="K204" s="17" t="str">
        <f aca="false">IF($O204="","",INDEX('Auto Process'!$AM:$AM,$O204))</f>
        <v/>
      </c>
      <c r="L204" s="17" t="str">
        <f aca="false">IF($O204="","",INDEX('Auto Process'!$AN:$AN,$O204))</f>
        <v/>
      </c>
      <c r="M204" s="17" t="str">
        <f aca="false">IF($O204="","",INDEX('Auto Process'!$AO:$AO,$O204))</f>
        <v/>
      </c>
      <c r="O204" s="19" t="str">
        <f aca="false">IFERROR(_xlfn.AGGREGATE(15,6,ROW('Auto Process'!$D$4:$D$503)/('Auto Process'!$D$4:$D$503="Panel Details"),ROW()-1),"")</f>
        <v/>
      </c>
    </row>
    <row r="205" customFormat="false" ht="13.5" hidden="false" customHeight="true" outlineLevel="0" collapsed="false">
      <c r="A205" s="27" t="str">
        <f aca="false">IF($O205="","",INDEX('Auto Process'!$AC:$AC,$O205))</f>
        <v/>
      </c>
      <c r="B205" s="17" t="str">
        <f aca="false">IF($O205="","",INDEX('Auto Process'!$AD:$AD,$O205))</f>
        <v/>
      </c>
      <c r="C205" s="17" t="str">
        <f aca="false">IF($O205="","",INDEX('Auto Process'!$AE:$AE,$O205))</f>
        <v/>
      </c>
      <c r="D205" s="17" t="str">
        <f aca="false">IF($O205="","",INDEX('Auto Process'!$AF:$AF,$O205))</f>
        <v/>
      </c>
      <c r="E205" s="17" t="str">
        <f aca="false">IF($O205="","",INDEX('Auto Process'!$AG:$AG,$O205))</f>
        <v/>
      </c>
      <c r="F205" s="17" t="str">
        <f aca="false">IF($O205="","",INDEX('Auto Process'!$AH:$AH,$O205))</f>
        <v/>
      </c>
      <c r="G205" s="17" t="str">
        <f aca="false">IF($O205="","",INDEX('Auto Process'!$AI:$AI,$O205))</f>
        <v/>
      </c>
      <c r="H205" s="17" t="str">
        <f aca="false">IF($O205="","",INDEX('Auto Process'!$AJ:$AJ,$O205))</f>
        <v/>
      </c>
      <c r="I205" s="17" t="str">
        <f aca="false">IF($O205="","",INDEX('Auto Process'!$AK:$AK,$O205))</f>
        <v/>
      </c>
      <c r="J205" s="17" t="str">
        <f aca="false">IF($O205="","",INDEX('Auto Process'!$AL:$AL,$O205))</f>
        <v/>
      </c>
      <c r="K205" s="17" t="str">
        <f aca="false">IF($O205="","",INDEX('Auto Process'!$AM:$AM,$O205))</f>
        <v/>
      </c>
      <c r="L205" s="17" t="str">
        <f aca="false">IF($O205="","",INDEX('Auto Process'!$AN:$AN,$O205))</f>
        <v/>
      </c>
      <c r="M205" s="17" t="str">
        <f aca="false">IF($O205="","",INDEX('Auto Process'!$AO:$AO,$O205))</f>
        <v/>
      </c>
      <c r="O205" s="19" t="str">
        <f aca="false">IFERROR(_xlfn.AGGREGATE(15,6,ROW('Auto Process'!$D$4:$D$503)/('Auto Process'!$D$4:$D$503="Panel Details"),ROW()-1),"")</f>
        <v/>
      </c>
    </row>
    <row r="206" customFormat="false" ht="13.5" hidden="false" customHeight="true" outlineLevel="0" collapsed="false">
      <c r="A206" s="27" t="str">
        <f aca="false">IF($O206="","",INDEX('Auto Process'!$AC:$AC,$O206))</f>
        <v/>
      </c>
      <c r="B206" s="17" t="str">
        <f aca="false">IF($O206="","",INDEX('Auto Process'!$AD:$AD,$O206))</f>
        <v/>
      </c>
      <c r="C206" s="17" t="str">
        <f aca="false">IF($O206="","",INDEX('Auto Process'!$AE:$AE,$O206))</f>
        <v/>
      </c>
      <c r="D206" s="17" t="str">
        <f aca="false">IF($O206="","",INDEX('Auto Process'!$AF:$AF,$O206))</f>
        <v/>
      </c>
      <c r="E206" s="17" t="str">
        <f aca="false">IF($O206="","",INDEX('Auto Process'!$AG:$AG,$O206))</f>
        <v/>
      </c>
      <c r="F206" s="17" t="str">
        <f aca="false">IF($O206="","",INDEX('Auto Process'!$AH:$AH,$O206))</f>
        <v/>
      </c>
      <c r="G206" s="17" t="str">
        <f aca="false">IF($O206="","",INDEX('Auto Process'!$AI:$AI,$O206))</f>
        <v/>
      </c>
      <c r="H206" s="17" t="str">
        <f aca="false">IF($O206="","",INDEX('Auto Process'!$AJ:$AJ,$O206))</f>
        <v/>
      </c>
      <c r="I206" s="17" t="str">
        <f aca="false">IF($O206="","",INDEX('Auto Process'!$AK:$AK,$O206))</f>
        <v/>
      </c>
      <c r="J206" s="17" t="str">
        <f aca="false">IF($O206="","",INDEX('Auto Process'!$AL:$AL,$O206))</f>
        <v/>
      </c>
      <c r="K206" s="17" t="str">
        <f aca="false">IF($O206="","",INDEX('Auto Process'!$AM:$AM,$O206))</f>
        <v/>
      </c>
      <c r="L206" s="17" t="str">
        <f aca="false">IF($O206="","",INDEX('Auto Process'!$AN:$AN,$O206))</f>
        <v/>
      </c>
      <c r="M206" s="17" t="str">
        <f aca="false">IF($O206="","",INDEX('Auto Process'!$AO:$AO,$O206))</f>
        <v/>
      </c>
      <c r="O206" s="19" t="str">
        <f aca="false">IFERROR(_xlfn.AGGREGATE(15,6,ROW('Auto Process'!$D$4:$D$503)/('Auto Process'!$D$4:$D$503="Panel Details"),ROW()-1),"")</f>
        <v/>
      </c>
    </row>
    <row r="207" customFormat="false" ht="13.5" hidden="false" customHeight="true" outlineLevel="0" collapsed="false">
      <c r="A207" s="27" t="str">
        <f aca="false">IF($O207="","",INDEX('Auto Process'!$AC:$AC,$O207))</f>
        <v/>
      </c>
      <c r="B207" s="17" t="str">
        <f aca="false">IF($O207="","",INDEX('Auto Process'!$AD:$AD,$O207))</f>
        <v/>
      </c>
      <c r="C207" s="17" t="str">
        <f aca="false">IF($O207="","",INDEX('Auto Process'!$AE:$AE,$O207))</f>
        <v/>
      </c>
      <c r="D207" s="17" t="str">
        <f aca="false">IF($O207="","",INDEX('Auto Process'!$AF:$AF,$O207))</f>
        <v/>
      </c>
      <c r="E207" s="17" t="str">
        <f aca="false">IF($O207="","",INDEX('Auto Process'!$AG:$AG,$O207))</f>
        <v/>
      </c>
      <c r="F207" s="17" t="str">
        <f aca="false">IF($O207="","",INDEX('Auto Process'!$AH:$AH,$O207))</f>
        <v/>
      </c>
      <c r="G207" s="17" t="str">
        <f aca="false">IF($O207="","",INDEX('Auto Process'!$AI:$AI,$O207))</f>
        <v/>
      </c>
      <c r="H207" s="17" t="str">
        <f aca="false">IF($O207="","",INDEX('Auto Process'!$AJ:$AJ,$O207))</f>
        <v/>
      </c>
      <c r="I207" s="17" t="str">
        <f aca="false">IF($O207="","",INDEX('Auto Process'!$AK:$AK,$O207))</f>
        <v/>
      </c>
      <c r="J207" s="17" t="str">
        <f aca="false">IF($O207="","",INDEX('Auto Process'!$AL:$AL,$O207))</f>
        <v/>
      </c>
      <c r="K207" s="17" t="str">
        <f aca="false">IF($O207="","",INDEX('Auto Process'!$AM:$AM,$O207))</f>
        <v/>
      </c>
      <c r="L207" s="17" t="str">
        <f aca="false">IF($O207="","",INDEX('Auto Process'!$AN:$AN,$O207))</f>
        <v/>
      </c>
      <c r="M207" s="17" t="str">
        <f aca="false">IF($O207="","",INDEX('Auto Process'!$AO:$AO,$O207))</f>
        <v/>
      </c>
      <c r="O207" s="19" t="str">
        <f aca="false">IFERROR(_xlfn.AGGREGATE(15,6,ROW('Auto Process'!$D$4:$D$503)/('Auto Process'!$D$4:$D$503="Panel Details"),ROW()-1),"")</f>
        <v/>
      </c>
    </row>
    <row r="208" customFormat="false" ht="13.5" hidden="false" customHeight="true" outlineLevel="0" collapsed="false">
      <c r="A208" s="27" t="str">
        <f aca="false">IF($O208="","",INDEX('Auto Process'!$AC:$AC,$O208))</f>
        <v/>
      </c>
      <c r="B208" s="17" t="str">
        <f aca="false">IF($O208="","",INDEX('Auto Process'!$AD:$AD,$O208))</f>
        <v/>
      </c>
      <c r="C208" s="17" t="str">
        <f aca="false">IF($O208="","",INDEX('Auto Process'!$AE:$AE,$O208))</f>
        <v/>
      </c>
      <c r="D208" s="17" t="str">
        <f aca="false">IF($O208="","",INDEX('Auto Process'!$AF:$AF,$O208))</f>
        <v/>
      </c>
      <c r="E208" s="17" t="str">
        <f aca="false">IF($O208="","",INDEX('Auto Process'!$AG:$AG,$O208))</f>
        <v/>
      </c>
      <c r="F208" s="17" t="str">
        <f aca="false">IF($O208="","",INDEX('Auto Process'!$AH:$AH,$O208))</f>
        <v/>
      </c>
      <c r="G208" s="17" t="str">
        <f aca="false">IF($O208="","",INDEX('Auto Process'!$AI:$AI,$O208))</f>
        <v/>
      </c>
      <c r="H208" s="17" t="str">
        <f aca="false">IF($O208="","",INDEX('Auto Process'!$AJ:$AJ,$O208))</f>
        <v/>
      </c>
      <c r="I208" s="17" t="str">
        <f aca="false">IF($O208="","",INDEX('Auto Process'!$AK:$AK,$O208))</f>
        <v/>
      </c>
      <c r="J208" s="17" t="str">
        <f aca="false">IF($O208="","",INDEX('Auto Process'!$AL:$AL,$O208))</f>
        <v/>
      </c>
      <c r="K208" s="17" t="str">
        <f aca="false">IF($O208="","",INDEX('Auto Process'!$AM:$AM,$O208))</f>
        <v/>
      </c>
      <c r="L208" s="17" t="str">
        <f aca="false">IF($O208="","",INDEX('Auto Process'!$AN:$AN,$O208))</f>
        <v/>
      </c>
      <c r="M208" s="17" t="str">
        <f aca="false">IF($O208="","",INDEX('Auto Process'!$AO:$AO,$O208))</f>
        <v/>
      </c>
      <c r="O208" s="19" t="str">
        <f aca="false">IFERROR(_xlfn.AGGREGATE(15,6,ROW('Auto Process'!$D$4:$D$503)/('Auto Process'!$D$4:$D$503="Panel Details"),ROW()-1),"")</f>
        <v/>
      </c>
    </row>
    <row r="209" customFormat="false" ht="13.5" hidden="false" customHeight="true" outlineLevel="0" collapsed="false">
      <c r="A209" s="27" t="str">
        <f aca="false">IF($O209="","",INDEX('Auto Process'!$AC:$AC,$O209))</f>
        <v/>
      </c>
      <c r="B209" s="17" t="str">
        <f aca="false">IF($O209="","",INDEX('Auto Process'!$AD:$AD,$O209))</f>
        <v/>
      </c>
      <c r="C209" s="17" t="str">
        <f aca="false">IF($O209="","",INDEX('Auto Process'!$AE:$AE,$O209))</f>
        <v/>
      </c>
      <c r="D209" s="17" t="str">
        <f aca="false">IF($O209="","",INDEX('Auto Process'!$AF:$AF,$O209))</f>
        <v/>
      </c>
      <c r="E209" s="17" t="str">
        <f aca="false">IF($O209="","",INDEX('Auto Process'!$AG:$AG,$O209))</f>
        <v/>
      </c>
      <c r="F209" s="17" t="str">
        <f aca="false">IF($O209="","",INDEX('Auto Process'!$AH:$AH,$O209))</f>
        <v/>
      </c>
      <c r="G209" s="17" t="str">
        <f aca="false">IF($O209="","",INDEX('Auto Process'!$AI:$AI,$O209))</f>
        <v/>
      </c>
      <c r="H209" s="17" t="str">
        <f aca="false">IF($O209="","",INDEX('Auto Process'!$AJ:$AJ,$O209))</f>
        <v/>
      </c>
      <c r="I209" s="17" t="str">
        <f aca="false">IF($O209="","",INDEX('Auto Process'!$AK:$AK,$O209))</f>
        <v/>
      </c>
      <c r="J209" s="17" t="str">
        <f aca="false">IF($O209="","",INDEX('Auto Process'!$AL:$AL,$O209))</f>
        <v/>
      </c>
      <c r="K209" s="17" t="str">
        <f aca="false">IF($O209="","",INDEX('Auto Process'!$AM:$AM,$O209))</f>
        <v/>
      </c>
      <c r="L209" s="17" t="str">
        <f aca="false">IF($O209="","",INDEX('Auto Process'!$AN:$AN,$O209))</f>
        <v/>
      </c>
      <c r="M209" s="17" t="str">
        <f aca="false">IF($O209="","",INDEX('Auto Process'!$AO:$AO,$O209))</f>
        <v/>
      </c>
      <c r="O209" s="19" t="str">
        <f aca="false">IFERROR(_xlfn.AGGREGATE(15,6,ROW('Auto Process'!$D$4:$D$503)/('Auto Process'!$D$4:$D$503="Panel Details"),ROW()-1),"")</f>
        <v/>
      </c>
    </row>
    <row r="210" customFormat="false" ht="13.5" hidden="false" customHeight="true" outlineLevel="0" collapsed="false">
      <c r="A210" s="27" t="str">
        <f aca="false">IF($O210="","",INDEX('Auto Process'!$AC:$AC,$O210))</f>
        <v/>
      </c>
      <c r="B210" s="17" t="str">
        <f aca="false">IF($O210="","",INDEX('Auto Process'!$AD:$AD,$O210))</f>
        <v/>
      </c>
      <c r="C210" s="17" t="str">
        <f aca="false">IF($O210="","",INDEX('Auto Process'!$AE:$AE,$O210))</f>
        <v/>
      </c>
      <c r="D210" s="17" t="str">
        <f aca="false">IF($O210="","",INDEX('Auto Process'!$AF:$AF,$O210))</f>
        <v/>
      </c>
      <c r="E210" s="17" t="str">
        <f aca="false">IF($O210="","",INDEX('Auto Process'!$AG:$AG,$O210))</f>
        <v/>
      </c>
      <c r="F210" s="17" t="str">
        <f aca="false">IF($O210="","",INDEX('Auto Process'!$AH:$AH,$O210))</f>
        <v/>
      </c>
      <c r="G210" s="17" t="str">
        <f aca="false">IF($O210="","",INDEX('Auto Process'!$AI:$AI,$O210))</f>
        <v/>
      </c>
      <c r="H210" s="17" t="str">
        <f aca="false">IF($O210="","",INDEX('Auto Process'!$AJ:$AJ,$O210))</f>
        <v/>
      </c>
      <c r="I210" s="17" t="str">
        <f aca="false">IF($O210="","",INDEX('Auto Process'!$AK:$AK,$O210))</f>
        <v/>
      </c>
      <c r="J210" s="17" t="str">
        <f aca="false">IF($O210="","",INDEX('Auto Process'!$AL:$AL,$O210))</f>
        <v/>
      </c>
      <c r="K210" s="17" t="str">
        <f aca="false">IF($O210="","",INDEX('Auto Process'!$AM:$AM,$O210))</f>
        <v/>
      </c>
      <c r="L210" s="17" t="str">
        <f aca="false">IF($O210="","",INDEX('Auto Process'!$AN:$AN,$O210))</f>
        <v/>
      </c>
      <c r="M210" s="17" t="str">
        <f aca="false">IF($O210="","",INDEX('Auto Process'!$AO:$AO,$O210))</f>
        <v/>
      </c>
      <c r="O210" s="19" t="str">
        <f aca="false">IFERROR(_xlfn.AGGREGATE(15,6,ROW('Auto Process'!$D$4:$D$503)/('Auto Process'!$D$4:$D$503="Panel Details"),ROW()-1),"")</f>
        <v/>
      </c>
    </row>
    <row r="211" customFormat="false" ht="13.5" hidden="false" customHeight="true" outlineLevel="0" collapsed="false">
      <c r="A211" s="27" t="str">
        <f aca="false">IF($O211="","",INDEX('Auto Process'!$AC:$AC,$O211))</f>
        <v/>
      </c>
      <c r="B211" s="17" t="str">
        <f aca="false">IF($O211="","",INDEX('Auto Process'!$AD:$AD,$O211))</f>
        <v/>
      </c>
      <c r="C211" s="17" t="str">
        <f aca="false">IF($O211="","",INDEX('Auto Process'!$AE:$AE,$O211))</f>
        <v/>
      </c>
      <c r="D211" s="17" t="str">
        <f aca="false">IF($O211="","",INDEX('Auto Process'!$AF:$AF,$O211))</f>
        <v/>
      </c>
      <c r="E211" s="17" t="str">
        <f aca="false">IF($O211="","",INDEX('Auto Process'!$AG:$AG,$O211))</f>
        <v/>
      </c>
      <c r="F211" s="17" t="str">
        <f aca="false">IF($O211="","",INDEX('Auto Process'!$AH:$AH,$O211))</f>
        <v/>
      </c>
      <c r="G211" s="17" t="str">
        <f aca="false">IF($O211="","",INDEX('Auto Process'!$AI:$AI,$O211))</f>
        <v/>
      </c>
      <c r="H211" s="17" t="str">
        <f aca="false">IF($O211="","",INDEX('Auto Process'!$AJ:$AJ,$O211))</f>
        <v/>
      </c>
      <c r="I211" s="17" t="str">
        <f aca="false">IF($O211="","",INDEX('Auto Process'!$AK:$AK,$O211))</f>
        <v/>
      </c>
      <c r="J211" s="17" t="str">
        <f aca="false">IF($O211="","",INDEX('Auto Process'!$AL:$AL,$O211))</f>
        <v/>
      </c>
      <c r="K211" s="17" t="str">
        <f aca="false">IF($O211="","",INDEX('Auto Process'!$AM:$AM,$O211))</f>
        <v/>
      </c>
      <c r="L211" s="17" t="str">
        <f aca="false">IF($O211="","",INDEX('Auto Process'!$AN:$AN,$O211))</f>
        <v/>
      </c>
      <c r="M211" s="17" t="str">
        <f aca="false">IF($O211="","",INDEX('Auto Process'!$AO:$AO,$O211))</f>
        <v/>
      </c>
      <c r="O211" s="19" t="str">
        <f aca="false">IFERROR(_xlfn.AGGREGATE(15,6,ROW('Auto Process'!$D$4:$D$503)/('Auto Process'!$D$4:$D$503="Panel Details"),ROW()-1),"")</f>
        <v/>
      </c>
    </row>
    <row r="212" customFormat="false" ht="13.5" hidden="false" customHeight="true" outlineLevel="0" collapsed="false">
      <c r="A212" s="27" t="str">
        <f aca="false">IF($O212="","",INDEX('Auto Process'!$AC:$AC,$O212))</f>
        <v/>
      </c>
      <c r="B212" s="17" t="str">
        <f aca="false">IF($O212="","",INDEX('Auto Process'!$AD:$AD,$O212))</f>
        <v/>
      </c>
      <c r="C212" s="17" t="str">
        <f aca="false">IF($O212="","",INDEX('Auto Process'!$AE:$AE,$O212))</f>
        <v/>
      </c>
      <c r="D212" s="17" t="str">
        <f aca="false">IF($O212="","",INDEX('Auto Process'!$AF:$AF,$O212))</f>
        <v/>
      </c>
      <c r="E212" s="17" t="str">
        <f aca="false">IF($O212="","",INDEX('Auto Process'!$AG:$AG,$O212))</f>
        <v/>
      </c>
      <c r="F212" s="17" t="str">
        <f aca="false">IF($O212="","",INDEX('Auto Process'!$AH:$AH,$O212))</f>
        <v/>
      </c>
      <c r="G212" s="17" t="str">
        <f aca="false">IF($O212="","",INDEX('Auto Process'!$AI:$AI,$O212))</f>
        <v/>
      </c>
      <c r="H212" s="17" t="str">
        <f aca="false">IF($O212="","",INDEX('Auto Process'!$AJ:$AJ,$O212))</f>
        <v/>
      </c>
      <c r="I212" s="17" t="str">
        <f aca="false">IF($O212="","",INDEX('Auto Process'!$AK:$AK,$O212))</f>
        <v/>
      </c>
      <c r="J212" s="17" t="str">
        <f aca="false">IF($O212="","",INDEX('Auto Process'!$AL:$AL,$O212))</f>
        <v/>
      </c>
      <c r="K212" s="17" t="str">
        <f aca="false">IF($O212="","",INDEX('Auto Process'!$AM:$AM,$O212))</f>
        <v/>
      </c>
      <c r="L212" s="17" t="str">
        <f aca="false">IF($O212="","",INDEX('Auto Process'!$AN:$AN,$O212))</f>
        <v/>
      </c>
      <c r="M212" s="17" t="str">
        <f aca="false">IF($O212="","",INDEX('Auto Process'!$AO:$AO,$O212))</f>
        <v/>
      </c>
      <c r="O212" s="19" t="str">
        <f aca="false">IFERROR(_xlfn.AGGREGATE(15,6,ROW('Auto Process'!$D$4:$D$503)/('Auto Process'!$D$4:$D$503="Panel Details"),ROW()-1),"")</f>
        <v/>
      </c>
    </row>
    <row r="213" customFormat="false" ht="13.5" hidden="false" customHeight="true" outlineLevel="0" collapsed="false">
      <c r="A213" s="27" t="str">
        <f aca="false">IF($O213="","",INDEX('Auto Process'!$AC:$AC,$O213))</f>
        <v/>
      </c>
      <c r="B213" s="17" t="str">
        <f aca="false">IF($O213="","",INDEX('Auto Process'!$AD:$AD,$O213))</f>
        <v/>
      </c>
      <c r="C213" s="17" t="str">
        <f aca="false">IF($O213="","",INDEX('Auto Process'!$AE:$AE,$O213))</f>
        <v/>
      </c>
      <c r="D213" s="17" t="str">
        <f aca="false">IF($O213="","",INDEX('Auto Process'!$AF:$AF,$O213))</f>
        <v/>
      </c>
      <c r="E213" s="17" t="str">
        <f aca="false">IF($O213="","",INDEX('Auto Process'!$AG:$AG,$O213))</f>
        <v/>
      </c>
      <c r="F213" s="17" t="str">
        <f aca="false">IF($O213="","",INDEX('Auto Process'!$AH:$AH,$O213))</f>
        <v/>
      </c>
      <c r="G213" s="17" t="str">
        <f aca="false">IF($O213="","",INDEX('Auto Process'!$AI:$AI,$O213))</f>
        <v/>
      </c>
      <c r="H213" s="17" t="str">
        <f aca="false">IF($O213="","",INDEX('Auto Process'!$AJ:$AJ,$O213))</f>
        <v/>
      </c>
      <c r="I213" s="17" t="str">
        <f aca="false">IF($O213="","",INDEX('Auto Process'!$AK:$AK,$O213))</f>
        <v/>
      </c>
      <c r="J213" s="17" t="str">
        <f aca="false">IF($O213="","",INDEX('Auto Process'!$AL:$AL,$O213))</f>
        <v/>
      </c>
      <c r="K213" s="17" t="str">
        <f aca="false">IF($O213="","",INDEX('Auto Process'!$AM:$AM,$O213))</f>
        <v/>
      </c>
      <c r="L213" s="17" t="str">
        <f aca="false">IF($O213="","",INDEX('Auto Process'!$AN:$AN,$O213))</f>
        <v/>
      </c>
      <c r="M213" s="17" t="str">
        <f aca="false">IF($O213="","",INDEX('Auto Process'!$AO:$AO,$O213))</f>
        <v/>
      </c>
      <c r="O213" s="19" t="str">
        <f aca="false">IFERROR(_xlfn.AGGREGATE(15,6,ROW('Auto Process'!$D$4:$D$503)/('Auto Process'!$D$4:$D$503="Panel Details"),ROW()-1),"")</f>
        <v/>
      </c>
    </row>
    <row r="214" customFormat="false" ht="13.5" hidden="false" customHeight="true" outlineLevel="0" collapsed="false">
      <c r="A214" s="27" t="str">
        <f aca="false">IF($O214="","",INDEX('Auto Process'!$AC:$AC,$O214))</f>
        <v/>
      </c>
      <c r="B214" s="17" t="str">
        <f aca="false">IF($O214="","",INDEX('Auto Process'!$AD:$AD,$O214))</f>
        <v/>
      </c>
      <c r="C214" s="17" t="str">
        <f aca="false">IF($O214="","",INDEX('Auto Process'!$AE:$AE,$O214))</f>
        <v/>
      </c>
      <c r="D214" s="17" t="str">
        <f aca="false">IF($O214="","",INDEX('Auto Process'!$AF:$AF,$O214))</f>
        <v/>
      </c>
      <c r="E214" s="17" t="str">
        <f aca="false">IF($O214="","",INDEX('Auto Process'!$AG:$AG,$O214))</f>
        <v/>
      </c>
      <c r="F214" s="17" t="str">
        <f aca="false">IF($O214="","",INDEX('Auto Process'!$AH:$AH,$O214))</f>
        <v/>
      </c>
      <c r="G214" s="17" t="str">
        <f aca="false">IF($O214="","",INDEX('Auto Process'!$AI:$AI,$O214))</f>
        <v/>
      </c>
      <c r="H214" s="17" t="str">
        <f aca="false">IF($O214="","",INDEX('Auto Process'!$AJ:$AJ,$O214))</f>
        <v/>
      </c>
      <c r="I214" s="17" t="str">
        <f aca="false">IF($O214="","",INDEX('Auto Process'!$AK:$AK,$O214))</f>
        <v/>
      </c>
      <c r="J214" s="17" t="str">
        <f aca="false">IF($O214="","",INDEX('Auto Process'!$AL:$AL,$O214))</f>
        <v/>
      </c>
      <c r="K214" s="17" t="str">
        <f aca="false">IF($O214="","",INDEX('Auto Process'!$AM:$AM,$O214))</f>
        <v/>
      </c>
      <c r="L214" s="17" t="str">
        <f aca="false">IF($O214="","",INDEX('Auto Process'!$AN:$AN,$O214))</f>
        <v/>
      </c>
      <c r="M214" s="17" t="str">
        <f aca="false">IF($O214="","",INDEX('Auto Process'!$AO:$AO,$O214))</f>
        <v/>
      </c>
      <c r="O214" s="19" t="str">
        <f aca="false">IFERROR(_xlfn.AGGREGATE(15,6,ROW('Auto Process'!$D$4:$D$503)/('Auto Process'!$D$4:$D$503="Panel Details"),ROW()-1),"")</f>
        <v/>
      </c>
    </row>
    <row r="215" customFormat="false" ht="13.5" hidden="false" customHeight="true" outlineLevel="0" collapsed="false">
      <c r="A215" s="27" t="str">
        <f aca="false">IF($O215="","",INDEX('Auto Process'!$AC:$AC,$O215))</f>
        <v/>
      </c>
      <c r="B215" s="17" t="str">
        <f aca="false">IF($O215="","",INDEX('Auto Process'!$AD:$AD,$O215))</f>
        <v/>
      </c>
      <c r="C215" s="17" t="str">
        <f aca="false">IF($O215="","",INDEX('Auto Process'!$AE:$AE,$O215))</f>
        <v/>
      </c>
      <c r="D215" s="17" t="str">
        <f aca="false">IF($O215="","",INDEX('Auto Process'!$AF:$AF,$O215))</f>
        <v/>
      </c>
      <c r="E215" s="17" t="str">
        <f aca="false">IF($O215="","",INDEX('Auto Process'!$AG:$AG,$O215))</f>
        <v/>
      </c>
      <c r="F215" s="17" t="str">
        <f aca="false">IF($O215="","",INDEX('Auto Process'!$AH:$AH,$O215))</f>
        <v/>
      </c>
      <c r="G215" s="17" t="str">
        <f aca="false">IF($O215="","",INDEX('Auto Process'!$AI:$AI,$O215))</f>
        <v/>
      </c>
      <c r="H215" s="17" t="str">
        <f aca="false">IF($O215="","",INDEX('Auto Process'!$AJ:$AJ,$O215))</f>
        <v/>
      </c>
      <c r="I215" s="17" t="str">
        <f aca="false">IF($O215="","",INDEX('Auto Process'!$AK:$AK,$O215))</f>
        <v/>
      </c>
      <c r="J215" s="17" t="str">
        <f aca="false">IF($O215="","",INDEX('Auto Process'!$AL:$AL,$O215))</f>
        <v/>
      </c>
      <c r="K215" s="17" t="str">
        <f aca="false">IF($O215="","",INDEX('Auto Process'!$AM:$AM,$O215))</f>
        <v/>
      </c>
      <c r="L215" s="17" t="str">
        <f aca="false">IF($O215="","",INDEX('Auto Process'!$AN:$AN,$O215))</f>
        <v/>
      </c>
      <c r="M215" s="17" t="str">
        <f aca="false">IF($O215="","",INDEX('Auto Process'!$AO:$AO,$O215))</f>
        <v/>
      </c>
      <c r="O215" s="19" t="str">
        <f aca="false">IFERROR(_xlfn.AGGREGATE(15,6,ROW('Auto Process'!$D$4:$D$503)/('Auto Process'!$D$4:$D$503="Panel Details"),ROW()-1),"")</f>
        <v/>
      </c>
    </row>
    <row r="216" customFormat="false" ht="13.5" hidden="false" customHeight="true" outlineLevel="0" collapsed="false">
      <c r="A216" s="27" t="str">
        <f aca="false">IF($O216="","",INDEX('Auto Process'!$AC:$AC,$O216))</f>
        <v/>
      </c>
      <c r="B216" s="17" t="str">
        <f aca="false">IF($O216="","",INDEX('Auto Process'!$AD:$AD,$O216))</f>
        <v/>
      </c>
      <c r="C216" s="17" t="str">
        <f aca="false">IF($O216="","",INDEX('Auto Process'!$AE:$AE,$O216))</f>
        <v/>
      </c>
      <c r="D216" s="17" t="str">
        <f aca="false">IF($O216="","",INDEX('Auto Process'!$AF:$AF,$O216))</f>
        <v/>
      </c>
      <c r="E216" s="17" t="str">
        <f aca="false">IF($O216="","",INDEX('Auto Process'!$AG:$AG,$O216))</f>
        <v/>
      </c>
      <c r="F216" s="17" t="str">
        <f aca="false">IF($O216="","",INDEX('Auto Process'!$AH:$AH,$O216))</f>
        <v/>
      </c>
      <c r="G216" s="17" t="str">
        <f aca="false">IF($O216="","",INDEX('Auto Process'!$AI:$AI,$O216))</f>
        <v/>
      </c>
      <c r="H216" s="17" t="str">
        <f aca="false">IF($O216="","",INDEX('Auto Process'!$AJ:$AJ,$O216))</f>
        <v/>
      </c>
      <c r="I216" s="17" t="str">
        <f aca="false">IF($O216="","",INDEX('Auto Process'!$AK:$AK,$O216))</f>
        <v/>
      </c>
      <c r="J216" s="17" t="str">
        <f aca="false">IF($O216="","",INDEX('Auto Process'!$AL:$AL,$O216))</f>
        <v/>
      </c>
      <c r="K216" s="17" t="str">
        <f aca="false">IF($O216="","",INDEX('Auto Process'!$AM:$AM,$O216))</f>
        <v/>
      </c>
      <c r="L216" s="17" t="str">
        <f aca="false">IF($O216="","",INDEX('Auto Process'!$AN:$AN,$O216))</f>
        <v/>
      </c>
      <c r="M216" s="17" t="str">
        <f aca="false">IF($O216="","",INDEX('Auto Process'!$AO:$AO,$O216))</f>
        <v/>
      </c>
      <c r="O216" s="19" t="str">
        <f aca="false">IFERROR(_xlfn.AGGREGATE(15,6,ROW('Auto Process'!$D$4:$D$503)/('Auto Process'!$D$4:$D$503="Panel Details"),ROW()-1),"")</f>
        <v/>
      </c>
    </row>
    <row r="217" customFormat="false" ht="13.5" hidden="false" customHeight="true" outlineLevel="0" collapsed="false">
      <c r="A217" s="27" t="str">
        <f aca="false">IF($O217="","",INDEX('Auto Process'!$AC:$AC,$O217))</f>
        <v/>
      </c>
      <c r="B217" s="17" t="str">
        <f aca="false">IF($O217="","",INDEX('Auto Process'!$AD:$AD,$O217))</f>
        <v/>
      </c>
      <c r="C217" s="17" t="str">
        <f aca="false">IF($O217="","",INDEX('Auto Process'!$AE:$AE,$O217))</f>
        <v/>
      </c>
      <c r="D217" s="17" t="str">
        <f aca="false">IF($O217="","",INDEX('Auto Process'!$AF:$AF,$O217))</f>
        <v/>
      </c>
      <c r="E217" s="17" t="str">
        <f aca="false">IF($O217="","",INDEX('Auto Process'!$AG:$AG,$O217))</f>
        <v/>
      </c>
      <c r="F217" s="17" t="str">
        <f aca="false">IF($O217="","",INDEX('Auto Process'!$AH:$AH,$O217))</f>
        <v/>
      </c>
      <c r="G217" s="17" t="str">
        <f aca="false">IF($O217="","",INDEX('Auto Process'!$AI:$AI,$O217))</f>
        <v/>
      </c>
      <c r="H217" s="17" t="str">
        <f aca="false">IF($O217="","",INDEX('Auto Process'!$AJ:$AJ,$O217))</f>
        <v/>
      </c>
      <c r="I217" s="17" t="str">
        <f aca="false">IF($O217="","",INDEX('Auto Process'!$AK:$AK,$O217))</f>
        <v/>
      </c>
      <c r="J217" s="17" t="str">
        <f aca="false">IF($O217="","",INDEX('Auto Process'!$AL:$AL,$O217))</f>
        <v/>
      </c>
      <c r="K217" s="17" t="str">
        <f aca="false">IF($O217="","",INDEX('Auto Process'!$AM:$AM,$O217))</f>
        <v/>
      </c>
      <c r="L217" s="17" t="str">
        <f aca="false">IF($O217="","",INDEX('Auto Process'!$AN:$AN,$O217))</f>
        <v/>
      </c>
      <c r="M217" s="17" t="str">
        <f aca="false">IF($O217="","",INDEX('Auto Process'!$AO:$AO,$O217))</f>
        <v/>
      </c>
      <c r="O217" s="19" t="str">
        <f aca="false">IFERROR(_xlfn.AGGREGATE(15,6,ROW('Auto Process'!$D$4:$D$503)/('Auto Process'!$D$4:$D$503="Panel Details"),ROW()-1),"")</f>
        <v/>
      </c>
    </row>
    <row r="218" customFormat="false" ht="13.5" hidden="false" customHeight="true" outlineLevel="0" collapsed="false">
      <c r="A218" s="27" t="str">
        <f aca="false">IF($O218="","",INDEX('Auto Process'!$AC:$AC,$O218))</f>
        <v/>
      </c>
      <c r="B218" s="17" t="str">
        <f aca="false">IF($O218="","",INDEX('Auto Process'!$AD:$AD,$O218))</f>
        <v/>
      </c>
      <c r="C218" s="17" t="str">
        <f aca="false">IF($O218="","",INDEX('Auto Process'!$AE:$AE,$O218))</f>
        <v/>
      </c>
      <c r="D218" s="17" t="str">
        <f aca="false">IF($O218="","",INDEX('Auto Process'!$AF:$AF,$O218))</f>
        <v/>
      </c>
      <c r="E218" s="17" t="str">
        <f aca="false">IF($O218="","",INDEX('Auto Process'!$AG:$AG,$O218))</f>
        <v/>
      </c>
      <c r="F218" s="17" t="str">
        <f aca="false">IF($O218="","",INDEX('Auto Process'!$AH:$AH,$O218))</f>
        <v/>
      </c>
      <c r="G218" s="17" t="str">
        <f aca="false">IF($O218="","",INDEX('Auto Process'!$AI:$AI,$O218))</f>
        <v/>
      </c>
      <c r="H218" s="17" t="str">
        <f aca="false">IF($O218="","",INDEX('Auto Process'!$AJ:$AJ,$O218))</f>
        <v/>
      </c>
      <c r="I218" s="17" t="str">
        <f aca="false">IF($O218="","",INDEX('Auto Process'!$AK:$AK,$O218))</f>
        <v/>
      </c>
      <c r="J218" s="17" t="str">
        <f aca="false">IF($O218="","",INDEX('Auto Process'!$AL:$AL,$O218))</f>
        <v/>
      </c>
      <c r="K218" s="17" t="str">
        <f aca="false">IF($O218="","",INDEX('Auto Process'!$AM:$AM,$O218))</f>
        <v/>
      </c>
      <c r="L218" s="17" t="str">
        <f aca="false">IF($O218="","",INDEX('Auto Process'!$AN:$AN,$O218))</f>
        <v/>
      </c>
      <c r="M218" s="17" t="str">
        <f aca="false">IF($O218="","",INDEX('Auto Process'!$AO:$AO,$O218))</f>
        <v/>
      </c>
      <c r="O218" s="19" t="str">
        <f aca="false">IFERROR(_xlfn.AGGREGATE(15,6,ROW('Auto Process'!$D$4:$D$503)/('Auto Process'!$D$4:$D$503="Panel Details"),ROW()-1),"")</f>
        <v/>
      </c>
    </row>
    <row r="219" customFormat="false" ht="13.5" hidden="false" customHeight="true" outlineLevel="0" collapsed="false">
      <c r="A219" s="27" t="str">
        <f aca="false">IF($O219="","",INDEX('Auto Process'!$AC:$AC,$O219))</f>
        <v/>
      </c>
      <c r="B219" s="17" t="str">
        <f aca="false">IF($O219="","",INDEX('Auto Process'!$AD:$AD,$O219))</f>
        <v/>
      </c>
      <c r="C219" s="17" t="str">
        <f aca="false">IF($O219="","",INDEX('Auto Process'!$AE:$AE,$O219))</f>
        <v/>
      </c>
      <c r="D219" s="17" t="str">
        <f aca="false">IF($O219="","",INDEX('Auto Process'!$AF:$AF,$O219))</f>
        <v/>
      </c>
      <c r="E219" s="17" t="str">
        <f aca="false">IF($O219="","",INDEX('Auto Process'!$AG:$AG,$O219))</f>
        <v/>
      </c>
      <c r="F219" s="17" t="str">
        <f aca="false">IF($O219="","",INDEX('Auto Process'!$AH:$AH,$O219))</f>
        <v/>
      </c>
      <c r="G219" s="17" t="str">
        <f aca="false">IF($O219="","",INDEX('Auto Process'!$AI:$AI,$O219))</f>
        <v/>
      </c>
      <c r="H219" s="17" t="str">
        <f aca="false">IF($O219="","",INDEX('Auto Process'!$AJ:$AJ,$O219))</f>
        <v/>
      </c>
      <c r="I219" s="17" t="str">
        <f aca="false">IF($O219="","",INDEX('Auto Process'!$AK:$AK,$O219))</f>
        <v/>
      </c>
      <c r="J219" s="17" t="str">
        <f aca="false">IF($O219="","",INDEX('Auto Process'!$AL:$AL,$O219))</f>
        <v/>
      </c>
      <c r="K219" s="17" t="str">
        <f aca="false">IF($O219="","",INDEX('Auto Process'!$AM:$AM,$O219))</f>
        <v/>
      </c>
      <c r="L219" s="17" t="str">
        <f aca="false">IF($O219="","",INDEX('Auto Process'!$AN:$AN,$O219))</f>
        <v/>
      </c>
      <c r="M219" s="17" t="str">
        <f aca="false">IF($O219="","",INDEX('Auto Process'!$AO:$AO,$O219))</f>
        <v/>
      </c>
      <c r="O219" s="19" t="str">
        <f aca="false">IFERROR(_xlfn.AGGREGATE(15,6,ROW('Auto Process'!$D$4:$D$503)/('Auto Process'!$D$4:$D$503="Panel Details"),ROW()-1),"")</f>
        <v/>
      </c>
    </row>
    <row r="220" customFormat="false" ht="13.5" hidden="false" customHeight="true" outlineLevel="0" collapsed="false">
      <c r="A220" s="27" t="str">
        <f aca="false">IF($O220="","",INDEX('Auto Process'!$AC:$AC,$O220))</f>
        <v/>
      </c>
      <c r="B220" s="17" t="str">
        <f aca="false">IF($O220="","",INDEX('Auto Process'!$AD:$AD,$O220))</f>
        <v/>
      </c>
      <c r="C220" s="17" t="str">
        <f aca="false">IF($O220="","",INDEX('Auto Process'!$AE:$AE,$O220))</f>
        <v/>
      </c>
      <c r="D220" s="17" t="str">
        <f aca="false">IF($O220="","",INDEX('Auto Process'!$AF:$AF,$O220))</f>
        <v/>
      </c>
      <c r="E220" s="17" t="str">
        <f aca="false">IF($O220="","",INDEX('Auto Process'!$AG:$AG,$O220))</f>
        <v/>
      </c>
      <c r="F220" s="17" t="str">
        <f aca="false">IF($O220="","",INDEX('Auto Process'!$AH:$AH,$O220))</f>
        <v/>
      </c>
      <c r="G220" s="17" t="str">
        <f aca="false">IF($O220="","",INDEX('Auto Process'!$AI:$AI,$O220))</f>
        <v/>
      </c>
      <c r="H220" s="17" t="str">
        <f aca="false">IF($O220="","",INDEX('Auto Process'!$AJ:$AJ,$O220))</f>
        <v/>
      </c>
      <c r="I220" s="17" t="str">
        <f aca="false">IF($O220="","",INDEX('Auto Process'!$AK:$AK,$O220))</f>
        <v/>
      </c>
      <c r="J220" s="17" t="str">
        <f aca="false">IF($O220="","",INDEX('Auto Process'!$AL:$AL,$O220))</f>
        <v/>
      </c>
      <c r="K220" s="17" t="str">
        <f aca="false">IF($O220="","",INDEX('Auto Process'!$AM:$AM,$O220))</f>
        <v/>
      </c>
      <c r="L220" s="17" t="str">
        <f aca="false">IF($O220="","",INDEX('Auto Process'!$AN:$AN,$O220))</f>
        <v/>
      </c>
      <c r="M220" s="17" t="str">
        <f aca="false">IF($O220="","",INDEX('Auto Process'!$AO:$AO,$O220))</f>
        <v/>
      </c>
      <c r="O220" s="19" t="str">
        <f aca="false">IFERROR(_xlfn.AGGREGATE(15,6,ROW('Auto Process'!$D$4:$D$503)/('Auto Process'!$D$4:$D$503="Panel Details"),ROW()-1),"")</f>
        <v/>
      </c>
    </row>
    <row r="221" customFormat="false" ht="13.5" hidden="false" customHeight="true" outlineLevel="0" collapsed="false">
      <c r="A221" s="27" t="str">
        <f aca="false">IF($O221="","",INDEX('Auto Process'!$AC:$AC,$O221))</f>
        <v/>
      </c>
      <c r="B221" s="17" t="str">
        <f aca="false">IF($O221="","",INDEX('Auto Process'!$AD:$AD,$O221))</f>
        <v/>
      </c>
      <c r="C221" s="17" t="str">
        <f aca="false">IF($O221="","",INDEX('Auto Process'!$AE:$AE,$O221))</f>
        <v/>
      </c>
      <c r="D221" s="17" t="str">
        <f aca="false">IF($O221="","",INDEX('Auto Process'!$AF:$AF,$O221))</f>
        <v/>
      </c>
      <c r="E221" s="17" t="str">
        <f aca="false">IF($O221="","",INDEX('Auto Process'!$AG:$AG,$O221))</f>
        <v/>
      </c>
      <c r="F221" s="17" t="str">
        <f aca="false">IF($O221="","",INDEX('Auto Process'!$AH:$AH,$O221))</f>
        <v/>
      </c>
      <c r="G221" s="17" t="str">
        <f aca="false">IF($O221="","",INDEX('Auto Process'!$AI:$AI,$O221))</f>
        <v/>
      </c>
      <c r="H221" s="17" t="str">
        <f aca="false">IF($O221="","",INDEX('Auto Process'!$AJ:$AJ,$O221))</f>
        <v/>
      </c>
      <c r="I221" s="17" t="str">
        <f aca="false">IF($O221="","",INDEX('Auto Process'!$AK:$AK,$O221))</f>
        <v/>
      </c>
      <c r="J221" s="17" t="str">
        <f aca="false">IF($O221="","",INDEX('Auto Process'!$AL:$AL,$O221))</f>
        <v/>
      </c>
      <c r="K221" s="17" t="str">
        <f aca="false">IF($O221="","",INDEX('Auto Process'!$AM:$AM,$O221))</f>
        <v/>
      </c>
      <c r="L221" s="17" t="str">
        <f aca="false">IF($O221="","",INDEX('Auto Process'!$AN:$AN,$O221))</f>
        <v/>
      </c>
      <c r="M221" s="17" t="str">
        <f aca="false">IF($O221="","",INDEX('Auto Process'!$AO:$AO,$O221))</f>
        <v/>
      </c>
      <c r="O221" s="19" t="str">
        <f aca="false">IFERROR(_xlfn.AGGREGATE(15,6,ROW('Auto Process'!$D$4:$D$503)/('Auto Process'!$D$4:$D$503="Panel Details"),ROW()-1),"")</f>
        <v/>
      </c>
    </row>
    <row r="222" customFormat="false" ht="13.5" hidden="false" customHeight="true" outlineLevel="0" collapsed="false">
      <c r="A222" s="27" t="str">
        <f aca="false">IF($O222="","",INDEX('Auto Process'!$AC:$AC,$O222))</f>
        <v/>
      </c>
      <c r="B222" s="17" t="str">
        <f aca="false">IF($O222="","",INDEX('Auto Process'!$AD:$AD,$O222))</f>
        <v/>
      </c>
      <c r="C222" s="17" t="str">
        <f aca="false">IF($O222="","",INDEX('Auto Process'!$AE:$AE,$O222))</f>
        <v/>
      </c>
      <c r="D222" s="17" t="str">
        <f aca="false">IF($O222="","",INDEX('Auto Process'!$AF:$AF,$O222))</f>
        <v/>
      </c>
      <c r="E222" s="17" t="str">
        <f aca="false">IF($O222="","",INDEX('Auto Process'!$AG:$AG,$O222))</f>
        <v/>
      </c>
      <c r="F222" s="17" t="str">
        <f aca="false">IF($O222="","",INDEX('Auto Process'!$AH:$AH,$O222))</f>
        <v/>
      </c>
      <c r="G222" s="17" t="str">
        <f aca="false">IF($O222="","",INDEX('Auto Process'!$AI:$AI,$O222))</f>
        <v/>
      </c>
      <c r="H222" s="17" t="str">
        <f aca="false">IF($O222="","",INDEX('Auto Process'!$AJ:$AJ,$O222))</f>
        <v/>
      </c>
      <c r="I222" s="17" t="str">
        <f aca="false">IF($O222="","",INDEX('Auto Process'!$AK:$AK,$O222))</f>
        <v/>
      </c>
      <c r="J222" s="17" t="str">
        <f aca="false">IF($O222="","",INDEX('Auto Process'!$AL:$AL,$O222))</f>
        <v/>
      </c>
      <c r="K222" s="17" t="str">
        <f aca="false">IF($O222="","",INDEX('Auto Process'!$AM:$AM,$O222))</f>
        <v/>
      </c>
      <c r="L222" s="17" t="str">
        <f aca="false">IF($O222="","",INDEX('Auto Process'!$AN:$AN,$O222))</f>
        <v/>
      </c>
      <c r="M222" s="17" t="str">
        <f aca="false">IF($O222="","",INDEX('Auto Process'!$AO:$AO,$O222))</f>
        <v/>
      </c>
      <c r="O222" s="19" t="str">
        <f aca="false">IFERROR(_xlfn.AGGREGATE(15,6,ROW('Auto Process'!$D$4:$D$503)/('Auto Process'!$D$4:$D$503="Panel Details"),ROW()-1),"")</f>
        <v/>
      </c>
    </row>
    <row r="223" customFormat="false" ht="13.5" hidden="false" customHeight="true" outlineLevel="0" collapsed="false">
      <c r="A223" s="27" t="str">
        <f aca="false">IF($O223="","",INDEX('Auto Process'!$AC:$AC,$O223))</f>
        <v/>
      </c>
      <c r="B223" s="17" t="str">
        <f aca="false">IF($O223="","",INDEX('Auto Process'!$AD:$AD,$O223))</f>
        <v/>
      </c>
      <c r="C223" s="17" t="str">
        <f aca="false">IF($O223="","",INDEX('Auto Process'!$AE:$AE,$O223))</f>
        <v/>
      </c>
      <c r="D223" s="17" t="str">
        <f aca="false">IF($O223="","",INDEX('Auto Process'!$AF:$AF,$O223))</f>
        <v/>
      </c>
      <c r="E223" s="17" t="str">
        <f aca="false">IF($O223="","",INDEX('Auto Process'!$AG:$AG,$O223))</f>
        <v/>
      </c>
      <c r="F223" s="17" t="str">
        <f aca="false">IF($O223="","",INDEX('Auto Process'!$AH:$AH,$O223))</f>
        <v/>
      </c>
      <c r="G223" s="17" t="str">
        <f aca="false">IF($O223="","",INDEX('Auto Process'!$AI:$AI,$O223))</f>
        <v/>
      </c>
      <c r="H223" s="17" t="str">
        <f aca="false">IF($O223="","",INDEX('Auto Process'!$AJ:$AJ,$O223))</f>
        <v/>
      </c>
      <c r="I223" s="17" t="str">
        <f aca="false">IF($O223="","",INDEX('Auto Process'!$AK:$AK,$O223))</f>
        <v/>
      </c>
      <c r="J223" s="17" t="str">
        <f aca="false">IF($O223="","",INDEX('Auto Process'!$AL:$AL,$O223))</f>
        <v/>
      </c>
      <c r="K223" s="17" t="str">
        <f aca="false">IF($O223="","",INDEX('Auto Process'!$AM:$AM,$O223))</f>
        <v/>
      </c>
      <c r="L223" s="17" t="str">
        <f aca="false">IF($O223="","",INDEX('Auto Process'!$AN:$AN,$O223))</f>
        <v/>
      </c>
      <c r="M223" s="17" t="str">
        <f aca="false">IF($O223="","",INDEX('Auto Process'!$AO:$AO,$O223))</f>
        <v/>
      </c>
      <c r="O223" s="19" t="str">
        <f aca="false">IFERROR(_xlfn.AGGREGATE(15,6,ROW('Auto Process'!$D$4:$D$503)/('Auto Process'!$D$4:$D$503="Panel Details"),ROW()-1),"")</f>
        <v/>
      </c>
    </row>
    <row r="224" customFormat="false" ht="13.5" hidden="false" customHeight="true" outlineLevel="0" collapsed="false">
      <c r="A224" s="27" t="str">
        <f aca="false">IF($O224="","",INDEX('Auto Process'!$AC:$AC,$O224))</f>
        <v/>
      </c>
      <c r="B224" s="17" t="str">
        <f aca="false">IF($O224="","",INDEX('Auto Process'!$AD:$AD,$O224))</f>
        <v/>
      </c>
      <c r="C224" s="17" t="str">
        <f aca="false">IF($O224="","",INDEX('Auto Process'!$AE:$AE,$O224))</f>
        <v/>
      </c>
      <c r="D224" s="17" t="str">
        <f aca="false">IF($O224="","",INDEX('Auto Process'!$AF:$AF,$O224))</f>
        <v/>
      </c>
      <c r="E224" s="17" t="str">
        <f aca="false">IF($O224="","",INDEX('Auto Process'!$AG:$AG,$O224))</f>
        <v/>
      </c>
      <c r="F224" s="17" t="str">
        <f aca="false">IF($O224="","",INDEX('Auto Process'!$AH:$AH,$O224))</f>
        <v/>
      </c>
      <c r="G224" s="17" t="str">
        <f aca="false">IF($O224="","",INDEX('Auto Process'!$AI:$AI,$O224))</f>
        <v/>
      </c>
      <c r="H224" s="17" t="str">
        <f aca="false">IF($O224="","",INDEX('Auto Process'!$AJ:$AJ,$O224))</f>
        <v/>
      </c>
      <c r="I224" s="17" t="str">
        <f aca="false">IF($O224="","",INDEX('Auto Process'!$AK:$AK,$O224))</f>
        <v/>
      </c>
      <c r="J224" s="17" t="str">
        <f aca="false">IF($O224="","",INDEX('Auto Process'!$AL:$AL,$O224))</f>
        <v/>
      </c>
      <c r="K224" s="17" t="str">
        <f aca="false">IF($O224="","",INDEX('Auto Process'!$AM:$AM,$O224))</f>
        <v/>
      </c>
      <c r="L224" s="17" t="str">
        <f aca="false">IF($O224="","",INDEX('Auto Process'!$AN:$AN,$O224))</f>
        <v/>
      </c>
      <c r="M224" s="17" t="str">
        <f aca="false">IF($O224="","",INDEX('Auto Process'!$AO:$AO,$O224))</f>
        <v/>
      </c>
      <c r="O224" s="19" t="str">
        <f aca="false">IFERROR(_xlfn.AGGREGATE(15,6,ROW('Auto Process'!$D$4:$D$503)/('Auto Process'!$D$4:$D$503="Panel Details"),ROW()-1),"")</f>
        <v/>
      </c>
    </row>
    <row r="225" customFormat="false" ht="13.5" hidden="false" customHeight="true" outlineLevel="0" collapsed="false">
      <c r="A225" s="27" t="str">
        <f aca="false">IF($O225="","",INDEX('Auto Process'!$AC:$AC,$O225))</f>
        <v/>
      </c>
      <c r="B225" s="17" t="str">
        <f aca="false">IF($O225="","",INDEX('Auto Process'!$AD:$AD,$O225))</f>
        <v/>
      </c>
      <c r="C225" s="17" t="str">
        <f aca="false">IF($O225="","",INDEX('Auto Process'!$AE:$AE,$O225))</f>
        <v/>
      </c>
      <c r="D225" s="17" t="str">
        <f aca="false">IF($O225="","",INDEX('Auto Process'!$AF:$AF,$O225))</f>
        <v/>
      </c>
      <c r="E225" s="17" t="str">
        <f aca="false">IF($O225="","",INDEX('Auto Process'!$AG:$AG,$O225))</f>
        <v/>
      </c>
      <c r="F225" s="17" t="str">
        <f aca="false">IF($O225="","",INDEX('Auto Process'!$AH:$AH,$O225))</f>
        <v/>
      </c>
      <c r="G225" s="17" t="str">
        <f aca="false">IF($O225="","",INDEX('Auto Process'!$AI:$AI,$O225))</f>
        <v/>
      </c>
      <c r="H225" s="17" t="str">
        <f aca="false">IF($O225="","",INDEX('Auto Process'!$AJ:$AJ,$O225))</f>
        <v/>
      </c>
      <c r="I225" s="17" t="str">
        <f aca="false">IF($O225="","",INDEX('Auto Process'!$AK:$AK,$O225))</f>
        <v/>
      </c>
      <c r="J225" s="17" t="str">
        <f aca="false">IF($O225="","",INDEX('Auto Process'!$AL:$AL,$O225))</f>
        <v/>
      </c>
      <c r="K225" s="17" t="str">
        <f aca="false">IF($O225="","",INDEX('Auto Process'!$AM:$AM,$O225))</f>
        <v/>
      </c>
      <c r="L225" s="17" t="str">
        <f aca="false">IF($O225="","",INDEX('Auto Process'!$AN:$AN,$O225))</f>
        <v/>
      </c>
      <c r="M225" s="17" t="str">
        <f aca="false">IF($O225="","",INDEX('Auto Process'!$AO:$AO,$O225))</f>
        <v/>
      </c>
      <c r="O225" s="19" t="str">
        <f aca="false">IFERROR(_xlfn.AGGREGATE(15,6,ROW('Auto Process'!$D$4:$D$503)/('Auto Process'!$D$4:$D$503="Panel Details"),ROW()-1),"")</f>
        <v/>
      </c>
    </row>
    <row r="226" customFormat="false" ht="13.5" hidden="false" customHeight="true" outlineLevel="0" collapsed="false">
      <c r="A226" s="27" t="str">
        <f aca="false">IF($O226="","",INDEX('Auto Process'!$AC:$AC,$O226))</f>
        <v/>
      </c>
      <c r="B226" s="17" t="str">
        <f aca="false">IF($O226="","",INDEX('Auto Process'!$AD:$AD,$O226))</f>
        <v/>
      </c>
      <c r="C226" s="17" t="str">
        <f aca="false">IF($O226="","",INDEX('Auto Process'!$AE:$AE,$O226))</f>
        <v/>
      </c>
      <c r="D226" s="17" t="str">
        <f aca="false">IF($O226="","",INDEX('Auto Process'!$AF:$AF,$O226))</f>
        <v/>
      </c>
      <c r="E226" s="17" t="str">
        <f aca="false">IF($O226="","",INDEX('Auto Process'!$AG:$AG,$O226))</f>
        <v/>
      </c>
      <c r="F226" s="17" t="str">
        <f aca="false">IF($O226="","",INDEX('Auto Process'!$AH:$AH,$O226))</f>
        <v/>
      </c>
      <c r="G226" s="17" t="str">
        <f aca="false">IF($O226="","",INDEX('Auto Process'!$AI:$AI,$O226))</f>
        <v/>
      </c>
      <c r="H226" s="17" t="str">
        <f aca="false">IF($O226="","",INDEX('Auto Process'!$AJ:$AJ,$O226))</f>
        <v/>
      </c>
      <c r="I226" s="17" t="str">
        <f aca="false">IF($O226="","",INDEX('Auto Process'!$AK:$AK,$O226))</f>
        <v/>
      </c>
      <c r="J226" s="17" t="str">
        <f aca="false">IF($O226="","",INDEX('Auto Process'!$AL:$AL,$O226))</f>
        <v/>
      </c>
      <c r="K226" s="17" t="str">
        <f aca="false">IF($O226="","",INDEX('Auto Process'!$AM:$AM,$O226))</f>
        <v/>
      </c>
      <c r="L226" s="17" t="str">
        <f aca="false">IF($O226="","",INDEX('Auto Process'!$AN:$AN,$O226))</f>
        <v/>
      </c>
      <c r="M226" s="17" t="str">
        <f aca="false">IF($O226="","",INDEX('Auto Process'!$AO:$AO,$O226))</f>
        <v/>
      </c>
      <c r="O226" s="19" t="str">
        <f aca="false">IFERROR(_xlfn.AGGREGATE(15,6,ROW('Auto Process'!$D$4:$D$503)/('Auto Process'!$D$4:$D$503="Panel Details"),ROW()-1),"")</f>
        <v/>
      </c>
    </row>
    <row r="227" customFormat="false" ht="13.5" hidden="false" customHeight="true" outlineLevel="0" collapsed="false">
      <c r="A227" s="27" t="str">
        <f aca="false">IF($O227="","",INDEX('Auto Process'!$AC:$AC,$O227))</f>
        <v/>
      </c>
      <c r="B227" s="17" t="str">
        <f aca="false">IF($O227="","",INDEX('Auto Process'!$AD:$AD,$O227))</f>
        <v/>
      </c>
      <c r="C227" s="17" t="str">
        <f aca="false">IF($O227="","",INDEX('Auto Process'!$AE:$AE,$O227))</f>
        <v/>
      </c>
      <c r="D227" s="17" t="str">
        <f aca="false">IF($O227="","",INDEX('Auto Process'!$AF:$AF,$O227))</f>
        <v/>
      </c>
      <c r="E227" s="17" t="str">
        <f aca="false">IF($O227="","",INDEX('Auto Process'!$AG:$AG,$O227))</f>
        <v/>
      </c>
      <c r="F227" s="17" t="str">
        <f aca="false">IF($O227="","",INDEX('Auto Process'!$AH:$AH,$O227))</f>
        <v/>
      </c>
      <c r="G227" s="17" t="str">
        <f aca="false">IF($O227="","",INDEX('Auto Process'!$AI:$AI,$O227))</f>
        <v/>
      </c>
      <c r="H227" s="17" t="str">
        <f aca="false">IF($O227="","",INDEX('Auto Process'!$AJ:$AJ,$O227))</f>
        <v/>
      </c>
      <c r="I227" s="17" t="str">
        <f aca="false">IF($O227="","",INDEX('Auto Process'!$AK:$AK,$O227))</f>
        <v/>
      </c>
      <c r="J227" s="17" t="str">
        <f aca="false">IF($O227="","",INDEX('Auto Process'!$AL:$AL,$O227))</f>
        <v/>
      </c>
      <c r="K227" s="17" t="str">
        <f aca="false">IF($O227="","",INDEX('Auto Process'!$AM:$AM,$O227))</f>
        <v/>
      </c>
      <c r="L227" s="17" t="str">
        <f aca="false">IF($O227="","",INDEX('Auto Process'!$AN:$AN,$O227))</f>
        <v/>
      </c>
      <c r="M227" s="17" t="str">
        <f aca="false">IF($O227="","",INDEX('Auto Process'!$AO:$AO,$O227))</f>
        <v/>
      </c>
      <c r="O227" s="19" t="str">
        <f aca="false">IFERROR(_xlfn.AGGREGATE(15,6,ROW('Auto Process'!$D$4:$D$503)/('Auto Process'!$D$4:$D$503="Panel Details"),ROW()-1),"")</f>
        <v/>
      </c>
    </row>
    <row r="228" customFormat="false" ht="13.5" hidden="false" customHeight="true" outlineLevel="0" collapsed="false">
      <c r="A228" s="27" t="str">
        <f aca="false">IF($O228="","",INDEX('Auto Process'!$AC:$AC,$O228))</f>
        <v/>
      </c>
      <c r="B228" s="17" t="str">
        <f aca="false">IF($O228="","",INDEX('Auto Process'!$AD:$AD,$O228))</f>
        <v/>
      </c>
      <c r="C228" s="17" t="str">
        <f aca="false">IF($O228="","",INDEX('Auto Process'!$AE:$AE,$O228))</f>
        <v/>
      </c>
      <c r="D228" s="17" t="str">
        <f aca="false">IF($O228="","",INDEX('Auto Process'!$AF:$AF,$O228))</f>
        <v/>
      </c>
      <c r="E228" s="17" t="str">
        <f aca="false">IF($O228="","",INDEX('Auto Process'!$AG:$AG,$O228))</f>
        <v/>
      </c>
      <c r="F228" s="17" t="str">
        <f aca="false">IF($O228="","",INDEX('Auto Process'!$AH:$AH,$O228))</f>
        <v/>
      </c>
      <c r="G228" s="17" t="str">
        <f aca="false">IF($O228="","",INDEX('Auto Process'!$AI:$AI,$O228))</f>
        <v/>
      </c>
      <c r="H228" s="17" t="str">
        <f aca="false">IF($O228="","",INDEX('Auto Process'!$AJ:$AJ,$O228))</f>
        <v/>
      </c>
      <c r="I228" s="17" t="str">
        <f aca="false">IF($O228="","",INDEX('Auto Process'!$AK:$AK,$O228))</f>
        <v/>
      </c>
      <c r="J228" s="17" t="str">
        <f aca="false">IF($O228="","",INDEX('Auto Process'!$AL:$AL,$O228))</f>
        <v/>
      </c>
      <c r="K228" s="17" t="str">
        <f aca="false">IF($O228="","",INDEX('Auto Process'!$AM:$AM,$O228))</f>
        <v/>
      </c>
      <c r="L228" s="17" t="str">
        <f aca="false">IF($O228="","",INDEX('Auto Process'!$AN:$AN,$O228))</f>
        <v/>
      </c>
      <c r="M228" s="17" t="str">
        <f aca="false">IF($O228="","",INDEX('Auto Process'!$AO:$AO,$O228))</f>
        <v/>
      </c>
      <c r="O228" s="19" t="str">
        <f aca="false">IFERROR(_xlfn.AGGREGATE(15,6,ROW('Auto Process'!$D$4:$D$503)/('Auto Process'!$D$4:$D$503="Panel Details"),ROW()-1),"")</f>
        <v/>
      </c>
    </row>
    <row r="229" customFormat="false" ht="13.5" hidden="false" customHeight="true" outlineLevel="0" collapsed="false">
      <c r="A229" s="27" t="str">
        <f aca="false">IF($O229="","",INDEX('Auto Process'!$AC:$AC,$O229))</f>
        <v/>
      </c>
      <c r="B229" s="17" t="str">
        <f aca="false">IF($O229="","",INDEX('Auto Process'!$AD:$AD,$O229))</f>
        <v/>
      </c>
      <c r="C229" s="17" t="str">
        <f aca="false">IF($O229="","",INDEX('Auto Process'!$AE:$AE,$O229))</f>
        <v/>
      </c>
      <c r="D229" s="17" t="str">
        <f aca="false">IF($O229="","",INDEX('Auto Process'!$AF:$AF,$O229))</f>
        <v/>
      </c>
      <c r="E229" s="17" t="str">
        <f aca="false">IF($O229="","",INDEX('Auto Process'!$AG:$AG,$O229))</f>
        <v/>
      </c>
      <c r="F229" s="17" t="str">
        <f aca="false">IF($O229="","",INDEX('Auto Process'!$AH:$AH,$O229))</f>
        <v/>
      </c>
      <c r="G229" s="17" t="str">
        <f aca="false">IF($O229="","",INDEX('Auto Process'!$AI:$AI,$O229))</f>
        <v/>
      </c>
      <c r="H229" s="17" t="str">
        <f aca="false">IF($O229="","",INDEX('Auto Process'!$AJ:$AJ,$O229))</f>
        <v/>
      </c>
      <c r="I229" s="17" t="str">
        <f aca="false">IF($O229="","",INDEX('Auto Process'!$AK:$AK,$O229))</f>
        <v/>
      </c>
      <c r="J229" s="17" t="str">
        <f aca="false">IF($O229="","",INDEX('Auto Process'!$AL:$AL,$O229))</f>
        <v/>
      </c>
      <c r="K229" s="17" t="str">
        <f aca="false">IF($O229="","",INDEX('Auto Process'!$AM:$AM,$O229))</f>
        <v/>
      </c>
      <c r="L229" s="17" t="str">
        <f aca="false">IF($O229="","",INDEX('Auto Process'!$AN:$AN,$O229))</f>
        <v/>
      </c>
      <c r="M229" s="17" t="str">
        <f aca="false">IF($O229="","",INDEX('Auto Process'!$AO:$AO,$O229))</f>
        <v/>
      </c>
      <c r="O229" s="19" t="str">
        <f aca="false">IFERROR(_xlfn.AGGREGATE(15,6,ROW('Auto Process'!$D$4:$D$503)/('Auto Process'!$D$4:$D$503="Panel Details"),ROW()-1),"")</f>
        <v/>
      </c>
    </row>
    <row r="230" customFormat="false" ht="13.5" hidden="false" customHeight="true" outlineLevel="0" collapsed="false">
      <c r="A230" s="27" t="str">
        <f aca="false">IF($O230="","",INDEX('Auto Process'!$AC:$AC,$O230))</f>
        <v/>
      </c>
      <c r="B230" s="17" t="str">
        <f aca="false">IF($O230="","",INDEX('Auto Process'!$AD:$AD,$O230))</f>
        <v/>
      </c>
      <c r="C230" s="17" t="str">
        <f aca="false">IF($O230="","",INDEX('Auto Process'!$AE:$AE,$O230))</f>
        <v/>
      </c>
      <c r="D230" s="17" t="str">
        <f aca="false">IF($O230="","",INDEX('Auto Process'!$AF:$AF,$O230))</f>
        <v/>
      </c>
      <c r="E230" s="17" t="str">
        <f aca="false">IF($O230="","",INDEX('Auto Process'!$AG:$AG,$O230))</f>
        <v/>
      </c>
      <c r="F230" s="17" t="str">
        <f aca="false">IF($O230="","",INDEX('Auto Process'!$AH:$AH,$O230))</f>
        <v/>
      </c>
      <c r="G230" s="17" t="str">
        <f aca="false">IF($O230="","",INDEX('Auto Process'!$AI:$AI,$O230))</f>
        <v/>
      </c>
      <c r="H230" s="17" t="str">
        <f aca="false">IF($O230="","",INDEX('Auto Process'!$AJ:$AJ,$O230))</f>
        <v/>
      </c>
      <c r="I230" s="17" t="str">
        <f aca="false">IF($O230="","",INDEX('Auto Process'!$AK:$AK,$O230))</f>
        <v/>
      </c>
      <c r="J230" s="17" t="str">
        <f aca="false">IF($O230="","",INDEX('Auto Process'!$AL:$AL,$O230))</f>
        <v/>
      </c>
      <c r="K230" s="17" t="str">
        <f aca="false">IF($O230="","",INDEX('Auto Process'!$AM:$AM,$O230))</f>
        <v/>
      </c>
      <c r="L230" s="17" t="str">
        <f aca="false">IF($O230="","",INDEX('Auto Process'!$AN:$AN,$O230))</f>
        <v/>
      </c>
      <c r="M230" s="17" t="str">
        <f aca="false">IF($O230="","",INDEX('Auto Process'!$AO:$AO,$O230))</f>
        <v/>
      </c>
      <c r="O230" s="19" t="str">
        <f aca="false">IFERROR(_xlfn.AGGREGATE(15,6,ROW('Auto Process'!$D$4:$D$503)/('Auto Process'!$D$4:$D$503="Panel Details"),ROW()-1),"")</f>
        <v/>
      </c>
    </row>
    <row r="231" customFormat="false" ht="13.5" hidden="false" customHeight="true" outlineLevel="0" collapsed="false">
      <c r="A231" s="27" t="str">
        <f aca="false">IF($O231="","",INDEX('Auto Process'!$AC:$AC,$O231))</f>
        <v/>
      </c>
      <c r="B231" s="17" t="str">
        <f aca="false">IF($O231="","",INDEX('Auto Process'!$AD:$AD,$O231))</f>
        <v/>
      </c>
      <c r="C231" s="17" t="str">
        <f aca="false">IF($O231="","",INDEX('Auto Process'!$AE:$AE,$O231))</f>
        <v/>
      </c>
      <c r="D231" s="17" t="str">
        <f aca="false">IF($O231="","",INDEX('Auto Process'!$AF:$AF,$O231))</f>
        <v/>
      </c>
      <c r="E231" s="17" t="str">
        <f aca="false">IF($O231="","",INDEX('Auto Process'!$AG:$AG,$O231))</f>
        <v/>
      </c>
      <c r="F231" s="17" t="str">
        <f aca="false">IF($O231="","",INDEX('Auto Process'!$AH:$AH,$O231))</f>
        <v/>
      </c>
      <c r="G231" s="17" t="str">
        <f aca="false">IF($O231="","",INDEX('Auto Process'!$AI:$AI,$O231))</f>
        <v/>
      </c>
      <c r="H231" s="17" t="str">
        <f aca="false">IF($O231="","",INDEX('Auto Process'!$AJ:$AJ,$O231))</f>
        <v/>
      </c>
      <c r="I231" s="17" t="str">
        <f aca="false">IF($O231="","",INDEX('Auto Process'!$AK:$AK,$O231))</f>
        <v/>
      </c>
      <c r="J231" s="17" t="str">
        <f aca="false">IF($O231="","",INDEX('Auto Process'!$AL:$AL,$O231))</f>
        <v/>
      </c>
      <c r="K231" s="17" t="str">
        <f aca="false">IF($O231="","",INDEX('Auto Process'!$AM:$AM,$O231))</f>
        <v/>
      </c>
      <c r="L231" s="17" t="str">
        <f aca="false">IF($O231="","",INDEX('Auto Process'!$AN:$AN,$O231))</f>
        <v/>
      </c>
      <c r="M231" s="17" t="str">
        <f aca="false">IF($O231="","",INDEX('Auto Process'!$AO:$AO,$O231))</f>
        <v/>
      </c>
      <c r="O231" s="19" t="str">
        <f aca="false">IFERROR(_xlfn.AGGREGATE(15,6,ROW('Auto Process'!$D$4:$D$503)/('Auto Process'!$D$4:$D$503="Panel Details"),ROW()-1),"")</f>
        <v/>
      </c>
    </row>
    <row r="232" customFormat="false" ht="13.5" hidden="false" customHeight="true" outlineLevel="0" collapsed="false">
      <c r="A232" s="27" t="str">
        <f aca="false">IF($O232="","",INDEX('Auto Process'!$AC:$AC,$O232))</f>
        <v/>
      </c>
      <c r="B232" s="17" t="str">
        <f aca="false">IF($O232="","",INDEX('Auto Process'!$AD:$AD,$O232))</f>
        <v/>
      </c>
      <c r="C232" s="17" t="str">
        <f aca="false">IF($O232="","",INDEX('Auto Process'!$AE:$AE,$O232))</f>
        <v/>
      </c>
      <c r="D232" s="17" t="str">
        <f aca="false">IF($O232="","",INDEX('Auto Process'!$AF:$AF,$O232))</f>
        <v/>
      </c>
      <c r="E232" s="17" t="str">
        <f aca="false">IF($O232="","",INDEX('Auto Process'!$AG:$AG,$O232))</f>
        <v/>
      </c>
      <c r="F232" s="17" t="str">
        <f aca="false">IF($O232="","",INDEX('Auto Process'!$AH:$AH,$O232))</f>
        <v/>
      </c>
      <c r="G232" s="17" t="str">
        <f aca="false">IF($O232="","",INDEX('Auto Process'!$AI:$AI,$O232))</f>
        <v/>
      </c>
      <c r="H232" s="17" t="str">
        <f aca="false">IF($O232="","",INDEX('Auto Process'!$AJ:$AJ,$O232))</f>
        <v/>
      </c>
      <c r="I232" s="17" t="str">
        <f aca="false">IF($O232="","",INDEX('Auto Process'!$AK:$AK,$O232))</f>
        <v/>
      </c>
      <c r="J232" s="17" t="str">
        <f aca="false">IF($O232="","",INDEX('Auto Process'!$AL:$AL,$O232))</f>
        <v/>
      </c>
      <c r="K232" s="17" t="str">
        <f aca="false">IF($O232="","",INDEX('Auto Process'!$AM:$AM,$O232))</f>
        <v/>
      </c>
      <c r="L232" s="17" t="str">
        <f aca="false">IF($O232="","",INDEX('Auto Process'!$AN:$AN,$O232))</f>
        <v/>
      </c>
      <c r="M232" s="17" t="str">
        <f aca="false">IF($O232="","",INDEX('Auto Process'!$AO:$AO,$O232))</f>
        <v/>
      </c>
      <c r="O232" s="19" t="str">
        <f aca="false">IFERROR(_xlfn.AGGREGATE(15,6,ROW('Auto Process'!$D$4:$D$503)/('Auto Process'!$D$4:$D$503="Panel Details"),ROW()-1),"")</f>
        <v/>
      </c>
    </row>
    <row r="233" customFormat="false" ht="13.5" hidden="false" customHeight="true" outlineLevel="0" collapsed="false">
      <c r="A233" s="27" t="str">
        <f aca="false">IF($O233="","",INDEX('Auto Process'!$AC:$AC,$O233))</f>
        <v/>
      </c>
      <c r="B233" s="17" t="str">
        <f aca="false">IF($O233="","",INDEX('Auto Process'!$AD:$AD,$O233))</f>
        <v/>
      </c>
      <c r="C233" s="17" t="str">
        <f aca="false">IF($O233="","",INDEX('Auto Process'!$AE:$AE,$O233))</f>
        <v/>
      </c>
      <c r="D233" s="17" t="str">
        <f aca="false">IF($O233="","",INDEX('Auto Process'!$AF:$AF,$O233))</f>
        <v/>
      </c>
      <c r="E233" s="17" t="str">
        <f aca="false">IF($O233="","",INDEX('Auto Process'!$AG:$AG,$O233))</f>
        <v/>
      </c>
      <c r="F233" s="17" t="str">
        <f aca="false">IF($O233="","",INDEX('Auto Process'!$AH:$AH,$O233))</f>
        <v/>
      </c>
      <c r="G233" s="17" t="str">
        <f aca="false">IF($O233="","",INDEX('Auto Process'!$AI:$AI,$O233))</f>
        <v/>
      </c>
      <c r="H233" s="17" t="str">
        <f aca="false">IF($O233="","",INDEX('Auto Process'!$AJ:$AJ,$O233))</f>
        <v/>
      </c>
      <c r="I233" s="17" t="str">
        <f aca="false">IF($O233="","",INDEX('Auto Process'!$AK:$AK,$O233))</f>
        <v/>
      </c>
      <c r="J233" s="17" t="str">
        <f aca="false">IF($O233="","",INDEX('Auto Process'!$AL:$AL,$O233))</f>
        <v/>
      </c>
      <c r="K233" s="17" t="str">
        <f aca="false">IF($O233="","",INDEX('Auto Process'!$AM:$AM,$O233))</f>
        <v/>
      </c>
      <c r="L233" s="17" t="str">
        <f aca="false">IF($O233="","",INDEX('Auto Process'!$AN:$AN,$O233))</f>
        <v/>
      </c>
      <c r="M233" s="17" t="str">
        <f aca="false">IF($O233="","",INDEX('Auto Process'!$AO:$AO,$O233))</f>
        <v/>
      </c>
      <c r="O233" s="19" t="str">
        <f aca="false">IFERROR(_xlfn.AGGREGATE(15,6,ROW('Auto Process'!$D$4:$D$503)/('Auto Process'!$D$4:$D$503="Panel Details"),ROW()-1),"")</f>
        <v/>
      </c>
    </row>
    <row r="234" customFormat="false" ht="13.5" hidden="false" customHeight="true" outlineLevel="0" collapsed="false">
      <c r="A234" s="27" t="str">
        <f aca="false">IF($O234="","",INDEX('Auto Process'!$AC:$AC,$O234))</f>
        <v/>
      </c>
      <c r="B234" s="17" t="str">
        <f aca="false">IF($O234="","",INDEX('Auto Process'!$AD:$AD,$O234))</f>
        <v/>
      </c>
      <c r="C234" s="17" t="str">
        <f aca="false">IF($O234="","",INDEX('Auto Process'!$AE:$AE,$O234))</f>
        <v/>
      </c>
      <c r="D234" s="17" t="str">
        <f aca="false">IF($O234="","",INDEX('Auto Process'!$AF:$AF,$O234))</f>
        <v/>
      </c>
      <c r="E234" s="17" t="str">
        <f aca="false">IF($O234="","",INDEX('Auto Process'!$AG:$AG,$O234))</f>
        <v/>
      </c>
      <c r="F234" s="17" t="str">
        <f aca="false">IF($O234="","",INDEX('Auto Process'!$AH:$AH,$O234))</f>
        <v/>
      </c>
      <c r="G234" s="17" t="str">
        <f aca="false">IF($O234="","",INDEX('Auto Process'!$AI:$AI,$O234))</f>
        <v/>
      </c>
      <c r="H234" s="17" t="str">
        <f aca="false">IF($O234="","",INDEX('Auto Process'!$AJ:$AJ,$O234))</f>
        <v/>
      </c>
      <c r="I234" s="17" t="str">
        <f aca="false">IF($O234="","",INDEX('Auto Process'!$AK:$AK,$O234))</f>
        <v/>
      </c>
      <c r="J234" s="17" t="str">
        <f aca="false">IF($O234="","",INDEX('Auto Process'!$AL:$AL,$O234))</f>
        <v/>
      </c>
      <c r="K234" s="17" t="str">
        <f aca="false">IF($O234="","",INDEX('Auto Process'!$AM:$AM,$O234))</f>
        <v/>
      </c>
      <c r="L234" s="17" t="str">
        <f aca="false">IF($O234="","",INDEX('Auto Process'!$AN:$AN,$O234))</f>
        <v/>
      </c>
      <c r="M234" s="17" t="str">
        <f aca="false">IF($O234="","",INDEX('Auto Process'!$AO:$AO,$O234))</f>
        <v/>
      </c>
      <c r="O234" s="19" t="str">
        <f aca="false">IFERROR(_xlfn.AGGREGATE(15,6,ROW('Auto Process'!$D$4:$D$503)/('Auto Process'!$D$4:$D$503="Panel Details"),ROW()-1),"")</f>
        <v/>
      </c>
    </row>
    <row r="235" customFormat="false" ht="13.5" hidden="false" customHeight="true" outlineLevel="0" collapsed="false">
      <c r="A235" s="27" t="str">
        <f aca="false">IF($O235="","",INDEX('Auto Process'!$AC:$AC,$O235))</f>
        <v/>
      </c>
      <c r="B235" s="17" t="str">
        <f aca="false">IF($O235="","",INDEX('Auto Process'!$AD:$AD,$O235))</f>
        <v/>
      </c>
      <c r="C235" s="17" t="str">
        <f aca="false">IF($O235="","",INDEX('Auto Process'!$AE:$AE,$O235))</f>
        <v/>
      </c>
      <c r="D235" s="17" t="str">
        <f aca="false">IF($O235="","",INDEX('Auto Process'!$AF:$AF,$O235))</f>
        <v/>
      </c>
      <c r="E235" s="17" t="str">
        <f aca="false">IF($O235="","",INDEX('Auto Process'!$AG:$AG,$O235))</f>
        <v/>
      </c>
      <c r="F235" s="17" t="str">
        <f aca="false">IF($O235="","",INDEX('Auto Process'!$AH:$AH,$O235))</f>
        <v/>
      </c>
      <c r="G235" s="17" t="str">
        <f aca="false">IF($O235="","",INDEX('Auto Process'!$AI:$AI,$O235))</f>
        <v/>
      </c>
      <c r="H235" s="17" t="str">
        <f aca="false">IF($O235="","",INDEX('Auto Process'!$AJ:$AJ,$O235))</f>
        <v/>
      </c>
      <c r="I235" s="17" t="str">
        <f aca="false">IF($O235="","",INDEX('Auto Process'!$AK:$AK,$O235))</f>
        <v/>
      </c>
      <c r="J235" s="17" t="str">
        <f aca="false">IF($O235="","",INDEX('Auto Process'!$AL:$AL,$O235))</f>
        <v/>
      </c>
      <c r="K235" s="17" t="str">
        <f aca="false">IF($O235="","",INDEX('Auto Process'!$AM:$AM,$O235))</f>
        <v/>
      </c>
      <c r="L235" s="17" t="str">
        <f aca="false">IF($O235="","",INDEX('Auto Process'!$AN:$AN,$O235))</f>
        <v/>
      </c>
      <c r="M235" s="17" t="str">
        <f aca="false">IF($O235="","",INDEX('Auto Process'!$AO:$AO,$O235))</f>
        <v/>
      </c>
      <c r="O235" s="19" t="str">
        <f aca="false">IFERROR(_xlfn.AGGREGATE(15,6,ROW('Auto Process'!$D$4:$D$503)/('Auto Process'!$D$4:$D$503="Panel Details"),ROW()-1),"")</f>
        <v/>
      </c>
    </row>
    <row r="236" customFormat="false" ht="13.5" hidden="false" customHeight="true" outlineLevel="0" collapsed="false">
      <c r="A236" s="27" t="str">
        <f aca="false">IF($O236="","",INDEX('Auto Process'!$AC:$AC,$O236))</f>
        <v/>
      </c>
      <c r="B236" s="17" t="str">
        <f aca="false">IF($O236="","",INDEX('Auto Process'!$AD:$AD,$O236))</f>
        <v/>
      </c>
      <c r="C236" s="17" t="str">
        <f aca="false">IF($O236="","",INDEX('Auto Process'!$AE:$AE,$O236))</f>
        <v/>
      </c>
      <c r="D236" s="17" t="str">
        <f aca="false">IF($O236="","",INDEX('Auto Process'!$AF:$AF,$O236))</f>
        <v/>
      </c>
      <c r="E236" s="17" t="str">
        <f aca="false">IF($O236="","",INDEX('Auto Process'!$AG:$AG,$O236))</f>
        <v/>
      </c>
      <c r="F236" s="17" t="str">
        <f aca="false">IF($O236="","",INDEX('Auto Process'!$AH:$AH,$O236))</f>
        <v/>
      </c>
      <c r="G236" s="17" t="str">
        <f aca="false">IF($O236="","",INDEX('Auto Process'!$AI:$AI,$O236))</f>
        <v/>
      </c>
      <c r="H236" s="17" t="str">
        <f aca="false">IF($O236="","",INDEX('Auto Process'!$AJ:$AJ,$O236))</f>
        <v/>
      </c>
      <c r="I236" s="17" t="str">
        <f aca="false">IF($O236="","",INDEX('Auto Process'!$AK:$AK,$O236))</f>
        <v/>
      </c>
      <c r="J236" s="17" t="str">
        <f aca="false">IF($O236="","",INDEX('Auto Process'!$AL:$AL,$O236))</f>
        <v/>
      </c>
      <c r="K236" s="17" t="str">
        <f aca="false">IF($O236="","",INDEX('Auto Process'!$AM:$AM,$O236))</f>
        <v/>
      </c>
      <c r="L236" s="17" t="str">
        <f aca="false">IF($O236="","",INDEX('Auto Process'!$AN:$AN,$O236))</f>
        <v/>
      </c>
      <c r="M236" s="17" t="str">
        <f aca="false">IF($O236="","",INDEX('Auto Process'!$AO:$AO,$O236))</f>
        <v/>
      </c>
      <c r="O236" s="19" t="str">
        <f aca="false">IFERROR(_xlfn.AGGREGATE(15,6,ROW('Auto Process'!$D$4:$D$503)/('Auto Process'!$D$4:$D$503="Panel Details"),ROW()-1),"")</f>
        <v/>
      </c>
    </row>
    <row r="237" customFormat="false" ht="13.5" hidden="false" customHeight="true" outlineLevel="0" collapsed="false">
      <c r="A237" s="27" t="str">
        <f aca="false">IF($O237="","",INDEX('Auto Process'!$AC:$AC,$O237))</f>
        <v/>
      </c>
      <c r="B237" s="17" t="str">
        <f aca="false">IF($O237="","",INDEX('Auto Process'!$AD:$AD,$O237))</f>
        <v/>
      </c>
      <c r="C237" s="17" t="str">
        <f aca="false">IF($O237="","",INDEX('Auto Process'!$AE:$AE,$O237))</f>
        <v/>
      </c>
      <c r="D237" s="17" t="str">
        <f aca="false">IF($O237="","",INDEX('Auto Process'!$AF:$AF,$O237))</f>
        <v/>
      </c>
      <c r="E237" s="17" t="str">
        <f aca="false">IF($O237="","",INDEX('Auto Process'!$AG:$AG,$O237))</f>
        <v/>
      </c>
      <c r="F237" s="17" t="str">
        <f aca="false">IF($O237="","",INDEX('Auto Process'!$AH:$AH,$O237))</f>
        <v/>
      </c>
      <c r="G237" s="17" t="str">
        <f aca="false">IF($O237="","",INDEX('Auto Process'!$AI:$AI,$O237))</f>
        <v/>
      </c>
      <c r="H237" s="17" t="str">
        <f aca="false">IF($O237="","",INDEX('Auto Process'!$AJ:$AJ,$O237))</f>
        <v/>
      </c>
      <c r="I237" s="17" t="str">
        <f aca="false">IF($O237="","",INDEX('Auto Process'!$AK:$AK,$O237))</f>
        <v/>
      </c>
      <c r="J237" s="17" t="str">
        <f aca="false">IF($O237="","",INDEX('Auto Process'!$AL:$AL,$O237))</f>
        <v/>
      </c>
      <c r="K237" s="17" t="str">
        <f aca="false">IF($O237="","",INDEX('Auto Process'!$AM:$AM,$O237))</f>
        <v/>
      </c>
      <c r="L237" s="17" t="str">
        <f aca="false">IF($O237="","",INDEX('Auto Process'!$AN:$AN,$O237))</f>
        <v/>
      </c>
      <c r="M237" s="17" t="str">
        <f aca="false">IF($O237="","",INDEX('Auto Process'!$AO:$AO,$O237))</f>
        <v/>
      </c>
      <c r="O237" s="19" t="str">
        <f aca="false">IFERROR(_xlfn.AGGREGATE(15,6,ROW('Auto Process'!$D$4:$D$503)/('Auto Process'!$D$4:$D$503="Panel Details"),ROW()-1),"")</f>
        <v/>
      </c>
    </row>
    <row r="238" customFormat="false" ht="13.5" hidden="false" customHeight="true" outlineLevel="0" collapsed="false">
      <c r="A238" s="27" t="str">
        <f aca="false">IF($O238="","",INDEX('Auto Process'!$AC:$AC,$O238))</f>
        <v/>
      </c>
      <c r="B238" s="17" t="str">
        <f aca="false">IF($O238="","",INDEX('Auto Process'!$AD:$AD,$O238))</f>
        <v/>
      </c>
      <c r="C238" s="17" t="str">
        <f aca="false">IF($O238="","",INDEX('Auto Process'!$AE:$AE,$O238))</f>
        <v/>
      </c>
      <c r="D238" s="17" t="str">
        <f aca="false">IF($O238="","",INDEX('Auto Process'!$AF:$AF,$O238))</f>
        <v/>
      </c>
      <c r="E238" s="17" t="str">
        <f aca="false">IF($O238="","",INDEX('Auto Process'!$AG:$AG,$O238))</f>
        <v/>
      </c>
      <c r="F238" s="17" t="str">
        <f aca="false">IF($O238="","",INDEX('Auto Process'!$AH:$AH,$O238))</f>
        <v/>
      </c>
      <c r="G238" s="17" t="str">
        <f aca="false">IF($O238="","",INDEX('Auto Process'!$AI:$AI,$O238))</f>
        <v/>
      </c>
      <c r="H238" s="17" t="str">
        <f aca="false">IF($O238="","",INDEX('Auto Process'!$AJ:$AJ,$O238))</f>
        <v/>
      </c>
      <c r="I238" s="17" t="str">
        <f aca="false">IF($O238="","",INDEX('Auto Process'!$AK:$AK,$O238))</f>
        <v/>
      </c>
      <c r="J238" s="17" t="str">
        <f aca="false">IF($O238="","",INDEX('Auto Process'!$AL:$AL,$O238))</f>
        <v/>
      </c>
      <c r="K238" s="17" t="str">
        <f aca="false">IF($O238="","",INDEX('Auto Process'!$AM:$AM,$O238))</f>
        <v/>
      </c>
      <c r="L238" s="17" t="str">
        <f aca="false">IF($O238="","",INDEX('Auto Process'!$AN:$AN,$O238))</f>
        <v/>
      </c>
      <c r="M238" s="17" t="str">
        <f aca="false">IF($O238="","",INDEX('Auto Process'!$AO:$AO,$O238))</f>
        <v/>
      </c>
      <c r="O238" s="19" t="str">
        <f aca="false">IFERROR(_xlfn.AGGREGATE(15,6,ROW('Auto Process'!$D$4:$D$503)/('Auto Process'!$D$4:$D$503="Panel Details"),ROW()-1),"")</f>
        <v/>
      </c>
    </row>
    <row r="239" customFormat="false" ht="13.5" hidden="false" customHeight="true" outlineLevel="0" collapsed="false">
      <c r="A239" s="27" t="str">
        <f aca="false">IF($O239="","",INDEX('Auto Process'!$AC:$AC,$O239))</f>
        <v/>
      </c>
      <c r="B239" s="17" t="str">
        <f aca="false">IF($O239="","",INDEX('Auto Process'!$AD:$AD,$O239))</f>
        <v/>
      </c>
      <c r="C239" s="17" t="str">
        <f aca="false">IF($O239="","",INDEX('Auto Process'!$AE:$AE,$O239))</f>
        <v/>
      </c>
      <c r="D239" s="17" t="str">
        <f aca="false">IF($O239="","",INDEX('Auto Process'!$AF:$AF,$O239))</f>
        <v/>
      </c>
      <c r="E239" s="17" t="str">
        <f aca="false">IF($O239="","",INDEX('Auto Process'!$AG:$AG,$O239))</f>
        <v/>
      </c>
      <c r="F239" s="17" t="str">
        <f aca="false">IF($O239="","",INDEX('Auto Process'!$AH:$AH,$O239))</f>
        <v/>
      </c>
      <c r="G239" s="17" t="str">
        <f aca="false">IF($O239="","",INDEX('Auto Process'!$AI:$AI,$O239))</f>
        <v/>
      </c>
      <c r="H239" s="17" t="str">
        <f aca="false">IF($O239="","",INDEX('Auto Process'!$AJ:$AJ,$O239))</f>
        <v/>
      </c>
      <c r="I239" s="17" t="str">
        <f aca="false">IF($O239="","",INDEX('Auto Process'!$AK:$AK,$O239))</f>
        <v/>
      </c>
      <c r="J239" s="17" t="str">
        <f aca="false">IF($O239="","",INDEX('Auto Process'!$AL:$AL,$O239))</f>
        <v/>
      </c>
      <c r="K239" s="17" t="str">
        <f aca="false">IF($O239="","",INDEX('Auto Process'!$AM:$AM,$O239))</f>
        <v/>
      </c>
      <c r="L239" s="17" t="str">
        <f aca="false">IF($O239="","",INDEX('Auto Process'!$AN:$AN,$O239))</f>
        <v/>
      </c>
      <c r="M239" s="17" t="str">
        <f aca="false">IF($O239="","",INDEX('Auto Process'!$AO:$AO,$O239))</f>
        <v/>
      </c>
      <c r="O239" s="19" t="str">
        <f aca="false">IFERROR(_xlfn.AGGREGATE(15,6,ROW('Auto Process'!$D$4:$D$503)/('Auto Process'!$D$4:$D$503="Panel Details"),ROW()-1),"")</f>
        <v/>
      </c>
    </row>
    <row r="240" customFormat="false" ht="13.5" hidden="false" customHeight="true" outlineLevel="0" collapsed="false">
      <c r="A240" s="27" t="str">
        <f aca="false">IF($O240="","",INDEX('Auto Process'!$AC:$AC,$O240))</f>
        <v/>
      </c>
      <c r="B240" s="17" t="str">
        <f aca="false">IF($O240="","",INDEX('Auto Process'!$AD:$AD,$O240))</f>
        <v/>
      </c>
      <c r="C240" s="17" t="str">
        <f aca="false">IF($O240="","",INDEX('Auto Process'!$AE:$AE,$O240))</f>
        <v/>
      </c>
      <c r="D240" s="17" t="str">
        <f aca="false">IF($O240="","",INDEX('Auto Process'!$AF:$AF,$O240))</f>
        <v/>
      </c>
      <c r="E240" s="17" t="str">
        <f aca="false">IF($O240="","",INDEX('Auto Process'!$AG:$AG,$O240))</f>
        <v/>
      </c>
      <c r="F240" s="17" t="str">
        <f aca="false">IF($O240="","",INDEX('Auto Process'!$AH:$AH,$O240))</f>
        <v/>
      </c>
      <c r="G240" s="17" t="str">
        <f aca="false">IF($O240="","",INDEX('Auto Process'!$AI:$AI,$O240))</f>
        <v/>
      </c>
      <c r="H240" s="17" t="str">
        <f aca="false">IF($O240="","",INDEX('Auto Process'!$AJ:$AJ,$O240))</f>
        <v/>
      </c>
      <c r="I240" s="17" t="str">
        <f aca="false">IF($O240="","",INDEX('Auto Process'!$AK:$AK,$O240))</f>
        <v/>
      </c>
      <c r="J240" s="17" t="str">
        <f aca="false">IF($O240="","",INDEX('Auto Process'!$AL:$AL,$O240))</f>
        <v/>
      </c>
      <c r="K240" s="17" t="str">
        <f aca="false">IF($O240="","",INDEX('Auto Process'!$AM:$AM,$O240))</f>
        <v/>
      </c>
      <c r="L240" s="17" t="str">
        <f aca="false">IF($O240="","",INDEX('Auto Process'!$AN:$AN,$O240))</f>
        <v/>
      </c>
      <c r="M240" s="17" t="str">
        <f aca="false">IF($O240="","",INDEX('Auto Process'!$AO:$AO,$O240))</f>
        <v/>
      </c>
      <c r="O240" s="19" t="str">
        <f aca="false">IFERROR(_xlfn.AGGREGATE(15,6,ROW('Auto Process'!$D$4:$D$503)/('Auto Process'!$D$4:$D$503="Panel Details"),ROW()-1),"")</f>
        <v/>
      </c>
    </row>
    <row r="241" customFormat="false" ht="13.5" hidden="false" customHeight="true" outlineLevel="0" collapsed="false">
      <c r="A241" s="27" t="str">
        <f aca="false">IF($O241="","",INDEX('Auto Process'!$AC:$AC,$O241))</f>
        <v/>
      </c>
      <c r="B241" s="17" t="str">
        <f aca="false">IF($O241="","",INDEX('Auto Process'!$AD:$AD,$O241))</f>
        <v/>
      </c>
      <c r="C241" s="17" t="str">
        <f aca="false">IF($O241="","",INDEX('Auto Process'!$AE:$AE,$O241))</f>
        <v/>
      </c>
      <c r="D241" s="17" t="str">
        <f aca="false">IF($O241="","",INDEX('Auto Process'!$AF:$AF,$O241))</f>
        <v/>
      </c>
      <c r="E241" s="17" t="str">
        <f aca="false">IF($O241="","",INDEX('Auto Process'!$AG:$AG,$O241))</f>
        <v/>
      </c>
      <c r="F241" s="17" t="str">
        <f aca="false">IF($O241="","",INDEX('Auto Process'!$AH:$AH,$O241))</f>
        <v/>
      </c>
      <c r="G241" s="17" t="str">
        <f aca="false">IF($O241="","",INDEX('Auto Process'!$AI:$AI,$O241))</f>
        <v/>
      </c>
      <c r="H241" s="17" t="str">
        <f aca="false">IF($O241="","",INDEX('Auto Process'!$AJ:$AJ,$O241))</f>
        <v/>
      </c>
      <c r="I241" s="17" t="str">
        <f aca="false">IF($O241="","",INDEX('Auto Process'!$AK:$AK,$O241))</f>
        <v/>
      </c>
      <c r="J241" s="17" t="str">
        <f aca="false">IF($O241="","",INDEX('Auto Process'!$AL:$AL,$O241))</f>
        <v/>
      </c>
      <c r="K241" s="17" t="str">
        <f aca="false">IF($O241="","",INDEX('Auto Process'!$AM:$AM,$O241))</f>
        <v/>
      </c>
      <c r="L241" s="17" t="str">
        <f aca="false">IF($O241="","",INDEX('Auto Process'!$AN:$AN,$O241))</f>
        <v/>
      </c>
      <c r="M241" s="17" t="str">
        <f aca="false">IF($O241="","",INDEX('Auto Process'!$AO:$AO,$O241))</f>
        <v/>
      </c>
      <c r="O241" s="19" t="str">
        <f aca="false">IFERROR(_xlfn.AGGREGATE(15,6,ROW('Auto Process'!$D$4:$D$503)/('Auto Process'!$D$4:$D$503="Panel Details"),ROW()-1),"")</f>
        <v/>
      </c>
    </row>
    <row r="242" customFormat="false" ht="13.5" hidden="false" customHeight="true" outlineLevel="0" collapsed="false">
      <c r="A242" s="27" t="str">
        <f aca="false">IF($O242="","",INDEX('Auto Process'!$AC:$AC,$O242))</f>
        <v/>
      </c>
      <c r="B242" s="17" t="str">
        <f aca="false">IF($O242="","",INDEX('Auto Process'!$AD:$AD,$O242))</f>
        <v/>
      </c>
      <c r="C242" s="17" t="str">
        <f aca="false">IF($O242="","",INDEX('Auto Process'!$AE:$AE,$O242))</f>
        <v/>
      </c>
      <c r="D242" s="17" t="str">
        <f aca="false">IF($O242="","",INDEX('Auto Process'!$AF:$AF,$O242))</f>
        <v/>
      </c>
      <c r="E242" s="17" t="str">
        <f aca="false">IF($O242="","",INDEX('Auto Process'!$AG:$AG,$O242))</f>
        <v/>
      </c>
      <c r="F242" s="17" t="str">
        <f aca="false">IF($O242="","",INDEX('Auto Process'!$AH:$AH,$O242))</f>
        <v/>
      </c>
      <c r="G242" s="17" t="str">
        <f aca="false">IF($O242="","",INDEX('Auto Process'!$AI:$AI,$O242))</f>
        <v/>
      </c>
      <c r="H242" s="17" t="str">
        <f aca="false">IF($O242="","",INDEX('Auto Process'!$AJ:$AJ,$O242))</f>
        <v/>
      </c>
      <c r="I242" s="17" t="str">
        <f aca="false">IF($O242="","",INDEX('Auto Process'!$AK:$AK,$O242))</f>
        <v/>
      </c>
      <c r="J242" s="17" t="str">
        <f aca="false">IF($O242="","",INDEX('Auto Process'!$AL:$AL,$O242))</f>
        <v/>
      </c>
      <c r="K242" s="17" t="str">
        <f aca="false">IF($O242="","",INDEX('Auto Process'!$AM:$AM,$O242))</f>
        <v/>
      </c>
      <c r="L242" s="17" t="str">
        <f aca="false">IF($O242="","",INDEX('Auto Process'!$AN:$AN,$O242))</f>
        <v/>
      </c>
      <c r="M242" s="17" t="str">
        <f aca="false">IF($O242="","",INDEX('Auto Process'!$AO:$AO,$O242))</f>
        <v/>
      </c>
      <c r="O242" s="19" t="str">
        <f aca="false">IFERROR(_xlfn.AGGREGATE(15,6,ROW('Auto Process'!$D$4:$D$503)/('Auto Process'!$D$4:$D$503="Panel Details"),ROW()-1),"")</f>
        <v/>
      </c>
    </row>
    <row r="243" customFormat="false" ht="13.5" hidden="false" customHeight="true" outlineLevel="0" collapsed="false">
      <c r="A243" s="27" t="str">
        <f aca="false">IF($O243="","",INDEX('Auto Process'!$AC:$AC,$O243))</f>
        <v/>
      </c>
      <c r="B243" s="17" t="str">
        <f aca="false">IF($O243="","",INDEX('Auto Process'!$AD:$AD,$O243))</f>
        <v/>
      </c>
      <c r="C243" s="17" t="str">
        <f aca="false">IF($O243="","",INDEX('Auto Process'!$AE:$AE,$O243))</f>
        <v/>
      </c>
      <c r="D243" s="17" t="str">
        <f aca="false">IF($O243="","",INDEX('Auto Process'!$AF:$AF,$O243))</f>
        <v/>
      </c>
      <c r="E243" s="17" t="str">
        <f aca="false">IF($O243="","",INDEX('Auto Process'!$AG:$AG,$O243))</f>
        <v/>
      </c>
      <c r="F243" s="17" t="str">
        <f aca="false">IF($O243="","",INDEX('Auto Process'!$AH:$AH,$O243))</f>
        <v/>
      </c>
      <c r="G243" s="17" t="str">
        <f aca="false">IF($O243="","",INDEX('Auto Process'!$AI:$AI,$O243))</f>
        <v/>
      </c>
      <c r="H243" s="17" t="str">
        <f aca="false">IF($O243="","",INDEX('Auto Process'!$AJ:$AJ,$O243))</f>
        <v/>
      </c>
      <c r="I243" s="17" t="str">
        <f aca="false">IF($O243="","",INDEX('Auto Process'!$AK:$AK,$O243))</f>
        <v/>
      </c>
      <c r="J243" s="17" t="str">
        <f aca="false">IF($O243="","",INDEX('Auto Process'!$AL:$AL,$O243))</f>
        <v/>
      </c>
      <c r="K243" s="17" t="str">
        <f aca="false">IF($O243="","",INDEX('Auto Process'!$AM:$AM,$O243))</f>
        <v/>
      </c>
      <c r="L243" s="17" t="str">
        <f aca="false">IF($O243="","",INDEX('Auto Process'!$AN:$AN,$O243))</f>
        <v/>
      </c>
      <c r="M243" s="17" t="str">
        <f aca="false">IF($O243="","",INDEX('Auto Process'!$AO:$AO,$O243))</f>
        <v/>
      </c>
      <c r="O243" s="19" t="str">
        <f aca="false">IFERROR(_xlfn.AGGREGATE(15,6,ROW('Auto Process'!$D$4:$D$503)/('Auto Process'!$D$4:$D$503="Panel Details"),ROW()-1),"")</f>
        <v/>
      </c>
    </row>
    <row r="244" customFormat="false" ht="13.5" hidden="false" customHeight="true" outlineLevel="0" collapsed="false">
      <c r="A244" s="27" t="str">
        <f aca="false">IF($O244="","",INDEX('Auto Process'!$AC:$AC,$O244))</f>
        <v/>
      </c>
      <c r="B244" s="17" t="str">
        <f aca="false">IF($O244="","",INDEX('Auto Process'!$AD:$AD,$O244))</f>
        <v/>
      </c>
      <c r="C244" s="17" t="str">
        <f aca="false">IF($O244="","",INDEX('Auto Process'!$AE:$AE,$O244))</f>
        <v/>
      </c>
      <c r="D244" s="17" t="str">
        <f aca="false">IF($O244="","",INDEX('Auto Process'!$AF:$AF,$O244))</f>
        <v/>
      </c>
      <c r="E244" s="17" t="str">
        <f aca="false">IF($O244="","",INDEX('Auto Process'!$AG:$AG,$O244))</f>
        <v/>
      </c>
      <c r="F244" s="17" t="str">
        <f aca="false">IF($O244="","",INDEX('Auto Process'!$AH:$AH,$O244))</f>
        <v/>
      </c>
      <c r="G244" s="17" t="str">
        <f aca="false">IF($O244="","",INDEX('Auto Process'!$AI:$AI,$O244))</f>
        <v/>
      </c>
      <c r="H244" s="17" t="str">
        <f aca="false">IF($O244="","",INDEX('Auto Process'!$AJ:$AJ,$O244))</f>
        <v/>
      </c>
      <c r="I244" s="17" t="str">
        <f aca="false">IF($O244="","",INDEX('Auto Process'!$AK:$AK,$O244))</f>
        <v/>
      </c>
      <c r="J244" s="17" t="str">
        <f aca="false">IF($O244="","",INDEX('Auto Process'!$AL:$AL,$O244))</f>
        <v/>
      </c>
      <c r="K244" s="17" t="str">
        <f aca="false">IF($O244="","",INDEX('Auto Process'!$AM:$AM,$O244))</f>
        <v/>
      </c>
      <c r="L244" s="17" t="str">
        <f aca="false">IF($O244="","",INDEX('Auto Process'!$AN:$AN,$O244))</f>
        <v/>
      </c>
      <c r="M244" s="17" t="str">
        <f aca="false">IF($O244="","",INDEX('Auto Process'!$AO:$AO,$O244))</f>
        <v/>
      </c>
      <c r="O244" s="19" t="str">
        <f aca="false">IFERROR(_xlfn.AGGREGATE(15,6,ROW('Auto Process'!$D$4:$D$503)/('Auto Process'!$D$4:$D$503="Panel Details"),ROW()-1),"")</f>
        <v/>
      </c>
    </row>
    <row r="245" customFormat="false" ht="13.5" hidden="false" customHeight="true" outlineLevel="0" collapsed="false">
      <c r="A245" s="27" t="str">
        <f aca="false">IF($O245="","",INDEX('Auto Process'!$AC:$AC,$O245))</f>
        <v/>
      </c>
      <c r="B245" s="17" t="str">
        <f aca="false">IF($O245="","",INDEX('Auto Process'!$AD:$AD,$O245))</f>
        <v/>
      </c>
      <c r="C245" s="17" t="str">
        <f aca="false">IF($O245="","",INDEX('Auto Process'!$AE:$AE,$O245))</f>
        <v/>
      </c>
      <c r="D245" s="17" t="str">
        <f aca="false">IF($O245="","",INDEX('Auto Process'!$AF:$AF,$O245))</f>
        <v/>
      </c>
      <c r="E245" s="17" t="str">
        <f aca="false">IF($O245="","",INDEX('Auto Process'!$AG:$AG,$O245))</f>
        <v/>
      </c>
      <c r="F245" s="17" t="str">
        <f aca="false">IF($O245="","",INDEX('Auto Process'!$AH:$AH,$O245))</f>
        <v/>
      </c>
      <c r="G245" s="17" t="str">
        <f aca="false">IF($O245="","",INDEX('Auto Process'!$AI:$AI,$O245))</f>
        <v/>
      </c>
      <c r="H245" s="17" t="str">
        <f aca="false">IF($O245="","",INDEX('Auto Process'!$AJ:$AJ,$O245))</f>
        <v/>
      </c>
      <c r="I245" s="17" t="str">
        <f aca="false">IF($O245="","",INDEX('Auto Process'!$AK:$AK,$O245))</f>
        <v/>
      </c>
      <c r="J245" s="17" t="str">
        <f aca="false">IF($O245="","",INDEX('Auto Process'!$AL:$AL,$O245))</f>
        <v/>
      </c>
      <c r="K245" s="17" t="str">
        <f aca="false">IF($O245="","",INDEX('Auto Process'!$AM:$AM,$O245))</f>
        <v/>
      </c>
      <c r="L245" s="17" t="str">
        <f aca="false">IF($O245="","",INDEX('Auto Process'!$AN:$AN,$O245))</f>
        <v/>
      </c>
      <c r="M245" s="17" t="str">
        <f aca="false">IF($O245="","",INDEX('Auto Process'!$AO:$AO,$O245))</f>
        <v/>
      </c>
      <c r="O245" s="19" t="str">
        <f aca="false">IFERROR(_xlfn.AGGREGATE(15,6,ROW('Auto Process'!$D$4:$D$503)/('Auto Process'!$D$4:$D$503="Panel Details"),ROW()-1),"")</f>
        <v/>
      </c>
    </row>
    <row r="246" customFormat="false" ht="13.5" hidden="false" customHeight="true" outlineLevel="0" collapsed="false">
      <c r="A246" s="27" t="str">
        <f aca="false">IF($O246="","",INDEX('Auto Process'!$AC:$AC,$O246))</f>
        <v/>
      </c>
      <c r="B246" s="17" t="str">
        <f aca="false">IF($O246="","",INDEX('Auto Process'!$AD:$AD,$O246))</f>
        <v/>
      </c>
      <c r="C246" s="17" t="str">
        <f aca="false">IF($O246="","",INDEX('Auto Process'!$AE:$AE,$O246))</f>
        <v/>
      </c>
      <c r="D246" s="17" t="str">
        <f aca="false">IF($O246="","",INDEX('Auto Process'!$AF:$AF,$O246))</f>
        <v/>
      </c>
      <c r="E246" s="17" t="str">
        <f aca="false">IF($O246="","",INDEX('Auto Process'!$AG:$AG,$O246))</f>
        <v/>
      </c>
      <c r="F246" s="17" t="str">
        <f aca="false">IF($O246="","",INDEX('Auto Process'!$AH:$AH,$O246))</f>
        <v/>
      </c>
      <c r="G246" s="17" t="str">
        <f aca="false">IF($O246="","",INDEX('Auto Process'!$AI:$AI,$O246))</f>
        <v/>
      </c>
      <c r="H246" s="17" t="str">
        <f aca="false">IF($O246="","",INDEX('Auto Process'!$AJ:$AJ,$O246))</f>
        <v/>
      </c>
      <c r="I246" s="17" t="str">
        <f aca="false">IF($O246="","",INDEX('Auto Process'!$AK:$AK,$O246))</f>
        <v/>
      </c>
      <c r="J246" s="17" t="str">
        <f aca="false">IF($O246="","",INDEX('Auto Process'!$AL:$AL,$O246))</f>
        <v/>
      </c>
      <c r="K246" s="17" t="str">
        <f aca="false">IF($O246="","",INDEX('Auto Process'!$AM:$AM,$O246))</f>
        <v/>
      </c>
      <c r="L246" s="17" t="str">
        <f aca="false">IF($O246="","",INDEX('Auto Process'!$AN:$AN,$O246))</f>
        <v/>
      </c>
      <c r="M246" s="17" t="str">
        <f aca="false">IF($O246="","",INDEX('Auto Process'!$AO:$AO,$O246))</f>
        <v/>
      </c>
      <c r="O246" s="19" t="str">
        <f aca="false">IFERROR(_xlfn.AGGREGATE(15,6,ROW('Auto Process'!$D$4:$D$503)/('Auto Process'!$D$4:$D$503="Panel Details"),ROW()-1),"")</f>
        <v/>
      </c>
    </row>
    <row r="247" customFormat="false" ht="13.5" hidden="false" customHeight="true" outlineLevel="0" collapsed="false">
      <c r="A247" s="27" t="str">
        <f aca="false">IF($O247="","",INDEX('Auto Process'!$AC:$AC,$O247))</f>
        <v/>
      </c>
      <c r="B247" s="17" t="str">
        <f aca="false">IF($O247="","",INDEX('Auto Process'!$AD:$AD,$O247))</f>
        <v/>
      </c>
      <c r="C247" s="17" t="str">
        <f aca="false">IF($O247="","",INDEX('Auto Process'!$AE:$AE,$O247))</f>
        <v/>
      </c>
      <c r="D247" s="17" t="str">
        <f aca="false">IF($O247="","",INDEX('Auto Process'!$AF:$AF,$O247))</f>
        <v/>
      </c>
      <c r="E247" s="17" t="str">
        <f aca="false">IF($O247="","",INDEX('Auto Process'!$AG:$AG,$O247))</f>
        <v/>
      </c>
      <c r="F247" s="17" t="str">
        <f aca="false">IF($O247="","",INDEX('Auto Process'!$AH:$AH,$O247))</f>
        <v/>
      </c>
      <c r="G247" s="17" t="str">
        <f aca="false">IF($O247="","",INDEX('Auto Process'!$AI:$AI,$O247))</f>
        <v/>
      </c>
      <c r="H247" s="17" t="str">
        <f aca="false">IF($O247="","",INDEX('Auto Process'!$AJ:$AJ,$O247))</f>
        <v/>
      </c>
      <c r="I247" s="17" t="str">
        <f aca="false">IF($O247="","",INDEX('Auto Process'!$AK:$AK,$O247))</f>
        <v/>
      </c>
      <c r="J247" s="17" t="str">
        <f aca="false">IF($O247="","",INDEX('Auto Process'!$AL:$AL,$O247))</f>
        <v/>
      </c>
      <c r="K247" s="17" t="str">
        <f aca="false">IF($O247="","",INDEX('Auto Process'!$AM:$AM,$O247))</f>
        <v/>
      </c>
      <c r="L247" s="17" t="str">
        <f aca="false">IF($O247="","",INDEX('Auto Process'!$AN:$AN,$O247))</f>
        <v/>
      </c>
      <c r="M247" s="17" t="str">
        <f aca="false">IF($O247="","",INDEX('Auto Process'!$AO:$AO,$O247))</f>
        <v/>
      </c>
      <c r="O247" s="19" t="str">
        <f aca="false">IFERROR(_xlfn.AGGREGATE(15,6,ROW('Auto Process'!$D$4:$D$503)/('Auto Process'!$D$4:$D$503="Panel Details"),ROW()-1),"")</f>
        <v/>
      </c>
    </row>
    <row r="248" customFormat="false" ht="13.5" hidden="false" customHeight="true" outlineLevel="0" collapsed="false">
      <c r="A248" s="27" t="str">
        <f aca="false">IF($O248="","",INDEX('Auto Process'!$AC:$AC,$O248))</f>
        <v/>
      </c>
      <c r="B248" s="17" t="str">
        <f aca="false">IF($O248="","",INDEX('Auto Process'!$AD:$AD,$O248))</f>
        <v/>
      </c>
      <c r="C248" s="17" t="str">
        <f aca="false">IF($O248="","",INDEX('Auto Process'!$AE:$AE,$O248))</f>
        <v/>
      </c>
      <c r="D248" s="17" t="str">
        <f aca="false">IF($O248="","",INDEX('Auto Process'!$AF:$AF,$O248))</f>
        <v/>
      </c>
      <c r="E248" s="17" t="str">
        <f aca="false">IF($O248="","",INDEX('Auto Process'!$AG:$AG,$O248))</f>
        <v/>
      </c>
      <c r="F248" s="17" t="str">
        <f aca="false">IF($O248="","",INDEX('Auto Process'!$AH:$AH,$O248))</f>
        <v/>
      </c>
      <c r="G248" s="17" t="str">
        <f aca="false">IF($O248="","",INDEX('Auto Process'!$AI:$AI,$O248))</f>
        <v/>
      </c>
      <c r="H248" s="17" t="str">
        <f aca="false">IF($O248="","",INDEX('Auto Process'!$AJ:$AJ,$O248))</f>
        <v/>
      </c>
      <c r="I248" s="17" t="str">
        <f aca="false">IF($O248="","",INDEX('Auto Process'!$AK:$AK,$O248))</f>
        <v/>
      </c>
      <c r="J248" s="17" t="str">
        <f aca="false">IF($O248="","",INDEX('Auto Process'!$AL:$AL,$O248))</f>
        <v/>
      </c>
      <c r="K248" s="17" t="str">
        <f aca="false">IF($O248="","",INDEX('Auto Process'!$AM:$AM,$O248))</f>
        <v/>
      </c>
      <c r="L248" s="17" t="str">
        <f aca="false">IF($O248="","",INDEX('Auto Process'!$AN:$AN,$O248))</f>
        <v/>
      </c>
      <c r="M248" s="17" t="str">
        <f aca="false">IF($O248="","",INDEX('Auto Process'!$AO:$AO,$O248))</f>
        <v/>
      </c>
      <c r="O248" s="19" t="str">
        <f aca="false">IFERROR(_xlfn.AGGREGATE(15,6,ROW('Auto Process'!$D$4:$D$503)/('Auto Process'!$D$4:$D$503="Panel Details"),ROW()-1),"")</f>
        <v/>
      </c>
    </row>
    <row r="249" customFormat="false" ht="13.5" hidden="false" customHeight="true" outlineLevel="0" collapsed="false">
      <c r="A249" s="27" t="str">
        <f aca="false">IF($O249="","",INDEX('Auto Process'!$AC:$AC,$O249))</f>
        <v/>
      </c>
      <c r="B249" s="17" t="str">
        <f aca="false">IF($O249="","",INDEX('Auto Process'!$AD:$AD,$O249))</f>
        <v/>
      </c>
      <c r="C249" s="17" t="str">
        <f aca="false">IF($O249="","",INDEX('Auto Process'!$AE:$AE,$O249))</f>
        <v/>
      </c>
      <c r="D249" s="17" t="str">
        <f aca="false">IF($O249="","",INDEX('Auto Process'!$AF:$AF,$O249))</f>
        <v/>
      </c>
      <c r="E249" s="17" t="str">
        <f aca="false">IF($O249="","",INDEX('Auto Process'!$AG:$AG,$O249))</f>
        <v/>
      </c>
      <c r="F249" s="17" t="str">
        <f aca="false">IF($O249="","",INDEX('Auto Process'!$AH:$AH,$O249))</f>
        <v/>
      </c>
      <c r="G249" s="17" t="str">
        <f aca="false">IF($O249="","",INDEX('Auto Process'!$AI:$AI,$O249))</f>
        <v/>
      </c>
      <c r="H249" s="17" t="str">
        <f aca="false">IF($O249="","",INDEX('Auto Process'!$AJ:$AJ,$O249))</f>
        <v/>
      </c>
      <c r="I249" s="17" t="str">
        <f aca="false">IF($O249="","",INDEX('Auto Process'!$AK:$AK,$O249))</f>
        <v/>
      </c>
      <c r="J249" s="17" t="str">
        <f aca="false">IF($O249="","",INDEX('Auto Process'!$AL:$AL,$O249))</f>
        <v/>
      </c>
      <c r="K249" s="17" t="str">
        <f aca="false">IF($O249="","",INDEX('Auto Process'!$AM:$AM,$O249))</f>
        <v/>
      </c>
      <c r="L249" s="17" t="str">
        <f aca="false">IF($O249="","",INDEX('Auto Process'!$AN:$AN,$O249))</f>
        <v/>
      </c>
      <c r="M249" s="17" t="str">
        <f aca="false">IF($O249="","",INDEX('Auto Process'!$AO:$AO,$O249))</f>
        <v/>
      </c>
      <c r="O249" s="19" t="str">
        <f aca="false">IFERROR(_xlfn.AGGREGATE(15,6,ROW('Auto Process'!$D$4:$D$503)/('Auto Process'!$D$4:$D$503="Panel Details"),ROW()-1),"")</f>
        <v/>
      </c>
    </row>
    <row r="250" customFormat="false" ht="13.5" hidden="false" customHeight="true" outlineLevel="0" collapsed="false">
      <c r="A250" s="27" t="str">
        <f aca="false">IF($O250="","",INDEX('Auto Process'!$AC:$AC,$O250))</f>
        <v/>
      </c>
      <c r="B250" s="17" t="str">
        <f aca="false">IF($O250="","",INDEX('Auto Process'!$AD:$AD,$O250))</f>
        <v/>
      </c>
      <c r="C250" s="17" t="str">
        <f aca="false">IF($O250="","",INDEX('Auto Process'!$AE:$AE,$O250))</f>
        <v/>
      </c>
      <c r="D250" s="17" t="str">
        <f aca="false">IF($O250="","",INDEX('Auto Process'!$AF:$AF,$O250))</f>
        <v/>
      </c>
      <c r="E250" s="17" t="str">
        <f aca="false">IF($O250="","",INDEX('Auto Process'!$AG:$AG,$O250))</f>
        <v/>
      </c>
      <c r="F250" s="17" t="str">
        <f aca="false">IF($O250="","",INDEX('Auto Process'!$AH:$AH,$O250))</f>
        <v/>
      </c>
      <c r="G250" s="17" t="str">
        <f aca="false">IF($O250="","",INDEX('Auto Process'!$AI:$AI,$O250))</f>
        <v/>
      </c>
      <c r="H250" s="17" t="str">
        <f aca="false">IF($O250="","",INDEX('Auto Process'!$AJ:$AJ,$O250))</f>
        <v/>
      </c>
      <c r="I250" s="17" t="str">
        <f aca="false">IF($O250="","",INDEX('Auto Process'!$AK:$AK,$O250))</f>
        <v/>
      </c>
      <c r="J250" s="17" t="str">
        <f aca="false">IF($O250="","",INDEX('Auto Process'!$AL:$AL,$O250))</f>
        <v/>
      </c>
      <c r="K250" s="17" t="str">
        <f aca="false">IF($O250="","",INDEX('Auto Process'!$AM:$AM,$O250))</f>
        <v/>
      </c>
      <c r="L250" s="17" t="str">
        <f aca="false">IF($O250="","",INDEX('Auto Process'!$AN:$AN,$O250))</f>
        <v/>
      </c>
      <c r="M250" s="17" t="str">
        <f aca="false">IF($O250="","",INDEX('Auto Process'!$AO:$AO,$O250))</f>
        <v/>
      </c>
      <c r="O250" s="19" t="str">
        <f aca="false">IFERROR(_xlfn.AGGREGATE(15,6,ROW('Auto Process'!$D$4:$D$503)/('Auto Process'!$D$4:$D$503="Panel Details"),ROW()-1),"")</f>
        <v/>
      </c>
    </row>
    <row r="251" customFormat="false" ht="13.5" hidden="false" customHeight="true" outlineLevel="0" collapsed="false">
      <c r="A251" s="27" t="str">
        <f aca="false">IF($O251="","",INDEX('Auto Process'!$AC:$AC,$O251))</f>
        <v/>
      </c>
      <c r="B251" s="17" t="str">
        <f aca="false">IF($O251="","",INDEX('Auto Process'!$AD:$AD,$O251))</f>
        <v/>
      </c>
      <c r="C251" s="17" t="str">
        <f aca="false">IF($O251="","",INDEX('Auto Process'!$AE:$AE,$O251))</f>
        <v/>
      </c>
      <c r="D251" s="17" t="str">
        <f aca="false">IF($O251="","",INDEX('Auto Process'!$AF:$AF,$O251))</f>
        <v/>
      </c>
      <c r="E251" s="17" t="str">
        <f aca="false">IF($O251="","",INDEX('Auto Process'!$AG:$AG,$O251))</f>
        <v/>
      </c>
      <c r="F251" s="17" t="str">
        <f aca="false">IF($O251="","",INDEX('Auto Process'!$AH:$AH,$O251))</f>
        <v/>
      </c>
      <c r="G251" s="17" t="str">
        <f aca="false">IF($O251="","",INDEX('Auto Process'!$AI:$AI,$O251))</f>
        <v/>
      </c>
      <c r="H251" s="17" t="str">
        <f aca="false">IF($O251="","",INDEX('Auto Process'!$AJ:$AJ,$O251))</f>
        <v/>
      </c>
      <c r="I251" s="17" t="str">
        <f aca="false">IF($O251="","",INDEX('Auto Process'!$AK:$AK,$O251))</f>
        <v/>
      </c>
      <c r="J251" s="17" t="str">
        <f aca="false">IF($O251="","",INDEX('Auto Process'!$AL:$AL,$O251))</f>
        <v/>
      </c>
      <c r="K251" s="17" t="str">
        <f aca="false">IF($O251="","",INDEX('Auto Process'!$AM:$AM,$O251))</f>
        <v/>
      </c>
      <c r="L251" s="17" t="str">
        <f aca="false">IF($O251="","",INDEX('Auto Process'!$AN:$AN,$O251))</f>
        <v/>
      </c>
      <c r="M251" s="17" t="str">
        <f aca="false">IF($O251="","",INDEX('Auto Process'!$AO:$AO,$O251))</f>
        <v/>
      </c>
      <c r="O251" s="19" t="str">
        <f aca="false">IFERROR(_xlfn.AGGREGATE(15,6,ROW('Auto Process'!$D$4:$D$503)/('Auto Process'!$D$4:$D$503="Panel Details"),ROW()-1),"")</f>
        <v/>
      </c>
    </row>
    <row r="252" customFormat="false" ht="13.5" hidden="false" customHeight="true" outlineLevel="0" collapsed="false">
      <c r="A252" s="27" t="str">
        <f aca="false">IF($O252="","",INDEX('Auto Process'!$AC:$AC,$O252))</f>
        <v/>
      </c>
      <c r="B252" s="17" t="str">
        <f aca="false">IF($O252="","",INDEX('Auto Process'!$AD:$AD,$O252))</f>
        <v/>
      </c>
      <c r="C252" s="17" t="str">
        <f aca="false">IF($O252="","",INDEX('Auto Process'!$AE:$AE,$O252))</f>
        <v/>
      </c>
      <c r="D252" s="17" t="str">
        <f aca="false">IF($O252="","",INDEX('Auto Process'!$AF:$AF,$O252))</f>
        <v/>
      </c>
      <c r="E252" s="17" t="str">
        <f aca="false">IF($O252="","",INDEX('Auto Process'!$AG:$AG,$O252))</f>
        <v/>
      </c>
      <c r="F252" s="17" t="str">
        <f aca="false">IF($O252="","",INDEX('Auto Process'!$AH:$AH,$O252))</f>
        <v/>
      </c>
      <c r="G252" s="17" t="str">
        <f aca="false">IF($O252="","",INDEX('Auto Process'!$AI:$AI,$O252))</f>
        <v/>
      </c>
      <c r="H252" s="17" t="str">
        <f aca="false">IF($O252="","",INDEX('Auto Process'!$AJ:$AJ,$O252))</f>
        <v/>
      </c>
      <c r="I252" s="17" t="str">
        <f aca="false">IF($O252="","",INDEX('Auto Process'!$AK:$AK,$O252))</f>
        <v/>
      </c>
      <c r="J252" s="17" t="str">
        <f aca="false">IF($O252="","",INDEX('Auto Process'!$AL:$AL,$O252))</f>
        <v/>
      </c>
      <c r="K252" s="17" t="str">
        <f aca="false">IF($O252="","",INDEX('Auto Process'!$AM:$AM,$O252))</f>
        <v/>
      </c>
      <c r="L252" s="17" t="str">
        <f aca="false">IF($O252="","",INDEX('Auto Process'!$AN:$AN,$O252))</f>
        <v/>
      </c>
      <c r="M252" s="17" t="str">
        <f aca="false">IF($O252="","",INDEX('Auto Process'!$AO:$AO,$O252))</f>
        <v/>
      </c>
      <c r="O252" s="19" t="str">
        <f aca="false">IFERROR(_xlfn.AGGREGATE(15,6,ROW('Auto Process'!$D$4:$D$503)/('Auto Process'!$D$4:$D$503="Panel Details"),ROW()-1),"")</f>
        <v/>
      </c>
    </row>
    <row r="253" customFormat="false" ht="13.5" hidden="false" customHeight="true" outlineLevel="0" collapsed="false">
      <c r="A253" s="27" t="str">
        <f aca="false">IF($O253="","",INDEX('Auto Process'!$AC:$AC,$O253))</f>
        <v/>
      </c>
      <c r="B253" s="17" t="str">
        <f aca="false">IF($O253="","",INDEX('Auto Process'!$AD:$AD,$O253))</f>
        <v/>
      </c>
      <c r="C253" s="17" t="str">
        <f aca="false">IF($O253="","",INDEX('Auto Process'!$AE:$AE,$O253))</f>
        <v/>
      </c>
      <c r="D253" s="17" t="str">
        <f aca="false">IF($O253="","",INDEX('Auto Process'!$AF:$AF,$O253))</f>
        <v/>
      </c>
      <c r="E253" s="17" t="str">
        <f aca="false">IF($O253="","",INDEX('Auto Process'!$AG:$AG,$O253))</f>
        <v/>
      </c>
      <c r="F253" s="17" t="str">
        <f aca="false">IF($O253="","",INDEX('Auto Process'!$AH:$AH,$O253))</f>
        <v/>
      </c>
      <c r="G253" s="17" t="str">
        <f aca="false">IF($O253="","",INDEX('Auto Process'!$AI:$AI,$O253))</f>
        <v/>
      </c>
      <c r="H253" s="17" t="str">
        <f aca="false">IF($O253="","",INDEX('Auto Process'!$AJ:$AJ,$O253))</f>
        <v/>
      </c>
      <c r="I253" s="17" t="str">
        <f aca="false">IF($O253="","",INDEX('Auto Process'!$AK:$AK,$O253))</f>
        <v/>
      </c>
      <c r="J253" s="17" t="str">
        <f aca="false">IF($O253="","",INDEX('Auto Process'!$AL:$AL,$O253))</f>
        <v/>
      </c>
      <c r="K253" s="17" t="str">
        <f aca="false">IF($O253="","",INDEX('Auto Process'!$AM:$AM,$O253))</f>
        <v/>
      </c>
      <c r="L253" s="17" t="str">
        <f aca="false">IF($O253="","",INDEX('Auto Process'!$AN:$AN,$O253))</f>
        <v/>
      </c>
      <c r="M253" s="17" t="str">
        <f aca="false">IF($O253="","",INDEX('Auto Process'!$AO:$AO,$O253))</f>
        <v/>
      </c>
      <c r="O253" s="19" t="str">
        <f aca="false">IFERROR(_xlfn.AGGREGATE(15,6,ROW('Auto Process'!$D$4:$D$503)/('Auto Process'!$D$4:$D$503="Panel Details"),ROW()-1),"")</f>
        <v/>
      </c>
    </row>
    <row r="254" customFormat="false" ht="13.5" hidden="false" customHeight="true" outlineLevel="0" collapsed="false">
      <c r="A254" s="27" t="str">
        <f aca="false">IF($O254="","",INDEX('Auto Process'!$AC:$AC,$O254))</f>
        <v/>
      </c>
      <c r="B254" s="17" t="str">
        <f aca="false">IF($O254="","",INDEX('Auto Process'!$AD:$AD,$O254))</f>
        <v/>
      </c>
      <c r="C254" s="17" t="str">
        <f aca="false">IF($O254="","",INDEX('Auto Process'!$AE:$AE,$O254))</f>
        <v/>
      </c>
      <c r="D254" s="17" t="str">
        <f aca="false">IF($O254="","",INDEX('Auto Process'!$AF:$AF,$O254))</f>
        <v/>
      </c>
      <c r="E254" s="17" t="str">
        <f aca="false">IF($O254="","",INDEX('Auto Process'!$AG:$AG,$O254))</f>
        <v/>
      </c>
      <c r="F254" s="17" t="str">
        <f aca="false">IF($O254="","",INDEX('Auto Process'!$AH:$AH,$O254))</f>
        <v/>
      </c>
      <c r="G254" s="17" t="str">
        <f aca="false">IF($O254="","",INDEX('Auto Process'!$AI:$AI,$O254))</f>
        <v/>
      </c>
      <c r="H254" s="17" t="str">
        <f aca="false">IF($O254="","",INDEX('Auto Process'!$AJ:$AJ,$O254))</f>
        <v/>
      </c>
      <c r="I254" s="17" t="str">
        <f aca="false">IF($O254="","",INDEX('Auto Process'!$AK:$AK,$O254))</f>
        <v/>
      </c>
      <c r="J254" s="17" t="str">
        <f aca="false">IF($O254="","",INDEX('Auto Process'!$AL:$AL,$O254))</f>
        <v/>
      </c>
      <c r="K254" s="17" t="str">
        <f aca="false">IF($O254="","",INDEX('Auto Process'!$AM:$AM,$O254))</f>
        <v/>
      </c>
      <c r="L254" s="17" t="str">
        <f aca="false">IF($O254="","",INDEX('Auto Process'!$AN:$AN,$O254))</f>
        <v/>
      </c>
      <c r="M254" s="17" t="str">
        <f aca="false">IF($O254="","",INDEX('Auto Process'!$AO:$AO,$O254))</f>
        <v/>
      </c>
      <c r="O254" s="19" t="str">
        <f aca="false">IFERROR(_xlfn.AGGREGATE(15,6,ROW('Auto Process'!$D$4:$D$503)/('Auto Process'!$D$4:$D$503="Panel Details"),ROW()-1),"")</f>
        <v/>
      </c>
    </row>
    <row r="255" customFormat="false" ht="13.5" hidden="false" customHeight="true" outlineLevel="0" collapsed="false">
      <c r="A255" s="27" t="str">
        <f aca="false">IF($O255="","",INDEX('Auto Process'!$AC:$AC,$O255))</f>
        <v/>
      </c>
      <c r="B255" s="17" t="str">
        <f aca="false">IF($O255="","",INDEX('Auto Process'!$AD:$AD,$O255))</f>
        <v/>
      </c>
      <c r="C255" s="17" t="str">
        <f aca="false">IF($O255="","",INDEX('Auto Process'!$AE:$AE,$O255))</f>
        <v/>
      </c>
      <c r="D255" s="17" t="str">
        <f aca="false">IF($O255="","",INDEX('Auto Process'!$AF:$AF,$O255))</f>
        <v/>
      </c>
      <c r="E255" s="17" t="str">
        <f aca="false">IF($O255="","",INDEX('Auto Process'!$AG:$AG,$O255))</f>
        <v/>
      </c>
      <c r="F255" s="17" t="str">
        <f aca="false">IF($O255="","",INDEX('Auto Process'!$AH:$AH,$O255))</f>
        <v/>
      </c>
      <c r="G255" s="17" t="str">
        <f aca="false">IF($O255="","",INDEX('Auto Process'!$AI:$AI,$O255))</f>
        <v/>
      </c>
      <c r="H255" s="17" t="str">
        <f aca="false">IF($O255="","",INDEX('Auto Process'!$AJ:$AJ,$O255))</f>
        <v/>
      </c>
      <c r="I255" s="17" t="str">
        <f aca="false">IF($O255="","",INDEX('Auto Process'!$AK:$AK,$O255))</f>
        <v/>
      </c>
      <c r="J255" s="17" t="str">
        <f aca="false">IF($O255="","",INDEX('Auto Process'!$AL:$AL,$O255))</f>
        <v/>
      </c>
      <c r="K255" s="17" t="str">
        <f aca="false">IF($O255="","",INDEX('Auto Process'!$AM:$AM,$O255))</f>
        <v/>
      </c>
      <c r="L255" s="17" t="str">
        <f aca="false">IF($O255="","",INDEX('Auto Process'!$AN:$AN,$O255))</f>
        <v/>
      </c>
      <c r="M255" s="17" t="str">
        <f aca="false">IF($O255="","",INDEX('Auto Process'!$AO:$AO,$O255))</f>
        <v/>
      </c>
      <c r="O255" s="19" t="str">
        <f aca="false">IFERROR(_xlfn.AGGREGATE(15,6,ROW('Auto Process'!$D$4:$D$503)/('Auto Process'!$D$4:$D$503="Panel Details"),ROW()-1),"")</f>
        <v/>
      </c>
    </row>
    <row r="256" customFormat="false" ht="13.5" hidden="false" customHeight="true" outlineLevel="0" collapsed="false">
      <c r="A256" s="27" t="str">
        <f aca="false">IF($O256="","",INDEX('Auto Process'!$AC:$AC,$O256))</f>
        <v/>
      </c>
      <c r="B256" s="17" t="str">
        <f aca="false">IF($O256="","",INDEX('Auto Process'!$AD:$AD,$O256))</f>
        <v/>
      </c>
      <c r="C256" s="17" t="str">
        <f aca="false">IF($O256="","",INDEX('Auto Process'!$AE:$AE,$O256))</f>
        <v/>
      </c>
      <c r="D256" s="17" t="str">
        <f aca="false">IF($O256="","",INDEX('Auto Process'!$AF:$AF,$O256))</f>
        <v/>
      </c>
      <c r="E256" s="17" t="str">
        <f aca="false">IF($O256="","",INDEX('Auto Process'!$AG:$AG,$O256))</f>
        <v/>
      </c>
      <c r="F256" s="17" t="str">
        <f aca="false">IF($O256="","",INDEX('Auto Process'!$AH:$AH,$O256))</f>
        <v/>
      </c>
      <c r="G256" s="17" t="str">
        <f aca="false">IF($O256="","",INDEX('Auto Process'!$AI:$AI,$O256))</f>
        <v/>
      </c>
      <c r="H256" s="17" t="str">
        <f aca="false">IF($O256="","",INDEX('Auto Process'!$AJ:$AJ,$O256))</f>
        <v/>
      </c>
      <c r="I256" s="17" t="str">
        <f aca="false">IF($O256="","",INDEX('Auto Process'!$AK:$AK,$O256))</f>
        <v/>
      </c>
      <c r="J256" s="17" t="str">
        <f aca="false">IF($O256="","",INDEX('Auto Process'!$AL:$AL,$O256))</f>
        <v/>
      </c>
      <c r="K256" s="17" t="str">
        <f aca="false">IF($O256="","",INDEX('Auto Process'!$AM:$AM,$O256))</f>
        <v/>
      </c>
      <c r="L256" s="17" t="str">
        <f aca="false">IF($O256="","",INDEX('Auto Process'!$AN:$AN,$O256))</f>
        <v/>
      </c>
      <c r="M256" s="17" t="str">
        <f aca="false">IF($O256="","",INDEX('Auto Process'!$AO:$AO,$O256))</f>
        <v/>
      </c>
      <c r="O256" s="19" t="str">
        <f aca="false">IFERROR(_xlfn.AGGREGATE(15,6,ROW('Auto Process'!$D$4:$D$503)/('Auto Process'!$D$4:$D$503="Panel Details"),ROW()-1),"")</f>
        <v/>
      </c>
    </row>
    <row r="257" customFormat="false" ht="13.5" hidden="false" customHeight="true" outlineLevel="0" collapsed="false">
      <c r="A257" s="27" t="str">
        <f aca="false">IF($O257="","",INDEX('Auto Process'!$AC:$AC,$O257))</f>
        <v/>
      </c>
      <c r="B257" s="17" t="str">
        <f aca="false">IF($O257="","",INDEX('Auto Process'!$AD:$AD,$O257))</f>
        <v/>
      </c>
      <c r="C257" s="17" t="str">
        <f aca="false">IF($O257="","",INDEX('Auto Process'!$AE:$AE,$O257))</f>
        <v/>
      </c>
      <c r="D257" s="17" t="str">
        <f aca="false">IF($O257="","",INDEX('Auto Process'!$AF:$AF,$O257))</f>
        <v/>
      </c>
      <c r="E257" s="17" t="str">
        <f aca="false">IF($O257="","",INDEX('Auto Process'!$AG:$AG,$O257))</f>
        <v/>
      </c>
      <c r="F257" s="17" t="str">
        <f aca="false">IF($O257="","",INDEX('Auto Process'!$AH:$AH,$O257))</f>
        <v/>
      </c>
      <c r="G257" s="17" t="str">
        <f aca="false">IF($O257="","",INDEX('Auto Process'!$AI:$AI,$O257))</f>
        <v/>
      </c>
      <c r="H257" s="17" t="str">
        <f aca="false">IF($O257="","",INDEX('Auto Process'!$AJ:$AJ,$O257))</f>
        <v/>
      </c>
      <c r="I257" s="17" t="str">
        <f aca="false">IF($O257="","",INDEX('Auto Process'!$AK:$AK,$O257))</f>
        <v/>
      </c>
      <c r="J257" s="17" t="str">
        <f aca="false">IF($O257="","",INDEX('Auto Process'!$AL:$AL,$O257))</f>
        <v/>
      </c>
      <c r="K257" s="17" t="str">
        <f aca="false">IF($O257="","",INDEX('Auto Process'!$AM:$AM,$O257))</f>
        <v/>
      </c>
      <c r="L257" s="17" t="str">
        <f aca="false">IF($O257="","",INDEX('Auto Process'!$AN:$AN,$O257))</f>
        <v/>
      </c>
      <c r="M257" s="17" t="str">
        <f aca="false">IF($O257="","",INDEX('Auto Process'!$AO:$AO,$O257))</f>
        <v/>
      </c>
      <c r="O257" s="19" t="str">
        <f aca="false">IFERROR(_xlfn.AGGREGATE(15,6,ROW('Auto Process'!$D$4:$D$503)/('Auto Process'!$D$4:$D$503="Panel Details"),ROW()-1),"")</f>
        <v/>
      </c>
    </row>
    <row r="258" customFormat="false" ht="13.5" hidden="false" customHeight="true" outlineLevel="0" collapsed="false">
      <c r="A258" s="27" t="str">
        <f aca="false">IF($O258="","",INDEX('Auto Process'!$AC:$AC,$O258))</f>
        <v/>
      </c>
      <c r="B258" s="17" t="str">
        <f aca="false">IF($O258="","",INDEX('Auto Process'!$AD:$AD,$O258))</f>
        <v/>
      </c>
      <c r="C258" s="17" t="str">
        <f aca="false">IF($O258="","",INDEX('Auto Process'!$AE:$AE,$O258))</f>
        <v/>
      </c>
      <c r="D258" s="17" t="str">
        <f aca="false">IF($O258="","",INDEX('Auto Process'!$AF:$AF,$O258))</f>
        <v/>
      </c>
      <c r="E258" s="17" t="str">
        <f aca="false">IF($O258="","",INDEX('Auto Process'!$AG:$AG,$O258))</f>
        <v/>
      </c>
      <c r="F258" s="17" t="str">
        <f aca="false">IF($O258="","",INDEX('Auto Process'!$AH:$AH,$O258))</f>
        <v/>
      </c>
      <c r="G258" s="17" t="str">
        <f aca="false">IF($O258="","",INDEX('Auto Process'!$AI:$AI,$O258))</f>
        <v/>
      </c>
      <c r="H258" s="17" t="str">
        <f aca="false">IF($O258="","",INDEX('Auto Process'!$AJ:$AJ,$O258))</f>
        <v/>
      </c>
      <c r="I258" s="17" t="str">
        <f aca="false">IF($O258="","",INDEX('Auto Process'!$AK:$AK,$O258))</f>
        <v/>
      </c>
      <c r="J258" s="17" t="str">
        <f aca="false">IF($O258="","",INDEX('Auto Process'!$AL:$AL,$O258))</f>
        <v/>
      </c>
      <c r="K258" s="17" t="str">
        <f aca="false">IF($O258="","",INDEX('Auto Process'!$AM:$AM,$O258))</f>
        <v/>
      </c>
      <c r="L258" s="17" t="str">
        <f aca="false">IF($O258="","",INDEX('Auto Process'!$AN:$AN,$O258))</f>
        <v/>
      </c>
      <c r="M258" s="17" t="str">
        <f aca="false">IF($O258="","",INDEX('Auto Process'!$AO:$AO,$O258))</f>
        <v/>
      </c>
      <c r="O258" s="19" t="str">
        <f aca="false">IFERROR(_xlfn.AGGREGATE(15,6,ROW('Auto Process'!$D$4:$D$503)/('Auto Process'!$D$4:$D$503="Panel Details"),ROW()-1),"")</f>
        <v/>
      </c>
    </row>
    <row r="259" customFormat="false" ht="13.5" hidden="false" customHeight="true" outlineLevel="0" collapsed="false">
      <c r="A259" s="27" t="str">
        <f aca="false">IF($O259="","",INDEX('Auto Process'!$AC:$AC,$O259))</f>
        <v/>
      </c>
      <c r="B259" s="17" t="str">
        <f aca="false">IF($O259="","",INDEX('Auto Process'!$AD:$AD,$O259))</f>
        <v/>
      </c>
      <c r="C259" s="17" t="str">
        <f aca="false">IF($O259="","",INDEX('Auto Process'!$AE:$AE,$O259))</f>
        <v/>
      </c>
      <c r="D259" s="17" t="str">
        <f aca="false">IF($O259="","",INDEX('Auto Process'!$AF:$AF,$O259))</f>
        <v/>
      </c>
      <c r="E259" s="17" t="str">
        <f aca="false">IF($O259="","",INDEX('Auto Process'!$AG:$AG,$O259))</f>
        <v/>
      </c>
      <c r="F259" s="17" t="str">
        <f aca="false">IF($O259="","",INDEX('Auto Process'!$AH:$AH,$O259))</f>
        <v/>
      </c>
      <c r="G259" s="17" t="str">
        <f aca="false">IF($O259="","",INDEX('Auto Process'!$AI:$AI,$O259))</f>
        <v/>
      </c>
      <c r="H259" s="17" t="str">
        <f aca="false">IF($O259="","",INDEX('Auto Process'!$AJ:$AJ,$O259))</f>
        <v/>
      </c>
      <c r="I259" s="17" t="str">
        <f aca="false">IF($O259="","",INDEX('Auto Process'!$AK:$AK,$O259))</f>
        <v/>
      </c>
      <c r="J259" s="17" t="str">
        <f aca="false">IF($O259="","",INDEX('Auto Process'!$AL:$AL,$O259))</f>
        <v/>
      </c>
      <c r="K259" s="17" t="str">
        <f aca="false">IF($O259="","",INDEX('Auto Process'!$AM:$AM,$O259))</f>
        <v/>
      </c>
      <c r="L259" s="17" t="str">
        <f aca="false">IF($O259="","",INDEX('Auto Process'!$AN:$AN,$O259))</f>
        <v/>
      </c>
      <c r="M259" s="17" t="str">
        <f aca="false">IF($O259="","",INDEX('Auto Process'!$AO:$AO,$O259))</f>
        <v/>
      </c>
      <c r="O259" s="19" t="str">
        <f aca="false">IFERROR(_xlfn.AGGREGATE(15,6,ROW('Auto Process'!$D$4:$D$503)/('Auto Process'!$D$4:$D$503="Panel Details"),ROW()-1),"")</f>
        <v/>
      </c>
    </row>
    <row r="260" customFormat="false" ht="13.5" hidden="false" customHeight="true" outlineLevel="0" collapsed="false">
      <c r="A260" s="27" t="str">
        <f aca="false">IF($O260="","",INDEX('Auto Process'!$AC:$AC,$O260))</f>
        <v/>
      </c>
      <c r="B260" s="17" t="str">
        <f aca="false">IF($O260="","",INDEX('Auto Process'!$AD:$AD,$O260))</f>
        <v/>
      </c>
      <c r="C260" s="17" t="str">
        <f aca="false">IF($O260="","",INDEX('Auto Process'!$AE:$AE,$O260))</f>
        <v/>
      </c>
      <c r="D260" s="17" t="str">
        <f aca="false">IF($O260="","",INDEX('Auto Process'!$AF:$AF,$O260))</f>
        <v/>
      </c>
      <c r="E260" s="17" t="str">
        <f aca="false">IF($O260="","",INDEX('Auto Process'!$AG:$AG,$O260))</f>
        <v/>
      </c>
      <c r="F260" s="17" t="str">
        <f aca="false">IF($O260="","",INDEX('Auto Process'!$AH:$AH,$O260))</f>
        <v/>
      </c>
      <c r="G260" s="17" t="str">
        <f aca="false">IF($O260="","",INDEX('Auto Process'!$AI:$AI,$O260))</f>
        <v/>
      </c>
      <c r="H260" s="17" t="str">
        <f aca="false">IF($O260="","",INDEX('Auto Process'!$AJ:$AJ,$O260))</f>
        <v/>
      </c>
      <c r="I260" s="17" t="str">
        <f aca="false">IF($O260="","",INDEX('Auto Process'!$AK:$AK,$O260))</f>
        <v/>
      </c>
      <c r="J260" s="17" t="str">
        <f aca="false">IF($O260="","",INDEX('Auto Process'!$AL:$AL,$O260))</f>
        <v/>
      </c>
      <c r="K260" s="17" t="str">
        <f aca="false">IF($O260="","",INDEX('Auto Process'!$AM:$AM,$O260))</f>
        <v/>
      </c>
      <c r="L260" s="17" t="str">
        <f aca="false">IF($O260="","",INDEX('Auto Process'!$AN:$AN,$O260))</f>
        <v/>
      </c>
      <c r="M260" s="17" t="str">
        <f aca="false">IF($O260="","",INDEX('Auto Process'!$AO:$AO,$O260))</f>
        <v/>
      </c>
      <c r="O260" s="19" t="str">
        <f aca="false">IFERROR(_xlfn.AGGREGATE(15,6,ROW('Auto Process'!$D$4:$D$503)/('Auto Process'!$D$4:$D$503="Panel Details"),ROW()-1),"")</f>
        <v/>
      </c>
    </row>
    <row r="261" customFormat="false" ht="13.5" hidden="false" customHeight="true" outlineLevel="0" collapsed="false">
      <c r="A261" s="27" t="str">
        <f aca="false">IF($O261="","",INDEX('Auto Process'!$AC:$AC,$O261))</f>
        <v/>
      </c>
      <c r="B261" s="17" t="str">
        <f aca="false">IF($O261="","",INDEX('Auto Process'!$AD:$AD,$O261))</f>
        <v/>
      </c>
      <c r="C261" s="17" t="str">
        <f aca="false">IF($O261="","",INDEX('Auto Process'!$AE:$AE,$O261))</f>
        <v/>
      </c>
      <c r="D261" s="17" t="str">
        <f aca="false">IF($O261="","",INDEX('Auto Process'!$AF:$AF,$O261))</f>
        <v/>
      </c>
      <c r="E261" s="17" t="str">
        <f aca="false">IF($O261="","",INDEX('Auto Process'!$AG:$AG,$O261))</f>
        <v/>
      </c>
      <c r="F261" s="17" t="str">
        <f aca="false">IF($O261="","",INDEX('Auto Process'!$AH:$AH,$O261))</f>
        <v/>
      </c>
      <c r="G261" s="17" t="str">
        <f aca="false">IF($O261="","",INDEX('Auto Process'!$AI:$AI,$O261))</f>
        <v/>
      </c>
      <c r="H261" s="17" t="str">
        <f aca="false">IF($O261="","",INDEX('Auto Process'!$AJ:$AJ,$O261))</f>
        <v/>
      </c>
      <c r="I261" s="17" t="str">
        <f aca="false">IF($O261="","",INDEX('Auto Process'!$AK:$AK,$O261))</f>
        <v/>
      </c>
      <c r="J261" s="17" t="str">
        <f aca="false">IF($O261="","",INDEX('Auto Process'!$AL:$AL,$O261))</f>
        <v/>
      </c>
      <c r="K261" s="17" t="str">
        <f aca="false">IF($O261="","",INDEX('Auto Process'!$AM:$AM,$O261))</f>
        <v/>
      </c>
      <c r="L261" s="17" t="str">
        <f aca="false">IF($O261="","",INDEX('Auto Process'!$AN:$AN,$O261))</f>
        <v/>
      </c>
      <c r="M261" s="17" t="str">
        <f aca="false">IF($O261="","",INDEX('Auto Process'!$AO:$AO,$O261))</f>
        <v/>
      </c>
      <c r="O261" s="19" t="str">
        <f aca="false">IFERROR(_xlfn.AGGREGATE(15,6,ROW('Auto Process'!$D$4:$D$503)/('Auto Process'!$D$4:$D$503="Panel Details"),ROW()-1),"")</f>
        <v/>
      </c>
    </row>
    <row r="262" customFormat="false" ht="13.5" hidden="false" customHeight="true" outlineLevel="0" collapsed="false">
      <c r="A262" s="27" t="str">
        <f aca="false">IF($O262="","",INDEX('Auto Process'!$AC:$AC,$O262))</f>
        <v/>
      </c>
      <c r="B262" s="17" t="str">
        <f aca="false">IF($O262="","",INDEX('Auto Process'!$AD:$AD,$O262))</f>
        <v/>
      </c>
      <c r="C262" s="17" t="str">
        <f aca="false">IF($O262="","",INDEX('Auto Process'!$AE:$AE,$O262))</f>
        <v/>
      </c>
      <c r="D262" s="17" t="str">
        <f aca="false">IF($O262="","",INDEX('Auto Process'!$AF:$AF,$O262))</f>
        <v/>
      </c>
      <c r="E262" s="17" t="str">
        <f aca="false">IF($O262="","",INDEX('Auto Process'!$AG:$AG,$O262))</f>
        <v/>
      </c>
      <c r="F262" s="17" t="str">
        <f aca="false">IF($O262="","",INDEX('Auto Process'!$AH:$AH,$O262))</f>
        <v/>
      </c>
      <c r="G262" s="17" t="str">
        <f aca="false">IF($O262="","",INDEX('Auto Process'!$AI:$AI,$O262))</f>
        <v/>
      </c>
      <c r="H262" s="17" t="str">
        <f aca="false">IF($O262="","",INDEX('Auto Process'!$AJ:$AJ,$O262))</f>
        <v/>
      </c>
      <c r="I262" s="17" t="str">
        <f aca="false">IF($O262="","",INDEX('Auto Process'!$AK:$AK,$O262))</f>
        <v/>
      </c>
      <c r="J262" s="17" t="str">
        <f aca="false">IF($O262="","",INDEX('Auto Process'!$AL:$AL,$O262))</f>
        <v/>
      </c>
      <c r="K262" s="17" t="str">
        <f aca="false">IF($O262="","",INDEX('Auto Process'!$AM:$AM,$O262))</f>
        <v/>
      </c>
      <c r="L262" s="17" t="str">
        <f aca="false">IF($O262="","",INDEX('Auto Process'!$AN:$AN,$O262))</f>
        <v/>
      </c>
      <c r="M262" s="17" t="str">
        <f aca="false">IF($O262="","",INDEX('Auto Process'!$AO:$AO,$O262))</f>
        <v/>
      </c>
      <c r="O262" s="19" t="str">
        <f aca="false">IFERROR(_xlfn.AGGREGATE(15,6,ROW('Auto Process'!$D$4:$D$503)/('Auto Process'!$D$4:$D$503="Panel Details"),ROW()-1),"")</f>
        <v/>
      </c>
    </row>
    <row r="263" customFormat="false" ht="13.5" hidden="false" customHeight="true" outlineLevel="0" collapsed="false">
      <c r="A263" s="27" t="str">
        <f aca="false">IF($O263="","",INDEX('Auto Process'!$AC:$AC,$O263))</f>
        <v/>
      </c>
      <c r="B263" s="17" t="str">
        <f aca="false">IF($O263="","",INDEX('Auto Process'!$AD:$AD,$O263))</f>
        <v/>
      </c>
      <c r="C263" s="17" t="str">
        <f aca="false">IF($O263="","",INDEX('Auto Process'!$AE:$AE,$O263))</f>
        <v/>
      </c>
      <c r="D263" s="17" t="str">
        <f aca="false">IF($O263="","",INDEX('Auto Process'!$AF:$AF,$O263))</f>
        <v/>
      </c>
      <c r="E263" s="17" t="str">
        <f aca="false">IF($O263="","",INDEX('Auto Process'!$AG:$AG,$O263))</f>
        <v/>
      </c>
      <c r="F263" s="17" t="str">
        <f aca="false">IF($O263="","",INDEX('Auto Process'!$AH:$AH,$O263))</f>
        <v/>
      </c>
      <c r="G263" s="17" t="str">
        <f aca="false">IF($O263="","",INDEX('Auto Process'!$AI:$AI,$O263))</f>
        <v/>
      </c>
      <c r="H263" s="17" t="str">
        <f aca="false">IF($O263="","",INDEX('Auto Process'!$AJ:$AJ,$O263))</f>
        <v/>
      </c>
      <c r="I263" s="17" t="str">
        <f aca="false">IF($O263="","",INDEX('Auto Process'!$AK:$AK,$O263))</f>
        <v/>
      </c>
      <c r="J263" s="17" t="str">
        <f aca="false">IF($O263="","",INDEX('Auto Process'!$AL:$AL,$O263))</f>
        <v/>
      </c>
      <c r="K263" s="17" t="str">
        <f aca="false">IF($O263="","",INDEX('Auto Process'!$AM:$AM,$O263))</f>
        <v/>
      </c>
      <c r="L263" s="17" t="str">
        <f aca="false">IF($O263="","",INDEX('Auto Process'!$AN:$AN,$O263))</f>
        <v/>
      </c>
      <c r="M263" s="17" t="str">
        <f aca="false">IF($O263="","",INDEX('Auto Process'!$AO:$AO,$O263))</f>
        <v/>
      </c>
      <c r="O263" s="19" t="str">
        <f aca="false">IFERROR(_xlfn.AGGREGATE(15,6,ROW('Auto Process'!$D$4:$D$503)/('Auto Process'!$D$4:$D$503="Panel Details"),ROW()-1),"")</f>
        <v/>
      </c>
    </row>
    <row r="264" customFormat="false" ht="13.5" hidden="false" customHeight="true" outlineLevel="0" collapsed="false">
      <c r="A264" s="27" t="str">
        <f aca="false">IF($O264="","",INDEX('Auto Process'!$AC:$AC,$O264))</f>
        <v/>
      </c>
      <c r="B264" s="17" t="str">
        <f aca="false">IF($O264="","",INDEX('Auto Process'!$AD:$AD,$O264))</f>
        <v/>
      </c>
      <c r="C264" s="17" t="str">
        <f aca="false">IF($O264="","",INDEX('Auto Process'!$AE:$AE,$O264))</f>
        <v/>
      </c>
      <c r="D264" s="17" t="str">
        <f aca="false">IF($O264="","",INDEX('Auto Process'!$AF:$AF,$O264))</f>
        <v/>
      </c>
      <c r="E264" s="17" t="str">
        <f aca="false">IF($O264="","",INDEX('Auto Process'!$AG:$AG,$O264))</f>
        <v/>
      </c>
      <c r="F264" s="17" t="str">
        <f aca="false">IF($O264="","",INDEX('Auto Process'!$AH:$AH,$O264))</f>
        <v/>
      </c>
      <c r="G264" s="17" t="str">
        <f aca="false">IF($O264="","",INDEX('Auto Process'!$AI:$AI,$O264))</f>
        <v/>
      </c>
      <c r="H264" s="17" t="str">
        <f aca="false">IF($O264="","",INDEX('Auto Process'!$AJ:$AJ,$O264))</f>
        <v/>
      </c>
      <c r="I264" s="17" t="str">
        <f aca="false">IF($O264="","",INDEX('Auto Process'!$AK:$AK,$O264))</f>
        <v/>
      </c>
      <c r="J264" s="17" t="str">
        <f aca="false">IF($O264="","",INDEX('Auto Process'!$AL:$AL,$O264))</f>
        <v/>
      </c>
      <c r="K264" s="17" t="str">
        <f aca="false">IF($O264="","",INDEX('Auto Process'!$AM:$AM,$O264))</f>
        <v/>
      </c>
      <c r="L264" s="17" t="str">
        <f aca="false">IF($O264="","",INDEX('Auto Process'!$AN:$AN,$O264))</f>
        <v/>
      </c>
      <c r="M264" s="17" t="str">
        <f aca="false">IF($O264="","",INDEX('Auto Process'!$AO:$AO,$O264))</f>
        <v/>
      </c>
      <c r="O264" s="19" t="str">
        <f aca="false">IFERROR(_xlfn.AGGREGATE(15,6,ROW('Auto Process'!$D$4:$D$503)/('Auto Process'!$D$4:$D$503="Panel Details"),ROW()-1),"")</f>
        <v/>
      </c>
    </row>
    <row r="265" customFormat="false" ht="13.5" hidden="false" customHeight="true" outlineLevel="0" collapsed="false">
      <c r="A265" s="27" t="str">
        <f aca="false">IF($O265="","",INDEX('Auto Process'!$AC:$AC,$O265))</f>
        <v/>
      </c>
      <c r="B265" s="17" t="str">
        <f aca="false">IF($O265="","",INDEX('Auto Process'!$AD:$AD,$O265))</f>
        <v/>
      </c>
      <c r="C265" s="17" t="str">
        <f aca="false">IF($O265="","",INDEX('Auto Process'!$AE:$AE,$O265))</f>
        <v/>
      </c>
      <c r="D265" s="17" t="str">
        <f aca="false">IF($O265="","",INDEX('Auto Process'!$AF:$AF,$O265))</f>
        <v/>
      </c>
      <c r="E265" s="17" t="str">
        <f aca="false">IF($O265="","",INDEX('Auto Process'!$AG:$AG,$O265))</f>
        <v/>
      </c>
      <c r="F265" s="17" t="str">
        <f aca="false">IF($O265="","",INDEX('Auto Process'!$AH:$AH,$O265))</f>
        <v/>
      </c>
      <c r="G265" s="17" t="str">
        <f aca="false">IF($O265="","",INDEX('Auto Process'!$AI:$AI,$O265))</f>
        <v/>
      </c>
      <c r="H265" s="17" t="str">
        <f aca="false">IF($O265="","",INDEX('Auto Process'!$AJ:$AJ,$O265))</f>
        <v/>
      </c>
      <c r="I265" s="17" t="str">
        <f aca="false">IF($O265="","",INDEX('Auto Process'!$AK:$AK,$O265))</f>
        <v/>
      </c>
      <c r="J265" s="17" t="str">
        <f aca="false">IF($O265="","",INDEX('Auto Process'!$AL:$AL,$O265))</f>
        <v/>
      </c>
      <c r="K265" s="17" t="str">
        <f aca="false">IF($O265="","",INDEX('Auto Process'!$AM:$AM,$O265))</f>
        <v/>
      </c>
      <c r="L265" s="17" t="str">
        <f aca="false">IF($O265="","",INDEX('Auto Process'!$AN:$AN,$O265))</f>
        <v/>
      </c>
      <c r="M265" s="17" t="str">
        <f aca="false">IF($O265="","",INDEX('Auto Process'!$AO:$AO,$O265))</f>
        <v/>
      </c>
      <c r="O265" s="19" t="str">
        <f aca="false">IFERROR(_xlfn.AGGREGATE(15,6,ROW('Auto Process'!$D$4:$D$503)/('Auto Process'!$D$4:$D$503="Panel Details"),ROW()-1),"")</f>
        <v/>
      </c>
    </row>
    <row r="266" customFormat="false" ht="13.5" hidden="false" customHeight="true" outlineLevel="0" collapsed="false">
      <c r="A266" s="27" t="str">
        <f aca="false">IF($O266="","",INDEX('Auto Process'!$AC:$AC,$O266))</f>
        <v/>
      </c>
      <c r="B266" s="17" t="str">
        <f aca="false">IF($O266="","",INDEX('Auto Process'!$AD:$AD,$O266))</f>
        <v/>
      </c>
      <c r="C266" s="17" t="str">
        <f aca="false">IF($O266="","",INDEX('Auto Process'!$AE:$AE,$O266))</f>
        <v/>
      </c>
      <c r="D266" s="17" t="str">
        <f aca="false">IF($O266="","",INDEX('Auto Process'!$AF:$AF,$O266))</f>
        <v/>
      </c>
      <c r="E266" s="17" t="str">
        <f aca="false">IF($O266="","",INDEX('Auto Process'!$AG:$AG,$O266))</f>
        <v/>
      </c>
      <c r="F266" s="17" t="str">
        <f aca="false">IF($O266="","",INDEX('Auto Process'!$AH:$AH,$O266))</f>
        <v/>
      </c>
      <c r="G266" s="17" t="str">
        <f aca="false">IF($O266="","",INDEX('Auto Process'!$AI:$AI,$O266))</f>
        <v/>
      </c>
      <c r="H266" s="17" t="str">
        <f aca="false">IF($O266="","",INDEX('Auto Process'!$AJ:$AJ,$O266))</f>
        <v/>
      </c>
      <c r="I266" s="17" t="str">
        <f aca="false">IF($O266="","",INDEX('Auto Process'!$AK:$AK,$O266))</f>
        <v/>
      </c>
      <c r="J266" s="17" t="str">
        <f aca="false">IF($O266="","",INDEX('Auto Process'!$AL:$AL,$O266))</f>
        <v/>
      </c>
      <c r="K266" s="17" t="str">
        <f aca="false">IF($O266="","",INDEX('Auto Process'!$AM:$AM,$O266))</f>
        <v/>
      </c>
      <c r="L266" s="17" t="str">
        <f aca="false">IF($O266="","",INDEX('Auto Process'!$AN:$AN,$O266))</f>
        <v/>
      </c>
      <c r="M266" s="17" t="str">
        <f aca="false">IF($O266="","",INDEX('Auto Process'!$AO:$AO,$O266))</f>
        <v/>
      </c>
      <c r="O266" s="19" t="str">
        <f aca="false">IFERROR(_xlfn.AGGREGATE(15,6,ROW('Auto Process'!$D$4:$D$503)/('Auto Process'!$D$4:$D$503="Panel Details"),ROW()-1),"")</f>
        <v/>
      </c>
    </row>
    <row r="267" customFormat="false" ht="13.5" hidden="false" customHeight="true" outlineLevel="0" collapsed="false">
      <c r="A267" s="27" t="str">
        <f aca="false">IF($O267="","",INDEX('Auto Process'!$AC:$AC,$O267))</f>
        <v/>
      </c>
      <c r="B267" s="17" t="str">
        <f aca="false">IF($O267="","",INDEX('Auto Process'!$AD:$AD,$O267))</f>
        <v/>
      </c>
      <c r="C267" s="17" t="str">
        <f aca="false">IF($O267="","",INDEX('Auto Process'!$AE:$AE,$O267))</f>
        <v/>
      </c>
      <c r="D267" s="17" t="str">
        <f aca="false">IF($O267="","",INDEX('Auto Process'!$AF:$AF,$O267))</f>
        <v/>
      </c>
      <c r="E267" s="17" t="str">
        <f aca="false">IF($O267="","",INDEX('Auto Process'!$AG:$AG,$O267))</f>
        <v/>
      </c>
      <c r="F267" s="17" t="str">
        <f aca="false">IF($O267="","",INDEX('Auto Process'!$AH:$AH,$O267))</f>
        <v/>
      </c>
      <c r="G267" s="17" t="str">
        <f aca="false">IF($O267="","",INDEX('Auto Process'!$AI:$AI,$O267))</f>
        <v/>
      </c>
      <c r="H267" s="17" t="str">
        <f aca="false">IF($O267="","",INDEX('Auto Process'!$AJ:$AJ,$O267))</f>
        <v/>
      </c>
      <c r="I267" s="17" t="str">
        <f aca="false">IF($O267="","",INDEX('Auto Process'!$AK:$AK,$O267))</f>
        <v/>
      </c>
      <c r="J267" s="17" t="str">
        <f aca="false">IF($O267="","",INDEX('Auto Process'!$AL:$AL,$O267))</f>
        <v/>
      </c>
      <c r="K267" s="17" t="str">
        <f aca="false">IF($O267="","",INDEX('Auto Process'!$AM:$AM,$O267))</f>
        <v/>
      </c>
      <c r="L267" s="17" t="str">
        <f aca="false">IF($O267="","",INDEX('Auto Process'!$AN:$AN,$O267))</f>
        <v/>
      </c>
      <c r="M267" s="17" t="str">
        <f aca="false">IF($O267="","",INDEX('Auto Process'!$AO:$AO,$O267))</f>
        <v/>
      </c>
      <c r="O267" s="19" t="str">
        <f aca="false">IFERROR(_xlfn.AGGREGATE(15,6,ROW('Auto Process'!$D$4:$D$503)/('Auto Process'!$D$4:$D$503="Panel Details"),ROW()-1),"")</f>
        <v/>
      </c>
    </row>
    <row r="268" customFormat="false" ht="13.5" hidden="false" customHeight="true" outlineLevel="0" collapsed="false">
      <c r="A268" s="27" t="str">
        <f aca="false">IF($O268="","",INDEX('Auto Process'!$AC:$AC,$O268))</f>
        <v/>
      </c>
      <c r="B268" s="17" t="str">
        <f aca="false">IF($O268="","",INDEX('Auto Process'!$AD:$AD,$O268))</f>
        <v/>
      </c>
      <c r="C268" s="17" t="str">
        <f aca="false">IF($O268="","",INDEX('Auto Process'!$AE:$AE,$O268))</f>
        <v/>
      </c>
      <c r="D268" s="17" t="str">
        <f aca="false">IF($O268="","",INDEX('Auto Process'!$AF:$AF,$O268))</f>
        <v/>
      </c>
      <c r="E268" s="17" t="str">
        <f aca="false">IF($O268="","",INDEX('Auto Process'!$AG:$AG,$O268))</f>
        <v/>
      </c>
      <c r="F268" s="17" t="str">
        <f aca="false">IF($O268="","",INDEX('Auto Process'!$AH:$AH,$O268))</f>
        <v/>
      </c>
      <c r="G268" s="17" t="str">
        <f aca="false">IF($O268="","",INDEX('Auto Process'!$AI:$AI,$O268))</f>
        <v/>
      </c>
      <c r="H268" s="17" t="str">
        <f aca="false">IF($O268="","",INDEX('Auto Process'!$AJ:$AJ,$O268))</f>
        <v/>
      </c>
      <c r="I268" s="17" t="str">
        <f aca="false">IF($O268="","",INDEX('Auto Process'!$AK:$AK,$O268))</f>
        <v/>
      </c>
      <c r="J268" s="17" t="str">
        <f aca="false">IF($O268="","",INDEX('Auto Process'!$AL:$AL,$O268))</f>
        <v/>
      </c>
      <c r="K268" s="17" t="str">
        <f aca="false">IF($O268="","",INDEX('Auto Process'!$AM:$AM,$O268))</f>
        <v/>
      </c>
      <c r="L268" s="17" t="str">
        <f aca="false">IF($O268="","",INDEX('Auto Process'!$AN:$AN,$O268))</f>
        <v/>
      </c>
      <c r="M268" s="17" t="str">
        <f aca="false">IF($O268="","",INDEX('Auto Process'!$AO:$AO,$O268))</f>
        <v/>
      </c>
      <c r="O268" s="19" t="str">
        <f aca="false">IFERROR(_xlfn.AGGREGATE(15,6,ROW('Auto Process'!$D$4:$D$503)/('Auto Process'!$D$4:$D$503="Panel Details"),ROW()-1),"")</f>
        <v/>
      </c>
    </row>
    <row r="269" customFormat="false" ht="13.5" hidden="false" customHeight="true" outlineLevel="0" collapsed="false">
      <c r="A269" s="27" t="str">
        <f aca="false">IF($O269="","",INDEX('Auto Process'!$AC:$AC,$O269))</f>
        <v/>
      </c>
      <c r="B269" s="17" t="str">
        <f aca="false">IF($O269="","",INDEX('Auto Process'!$AD:$AD,$O269))</f>
        <v/>
      </c>
      <c r="C269" s="17" t="str">
        <f aca="false">IF($O269="","",INDEX('Auto Process'!$AE:$AE,$O269))</f>
        <v/>
      </c>
      <c r="D269" s="17" t="str">
        <f aca="false">IF($O269="","",INDEX('Auto Process'!$AF:$AF,$O269))</f>
        <v/>
      </c>
      <c r="E269" s="17" t="str">
        <f aca="false">IF($O269="","",INDEX('Auto Process'!$AG:$AG,$O269))</f>
        <v/>
      </c>
      <c r="F269" s="17" t="str">
        <f aca="false">IF($O269="","",INDEX('Auto Process'!$AH:$AH,$O269))</f>
        <v/>
      </c>
      <c r="G269" s="17" t="str">
        <f aca="false">IF($O269="","",INDEX('Auto Process'!$AI:$AI,$O269))</f>
        <v/>
      </c>
      <c r="H269" s="17" t="str">
        <f aca="false">IF($O269="","",INDEX('Auto Process'!$AJ:$AJ,$O269))</f>
        <v/>
      </c>
      <c r="I269" s="17" t="str">
        <f aca="false">IF($O269="","",INDEX('Auto Process'!$AK:$AK,$O269))</f>
        <v/>
      </c>
      <c r="J269" s="17" t="str">
        <f aca="false">IF($O269="","",INDEX('Auto Process'!$AL:$AL,$O269))</f>
        <v/>
      </c>
      <c r="K269" s="17" t="str">
        <f aca="false">IF($O269="","",INDEX('Auto Process'!$AM:$AM,$O269))</f>
        <v/>
      </c>
      <c r="L269" s="17" t="str">
        <f aca="false">IF($O269="","",INDEX('Auto Process'!$AN:$AN,$O269))</f>
        <v/>
      </c>
      <c r="M269" s="17" t="str">
        <f aca="false">IF($O269="","",INDEX('Auto Process'!$AO:$AO,$O269))</f>
        <v/>
      </c>
      <c r="O269" s="19" t="str">
        <f aca="false">IFERROR(_xlfn.AGGREGATE(15,6,ROW('Auto Process'!$D$4:$D$503)/('Auto Process'!$D$4:$D$503="Panel Details"),ROW()-1),"")</f>
        <v/>
      </c>
    </row>
    <row r="270" customFormat="false" ht="13.5" hidden="false" customHeight="true" outlineLevel="0" collapsed="false">
      <c r="A270" s="27" t="str">
        <f aca="false">IF($O270="","",INDEX('Auto Process'!$AC:$AC,$O270))</f>
        <v/>
      </c>
      <c r="B270" s="17" t="str">
        <f aca="false">IF($O270="","",INDEX('Auto Process'!$AD:$AD,$O270))</f>
        <v/>
      </c>
      <c r="C270" s="17" t="str">
        <f aca="false">IF($O270="","",INDEX('Auto Process'!$AE:$AE,$O270))</f>
        <v/>
      </c>
      <c r="D270" s="17" t="str">
        <f aca="false">IF($O270="","",INDEX('Auto Process'!$AF:$AF,$O270))</f>
        <v/>
      </c>
      <c r="E270" s="17" t="str">
        <f aca="false">IF($O270="","",INDEX('Auto Process'!$AG:$AG,$O270))</f>
        <v/>
      </c>
      <c r="F270" s="17" t="str">
        <f aca="false">IF($O270="","",INDEX('Auto Process'!$AH:$AH,$O270))</f>
        <v/>
      </c>
      <c r="G270" s="17" t="str">
        <f aca="false">IF($O270="","",INDEX('Auto Process'!$AI:$AI,$O270))</f>
        <v/>
      </c>
      <c r="H270" s="17" t="str">
        <f aca="false">IF($O270="","",INDEX('Auto Process'!$AJ:$AJ,$O270))</f>
        <v/>
      </c>
      <c r="I270" s="17" t="str">
        <f aca="false">IF($O270="","",INDEX('Auto Process'!$AK:$AK,$O270))</f>
        <v/>
      </c>
      <c r="J270" s="17" t="str">
        <f aca="false">IF($O270="","",INDEX('Auto Process'!$AL:$AL,$O270))</f>
        <v/>
      </c>
      <c r="K270" s="17" t="str">
        <f aca="false">IF($O270="","",INDEX('Auto Process'!$AM:$AM,$O270))</f>
        <v/>
      </c>
      <c r="L270" s="17" t="str">
        <f aca="false">IF($O270="","",INDEX('Auto Process'!$AN:$AN,$O270))</f>
        <v/>
      </c>
      <c r="M270" s="17" t="str">
        <f aca="false">IF($O270="","",INDEX('Auto Process'!$AO:$AO,$O270))</f>
        <v/>
      </c>
      <c r="O270" s="19" t="str">
        <f aca="false">IFERROR(_xlfn.AGGREGATE(15,6,ROW('Auto Process'!$D$4:$D$503)/('Auto Process'!$D$4:$D$503="Panel Details"),ROW()-1),"")</f>
        <v/>
      </c>
    </row>
    <row r="271" customFormat="false" ht="13.5" hidden="false" customHeight="true" outlineLevel="0" collapsed="false">
      <c r="A271" s="27" t="str">
        <f aca="false">IF($O271="","",INDEX('Auto Process'!$AC:$AC,$O271))</f>
        <v/>
      </c>
      <c r="B271" s="17" t="str">
        <f aca="false">IF($O271="","",INDEX('Auto Process'!$AD:$AD,$O271))</f>
        <v/>
      </c>
      <c r="C271" s="17" t="str">
        <f aca="false">IF($O271="","",INDEX('Auto Process'!$AE:$AE,$O271))</f>
        <v/>
      </c>
      <c r="D271" s="17" t="str">
        <f aca="false">IF($O271="","",INDEX('Auto Process'!$AF:$AF,$O271))</f>
        <v/>
      </c>
      <c r="E271" s="17" t="str">
        <f aca="false">IF($O271="","",INDEX('Auto Process'!$AG:$AG,$O271))</f>
        <v/>
      </c>
      <c r="F271" s="17" t="str">
        <f aca="false">IF($O271="","",INDEX('Auto Process'!$AH:$AH,$O271))</f>
        <v/>
      </c>
      <c r="G271" s="17" t="str">
        <f aca="false">IF($O271="","",INDEX('Auto Process'!$AI:$AI,$O271))</f>
        <v/>
      </c>
      <c r="H271" s="17" t="str">
        <f aca="false">IF($O271="","",INDEX('Auto Process'!$AJ:$AJ,$O271))</f>
        <v/>
      </c>
      <c r="I271" s="17" t="str">
        <f aca="false">IF($O271="","",INDEX('Auto Process'!$AK:$AK,$O271))</f>
        <v/>
      </c>
      <c r="J271" s="17" t="str">
        <f aca="false">IF($O271="","",INDEX('Auto Process'!$AL:$AL,$O271))</f>
        <v/>
      </c>
      <c r="K271" s="17" t="str">
        <f aca="false">IF($O271="","",INDEX('Auto Process'!$AM:$AM,$O271))</f>
        <v/>
      </c>
      <c r="L271" s="17" t="str">
        <f aca="false">IF($O271="","",INDEX('Auto Process'!$AN:$AN,$O271))</f>
        <v/>
      </c>
      <c r="M271" s="17" t="str">
        <f aca="false">IF($O271="","",INDEX('Auto Process'!$AO:$AO,$O271))</f>
        <v/>
      </c>
      <c r="O271" s="19" t="str">
        <f aca="false">IFERROR(_xlfn.AGGREGATE(15,6,ROW('Auto Process'!$D$4:$D$503)/('Auto Process'!$D$4:$D$503="Panel Details"),ROW()-1),"")</f>
        <v/>
      </c>
    </row>
    <row r="272" customFormat="false" ht="13.5" hidden="false" customHeight="true" outlineLevel="0" collapsed="false">
      <c r="A272" s="27" t="str">
        <f aca="false">IF($O272="","",INDEX('Auto Process'!$AC:$AC,$O272))</f>
        <v/>
      </c>
      <c r="B272" s="17" t="str">
        <f aca="false">IF($O272="","",INDEX('Auto Process'!$AD:$AD,$O272))</f>
        <v/>
      </c>
      <c r="C272" s="17" t="str">
        <f aca="false">IF($O272="","",INDEX('Auto Process'!$AE:$AE,$O272))</f>
        <v/>
      </c>
      <c r="D272" s="17" t="str">
        <f aca="false">IF($O272="","",INDEX('Auto Process'!$AF:$AF,$O272))</f>
        <v/>
      </c>
      <c r="E272" s="17" t="str">
        <f aca="false">IF($O272="","",INDEX('Auto Process'!$AG:$AG,$O272))</f>
        <v/>
      </c>
      <c r="F272" s="17" t="str">
        <f aca="false">IF($O272="","",INDEX('Auto Process'!$AH:$AH,$O272))</f>
        <v/>
      </c>
      <c r="G272" s="17" t="str">
        <f aca="false">IF($O272="","",INDEX('Auto Process'!$AI:$AI,$O272))</f>
        <v/>
      </c>
      <c r="H272" s="17" t="str">
        <f aca="false">IF($O272="","",INDEX('Auto Process'!$AJ:$AJ,$O272))</f>
        <v/>
      </c>
      <c r="I272" s="17" t="str">
        <f aca="false">IF($O272="","",INDEX('Auto Process'!$AK:$AK,$O272))</f>
        <v/>
      </c>
      <c r="J272" s="17" t="str">
        <f aca="false">IF($O272="","",INDEX('Auto Process'!$AL:$AL,$O272))</f>
        <v/>
      </c>
      <c r="K272" s="17" t="str">
        <f aca="false">IF($O272="","",INDEX('Auto Process'!$AM:$AM,$O272))</f>
        <v/>
      </c>
      <c r="L272" s="17" t="str">
        <f aca="false">IF($O272="","",INDEX('Auto Process'!$AN:$AN,$O272))</f>
        <v/>
      </c>
      <c r="M272" s="17" t="str">
        <f aca="false">IF($O272="","",INDEX('Auto Process'!$AO:$AO,$O272))</f>
        <v/>
      </c>
      <c r="O272" s="19" t="str">
        <f aca="false">IFERROR(_xlfn.AGGREGATE(15,6,ROW('Auto Process'!$D$4:$D$503)/('Auto Process'!$D$4:$D$503="Panel Details"),ROW()-1),"")</f>
        <v/>
      </c>
    </row>
    <row r="273" customFormat="false" ht="13.5" hidden="false" customHeight="true" outlineLevel="0" collapsed="false">
      <c r="A273" s="27" t="str">
        <f aca="false">IF($O273="","",INDEX('Auto Process'!$AC:$AC,$O273))</f>
        <v/>
      </c>
      <c r="B273" s="17" t="str">
        <f aca="false">IF($O273="","",INDEX('Auto Process'!$AD:$AD,$O273))</f>
        <v/>
      </c>
      <c r="C273" s="17" t="str">
        <f aca="false">IF($O273="","",INDEX('Auto Process'!$AE:$AE,$O273))</f>
        <v/>
      </c>
      <c r="D273" s="17" t="str">
        <f aca="false">IF($O273="","",INDEX('Auto Process'!$AF:$AF,$O273))</f>
        <v/>
      </c>
      <c r="E273" s="17" t="str">
        <f aca="false">IF($O273="","",INDEX('Auto Process'!$AG:$AG,$O273))</f>
        <v/>
      </c>
      <c r="F273" s="17" t="str">
        <f aca="false">IF($O273="","",INDEX('Auto Process'!$AH:$AH,$O273))</f>
        <v/>
      </c>
      <c r="G273" s="17" t="str">
        <f aca="false">IF($O273="","",INDEX('Auto Process'!$AI:$AI,$O273))</f>
        <v/>
      </c>
      <c r="H273" s="17" t="str">
        <f aca="false">IF($O273="","",INDEX('Auto Process'!$AJ:$AJ,$O273))</f>
        <v/>
      </c>
      <c r="I273" s="17" t="str">
        <f aca="false">IF($O273="","",INDEX('Auto Process'!$AK:$AK,$O273))</f>
        <v/>
      </c>
      <c r="J273" s="17" t="str">
        <f aca="false">IF($O273="","",INDEX('Auto Process'!$AL:$AL,$O273))</f>
        <v/>
      </c>
      <c r="K273" s="17" t="str">
        <f aca="false">IF($O273="","",INDEX('Auto Process'!$AM:$AM,$O273))</f>
        <v/>
      </c>
      <c r="L273" s="17" t="str">
        <f aca="false">IF($O273="","",INDEX('Auto Process'!$AN:$AN,$O273))</f>
        <v/>
      </c>
      <c r="M273" s="17" t="str">
        <f aca="false">IF($O273="","",INDEX('Auto Process'!$AO:$AO,$O273))</f>
        <v/>
      </c>
      <c r="O273" s="19" t="str">
        <f aca="false">IFERROR(_xlfn.AGGREGATE(15,6,ROW('Auto Process'!$D$4:$D$503)/('Auto Process'!$D$4:$D$503="Panel Details"),ROW()-1),"")</f>
        <v/>
      </c>
    </row>
    <row r="274" customFormat="false" ht="13.5" hidden="false" customHeight="true" outlineLevel="0" collapsed="false">
      <c r="A274" s="27" t="str">
        <f aca="false">IF($O274="","",INDEX('Auto Process'!$AC:$AC,$O274))</f>
        <v/>
      </c>
      <c r="B274" s="17" t="str">
        <f aca="false">IF($O274="","",INDEX('Auto Process'!$AD:$AD,$O274))</f>
        <v/>
      </c>
      <c r="C274" s="17" t="str">
        <f aca="false">IF($O274="","",INDEX('Auto Process'!$AE:$AE,$O274))</f>
        <v/>
      </c>
      <c r="D274" s="17" t="str">
        <f aca="false">IF($O274="","",INDEX('Auto Process'!$AF:$AF,$O274))</f>
        <v/>
      </c>
      <c r="E274" s="17" t="str">
        <f aca="false">IF($O274="","",INDEX('Auto Process'!$AG:$AG,$O274))</f>
        <v/>
      </c>
      <c r="F274" s="17" t="str">
        <f aca="false">IF($O274="","",INDEX('Auto Process'!$AH:$AH,$O274))</f>
        <v/>
      </c>
      <c r="G274" s="17" t="str">
        <f aca="false">IF($O274="","",INDEX('Auto Process'!$AI:$AI,$O274))</f>
        <v/>
      </c>
      <c r="H274" s="17" t="str">
        <f aca="false">IF($O274="","",INDEX('Auto Process'!$AJ:$AJ,$O274))</f>
        <v/>
      </c>
      <c r="I274" s="17" t="str">
        <f aca="false">IF($O274="","",INDEX('Auto Process'!$AK:$AK,$O274))</f>
        <v/>
      </c>
      <c r="J274" s="17" t="str">
        <f aca="false">IF($O274="","",INDEX('Auto Process'!$AL:$AL,$O274))</f>
        <v/>
      </c>
      <c r="K274" s="17" t="str">
        <f aca="false">IF($O274="","",INDEX('Auto Process'!$AM:$AM,$O274))</f>
        <v/>
      </c>
      <c r="L274" s="17" t="str">
        <f aca="false">IF($O274="","",INDEX('Auto Process'!$AN:$AN,$O274))</f>
        <v/>
      </c>
      <c r="M274" s="17" t="str">
        <f aca="false">IF($O274="","",INDEX('Auto Process'!$AO:$AO,$O274))</f>
        <v/>
      </c>
      <c r="O274" s="19" t="str">
        <f aca="false">IFERROR(_xlfn.AGGREGATE(15,6,ROW('Auto Process'!$D$4:$D$503)/('Auto Process'!$D$4:$D$503="Panel Details"),ROW()-1),"")</f>
        <v/>
      </c>
    </row>
    <row r="275" customFormat="false" ht="13.5" hidden="false" customHeight="true" outlineLevel="0" collapsed="false">
      <c r="A275" s="27" t="str">
        <f aca="false">IF($O275="","",INDEX('Auto Process'!$AC:$AC,$O275))</f>
        <v/>
      </c>
      <c r="B275" s="17" t="str">
        <f aca="false">IF($O275="","",INDEX('Auto Process'!$AD:$AD,$O275))</f>
        <v/>
      </c>
      <c r="C275" s="17" t="str">
        <f aca="false">IF($O275="","",INDEX('Auto Process'!$AE:$AE,$O275))</f>
        <v/>
      </c>
      <c r="D275" s="17" t="str">
        <f aca="false">IF($O275="","",INDEX('Auto Process'!$AF:$AF,$O275))</f>
        <v/>
      </c>
      <c r="E275" s="17" t="str">
        <f aca="false">IF($O275="","",INDEX('Auto Process'!$AG:$AG,$O275))</f>
        <v/>
      </c>
      <c r="F275" s="17" t="str">
        <f aca="false">IF($O275="","",INDEX('Auto Process'!$AH:$AH,$O275))</f>
        <v/>
      </c>
      <c r="G275" s="17" t="str">
        <f aca="false">IF($O275="","",INDEX('Auto Process'!$AI:$AI,$O275))</f>
        <v/>
      </c>
      <c r="H275" s="17" t="str">
        <f aca="false">IF($O275="","",INDEX('Auto Process'!$AJ:$AJ,$O275))</f>
        <v/>
      </c>
      <c r="I275" s="17" t="str">
        <f aca="false">IF($O275="","",INDEX('Auto Process'!$AK:$AK,$O275))</f>
        <v/>
      </c>
      <c r="J275" s="17" t="str">
        <f aca="false">IF($O275="","",INDEX('Auto Process'!$AL:$AL,$O275))</f>
        <v/>
      </c>
      <c r="K275" s="17" t="str">
        <f aca="false">IF($O275="","",INDEX('Auto Process'!$AM:$AM,$O275))</f>
        <v/>
      </c>
      <c r="L275" s="17" t="str">
        <f aca="false">IF($O275="","",INDEX('Auto Process'!$AN:$AN,$O275))</f>
        <v/>
      </c>
      <c r="M275" s="17" t="str">
        <f aca="false">IF($O275="","",INDEX('Auto Process'!$AO:$AO,$O275))</f>
        <v/>
      </c>
      <c r="O275" s="19" t="str">
        <f aca="false">IFERROR(_xlfn.AGGREGATE(15,6,ROW('Auto Process'!$D$4:$D$503)/('Auto Process'!$D$4:$D$503="Panel Details"),ROW()-1),"")</f>
        <v/>
      </c>
    </row>
    <row r="276" customFormat="false" ht="13.5" hidden="false" customHeight="true" outlineLevel="0" collapsed="false">
      <c r="A276" s="27" t="str">
        <f aca="false">IF($O276="","",INDEX('Auto Process'!$AC:$AC,$O276))</f>
        <v/>
      </c>
      <c r="B276" s="17" t="str">
        <f aca="false">IF($O276="","",INDEX('Auto Process'!$AD:$AD,$O276))</f>
        <v/>
      </c>
      <c r="C276" s="17" t="str">
        <f aca="false">IF($O276="","",INDEX('Auto Process'!$AE:$AE,$O276))</f>
        <v/>
      </c>
      <c r="D276" s="17" t="str">
        <f aca="false">IF($O276="","",INDEX('Auto Process'!$AF:$AF,$O276))</f>
        <v/>
      </c>
      <c r="E276" s="17" t="str">
        <f aca="false">IF($O276="","",INDEX('Auto Process'!$AG:$AG,$O276))</f>
        <v/>
      </c>
      <c r="F276" s="17" t="str">
        <f aca="false">IF($O276="","",INDEX('Auto Process'!$AH:$AH,$O276))</f>
        <v/>
      </c>
      <c r="G276" s="17" t="str">
        <f aca="false">IF($O276="","",INDEX('Auto Process'!$AI:$AI,$O276))</f>
        <v/>
      </c>
      <c r="H276" s="17" t="str">
        <f aca="false">IF($O276="","",INDEX('Auto Process'!$AJ:$AJ,$O276))</f>
        <v/>
      </c>
      <c r="I276" s="17" t="str">
        <f aca="false">IF($O276="","",INDEX('Auto Process'!$AK:$AK,$O276))</f>
        <v/>
      </c>
      <c r="J276" s="17" t="str">
        <f aca="false">IF($O276="","",INDEX('Auto Process'!$AL:$AL,$O276))</f>
        <v/>
      </c>
      <c r="K276" s="17" t="str">
        <f aca="false">IF($O276="","",INDEX('Auto Process'!$AM:$AM,$O276))</f>
        <v/>
      </c>
      <c r="L276" s="17" t="str">
        <f aca="false">IF($O276="","",INDEX('Auto Process'!$AN:$AN,$O276))</f>
        <v/>
      </c>
      <c r="M276" s="17" t="str">
        <f aca="false">IF($O276="","",INDEX('Auto Process'!$AO:$AO,$O276))</f>
        <v/>
      </c>
      <c r="O276" s="19" t="str">
        <f aca="false">IFERROR(_xlfn.AGGREGATE(15,6,ROW('Auto Process'!$D$4:$D$503)/('Auto Process'!$D$4:$D$503="Panel Details"),ROW()-1),"")</f>
        <v/>
      </c>
    </row>
    <row r="277" customFormat="false" ht="13.5" hidden="false" customHeight="true" outlineLevel="0" collapsed="false">
      <c r="A277" s="27" t="str">
        <f aca="false">IF($O277="","",INDEX('Auto Process'!$AC:$AC,$O277))</f>
        <v/>
      </c>
      <c r="B277" s="17" t="str">
        <f aca="false">IF($O277="","",INDEX('Auto Process'!$AD:$AD,$O277))</f>
        <v/>
      </c>
      <c r="C277" s="17" t="str">
        <f aca="false">IF($O277="","",INDEX('Auto Process'!$AE:$AE,$O277))</f>
        <v/>
      </c>
      <c r="D277" s="17" t="str">
        <f aca="false">IF($O277="","",INDEX('Auto Process'!$AF:$AF,$O277))</f>
        <v/>
      </c>
      <c r="E277" s="17" t="str">
        <f aca="false">IF($O277="","",INDEX('Auto Process'!$AG:$AG,$O277))</f>
        <v/>
      </c>
      <c r="F277" s="17" t="str">
        <f aca="false">IF($O277="","",INDEX('Auto Process'!$AH:$AH,$O277))</f>
        <v/>
      </c>
      <c r="G277" s="17" t="str">
        <f aca="false">IF($O277="","",INDEX('Auto Process'!$AI:$AI,$O277))</f>
        <v/>
      </c>
      <c r="H277" s="17" t="str">
        <f aca="false">IF($O277="","",INDEX('Auto Process'!$AJ:$AJ,$O277))</f>
        <v/>
      </c>
      <c r="I277" s="17" t="str">
        <f aca="false">IF($O277="","",INDEX('Auto Process'!$AK:$AK,$O277))</f>
        <v/>
      </c>
      <c r="J277" s="17" t="str">
        <f aca="false">IF($O277="","",INDEX('Auto Process'!$AL:$AL,$O277))</f>
        <v/>
      </c>
      <c r="K277" s="17" t="str">
        <f aca="false">IF($O277="","",INDEX('Auto Process'!$AM:$AM,$O277))</f>
        <v/>
      </c>
      <c r="L277" s="17" t="str">
        <f aca="false">IF($O277="","",INDEX('Auto Process'!$AN:$AN,$O277))</f>
        <v/>
      </c>
      <c r="M277" s="17" t="str">
        <f aca="false">IF($O277="","",INDEX('Auto Process'!$AO:$AO,$O277))</f>
        <v/>
      </c>
      <c r="O277" s="19" t="str">
        <f aca="false">IFERROR(_xlfn.AGGREGATE(15,6,ROW('Auto Process'!$D$4:$D$503)/('Auto Process'!$D$4:$D$503="Panel Details"),ROW()-1),"")</f>
        <v/>
      </c>
    </row>
    <row r="278" customFormat="false" ht="13.5" hidden="false" customHeight="true" outlineLevel="0" collapsed="false">
      <c r="A278" s="27" t="str">
        <f aca="false">IF($O278="","",INDEX('Auto Process'!$AC:$AC,$O278))</f>
        <v/>
      </c>
      <c r="B278" s="17" t="str">
        <f aca="false">IF($O278="","",INDEX('Auto Process'!$AD:$AD,$O278))</f>
        <v/>
      </c>
      <c r="C278" s="17" t="str">
        <f aca="false">IF($O278="","",INDEX('Auto Process'!$AE:$AE,$O278))</f>
        <v/>
      </c>
      <c r="D278" s="17" t="str">
        <f aca="false">IF($O278="","",INDEX('Auto Process'!$AF:$AF,$O278))</f>
        <v/>
      </c>
      <c r="E278" s="17" t="str">
        <f aca="false">IF($O278="","",INDEX('Auto Process'!$AG:$AG,$O278))</f>
        <v/>
      </c>
      <c r="F278" s="17" t="str">
        <f aca="false">IF($O278="","",INDEX('Auto Process'!$AH:$AH,$O278))</f>
        <v/>
      </c>
      <c r="G278" s="17" t="str">
        <f aca="false">IF($O278="","",INDEX('Auto Process'!$AI:$AI,$O278))</f>
        <v/>
      </c>
      <c r="H278" s="17" t="str">
        <f aca="false">IF($O278="","",INDEX('Auto Process'!$AJ:$AJ,$O278))</f>
        <v/>
      </c>
      <c r="I278" s="17" t="str">
        <f aca="false">IF($O278="","",INDEX('Auto Process'!$AK:$AK,$O278))</f>
        <v/>
      </c>
      <c r="J278" s="17" t="str">
        <f aca="false">IF($O278="","",INDEX('Auto Process'!$AL:$AL,$O278))</f>
        <v/>
      </c>
      <c r="K278" s="17" t="str">
        <f aca="false">IF($O278="","",INDEX('Auto Process'!$AM:$AM,$O278))</f>
        <v/>
      </c>
      <c r="L278" s="17" t="str">
        <f aca="false">IF($O278="","",INDEX('Auto Process'!$AN:$AN,$O278))</f>
        <v/>
      </c>
      <c r="M278" s="17" t="str">
        <f aca="false">IF($O278="","",INDEX('Auto Process'!$AO:$AO,$O278))</f>
        <v/>
      </c>
      <c r="O278" s="19" t="str">
        <f aca="false">IFERROR(_xlfn.AGGREGATE(15,6,ROW('Auto Process'!$D$4:$D$503)/('Auto Process'!$D$4:$D$503="Panel Details"),ROW()-1),"")</f>
        <v/>
      </c>
    </row>
    <row r="279" customFormat="false" ht="13.5" hidden="false" customHeight="true" outlineLevel="0" collapsed="false">
      <c r="A279" s="27" t="str">
        <f aca="false">IF($O279="","",INDEX('Auto Process'!$AC:$AC,$O279))</f>
        <v/>
      </c>
      <c r="B279" s="17" t="str">
        <f aca="false">IF($O279="","",INDEX('Auto Process'!$AD:$AD,$O279))</f>
        <v/>
      </c>
      <c r="C279" s="17" t="str">
        <f aca="false">IF($O279="","",INDEX('Auto Process'!$AE:$AE,$O279))</f>
        <v/>
      </c>
      <c r="D279" s="17" t="str">
        <f aca="false">IF($O279="","",INDEX('Auto Process'!$AF:$AF,$O279))</f>
        <v/>
      </c>
      <c r="E279" s="17" t="str">
        <f aca="false">IF($O279="","",INDEX('Auto Process'!$AG:$AG,$O279))</f>
        <v/>
      </c>
      <c r="F279" s="17" t="str">
        <f aca="false">IF($O279="","",INDEX('Auto Process'!$AH:$AH,$O279))</f>
        <v/>
      </c>
      <c r="G279" s="17" t="str">
        <f aca="false">IF($O279="","",INDEX('Auto Process'!$AI:$AI,$O279))</f>
        <v/>
      </c>
      <c r="H279" s="17" t="str">
        <f aca="false">IF($O279="","",INDEX('Auto Process'!$AJ:$AJ,$O279))</f>
        <v/>
      </c>
      <c r="I279" s="17" t="str">
        <f aca="false">IF($O279="","",INDEX('Auto Process'!$AK:$AK,$O279))</f>
        <v/>
      </c>
      <c r="J279" s="17" t="str">
        <f aca="false">IF($O279="","",INDEX('Auto Process'!$AL:$AL,$O279))</f>
        <v/>
      </c>
      <c r="K279" s="17" t="str">
        <f aca="false">IF($O279="","",INDEX('Auto Process'!$AM:$AM,$O279))</f>
        <v/>
      </c>
      <c r="L279" s="17" t="str">
        <f aca="false">IF($O279="","",INDEX('Auto Process'!$AN:$AN,$O279))</f>
        <v/>
      </c>
      <c r="M279" s="17" t="str">
        <f aca="false">IF($O279="","",INDEX('Auto Process'!$AO:$AO,$O279))</f>
        <v/>
      </c>
      <c r="O279" s="19" t="str">
        <f aca="false">IFERROR(_xlfn.AGGREGATE(15,6,ROW('Auto Process'!$D$4:$D$503)/('Auto Process'!$D$4:$D$503="Panel Details"),ROW()-1),"")</f>
        <v/>
      </c>
    </row>
    <row r="280" customFormat="false" ht="13.5" hidden="false" customHeight="true" outlineLevel="0" collapsed="false">
      <c r="A280" s="27" t="str">
        <f aca="false">IF($O280="","",INDEX('Auto Process'!$AC:$AC,$O280))</f>
        <v/>
      </c>
      <c r="B280" s="17" t="str">
        <f aca="false">IF($O280="","",INDEX('Auto Process'!$AD:$AD,$O280))</f>
        <v/>
      </c>
      <c r="C280" s="17" t="str">
        <f aca="false">IF($O280="","",INDEX('Auto Process'!$AE:$AE,$O280))</f>
        <v/>
      </c>
      <c r="D280" s="17" t="str">
        <f aca="false">IF($O280="","",INDEX('Auto Process'!$AF:$AF,$O280))</f>
        <v/>
      </c>
      <c r="E280" s="17" t="str">
        <f aca="false">IF($O280="","",INDEX('Auto Process'!$AG:$AG,$O280))</f>
        <v/>
      </c>
      <c r="F280" s="17" t="str">
        <f aca="false">IF($O280="","",INDEX('Auto Process'!$AH:$AH,$O280))</f>
        <v/>
      </c>
      <c r="G280" s="17" t="str">
        <f aca="false">IF($O280="","",INDEX('Auto Process'!$AI:$AI,$O280))</f>
        <v/>
      </c>
      <c r="H280" s="17" t="str">
        <f aca="false">IF($O280="","",INDEX('Auto Process'!$AJ:$AJ,$O280))</f>
        <v/>
      </c>
      <c r="I280" s="17" t="str">
        <f aca="false">IF($O280="","",INDEX('Auto Process'!$AK:$AK,$O280))</f>
        <v/>
      </c>
      <c r="J280" s="17" t="str">
        <f aca="false">IF($O280="","",INDEX('Auto Process'!$AL:$AL,$O280))</f>
        <v/>
      </c>
      <c r="K280" s="17" t="str">
        <f aca="false">IF($O280="","",INDEX('Auto Process'!$AM:$AM,$O280))</f>
        <v/>
      </c>
      <c r="L280" s="17" t="str">
        <f aca="false">IF($O280="","",INDEX('Auto Process'!$AN:$AN,$O280))</f>
        <v/>
      </c>
      <c r="M280" s="17" t="str">
        <f aca="false">IF($O280="","",INDEX('Auto Process'!$AO:$AO,$O280))</f>
        <v/>
      </c>
      <c r="O280" s="19" t="str">
        <f aca="false">IFERROR(_xlfn.AGGREGATE(15,6,ROW('Auto Process'!$D$4:$D$503)/('Auto Process'!$D$4:$D$503="Panel Details"),ROW()-1),"")</f>
        <v/>
      </c>
    </row>
    <row r="281" customFormat="false" ht="13.5" hidden="false" customHeight="true" outlineLevel="0" collapsed="false">
      <c r="A281" s="27" t="str">
        <f aca="false">IF($O281="","",INDEX('Auto Process'!$AC:$AC,$O281))</f>
        <v/>
      </c>
      <c r="B281" s="17" t="str">
        <f aca="false">IF($O281="","",INDEX('Auto Process'!$AD:$AD,$O281))</f>
        <v/>
      </c>
      <c r="C281" s="17" t="str">
        <f aca="false">IF($O281="","",INDEX('Auto Process'!$AE:$AE,$O281))</f>
        <v/>
      </c>
      <c r="D281" s="17" t="str">
        <f aca="false">IF($O281="","",INDEX('Auto Process'!$AF:$AF,$O281))</f>
        <v/>
      </c>
      <c r="E281" s="17" t="str">
        <f aca="false">IF($O281="","",INDEX('Auto Process'!$AG:$AG,$O281))</f>
        <v/>
      </c>
      <c r="F281" s="17" t="str">
        <f aca="false">IF($O281="","",INDEX('Auto Process'!$AH:$AH,$O281))</f>
        <v/>
      </c>
      <c r="G281" s="17" t="str">
        <f aca="false">IF($O281="","",INDEX('Auto Process'!$AI:$AI,$O281))</f>
        <v/>
      </c>
      <c r="H281" s="17" t="str">
        <f aca="false">IF($O281="","",INDEX('Auto Process'!$AJ:$AJ,$O281))</f>
        <v/>
      </c>
      <c r="I281" s="17" t="str">
        <f aca="false">IF($O281="","",INDEX('Auto Process'!$AK:$AK,$O281))</f>
        <v/>
      </c>
      <c r="J281" s="17" t="str">
        <f aca="false">IF($O281="","",INDEX('Auto Process'!$AL:$AL,$O281))</f>
        <v/>
      </c>
      <c r="K281" s="17" t="str">
        <f aca="false">IF($O281="","",INDEX('Auto Process'!$AM:$AM,$O281))</f>
        <v/>
      </c>
      <c r="L281" s="17" t="str">
        <f aca="false">IF($O281="","",INDEX('Auto Process'!$AN:$AN,$O281))</f>
        <v/>
      </c>
      <c r="M281" s="17" t="str">
        <f aca="false">IF($O281="","",INDEX('Auto Process'!$AO:$AO,$O281))</f>
        <v/>
      </c>
      <c r="O281" s="19" t="str">
        <f aca="false">IFERROR(_xlfn.AGGREGATE(15,6,ROW('Auto Process'!$D$4:$D$503)/('Auto Process'!$D$4:$D$503="Panel Details"),ROW()-1),"")</f>
        <v/>
      </c>
    </row>
    <row r="282" customFormat="false" ht="13.5" hidden="false" customHeight="true" outlineLevel="0" collapsed="false">
      <c r="A282" s="27" t="str">
        <f aca="false">IF($O282="","",INDEX('Auto Process'!$AC:$AC,$O282))</f>
        <v/>
      </c>
      <c r="B282" s="17" t="str">
        <f aca="false">IF($O282="","",INDEX('Auto Process'!$AD:$AD,$O282))</f>
        <v/>
      </c>
      <c r="C282" s="17" t="str">
        <f aca="false">IF($O282="","",INDEX('Auto Process'!$AE:$AE,$O282))</f>
        <v/>
      </c>
      <c r="D282" s="17" t="str">
        <f aca="false">IF($O282="","",INDEX('Auto Process'!$AF:$AF,$O282))</f>
        <v/>
      </c>
      <c r="E282" s="17" t="str">
        <f aca="false">IF($O282="","",INDEX('Auto Process'!$AG:$AG,$O282))</f>
        <v/>
      </c>
      <c r="F282" s="17" t="str">
        <f aca="false">IF($O282="","",INDEX('Auto Process'!$AH:$AH,$O282))</f>
        <v/>
      </c>
      <c r="G282" s="17" t="str">
        <f aca="false">IF($O282="","",INDEX('Auto Process'!$AI:$AI,$O282))</f>
        <v/>
      </c>
      <c r="H282" s="17" t="str">
        <f aca="false">IF($O282="","",INDEX('Auto Process'!$AJ:$AJ,$O282))</f>
        <v/>
      </c>
      <c r="I282" s="17" t="str">
        <f aca="false">IF($O282="","",INDEX('Auto Process'!$AK:$AK,$O282))</f>
        <v/>
      </c>
      <c r="J282" s="17" t="str">
        <f aca="false">IF($O282="","",INDEX('Auto Process'!$AL:$AL,$O282))</f>
        <v/>
      </c>
      <c r="K282" s="17" t="str">
        <f aca="false">IF($O282="","",INDEX('Auto Process'!$AM:$AM,$O282))</f>
        <v/>
      </c>
      <c r="L282" s="17" t="str">
        <f aca="false">IF($O282="","",INDEX('Auto Process'!$AN:$AN,$O282))</f>
        <v/>
      </c>
      <c r="M282" s="17" t="str">
        <f aca="false">IF($O282="","",INDEX('Auto Process'!$AO:$AO,$O282))</f>
        <v/>
      </c>
      <c r="O282" s="19" t="str">
        <f aca="false">IFERROR(_xlfn.AGGREGATE(15,6,ROW('Auto Process'!$D$4:$D$503)/('Auto Process'!$D$4:$D$503="Panel Details"),ROW()-1),"")</f>
        <v/>
      </c>
    </row>
    <row r="283" customFormat="false" ht="13.5" hidden="false" customHeight="true" outlineLevel="0" collapsed="false">
      <c r="A283" s="27" t="str">
        <f aca="false">IF($O283="","",INDEX('Auto Process'!$AC:$AC,$O283))</f>
        <v/>
      </c>
      <c r="B283" s="17" t="str">
        <f aca="false">IF($O283="","",INDEX('Auto Process'!$AD:$AD,$O283))</f>
        <v/>
      </c>
      <c r="C283" s="17" t="str">
        <f aca="false">IF($O283="","",INDEX('Auto Process'!$AE:$AE,$O283))</f>
        <v/>
      </c>
      <c r="D283" s="17" t="str">
        <f aca="false">IF($O283="","",INDEX('Auto Process'!$AF:$AF,$O283))</f>
        <v/>
      </c>
      <c r="E283" s="17" t="str">
        <f aca="false">IF($O283="","",INDEX('Auto Process'!$AG:$AG,$O283))</f>
        <v/>
      </c>
      <c r="F283" s="17" t="str">
        <f aca="false">IF($O283="","",INDEX('Auto Process'!$AH:$AH,$O283))</f>
        <v/>
      </c>
      <c r="G283" s="17" t="str">
        <f aca="false">IF($O283="","",INDEX('Auto Process'!$AI:$AI,$O283))</f>
        <v/>
      </c>
      <c r="H283" s="17" t="str">
        <f aca="false">IF($O283="","",INDEX('Auto Process'!$AJ:$AJ,$O283))</f>
        <v/>
      </c>
      <c r="I283" s="17" t="str">
        <f aca="false">IF($O283="","",INDEX('Auto Process'!$AK:$AK,$O283))</f>
        <v/>
      </c>
      <c r="J283" s="17" t="str">
        <f aca="false">IF($O283="","",INDEX('Auto Process'!$AL:$AL,$O283))</f>
        <v/>
      </c>
      <c r="K283" s="17" t="str">
        <f aca="false">IF($O283="","",INDEX('Auto Process'!$AM:$AM,$O283))</f>
        <v/>
      </c>
      <c r="L283" s="17" t="str">
        <f aca="false">IF($O283="","",INDEX('Auto Process'!$AN:$AN,$O283))</f>
        <v/>
      </c>
      <c r="M283" s="17" t="str">
        <f aca="false">IF($O283="","",INDEX('Auto Process'!$AO:$AO,$O283))</f>
        <v/>
      </c>
      <c r="O283" s="19" t="str">
        <f aca="false">IFERROR(_xlfn.AGGREGATE(15,6,ROW('Auto Process'!$D$4:$D$503)/('Auto Process'!$D$4:$D$503="Panel Details"),ROW()-1),"")</f>
        <v/>
      </c>
    </row>
    <row r="284" customFormat="false" ht="13.5" hidden="false" customHeight="true" outlineLevel="0" collapsed="false">
      <c r="A284" s="27" t="str">
        <f aca="false">IF($O284="","",INDEX('Auto Process'!$AC:$AC,$O284))</f>
        <v/>
      </c>
      <c r="B284" s="17" t="str">
        <f aca="false">IF($O284="","",INDEX('Auto Process'!$AD:$AD,$O284))</f>
        <v/>
      </c>
      <c r="C284" s="17" t="str">
        <f aca="false">IF($O284="","",INDEX('Auto Process'!$AE:$AE,$O284))</f>
        <v/>
      </c>
      <c r="D284" s="17" t="str">
        <f aca="false">IF($O284="","",INDEX('Auto Process'!$AF:$AF,$O284))</f>
        <v/>
      </c>
      <c r="E284" s="17" t="str">
        <f aca="false">IF($O284="","",INDEX('Auto Process'!$AG:$AG,$O284))</f>
        <v/>
      </c>
      <c r="F284" s="17" t="str">
        <f aca="false">IF($O284="","",INDEX('Auto Process'!$AH:$AH,$O284))</f>
        <v/>
      </c>
      <c r="G284" s="17" t="str">
        <f aca="false">IF($O284="","",INDEX('Auto Process'!$AI:$AI,$O284))</f>
        <v/>
      </c>
      <c r="H284" s="17" t="str">
        <f aca="false">IF($O284="","",INDEX('Auto Process'!$AJ:$AJ,$O284))</f>
        <v/>
      </c>
      <c r="I284" s="17" t="str">
        <f aca="false">IF($O284="","",INDEX('Auto Process'!$AK:$AK,$O284))</f>
        <v/>
      </c>
      <c r="J284" s="17" t="str">
        <f aca="false">IF($O284="","",INDEX('Auto Process'!$AL:$AL,$O284))</f>
        <v/>
      </c>
      <c r="K284" s="17" t="str">
        <f aca="false">IF($O284="","",INDEX('Auto Process'!$AM:$AM,$O284))</f>
        <v/>
      </c>
      <c r="L284" s="17" t="str">
        <f aca="false">IF($O284="","",INDEX('Auto Process'!$AN:$AN,$O284))</f>
        <v/>
      </c>
      <c r="M284" s="17" t="str">
        <f aca="false">IF($O284="","",INDEX('Auto Process'!$AO:$AO,$O284))</f>
        <v/>
      </c>
      <c r="O284" s="19" t="str">
        <f aca="false">IFERROR(_xlfn.AGGREGATE(15,6,ROW('Auto Process'!$D$4:$D$503)/('Auto Process'!$D$4:$D$503="Panel Details"),ROW()-1),"")</f>
        <v/>
      </c>
    </row>
    <row r="285" customFormat="false" ht="13.5" hidden="false" customHeight="true" outlineLevel="0" collapsed="false">
      <c r="A285" s="27" t="str">
        <f aca="false">IF($O285="","",INDEX('Auto Process'!$AC:$AC,$O285))</f>
        <v/>
      </c>
      <c r="B285" s="17" t="str">
        <f aca="false">IF($O285="","",INDEX('Auto Process'!$AD:$AD,$O285))</f>
        <v/>
      </c>
      <c r="C285" s="17" t="str">
        <f aca="false">IF($O285="","",INDEX('Auto Process'!$AE:$AE,$O285))</f>
        <v/>
      </c>
      <c r="D285" s="17" t="str">
        <f aca="false">IF($O285="","",INDEX('Auto Process'!$AF:$AF,$O285))</f>
        <v/>
      </c>
      <c r="E285" s="17" t="str">
        <f aca="false">IF($O285="","",INDEX('Auto Process'!$AG:$AG,$O285))</f>
        <v/>
      </c>
      <c r="F285" s="17" t="str">
        <f aca="false">IF($O285="","",INDEX('Auto Process'!$AH:$AH,$O285))</f>
        <v/>
      </c>
      <c r="G285" s="17" t="str">
        <f aca="false">IF($O285="","",INDEX('Auto Process'!$AI:$AI,$O285))</f>
        <v/>
      </c>
      <c r="H285" s="17" t="str">
        <f aca="false">IF($O285="","",INDEX('Auto Process'!$AJ:$AJ,$O285))</f>
        <v/>
      </c>
      <c r="I285" s="17" t="str">
        <f aca="false">IF($O285="","",INDEX('Auto Process'!$AK:$AK,$O285))</f>
        <v/>
      </c>
      <c r="J285" s="17" t="str">
        <f aca="false">IF($O285="","",INDEX('Auto Process'!$AL:$AL,$O285))</f>
        <v/>
      </c>
      <c r="K285" s="17" t="str">
        <f aca="false">IF($O285="","",INDEX('Auto Process'!$AM:$AM,$O285))</f>
        <v/>
      </c>
      <c r="L285" s="17" t="str">
        <f aca="false">IF($O285="","",INDEX('Auto Process'!$AN:$AN,$O285))</f>
        <v/>
      </c>
      <c r="M285" s="17" t="str">
        <f aca="false">IF($O285="","",INDEX('Auto Process'!$AO:$AO,$O285))</f>
        <v/>
      </c>
      <c r="O285" s="19" t="str">
        <f aca="false">IFERROR(_xlfn.AGGREGATE(15,6,ROW('Auto Process'!$D$4:$D$503)/('Auto Process'!$D$4:$D$503="Panel Details"),ROW()-1),"")</f>
        <v/>
      </c>
    </row>
    <row r="286" customFormat="false" ht="13.5" hidden="false" customHeight="true" outlineLevel="0" collapsed="false">
      <c r="A286" s="27" t="str">
        <f aca="false">IF($O286="","",INDEX('Auto Process'!$AC:$AC,$O286))</f>
        <v/>
      </c>
      <c r="B286" s="17" t="str">
        <f aca="false">IF($O286="","",INDEX('Auto Process'!$AD:$AD,$O286))</f>
        <v/>
      </c>
      <c r="C286" s="17" t="str">
        <f aca="false">IF($O286="","",INDEX('Auto Process'!$AE:$AE,$O286))</f>
        <v/>
      </c>
      <c r="D286" s="17" t="str">
        <f aca="false">IF($O286="","",INDEX('Auto Process'!$AF:$AF,$O286))</f>
        <v/>
      </c>
      <c r="E286" s="17" t="str">
        <f aca="false">IF($O286="","",INDEX('Auto Process'!$AG:$AG,$O286))</f>
        <v/>
      </c>
      <c r="F286" s="17" t="str">
        <f aca="false">IF($O286="","",INDEX('Auto Process'!$AH:$AH,$O286))</f>
        <v/>
      </c>
      <c r="G286" s="17" t="str">
        <f aca="false">IF($O286="","",INDEX('Auto Process'!$AI:$AI,$O286))</f>
        <v/>
      </c>
      <c r="H286" s="17" t="str">
        <f aca="false">IF($O286="","",INDEX('Auto Process'!$AJ:$AJ,$O286))</f>
        <v/>
      </c>
      <c r="I286" s="17" t="str">
        <f aca="false">IF($O286="","",INDEX('Auto Process'!$AK:$AK,$O286))</f>
        <v/>
      </c>
      <c r="J286" s="17" t="str">
        <f aca="false">IF($O286="","",INDEX('Auto Process'!$AL:$AL,$O286))</f>
        <v/>
      </c>
      <c r="K286" s="17" t="str">
        <f aca="false">IF($O286="","",INDEX('Auto Process'!$AM:$AM,$O286))</f>
        <v/>
      </c>
      <c r="L286" s="17" t="str">
        <f aca="false">IF($O286="","",INDEX('Auto Process'!$AN:$AN,$O286))</f>
        <v/>
      </c>
      <c r="M286" s="17" t="str">
        <f aca="false">IF($O286="","",INDEX('Auto Process'!$AO:$AO,$O286))</f>
        <v/>
      </c>
      <c r="O286" s="19" t="str">
        <f aca="false">IFERROR(_xlfn.AGGREGATE(15,6,ROW('Auto Process'!$D$4:$D$503)/('Auto Process'!$D$4:$D$503="Panel Details"),ROW()-1),"")</f>
        <v/>
      </c>
    </row>
    <row r="287" customFormat="false" ht="13.5" hidden="false" customHeight="true" outlineLevel="0" collapsed="false">
      <c r="A287" s="27" t="str">
        <f aca="false">IF($O287="","",INDEX('Auto Process'!$AC:$AC,$O287))</f>
        <v/>
      </c>
      <c r="B287" s="17" t="str">
        <f aca="false">IF($O287="","",INDEX('Auto Process'!$AD:$AD,$O287))</f>
        <v/>
      </c>
      <c r="C287" s="17" t="str">
        <f aca="false">IF($O287="","",INDEX('Auto Process'!$AE:$AE,$O287))</f>
        <v/>
      </c>
      <c r="D287" s="17" t="str">
        <f aca="false">IF($O287="","",INDEX('Auto Process'!$AF:$AF,$O287))</f>
        <v/>
      </c>
      <c r="E287" s="17" t="str">
        <f aca="false">IF($O287="","",INDEX('Auto Process'!$AG:$AG,$O287))</f>
        <v/>
      </c>
      <c r="F287" s="17" t="str">
        <f aca="false">IF($O287="","",INDEX('Auto Process'!$AH:$AH,$O287))</f>
        <v/>
      </c>
      <c r="G287" s="17" t="str">
        <f aca="false">IF($O287="","",INDEX('Auto Process'!$AI:$AI,$O287))</f>
        <v/>
      </c>
      <c r="H287" s="17" t="str">
        <f aca="false">IF($O287="","",INDEX('Auto Process'!$AJ:$AJ,$O287))</f>
        <v/>
      </c>
      <c r="I287" s="17" t="str">
        <f aca="false">IF($O287="","",INDEX('Auto Process'!$AK:$AK,$O287))</f>
        <v/>
      </c>
      <c r="J287" s="17" t="str">
        <f aca="false">IF($O287="","",INDEX('Auto Process'!$AL:$AL,$O287))</f>
        <v/>
      </c>
      <c r="K287" s="17" t="str">
        <f aca="false">IF($O287="","",INDEX('Auto Process'!$AM:$AM,$O287))</f>
        <v/>
      </c>
      <c r="L287" s="17" t="str">
        <f aca="false">IF($O287="","",INDEX('Auto Process'!$AN:$AN,$O287))</f>
        <v/>
      </c>
      <c r="M287" s="17" t="str">
        <f aca="false">IF($O287="","",INDEX('Auto Process'!$AO:$AO,$O287))</f>
        <v/>
      </c>
      <c r="O287" s="19" t="str">
        <f aca="false">IFERROR(_xlfn.AGGREGATE(15,6,ROW('Auto Process'!$D$4:$D$503)/('Auto Process'!$D$4:$D$503="Panel Details"),ROW()-1),"")</f>
        <v/>
      </c>
    </row>
    <row r="288" customFormat="false" ht="13.5" hidden="false" customHeight="true" outlineLevel="0" collapsed="false">
      <c r="A288" s="27" t="str">
        <f aca="false">IF($O288="","",INDEX('Auto Process'!$AC:$AC,$O288))</f>
        <v/>
      </c>
      <c r="B288" s="17" t="str">
        <f aca="false">IF($O288="","",INDEX('Auto Process'!$AD:$AD,$O288))</f>
        <v/>
      </c>
      <c r="C288" s="17" t="str">
        <f aca="false">IF($O288="","",INDEX('Auto Process'!$AE:$AE,$O288))</f>
        <v/>
      </c>
      <c r="D288" s="17" t="str">
        <f aca="false">IF($O288="","",INDEX('Auto Process'!$AF:$AF,$O288))</f>
        <v/>
      </c>
      <c r="E288" s="17" t="str">
        <f aca="false">IF($O288="","",INDEX('Auto Process'!$AG:$AG,$O288))</f>
        <v/>
      </c>
      <c r="F288" s="17" t="str">
        <f aca="false">IF($O288="","",INDEX('Auto Process'!$AH:$AH,$O288))</f>
        <v/>
      </c>
      <c r="G288" s="17" t="str">
        <f aca="false">IF($O288="","",INDEX('Auto Process'!$AI:$AI,$O288))</f>
        <v/>
      </c>
      <c r="H288" s="17" t="str">
        <f aca="false">IF($O288="","",INDEX('Auto Process'!$AJ:$AJ,$O288))</f>
        <v/>
      </c>
      <c r="I288" s="17" t="str">
        <f aca="false">IF($O288="","",INDEX('Auto Process'!$AK:$AK,$O288))</f>
        <v/>
      </c>
      <c r="J288" s="17" t="str">
        <f aca="false">IF($O288="","",INDEX('Auto Process'!$AL:$AL,$O288))</f>
        <v/>
      </c>
      <c r="K288" s="17" t="str">
        <f aca="false">IF($O288="","",INDEX('Auto Process'!$AM:$AM,$O288))</f>
        <v/>
      </c>
      <c r="L288" s="17" t="str">
        <f aca="false">IF($O288="","",INDEX('Auto Process'!$AN:$AN,$O288))</f>
        <v/>
      </c>
      <c r="M288" s="17" t="str">
        <f aca="false">IF($O288="","",INDEX('Auto Process'!$AO:$AO,$O288))</f>
        <v/>
      </c>
      <c r="O288" s="19" t="str">
        <f aca="false">IFERROR(_xlfn.AGGREGATE(15,6,ROW('Auto Process'!$D$4:$D$503)/('Auto Process'!$D$4:$D$503="Panel Details"),ROW()-1),"")</f>
        <v/>
      </c>
    </row>
    <row r="289" customFormat="false" ht="13.5" hidden="false" customHeight="true" outlineLevel="0" collapsed="false">
      <c r="A289" s="27" t="str">
        <f aca="false">IF($O289="","",INDEX('Auto Process'!$AC:$AC,$O289))</f>
        <v/>
      </c>
      <c r="B289" s="17" t="str">
        <f aca="false">IF($O289="","",INDEX('Auto Process'!$AD:$AD,$O289))</f>
        <v/>
      </c>
      <c r="C289" s="17" t="str">
        <f aca="false">IF($O289="","",INDEX('Auto Process'!$AE:$AE,$O289))</f>
        <v/>
      </c>
      <c r="D289" s="17" t="str">
        <f aca="false">IF($O289="","",INDEX('Auto Process'!$AF:$AF,$O289))</f>
        <v/>
      </c>
      <c r="E289" s="17" t="str">
        <f aca="false">IF($O289="","",INDEX('Auto Process'!$AG:$AG,$O289))</f>
        <v/>
      </c>
      <c r="F289" s="17" t="str">
        <f aca="false">IF($O289="","",INDEX('Auto Process'!$AH:$AH,$O289))</f>
        <v/>
      </c>
      <c r="G289" s="17" t="str">
        <f aca="false">IF($O289="","",INDEX('Auto Process'!$AI:$AI,$O289))</f>
        <v/>
      </c>
      <c r="H289" s="17" t="str">
        <f aca="false">IF($O289="","",INDEX('Auto Process'!$AJ:$AJ,$O289))</f>
        <v/>
      </c>
      <c r="I289" s="17" t="str">
        <f aca="false">IF($O289="","",INDEX('Auto Process'!$AK:$AK,$O289))</f>
        <v/>
      </c>
      <c r="J289" s="17" t="str">
        <f aca="false">IF($O289="","",INDEX('Auto Process'!$AL:$AL,$O289))</f>
        <v/>
      </c>
      <c r="K289" s="17" t="str">
        <f aca="false">IF($O289="","",INDEX('Auto Process'!$AM:$AM,$O289))</f>
        <v/>
      </c>
      <c r="L289" s="17" t="str">
        <f aca="false">IF($O289="","",INDEX('Auto Process'!$AN:$AN,$O289))</f>
        <v/>
      </c>
      <c r="M289" s="17" t="str">
        <f aca="false">IF($O289="","",INDEX('Auto Process'!$AO:$AO,$O289))</f>
        <v/>
      </c>
      <c r="O289" s="19" t="str">
        <f aca="false">IFERROR(_xlfn.AGGREGATE(15,6,ROW('Auto Process'!$D$4:$D$503)/('Auto Process'!$D$4:$D$503="Panel Details"),ROW()-1),"")</f>
        <v/>
      </c>
    </row>
    <row r="290" customFormat="false" ht="13.5" hidden="false" customHeight="true" outlineLevel="0" collapsed="false">
      <c r="A290" s="27" t="str">
        <f aca="false">IF($O290="","",INDEX('Auto Process'!$AC:$AC,$O290))</f>
        <v/>
      </c>
      <c r="B290" s="17" t="str">
        <f aca="false">IF($O290="","",INDEX('Auto Process'!$AD:$AD,$O290))</f>
        <v/>
      </c>
      <c r="C290" s="17" t="str">
        <f aca="false">IF($O290="","",INDEX('Auto Process'!$AE:$AE,$O290))</f>
        <v/>
      </c>
      <c r="D290" s="17" t="str">
        <f aca="false">IF($O290="","",INDEX('Auto Process'!$AF:$AF,$O290))</f>
        <v/>
      </c>
      <c r="E290" s="17" t="str">
        <f aca="false">IF($O290="","",INDEX('Auto Process'!$AG:$AG,$O290))</f>
        <v/>
      </c>
      <c r="F290" s="17" t="str">
        <f aca="false">IF($O290="","",INDEX('Auto Process'!$AH:$AH,$O290))</f>
        <v/>
      </c>
      <c r="G290" s="17" t="str">
        <f aca="false">IF($O290="","",INDEX('Auto Process'!$AI:$AI,$O290))</f>
        <v/>
      </c>
      <c r="H290" s="17" t="str">
        <f aca="false">IF($O290="","",INDEX('Auto Process'!$AJ:$AJ,$O290))</f>
        <v/>
      </c>
      <c r="I290" s="17" t="str">
        <f aca="false">IF($O290="","",INDEX('Auto Process'!$AK:$AK,$O290))</f>
        <v/>
      </c>
      <c r="J290" s="17" t="str">
        <f aca="false">IF($O290="","",INDEX('Auto Process'!$AL:$AL,$O290))</f>
        <v/>
      </c>
      <c r="K290" s="17" t="str">
        <f aca="false">IF($O290="","",INDEX('Auto Process'!$AM:$AM,$O290))</f>
        <v/>
      </c>
      <c r="L290" s="17" t="str">
        <f aca="false">IF($O290="","",INDEX('Auto Process'!$AN:$AN,$O290))</f>
        <v/>
      </c>
      <c r="M290" s="17" t="str">
        <f aca="false">IF($O290="","",INDEX('Auto Process'!$AO:$AO,$O290))</f>
        <v/>
      </c>
      <c r="O290" s="19" t="str">
        <f aca="false">IFERROR(_xlfn.AGGREGATE(15,6,ROW('Auto Process'!$D$4:$D$503)/('Auto Process'!$D$4:$D$503="Panel Details"),ROW()-1),"")</f>
        <v/>
      </c>
    </row>
    <row r="291" customFormat="false" ht="13.5" hidden="false" customHeight="true" outlineLevel="0" collapsed="false">
      <c r="A291" s="27" t="str">
        <f aca="false">IF($O291="","",INDEX('Auto Process'!$AC:$AC,$O291))</f>
        <v/>
      </c>
      <c r="B291" s="17" t="str">
        <f aca="false">IF($O291="","",INDEX('Auto Process'!$AD:$AD,$O291))</f>
        <v/>
      </c>
      <c r="C291" s="17" t="str">
        <f aca="false">IF($O291="","",INDEX('Auto Process'!$AE:$AE,$O291))</f>
        <v/>
      </c>
      <c r="D291" s="17" t="str">
        <f aca="false">IF($O291="","",INDEX('Auto Process'!$AF:$AF,$O291))</f>
        <v/>
      </c>
      <c r="E291" s="17" t="str">
        <f aca="false">IF($O291="","",INDEX('Auto Process'!$AG:$AG,$O291))</f>
        <v/>
      </c>
      <c r="F291" s="17" t="str">
        <f aca="false">IF($O291="","",INDEX('Auto Process'!$AH:$AH,$O291))</f>
        <v/>
      </c>
      <c r="G291" s="17" t="str">
        <f aca="false">IF($O291="","",INDEX('Auto Process'!$AI:$AI,$O291))</f>
        <v/>
      </c>
      <c r="H291" s="17" t="str">
        <f aca="false">IF($O291="","",INDEX('Auto Process'!$AJ:$AJ,$O291))</f>
        <v/>
      </c>
      <c r="I291" s="17" t="str">
        <f aca="false">IF($O291="","",INDEX('Auto Process'!$AK:$AK,$O291))</f>
        <v/>
      </c>
      <c r="J291" s="17" t="str">
        <f aca="false">IF($O291="","",INDEX('Auto Process'!$AL:$AL,$O291))</f>
        <v/>
      </c>
      <c r="K291" s="17" t="str">
        <f aca="false">IF($O291="","",INDEX('Auto Process'!$AM:$AM,$O291))</f>
        <v/>
      </c>
      <c r="L291" s="17" t="str">
        <f aca="false">IF($O291="","",INDEX('Auto Process'!$AN:$AN,$O291))</f>
        <v/>
      </c>
      <c r="M291" s="17" t="str">
        <f aca="false">IF($O291="","",INDEX('Auto Process'!$AO:$AO,$O291))</f>
        <v/>
      </c>
      <c r="O291" s="19" t="str">
        <f aca="false">IFERROR(_xlfn.AGGREGATE(15,6,ROW('Auto Process'!$D$4:$D$503)/('Auto Process'!$D$4:$D$503="Panel Details"),ROW()-1),"")</f>
        <v/>
      </c>
    </row>
    <row r="292" customFormat="false" ht="13.5" hidden="false" customHeight="true" outlineLevel="0" collapsed="false">
      <c r="A292" s="27" t="str">
        <f aca="false">IF($O292="","",INDEX('Auto Process'!$AC:$AC,$O292))</f>
        <v/>
      </c>
      <c r="B292" s="17" t="str">
        <f aca="false">IF($O292="","",INDEX('Auto Process'!$AD:$AD,$O292))</f>
        <v/>
      </c>
      <c r="C292" s="17" t="str">
        <f aca="false">IF($O292="","",INDEX('Auto Process'!$AE:$AE,$O292))</f>
        <v/>
      </c>
      <c r="D292" s="17" t="str">
        <f aca="false">IF($O292="","",INDEX('Auto Process'!$AF:$AF,$O292))</f>
        <v/>
      </c>
      <c r="E292" s="17" t="str">
        <f aca="false">IF($O292="","",INDEX('Auto Process'!$AG:$AG,$O292))</f>
        <v/>
      </c>
      <c r="F292" s="17" t="str">
        <f aca="false">IF($O292="","",INDEX('Auto Process'!$AH:$AH,$O292))</f>
        <v/>
      </c>
      <c r="G292" s="17" t="str">
        <f aca="false">IF($O292="","",INDEX('Auto Process'!$AI:$AI,$O292))</f>
        <v/>
      </c>
      <c r="H292" s="17" t="str">
        <f aca="false">IF($O292="","",INDEX('Auto Process'!$AJ:$AJ,$O292))</f>
        <v/>
      </c>
      <c r="I292" s="17" t="str">
        <f aca="false">IF($O292="","",INDEX('Auto Process'!$AK:$AK,$O292))</f>
        <v/>
      </c>
      <c r="J292" s="17" t="str">
        <f aca="false">IF($O292="","",INDEX('Auto Process'!$AL:$AL,$O292))</f>
        <v/>
      </c>
      <c r="K292" s="17" t="str">
        <f aca="false">IF($O292="","",INDEX('Auto Process'!$AM:$AM,$O292))</f>
        <v/>
      </c>
      <c r="L292" s="17" t="str">
        <f aca="false">IF($O292="","",INDEX('Auto Process'!$AN:$AN,$O292))</f>
        <v/>
      </c>
      <c r="M292" s="17" t="str">
        <f aca="false">IF($O292="","",INDEX('Auto Process'!$AO:$AO,$O292))</f>
        <v/>
      </c>
      <c r="O292" s="19" t="str">
        <f aca="false">IFERROR(_xlfn.AGGREGATE(15,6,ROW('Auto Process'!$D$4:$D$503)/('Auto Process'!$D$4:$D$503="Panel Details"),ROW()-1),"")</f>
        <v/>
      </c>
    </row>
    <row r="293" customFormat="false" ht="13.5" hidden="false" customHeight="true" outlineLevel="0" collapsed="false">
      <c r="A293" s="27" t="str">
        <f aca="false">IF($O293="","",INDEX('Auto Process'!$AC:$AC,$O293))</f>
        <v/>
      </c>
      <c r="B293" s="17" t="str">
        <f aca="false">IF($O293="","",INDEX('Auto Process'!$AD:$AD,$O293))</f>
        <v/>
      </c>
      <c r="C293" s="17" t="str">
        <f aca="false">IF($O293="","",INDEX('Auto Process'!$AE:$AE,$O293))</f>
        <v/>
      </c>
      <c r="D293" s="17" t="str">
        <f aca="false">IF($O293="","",INDEX('Auto Process'!$AF:$AF,$O293))</f>
        <v/>
      </c>
      <c r="E293" s="17" t="str">
        <f aca="false">IF($O293="","",INDEX('Auto Process'!$AG:$AG,$O293))</f>
        <v/>
      </c>
      <c r="F293" s="17" t="str">
        <f aca="false">IF($O293="","",INDEX('Auto Process'!$AH:$AH,$O293))</f>
        <v/>
      </c>
      <c r="G293" s="17" t="str">
        <f aca="false">IF($O293="","",INDEX('Auto Process'!$AI:$AI,$O293))</f>
        <v/>
      </c>
      <c r="H293" s="17" t="str">
        <f aca="false">IF($O293="","",INDEX('Auto Process'!$AJ:$AJ,$O293))</f>
        <v/>
      </c>
      <c r="I293" s="17" t="str">
        <f aca="false">IF($O293="","",INDEX('Auto Process'!$AK:$AK,$O293))</f>
        <v/>
      </c>
      <c r="J293" s="17" t="str">
        <f aca="false">IF($O293="","",INDEX('Auto Process'!$AL:$AL,$O293))</f>
        <v/>
      </c>
      <c r="K293" s="17" t="str">
        <f aca="false">IF($O293="","",INDEX('Auto Process'!$AM:$AM,$O293))</f>
        <v/>
      </c>
      <c r="L293" s="17" t="str">
        <f aca="false">IF($O293="","",INDEX('Auto Process'!$AN:$AN,$O293))</f>
        <v/>
      </c>
      <c r="M293" s="17" t="str">
        <f aca="false">IF($O293="","",INDEX('Auto Process'!$AO:$AO,$O293))</f>
        <v/>
      </c>
      <c r="O293" s="19" t="str">
        <f aca="false">IFERROR(_xlfn.AGGREGATE(15,6,ROW('Auto Process'!$D$4:$D$503)/('Auto Process'!$D$4:$D$503="Panel Details"),ROW()-1),"")</f>
        <v/>
      </c>
    </row>
    <row r="294" customFormat="false" ht="13.5" hidden="false" customHeight="true" outlineLevel="0" collapsed="false">
      <c r="A294" s="27" t="str">
        <f aca="false">IF($O294="","",INDEX('Auto Process'!$AC:$AC,$O294))</f>
        <v/>
      </c>
      <c r="B294" s="17" t="str">
        <f aca="false">IF($O294="","",INDEX('Auto Process'!$AD:$AD,$O294))</f>
        <v/>
      </c>
      <c r="C294" s="17" t="str">
        <f aca="false">IF($O294="","",INDEX('Auto Process'!$AE:$AE,$O294))</f>
        <v/>
      </c>
      <c r="D294" s="17" t="str">
        <f aca="false">IF($O294="","",INDEX('Auto Process'!$AF:$AF,$O294))</f>
        <v/>
      </c>
      <c r="E294" s="17" t="str">
        <f aca="false">IF($O294="","",INDEX('Auto Process'!$AG:$AG,$O294))</f>
        <v/>
      </c>
      <c r="F294" s="17" t="str">
        <f aca="false">IF($O294="","",INDEX('Auto Process'!$AH:$AH,$O294))</f>
        <v/>
      </c>
      <c r="G294" s="17" t="str">
        <f aca="false">IF($O294="","",INDEX('Auto Process'!$AI:$AI,$O294))</f>
        <v/>
      </c>
      <c r="H294" s="17" t="str">
        <f aca="false">IF($O294="","",INDEX('Auto Process'!$AJ:$AJ,$O294))</f>
        <v/>
      </c>
      <c r="I294" s="17" t="str">
        <f aca="false">IF($O294="","",INDEX('Auto Process'!$AK:$AK,$O294))</f>
        <v/>
      </c>
      <c r="J294" s="17" t="str">
        <f aca="false">IF($O294="","",INDEX('Auto Process'!$AL:$AL,$O294))</f>
        <v/>
      </c>
      <c r="K294" s="17" t="str">
        <f aca="false">IF($O294="","",INDEX('Auto Process'!$AM:$AM,$O294))</f>
        <v/>
      </c>
      <c r="L294" s="17" t="str">
        <f aca="false">IF($O294="","",INDEX('Auto Process'!$AN:$AN,$O294))</f>
        <v/>
      </c>
      <c r="M294" s="17" t="str">
        <f aca="false">IF($O294="","",INDEX('Auto Process'!$AO:$AO,$O294))</f>
        <v/>
      </c>
      <c r="O294" s="19" t="str">
        <f aca="false">IFERROR(_xlfn.AGGREGATE(15,6,ROW('Auto Process'!$D$4:$D$503)/('Auto Process'!$D$4:$D$503="Panel Details"),ROW()-1),"")</f>
        <v/>
      </c>
    </row>
    <row r="295" customFormat="false" ht="13.5" hidden="false" customHeight="true" outlineLevel="0" collapsed="false">
      <c r="A295" s="27" t="str">
        <f aca="false">IF($O295="","",INDEX('Auto Process'!$AC:$AC,$O295))</f>
        <v/>
      </c>
      <c r="B295" s="17" t="str">
        <f aca="false">IF($O295="","",INDEX('Auto Process'!$AD:$AD,$O295))</f>
        <v/>
      </c>
      <c r="C295" s="17" t="str">
        <f aca="false">IF($O295="","",INDEX('Auto Process'!$AE:$AE,$O295))</f>
        <v/>
      </c>
      <c r="D295" s="17" t="str">
        <f aca="false">IF($O295="","",INDEX('Auto Process'!$AF:$AF,$O295))</f>
        <v/>
      </c>
      <c r="E295" s="17" t="str">
        <f aca="false">IF($O295="","",INDEX('Auto Process'!$AG:$AG,$O295))</f>
        <v/>
      </c>
      <c r="F295" s="17" t="str">
        <f aca="false">IF($O295="","",INDEX('Auto Process'!$AH:$AH,$O295))</f>
        <v/>
      </c>
      <c r="G295" s="17" t="str">
        <f aca="false">IF($O295="","",INDEX('Auto Process'!$AI:$AI,$O295))</f>
        <v/>
      </c>
      <c r="H295" s="17" t="str">
        <f aca="false">IF($O295="","",INDEX('Auto Process'!$AJ:$AJ,$O295))</f>
        <v/>
      </c>
      <c r="I295" s="17" t="str">
        <f aca="false">IF($O295="","",INDEX('Auto Process'!$AK:$AK,$O295))</f>
        <v/>
      </c>
      <c r="J295" s="17" t="str">
        <f aca="false">IF($O295="","",INDEX('Auto Process'!$AL:$AL,$O295))</f>
        <v/>
      </c>
      <c r="K295" s="17" t="str">
        <f aca="false">IF($O295="","",INDEX('Auto Process'!$AM:$AM,$O295))</f>
        <v/>
      </c>
      <c r="L295" s="17" t="str">
        <f aca="false">IF($O295="","",INDEX('Auto Process'!$AN:$AN,$O295))</f>
        <v/>
      </c>
      <c r="M295" s="17" t="str">
        <f aca="false">IF($O295="","",INDEX('Auto Process'!$AO:$AO,$O295))</f>
        <v/>
      </c>
      <c r="O295" s="19" t="str">
        <f aca="false">IFERROR(_xlfn.AGGREGATE(15,6,ROW('Auto Process'!$D$4:$D$503)/('Auto Process'!$D$4:$D$503="Panel Details"),ROW()-1),"")</f>
        <v/>
      </c>
    </row>
    <row r="296" customFormat="false" ht="13.5" hidden="false" customHeight="true" outlineLevel="0" collapsed="false">
      <c r="A296" s="27" t="str">
        <f aca="false">IF($O296="","",INDEX('Auto Process'!$AC:$AC,$O296))</f>
        <v/>
      </c>
      <c r="B296" s="17" t="str">
        <f aca="false">IF($O296="","",INDEX('Auto Process'!$AD:$AD,$O296))</f>
        <v/>
      </c>
      <c r="C296" s="17" t="str">
        <f aca="false">IF($O296="","",INDEX('Auto Process'!$AE:$AE,$O296))</f>
        <v/>
      </c>
      <c r="D296" s="17" t="str">
        <f aca="false">IF($O296="","",INDEX('Auto Process'!$AF:$AF,$O296))</f>
        <v/>
      </c>
      <c r="E296" s="17" t="str">
        <f aca="false">IF($O296="","",INDEX('Auto Process'!$AG:$AG,$O296))</f>
        <v/>
      </c>
      <c r="F296" s="17" t="str">
        <f aca="false">IF($O296="","",INDEX('Auto Process'!$AH:$AH,$O296))</f>
        <v/>
      </c>
      <c r="G296" s="17" t="str">
        <f aca="false">IF($O296="","",INDEX('Auto Process'!$AI:$AI,$O296))</f>
        <v/>
      </c>
      <c r="H296" s="17" t="str">
        <f aca="false">IF($O296="","",INDEX('Auto Process'!$AJ:$AJ,$O296))</f>
        <v/>
      </c>
      <c r="I296" s="17" t="str">
        <f aca="false">IF($O296="","",INDEX('Auto Process'!$AK:$AK,$O296))</f>
        <v/>
      </c>
      <c r="J296" s="17" t="str">
        <f aca="false">IF($O296="","",INDEX('Auto Process'!$AL:$AL,$O296))</f>
        <v/>
      </c>
      <c r="K296" s="17" t="str">
        <f aca="false">IF($O296="","",INDEX('Auto Process'!$AM:$AM,$O296))</f>
        <v/>
      </c>
      <c r="L296" s="17" t="str">
        <f aca="false">IF($O296="","",INDEX('Auto Process'!$AN:$AN,$O296))</f>
        <v/>
      </c>
      <c r="M296" s="17" t="str">
        <f aca="false">IF($O296="","",INDEX('Auto Process'!$AO:$AO,$O296))</f>
        <v/>
      </c>
      <c r="O296" s="19" t="str">
        <f aca="false">IFERROR(_xlfn.AGGREGATE(15,6,ROW('Auto Process'!$D$4:$D$503)/('Auto Process'!$D$4:$D$503="Panel Details"),ROW()-1),"")</f>
        <v/>
      </c>
    </row>
    <row r="297" customFormat="false" ht="13.5" hidden="false" customHeight="true" outlineLevel="0" collapsed="false">
      <c r="A297" s="27" t="str">
        <f aca="false">IF($O297="","",INDEX('Auto Process'!$AC:$AC,$O297))</f>
        <v/>
      </c>
      <c r="B297" s="17" t="str">
        <f aca="false">IF($O297="","",INDEX('Auto Process'!$AD:$AD,$O297))</f>
        <v/>
      </c>
      <c r="C297" s="17" t="str">
        <f aca="false">IF($O297="","",INDEX('Auto Process'!$AE:$AE,$O297))</f>
        <v/>
      </c>
      <c r="D297" s="17" t="str">
        <f aca="false">IF($O297="","",INDEX('Auto Process'!$AF:$AF,$O297))</f>
        <v/>
      </c>
      <c r="E297" s="17" t="str">
        <f aca="false">IF($O297="","",INDEX('Auto Process'!$AG:$AG,$O297))</f>
        <v/>
      </c>
      <c r="F297" s="17" t="str">
        <f aca="false">IF($O297="","",INDEX('Auto Process'!$AH:$AH,$O297))</f>
        <v/>
      </c>
      <c r="G297" s="17" t="str">
        <f aca="false">IF($O297="","",INDEX('Auto Process'!$AI:$AI,$O297))</f>
        <v/>
      </c>
      <c r="H297" s="17" t="str">
        <f aca="false">IF($O297="","",INDEX('Auto Process'!$AJ:$AJ,$O297))</f>
        <v/>
      </c>
      <c r="I297" s="17" t="str">
        <f aca="false">IF($O297="","",INDEX('Auto Process'!$AK:$AK,$O297))</f>
        <v/>
      </c>
      <c r="J297" s="17" t="str">
        <f aca="false">IF($O297="","",INDEX('Auto Process'!$AL:$AL,$O297))</f>
        <v/>
      </c>
      <c r="K297" s="17" t="str">
        <f aca="false">IF($O297="","",INDEX('Auto Process'!$AM:$AM,$O297))</f>
        <v/>
      </c>
      <c r="L297" s="17" t="str">
        <f aca="false">IF($O297="","",INDEX('Auto Process'!$AN:$AN,$O297))</f>
        <v/>
      </c>
      <c r="M297" s="17" t="str">
        <f aca="false">IF($O297="","",INDEX('Auto Process'!$AO:$AO,$O297))</f>
        <v/>
      </c>
      <c r="O297" s="19" t="str">
        <f aca="false">IFERROR(_xlfn.AGGREGATE(15,6,ROW('Auto Process'!$D$4:$D$503)/('Auto Process'!$D$4:$D$503="Panel Details"),ROW()-1),"")</f>
        <v/>
      </c>
    </row>
    <row r="298" customFormat="false" ht="13.5" hidden="false" customHeight="true" outlineLevel="0" collapsed="false">
      <c r="A298" s="27" t="str">
        <f aca="false">IF($O298="","",INDEX('Auto Process'!$AC:$AC,$O298))</f>
        <v/>
      </c>
      <c r="B298" s="17" t="str">
        <f aca="false">IF($O298="","",INDEX('Auto Process'!$AD:$AD,$O298))</f>
        <v/>
      </c>
      <c r="C298" s="17" t="str">
        <f aca="false">IF($O298="","",INDEX('Auto Process'!$AE:$AE,$O298))</f>
        <v/>
      </c>
      <c r="D298" s="17" t="str">
        <f aca="false">IF($O298="","",INDEX('Auto Process'!$AF:$AF,$O298))</f>
        <v/>
      </c>
      <c r="E298" s="17" t="str">
        <f aca="false">IF($O298="","",INDEX('Auto Process'!$AG:$AG,$O298))</f>
        <v/>
      </c>
      <c r="F298" s="17" t="str">
        <f aca="false">IF($O298="","",INDEX('Auto Process'!$AH:$AH,$O298))</f>
        <v/>
      </c>
      <c r="G298" s="17" t="str">
        <f aca="false">IF($O298="","",INDEX('Auto Process'!$AI:$AI,$O298))</f>
        <v/>
      </c>
      <c r="H298" s="17" t="str">
        <f aca="false">IF($O298="","",INDEX('Auto Process'!$AJ:$AJ,$O298))</f>
        <v/>
      </c>
      <c r="I298" s="17" t="str">
        <f aca="false">IF($O298="","",INDEX('Auto Process'!$AK:$AK,$O298))</f>
        <v/>
      </c>
      <c r="J298" s="17" t="str">
        <f aca="false">IF($O298="","",INDEX('Auto Process'!$AL:$AL,$O298))</f>
        <v/>
      </c>
      <c r="K298" s="17" t="str">
        <f aca="false">IF($O298="","",INDEX('Auto Process'!$AM:$AM,$O298))</f>
        <v/>
      </c>
      <c r="L298" s="17" t="str">
        <f aca="false">IF($O298="","",INDEX('Auto Process'!$AN:$AN,$O298))</f>
        <v/>
      </c>
      <c r="M298" s="17" t="str">
        <f aca="false">IF($O298="","",INDEX('Auto Process'!$AO:$AO,$O298))</f>
        <v/>
      </c>
      <c r="O298" s="19" t="str">
        <f aca="false">IFERROR(_xlfn.AGGREGATE(15,6,ROW('Auto Process'!$D$4:$D$503)/('Auto Process'!$D$4:$D$503="Panel Details"),ROW()-1),"")</f>
        <v/>
      </c>
    </row>
    <row r="299" customFormat="false" ht="13.5" hidden="false" customHeight="true" outlineLevel="0" collapsed="false">
      <c r="A299" s="27" t="str">
        <f aca="false">IF($O299="","",INDEX('Auto Process'!$AC:$AC,$O299))</f>
        <v/>
      </c>
      <c r="B299" s="17" t="str">
        <f aca="false">IF($O299="","",INDEX('Auto Process'!$AD:$AD,$O299))</f>
        <v/>
      </c>
      <c r="C299" s="17" t="str">
        <f aca="false">IF($O299="","",INDEX('Auto Process'!$AE:$AE,$O299))</f>
        <v/>
      </c>
      <c r="D299" s="17" t="str">
        <f aca="false">IF($O299="","",INDEX('Auto Process'!$AF:$AF,$O299))</f>
        <v/>
      </c>
      <c r="E299" s="17" t="str">
        <f aca="false">IF($O299="","",INDEX('Auto Process'!$AG:$AG,$O299))</f>
        <v/>
      </c>
      <c r="F299" s="17" t="str">
        <f aca="false">IF($O299="","",INDEX('Auto Process'!$AH:$AH,$O299))</f>
        <v/>
      </c>
      <c r="G299" s="17" t="str">
        <f aca="false">IF($O299="","",INDEX('Auto Process'!$AI:$AI,$O299))</f>
        <v/>
      </c>
      <c r="H299" s="17" t="str">
        <f aca="false">IF($O299="","",INDEX('Auto Process'!$AJ:$AJ,$O299))</f>
        <v/>
      </c>
      <c r="I299" s="17" t="str">
        <f aca="false">IF($O299="","",INDEX('Auto Process'!$AK:$AK,$O299))</f>
        <v/>
      </c>
      <c r="J299" s="17" t="str">
        <f aca="false">IF($O299="","",INDEX('Auto Process'!$AL:$AL,$O299))</f>
        <v/>
      </c>
      <c r="K299" s="17" t="str">
        <f aca="false">IF($O299="","",INDEX('Auto Process'!$AM:$AM,$O299))</f>
        <v/>
      </c>
      <c r="L299" s="17" t="str">
        <f aca="false">IF($O299="","",INDEX('Auto Process'!$AN:$AN,$O299))</f>
        <v/>
      </c>
      <c r="M299" s="17" t="str">
        <f aca="false">IF($O299="","",INDEX('Auto Process'!$AO:$AO,$O299))</f>
        <v/>
      </c>
      <c r="O299" s="19" t="str">
        <f aca="false">IFERROR(_xlfn.AGGREGATE(15,6,ROW('Auto Process'!$D$4:$D$503)/('Auto Process'!$D$4:$D$503="Panel Details"),ROW()-1),"")</f>
        <v/>
      </c>
    </row>
    <row r="300" customFormat="false" ht="13.5" hidden="false" customHeight="true" outlineLevel="0" collapsed="false">
      <c r="A300" s="27" t="str">
        <f aca="false">IF($O300="","",INDEX('Auto Process'!$AC:$AC,$O300))</f>
        <v/>
      </c>
      <c r="B300" s="17" t="str">
        <f aca="false">IF($O300="","",INDEX('Auto Process'!$AD:$AD,$O300))</f>
        <v/>
      </c>
      <c r="C300" s="17" t="str">
        <f aca="false">IF($O300="","",INDEX('Auto Process'!$AE:$AE,$O300))</f>
        <v/>
      </c>
      <c r="D300" s="17" t="str">
        <f aca="false">IF($O300="","",INDEX('Auto Process'!$AF:$AF,$O300))</f>
        <v/>
      </c>
      <c r="E300" s="17" t="str">
        <f aca="false">IF($O300="","",INDEX('Auto Process'!$AG:$AG,$O300))</f>
        <v/>
      </c>
      <c r="F300" s="17" t="str">
        <f aca="false">IF($O300="","",INDEX('Auto Process'!$AH:$AH,$O300))</f>
        <v/>
      </c>
      <c r="G300" s="17" t="str">
        <f aca="false">IF($O300="","",INDEX('Auto Process'!$AI:$AI,$O300))</f>
        <v/>
      </c>
      <c r="H300" s="17" t="str">
        <f aca="false">IF($O300="","",INDEX('Auto Process'!$AJ:$AJ,$O300))</f>
        <v/>
      </c>
      <c r="I300" s="17" t="str">
        <f aca="false">IF($O300="","",INDEX('Auto Process'!$AK:$AK,$O300))</f>
        <v/>
      </c>
      <c r="J300" s="17" t="str">
        <f aca="false">IF($O300="","",INDEX('Auto Process'!$AL:$AL,$O300))</f>
        <v/>
      </c>
      <c r="K300" s="17" t="str">
        <f aca="false">IF($O300="","",INDEX('Auto Process'!$AM:$AM,$O300))</f>
        <v/>
      </c>
      <c r="L300" s="17" t="str">
        <f aca="false">IF($O300="","",INDEX('Auto Process'!$AN:$AN,$O300))</f>
        <v/>
      </c>
      <c r="M300" s="17" t="str">
        <f aca="false">IF($O300="","",INDEX('Auto Process'!$AO:$AO,$O300))</f>
        <v/>
      </c>
      <c r="O300" s="19" t="str">
        <f aca="false">IFERROR(_xlfn.AGGREGATE(15,6,ROW('Auto Process'!$D$4:$D$503)/('Auto Process'!$D$4:$D$503="Panel Details"),ROW()-1),"")</f>
        <v/>
      </c>
    </row>
    <row r="301" customFormat="false" ht="13.5" hidden="false" customHeight="true" outlineLevel="0" collapsed="false">
      <c r="A301" s="27" t="str">
        <f aca="false">IF($O301="","",INDEX('Auto Process'!$AC:$AC,$O301))</f>
        <v/>
      </c>
      <c r="B301" s="17" t="str">
        <f aca="false">IF($O301="","",INDEX('Auto Process'!$AD:$AD,$O301))</f>
        <v/>
      </c>
      <c r="C301" s="17" t="str">
        <f aca="false">IF($O301="","",INDEX('Auto Process'!$AE:$AE,$O301))</f>
        <v/>
      </c>
      <c r="D301" s="17" t="str">
        <f aca="false">IF($O301="","",INDEX('Auto Process'!$AF:$AF,$O301))</f>
        <v/>
      </c>
      <c r="E301" s="17" t="str">
        <f aca="false">IF($O301="","",INDEX('Auto Process'!$AG:$AG,$O301))</f>
        <v/>
      </c>
      <c r="F301" s="17" t="str">
        <f aca="false">IF($O301="","",INDEX('Auto Process'!$AH:$AH,$O301))</f>
        <v/>
      </c>
      <c r="G301" s="17" t="str">
        <f aca="false">IF($O301="","",INDEX('Auto Process'!$AI:$AI,$O301))</f>
        <v/>
      </c>
      <c r="H301" s="17" t="str">
        <f aca="false">IF($O301="","",INDEX('Auto Process'!$AJ:$AJ,$O301))</f>
        <v/>
      </c>
      <c r="I301" s="17" t="str">
        <f aca="false">IF($O301="","",INDEX('Auto Process'!$AK:$AK,$O301))</f>
        <v/>
      </c>
      <c r="J301" s="17" t="str">
        <f aca="false">IF($O301="","",INDEX('Auto Process'!$AL:$AL,$O301))</f>
        <v/>
      </c>
      <c r="K301" s="17" t="str">
        <f aca="false">IF($O301="","",INDEX('Auto Process'!$AM:$AM,$O301))</f>
        <v/>
      </c>
      <c r="L301" s="17" t="str">
        <f aca="false">IF($O301="","",INDEX('Auto Process'!$AN:$AN,$O301))</f>
        <v/>
      </c>
      <c r="M301" s="17" t="str">
        <f aca="false">IF($O301="","",INDEX('Auto Process'!$AO:$AO,$O301))</f>
        <v/>
      </c>
      <c r="O301" s="19" t="str">
        <f aca="false">IFERROR(_xlfn.AGGREGATE(15,6,ROW('Auto Process'!$D$4:$D$503)/('Auto Process'!$D$4:$D$503="Panel Details"),ROW()-1),"")</f>
        <v/>
      </c>
    </row>
    <row r="302" customFormat="false" ht="13.5" hidden="false" customHeight="true" outlineLevel="0" collapsed="false">
      <c r="A302" s="27" t="str">
        <f aca="false">IF($O302="","",INDEX('Auto Process'!$AC:$AC,$O302))</f>
        <v/>
      </c>
      <c r="B302" s="17" t="str">
        <f aca="false">IF($O302="","",INDEX('Auto Process'!$AD:$AD,$O302))</f>
        <v/>
      </c>
      <c r="C302" s="17" t="str">
        <f aca="false">IF($O302="","",INDEX('Auto Process'!$AE:$AE,$O302))</f>
        <v/>
      </c>
      <c r="D302" s="17" t="str">
        <f aca="false">IF($O302="","",INDEX('Auto Process'!$AF:$AF,$O302))</f>
        <v/>
      </c>
      <c r="E302" s="17" t="str">
        <f aca="false">IF($O302="","",INDEX('Auto Process'!$AG:$AG,$O302))</f>
        <v/>
      </c>
      <c r="F302" s="17" t="str">
        <f aca="false">IF($O302="","",INDEX('Auto Process'!$AH:$AH,$O302))</f>
        <v/>
      </c>
      <c r="G302" s="17" t="str">
        <f aca="false">IF($O302="","",INDEX('Auto Process'!$AI:$AI,$O302))</f>
        <v/>
      </c>
      <c r="H302" s="17" t="str">
        <f aca="false">IF($O302="","",INDEX('Auto Process'!$AJ:$AJ,$O302))</f>
        <v/>
      </c>
      <c r="I302" s="17" t="str">
        <f aca="false">IF($O302="","",INDEX('Auto Process'!$AK:$AK,$O302))</f>
        <v/>
      </c>
      <c r="J302" s="17" t="str">
        <f aca="false">IF($O302="","",INDEX('Auto Process'!$AL:$AL,$O302))</f>
        <v/>
      </c>
      <c r="K302" s="17" t="str">
        <f aca="false">IF($O302="","",INDEX('Auto Process'!$AM:$AM,$O302))</f>
        <v/>
      </c>
      <c r="L302" s="17" t="str">
        <f aca="false">IF($O302="","",INDEX('Auto Process'!$AN:$AN,$O302))</f>
        <v/>
      </c>
      <c r="M302" s="17" t="str">
        <f aca="false">IF($O302="","",INDEX('Auto Process'!$AO:$AO,$O302))</f>
        <v/>
      </c>
      <c r="O302" s="19" t="str">
        <f aca="false">IFERROR(_xlfn.AGGREGATE(15,6,ROW('Auto Process'!$D$4:$D$503)/('Auto Process'!$D$4:$D$503="Panel Details"),ROW()-1),"")</f>
        <v/>
      </c>
    </row>
    <row r="303" customFormat="false" ht="13.5" hidden="false" customHeight="true" outlineLevel="0" collapsed="false">
      <c r="A303" s="27" t="str">
        <f aca="false">IF($O303="","",INDEX('Auto Process'!$AC:$AC,$O303))</f>
        <v/>
      </c>
      <c r="B303" s="17" t="str">
        <f aca="false">IF($O303="","",INDEX('Auto Process'!$AD:$AD,$O303))</f>
        <v/>
      </c>
      <c r="C303" s="17" t="str">
        <f aca="false">IF($O303="","",INDEX('Auto Process'!$AE:$AE,$O303))</f>
        <v/>
      </c>
      <c r="D303" s="17" t="str">
        <f aca="false">IF($O303="","",INDEX('Auto Process'!$AF:$AF,$O303))</f>
        <v/>
      </c>
      <c r="E303" s="17" t="str">
        <f aca="false">IF($O303="","",INDEX('Auto Process'!$AG:$AG,$O303))</f>
        <v/>
      </c>
      <c r="F303" s="17" t="str">
        <f aca="false">IF($O303="","",INDEX('Auto Process'!$AH:$AH,$O303))</f>
        <v/>
      </c>
      <c r="G303" s="17" t="str">
        <f aca="false">IF($O303="","",INDEX('Auto Process'!$AI:$AI,$O303))</f>
        <v/>
      </c>
      <c r="H303" s="17" t="str">
        <f aca="false">IF($O303="","",INDEX('Auto Process'!$AJ:$AJ,$O303))</f>
        <v/>
      </c>
      <c r="I303" s="17" t="str">
        <f aca="false">IF($O303="","",INDEX('Auto Process'!$AK:$AK,$O303))</f>
        <v/>
      </c>
      <c r="J303" s="17" t="str">
        <f aca="false">IF($O303="","",INDEX('Auto Process'!$AL:$AL,$O303))</f>
        <v/>
      </c>
      <c r="K303" s="17" t="str">
        <f aca="false">IF($O303="","",INDEX('Auto Process'!$AM:$AM,$O303))</f>
        <v/>
      </c>
      <c r="L303" s="17" t="str">
        <f aca="false">IF($O303="","",INDEX('Auto Process'!$AN:$AN,$O303))</f>
        <v/>
      </c>
      <c r="M303" s="17" t="str">
        <f aca="false">IF($O303="","",INDEX('Auto Process'!$AO:$AO,$O303))</f>
        <v/>
      </c>
      <c r="O303" s="19" t="str">
        <f aca="false">IFERROR(_xlfn.AGGREGATE(15,6,ROW('Auto Process'!$D$4:$D$503)/('Auto Process'!$D$4:$D$503="Panel Details"),ROW()-1),"")</f>
        <v/>
      </c>
    </row>
    <row r="304" customFormat="false" ht="13.5" hidden="false" customHeight="true" outlineLevel="0" collapsed="false">
      <c r="A304" s="27" t="str">
        <f aca="false">IF($O304="","",INDEX('Auto Process'!$AC:$AC,$O304))</f>
        <v/>
      </c>
      <c r="B304" s="17" t="str">
        <f aca="false">IF($O304="","",INDEX('Auto Process'!$AD:$AD,$O304))</f>
        <v/>
      </c>
      <c r="C304" s="17" t="str">
        <f aca="false">IF($O304="","",INDEX('Auto Process'!$AE:$AE,$O304))</f>
        <v/>
      </c>
      <c r="D304" s="17" t="str">
        <f aca="false">IF($O304="","",INDEX('Auto Process'!$AF:$AF,$O304))</f>
        <v/>
      </c>
      <c r="E304" s="17" t="str">
        <f aca="false">IF($O304="","",INDEX('Auto Process'!$AG:$AG,$O304))</f>
        <v/>
      </c>
      <c r="F304" s="17" t="str">
        <f aca="false">IF($O304="","",INDEX('Auto Process'!$AH:$AH,$O304))</f>
        <v/>
      </c>
      <c r="G304" s="17" t="str">
        <f aca="false">IF($O304="","",INDEX('Auto Process'!$AI:$AI,$O304))</f>
        <v/>
      </c>
      <c r="H304" s="17" t="str">
        <f aca="false">IF($O304="","",INDEX('Auto Process'!$AJ:$AJ,$O304))</f>
        <v/>
      </c>
      <c r="I304" s="17" t="str">
        <f aca="false">IF($O304="","",INDEX('Auto Process'!$AK:$AK,$O304))</f>
        <v/>
      </c>
      <c r="J304" s="17" t="str">
        <f aca="false">IF($O304="","",INDEX('Auto Process'!$AL:$AL,$O304))</f>
        <v/>
      </c>
      <c r="K304" s="17" t="str">
        <f aca="false">IF($O304="","",INDEX('Auto Process'!$AM:$AM,$O304))</f>
        <v/>
      </c>
      <c r="L304" s="17" t="str">
        <f aca="false">IF($O304="","",INDEX('Auto Process'!$AN:$AN,$O304))</f>
        <v/>
      </c>
      <c r="M304" s="17" t="str">
        <f aca="false">IF($O304="","",INDEX('Auto Process'!$AO:$AO,$O304))</f>
        <v/>
      </c>
      <c r="O304" s="19" t="str">
        <f aca="false">IFERROR(_xlfn.AGGREGATE(15,6,ROW('Auto Process'!$D$4:$D$503)/('Auto Process'!$D$4:$D$503="Panel Details"),ROW()-1),"")</f>
        <v/>
      </c>
    </row>
    <row r="305" customFormat="false" ht="13.5" hidden="false" customHeight="true" outlineLevel="0" collapsed="false">
      <c r="A305" s="27" t="str">
        <f aca="false">IF($O305="","",INDEX('Auto Process'!$AC:$AC,$O305))</f>
        <v/>
      </c>
      <c r="B305" s="17" t="str">
        <f aca="false">IF($O305="","",INDEX('Auto Process'!$AD:$AD,$O305))</f>
        <v/>
      </c>
      <c r="C305" s="17" t="str">
        <f aca="false">IF($O305="","",INDEX('Auto Process'!$AE:$AE,$O305))</f>
        <v/>
      </c>
      <c r="D305" s="17" t="str">
        <f aca="false">IF($O305="","",INDEX('Auto Process'!$AF:$AF,$O305))</f>
        <v/>
      </c>
      <c r="E305" s="17" t="str">
        <f aca="false">IF($O305="","",INDEX('Auto Process'!$AG:$AG,$O305))</f>
        <v/>
      </c>
      <c r="F305" s="17" t="str">
        <f aca="false">IF($O305="","",INDEX('Auto Process'!$AH:$AH,$O305))</f>
        <v/>
      </c>
      <c r="G305" s="17" t="str">
        <f aca="false">IF($O305="","",INDEX('Auto Process'!$AI:$AI,$O305))</f>
        <v/>
      </c>
      <c r="H305" s="17" t="str">
        <f aca="false">IF($O305="","",INDEX('Auto Process'!$AJ:$AJ,$O305))</f>
        <v/>
      </c>
      <c r="I305" s="17" t="str">
        <f aca="false">IF($O305="","",INDEX('Auto Process'!$AK:$AK,$O305))</f>
        <v/>
      </c>
      <c r="J305" s="17" t="str">
        <f aca="false">IF($O305="","",INDEX('Auto Process'!$AL:$AL,$O305))</f>
        <v/>
      </c>
      <c r="K305" s="17" t="str">
        <f aca="false">IF($O305="","",INDEX('Auto Process'!$AM:$AM,$O305))</f>
        <v/>
      </c>
      <c r="L305" s="17" t="str">
        <f aca="false">IF($O305="","",INDEX('Auto Process'!$AN:$AN,$O305))</f>
        <v/>
      </c>
      <c r="M305" s="17" t="str">
        <f aca="false">IF($O305="","",INDEX('Auto Process'!$AO:$AO,$O305))</f>
        <v/>
      </c>
      <c r="O305" s="19" t="str">
        <f aca="false">IFERROR(_xlfn.AGGREGATE(15,6,ROW('Auto Process'!$D$4:$D$503)/('Auto Process'!$D$4:$D$503="Panel Details"),ROW()-1),"")</f>
        <v/>
      </c>
    </row>
    <row r="306" customFormat="false" ht="13.5" hidden="false" customHeight="true" outlineLevel="0" collapsed="false">
      <c r="A306" s="27" t="str">
        <f aca="false">IF($O306="","",INDEX('Auto Process'!$AC:$AC,$O306))</f>
        <v/>
      </c>
      <c r="B306" s="17" t="str">
        <f aca="false">IF($O306="","",INDEX('Auto Process'!$AD:$AD,$O306))</f>
        <v/>
      </c>
      <c r="C306" s="17" t="str">
        <f aca="false">IF($O306="","",INDEX('Auto Process'!$AE:$AE,$O306))</f>
        <v/>
      </c>
      <c r="D306" s="17" t="str">
        <f aca="false">IF($O306="","",INDEX('Auto Process'!$AF:$AF,$O306))</f>
        <v/>
      </c>
      <c r="E306" s="17" t="str">
        <f aca="false">IF($O306="","",INDEX('Auto Process'!$AG:$AG,$O306))</f>
        <v/>
      </c>
      <c r="F306" s="17" t="str">
        <f aca="false">IF($O306="","",INDEX('Auto Process'!$AH:$AH,$O306))</f>
        <v/>
      </c>
      <c r="G306" s="17" t="str">
        <f aca="false">IF($O306="","",INDEX('Auto Process'!$AI:$AI,$O306))</f>
        <v/>
      </c>
      <c r="H306" s="17" t="str">
        <f aca="false">IF($O306="","",INDEX('Auto Process'!$AJ:$AJ,$O306))</f>
        <v/>
      </c>
      <c r="I306" s="17" t="str">
        <f aca="false">IF($O306="","",INDEX('Auto Process'!$AK:$AK,$O306))</f>
        <v/>
      </c>
      <c r="J306" s="17" t="str">
        <f aca="false">IF($O306="","",INDEX('Auto Process'!$AL:$AL,$O306))</f>
        <v/>
      </c>
      <c r="K306" s="17" t="str">
        <f aca="false">IF($O306="","",INDEX('Auto Process'!$AM:$AM,$O306))</f>
        <v/>
      </c>
      <c r="L306" s="17" t="str">
        <f aca="false">IF($O306="","",INDEX('Auto Process'!$AN:$AN,$O306))</f>
        <v/>
      </c>
      <c r="M306" s="17" t="str">
        <f aca="false">IF($O306="","",INDEX('Auto Process'!$AO:$AO,$O306))</f>
        <v/>
      </c>
      <c r="O306" s="19" t="str">
        <f aca="false">IFERROR(_xlfn.AGGREGATE(15,6,ROW('Auto Process'!$D$4:$D$503)/('Auto Process'!$D$4:$D$503="Panel Details"),ROW()-1),"")</f>
        <v/>
      </c>
    </row>
    <row r="307" customFormat="false" ht="13.5" hidden="false" customHeight="true" outlineLevel="0" collapsed="false">
      <c r="A307" s="27" t="str">
        <f aca="false">IF($O307="","",INDEX('Auto Process'!$AC:$AC,$O307))</f>
        <v/>
      </c>
      <c r="B307" s="17" t="str">
        <f aca="false">IF($O307="","",INDEX('Auto Process'!$AD:$AD,$O307))</f>
        <v/>
      </c>
      <c r="C307" s="17" t="str">
        <f aca="false">IF($O307="","",INDEX('Auto Process'!$AE:$AE,$O307))</f>
        <v/>
      </c>
      <c r="D307" s="17" t="str">
        <f aca="false">IF($O307="","",INDEX('Auto Process'!$AF:$AF,$O307))</f>
        <v/>
      </c>
      <c r="E307" s="17" t="str">
        <f aca="false">IF($O307="","",INDEX('Auto Process'!$AG:$AG,$O307))</f>
        <v/>
      </c>
      <c r="F307" s="17" t="str">
        <f aca="false">IF($O307="","",INDEX('Auto Process'!$AH:$AH,$O307))</f>
        <v/>
      </c>
      <c r="G307" s="17" t="str">
        <f aca="false">IF($O307="","",INDEX('Auto Process'!$AI:$AI,$O307))</f>
        <v/>
      </c>
      <c r="H307" s="17" t="str">
        <f aca="false">IF($O307="","",INDEX('Auto Process'!$AJ:$AJ,$O307))</f>
        <v/>
      </c>
      <c r="I307" s="17" t="str">
        <f aca="false">IF($O307="","",INDEX('Auto Process'!$AK:$AK,$O307))</f>
        <v/>
      </c>
      <c r="J307" s="17" t="str">
        <f aca="false">IF($O307="","",INDEX('Auto Process'!$AL:$AL,$O307))</f>
        <v/>
      </c>
      <c r="K307" s="17" t="str">
        <f aca="false">IF($O307="","",INDEX('Auto Process'!$AM:$AM,$O307))</f>
        <v/>
      </c>
      <c r="L307" s="17" t="str">
        <f aca="false">IF($O307="","",INDEX('Auto Process'!$AN:$AN,$O307))</f>
        <v/>
      </c>
      <c r="M307" s="17" t="str">
        <f aca="false">IF($O307="","",INDEX('Auto Process'!$AO:$AO,$O307))</f>
        <v/>
      </c>
      <c r="O307" s="19" t="str">
        <f aca="false">IFERROR(_xlfn.AGGREGATE(15,6,ROW('Auto Process'!$D$4:$D$503)/('Auto Process'!$D$4:$D$503="Panel Details"),ROW()-1),"")</f>
        <v/>
      </c>
    </row>
    <row r="308" customFormat="false" ht="13.5" hidden="false" customHeight="true" outlineLevel="0" collapsed="false">
      <c r="A308" s="27" t="str">
        <f aca="false">IF($O308="","",INDEX('Auto Process'!$AC:$AC,$O308))</f>
        <v/>
      </c>
      <c r="B308" s="17" t="str">
        <f aca="false">IF($O308="","",INDEX('Auto Process'!$AD:$AD,$O308))</f>
        <v/>
      </c>
      <c r="C308" s="17" t="str">
        <f aca="false">IF($O308="","",INDEX('Auto Process'!$AE:$AE,$O308))</f>
        <v/>
      </c>
      <c r="D308" s="17" t="str">
        <f aca="false">IF($O308="","",INDEX('Auto Process'!$AF:$AF,$O308))</f>
        <v/>
      </c>
      <c r="E308" s="17" t="str">
        <f aca="false">IF($O308="","",INDEX('Auto Process'!$AG:$AG,$O308))</f>
        <v/>
      </c>
      <c r="F308" s="17" t="str">
        <f aca="false">IF($O308="","",INDEX('Auto Process'!$AH:$AH,$O308))</f>
        <v/>
      </c>
      <c r="G308" s="17" t="str">
        <f aca="false">IF($O308="","",INDEX('Auto Process'!$AI:$AI,$O308))</f>
        <v/>
      </c>
      <c r="H308" s="17" t="str">
        <f aca="false">IF($O308="","",INDEX('Auto Process'!$AJ:$AJ,$O308))</f>
        <v/>
      </c>
      <c r="I308" s="17" t="str">
        <f aca="false">IF($O308="","",INDEX('Auto Process'!$AK:$AK,$O308))</f>
        <v/>
      </c>
      <c r="J308" s="17" t="str">
        <f aca="false">IF($O308="","",INDEX('Auto Process'!$AL:$AL,$O308))</f>
        <v/>
      </c>
      <c r="K308" s="17" t="str">
        <f aca="false">IF($O308="","",INDEX('Auto Process'!$AM:$AM,$O308))</f>
        <v/>
      </c>
      <c r="L308" s="17" t="str">
        <f aca="false">IF($O308="","",INDEX('Auto Process'!$AN:$AN,$O308))</f>
        <v/>
      </c>
      <c r="M308" s="17" t="str">
        <f aca="false">IF($O308="","",INDEX('Auto Process'!$AO:$AO,$O308))</f>
        <v/>
      </c>
      <c r="O308" s="19" t="str">
        <f aca="false">IFERROR(_xlfn.AGGREGATE(15,6,ROW('Auto Process'!$D$4:$D$503)/('Auto Process'!$D$4:$D$503="Panel Details"),ROW()-1),"")</f>
        <v/>
      </c>
    </row>
    <row r="309" customFormat="false" ht="13.5" hidden="false" customHeight="true" outlineLevel="0" collapsed="false">
      <c r="A309" s="27" t="str">
        <f aca="false">IF($O309="","",INDEX('Auto Process'!$AC:$AC,$O309))</f>
        <v/>
      </c>
      <c r="B309" s="17" t="str">
        <f aca="false">IF($O309="","",INDEX('Auto Process'!$AD:$AD,$O309))</f>
        <v/>
      </c>
      <c r="C309" s="17" t="str">
        <f aca="false">IF($O309="","",INDEX('Auto Process'!$AE:$AE,$O309))</f>
        <v/>
      </c>
      <c r="D309" s="17" t="str">
        <f aca="false">IF($O309="","",INDEX('Auto Process'!$AF:$AF,$O309))</f>
        <v/>
      </c>
      <c r="E309" s="17" t="str">
        <f aca="false">IF($O309="","",INDEX('Auto Process'!$AG:$AG,$O309))</f>
        <v/>
      </c>
      <c r="F309" s="17" t="str">
        <f aca="false">IF($O309="","",INDEX('Auto Process'!$AH:$AH,$O309))</f>
        <v/>
      </c>
      <c r="G309" s="17" t="str">
        <f aca="false">IF($O309="","",INDEX('Auto Process'!$AI:$AI,$O309))</f>
        <v/>
      </c>
      <c r="H309" s="17" t="str">
        <f aca="false">IF($O309="","",INDEX('Auto Process'!$AJ:$AJ,$O309))</f>
        <v/>
      </c>
      <c r="I309" s="17" t="str">
        <f aca="false">IF($O309="","",INDEX('Auto Process'!$AK:$AK,$O309))</f>
        <v/>
      </c>
      <c r="J309" s="17" t="str">
        <f aca="false">IF($O309="","",INDEX('Auto Process'!$AL:$AL,$O309))</f>
        <v/>
      </c>
      <c r="K309" s="17" t="str">
        <f aca="false">IF($O309="","",INDEX('Auto Process'!$AM:$AM,$O309))</f>
        <v/>
      </c>
      <c r="L309" s="17" t="str">
        <f aca="false">IF($O309="","",INDEX('Auto Process'!$AN:$AN,$O309))</f>
        <v/>
      </c>
      <c r="M309" s="17" t="str">
        <f aca="false">IF($O309="","",INDEX('Auto Process'!$AO:$AO,$O309))</f>
        <v/>
      </c>
      <c r="O309" s="19" t="str">
        <f aca="false">IFERROR(_xlfn.AGGREGATE(15,6,ROW('Auto Process'!$D$4:$D$503)/('Auto Process'!$D$4:$D$503="Panel Details"),ROW()-1),"")</f>
        <v/>
      </c>
    </row>
    <row r="310" customFormat="false" ht="13.5" hidden="false" customHeight="true" outlineLevel="0" collapsed="false">
      <c r="A310" s="27" t="str">
        <f aca="false">IF($O310="","",INDEX('Auto Process'!$AC:$AC,$O310))</f>
        <v/>
      </c>
      <c r="B310" s="17" t="str">
        <f aca="false">IF($O310="","",INDEX('Auto Process'!$AD:$AD,$O310))</f>
        <v/>
      </c>
      <c r="C310" s="17" t="str">
        <f aca="false">IF($O310="","",INDEX('Auto Process'!$AE:$AE,$O310))</f>
        <v/>
      </c>
      <c r="D310" s="17" t="str">
        <f aca="false">IF($O310="","",INDEX('Auto Process'!$AF:$AF,$O310))</f>
        <v/>
      </c>
      <c r="E310" s="17" t="str">
        <f aca="false">IF($O310="","",INDEX('Auto Process'!$AG:$AG,$O310))</f>
        <v/>
      </c>
      <c r="F310" s="17" t="str">
        <f aca="false">IF($O310="","",INDEX('Auto Process'!$AH:$AH,$O310))</f>
        <v/>
      </c>
      <c r="G310" s="17" t="str">
        <f aca="false">IF($O310="","",INDEX('Auto Process'!$AI:$AI,$O310))</f>
        <v/>
      </c>
      <c r="H310" s="17" t="str">
        <f aca="false">IF($O310="","",INDEX('Auto Process'!$AJ:$AJ,$O310))</f>
        <v/>
      </c>
      <c r="I310" s="17" t="str">
        <f aca="false">IF($O310="","",INDEX('Auto Process'!$AK:$AK,$O310))</f>
        <v/>
      </c>
      <c r="J310" s="17" t="str">
        <f aca="false">IF($O310="","",INDEX('Auto Process'!$AL:$AL,$O310))</f>
        <v/>
      </c>
      <c r="K310" s="17" t="str">
        <f aca="false">IF($O310="","",INDEX('Auto Process'!$AM:$AM,$O310))</f>
        <v/>
      </c>
      <c r="L310" s="17" t="str">
        <f aca="false">IF($O310="","",INDEX('Auto Process'!$AN:$AN,$O310))</f>
        <v/>
      </c>
      <c r="M310" s="17" t="str">
        <f aca="false">IF($O310="","",INDEX('Auto Process'!$AO:$AO,$O310))</f>
        <v/>
      </c>
      <c r="O310" s="19" t="str">
        <f aca="false">IFERROR(_xlfn.AGGREGATE(15,6,ROW('Auto Process'!$D$4:$D$503)/('Auto Process'!$D$4:$D$503="Panel Details"),ROW()-1),"")</f>
        <v/>
      </c>
    </row>
    <row r="311" customFormat="false" ht="13.5" hidden="false" customHeight="true" outlineLevel="0" collapsed="false">
      <c r="A311" s="27" t="str">
        <f aca="false">IF($O311="","",INDEX('Auto Process'!$AC:$AC,$O311))</f>
        <v/>
      </c>
      <c r="B311" s="17" t="str">
        <f aca="false">IF($O311="","",INDEX('Auto Process'!$AD:$AD,$O311))</f>
        <v/>
      </c>
      <c r="C311" s="17" t="str">
        <f aca="false">IF($O311="","",INDEX('Auto Process'!$AE:$AE,$O311))</f>
        <v/>
      </c>
      <c r="D311" s="17" t="str">
        <f aca="false">IF($O311="","",INDEX('Auto Process'!$AF:$AF,$O311))</f>
        <v/>
      </c>
      <c r="E311" s="17" t="str">
        <f aca="false">IF($O311="","",INDEX('Auto Process'!$AG:$AG,$O311))</f>
        <v/>
      </c>
      <c r="F311" s="17" t="str">
        <f aca="false">IF($O311="","",INDEX('Auto Process'!$AH:$AH,$O311))</f>
        <v/>
      </c>
      <c r="G311" s="17" t="str">
        <f aca="false">IF($O311="","",INDEX('Auto Process'!$AI:$AI,$O311))</f>
        <v/>
      </c>
      <c r="H311" s="17" t="str">
        <f aca="false">IF($O311="","",INDEX('Auto Process'!$AJ:$AJ,$O311))</f>
        <v/>
      </c>
      <c r="I311" s="17" t="str">
        <f aca="false">IF($O311="","",INDEX('Auto Process'!$AK:$AK,$O311))</f>
        <v/>
      </c>
      <c r="J311" s="17" t="str">
        <f aca="false">IF($O311="","",INDEX('Auto Process'!$AL:$AL,$O311))</f>
        <v/>
      </c>
      <c r="K311" s="17" t="str">
        <f aca="false">IF($O311="","",INDEX('Auto Process'!$AM:$AM,$O311))</f>
        <v/>
      </c>
      <c r="L311" s="17" t="str">
        <f aca="false">IF($O311="","",INDEX('Auto Process'!$AN:$AN,$O311))</f>
        <v/>
      </c>
      <c r="M311" s="17" t="str">
        <f aca="false">IF($O311="","",INDEX('Auto Process'!$AO:$AO,$O311))</f>
        <v/>
      </c>
      <c r="O311" s="19" t="str">
        <f aca="false">IFERROR(_xlfn.AGGREGATE(15,6,ROW('Auto Process'!$D$4:$D$503)/('Auto Process'!$D$4:$D$503="Panel Details"),ROW()-1),"")</f>
        <v/>
      </c>
    </row>
    <row r="312" customFormat="false" ht="13.5" hidden="false" customHeight="true" outlineLevel="0" collapsed="false">
      <c r="A312" s="27" t="str">
        <f aca="false">IF($O312="","",INDEX('Auto Process'!$AC:$AC,$O312))</f>
        <v/>
      </c>
      <c r="B312" s="17" t="str">
        <f aca="false">IF($O312="","",INDEX('Auto Process'!$AD:$AD,$O312))</f>
        <v/>
      </c>
      <c r="C312" s="17" t="str">
        <f aca="false">IF($O312="","",INDEX('Auto Process'!$AE:$AE,$O312))</f>
        <v/>
      </c>
      <c r="D312" s="17" t="str">
        <f aca="false">IF($O312="","",INDEX('Auto Process'!$AF:$AF,$O312))</f>
        <v/>
      </c>
      <c r="E312" s="17" t="str">
        <f aca="false">IF($O312="","",INDEX('Auto Process'!$AG:$AG,$O312))</f>
        <v/>
      </c>
      <c r="F312" s="17" t="str">
        <f aca="false">IF($O312="","",INDEX('Auto Process'!$AH:$AH,$O312))</f>
        <v/>
      </c>
      <c r="G312" s="17" t="str">
        <f aca="false">IF($O312="","",INDEX('Auto Process'!$AI:$AI,$O312))</f>
        <v/>
      </c>
      <c r="H312" s="17" t="str">
        <f aca="false">IF($O312="","",INDEX('Auto Process'!$AJ:$AJ,$O312))</f>
        <v/>
      </c>
      <c r="I312" s="17" t="str">
        <f aca="false">IF($O312="","",INDEX('Auto Process'!$AK:$AK,$O312))</f>
        <v/>
      </c>
      <c r="J312" s="17" t="str">
        <f aca="false">IF($O312="","",INDEX('Auto Process'!$AL:$AL,$O312))</f>
        <v/>
      </c>
      <c r="K312" s="17" t="str">
        <f aca="false">IF($O312="","",INDEX('Auto Process'!$AM:$AM,$O312))</f>
        <v/>
      </c>
      <c r="L312" s="17" t="str">
        <f aca="false">IF($O312="","",INDEX('Auto Process'!$AN:$AN,$O312))</f>
        <v/>
      </c>
      <c r="M312" s="17" t="str">
        <f aca="false">IF($O312="","",INDEX('Auto Process'!$AO:$AO,$O312))</f>
        <v/>
      </c>
      <c r="O312" s="19" t="str">
        <f aca="false">IFERROR(_xlfn.AGGREGATE(15,6,ROW('Auto Process'!$D$4:$D$503)/('Auto Process'!$D$4:$D$503="Panel Details"),ROW()-1),"")</f>
        <v/>
      </c>
    </row>
    <row r="313" customFormat="false" ht="13.5" hidden="false" customHeight="true" outlineLevel="0" collapsed="false">
      <c r="A313" s="27" t="str">
        <f aca="false">IF($O313="","",INDEX('Auto Process'!$AC:$AC,$O313))</f>
        <v/>
      </c>
      <c r="B313" s="17" t="str">
        <f aca="false">IF($O313="","",INDEX('Auto Process'!$AD:$AD,$O313))</f>
        <v/>
      </c>
      <c r="C313" s="17" t="str">
        <f aca="false">IF($O313="","",INDEX('Auto Process'!$AE:$AE,$O313))</f>
        <v/>
      </c>
      <c r="D313" s="17" t="str">
        <f aca="false">IF($O313="","",INDEX('Auto Process'!$AF:$AF,$O313))</f>
        <v/>
      </c>
      <c r="E313" s="17" t="str">
        <f aca="false">IF($O313="","",INDEX('Auto Process'!$AG:$AG,$O313))</f>
        <v/>
      </c>
      <c r="F313" s="17" t="str">
        <f aca="false">IF($O313="","",INDEX('Auto Process'!$AH:$AH,$O313))</f>
        <v/>
      </c>
      <c r="G313" s="17" t="str">
        <f aca="false">IF($O313="","",INDEX('Auto Process'!$AI:$AI,$O313))</f>
        <v/>
      </c>
      <c r="H313" s="17" t="str">
        <f aca="false">IF($O313="","",INDEX('Auto Process'!$AJ:$AJ,$O313))</f>
        <v/>
      </c>
      <c r="I313" s="17" t="str">
        <f aca="false">IF($O313="","",INDEX('Auto Process'!$AK:$AK,$O313))</f>
        <v/>
      </c>
      <c r="J313" s="17" t="str">
        <f aca="false">IF($O313="","",INDEX('Auto Process'!$AL:$AL,$O313))</f>
        <v/>
      </c>
      <c r="K313" s="17" t="str">
        <f aca="false">IF($O313="","",INDEX('Auto Process'!$AM:$AM,$O313))</f>
        <v/>
      </c>
      <c r="L313" s="17" t="str">
        <f aca="false">IF($O313="","",INDEX('Auto Process'!$AN:$AN,$O313))</f>
        <v/>
      </c>
      <c r="M313" s="17" t="str">
        <f aca="false">IF($O313="","",INDEX('Auto Process'!$AO:$AO,$O313))</f>
        <v/>
      </c>
      <c r="O313" s="19" t="str">
        <f aca="false">IFERROR(_xlfn.AGGREGATE(15,6,ROW('Auto Process'!$D$4:$D$503)/('Auto Process'!$D$4:$D$503="Panel Details"),ROW()-1),"")</f>
        <v/>
      </c>
    </row>
    <row r="314" customFormat="false" ht="13.5" hidden="false" customHeight="true" outlineLevel="0" collapsed="false">
      <c r="A314" s="27" t="str">
        <f aca="false">IF($O314="","",INDEX('Auto Process'!$AC:$AC,$O314))</f>
        <v/>
      </c>
      <c r="B314" s="17" t="str">
        <f aca="false">IF($O314="","",INDEX('Auto Process'!$AD:$AD,$O314))</f>
        <v/>
      </c>
      <c r="C314" s="17" t="str">
        <f aca="false">IF($O314="","",INDEX('Auto Process'!$AE:$AE,$O314))</f>
        <v/>
      </c>
      <c r="D314" s="17" t="str">
        <f aca="false">IF($O314="","",INDEX('Auto Process'!$AF:$AF,$O314))</f>
        <v/>
      </c>
      <c r="E314" s="17" t="str">
        <f aca="false">IF($O314="","",INDEX('Auto Process'!$AG:$AG,$O314))</f>
        <v/>
      </c>
      <c r="F314" s="17" t="str">
        <f aca="false">IF($O314="","",INDEX('Auto Process'!$AH:$AH,$O314))</f>
        <v/>
      </c>
      <c r="G314" s="17" t="str">
        <f aca="false">IF($O314="","",INDEX('Auto Process'!$AI:$AI,$O314))</f>
        <v/>
      </c>
      <c r="H314" s="17" t="str">
        <f aca="false">IF($O314="","",INDEX('Auto Process'!$AJ:$AJ,$O314))</f>
        <v/>
      </c>
      <c r="I314" s="17" t="str">
        <f aca="false">IF($O314="","",INDEX('Auto Process'!$AK:$AK,$O314))</f>
        <v/>
      </c>
      <c r="J314" s="17" t="str">
        <f aca="false">IF($O314="","",INDEX('Auto Process'!$AL:$AL,$O314))</f>
        <v/>
      </c>
      <c r="K314" s="17" t="str">
        <f aca="false">IF($O314="","",INDEX('Auto Process'!$AM:$AM,$O314))</f>
        <v/>
      </c>
      <c r="L314" s="17" t="str">
        <f aca="false">IF($O314="","",INDEX('Auto Process'!$AN:$AN,$O314))</f>
        <v/>
      </c>
      <c r="M314" s="17" t="str">
        <f aca="false">IF($O314="","",INDEX('Auto Process'!$AO:$AO,$O314))</f>
        <v/>
      </c>
      <c r="O314" s="19" t="str">
        <f aca="false">IFERROR(_xlfn.AGGREGATE(15,6,ROW('Auto Process'!$D$4:$D$503)/('Auto Process'!$D$4:$D$503="Panel Details"),ROW()-1),"")</f>
        <v/>
      </c>
    </row>
    <row r="315" customFormat="false" ht="13.5" hidden="false" customHeight="true" outlineLevel="0" collapsed="false">
      <c r="A315" s="27" t="str">
        <f aca="false">IF($O315="","",INDEX('Auto Process'!$AC:$AC,$O315))</f>
        <v/>
      </c>
      <c r="B315" s="17" t="str">
        <f aca="false">IF($O315="","",INDEX('Auto Process'!$AD:$AD,$O315))</f>
        <v/>
      </c>
      <c r="C315" s="17" t="str">
        <f aca="false">IF($O315="","",INDEX('Auto Process'!$AE:$AE,$O315))</f>
        <v/>
      </c>
      <c r="D315" s="17" t="str">
        <f aca="false">IF($O315="","",INDEX('Auto Process'!$AF:$AF,$O315))</f>
        <v/>
      </c>
      <c r="E315" s="17" t="str">
        <f aca="false">IF($O315="","",INDEX('Auto Process'!$AG:$AG,$O315))</f>
        <v/>
      </c>
      <c r="F315" s="17" t="str">
        <f aca="false">IF($O315="","",INDEX('Auto Process'!$AH:$AH,$O315))</f>
        <v/>
      </c>
      <c r="G315" s="17" t="str">
        <f aca="false">IF($O315="","",INDEX('Auto Process'!$AI:$AI,$O315))</f>
        <v/>
      </c>
      <c r="H315" s="17" t="str">
        <f aca="false">IF($O315="","",INDEX('Auto Process'!$AJ:$AJ,$O315))</f>
        <v/>
      </c>
      <c r="I315" s="17" t="str">
        <f aca="false">IF($O315="","",INDEX('Auto Process'!$AK:$AK,$O315))</f>
        <v/>
      </c>
      <c r="J315" s="17" t="str">
        <f aca="false">IF($O315="","",INDEX('Auto Process'!$AL:$AL,$O315))</f>
        <v/>
      </c>
      <c r="K315" s="17" t="str">
        <f aca="false">IF($O315="","",INDEX('Auto Process'!$AM:$AM,$O315))</f>
        <v/>
      </c>
      <c r="L315" s="17" t="str">
        <f aca="false">IF($O315="","",INDEX('Auto Process'!$AN:$AN,$O315))</f>
        <v/>
      </c>
      <c r="M315" s="17" t="str">
        <f aca="false">IF($O315="","",INDEX('Auto Process'!$AO:$AO,$O315))</f>
        <v/>
      </c>
      <c r="O315" s="19" t="str">
        <f aca="false">IFERROR(_xlfn.AGGREGATE(15,6,ROW('Auto Process'!$D$4:$D$503)/('Auto Process'!$D$4:$D$503="Panel Details"),ROW()-1),"")</f>
        <v/>
      </c>
    </row>
    <row r="316" customFormat="false" ht="13.5" hidden="false" customHeight="true" outlineLevel="0" collapsed="false">
      <c r="A316" s="27" t="str">
        <f aca="false">IF($O316="","",INDEX('Auto Process'!$AC:$AC,$O316))</f>
        <v/>
      </c>
      <c r="B316" s="17" t="str">
        <f aca="false">IF($O316="","",INDEX('Auto Process'!$AD:$AD,$O316))</f>
        <v/>
      </c>
      <c r="C316" s="17" t="str">
        <f aca="false">IF($O316="","",INDEX('Auto Process'!$AE:$AE,$O316))</f>
        <v/>
      </c>
      <c r="D316" s="17" t="str">
        <f aca="false">IF($O316="","",INDEX('Auto Process'!$AF:$AF,$O316))</f>
        <v/>
      </c>
      <c r="E316" s="17" t="str">
        <f aca="false">IF($O316="","",INDEX('Auto Process'!$AG:$AG,$O316))</f>
        <v/>
      </c>
      <c r="F316" s="17" t="str">
        <f aca="false">IF($O316="","",INDEX('Auto Process'!$AH:$AH,$O316))</f>
        <v/>
      </c>
      <c r="G316" s="17" t="str">
        <f aca="false">IF($O316="","",INDEX('Auto Process'!$AI:$AI,$O316))</f>
        <v/>
      </c>
      <c r="H316" s="17" t="str">
        <f aca="false">IF($O316="","",INDEX('Auto Process'!$AJ:$AJ,$O316))</f>
        <v/>
      </c>
      <c r="I316" s="17" t="str">
        <f aca="false">IF($O316="","",INDEX('Auto Process'!$AK:$AK,$O316))</f>
        <v/>
      </c>
      <c r="J316" s="17" t="str">
        <f aca="false">IF($O316="","",INDEX('Auto Process'!$AL:$AL,$O316))</f>
        <v/>
      </c>
      <c r="K316" s="17" t="str">
        <f aca="false">IF($O316="","",INDEX('Auto Process'!$AM:$AM,$O316))</f>
        <v/>
      </c>
      <c r="L316" s="17" t="str">
        <f aca="false">IF($O316="","",INDEX('Auto Process'!$AN:$AN,$O316))</f>
        <v/>
      </c>
      <c r="M316" s="17" t="str">
        <f aca="false">IF($O316="","",INDEX('Auto Process'!$AO:$AO,$O316))</f>
        <v/>
      </c>
      <c r="O316" s="19" t="str">
        <f aca="false">IFERROR(_xlfn.AGGREGATE(15,6,ROW('Auto Process'!$D$4:$D$503)/('Auto Process'!$D$4:$D$503="Panel Details"),ROW()-1),"")</f>
        <v/>
      </c>
    </row>
    <row r="317" customFormat="false" ht="13.5" hidden="false" customHeight="true" outlineLevel="0" collapsed="false">
      <c r="A317" s="27" t="str">
        <f aca="false">IF($O317="","",INDEX('Auto Process'!$AC:$AC,$O317))</f>
        <v/>
      </c>
      <c r="B317" s="17" t="str">
        <f aca="false">IF($O317="","",INDEX('Auto Process'!$AD:$AD,$O317))</f>
        <v/>
      </c>
      <c r="C317" s="17" t="str">
        <f aca="false">IF($O317="","",INDEX('Auto Process'!$AE:$AE,$O317))</f>
        <v/>
      </c>
      <c r="D317" s="17" t="str">
        <f aca="false">IF($O317="","",INDEX('Auto Process'!$AF:$AF,$O317))</f>
        <v/>
      </c>
      <c r="E317" s="17" t="str">
        <f aca="false">IF($O317="","",INDEX('Auto Process'!$AG:$AG,$O317))</f>
        <v/>
      </c>
      <c r="F317" s="17" t="str">
        <f aca="false">IF($O317="","",INDEX('Auto Process'!$AH:$AH,$O317))</f>
        <v/>
      </c>
      <c r="G317" s="17" t="str">
        <f aca="false">IF($O317="","",INDEX('Auto Process'!$AI:$AI,$O317))</f>
        <v/>
      </c>
      <c r="H317" s="17" t="str">
        <f aca="false">IF($O317="","",INDEX('Auto Process'!$AJ:$AJ,$O317))</f>
        <v/>
      </c>
      <c r="I317" s="17" t="str">
        <f aca="false">IF($O317="","",INDEX('Auto Process'!$AK:$AK,$O317))</f>
        <v/>
      </c>
      <c r="J317" s="17" t="str">
        <f aca="false">IF($O317="","",INDEX('Auto Process'!$AL:$AL,$O317))</f>
        <v/>
      </c>
      <c r="K317" s="17" t="str">
        <f aca="false">IF($O317="","",INDEX('Auto Process'!$AM:$AM,$O317))</f>
        <v/>
      </c>
      <c r="L317" s="17" t="str">
        <f aca="false">IF($O317="","",INDEX('Auto Process'!$AN:$AN,$O317))</f>
        <v/>
      </c>
      <c r="M317" s="17" t="str">
        <f aca="false">IF($O317="","",INDEX('Auto Process'!$AO:$AO,$O317))</f>
        <v/>
      </c>
      <c r="O317" s="19" t="str">
        <f aca="false">IFERROR(_xlfn.AGGREGATE(15,6,ROW('Auto Process'!$D$4:$D$503)/('Auto Process'!$D$4:$D$503="Panel Details"),ROW()-1),"")</f>
        <v/>
      </c>
    </row>
    <row r="318" customFormat="false" ht="13.5" hidden="false" customHeight="true" outlineLevel="0" collapsed="false">
      <c r="A318" s="27" t="str">
        <f aca="false">IF($O318="","",INDEX('Auto Process'!$AC:$AC,$O318))</f>
        <v/>
      </c>
      <c r="B318" s="17" t="str">
        <f aca="false">IF($O318="","",INDEX('Auto Process'!$AD:$AD,$O318))</f>
        <v/>
      </c>
      <c r="C318" s="17" t="str">
        <f aca="false">IF($O318="","",INDEX('Auto Process'!$AE:$AE,$O318))</f>
        <v/>
      </c>
      <c r="D318" s="17" t="str">
        <f aca="false">IF($O318="","",INDEX('Auto Process'!$AF:$AF,$O318))</f>
        <v/>
      </c>
      <c r="E318" s="17" t="str">
        <f aca="false">IF($O318="","",INDEX('Auto Process'!$AG:$AG,$O318))</f>
        <v/>
      </c>
      <c r="F318" s="17" t="str">
        <f aca="false">IF($O318="","",INDEX('Auto Process'!$AH:$AH,$O318))</f>
        <v/>
      </c>
      <c r="G318" s="17" t="str">
        <f aca="false">IF($O318="","",INDEX('Auto Process'!$AI:$AI,$O318))</f>
        <v/>
      </c>
      <c r="H318" s="17" t="str">
        <f aca="false">IF($O318="","",INDEX('Auto Process'!$AJ:$AJ,$O318))</f>
        <v/>
      </c>
      <c r="I318" s="17" t="str">
        <f aca="false">IF($O318="","",INDEX('Auto Process'!$AK:$AK,$O318))</f>
        <v/>
      </c>
      <c r="J318" s="17" t="str">
        <f aca="false">IF($O318="","",INDEX('Auto Process'!$AL:$AL,$O318))</f>
        <v/>
      </c>
      <c r="K318" s="17" t="str">
        <f aca="false">IF($O318="","",INDEX('Auto Process'!$AM:$AM,$O318))</f>
        <v/>
      </c>
      <c r="L318" s="17" t="str">
        <f aca="false">IF($O318="","",INDEX('Auto Process'!$AN:$AN,$O318))</f>
        <v/>
      </c>
      <c r="M318" s="17" t="str">
        <f aca="false">IF($O318="","",INDEX('Auto Process'!$AO:$AO,$O318))</f>
        <v/>
      </c>
      <c r="O318" s="19" t="str">
        <f aca="false">IFERROR(_xlfn.AGGREGATE(15,6,ROW('Auto Process'!$D$4:$D$503)/('Auto Process'!$D$4:$D$503="Panel Details"),ROW()-1),"")</f>
        <v/>
      </c>
    </row>
    <row r="319" customFormat="false" ht="13.5" hidden="false" customHeight="true" outlineLevel="0" collapsed="false">
      <c r="A319" s="27" t="str">
        <f aca="false">IF($O319="","",INDEX('Auto Process'!$AC:$AC,$O319))</f>
        <v/>
      </c>
      <c r="B319" s="17" t="str">
        <f aca="false">IF($O319="","",INDEX('Auto Process'!$AD:$AD,$O319))</f>
        <v/>
      </c>
      <c r="C319" s="17" t="str">
        <f aca="false">IF($O319="","",INDEX('Auto Process'!$AE:$AE,$O319))</f>
        <v/>
      </c>
      <c r="D319" s="17" t="str">
        <f aca="false">IF($O319="","",INDEX('Auto Process'!$AF:$AF,$O319))</f>
        <v/>
      </c>
      <c r="E319" s="17" t="str">
        <f aca="false">IF($O319="","",INDEX('Auto Process'!$AG:$AG,$O319))</f>
        <v/>
      </c>
      <c r="F319" s="17" t="str">
        <f aca="false">IF($O319="","",INDEX('Auto Process'!$AH:$AH,$O319))</f>
        <v/>
      </c>
      <c r="G319" s="17" t="str">
        <f aca="false">IF($O319="","",INDEX('Auto Process'!$AI:$AI,$O319))</f>
        <v/>
      </c>
      <c r="H319" s="17" t="str">
        <f aca="false">IF($O319="","",INDEX('Auto Process'!$AJ:$AJ,$O319))</f>
        <v/>
      </c>
      <c r="I319" s="17" t="str">
        <f aca="false">IF($O319="","",INDEX('Auto Process'!$AK:$AK,$O319))</f>
        <v/>
      </c>
      <c r="J319" s="17" t="str">
        <f aca="false">IF($O319="","",INDEX('Auto Process'!$AL:$AL,$O319))</f>
        <v/>
      </c>
      <c r="K319" s="17" t="str">
        <f aca="false">IF($O319="","",INDEX('Auto Process'!$AM:$AM,$O319))</f>
        <v/>
      </c>
      <c r="L319" s="17" t="str">
        <f aca="false">IF($O319="","",INDEX('Auto Process'!$AN:$AN,$O319))</f>
        <v/>
      </c>
      <c r="M319" s="17" t="str">
        <f aca="false">IF($O319="","",INDEX('Auto Process'!$AO:$AO,$O319))</f>
        <v/>
      </c>
      <c r="O319" s="19" t="str">
        <f aca="false">IFERROR(_xlfn.AGGREGATE(15,6,ROW('Auto Process'!$D$4:$D$503)/('Auto Process'!$D$4:$D$503="Panel Details"),ROW()-1),"")</f>
        <v/>
      </c>
    </row>
    <row r="320" customFormat="false" ht="13.5" hidden="false" customHeight="true" outlineLevel="0" collapsed="false">
      <c r="A320" s="27" t="str">
        <f aca="false">IF($O320="","",INDEX('Auto Process'!$AC:$AC,$O320))</f>
        <v/>
      </c>
      <c r="B320" s="17" t="str">
        <f aca="false">IF($O320="","",INDEX('Auto Process'!$AD:$AD,$O320))</f>
        <v/>
      </c>
      <c r="C320" s="17" t="str">
        <f aca="false">IF($O320="","",INDEX('Auto Process'!$AE:$AE,$O320))</f>
        <v/>
      </c>
      <c r="D320" s="17" t="str">
        <f aca="false">IF($O320="","",INDEX('Auto Process'!$AF:$AF,$O320))</f>
        <v/>
      </c>
      <c r="E320" s="17" t="str">
        <f aca="false">IF($O320="","",INDEX('Auto Process'!$AG:$AG,$O320))</f>
        <v/>
      </c>
      <c r="F320" s="17" t="str">
        <f aca="false">IF($O320="","",INDEX('Auto Process'!$AH:$AH,$O320))</f>
        <v/>
      </c>
      <c r="G320" s="17" t="str">
        <f aca="false">IF($O320="","",INDEX('Auto Process'!$AI:$AI,$O320))</f>
        <v/>
      </c>
      <c r="H320" s="17" t="str">
        <f aca="false">IF($O320="","",INDEX('Auto Process'!$AJ:$AJ,$O320))</f>
        <v/>
      </c>
      <c r="I320" s="17" t="str">
        <f aca="false">IF($O320="","",INDEX('Auto Process'!$AK:$AK,$O320))</f>
        <v/>
      </c>
      <c r="J320" s="17" t="str">
        <f aca="false">IF($O320="","",INDEX('Auto Process'!$AL:$AL,$O320))</f>
        <v/>
      </c>
      <c r="K320" s="17" t="str">
        <f aca="false">IF($O320="","",INDEX('Auto Process'!$AM:$AM,$O320))</f>
        <v/>
      </c>
      <c r="L320" s="17" t="str">
        <f aca="false">IF($O320="","",INDEX('Auto Process'!$AN:$AN,$O320))</f>
        <v/>
      </c>
      <c r="M320" s="17" t="str">
        <f aca="false">IF($O320="","",INDEX('Auto Process'!$AO:$AO,$O320))</f>
        <v/>
      </c>
      <c r="O320" s="19" t="str">
        <f aca="false">IFERROR(_xlfn.AGGREGATE(15,6,ROW('Auto Process'!$D$4:$D$503)/('Auto Process'!$D$4:$D$503="Panel Details"),ROW()-1),"")</f>
        <v/>
      </c>
    </row>
    <row r="321" customFormat="false" ht="13.5" hidden="false" customHeight="true" outlineLevel="0" collapsed="false">
      <c r="A321" s="27" t="str">
        <f aca="false">IF($O321="","",INDEX('Auto Process'!$AC:$AC,$O321))</f>
        <v/>
      </c>
      <c r="B321" s="17" t="str">
        <f aca="false">IF($O321="","",INDEX('Auto Process'!$AD:$AD,$O321))</f>
        <v/>
      </c>
      <c r="C321" s="17" t="str">
        <f aca="false">IF($O321="","",INDEX('Auto Process'!$AE:$AE,$O321))</f>
        <v/>
      </c>
      <c r="D321" s="17" t="str">
        <f aca="false">IF($O321="","",INDEX('Auto Process'!$AF:$AF,$O321))</f>
        <v/>
      </c>
      <c r="E321" s="17" t="str">
        <f aca="false">IF($O321="","",INDEX('Auto Process'!$AG:$AG,$O321))</f>
        <v/>
      </c>
      <c r="F321" s="17" t="str">
        <f aca="false">IF($O321="","",INDEX('Auto Process'!$AH:$AH,$O321))</f>
        <v/>
      </c>
      <c r="G321" s="17" t="str">
        <f aca="false">IF($O321="","",INDEX('Auto Process'!$AI:$AI,$O321))</f>
        <v/>
      </c>
      <c r="H321" s="17" t="str">
        <f aca="false">IF($O321="","",INDEX('Auto Process'!$AJ:$AJ,$O321))</f>
        <v/>
      </c>
      <c r="I321" s="17" t="str">
        <f aca="false">IF($O321="","",INDEX('Auto Process'!$AK:$AK,$O321))</f>
        <v/>
      </c>
      <c r="J321" s="17" t="str">
        <f aca="false">IF($O321="","",INDEX('Auto Process'!$AL:$AL,$O321))</f>
        <v/>
      </c>
      <c r="K321" s="17" t="str">
        <f aca="false">IF($O321="","",INDEX('Auto Process'!$AM:$AM,$O321))</f>
        <v/>
      </c>
      <c r="L321" s="17" t="str">
        <f aca="false">IF($O321="","",INDEX('Auto Process'!$AN:$AN,$O321))</f>
        <v/>
      </c>
      <c r="M321" s="17" t="str">
        <f aca="false">IF($O321="","",INDEX('Auto Process'!$AO:$AO,$O321))</f>
        <v/>
      </c>
      <c r="O321" s="19" t="str">
        <f aca="false">IFERROR(_xlfn.AGGREGATE(15,6,ROW('Auto Process'!$D$4:$D$503)/('Auto Process'!$D$4:$D$503="Panel Details"),ROW()-1),"")</f>
        <v/>
      </c>
    </row>
    <row r="322" customFormat="false" ht="13.5" hidden="false" customHeight="true" outlineLevel="0" collapsed="false">
      <c r="A322" s="27" t="str">
        <f aca="false">IF($O322="","",INDEX('Auto Process'!$AC:$AC,$O322))</f>
        <v/>
      </c>
      <c r="B322" s="17" t="str">
        <f aca="false">IF($O322="","",INDEX('Auto Process'!$AD:$AD,$O322))</f>
        <v/>
      </c>
      <c r="C322" s="17" t="str">
        <f aca="false">IF($O322="","",INDEX('Auto Process'!$AE:$AE,$O322))</f>
        <v/>
      </c>
      <c r="D322" s="17" t="str">
        <f aca="false">IF($O322="","",INDEX('Auto Process'!$AF:$AF,$O322))</f>
        <v/>
      </c>
      <c r="E322" s="17" t="str">
        <f aca="false">IF($O322="","",INDEX('Auto Process'!$AG:$AG,$O322))</f>
        <v/>
      </c>
      <c r="F322" s="17" t="str">
        <f aca="false">IF($O322="","",INDEX('Auto Process'!$AH:$AH,$O322))</f>
        <v/>
      </c>
      <c r="G322" s="17" t="str">
        <f aca="false">IF($O322="","",INDEX('Auto Process'!$AI:$AI,$O322))</f>
        <v/>
      </c>
      <c r="H322" s="17" t="str">
        <f aca="false">IF($O322="","",INDEX('Auto Process'!$AJ:$AJ,$O322))</f>
        <v/>
      </c>
      <c r="I322" s="17" t="str">
        <f aca="false">IF($O322="","",INDEX('Auto Process'!$AK:$AK,$O322))</f>
        <v/>
      </c>
      <c r="J322" s="17" t="str">
        <f aca="false">IF($O322="","",INDEX('Auto Process'!$AL:$AL,$O322))</f>
        <v/>
      </c>
      <c r="K322" s="17" t="str">
        <f aca="false">IF($O322="","",INDEX('Auto Process'!$AM:$AM,$O322))</f>
        <v/>
      </c>
      <c r="L322" s="17" t="str">
        <f aca="false">IF($O322="","",INDEX('Auto Process'!$AN:$AN,$O322))</f>
        <v/>
      </c>
      <c r="M322" s="17" t="str">
        <f aca="false">IF($O322="","",INDEX('Auto Process'!$AO:$AO,$O322))</f>
        <v/>
      </c>
      <c r="O322" s="19" t="str">
        <f aca="false">IFERROR(_xlfn.AGGREGATE(15,6,ROW('Auto Process'!$D$4:$D$503)/('Auto Process'!$D$4:$D$503="Panel Details"),ROW()-1),"")</f>
        <v/>
      </c>
    </row>
    <row r="323" customFormat="false" ht="13.5" hidden="false" customHeight="true" outlineLevel="0" collapsed="false">
      <c r="A323" s="27" t="str">
        <f aca="false">IF($O323="","",INDEX('Auto Process'!$AC:$AC,$O323))</f>
        <v/>
      </c>
      <c r="B323" s="17" t="str">
        <f aca="false">IF($O323="","",INDEX('Auto Process'!$AD:$AD,$O323))</f>
        <v/>
      </c>
      <c r="C323" s="17" t="str">
        <f aca="false">IF($O323="","",INDEX('Auto Process'!$AE:$AE,$O323))</f>
        <v/>
      </c>
      <c r="D323" s="17" t="str">
        <f aca="false">IF($O323="","",INDEX('Auto Process'!$AF:$AF,$O323))</f>
        <v/>
      </c>
      <c r="E323" s="17" t="str">
        <f aca="false">IF($O323="","",INDEX('Auto Process'!$AG:$AG,$O323))</f>
        <v/>
      </c>
      <c r="F323" s="17" t="str">
        <f aca="false">IF($O323="","",INDEX('Auto Process'!$AH:$AH,$O323))</f>
        <v/>
      </c>
      <c r="G323" s="17" t="str">
        <f aca="false">IF($O323="","",INDEX('Auto Process'!$AI:$AI,$O323))</f>
        <v/>
      </c>
      <c r="H323" s="17" t="str">
        <f aca="false">IF($O323="","",INDEX('Auto Process'!$AJ:$AJ,$O323))</f>
        <v/>
      </c>
      <c r="I323" s="17" t="str">
        <f aca="false">IF($O323="","",INDEX('Auto Process'!$AK:$AK,$O323))</f>
        <v/>
      </c>
      <c r="J323" s="17" t="str">
        <f aca="false">IF($O323="","",INDEX('Auto Process'!$AL:$AL,$O323))</f>
        <v/>
      </c>
      <c r="K323" s="17" t="str">
        <f aca="false">IF($O323="","",INDEX('Auto Process'!$AM:$AM,$O323))</f>
        <v/>
      </c>
      <c r="L323" s="17" t="str">
        <f aca="false">IF($O323="","",INDEX('Auto Process'!$AN:$AN,$O323))</f>
        <v/>
      </c>
      <c r="M323" s="17" t="str">
        <f aca="false">IF($O323="","",INDEX('Auto Process'!$AO:$AO,$O323))</f>
        <v/>
      </c>
      <c r="O323" s="19" t="str">
        <f aca="false">IFERROR(_xlfn.AGGREGATE(15,6,ROW('Auto Process'!$D$4:$D$503)/('Auto Process'!$D$4:$D$503="Panel Details"),ROW()-1),"")</f>
        <v/>
      </c>
    </row>
    <row r="324" customFormat="false" ht="13.5" hidden="false" customHeight="true" outlineLevel="0" collapsed="false">
      <c r="A324" s="27" t="str">
        <f aca="false">IF($O324="","",INDEX('Auto Process'!$AC:$AC,$O324))</f>
        <v/>
      </c>
      <c r="B324" s="17" t="str">
        <f aca="false">IF($O324="","",INDEX('Auto Process'!$AD:$AD,$O324))</f>
        <v/>
      </c>
      <c r="C324" s="17" t="str">
        <f aca="false">IF($O324="","",INDEX('Auto Process'!$AE:$AE,$O324))</f>
        <v/>
      </c>
      <c r="D324" s="17" t="str">
        <f aca="false">IF($O324="","",INDEX('Auto Process'!$AF:$AF,$O324))</f>
        <v/>
      </c>
      <c r="E324" s="17" t="str">
        <f aca="false">IF($O324="","",INDEX('Auto Process'!$AG:$AG,$O324))</f>
        <v/>
      </c>
      <c r="F324" s="17" t="str">
        <f aca="false">IF($O324="","",INDEX('Auto Process'!$AH:$AH,$O324))</f>
        <v/>
      </c>
      <c r="G324" s="17" t="str">
        <f aca="false">IF($O324="","",INDEX('Auto Process'!$AI:$AI,$O324))</f>
        <v/>
      </c>
      <c r="H324" s="17" t="str">
        <f aca="false">IF($O324="","",INDEX('Auto Process'!$AJ:$AJ,$O324))</f>
        <v/>
      </c>
      <c r="I324" s="17" t="str">
        <f aca="false">IF($O324="","",INDEX('Auto Process'!$AK:$AK,$O324))</f>
        <v/>
      </c>
      <c r="J324" s="17" t="str">
        <f aca="false">IF($O324="","",INDEX('Auto Process'!$AL:$AL,$O324))</f>
        <v/>
      </c>
      <c r="K324" s="17" t="str">
        <f aca="false">IF($O324="","",INDEX('Auto Process'!$AM:$AM,$O324))</f>
        <v/>
      </c>
      <c r="L324" s="17" t="str">
        <f aca="false">IF($O324="","",INDEX('Auto Process'!$AN:$AN,$O324))</f>
        <v/>
      </c>
      <c r="M324" s="17" t="str">
        <f aca="false">IF($O324="","",INDEX('Auto Process'!$AO:$AO,$O324))</f>
        <v/>
      </c>
      <c r="O324" s="19" t="str">
        <f aca="false">IFERROR(_xlfn.AGGREGATE(15,6,ROW('Auto Process'!$D$4:$D$503)/('Auto Process'!$D$4:$D$503="Panel Details"),ROW()-1),"")</f>
        <v/>
      </c>
    </row>
    <row r="325" customFormat="false" ht="13.5" hidden="false" customHeight="true" outlineLevel="0" collapsed="false">
      <c r="A325" s="27" t="str">
        <f aca="false">IF($O325="","",INDEX('Auto Process'!$AC:$AC,$O325))</f>
        <v/>
      </c>
      <c r="B325" s="17" t="str">
        <f aca="false">IF($O325="","",INDEX('Auto Process'!$AD:$AD,$O325))</f>
        <v/>
      </c>
      <c r="C325" s="17" t="str">
        <f aca="false">IF($O325="","",INDEX('Auto Process'!$AE:$AE,$O325))</f>
        <v/>
      </c>
      <c r="D325" s="17" t="str">
        <f aca="false">IF($O325="","",INDEX('Auto Process'!$AF:$AF,$O325))</f>
        <v/>
      </c>
      <c r="E325" s="17" t="str">
        <f aca="false">IF($O325="","",INDEX('Auto Process'!$AG:$AG,$O325))</f>
        <v/>
      </c>
      <c r="F325" s="17" t="str">
        <f aca="false">IF($O325="","",INDEX('Auto Process'!$AH:$AH,$O325))</f>
        <v/>
      </c>
      <c r="G325" s="17" t="str">
        <f aca="false">IF($O325="","",INDEX('Auto Process'!$AI:$AI,$O325))</f>
        <v/>
      </c>
      <c r="H325" s="17" t="str">
        <f aca="false">IF($O325="","",INDEX('Auto Process'!$AJ:$AJ,$O325))</f>
        <v/>
      </c>
      <c r="I325" s="17" t="str">
        <f aca="false">IF($O325="","",INDEX('Auto Process'!$AK:$AK,$O325))</f>
        <v/>
      </c>
      <c r="J325" s="17" t="str">
        <f aca="false">IF($O325="","",INDEX('Auto Process'!$AL:$AL,$O325))</f>
        <v/>
      </c>
      <c r="K325" s="17" t="str">
        <f aca="false">IF($O325="","",INDEX('Auto Process'!$AM:$AM,$O325))</f>
        <v/>
      </c>
      <c r="L325" s="17" t="str">
        <f aca="false">IF($O325="","",INDEX('Auto Process'!$AN:$AN,$O325))</f>
        <v/>
      </c>
      <c r="M325" s="17" t="str">
        <f aca="false">IF($O325="","",INDEX('Auto Process'!$AO:$AO,$O325))</f>
        <v/>
      </c>
      <c r="O325" s="19" t="str">
        <f aca="false">IFERROR(_xlfn.AGGREGATE(15,6,ROW('Auto Process'!$D$4:$D$503)/('Auto Process'!$D$4:$D$503="Panel Details"),ROW()-1),"")</f>
        <v/>
      </c>
    </row>
    <row r="326" customFormat="false" ht="13.5" hidden="false" customHeight="true" outlineLevel="0" collapsed="false">
      <c r="A326" s="27" t="str">
        <f aca="false">IF($O326="","",INDEX('Auto Process'!$AC:$AC,$O326))</f>
        <v/>
      </c>
      <c r="B326" s="17" t="str">
        <f aca="false">IF($O326="","",INDEX('Auto Process'!$AD:$AD,$O326))</f>
        <v/>
      </c>
      <c r="C326" s="17" t="str">
        <f aca="false">IF($O326="","",INDEX('Auto Process'!$AE:$AE,$O326))</f>
        <v/>
      </c>
      <c r="D326" s="17" t="str">
        <f aca="false">IF($O326="","",INDEX('Auto Process'!$AF:$AF,$O326))</f>
        <v/>
      </c>
      <c r="E326" s="17" t="str">
        <f aca="false">IF($O326="","",INDEX('Auto Process'!$AG:$AG,$O326))</f>
        <v/>
      </c>
      <c r="F326" s="17" t="str">
        <f aca="false">IF($O326="","",INDEX('Auto Process'!$AH:$AH,$O326))</f>
        <v/>
      </c>
      <c r="G326" s="17" t="str">
        <f aca="false">IF($O326="","",INDEX('Auto Process'!$AI:$AI,$O326))</f>
        <v/>
      </c>
      <c r="H326" s="17" t="str">
        <f aca="false">IF($O326="","",INDEX('Auto Process'!$AJ:$AJ,$O326))</f>
        <v/>
      </c>
      <c r="I326" s="17" t="str">
        <f aca="false">IF($O326="","",INDEX('Auto Process'!$AK:$AK,$O326))</f>
        <v/>
      </c>
      <c r="J326" s="17" t="str">
        <f aca="false">IF($O326="","",INDEX('Auto Process'!$AL:$AL,$O326))</f>
        <v/>
      </c>
      <c r="K326" s="17" t="str">
        <f aca="false">IF($O326="","",INDEX('Auto Process'!$AM:$AM,$O326))</f>
        <v/>
      </c>
      <c r="L326" s="17" t="str">
        <f aca="false">IF($O326="","",INDEX('Auto Process'!$AN:$AN,$O326))</f>
        <v/>
      </c>
      <c r="M326" s="17" t="str">
        <f aca="false">IF($O326="","",INDEX('Auto Process'!$AO:$AO,$O326))</f>
        <v/>
      </c>
      <c r="O326" s="19" t="str">
        <f aca="false">IFERROR(_xlfn.AGGREGATE(15,6,ROW('Auto Process'!$D$4:$D$503)/('Auto Process'!$D$4:$D$503="Panel Details"),ROW()-1),"")</f>
        <v/>
      </c>
    </row>
    <row r="327" customFormat="false" ht="13.5" hidden="false" customHeight="true" outlineLevel="0" collapsed="false">
      <c r="A327" s="27" t="str">
        <f aca="false">IF($O327="","",INDEX('Auto Process'!$AC:$AC,$O327))</f>
        <v/>
      </c>
      <c r="B327" s="17" t="str">
        <f aca="false">IF($O327="","",INDEX('Auto Process'!$AD:$AD,$O327))</f>
        <v/>
      </c>
      <c r="C327" s="17" t="str">
        <f aca="false">IF($O327="","",INDEX('Auto Process'!$AE:$AE,$O327))</f>
        <v/>
      </c>
      <c r="D327" s="17" t="str">
        <f aca="false">IF($O327="","",INDEX('Auto Process'!$AF:$AF,$O327))</f>
        <v/>
      </c>
      <c r="E327" s="17" t="str">
        <f aca="false">IF($O327="","",INDEX('Auto Process'!$AG:$AG,$O327))</f>
        <v/>
      </c>
      <c r="F327" s="17" t="str">
        <f aca="false">IF($O327="","",INDEX('Auto Process'!$AH:$AH,$O327))</f>
        <v/>
      </c>
      <c r="G327" s="17" t="str">
        <f aca="false">IF($O327="","",INDEX('Auto Process'!$AI:$AI,$O327))</f>
        <v/>
      </c>
      <c r="H327" s="17" t="str">
        <f aca="false">IF($O327="","",INDEX('Auto Process'!$AJ:$AJ,$O327))</f>
        <v/>
      </c>
      <c r="I327" s="17" t="str">
        <f aca="false">IF($O327="","",INDEX('Auto Process'!$AK:$AK,$O327))</f>
        <v/>
      </c>
      <c r="J327" s="17" t="str">
        <f aca="false">IF($O327="","",INDEX('Auto Process'!$AL:$AL,$O327))</f>
        <v/>
      </c>
      <c r="K327" s="17" t="str">
        <f aca="false">IF($O327="","",INDEX('Auto Process'!$AM:$AM,$O327))</f>
        <v/>
      </c>
      <c r="L327" s="17" t="str">
        <f aca="false">IF($O327="","",INDEX('Auto Process'!$AN:$AN,$O327))</f>
        <v/>
      </c>
      <c r="M327" s="17" t="str">
        <f aca="false">IF($O327="","",INDEX('Auto Process'!$AO:$AO,$O327))</f>
        <v/>
      </c>
      <c r="O327" s="19" t="str">
        <f aca="false">IFERROR(_xlfn.AGGREGATE(15,6,ROW('Auto Process'!$D$4:$D$503)/('Auto Process'!$D$4:$D$503="Panel Details"),ROW()-1),"")</f>
        <v/>
      </c>
    </row>
    <row r="328" customFormat="false" ht="13.5" hidden="false" customHeight="true" outlineLevel="0" collapsed="false">
      <c r="A328" s="27" t="str">
        <f aca="false">IF($O328="","",INDEX('Auto Process'!$AC:$AC,$O328))</f>
        <v/>
      </c>
      <c r="B328" s="17" t="str">
        <f aca="false">IF($O328="","",INDEX('Auto Process'!$AD:$AD,$O328))</f>
        <v/>
      </c>
      <c r="C328" s="17" t="str">
        <f aca="false">IF($O328="","",INDEX('Auto Process'!$AE:$AE,$O328))</f>
        <v/>
      </c>
      <c r="D328" s="17" t="str">
        <f aca="false">IF($O328="","",INDEX('Auto Process'!$AF:$AF,$O328))</f>
        <v/>
      </c>
      <c r="E328" s="17" t="str">
        <f aca="false">IF($O328="","",INDEX('Auto Process'!$AG:$AG,$O328))</f>
        <v/>
      </c>
      <c r="F328" s="17" t="str">
        <f aca="false">IF($O328="","",INDEX('Auto Process'!$AH:$AH,$O328))</f>
        <v/>
      </c>
      <c r="G328" s="17" t="str">
        <f aca="false">IF($O328="","",INDEX('Auto Process'!$AI:$AI,$O328))</f>
        <v/>
      </c>
      <c r="H328" s="17" t="str">
        <f aca="false">IF($O328="","",INDEX('Auto Process'!$AJ:$AJ,$O328))</f>
        <v/>
      </c>
      <c r="I328" s="17" t="str">
        <f aca="false">IF($O328="","",INDEX('Auto Process'!$AK:$AK,$O328))</f>
        <v/>
      </c>
      <c r="J328" s="17" t="str">
        <f aca="false">IF($O328="","",INDEX('Auto Process'!$AL:$AL,$O328))</f>
        <v/>
      </c>
      <c r="K328" s="17" t="str">
        <f aca="false">IF($O328="","",INDEX('Auto Process'!$AM:$AM,$O328))</f>
        <v/>
      </c>
      <c r="L328" s="17" t="str">
        <f aca="false">IF($O328="","",INDEX('Auto Process'!$AN:$AN,$O328))</f>
        <v/>
      </c>
      <c r="M328" s="17" t="str">
        <f aca="false">IF($O328="","",INDEX('Auto Process'!$AO:$AO,$O328))</f>
        <v/>
      </c>
      <c r="O328" s="19" t="str">
        <f aca="false">IFERROR(_xlfn.AGGREGATE(15,6,ROW('Auto Process'!$D$4:$D$503)/('Auto Process'!$D$4:$D$503="Panel Details"),ROW()-1),"")</f>
        <v/>
      </c>
    </row>
    <row r="329" customFormat="false" ht="13.5" hidden="false" customHeight="true" outlineLevel="0" collapsed="false">
      <c r="A329" s="27" t="str">
        <f aca="false">IF($O329="","",INDEX('Auto Process'!$AC:$AC,$O329))</f>
        <v/>
      </c>
      <c r="B329" s="17" t="str">
        <f aca="false">IF($O329="","",INDEX('Auto Process'!$AD:$AD,$O329))</f>
        <v/>
      </c>
      <c r="C329" s="17" t="str">
        <f aca="false">IF($O329="","",INDEX('Auto Process'!$AE:$AE,$O329))</f>
        <v/>
      </c>
      <c r="D329" s="17" t="str">
        <f aca="false">IF($O329="","",INDEX('Auto Process'!$AF:$AF,$O329))</f>
        <v/>
      </c>
      <c r="E329" s="17" t="str">
        <f aca="false">IF($O329="","",INDEX('Auto Process'!$AG:$AG,$O329))</f>
        <v/>
      </c>
      <c r="F329" s="17" t="str">
        <f aca="false">IF($O329="","",INDEX('Auto Process'!$AH:$AH,$O329))</f>
        <v/>
      </c>
      <c r="G329" s="17" t="str">
        <f aca="false">IF($O329="","",INDEX('Auto Process'!$AI:$AI,$O329))</f>
        <v/>
      </c>
      <c r="H329" s="17" t="str">
        <f aca="false">IF($O329="","",INDEX('Auto Process'!$AJ:$AJ,$O329))</f>
        <v/>
      </c>
      <c r="I329" s="17" t="str">
        <f aca="false">IF($O329="","",INDEX('Auto Process'!$AK:$AK,$O329))</f>
        <v/>
      </c>
      <c r="J329" s="17" t="str">
        <f aca="false">IF($O329="","",INDEX('Auto Process'!$AL:$AL,$O329))</f>
        <v/>
      </c>
      <c r="K329" s="17" t="str">
        <f aca="false">IF($O329="","",INDEX('Auto Process'!$AM:$AM,$O329))</f>
        <v/>
      </c>
      <c r="L329" s="17" t="str">
        <f aca="false">IF($O329="","",INDEX('Auto Process'!$AN:$AN,$O329))</f>
        <v/>
      </c>
      <c r="M329" s="17" t="str">
        <f aca="false">IF($O329="","",INDEX('Auto Process'!$AO:$AO,$O329))</f>
        <v/>
      </c>
      <c r="O329" s="19" t="str">
        <f aca="false">IFERROR(_xlfn.AGGREGATE(15,6,ROW('Auto Process'!$D$4:$D$503)/('Auto Process'!$D$4:$D$503="Panel Details"),ROW()-1),"")</f>
        <v/>
      </c>
    </row>
    <row r="330" customFormat="false" ht="13.5" hidden="false" customHeight="true" outlineLevel="0" collapsed="false">
      <c r="A330" s="27" t="str">
        <f aca="false">IF($O330="","",INDEX('Auto Process'!$AC:$AC,$O330))</f>
        <v/>
      </c>
      <c r="B330" s="17" t="str">
        <f aca="false">IF($O330="","",INDEX('Auto Process'!$AD:$AD,$O330))</f>
        <v/>
      </c>
      <c r="C330" s="17" t="str">
        <f aca="false">IF($O330="","",INDEX('Auto Process'!$AE:$AE,$O330))</f>
        <v/>
      </c>
      <c r="D330" s="17" t="str">
        <f aca="false">IF($O330="","",INDEX('Auto Process'!$AF:$AF,$O330))</f>
        <v/>
      </c>
      <c r="E330" s="17" t="str">
        <f aca="false">IF($O330="","",INDEX('Auto Process'!$AG:$AG,$O330))</f>
        <v/>
      </c>
      <c r="F330" s="17" t="str">
        <f aca="false">IF($O330="","",INDEX('Auto Process'!$AH:$AH,$O330))</f>
        <v/>
      </c>
      <c r="G330" s="17" t="str">
        <f aca="false">IF($O330="","",INDEX('Auto Process'!$AI:$AI,$O330))</f>
        <v/>
      </c>
      <c r="H330" s="17" t="str">
        <f aca="false">IF($O330="","",INDEX('Auto Process'!$AJ:$AJ,$O330))</f>
        <v/>
      </c>
      <c r="I330" s="17" t="str">
        <f aca="false">IF($O330="","",INDEX('Auto Process'!$AK:$AK,$O330))</f>
        <v/>
      </c>
      <c r="J330" s="17" t="str">
        <f aca="false">IF($O330="","",INDEX('Auto Process'!$AL:$AL,$O330))</f>
        <v/>
      </c>
      <c r="K330" s="17" t="str">
        <f aca="false">IF($O330="","",INDEX('Auto Process'!$AM:$AM,$O330))</f>
        <v/>
      </c>
      <c r="L330" s="17" t="str">
        <f aca="false">IF($O330="","",INDEX('Auto Process'!$AN:$AN,$O330))</f>
        <v/>
      </c>
      <c r="M330" s="17" t="str">
        <f aca="false">IF($O330="","",INDEX('Auto Process'!$AO:$AO,$O330))</f>
        <v/>
      </c>
      <c r="O330" s="19" t="str">
        <f aca="false">IFERROR(_xlfn.AGGREGATE(15,6,ROW('Auto Process'!$D$4:$D$503)/('Auto Process'!$D$4:$D$503="Panel Details"),ROW()-1),"")</f>
        <v/>
      </c>
    </row>
    <row r="331" customFormat="false" ht="13.5" hidden="false" customHeight="true" outlineLevel="0" collapsed="false">
      <c r="A331" s="27" t="str">
        <f aca="false">IF($O331="","",INDEX('Auto Process'!$AC:$AC,$O331))</f>
        <v/>
      </c>
      <c r="B331" s="17" t="str">
        <f aca="false">IF($O331="","",INDEX('Auto Process'!$AD:$AD,$O331))</f>
        <v/>
      </c>
      <c r="C331" s="17" t="str">
        <f aca="false">IF($O331="","",INDEX('Auto Process'!$AE:$AE,$O331))</f>
        <v/>
      </c>
      <c r="D331" s="17" t="str">
        <f aca="false">IF($O331="","",INDEX('Auto Process'!$AF:$AF,$O331))</f>
        <v/>
      </c>
      <c r="E331" s="17" t="str">
        <f aca="false">IF($O331="","",INDEX('Auto Process'!$AG:$AG,$O331))</f>
        <v/>
      </c>
      <c r="F331" s="17" t="str">
        <f aca="false">IF($O331="","",INDEX('Auto Process'!$AH:$AH,$O331))</f>
        <v/>
      </c>
      <c r="G331" s="17" t="str">
        <f aca="false">IF($O331="","",INDEX('Auto Process'!$AI:$AI,$O331))</f>
        <v/>
      </c>
      <c r="H331" s="17" t="str">
        <f aca="false">IF($O331="","",INDEX('Auto Process'!$AJ:$AJ,$O331))</f>
        <v/>
      </c>
      <c r="I331" s="17" t="str">
        <f aca="false">IF($O331="","",INDEX('Auto Process'!$AK:$AK,$O331))</f>
        <v/>
      </c>
      <c r="J331" s="17" t="str">
        <f aca="false">IF($O331="","",INDEX('Auto Process'!$AL:$AL,$O331))</f>
        <v/>
      </c>
      <c r="K331" s="17" t="str">
        <f aca="false">IF($O331="","",INDEX('Auto Process'!$AM:$AM,$O331))</f>
        <v/>
      </c>
      <c r="L331" s="17" t="str">
        <f aca="false">IF($O331="","",INDEX('Auto Process'!$AN:$AN,$O331))</f>
        <v/>
      </c>
      <c r="M331" s="17" t="str">
        <f aca="false">IF($O331="","",INDEX('Auto Process'!$AO:$AO,$O331))</f>
        <v/>
      </c>
      <c r="O331" s="19" t="str">
        <f aca="false">IFERROR(_xlfn.AGGREGATE(15,6,ROW('Auto Process'!$D$4:$D$503)/('Auto Process'!$D$4:$D$503="Panel Details"),ROW()-1),"")</f>
        <v/>
      </c>
    </row>
    <row r="332" customFormat="false" ht="13.5" hidden="false" customHeight="true" outlineLevel="0" collapsed="false">
      <c r="A332" s="27" t="str">
        <f aca="false">IF($O332="","",INDEX('Auto Process'!$AC:$AC,$O332))</f>
        <v/>
      </c>
      <c r="B332" s="17" t="str">
        <f aca="false">IF($O332="","",INDEX('Auto Process'!$AD:$AD,$O332))</f>
        <v/>
      </c>
      <c r="C332" s="17" t="str">
        <f aca="false">IF($O332="","",INDEX('Auto Process'!$AE:$AE,$O332))</f>
        <v/>
      </c>
      <c r="D332" s="17" t="str">
        <f aca="false">IF($O332="","",INDEX('Auto Process'!$AF:$AF,$O332))</f>
        <v/>
      </c>
      <c r="E332" s="17" t="str">
        <f aca="false">IF($O332="","",INDEX('Auto Process'!$AG:$AG,$O332))</f>
        <v/>
      </c>
      <c r="F332" s="17" t="str">
        <f aca="false">IF($O332="","",INDEX('Auto Process'!$AH:$AH,$O332))</f>
        <v/>
      </c>
      <c r="G332" s="17" t="str">
        <f aca="false">IF($O332="","",INDEX('Auto Process'!$AI:$AI,$O332))</f>
        <v/>
      </c>
      <c r="H332" s="17" t="str">
        <f aca="false">IF($O332="","",INDEX('Auto Process'!$AJ:$AJ,$O332))</f>
        <v/>
      </c>
      <c r="I332" s="17" t="str">
        <f aca="false">IF($O332="","",INDEX('Auto Process'!$AK:$AK,$O332))</f>
        <v/>
      </c>
      <c r="J332" s="17" t="str">
        <f aca="false">IF($O332="","",INDEX('Auto Process'!$AL:$AL,$O332))</f>
        <v/>
      </c>
      <c r="K332" s="17" t="str">
        <f aca="false">IF($O332="","",INDEX('Auto Process'!$AM:$AM,$O332))</f>
        <v/>
      </c>
      <c r="L332" s="17" t="str">
        <f aca="false">IF($O332="","",INDEX('Auto Process'!$AN:$AN,$O332))</f>
        <v/>
      </c>
      <c r="M332" s="17" t="str">
        <f aca="false">IF($O332="","",INDEX('Auto Process'!$AO:$AO,$O332))</f>
        <v/>
      </c>
      <c r="O332" s="19" t="str">
        <f aca="false">IFERROR(_xlfn.AGGREGATE(15,6,ROW('Auto Process'!$D$4:$D$503)/('Auto Process'!$D$4:$D$503="Panel Details"),ROW()-1),"")</f>
        <v/>
      </c>
    </row>
    <row r="333" customFormat="false" ht="13.5" hidden="false" customHeight="true" outlineLevel="0" collapsed="false">
      <c r="A333" s="27" t="str">
        <f aca="false">IF($O333="","",INDEX('Auto Process'!$AC:$AC,$O333))</f>
        <v/>
      </c>
      <c r="B333" s="17" t="str">
        <f aca="false">IF($O333="","",INDEX('Auto Process'!$AD:$AD,$O333))</f>
        <v/>
      </c>
      <c r="C333" s="17" t="str">
        <f aca="false">IF($O333="","",INDEX('Auto Process'!$AE:$AE,$O333))</f>
        <v/>
      </c>
      <c r="D333" s="17" t="str">
        <f aca="false">IF($O333="","",INDEX('Auto Process'!$AF:$AF,$O333))</f>
        <v/>
      </c>
      <c r="E333" s="17" t="str">
        <f aca="false">IF($O333="","",INDEX('Auto Process'!$AG:$AG,$O333))</f>
        <v/>
      </c>
      <c r="F333" s="17" t="str">
        <f aca="false">IF($O333="","",INDEX('Auto Process'!$AH:$AH,$O333))</f>
        <v/>
      </c>
      <c r="G333" s="17" t="str">
        <f aca="false">IF($O333="","",INDEX('Auto Process'!$AI:$AI,$O333))</f>
        <v/>
      </c>
      <c r="H333" s="17" t="str">
        <f aca="false">IF($O333="","",INDEX('Auto Process'!$AJ:$AJ,$O333))</f>
        <v/>
      </c>
      <c r="I333" s="17" t="str">
        <f aca="false">IF($O333="","",INDEX('Auto Process'!$AK:$AK,$O333))</f>
        <v/>
      </c>
      <c r="J333" s="17" t="str">
        <f aca="false">IF($O333="","",INDEX('Auto Process'!$AL:$AL,$O333))</f>
        <v/>
      </c>
      <c r="K333" s="17" t="str">
        <f aca="false">IF($O333="","",INDEX('Auto Process'!$AM:$AM,$O333))</f>
        <v/>
      </c>
      <c r="L333" s="17" t="str">
        <f aca="false">IF($O333="","",INDEX('Auto Process'!$AN:$AN,$O333))</f>
        <v/>
      </c>
      <c r="M333" s="17" t="str">
        <f aca="false">IF($O333="","",INDEX('Auto Process'!$AO:$AO,$O333))</f>
        <v/>
      </c>
      <c r="O333" s="19" t="str">
        <f aca="false">IFERROR(_xlfn.AGGREGATE(15,6,ROW('Auto Process'!$D$4:$D$503)/('Auto Process'!$D$4:$D$503="Panel Details"),ROW()-1),"")</f>
        <v/>
      </c>
    </row>
    <row r="334" customFormat="false" ht="13.5" hidden="false" customHeight="true" outlineLevel="0" collapsed="false">
      <c r="A334" s="27" t="str">
        <f aca="false">IF($O334="","",INDEX('Auto Process'!$AC:$AC,$O334))</f>
        <v/>
      </c>
      <c r="B334" s="17" t="str">
        <f aca="false">IF($O334="","",INDEX('Auto Process'!$AD:$AD,$O334))</f>
        <v/>
      </c>
      <c r="C334" s="17" t="str">
        <f aca="false">IF($O334="","",INDEX('Auto Process'!$AE:$AE,$O334))</f>
        <v/>
      </c>
      <c r="D334" s="17" t="str">
        <f aca="false">IF($O334="","",INDEX('Auto Process'!$AF:$AF,$O334))</f>
        <v/>
      </c>
      <c r="E334" s="17" t="str">
        <f aca="false">IF($O334="","",INDEX('Auto Process'!$AG:$AG,$O334))</f>
        <v/>
      </c>
      <c r="F334" s="17" t="str">
        <f aca="false">IF($O334="","",INDEX('Auto Process'!$AH:$AH,$O334))</f>
        <v/>
      </c>
      <c r="G334" s="17" t="str">
        <f aca="false">IF($O334="","",INDEX('Auto Process'!$AI:$AI,$O334))</f>
        <v/>
      </c>
      <c r="H334" s="17" t="str">
        <f aca="false">IF($O334="","",INDEX('Auto Process'!$AJ:$AJ,$O334))</f>
        <v/>
      </c>
      <c r="I334" s="17" t="str">
        <f aca="false">IF($O334="","",INDEX('Auto Process'!$AK:$AK,$O334))</f>
        <v/>
      </c>
      <c r="J334" s="17" t="str">
        <f aca="false">IF($O334="","",INDEX('Auto Process'!$AL:$AL,$O334))</f>
        <v/>
      </c>
      <c r="K334" s="17" t="str">
        <f aca="false">IF($O334="","",INDEX('Auto Process'!$AM:$AM,$O334))</f>
        <v/>
      </c>
      <c r="L334" s="17" t="str">
        <f aca="false">IF($O334="","",INDEX('Auto Process'!$AN:$AN,$O334))</f>
        <v/>
      </c>
      <c r="M334" s="17" t="str">
        <f aca="false">IF($O334="","",INDEX('Auto Process'!$AO:$AO,$O334))</f>
        <v/>
      </c>
      <c r="O334" s="19" t="str">
        <f aca="false">IFERROR(_xlfn.AGGREGATE(15,6,ROW('Auto Process'!$D$4:$D$503)/('Auto Process'!$D$4:$D$503="Panel Details"),ROW()-1),"")</f>
        <v/>
      </c>
    </row>
    <row r="335" customFormat="false" ht="13.5" hidden="false" customHeight="true" outlineLevel="0" collapsed="false">
      <c r="A335" s="27" t="str">
        <f aca="false">IF($O335="","",INDEX('Auto Process'!$AC:$AC,$O335))</f>
        <v/>
      </c>
      <c r="B335" s="17" t="str">
        <f aca="false">IF($O335="","",INDEX('Auto Process'!$AD:$AD,$O335))</f>
        <v/>
      </c>
      <c r="C335" s="17" t="str">
        <f aca="false">IF($O335="","",INDEX('Auto Process'!$AE:$AE,$O335))</f>
        <v/>
      </c>
      <c r="D335" s="17" t="str">
        <f aca="false">IF($O335="","",INDEX('Auto Process'!$AF:$AF,$O335))</f>
        <v/>
      </c>
      <c r="E335" s="17" t="str">
        <f aca="false">IF($O335="","",INDEX('Auto Process'!$AG:$AG,$O335))</f>
        <v/>
      </c>
      <c r="F335" s="17" t="str">
        <f aca="false">IF($O335="","",INDEX('Auto Process'!$AH:$AH,$O335))</f>
        <v/>
      </c>
      <c r="G335" s="17" t="str">
        <f aca="false">IF($O335="","",INDEX('Auto Process'!$AI:$AI,$O335))</f>
        <v/>
      </c>
      <c r="H335" s="17" t="str">
        <f aca="false">IF($O335="","",INDEX('Auto Process'!$AJ:$AJ,$O335))</f>
        <v/>
      </c>
      <c r="I335" s="17" t="str">
        <f aca="false">IF($O335="","",INDEX('Auto Process'!$AK:$AK,$O335))</f>
        <v/>
      </c>
      <c r="J335" s="17" t="str">
        <f aca="false">IF($O335="","",INDEX('Auto Process'!$AL:$AL,$O335))</f>
        <v/>
      </c>
      <c r="K335" s="17" t="str">
        <f aca="false">IF($O335="","",INDEX('Auto Process'!$AM:$AM,$O335))</f>
        <v/>
      </c>
      <c r="L335" s="17" t="str">
        <f aca="false">IF($O335="","",INDEX('Auto Process'!$AN:$AN,$O335))</f>
        <v/>
      </c>
      <c r="M335" s="17" t="str">
        <f aca="false">IF($O335="","",INDEX('Auto Process'!$AO:$AO,$O335))</f>
        <v/>
      </c>
      <c r="O335" s="19" t="str">
        <f aca="false">IFERROR(_xlfn.AGGREGATE(15,6,ROW('Auto Process'!$D$4:$D$503)/('Auto Process'!$D$4:$D$503="Panel Details"),ROW()-1),"")</f>
        <v/>
      </c>
    </row>
    <row r="336" customFormat="false" ht="13.5" hidden="false" customHeight="true" outlineLevel="0" collapsed="false">
      <c r="A336" s="27" t="str">
        <f aca="false">IF($O336="","",INDEX('Auto Process'!$AC:$AC,$O336))</f>
        <v/>
      </c>
      <c r="B336" s="17" t="str">
        <f aca="false">IF($O336="","",INDEX('Auto Process'!$AD:$AD,$O336))</f>
        <v/>
      </c>
      <c r="C336" s="17" t="str">
        <f aca="false">IF($O336="","",INDEX('Auto Process'!$AE:$AE,$O336))</f>
        <v/>
      </c>
      <c r="D336" s="17" t="str">
        <f aca="false">IF($O336="","",INDEX('Auto Process'!$AF:$AF,$O336))</f>
        <v/>
      </c>
      <c r="E336" s="17" t="str">
        <f aca="false">IF($O336="","",INDEX('Auto Process'!$AG:$AG,$O336))</f>
        <v/>
      </c>
      <c r="F336" s="17" t="str">
        <f aca="false">IF($O336="","",INDEX('Auto Process'!$AH:$AH,$O336))</f>
        <v/>
      </c>
      <c r="G336" s="17" t="str">
        <f aca="false">IF($O336="","",INDEX('Auto Process'!$AI:$AI,$O336))</f>
        <v/>
      </c>
      <c r="H336" s="17" t="str">
        <f aca="false">IF($O336="","",INDEX('Auto Process'!$AJ:$AJ,$O336))</f>
        <v/>
      </c>
      <c r="I336" s="17" t="str">
        <f aca="false">IF($O336="","",INDEX('Auto Process'!$AK:$AK,$O336))</f>
        <v/>
      </c>
      <c r="J336" s="17" t="str">
        <f aca="false">IF($O336="","",INDEX('Auto Process'!$AL:$AL,$O336))</f>
        <v/>
      </c>
      <c r="K336" s="17" t="str">
        <f aca="false">IF($O336="","",INDEX('Auto Process'!$AM:$AM,$O336))</f>
        <v/>
      </c>
      <c r="L336" s="17" t="str">
        <f aca="false">IF($O336="","",INDEX('Auto Process'!$AN:$AN,$O336))</f>
        <v/>
      </c>
      <c r="M336" s="17" t="str">
        <f aca="false">IF($O336="","",INDEX('Auto Process'!$AO:$AO,$O336))</f>
        <v/>
      </c>
      <c r="O336" s="19" t="str">
        <f aca="false">IFERROR(_xlfn.AGGREGATE(15,6,ROW('Auto Process'!$D$4:$D$503)/('Auto Process'!$D$4:$D$503="Panel Details"),ROW()-1),"")</f>
        <v/>
      </c>
    </row>
    <row r="337" customFormat="false" ht="13.5" hidden="false" customHeight="true" outlineLevel="0" collapsed="false">
      <c r="A337" s="27" t="str">
        <f aca="false">IF($O337="","",INDEX('Auto Process'!$AC:$AC,$O337))</f>
        <v/>
      </c>
      <c r="B337" s="17" t="str">
        <f aca="false">IF($O337="","",INDEX('Auto Process'!$AD:$AD,$O337))</f>
        <v/>
      </c>
      <c r="C337" s="17" t="str">
        <f aca="false">IF($O337="","",INDEX('Auto Process'!$AE:$AE,$O337))</f>
        <v/>
      </c>
      <c r="D337" s="17" t="str">
        <f aca="false">IF($O337="","",INDEX('Auto Process'!$AF:$AF,$O337))</f>
        <v/>
      </c>
      <c r="E337" s="17" t="str">
        <f aca="false">IF($O337="","",INDEX('Auto Process'!$AG:$AG,$O337))</f>
        <v/>
      </c>
      <c r="F337" s="17" t="str">
        <f aca="false">IF($O337="","",INDEX('Auto Process'!$AH:$AH,$O337))</f>
        <v/>
      </c>
      <c r="G337" s="17" t="str">
        <f aca="false">IF($O337="","",INDEX('Auto Process'!$AI:$AI,$O337))</f>
        <v/>
      </c>
      <c r="H337" s="17" t="str">
        <f aca="false">IF($O337="","",INDEX('Auto Process'!$AJ:$AJ,$O337))</f>
        <v/>
      </c>
      <c r="I337" s="17" t="str">
        <f aca="false">IF($O337="","",INDEX('Auto Process'!$AK:$AK,$O337))</f>
        <v/>
      </c>
      <c r="J337" s="17" t="str">
        <f aca="false">IF($O337="","",INDEX('Auto Process'!$AL:$AL,$O337))</f>
        <v/>
      </c>
      <c r="K337" s="17" t="str">
        <f aca="false">IF($O337="","",INDEX('Auto Process'!$AM:$AM,$O337))</f>
        <v/>
      </c>
      <c r="L337" s="17" t="str">
        <f aca="false">IF($O337="","",INDEX('Auto Process'!$AN:$AN,$O337))</f>
        <v/>
      </c>
      <c r="M337" s="17" t="str">
        <f aca="false">IF($O337="","",INDEX('Auto Process'!$AO:$AO,$O337))</f>
        <v/>
      </c>
      <c r="O337" s="19" t="str">
        <f aca="false">IFERROR(_xlfn.AGGREGATE(15,6,ROW('Auto Process'!$D$4:$D$503)/('Auto Process'!$D$4:$D$503="Panel Details"),ROW()-1),"")</f>
        <v/>
      </c>
    </row>
    <row r="338" customFormat="false" ht="13.5" hidden="false" customHeight="true" outlineLevel="0" collapsed="false">
      <c r="A338" s="27" t="str">
        <f aca="false">IF($O338="","",INDEX('Auto Process'!$AC:$AC,$O338))</f>
        <v/>
      </c>
      <c r="B338" s="17" t="str">
        <f aca="false">IF($O338="","",INDEX('Auto Process'!$AD:$AD,$O338))</f>
        <v/>
      </c>
      <c r="C338" s="17" t="str">
        <f aca="false">IF($O338="","",INDEX('Auto Process'!$AE:$AE,$O338))</f>
        <v/>
      </c>
      <c r="D338" s="17" t="str">
        <f aca="false">IF($O338="","",INDEX('Auto Process'!$AF:$AF,$O338))</f>
        <v/>
      </c>
      <c r="E338" s="17" t="str">
        <f aca="false">IF($O338="","",INDEX('Auto Process'!$AG:$AG,$O338))</f>
        <v/>
      </c>
      <c r="F338" s="17" t="str">
        <f aca="false">IF($O338="","",INDEX('Auto Process'!$AH:$AH,$O338))</f>
        <v/>
      </c>
      <c r="G338" s="17" t="str">
        <f aca="false">IF($O338="","",INDEX('Auto Process'!$AI:$AI,$O338))</f>
        <v/>
      </c>
      <c r="H338" s="17" t="str">
        <f aca="false">IF($O338="","",INDEX('Auto Process'!$AJ:$AJ,$O338))</f>
        <v/>
      </c>
      <c r="I338" s="17" t="str">
        <f aca="false">IF($O338="","",INDEX('Auto Process'!$AK:$AK,$O338))</f>
        <v/>
      </c>
      <c r="J338" s="17" t="str">
        <f aca="false">IF($O338="","",INDEX('Auto Process'!$AL:$AL,$O338))</f>
        <v/>
      </c>
      <c r="K338" s="17" t="str">
        <f aca="false">IF($O338="","",INDEX('Auto Process'!$AM:$AM,$O338))</f>
        <v/>
      </c>
      <c r="L338" s="17" t="str">
        <f aca="false">IF($O338="","",INDEX('Auto Process'!$AN:$AN,$O338))</f>
        <v/>
      </c>
      <c r="M338" s="17" t="str">
        <f aca="false">IF($O338="","",INDEX('Auto Process'!$AO:$AO,$O338))</f>
        <v/>
      </c>
      <c r="O338" s="19" t="str">
        <f aca="false">IFERROR(_xlfn.AGGREGATE(15,6,ROW('Auto Process'!$D$4:$D$503)/('Auto Process'!$D$4:$D$503="Panel Details"),ROW()-1),"")</f>
        <v/>
      </c>
    </row>
    <row r="339" customFormat="false" ht="13.5" hidden="false" customHeight="true" outlineLevel="0" collapsed="false">
      <c r="A339" s="27" t="str">
        <f aca="false">IF($O339="","",INDEX('Auto Process'!$AC:$AC,$O339))</f>
        <v/>
      </c>
      <c r="B339" s="17" t="str">
        <f aca="false">IF($O339="","",INDEX('Auto Process'!$AD:$AD,$O339))</f>
        <v/>
      </c>
      <c r="C339" s="17" t="str">
        <f aca="false">IF($O339="","",INDEX('Auto Process'!$AE:$AE,$O339))</f>
        <v/>
      </c>
      <c r="D339" s="17" t="str">
        <f aca="false">IF($O339="","",INDEX('Auto Process'!$AF:$AF,$O339))</f>
        <v/>
      </c>
      <c r="E339" s="17" t="str">
        <f aca="false">IF($O339="","",INDEX('Auto Process'!$AG:$AG,$O339))</f>
        <v/>
      </c>
      <c r="F339" s="17" t="str">
        <f aca="false">IF($O339="","",INDEX('Auto Process'!$AH:$AH,$O339))</f>
        <v/>
      </c>
      <c r="G339" s="17" t="str">
        <f aca="false">IF($O339="","",INDEX('Auto Process'!$AI:$AI,$O339))</f>
        <v/>
      </c>
      <c r="H339" s="17" t="str">
        <f aca="false">IF($O339="","",INDEX('Auto Process'!$AJ:$AJ,$O339))</f>
        <v/>
      </c>
      <c r="I339" s="17" t="str">
        <f aca="false">IF($O339="","",INDEX('Auto Process'!$AK:$AK,$O339))</f>
        <v/>
      </c>
      <c r="J339" s="17" t="str">
        <f aca="false">IF($O339="","",INDEX('Auto Process'!$AL:$AL,$O339))</f>
        <v/>
      </c>
      <c r="K339" s="17" t="str">
        <f aca="false">IF($O339="","",INDEX('Auto Process'!$AM:$AM,$O339))</f>
        <v/>
      </c>
      <c r="L339" s="17" t="str">
        <f aca="false">IF($O339="","",INDEX('Auto Process'!$AN:$AN,$O339))</f>
        <v/>
      </c>
      <c r="M339" s="17" t="str">
        <f aca="false">IF($O339="","",INDEX('Auto Process'!$AO:$AO,$O339))</f>
        <v/>
      </c>
      <c r="O339" s="19" t="str">
        <f aca="false">IFERROR(_xlfn.AGGREGATE(15,6,ROW('Auto Process'!$D$4:$D$503)/('Auto Process'!$D$4:$D$503="Panel Details"),ROW()-1),"")</f>
        <v/>
      </c>
    </row>
    <row r="340" customFormat="false" ht="13.5" hidden="false" customHeight="true" outlineLevel="0" collapsed="false">
      <c r="A340" s="27" t="str">
        <f aca="false">IF($O340="","",INDEX('Auto Process'!$AC:$AC,$O340))</f>
        <v/>
      </c>
      <c r="B340" s="17" t="str">
        <f aca="false">IF($O340="","",INDEX('Auto Process'!$AD:$AD,$O340))</f>
        <v/>
      </c>
      <c r="C340" s="17" t="str">
        <f aca="false">IF($O340="","",INDEX('Auto Process'!$AE:$AE,$O340))</f>
        <v/>
      </c>
      <c r="D340" s="17" t="str">
        <f aca="false">IF($O340="","",INDEX('Auto Process'!$AF:$AF,$O340))</f>
        <v/>
      </c>
      <c r="E340" s="17" t="str">
        <f aca="false">IF($O340="","",INDEX('Auto Process'!$AG:$AG,$O340))</f>
        <v/>
      </c>
      <c r="F340" s="17" t="str">
        <f aca="false">IF($O340="","",INDEX('Auto Process'!$AH:$AH,$O340))</f>
        <v/>
      </c>
      <c r="G340" s="17" t="str">
        <f aca="false">IF($O340="","",INDEX('Auto Process'!$AI:$AI,$O340))</f>
        <v/>
      </c>
      <c r="H340" s="17" t="str">
        <f aca="false">IF($O340="","",INDEX('Auto Process'!$AJ:$AJ,$O340))</f>
        <v/>
      </c>
      <c r="I340" s="17" t="str">
        <f aca="false">IF($O340="","",INDEX('Auto Process'!$AK:$AK,$O340))</f>
        <v/>
      </c>
      <c r="J340" s="17" t="str">
        <f aca="false">IF($O340="","",INDEX('Auto Process'!$AL:$AL,$O340))</f>
        <v/>
      </c>
      <c r="K340" s="17" t="str">
        <f aca="false">IF($O340="","",INDEX('Auto Process'!$AM:$AM,$O340))</f>
        <v/>
      </c>
      <c r="L340" s="17" t="str">
        <f aca="false">IF($O340="","",INDEX('Auto Process'!$AN:$AN,$O340))</f>
        <v/>
      </c>
      <c r="M340" s="17" t="str">
        <f aca="false">IF($O340="","",INDEX('Auto Process'!$AO:$AO,$O340))</f>
        <v/>
      </c>
      <c r="O340" s="19" t="str">
        <f aca="false">IFERROR(_xlfn.AGGREGATE(15,6,ROW('Auto Process'!$D$4:$D$503)/('Auto Process'!$D$4:$D$503="Panel Details"),ROW()-1),"")</f>
        <v/>
      </c>
    </row>
    <row r="341" customFormat="false" ht="13.5" hidden="false" customHeight="true" outlineLevel="0" collapsed="false">
      <c r="A341" s="27" t="str">
        <f aca="false">IF($O341="","",INDEX('Auto Process'!$AC:$AC,$O341))</f>
        <v/>
      </c>
      <c r="B341" s="17" t="str">
        <f aca="false">IF($O341="","",INDEX('Auto Process'!$AD:$AD,$O341))</f>
        <v/>
      </c>
      <c r="C341" s="17" t="str">
        <f aca="false">IF($O341="","",INDEX('Auto Process'!$AE:$AE,$O341))</f>
        <v/>
      </c>
      <c r="D341" s="17" t="str">
        <f aca="false">IF($O341="","",INDEX('Auto Process'!$AF:$AF,$O341))</f>
        <v/>
      </c>
      <c r="E341" s="17" t="str">
        <f aca="false">IF($O341="","",INDEX('Auto Process'!$AG:$AG,$O341))</f>
        <v/>
      </c>
      <c r="F341" s="17" t="str">
        <f aca="false">IF($O341="","",INDEX('Auto Process'!$AH:$AH,$O341))</f>
        <v/>
      </c>
      <c r="G341" s="17" t="str">
        <f aca="false">IF($O341="","",INDEX('Auto Process'!$AI:$AI,$O341))</f>
        <v/>
      </c>
      <c r="H341" s="17" t="str">
        <f aca="false">IF($O341="","",INDEX('Auto Process'!$AJ:$AJ,$O341))</f>
        <v/>
      </c>
      <c r="I341" s="17" t="str">
        <f aca="false">IF($O341="","",INDEX('Auto Process'!$AK:$AK,$O341))</f>
        <v/>
      </c>
      <c r="J341" s="17" t="str">
        <f aca="false">IF($O341="","",INDEX('Auto Process'!$AL:$AL,$O341))</f>
        <v/>
      </c>
      <c r="K341" s="17" t="str">
        <f aca="false">IF($O341="","",INDEX('Auto Process'!$AM:$AM,$O341))</f>
        <v/>
      </c>
      <c r="L341" s="17" t="str">
        <f aca="false">IF($O341="","",INDEX('Auto Process'!$AN:$AN,$O341))</f>
        <v/>
      </c>
      <c r="M341" s="17" t="str">
        <f aca="false">IF($O341="","",INDEX('Auto Process'!$AO:$AO,$O341))</f>
        <v/>
      </c>
      <c r="O341" s="19" t="str">
        <f aca="false">IFERROR(_xlfn.AGGREGATE(15,6,ROW('Auto Process'!$D$4:$D$503)/('Auto Process'!$D$4:$D$503="Panel Details"),ROW()-1),"")</f>
        <v/>
      </c>
    </row>
    <row r="342" customFormat="false" ht="13.5" hidden="false" customHeight="true" outlineLevel="0" collapsed="false">
      <c r="A342" s="27" t="str">
        <f aca="false">IF($O342="","",INDEX('Auto Process'!$AC:$AC,$O342))</f>
        <v/>
      </c>
      <c r="B342" s="17" t="str">
        <f aca="false">IF($O342="","",INDEX('Auto Process'!$AD:$AD,$O342))</f>
        <v/>
      </c>
      <c r="C342" s="17" t="str">
        <f aca="false">IF($O342="","",INDEX('Auto Process'!$AE:$AE,$O342))</f>
        <v/>
      </c>
      <c r="D342" s="17" t="str">
        <f aca="false">IF($O342="","",INDEX('Auto Process'!$AF:$AF,$O342))</f>
        <v/>
      </c>
      <c r="E342" s="17" t="str">
        <f aca="false">IF($O342="","",INDEX('Auto Process'!$AG:$AG,$O342))</f>
        <v/>
      </c>
      <c r="F342" s="17" t="str">
        <f aca="false">IF($O342="","",INDEX('Auto Process'!$AH:$AH,$O342))</f>
        <v/>
      </c>
      <c r="G342" s="17" t="str">
        <f aca="false">IF($O342="","",INDEX('Auto Process'!$AI:$AI,$O342))</f>
        <v/>
      </c>
      <c r="H342" s="17" t="str">
        <f aca="false">IF($O342="","",INDEX('Auto Process'!$AJ:$AJ,$O342))</f>
        <v/>
      </c>
      <c r="I342" s="17" t="str">
        <f aca="false">IF($O342="","",INDEX('Auto Process'!$AK:$AK,$O342))</f>
        <v/>
      </c>
      <c r="J342" s="17" t="str">
        <f aca="false">IF($O342="","",INDEX('Auto Process'!$AL:$AL,$O342))</f>
        <v/>
      </c>
      <c r="K342" s="17" t="str">
        <f aca="false">IF($O342="","",INDEX('Auto Process'!$AM:$AM,$O342))</f>
        <v/>
      </c>
      <c r="L342" s="17" t="str">
        <f aca="false">IF($O342="","",INDEX('Auto Process'!$AN:$AN,$O342))</f>
        <v/>
      </c>
      <c r="M342" s="17" t="str">
        <f aca="false">IF($O342="","",INDEX('Auto Process'!$AO:$AO,$O342))</f>
        <v/>
      </c>
      <c r="O342" s="19" t="str">
        <f aca="false">IFERROR(_xlfn.AGGREGATE(15,6,ROW('Auto Process'!$D$4:$D$503)/('Auto Process'!$D$4:$D$503="Panel Details"),ROW()-1),"")</f>
        <v/>
      </c>
    </row>
    <row r="343" customFormat="false" ht="13.5" hidden="false" customHeight="true" outlineLevel="0" collapsed="false">
      <c r="A343" s="27" t="str">
        <f aca="false">IF($O343="","",INDEX('Auto Process'!$AC:$AC,$O343))</f>
        <v/>
      </c>
      <c r="B343" s="17" t="str">
        <f aca="false">IF($O343="","",INDEX('Auto Process'!$AD:$AD,$O343))</f>
        <v/>
      </c>
      <c r="C343" s="17" t="str">
        <f aca="false">IF($O343="","",INDEX('Auto Process'!$AE:$AE,$O343))</f>
        <v/>
      </c>
      <c r="D343" s="17" t="str">
        <f aca="false">IF($O343="","",INDEX('Auto Process'!$AF:$AF,$O343))</f>
        <v/>
      </c>
      <c r="E343" s="17" t="str">
        <f aca="false">IF($O343="","",INDEX('Auto Process'!$AG:$AG,$O343))</f>
        <v/>
      </c>
      <c r="F343" s="17" t="str">
        <f aca="false">IF($O343="","",INDEX('Auto Process'!$AH:$AH,$O343))</f>
        <v/>
      </c>
      <c r="G343" s="17" t="str">
        <f aca="false">IF($O343="","",INDEX('Auto Process'!$AI:$AI,$O343))</f>
        <v/>
      </c>
      <c r="H343" s="17" t="str">
        <f aca="false">IF($O343="","",INDEX('Auto Process'!$AJ:$AJ,$O343))</f>
        <v/>
      </c>
      <c r="I343" s="17" t="str">
        <f aca="false">IF($O343="","",INDEX('Auto Process'!$AK:$AK,$O343))</f>
        <v/>
      </c>
      <c r="J343" s="17" t="str">
        <f aca="false">IF($O343="","",INDEX('Auto Process'!$AL:$AL,$O343))</f>
        <v/>
      </c>
      <c r="K343" s="17" t="str">
        <f aca="false">IF($O343="","",INDEX('Auto Process'!$AM:$AM,$O343))</f>
        <v/>
      </c>
      <c r="L343" s="17" t="str">
        <f aca="false">IF($O343="","",INDEX('Auto Process'!$AN:$AN,$O343))</f>
        <v/>
      </c>
      <c r="M343" s="17" t="str">
        <f aca="false">IF($O343="","",INDEX('Auto Process'!$AO:$AO,$O343))</f>
        <v/>
      </c>
      <c r="O343" s="19" t="str">
        <f aca="false">IFERROR(_xlfn.AGGREGATE(15,6,ROW('Auto Process'!$D$4:$D$503)/('Auto Process'!$D$4:$D$503="Panel Details"),ROW()-1),"")</f>
        <v/>
      </c>
    </row>
    <row r="344" customFormat="false" ht="13.5" hidden="false" customHeight="true" outlineLevel="0" collapsed="false">
      <c r="A344" s="27" t="str">
        <f aca="false">IF($O344="","",INDEX('Auto Process'!$AC:$AC,$O344))</f>
        <v/>
      </c>
      <c r="B344" s="17" t="str">
        <f aca="false">IF($O344="","",INDEX('Auto Process'!$AD:$AD,$O344))</f>
        <v/>
      </c>
      <c r="C344" s="17" t="str">
        <f aca="false">IF($O344="","",INDEX('Auto Process'!$AE:$AE,$O344))</f>
        <v/>
      </c>
      <c r="D344" s="17" t="str">
        <f aca="false">IF($O344="","",INDEX('Auto Process'!$AF:$AF,$O344))</f>
        <v/>
      </c>
      <c r="E344" s="17" t="str">
        <f aca="false">IF($O344="","",INDEX('Auto Process'!$AG:$AG,$O344))</f>
        <v/>
      </c>
      <c r="F344" s="17" t="str">
        <f aca="false">IF($O344="","",INDEX('Auto Process'!$AH:$AH,$O344))</f>
        <v/>
      </c>
      <c r="G344" s="17" t="str">
        <f aca="false">IF($O344="","",INDEX('Auto Process'!$AI:$AI,$O344))</f>
        <v/>
      </c>
      <c r="H344" s="17" t="str">
        <f aca="false">IF($O344="","",INDEX('Auto Process'!$AJ:$AJ,$O344))</f>
        <v/>
      </c>
      <c r="I344" s="17" t="str">
        <f aca="false">IF($O344="","",INDEX('Auto Process'!$AK:$AK,$O344))</f>
        <v/>
      </c>
      <c r="J344" s="17" t="str">
        <f aca="false">IF($O344="","",INDEX('Auto Process'!$AL:$AL,$O344))</f>
        <v/>
      </c>
      <c r="K344" s="17" t="str">
        <f aca="false">IF($O344="","",INDEX('Auto Process'!$AM:$AM,$O344))</f>
        <v/>
      </c>
      <c r="L344" s="17" t="str">
        <f aca="false">IF($O344="","",INDEX('Auto Process'!$AN:$AN,$O344))</f>
        <v/>
      </c>
      <c r="M344" s="17" t="str">
        <f aca="false">IF($O344="","",INDEX('Auto Process'!$AO:$AO,$O344))</f>
        <v/>
      </c>
      <c r="O344" s="19" t="str">
        <f aca="false">IFERROR(_xlfn.AGGREGATE(15,6,ROW('Auto Process'!$D$4:$D$503)/('Auto Process'!$D$4:$D$503="Panel Details"),ROW()-1),"")</f>
        <v/>
      </c>
    </row>
    <row r="345" customFormat="false" ht="13.5" hidden="false" customHeight="true" outlineLevel="0" collapsed="false">
      <c r="A345" s="27" t="str">
        <f aca="false">IF($O345="","",INDEX('Auto Process'!$AC:$AC,$O345))</f>
        <v/>
      </c>
      <c r="B345" s="17" t="str">
        <f aca="false">IF($O345="","",INDEX('Auto Process'!$AD:$AD,$O345))</f>
        <v/>
      </c>
      <c r="C345" s="17" t="str">
        <f aca="false">IF($O345="","",INDEX('Auto Process'!$AE:$AE,$O345))</f>
        <v/>
      </c>
      <c r="D345" s="17" t="str">
        <f aca="false">IF($O345="","",INDEX('Auto Process'!$AF:$AF,$O345))</f>
        <v/>
      </c>
      <c r="E345" s="17" t="str">
        <f aca="false">IF($O345="","",INDEX('Auto Process'!$AG:$AG,$O345))</f>
        <v/>
      </c>
      <c r="F345" s="17" t="str">
        <f aca="false">IF($O345="","",INDEX('Auto Process'!$AH:$AH,$O345))</f>
        <v/>
      </c>
      <c r="G345" s="17" t="str">
        <f aca="false">IF($O345="","",INDEX('Auto Process'!$AI:$AI,$O345))</f>
        <v/>
      </c>
      <c r="H345" s="17" t="str">
        <f aca="false">IF($O345="","",INDEX('Auto Process'!$AJ:$AJ,$O345))</f>
        <v/>
      </c>
      <c r="I345" s="17" t="str">
        <f aca="false">IF($O345="","",INDEX('Auto Process'!$AK:$AK,$O345))</f>
        <v/>
      </c>
      <c r="J345" s="17" t="str">
        <f aca="false">IF($O345="","",INDEX('Auto Process'!$AL:$AL,$O345))</f>
        <v/>
      </c>
      <c r="K345" s="17" t="str">
        <f aca="false">IF($O345="","",INDEX('Auto Process'!$AM:$AM,$O345))</f>
        <v/>
      </c>
      <c r="L345" s="17" t="str">
        <f aca="false">IF($O345="","",INDEX('Auto Process'!$AN:$AN,$O345))</f>
        <v/>
      </c>
      <c r="M345" s="17" t="str">
        <f aca="false">IF($O345="","",INDEX('Auto Process'!$AO:$AO,$O345))</f>
        <v/>
      </c>
      <c r="O345" s="19" t="str">
        <f aca="false">IFERROR(_xlfn.AGGREGATE(15,6,ROW('Auto Process'!$D$4:$D$503)/('Auto Process'!$D$4:$D$503="Panel Details"),ROW()-1),"")</f>
        <v/>
      </c>
    </row>
    <row r="346" customFormat="false" ht="13.5" hidden="false" customHeight="true" outlineLevel="0" collapsed="false">
      <c r="A346" s="27" t="str">
        <f aca="false">IF($O346="","",INDEX('Auto Process'!$AC:$AC,$O346))</f>
        <v/>
      </c>
      <c r="B346" s="17" t="str">
        <f aca="false">IF($O346="","",INDEX('Auto Process'!$AD:$AD,$O346))</f>
        <v/>
      </c>
      <c r="C346" s="17" t="str">
        <f aca="false">IF($O346="","",INDEX('Auto Process'!$AE:$AE,$O346))</f>
        <v/>
      </c>
      <c r="D346" s="17" t="str">
        <f aca="false">IF($O346="","",INDEX('Auto Process'!$AF:$AF,$O346))</f>
        <v/>
      </c>
      <c r="E346" s="17" t="str">
        <f aca="false">IF($O346="","",INDEX('Auto Process'!$AG:$AG,$O346))</f>
        <v/>
      </c>
      <c r="F346" s="17" t="str">
        <f aca="false">IF($O346="","",INDEX('Auto Process'!$AH:$AH,$O346))</f>
        <v/>
      </c>
      <c r="G346" s="17" t="str">
        <f aca="false">IF($O346="","",INDEX('Auto Process'!$AI:$AI,$O346))</f>
        <v/>
      </c>
      <c r="H346" s="17" t="str">
        <f aca="false">IF($O346="","",INDEX('Auto Process'!$AJ:$AJ,$O346))</f>
        <v/>
      </c>
      <c r="I346" s="17" t="str">
        <f aca="false">IF($O346="","",INDEX('Auto Process'!$AK:$AK,$O346))</f>
        <v/>
      </c>
      <c r="J346" s="17" t="str">
        <f aca="false">IF($O346="","",INDEX('Auto Process'!$AL:$AL,$O346))</f>
        <v/>
      </c>
      <c r="K346" s="17" t="str">
        <f aca="false">IF($O346="","",INDEX('Auto Process'!$AM:$AM,$O346))</f>
        <v/>
      </c>
      <c r="L346" s="17" t="str">
        <f aca="false">IF($O346="","",INDEX('Auto Process'!$AN:$AN,$O346))</f>
        <v/>
      </c>
      <c r="M346" s="17" t="str">
        <f aca="false">IF($O346="","",INDEX('Auto Process'!$AO:$AO,$O346))</f>
        <v/>
      </c>
      <c r="O346" s="19" t="str">
        <f aca="false">IFERROR(_xlfn.AGGREGATE(15,6,ROW('Auto Process'!$D$4:$D$503)/('Auto Process'!$D$4:$D$503="Panel Details"),ROW()-1),"")</f>
        <v/>
      </c>
    </row>
    <row r="347" customFormat="false" ht="13.5" hidden="false" customHeight="true" outlineLevel="0" collapsed="false">
      <c r="A347" s="27" t="str">
        <f aca="false">IF($O347="","",INDEX('Auto Process'!$AC:$AC,$O347))</f>
        <v/>
      </c>
      <c r="B347" s="17" t="str">
        <f aca="false">IF($O347="","",INDEX('Auto Process'!$AD:$AD,$O347))</f>
        <v/>
      </c>
      <c r="C347" s="17" t="str">
        <f aca="false">IF($O347="","",INDEX('Auto Process'!$AE:$AE,$O347))</f>
        <v/>
      </c>
      <c r="D347" s="17" t="str">
        <f aca="false">IF($O347="","",INDEX('Auto Process'!$AF:$AF,$O347))</f>
        <v/>
      </c>
      <c r="E347" s="17" t="str">
        <f aca="false">IF($O347="","",INDEX('Auto Process'!$AG:$AG,$O347))</f>
        <v/>
      </c>
      <c r="F347" s="17" t="str">
        <f aca="false">IF($O347="","",INDEX('Auto Process'!$AH:$AH,$O347))</f>
        <v/>
      </c>
      <c r="G347" s="17" t="str">
        <f aca="false">IF($O347="","",INDEX('Auto Process'!$AI:$AI,$O347))</f>
        <v/>
      </c>
      <c r="H347" s="17" t="str">
        <f aca="false">IF($O347="","",INDEX('Auto Process'!$AJ:$AJ,$O347))</f>
        <v/>
      </c>
      <c r="I347" s="17" t="str">
        <f aca="false">IF($O347="","",INDEX('Auto Process'!$AK:$AK,$O347))</f>
        <v/>
      </c>
      <c r="J347" s="17" t="str">
        <f aca="false">IF($O347="","",INDEX('Auto Process'!$AL:$AL,$O347))</f>
        <v/>
      </c>
      <c r="K347" s="17" t="str">
        <f aca="false">IF($O347="","",INDEX('Auto Process'!$AM:$AM,$O347))</f>
        <v/>
      </c>
      <c r="L347" s="17" t="str">
        <f aca="false">IF($O347="","",INDEX('Auto Process'!$AN:$AN,$O347))</f>
        <v/>
      </c>
      <c r="M347" s="17" t="str">
        <f aca="false">IF($O347="","",INDEX('Auto Process'!$AO:$AO,$O347))</f>
        <v/>
      </c>
      <c r="O347" s="19" t="str">
        <f aca="false">IFERROR(_xlfn.AGGREGATE(15,6,ROW('Auto Process'!$D$4:$D$503)/('Auto Process'!$D$4:$D$503="Panel Details"),ROW()-1),"")</f>
        <v/>
      </c>
    </row>
    <row r="348" customFormat="false" ht="13.5" hidden="false" customHeight="true" outlineLevel="0" collapsed="false">
      <c r="A348" s="27" t="str">
        <f aca="false">IF($O348="","",INDEX('Auto Process'!$AC:$AC,$O348))</f>
        <v/>
      </c>
      <c r="B348" s="17" t="str">
        <f aca="false">IF($O348="","",INDEX('Auto Process'!$AD:$AD,$O348))</f>
        <v/>
      </c>
      <c r="C348" s="17" t="str">
        <f aca="false">IF($O348="","",INDEX('Auto Process'!$AE:$AE,$O348))</f>
        <v/>
      </c>
      <c r="D348" s="17" t="str">
        <f aca="false">IF($O348="","",INDEX('Auto Process'!$AF:$AF,$O348))</f>
        <v/>
      </c>
      <c r="E348" s="17" t="str">
        <f aca="false">IF($O348="","",INDEX('Auto Process'!$AG:$AG,$O348))</f>
        <v/>
      </c>
      <c r="F348" s="17" t="str">
        <f aca="false">IF($O348="","",INDEX('Auto Process'!$AH:$AH,$O348))</f>
        <v/>
      </c>
      <c r="G348" s="17" t="str">
        <f aca="false">IF($O348="","",INDEX('Auto Process'!$AI:$AI,$O348))</f>
        <v/>
      </c>
      <c r="H348" s="17" t="str">
        <f aca="false">IF($O348="","",INDEX('Auto Process'!$AJ:$AJ,$O348))</f>
        <v/>
      </c>
      <c r="I348" s="17" t="str">
        <f aca="false">IF($O348="","",INDEX('Auto Process'!$AK:$AK,$O348))</f>
        <v/>
      </c>
      <c r="J348" s="17" t="str">
        <f aca="false">IF($O348="","",INDEX('Auto Process'!$AL:$AL,$O348))</f>
        <v/>
      </c>
      <c r="K348" s="17" t="str">
        <f aca="false">IF($O348="","",INDEX('Auto Process'!$AM:$AM,$O348))</f>
        <v/>
      </c>
      <c r="L348" s="17" t="str">
        <f aca="false">IF($O348="","",INDEX('Auto Process'!$AN:$AN,$O348))</f>
        <v/>
      </c>
      <c r="M348" s="17" t="str">
        <f aca="false">IF($O348="","",INDEX('Auto Process'!$AO:$AO,$O348))</f>
        <v/>
      </c>
      <c r="O348" s="19" t="str">
        <f aca="false">IFERROR(_xlfn.AGGREGATE(15,6,ROW('Auto Process'!$D$4:$D$503)/('Auto Process'!$D$4:$D$503="Panel Details"),ROW()-1),"")</f>
        <v/>
      </c>
    </row>
    <row r="349" customFormat="false" ht="13.5" hidden="false" customHeight="true" outlineLevel="0" collapsed="false">
      <c r="A349" s="27" t="str">
        <f aca="false">IF($O349="","",INDEX('Auto Process'!$AC:$AC,$O349))</f>
        <v/>
      </c>
      <c r="B349" s="17" t="str">
        <f aca="false">IF($O349="","",INDEX('Auto Process'!$AD:$AD,$O349))</f>
        <v/>
      </c>
      <c r="C349" s="17" t="str">
        <f aca="false">IF($O349="","",INDEX('Auto Process'!$AE:$AE,$O349))</f>
        <v/>
      </c>
      <c r="D349" s="17" t="str">
        <f aca="false">IF($O349="","",INDEX('Auto Process'!$AF:$AF,$O349))</f>
        <v/>
      </c>
      <c r="E349" s="17" t="str">
        <f aca="false">IF($O349="","",INDEX('Auto Process'!$AG:$AG,$O349))</f>
        <v/>
      </c>
      <c r="F349" s="17" t="str">
        <f aca="false">IF($O349="","",INDEX('Auto Process'!$AH:$AH,$O349))</f>
        <v/>
      </c>
      <c r="G349" s="17" t="str">
        <f aca="false">IF($O349="","",INDEX('Auto Process'!$AI:$AI,$O349))</f>
        <v/>
      </c>
      <c r="H349" s="17" t="str">
        <f aca="false">IF($O349="","",INDEX('Auto Process'!$AJ:$AJ,$O349))</f>
        <v/>
      </c>
      <c r="I349" s="17" t="str">
        <f aca="false">IF($O349="","",INDEX('Auto Process'!$AK:$AK,$O349))</f>
        <v/>
      </c>
      <c r="J349" s="17" t="str">
        <f aca="false">IF($O349="","",INDEX('Auto Process'!$AL:$AL,$O349))</f>
        <v/>
      </c>
      <c r="K349" s="17" t="str">
        <f aca="false">IF($O349="","",INDEX('Auto Process'!$AM:$AM,$O349))</f>
        <v/>
      </c>
      <c r="L349" s="17" t="str">
        <f aca="false">IF($O349="","",INDEX('Auto Process'!$AN:$AN,$O349))</f>
        <v/>
      </c>
      <c r="M349" s="17" t="str">
        <f aca="false">IF($O349="","",INDEX('Auto Process'!$AO:$AO,$O349))</f>
        <v/>
      </c>
      <c r="O349" s="19" t="str">
        <f aca="false">IFERROR(_xlfn.AGGREGATE(15,6,ROW('Auto Process'!$D$4:$D$503)/('Auto Process'!$D$4:$D$503="Panel Details"),ROW()-1),"")</f>
        <v/>
      </c>
    </row>
    <row r="350" customFormat="false" ht="13.5" hidden="false" customHeight="true" outlineLevel="0" collapsed="false">
      <c r="A350" s="27" t="str">
        <f aca="false">IF($O350="","",INDEX('Auto Process'!$AC:$AC,$O350))</f>
        <v/>
      </c>
      <c r="B350" s="17" t="str">
        <f aca="false">IF($O350="","",INDEX('Auto Process'!$AD:$AD,$O350))</f>
        <v/>
      </c>
      <c r="C350" s="17" t="str">
        <f aca="false">IF($O350="","",INDEX('Auto Process'!$AE:$AE,$O350))</f>
        <v/>
      </c>
      <c r="D350" s="17" t="str">
        <f aca="false">IF($O350="","",INDEX('Auto Process'!$AF:$AF,$O350))</f>
        <v/>
      </c>
      <c r="E350" s="17" t="str">
        <f aca="false">IF($O350="","",INDEX('Auto Process'!$AG:$AG,$O350))</f>
        <v/>
      </c>
      <c r="F350" s="17" t="str">
        <f aca="false">IF($O350="","",INDEX('Auto Process'!$AH:$AH,$O350))</f>
        <v/>
      </c>
      <c r="G350" s="17" t="str">
        <f aca="false">IF($O350="","",INDEX('Auto Process'!$AI:$AI,$O350))</f>
        <v/>
      </c>
      <c r="H350" s="17" t="str">
        <f aca="false">IF($O350="","",INDEX('Auto Process'!$AJ:$AJ,$O350))</f>
        <v/>
      </c>
      <c r="I350" s="17" t="str">
        <f aca="false">IF($O350="","",INDEX('Auto Process'!$AK:$AK,$O350))</f>
        <v/>
      </c>
      <c r="J350" s="17" t="str">
        <f aca="false">IF($O350="","",INDEX('Auto Process'!$AL:$AL,$O350))</f>
        <v/>
      </c>
      <c r="K350" s="17" t="str">
        <f aca="false">IF($O350="","",INDEX('Auto Process'!$AM:$AM,$O350))</f>
        <v/>
      </c>
      <c r="L350" s="17" t="str">
        <f aca="false">IF($O350="","",INDEX('Auto Process'!$AN:$AN,$O350))</f>
        <v/>
      </c>
      <c r="M350" s="17" t="str">
        <f aca="false">IF($O350="","",INDEX('Auto Process'!$AO:$AO,$O350))</f>
        <v/>
      </c>
      <c r="O350" s="19" t="str">
        <f aca="false">IFERROR(_xlfn.AGGREGATE(15,6,ROW('Auto Process'!$D$4:$D$503)/('Auto Process'!$D$4:$D$503="Panel Details"),ROW()-1),"")</f>
        <v/>
      </c>
    </row>
    <row r="351" customFormat="false" ht="13.5" hidden="false" customHeight="true" outlineLevel="0" collapsed="false">
      <c r="A351" s="27" t="str">
        <f aca="false">IF($O351="","",INDEX('Auto Process'!$AC:$AC,$O351))</f>
        <v/>
      </c>
      <c r="B351" s="17" t="str">
        <f aca="false">IF($O351="","",INDEX('Auto Process'!$AD:$AD,$O351))</f>
        <v/>
      </c>
      <c r="C351" s="17" t="str">
        <f aca="false">IF($O351="","",INDEX('Auto Process'!$AE:$AE,$O351))</f>
        <v/>
      </c>
      <c r="D351" s="17" t="str">
        <f aca="false">IF($O351="","",INDEX('Auto Process'!$AF:$AF,$O351))</f>
        <v/>
      </c>
      <c r="E351" s="17" t="str">
        <f aca="false">IF($O351="","",INDEX('Auto Process'!$AG:$AG,$O351))</f>
        <v/>
      </c>
      <c r="F351" s="17" t="str">
        <f aca="false">IF($O351="","",INDEX('Auto Process'!$AH:$AH,$O351))</f>
        <v/>
      </c>
      <c r="G351" s="17" t="str">
        <f aca="false">IF($O351="","",INDEX('Auto Process'!$AI:$AI,$O351))</f>
        <v/>
      </c>
      <c r="H351" s="17" t="str">
        <f aca="false">IF($O351="","",INDEX('Auto Process'!$AJ:$AJ,$O351))</f>
        <v/>
      </c>
      <c r="I351" s="17" t="str">
        <f aca="false">IF($O351="","",INDEX('Auto Process'!$AK:$AK,$O351))</f>
        <v/>
      </c>
      <c r="J351" s="17" t="str">
        <f aca="false">IF($O351="","",INDEX('Auto Process'!$AL:$AL,$O351))</f>
        <v/>
      </c>
      <c r="K351" s="17" t="str">
        <f aca="false">IF($O351="","",INDEX('Auto Process'!$AM:$AM,$O351))</f>
        <v/>
      </c>
      <c r="L351" s="17" t="str">
        <f aca="false">IF($O351="","",INDEX('Auto Process'!$AN:$AN,$O351))</f>
        <v/>
      </c>
      <c r="M351" s="17" t="str">
        <f aca="false">IF($O351="","",INDEX('Auto Process'!$AO:$AO,$O351))</f>
        <v/>
      </c>
      <c r="O351" s="19" t="str">
        <f aca="false">IFERROR(_xlfn.AGGREGATE(15,6,ROW('Auto Process'!$D$4:$D$503)/('Auto Process'!$D$4:$D$503="Panel Details"),ROW()-1),"")</f>
        <v/>
      </c>
    </row>
    <row r="352" customFormat="false" ht="13.5" hidden="false" customHeight="true" outlineLevel="0" collapsed="false">
      <c r="A352" s="27" t="str">
        <f aca="false">IF($O352="","",INDEX('Auto Process'!$AC:$AC,$O352))</f>
        <v/>
      </c>
      <c r="B352" s="17" t="str">
        <f aca="false">IF($O352="","",INDEX('Auto Process'!$AD:$AD,$O352))</f>
        <v/>
      </c>
      <c r="C352" s="17" t="str">
        <f aca="false">IF($O352="","",INDEX('Auto Process'!$AE:$AE,$O352))</f>
        <v/>
      </c>
      <c r="D352" s="17" t="str">
        <f aca="false">IF($O352="","",INDEX('Auto Process'!$AF:$AF,$O352))</f>
        <v/>
      </c>
      <c r="E352" s="17" t="str">
        <f aca="false">IF($O352="","",INDEX('Auto Process'!$AG:$AG,$O352))</f>
        <v/>
      </c>
      <c r="F352" s="17" t="str">
        <f aca="false">IF($O352="","",INDEX('Auto Process'!$AH:$AH,$O352))</f>
        <v/>
      </c>
      <c r="G352" s="17" t="str">
        <f aca="false">IF($O352="","",INDEX('Auto Process'!$AI:$AI,$O352))</f>
        <v/>
      </c>
      <c r="H352" s="17" t="str">
        <f aca="false">IF($O352="","",INDEX('Auto Process'!$AJ:$AJ,$O352))</f>
        <v/>
      </c>
      <c r="I352" s="17" t="str">
        <f aca="false">IF($O352="","",INDEX('Auto Process'!$AK:$AK,$O352))</f>
        <v/>
      </c>
      <c r="J352" s="17" t="str">
        <f aca="false">IF($O352="","",INDEX('Auto Process'!$AL:$AL,$O352))</f>
        <v/>
      </c>
      <c r="K352" s="17" t="str">
        <f aca="false">IF($O352="","",INDEX('Auto Process'!$AM:$AM,$O352))</f>
        <v/>
      </c>
      <c r="L352" s="17" t="str">
        <f aca="false">IF($O352="","",INDEX('Auto Process'!$AN:$AN,$O352))</f>
        <v/>
      </c>
      <c r="M352" s="17" t="str">
        <f aca="false">IF($O352="","",INDEX('Auto Process'!$AO:$AO,$O352))</f>
        <v/>
      </c>
      <c r="O352" s="19" t="str">
        <f aca="false">IFERROR(_xlfn.AGGREGATE(15,6,ROW('Auto Process'!$D$4:$D$503)/('Auto Process'!$D$4:$D$503="Panel Details"),ROW()-1),"")</f>
        <v/>
      </c>
    </row>
    <row r="353" customFormat="false" ht="13.5" hidden="false" customHeight="true" outlineLevel="0" collapsed="false">
      <c r="A353" s="27" t="str">
        <f aca="false">IF($O353="","",INDEX('Auto Process'!$AC:$AC,$O353))</f>
        <v/>
      </c>
      <c r="B353" s="17" t="str">
        <f aca="false">IF($O353="","",INDEX('Auto Process'!$AD:$AD,$O353))</f>
        <v/>
      </c>
      <c r="C353" s="17" t="str">
        <f aca="false">IF($O353="","",INDEX('Auto Process'!$AE:$AE,$O353))</f>
        <v/>
      </c>
      <c r="D353" s="17" t="str">
        <f aca="false">IF($O353="","",INDEX('Auto Process'!$AF:$AF,$O353))</f>
        <v/>
      </c>
      <c r="E353" s="17" t="str">
        <f aca="false">IF($O353="","",INDEX('Auto Process'!$AG:$AG,$O353))</f>
        <v/>
      </c>
      <c r="F353" s="17" t="str">
        <f aca="false">IF($O353="","",INDEX('Auto Process'!$AH:$AH,$O353))</f>
        <v/>
      </c>
      <c r="G353" s="17" t="str">
        <f aca="false">IF($O353="","",INDEX('Auto Process'!$AI:$AI,$O353))</f>
        <v/>
      </c>
      <c r="H353" s="17" t="str">
        <f aca="false">IF($O353="","",INDEX('Auto Process'!$AJ:$AJ,$O353))</f>
        <v/>
      </c>
      <c r="I353" s="17" t="str">
        <f aca="false">IF($O353="","",INDEX('Auto Process'!$AK:$AK,$O353))</f>
        <v/>
      </c>
      <c r="J353" s="17" t="str">
        <f aca="false">IF($O353="","",INDEX('Auto Process'!$AL:$AL,$O353))</f>
        <v/>
      </c>
      <c r="K353" s="17" t="str">
        <f aca="false">IF($O353="","",INDEX('Auto Process'!$AM:$AM,$O353))</f>
        <v/>
      </c>
      <c r="L353" s="17" t="str">
        <f aca="false">IF($O353="","",INDEX('Auto Process'!$AN:$AN,$O353))</f>
        <v/>
      </c>
      <c r="M353" s="17" t="str">
        <f aca="false">IF($O353="","",INDEX('Auto Process'!$AO:$AO,$O353))</f>
        <v/>
      </c>
      <c r="O353" s="19" t="str">
        <f aca="false">IFERROR(_xlfn.AGGREGATE(15,6,ROW('Auto Process'!$D$4:$D$503)/('Auto Process'!$D$4:$D$503="Panel Details"),ROW()-1),"")</f>
        <v/>
      </c>
    </row>
    <row r="354" customFormat="false" ht="13.5" hidden="false" customHeight="true" outlineLevel="0" collapsed="false">
      <c r="A354" s="27" t="str">
        <f aca="false">IF($O354="","",INDEX('Auto Process'!$AC:$AC,$O354))</f>
        <v/>
      </c>
      <c r="B354" s="17" t="str">
        <f aca="false">IF($O354="","",INDEX('Auto Process'!$AD:$AD,$O354))</f>
        <v/>
      </c>
      <c r="C354" s="17" t="str">
        <f aca="false">IF($O354="","",INDEX('Auto Process'!$AE:$AE,$O354))</f>
        <v/>
      </c>
      <c r="D354" s="17" t="str">
        <f aca="false">IF($O354="","",INDEX('Auto Process'!$AF:$AF,$O354))</f>
        <v/>
      </c>
      <c r="E354" s="17" t="str">
        <f aca="false">IF($O354="","",INDEX('Auto Process'!$AG:$AG,$O354))</f>
        <v/>
      </c>
      <c r="F354" s="17" t="str">
        <f aca="false">IF($O354="","",INDEX('Auto Process'!$AH:$AH,$O354))</f>
        <v/>
      </c>
      <c r="G354" s="17" t="str">
        <f aca="false">IF($O354="","",INDEX('Auto Process'!$AI:$AI,$O354))</f>
        <v/>
      </c>
      <c r="H354" s="17" t="str">
        <f aca="false">IF($O354="","",INDEX('Auto Process'!$AJ:$AJ,$O354))</f>
        <v/>
      </c>
      <c r="I354" s="17" t="str">
        <f aca="false">IF($O354="","",INDEX('Auto Process'!$AK:$AK,$O354))</f>
        <v/>
      </c>
      <c r="J354" s="17" t="str">
        <f aca="false">IF($O354="","",INDEX('Auto Process'!$AL:$AL,$O354))</f>
        <v/>
      </c>
      <c r="K354" s="17" t="str">
        <f aca="false">IF($O354="","",INDEX('Auto Process'!$AM:$AM,$O354))</f>
        <v/>
      </c>
      <c r="L354" s="17" t="str">
        <f aca="false">IF($O354="","",INDEX('Auto Process'!$AN:$AN,$O354))</f>
        <v/>
      </c>
      <c r="M354" s="17" t="str">
        <f aca="false">IF($O354="","",INDEX('Auto Process'!$AO:$AO,$O354))</f>
        <v/>
      </c>
      <c r="O354" s="19" t="str">
        <f aca="false">IFERROR(_xlfn.AGGREGATE(15,6,ROW('Auto Process'!$D$4:$D$503)/('Auto Process'!$D$4:$D$503="Panel Details"),ROW()-1),"")</f>
        <v/>
      </c>
    </row>
    <row r="355" customFormat="false" ht="13.5" hidden="false" customHeight="true" outlineLevel="0" collapsed="false">
      <c r="A355" s="27" t="str">
        <f aca="false">IF($O355="","",INDEX('Auto Process'!$AC:$AC,$O355))</f>
        <v/>
      </c>
      <c r="B355" s="17" t="str">
        <f aca="false">IF($O355="","",INDEX('Auto Process'!$AD:$AD,$O355))</f>
        <v/>
      </c>
      <c r="C355" s="17" t="str">
        <f aca="false">IF($O355="","",INDEX('Auto Process'!$AE:$AE,$O355))</f>
        <v/>
      </c>
      <c r="D355" s="17" t="str">
        <f aca="false">IF($O355="","",INDEX('Auto Process'!$AF:$AF,$O355))</f>
        <v/>
      </c>
      <c r="E355" s="17" t="str">
        <f aca="false">IF($O355="","",INDEX('Auto Process'!$AG:$AG,$O355))</f>
        <v/>
      </c>
      <c r="F355" s="17" t="str">
        <f aca="false">IF($O355="","",INDEX('Auto Process'!$AH:$AH,$O355))</f>
        <v/>
      </c>
      <c r="G355" s="17" t="str">
        <f aca="false">IF($O355="","",INDEX('Auto Process'!$AI:$AI,$O355))</f>
        <v/>
      </c>
      <c r="H355" s="17" t="str">
        <f aca="false">IF($O355="","",INDEX('Auto Process'!$AJ:$AJ,$O355))</f>
        <v/>
      </c>
      <c r="I355" s="17" t="str">
        <f aca="false">IF($O355="","",INDEX('Auto Process'!$AK:$AK,$O355))</f>
        <v/>
      </c>
      <c r="J355" s="17" t="str">
        <f aca="false">IF($O355="","",INDEX('Auto Process'!$AL:$AL,$O355))</f>
        <v/>
      </c>
      <c r="K355" s="17" t="str">
        <f aca="false">IF($O355="","",INDEX('Auto Process'!$AM:$AM,$O355))</f>
        <v/>
      </c>
      <c r="L355" s="17" t="str">
        <f aca="false">IF($O355="","",INDEX('Auto Process'!$AN:$AN,$O355))</f>
        <v/>
      </c>
      <c r="M355" s="17" t="str">
        <f aca="false">IF($O355="","",INDEX('Auto Process'!$AO:$AO,$O355))</f>
        <v/>
      </c>
      <c r="O355" s="19" t="str">
        <f aca="false">IFERROR(_xlfn.AGGREGATE(15,6,ROW('Auto Process'!$D$4:$D$503)/('Auto Process'!$D$4:$D$503="Panel Details"),ROW()-1),"")</f>
        <v/>
      </c>
    </row>
    <row r="356" customFormat="false" ht="13.5" hidden="false" customHeight="true" outlineLevel="0" collapsed="false">
      <c r="A356" s="27" t="str">
        <f aca="false">IF($O356="","",INDEX('Auto Process'!$AC:$AC,$O356))</f>
        <v/>
      </c>
      <c r="B356" s="17" t="str">
        <f aca="false">IF($O356="","",INDEX('Auto Process'!$AD:$AD,$O356))</f>
        <v/>
      </c>
      <c r="C356" s="17" t="str">
        <f aca="false">IF($O356="","",INDEX('Auto Process'!$AE:$AE,$O356))</f>
        <v/>
      </c>
      <c r="D356" s="17" t="str">
        <f aca="false">IF($O356="","",INDEX('Auto Process'!$AF:$AF,$O356))</f>
        <v/>
      </c>
      <c r="E356" s="17" t="str">
        <f aca="false">IF($O356="","",INDEX('Auto Process'!$AG:$AG,$O356))</f>
        <v/>
      </c>
      <c r="F356" s="17" t="str">
        <f aca="false">IF($O356="","",INDEX('Auto Process'!$AH:$AH,$O356))</f>
        <v/>
      </c>
      <c r="G356" s="17" t="str">
        <f aca="false">IF($O356="","",INDEX('Auto Process'!$AI:$AI,$O356))</f>
        <v/>
      </c>
      <c r="H356" s="17" t="str">
        <f aca="false">IF($O356="","",INDEX('Auto Process'!$AJ:$AJ,$O356))</f>
        <v/>
      </c>
      <c r="I356" s="17" t="str">
        <f aca="false">IF($O356="","",INDEX('Auto Process'!$AK:$AK,$O356))</f>
        <v/>
      </c>
      <c r="J356" s="17" t="str">
        <f aca="false">IF($O356="","",INDEX('Auto Process'!$AL:$AL,$O356))</f>
        <v/>
      </c>
      <c r="K356" s="17" t="str">
        <f aca="false">IF($O356="","",INDEX('Auto Process'!$AM:$AM,$O356))</f>
        <v/>
      </c>
      <c r="L356" s="17" t="str">
        <f aca="false">IF($O356="","",INDEX('Auto Process'!$AN:$AN,$O356))</f>
        <v/>
      </c>
      <c r="M356" s="17" t="str">
        <f aca="false">IF($O356="","",INDEX('Auto Process'!$AO:$AO,$O356))</f>
        <v/>
      </c>
      <c r="O356" s="19" t="str">
        <f aca="false">IFERROR(_xlfn.AGGREGATE(15,6,ROW('Auto Process'!$D$4:$D$503)/('Auto Process'!$D$4:$D$503="Panel Details"),ROW()-1),"")</f>
        <v/>
      </c>
    </row>
    <row r="357" customFormat="false" ht="13.5" hidden="false" customHeight="true" outlineLevel="0" collapsed="false">
      <c r="A357" s="27" t="str">
        <f aca="false">IF($O357="","",INDEX('Auto Process'!$AC:$AC,$O357))</f>
        <v/>
      </c>
      <c r="B357" s="17" t="str">
        <f aca="false">IF($O357="","",INDEX('Auto Process'!$AD:$AD,$O357))</f>
        <v/>
      </c>
      <c r="C357" s="17" t="str">
        <f aca="false">IF($O357="","",INDEX('Auto Process'!$AE:$AE,$O357))</f>
        <v/>
      </c>
      <c r="D357" s="17" t="str">
        <f aca="false">IF($O357="","",INDEX('Auto Process'!$AF:$AF,$O357))</f>
        <v/>
      </c>
      <c r="E357" s="17" t="str">
        <f aca="false">IF($O357="","",INDEX('Auto Process'!$AG:$AG,$O357))</f>
        <v/>
      </c>
      <c r="F357" s="17" t="str">
        <f aca="false">IF($O357="","",INDEX('Auto Process'!$AH:$AH,$O357))</f>
        <v/>
      </c>
      <c r="G357" s="17" t="str">
        <f aca="false">IF($O357="","",INDEX('Auto Process'!$AI:$AI,$O357))</f>
        <v/>
      </c>
      <c r="H357" s="17" t="str">
        <f aca="false">IF($O357="","",INDEX('Auto Process'!$AJ:$AJ,$O357))</f>
        <v/>
      </c>
      <c r="I357" s="17" t="str">
        <f aca="false">IF($O357="","",INDEX('Auto Process'!$AK:$AK,$O357))</f>
        <v/>
      </c>
      <c r="J357" s="17" t="str">
        <f aca="false">IF($O357="","",INDEX('Auto Process'!$AL:$AL,$O357))</f>
        <v/>
      </c>
      <c r="K357" s="17" t="str">
        <f aca="false">IF($O357="","",INDEX('Auto Process'!$AM:$AM,$O357))</f>
        <v/>
      </c>
      <c r="L357" s="17" t="str">
        <f aca="false">IF($O357="","",INDEX('Auto Process'!$AN:$AN,$O357))</f>
        <v/>
      </c>
      <c r="M357" s="17" t="str">
        <f aca="false">IF($O357="","",INDEX('Auto Process'!$AO:$AO,$O357))</f>
        <v/>
      </c>
      <c r="O357" s="19" t="str">
        <f aca="false">IFERROR(_xlfn.AGGREGATE(15,6,ROW('Auto Process'!$D$4:$D$503)/('Auto Process'!$D$4:$D$503="Panel Details"),ROW()-1),"")</f>
        <v/>
      </c>
    </row>
    <row r="358" customFormat="false" ht="13.5" hidden="false" customHeight="true" outlineLevel="0" collapsed="false">
      <c r="A358" s="27" t="str">
        <f aca="false">IF($O358="","",INDEX('Auto Process'!$AC:$AC,$O358))</f>
        <v/>
      </c>
      <c r="B358" s="17" t="str">
        <f aca="false">IF($O358="","",INDEX('Auto Process'!$AD:$AD,$O358))</f>
        <v/>
      </c>
      <c r="C358" s="17" t="str">
        <f aca="false">IF($O358="","",INDEX('Auto Process'!$AE:$AE,$O358))</f>
        <v/>
      </c>
      <c r="D358" s="17" t="str">
        <f aca="false">IF($O358="","",INDEX('Auto Process'!$AF:$AF,$O358))</f>
        <v/>
      </c>
      <c r="E358" s="17" t="str">
        <f aca="false">IF($O358="","",INDEX('Auto Process'!$AG:$AG,$O358))</f>
        <v/>
      </c>
      <c r="F358" s="17" t="str">
        <f aca="false">IF($O358="","",INDEX('Auto Process'!$AH:$AH,$O358))</f>
        <v/>
      </c>
      <c r="G358" s="17" t="str">
        <f aca="false">IF($O358="","",INDEX('Auto Process'!$AI:$AI,$O358))</f>
        <v/>
      </c>
      <c r="H358" s="17" t="str">
        <f aca="false">IF($O358="","",INDEX('Auto Process'!$AJ:$AJ,$O358))</f>
        <v/>
      </c>
      <c r="I358" s="17" t="str">
        <f aca="false">IF($O358="","",INDEX('Auto Process'!$AK:$AK,$O358))</f>
        <v/>
      </c>
      <c r="J358" s="17" t="str">
        <f aca="false">IF($O358="","",INDEX('Auto Process'!$AL:$AL,$O358))</f>
        <v/>
      </c>
      <c r="K358" s="17" t="str">
        <f aca="false">IF($O358="","",INDEX('Auto Process'!$AM:$AM,$O358))</f>
        <v/>
      </c>
      <c r="L358" s="17" t="str">
        <f aca="false">IF($O358="","",INDEX('Auto Process'!$AN:$AN,$O358))</f>
        <v/>
      </c>
      <c r="M358" s="17" t="str">
        <f aca="false">IF($O358="","",INDEX('Auto Process'!$AO:$AO,$O358))</f>
        <v/>
      </c>
      <c r="O358" s="19" t="str">
        <f aca="false">IFERROR(_xlfn.AGGREGATE(15,6,ROW('Auto Process'!$D$4:$D$503)/('Auto Process'!$D$4:$D$503="Panel Details"),ROW()-1),"")</f>
        <v/>
      </c>
    </row>
    <row r="359" customFormat="false" ht="13.5" hidden="false" customHeight="true" outlineLevel="0" collapsed="false">
      <c r="A359" s="27" t="str">
        <f aca="false">IF($O359="","",INDEX('Auto Process'!$AC:$AC,$O359))</f>
        <v/>
      </c>
      <c r="B359" s="17" t="str">
        <f aca="false">IF($O359="","",INDEX('Auto Process'!$AD:$AD,$O359))</f>
        <v/>
      </c>
      <c r="C359" s="17" t="str">
        <f aca="false">IF($O359="","",INDEX('Auto Process'!$AE:$AE,$O359))</f>
        <v/>
      </c>
      <c r="D359" s="17" t="str">
        <f aca="false">IF($O359="","",INDEX('Auto Process'!$AF:$AF,$O359))</f>
        <v/>
      </c>
      <c r="E359" s="17" t="str">
        <f aca="false">IF($O359="","",INDEX('Auto Process'!$AG:$AG,$O359))</f>
        <v/>
      </c>
      <c r="F359" s="17" t="str">
        <f aca="false">IF($O359="","",INDEX('Auto Process'!$AH:$AH,$O359))</f>
        <v/>
      </c>
      <c r="G359" s="17" t="str">
        <f aca="false">IF($O359="","",INDEX('Auto Process'!$AI:$AI,$O359))</f>
        <v/>
      </c>
      <c r="H359" s="17" t="str">
        <f aca="false">IF($O359="","",INDEX('Auto Process'!$AJ:$AJ,$O359))</f>
        <v/>
      </c>
      <c r="I359" s="17" t="str">
        <f aca="false">IF($O359="","",INDEX('Auto Process'!$AK:$AK,$O359))</f>
        <v/>
      </c>
      <c r="J359" s="17" t="str">
        <f aca="false">IF($O359="","",INDEX('Auto Process'!$AL:$AL,$O359))</f>
        <v/>
      </c>
      <c r="K359" s="17" t="str">
        <f aca="false">IF($O359="","",INDEX('Auto Process'!$AM:$AM,$O359))</f>
        <v/>
      </c>
      <c r="L359" s="17" t="str">
        <f aca="false">IF($O359="","",INDEX('Auto Process'!$AN:$AN,$O359))</f>
        <v/>
      </c>
      <c r="M359" s="17" t="str">
        <f aca="false">IF($O359="","",INDEX('Auto Process'!$AO:$AO,$O359))</f>
        <v/>
      </c>
      <c r="O359" s="19" t="str">
        <f aca="false">IFERROR(_xlfn.AGGREGATE(15,6,ROW('Auto Process'!$D$4:$D$503)/('Auto Process'!$D$4:$D$503="Panel Details"),ROW()-1),"")</f>
        <v/>
      </c>
    </row>
    <row r="360" customFormat="false" ht="13.5" hidden="false" customHeight="true" outlineLevel="0" collapsed="false">
      <c r="A360" s="27" t="str">
        <f aca="false">IF($O360="","",INDEX('Auto Process'!$AC:$AC,$O360))</f>
        <v/>
      </c>
      <c r="B360" s="17" t="str">
        <f aca="false">IF($O360="","",INDEX('Auto Process'!$AD:$AD,$O360))</f>
        <v/>
      </c>
      <c r="C360" s="17" t="str">
        <f aca="false">IF($O360="","",INDEX('Auto Process'!$AE:$AE,$O360))</f>
        <v/>
      </c>
      <c r="D360" s="17" t="str">
        <f aca="false">IF($O360="","",INDEX('Auto Process'!$AF:$AF,$O360))</f>
        <v/>
      </c>
      <c r="E360" s="17" t="str">
        <f aca="false">IF($O360="","",INDEX('Auto Process'!$AG:$AG,$O360))</f>
        <v/>
      </c>
      <c r="F360" s="17" t="str">
        <f aca="false">IF($O360="","",INDEX('Auto Process'!$AH:$AH,$O360))</f>
        <v/>
      </c>
      <c r="G360" s="17" t="str">
        <f aca="false">IF($O360="","",INDEX('Auto Process'!$AI:$AI,$O360))</f>
        <v/>
      </c>
      <c r="H360" s="17" t="str">
        <f aca="false">IF($O360="","",INDEX('Auto Process'!$AJ:$AJ,$O360))</f>
        <v/>
      </c>
      <c r="I360" s="17" t="str">
        <f aca="false">IF($O360="","",INDEX('Auto Process'!$AK:$AK,$O360))</f>
        <v/>
      </c>
      <c r="J360" s="17" t="str">
        <f aca="false">IF($O360="","",INDEX('Auto Process'!$AL:$AL,$O360))</f>
        <v/>
      </c>
      <c r="K360" s="17" t="str">
        <f aca="false">IF($O360="","",INDEX('Auto Process'!$AM:$AM,$O360))</f>
        <v/>
      </c>
      <c r="L360" s="17" t="str">
        <f aca="false">IF($O360="","",INDEX('Auto Process'!$AN:$AN,$O360))</f>
        <v/>
      </c>
      <c r="M360" s="17" t="str">
        <f aca="false">IF($O360="","",INDEX('Auto Process'!$AO:$AO,$O360))</f>
        <v/>
      </c>
      <c r="O360" s="19" t="str">
        <f aca="false">IFERROR(_xlfn.AGGREGATE(15,6,ROW('Auto Process'!$D$4:$D$503)/('Auto Process'!$D$4:$D$503="Panel Details"),ROW()-1),"")</f>
        <v/>
      </c>
    </row>
    <row r="361" customFormat="false" ht="13.5" hidden="false" customHeight="true" outlineLevel="0" collapsed="false">
      <c r="A361" s="27" t="str">
        <f aca="false">IF($O361="","",INDEX('Auto Process'!$AC:$AC,$O361))</f>
        <v/>
      </c>
      <c r="B361" s="17" t="str">
        <f aca="false">IF($O361="","",INDEX('Auto Process'!$AD:$AD,$O361))</f>
        <v/>
      </c>
      <c r="C361" s="17" t="str">
        <f aca="false">IF($O361="","",INDEX('Auto Process'!$AE:$AE,$O361))</f>
        <v/>
      </c>
      <c r="D361" s="17" t="str">
        <f aca="false">IF($O361="","",INDEX('Auto Process'!$AF:$AF,$O361))</f>
        <v/>
      </c>
      <c r="E361" s="17" t="str">
        <f aca="false">IF($O361="","",INDEX('Auto Process'!$AG:$AG,$O361))</f>
        <v/>
      </c>
      <c r="F361" s="17" t="str">
        <f aca="false">IF($O361="","",INDEX('Auto Process'!$AH:$AH,$O361))</f>
        <v/>
      </c>
      <c r="G361" s="17" t="str">
        <f aca="false">IF($O361="","",INDEX('Auto Process'!$AI:$AI,$O361))</f>
        <v/>
      </c>
      <c r="H361" s="17" t="str">
        <f aca="false">IF($O361="","",INDEX('Auto Process'!$AJ:$AJ,$O361))</f>
        <v/>
      </c>
      <c r="I361" s="17" t="str">
        <f aca="false">IF($O361="","",INDEX('Auto Process'!$AK:$AK,$O361))</f>
        <v/>
      </c>
      <c r="J361" s="17" t="str">
        <f aca="false">IF($O361="","",INDEX('Auto Process'!$AL:$AL,$O361))</f>
        <v/>
      </c>
      <c r="K361" s="17" t="str">
        <f aca="false">IF($O361="","",INDEX('Auto Process'!$AM:$AM,$O361))</f>
        <v/>
      </c>
      <c r="L361" s="17" t="str">
        <f aca="false">IF($O361="","",INDEX('Auto Process'!$AN:$AN,$O361))</f>
        <v/>
      </c>
      <c r="M361" s="17" t="str">
        <f aca="false">IF($O361="","",INDEX('Auto Process'!$AO:$AO,$O361))</f>
        <v/>
      </c>
      <c r="O361" s="19" t="str">
        <f aca="false">IFERROR(_xlfn.AGGREGATE(15,6,ROW('Auto Process'!$D$4:$D$503)/('Auto Process'!$D$4:$D$503="Panel Details"),ROW()-1),"")</f>
        <v/>
      </c>
    </row>
    <row r="362" customFormat="false" ht="13.5" hidden="false" customHeight="true" outlineLevel="0" collapsed="false">
      <c r="A362" s="27" t="str">
        <f aca="false">IF($O362="","",INDEX('Auto Process'!$AC:$AC,$O362))</f>
        <v/>
      </c>
      <c r="B362" s="17" t="str">
        <f aca="false">IF($O362="","",INDEX('Auto Process'!$AD:$AD,$O362))</f>
        <v/>
      </c>
      <c r="C362" s="17" t="str">
        <f aca="false">IF($O362="","",INDEX('Auto Process'!$AE:$AE,$O362))</f>
        <v/>
      </c>
      <c r="D362" s="17" t="str">
        <f aca="false">IF($O362="","",INDEX('Auto Process'!$AF:$AF,$O362))</f>
        <v/>
      </c>
      <c r="E362" s="17" t="str">
        <f aca="false">IF($O362="","",INDEX('Auto Process'!$AG:$AG,$O362))</f>
        <v/>
      </c>
      <c r="F362" s="17" t="str">
        <f aca="false">IF($O362="","",INDEX('Auto Process'!$AH:$AH,$O362))</f>
        <v/>
      </c>
      <c r="G362" s="17" t="str">
        <f aca="false">IF($O362="","",INDEX('Auto Process'!$AI:$AI,$O362))</f>
        <v/>
      </c>
      <c r="H362" s="17" t="str">
        <f aca="false">IF($O362="","",INDEX('Auto Process'!$AJ:$AJ,$O362))</f>
        <v/>
      </c>
      <c r="I362" s="17" t="str">
        <f aca="false">IF($O362="","",INDEX('Auto Process'!$AK:$AK,$O362))</f>
        <v/>
      </c>
      <c r="J362" s="17" t="str">
        <f aca="false">IF($O362="","",INDEX('Auto Process'!$AL:$AL,$O362))</f>
        <v/>
      </c>
      <c r="K362" s="17" t="str">
        <f aca="false">IF($O362="","",INDEX('Auto Process'!$AM:$AM,$O362))</f>
        <v/>
      </c>
      <c r="L362" s="17" t="str">
        <f aca="false">IF($O362="","",INDEX('Auto Process'!$AN:$AN,$O362))</f>
        <v/>
      </c>
      <c r="M362" s="17" t="str">
        <f aca="false">IF($O362="","",INDEX('Auto Process'!$AO:$AO,$O362))</f>
        <v/>
      </c>
      <c r="O362" s="19" t="str">
        <f aca="false">IFERROR(_xlfn.AGGREGATE(15,6,ROW('Auto Process'!$D$4:$D$503)/('Auto Process'!$D$4:$D$503="Panel Details"),ROW()-1),"")</f>
        <v/>
      </c>
    </row>
    <row r="363" customFormat="false" ht="13.5" hidden="false" customHeight="true" outlineLevel="0" collapsed="false">
      <c r="A363" s="27" t="str">
        <f aca="false">IF($O363="","",INDEX('Auto Process'!$AC:$AC,$O363))</f>
        <v/>
      </c>
      <c r="B363" s="17" t="str">
        <f aca="false">IF($O363="","",INDEX('Auto Process'!$AD:$AD,$O363))</f>
        <v/>
      </c>
      <c r="C363" s="17" t="str">
        <f aca="false">IF($O363="","",INDEX('Auto Process'!$AE:$AE,$O363))</f>
        <v/>
      </c>
      <c r="D363" s="17" t="str">
        <f aca="false">IF($O363="","",INDEX('Auto Process'!$AF:$AF,$O363))</f>
        <v/>
      </c>
      <c r="E363" s="17" t="str">
        <f aca="false">IF($O363="","",INDEX('Auto Process'!$AG:$AG,$O363))</f>
        <v/>
      </c>
      <c r="F363" s="17" t="str">
        <f aca="false">IF($O363="","",INDEX('Auto Process'!$AH:$AH,$O363))</f>
        <v/>
      </c>
      <c r="G363" s="17" t="str">
        <f aca="false">IF($O363="","",INDEX('Auto Process'!$AI:$AI,$O363))</f>
        <v/>
      </c>
      <c r="H363" s="17" t="str">
        <f aca="false">IF($O363="","",INDEX('Auto Process'!$AJ:$AJ,$O363))</f>
        <v/>
      </c>
      <c r="I363" s="17" t="str">
        <f aca="false">IF($O363="","",INDEX('Auto Process'!$AK:$AK,$O363))</f>
        <v/>
      </c>
      <c r="J363" s="17" t="str">
        <f aca="false">IF($O363="","",INDEX('Auto Process'!$AL:$AL,$O363))</f>
        <v/>
      </c>
      <c r="K363" s="17" t="str">
        <f aca="false">IF($O363="","",INDEX('Auto Process'!$AM:$AM,$O363))</f>
        <v/>
      </c>
      <c r="L363" s="17" t="str">
        <f aca="false">IF($O363="","",INDEX('Auto Process'!$AN:$AN,$O363))</f>
        <v/>
      </c>
      <c r="M363" s="17" t="str">
        <f aca="false">IF($O363="","",INDEX('Auto Process'!$AO:$AO,$O363))</f>
        <v/>
      </c>
      <c r="O363" s="19" t="str">
        <f aca="false">IFERROR(_xlfn.AGGREGATE(15,6,ROW('Auto Process'!$D$4:$D$503)/('Auto Process'!$D$4:$D$503="Panel Details"),ROW()-1),"")</f>
        <v/>
      </c>
    </row>
    <row r="364" customFormat="false" ht="13.5" hidden="false" customHeight="true" outlineLevel="0" collapsed="false">
      <c r="A364" s="27" t="str">
        <f aca="false">IF($O364="","",INDEX('Auto Process'!$AC:$AC,$O364))</f>
        <v/>
      </c>
      <c r="B364" s="17" t="str">
        <f aca="false">IF($O364="","",INDEX('Auto Process'!$AD:$AD,$O364))</f>
        <v/>
      </c>
      <c r="C364" s="17" t="str">
        <f aca="false">IF($O364="","",INDEX('Auto Process'!$AE:$AE,$O364))</f>
        <v/>
      </c>
      <c r="D364" s="17" t="str">
        <f aca="false">IF($O364="","",INDEX('Auto Process'!$AF:$AF,$O364))</f>
        <v/>
      </c>
      <c r="E364" s="17" t="str">
        <f aca="false">IF($O364="","",INDEX('Auto Process'!$AG:$AG,$O364))</f>
        <v/>
      </c>
      <c r="F364" s="17" t="str">
        <f aca="false">IF($O364="","",INDEX('Auto Process'!$AH:$AH,$O364))</f>
        <v/>
      </c>
      <c r="G364" s="17" t="str">
        <f aca="false">IF($O364="","",INDEX('Auto Process'!$AI:$AI,$O364))</f>
        <v/>
      </c>
      <c r="H364" s="17" t="str">
        <f aca="false">IF($O364="","",INDEX('Auto Process'!$AJ:$AJ,$O364))</f>
        <v/>
      </c>
      <c r="I364" s="17" t="str">
        <f aca="false">IF($O364="","",INDEX('Auto Process'!$AK:$AK,$O364))</f>
        <v/>
      </c>
      <c r="J364" s="17" t="str">
        <f aca="false">IF($O364="","",INDEX('Auto Process'!$AL:$AL,$O364))</f>
        <v/>
      </c>
      <c r="K364" s="17" t="str">
        <f aca="false">IF($O364="","",INDEX('Auto Process'!$AM:$AM,$O364))</f>
        <v/>
      </c>
      <c r="L364" s="17" t="str">
        <f aca="false">IF($O364="","",INDEX('Auto Process'!$AN:$AN,$O364))</f>
        <v/>
      </c>
      <c r="M364" s="17" t="str">
        <f aca="false">IF($O364="","",INDEX('Auto Process'!$AO:$AO,$O364))</f>
        <v/>
      </c>
      <c r="O364" s="19" t="str">
        <f aca="false">IFERROR(_xlfn.AGGREGATE(15,6,ROW('Auto Process'!$D$4:$D$503)/('Auto Process'!$D$4:$D$503="Panel Details"),ROW()-1),"")</f>
        <v/>
      </c>
    </row>
    <row r="365" customFormat="false" ht="13.5" hidden="false" customHeight="true" outlineLevel="0" collapsed="false">
      <c r="A365" s="27" t="str">
        <f aca="false">IF($O365="","",INDEX('Auto Process'!$AC:$AC,$O365))</f>
        <v/>
      </c>
      <c r="B365" s="17" t="str">
        <f aca="false">IF($O365="","",INDEX('Auto Process'!$AD:$AD,$O365))</f>
        <v/>
      </c>
      <c r="C365" s="17" t="str">
        <f aca="false">IF($O365="","",INDEX('Auto Process'!$AE:$AE,$O365))</f>
        <v/>
      </c>
      <c r="D365" s="17" t="str">
        <f aca="false">IF($O365="","",INDEX('Auto Process'!$AF:$AF,$O365))</f>
        <v/>
      </c>
      <c r="E365" s="17" t="str">
        <f aca="false">IF($O365="","",INDEX('Auto Process'!$AG:$AG,$O365))</f>
        <v/>
      </c>
      <c r="F365" s="17" t="str">
        <f aca="false">IF($O365="","",INDEX('Auto Process'!$AH:$AH,$O365))</f>
        <v/>
      </c>
      <c r="G365" s="17" t="str">
        <f aca="false">IF($O365="","",INDEX('Auto Process'!$AI:$AI,$O365))</f>
        <v/>
      </c>
      <c r="H365" s="17" t="str">
        <f aca="false">IF($O365="","",INDEX('Auto Process'!$AJ:$AJ,$O365))</f>
        <v/>
      </c>
      <c r="I365" s="17" t="str">
        <f aca="false">IF($O365="","",INDEX('Auto Process'!$AK:$AK,$O365))</f>
        <v/>
      </c>
      <c r="J365" s="17" t="str">
        <f aca="false">IF($O365="","",INDEX('Auto Process'!$AL:$AL,$O365))</f>
        <v/>
      </c>
      <c r="K365" s="17" t="str">
        <f aca="false">IF($O365="","",INDEX('Auto Process'!$AM:$AM,$O365))</f>
        <v/>
      </c>
      <c r="L365" s="17" t="str">
        <f aca="false">IF($O365="","",INDEX('Auto Process'!$AN:$AN,$O365))</f>
        <v/>
      </c>
      <c r="M365" s="17" t="str">
        <f aca="false">IF($O365="","",INDEX('Auto Process'!$AO:$AO,$O365))</f>
        <v/>
      </c>
      <c r="O365" s="19" t="str">
        <f aca="false">IFERROR(_xlfn.AGGREGATE(15,6,ROW('Auto Process'!$D$4:$D$503)/('Auto Process'!$D$4:$D$503="Panel Details"),ROW()-1),"")</f>
        <v/>
      </c>
    </row>
    <row r="366" customFormat="false" ht="13.5" hidden="false" customHeight="true" outlineLevel="0" collapsed="false">
      <c r="A366" s="27" t="str">
        <f aca="false">IF($O366="","",INDEX('Auto Process'!$AC:$AC,$O366))</f>
        <v/>
      </c>
      <c r="B366" s="17" t="str">
        <f aca="false">IF($O366="","",INDEX('Auto Process'!$AD:$AD,$O366))</f>
        <v/>
      </c>
      <c r="C366" s="17" t="str">
        <f aca="false">IF($O366="","",INDEX('Auto Process'!$AE:$AE,$O366))</f>
        <v/>
      </c>
      <c r="D366" s="17" t="str">
        <f aca="false">IF($O366="","",INDEX('Auto Process'!$AF:$AF,$O366))</f>
        <v/>
      </c>
      <c r="E366" s="17" t="str">
        <f aca="false">IF($O366="","",INDEX('Auto Process'!$AG:$AG,$O366))</f>
        <v/>
      </c>
      <c r="F366" s="17" t="str">
        <f aca="false">IF($O366="","",INDEX('Auto Process'!$AH:$AH,$O366))</f>
        <v/>
      </c>
      <c r="G366" s="17" t="str">
        <f aca="false">IF($O366="","",INDEX('Auto Process'!$AI:$AI,$O366))</f>
        <v/>
      </c>
      <c r="H366" s="17" t="str">
        <f aca="false">IF($O366="","",INDEX('Auto Process'!$AJ:$AJ,$O366))</f>
        <v/>
      </c>
      <c r="I366" s="17" t="str">
        <f aca="false">IF($O366="","",INDEX('Auto Process'!$AK:$AK,$O366))</f>
        <v/>
      </c>
      <c r="J366" s="17" t="str">
        <f aca="false">IF($O366="","",INDEX('Auto Process'!$AL:$AL,$O366))</f>
        <v/>
      </c>
      <c r="K366" s="17" t="str">
        <f aca="false">IF($O366="","",INDEX('Auto Process'!$AM:$AM,$O366))</f>
        <v/>
      </c>
      <c r="L366" s="17" t="str">
        <f aca="false">IF($O366="","",INDEX('Auto Process'!$AN:$AN,$O366))</f>
        <v/>
      </c>
      <c r="M366" s="17" t="str">
        <f aca="false">IF($O366="","",INDEX('Auto Process'!$AO:$AO,$O366))</f>
        <v/>
      </c>
      <c r="O366" s="19" t="str">
        <f aca="false">IFERROR(_xlfn.AGGREGATE(15,6,ROW('Auto Process'!$D$4:$D$503)/('Auto Process'!$D$4:$D$503="Panel Details"),ROW()-1),"")</f>
        <v/>
      </c>
    </row>
    <row r="367" customFormat="false" ht="13.5" hidden="false" customHeight="true" outlineLevel="0" collapsed="false">
      <c r="A367" s="27" t="str">
        <f aca="false">IF($O367="","",INDEX('Auto Process'!$AC:$AC,$O367))</f>
        <v/>
      </c>
      <c r="B367" s="17" t="str">
        <f aca="false">IF($O367="","",INDEX('Auto Process'!$AD:$AD,$O367))</f>
        <v/>
      </c>
      <c r="C367" s="17" t="str">
        <f aca="false">IF($O367="","",INDEX('Auto Process'!$AE:$AE,$O367))</f>
        <v/>
      </c>
      <c r="D367" s="17" t="str">
        <f aca="false">IF($O367="","",INDEX('Auto Process'!$AF:$AF,$O367))</f>
        <v/>
      </c>
      <c r="E367" s="17" t="str">
        <f aca="false">IF($O367="","",INDEX('Auto Process'!$AG:$AG,$O367))</f>
        <v/>
      </c>
      <c r="F367" s="17" t="str">
        <f aca="false">IF($O367="","",INDEX('Auto Process'!$AH:$AH,$O367))</f>
        <v/>
      </c>
      <c r="G367" s="17" t="str">
        <f aca="false">IF($O367="","",INDEX('Auto Process'!$AI:$AI,$O367))</f>
        <v/>
      </c>
      <c r="H367" s="17" t="str">
        <f aca="false">IF($O367="","",INDEX('Auto Process'!$AJ:$AJ,$O367))</f>
        <v/>
      </c>
      <c r="I367" s="17" t="str">
        <f aca="false">IF($O367="","",INDEX('Auto Process'!$AK:$AK,$O367))</f>
        <v/>
      </c>
      <c r="J367" s="17" t="str">
        <f aca="false">IF($O367="","",INDEX('Auto Process'!$AL:$AL,$O367))</f>
        <v/>
      </c>
      <c r="K367" s="17" t="str">
        <f aca="false">IF($O367="","",INDEX('Auto Process'!$AM:$AM,$O367))</f>
        <v/>
      </c>
      <c r="L367" s="17" t="str">
        <f aca="false">IF($O367="","",INDEX('Auto Process'!$AN:$AN,$O367))</f>
        <v/>
      </c>
      <c r="M367" s="17" t="str">
        <f aca="false">IF($O367="","",INDEX('Auto Process'!$AO:$AO,$O367))</f>
        <v/>
      </c>
      <c r="O367" s="19" t="str">
        <f aca="false">IFERROR(_xlfn.AGGREGATE(15,6,ROW('Auto Process'!$D$4:$D$503)/('Auto Process'!$D$4:$D$503="Panel Details"),ROW()-1),"")</f>
        <v/>
      </c>
    </row>
    <row r="368" customFormat="false" ht="13.5" hidden="false" customHeight="true" outlineLevel="0" collapsed="false">
      <c r="A368" s="27" t="str">
        <f aca="false">IF($O368="","",INDEX('Auto Process'!$AC:$AC,$O368))</f>
        <v/>
      </c>
      <c r="B368" s="17" t="str">
        <f aca="false">IF($O368="","",INDEX('Auto Process'!$AD:$AD,$O368))</f>
        <v/>
      </c>
      <c r="C368" s="17" t="str">
        <f aca="false">IF($O368="","",INDEX('Auto Process'!$AE:$AE,$O368))</f>
        <v/>
      </c>
      <c r="D368" s="17" t="str">
        <f aca="false">IF($O368="","",INDEX('Auto Process'!$AF:$AF,$O368))</f>
        <v/>
      </c>
      <c r="E368" s="17" t="str">
        <f aca="false">IF($O368="","",INDEX('Auto Process'!$AG:$AG,$O368))</f>
        <v/>
      </c>
      <c r="F368" s="17" t="str">
        <f aca="false">IF($O368="","",INDEX('Auto Process'!$AH:$AH,$O368))</f>
        <v/>
      </c>
      <c r="G368" s="17" t="str">
        <f aca="false">IF($O368="","",INDEX('Auto Process'!$AI:$AI,$O368))</f>
        <v/>
      </c>
      <c r="H368" s="17" t="str">
        <f aca="false">IF($O368="","",INDEX('Auto Process'!$AJ:$AJ,$O368))</f>
        <v/>
      </c>
      <c r="I368" s="17" t="str">
        <f aca="false">IF($O368="","",INDEX('Auto Process'!$AK:$AK,$O368))</f>
        <v/>
      </c>
      <c r="J368" s="17" t="str">
        <f aca="false">IF($O368="","",INDEX('Auto Process'!$AL:$AL,$O368))</f>
        <v/>
      </c>
      <c r="K368" s="17" t="str">
        <f aca="false">IF($O368="","",INDEX('Auto Process'!$AM:$AM,$O368))</f>
        <v/>
      </c>
      <c r="L368" s="17" t="str">
        <f aca="false">IF($O368="","",INDEX('Auto Process'!$AN:$AN,$O368))</f>
        <v/>
      </c>
      <c r="M368" s="17" t="str">
        <f aca="false">IF($O368="","",INDEX('Auto Process'!$AO:$AO,$O368))</f>
        <v/>
      </c>
      <c r="O368" s="19" t="str">
        <f aca="false">IFERROR(_xlfn.AGGREGATE(15,6,ROW('Auto Process'!$D$4:$D$503)/('Auto Process'!$D$4:$D$503="Panel Details"),ROW()-1),"")</f>
        <v/>
      </c>
    </row>
    <row r="369" customFormat="false" ht="13.5" hidden="false" customHeight="true" outlineLevel="0" collapsed="false">
      <c r="A369" s="27" t="str">
        <f aca="false">IF($O369="","",INDEX('Auto Process'!$AC:$AC,$O369))</f>
        <v/>
      </c>
      <c r="B369" s="17" t="str">
        <f aca="false">IF($O369="","",INDEX('Auto Process'!$AD:$AD,$O369))</f>
        <v/>
      </c>
      <c r="C369" s="17" t="str">
        <f aca="false">IF($O369="","",INDEX('Auto Process'!$AE:$AE,$O369))</f>
        <v/>
      </c>
      <c r="D369" s="17" t="str">
        <f aca="false">IF($O369="","",INDEX('Auto Process'!$AF:$AF,$O369))</f>
        <v/>
      </c>
      <c r="E369" s="17" t="str">
        <f aca="false">IF($O369="","",INDEX('Auto Process'!$AG:$AG,$O369))</f>
        <v/>
      </c>
      <c r="F369" s="17" t="str">
        <f aca="false">IF($O369="","",INDEX('Auto Process'!$AH:$AH,$O369))</f>
        <v/>
      </c>
      <c r="G369" s="17" t="str">
        <f aca="false">IF($O369="","",INDEX('Auto Process'!$AI:$AI,$O369))</f>
        <v/>
      </c>
      <c r="H369" s="17" t="str">
        <f aca="false">IF($O369="","",INDEX('Auto Process'!$AJ:$AJ,$O369))</f>
        <v/>
      </c>
      <c r="I369" s="17" t="str">
        <f aca="false">IF($O369="","",INDEX('Auto Process'!$AK:$AK,$O369))</f>
        <v/>
      </c>
      <c r="J369" s="17" t="str">
        <f aca="false">IF($O369="","",INDEX('Auto Process'!$AL:$AL,$O369))</f>
        <v/>
      </c>
      <c r="K369" s="17" t="str">
        <f aca="false">IF($O369="","",INDEX('Auto Process'!$AM:$AM,$O369))</f>
        <v/>
      </c>
      <c r="L369" s="17" t="str">
        <f aca="false">IF($O369="","",INDEX('Auto Process'!$AN:$AN,$O369))</f>
        <v/>
      </c>
      <c r="M369" s="17" t="str">
        <f aca="false">IF($O369="","",INDEX('Auto Process'!$AO:$AO,$O369))</f>
        <v/>
      </c>
      <c r="O369" s="19" t="str">
        <f aca="false">IFERROR(_xlfn.AGGREGATE(15,6,ROW('Auto Process'!$D$4:$D$503)/('Auto Process'!$D$4:$D$503="Panel Details"),ROW()-1),"")</f>
        <v/>
      </c>
    </row>
    <row r="370" customFormat="false" ht="13.5" hidden="false" customHeight="true" outlineLevel="0" collapsed="false">
      <c r="A370" s="27" t="str">
        <f aca="false">IF($O370="","",INDEX('Auto Process'!$AC:$AC,$O370))</f>
        <v/>
      </c>
      <c r="B370" s="17" t="str">
        <f aca="false">IF($O370="","",INDEX('Auto Process'!$AD:$AD,$O370))</f>
        <v/>
      </c>
      <c r="C370" s="17" t="str">
        <f aca="false">IF($O370="","",INDEX('Auto Process'!$AE:$AE,$O370))</f>
        <v/>
      </c>
      <c r="D370" s="17" t="str">
        <f aca="false">IF($O370="","",INDEX('Auto Process'!$AF:$AF,$O370))</f>
        <v/>
      </c>
      <c r="E370" s="17" t="str">
        <f aca="false">IF($O370="","",INDEX('Auto Process'!$AG:$AG,$O370))</f>
        <v/>
      </c>
      <c r="F370" s="17" t="str">
        <f aca="false">IF($O370="","",INDEX('Auto Process'!$AH:$AH,$O370))</f>
        <v/>
      </c>
      <c r="G370" s="17" t="str">
        <f aca="false">IF($O370="","",INDEX('Auto Process'!$AI:$AI,$O370))</f>
        <v/>
      </c>
      <c r="H370" s="17" t="str">
        <f aca="false">IF($O370="","",INDEX('Auto Process'!$AJ:$AJ,$O370))</f>
        <v/>
      </c>
      <c r="I370" s="17" t="str">
        <f aca="false">IF($O370="","",INDEX('Auto Process'!$AK:$AK,$O370))</f>
        <v/>
      </c>
      <c r="J370" s="17" t="str">
        <f aca="false">IF($O370="","",INDEX('Auto Process'!$AL:$AL,$O370))</f>
        <v/>
      </c>
      <c r="K370" s="17" t="str">
        <f aca="false">IF($O370="","",INDEX('Auto Process'!$AM:$AM,$O370))</f>
        <v/>
      </c>
      <c r="L370" s="17" t="str">
        <f aca="false">IF($O370="","",INDEX('Auto Process'!$AN:$AN,$O370))</f>
        <v/>
      </c>
      <c r="M370" s="17" t="str">
        <f aca="false">IF($O370="","",INDEX('Auto Process'!$AO:$AO,$O370))</f>
        <v/>
      </c>
      <c r="O370" s="19" t="str">
        <f aca="false">IFERROR(_xlfn.AGGREGATE(15,6,ROW('Auto Process'!$D$4:$D$503)/('Auto Process'!$D$4:$D$503="Panel Details"),ROW()-1),"")</f>
        <v/>
      </c>
    </row>
    <row r="371" customFormat="false" ht="13.5" hidden="false" customHeight="true" outlineLevel="0" collapsed="false">
      <c r="A371" s="27" t="str">
        <f aca="false">IF($O371="","",INDEX('Auto Process'!$AC:$AC,$O371))</f>
        <v/>
      </c>
      <c r="B371" s="17" t="str">
        <f aca="false">IF($O371="","",INDEX('Auto Process'!$AD:$AD,$O371))</f>
        <v/>
      </c>
      <c r="C371" s="17" t="str">
        <f aca="false">IF($O371="","",INDEX('Auto Process'!$AE:$AE,$O371))</f>
        <v/>
      </c>
      <c r="D371" s="17" t="str">
        <f aca="false">IF($O371="","",INDEX('Auto Process'!$AF:$AF,$O371))</f>
        <v/>
      </c>
      <c r="E371" s="17" t="str">
        <f aca="false">IF($O371="","",INDEX('Auto Process'!$AG:$AG,$O371))</f>
        <v/>
      </c>
      <c r="F371" s="17" t="str">
        <f aca="false">IF($O371="","",INDEX('Auto Process'!$AH:$AH,$O371))</f>
        <v/>
      </c>
      <c r="G371" s="17" t="str">
        <f aca="false">IF($O371="","",INDEX('Auto Process'!$AI:$AI,$O371))</f>
        <v/>
      </c>
      <c r="H371" s="17" t="str">
        <f aca="false">IF($O371="","",INDEX('Auto Process'!$AJ:$AJ,$O371))</f>
        <v/>
      </c>
      <c r="I371" s="17" t="str">
        <f aca="false">IF($O371="","",INDEX('Auto Process'!$AK:$AK,$O371))</f>
        <v/>
      </c>
      <c r="J371" s="17" t="str">
        <f aca="false">IF($O371="","",INDEX('Auto Process'!$AL:$AL,$O371))</f>
        <v/>
      </c>
      <c r="K371" s="17" t="str">
        <f aca="false">IF($O371="","",INDEX('Auto Process'!$AM:$AM,$O371))</f>
        <v/>
      </c>
      <c r="L371" s="17" t="str">
        <f aca="false">IF($O371="","",INDEX('Auto Process'!$AN:$AN,$O371))</f>
        <v/>
      </c>
      <c r="M371" s="17" t="str">
        <f aca="false">IF($O371="","",INDEX('Auto Process'!$AO:$AO,$O371))</f>
        <v/>
      </c>
      <c r="O371" s="19" t="str">
        <f aca="false">IFERROR(_xlfn.AGGREGATE(15,6,ROW('Auto Process'!$D$4:$D$503)/('Auto Process'!$D$4:$D$503="Panel Details"),ROW()-1),"")</f>
        <v/>
      </c>
    </row>
    <row r="372" customFormat="false" ht="13.5" hidden="false" customHeight="true" outlineLevel="0" collapsed="false">
      <c r="A372" s="27" t="str">
        <f aca="false">IF($O372="","",INDEX('Auto Process'!$AC:$AC,$O372))</f>
        <v/>
      </c>
      <c r="B372" s="17" t="str">
        <f aca="false">IF($O372="","",INDEX('Auto Process'!$AD:$AD,$O372))</f>
        <v/>
      </c>
      <c r="C372" s="17" t="str">
        <f aca="false">IF($O372="","",INDEX('Auto Process'!$AE:$AE,$O372))</f>
        <v/>
      </c>
      <c r="D372" s="17" t="str">
        <f aca="false">IF($O372="","",INDEX('Auto Process'!$AF:$AF,$O372))</f>
        <v/>
      </c>
      <c r="E372" s="17" t="str">
        <f aca="false">IF($O372="","",INDEX('Auto Process'!$AG:$AG,$O372))</f>
        <v/>
      </c>
      <c r="F372" s="17" t="str">
        <f aca="false">IF($O372="","",INDEX('Auto Process'!$AH:$AH,$O372))</f>
        <v/>
      </c>
      <c r="G372" s="17" t="str">
        <f aca="false">IF($O372="","",INDEX('Auto Process'!$AI:$AI,$O372))</f>
        <v/>
      </c>
      <c r="H372" s="17" t="str">
        <f aca="false">IF($O372="","",INDEX('Auto Process'!$AJ:$AJ,$O372))</f>
        <v/>
      </c>
      <c r="I372" s="17" t="str">
        <f aca="false">IF($O372="","",INDEX('Auto Process'!$AK:$AK,$O372))</f>
        <v/>
      </c>
      <c r="J372" s="17" t="str">
        <f aca="false">IF($O372="","",INDEX('Auto Process'!$AL:$AL,$O372))</f>
        <v/>
      </c>
      <c r="K372" s="17" t="str">
        <f aca="false">IF($O372="","",INDEX('Auto Process'!$AM:$AM,$O372))</f>
        <v/>
      </c>
      <c r="L372" s="17" t="str">
        <f aca="false">IF($O372="","",INDEX('Auto Process'!$AN:$AN,$O372))</f>
        <v/>
      </c>
      <c r="M372" s="17" t="str">
        <f aca="false">IF($O372="","",INDEX('Auto Process'!$AO:$AO,$O372))</f>
        <v/>
      </c>
      <c r="O372" s="19" t="str">
        <f aca="false">IFERROR(_xlfn.AGGREGATE(15,6,ROW('Auto Process'!$D$4:$D$503)/('Auto Process'!$D$4:$D$503="Panel Details"),ROW()-1),"")</f>
        <v/>
      </c>
    </row>
    <row r="373" customFormat="false" ht="13.5" hidden="false" customHeight="true" outlineLevel="0" collapsed="false">
      <c r="A373" s="27" t="str">
        <f aca="false">IF($O373="","",INDEX('Auto Process'!$AC:$AC,$O373))</f>
        <v/>
      </c>
      <c r="B373" s="17" t="str">
        <f aca="false">IF($O373="","",INDEX('Auto Process'!$AD:$AD,$O373))</f>
        <v/>
      </c>
      <c r="C373" s="17" t="str">
        <f aca="false">IF($O373="","",INDEX('Auto Process'!$AE:$AE,$O373))</f>
        <v/>
      </c>
      <c r="D373" s="17" t="str">
        <f aca="false">IF($O373="","",INDEX('Auto Process'!$AF:$AF,$O373))</f>
        <v/>
      </c>
      <c r="E373" s="17" t="str">
        <f aca="false">IF($O373="","",INDEX('Auto Process'!$AG:$AG,$O373))</f>
        <v/>
      </c>
      <c r="F373" s="17" t="str">
        <f aca="false">IF($O373="","",INDEX('Auto Process'!$AH:$AH,$O373))</f>
        <v/>
      </c>
      <c r="G373" s="17" t="str">
        <f aca="false">IF($O373="","",INDEX('Auto Process'!$AI:$AI,$O373))</f>
        <v/>
      </c>
      <c r="H373" s="17" t="str">
        <f aca="false">IF($O373="","",INDEX('Auto Process'!$AJ:$AJ,$O373))</f>
        <v/>
      </c>
      <c r="I373" s="17" t="str">
        <f aca="false">IF($O373="","",INDEX('Auto Process'!$AK:$AK,$O373))</f>
        <v/>
      </c>
      <c r="J373" s="17" t="str">
        <f aca="false">IF($O373="","",INDEX('Auto Process'!$AL:$AL,$O373))</f>
        <v/>
      </c>
      <c r="K373" s="17" t="str">
        <f aca="false">IF($O373="","",INDEX('Auto Process'!$AM:$AM,$O373))</f>
        <v/>
      </c>
      <c r="L373" s="17" t="str">
        <f aca="false">IF($O373="","",INDEX('Auto Process'!$AN:$AN,$O373))</f>
        <v/>
      </c>
      <c r="M373" s="17" t="str">
        <f aca="false">IF($O373="","",INDEX('Auto Process'!$AO:$AO,$O373))</f>
        <v/>
      </c>
      <c r="O373" s="19" t="str">
        <f aca="false">IFERROR(_xlfn.AGGREGATE(15,6,ROW('Auto Process'!$D$4:$D$503)/('Auto Process'!$D$4:$D$503="Panel Details"),ROW()-1),"")</f>
        <v/>
      </c>
    </row>
    <row r="374" customFormat="false" ht="13.5" hidden="false" customHeight="true" outlineLevel="0" collapsed="false">
      <c r="A374" s="27" t="str">
        <f aca="false">IF($O374="","",INDEX('Auto Process'!$AC:$AC,$O374))</f>
        <v/>
      </c>
      <c r="B374" s="17" t="str">
        <f aca="false">IF($O374="","",INDEX('Auto Process'!$AD:$AD,$O374))</f>
        <v/>
      </c>
      <c r="C374" s="17" t="str">
        <f aca="false">IF($O374="","",INDEX('Auto Process'!$AE:$AE,$O374))</f>
        <v/>
      </c>
      <c r="D374" s="17" t="str">
        <f aca="false">IF($O374="","",INDEX('Auto Process'!$AF:$AF,$O374))</f>
        <v/>
      </c>
      <c r="E374" s="17" t="str">
        <f aca="false">IF($O374="","",INDEX('Auto Process'!$AG:$AG,$O374))</f>
        <v/>
      </c>
      <c r="F374" s="17" t="str">
        <f aca="false">IF($O374="","",INDEX('Auto Process'!$AH:$AH,$O374))</f>
        <v/>
      </c>
      <c r="G374" s="17" t="str">
        <f aca="false">IF($O374="","",INDEX('Auto Process'!$AI:$AI,$O374))</f>
        <v/>
      </c>
      <c r="H374" s="17" t="str">
        <f aca="false">IF($O374="","",INDEX('Auto Process'!$AJ:$AJ,$O374))</f>
        <v/>
      </c>
      <c r="I374" s="17" t="str">
        <f aca="false">IF($O374="","",INDEX('Auto Process'!$AK:$AK,$O374))</f>
        <v/>
      </c>
      <c r="J374" s="17" t="str">
        <f aca="false">IF($O374="","",INDEX('Auto Process'!$AL:$AL,$O374))</f>
        <v/>
      </c>
      <c r="K374" s="17" t="str">
        <f aca="false">IF($O374="","",INDEX('Auto Process'!$AM:$AM,$O374))</f>
        <v/>
      </c>
      <c r="L374" s="17" t="str">
        <f aca="false">IF($O374="","",INDEX('Auto Process'!$AN:$AN,$O374))</f>
        <v/>
      </c>
      <c r="M374" s="17" t="str">
        <f aca="false">IF($O374="","",INDEX('Auto Process'!$AO:$AO,$O374))</f>
        <v/>
      </c>
      <c r="O374" s="19" t="str">
        <f aca="false">IFERROR(_xlfn.AGGREGATE(15,6,ROW('Auto Process'!$D$4:$D$503)/('Auto Process'!$D$4:$D$503="Panel Details"),ROW()-1),"")</f>
        <v/>
      </c>
    </row>
    <row r="375" customFormat="false" ht="13.5" hidden="false" customHeight="true" outlineLevel="0" collapsed="false">
      <c r="A375" s="27" t="str">
        <f aca="false">IF($O375="","",INDEX('Auto Process'!$AC:$AC,$O375))</f>
        <v/>
      </c>
      <c r="B375" s="17" t="str">
        <f aca="false">IF($O375="","",INDEX('Auto Process'!$AD:$AD,$O375))</f>
        <v/>
      </c>
      <c r="C375" s="17" t="str">
        <f aca="false">IF($O375="","",INDEX('Auto Process'!$AE:$AE,$O375))</f>
        <v/>
      </c>
      <c r="D375" s="17" t="str">
        <f aca="false">IF($O375="","",INDEX('Auto Process'!$AF:$AF,$O375))</f>
        <v/>
      </c>
      <c r="E375" s="17" t="str">
        <f aca="false">IF($O375="","",INDEX('Auto Process'!$AG:$AG,$O375))</f>
        <v/>
      </c>
      <c r="F375" s="17" t="str">
        <f aca="false">IF($O375="","",INDEX('Auto Process'!$AH:$AH,$O375))</f>
        <v/>
      </c>
      <c r="G375" s="17" t="str">
        <f aca="false">IF($O375="","",INDEX('Auto Process'!$AI:$AI,$O375))</f>
        <v/>
      </c>
      <c r="H375" s="17" t="str">
        <f aca="false">IF($O375="","",INDEX('Auto Process'!$AJ:$AJ,$O375))</f>
        <v/>
      </c>
      <c r="I375" s="17" t="str">
        <f aca="false">IF($O375="","",INDEX('Auto Process'!$AK:$AK,$O375))</f>
        <v/>
      </c>
      <c r="J375" s="17" t="str">
        <f aca="false">IF($O375="","",INDEX('Auto Process'!$AL:$AL,$O375))</f>
        <v/>
      </c>
      <c r="K375" s="17" t="str">
        <f aca="false">IF($O375="","",INDEX('Auto Process'!$AM:$AM,$O375))</f>
        <v/>
      </c>
      <c r="L375" s="17" t="str">
        <f aca="false">IF($O375="","",INDEX('Auto Process'!$AN:$AN,$O375))</f>
        <v/>
      </c>
      <c r="M375" s="17" t="str">
        <f aca="false">IF($O375="","",INDEX('Auto Process'!$AO:$AO,$O375))</f>
        <v/>
      </c>
      <c r="O375" s="19" t="str">
        <f aca="false">IFERROR(_xlfn.AGGREGATE(15,6,ROW('Auto Process'!$D$4:$D$503)/('Auto Process'!$D$4:$D$503="Panel Details"),ROW()-1),"")</f>
        <v/>
      </c>
    </row>
    <row r="376" customFormat="false" ht="13.5" hidden="false" customHeight="true" outlineLevel="0" collapsed="false">
      <c r="A376" s="27" t="str">
        <f aca="false">IF($O376="","",INDEX('Auto Process'!$AC:$AC,$O376))</f>
        <v/>
      </c>
      <c r="B376" s="17" t="str">
        <f aca="false">IF($O376="","",INDEX('Auto Process'!$AD:$AD,$O376))</f>
        <v/>
      </c>
      <c r="C376" s="17" t="str">
        <f aca="false">IF($O376="","",INDEX('Auto Process'!$AE:$AE,$O376))</f>
        <v/>
      </c>
      <c r="D376" s="17" t="str">
        <f aca="false">IF($O376="","",INDEX('Auto Process'!$AF:$AF,$O376))</f>
        <v/>
      </c>
      <c r="E376" s="17" t="str">
        <f aca="false">IF($O376="","",INDEX('Auto Process'!$AG:$AG,$O376))</f>
        <v/>
      </c>
      <c r="F376" s="17" t="str">
        <f aca="false">IF($O376="","",INDEX('Auto Process'!$AH:$AH,$O376))</f>
        <v/>
      </c>
      <c r="G376" s="17" t="str">
        <f aca="false">IF($O376="","",INDEX('Auto Process'!$AI:$AI,$O376))</f>
        <v/>
      </c>
      <c r="H376" s="17" t="str">
        <f aca="false">IF($O376="","",INDEX('Auto Process'!$AJ:$AJ,$O376))</f>
        <v/>
      </c>
      <c r="I376" s="17" t="str">
        <f aca="false">IF($O376="","",INDEX('Auto Process'!$AK:$AK,$O376))</f>
        <v/>
      </c>
      <c r="J376" s="17" t="str">
        <f aca="false">IF($O376="","",INDEX('Auto Process'!$AL:$AL,$O376))</f>
        <v/>
      </c>
      <c r="K376" s="17" t="str">
        <f aca="false">IF($O376="","",INDEX('Auto Process'!$AM:$AM,$O376))</f>
        <v/>
      </c>
      <c r="L376" s="17" t="str">
        <f aca="false">IF($O376="","",INDEX('Auto Process'!$AN:$AN,$O376))</f>
        <v/>
      </c>
      <c r="M376" s="17" t="str">
        <f aca="false">IF($O376="","",INDEX('Auto Process'!$AO:$AO,$O376))</f>
        <v/>
      </c>
      <c r="O376" s="19" t="str">
        <f aca="false">IFERROR(_xlfn.AGGREGATE(15,6,ROW('Auto Process'!$D$4:$D$503)/('Auto Process'!$D$4:$D$503="Panel Details"),ROW()-1),"")</f>
        <v/>
      </c>
    </row>
    <row r="377" customFormat="false" ht="13.5" hidden="false" customHeight="true" outlineLevel="0" collapsed="false">
      <c r="A377" s="27" t="str">
        <f aca="false">IF($O377="","",INDEX('Auto Process'!$AC:$AC,$O377))</f>
        <v/>
      </c>
      <c r="B377" s="17" t="str">
        <f aca="false">IF($O377="","",INDEX('Auto Process'!$AD:$AD,$O377))</f>
        <v/>
      </c>
      <c r="C377" s="17" t="str">
        <f aca="false">IF($O377="","",INDEX('Auto Process'!$AE:$AE,$O377))</f>
        <v/>
      </c>
      <c r="D377" s="17" t="str">
        <f aca="false">IF($O377="","",INDEX('Auto Process'!$AF:$AF,$O377))</f>
        <v/>
      </c>
      <c r="E377" s="17" t="str">
        <f aca="false">IF($O377="","",INDEX('Auto Process'!$AG:$AG,$O377))</f>
        <v/>
      </c>
      <c r="F377" s="17" t="str">
        <f aca="false">IF($O377="","",INDEX('Auto Process'!$AH:$AH,$O377))</f>
        <v/>
      </c>
      <c r="G377" s="17" t="str">
        <f aca="false">IF($O377="","",INDEX('Auto Process'!$AI:$AI,$O377))</f>
        <v/>
      </c>
      <c r="H377" s="17" t="str">
        <f aca="false">IF($O377="","",INDEX('Auto Process'!$AJ:$AJ,$O377))</f>
        <v/>
      </c>
      <c r="I377" s="17" t="str">
        <f aca="false">IF($O377="","",INDEX('Auto Process'!$AK:$AK,$O377))</f>
        <v/>
      </c>
      <c r="J377" s="17" t="str">
        <f aca="false">IF($O377="","",INDEX('Auto Process'!$AL:$AL,$O377))</f>
        <v/>
      </c>
      <c r="K377" s="17" t="str">
        <f aca="false">IF($O377="","",INDEX('Auto Process'!$AM:$AM,$O377))</f>
        <v/>
      </c>
      <c r="L377" s="17" t="str">
        <f aca="false">IF($O377="","",INDEX('Auto Process'!$AN:$AN,$O377))</f>
        <v/>
      </c>
      <c r="M377" s="17" t="str">
        <f aca="false">IF($O377="","",INDEX('Auto Process'!$AO:$AO,$O377))</f>
        <v/>
      </c>
      <c r="O377" s="19" t="str">
        <f aca="false">IFERROR(_xlfn.AGGREGATE(15,6,ROW('Auto Process'!$D$4:$D$503)/('Auto Process'!$D$4:$D$503="Panel Details"),ROW()-1),"")</f>
        <v/>
      </c>
    </row>
    <row r="378" customFormat="false" ht="13.5" hidden="false" customHeight="true" outlineLevel="0" collapsed="false">
      <c r="A378" s="27" t="str">
        <f aca="false">IF($O378="","",INDEX('Auto Process'!$AC:$AC,$O378))</f>
        <v/>
      </c>
      <c r="B378" s="17" t="str">
        <f aca="false">IF($O378="","",INDEX('Auto Process'!$AD:$AD,$O378))</f>
        <v/>
      </c>
      <c r="C378" s="17" t="str">
        <f aca="false">IF($O378="","",INDEX('Auto Process'!$AE:$AE,$O378))</f>
        <v/>
      </c>
      <c r="D378" s="17" t="str">
        <f aca="false">IF($O378="","",INDEX('Auto Process'!$AF:$AF,$O378))</f>
        <v/>
      </c>
      <c r="E378" s="17" t="str">
        <f aca="false">IF($O378="","",INDEX('Auto Process'!$AG:$AG,$O378))</f>
        <v/>
      </c>
      <c r="F378" s="17" t="str">
        <f aca="false">IF($O378="","",INDEX('Auto Process'!$AH:$AH,$O378))</f>
        <v/>
      </c>
      <c r="G378" s="17" t="str">
        <f aca="false">IF($O378="","",INDEX('Auto Process'!$AI:$AI,$O378))</f>
        <v/>
      </c>
      <c r="H378" s="17" t="str">
        <f aca="false">IF($O378="","",INDEX('Auto Process'!$AJ:$AJ,$O378))</f>
        <v/>
      </c>
      <c r="I378" s="17" t="str">
        <f aca="false">IF($O378="","",INDEX('Auto Process'!$AK:$AK,$O378))</f>
        <v/>
      </c>
      <c r="J378" s="17" t="str">
        <f aca="false">IF($O378="","",INDEX('Auto Process'!$AL:$AL,$O378))</f>
        <v/>
      </c>
      <c r="K378" s="17" t="str">
        <f aca="false">IF($O378="","",INDEX('Auto Process'!$AM:$AM,$O378))</f>
        <v/>
      </c>
      <c r="L378" s="17" t="str">
        <f aca="false">IF($O378="","",INDEX('Auto Process'!$AN:$AN,$O378))</f>
        <v/>
      </c>
      <c r="M378" s="17" t="str">
        <f aca="false">IF($O378="","",INDEX('Auto Process'!$AO:$AO,$O378))</f>
        <v/>
      </c>
      <c r="O378" s="19" t="str">
        <f aca="false">IFERROR(_xlfn.AGGREGATE(15,6,ROW('Auto Process'!$D$4:$D$503)/('Auto Process'!$D$4:$D$503="Panel Details"),ROW()-1),"")</f>
        <v/>
      </c>
    </row>
    <row r="379" customFormat="false" ht="13.5" hidden="false" customHeight="true" outlineLevel="0" collapsed="false">
      <c r="A379" s="27" t="str">
        <f aca="false">IF($O379="","",INDEX('Auto Process'!$AC:$AC,$O379))</f>
        <v/>
      </c>
      <c r="B379" s="17" t="str">
        <f aca="false">IF($O379="","",INDEX('Auto Process'!$AD:$AD,$O379))</f>
        <v/>
      </c>
      <c r="C379" s="17" t="str">
        <f aca="false">IF($O379="","",INDEX('Auto Process'!$AE:$AE,$O379))</f>
        <v/>
      </c>
      <c r="D379" s="17" t="str">
        <f aca="false">IF($O379="","",INDEX('Auto Process'!$AF:$AF,$O379))</f>
        <v/>
      </c>
      <c r="E379" s="17" t="str">
        <f aca="false">IF($O379="","",INDEX('Auto Process'!$AG:$AG,$O379))</f>
        <v/>
      </c>
      <c r="F379" s="17" t="str">
        <f aca="false">IF($O379="","",INDEX('Auto Process'!$AH:$AH,$O379))</f>
        <v/>
      </c>
      <c r="G379" s="17" t="str">
        <f aca="false">IF($O379="","",INDEX('Auto Process'!$AI:$AI,$O379))</f>
        <v/>
      </c>
      <c r="H379" s="17" t="str">
        <f aca="false">IF($O379="","",INDEX('Auto Process'!$AJ:$AJ,$O379))</f>
        <v/>
      </c>
      <c r="I379" s="17" t="str">
        <f aca="false">IF($O379="","",INDEX('Auto Process'!$AK:$AK,$O379))</f>
        <v/>
      </c>
      <c r="J379" s="17" t="str">
        <f aca="false">IF($O379="","",INDEX('Auto Process'!$AL:$AL,$O379))</f>
        <v/>
      </c>
      <c r="K379" s="17" t="str">
        <f aca="false">IF($O379="","",INDEX('Auto Process'!$AM:$AM,$O379))</f>
        <v/>
      </c>
      <c r="L379" s="17" t="str">
        <f aca="false">IF($O379="","",INDEX('Auto Process'!$AN:$AN,$O379))</f>
        <v/>
      </c>
      <c r="M379" s="17" t="str">
        <f aca="false">IF($O379="","",INDEX('Auto Process'!$AO:$AO,$O379))</f>
        <v/>
      </c>
      <c r="O379" s="19" t="str">
        <f aca="false">IFERROR(_xlfn.AGGREGATE(15,6,ROW('Auto Process'!$D$4:$D$503)/('Auto Process'!$D$4:$D$503="Panel Details"),ROW()-1),"")</f>
        <v/>
      </c>
    </row>
    <row r="380" customFormat="false" ht="13.5" hidden="false" customHeight="true" outlineLevel="0" collapsed="false">
      <c r="A380" s="27" t="str">
        <f aca="false">IF($O380="","",INDEX('Auto Process'!$AC:$AC,$O380))</f>
        <v/>
      </c>
      <c r="B380" s="17" t="str">
        <f aca="false">IF($O380="","",INDEX('Auto Process'!$AD:$AD,$O380))</f>
        <v/>
      </c>
      <c r="C380" s="17" t="str">
        <f aca="false">IF($O380="","",INDEX('Auto Process'!$AE:$AE,$O380))</f>
        <v/>
      </c>
      <c r="D380" s="17" t="str">
        <f aca="false">IF($O380="","",INDEX('Auto Process'!$AF:$AF,$O380))</f>
        <v/>
      </c>
      <c r="E380" s="17" t="str">
        <f aca="false">IF($O380="","",INDEX('Auto Process'!$AG:$AG,$O380))</f>
        <v/>
      </c>
      <c r="F380" s="17" t="str">
        <f aca="false">IF($O380="","",INDEX('Auto Process'!$AH:$AH,$O380))</f>
        <v/>
      </c>
      <c r="G380" s="17" t="str">
        <f aca="false">IF($O380="","",INDEX('Auto Process'!$AI:$AI,$O380))</f>
        <v/>
      </c>
      <c r="H380" s="17" t="str">
        <f aca="false">IF($O380="","",INDEX('Auto Process'!$AJ:$AJ,$O380))</f>
        <v/>
      </c>
      <c r="I380" s="17" t="str">
        <f aca="false">IF($O380="","",INDEX('Auto Process'!$AK:$AK,$O380))</f>
        <v/>
      </c>
      <c r="J380" s="17" t="str">
        <f aca="false">IF($O380="","",INDEX('Auto Process'!$AL:$AL,$O380))</f>
        <v/>
      </c>
      <c r="K380" s="17" t="str">
        <f aca="false">IF($O380="","",INDEX('Auto Process'!$AM:$AM,$O380))</f>
        <v/>
      </c>
      <c r="L380" s="17" t="str">
        <f aca="false">IF($O380="","",INDEX('Auto Process'!$AN:$AN,$O380))</f>
        <v/>
      </c>
      <c r="M380" s="17" t="str">
        <f aca="false">IF($O380="","",INDEX('Auto Process'!$AO:$AO,$O380))</f>
        <v/>
      </c>
      <c r="O380" s="19" t="str">
        <f aca="false">IFERROR(_xlfn.AGGREGATE(15,6,ROW('Auto Process'!$D$4:$D$503)/('Auto Process'!$D$4:$D$503="Panel Details"),ROW()-1),"")</f>
        <v/>
      </c>
    </row>
    <row r="381" customFormat="false" ht="13.5" hidden="false" customHeight="true" outlineLevel="0" collapsed="false">
      <c r="A381" s="27" t="str">
        <f aca="false">IF($O381="","",INDEX('Auto Process'!$AC:$AC,$O381))</f>
        <v/>
      </c>
      <c r="B381" s="17" t="str">
        <f aca="false">IF($O381="","",INDEX('Auto Process'!$AD:$AD,$O381))</f>
        <v/>
      </c>
      <c r="C381" s="17" t="str">
        <f aca="false">IF($O381="","",INDEX('Auto Process'!$AE:$AE,$O381))</f>
        <v/>
      </c>
      <c r="D381" s="17" t="str">
        <f aca="false">IF($O381="","",INDEX('Auto Process'!$AF:$AF,$O381))</f>
        <v/>
      </c>
      <c r="E381" s="17" t="str">
        <f aca="false">IF($O381="","",INDEX('Auto Process'!$AG:$AG,$O381))</f>
        <v/>
      </c>
      <c r="F381" s="17" t="str">
        <f aca="false">IF($O381="","",INDEX('Auto Process'!$AH:$AH,$O381))</f>
        <v/>
      </c>
      <c r="G381" s="17" t="str">
        <f aca="false">IF($O381="","",INDEX('Auto Process'!$AI:$AI,$O381))</f>
        <v/>
      </c>
      <c r="H381" s="17" t="str">
        <f aca="false">IF($O381="","",INDEX('Auto Process'!$AJ:$AJ,$O381))</f>
        <v/>
      </c>
      <c r="I381" s="17" t="str">
        <f aca="false">IF($O381="","",INDEX('Auto Process'!$AK:$AK,$O381))</f>
        <v/>
      </c>
      <c r="J381" s="17" t="str">
        <f aca="false">IF($O381="","",INDEX('Auto Process'!$AL:$AL,$O381))</f>
        <v/>
      </c>
      <c r="K381" s="17" t="str">
        <f aca="false">IF($O381="","",INDEX('Auto Process'!$AM:$AM,$O381))</f>
        <v/>
      </c>
      <c r="L381" s="17" t="str">
        <f aca="false">IF($O381="","",INDEX('Auto Process'!$AN:$AN,$O381))</f>
        <v/>
      </c>
      <c r="M381" s="17" t="str">
        <f aca="false">IF($O381="","",INDEX('Auto Process'!$AO:$AO,$O381))</f>
        <v/>
      </c>
      <c r="O381" s="19" t="str">
        <f aca="false">IFERROR(_xlfn.AGGREGATE(15,6,ROW('Auto Process'!$D$4:$D$503)/('Auto Process'!$D$4:$D$503="Panel Details"),ROW()-1),"")</f>
        <v/>
      </c>
    </row>
    <row r="382" customFormat="false" ht="13.5" hidden="false" customHeight="true" outlineLevel="0" collapsed="false">
      <c r="A382" s="27" t="str">
        <f aca="false">IF($O382="","",INDEX('Auto Process'!$AC:$AC,$O382))</f>
        <v/>
      </c>
      <c r="B382" s="17" t="str">
        <f aca="false">IF($O382="","",INDEX('Auto Process'!$AD:$AD,$O382))</f>
        <v/>
      </c>
      <c r="C382" s="17" t="str">
        <f aca="false">IF($O382="","",INDEX('Auto Process'!$AE:$AE,$O382))</f>
        <v/>
      </c>
      <c r="D382" s="17" t="str">
        <f aca="false">IF($O382="","",INDEX('Auto Process'!$AF:$AF,$O382))</f>
        <v/>
      </c>
      <c r="E382" s="17" t="str">
        <f aca="false">IF($O382="","",INDEX('Auto Process'!$AG:$AG,$O382))</f>
        <v/>
      </c>
      <c r="F382" s="17" t="str">
        <f aca="false">IF($O382="","",INDEX('Auto Process'!$AH:$AH,$O382))</f>
        <v/>
      </c>
      <c r="G382" s="17" t="str">
        <f aca="false">IF($O382="","",INDEX('Auto Process'!$AI:$AI,$O382))</f>
        <v/>
      </c>
      <c r="H382" s="17" t="str">
        <f aca="false">IF($O382="","",INDEX('Auto Process'!$AJ:$AJ,$O382))</f>
        <v/>
      </c>
      <c r="I382" s="17" t="str">
        <f aca="false">IF($O382="","",INDEX('Auto Process'!$AK:$AK,$O382))</f>
        <v/>
      </c>
      <c r="J382" s="17" t="str">
        <f aca="false">IF($O382="","",INDEX('Auto Process'!$AL:$AL,$O382))</f>
        <v/>
      </c>
      <c r="K382" s="17" t="str">
        <f aca="false">IF($O382="","",INDEX('Auto Process'!$AM:$AM,$O382))</f>
        <v/>
      </c>
      <c r="L382" s="17" t="str">
        <f aca="false">IF($O382="","",INDEX('Auto Process'!$AN:$AN,$O382))</f>
        <v/>
      </c>
      <c r="M382" s="17" t="str">
        <f aca="false">IF($O382="","",INDEX('Auto Process'!$AO:$AO,$O382))</f>
        <v/>
      </c>
      <c r="O382" s="19" t="str">
        <f aca="false">IFERROR(_xlfn.AGGREGATE(15,6,ROW('Auto Process'!$D$4:$D$503)/('Auto Process'!$D$4:$D$503="Panel Details"),ROW()-1),"")</f>
        <v/>
      </c>
    </row>
    <row r="383" customFormat="false" ht="13.5" hidden="false" customHeight="true" outlineLevel="0" collapsed="false">
      <c r="A383" s="27" t="str">
        <f aca="false">IF($O383="","",INDEX('Auto Process'!$AC:$AC,$O383))</f>
        <v/>
      </c>
      <c r="B383" s="17" t="str">
        <f aca="false">IF($O383="","",INDEX('Auto Process'!$AD:$AD,$O383))</f>
        <v/>
      </c>
      <c r="C383" s="17" t="str">
        <f aca="false">IF($O383="","",INDEX('Auto Process'!$AE:$AE,$O383))</f>
        <v/>
      </c>
      <c r="D383" s="17" t="str">
        <f aca="false">IF($O383="","",INDEX('Auto Process'!$AF:$AF,$O383))</f>
        <v/>
      </c>
      <c r="E383" s="17" t="str">
        <f aca="false">IF($O383="","",INDEX('Auto Process'!$AG:$AG,$O383))</f>
        <v/>
      </c>
      <c r="F383" s="17" t="str">
        <f aca="false">IF($O383="","",INDEX('Auto Process'!$AH:$AH,$O383))</f>
        <v/>
      </c>
      <c r="G383" s="17" t="str">
        <f aca="false">IF($O383="","",INDEX('Auto Process'!$AI:$AI,$O383))</f>
        <v/>
      </c>
      <c r="H383" s="17" t="str">
        <f aca="false">IF($O383="","",INDEX('Auto Process'!$AJ:$AJ,$O383))</f>
        <v/>
      </c>
      <c r="I383" s="17" t="str">
        <f aca="false">IF($O383="","",INDEX('Auto Process'!$AK:$AK,$O383))</f>
        <v/>
      </c>
      <c r="J383" s="17" t="str">
        <f aca="false">IF($O383="","",INDEX('Auto Process'!$AL:$AL,$O383))</f>
        <v/>
      </c>
      <c r="K383" s="17" t="str">
        <f aca="false">IF($O383="","",INDEX('Auto Process'!$AM:$AM,$O383))</f>
        <v/>
      </c>
      <c r="L383" s="17" t="str">
        <f aca="false">IF($O383="","",INDEX('Auto Process'!$AN:$AN,$O383))</f>
        <v/>
      </c>
      <c r="M383" s="17" t="str">
        <f aca="false">IF($O383="","",INDEX('Auto Process'!$AO:$AO,$O383))</f>
        <v/>
      </c>
      <c r="O383" s="19" t="str">
        <f aca="false">IFERROR(_xlfn.AGGREGATE(15,6,ROW('Auto Process'!$D$4:$D$503)/('Auto Process'!$D$4:$D$503="Panel Details"),ROW()-1),"")</f>
        <v/>
      </c>
    </row>
    <row r="384" customFormat="false" ht="13.5" hidden="false" customHeight="true" outlineLevel="0" collapsed="false">
      <c r="A384" s="27" t="str">
        <f aca="false">IF($O384="","",INDEX('Auto Process'!$AC:$AC,$O384))</f>
        <v/>
      </c>
      <c r="B384" s="17" t="str">
        <f aca="false">IF($O384="","",INDEX('Auto Process'!$AD:$AD,$O384))</f>
        <v/>
      </c>
      <c r="C384" s="17" t="str">
        <f aca="false">IF($O384="","",INDEX('Auto Process'!$AE:$AE,$O384))</f>
        <v/>
      </c>
      <c r="D384" s="17" t="str">
        <f aca="false">IF($O384="","",INDEX('Auto Process'!$AF:$AF,$O384))</f>
        <v/>
      </c>
      <c r="E384" s="17" t="str">
        <f aca="false">IF($O384="","",INDEX('Auto Process'!$AG:$AG,$O384))</f>
        <v/>
      </c>
      <c r="F384" s="17" t="str">
        <f aca="false">IF($O384="","",INDEX('Auto Process'!$AH:$AH,$O384))</f>
        <v/>
      </c>
      <c r="G384" s="17" t="str">
        <f aca="false">IF($O384="","",INDEX('Auto Process'!$AI:$AI,$O384))</f>
        <v/>
      </c>
      <c r="H384" s="17" t="str">
        <f aca="false">IF($O384="","",INDEX('Auto Process'!$AJ:$AJ,$O384))</f>
        <v/>
      </c>
      <c r="I384" s="17" t="str">
        <f aca="false">IF($O384="","",INDEX('Auto Process'!$AK:$AK,$O384))</f>
        <v/>
      </c>
      <c r="J384" s="17" t="str">
        <f aca="false">IF($O384="","",INDEX('Auto Process'!$AL:$AL,$O384))</f>
        <v/>
      </c>
      <c r="K384" s="17" t="str">
        <f aca="false">IF($O384="","",INDEX('Auto Process'!$AM:$AM,$O384))</f>
        <v/>
      </c>
      <c r="L384" s="17" t="str">
        <f aca="false">IF($O384="","",INDEX('Auto Process'!$AN:$AN,$O384))</f>
        <v/>
      </c>
      <c r="M384" s="17" t="str">
        <f aca="false">IF($O384="","",INDEX('Auto Process'!$AO:$AO,$O384))</f>
        <v/>
      </c>
      <c r="O384" s="19" t="str">
        <f aca="false">IFERROR(_xlfn.AGGREGATE(15,6,ROW('Auto Process'!$D$4:$D$503)/('Auto Process'!$D$4:$D$503="Panel Details"),ROW()-1),"")</f>
        <v/>
      </c>
    </row>
    <row r="385" customFormat="false" ht="13.5" hidden="false" customHeight="true" outlineLevel="0" collapsed="false">
      <c r="A385" s="27" t="str">
        <f aca="false">IF($O385="","",INDEX('Auto Process'!$AC:$AC,$O385))</f>
        <v/>
      </c>
      <c r="B385" s="17" t="str">
        <f aca="false">IF($O385="","",INDEX('Auto Process'!$AD:$AD,$O385))</f>
        <v/>
      </c>
      <c r="C385" s="17" t="str">
        <f aca="false">IF($O385="","",INDEX('Auto Process'!$AE:$AE,$O385))</f>
        <v/>
      </c>
      <c r="D385" s="17" t="str">
        <f aca="false">IF($O385="","",INDEX('Auto Process'!$AF:$AF,$O385))</f>
        <v/>
      </c>
      <c r="E385" s="17" t="str">
        <f aca="false">IF($O385="","",INDEX('Auto Process'!$AG:$AG,$O385))</f>
        <v/>
      </c>
      <c r="F385" s="17" t="str">
        <f aca="false">IF($O385="","",INDEX('Auto Process'!$AH:$AH,$O385))</f>
        <v/>
      </c>
      <c r="G385" s="17" t="str">
        <f aca="false">IF($O385="","",INDEX('Auto Process'!$AI:$AI,$O385))</f>
        <v/>
      </c>
      <c r="H385" s="17" t="str">
        <f aca="false">IF($O385="","",INDEX('Auto Process'!$AJ:$AJ,$O385))</f>
        <v/>
      </c>
      <c r="I385" s="17" t="str">
        <f aca="false">IF($O385="","",INDEX('Auto Process'!$AK:$AK,$O385))</f>
        <v/>
      </c>
      <c r="J385" s="17" t="str">
        <f aca="false">IF($O385="","",INDEX('Auto Process'!$AL:$AL,$O385))</f>
        <v/>
      </c>
      <c r="K385" s="17" t="str">
        <f aca="false">IF($O385="","",INDEX('Auto Process'!$AM:$AM,$O385))</f>
        <v/>
      </c>
      <c r="L385" s="17" t="str">
        <f aca="false">IF($O385="","",INDEX('Auto Process'!$AN:$AN,$O385))</f>
        <v/>
      </c>
      <c r="M385" s="17" t="str">
        <f aca="false">IF($O385="","",INDEX('Auto Process'!$AO:$AO,$O385))</f>
        <v/>
      </c>
      <c r="O385" s="19" t="str">
        <f aca="false">IFERROR(_xlfn.AGGREGATE(15,6,ROW('Auto Process'!$D$4:$D$503)/('Auto Process'!$D$4:$D$503="Panel Details"),ROW()-1),"")</f>
        <v/>
      </c>
    </row>
    <row r="386" customFormat="false" ht="13.5" hidden="false" customHeight="true" outlineLevel="0" collapsed="false">
      <c r="A386" s="27" t="str">
        <f aca="false">IF($O386="","",INDEX('Auto Process'!$AC:$AC,$O386))</f>
        <v/>
      </c>
      <c r="B386" s="17" t="str">
        <f aca="false">IF($O386="","",INDEX('Auto Process'!$AD:$AD,$O386))</f>
        <v/>
      </c>
      <c r="C386" s="17" t="str">
        <f aca="false">IF($O386="","",INDEX('Auto Process'!$AE:$AE,$O386))</f>
        <v/>
      </c>
      <c r="D386" s="17" t="str">
        <f aca="false">IF($O386="","",INDEX('Auto Process'!$AF:$AF,$O386))</f>
        <v/>
      </c>
      <c r="E386" s="17" t="str">
        <f aca="false">IF($O386="","",INDEX('Auto Process'!$AG:$AG,$O386))</f>
        <v/>
      </c>
      <c r="F386" s="17" t="str">
        <f aca="false">IF($O386="","",INDEX('Auto Process'!$AH:$AH,$O386))</f>
        <v/>
      </c>
      <c r="G386" s="17" t="str">
        <f aca="false">IF($O386="","",INDEX('Auto Process'!$AI:$AI,$O386))</f>
        <v/>
      </c>
      <c r="H386" s="17" t="str">
        <f aca="false">IF($O386="","",INDEX('Auto Process'!$AJ:$AJ,$O386))</f>
        <v/>
      </c>
      <c r="I386" s="17" t="str">
        <f aca="false">IF($O386="","",INDEX('Auto Process'!$AK:$AK,$O386))</f>
        <v/>
      </c>
      <c r="J386" s="17" t="str">
        <f aca="false">IF($O386="","",INDEX('Auto Process'!$AL:$AL,$O386))</f>
        <v/>
      </c>
      <c r="K386" s="17" t="str">
        <f aca="false">IF($O386="","",INDEX('Auto Process'!$AM:$AM,$O386))</f>
        <v/>
      </c>
      <c r="L386" s="17" t="str">
        <f aca="false">IF($O386="","",INDEX('Auto Process'!$AN:$AN,$O386))</f>
        <v/>
      </c>
      <c r="M386" s="17" t="str">
        <f aca="false">IF($O386="","",INDEX('Auto Process'!$AO:$AO,$O386))</f>
        <v/>
      </c>
      <c r="O386" s="19" t="str">
        <f aca="false">IFERROR(_xlfn.AGGREGATE(15,6,ROW('Auto Process'!$D$4:$D$503)/('Auto Process'!$D$4:$D$503="Panel Details"),ROW()-1),"")</f>
        <v/>
      </c>
    </row>
    <row r="387" customFormat="false" ht="13.5" hidden="false" customHeight="true" outlineLevel="0" collapsed="false">
      <c r="A387" s="27" t="str">
        <f aca="false">IF($O387="","",INDEX('Auto Process'!$AC:$AC,$O387))</f>
        <v/>
      </c>
      <c r="B387" s="17" t="str">
        <f aca="false">IF($O387="","",INDEX('Auto Process'!$AD:$AD,$O387))</f>
        <v/>
      </c>
      <c r="C387" s="17" t="str">
        <f aca="false">IF($O387="","",INDEX('Auto Process'!$AE:$AE,$O387))</f>
        <v/>
      </c>
      <c r="D387" s="17" t="str">
        <f aca="false">IF($O387="","",INDEX('Auto Process'!$AF:$AF,$O387))</f>
        <v/>
      </c>
      <c r="E387" s="17" t="str">
        <f aca="false">IF($O387="","",INDEX('Auto Process'!$AG:$AG,$O387))</f>
        <v/>
      </c>
      <c r="F387" s="17" t="str">
        <f aca="false">IF($O387="","",INDEX('Auto Process'!$AH:$AH,$O387))</f>
        <v/>
      </c>
      <c r="G387" s="17" t="str">
        <f aca="false">IF($O387="","",INDEX('Auto Process'!$AI:$AI,$O387))</f>
        <v/>
      </c>
      <c r="H387" s="17" t="str">
        <f aca="false">IF($O387="","",INDEX('Auto Process'!$AJ:$AJ,$O387))</f>
        <v/>
      </c>
      <c r="I387" s="17" t="str">
        <f aca="false">IF($O387="","",INDEX('Auto Process'!$AK:$AK,$O387))</f>
        <v/>
      </c>
      <c r="J387" s="17" t="str">
        <f aca="false">IF($O387="","",INDEX('Auto Process'!$AL:$AL,$O387))</f>
        <v/>
      </c>
      <c r="K387" s="17" t="str">
        <f aca="false">IF($O387="","",INDEX('Auto Process'!$AM:$AM,$O387))</f>
        <v/>
      </c>
      <c r="L387" s="17" t="str">
        <f aca="false">IF($O387="","",INDEX('Auto Process'!$AN:$AN,$O387))</f>
        <v/>
      </c>
      <c r="M387" s="17" t="str">
        <f aca="false">IF($O387="","",INDEX('Auto Process'!$AO:$AO,$O387))</f>
        <v/>
      </c>
      <c r="O387" s="19" t="str">
        <f aca="false">IFERROR(_xlfn.AGGREGATE(15,6,ROW('Auto Process'!$D$4:$D$503)/('Auto Process'!$D$4:$D$503="Panel Details"),ROW()-1),"")</f>
        <v/>
      </c>
    </row>
    <row r="388" customFormat="false" ht="13.5" hidden="false" customHeight="true" outlineLevel="0" collapsed="false">
      <c r="A388" s="27" t="str">
        <f aca="false">IF($O388="","",INDEX('Auto Process'!$AC:$AC,$O388))</f>
        <v/>
      </c>
      <c r="B388" s="17" t="str">
        <f aca="false">IF($O388="","",INDEX('Auto Process'!$AD:$AD,$O388))</f>
        <v/>
      </c>
      <c r="C388" s="17" t="str">
        <f aca="false">IF($O388="","",INDEX('Auto Process'!$AE:$AE,$O388))</f>
        <v/>
      </c>
      <c r="D388" s="17" t="str">
        <f aca="false">IF($O388="","",INDEX('Auto Process'!$AF:$AF,$O388))</f>
        <v/>
      </c>
      <c r="E388" s="17" t="str">
        <f aca="false">IF($O388="","",INDEX('Auto Process'!$AG:$AG,$O388))</f>
        <v/>
      </c>
      <c r="F388" s="17" t="str">
        <f aca="false">IF($O388="","",INDEX('Auto Process'!$AH:$AH,$O388))</f>
        <v/>
      </c>
      <c r="G388" s="17" t="str">
        <f aca="false">IF($O388="","",INDEX('Auto Process'!$AI:$AI,$O388))</f>
        <v/>
      </c>
      <c r="H388" s="17" t="str">
        <f aca="false">IF($O388="","",INDEX('Auto Process'!$AJ:$AJ,$O388))</f>
        <v/>
      </c>
      <c r="I388" s="17" t="str">
        <f aca="false">IF($O388="","",INDEX('Auto Process'!$AK:$AK,$O388))</f>
        <v/>
      </c>
      <c r="J388" s="17" t="str">
        <f aca="false">IF($O388="","",INDEX('Auto Process'!$AL:$AL,$O388))</f>
        <v/>
      </c>
      <c r="K388" s="17" t="str">
        <f aca="false">IF($O388="","",INDEX('Auto Process'!$AM:$AM,$O388))</f>
        <v/>
      </c>
      <c r="L388" s="17" t="str">
        <f aca="false">IF($O388="","",INDEX('Auto Process'!$AN:$AN,$O388))</f>
        <v/>
      </c>
      <c r="M388" s="17" t="str">
        <f aca="false">IF($O388="","",INDEX('Auto Process'!$AO:$AO,$O388))</f>
        <v/>
      </c>
      <c r="O388" s="19" t="str">
        <f aca="false">IFERROR(_xlfn.AGGREGATE(15,6,ROW('Auto Process'!$D$4:$D$503)/('Auto Process'!$D$4:$D$503="Panel Details"),ROW()-1),"")</f>
        <v/>
      </c>
    </row>
    <row r="389" customFormat="false" ht="13.5" hidden="false" customHeight="true" outlineLevel="0" collapsed="false">
      <c r="A389" s="27" t="str">
        <f aca="false">IF($O389="","",INDEX('Auto Process'!$AC:$AC,$O389))</f>
        <v/>
      </c>
      <c r="B389" s="17" t="str">
        <f aca="false">IF($O389="","",INDEX('Auto Process'!$AD:$AD,$O389))</f>
        <v/>
      </c>
      <c r="C389" s="17" t="str">
        <f aca="false">IF($O389="","",INDEX('Auto Process'!$AE:$AE,$O389))</f>
        <v/>
      </c>
      <c r="D389" s="17" t="str">
        <f aca="false">IF($O389="","",INDEX('Auto Process'!$AF:$AF,$O389))</f>
        <v/>
      </c>
      <c r="E389" s="17" t="str">
        <f aca="false">IF($O389="","",INDEX('Auto Process'!$AG:$AG,$O389))</f>
        <v/>
      </c>
      <c r="F389" s="17" t="str">
        <f aca="false">IF($O389="","",INDEX('Auto Process'!$AH:$AH,$O389))</f>
        <v/>
      </c>
      <c r="G389" s="17" t="str">
        <f aca="false">IF($O389="","",INDEX('Auto Process'!$AI:$AI,$O389))</f>
        <v/>
      </c>
      <c r="H389" s="17" t="str">
        <f aca="false">IF($O389="","",INDEX('Auto Process'!$AJ:$AJ,$O389))</f>
        <v/>
      </c>
      <c r="I389" s="17" t="str">
        <f aca="false">IF($O389="","",INDEX('Auto Process'!$AK:$AK,$O389))</f>
        <v/>
      </c>
      <c r="J389" s="17" t="str">
        <f aca="false">IF($O389="","",INDEX('Auto Process'!$AL:$AL,$O389))</f>
        <v/>
      </c>
      <c r="K389" s="17" t="str">
        <f aca="false">IF($O389="","",INDEX('Auto Process'!$AM:$AM,$O389))</f>
        <v/>
      </c>
      <c r="L389" s="17" t="str">
        <f aca="false">IF($O389="","",INDEX('Auto Process'!$AN:$AN,$O389))</f>
        <v/>
      </c>
      <c r="M389" s="17" t="str">
        <f aca="false">IF($O389="","",INDEX('Auto Process'!$AO:$AO,$O389))</f>
        <v/>
      </c>
      <c r="O389" s="19" t="str">
        <f aca="false">IFERROR(_xlfn.AGGREGATE(15,6,ROW('Auto Process'!$D$4:$D$503)/('Auto Process'!$D$4:$D$503="Panel Details"),ROW()-1),"")</f>
        <v/>
      </c>
    </row>
    <row r="390" customFormat="false" ht="13.5" hidden="false" customHeight="true" outlineLevel="0" collapsed="false">
      <c r="A390" s="27" t="str">
        <f aca="false">IF($O390="","",INDEX('Auto Process'!$AC:$AC,$O390))</f>
        <v/>
      </c>
      <c r="B390" s="17" t="str">
        <f aca="false">IF($O390="","",INDEX('Auto Process'!$AD:$AD,$O390))</f>
        <v/>
      </c>
      <c r="C390" s="17" t="str">
        <f aca="false">IF($O390="","",INDEX('Auto Process'!$AE:$AE,$O390))</f>
        <v/>
      </c>
      <c r="D390" s="17" t="str">
        <f aca="false">IF($O390="","",INDEX('Auto Process'!$AF:$AF,$O390))</f>
        <v/>
      </c>
      <c r="E390" s="17" t="str">
        <f aca="false">IF($O390="","",INDEX('Auto Process'!$AG:$AG,$O390))</f>
        <v/>
      </c>
      <c r="F390" s="17" t="str">
        <f aca="false">IF($O390="","",INDEX('Auto Process'!$AH:$AH,$O390))</f>
        <v/>
      </c>
      <c r="G390" s="17" t="str">
        <f aca="false">IF($O390="","",INDEX('Auto Process'!$AI:$AI,$O390))</f>
        <v/>
      </c>
      <c r="H390" s="17" t="str">
        <f aca="false">IF($O390="","",INDEX('Auto Process'!$AJ:$AJ,$O390))</f>
        <v/>
      </c>
      <c r="I390" s="17" t="str">
        <f aca="false">IF($O390="","",INDEX('Auto Process'!$AK:$AK,$O390))</f>
        <v/>
      </c>
      <c r="J390" s="17" t="str">
        <f aca="false">IF($O390="","",INDEX('Auto Process'!$AL:$AL,$O390))</f>
        <v/>
      </c>
      <c r="K390" s="17" t="str">
        <f aca="false">IF($O390="","",INDEX('Auto Process'!$AM:$AM,$O390))</f>
        <v/>
      </c>
      <c r="L390" s="17" t="str">
        <f aca="false">IF($O390="","",INDEX('Auto Process'!$AN:$AN,$O390))</f>
        <v/>
      </c>
      <c r="M390" s="17" t="str">
        <f aca="false">IF($O390="","",INDEX('Auto Process'!$AO:$AO,$O390))</f>
        <v/>
      </c>
      <c r="O390" s="19" t="str">
        <f aca="false">IFERROR(_xlfn.AGGREGATE(15,6,ROW('Auto Process'!$D$4:$D$503)/('Auto Process'!$D$4:$D$503="Panel Details"),ROW()-1),"")</f>
        <v/>
      </c>
    </row>
    <row r="391" customFormat="false" ht="13.5" hidden="false" customHeight="true" outlineLevel="0" collapsed="false">
      <c r="A391" s="27" t="str">
        <f aca="false">IF($O391="","",INDEX('Auto Process'!$AC:$AC,$O391))</f>
        <v/>
      </c>
      <c r="B391" s="17" t="str">
        <f aca="false">IF($O391="","",INDEX('Auto Process'!$AD:$AD,$O391))</f>
        <v/>
      </c>
      <c r="C391" s="17" t="str">
        <f aca="false">IF($O391="","",INDEX('Auto Process'!$AE:$AE,$O391))</f>
        <v/>
      </c>
      <c r="D391" s="17" t="str">
        <f aca="false">IF($O391="","",INDEX('Auto Process'!$AF:$AF,$O391))</f>
        <v/>
      </c>
      <c r="E391" s="17" t="str">
        <f aca="false">IF($O391="","",INDEX('Auto Process'!$AG:$AG,$O391))</f>
        <v/>
      </c>
      <c r="F391" s="17" t="str">
        <f aca="false">IF($O391="","",INDEX('Auto Process'!$AH:$AH,$O391))</f>
        <v/>
      </c>
      <c r="G391" s="17" t="str">
        <f aca="false">IF($O391="","",INDEX('Auto Process'!$AI:$AI,$O391))</f>
        <v/>
      </c>
      <c r="H391" s="17" t="str">
        <f aca="false">IF($O391="","",INDEX('Auto Process'!$AJ:$AJ,$O391))</f>
        <v/>
      </c>
      <c r="I391" s="17" t="str">
        <f aca="false">IF($O391="","",INDEX('Auto Process'!$AK:$AK,$O391))</f>
        <v/>
      </c>
      <c r="J391" s="17" t="str">
        <f aca="false">IF($O391="","",INDEX('Auto Process'!$AL:$AL,$O391))</f>
        <v/>
      </c>
      <c r="K391" s="17" t="str">
        <f aca="false">IF($O391="","",INDEX('Auto Process'!$AM:$AM,$O391))</f>
        <v/>
      </c>
      <c r="L391" s="17" t="str">
        <f aca="false">IF($O391="","",INDEX('Auto Process'!$AN:$AN,$O391))</f>
        <v/>
      </c>
      <c r="M391" s="17" t="str">
        <f aca="false">IF($O391="","",INDEX('Auto Process'!$AO:$AO,$O391))</f>
        <v/>
      </c>
      <c r="O391" s="19" t="str">
        <f aca="false">IFERROR(_xlfn.AGGREGATE(15,6,ROW('Auto Process'!$D$4:$D$503)/('Auto Process'!$D$4:$D$503="Panel Details"),ROW()-1),"")</f>
        <v/>
      </c>
    </row>
    <row r="392" customFormat="false" ht="13.5" hidden="false" customHeight="true" outlineLevel="0" collapsed="false">
      <c r="A392" s="27" t="str">
        <f aca="false">IF($O392="","",INDEX('Auto Process'!$AC:$AC,$O392))</f>
        <v/>
      </c>
      <c r="B392" s="17" t="str">
        <f aca="false">IF($O392="","",INDEX('Auto Process'!$AD:$AD,$O392))</f>
        <v/>
      </c>
      <c r="C392" s="17" t="str">
        <f aca="false">IF($O392="","",INDEX('Auto Process'!$AE:$AE,$O392))</f>
        <v/>
      </c>
      <c r="D392" s="17" t="str">
        <f aca="false">IF($O392="","",INDEX('Auto Process'!$AF:$AF,$O392))</f>
        <v/>
      </c>
      <c r="E392" s="17" t="str">
        <f aca="false">IF($O392="","",INDEX('Auto Process'!$AG:$AG,$O392))</f>
        <v/>
      </c>
      <c r="F392" s="17" t="str">
        <f aca="false">IF($O392="","",INDEX('Auto Process'!$AH:$AH,$O392))</f>
        <v/>
      </c>
      <c r="G392" s="17" t="str">
        <f aca="false">IF($O392="","",INDEX('Auto Process'!$AI:$AI,$O392))</f>
        <v/>
      </c>
      <c r="H392" s="17" t="str">
        <f aca="false">IF($O392="","",INDEX('Auto Process'!$AJ:$AJ,$O392))</f>
        <v/>
      </c>
      <c r="I392" s="17" t="str">
        <f aca="false">IF($O392="","",INDEX('Auto Process'!$AK:$AK,$O392))</f>
        <v/>
      </c>
      <c r="J392" s="17" t="str">
        <f aca="false">IF($O392="","",INDEX('Auto Process'!$AL:$AL,$O392))</f>
        <v/>
      </c>
      <c r="K392" s="17" t="str">
        <f aca="false">IF($O392="","",INDEX('Auto Process'!$AM:$AM,$O392))</f>
        <v/>
      </c>
      <c r="L392" s="17" t="str">
        <f aca="false">IF($O392="","",INDEX('Auto Process'!$AN:$AN,$O392))</f>
        <v/>
      </c>
      <c r="M392" s="17" t="str">
        <f aca="false">IF($O392="","",INDEX('Auto Process'!$AO:$AO,$O392))</f>
        <v/>
      </c>
      <c r="O392" s="19" t="str">
        <f aca="false">IFERROR(_xlfn.AGGREGATE(15,6,ROW('Auto Process'!$D$4:$D$503)/('Auto Process'!$D$4:$D$503="Panel Details"),ROW()-1),"")</f>
        <v/>
      </c>
    </row>
    <row r="393" customFormat="false" ht="13.5" hidden="false" customHeight="true" outlineLevel="0" collapsed="false">
      <c r="A393" s="27" t="str">
        <f aca="false">IF($O393="","",INDEX('Auto Process'!$AC:$AC,$O393))</f>
        <v/>
      </c>
      <c r="B393" s="17" t="str">
        <f aca="false">IF($O393="","",INDEX('Auto Process'!$AD:$AD,$O393))</f>
        <v/>
      </c>
      <c r="C393" s="17" t="str">
        <f aca="false">IF($O393="","",INDEX('Auto Process'!$AE:$AE,$O393))</f>
        <v/>
      </c>
      <c r="D393" s="17" t="str">
        <f aca="false">IF($O393="","",INDEX('Auto Process'!$AF:$AF,$O393))</f>
        <v/>
      </c>
      <c r="E393" s="17" t="str">
        <f aca="false">IF($O393="","",INDEX('Auto Process'!$AG:$AG,$O393))</f>
        <v/>
      </c>
      <c r="F393" s="17" t="str">
        <f aca="false">IF($O393="","",INDEX('Auto Process'!$AH:$AH,$O393))</f>
        <v/>
      </c>
      <c r="G393" s="17" t="str">
        <f aca="false">IF($O393="","",INDEX('Auto Process'!$AI:$AI,$O393))</f>
        <v/>
      </c>
      <c r="H393" s="17" t="str">
        <f aca="false">IF($O393="","",INDEX('Auto Process'!$AJ:$AJ,$O393))</f>
        <v/>
      </c>
      <c r="I393" s="17" t="str">
        <f aca="false">IF($O393="","",INDEX('Auto Process'!$AK:$AK,$O393))</f>
        <v/>
      </c>
      <c r="J393" s="17" t="str">
        <f aca="false">IF($O393="","",INDEX('Auto Process'!$AL:$AL,$O393))</f>
        <v/>
      </c>
      <c r="K393" s="17" t="str">
        <f aca="false">IF($O393="","",INDEX('Auto Process'!$AM:$AM,$O393))</f>
        <v/>
      </c>
      <c r="L393" s="17" t="str">
        <f aca="false">IF($O393="","",INDEX('Auto Process'!$AN:$AN,$O393))</f>
        <v/>
      </c>
      <c r="M393" s="17" t="str">
        <f aca="false">IF($O393="","",INDEX('Auto Process'!$AO:$AO,$O393))</f>
        <v/>
      </c>
      <c r="O393" s="19" t="str">
        <f aca="false">IFERROR(_xlfn.AGGREGATE(15,6,ROW('Auto Process'!$D$4:$D$503)/('Auto Process'!$D$4:$D$503="Panel Details"),ROW()-1),"")</f>
        <v/>
      </c>
    </row>
    <row r="394" customFormat="false" ht="13.5" hidden="false" customHeight="true" outlineLevel="0" collapsed="false">
      <c r="A394" s="27" t="str">
        <f aca="false">IF($O394="","",INDEX('Auto Process'!$AC:$AC,$O394))</f>
        <v/>
      </c>
      <c r="B394" s="17" t="str">
        <f aca="false">IF($O394="","",INDEX('Auto Process'!$AD:$AD,$O394))</f>
        <v/>
      </c>
      <c r="C394" s="17" t="str">
        <f aca="false">IF($O394="","",INDEX('Auto Process'!$AE:$AE,$O394))</f>
        <v/>
      </c>
      <c r="D394" s="17" t="str">
        <f aca="false">IF($O394="","",INDEX('Auto Process'!$AF:$AF,$O394))</f>
        <v/>
      </c>
      <c r="E394" s="17" t="str">
        <f aca="false">IF($O394="","",INDEX('Auto Process'!$AG:$AG,$O394))</f>
        <v/>
      </c>
      <c r="F394" s="17" t="str">
        <f aca="false">IF($O394="","",INDEX('Auto Process'!$AH:$AH,$O394))</f>
        <v/>
      </c>
      <c r="G394" s="17" t="str">
        <f aca="false">IF($O394="","",INDEX('Auto Process'!$AI:$AI,$O394))</f>
        <v/>
      </c>
      <c r="H394" s="17" t="str">
        <f aca="false">IF($O394="","",INDEX('Auto Process'!$AJ:$AJ,$O394))</f>
        <v/>
      </c>
      <c r="I394" s="17" t="str">
        <f aca="false">IF($O394="","",INDEX('Auto Process'!$AK:$AK,$O394))</f>
        <v/>
      </c>
      <c r="J394" s="17" t="str">
        <f aca="false">IF($O394="","",INDEX('Auto Process'!$AL:$AL,$O394))</f>
        <v/>
      </c>
      <c r="K394" s="17" t="str">
        <f aca="false">IF($O394="","",INDEX('Auto Process'!$AM:$AM,$O394))</f>
        <v/>
      </c>
      <c r="L394" s="17" t="str">
        <f aca="false">IF($O394="","",INDEX('Auto Process'!$AN:$AN,$O394))</f>
        <v/>
      </c>
      <c r="M394" s="17" t="str">
        <f aca="false">IF($O394="","",INDEX('Auto Process'!$AO:$AO,$O394))</f>
        <v/>
      </c>
      <c r="O394" s="19" t="str">
        <f aca="false">IFERROR(_xlfn.AGGREGATE(15,6,ROW('Auto Process'!$D$4:$D$503)/('Auto Process'!$D$4:$D$503="Panel Details"),ROW()-1),"")</f>
        <v/>
      </c>
    </row>
    <row r="395" customFormat="false" ht="13.5" hidden="false" customHeight="true" outlineLevel="0" collapsed="false">
      <c r="A395" s="27" t="str">
        <f aca="false">IF($O395="","",INDEX('Auto Process'!$AC:$AC,$O395))</f>
        <v/>
      </c>
      <c r="B395" s="17" t="str">
        <f aca="false">IF($O395="","",INDEX('Auto Process'!$AD:$AD,$O395))</f>
        <v/>
      </c>
      <c r="C395" s="17" t="str">
        <f aca="false">IF($O395="","",INDEX('Auto Process'!$AE:$AE,$O395))</f>
        <v/>
      </c>
      <c r="D395" s="17" t="str">
        <f aca="false">IF($O395="","",INDEX('Auto Process'!$AF:$AF,$O395))</f>
        <v/>
      </c>
      <c r="E395" s="17" t="str">
        <f aca="false">IF($O395="","",INDEX('Auto Process'!$AG:$AG,$O395))</f>
        <v/>
      </c>
      <c r="F395" s="17" t="str">
        <f aca="false">IF($O395="","",INDEX('Auto Process'!$AH:$AH,$O395))</f>
        <v/>
      </c>
      <c r="G395" s="17" t="str">
        <f aca="false">IF($O395="","",INDEX('Auto Process'!$AI:$AI,$O395))</f>
        <v/>
      </c>
      <c r="H395" s="17" t="str">
        <f aca="false">IF($O395="","",INDEX('Auto Process'!$AJ:$AJ,$O395))</f>
        <v/>
      </c>
      <c r="I395" s="17" t="str">
        <f aca="false">IF($O395="","",INDEX('Auto Process'!$AK:$AK,$O395))</f>
        <v/>
      </c>
      <c r="J395" s="17" t="str">
        <f aca="false">IF($O395="","",INDEX('Auto Process'!$AL:$AL,$O395))</f>
        <v/>
      </c>
      <c r="K395" s="17" t="str">
        <f aca="false">IF($O395="","",INDEX('Auto Process'!$AM:$AM,$O395))</f>
        <v/>
      </c>
      <c r="L395" s="17" t="str">
        <f aca="false">IF($O395="","",INDEX('Auto Process'!$AN:$AN,$O395))</f>
        <v/>
      </c>
      <c r="M395" s="17" t="str">
        <f aca="false">IF($O395="","",INDEX('Auto Process'!$AO:$AO,$O395))</f>
        <v/>
      </c>
      <c r="O395" s="19" t="str">
        <f aca="false">IFERROR(_xlfn.AGGREGATE(15,6,ROW('Auto Process'!$D$4:$D$503)/('Auto Process'!$D$4:$D$503="Panel Details"),ROW()-1),"")</f>
        <v/>
      </c>
    </row>
    <row r="396" customFormat="false" ht="13.5" hidden="false" customHeight="true" outlineLevel="0" collapsed="false">
      <c r="A396" s="27" t="str">
        <f aca="false">IF($O396="","",INDEX('Auto Process'!$AC:$AC,$O396))</f>
        <v/>
      </c>
      <c r="B396" s="17" t="str">
        <f aca="false">IF($O396="","",INDEX('Auto Process'!$AD:$AD,$O396))</f>
        <v/>
      </c>
      <c r="C396" s="17" t="str">
        <f aca="false">IF($O396="","",INDEX('Auto Process'!$AE:$AE,$O396))</f>
        <v/>
      </c>
      <c r="D396" s="17" t="str">
        <f aca="false">IF($O396="","",INDEX('Auto Process'!$AF:$AF,$O396))</f>
        <v/>
      </c>
      <c r="E396" s="17" t="str">
        <f aca="false">IF($O396="","",INDEX('Auto Process'!$AG:$AG,$O396))</f>
        <v/>
      </c>
      <c r="F396" s="17" t="str">
        <f aca="false">IF($O396="","",INDEX('Auto Process'!$AH:$AH,$O396))</f>
        <v/>
      </c>
      <c r="G396" s="17" t="str">
        <f aca="false">IF($O396="","",INDEX('Auto Process'!$AI:$AI,$O396))</f>
        <v/>
      </c>
      <c r="H396" s="17" t="str">
        <f aca="false">IF($O396="","",INDEX('Auto Process'!$AJ:$AJ,$O396))</f>
        <v/>
      </c>
      <c r="I396" s="17" t="str">
        <f aca="false">IF($O396="","",INDEX('Auto Process'!$AK:$AK,$O396))</f>
        <v/>
      </c>
      <c r="J396" s="17" t="str">
        <f aca="false">IF($O396="","",INDEX('Auto Process'!$AL:$AL,$O396))</f>
        <v/>
      </c>
      <c r="K396" s="17" t="str">
        <f aca="false">IF($O396="","",INDEX('Auto Process'!$AM:$AM,$O396))</f>
        <v/>
      </c>
      <c r="L396" s="17" t="str">
        <f aca="false">IF($O396="","",INDEX('Auto Process'!$AN:$AN,$O396))</f>
        <v/>
      </c>
      <c r="M396" s="17" t="str">
        <f aca="false">IF($O396="","",INDEX('Auto Process'!$AO:$AO,$O396))</f>
        <v/>
      </c>
      <c r="O396" s="19" t="str">
        <f aca="false">IFERROR(_xlfn.AGGREGATE(15,6,ROW('Auto Process'!$D$4:$D$503)/('Auto Process'!$D$4:$D$503="Panel Details"),ROW()-1),"")</f>
        <v/>
      </c>
    </row>
    <row r="397" customFormat="false" ht="13.5" hidden="false" customHeight="true" outlineLevel="0" collapsed="false">
      <c r="A397" s="27" t="str">
        <f aca="false">IF($O397="","",INDEX('Auto Process'!$AC:$AC,$O397))</f>
        <v/>
      </c>
      <c r="B397" s="17" t="str">
        <f aca="false">IF($O397="","",INDEX('Auto Process'!$AD:$AD,$O397))</f>
        <v/>
      </c>
      <c r="C397" s="17" t="str">
        <f aca="false">IF($O397="","",INDEX('Auto Process'!$AE:$AE,$O397))</f>
        <v/>
      </c>
      <c r="D397" s="17" t="str">
        <f aca="false">IF($O397="","",INDEX('Auto Process'!$AF:$AF,$O397))</f>
        <v/>
      </c>
      <c r="E397" s="17" t="str">
        <f aca="false">IF($O397="","",INDEX('Auto Process'!$AG:$AG,$O397))</f>
        <v/>
      </c>
      <c r="F397" s="17" t="str">
        <f aca="false">IF($O397="","",INDEX('Auto Process'!$AH:$AH,$O397))</f>
        <v/>
      </c>
      <c r="G397" s="17" t="str">
        <f aca="false">IF($O397="","",INDEX('Auto Process'!$AI:$AI,$O397))</f>
        <v/>
      </c>
      <c r="H397" s="17" t="str">
        <f aca="false">IF($O397="","",INDEX('Auto Process'!$AJ:$AJ,$O397))</f>
        <v/>
      </c>
      <c r="I397" s="17" t="str">
        <f aca="false">IF($O397="","",INDEX('Auto Process'!$AK:$AK,$O397))</f>
        <v/>
      </c>
      <c r="J397" s="17" t="str">
        <f aca="false">IF($O397="","",INDEX('Auto Process'!$AL:$AL,$O397))</f>
        <v/>
      </c>
      <c r="K397" s="17" t="str">
        <f aca="false">IF($O397="","",INDEX('Auto Process'!$AM:$AM,$O397))</f>
        <v/>
      </c>
      <c r="L397" s="17" t="str">
        <f aca="false">IF($O397="","",INDEX('Auto Process'!$AN:$AN,$O397))</f>
        <v/>
      </c>
      <c r="M397" s="17" t="str">
        <f aca="false">IF($O397="","",INDEX('Auto Process'!$AO:$AO,$O397))</f>
        <v/>
      </c>
      <c r="O397" s="19" t="str">
        <f aca="false">IFERROR(_xlfn.AGGREGATE(15,6,ROW('Auto Process'!$D$4:$D$503)/('Auto Process'!$D$4:$D$503="Panel Details"),ROW()-1),"")</f>
        <v/>
      </c>
    </row>
    <row r="398" customFormat="false" ht="13.5" hidden="false" customHeight="true" outlineLevel="0" collapsed="false">
      <c r="A398" s="27" t="str">
        <f aca="false">IF($O398="","",INDEX('Auto Process'!$AC:$AC,$O398))</f>
        <v/>
      </c>
      <c r="B398" s="17" t="str">
        <f aca="false">IF($O398="","",INDEX('Auto Process'!$AD:$AD,$O398))</f>
        <v/>
      </c>
      <c r="C398" s="17" t="str">
        <f aca="false">IF($O398="","",INDEX('Auto Process'!$AE:$AE,$O398))</f>
        <v/>
      </c>
      <c r="D398" s="17" t="str">
        <f aca="false">IF($O398="","",INDEX('Auto Process'!$AF:$AF,$O398))</f>
        <v/>
      </c>
      <c r="E398" s="17" t="str">
        <f aca="false">IF($O398="","",INDEX('Auto Process'!$AG:$AG,$O398))</f>
        <v/>
      </c>
      <c r="F398" s="17" t="str">
        <f aca="false">IF($O398="","",INDEX('Auto Process'!$AH:$AH,$O398))</f>
        <v/>
      </c>
      <c r="G398" s="17" t="str">
        <f aca="false">IF($O398="","",INDEX('Auto Process'!$AI:$AI,$O398))</f>
        <v/>
      </c>
      <c r="H398" s="17" t="str">
        <f aca="false">IF($O398="","",INDEX('Auto Process'!$AJ:$AJ,$O398))</f>
        <v/>
      </c>
      <c r="I398" s="17" t="str">
        <f aca="false">IF($O398="","",INDEX('Auto Process'!$AK:$AK,$O398))</f>
        <v/>
      </c>
      <c r="J398" s="17" t="str">
        <f aca="false">IF($O398="","",INDEX('Auto Process'!$AL:$AL,$O398))</f>
        <v/>
      </c>
      <c r="K398" s="17" t="str">
        <f aca="false">IF($O398="","",INDEX('Auto Process'!$AM:$AM,$O398))</f>
        <v/>
      </c>
      <c r="L398" s="17" t="str">
        <f aca="false">IF($O398="","",INDEX('Auto Process'!$AN:$AN,$O398))</f>
        <v/>
      </c>
      <c r="M398" s="17" t="str">
        <f aca="false">IF($O398="","",INDEX('Auto Process'!$AO:$AO,$O398))</f>
        <v/>
      </c>
      <c r="O398" s="19" t="str">
        <f aca="false">IFERROR(_xlfn.AGGREGATE(15,6,ROW('Auto Process'!$D$4:$D$503)/('Auto Process'!$D$4:$D$503="Panel Details"),ROW()-1),"")</f>
        <v/>
      </c>
    </row>
    <row r="399" customFormat="false" ht="13.5" hidden="false" customHeight="true" outlineLevel="0" collapsed="false">
      <c r="A399" s="27" t="str">
        <f aca="false">IF($O399="","",INDEX('Auto Process'!$AC:$AC,$O399))</f>
        <v/>
      </c>
      <c r="B399" s="17" t="str">
        <f aca="false">IF($O399="","",INDEX('Auto Process'!$AD:$AD,$O399))</f>
        <v/>
      </c>
      <c r="C399" s="17" t="str">
        <f aca="false">IF($O399="","",INDEX('Auto Process'!$AE:$AE,$O399))</f>
        <v/>
      </c>
      <c r="D399" s="17" t="str">
        <f aca="false">IF($O399="","",INDEX('Auto Process'!$AF:$AF,$O399))</f>
        <v/>
      </c>
      <c r="E399" s="17" t="str">
        <f aca="false">IF($O399="","",INDEX('Auto Process'!$AG:$AG,$O399))</f>
        <v/>
      </c>
      <c r="F399" s="17" t="str">
        <f aca="false">IF($O399="","",INDEX('Auto Process'!$AH:$AH,$O399))</f>
        <v/>
      </c>
      <c r="G399" s="17" t="str">
        <f aca="false">IF($O399="","",INDEX('Auto Process'!$AI:$AI,$O399))</f>
        <v/>
      </c>
      <c r="H399" s="17" t="str">
        <f aca="false">IF($O399="","",INDEX('Auto Process'!$AJ:$AJ,$O399))</f>
        <v/>
      </c>
      <c r="I399" s="17" t="str">
        <f aca="false">IF($O399="","",INDEX('Auto Process'!$AK:$AK,$O399))</f>
        <v/>
      </c>
      <c r="J399" s="17" t="str">
        <f aca="false">IF($O399="","",INDEX('Auto Process'!$AL:$AL,$O399))</f>
        <v/>
      </c>
      <c r="K399" s="17" t="str">
        <f aca="false">IF($O399="","",INDEX('Auto Process'!$AM:$AM,$O399))</f>
        <v/>
      </c>
      <c r="L399" s="17" t="str">
        <f aca="false">IF($O399="","",INDEX('Auto Process'!$AN:$AN,$O399))</f>
        <v/>
      </c>
      <c r="M399" s="17" t="str">
        <f aca="false">IF($O399="","",INDEX('Auto Process'!$AO:$AO,$O399))</f>
        <v/>
      </c>
      <c r="O399" s="19" t="str">
        <f aca="false">IFERROR(_xlfn.AGGREGATE(15,6,ROW('Auto Process'!$D$4:$D$503)/('Auto Process'!$D$4:$D$503="Panel Details"),ROW()-1),"")</f>
        <v/>
      </c>
    </row>
    <row r="400" customFormat="false" ht="13.5" hidden="false" customHeight="true" outlineLevel="0" collapsed="false">
      <c r="A400" s="27" t="str">
        <f aca="false">IF($O400="","",INDEX('Auto Process'!$AC:$AC,$O400))</f>
        <v/>
      </c>
      <c r="B400" s="17" t="str">
        <f aca="false">IF($O400="","",INDEX('Auto Process'!$AD:$AD,$O400))</f>
        <v/>
      </c>
      <c r="C400" s="17" t="str">
        <f aca="false">IF($O400="","",INDEX('Auto Process'!$AE:$AE,$O400))</f>
        <v/>
      </c>
      <c r="D400" s="17" t="str">
        <f aca="false">IF($O400="","",INDEX('Auto Process'!$AF:$AF,$O400))</f>
        <v/>
      </c>
      <c r="E400" s="17" t="str">
        <f aca="false">IF($O400="","",INDEX('Auto Process'!$AG:$AG,$O400))</f>
        <v/>
      </c>
      <c r="F400" s="17" t="str">
        <f aca="false">IF($O400="","",INDEX('Auto Process'!$AH:$AH,$O400))</f>
        <v/>
      </c>
      <c r="G400" s="17" t="str">
        <f aca="false">IF($O400="","",INDEX('Auto Process'!$AI:$AI,$O400))</f>
        <v/>
      </c>
      <c r="H400" s="17" t="str">
        <f aca="false">IF($O400="","",INDEX('Auto Process'!$AJ:$AJ,$O400))</f>
        <v/>
      </c>
      <c r="I400" s="17" t="str">
        <f aca="false">IF($O400="","",INDEX('Auto Process'!$AK:$AK,$O400))</f>
        <v/>
      </c>
      <c r="J400" s="17" t="str">
        <f aca="false">IF($O400="","",INDEX('Auto Process'!$AL:$AL,$O400))</f>
        <v/>
      </c>
      <c r="K400" s="17" t="str">
        <f aca="false">IF($O400="","",INDEX('Auto Process'!$AM:$AM,$O400))</f>
        <v/>
      </c>
      <c r="L400" s="17" t="str">
        <f aca="false">IF($O400="","",INDEX('Auto Process'!$AN:$AN,$O400))</f>
        <v/>
      </c>
      <c r="M400" s="17" t="str">
        <f aca="false">IF($O400="","",INDEX('Auto Process'!$AO:$AO,$O400))</f>
        <v/>
      </c>
      <c r="O400" s="19" t="str">
        <f aca="false">IFERROR(_xlfn.AGGREGATE(15,6,ROW('Auto Process'!$D$4:$D$503)/('Auto Process'!$D$4:$D$503="Panel Details"),ROW()-1),"")</f>
        <v/>
      </c>
    </row>
    <row r="401" customFormat="false" ht="13.5" hidden="false" customHeight="true" outlineLevel="0" collapsed="false">
      <c r="A401" s="27" t="str">
        <f aca="false">IF($O401="","",INDEX('Auto Process'!$AC:$AC,$O401))</f>
        <v/>
      </c>
      <c r="B401" s="17" t="str">
        <f aca="false">IF($O401="","",INDEX('Auto Process'!$AD:$AD,$O401))</f>
        <v/>
      </c>
      <c r="C401" s="17" t="str">
        <f aca="false">IF($O401="","",INDEX('Auto Process'!$AE:$AE,$O401))</f>
        <v/>
      </c>
      <c r="D401" s="17" t="str">
        <f aca="false">IF($O401="","",INDEX('Auto Process'!$AF:$AF,$O401))</f>
        <v/>
      </c>
      <c r="E401" s="17" t="str">
        <f aca="false">IF($O401="","",INDEX('Auto Process'!$AG:$AG,$O401))</f>
        <v/>
      </c>
      <c r="F401" s="17" t="str">
        <f aca="false">IF($O401="","",INDEX('Auto Process'!$AH:$AH,$O401))</f>
        <v/>
      </c>
      <c r="G401" s="17" t="str">
        <f aca="false">IF($O401="","",INDEX('Auto Process'!$AI:$AI,$O401))</f>
        <v/>
      </c>
      <c r="H401" s="17" t="str">
        <f aca="false">IF($O401="","",INDEX('Auto Process'!$AJ:$AJ,$O401))</f>
        <v/>
      </c>
      <c r="I401" s="17" t="str">
        <f aca="false">IF($O401="","",INDEX('Auto Process'!$AK:$AK,$O401))</f>
        <v/>
      </c>
      <c r="J401" s="17" t="str">
        <f aca="false">IF($O401="","",INDEX('Auto Process'!$AL:$AL,$O401))</f>
        <v/>
      </c>
      <c r="K401" s="17" t="str">
        <f aca="false">IF($O401="","",INDEX('Auto Process'!$AM:$AM,$O401))</f>
        <v/>
      </c>
      <c r="L401" s="17" t="str">
        <f aca="false">IF($O401="","",INDEX('Auto Process'!$AN:$AN,$O401))</f>
        <v/>
      </c>
      <c r="M401" s="17" t="str">
        <f aca="false">IF($O401="","",INDEX('Auto Process'!$AO:$AO,$O401))</f>
        <v/>
      </c>
      <c r="O401" s="19" t="str">
        <f aca="false">IFERROR(_xlfn.AGGREGATE(15,6,ROW('Auto Process'!$D$4:$D$503)/('Auto Process'!$D$4:$D$503="Panel Details"),ROW()-1),"")</f>
        <v/>
      </c>
    </row>
    <row r="402" customFormat="false" ht="13.5" hidden="false" customHeight="true" outlineLevel="0" collapsed="false">
      <c r="A402" s="27" t="str">
        <f aca="false">IF($O402="","",INDEX('Auto Process'!$AC:$AC,$O402))</f>
        <v/>
      </c>
      <c r="B402" s="17" t="str">
        <f aca="false">IF($O402="","",INDEX('Auto Process'!$AD:$AD,$O402))</f>
        <v/>
      </c>
      <c r="C402" s="17" t="str">
        <f aca="false">IF($O402="","",INDEX('Auto Process'!$AE:$AE,$O402))</f>
        <v/>
      </c>
      <c r="D402" s="17" t="str">
        <f aca="false">IF($O402="","",INDEX('Auto Process'!$AF:$AF,$O402))</f>
        <v/>
      </c>
      <c r="E402" s="17" t="str">
        <f aca="false">IF($O402="","",INDEX('Auto Process'!$AG:$AG,$O402))</f>
        <v/>
      </c>
      <c r="F402" s="17" t="str">
        <f aca="false">IF($O402="","",INDEX('Auto Process'!$AH:$AH,$O402))</f>
        <v/>
      </c>
      <c r="G402" s="17" t="str">
        <f aca="false">IF($O402="","",INDEX('Auto Process'!$AI:$AI,$O402))</f>
        <v/>
      </c>
      <c r="H402" s="17" t="str">
        <f aca="false">IF($O402="","",INDEX('Auto Process'!$AJ:$AJ,$O402))</f>
        <v/>
      </c>
      <c r="I402" s="17" t="str">
        <f aca="false">IF($O402="","",INDEX('Auto Process'!$AK:$AK,$O402))</f>
        <v/>
      </c>
      <c r="J402" s="17" t="str">
        <f aca="false">IF($O402="","",INDEX('Auto Process'!$AL:$AL,$O402))</f>
        <v/>
      </c>
      <c r="K402" s="17" t="str">
        <f aca="false">IF($O402="","",INDEX('Auto Process'!$AM:$AM,$O402))</f>
        <v/>
      </c>
      <c r="L402" s="17" t="str">
        <f aca="false">IF($O402="","",INDEX('Auto Process'!$AN:$AN,$O402))</f>
        <v/>
      </c>
      <c r="M402" s="17" t="str">
        <f aca="false">IF($O402="","",INDEX('Auto Process'!$AO:$AO,$O402))</f>
        <v/>
      </c>
      <c r="O402" s="19" t="str">
        <f aca="false">IFERROR(_xlfn.AGGREGATE(15,6,ROW('Auto Process'!$D$4:$D$503)/('Auto Process'!$D$4:$D$503="Panel Details"),ROW()-1),"")</f>
        <v/>
      </c>
    </row>
    <row r="403" customFormat="false" ht="13.5" hidden="false" customHeight="true" outlineLevel="0" collapsed="false">
      <c r="A403" s="27" t="str">
        <f aca="false">IF($O403="","",INDEX('Auto Process'!$AC:$AC,$O403))</f>
        <v/>
      </c>
      <c r="B403" s="17" t="str">
        <f aca="false">IF($O403="","",INDEX('Auto Process'!$AD:$AD,$O403))</f>
        <v/>
      </c>
      <c r="C403" s="17" t="str">
        <f aca="false">IF($O403="","",INDEX('Auto Process'!$AE:$AE,$O403))</f>
        <v/>
      </c>
      <c r="D403" s="17" t="str">
        <f aca="false">IF($O403="","",INDEX('Auto Process'!$AF:$AF,$O403))</f>
        <v/>
      </c>
      <c r="E403" s="17" t="str">
        <f aca="false">IF($O403="","",INDEX('Auto Process'!$AG:$AG,$O403))</f>
        <v/>
      </c>
      <c r="F403" s="17" t="str">
        <f aca="false">IF($O403="","",INDEX('Auto Process'!$AH:$AH,$O403))</f>
        <v/>
      </c>
      <c r="G403" s="17" t="str">
        <f aca="false">IF($O403="","",INDEX('Auto Process'!$AI:$AI,$O403))</f>
        <v/>
      </c>
      <c r="H403" s="17" t="str">
        <f aca="false">IF($O403="","",INDEX('Auto Process'!$AJ:$AJ,$O403))</f>
        <v/>
      </c>
      <c r="I403" s="17" t="str">
        <f aca="false">IF($O403="","",INDEX('Auto Process'!$AK:$AK,$O403))</f>
        <v/>
      </c>
      <c r="J403" s="17" t="str">
        <f aca="false">IF($O403="","",INDEX('Auto Process'!$AL:$AL,$O403))</f>
        <v/>
      </c>
      <c r="K403" s="17" t="str">
        <f aca="false">IF($O403="","",INDEX('Auto Process'!$AM:$AM,$O403))</f>
        <v/>
      </c>
      <c r="L403" s="17" t="str">
        <f aca="false">IF($O403="","",INDEX('Auto Process'!$AN:$AN,$O403))</f>
        <v/>
      </c>
      <c r="M403" s="17" t="str">
        <f aca="false">IF($O403="","",INDEX('Auto Process'!$AO:$AO,$O403))</f>
        <v/>
      </c>
      <c r="O403" s="19" t="str">
        <f aca="false">IFERROR(_xlfn.AGGREGATE(15,6,ROW('Auto Process'!$D$4:$D$503)/('Auto Process'!$D$4:$D$503="Panel Details"),ROW()-1),"")</f>
        <v/>
      </c>
    </row>
    <row r="404" customFormat="false" ht="13.5" hidden="false" customHeight="true" outlineLevel="0" collapsed="false">
      <c r="A404" s="27" t="str">
        <f aca="false">IF($O404="","",INDEX('Auto Process'!$AC:$AC,$O404))</f>
        <v/>
      </c>
      <c r="B404" s="17" t="str">
        <f aca="false">IF($O404="","",INDEX('Auto Process'!$AD:$AD,$O404))</f>
        <v/>
      </c>
      <c r="C404" s="17" t="str">
        <f aca="false">IF($O404="","",INDEX('Auto Process'!$AE:$AE,$O404))</f>
        <v/>
      </c>
      <c r="D404" s="17" t="str">
        <f aca="false">IF($O404="","",INDEX('Auto Process'!$AF:$AF,$O404))</f>
        <v/>
      </c>
      <c r="E404" s="17" t="str">
        <f aca="false">IF($O404="","",INDEX('Auto Process'!$AG:$AG,$O404))</f>
        <v/>
      </c>
      <c r="F404" s="17" t="str">
        <f aca="false">IF($O404="","",INDEX('Auto Process'!$AH:$AH,$O404))</f>
        <v/>
      </c>
      <c r="G404" s="17" t="str">
        <f aca="false">IF($O404="","",INDEX('Auto Process'!$AI:$AI,$O404))</f>
        <v/>
      </c>
      <c r="H404" s="17" t="str">
        <f aca="false">IF($O404="","",INDEX('Auto Process'!$AJ:$AJ,$O404))</f>
        <v/>
      </c>
      <c r="I404" s="17" t="str">
        <f aca="false">IF($O404="","",INDEX('Auto Process'!$AK:$AK,$O404))</f>
        <v/>
      </c>
      <c r="J404" s="17" t="str">
        <f aca="false">IF($O404="","",INDEX('Auto Process'!$AL:$AL,$O404))</f>
        <v/>
      </c>
      <c r="K404" s="17" t="str">
        <f aca="false">IF($O404="","",INDEX('Auto Process'!$AM:$AM,$O404))</f>
        <v/>
      </c>
      <c r="L404" s="17" t="str">
        <f aca="false">IF($O404="","",INDEX('Auto Process'!$AN:$AN,$O404))</f>
        <v/>
      </c>
      <c r="M404" s="17" t="str">
        <f aca="false">IF($O404="","",INDEX('Auto Process'!$AO:$AO,$O404))</f>
        <v/>
      </c>
      <c r="O404" s="19" t="str">
        <f aca="false">IFERROR(_xlfn.AGGREGATE(15,6,ROW('Auto Process'!$D$4:$D$503)/('Auto Process'!$D$4:$D$503="Panel Details"),ROW()-1),"")</f>
        <v/>
      </c>
    </row>
    <row r="405" customFormat="false" ht="13.5" hidden="false" customHeight="true" outlineLevel="0" collapsed="false">
      <c r="A405" s="27" t="str">
        <f aca="false">IF($O405="","",INDEX('Auto Process'!$AC:$AC,$O405))</f>
        <v/>
      </c>
      <c r="B405" s="17" t="str">
        <f aca="false">IF($O405="","",INDEX('Auto Process'!$AD:$AD,$O405))</f>
        <v/>
      </c>
      <c r="C405" s="17" t="str">
        <f aca="false">IF($O405="","",INDEX('Auto Process'!$AE:$AE,$O405))</f>
        <v/>
      </c>
      <c r="D405" s="17" t="str">
        <f aca="false">IF($O405="","",INDEX('Auto Process'!$AF:$AF,$O405))</f>
        <v/>
      </c>
      <c r="E405" s="17" t="str">
        <f aca="false">IF($O405="","",INDEX('Auto Process'!$AG:$AG,$O405))</f>
        <v/>
      </c>
      <c r="F405" s="17" t="str">
        <f aca="false">IF($O405="","",INDEX('Auto Process'!$AH:$AH,$O405))</f>
        <v/>
      </c>
      <c r="G405" s="17" t="str">
        <f aca="false">IF($O405="","",INDEX('Auto Process'!$AI:$AI,$O405))</f>
        <v/>
      </c>
      <c r="H405" s="17" t="str">
        <f aca="false">IF($O405="","",INDEX('Auto Process'!$AJ:$AJ,$O405))</f>
        <v/>
      </c>
      <c r="I405" s="17" t="str">
        <f aca="false">IF($O405="","",INDEX('Auto Process'!$AK:$AK,$O405))</f>
        <v/>
      </c>
      <c r="J405" s="17" t="str">
        <f aca="false">IF($O405="","",INDEX('Auto Process'!$AL:$AL,$O405))</f>
        <v/>
      </c>
      <c r="K405" s="17" t="str">
        <f aca="false">IF($O405="","",INDEX('Auto Process'!$AM:$AM,$O405))</f>
        <v/>
      </c>
      <c r="L405" s="17" t="str">
        <f aca="false">IF($O405="","",INDEX('Auto Process'!$AN:$AN,$O405))</f>
        <v/>
      </c>
      <c r="M405" s="17" t="str">
        <f aca="false">IF($O405="","",INDEX('Auto Process'!$AO:$AO,$O405))</f>
        <v/>
      </c>
      <c r="O405" s="19" t="str">
        <f aca="false">IFERROR(_xlfn.AGGREGATE(15,6,ROW('Auto Process'!$D$4:$D$503)/('Auto Process'!$D$4:$D$503="Panel Details"),ROW()-1),"")</f>
        <v/>
      </c>
    </row>
    <row r="406" customFormat="false" ht="13.5" hidden="false" customHeight="true" outlineLevel="0" collapsed="false">
      <c r="A406" s="27" t="str">
        <f aca="false">IF($O406="","",INDEX('Auto Process'!$AC:$AC,$O406))</f>
        <v/>
      </c>
      <c r="B406" s="17" t="str">
        <f aca="false">IF($O406="","",INDEX('Auto Process'!$AD:$AD,$O406))</f>
        <v/>
      </c>
      <c r="C406" s="17" t="str">
        <f aca="false">IF($O406="","",INDEX('Auto Process'!$AE:$AE,$O406))</f>
        <v/>
      </c>
      <c r="D406" s="17" t="str">
        <f aca="false">IF($O406="","",INDEX('Auto Process'!$AF:$AF,$O406))</f>
        <v/>
      </c>
      <c r="E406" s="17" t="str">
        <f aca="false">IF($O406="","",INDEX('Auto Process'!$AG:$AG,$O406))</f>
        <v/>
      </c>
      <c r="F406" s="17" t="str">
        <f aca="false">IF($O406="","",INDEX('Auto Process'!$AH:$AH,$O406))</f>
        <v/>
      </c>
      <c r="G406" s="17" t="str">
        <f aca="false">IF($O406="","",INDEX('Auto Process'!$AI:$AI,$O406))</f>
        <v/>
      </c>
      <c r="H406" s="17" t="str">
        <f aca="false">IF($O406="","",INDEX('Auto Process'!$AJ:$AJ,$O406))</f>
        <v/>
      </c>
      <c r="I406" s="17" t="str">
        <f aca="false">IF($O406="","",INDEX('Auto Process'!$AK:$AK,$O406))</f>
        <v/>
      </c>
      <c r="J406" s="17" t="str">
        <f aca="false">IF($O406="","",INDEX('Auto Process'!$AL:$AL,$O406))</f>
        <v/>
      </c>
      <c r="K406" s="17" t="str">
        <f aca="false">IF($O406="","",INDEX('Auto Process'!$AM:$AM,$O406))</f>
        <v/>
      </c>
      <c r="L406" s="17" t="str">
        <f aca="false">IF($O406="","",INDEX('Auto Process'!$AN:$AN,$O406))</f>
        <v/>
      </c>
      <c r="M406" s="17" t="str">
        <f aca="false">IF($O406="","",INDEX('Auto Process'!$AO:$AO,$O406))</f>
        <v/>
      </c>
      <c r="O406" s="19" t="str">
        <f aca="false">IFERROR(_xlfn.AGGREGATE(15,6,ROW('Auto Process'!$D$4:$D$503)/('Auto Process'!$D$4:$D$503="Panel Details"),ROW()-1),"")</f>
        <v/>
      </c>
    </row>
    <row r="407" customFormat="false" ht="13.5" hidden="false" customHeight="true" outlineLevel="0" collapsed="false">
      <c r="A407" s="27" t="str">
        <f aca="false">IF($O407="","",INDEX('Auto Process'!$AC:$AC,$O407))</f>
        <v/>
      </c>
      <c r="B407" s="17" t="str">
        <f aca="false">IF($O407="","",INDEX('Auto Process'!$AD:$AD,$O407))</f>
        <v/>
      </c>
      <c r="C407" s="17" t="str">
        <f aca="false">IF($O407="","",INDEX('Auto Process'!$AE:$AE,$O407))</f>
        <v/>
      </c>
      <c r="D407" s="17" t="str">
        <f aca="false">IF($O407="","",INDEX('Auto Process'!$AF:$AF,$O407))</f>
        <v/>
      </c>
      <c r="E407" s="17" t="str">
        <f aca="false">IF($O407="","",INDEX('Auto Process'!$AG:$AG,$O407))</f>
        <v/>
      </c>
      <c r="F407" s="17" t="str">
        <f aca="false">IF($O407="","",INDEX('Auto Process'!$AH:$AH,$O407))</f>
        <v/>
      </c>
      <c r="G407" s="17" t="str">
        <f aca="false">IF($O407="","",INDEX('Auto Process'!$AI:$AI,$O407))</f>
        <v/>
      </c>
      <c r="H407" s="17" t="str">
        <f aca="false">IF($O407="","",INDEX('Auto Process'!$AJ:$AJ,$O407))</f>
        <v/>
      </c>
      <c r="I407" s="17" t="str">
        <f aca="false">IF($O407="","",INDEX('Auto Process'!$AK:$AK,$O407))</f>
        <v/>
      </c>
      <c r="J407" s="17" t="str">
        <f aca="false">IF($O407="","",INDEX('Auto Process'!$AL:$AL,$O407))</f>
        <v/>
      </c>
      <c r="K407" s="17" t="str">
        <f aca="false">IF($O407="","",INDEX('Auto Process'!$AM:$AM,$O407))</f>
        <v/>
      </c>
      <c r="L407" s="17" t="str">
        <f aca="false">IF($O407="","",INDEX('Auto Process'!$AN:$AN,$O407))</f>
        <v/>
      </c>
      <c r="M407" s="17" t="str">
        <f aca="false">IF($O407="","",INDEX('Auto Process'!$AO:$AO,$O407))</f>
        <v/>
      </c>
      <c r="O407" s="19" t="str">
        <f aca="false">IFERROR(_xlfn.AGGREGATE(15,6,ROW('Auto Process'!$D$4:$D$503)/('Auto Process'!$D$4:$D$503="Panel Details"),ROW()-1),"")</f>
        <v/>
      </c>
    </row>
    <row r="408" customFormat="false" ht="13.5" hidden="false" customHeight="true" outlineLevel="0" collapsed="false">
      <c r="A408" s="27" t="str">
        <f aca="false">IF($O408="","",INDEX('Auto Process'!$AC:$AC,$O408))</f>
        <v/>
      </c>
      <c r="B408" s="17" t="str">
        <f aca="false">IF($O408="","",INDEX('Auto Process'!$AD:$AD,$O408))</f>
        <v/>
      </c>
      <c r="C408" s="17" t="str">
        <f aca="false">IF($O408="","",INDEX('Auto Process'!$AE:$AE,$O408))</f>
        <v/>
      </c>
      <c r="D408" s="17" t="str">
        <f aca="false">IF($O408="","",INDEX('Auto Process'!$AF:$AF,$O408))</f>
        <v/>
      </c>
      <c r="E408" s="17" t="str">
        <f aca="false">IF($O408="","",INDEX('Auto Process'!$AG:$AG,$O408))</f>
        <v/>
      </c>
      <c r="F408" s="17" t="str">
        <f aca="false">IF($O408="","",INDEX('Auto Process'!$AH:$AH,$O408))</f>
        <v/>
      </c>
      <c r="G408" s="17" t="str">
        <f aca="false">IF($O408="","",INDEX('Auto Process'!$AI:$AI,$O408))</f>
        <v/>
      </c>
      <c r="H408" s="17" t="str">
        <f aca="false">IF($O408="","",INDEX('Auto Process'!$AJ:$AJ,$O408))</f>
        <v/>
      </c>
      <c r="I408" s="17" t="str">
        <f aca="false">IF($O408="","",INDEX('Auto Process'!$AK:$AK,$O408))</f>
        <v/>
      </c>
      <c r="J408" s="17" t="str">
        <f aca="false">IF($O408="","",INDEX('Auto Process'!$AL:$AL,$O408))</f>
        <v/>
      </c>
      <c r="K408" s="17" t="str">
        <f aca="false">IF($O408="","",INDEX('Auto Process'!$AM:$AM,$O408))</f>
        <v/>
      </c>
      <c r="L408" s="17" t="str">
        <f aca="false">IF($O408="","",INDEX('Auto Process'!$AN:$AN,$O408))</f>
        <v/>
      </c>
      <c r="M408" s="17" t="str">
        <f aca="false">IF($O408="","",INDEX('Auto Process'!$AO:$AO,$O408))</f>
        <v/>
      </c>
      <c r="O408" s="19" t="str">
        <f aca="false">IFERROR(_xlfn.AGGREGATE(15,6,ROW('Auto Process'!$D$4:$D$503)/('Auto Process'!$D$4:$D$503="Panel Details"),ROW()-1),"")</f>
        <v/>
      </c>
    </row>
    <row r="409" customFormat="false" ht="13.5" hidden="false" customHeight="true" outlineLevel="0" collapsed="false">
      <c r="A409" s="27" t="str">
        <f aca="false">IF($O409="","",INDEX('Auto Process'!$AC:$AC,$O409))</f>
        <v/>
      </c>
      <c r="B409" s="17" t="str">
        <f aca="false">IF($O409="","",INDEX('Auto Process'!$AD:$AD,$O409))</f>
        <v/>
      </c>
      <c r="C409" s="17" t="str">
        <f aca="false">IF($O409="","",INDEX('Auto Process'!$AE:$AE,$O409))</f>
        <v/>
      </c>
      <c r="D409" s="17" t="str">
        <f aca="false">IF($O409="","",INDEX('Auto Process'!$AF:$AF,$O409))</f>
        <v/>
      </c>
      <c r="E409" s="17" t="str">
        <f aca="false">IF($O409="","",INDEX('Auto Process'!$AG:$AG,$O409))</f>
        <v/>
      </c>
      <c r="F409" s="17" t="str">
        <f aca="false">IF($O409="","",INDEX('Auto Process'!$AH:$AH,$O409))</f>
        <v/>
      </c>
      <c r="G409" s="17" t="str">
        <f aca="false">IF($O409="","",INDEX('Auto Process'!$AI:$AI,$O409))</f>
        <v/>
      </c>
      <c r="H409" s="17" t="str">
        <f aca="false">IF($O409="","",INDEX('Auto Process'!$AJ:$AJ,$O409))</f>
        <v/>
      </c>
      <c r="I409" s="17" t="str">
        <f aca="false">IF($O409="","",INDEX('Auto Process'!$AK:$AK,$O409))</f>
        <v/>
      </c>
      <c r="J409" s="17" t="str">
        <f aca="false">IF($O409="","",INDEX('Auto Process'!$AL:$AL,$O409))</f>
        <v/>
      </c>
      <c r="K409" s="17" t="str">
        <f aca="false">IF($O409="","",INDEX('Auto Process'!$AM:$AM,$O409))</f>
        <v/>
      </c>
      <c r="L409" s="17" t="str">
        <f aca="false">IF($O409="","",INDEX('Auto Process'!$AN:$AN,$O409))</f>
        <v/>
      </c>
      <c r="M409" s="17" t="str">
        <f aca="false">IF($O409="","",INDEX('Auto Process'!$AO:$AO,$O409))</f>
        <v/>
      </c>
      <c r="O409" s="19" t="str">
        <f aca="false">IFERROR(_xlfn.AGGREGATE(15,6,ROW('Auto Process'!$D$4:$D$503)/('Auto Process'!$D$4:$D$503="Panel Details"),ROW()-1),"")</f>
        <v/>
      </c>
    </row>
    <row r="410" customFormat="false" ht="13.5" hidden="false" customHeight="true" outlineLevel="0" collapsed="false">
      <c r="A410" s="27" t="str">
        <f aca="false">IF($O410="","",INDEX('Auto Process'!$AC:$AC,$O410))</f>
        <v/>
      </c>
      <c r="B410" s="17" t="str">
        <f aca="false">IF($O410="","",INDEX('Auto Process'!$AD:$AD,$O410))</f>
        <v/>
      </c>
      <c r="C410" s="17" t="str">
        <f aca="false">IF($O410="","",INDEX('Auto Process'!$AE:$AE,$O410))</f>
        <v/>
      </c>
      <c r="D410" s="17" t="str">
        <f aca="false">IF($O410="","",INDEX('Auto Process'!$AF:$AF,$O410))</f>
        <v/>
      </c>
      <c r="E410" s="17" t="str">
        <f aca="false">IF($O410="","",INDEX('Auto Process'!$AG:$AG,$O410))</f>
        <v/>
      </c>
      <c r="F410" s="17" t="str">
        <f aca="false">IF($O410="","",INDEX('Auto Process'!$AH:$AH,$O410))</f>
        <v/>
      </c>
      <c r="G410" s="17" t="str">
        <f aca="false">IF($O410="","",INDEX('Auto Process'!$AI:$AI,$O410))</f>
        <v/>
      </c>
      <c r="H410" s="17" t="str">
        <f aca="false">IF($O410="","",INDEX('Auto Process'!$AJ:$AJ,$O410))</f>
        <v/>
      </c>
      <c r="I410" s="17" t="str">
        <f aca="false">IF($O410="","",INDEX('Auto Process'!$AK:$AK,$O410))</f>
        <v/>
      </c>
      <c r="J410" s="17" t="str">
        <f aca="false">IF($O410="","",INDEX('Auto Process'!$AL:$AL,$O410))</f>
        <v/>
      </c>
      <c r="K410" s="17" t="str">
        <f aca="false">IF($O410="","",INDEX('Auto Process'!$AM:$AM,$O410))</f>
        <v/>
      </c>
      <c r="L410" s="17" t="str">
        <f aca="false">IF($O410="","",INDEX('Auto Process'!$AN:$AN,$O410))</f>
        <v/>
      </c>
      <c r="M410" s="17" t="str">
        <f aca="false">IF($O410="","",INDEX('Auto Process'!$AO:$AO,$O410))</f>
        <v/>
      </c>
      <c r="O410" s="19" t="str">
        <f aca="false">IFERROR(_xlfn.AGGREGATE(15,6,ROW('Auto Process'!$D$4:$D$503)/('Auto Process'!$D$4:$D$503="Panel Details"),ROW()-1),"")</f>
        <v/>
      </c>
    </row>
    <row r="411" customFormat="false" ht="13.5" hidden="false" customHeight="true" outlineLevel="0" collapsed="false">
      <c r="A411" s="27" t="str">
        <f aca="false">IF($O411="","",INDEX('Auto Process'!$AC:$AC,$O411))</f>
        <v/>
      </c>
      <c r="B411" s="17" t="str">
        <f aca="false">IF($O411="","",INDEX('Auto Process'!$AD:$AD,$O411))</f>
        <v/>
      </c>
      <c r="C411" s="17" t="str">
        <f aca="false">IF($O411="","",INDEX('Auto Process'!$AE:$AE,$O411))</f>
        <v/>
      </c>
      <c r="D411" s="17" t="str">
        <f aca="false">IF($O411="","",INDEX('Auto Process'!$AF:$AF,$O411))</f>
        <v/>
      </c>
      <c r="E411" s="17" t="str">
        <f aca="false">IF($O411="","",INDEX('Auto Process'!$AG:$AG,$O411))</f>
        <v/>
      </c>
      <c r="F411" s="17" t="str">
        <f aca="false">IF($O411="","",INDEX('Auto Process'!$AH:$AH,$O411))</f>
        <v/>
      </c>
      <c r="G411" s="17" t="str">
        <f aca="false">IF($O411="","",INDEX('Auto Process'!$AI:$AI,$O411))</f>
        <v/>
      </c>
      <c r="H411" s="17" t="str">
        <f aca="false">IF($O411="","",INDEX('Auto Process'!$AJ:$AJ,$O411))</f>
        <v/>
      </c>
      <c r="I411" s="17" t="str">
        <f aca="false">IF($O411="","",INDEX('Auto Process'!$AK:$AK,$O411))</f>
        <v/>
      </c>
      <c r="J411" s="17" t="str">
        <f aca="false">IF($O411="","",INDEX('Auto Process'!$AL:$AL,$O411))</f>
        <v/>
      </c>
      <c r="K411" s="17" t="str">
        <f aca="false">IF($O411="","",INDEX('Auto Process'!$AM:$AM,$O411))</f>
        <v/>
      </c>
      <c r="L411" s="17" t="str">
        <f aca="false">IF($O411="","",INDEX('Auto Process'!$AN:$AN,$O411))</f>
        <v/>
      </c>
      <c r="M411" s="17" t="str">
        <f aca="false">IF($O411="","",INDEX('Auto Process'!$AO:$AO,$O411))</f>
        <v/>
      </c>
      <c r="O411" s="19" t="str">
        <f aca="false">IFERROR(_xlfn.AGGREGATE(15,6,ROW('Auto Process'!$D$4:$D$503)/('Auto Process'!$D$4:$D$503="Panel Details"),ROW()-1),"")</f>
        <v/>
      </c>
    </row>
    <row r="412" customFormat="false" ht="13.5" hidden="false" customHeight="true" outlineLevel="0" collapsed="false">
      <c r="A412" s="27" t="str">
        <f aca="false">IF($O412="","",INDEX('Auto Process'!$AC:$AC,$O412))</f>
        <v/>
      </c>
      <c r="B412" s="17" t="str">
        <f aca="false">IF($O412="","",INDEX('Auto Process'!$AD:$AD,$O412))</f>
        <v/>
      </c>
      <c r="C412" s="17" t="str">
        <f aca="false">IF($O412="","",INDEX('Auto Process'!$AE:$AE,$O412))</f>
        <v/>
      </c>
      <c r="D412" s="17" t="str">
        <f aca="false">IF($O412="","",INDEX('Auto Process'!$AF:$AF,$O412))</f>
        <v/>
      </c>
      <c r="E412" s="17" t="str">
        <f aca="false">IF($O412="","",INDEX('Auto Process'!$AG:$AG,$O412))</f>
        <v/>
      </c>
      <c r="F412" s="17" t="str">
        <f aca="false">IF($O412="","",INDEX('Auto Process'!$AH:$AH,$O412))</f>
        <v/>
      </c>
      <c r="G412" s="17" t="str">
        <f aca="false">IF($O412="","",INDEX('Auto Process'!$AI:$AI,$O412))</f>
        <v/>
      </c>
      <c r="H412" s="17" t="str">
        <f aca="false">IF($O412="","",INDEX('Auto Process'!$AJ:$AJ,$O412))</f>
        <v/>
      </c>
      <c r="I412" s="17" t="str">
        <f aca="false">IF($O412="","",INDEX('Auto Process'!$AK:$AK,$O412))</f>
        <v/>
      </c>
      <c r="J412" s="17" t="str">
        <f aca="false">IF($O412="","",INDEX('Auto Process'!$AL:$AL,$O412))</f>
        <v/>
      </c>
      <c r="K412" s="17" t="str">
        <f aca="false">IF($O412="","",INDEX('Auto Process'!$AM:$AM,$O412))</f>
        <v/>
      </c>
      <c r="L412" s="17" t="str">
        <f aca="false">IF($O412="","",INDEX('Auto Process'!$AN:$AN,$O412))</f>
        <v/>
      </c>
      <c r="M412" s="17" t="str">
        <f aca="false">IF($O412="","",INDEX('Auto Process'!$AO:$AO,$O412))</f>
        <v/>
      </c>
      <c r="O412" s="19" t="str">
        <f aca="false">IFERROR(_xlfn.AGGREGATE(15,6,ROW('Auto Process'!$D$4:$D$503)/('Auto Process'!$D$4:$D$503="Panel Details"),ROW()-1),"")</f>
        <v/>
      </c>
    </row>
    <row r="413" customFormat="false" ht="13.5" hidden="false" customHeight="true" outlineLevel="0" collapsed="false">
      <c r="A413" s="27" t="str">
        <f aca="false">IF($O413="","",INDEX('Auto Process'!$AC:$AC,$O413))</f>
        <v/>
      </c>
      <c r="B413" s="17" t="str">
        <f aca="false">IF($O413="","",INDEX('Auto Process'!$AD:$AD,$O413))</f>
        <v/>
      </c>
      <c r="C413" s="17" t="str">
        <f aca="false">IF($O413="","",INDEX('Auto Process'!$AE:$AE,$O413))</f>
        <v/>
      </c>
      <c r="D413" s="17" t="str">
        <f aca="false">IF($O413="","",INDEX('Auto Process'!$AF:$AF,$O413))</f>
        <v/>
      </c>
      <c r="E413" s="17" t="str">
        <f aca="false">IF($O413="","",INDEX('Auto Process'!$AG:$AG,$O413))</f>
        <v/>
      </c>
      <c r="F413" s="17" t="str">
        <f aca="false">IF($O413="","",INDEX('Auto Process'!$AH:$AH,$O413))</f>
        <v/>
      </c>
      <c r="G413" s="17" t="str">
        <f aca="false">IF($O413="","",INDEX('Auto Process'!$AI:$AI,$O413))</f>
        <v/>
      </c>
      <c r="H413" s="17" t="str">
        <f aca="false">IF($O413="","",INDEX('Auto Process'!$AJ:$AJ,$O413))</f>
        <v/>
      </c>
      <c r="I413" s="17" t="str">
        <f aca="false">IF($O413="","",INDEX('Auto Process'!$AK:$AK,$O413))</f>
        <v/>
      </c>
      <c r="J413" s="17" t="str">
        <f aca="false">IF($O413="","",INDEX('Auto Process'!$AL:$AL,$O413))</f>
        <v/>
      </c>
      <c r="K413" s="17" t="str">
        <f aca="false">IF($O413="","",INDEX('Auto Process'!$AM:$AM,$O413))</f>
        <v/>
      </c>
      <c r="L413" s="17" t="str">
        <f aca="false">IF($O413="","",INDEX('Auto Process'!$AN:$AN,$O413))</f>
        <v/>
      </c>
      <c r="M413" s="17" t="str">
        <f aca="false">IF($O413="","",INDEX('Auto Process'!$AO:$AO,$O413))</f>
        <v/>
      </c>
      <c r="O413" s="19" t="str">
        <f aca="false">IFERROR(_xlfn.AGGREGATE(15,6,ROW('Auto Process'!$D$4:$D$503)/('Auto Process'!$D$4:$D$503="Panel Details"),ROW()-1),"")</f>
        <v/>
      </c>
    </row>
    <row r="414" customFormat="false" ht="13.5" hidden="false" customHeight="true" outlineLevel="0" collapsed="false">
      <c r="A414" s="27" t="str">
        <f aca="false">IF($O414="","",INDEX('Auto Process'!$AC:$AC,$O414))</f>
        <v/>
      </c>
      <c r="B414" s="17" t="str">
        <f aca="false">IF($O414="","",INDEX('Auto Process'!$AD:$AD,$O414))</f>
        <v/>
      </c>
      <c r="C414" s="17" t="str">
        <f aca="false">IF($O414="","",INDEX('Auto Process'!$AE:$AE,$O414))</f>
        <v/>
      </c>
      <c r="D414" s="17" t="str">
        <f aca="false">IF($O414="","",INDEX('Auto Process'!$AF:$AF,$O414))</f>
        <v/>
      </c>
      <c r="E414" s="17" t="str">
        <f aca="false">IF($O414="","",INDEX('Auto Process'!$AG:$AG,$O414))</f>
        <v/>
      </c>
      <c r="F414" s="17" t="str">
        <f aca="false">IF($O414="","",INDEX('Auto Process'!$AH:$AH,$O414))</f>
        <v/>
      </c>
      <c r="G414" s="17" t="str">
        <f aca="false">IF($O414="","",INDEX('Auto Process'!$AI:$AI,$O414))</f>
        <v/>
      </c>
      <c r="H414" s="17" t="str">
        <f aca="false">IF($O414="","",INDEX('Auto Process'!$AJ:$AJ,$O414))</f>
        <v/>
      </c>
      <c r="I414" s="17" t="str">
        <f aca="false">IF($O414="","",INDEX('Auto Process'!$AK:$AK,$O414))</f>
        <v/>
      </c>
      <c r="J414" s="17" t="str">
        <f aca="false">IF($O414="","",INDEX('Auto Process'!$AL:$AL,$O414))</f>
        <v/>
      </c>
      <c r="K414" s="17" t="str">
        <f aca="false">IF($O414="","",INDEX('Auto Process'!$AM:$AM,$O414))</f>
        <v/>
      </c>
      <c r="L414" s="17" t="str">
        <f aca="false">IF($O414="","",INDEX('Auto Process'!$AN:$AN,$O414))</f>
        <v/>
      </c>
      <c r="M414" s="17" t="str">
        <f aca="false">IF($O414="","",INDEX('Auto Process'!$AO:$AO,$O414))</f>
        <v/>
      </c>
      <c r="O414" s="19" t="str">
        <f aca="false">IFERROR(_xlfn.AGGREGATE(15,6,ROW('Auto Process'!$D$4:$D$503)/('Auto Process'!$D$4:$D$503="Panel Details"),ROW()-1),"")</f>
        <v/>
      </c>
    </row>
    <row r="415" customFormat="false" ht="13.5" hidden="false" customHeight="true" outlineLevel="0" collapsed="false">
      <c r="A415" s="27" t="str">
        <f aca="false">IF($O415="","",INDEX('Auto Process'!$AC:$AC,$O415))</f>
        <v/>
      </c>
      <c r="B415" s="17" t="str">
        <f aca="false">IF($O415="","",INDEX('Auto Process'!$AD:$AD,$O415))</f>
        <v/>
      </c>
      <c r="C415" s="17" t="str">
        <f aca="false">IF($O415="","",INDEX('Auto Process'!$AE:$AE,$O415))</f>
        <v/>
      </c>
      <c r="D415" s="17" t="str">
        <f aca="false">IF($O415="","",INDEX('Auto Process'!$AF:$AF,$O415))</f>
        <v/>
      </c>
      <c r="E415" s="17" t="str">
        <f aca="false">IF($O415="","",INDEX('Auto Process'!$AG:$AG,$O415))</f>
        <v/>
      </c>
      <c r="F415" s="17" t="str">
        <f aca="false">IF($O415="","",INDEX('Auto Process'!$AH:$AH,$O415))</f>
        <v/>
      </c>
      <c r="G415" s="17" t="str">
        <f aca="false">IF($O415="","",INDEX('Auto Process'!$AI:$AI,$O415))</f>
        <v/>
      </c>
      <c r="H415" s="17" t="str">
        <f aca="false">IF($O415="","",INDEX('Auto Process'!$AJ:$AJ,$O415))</f>
        <v/>
      </c>
      <c r="I415" s="17" t="str">
        <f aca="false">IF($O415="","",INDEX('Auto Process'!$AK:$AK,$O415))</f>
        <v/>
      </c>
      <c r="J415" s="17" t="str">
        <f aca="false">IF($O415="","",INDEX('Auto Process'!$AL:$AL,$O415))</f>
        <v/>
      </c>
      <c r="K415" s="17" t="str">
        <f aca="false">IF($O415="","",INDEX('Auto Process'!$AM:$AM,$O415))</f>
        <v/>
      </c>
      <c r="L415" s="17" t="str">
        <f aca="false">IF($O415="","",INDEX('Auto Process'!$AN:$AN,$O415))</f>
        <v/>
      </c>
      <c r="M415" s="17" t="str">
        <f aca="false">IF($O415="","",INDEX('Auto Process'!$AO:$AO,$O415))</f>
        <v/>
      </c>
      <c r="O415" s="19" t="str">
        <f aca="false">IFERROR(_xlfn.AGGREGATE(15,6,ROW('Auto Process'!$D$4:$D$503)/('Auto Process'!$D$4:$D$503="Panel Details"),ROW()-1),"")</f>
        <v/>
      </c>
    </row>
    <row r="416" customFormat="false" ht="13.5" hidden="false" customHeight="true" outlineLevel="0" collapsed="false">
      <c r="A416" s="27" t="str">
        <f aca="false">IF($O416="","",INDEX('Auto Process'!$AC:$AC,$O416))</f>
        <v/>
      </c>
      <c r="B416" s="17" t="str">
        <f aca="false">IF($O416="","",INDEX('Auto Process'!$AD:$AD,$O416))</f>
        <v/>
      </c>
      <c r="C416" s="17" t="str">
        <f aca="false">IF($O416="","",INDEX('Auto Process'!$AE:$AE,$O416))</f>
        <v/>
      </c>
      <c r="D416" s="17" t="str">
        <f aca="false">IF($O416="","",INDEX('Auto Process'!$AF:$AF,$O416))</f>
        <v/>
      </c>
      <c r="E416" s="17" t="str">
        <f aca="false">IF($O416="","",INDEX('Auto Process'!$AG:$AG,$O416))</f>
        <v/>
      </c>
      <c r="F416" s="17" t="str">
        <f aca="false">IF($O416="","",INDEX('Auto Process'!$AH:$AH,$O416))</f>
        <v/>
      </c>
      <c r="G416" s="17" t="str">
        <f aca="false">IF($O416="","",INDEX('Auto Process'!$AI:$AI,$O416))</f>
        <v/>
      </c>
      <c r="H416" s="17" t="str">
        <f aca="false">IF($O416="","",INDEX('Auto Process'!$AJ:$AJ,$O416))</f>
        <v/>
      </c>
      <c r="I416" s="17" t="str">
        <f aca="false">IF($O416="","",INDEX('Auto Process'!$AK:$AK,$O416))</f>
        <v/>
      </c>
      <c r="J416" s="17" t="str">
        <f aca="false">IF($O416="","",INDEX('Auto Process'!$AL:$AL,$O416))</f>
        <v/>
      </c>
      <c r="K416" s="17" t="str">
        <f aca="false">IF($O416="","",INDEX('Auto Process'!$AM:$AM,$O416))</f>
        <v/>
      </c>
      <c r="L416" s="17" t="str">
        <f aca="false">IF($O416="","",INDEX('Auto Process'!$AN:$AN,$O416))</f>
        <v/>
      </c>
      <c r="M416" s="17" t="str">
        <f aca="false">IF($O416="","",INDEX('Auto Process'!$AO:$AO,$O416))</f>
        <v/>
      </c>
      <c r="O416" s="19" t="str">
        <f aca="false">IFERROR(_xlfn.AGGREGATE(15,6,ROW('Auto Process'!$D$4:$D$503)/('Auto Process'!$D$4:$D$503="Panel Details"),ROW()-1),"")</f>
        <v/>
      </c>
    </row>
    <row r="417" customFormat="false" ht="13.5" hidden="false" customHeight="true" outlineLevel="0" collapsed="false">
      <c r="A417" s="27" t="str">
        <f aca="false">IF($O417="","",INDEX('Auto Process'!$AC:$AC,$O417))</f>
        <v/>
      </c>
      <c r="B417" s="17" t="str">
        <f aca="false">IF($O417="","",INDEX('Auto Process'!$AD:$AD,$O417))</f>
        <v/>
      </c>
      <c r="C417" s="17" t="str">
        <f aca="false">IF($O417="","",INDEX('Auto Process'!$AE:$AE,$O417))</f>
        <v/>
      </c>
      <c r="D417" s="17" t="str">
        <f aca="false">IF($O417="","",INDEX('Auto Process'!$AF:$AF,$O417))</f>
        <v/>
      </c>
      <c r="E417" s="17" t="str">
        <f aca="false">IF($O417="","",INDEX('Auto Process'!$AG:$AG,$O417))</f>
        <v/>
      </c>
      <c r="F417" s="17" t="str">
        <f aca="false">IF($O417="","",INDEX('Auto Process'!$AH:$AH,$O417))</f>
        <v/>
      </c>
      <c r="G417" s="17" t="str">
        <f aca="false">IF($O417="","",INDEX('Auto Process'!$AI:$AI,$O417))</f>
        <v/>
      </c>
      <c r="H417" s="17" t="str">
        <f aca="false">IF($O417="","",INDEX('Auto Process'!$AJ:$AJ,$O417))</f>
        <v/>
      </c>
      <c r="I417" s="17" t="str">
        <f aca="false">IF($O417="","",INDEX('Auto Process'!$AK:$AK,$O417))</f>
        <v/>
      </c>
      <c r="J417" s="17" t="str">
        <f aca="false">IF($O417="","",INDEX('Auto Process'!$AL:$AL,$O417))</f>
        <v/>
      </c>
      <c r="K417" s="17" t="str">
        <f aca="false">IF($O417="","",INDEX('Auto Process'!$AM:$AM,$O417))</f>
        <v/>
      </c>
      <c r="L417" s="17" t="str">
        <f aca="false">IF($O417="","",INDEX('Auto Process'!$AN:$AN,$O417))</f>
        <v/>
      </c>
      <c r="M417" s="17" t="str">
        <f aca="false">IF($O417="","",INDEX('Auto Process'!$AO:$AO,$O417))</f>
        <v/>
      </c>
      <c r="O417" s="19" t="str">
        <f aca="false">IFERROR(_xlfn.AGGREGATE(15,6,ROW('Auto Process'!$D$4:$D$503)/('Auto Process'!$D$4:$D$503="Panel Details"),ROW()-1),"")</f>
        <v/>
      </c>
    </row>
    <row r="418" customFormat="false" ht="13.5" hidden="false" customHeight="true" outlineLevel="0" collapsed="false">
      <c r="A418" s="27" t="str">
        <f aca="false">IF($O418="","",INDEX('Auto Process'!$AC:$AC,$O418))</f>
        <v/>
      </c>
      <c r="B418" s="17" t="str">
        <f aca="false">IF($O418="","",INDEX('Auto Process'!$AD:$AD,$O418))</f>
        <v/>
      </c>
      <c r="C418" s="17" t="str">
        <f aca="false">IF($O418="","",INDEX('Auto Process'!$AE:$AE,$O418))</f>
        <v/>
      </c>
      <c r="D418" s="17" t="str">
        <f aca="false">IF($O418="","",INDEX('Auto Process'!$AF:$AF,$O418))</f>
        <v/>
      </c>
      <c r="E418" s="17" t="str">
        <f aca="false">IF($O418="","",INDEX('Auto Process'!$AG:$AG,$O418))</f>
        <v/>
      </c>
      <c r="F418" s="17" t="str">
        <f aca="false">IF($O418="","",INDEX('Auto Process'!$AH:$AH,$O418))</f>
        <v/>
      </c>
      <c r="G418" s="17" t="str">
        <f aca="false">IF($O418="","",INDEX('Auto Process'!$AI:$AI,$O418))</f>
        <v/>
      </c>
      <c r="H418" s="17" t="str">
        <f aca="false">IF($O418="","",INDEX('Auto Process'!$AJ:$AJ,$O418))</f>
        <v/>
      </c>
      <c r="I418" s="17" t="str">
        <f aca="false">IF($O418="","",INDEX('Auto Process'!$AK:$AK,$O418))</f>
        <v/>
      </c>
      <c r="J418" s="17" t="str">
        <f aca="false">IF($O418="","",INDEX('Auto Process'!$AL:$AL,$O418))</f>
        <v/>
      </c>
      <c r="K418" s="17" t="str">
        <f aca="false">IF($O418="","",INDEX('Auto Process'!$AM:$AM,$O418))</f>
        <v/>
      </c>
      <c r="L418" s="17" t="str">
        <f aca="false">IF($O418="","",INDEX('Auto Process'!$AN:$AN,$O418))</f>
        <v/>
      </c>
      <c r="M418" s="17" t="str">
        <f aca="false">IF($O418="","",INDEX('Auto Process'!$AO:$AO,$O418))</f>
        <v/>
      </c>
      <c r="O418" s="19" t="str">
        <f aca="false">IFERROR(_xlfn.AGGREGATE(15,6,ROW('Auto Process'!$D$4:$D$503)/('Auto Process'!$D$4:$D$503="Panel Details"),ROW()-1),"")</f>
        <v/>
      </c>
    </row>
    <row r="419" customFormat="false" ht="13.5" hidden="false" customHeight="true" outlineLevel="0" collapsed="false">
      <c r="A419" s="27" t="str">
        <f aca="false">IF($O419="","",INDEX('Auto Process'!$AC:$AC,$O419))</f>
        <v/>
      </c>
      <c r="B419" s="17" t="str">
        <f aca="false">IF($O419="","",INDEX('Auto Process'!$AD:$AD,$O419))</f>
        <v/>
      </c>
      <c r="C419" s="17" t="str">
        <f aca="false">IF($O419="","",INDEX('Auto Process'!$AE:$AE,$O419))</f>
        <v/>
      </c>
      <c r="D419" s="17" t="str">
        <f aca="false">IF($O419="","",INDEX('Auto Process'!$AF:$AF,$O419))</f>
        <v/>
      </c>
      <c r="E419" s="17" t="str">
        <f aca="false">IF($O419="","",INDEX('Auto Process'!$AG:$AG,$O419))</f>
        <v/>
      </c>
      <c r="F419" s="17" t="str">
        <f aca="false">IF($O419="","",INDEX('Auto Process'!$AH:$AH,$O419))</f>
        <v/>
      </c>
      <c r="G419" s="17" t="str">
        <f aca="false">IF($O419="","",INDEX('Auto Process'!$AI:$AI,$O419))</f>
        <v/>
      </c>
      <c r="H419" s="17" t="str">
        <f aca="false">IF($O419="","",INDEX('Auto Process'!$AJ:$AJ,$O419))</f>
        <v/>
      </c>
      <c r="I419" s="17" t="str">
        <f aca="false">IF($O419="","",INDEX('Auto Process'!$AK:$AK,$O419))</f>
        <v/>
      </c>
      <c r="J419" s="17" t="str">
        <f aca="false">IF($O419="","",INDEX('Auto Process'!$AL:$AL,$O419))</f>
        <v/>
      </c>
      <c r="K419" s="17" t="str">
        <f aca="false">IF($O419="","",INDEX('Auto Process'!$AM:$AM,$O419))</f>
        <v/>
      </c>
      <c r="L419" s="17" t="str">
        <f aca="false">IF($O419="","",INDEX('Auto Process'!$AN:$AN,$O419))</f>
        <v/>
      </c>
      <c r="M419" s="17" t="str">
        <f aca="false">IF($O419="","",INDEX('Auto Process'!$AO:$AO,$O419))</f>
        <v/>
      </c>
      <c r="O419" s="19" t="str">
        <f aca="false">IFERROR(_xlfn.AGGREGATE(15,6,ROW('Auto Process'!$D$4:$D$503)/('Auto Process'!$D$4:$D$503="Panel Details"),ROW()-1),"")</f>
        <v/>
      </c>
    </row>
    <row r="420" customFormat="false" ht="13.5" hidden="false" customHeight="true" outlineLevel="0" collapsed="false">
      <c r="A420" s="27" t="str">
        <f aca="false">IF($O420="","",INDEX('Auto Process'!$AC:$AC,$O420))</f>
        <v/>
      </c>
      <c r="B420" s="17" t="str">
        <f aca="false">IF($O420="","",INDEX('Auto Process'!$AD:$AD,$O420))</f>
        <v/>
      </c>
      <c r="C420" s="17" t="str">
        <f aca="false">IF($O420="","",INDEX('Auto Process'!$AE:$AE,$O420))</f>
        <v/>
      </c>
      <c r="D420" s="17" t="str">
        <f aca="false">IF($O420="","",INDEX('Auto Process'!$AF:$AF,$O420))</f>
        <v/>
      </c>
      <c r="E420" s="17" t="str">
        <f aca="false">IF($O420="","",INDEX('Auto Process'!$AG:$AG,$O420))</f>
        <v/>
      </c>
      <c r="F420" s="17" t="str">
        <f aca="false">IF($O420="","",INDEX('Auto Process'!$AH:$AH,$O420))</f>
        <v/>
      </c>
      <c r="G420" s="17" t="str">
        <f aca="false">IF($O420="","",INDEX('Auto Process'!$AI:$AI,$O420))</f>
        <v/>
      </c>
      <c r="H420" s="17" t="str">
        <f aca="false">IF($O420="","",INDEX('Auto Process'!$AJ:$AJ,$O420))</f>
        <v/>
      </c>
      <c r="I420" s="17" t="str">
        <f aca="false">IF($O420="","",INDEX('Auto Process'!$AK:$AK,$O420))</f>
        <v/>
      </c>
      <c r="J420" s="17" t="str">
        <f aca="false">IF($O420="","",INDEX('Auto Process'!$AL:$AL,$O420))</f>
        <v/>
      </c>
      <c r="K420" s="17" t="str">
        <f aca="false">IF($O420="","",INDEX('Auto Process'!$AM:$AM,$O420))</f>
        <v/>
      </c>
      <c r="L420" s="17" t="str">
        <f aca="false">IF($O420="","",INDEX('Auto Process'!$AN:$AN,$O420))</f>
        <v/>
      </c>
      <c r="M420" s="17" t="str">
        <f aca="false">IF($O420="","",INDEX('Auto Process'!$AO:$AO,$O420))</f>
        <v/>
      </c>
      <c r="O420" s="19" t="str">
        <f aca="false">IFERROR(_xlfn.AGGREGATE(15,6,ROW('Auto Process'!$D$4:$D$503)/('Auto Process'!$D$4:$D$503="Panel Details"),ROW()-1),"")</f>
        <v/>
      </c>
    </row>
    <row r="421" customFormat="false" ht="13.5" hidden="false" customHeight="true" outlineLevel="0" collapsed="false">
      <c r="A421" s="27" t="str">
        <f aca="false">IF($O421="","",INDEX('Auto Process'!$AC:$AC,$O421))</f>
        <v/>
      </c>
      <c r="B421" s="17" t="str">
        <f aca="false">IF($O421="","",INDEX('Auto Process'!$AD:$AD,$O421))</f>
        <v/>
      </c>
      <c r="C421" s="17" t="str">
        <f aca="false">IF($O421="","",INDEX('Auto Process'!$AE:$AE,$O421))</f>
        <v/>
      </c>
      <c r="D421" s="17" t="str">
        <f aca="false">IF($O421="","",INDEX('Auto Process'!$AF:$AF,$O421))</f>
        <v/>
      </c>
      <c r="E421" s="17" t="str">
        <f aca="false">IF($O421="","",INDEX('Auto Process'!$AG:$AG,$O421))</f>
        <v/>
      </c>
      <c r="F421" s="17" t="str">
        <f aca="false">IF($O421="","",INDEX('Auto Process'!$AH:$AH,$O421))</f>
        <v/>
      </c>
      <c r="G421" s="17" t="str">
        <f aca="false">IF($O421="","",INDEX('Auto Process'!$AI:$AI,$O421))</f>
        <v/>
      </c>
      <c r="H421" s="17" t="str">
        <f aca="false">IF($O421="","",INDEX('Auto Process'!$AJ:$AJ,$O421))</f>
        <v/>
      </c>
      <c r="I421" s="17" t="str">
        <f aca="false">IF($O421="","",INDEX('Auto Process'!$AK:$AK,$O421))</f>
        <v/>
      </c>
      <c r="J421" s="17" t="str">
        <f aca="false">IF($O421="","",INDEX('Auto Process'!$AL:$AL,$O421))</f>
        <v/>
      </c>
      <c r="K421" s="17" t="str">
        <f aca="false">IF($O421="","",INDEX('Auto Process'!$AM:$AM,$O421))</f>
        <v/>
      </c>
      <c r="L421" s="17" t="str">
        <f aca="false">IF($O421="","",INDEX('Auto Process'!$AN:$AN,$O421))</f>
        <v/>
      </c>
      <c r="M421" s="17" t="str">
        <f aca="false">IF($O421="","",INDEX('Auto Process'!$AO:$AO,$O421))</f>
        <v/>
      </c>
      <c r="O421" s="19" t="str">
        <f aca="false">IFERROR(_xlfn.AGGREGATE(15,6,ROW('Auto Process'!$D$4:$D$503)/('Auto Process'!$D$4:$D$503="Panel Details"),ROW()-1),"")</f>
        <v/>
      </c>
    </row>
    <row r="422" customFormat="false" ht="13.5" hidden="false" customHeight="true" outlineLevel="0" collapsed="false">
      <c r="A422" s="27" t="str">
        <f aca="false">IF($O422="","",INDEX('Auto Process'!$AC:$AC,$O422))</f>
        <v/>
      </c>
      <c r="B422" s="17" t="str">
        <f aca="false">IF($O422="","",INDEX('Auto Process'!$AD:$AD,$O422))</f>
        <v/>
      </c>
      <c r="C422" s="17" t="str">
        <f aca="false">IF($O422="","",INDEX('Auto Process'!$AE:$AE,$O422))</f>
        <v/>
      </c>
      <c r="D422" s="17" t="str">
        <f aca="false">IF($O422="","",INDEX('Auto Process'!$AF:$AF,$O422))</f>
        <v/>
      </c>
      <c r="E422" s="17" t="str">
        <f aca="false">IF($O422="","",INDEX('Auto Process'!$AG:$AG,$O422))</f>
        <v/>
      </c>
      <c r="F422" s="17" t="str">
        <f aca="false">IF($O422="","",INDEX('Auto Process'!$AH:$AH,$O422))</f>
        <v/>
      </c>
      <c r="G422" s="17" t="str">
        <f aca="false">IF($O422="","",INDEX('Auto Process'!$AI:$AI,$O422))</f>
        <v/>
      </c>
      <c r="H422" s="17" t="str">
        <f aca="false">IF($O422="","",INDEX('Auto Process'!$AJ:$AJ,$O422))</f>
        <v/>
      </c>
      <c r="I422" s="17" t="str">
        <f aca="false">IF($O422="","",INDEX('Auto Process'!$AK:$AK,$O422))</f>
        <v/>
      </c>
      <c r="J422" s="17" t="str">
        <f aca="false">IF($O422="","",INDEX('Auto Process'!$AL:$AL,$O422))</f>
        <v/>
      </c>
      <c r="K422" s="17" t="str">
        <f aca="false">IF($O422="","",INDEX('Auto Process'!$AM:$AM,$O422))</f>
        <v/>
      </c>
      <c r="L422" s="17" t="str">
        <f aca="false">IF($O422="","",INDEX('Auto Process'!$AN:$AN,$O422))</f>
        <v/>
      </c>
      <c r="M422" s="17" t="str">
        <f aca="false">IF($O422="","",INDEX('Auto Process'!$AO:$AO,$O422))</f>
        <v/>
      </c>
      <c r="O422" s="19" t="str">
        <f aca="false">IFERROR(_xlfn.AGGREGATE(15,6,ROW('Auto Process'!$D$4:$D$503)/('Auto Process'!$D$4:$D$503="Panel Details"),ROW()-1),"")</f>
        <v/>
      </c>
    </row>
    <row r="423" customFormat="false" ht="13.5" hidden="false" customHeight="true" outlineLevel="0" collapsed="false">
      <c r="A423" s="27" t="str">
        <f aca="false">IF($O423="","",INDEX('Auto Process'!$AC:$AC,$O423))</f>
        <v/>
      </c>
      <c r="B423" s="17" t="str">
        <f aca="false">IF($O423="","",INDEX('Auto Process'!$AD:$AD,$O423))</f>
        <v/>
      </c>
      <c r="C423" s="17" t="str">
        <f aca="false">IF($O423="","",INDEX('Auto Process'!$AE:$AE,$O423))</f>
        <v/>
      </c>
      <c r="D423" s="17" t="str">
        <f aca="false">IF($O423="","",INDEX('Auto Process'!$AF:$AF,$O423))</f>
        <v/>
      </c>
      <c r="E423" s="17" t="str">
        <f aca="false">IF($O423="","",INDEX('Auto Process'!$AG:$AG,$O423))</f>
        <v/>
      </c>
      <c r="F423" s="17" t="str">
        <f aca="false">IF($O423="","",INDEX('Auto Process'!$AH:$AH,$O423))</f>
        <v/>
      </c>
      <c r="G423" s="17" t="str">
        <f aca="false">IF($O423="","",INDEX('Auto Process'!$AI:$AI,$O423))</f>
        <v/>
      </c>
      <c r="H423" s="17" t="str">
        <f aca="false">IF($O423="","",INDEX('Auto Process'!$AJ:$AJ,$O423))</f>
        <v/>
      </c>
      <c r="I423" s="17" t="str">
        <f aca="false">IF($O423="","",INDEX('Auto Process'!$AK:$AK,$O423))</f>
        <v/>
      </c>
      <c r="J423" s="17" t="str">
        <f aca="false">IF($O423="","",INDEX('Auto Process'!$AL:$AL,$O423))</f>
        <v/>
      </c>
      <c r="K423" s="17" t="str">
        <f aca="false">IF($O423="","",INDEX('Auto Process'!$AM:$AM,$O423))</f>
        <v/>
      </c>
      <c r="L423" s="17" t="str">
        <f aca="false">IF($O423="","",INDEX('Auto Process'!$AN:$AN,$O423))</f>
        <v/>
      </c>
      <c r="M423" s="17" t="str">
        <f aca="false">IF($O423="","",INDEX('Auto Process'!$AO:$AO,$O423))</f>
        <v/>
      </c>
      <c r="O423" s="19" t="str">
        <f aca="false">IFERROR(_xlfn.AGGREGATE(15,6,ROW('Auto Process'!$D$4:$D$503)/('Auto Process'!$D$4:$D$503="Panel Details"),ROW()-1),"")</f>
        <v/>
      </c>
    </row>
    <row r="424" customFormat="false" ht="13.5" hidden="false" customHeight="true" outlineLevel="0" collapsed="false">
      <c r="A424" s="27" t="str">
        <f aca="false">IF($O424="","",INDEX('Auto Process'!$AC:$AC,$O424))</f>
        <v/>
      </c>
      <c r="B424" s="17" t="str">
        <f aca="false">IF($O424="","",INDEX('Auto Process'!$AD:$AD,$O424))</f>
        <v/>
      </c>
      <c r="C424" s="17" t="str">
        <f aca="false">IF($O424="","",INDEX('Auto Process'!$AE:$AE,$O424))</f>
        <v/>
      </c>
      <c r="D424" s="17" t="str">
        <f aca="false">IF($O424="","",INDEX('Auto Process'!$AF:$AF,$O424))</f>
        <v/>
      </c>
      <c r="E424" s="17" t="str">
        <f aca="false">IF($O424="","",INDEX('Auto Process'!$AG:$AG,$O424))</f>
        <v/>
      </c>
      <c r="F424" s="17" t="str">
        <f aca="false">IF($O424="","",INDEX('Auto Process'!$AH:$AH,$O424))</f>
        <v/>
      </c>
      <c r="G424" s="17" t="str">
        <f aca="false">IF($O424="","",INDEX('Auto Process'!$AI:$AI,$O424))</f>
        <v/>
      </c>
      <c r="H424" s="17" t="str">
        <f aca="false">IF($O424="","",INDEX('Auto Process'!$AJ:$AJ,$O424))</f>
        <v/>
      </c>
      <c r="I424" s="17" t="str">
        <f aca="false">IF($O424="","",INDEX('Auto Process'!$AK:$AK,$O424))</f>
        <v/>
      </c>
      <c r="J424" s="17" t="str">
        <f aca="false">IF($O424="","",INDEX('Auto Process'!$AL:$AL,$O424))</f>
        <v/>
      </c>
      <c r="K424" s="17" t="str">
        <f aca="false">IF($O424="","",INDEX('Auto Process'!$AM:$AM,$O424))</f>
        <v/>
      </c>
      <c r="L424" s="17" t="str">
        <f aca="false">IF($O424="","",INDEX('Auto Process'!$AN:$AN,$O424))</f>
        <v/>
      </c>
      <c r="M424" s="17" t="str">
        <f aca="false">IF($O424="","",INDEX('Auto Process'!$AO:$AO,$O424))</f>
        <v/>
      </c>
      <c r="O424" s="19" t="str">
        <f aca="false">IFERROR(_xlfn.AGGREGATE(15,6,ROW('Auto Process'!$D$4:$D$503)/('Auto Process'!$D$4:$D$503="Panel Details"),ROW()-1),"")</f>
        <v/>
      </c>
    </row>
    <row r="425" customFormat="false" ht="13.5" hidden="false" customHeight="true" outlineLevel="0" collapsed="false">
      <c r="A425" s="27" t="str">
        <f aca="false">IF($O425="","",INDEX('Auto Process'!$AC:$AC,$O425))</f>
        <v/>
      </c>
      <c r="B425" s="17" t="str">
        <f aca="false">IF($O425="","",INDEX('Auto Process'!$AD:$AD,$O425))</f>
        <v/>
      </c>
      <c r="C425" s="17" t="str">
        <f aca="false">IF($O425="","",INDEX('Auto Process'!$AE:$AE,$O425))</f>
        <v/>
      </c>
      <c r="D425" s="17" t="str">
        <f aca="false">IF($O425="","",INDEX('Auto Process'!$AF:$AF,$O425))</f>
        <v/>
      </c>
      <c r="E425" s="17" t="str">
        <f aca="false">IF($O425="","",INDEX('Auto Process'!$AG:$AG,$O425))</f>
        <v/>
      </c>
      <c r="F425" s="17" t="str">
        <f aca="false">IF($O425="","",INDEX('Auto Process'!$AH:$AH,$O425))</f>
        <v/>
      </c>
      <c r="G425" s="17" t="str">
        <f aca="false">IF($O425="","",INDEX('Auto Process'!$AI:$AI,$O425))</f>
        <v/>
      </c>
      <c r="H425" s="17" t="str">
        <f aca="false">IF($O425="","",INDEX('Auto Process'!$AJ:$AJ,$O425))</f>
        <v/>
      </c>
      <c r="I425" s="17" t="str">
        <f aca="false">IF($O425="","",INDEX('Auto Process'!$AK:$AK,$O425))</f>
        <v/>
      </c>
      <c r="J425" s="17" t="str">
        <f aca="false">IF($O425="","",INDEX('Auto Process'!$AL:$AL,$O425))</f>
        <v/>
      </c>
      <c r="K425" s="17" t="str">
        <f aca="false">IF($O425="","",INDEX('Auto Process'!$AM:$AM,$O425))</f>
        <v/>
      </c>
      <c r="L425" s="17" t="str">
        <f aca="false">IF($O425="","",INDEX('Auto Process'!$AN:$AN,$O425))</f>
        <v/>
      </c>
      <c r="M425" s="17" t="str">
        <f aca="false">IF($O425="","",INDEX('Auto Process'!$AO:$AO,$O425))</f>
        <v/>
      </c>
      <c r="O425" s="19" t="str">
        <f aca="false">IFERROR(_xlfn.AGGREGATE(15,6,ROW('Auto Process'!$D$4:$D$503)/('Auto Process'!$D$4:$D$503="Panel Details"),ROW()-1),"")</f>
        <v/>
      </c>
    </row>
    <row r="426" customFormat="false" ht="13.5" hidden="false" customHeight="true" outlineLevel="0" collapsed="false">
      <c r="A426" s="27" t="str">
        <f aca="false">IF($O426="","",INDEX('Auto Process'!$AC:$AC,$O426))</f>
        <v/>
      </c>
      <c r="B426" s="17" t="str">
        <f aca="false">IF($O426="","",INDEX('Auto Process'!$AD:$AD,$O426))</f>
        <v/>
      </c>
      <c r="C426" s="17" t="str">
        <f aca="false">IF($O426="","",INDEX('Auto Process'!$AE:$AE,$O426))</f>
        <v/>
      </c>
      <c r="D426" s="17" t="str">
        <f aca="false">IF($O426="","",INDEX('Auto Process'!$AF:$AF,$O426))</f>
        <v/>
      </c>
      <c r="E426" s="17" t="str">
        <f aca="false">IF($O426="","",INDEX('Auto Process'!$AG:$AG,$O426))</f>
        <v/>
      </c>
      <c r="F426" s="17" t="str">
        <f aca="false">IF($O426="","",INDEX('Auto Process'!$AH:$AH,$O426))</f>
        <v/>
      </c>
      <c r="G426" s="17" t="str">
        <f aca="false">IF($O426="","",INDEX('Auto Process'!$AI:$AI,$O426))</f>
        <v/>
      </c>
      <c r="H426" s="17" t="str">
        <f aca="false">IF($O426="","",INDEX('Auto Process'!$AJ:$AJ,$O426))</f>
        <v/>
      </c>
      <c r="I426" s="17" t="str">
        <f aca="false">IF($O426="","",INDEX('Auto Process'!$AK:$AK,$O426))</f>
        <v/>
      </c>
      <c r="J426" s="17" t="str">
        <f aca="false">IF($O426="","",INDEX('Auto Process'!$AL:$AL,$O426))</f>
        <v/>
      </c>
      <c r="K426" s="17" t="str">
        <f aca="false">IF($O426="","",INDEX('Auto Process'!$AM:$AM,$O426))</f>
        <v/>
      </c>
      <c r="L426" s="17" t="str">
        <f aca="false">IF($O426="","",INDEX('Auto Process'!$AN:$AN,$O426))</f>
        <v/>
      </c>
      <c r="M426" s="17" t="str">
        <f aca="false">IF($O426="","",INDEX('Auto Process'!$AO:$AO,$O426))</f>
        <v/>
      </c>
      <c r="O426" s="19" t="str">
        <f aca="false">IFERROR(_xlfn.AGGREGATE(15,6,ROW('Auto Process'!$D$4:$D$503)/('Auto Process'!$D$4:$D$503="Panel Details"),ROW()-1),"")</f>
        <v/>
      </c>
    </row>
    <row r="427" customFormat="false" ht="13.5" hidden="false" customHeight="true" outlineLevel="0" collapsed="false">
      <c r="A427" s="27" t="str">
        <f aca="false">IF($O427="","",INDEX('Auto Process'!$AC:$AC,$O427))</f>
        <v/>
      </c>
      <c r="B427" s="17" t="str">
        <f aca="false">IF($O427="","",INDEX('Auto Process'!$AD:$AD,$O427))</f>
        <v/>
      </c>
      <c r="C427" s="17" t="str">
        <f aca="false">IF($O427="","",INDEX('Auto Process'!$AE:$AE,$O427))</f>
        <v/>
      </c>
      <c r="D427" s="17" t="str">
        <f aca="false">IF($O427="","",INDEX('Auto Process'!$AF:$AF,$O427))</f>
        <v/>
      </c>
      <c r="E427" s="17" t="str">
        <f aca="false">IF($O427="","",INDEX('Auto Process'!$AG:$AG,$O427))</f>
        <v/>
      </c>
      <c r="F427" s="17" t="str">
        <f aca="false">IF($O427="","",INDEX('Auto Process'!$AH:$AH,$O427))</f>
        <v/>
      </c>
      <c r="G427" s="17" t="str">
        <f aca="false">IF($O427="","",INDEX('Auto Process'!$AI:$AI,$O427))</f>
        <v/>
      </c>
      <c r="H427" s="17" t="str">
        <f aca="false">IF($O427="","",INDEX('Auto Process'!$AJ:$AJ,$O427))</f>
        <v/>
      </c>
      <c r="I427" s="17" t="str">
        <f aca="false">IF($O427="","",INDEX('Auto Process'!$AK:$AK,$O427))</f>
        <v/>
      </c>
      <c r="J427" s="17" t="str">
        <f aca="false">IF($O427="","",INDEX('Auto Process'!$AL:$AL,$O427))</f>
        <v/>
      </c>
      <c r="K427" s="17" t="str">
        <f aca="false">IF($O427="","",INDEX('Auto Process'!$AM:$AM,$O427))</f>
        <v/>
      </c>
      <c r="L427" s="17" t="str">
        <f aca="false">IF($O427="","",INDEX('Auto Process'!$AN:$AN,$O427))</f>
        <v/>
      </c>
      <c r="M427" s="17" t="str">
        <f aca="false">IF($O427="","",INDEX('Auto Process'!$AO:$AO,$O427))</f>
        <v/>
      </c>
      <c r="O427" s="19" t="str">
        <f aca="false">IFERROR(_xlfn.AGGREGATE(15,6,ROW('Auto Process'!$D$4:$D$503)/('Auto Process'!$D$4:$D$503="Panel Details"),ROW()-1),"")</f>
        <v/>
      </c>
    </row>
    <row r="428" customFormat="false" ht="13.5" hidden="false" customHeight="true" outlineLevel="0" collapsed="false">
      <c r="A428" s="27" t="str">
        <f aca="false">IF($O428="","",INDEX('Auto Process'!$AC:$AC,$O428))</f>
        <v/>
      </c>
      <c r="B428" s="17" t="str">
        <f aca="false">IF($O428="","",INDEX('Auto Process'!$AD:$AD,$O428))</f>
        <v/>
      </c>
      <c r="C428" s="17" t="str">
        <f aca="false">IF($O428="","",INDEX('Auto Process'!$AE:$AE,$O428))</f>
        <v/>
      </c>
      <c r="D428" s="17" t="str">
        <f aca="false">IF($O428="","",INDEX('Auto Process'!$AF:$AF,$O428))</f>
        <v/>
      </c>
      <c r="E428" s="17" t="str">
        <f aca="false">IF($O428="","",INDEX('Auto Process'!$AG:$AG,$O428))</f>
        <v/>
      </c>
      <c r="F428" s="17" t="str">
        <f aca="false">IF($O428="","",INDEX('Auto Process'!$AH:$AH,$O428))</f>
        <v/>
      </c>
      <c r="G428" s="17" t="str">
        <f aca="false">IF($O428="","",INDEX('Auto Process'!$AI:$AI,$O428))</f>
        <v/>
      </c>
      <c r="H428" s="17" t="str">
        <f aca="false">IF($O428="","",INDEX('Auto Process'!$AJ:$AJ,$O428))</f>
        <v/>
      </c>
      <c r="I428" s="17" t="str">
        <f aca="false">IF($O428="","",INDEX('Auto Process'!$AK:$AK,$O428))</f>
        <v/>
      </c>
      <c r="J428" s="17" t="str">
        <f aca="false">IF($O428="","",INDEX('Auto Process'!$AL:$AL,$O428))</f>
        <v/>
      </c>
      <c r="K428" s="17" t="str">
        <f aca="false">IF($O428="","",INDEX('Auto Process'!$AM:$AM,$O428))</f>
        <v/>
      </c>
      <c r="L428" s="17" t="str">
        <f aca="false">IF($O428="","",INDEX('Auto Process'!$AN:$AN,$O428))</f>
        <v/>
      </c>
      <c r="M428" s="17" t="str">
        <f aca="false">IF($O428="","",INDEX('Auto Process'!$AO:$AO,$O428))</f>
        <v/>
      </c>
      <c r="O428" s="19" t="str">
        <f aca="false">IFERROR(_xlfn.AGGREGATE(15,6,ROW('Auto Process'!$D$4:$D$503)/('Auto Process'!$D$4:$D$503="Panel Details"),ROW()-1),"")</f>
        <v/>
      </c>
    </row>
    <row r="429" customFormat="false" ht="13.5" hidden="false" customHeight="true" outlineLevel="0" collapsed="false">
      <c r="A429" s="27" t="str">
        <f aca="false">IF($O429="","",INDEX('Auto Process'!$AC:$AC,$O429))</f>
        <v/>
      </c>
      <c r="B429" s="17" t="str">
        <f aca="false">IF($O429="","",INDEX('Auto Process'!$AD:$AD,$O429))</f>
        <v/>
      </c>
      <c r="C429" s="17" t="str">
        <f aca="false">IF($O429="","",INDEX('Auto Process'!$AE:$AE,$O429))</f>
        <v/>
      </c>
      <c r="D429" s="17" t="str">
        <f aca="false">IF($O429="","",INDEX('Auto Process'!$AF:$AF,$O429))</f>
        <v/>
      </c>
      <c r="E429" s="17" t="str">
        <f aca="false">IF($O429="","",INDEX('Auto Process'!$AG:$AG,$O429))</f>
        <v/>
      </c>
      <c r="F429" s="17" t="str">
        <f aca="false">IF($O429="","",INDEX('Auto Process'!$AH:$AH,$O429))</f>
        <v/>
      </c>
      <c r="G429" s="17" t="str">
        <f aca="false">IF($O429="","",INDEX('Auto Process'!$AI:$AI,$O429))</f>
        <v/>
      </c>
      <c r="H429" s="17" t="str">
        <f aca="false">IF($O429="","",INDEX('Auto Process'!$AJ:$AJ,$O429))</f>
        <v/>
      </c>
      <c r="I429" s="17" t="str">
        <f aca="false">IF($O429="","",INDEX('Auto Process'!$AK:$AK,$O429))</f>
        <v/>
      </c>
      <c r="J429" s="17" t="str">
        <f aca="false">IF($O429="","",INDEX('Auto Process'!$AL:$AL,$O429))</f>
        <v/>
      </c>
      <c r="K429" s="17" t="str">
        <f aca="false">IF($O429="","",INDEX('Auto Process'!$AM:$AM,$O429))</f>
        <v/>
      </c>
      <c r="L429" s="17" t="str">
        <f aca="false">IF($O429="","",INDEX('Auto Process'!$AN:$AN,$O429))</f>
        <v/>
      </c>
      <c r="M429" s="17" t="str">
        <f aca="false">IF($O429="","",INDEX('Auto Process'!$AO:$AO,$O429))</f>
        <v/>
      </c>
      <c r="O429" s="19" t="str">
        <f aca="false">IFERROR(_xlfn.AGGREGATE(15,6,ROW('Auto Process'!$D$4:$D$503)/('Auto Process'!$D$4:$D$503="Panel Details"),ROW()-1),"")</f>
        <v/>
      </c>
    </row>
    <row r="430" customFormat="false" ht="13.5" hidden="false" customHeight="true" outlineLevel="0" collapsed="false">
      <c r="A430" s="27" t="str">
        <f aca="false">IF($O430="","",INDEX('Auto Process'!$AC:$AC,$O430))</f>
        <v/>
      </c>
      <c r="B430" s="17" t="str">
        <f aca="false">IF($O430="","",INDEX('Auto Process'!$AD:$AD,$O430))</f>
        <v/>
      </c>
      <c r="C430" s="17" t="str">
        <f aca="false">IF($O430="","",INDEX('Auto Process'!$AE:$AE,$O430))</f>
        <v/>
      </c>
      <c r="D430" s="17" t="str">
        <f aca="false">IF($O430="","",INDEX('Auto Process'!$AF:$AF,$O430))</f>
        <v/>
      </c>
      <c r="E430" s="17" t="str">
        <f aca="false">IF($O430="","",INDEX('Auto Process'!$AG:$AG,$O430))</f>
        <v/>
      </c>
      <c r="F430" s="17" t="str">
        <f aca="false">IF($O430="","",INDEX('Auto Process'!$AH:$AH,$O430))</f>
        <v/>
      </c>
      <c r="G430" s="17" t="str">
        <f aca="false">IF($O430="","",INDEX('Auto Process'!$AI:$AI,$O430))</f>
        <v/>
      </c>
      <c r="H430" s="17" t="str">
        <f aca="false">IF($O430="","",INDEX('Auto Process'!$AJ:$AJ,$O430))</f>
        <v/>
      </c>
      <c r="I430" s="17" t="str">
        <f aca="false">IF($O430="","",INDEX('Auto Process'!$AK:$AK,$O430))</f>
        <v/>
      </c>
      <c r="J430" s="17" t="str">
        <f aca="false">IF($O430="","",INDEX('Auto Process'!$AL:$AL,$O430))</f>
        <v/>
      </c>
      <c r="K430" s="17" t="str">
        <f aca="false">IF($O430="","",INDEX('Auto Process'!$AM:$AM,$O430))</f>
        <v/>
      </c>
      <c r="L430" s="17" t="str">
        <f aca="false">IF($O430="","",INDEX('Auto Process'!$AN:$AN,$O430))</f>
        <v/>
      </c>
      <c r="M430" s="17" t="str">
        <f aca="false">IF($O430="","",INDEX('Auto Process'!$AO:$AO,$O430))</f>
        <v/>
      </c>
      <c r="O430" s="19" t="str">
        <f aca="false">IFERROR(_xlfn.AGGREGATE(15,6,ROW('Auto Process'!$D$4:$D$503)/('Auto Process'!$D$4:$D$503="Panel Details"),ROW()-1),"")</f>
        <v/>
      </c>
    </row>
    <row r="431" customFormat="false" ht="13.5" hidden="false" customHeight="true" outlineLevel="0" collapsed="false">
      <c r="A431" s="27" t="str">
        <f aca="false">IF($O431="","",INDEX('Auto Process'!$AC:$AC,$O431))</f>
        <v/>
      </c>
      <c r="B431" s="17" t="str">
        <f aca="false">IF($O431="","",INDEX('Auto Process'!$AD:$AD,$O431))</f>
        <v/>
      </c>
      <c r="C431" s="17" t="str">
        <f aca="false">IF($O431="","",INDEX('Auto Process'!$AE:$AE,$O431))</f>
        <v/>
      </c>
      <c r="D431" s="17" t="str">
        <f aca="false">IF($O431="","",INDEX('Auto Process'!$AF:$AF,$O431))</f>
        <v/>
      </c>
      <c r="E431" s="17" t="str">
        <f aca="false">IF($O431="","",INDEX('Auto Process'!$AG:$AG,$O431))</f>
        <v/>
      </c>
      <c r="F431" s="17" t="str">
        <f aca="false">IF($O431="","",INDEX('Auto Process'!$AH:$AH,$O431))</f>
        <v/>
      </c>
      <c r="G431" s="17" t="str">
        <f aca="false">IF($O431="","",INDEX('Auto Process'!$AI:$AI,$O431))</f>
        <v/>
      </c>
      <c r="H431" s="17" t="str">
        <f aca="false">IF($O431="","",INDEX('Auto Process'!$AJ:$AJ,$O431))</f>
        <v/>
      </c>
      <c r="I431" s="17" t="str">
        <f aca="false">IF($O431="","",INDEX('Auto Process'!$AK:$AK,$O431))</f>
        <v/>
      </c>
      <c r="J431" s="17" t="str">
        <f aca="false">IF($O431="","",INDEX('Auto Process'!$AL:$AL,$O431))</f>
        <v/>
      </c>
      <c r="K431" s="17" t="str">
        <f aca="false">IF($O431="","",INDEX('Auto Process'!$AM:$AM,$O431))</f>
        <v/>
      </c>
      <c r="L431" s="17" t="str">
        <f aca="false">IF($O431="","",INDEX('Auto Process'!$AN:$AN,$O431))</f>
        <v/>
      </c>
      <c r="M431" s="17" t="str">
        <f aca="false">IF($O431="","",INDEX('Auto Process'!$AO:$AO,$O431))</f>
        <v/>
      </c>
      <c r="O431" s="19" t="str">
        <f aca="false">IFERROR(_xlfn.AGGREGATE(15,6,ROW('Auto Process'!$D$4:$D$503)/('Auto Process'!$D$4:$D$503="Panel Details"),ROW()-1),"")</f>
        <v/>
      </c>
    </row>
    <row r="432" customFormat="false" ht="13.5" hidden="false" customHeight="true" outlineLevel="0" collapsed="false">
      <c r="A432" s="27" t="str">
        <f aca="false">IF($O432="","",INDEX('Auto Process'!$AC:$AC,$O432))</f>
        <v/>
      </c>
      <c r="B432" s="17" t="str">
        <f aca="false">IF($O432="","",INDEX('Auto Process'!$AD:$AD,$O432))</f>
        <v/>
      </c>
      <c r="C432" s="17" t="str">
        <f aca="false">IF($O432="","",INDEX('Auto Process'!$AE:$AE,$O432))</f>
        <v/>
      </c>
      <c r="D432" s="17" t="str">
        <f aca="false">IF($O432="","",INDEX('Auto Process'!$AF:$AF,$O432))</f>
        <v/>
      </c>
      <c r="E432" s="17" t="str">
        <f aca="false">IF($O432="","",INDEX('Auto Process'!$AG:$AG,$O432))</f>
        <v/>
      </c>
      <c r="F432" s="17" t="str">
        <f aca="false">IF($O432="","",INDEX('Auto Process'!$AH:$AH,$O432))</f>
        <v/>
      </c>
      <c r="G432" s="17" t="str">
        <f aca="false">IF($O432="","",INDEX('Auto Process'!$AI:$AI,$O432))</f>
        <v/>
      </c>
      <c r="H432" s="17" t="str">
        <f aca="false">IF($O432="","",INDEX('Auto Process'!$AJ:$AJ,$O432))</f>
        <v/>
      </c>
      <c r="I432" s="17" t="str">
        <f aca="false">IF($O432="","",INDEX('Auto Process'!$AK:$AK,$O432))</f>
        <v/>
      </c>
      <c r="J432" s="17" t="str">
        <f aca="false">IF($O432="","",INDEX('Auto Process'!$AL:$AL,$O432))</f>
        <v/>
      </c>
      <c r="K432" s="17" t="str">
        <f aca="false">IF($O432="","",INDEX('Auto Process'!$AM:$AM,$O432))</f>
        <v/>
      </c>
      <c r="L432" s="17" t="str">
        <f aca="false">IF($O432="","",INDEX('Auto Process'!$AN:$AN,$O432))</f>
        <v/>
      </c>
      <c r="M432" s="17" t="str">
        <f aca="false">IF($O432="","",INDEX('Auto Process'!$AO:$AO,$O432))</f>
        <v/>
      </c>
      <c r="O432" s="19" t="str">
        <f aca="false">IFERROR(_xlfn.AGGREGATE(15,6,ROW('Auto Process'!$D$4:$D$503)/('Auto Process'!$D$4:$D$503="Panel Details"),ROW()-1),"")</f>
        <v/>
      </c>
    </row>
    <row r="433" customFormat="false" ht="13.5" hidden="false" customHeight="true" outlineLevel="0" collapsed="false">
      <c r="A433" s="27" t="str">
        <f aca="false">IF($O433="","",INDEX('Auto Process'!$AC:$AC,$O433))</f>
        <v/>
      </c>
      <c r="B433" s="17" t="str">
        <f aca="false">IF($O433="","",INDEX('Auto Process'!$AD:$AD,$O433))</f>
        <v/>
      </c>
      <c r="C433" s="17" t="str">
        <f aca="false">IF($O433="","",INDEX('Auto Process'!$AE:$AE,$O433))</f>
        <v/>
      </c>
      <c r="D433" s="17" t="str">
        <f aca="false">IF($O433="","",INDEX('Auto Process'!$AF:$AF,$O433))</f>
        <v/>
      </c>
      <c r="E433" s="17" t="str">
        <f aca="false">IF($O433="","",INDEX('Auto Process'!$AG:$AG,$O433))</f>
        <v/>
      </c>
      <c r="F433" s="17" t="str">
        <f aca="false">IF($O433="","",INDEX('Auto Process'!$AH:$AH,$O433))</f>
        <v/>
      </c>
      <c r="G433" s="17" t="str">
        <f aca="false">IF($O433="","",INDEX('Auto Process'!$AI:$AI,$O433))</f>
        <v/>
      </c>
      <c r="H433" s="17" t="str">
        <f aca="false">IF($O433="","",INDEX('Auto Process'!$AJ:$AJ,$O433))</f>
        <v/>
      </c>
      <c r="I433" s="17" t="str">
        <f aca="false">IF($O433="","",INDEX('Auto Process'!$AK:$AK,$O433))</f>
        <v/>
      </c>
      <c r="J433" s="17" t="str">
        <f aca="false">IF($O433="","",INDEX('Auto Process'!$AL:$AL,$O433))</f>
        <v/>
      </c>
      <c r="K433" s="17" t="str">
        <f aca="false">IF($O433="","",INDEX('Auto Process'!$AM:$AM,$O433))</f>
        <v/>
      </c>
      <c r="L433" s="17" t="str">
        <f aca="false">IF($O433="","",INDEX('Auto Process'!$AN:$AN,$O433))</f>
        <v/>
      </c>
      <c r="M433" s="17" t="str">
        <f aca="false">IF($O433="","",INDEX('Auto Process'!$AO:$AO,$O433))</f>
        <v/>
      </c>
      <c r="O433" s="19" t="str">
        <f aca="false">IFERROR(_xlfn.AGGREGATE(15,6,ROW('Auto Process'!$D$4:$D$503)/('Auto Process'!$D$4:$D$503="Panel Details"),ROW()-1),"")</f>
        <v/>
      </c>
    </row>
    <row r="434" customFormat="false" ht="13.5" hidden="false" customHeight="true" outlineLevel="0" collapsed="false">
      <c r="A434" s="27" t="str">
        <f aca="false">IF($O434="","",INDEX('Auto Process'!$AC:$AC,$O434))</f>
        <v/>
      </c>
      <c r="B434" s="17" t="str">
        <f aca="false">IF($O434="","",INDEX('Auto Process'!$AD:$AD,$O434))</f>
        <v/>
      </c>
      <c r="C434" s="17" t="str">
        <f aca="false">IF($O434="","",INDEX('Auto Process'!$AE:$AE,$O434))</f>
        <v/>
      </c>
      <c r="D434" s="17" t="str">
        <f aca="false">IF($O434="","",INDEX('Auto Process'!$AF:$AF,$O434))</f>
        <v/>
      </c>
      <c r="E434" s="17" t="str">
        <f aca="false">IF($O434="","",INDEX('Auto Process'!$AG:$AG,$O434))</f>
        <v/>
      </c>
      <c r="F434" s="17" t="str">
        <f aca="false">IF($O434="","",INDEX('Auto Process'!$AH:$AH,$O434))</f>
        <v/>
      </c>
      <c r="G434" s="17" t="str">
        <f aca="false">IF($O434="","",INDEX('Auto Process'!$AI:$AI,$O434))</f>
        <v/>
      </c>
      <c r="H434" s="17" t="str">
        <f aca="false">IF($O434="","",INDEX('Auto Process'!$AJ:$AJ,$O434))</f>
        <v/>
      </c>
      <c r="I434" s="17" t="str">
        <f aca="false">IF($O434="","",INDEX('Auto Process'!$AK:$AK,$O434))</f>
        <v/>
      </c>
      <c r="J434" s="17" t="str">
        <f aca="false">IF($O434="","",INDEX('Auto Process'!$AL:$AL,$O434))</f>
        <v/>
      </c>
      <c r="K434" s="17" t="str">
        <f aca="false">IF($O434="","",INDEX('Auto Process'!$AM:$AM,$O434))</f>
        <v/>
      </c>
      <c r="L434" s="17" t="str">
        <f aca="false">IF($O434="","",INDEX('Auto Process'!$AN:$AN,$O434))</f>
        <v/>
      </c>
      <c r="M434" s="17" t="str">
        <f aca="false">IF($O434="","",INDEX('Auto Process'!$AO:$AO,$O434))</f>
        <v/>
      </c>
      <c r="O434" s="19" t="str">
        <f aca="false">IFERROR(_xlfn.AGGREGATE(15,6,ROW('Auto Process'!$D$4:$D$503)/('Auto Process'!$D$4:$D$503="Panel Details"),ROW()-1),"")</f>
        <v/>
      </c>
    </row>
    <row r="435" customFormat="false" ht="13.5" hidden="false" customHeight="true" outlineLevel="0" collapsed="false">
      <c r="A435" s="27" t="str">
        <f aca="false">IF($O435="","",INDEX('Auto Process'!$AC:$AC,$O435))</f>
        <v/>
      </c>
      <c r="B435" s="17" t="str">
        <f aca="false">IF($O435="","",INDEX('Auto Process'!$AD:$AD,$O435))</f>
        <v/>
      </c>
      <c r="C435" s="17" t="str">
        <f aca="false">IF($O435="","",INDEX('Auto Process'!$AE:$AE,$O435))</f>
        <v/>
      </c>
      <c r="D435" s="17" t="str">
        <f aca="false">IF($O435="","",INDEX('Auto Process'!$AF:$AF,$O435))</f>
        <v/>
      </c>
      <c r="E435" s="17" t="str">
        <f aca="false">IF($O435="","",INDEX('Auto Process'!$AG:$AG,$O435))</f>
        <v/>
      </c>
      <c r="F435" s="17" t="str">
        <f aca="false">IF($O435="","",INDEX('Auto Process'!$AH:$AH,$O435))</f>
        <v/>
      </c>
      <c r="G435" s="17" t="str">
        <f aca="false">IF($O435="","",INDEX('Auto Process'!$AI:$AI,$O435))</f>
        <v/>
      </c>
      <c r="H435" s="17" t="str">
        <f aca="false">IF($O435="","",INDEX('Auto Process'!$AJ:$AJ,$O435))</f>
        <v/>
      </c>
      <c r="I435" s="17" t="str">
        <f aca="false">IF($O435="","",INDEX('Auto Process'!$AK:$AK,$O435))</f>
        <v/>
      </c>
      <c r="J435" s="17" t="str">
        <f aca="false">IF($O435="","",INDEX('Auto Process'!$AL:$AL,$O435))</f>
        <v/>
      </c>
      <c r="K435" s="17" t="str">
        <f aca="false">IF($O435="","",INDEX('Auto Process'!$AM:$AM,$O435))</f>
        <v/>
      </c>
      <c r="L435" s="17" t="str">
        <f aca="false">IF($O435="","",INDEX('Auto Process'!$AN:$AN,$O435))</f>
        <v/>
      </c>
      <c r="M435" s="17" t="str">
        <f aca="false">IF($O435="","",INDEX('Auto Process'!$AO:$AO,$O435))</f>
        <v/>
      </c>
      <c r="O435" s="19" t="str">
        <f aca="false">IFERROR(_xlfn.AGGREGATE(15,6,ROW('Auto Process'!$D$4:$D$503)/('Auto Process'!$D$4:$D$503="Panel Details"),ROW()-1),"")</f>
        <v/>
      </c>
    </row>
    <row r="436" customFormat="false" ht="13.5" hidden="false" customHeight="true" outlineLevel="0" collapsed="false">
      <c r="A436" s="27" t="str">
        <f aca="false">IF($O436="","",INDEX('Auto Process'!$AC:$AC,$O436))</f>
        <v/>
      </c>
      <c r="B436" s="17" t="str">
        <f aca="false">IF($O436="","",INDEX('Auto Process'!$AD:$AD,$O436))</f>
        <v/>
      </c>
      <c r="C436" s="17" t="str">
        <f aca="false">IF($O436="","",INDEX('Auto Process'!$AE:$AE,$O436))</f>
        <v/>
      </c>
      <c r="D436" s="17" t="str">
        <f aca="false">IF($O436="","",INDEX('Auto Process'!$AF:$AF,$O436))</f>
        <v/>
      </c>
      <c r="E436" s="17" t="str">
        <f aca="false">IF($O436="","",INDEX('Auto Process'!$AG:$AG,$O436))</f>
        <v/>
      </c>
      <c r="F436" s="17" t="str">
        <f aca="false">IF($O436="","",INDEX('Auto Process'!$AH:$AH,$O436))</f>
        <v/>
      </c>
      <c r="G436" s="17" t="str">
        <f aca="false">IF($O436="","",INDEX('Auto Process'!$AI:$AI,$O436))</f>
        <v/>
      </c>
      <c r="H436" s="17" t="str">
        <f aca="false">IF($O436="","",INDEX('Auto Process'!$AJ:$AJ,$O436))</f>
        <v/>
      </c>
      <c r="I436" s="17" t="str">
        <f aca="false">IF($O436="","",INDEX('Auto Process'!$AK:$AK,$O436))</f>
        <v/>
      </c>
      <c r="J436" s="17" t="str">
        <f aca="false">IF($O436="","",INDEX('Auto Process'!$AL:$AL,$O436))</f>
        <v/>
      </c>
      <c r="K436" s="17" t="str">
        <f aca="false">IF($O436="","",INDEX('Auto Process'!$AM:$AM,$O436))</f>
        <v/>
      </c>
      <c r="L436" s="17" t="str">
        <f aca="false">IF($O436="","",INDEX('Auto Process'!$AN:$AN,$O436))</f>
        <v/>
      </c>
      <c r="M436" s="17" t="str">
        <f aca="false">IF($O436="","",INDEX('Auto Process'!$AO:$AO,$O436))</f>
        <v/>
      </c>
      <c r="O436" s="19" t="str">
        <f aca="false">IFERROR(_xlfn.AGGREGATE(15,6,ROW('Auto Process'!$D$4:$D$503)/('Auto Process'!$D$4:$D$503="Panel Details"),ROW()-1),"")</f>
        <v/>
      </c>
    </row>
    <row r="437" customFormat="false" ht="13.5" hidden="false" customHeight="true" outlineLevel="0" collapsed="false">
      <c r="A437" s="27" t="str">
        <f aca="false">IF($O437="","",INDEX('Auto Process'!$AC:$AC,$O437))</f>
        <v/>
      </c>
      <c r="B437" s="17" t="str">
        <f aca="false">IF($O437="","",INDEX('Auto Process'!$AD:$AD,$O437))</f>
        <v/>
      </c>
      <c r="C437" s="17" t="str">
        <f aca="false">IF($O437="","",INDEX('Auto Process'!$AE:$AE,$O437))</f>
        <v/>
      </c>
      <c r="D437" s="17" t="str">
        <f aca="false">IF($O437="","",INDEX('Auto Process'!$AF:$AF,$O437))</f>
        <v/>
      </c>
      <c r="E437" s="17" t="str">
        <f aca="false">IF($O437="","",INDEX('Auto Process'!$AG:$AG,$O437))</f>
        <v/>
      </c>
      <c r="F437" s="17" t="str">
        <f aca="false">IF($O437="","",INDEX('Auto Process'!$AH:$AH,$O437))</f>
        <v/>
      </c>
      <c r="G437" s="17" t="str">
        <f aca="false">IF($O437="","",INDEX('Auto Process'!$AI:$AI,$O437))</f>
        <v/>
      </c>
      <c r="H437" s="17" t="str">
        <f aca="false">IF($O437="","",INDEX('Auto Process'!$AJ:$AJ,$O437))</f>
        <v/>
      </c>
      <c r="I437" s="17" t="str">
        <f aca="false">IF($O437="","",INDEX('Auto Process'!$AK:$AK,$O437))</f>
        <v/>
      </c>
      <c r="J437" s="17" t="str">
        <f aca="false">IF($O437="","",INDEX('Auto Process'!$AL:$AL,$O437))</f>
        <v/>
      </c>
      <c r="K437" s="17" t="str">
        <f aca="false">IF($O437="","",INDEX('Auto Process'!$AM:$AM,$O437))</f>
        <v/>
      </c>
      <c r="L437" s="17" t="str">
        <f aca="false">IF($O437="","",INDEX('Auto Process'!$AN:$AN,$O437))</f>
        <v/>
      </c>
      <c r="M437" s="17" t="str">
        <f aca="false">IF($O437="","",INDEX('Auto Process'!$AO:$AO,$O437))</f>
        <v/>
      </c>
      <c r="O437" s="19" t="str">
        <f aca="false">IFERROR(_xlfn.AGGREGATE(15,6,ROW('Auto Process'!$D$4:$D$503)/('Auto Process'!$D$4:$D$503="Panel Details"),ROW()-1),"")</f>
        <v/>
      </c>
    </row>
    <row r="438" customFormat="false" ht="13.5" hidden="false" customHeight="true" outlineLevel="0" collapsed="false">
      <c r="A438" s="27" t="str">
        <f aca="false">IF($O438="","",INDEX('Auto Process'!$AC:$AC,$O438))</f>
        <v/>
      </c>
      <c r="B438" s="17" t="str">
        <f aca="false">IF($O438="","",INDEX('Auto Process'!$AD:$AD,$O438))</f>
        <v/>
      </c>
      <c r="C438" s="17" t="str">
        <f aca="false">IF($O438="","",INDEX('Auto Process'!$AE:$AE,$O438))</f>
        <v/>
      </c>
      <c r="D438" s="17" t="str">
        <f aca="false">IF($O438="","",INDEX('Auto Process'!$AF:$AF,$O438))</f>
        <v/>
      </c>
      <c r="E438" s="17" t="str">
        <f aca="false">IF($O438="","",INDEX('Auto Process'!$AG:$AG,$O438))</f>
        <v/>
      </c>
      <c r="F438" s="17" t="str">
        <f aca="false">IF($O438="","",INDEX('Auto Process'!$AH:$AH,$O438))</f>
        <v/>
      </c>
      <c r="G438" s="17" t="str">
        <f aca="false">IF($O438="","",INDEX('Auto Process'!$AI:$AI,$O438))</f>
        <v/>
      </c>
      <c r="H438" s="17" t="str">
        <f aca="false">IF($O438="","",INDEX('Auto Process'!$AJ:$AJ,$O438))</f>
        <v/>
      </c>
      <c r="I438" s="17" t="str">
        <f aca="false">IF($O438="","",INDEX('Auto Process'!$AK:$AK,$O438))</f>
        <v/>
      </c>
      <c r="J438" s="17" t="str">
        <f aca="false">IF($O438="","",INDEX('Auto Process'!$AL:$AL,$O438))</f>
        <v/>
      </c>
      <c r="K438" s="17" t="str">
        <f aca="false">IF($O438="","",INDEX('Auto Process'!$AM:$AM,$O438))</f>
        <v/>
      </c>
      <c r="L438" s="17" t="str">
        <f aca="false">IF($O438="","",INDEX('Auto Process'!$AN:$AN,$O438))</f>
        <v/>
      </c>
      <c r="M438" s="17" t="str">
        <f aca="false">IF($O438="","",INDEX('Auto Process'!$AO:$AO,$O438))</f>
        <v/>
      </c>
      <c r="O438" s="19" t="str">
        <f aca="false">IFERROR(_xlfn.AGGREGATE(15,6,ROW('Auto Process'!$D$4:$D$503)/('Auto Process'!$D$4:$D$503="Panel Details"),ROW()-1),"")</f>
        <v/>
      </c>
    </row>
    <row r="439" customFormat="false" ht="13.5" hidden="false" customHeight="true" outlineLevel="0" collapsed="false">
      <c r="A439" s="27" t="str">
        <f aca="false">IF($O439="","",INDEX('Auto Process'!$AC:$AC,$O439))</f>
        <v/>
      </c>
      <c r="B439" s="17" t="str">
        <f aca="false">IF($O439="","",INDEX('Auto Process'!$AD:$AD,$O439))</f>
        <v/>
      </c>
      <c r="C439" s="17" t="str">
        <f aca="false">IF($O439="","",INDEX('Auto Process'!$AE:$AE,$O439))</f>
        <v/>
      </c>
      <c r="D439" s="17" t="str">
        <f aca="false">IF($O439="","",INDEX('Auto Process'!$AF:$AF,$O439))</f>
        <v/>
      </c>
      <c r="E439" s="17" t="str">
        <f aca="false">IF($O439="","",INDEX('Auto Process'!$AG:$AG,$O439))</f>
        <v/>
      </c>
      <c r="F439" s="17" t="str">
        <f aca="false">IF($O439="","",INDEX('Auto Process'!$AH:$AH,$O439))</f>
        <v/>
      </c>
      <c r="G439" s="17" t="str">
        <f aca="false">IF($O439="","",INDEX('Auto Process'!$AI:$AI,$O439))</f>
        <v/>
      </c>
      <c r="H439" s="17" t="str">
        <f aca="false">IF($O439="","",INDEX('Auto Process'!$AJ:$AJ,$O439))</f>
        <v/>
      </c>
      <c r="I439" s="17" t="str">
        <f aca="false">IF($O439="","",INDEX('Auto Process'!$AK:$AK,$O439))</f>
        <v/>
      </c>
      <c r="J439" s="17" t="str">
        <f aca="false">IF($O439="","",INDEX('Auto Process'!$AL:$AL,$O439))</f>
        <v/>
      </c>
      <c r="K439" s="17" t="str">
        <f aca="false">IF($O439="","",INDEX('Auto Process'!$AM:$AM,$O439))</f>
        <v/>
      </c>
      <c r="L439" s="17" t="str">
        <f aca="false">IF($O439="","",INDEX('Auto Process'!$AN:$AN,$O439))</f>
        <v/>
      </c>
      <c r="M439" s="17" t="str">
        <f aca="false">IF($O439="","",INDEX('Auto Process'!$AO:$AO,$O439))</f>
        <v/>
      </c>
      <c r="O439" s="19" t="str">
        <f aca="false">IFERROR(_xlfn.AGGREGATE(15,6,ROW('Auto Process'!$D$4:$D$503)/('Auto Process'!$D$4:$D$503="Panel Details"),ROW()-1),"")</f>
        <v/>
      </c>
    </row>
    <row r="440" customFormat="false" ht="13.5" hidden="false" customHeight="true" outlineLevel="0" collapsed="false">
      <c r="A440" s="27" t="str">
        <f aca="false">IF($O440="","",INDEX('Auto Process'!$AC:$AC,$O440))</f>
        <v/>
      </c>
      <c r="B440" s="17" t="str">
        <f aca="false">IF($O440="","",INDEX('Auto Process'!$AD:$AD,$O440))</f>
        <v/>
      </c>
      <c r="C440" s="17" t="str">
        <f aca="false">IF($O440="","",INDEX('Auto Process'!$AE:$AE,$O440))</f>
        <v/>
      </c>
      <c r="D440" s="17" t="str">
        <f aca="false">IF($O440="","",INDEX('Auto Process'!$AF:$AF,$O440))</f>
        <v/>
      </c>
      <c r="E440" s="17" t="str">
        <f aca="false">IF($O440="","",INDEX('Auto Process'!$AG:$AG,$O440))</f>
        <v/>
      </c>
      <c r="F440" s="17" t="str">
        <f aca="false">IF($O440="","",INDEX('Auto Process'!$AH:$AH,$O440))</f>
        <v/>
      </c>
      <c r="G440" s="17" t="str">
        <f aca="false">IF($O440="","",INDEX('Auto Process'!$AI:$AI,$O440))</f>
        <v/>
      </c>
      <c r="H440" s="17" t="str">
        <f aca="false">IF($O440="","",INDEX('Auto Process'!$AJ:$AJ,$O440))</f>
        <v/>
      </c>
      <c r="I440" s="17" t="str">
        <f aca="false">IF($O440="","",INDEX('Auto Process'!$AK:$AK,$O440))</f>
        <v/>
      </c>
      <c r="J440" s="17" t="str">
        <f aca="false">IF($O440="","",INDEX('Auto Process'!$AL:$AL,$O440))</f>
        <v/>
      </c>
      <c r="K440" s="17" t="str">
        <f aca="false">IF($O440="","",INDEX('Auto Process'!$AM:$AM,$O440))</f>
        <v/>
      </c>
      <c r="L440" s="17" t="str">
        <f aca="false">IF($O440="","",INDEX('Auto Process'!$AN:$AN,$O440))</f>
        <v/>
      </c>
      <c r="M440" s="17" t="str">
        <f aca="false">IF($O440="","",INDEX('Auto Process'!$AO:$AO,$O440))</f>
        <v/>
      </c>
      <c r="O440" s="19" t="str">
        <f aca="false">IFERROR(_xlfn.AGGREGATE(15,6,ROW('Auto Process'!$D$4:$D$503)/('Auto Process'!$D$4:$D$503="Panel Details"),ROW()-1),"")</f>
        <v/>
      </c>
    </row>
    <row r="441" customFormat="false" ht="13.5" hidden="false" customHeight="true" outlineLevel="0" collapsed="false">
      <c r="A441" s="27" t="str">
        <f aca="false">IF($O441="","",INDEX('Auto Process'!$AC:$AC,$O441))</f>
        <v/>
      </c>
      <c r="B441" s="17" t="str">
        <f aca="false">IF($O441="","",INDEX('Auto Process'!$AD:$AD,$O441))</f>
        <v/>
      </c>
      <c r="C441" s="17" t="str">
        <f aca="false">IF($O441="","",INDEX('Auto Process'!$AE:$AE,$O441))</f>
        <v/>
      </c>
      <c r="D441" s="17" t="str">
        <f aca="false">IF($O441="","",INDEX('Auto Process'!$AF:$AF,$O441))</f>
        <v/>
      </c>
      <c r="E441" s="17" t="str">
        <f aca="false">IF($O441="","",INDEX('Auto Process'!$AG:$AG,$O441))</f>
        <v/>
      </c>
      <c r="F441" s="17" t="str">
        <f aca="false">IF($O441="","",INDEX('Auto Process'!$AH:$AH,$O441))</f>
        <v/>
      </c>
      <c r="G441" s="17" t="str">
        <f aca="false">IF($O441="","",INDEX('Auto Process'!$AI:$AI,$O441))</f>
        <v/>
      </c>
      <c r="H441" s="17" t="str">
        <f aca="false">IF($O441="","",INDEX('Auto Process'!$AJ:$AJ,$O441))</f>
        <v/>
      </c>
      <c r="I441" s="17" t="str">
        <f aca="false">IF($O441="","",INDEX('Auto Process'!$AK:$AK,$O441))</f>
        <v/>
      </c>
      <c r="J441" s="17" t="str">
        <f aca="false">IF($O441="","",INDEX('Auto Process'!$AL:$AL,$O441))</f>
        <v/>
      </c>
      <c r="K441" s="17" t="str">
        <f aca="false">IF($O441="","",INDEX('Auto Process'!$AM:$AM,$O441))</f>
        <v/>
      </c>
      <c r="L441" s="17" t="str">
        <f aca="false">IF($O441="","",INDEX('Auto Process'!$AN:$AN,$O441))</f>
        <v/>
      </c>
      <c r="M441" s="17" t="str">
        <f aca="false">IF($O441="","",INDEX('Auto Process'!$AO:$AO,$O441))</f>
        <v/>
      </c>
      <c r="O441" s="19" t="str">
        <f aca="false">IFERROR(_xlfn.AGGREGATE(15,6,ROW('Auto Process'!$D$4:$D$503)/('Auto Process'!$D$4:$D$503="Panel Details"),ROW()-1),"")</f>
        <v/>
      </c>
    </row>
    <row r="442" customFormat="false" ht="13.5" hidden="false" customHeight="true" outlineLevel="0" collapsed="false">
      <c r="A442" s="27" t="str">
        <f aca="false">IF($O442="","",INDEX('Auto Process'!$AC:$AC,$O442))</f>
        <v/>
      </c>
      <c r="B442" s="17" t="str">
        <f aca="false">IF($O442="","",INDEX('Auto Process'!$AD:$AD,$O442))</f>
        <v/>
      </c>
      <c r="C442" s="17" t="str">
        <f aca="false">IF($O442="","",INDEX('Auto Process'!$AE:$AE,$O442))</f>
        <v/>
      </c>
      <c r="D442" s="17" t="str">
        <f aca="false">IF($O442="","",INDEX('Auto Process'!$AF:$AF,$O442))</f>
        <v/>
      </c>
      <c r="E442" s="17" t="str">
        <f aca="false">IF($O442="","",INDEX('Auto Process'!$AG:$AG,$O442))</f>
        <v/>
      </c>
      <c r="F442" s="17" t="str">
        <f aca="false">IF($O442="","",INDEX('Auto Process'!$AH:$AH,$O442))</f>
        <v/>
      </c>
      <c r="G442" s="17" t="str">
        <f aca="false">IF($O442="","",INDEX('Auto Process'!$AI:$AI,$O442))</f>
        <v/>
      </c>
      <c r="H442" s="17" t="str">
        <f aca="false">IF($O442="","",INDEX('Auto Process'!$AJ:$AJ,$O442))</f>
        <v/>
      </c>
      <c r="I442" s="17" t="str">
        <f aca="false">IF($O442="","",INDEX('Auto Process'!$AK:$AK,$O442))</f>
        <v/>
      </c>
      <c r="J442" s="17" t="str">
        <f aca="false">IF($O442="","",INDEX('Auto Process'!$AL:$AL,$O442))</f>
        <v/>
      </c>
      <c r="K442" s="17" t="str">
        <f aca="false">IF($O442="","",INDEX('Auto Process'!$AM:$AM,$O442))</f>
        <v/>
      </c>
      <c r="L442" s="17" t="str">
        <f aca="false">IF($O442="","",INDEX('Auto Process'!$AN:$AN,$O442))</f>
        <v/>
      </c>
      <c r="M442" s="17" t="str">
        <f aca="false">IF($O442="","",INDEX('Auto Process'!$AO:$AO,$O442))</f>
        <v/>
      </c>
      <c r="O442" s="19" t="str">
        <f aca="false">IFERROR(_xlfn.AGGREGATE(15,6,ROW('Auto Process'!$D$4:$D$503)/('Auto Process'!$D$4:$D$503="Panel Details"),ROW()-1),"")</f>
        <v/>
      </c>
    </row>
    <row r="443" customFormat="false" ht="13.5" hidden="false" customHeight="true" outlineLevel="0" collapsed="false">
      <c r="A443" s="27" t="str">
        <f aca="false">IF($O443="","",INDEX('Auto Process'!$AC:$AC,$O443))</f>
        <v/>
      </c>
      <c r="B443" s="17" t="str">
        <f aca="false">IF($O443="","",INDEX('Auto Process'!$AD:$AD,$O443))</f>
        <v/>
      </c>
      <c r="C443" s="17" t="str">
        <f aca="false">IF($O443="","",INDEX('Auto Process'!$AE:$AE,$O443))</f>
        <v/>
      </c>
      <c r="D443" s="17" t="str">
        <f aca="false">IF($O443="","",INDEX('Auto Process'!$AF:$AF,$O443))</f>
        <v/>
      </c>
      <c r="E443" s="17" t="str">
        <f aca="false">IF($O443="","",INDEX('Auto Process'!$AG:$AG,$O443))</f>
        <v/>
      </c>
      <c r="F443" s="17" t="str">
        <f aca="false">IF($O443="","",INDEX('Auto Process'!$AH:$AH,$O443))</f>
        <v/>
      </c>
      <c r="G443" s="17" t="str">
        <f aca="false">IF($O443="","",INDEX('Auto Process'!$AI:$AI,$O443))</f>
        <v/>
      </c>
      <c r="H443" s="17" t="str">
        <f aca="false">IF($O443="","",INDEX('Auto Process'!$AJ:$AJ,$O443))</f>
        <v/>
      </c>
      <c r="I443" s="17" t="str">
        <f aca="false">IF($O443="","",INDEX('Auto Process'!$AK:$AK,$O443))</f>
        <v/>
      </c>
      <c r="J443" s="17" t="str">
        <f aca="false">IF($O443="","",INDEX('Auto Process'!$AL:$AL,$O443))</f>
        <v/>
      </c>
      <c r="K443" s="17" t="str">
        <f aca="false">IF($O443="","",INDEX('Auto Process'!$AM:$AM,$O443))</f>
        <v/>
      </c>
      <c r="L443" s="17" t="str">
        <f aca="false">IF($O443="","",INDEX('Auto Process'!$AN:$AN,$O443))</f>
        <v/>
      </c>
      <c r="M443" s="17" t="str">
        <f aca="false">IF($O443="","",INDEX('Auto Process'!$AO:$AO,$O443))</f>
        <v/>
      </c>
      <c r="O443" s="19" t="str">
        <f aca="false">IFERROR(_xlfn.AGGREGATE(15,6,ROW('Auto Process'!$D$4:$D$503)/('Auto Process'!$D$4:$D$503="Panel Details"),ROW()-1),"")</f>
        <v/>
      </c>
    </row>
    <row r="444" customFormat="false" ht="13.5" hidden="false" customHeight="true" outlineLevel="0" collapsed="false">
      <c r="A444" s="27" t="str">
        <f aca="false">IF($O444="","",INDEX('Auto Process'!$AC:$AC,$O444))</f>
        <v/>
      </c>
      <c r="B444" s="17" t="str">
        <f aca="false">IF($O444="","",INDEX('Auto Process'!$AD:$AD,$O444))</f>
        <v/>
      </c>
      <c r="C444" s="17" t="str">
        <f aca="false">IF($O444="","",INDEX('Auto Process'!$AE:$AE,$O444))</f>
        <v/>
      </c>
      <c r="D444" s="17" t="str">
        <f aca="false">IF($O444="","",INDEX('Auto Process'!$AF:$AF,$O444))</f>
        <v/>
      </c>
      <c r="E444" s="17" t="str">
        <f aca="false">IF($O444="","",INDEX('Auto Process'!$AG:$AG,$O444))</f>
        <v/>
      </c>
      <c r="F444" s="17" t="str">
        <f aca="false">IF($O444="","",INDEX('Auto Process'!$AH:$AH,$O444))</f>
        <v/>
      </c>
      <c r="G444" s="17" t="str">
        <f aca="false">IF($O444="","",INDEX('Auto Process'!$AI:$AI,$O444))</f>
        <v/>
      </c>
      <c r="H444" s="17" t="str">
        <f aca="false">IF($O444="","",INDEX('Auto Process'!$AJ:$AJ,$O444))</f>
        <v/>
      </c>
      <c r="I444" s="17" t="str">
        <f aca="false">IF($O444="","",INDEX('Auto Process'!$AK:$AK,$O444))</f>
        <v/>
      </c>
      <c r="J444" s="17" t="str">
        <f aca="false">IF($O444="","",INDEX('Auto Process'!$AL:$AL,$O444))</f>
        <v/>
      </c>
      <c r="K444" s="17" t="str">
        <f aca="false">IF($O444="","",INDEX('Auto Process'!$AM:$AM,$O444))</f>
        <v/>
      </c>
      <c r="L444" s="17" t="str">
        <f aca="false">IF($O444="","",INDEX('Auto Process'!$AN:$AN,$O444))</f>
        <v/>
      </c>
      <c r="M444" s="17" t="str">
        <f aca="false">IF($O444="","",INDEX('Auto Process'!$AO:$AO,$O444))</f>
        <v/>
      </c>
      <c r="O444" s="19" t="str">
        <f aca="false">IFERROR(_xlfn.AGGREGATE(15,6,ROW('Auto Process'!$D$4:$D$503)/('Auto Process'!$D$4:$D$503="Panel Details"),ROW()-1),"")</f>
        <v/>
      </c>
    </row>
    <row r="445" customFormat="false" ht="13.5" hidden="false" customHeight="true" outlineLevel="0" collapsed="false">
      <c r="A445" s="27" t="str">
        <f aca="false">IF($O445="","",INDEX('Auto Process'!$AC:$AC,$O445))</f>
        <v/>
      </c>
      <c r="B445" s="17" t="str">
        <f aca="false">IF($O445="","",INDEX('Auto Process'!$AD:$AD,$O445))</f>
        <v/>
      </c>
      <c r="C445" s="17" t="str">
        <f aca="false">IF($O445="","",INDEX('Auto Process'!$AE:$AE,$O445))</f>
        <v/>
      </c>
      <c r="D445" s="17" t="str">
        <f aca="false">IF($O445="","",INDEX('Auto Process'!$AF:$AF,$O445))</f>
        <v/>
      </c>
      <c r="E445" s="17" t="str">
        <f aca="false">IF($O445="","",INDEX('Auto Process'!$AG:$AG,$O445))</f>
        <v/>
      </c>
      <c r="F445" s="17" t="str">
        <f aca="false">IF($O445="","",INDEX('Auto Process'!$AH:$AH,$O445))</f>
        <v/>
      </c>
      <c r="G445" s="17" t="str">
        <f aca="false">IF($O445="","",INDEX('Auto Process'!$AI:$AI,$O445))</f>
        <v/>
      </c>
      <c r="H445" s="17" t="str">
        <f aca="false">IF($O445="","",INDEX('Auto Process'!$AJ:$AJ,$O445))</f>
        <v/>
      </c>
      <c r="I445" s="17" t="str">
        <f aca="false">IF($O445="","",INDEX('Auto Process'!$AK:$AK,$O445))</f>
        <v/>
      </c>
      <c r="J445" s="17" t="str">
        <f aca="false">IF($O445="","",INDEX('Auto Process'!$AL:$AL,$O445))</f>
        <v/>
      </c>
      <c r="K445" s="17" t="str">
        <f aca="false">IF($O445="","",INDEX('Auto Process'!$AM:$AM,$O445))</f>
        <v/>
      </c>
      <c r="L445" s="17" t="str">
        <f aca="false">IF($O445="","",INDEX('Auto Process'!$AN:$AN,$O445))</f>
        <v/>
      </c>
      <c r="M445" s="17" t="str">
        <f aca="false">IF($O445="","",INDEX('Auto Process'!$AO:$AO,$O445))</f>
        <v/>
      </c>
      <c r="O445" s="19" t="str">
        <f aca="false">IFERROR(_xlfn.AGGREGATE(15,6,ROW('Auto Process'!$D$4:$D$503)/('Auto Process'!$D$4:$D$503="Panel Details"),ROW()-1),"")</f>
        <v/>
      </c>
    </row>
    <row r="446" customFormat="false" ht="13.5" hidden="false" customHeight="true" outlineLevel="0" collapsed="false">
      <c r="A446" s="27" t="str">
        <f aca="false">IF($O446="","",INDEX('Auto Process'!$AC:$AC,$O446))</f>
        <v/>
      </c>
      <c r="B446" s="17" t="str">
        <f aca="false">IF($O446="","",INDEX('Auto Process'!$AD:$AD,$O446))</f>
        <v/>
      </c>
      <c r="C446" s="17" t="str">
        <f aca="false">IF($O446="","",INDEX('Auto Process'!$AE:$AE,$O446))</f>
        <v/>
      </c>
      <c r="D446" s="17" t="str">
        <f aca="false">IF($O446="","",INDEX('Auto Process'!$AF:$AF,$O446))</f>
        <v/>
      </c>
      <c r="E446" s="17" t="str">
        <f aca="false">IF($O446="","",INDEX('Auto Process'!$AG:$AG,$O446))</f>
        <v/>
      </c>
      <c r="F446" s="17" t="str">
        <f aca="false">IF($O446="","",INDEX('Auto Process'!$AH:$AH,$O446))</f>
        <v/>
      </c>
      <c r="G446" s="17" t="str">
        <f aca="false">IF($O446="","",INDEX('Auto Process'!$AI:$AI,$O446))</f>
        <v/>
      </c>
      <c r="H446" s="17" t="str">
        <f aca="false">IF($O446="","",INDEX('Auto Process'!$AJ:$AJ,$O446))</f>
        <v/>
      </c>
      <c r="I446" s="17" t="str">
        <f aca="false">IF($O446="","",INDEX('Auto Process'!$AK:$AK,$O446))</f>
        <v/>
      </c>
      <c r="J446" s="17" t="str">
        <f aca="false">IF($O446="","",INDEX('Auto Process'!$AL:$AL,$O446))</f>
        <v/>
      </c>
      <c r="K446" s="17" t="str">
        <f aca="false">IF($O446="","",INDEX('Auto Process'!$AM:$AM,$O446))</f>
        <v/>
      </c>
      <c r="L446" s="17" t="str">
        <f aca="false">IF($O446="","",INDEX('Auto Process'!$AN:$AN,$O446))</f>
        <v/>
      </c>
      <c r="M446" s="17" t="str">
        <f aca="false">IF($O446="","",INDEX('Auto Process'!$AO:$AO,$O446))</f>
        <v/>
      </c>
      <c r="O446" s="19" t="str">
        <f aca="false">IFERROR(_xlfn.AGGREGATE(15,6,ROW('Auto Process'!$D$4:$D$503)/('Auto Process'!$D$4:$D$503="Panel Details"),ROW()-1),"")</f>
        <v/>
      </c>
    </row>
    <row r="447" customFormat="false" ht="13.5" hidden="false" customHeight="true" outlineLevel="0" collapsed="false">
      <c r="A447" s="27" t="str">
        <f aca="false">IF($O447="","",INDEX('Auto Process'!$AC:$AC,$O447))</f>
        <v/>
      </c>
      <c r="B447" s="17" t="str">
        <f aca="false">IF($O447="","",INDEX('Auto Process'!$AD:$AD,$O447))</f>
        <v/>
      </c>
      <c r="C447" s="17" t="str">
        <f aca="false">IF($O447="","",INDEX('Auto Process'!$AE:$AE,$O447))</f>
        <v/>
      </c>
      <c r="D447" s="17" t="str">
        <f aca="false">IF($O447="","",INDEX('Auto Process'!$AF:$AF,$O447))</f>
        <v/>
      </c>
      <c r="E447" s="17" t="str">
        <f aca="false">IF($O447="","",INDEX('Auto Process'!$AG:$AG,$O447))</f>
        <v/>
      </c>
      <c r="F447" s="17" t="str">
        <f aca="false">IF($O447="","",INDEX('Auto Process'!$AH:$AH,$O447))</f>
        <v/>
      </c>
      <c r="G447" s="17" t="str">
        <f aca="false">IF($O447="","",INDEX('Auto Process'!$AI:$AI,$O447))</f>
        <v/>
      </c>
      <c r="H447" s="17" t="str">
        <f aca="false">IF($O447="","",INDEX('Auto Process'!$AJ:$AJ,$O447))</f>
        <v/>
      </c>
      <c r="I447" s="17" t="str">
        <f aca="false">IF($O447="","",INDEX('Auto Process'!$AK:$AK,$O447))</f>
        <v/>
      </c>
      <c r="J447" s="17" t="str">
        <f aca="false">IF($O447="","",INDEX('Auto Process'!$AL:$AL,$O447))</f>
        <v/>
      </c>
      <c r="K447" s="17" t="str">
        <f aca="false">IF($O447="","",INDEX('Auto Process'!$AM:$AM,$O447))</f>
        <v/>
      </c>
      <c r="L447" s="17" t="str">
        <f aca="false">IF($O447="","",INDEX('Auto Process'!$AN:$AN,$O447))</f>
        <v/>
      </c>
      <c r="M447" s="17" t="str">
        <f aca="false">IF($O447="","",INDEX('Auto Process'!$AO:$AO,$O447))</f>
        <v/>
      </c>
      <c r="O447" s="19" t="str">
        <f aca="false">IFERROR(_xlfn.AGGREGATE(15,6,ROW('Auto Process'!$D$4:$D$503)/('Auto Process'!$D$4:$D$503="Panel Details"),ROW()-1),"")</f>
        <v/>
      </c>
    </row>
    <row r="448" customFormat="false" ht="13.5" hidden="false" customHeight="true" outlineLevel="0" collapsed="false">
      <c r="A448" s="27" t="str">
        <f aca="false">IF($O448="","",INDEX('Auto Process'!$AC:$AC,$O448))</f>
        <v/>
      </c>
      <c r="B448" s="17" t="str">
        <f aca="false">IF($O448="","",INDEX('Auto Process'!$AD:$AD,$O448))</f>
        <v/>
      </c>
      <c r="C448" s="17" t="str">
        <f aca="false">IF($O448="","",INDEX('Auto Process'!$AE:$AE,$O448))</f>
        <v/>
      </c>
      <c r="D448" s="17" t="str">
        <f aca="false">IF($O448="","",INDEX('Auto Process'!$AF:$AF,$O448))</f>
        <v/>
      </c>
      <c r="E448" s="17" t="str">
        <f aca="false">IF($O448="","",INDEX('Auto Process'!$AG:$AG,$O448))</f>
        <v/>
      </c>
      <c r="F448" s="17" t="str">
        <f aca="false">IF($O448="","",INDEX('Auto Process'!$AH:$AH,$O448))</f>
        <v/>
      </c>
      <c r="G448" s="17" t="str">
        <f aca="false">IF($O448="","",INDEX('Auto Process'!$AI:$AI,$O448))</f>
        <v/>
      </c>
      <c r="H448" s="17" t="str">
        <f aca="false">IF($O448="","",INDEX('Auto Process'!$AJ:$AJ,$O448))</f>
        <v/>
      </c>
      <c r="I448" s="17" t="str">
        <f aca="false">IF($O448="","",INDEX('Auto Process'!$AK:$AK,$O448))</f>
        <v/>
      </c>
      <c r="J448" s="17" t="str">
        <f aca="false">IF($O448="","",INDEX('Auto Process'!$AL:$AL,$O448))</f>
        <v/>
      </c>
      <c r="K448" s="17" t="str">
        <f aca="false">IF($O448="","",INDEX('Auto Process'!$AM:$AM,$O448))</f>
        <v/>
      </c>
      <c r="L448" s="17" t="str">
        <f aca="false">IF($O448="","",INDEX('Auto Process'!$AN:$AN,$O448))</f>
        <v/>
      </c>
      <c r="M448" s="17" t="str">
        <f aca="false">IF($O448="","",INDEX('Auto Process'!$AO:$AO,$O448))</f>
        <v/>
      </c>
      <c r="O448" s="19" t="str">
        <f aca="false">IFERROR(_xlfn.AGGREGATE(15,6,ROW('Auto Process'!$D$4:$D$503)/('Auto Process'!$D$4:$D$503="Panel Details"),ROW()-1),"")</f>
        <v/>
      </c>
    </row>
    <row r="449" customFormat="false" ht="13.5" hidden="false" customHeight="true" outlineLevel="0" collapsed="false">
      <c r="A449" s="27" t="str">
        <f aca="false">IF($O449="","",INDEX('Auto Process'!$AC:$AC,$O449))</f>
        <v/>
      </c>
      <c r="B449" s="17" t="str">
        <f aca="false">IF($O449="","",INDEX('Auto Process'!$AD:$AD,$O449))</f>
        <v/>
      </c>
      <c r="C449" s="17" t="str">
        <f aca="false">IF($O449="","",INDEX('Auto Process'!$AE:$AE,$O449))</f>
        <v/>
      </c>
      <c r="D449" s="17" t="str">
        <f aca="false">IF($O449="","",INDEX('Auto Process'!$AF:$AF,$O449))</f>
        <v/>
      </c>
      <c r="E449" s="17" t="str">
        <f aca="false">IF($O449="","",INDEX('Auto Process'!$AG:$AG,$O449))</f>
        <v/>
      </c>
      <c r="F449" s="17" t="str">
        <f aca="false">IF($O449="","",INDEX('Auto Process'!$AH:$AH,$O449))</f>
        <v/>
      </c>
      <c r="G449" s="17" t="str">
        <f aca="false">IF($O449="","",INDEX('Auto Process'!$AI:$AI,$O449))</f>
        <v/>
      </c>
      <c r="H449" s="17" t="str">
        <f aca="false">IF($O449="","",INDEX('Auto Process'!$AJ:$AJ,$O449))</f>
        <v/>
      </c>
      <c r="I449" s="17" t="str">
        <f aca="false">IF($O449="","",INDEX('Auto Process'!$AK:$AK,$O449))</f>
        <v/>
      </c>
      <c r="J449" s="17" t="str">
        <f aca="false">IF($O449="","",INDEX('Auto Process'!$AL:$AL,$O449))</f>
        <v/>
      </c>
      <c r="K449" s="17" t="str">
        <f aca="false">IF($O449="","",INDEX('Auto Process'!$AM:$AM,$O449))</f>
        <v/>
      </c>
      <c r="L449" s="17" t="str">
        <f aca="false">IF($O449="","",INDEX('Auto Process'!$AN:$AN,$O449))</f>
        <v/>
      </c>
      <c r="M449" s="17" t="str">
        <f aca="false">IF($O449="","",INDEX('Auto Process'!$AO:$AO,$O449))</f>
        <v/>
      </c>
      <c r="O449" s="19" t="str">
        <f aca="false">IFERROR(_xlfn.AGGREGATE(15,6,ROW('Auto Process'!$D$4:$D$503)/('Auto Process'!$D$4:$D$503="Panel Details"),ROW()-1),"")</f>
        <v/>
      </c>
    </row>
    <row r="450" customFormat="false" ht="13.5" hidden="false" customHeight="true" outlineLevel="0" collapsed="false">
      <c r="A450" s="27" t="str">
        <f aca="false">IF($O450="","",INDEX('Auto Process'!$AC:$AC,$O450))</f>
        <v/>
      </c>
      <c r="B450" s="17" t="str">
        <f aca="false">IF($O450="","",INDEX('Auto Process'!$AD:$AD,$O450))</f>
        <v/>
      </c>
      <c r="C450" s="17" t="str">
        <f aca="false">IF($O450="","",INDEX('Auto Process'!$AE:$AE,$O450))</f>
        <v/>
      </c>
      <c r="D450" s="17" t="str">
        <f aca="false">IF($O450="","",INDEX('Auto Process'!$AF:$AF,$O450))</f>
        <v/>
      </c>
      <c r="E450" s="17" t="str">
        <f aca="false">IF($O450="","",INDEX('Auto Process'!$AG:$AG,$O450))</f>
        <v/>
      </c>
      <c r="F450" s="17" t="str">
        <f aca="false">IF($O450="","",INDEX('Auto Process'!$AH:$AH,$O450))</f>
        <v/>
      </c>
      <c r="G450" s="17" t="str">
        <f aca="false">IF($O450="","",INDEX('Auto Process'!$AI:$AI,$O450))</f>
        <v/>
      </c>
      <c r="H450" s="17" t="str">
        <f aca="false">IF($O450="","",INDEX('Auto Process'!$AJ:$AJ,$O450))</f>
        <v/>
      </c>
      <c r="I450" s="17" t="str">
        <f aca="false">IF($O450="","",INDEX('Auto Process'!$AK:$AK,$O450))</f>
        <v/>
      </c>
      <c r="J450" s="17" t="str">
        <f aca="false">IF($O450="","",INDEX('Auto Process'!$AL:$AL,$O450))</f>
        <v/>
      </c>
      <c r="K450" s="17" t="str">
        <f aca="false">IF($O450="","",INDEX('Auto Process'!$AM:$AM,$O450))</f>
        <v/>
      </c>
      <c r="L450" s="17" t="str">
        <f aca="false">IF($O450="","",INDEX('Auto Process'!$AN:$AN,$O450))</f>
        <v/>
      </c>
      <c r="M450" s="17" t="str">
        <f aca="false">IF($O450="","",INDEX('Auto Process'!$AO:$AO,$O450))</f>
        <v/>
      </c>
      <c r="O450" s="19" t="str">
        <f aca="false">IFERROR(_xlfn.AGGREGATE(15,6,ROW('Auto Process'!$D$4:$D$503)/('Auto Process'!$D$4:$D$503="Panel Details"),ROW()-1),"")</f>
        <v/>
      </c>
    </row>
    <row r="451" customFormat="false" ht="13.5" hidden="false" customHeight="true" outlineLevel="0" collapsed="false">
      <c r="A451" s="27" t="str">
        <f aca="false">IF($O451="","",INDEX('Auto Process'!$AC:$AC,$O451))</f>
        <v/>
      </c>
      <c r="B451" s="17" t="str">
        <f aca="false">IF($O451="","",INDEX('Auto Process'!$AD:$AD,$O451))</f>
        <v/>
      </c>
      <c r="C451" s="17" t="str">
        <f aca="false">IF($O451="","",INDEX('Auto Process'!$AE:$AE,$O451))</f>
        <v/>
      </c>
      <c r="D451" s="17" t="str">
        <f aca="false">IF($O451="","",INDEX('Auto Process'!$AF:$AF,$O451))</f>
        <v/>
      </c>
      <c r="E451" s="17" t="str">
        <f aca="false">IF($O451="","",INDEX('Auto Process'!$AG:$AG,$O451))</f>
        <v/>
      </c>
      <c r="F451" s="17" t="str">
        <f aca="false">IF($O451="","",INDEX('Auto Process'!$AH:$AH,$O451))</f>
        <v/>
      </c>
      <c r="G451" s="17" t="str">
        <f aca="false">IF($O451="","",INDEX('Auto Process'!$AI:$AI,$O451))</f>
        <v/>
      </c>
      <c r="H451" s="17" t="str">
        <f aca="false">IF($O451="","",INDEX('Auto Process'!$AJ:$AJ,$O451))</f>
        <v/>
      </c>
      <c r="I451" s="17" t="str">
        <f aca="false">IF($O451="","",INDEX('Auto Process'!$AK:$AK,$O451))</f>
        <v/>
      </c>
      <c r="J451" s="17" t="str">
        <f aca="false">IF($O451="","",INDEX('Auto Process'!$AL:$AL,$O451))</f>
        <v/>
      </c>
      <c r="K451" s="17" t="str">
        <f aca="false">IF($O451="","",INDEX('Auto Process'!$AM:$AM,$O451))</f>
        <v/>
      </c>
      <c r="L451" s="17" t="str">
        <f aca="false">IF($O451="","",INDEX('Auto Process'!$AN:$AN,$O451))</f>
        <v/>
      </c>
      <c r="M451" s="17" t="str">
        <f aca="false">IF($O451="","",INDEX('Auto Process'!$AO:$AO,$O451))</f>
        <v/>
      </c>
      <c r="O451" s="19" t="str">
        <f aca="false">IFERROR(_xlfn.AGGREGATE(15,6,ROW('Auto Process'!$D$4:$D$503)/('Auto Process'!$D$4:$D$503="Panel Details"),ROW()-1),"")</f>
        <v/>
      </c>
    </row>
    <row r="452" customFormat="false" ht="13.5" hidden="false" customHeight="true" outlineLevel="0" collapsed="false">
      <c r="A452" s="27" t="str">
        <f aca="false">IF($O452="","",INDEX('Auto Process'!$AC:$AC,$O452))</f>
        <v/>
      </c>
      <c r="B452" s="17" t="str">
        <f aca="false">IF($O452="","",INDEX('Auto Process'!$AD:$AD,$O452))</f>
        <v/>
      </c>
      <c r="C452" s="17" t="str">
        <f aca="false">IF($O452="","",INDEX('Auto Process'!$AE:$AE,$O452))</f>
        <v/>
      </c>
      <c r="D452" s="17" t="str">
        <f aca="false">IF($O452="","",INDEX('Auto Process'!$AF:$AF,$O452))</f>
        <v/>
      </c>
      <c r="E452" s="17" t="str">
        <f aca="false">IF($O452="","",INDEX('Auto Process'!$AG:$AG,$O452))</f>
        <v/>
      </c>
      <c r="F452" s="17" t="str">
        <f aca="false">IF($O452="","",INDEX('Auto Process'!$AH:$AH,$O452))</f>
        <v/>
      </c>
      <c r="G452" s="17" t="str">
        <f aca="false">IF($O452="","",INDEX('Auto Process'!$AI:$AI,$O452))</f>
        <v/>
      </c>
      <c r="H452" s="17" t="str">
        <f aca="false">IF($O452="","",INDEX('Auto Process'!$AJ:$AJ,$O452))</f>
        <v/>
      </c>
      <c r="I452" s="17" t="str">
        <f aca="false">IF($O452="","",INDEX('Auto Process'!$AK:$AK,$O452))</f>
        <v/>
      </c>
      <c r="J452" s="17" t="str">
        <f aca="false">IF($O452="","",INDEX('Auto Process'!$AL:$AL,$O452))</f>
        <v/>
      </c>
      <c r="K452" s="17" t="str">
        <f aca="false">IF($O452="","",INDEX('Auto Process'!$AM:$AM,$O452))</f>
        <v/>
      </c>
      <c r="L452" s="17" t="str">
        <f aca="false">IF($O452="","",INDEX('Auto Process'!$AN:$AN,$O452))</f>
        <v/>
      </c>
      <c r="M452" s="17" t="str">
        <f aca="false">IF($O452="","",INDEX('Auto Process'!$AO:$AO,$O452))</f>
        <v/>
      </c>
      <c r="O452" s="19" t="str">
        <f aca="false">IFERROR(_xlfn.AGGREGATE(15,6,ROW('Auto Process'!$D$4:$D$503)/('Auto Process'!$D$4:$D$503="Panel Details"),ROW()-1),"")</f>
        <v/>
      </c>
    </row>
    <row r="453" customFormat="false" ht="13.5" hidden="false" customHeight="true" outlineLevel="0" collapsed="false">
      <c r="A453" s="27" t="str">
        <f aca="false">IF($O453="","",INDEX('Auto Process'!$AC:$AC,$O453))</f>
        <v/>
      </c>
      <c r="B453" s="17" t="str">
        <f aca="false">IF($O453="","",INDEX('Auto Process'!$AD:$AD,$O453))</f>
        <v/>
      </c>
      <c r="C453" s="17" t="str">
        <f aca="false">IF($O453="","",INDEX('Auto Process'!$AE:$AE,$O453))</f>
        <v/>
      </c>
      <c r="D453" s="17" t="str">
        <f aca="false">IF($O453="","",INDEX('Auto Process'!$AF:$AF,$O453))</f>
        <v/>
      </c>
      <c r="E453" s="17" t="str">
        <f aca="false">IF($O453="","",INDEX('Auto Process'!$AG:$AG,$O453))</f>
        <v/>
      </c>
      <c r="F453" s="17" t="str">
        <f aca="false">IF($O453="","",INDEX('Auto Process'!$AH:$AH,$O453))</f>
        <v/>
      </c>
      <c r="G453" s="17" t="str">
        <f aca="false">IF($O453="","",INDEX('Auto Process'!$AI:$AI,$O453))</f>
        <v/>
      </c>
      <c r="H453" s="17" t="str">
        <f aca="false">IF($O453="","",INDEX('Auto Process'!$AJ:$AJ,$O453))</f>
        <v/>
      </c>
      <c r="I453" s="17" t="str">
        <f aca="false">IF($O453="","",INDEX('Auto Process'!$AK:$AK,$O453))</f>
        <v/>
      </c>
      <c r="J453" s="17" t="str">
        <f aca="false">IF($O453="","",INDEX('Auto Process'!$AL:$AL,$O453))</f>
        <v/>
      </c>
      <c r="K453" s="17" t="str">
        <f aca="false">IF($O453="","",INDEX('Auto Process'!$AM:$AM,$O453))</f>
        <v/>
      </c>
      <c r="L453" s="17" t="str">
        <f aca="false">IF($O453="","",INDEX('Auto Process'!$AN:$AN,$O453))</f>
        <v/>
      </c>
      <c r="M453" s="17" t="str">
        <f aca="false">IF($O453="","",INDEX('Auto Process'!$AO:$AO,$O453))</f>
        <v/>
      </c>
      <c r="O453" s="19" t="str">
        <f aca="false">IFERROR(_xlfn.AGGREGATE(15,6,ROW('Auto Process'!$D$4:$D$503)/('Auto Process'!$D$4:$D$503="Panel Details"),ROW()-1),"")</f>
        <v/>
      </c>
    </row>
    <row r="454" customFormat="false" ht="13.5" hidden="false" customHeight="true" outlineLevel="0" collapsed="false">
      <c r="A454" s="27" t="str">
        <f aca="false">IF($O454="","",INDEX('Auto Process'!$AC:$AC,$O454))</f>
        <v/>
      </c>
      <c r="B454" s="17" t="str">
        <f aca="false">IF($O454="","",INDEX('Auto Process'!$AD:$AD,$O454))</f>
        <v/>
      </c>
      <c r="C454" s="17" t="str">
        <f aca="false">IF($O454="","",INDEX('Auto Process'!$AE:$AE,$O454))</f>
        <v/>
      </c>
      <c r="D454" s="17" t="str">
        <f aca="false">IF($O454="","",INDEX('Auto Process'!$AF:$AF,$O454))</f>
        <v/>
      </c>
      <c r="E454" s="17" t="str">
        <f aca="false">IF($O454="","",INDEX('Auto Process'!$AG:$AG,$O454))</f>
        <v/>
      </c>
      <c r="F454" s="17" t="str">
        <f aca="false">IF($O454="","",INDEX('Auto Process'!$AH:$AH,$O454))</f>
        <v/>
      </c>
      <c r="G454" s="17" t="str">
        <f aca="false">IF($O454="","",INDEX('Auto Process'!$AI:$AI,$O454))</f>
        <v/>
      </c>
      <c r="H454" s="17" t="str">
        <f aca="false">IF($O454="","",INDEX('Auto Process'!$AJ:$AJ,$O454))</f>
        <v/>
      </c>
      <c r="I454" s="17" t="str">
        <f aca="false">IF($O454="","",INDEX('Auto Process'!$AK:$AK,$O454))</f>
        <v/>
      </c>
      <c r="J454" s="17" t="str">
        <f aca="false">IF($O454="","",INDEX('Auto Process'!$AL:$AL,$O454))</f>
        <v/>
      </c>
      <c r="K454" s="17" t="str">
        <f aca="false">IF($O454="","",INDEX('Auto Process'!$AM:$AM,$O454))</f>
        <v/>
      </c>
      <c r="L454" s="17" t="str">
        <f aca="false">IF($O454="","",INDEX('Auto Process'!$AN:$AN,$O454))</f>
        <v/>
      </c>
      <c r="M454" s="17" t="str">
        <f aca="false">IF($O454="","",INDEX('Auto Process'!$AO:$AO,$O454))</f>
        <v/>
      </c>
      <c r="O454" s="19" t="str">
        <f aca="false">IFERROR(_xlfn.AGGREGATE(15,6,ROW('Auto Process'!$D$4:$D$503)/('Auto Process'!$D$4:$D$503="Panel Details"),ROW()-1),"")</f>
        <v/>
      </c>
    </row>
    <row r="455" customFormat="false" ht="13.5" hidden="false" customHeight="true" outlineLevel="0" collapsed="false">
      <c r="A455" s="27" t="str">
        <f aca="false">IF($O455="","",INDEX('Auto Process'!$AC:$AC,$O455))</f>
        <v/>
      </c>
      <c r="B455" s="17" t="str">
        <f aca="false">IF($O455="","",INDEX('Auto Process'!$AD:$AD,$O455))</f>
        <v/>
      </c>
      <c r="C455" s="17" t="str">
        <f aca="false">IF($O455="","",INDEX('Auto Process'!$AE:$AE,$O455))</f>
        <v/>
      </c>
      <c r="D455" s="17" t="str">
        <f aca="false">IF($O455="","",INDEX('Auto Process'!$AF:$AF,$O455))</f>
        <v/>
      </c>
      <c r="E455" s="17" t="str">
        <f aca="false">IF($O455="","",INDEX('Auto Process'!$AG:$AG,$O455))</f>
        <v/>
      </c>
      <c r="F455" s="17" t="str">
        <f aca="false">IF($O455="","",INDEX('Auto Process'!$AH:$AH,$O455))</f>
        <v/>
      </c>
      <c r="G455" s="17" t="str">
        <f aca="false">IF($O455="","",INDEX('Auto Process'!$AI:$AI,$O455))</f>
        <v/>
      </c>
      <c r="H455" s="17" t="str">
        <f aca="false">IF($O455="","",INDEX('Auto Process'!$AJ:$AJ,$O455))</f>
        <v/>
      </c>
      <c r="I455" s="17" t="str">
        <f aca="false">IF($O455="","",INDEX('Auto Process'!$AK:$AK,$O455))</f>
        <v/>
      </c>
      <c r="J455" s="17" t="str">
        <f aca="false">IF($O455="","",INDEX('Auto Process'!$AL:$AL,$O455))</f>
        <v/>
      </c>
      <c r="K455" s="17" t="str">
        <f aca="false">IF($O455="","",INDEX('Auto Process'!$AM:$AM,$O455))</f>
        <v/>
      </c>
      <c r="L455" s="17" t="str">
        <f aca="false">IF($O455="","",INDEX('Auto Process'!$AN:$AN,$O455))</f>
        <v/>
      </c>
      <c r="M455" s="17" t="str">
        <f aca="false">IF($O455="","",INDEX('Auto Process'!$AO:$AO,$O455))</f>
        <v/>
      </c>
      <c r="O455" s="19" t="str">
        <f aca="false">IFERROR(_xlfn.AGGREGATE(15,6,ROW('Auto Process'!$D$4:$D$503)/('Auto Process'!$D$4:$D$503="Panel Details"),ROW()-1),"")</f>
        <v/>
      </c>
    </row>
    <row r="456" customFormat="false" ht="13.5" hidden="false" customHeight="true" outlineLevel="0" collapsed="false">
      <c r="A456" s="27" t="str">
        <f aca="false">IF($O456="","",INDEX('Auto Process'!$AC:$AC,$O456))</f>
        <v/>
      </c>
      <c r="B456" s="17" t="str">
        <f aca="false">IF($O456="","",INDEX('Auto Process'!$AD:$AD,$O456))</f>
        <v/>
      </c>
      <c r="C456" s="17" t="str">
        <f aca="false">IF($O456="","",INDEX('Auto Process'!$AE:$AE,$O456))</f>
        <v/>
      </c>
      <c r="D456" s="17" t="str">
        <f aca="false">IF($O456="","",INDEX('Auto Process'!$AF:$AF,$O456))</f>
        <v/>
      </c>
      <c r="E456" s="17" t="str">
        <f aca="false">IF($O456="","",INDEX('Auto Process'!$AG:$AG,$O456))</f>
        <v/>
      </c>
      <c r="F456" s="17" t="str">
        <f aca="false">IF($O456="","",INDEX('Auto Process'!$AH:$AH,$O456))</f>
        <v/>
      </c>
      <c r="G456" s="17" t="str">
        <f aca="false">IF($O456="","",INDEX('Auto Process'!$AI:$AI,$O456))</f>
        <v/>
      </c>
      <c r="H456" s="17" t="str">
        <f aca="false">IF($O456="","",INDEX('Auto Process'!$AJ:$AJ,$O456))</f>
        <v/>
      </c>
      <c r="I456" s="17" t="str">
        <f aca="false">IF($O456="","",INDEX('Auto Process'!$AK:$AK,$O456))</f>
        <v/>
      </c>
      <c r="J456" s="17" t="str">
        <f aca="false">IF($O456="","",INDEX('Auto Process'!$AL:$AL,$O456))</f>
        <v/>
      </c>
      <c r="K456" s="17" t="str">
        <f aca="false">IF($O456="","",INDEX('Auto Process'!$AM:$AM,$O456))</f>
        <v/>
      </c>
      <c r="L456" s="17" t="str">
        <f aca="false">IF($O456="","",INDEX('Auto Process'!$AN:$AN,$O456))</f>
        <v/>
      </c>
      <c r="M456" s="17" t="str">
        <f aca="false">IF($O456="","",INDEX('Auto Process'!$AO:$AO,$O456))</f>
        <v/>
      </c>
      <c r="O456" s="19" t="str">
        <f aca="false">IFERROR(_xlfn.AGGREGATE(15,6,ROW('Auto Process'!$D$4:$D$503)/('Auto Process'!$D$4:$D$503="Panel Details"),ROW()-1),"")</f>
        <v/>
      </c>
    </row>
    <row r="457" customFormat="false" ht="13.5" hidden="false" customHeight="true" outlineLevel="0" collapsed="false">
      <c r="A457" s="27" t="str">
        <f aca="false">IF($O457="","",INDEX('Auto Process'!$AC:$AC,$O457))</f>
        <v/>
      </c>
      <c r="B457" s="17" t="str">
        <f aca="false">IF($O457="","",INDEX('Auto Process'!$AD:$AD,$O457))</f>
        <v/>
      </c>
      <c r="C457" s="17" t="str">
        <f aca="false">IF($O457="","",INDEX('Auto Process'!$AE:$AE,$O457))</f>
        <v/>
      </c>
      <c r="D457" s="17" t="str">
        <f aca="false">IF($O457="","",INDEX('Auto Process'!$AF:$AF,$O457))</f>
        <v/>
      </c>
      <c r="E457" s="17" t="str">
        <f aca="false">IF($O457="","",INDEX('Auto Process'!$AG:$AG,$O457))</f>
        <v/>
      </c>
      <c r="F457" s="17" t="str">
        <f aca="false">IF($O457="","",INDEX('Auto Process'!$AH:$AH,$O457))</f>
        <v/>
      </c>
      <c r="G457" s="17" t="str">
        <f aca="false">IF($O457="","",INDEX('Auto Process'!$AI:$AI,$O457))</f>
        <v/>
      </c>
      <c r="H457" s="17" t="str">
        <f aca="false">IF($O457="","",INDEX('Auto Process'!$AJ:$AJ,$O457))</f>
        <v/>
      </c>
      <c r="I457" s="17" t="str">
        <f aca="false">IF($O457="","",INDEX('Auto Process'!$AK:$AK,$O457))</f>
        <v/>
      </c>
      <c r="J457" s="17" t="str">
        <f aca="false">IF($O457="","",INDEX('Auto Process'!$AL:$AL,$O457))</f>
        <v/>
      </c>
      <c r="K457" s="17" t="str">
        <f aca="false">IF($O457="","",INDEX('Auto Process'!$AM:$AM,$O457))</f>
        <v/>
      </c>
      <c r="L457" s="17" t="str">
        <f aca="false">IF($O457="","",INDEX('Auto Process'!$AN:$AN,$O457))</f>
        <v/>
      </c>
      <c r="M457" s="17" t="str">
        <f aca="false">IF($O457="","",INDEX('Auto Process'!$AO:$AO,$O457))</f>
        <v/>
      </c>
      <c r="O457" s="19" t="str">
        <f aca="false">IFERROR(_xlfn.AGGREGATE(15,6,ROW('Auto Process'!$D$4:$D$503)/('Auto Process'!$D$4:$D$503="Panel Details"),ROW()-1),"")</f>
        <v/>
      </c>
    </row>
    <row r="458" customFormat="false" ht="13.5" hidden="false" customHeight="true" outlineLevel="0" collapsed="false">
      <c r="A458" s="27" t="str">
        <f aca="false">IF($O458="","",INDEX('Auto Process'!$AC:$AC,$O458))</f>
        <v/>
      </c>
      <c r="B458" s="17" t="str">
        <f aca="false">IF($O458="","",INDEX('Auto Process'!$AD:$AD,$O458))</f>
        <v/>
      </c>
      <c r="C458" s="17" t="str">
        <f aca="false">IF($O458="","",INDEX('Auto Process'!$AE:$AE,$O458))</f>
        <v/>
      </c>
      <c r="D458" s="17" t="str">
        <f aca="false">IF($O458="","",INDEX('Auto Process'!$AF:$AF,$O458))</f>
        <v/>
      </c>
      <c r="E458" s="17" t="str">
        <f aca="false">IF($O458="","",INDEX('Auto Process'!$AG:$AG,$O458))</f>
        <v/>
      </c>
      <c r="F458" s="17" t="str">
        <f aca="false">IF($O458="","",INDEX('Auto Process'!$AH:$AH,$O458))</f>
        <v/>
      </c>
      <c r="G458" s="17" t="str">
        <f aca="false">IF($O458="","",INDEX('Auto Process'!$AI:$AI,$O458))</f>
        <v/>
      </c>
      <c r="H458" s="17" t="str">
        <f aca="false">IF($O458="","",INDEX('Auto Process'!$AJ:$AJ,$O458))</f>
        <v/>
      </c>
      <c r="I458" s="17" t="str">
        <f aca="false">IF($O458="","",INDEX('Auto Process'!$AK:$AK,$O458))</f>
        <v/>
      </c>
      <c r="J458" s="17" t="str">
        <f aca="false">IF($O458="","",INDEX('Auto Process'!$AL:$AL,$O458))</f>
        <v/>
      </c>
      <c r="K458" s="17" t="str">
        <f aca="false">IF($O458="","",INDEX('Auto Process'!$AM:$AM,$O458))</f>
        <v/>
      </c>
      <c r="L458" s="17" t="str">
        <f aca="false">IF($O458="","",INDEX('Auto Process'!$AN:$AN,$O458))</f>
        <v/>
      </c>
      <c r="M458" s="17" t="str">
        <f aca="false">IF($O458="","",INDEX('Auto Process'!$AO:$AO,$O458))</f>
        <v/>
      </c>
      <c r="O458" s="19" t="str">
        <f aca="false">IFERROR(_xlfn.AGGREGATE(15,6,ROW('Auto Process'!$D$4:$D$503)/('Auto Process'!$D$4:$D$503="Panel Details"),ROW()-1),"")</f>
        <v/>
      </c>
    </row>
    <row r="459" customFormat="false" ht="13.5" hidden="false" customHeight="true" outlineLevel="0" collapsed="false">
      <c r="A459" s="27" t="str">
        <f aca="false">IF($O459="","",INDEX('Auto Process'!$AC:$AC,$O459))</f>
        <v/>
      </c>
      <c r="B459" s="17" t="str">
        <f aca="false">IF($O459="","",INDEX('Auto Process'!$AD:$AD,$O459))</f>
        <v/>
      </c>
      <c r="C459" s="17" t="str">
        <f aca="false">IF($O459="","",INDEX('Auto Process'!$AE:$AE,$O459))</f>
        <v/>
      </c>
      <c r="D459" s="17" t="str">
        <f aca="false">IF($O459="","",INDEX('Auto Process'!$AF:$AF,$O459))</f>
        <v/>
      </c>
      <c r="E459" s="17" t="str">
        <f aca="false">IF($O459="","",INDEX('Auto Process'!$AG:$AG,$O459))</f>
        <v/>
      </c>
      <c r="F459" s="17" t="str">
        <f aca="false">IF($O459="","",INDEX('Auto Process'!$AH:$AH,$O459))</f>
        <v/>
      </c>
      <c r="G459" s="17" t="str">
        <f aca="false">IF($O459="","",INDEX('Auto Process'!$AI:$AI,$O459))</f>
        <v/>
      </c>
      <c r="H459" s="17" t="str">
        <f aca="false">IF($O459="","",INDEX('Auto Process'!$AJ:$AJ,$O459))</f>
        <v/>
      </c>
      <c r="I459" s="17" t="str">
        <f aca="false">IF($O459="","",INDEX('Auto Process'!$AK:$AK,$O459))</f>
        <v/>
      </c>
      <c r="J459" s="17" t="str">
        <f aca="false">IF($O459="","",INDEX('Auto Process'!$AL:$AL,$O459))</f>
        <v/>
      </c>
      <c r="K459" s="17" t="str">
        <f aca="false">IF($O459="","",INDEX('Auto Process'!$AM:$AM,$O459))</f>
        <v/>
      </c>
      <c r="L459" s="17" t="str">
        <f aca="false">IF($O459="","",INDEX('Auto Process'!$AN:$AN,$O459))</f>
        <v/>
      </c>
      <c r="M459" s="17" t="str">
        <f aca="false">IF($O459="","",INDEX('Auto Process'!$AO:$AO,$O459))</f>
        <v/>
      </c>
      <c r="O459" s="19" t="str">
        <f aca="false">IFERROR(_xlfn.AGGREGATE(15,6,ROW('Auto Process'!$D$4:$D$503)/('Auto Process'!$D$4:$D$503="Panel Details"),ROW()-1),"")</f>
        <v/>
      </c>
    </row>
    <row r="460" customFormat="false" ht="13.5" hidden="false" customHeight="true" outlineLevel="0" collapsed="false">
      <c r="A460" s="27" t="str">
        <f aca="false">IF($O460="","",INDEX('Auto Process'!$AC:$AC,$O460))</f>
        <v/>
      </c>
      <c r="B460" s="17" t="str">
        <f aca="false">IF($O460="","",INDEX('Auto Process'!$AD:$AD,$O460))</f>
        <v/>
      </c>
      <c r="C460" s="17" t="str">
        <f aca="false">IF($O460="","",INDEX('Auto Process'!$AE:$AE,$O460))</f>
        <v/>
      </c>
      <c r="D460" s="17" t="str">
        <f aca="false">IF($O460="","",INDEX('Auto Process'!$AF:$AF,$O460))</f>
        <v/>
      </c>
      <c r="E460" s="17" t="str">
        <f aca="false">IF($O460="","",INDEX('Auto Process'!$AG:$AG,$O460))</f>
        <v/>
      </c>
      <c r="F460" s="17" t="str">
        <f aca="false">IF($O460="","",INDEX('Auto Process'!$AH:$AH,$O460))</f>
        <v/>
      </c>
      <c r="G460" s="17" t="str">
        <f aca="false">IF($O460="","",INDEX('Auto Process'!$AI:$AI,$O460))</f>
        <v/>
      </c>
      <c r="H460" s="17" t="str">
        <f aca="false">IF($O460="","",INDEX('Auto Process'!$AJ:$AJ,$O460))</f>
        <v/>
      </c>
      <c r="I460" s="17" t="str">
        <f aca="false">IF($O460="","",INDEX('Auto Process'!$AK:$AK,$O460))</f>
        <v/>
      </c>
      <c r="J460" s="17" t="str">
        <f aca="false">IF($O460="","",INDEX('Auto Process'!$AL:$AL,$O460))</f>
        <v/>
      </c>
      <c r="K460" s="17" t="str">
        <f aca="false">IF($O460="","",INDEX('Auto Process'!$AM:$AM,$O460))</f>
        <v/>
      </c>
      <c r="L460" s="17" t="str">
        <f aca="false">IF($O460="","",INDEX('Auto Process'!$AN:$AN,$O460))</f>
        <v/>
      </c>
      <c r="M460" s="17" t="str">
        <f aca="false">IF($O460="","",INDEX('Auto Process'!$AO:$AO,$O460))</f>
        <v/>
      </c>
      <c r="O460" s="19" t="str">
        <f aca="false">IFERROR(_xlfn.AGGREGATE(15,6,ROW('Auto Process'!$D$4:$D$503)/('Auto Process'!$D$4:$D$503="Panel Details"),ROW()-1),"")</f>
        <v/>
      </c>
    </row>
    <row r="461" customFormat="false" ht="13.5" hidden="false" customHeight="true" outlineLevel="0" collapsed="false">
      <c r="A461" s="27" t="str">
        <f aca="false">IF($O461="","",INDEX('Auto Process'!$AC:$AC,$O461))</f>
        <v/>
      </c>
      <c r="B461" s="17" t="str">
        <f aca="false">IF($O461="","",INDEX('Auto Process'!$AD:$AD,$O461))</f>
        <v/>
      </c>
      <c r="C461" s="17" t="str">
        <f aca="false">IF($O461="","",INDEX('Auto Process'!$AE:$AE,$O461))</f>
        <v/>
      </c>
      <c r="D461" s="17" t="str">
        <f aca="false">IF($O461="","",INDEX('Auto Process'!$AF:$AF,$O461))</f>
        <v/>
      </c>
      <c r="E461" s="17" t="str">
        <f aca="false">IF($O461="","",INDEX('Auto Process'!$AG:$AG,$O461))</f>
        <v/>
      </c>
      <c r="F461" s="17" t="str">
        <f aca="false">IF($O461="","",INDEX('Auto Process'!$AH:$AH,$O461))</f>
        <v/>
      </c>
      <c r="G461" s="17" t="str">
        <f aca="false">IF($O461="","",INDEX('Auto Process'!$AI:$AI,$O461))</f>
        <v/>
      </c>
      <c r="H461" s="17" t="str">
        <f aca="false">IF($O461="","",INDEX('Auto Process'!$AJ:$AJ,$O461))</f>
        <v/>
      </c>
      <c r="I461" s="17" t="str">
        <f aca="false">IF($O461="","",INDEX('Auto Process'!$AK:$AK,$O461))</f>
        <v/>
      </c>
      <c r="J461" s="17" t="str">
        <f aca="false">IF($O461="","",INDEX('Auto Process'!$AL:$AL,$O461))</f>
        <v/>
      </c>
      <c r="K461" s="17" t="str">
        <f aca="false">IF($O461="","",INDEX('Auto Process'!$AM:$AM,$O461))</f>
        <v/>
      </c>
      <c r="L461" s="17" t="str">
        <f aca="false">IF($O461="","",INDEX('Auto Process'!$AN:$AN,$O461))</f>
        <v/>
      </c>
      <c r="M461" s="17" t="str">
        <f aca="false">IF($O461="","",INDEX('Auto Process'!$AO:$AO,$O461))</f>
        <v/>
      </c>
      <c r="O461" s="19" t="str">
        <f aca="false">IFERROR(_xlfn.AGGREGATE(15,6,ROW('Auto Process'!$D$4:$D$503)/('Auto Process'!$D$4:$D$503="Panel Details"),ROW()-1),"")</f>
        <v/>
      </c>
    </row>
    <row r="462" customFormat="false" ht="13.5" hidden="false" customHeight="true" outlineLevel="0" collapsed="false">
      <c r="A462" s="27" t="str">
        <f aca="false">IF($O462="","",INDEX('Auto Process'!$AC:$AC,$O462))</f>
        <v/>
      </c>
      <c r="B462" s="17" t="str">
        <f aca="false">IF($O462="","",INDEX('Auto Process'!$AD:$AD,$O462))</f>
        <v/>
      </c>
      <c r="C462" s="17" t="str">
        <f aca="false">IF($O462="","",INDEX('Auto Process'!$AE:$AE,$O462))</f>
        <v/>
      </c>
      <c r="D462" s="17" t="str">
        <f aca="false">IF($O462="","",INDEX('Auto Process'!$AF:$AF,$O462))</f>
        <v/>
      </c>
      <c r="E462" s="17" t="str">
        <f aca="false">IF($O462="","",INDEX('Auto Process'!$AG:$AG,$O462))</f>
        <v/>
      </c>
      <c r="F462" s="17" t="str">
        <f aca="false">IF($O462="","",INDEX('Auto Process'!$AH:$AH,$O462))</f>
        <v/>
      </c>
      <c r="G462" s="17" t="str">
        <f aca="false">IF($O462="","",INDEX('Auto Process'!$AI:$AI,$O462))</f>
        <v/>
      </c>
      <c r="H462" s="17" t="str">
        <f aca="false">IF($O462="","",INDEX('Auto Process'!$AJ:$AJ,$O462))</f>
        <v/>
      </c>
      <c r="I462" s="17" t="str">
        <f aca="false">IF($O462="","",INDEX('Auto Process'!$AK:$AK,$O462))</f>
        <v/>
      </c>
      <c r="J462" s="17" t="str">
        <f aca="false">IF($O462="","",INDEX('Auto Process'!$AL:$AL,$O462))</f>
        <v/>
      </c>
      <c r="K462" s="17" t="str">
        <f aca="false">IF($O462="","",INDEX('Auto Process'!$AM:$AM,$O462))</f>
        <v/>
      </c>
      <c r="L462" s="17" t="str">
        <f aca="false">IF($O462="","",INDEX('Auto Process'!$AN:$AN,$O462))</f>
        <v/>
      </c>
      <c r="M462" s="17" t="str">
        <f aca="false">IF($O462="","",INDEX('Auto Process'!$AO:$AO,$O462))</f>
        <v/>
      </c>
      <c r="O462" s="19" t="str">
        <f aca="false">IFERROR(_xlfn.AGGREGATE(15,6,ROW('Auto Process'!$D$4:$D$503)/('Auto Process'!$D$4:$D$503="Panel Details"),ROW()-1),"")</f>
        <v/>
      </c>
    </row>
    <row r="463" customFormat="false" ht="13.5" hidden="false" customHeight="true" outlineLevel="0" collapsed="false">
      <c r="A463" s="27" t="str">
        <f aca="false">IF($O463="","",INDEX('Auto Process'!$AC:$AC,$O463))</f>
        <v/>
      </c>
      <c r="B463" s="17" t="str">
        <f aca="false">IF($O463="","",INDEX('Auto Process'!$AD:$AD,$O463))</f>
        <v/>
      </c>
      <c r="C463" s="17" t="str">
        <f aca="false">IF($O463="","",INDEX('Auto Process'!$AE:$AE,$O463))</f>
        <v/>
      </c>
      <c r="D463" s="17" t="str">
        <f aca="false">IF($O463="","",INDEX('Auto Process'!$AF:$AF,$O463))</f>
        <v/>
      </c>
      <c r="E463" s="17" t="str">
        <f aca="false">IF($O463="","",INDEX('Auto Process'!$AG:$AG,$O463))</f>
        <v/>
      </c>
      <c r="F463" s="17" t="str">
        <f aca="false">IF($O463="","",INDEX('Auto Process'!$AH:$AH,$O463))</f>
        <v/>
      </c>
      <c r="G463" s="17" t="str">
        <f aca="false">IF($O463="","",INDEX('Auto Process'!$AI:$AI,$O463))</f>
        <v/>
      </c>
      <c r="H463" s="17" t="str">
        <f aca="false">IF($O463="","",INDEX('Auto Process'!$AJ:$AJ,$O463))</f>
        <v/>
      </c>
      <c r="I463" s="17" t="str">
        <f aca="false">IF($O463="","",INDEX('Auto Process'!$AK:$AK,$O463))</f>
        <v/>
      </c>
      <c r="J463" s="17" t="str">
        <f aca="false">IF($O463="","",INDEX('Auto Process'!$AL:$AL,$O463))</f>
        <v/>
      </c>
      <c r="K463" s="17" t="str">
        <f aca="false">IF($O463="","",INDEX('Auto Process'!$AM:$AM,$O463))</f>
        <v/>
      </c>
      <c r="L463" s="17" t="str">
        <f aca="false">IF($O463="","",INDEX('Auto Process'!$AN:$AN,$O463))</f>
        <v/>
      </c>
      <c r="M463" s="17" t="str">
        <f aca="false">IF($O463="","",INDEX('Auto Process'!$AO:$AO,$O463))</f>
        <v/>
      </c>
      <c r="O463" s="19" t="str">
        <f aca="false">IFERROR(_xlfn.AGGREGATE(15,6,ROW('Auto Process'!$D$4:$D$503)/('Auto Process'!$D$4:$D$503="Panel Details"),ROW()-1),"")</f>
        <v/>
      </c>
    </row>
    <row r="464" customFormat="false" ht="13.5" hidden="false" customHeight="true" outlineLevel="0" collapsed="false">
      <c r="A464" s="27" t="str">
        <f aca="false">IF($O464="","",INDEX('Auto Process'!$AC:$AC,$O464))</f>
        <v/>
      </c>
      <c r="B464" s="17" t="str">
        <f aca="false">IF($O464="","",INDEX('Auto Process'!$AD:$AD,$O464))</f>
        <v/>
      </c>
      <c r="C464" s="17" t="str">
        <f aca="false">IF($O464="","",INDEX('Auto Process'!$AE:$AE,$O464))</f>
        <v/>
      </c>
      <c r="D464" s="17" t="str">
        <f aca="false">IF($O464="","",INDEX('Auto Process'!$AF:$AF,$O464))</f>
        <v/>
      </c>
      <c r="E464" s="17" t="str">
        <f aca="false">IF($O464="","",INDEX('Auto Process'!$AG:$AG,$O464))</f>
        <v/>
      </c>
      <c r="F464" s="17" t="str">
        <f aca="false">IF($O464="","",INDEX('Auto Process'!$AH:$AH,$O464))</f>
        <v/>
      </c>
      <c r="G464" s="17" t="str">
        <f aca="false">IF($O464="","",INDEX('Auto Process'!$AI:$AI,$O464))</f>
        <v/>
      </c>
      <c r="H464" s="17" t="str">
        <f aca="false">IF($O464="","",INDEX('Auto Process'!$AJ:$AJ,$O464))</f>
        <v/>
      </c>
      <c r="I464" s="17" t="str">
        <f aca="false">IF($O464="","",INDEX('Auto Process'!$AK:$AK,$O464))</f>
        <v/>
      </c>
      <c r="J464" s="17" t="str">
        <f aca="false">IF($O464="","",INDEX('Auto Process'!$AL:$AL,$O464))</f>
        <v/>
      </c>
      <c r="K464" s="17" t="str">
        <f aca="false">IF($O464="","",INDEX('Auto Process'!$AM:$AM,$O464))</f>
        <v/>
      </c>
      <c r="L464" s="17" t="str">
        <f aca="false">IF($O464="","",INDEX('Auto Process'!$AN:$AN,$O464))</f>
        <v/>
      </c>
      <c r="M464" s="17" t="str">
        <f aca="false">IF($O464="","",INDEX('Auto Process'!$AO:$AO,$O464))</f>
        <v/>
      </c>
      <c r="O464" s="19" t="str">
        <f aca="false">IFERROR(_xlfn.AGGREGATE(15,6,ROW('Auto Process'!$D$4:$D$503)/('Auto Process'!$D$4:$D$503="Panel Details"),ROW()-1),"")</f>
        <v/>
      </c>
    </row>
    <row r="465" customFormat="false" ht="13.5" hidden="false" customHeight="true" outlineLevel="0" collapsed="false">
      <c r="A465" s="27" t="str">
        <f aca="false">IF($O465="","",INDEX('Auto Process'!$AC:$AC,$O465))</f>
        <v/>
      </c>
      <c r="B465" s="17" t="str">
        <f aca="false">IF($O465="","",INDEX('Auto Process'!$AD:$AD,$O465))</f>
        <v/>
      </c>
      <c r="C465" s="17" t="str">
        <f aca="false">IF($O465="","",INDEX('Auto Process'!$AE:$AE,$O465))</f>
        <v/>
      </c>
      <c r="D465" s="17" t="str">
        <f aca="false">IF($O465="","",INDEX('Auto Process'!$AF:$AF,$O465))</f>
        <v/>
      </c>
      <c r="E465" s="17" t="str">
        <f aca="false">IF($O465="","",INDEX('Auto Process'!$AG:$AG,$O465))</f>
        <v/>
      </c>
      <c r="F465" s="17" t="str">
        <f aca="false">IF($O465="","",INDEX('Auto Process'!$AH:$AH,$O465))</f>
        <v/>
      </c>
      <c r="G465" s="17" t="str">
        <f aca="false">IF($O465="","",INDEX('Auto Process'!$AI:$AI,$O465))</f>
        <v/>
      </c>
      <c r="H465" s="17" t="str">
        <f aca="false">IF($O465="","",INDEX('Auto Process'!$AJ:$AJ,$O465))</f>
        <v/>
      </c>
      <c r="I465" s="17" t="str">
        <f aca="false">IF($O465="","",INDEX('Auto Process'!$AK:$AK,$O465))</f>
        <v/>
      </c>
      <c r="J465" s="17" t="str">
        <f aca="false">IF($O465="","",INDEX('Auto Process'!$AL:$AL,$O465))</f>
        <v/>
      </c>
      <c r="K465" s="17" t="str">
        <f aca="false">IF($O465="","",INDEX('Auto Process'!$AM:$AM,$O465))</f>
        <v/>
      </c>
      <c r="L465" s="17" t="str">
        <f aca="false">IF($O465="","",INDEX('Auto Process'!$AN:$AN,$O465))</f>
        <v/>
      </c>
      <c r="M465" s="17" t="str">
        <f aca="false">IF($O465="","",INDEX('Auto Process'!$AO:$AO,$O465))</f>
        <v/>
      </c>
      <c r="O465" s="19" t="str">
        <f aca="false">IFERROR(_xlfn.AGGREGATE(15,6,ROW('Auto Process'!$D$4:$D$503)/('Auto Process'!$D$4:$D$503="Panel Details"),ROW()-1),"")</f>
        <v/>
      </c>
    </row>
    <row r="466" customFormat="false" ht="13.5" hidden="false" customHeight="true" outlineLevel="0" collapsed="false">
      <c r="A466" s="27" t="str">
        <f aca="false">IF($O466="","",INDEX('Auto Process'!$AC:$AC,$O466))</f>
        <v/>
      </c>
      <c r="B466" s="17" t="str">
        <f aca="false">IF($O466="","",INDEX('Auto Process'!$AD:$AD,$O466))</f>
        <v/>
      </c>
      <c r="C466" s="17" t="str">
        <f aca="false">IF($O466="","",INDEX('Auto Process'!$AE:$AE,$O466))</f>
        <v/>
      </c>
      <c r="D466" s="17" t="str">
        <f aca="false">IF($O466="","",INDEX('Auto Process'!$AF:$AF,$O466))</f>
        <v/>
      </c>
      <c r="E466" s="17" t="str">
        <f aca="false">IF($O466="","",INDEX('Auto Process'!$AG:$AG,$O466))</f>
        <v/>
      </c>
      <c r="F466" s="17" t="str">
        <f aca="false">IF($O466="","",INDEX('Auto Process'!$AH:$AH,$O466))</f>
        <v/>
      </c>
      <c r="G466" s="17" t="str">
        <f aca="false">IF($O466="","",INDEX('Auto Process'!$AI:$AI,$O466))</f>
        <v/>
      </c>
      <c r="H466" s="17" t="str">
        <f aca="false">IF($O466="","",INDEX('Auto Process'!$AJ:$AJ,$O466))</f>
        <v/>
      </c>
      <c r="I466" s="17" t="str">
        <f aca="false">IF($O466="","",INDEX('Auto Process'!$AK:$AK,$O466))</f>
        <v/>
      </c>
      <c r="J466" s="17" t="str">
        <f aca="false">IF($O466="","",INDEX('Auto Process'!$AL:$AL,$O466))</f>
        <v/>
      </c>
      <c r="K466" s="17" t="str">
        <f aca="false">IF($O466="","",INDEX('Auto Process'!$AM:$AM,$O466))</f>
        <v/>
      </c>
      <c r="L466" s="17" t="str">
        <f aca="false">IF($O466="","",INDEX('Auto Process'!$AN:$AN,$O466))</f>
        <v/>
      </c>
      <c r="M466" s="17" t="str">
        <f aca="false">IF($O466="","",INDEX('Auto Process'!$AO:$AO,$O466))</f>
        <v/>
      </c>
      <c r="O466" s="19" t="str">
        <f aca="false">IFERROR(_xlfn.AGGREGATE(15,6,ROW('Auto Process'!$D$4:$D$503)/('Auto Process'!$D$4:$D$503="Panel Details"),ROW()-1),"")</f>
        <v/>
      </c>
    </row>
    <row r="467" customFormat="false" ht="13.5" hidden="false" customHeight="true" outlineLevel="0" collapsed="false">
      <c r="A467" s="27" t="str">
        <f aca="false">IF($O467="","",INDEX('Auto Process'!$AC:$AC,$O467))</f>
        <v/>
      </c>
      <c r="B467" s="17" t="str">
        <f aca="false">IF($O467="","",INDEX('Auto Process'!$AD:$AD,$O467))</f>
        <v/>
      </c>
      <c r="C467" s="17" t="str">
        <f aca="false">IF($O467="","",INDEX('Auto Process'!$AE:$AE,$O467))</f>
        <v/>
      </c>
      <c r="D467" s="17" t="str">
        <f aca="false">IF($O467="","",INDEX('Auto Process'!$AF:$AF,$O467))</f>
        <v/>
      </c>
      <c r="E467" s="17" t="str">
        <f aca="false">IF($O467="","",INDEX('Auto Process'!$AG:$AG,$O467))</f>
        <v/>
      </c>
      <c r="F467" s="17" t="str">
        <f aca="false">IF($O467="","",INDEX('Auto Process'!$AH:$AH,$O467))</f>
        <v/>
      </c>
      <c r="G467" s="17" t="str">
        <f aca="false">IF($O467="","",INDEX('Auto Process'!$AI:$AI,$O467))</f>
        <v/>
      </c>
      <c r="H467" s="17" t="str">
        <f aca="false">IF($O467="","",INDEX('Auto Process'!$AJ:$AJ,$O467))</f>
        <v/>
      </c>
      <c r="I467" s="17" t="str">
        <f aca="false">IF($O467="","",INDEX('Auto Process'!$AK:$AK,$O467))</f>
        <v/>
      </c>
      <c r="J467" s="17" t="str">
        <f aca="false">IF($O467="","",INDEX('Auto Process'!$AL:$AL,$O467))</f>
        <v/>
      </c>
      <c r="K467" s="17" t="str">
        <f aca="false">IF($O467="","",INDEX('Auto Process'!$AM:$AM,$O467))</f>
        <v/>
      </c>
      <c r="L467" s="17" t="str">
        <f aca="false">IF($O467="","",INDEX('Auto Process'!$AN:$AN,$O467))</f>
        <v/>
      </c>
      <c r="M467" s="17" t="str">
        <f aca="false">IF($O467="","",INDEX('Auto Process'!$AO:$AO,$O467))</f>
        <v/>
      </c>
      <c r="O467" s="19" t="str">
        <f aca="false">IFERROR(_xlfn.AGGREGATE(15,6,ROW('Auto Process'!$D$4:$D$503)/('Auto Process'!$D$4:$D$503="Panel Details"),ROW()-1),"")</f>
        <v/>
      </c>
    </row>
    <row r="468" customFormat="false" ht="13.5" hidden="false" customHeight="true" outlineLevel="0" collapsed="false">
      <c r="A468" s="27" t="str">
        <f aca="false">IF($O468="","",INDEX('Auto Process'!$AC:$AC,$O468))</f>
        <v/>
      </c>
      <c r="B468" s="17" t="str">
        <f aca="false">IF($O468="","",INDEX('Auto Process'!$AD:$AD,$O468))</f>
        <v/>
      </c>
      <c r="C468" s="17" t="str">
        <f aca="false">IF($O468="","",INDEX('Auto Process'!$AE:$AE,$O468))</f>
        <v/>
      </c>
      <c r="D468" s="17" t="str">
        <f aca="false">IF($O468="","",INDEX('Auto Process'!$AF:$AF,$O468))</f>
        <v/>
      </c>
      <c r="E468" s="17" t="str">
        <f aca="false">IF($O468="","",INDEX('Auto Process'!$AG:$AG,$O468))</f>
        <v/>
      </c>
      <c r="F468" s="17" t="str">
        <f aca="false">IF($O468="","",INDEX('Auto Process'!$AH:$AH,$O468))</f>
        <v/>
      </c>
      <c r="G468" s="17" t="str">
        <f aca="false">IF($O468="","",INDEX('Auto Process'!$AI:$AI,$O468))</f>
        <v/>
      </c>
      <c r="H468" s="17" t="str">
        <f aca="false">IF($O468="","",INDEX('Auto Process'!$AJ:$AJ,$O468))</f>
        <v/>
      </c>
      <c r="I468" s="17" t="str">
        <f aca="false">IF($O468="","",INDEX('Auto Process'!$AK:$AK,$O468))</f>
        <v/>
      </c>
      <c r="J468" s="17" t="str">
        <f aca="false">IF($O468="","",INDEX('Auto Process'!$AL:$AL,$O468))</f>
        <v/>
      </c>
      <c r="K468" s="17" t="str">
        <f aca="false">IF($O468="","",INDEX('Auto Process'!$AM:$AM,$O468))</f>
        <v/>
      </c>
      <c r="L468" s="17" t="str">
        <f aca="false">IF($O468="","",INDEX('Auto Process'!$AN:$AN,$O468))</f>
        <v/>
      </c>
      <c r="M468" s="17" t="str">
        <f aca="false">IF($O468="","",INDEX('Auto Process'!$AO:$AO,$O468))</f>
        <v/>
      </c>
      <c r="O468" s="19" t="str">
        <f aca="false">IFERROR(_xlfn.AGGREGATE(15,6,ROW('Auto Process'!$D$4:$D$503)/('Auto Process'!$D$4:$D$503="Panel Details"),ROW()-1),"")</f>
        <v/>
      </c>
    </row>
    <row r="469" customFormat="false" ht="13.5" hidden="false" customHeight="true" outlineLevel="0" collapsed="false">
      <c r="A469" s="27" t="str">
        <f aca="false">IF($O469="","",INDEX('Auto Process'!$AC:$AC,$O469))</f>
        <v/>
      </c>
      <c r="B469" s="17" t="str">
        <f aca="false">IF($O469="","",INDEX('Auto Process'!$AD:$AD,$O469))</f>
        <v/>
      </c>
      <c r="C469" s="17" t="str">
        <f aca="false">IF($O469="","",INDEX('Auto Process'!$AE:$AE,$O469))</f>
        <v/>
      </c>
      <c r="D469" s="17" t="str">
        <f aca="false">IF($O469="","",INDEX('Auto Process'!$AF:$AF,$O469))</f>
        <v/>
      </c>
      <c r="E469" s="17" t="str">
        <f aca="false">IF($O469="","",INDEX('Auto Process'!$AG:$AG,$O469))</f>
        <v/>
      </c>
      <c r="F469" s="17" t="str">
        <f aca="false">IF($O469="","",INDEX('Auto Process'!$AH:$AH,$O469))</f>
        <v/>
      </c>
      <c r="G469" s="17" t="str">
        <f aca="false">IF($O469="","",INDEX('Auto Process'!$AI:$AI,$O469))</f>
        <v/>
      </c>
      <c r="H469" s="17" t="str">
        <f aca="false">IF($O469="","",INDEX('Auto Process'!$AJ:$AJ,$O469))</f>
        <v/>
      </c>
      <c r="I469" s="17" t="str">
        <f aca="false">IF($O469="","",INDEX('Auto Process'!$AK:$AK,$O469))</f>
        <v/>
      </c>
      <c r="J469" s="17" t="str">
        <f aca="false">IF($O469="","",INDEX('Auto Process'!$AL:$AL,$O469))</f>
        <v/>
      </c>
      <c r="K469" s="17" t="str">
        <f aca="false">IF($O469="","",INDEX('Auto Process'!$AM:$AM,$O469))</f>
        <v/>
      </c>
      <c r="L469" s="17" t="str">
        <f aca="false">IF($O469="","",INDEX('Auto Process'!$AN:$AN,$O469))</f>
        <v/>
      </c>
      <c r="M469" s="17" t="str">
        <f aca="false">IF($O469="","",INDEX('Auto Process'!$AO:$AO,$O469))</f>
        <v/>
      </c>
      <c r="O469" s="19" t="str">
        <f aca="false">IFERROR(_xlfn.AGGREGATE(15,6,ROW('Auto Process'!$D$4:$D$503)/('Auto Process'!$D$4:$D$503="Panel Details"),ROW()-1),"")</f>
        <v/>
      </c>
    </row>
    <row r="470" customFormat="false" ht="13.5" hidden="false" customHeight="true" outlineLevel="0" collapsed="false">
      <c r="A470" s="27" t="str">
        <f aca="false">IF($O470="","",INDEX('Auto Process'!$AC:$AC,$O470))</f>
        <v/>
      </c>
      <c r="B470" s="17" t="str">
        <f aca="false">IF($O470="","",INDEX('Auto Process'!$AD:$AD,$O470))</f>
        <v/>
      </c>
      <c r="C470" s="17" t="str">
        <f aca="false">IF($O470="","",INDEX('Auto Process'!$AE:$AE,$O470))</f>
        <v/>
      </c>
      <c r="D470" s="17" t="str">
        <f aca="false">IF($O470="","",INDEX('Auto Process'!$AF:$AF,$O470))</f>
        <v/>
      </c>
      <c r="E470" s="17" t="str">
        <f aca="false">IF($O470="","",INDEX('Auto Process'!$AG:$AG,$O470))</f>
        <v/>
      </c>
      <c r="F470" s="17" t="str">
        <f aca="false">IF($O470="","",INDEX('Auto Process'!$AH:$AH,$O470))</f>
        <v/>
      </c>
      <c r="G470" s="17" t="str">
        <f aca="false">IF($O470="","",INDEX('Auto Process'!$AI:$AI,$O470))</f>
        <v/>
      </c>
      <c r="H470" s="17" t="str">
        <f aca="false">IF($O470="","",INDEX('Auto Process'!$AJ:$AJ,$O470))</f>
        <v/>
      </c>
      <c r="I470" s="17" t="str">
        <f aca="false">IF($O470="","",INDEX('Auto Process'!$AK:$AK,$O470))</f>
        <v/>
      </c>
      <c r="J470" s="17" t="str">
        <f aca="false">IF($O470="","",INDEX('Auto Process'!$AL:$AL,$O470))</f>
        <v/>
      </c>
      <c r="K470" s="17" t="str">
        <f aca="false">IF($O470="","",INDEX('Auto Process'!$AM:$AM,$O470))</f>
        <v/>
      </c>
      <c r="L470" s="17" t="str">
        <f aca="false">IF($O470="","",INDEX('Auto Process'!$AN:$AN,$O470))</f>
        <v/>
      </c>
      <c r="M470" s="17" t="str">
        <f aca="false">IF($O470="","",INDEX('Auto Process'!$AO:$AO,$O470))</f>
        <v/>
      </c>
      <c r="O470" s="19" t="str">
        <f aca="false">IFERROR(_xlfn.AGGREGATE(15,6,ROW('Auto Process'!$D$4:$D$503)/('Auto Process'!$D$4:$D$503="Panel Details"),ROW()-1),"")</f>
        <v/>
      </c>
    </row>
    <row r="471" customFormat="false" ht="13.5" hidden="false" customHeight="true" outlineLevel="0" collapsed="false">
      <c r="A471" s="27" t="str">
        <f aca="false">IF($O471="","",INDEX('Auto Process'!$AC:$AC,$O471))</f>
        <v/>
      </c>
      <c r="B471" s="17" t="str">
        <f aca="false">IF($O471="","",INDEX('Auto Process'!$AD:$AD,$O471))</f>
        <v/>
      </c>
      <c r="C471" s="17" t="str">
        <f aca="false">IF($O471="","",INDEX('Auto Process'!$AE:$AE,$O471))</f>
        <v/>
      </c>
      <c r="D471" s="17" t="str">
        <f aca="false">IF($O471="","",INDEX('Auto Process'!$AF:$AF,$O471))</f>
        <v/>
      </c>
      <c r="E471" s="17" t="str">
        <f aca="false">IF($O471="","",INDEX('Auto Process'!$AG:$AG,$O471))</f>
        <v/>
      </c>
      <c r="F471" s="17" t="str">
        <f aca="false">IF($O471="","",INDEX('Auto Process'!$AH:$AH,$O471))</f>
        <v/>
      </c>
      <c r="G471" s="17" t="str">
        <f aca="false">IF($O471="","",INDEX('Auto Process'!$AI:$AI,$O471))</f>
        <v/>
      </c>
      <c r="H471" s="17" t="str">
        <f aca="false">IF($O471="","",INDEX('Auto Process'!$AJ:$AJ,$O471))</f>
        <v/>
      </c>
      <c r="I471" s="17" t="str">
        <f aca="false">IF($O471="","",INDEX('Auto Process'!$AK:$AK,$O471))</f>
        <v/>
      </c>
      <c r="J471" s="17" t="str">
        <f aca="false">IF($O471="","",INDEX('Auto Process'!$AL:$AL,$O471))</f>
        <v/>
      </c>
      <c r="K471" s="17" t="str">
        <f aca="false">IF($O471="","",INDEX('Auto Process'!$AM:$AM,$O471))</f>
        <v/>
      </c>
      <c r="L471" s="17" t="str">
        <f aca="false">IF($O471="","",INDEX('Auto Process'!$AN:$AN,$O471))</f>
        <v/>
      </c>
      <c r="M471" s="17" t="str">
        <f aca="false">IF($O471="","",INDEX('Auto Process'!$AO:$AO,$O471))</f>
        <v/>
      </c>
      <c r="O471" s="19" t="str">
        <f aca="false">IFERROR(_xlfn.AGGREGATE(15,6,ROW('Auto Process'!$D$4:$D$503)/('Auto Process'!$D$4:$D$503="Panel Details"),ROW()-1),"")</f>
        <v/>
      </c>
    </row>
    <row r="472" customFormat="false" ht="13.5" hidden="false" customHeight="true" outlineLevel="0" collapsed="false">
      <c r="A472" s="27" t="str">
        <f aca="false">IF($O472="","",INDEX('Auto Process'!$AC:$AC,$O472))</f>
        <v/>
      </c>
      <c r="B472" s="17" t="str">
        <f aca="false">IF($O472="","",INDEX('Auto Process'!$AD:$AD,$O472))</f>
        <v/>
      </c>
      <c r="C472" s="17" t="str">
        <f aca="false">IF($O472="","",INDEX('Auto Process'!$AE:$AE,$O472))</f>
        <v/>
      </c>
      <c r="D472" s="17" t="str">
        <f aca="false">IF($O472="","",INDEX('Auto Process'!$AF:$AF,$O472))</f>
        <v/>
      </c>
      <c r="E472" s="17" t="str">
        <f aca="false">IF($O472="","",INDEX('Auto Process'!$AG:$AG,$O472))</f>
        <v/>
      </c>
      <c r="F472" s="17" t="str">
        <f aca="false">IF($O472="","",INDEX('Auto Process'!$AH:$AH,$O472))</f>
        <v/>
      </c>
      <c r="G472" s="17" t="str">
        <f aca="false">IF($O472="","",INDEX('Auto Process'!$AI:$AI,$O472))</f>
        <v/>
      </c>
      <c r="H472" s="17" t="str">
        <f aca="false">IF($O472="","",INDEX('Auto Process'!$AJ:$AJ,$O472))</f>
        <v/>
      </c>
      <c r="I472" s="17" t="str">
        <f aca="false">IF($O472="","",INDEX('Auto Process'!$AK:$AK,$O472))</f>
        <v/>
      </c>
      <c r="J472" s="17" t="str">
        <f aca="false">IF($O472="","",INDEX('Auto Process'!$AL:$AL,$O472))</f>
        <v/>
      </c>
      <c r="K472" s="17" t="str">
        <f aca="false">IF($O472="","",INDEX('Auto Process'!$AM:$AM,$O472))</f>
        <v/>
      </c>
      <c r="L472" s="17" t="str">
        <f aca="false">IF($O472="","",INDEX('Auto Process'!$AN:$AN,$O472))</f>
        <v/>
      </c>
      <c r="M472" s="17" t="str">
        <f aca="false">IF($O472="","",INDEX('Auto Process'!$AO:$AO,$O472))</f>
        <v/>
      </c>
      <c r="O472" s="19" t="str">
        <f aca="false">IFERROR(_xlfn.AGGREGATE(15,6,ROW('Auto Process'!$D$4:$D$503)/('Auto Process'!$D$4:$D$503="Panel Details"),ROW()-1),"")</f>
        <v/>
      </c>
    </row>
    <row r="473" customFormat="false" ht="13.5" hidden="false" customHeight="true" outlineLevel="0" collapsed="false">
      <c r="A473" s="27" t="str">
        <f aca="false">IF($O473="","",INDEX('Auto Process'!$AC:$AC,$O473))</f>
        <v/>
      </c>
      <c r="B473" s="17" t="str">
        <f aca="false">IF($O473="","",INDEX('Auto Process'!$AD:$AD,$O473))</f>
        <v/>
      </c>
      <c r="C473" s="17" t="str">
        <f aca="false">IF($O473="","",INDEX('Auto Process'!$AE:$AE,$O473))</f>
        <v/>
      </c>
      <c r="D473" s="17" t="str">
        <f aca="false">IF($O473="","",INDEX('Auto Process'!$AF:$AF,$O473))</f>
        <v/>
      </c>
      <c r="E473" s="17" t="str">
        <f aca="false">IF($O473="","",INDEX('Auto Process'!$AG:$AG,$O473))</f>
        <v/>
      </c>
      <c r="F473" s="17" t="str">
        <f aca="false">IF($O473="","",INDEX('Auto Process'!$AH:$AH,$O473))</f>
        <v/>
      </c>
      <c r="G473" s="17" t="str">
        <f aca="false">IF($O473="","",INDEX('Auto Process'!$AI:$AI,$O473))</f>
        <v/>
      </c>
      <c r="H473" s="17" t="str">
        <f aca="false">IF($O473="","",INDEX('Auto Process'!$AJ:$AJ,$O473))</f>
        <v/>
      </c>
      <c r="I473" s="17" t="str">
        <f aca="false">IF($O473="","",INDEX('Auto Process'!$AK:$AK,$O473))</f>
        <v/>
      </c>
      <c r="J473" s="17" t="str">
        <f aca="false">IF($O473="","",INDEX('Auto Process'!$AL:$AL,$O473))</f>
        <v/>
      </c>
      <c r="K473" s="17" t="str">
        <f aca="false">IF($O473="","",INDEX('Auto Process'!$AM:$AM,$O473))</f>
        <v/>
      </c>
      <c r="L473" s="17" t="str">
        <f aca="false">IF($O473="","",INDEX('Auto Process'!$AN:$AN,$O473))</f>
        <v/>
      </c>
      <c r="M473" s="17" t="str">
        <f aca="false">IF($O473="","",INDEX('Auto Process'!$AO:$AO,$O473))</f>
        <v/>
      </c>
      <c r="O473" s="19" t="str">
        <f aca="false">IFERROR(_xlfn.AGGREGATE(15,6,ROW('Auto Process'!$D$4:$D$503)/('Auto Process'!$D$4:$D$503="Panel Details"),ROW()-1),"")</f>
        <v/>
      </c>
    </row>
    <row r="474" customFormat="false" ht="13.5" hidden="false" customHeight="true" outlineLevel="0" collapsed="false">
      <c r="A474" s="27" t="str">
        <f aca="false">IF($O474="","",INDEX('Auto Process'!$AC:$AC,$O474))</f>
        <v/>
      </c>
      <c r="B474" s="17" t="str">
        <f aca="false">IF($O474="","",INDEX('Auto Process'!$AD:$AD,$O474))</f>
        <v/>
      </c>
      <c r="C474" s="17" t="str">
        <f aca="false">IF($O474="","",INDEX('Auto Process'!$AE:$AE,$O474))</f>
        <v/>
      </c>
      <c r="D474" s="17" t="str">
        <f aca="false">IF($O474="","",INDEX('Auto Process'!$AF:$AF,$O474))</f>
        <v/>
      </c>
      <c r="E474" s="17" t="str">
        <f aca="false">IF($O474="","",INDEX('Auto Process'!$AG:$AG,$O474))</f>
        <v/>
      </c>
      <c r="F474" s="17" t="str">
        <f aca="false">IF($O474="","",INDEX('Auto Process'!$AH:$AH,$O474))</f>
        <v/>
      </c>
      <c r="G474" s="17" t="str">
        <f aca="false">IF($O474="","",INDEX('Auto Process'!$AI:$AI,$O474))</f>
        <v/>
      </c>
      <c r="H474" s="17" t="str">
        <f aca="false">IF($O474="","",INDEX('Auto Process'!$AJ:$AJ,$O474))</f>
        <v/>
      </c>
      <c r="I474" s="17" t="str">
        <f aca="false">IF($O474="","",INDEX('Auto Process'!$AK:$AK,$O474))</f>
        <v/>
      </c>
      <c r="J474" s="17" t="str">
        <f aca="false">IF($O474="","",INDEX('Auto Process'!$AL:$AL,$O474))</f>
        <v/>
      </c>
      <c r="K474" s="17" t="str">
        <f aca="false">IF($O474="","",INDEX('Auto Process'!$AM:$AM,$O474))</f>
        <v/>
      </c>
      <c r="L474" s="17" t="str">
        <f aca="false">IF($O474="","",INDEX('Auto Process'!$AN:$AN,$O474))</f>
        <v/>
      </c>
      <c r="M474" s="17" t="str">
        <f aca="false">IF($O474="","",INDEX('Auto Process'!$AO:$AO,$O474))</f>
        <v/>
      </c>
      <c r="O474" s="19" t="str">
        <f aca="false">IFERROR(_xlfn.AGGREGATE(15,6,ROW('Auto Process'!$D$4:$D$503)/('Auto Process'!$D$4:$D$503="Panel Details"),ROW()-1),"")</f>
        <v/>
      </c>
    </row>
    <row r="475" customFormat="false" ht="13.5" hidden="false" customHeight="true" outlineLevel="0" collapsed="false">
      <c r="A475" s="27" t="str">
        <f aca="false">IF($O475="","",INDEX('Auto Process'!$AC:$AC,$O475))</f>
        <v/>
      </c>
      <c r="B475" s="17" t="str">
        <f aca="false">IF($O475="","",INDEX('Auto Process'!$AD:$AD,$O475))</f>
        <v/>
      </c>
      <c r="C475" s="17" t="str">
        <f aca="false">IF($O475="","",INDEX('Auto Process'!$AE:$AE,$O475))</f>
        <v/>
      </c>
      <c r="D475" s="17" t="str">
        <f aca="false">IF($O475="","",INDEX('Auto Process'!$AF:$AF,$O475))</f>
        <v/>
      </c>
      <c r="E475" s="17" t="str">
        <f aca="false">IF($O475="","",INDEX('Auto Process'!$AG:$AG,$O475))</f>
        <v/>
      </c>
      <c r="F475" s="17" t="str">
        <f aca="false">IF($O475="","",INDEX('Auto Process'!$AH:$AH,$O475))</f>
        <v/>
      </c>
      <c r="G475" s="17" t="str">
        <f aca="false">IF($O475="","",INDEX('Auto Process'!$AI:$AI,$O475))</f>
        <v/>
      </c>
      <c r="H475" s="17" t="str">
        <f aca="false">IF($O475="","",INDEX('Auto Process'!$AJ:$AJ,$O475))</f>
        <v/>
      </c>
      <c r="I475" s="17" t="str">
        <f aca="false">IF($O475="","",INDEX('Auto Process'!$AK:$AK,$O475))</f>
        <v/>
      </c>
      <c r="J475" s="17" t="str">
        <f aca="false">IF($O475="","",INDEX('Auto Process'!$AL:$AL,$O475))</f>
        <v/>
      </c>
      <c r="K475" s="17" t="str">
        <f aca="false">IF($O475="","",INDEX('Auto Process'!$AM:$AM,$O475))</f>
        <v/>
      </c>
      <c r="L475" s="17" t="str">
        <f aca="false">IF($O475="","",INDEX('Auto Process'!$AN:$AN,$O475))</f>
        <v/>
      </c>
      <c r="M475" s="17" t="str">
        <f aca="false">IF($O475="","",INDEX('Auto Process'!$AO:$AO,$O475))</f>
        <v/>
      </c>
      <c r="O475" s="19" t="str">
        <f aca="false">IFERROR(_xlfn.AGGREGATE(15,6,ROW('Auto Process'!$D$4:$D$503)/('Auto Process'!$D$4:$D$503="Panel Details"),ROW()-1),"")</f>
        <v/>
      </c>
    </row>
    <row r="476" customFormat="false" ht="13.5" hidden="false" customHeight="true" outlineLevel="0" collapsed="false">
      <c r="A476" s="27" t="str">
        <f aca="false">IF($O476="","",INDEX('Auto Process'!$AC:$AC,$O476))</f>
        <v/>
      </c>
      <c r="B476" s="17" t="str">
        <f aca="false">IF($O476="","",INDEX('Auto Process'!$AD:$AD,$O476))</f>
        <v/>
      </c>
      <c r="C476" s="17" t="str">
        <f aca="false">IF($O476="","",INDEX('Auto Process'!$AE:$AE,$O476))</f>
        <v/>
      </c>
      <c r="D476" s="17" t="str">
        <f aca="false">IF($O476="","",INDEX('Auto Process'!$AF:$AF,$O476))</f>
        <v/>
      </c>
      <c r="E476" s="17" t="str">
        <f aca="false">IF($O476="","",INDEX('Auto Process'!$AG:$AG,$O476))</f>
        <v/>
      </c>
      <c r="F476" s="17" t="str">
        <f aca="false">IF($O476="","",INDEX('Auto Process'!$AH:$AH,$O476))</f>
        <v/>
      </c>
      <c r="G476" s="17" t="str">
        <f aca="false">IF($O476="","",INDEX('Auto Process'!$AI:$AI,$O476))</f>
        <v/>
      </c>
      <c r="H476" s="17" t="str">
        <f aca="false">IF($O476="","",INDEX('Auto Process'!$AJ:$AJ,$O476))</f>
        <v/>
      </c>
      <c r="I476" s="17" t="str">
        <f aca="false">IF($O476="","",INDEX('Auto Process'!$AK:$AK,$O476))</f>
        <v/>
      </c>
      <c r="J476" s="17" t="str">
        <f aca="false">IF($O476="","",INDEX('Auto Process'!$AL:$AL,$O476))</f>
        <v/>
      </c>
      <c r="K476" s="17" t="str">
        <f aca="false">IF($O476="","",INDEX('Auto Process'!$AM:$AM,$O476))</f>
        <v/>
      </c>
      <c r="L476" s="17" t="str">
        <f aca="false">IF($O476="","",INDEX('Auto Process'!$AN:$AN,$O476))</f>
        <v/>
      </c>
      <c r="M476" s="17" t="str">
        <f aca="false">IF($O476="","",INDEX('Auto Process'!$AO:$AO,$O476))</f>
        <v/>
      </c>
      <c r="O476" s="19" t="str">
        <f aca="false">IFERROR(_xlfn.AGGREGATE(15,6,ROW('Auto Process'!$D$4:$D$503)/('Auto Process'!$D$4:$D$503="Panel Details"),ROW()-1),"")</f>
        <v/>
      </c>
    </row>
    <row r="477" customFormat="false" ht="13.5" hidden="false" customHeight="true" outlineLevel="0" collapsed="false">
      <c r="A477" s="27" t="str">
        <f aca="false">IF($O477="","",INDEX('Auto Process'!$AC:$AC,$O477))</f>
        <v/>
      </c>
      <c r="B477" s="17" t="str">
        <f aca="false">IF($O477="","",INDEX('Auto Process'!$AD:$AD,$O477))</f>
        <v/>
      </c>
      <c r="C477" s="17" t="str">
        <f aca="false">IF($O477="","",INDEX('Auto Process'!$AE:$AE,$O477))</f>
        <v/>
      </c>
      <c r="D477" s="17" t="str">
        <f aca="false">IF($O477="","",INDEX('Auto Process'!$AF:$AF,$O477))</f>
        <v/>
      </c>
      <c r="E477" s="17" t="str">
        <f aca="false">IF($O477="","",INDEX('Auto Process'!$AG:$AG,$O477))</f>
        <v/>
      </c>
      <c r="F477" s="17" t="str">
        <f aca="false">IF($O477="","",INDEX('Auto Process'!$AH:$AH,$O477))</f>
        <v/>
      </c>
      <c r="G477" s="17" t="str">
        <f aca="false">IF($O477="","",INDEX('Auto Process'!$AI:$AI,$O477))</f>
        <v/>
      </c>
      <c r="H477" s="17" t="str">
        <f aca="false">IF($O477="","",INDEX('Auto Process'!$AJ:$AJ,$O477))</f>
        <v/>
      </c>
      <c r="I477" s="17" t="str">
        <f aca="false">IF($O477="","",INDEX('Auto Process'!$AK:$AK,$O477))</f>
        <v/>
      </c>
      <c r="J477" s="17" t="str">
        <f aca="false">IF($O477="","",INDEX('Auto Process'!$AL:$AL,$O477))</f>
        <v/>
      </c>
      <c r="K477" s="17" t="str">
        <f aca="false">IF($O477="","",INDEX('Auto Process'!$AM:$AM,$O477))</f>
        <v/>
      </c>
      <c r="L477" s="17" t="str">
        <f aca="false">IF($O477="","",INDEX('Auto Process'!$AN:$AN,$O477))</f>
        <v/>
      </c>
      <c r="M477" s="17" t="str">
        <f aca="false">IF($O477="","",INDEX('Auto Process'!$AO:$AO,$O477))</f>
        <v/>
      </c>
      <c r="O477" s="19" t="str">
        <f aca="false">IFERROR(_xlfn.AGGREGATE(15,6,ROW('Auto Process'!$D$4:$D$503)/('Auto Process'!$D$4:$D$503="Panel Details"),ROW()-1),"")</f>
        <v/>
      </c>
    </row>
    <row r="478" customFormat="false" ht="13.5" hidden="false" customHeight="true" outlineLevel="0" collapsed="false">
      <c r="A478" s="27" t="str">
        <f aca="false">IF($O478="","",INDEX('Auto Process'!$AC:$AC,$O478))</f>
        <v/>
      </c>
      <c r="B478" s="17" t="str">
        <f aca="false">IF($O478="","",INDEX('Auto Process'!$AD:$AD,$O478))</f>
        <v/>
      </c>
      <c r="C478" s="17" t="str">
        <f aca="false">IF($O478="","",INDEX('Auto Process'!$AE:$AE,$O478))</f>
        <v/>
      </c>
      <c r="D478" s="17" t="str">
        <f aca="false">IF($O478="","",INDEX('Auto Process'!$AF:$AF,$O478))</f>
        <v/>
      </c>
      <c r="E478" s="17" t="str">
        <f aca="false">IF($O478="","",INDEX('Auto Process'!$AG:$AG,$O478))</f>
        <v/>
      </c>
      <c r="F478" s="17" t="str">
        <f aca="false">IF($O478="","",INDEX('Auto Process'!$AH:$AH,$O478))</f>
        <v/>
      </c>
      <c r="G478" s="17" t="str">
        <f aca="false">IF($O478="","",INDEX('Auto Process'!$AI:$AI,$O478))</f>
        <v/>
      </c>
      <c r="H478" s="17" t="str">
        <f aca="false">IF($O478="","",INDEX('Auto Process'!$AJ:$AJ,$O478))</f>
        <v/>
      </c>
      <c r="I478" s="17" t="str">
        <f aca="false">IF($O478="","",INDEX('Auto Process'!$AK:$AK,$O478))</f>
        <v/>
      </c>
      <c r="J478" s="17" t="str">
        <f aca="false">IF($O478="","",INDEX('Auto Process'!$AL:$AL,$O478))</f>
        <v/>
      </c>
      <c r="K478" s="17" t="str">
        <f aca="false">IF($O478="","",INDEX('Auto Process'!$AM:$AM,$O478))</f>
        <v/>
      </c>
      <c r="L478" s="17" t="str">
        <f aca="false">IF($O478="","",INDEX('Auto Process'!$AN:$AN,$O478))</f>
        <v/>
      </c>
      <c r="M478" s="17" t="str">
        <f aca="false">IF($O478="","",INDEX('Auto Process'!$AO:$AO,$O478))</f>
        <v/>
      </c>
      <c r="O478" s="19" t="str">
        <f aca="false">IFERROR(_xlfn.AGGREGATE(15,6,ROW('Auto Process'!$D$4:$D$503)/('Auto Process'!$D$4:$D$503="Panel Details"),ROW()-1),"")</f>
        <v/>
      </c>
    </row>
    <row r="479" customFormat="false" ht="13.5" hidden="false" customHeight="true" outlineLevel="0" collapsed="false">
      <c r="A479" s="27" t="str">
        <f aca="false">IF($O479="","",INDEX('Auto Process'!$AC:$AC,$O479))</f>
        <v/>
      </c>
      <c r="B479" s="17" t="str">
        <f aca="false">IF($O479="","",INDEX('Auto Process'!$AD:$AD,$O479))</f>
        <v/>
      </c>
      <c r="C479" s="17" t="str">
        <f aca="false">IF($O479="","",INDEX('Auto Process'!$AE:$AE,$O479))</f>
        <v/>
      </c>
      <c r="D479" s="17" t="str">
        <f aca="false">IF($O479="","",INDEX('Auto Process'!$AF:$AF,$O479))</f>
        <v/>
      </c>
      <c r="E479" s="17" t="str">
        <f aca="false">IF($O479="","",INDEX('Auto Process'!$AG:$AG,$O479))</f>
        <v/>
      </c>
      <c r="F479" s="17" t="str">
        <f aca="false">IF($O479="","",INDEX('Auto Process'!$AH:$AH,$O479))</f>
        <v/>
      </c>
      <c r="G479" s="17" t="str">
        <f aca="false">IF($O479="","",INDEX('Auto Process'!$AI:$AI,$O479))</f>
        <v/>
      </c>
      <c r="H479" s="17" t="str">
        <f aca="false">IF($O479="","",INDEX('Auto Process'!$AJ:$AJ,$O479))</f>
        <v/>
      </c>
      <c r="I479" s="17" t="str">
        <f aca="false">IF($O479="","",INDEX('Auto Process'!$AK:$AK,$O479))</f>
        <v/>
      </c>
      <c r="J479" s="17" t="str">
        <f aca="false">IF($O479="","",INDEX('Auto Process'!$AL:$AL,$O479))</f>
        <v/>
      </c>
      <c r="K479" s="17" t="str">
        <f aca="false">IF($O479="","",INDEX('Auto Process'!$AM:$AM,$O479))</f>
        <v/>
      </c>
      <c r="L479" s="17" t="str">
        <f aca="false">IF($O479="","",INDEX('Auto Process'!$AN:$AN,$O479))</f>
        <v/>
      </c>
      <c r="M479" s="17" t="str">
        <f aca="false">IF($O479="","",INDEX('Auto Process'!$AO:$AO,$O479))</f>
        <v/>
      </c>
      <c r="O479" s="19" t="str">
        <f aca="false">IFERROR(_xlfn.AGGREGATE(15,6,ROW('Auto Process'!$D$4:$D$503)/('Auto Process'!$D$4:$D$503="Panel Details"),ROW()-1),"")</f>
        <v/>
      </c>
    </row>
    <row r="480" customFormat="false" ht="13.5" hidden="false" customHeight="true" outlineLevel="0" collapsed="false">
      <c r="A480" s="27" t="str">
        <f aca="false">IF($O480="","",INDEX('Auto Process'!$AC:$AC,$O480))</f>
        <v/>
      </c>
      <c r="B480" s="17" t="str">
        <f aca="false">IF($O480="","",INDEX('Auto Process'!$AD:$AD,$O480))</f>
        <v/>
      </c>
      <c r="C480" s="17" t="str">
        <f aca="false">IF($O480="","",INDEX('Auto Process'!$AE:$AE,$O480))</f>
        <v/>
      </c>
      <c r="D480" s="17" t="str">
        <f aca="false">IF($O480="","",INDEX('Auto Process'!$AF:$AF,$O480))</f>
        <v/>
      </c>
      <c r="E480" s="17" t="str">
        <f aca="false">IF($O480="","",INDEX('Auto Process'!$AG:$AG,$O480))</f>
        <v/>
      </c>
      <c r="F480" s="17" t="str">
        <f aca="false">IF($O480="","",INDEX('Auto Process'!$AH:$AH,$O480))</f>
        <v/>
      </c>
      <c r="G480" s="17" t="str">
        <f aca="false">IF($O480="","",INDEX('Auto Process'!$AI:$AI,$O480))</f>
        <v/>
      </c>
      <c r="H480" s="17" t="str">
        <f aca="false">IF($O480="","",INDEX('Auto Process'!$AJ:$AJ,$O480))</f>
        <v/>
      </c>
      <c r="I480" s="17" t="str">
        <f aca="false">IF($O480="","",INDEX('Auto Process'!$AK:$AK,$O480))</f>
        <v/>
      </c>
      <c r="J480" s="17" t="str">
        <f aca="false">IF($O480="","",INDEX('Auto Process'!$AL:$AL,$O480))</f>
        <v/>
      </c>
      <c r="K480" s="17" t="str">
        <f aca="false">IF($O480="","",INDEX('Auto Process'!$AM:$AM,$O480))</f>
        <v/>
      </c>
      <c r="L480" s="17" t="str">
        <f aca="false">IF($O480="","",INDEX('Auto Process'!$AN:$AN,$O480))</f>
        <v/>
      </c>
      <c r="M480" s="17" t="str">
        <f aca="false">IF($O480="","",INDEX('Auto Process'!$AO:$AO,$O480))</f>
        <v/>
      </c>
      <c r="O480" s="19" t="str">
        <f aca="false">IFERROR(_xlfn.AGGREGATE(15,6,ROW('Auto Process'!$D$4:$D$503)/('Auto Process'!$D$4:$D$503="Panel Details"),ROW()-1),"")</f>
        <v/>
      </c>
    </row>
    <row r="481" customFormat="false" ht="13.5" hidden="false" customHeight="true" outlineLevel="0" collapsed="false">
      <c r="A481" s="27" t="str">
        <f aca="false">IF($O481="","",INDEX('Auto Process'!$AC:$AC,$O481))</f>
        <v/>
      </c>
      <c r="B481" s="17" t="str">
        <f aca="false">IF($O481="","",INDEX('Auto Process'!$AD:$AD,$O481))</f>
        <v/>
      </c>
      <c r="C481" s="17" t="str">
        <f aca="false">IF($O481="","",INDEX('Auto Process'!$AE:$AE,$O481))</f>
        <v/>
      </c>
      <c r="D481" s="17" t="str">
        <f aca="false">IF($O481="","",INDEX('Auto Process'!$AF:$AF,$O481))</f>
        <v/>
      </c>
      <c r="E481" s="17" t="str">
        <f aca="false">IF($O481="","",INDEX('Auto Process'!$AG:$AG,$O481))</f>
        <v/>
      </c>
      <c r="F481" s="17" t="str">
        <f aca="false">IF($O481="","",INDEX('Auto Process'!$AH:$AH,$O481))</f>
        <v/>
      </c>
      <c r="G481" s="17" t="str">
        <f aca="false">IF($O481="","",INDEX('Auto Process'!$AI:$AI,$O481))</f>
        <v/>
      </c>
      <c r="H481" s="17" t="str">
        <f aca="false">IF($O481="","",INDEX('Auto Process'!$AJ:$AJ,$O481))</f>
        <v/>
      </c>
      <c r="I481" s="17" t="str">
        <f aca="false">IF($O481="","",INDEX('Auto Process'!$AK:$AK,$O481))</f>
        <v/>
      </c>
      <c r="J481" s="17" t="str">
        <f aca="false">IF($O481="","",INDEX('Auto Process'!$AL:$AL,$O481))</f>
        <v/>
      </c>
      <c r="K481" s="17" t="str">
        <f aca="false">IF($O481="","",INDEX('Auto Process'!$AM:$AM,$O481))</f>
        <v/>
      </c>
      <c r="L481" s="17" t="str">
        <f aca="false">IF($O481="","",INDEX('Auto Process'!$AN:$AN,$O481))</f>
        <v/>
      </c>
      <c r="M481" s="17" t="str">
        <f aca="false">IF($O481="","",INDEX('Auto Process'!$AO:$AO,$O481))</f>
        <v/>
      </c>
      <c r="O481" s="19" t="str">
        <f aca="false">IFERROR(_xlfn.AGGREGATE(15,6,ROW('Auto Process'!$D$4:$D$503)/('Auto Process'!$D$4:$D$503="Panel Details"),ROW()-1),"")</f>
        <v/>
      </c>
    </row>
    <row r="482" customFormat="false" ht="13.5" hidden="false" customHeight="true" outlineLevel="0" collapsed="false">
      <c r="A482" s="27" t="str">
        <f aca="false">IF($O482="","",INDEX('Auto Process'!$AC:$AC,$O482))</f>
        <v/>
      </c>
      <c r="B482" s="17" t="str">
        <f aca="false">IF($O482="","",INDEX('Auto Process'!$AD:$AD,$O482))</f>
        <v/>
      </c>
      <c r="C482" s="17" t="str">
        <f aca="false">IF($O482="","",INDEX('Auto Process'!$AE:$AE,$O482))</f>
        <v/>
      </c>
      <c r="D482" s="17" t="str">
        <f aca="false">IF($O482="","",INDEX('Auto Process'!$AF:$AF,$O482))</f>
        <v/>
      </c>
      <c r="E482" s="17" t="str">
        <f aca="false">IF($O482="","",INDEX('Auto Process'!$AG:$AG,$O482))</f>
        <v/>
      </c>
      <c r="F482" s="17" t="str">
        <f aca="false">IF($O482="","",INDEX('Auto Process'!$AH:$AH,$O482))</f>
        <v/>
      </c>
      <c r="G482" s="17" t="str">
        <f aca="false">IF($O482="","",INDEX('Auto Process'!$AI:$AI,$O482))</f>
        <v/>
      </c>
      <c r="H482" s="17" t="str">
        <f aca="false">IF($O482="","",INDEX('Auto Process'!$AJ:$AJ,$O482))</f>
        <v/>
      </c>
      <c r="I482" s="17" t="str">
        <f aca="false">IF($O482="","",INDEX('Auto Process'!$AK:$AK,$O482))</f>
        <v/>
      </c>
      <c r="J482" s="17" t="str">
        <f aca="false">IF($O482="","",INDEX('Auto Process'!$AL:$AL,$O482))</f>
        <v/>
      </c>
      <c r="K482" s="17" t="str">
        <f aca="false">IF($O482="","",INDEX('Auto Process'!$AM:$AM,$O482))</f>
        <v/>
      </c>
      <c r="L482" s="17" t="str">
        <f aca="false">IF($O482="","",INDEX('Auto Process'!$AN:$AN,$O482))</f>
        <v/>
      </c>
      <c r="M482" s="17" t="str">
        <f aca="false">IF($O482="","",INDEX('Auto Process'!$AO:$AO,$O482))</f>
        <v/>
      </c>
      <c r="O482" s="19" t="str">
        <f aca="false">IFERROR(_xlfn.AGGREGATE(15,6,ROW('Auto Process'!$D$4:$D$503)/('Auto Process'!$D$4:$D$503="Panel Details"),ROW()-1),"")</f>
        <v/>
      </c>
    </row>
    <row r="483" customFormat="false" ht="13.5" hidden="false" customHeight="true" outlineLevel="0" collapsed="false">
      <c r="A483" s="27" t="str">
        <f aca="false">IF($O483="","",INDEX('Auto Process'!$AC:$AC,$O483))</f>
        <v/>
      </c>
      <c r="B483" s="17" t="str">
        <f aca="false">IF($O483="","",INDEX('Auto Process'!$AD:$AD,$O483))</f>
        <v/>
      </c>
      <c r="C483" s="17" t="str">
        <f aca="false">IF($O483="","",INDEX('Auto Process'!$AE:$AE,$O483))</f>
        <v/>
      </c>
      <c r="D483" s="17" t="str">
        <f aca="false">IF($O483="","",INDEX('Auto Process'!$AF:$AF,$O483))</f>
        <v/>
      </c>
      <c r="E483" s="17" t="str">
        <f aca="false">IF($O483="","",INDEX('Auto Process'!$AG:$AG,$O483))</f>
        <v/>
      </c>
      <c r="F483" s="17" t="str">
        <f aca="false">IF($O483="","",INDEX('Auto Process'!$AH:$AH,$O483))</f>
        <v/>
      </c>
      <c r="G483" s="17" t="str">
        <f aca="false">IF($O483="","",INDEX('Auto Process'!$AI:$AI,$O483))</f>
        <v/>
      </c>
      <c r="H483" s="17" t="str">
        <f aca="false">IF($O483="","",INDEX('Auto Process'!$AJ:$AJ,$O483))</f>
        <v/>
      </c>
      <c r="I483" s="17" t="str">
        <f aca="false">IF($O483="","",INDEX('Auto Process'!$AK:$AK,$O483))</f>
        <v/>
      </c>
      <c r="J483" s="17" t="str">
        <f aca="false">IF($O483="","",INDEX('Auto Process'!$AL:$AL,$O483))</f>
        <v/>
      </c>
      <c r="K483" s="17" t="str">
        <f aca="false">IF($O483="","",INDEX('Auto Process'!$AM:$AM,$O483))</f>
        <v/>
      </c>
      <c r="L483" s="17" t="str">
        <f aca="false">IF($O483="","",INDEX('Auto Process'!$AN:$AN,$O483))</f>
        <v/>
      </c>
      <c r="M483" s="17" t="str">
        <f aca="false">IF($O483="","",INDEX('Auto Process'!$AO:$AO,$O483))</f>
        <v/>
      </c>
      <c r="O483" s="19" t="str">
        <f aca="false">IFERROR(_xlfn.AGGREGATE(15,6,ROW('Auto Process'!$D$4:$D$503)/('Auto Process'!$D$4:$D$503="Panel Details"),ROW()-1),"")</f>
        <v/>
      </c>
    </row>
    <row r="484" customFormat="false" ht="13.5" hidden="false" customHeight="true" outlineLevel="0" collapsed="false">
      <c r="A484" s="27" t="str">
        <f aca="false">IF($O484="","",INDEX('Auto Process'!$AC:$AC,$O484))</f>
        <v/>
      </c>
      <c r="B484" s="17" t="str">
        <f aca="false">IF($O484="","",INDEX('Auto Process'!$AD:$AD,$O484))</f>
        <v/>
      </c>
      <c r="C484" s="17" t="str">
        <f aca="false">IF($O484="","",INDEX('Auto Process'!$AE:$AE,$O484))</f>
        <v/>
      </c>
      <c r="D484" s="17" t="str">
        <f aca="false">IF($O484="","",INDEX('Auto Process'!$AF:$AF,$O484))</f>
        <v/>
      </c>
      <c r="E484" s="17" t="str">
        <f aca="false">IF($O484="","",INDEX('Auto Process'!$AG:$AG,$O484))</f>
        <v/>
      </c>
      <c r="F484" s="17" t="str">
        <f aca="false">IF($O484="","",INDEX('Auto Process'!$AH:$AH,$O484))</f>
        <v/>
      </c>
      <c r="G484" s="17" t="str">
        <f aca="false">IF($O484="","",INDEX('Auto Process'!$AI:$AI,$O484))</f>
        <v/>
      </c>
      <c r="H484" s="17" t="str">
        <f aca="false">IF($O484="","",INDEX('Auto Process'!$AJ:$AJ,$O484))</f>
        <v/>
      </c>
      <c r="I484" s="17" t="str">
        <f aca="false">IF($O484="","",INDEX('Auto Process'!$AK:$AK,$O484))</f>
        <v/>
      </c>
      <c r="J484" s="17" t="str">
        <f aca="false">IF($O484="","",INDEX('Auto Process'!$AL:$AL,$O484))</f>
        <v/>
      </c>
      <c r="K484" s="17" t="str">
        <f aca="false">IF($O484="","",INDEX('Auto Process'!$AM:$AM,$O484))</f>
        <v/>
      </c>
      <c r="L484" s="17" t="str">
        <f aca="false">IF($O484="","",INDEX('Auto Process'!$AN:$AN,$O484))</f>
        <v/>
      </c>
      <c r="M484" s="17" t="str">
        <f aca="false">IF($O484="","",INDEX('Auto Process'!$AO:$AO,$O484))</f>
        <v/>
      </c>
      <c r="O484" s="19" t="str">
        <f aca="false">IFERROR(_xlfn.AGGREGATE(15,6,ROW('Auto Process'!$D$4:$D$503)/('Auto Process'!$D$4:$D$503="Panel Details"),ROW()-1),"")</f>
        <v/>
      </c>
    </row>
    <row r="485" customFormat="false" ht="13.5" hidden="false" customHeight="true" outlineLevel="0" collapsed="false">
      <c r="A485" s="27" t="str">
        <f aca="false">IF($O485="","",INDEX('Auto Process'!$AC:$AC,$O485))</f>
        <v/>
      </c>
      <c r="B485" s="17" t="str">
        <f aca="false">IF($O485="","",INDEX('Auto Process'!$AD:$AD,$O485))</f>
        <v/>
      </c>
      <c r="C485" s="17" t="str">
        <f aca="false">IF($O485="","",INDEX('Auto Process'!$AE:$AE,$O485))</f>
        <v/>
      </c>
      <c r="D485" s="17" t="str">
        <f aca="false">IF($O485="","",INDEX('Auto Process'!$AF:$AF,$O485))</f>
        <v/>
      </c>
      <c r="E485" s="17" t="str">
        <f aca="false">IF($O485="","",INDEX('Auto Process'!$AG:$AG,$O485))</f>
        <v/>
      </c>
      <c r="F485" s="17" t="str">
        <f aca="false">IF($O485="","",INDEX('Auto Process'!$AH:$AH,$O485))</f>
        <v/>
      </c>
      <c r="G485" s="17" t="str">
        <f aca="false">IF($O485="","",INDEX('Auto Process'!$AI:$AI,$O485))</f>
        <v/>
      </c>
      <c r="H485" s="17" t="str">
        <f aca="false">IF($O485="","",INDEX('Auto Process'!$AJ:$AJ,$O485))</f>
        <v/>
      </c>
      <c r="I485" s="17" t="str">
        <f aca="false">IF($O485="","",INDEX('Auto Process'!$AK:$AK,$O485))</f>
        <v/>
      </c>
      <c r="J485" s="17" t="str">
        <f aca="false">IF($O485="","",INDEX('Auto Process'!$AL:$AL,$O485))</f>
        <v/>
      </c>
      <c r="K485" s="17" t="str">
        <f aca="false">IF($O485="","",INDEX('Auto Process'!$AM:$AM,$O485))</f>
        <v/>
      </c>
      <c r="L485" s="17" t="str">
        <f aca="false">IF($O485="","",INDEX('Auto Process'!$AN:$AN,$O485))</f>
        <v/>
      </c>
      <c r="M485" s="17" t="str">
        <f aca="false">IF($O485="","",INDEX('Auto Process'!$AO:$AO,$O485))</f>
        <v/>
      </c>
      <c r="O485" s="19" t="str">
        <f aca="false">IFERROR(_xlfn.AGGREGATE(15,6,ROW('Auto Process'!$D$4:$D$503)/('Auto Process'!$D$4:$D$503="Panel Details"),ROW()-1),"")</f>
        <v/>
      </c>
    </row>
    <row r="486" customFormat="false" ht="13.5" hidden="false" customHeight="true" outlineLevel="0" collapsed="false">
      <c r="A486" s="27" t="str">
        <f aca="false">IF($O486="","",INDEX('Auto Process'!$AC:$AC,$O486))</f>
        <v/>
      </c>
      <c r="B486" s="17" t="str">
        <f aca="false">IF($O486="","",INDEX('Auto Process'!$AD:$AD,$O486))</f>
        <v/>
      </c>
      <c r="C486" s="17" t="str">
        <f aca="false">IF($O486="","",INDEX('Auto Process'!$AE:$AE,$O486))</f>
        <v/>
      </c>
      <c r="D486" s="17" t="str">
        <f aca="false">IF($O486="","",INDEX('Auto Process'!$AF:$AF,$O486))</f>
        <v/>
      </c>
      <c r="E486" s="17" t="str">
        <f aca="false">IF($O486="","",INDEX('Auto Process'!$AG:$AG,$O486))</f>
        <v/>
      </c>
      <c r="F486" s="17" t="str">
        <f aca="false">IF($O486="","",INDEX('Auto Process'!$AH:$AH,$O486))</f>
        <v/>
      </c>
      <c r="G486" s="17" t="str">
        <f aca="false">IF($O486="","",INDEX('Auto Process'!$AI:$AI,$O486))</f>
        <v/>
      </c>
      <c r="H486" s="17" t="str">
        <f aca="false">IF($O486="","",INDEX('Auto Process'!$AJ:$AJ,$O486))</f>
        <v/>
      </c>
      <c r="I486" s="17" t="str">
        <f aca="false">IF($O486="","",INDEX('Auto Process'!$AK:$AK,$O486))</f>
        <v/>
      </c>
      <c r="J486" s="17" t="str">
        <f aca="false">IF($O486="","",INDEX('Auto Process'!$AL:$AL,$O486))</f>
        <v/>
      </c>
      <c r="K486" s="17" t="str">
        <f aca="false">IF($O486="","",INDEX('Auto Process'!$AM:$AM,$O486))</f>
        <v/>
      </c>
      <c r="L486" s="17" t="str">
        <f aca="false">IF($O486="","",INDEX('Auto Process'!$AN:$AN,$O486))</f>
        <v/>
      </c>
      <c r="M486" s="17" t="str">
        <f aca="false">IF($O486="","",INDEX('Auto Process'!$AO:$AO,$O486))</f>
        <v/>
      </c>
      <c r="O486" s="19" t="str">
        <f aca="false">IFERROR(_xlfn.AGGREGATE(15,6,ROW('Auto Process'!$D$4:$D$503)/('Auto Process'!$D$4:$D$503="Panel Details"),ROW()-1),"")</f>
        <v/>
      </c>
    </row>
    <row r="487" customFormat="false" ht="13.5" hidden="false" customHeight="true" outlineLevel="0" collapsed="false">
      <c r="A487" s="27" t="str">
        <f aca="false">IF($O487="","",INDEX('Auto Process'!$AC:$AC,$O487))</f>
        <v/>
      </c>
      <c r="B487" s="17" t="str">
        <f aca="false">IF($O487="","",INDEX('Auto Process'!$AD:$AD,$O487))</f>
        <v/>
      </c>
      <c r="C487" s="17" t="str">
        <f aca="false">IF($O487="","",INDEX('Auto Process'!$AE:$AE,$O487))</f>
        <v/>
      </c>
      <c r="D487" s="17" t="str">
        <f aca="false">IF($O487="","",INDEX('Auto Process'!$AF:$AF,$O487))</f>
        <v/>
      </c>
      <c r="E487" s="17" t="str">
        <f aca="false">IF($O487="","",INDEX('Auto Process'!$AG:$AG,$O487))</f>
        <v/>
      </c>
      <c r="F487" s="17" t="str">
        <f aca="false">IF($O487="","",INDEX('Auto Process'!$AH:$AH,$O487))</f>
        <v/>
      </c>
      <c r="G487" s="17" t="str">
        <f aca="false">IF($O487="","",INDEX('Auto Process'!$AI:$AI,$O487))</f>
        <v/>
      </c>
      <c r="H487" s="17" t="str">
        <f aca="false">IF($O487="","",INDEX('Auto Process'!$AJ:$AJ,$O487))</f>
        <v/>
      </c>
      <c r="I487" s="17" t="str">
        <f aca="false">IF($O487="","",INDEX('Auto Process'!$AK:$AK,$O487))</f>
        <v/>
      </c>
      <c r="J487" s="17" t="str">
        <f aca="false">IF($O487="","",INDEX('Auto Process'!$AL:$AL,$O487))</f>
        <v/>
      </c>
      <c r="K487" s="17" t="str">
        <f aca="false">IF($O487="","",INDEX('Auto Process'!$AM:$AM,$O487))</f>
        <v/>
      </c>
      <c r="L487" s="17" t="str">
        <f aca="false">IF($O487="","",INDEX('Auto Process'!$AN:$AN,$O487))</f>
        <v/>
      </c>
      <c r="M487" s="17" t="str">
        <f aca="false">IF($O487="","",INDEX('Auto Process'!$AO:$AO,$O487))</f>
        <v/>
      </c>
      <c r="O487" s="19" t="str">
        <f aca="false">IFERROR(_xlfn.AGGREGATE(15,6,ROW('Auto Process'!$D$4:$D$503)/('Auto Process'!$D$4:$D$503="Panel Details"),ROW()-1),"")</f>
        <v/>
      </c>
    </row>
    <row r="488" customFormat="false" ht="13.5" hidden="false" customHeight="true" outlineLevel="0" collapsed="false">
      <c r="A488" s="27" t="str">
        <f aca="false">IF($O488="","",INDEX('Auto Process'!$AC:$AC,$O488))</f>
        <v/>
      </c>
      <c r="B488" s="17" t="str">
        <f aca="false">IF($O488="","",INDEX('Auto Process'!$AD:$AD,$O488))</f>
        <v/>
      </c>
      <c r="C488" s="17" t="str">
        <f aca="false">IF($O488="","",INDEX('Auto Process'!$AE:$AE,$O488))</f>
        <v/>
      </c>
      <c r="D488" s="17" t="str">
        <f aca="false">IF($O488="","",INDEX('Auto Process'!$AF:$AF,$O488))</f>
        <v/>
      </c>
      <c r="E488" s="17" t="str">
        <f aca="false">IF($O488="","",INDEX('Auto Process'!$AG:$AG,$O488))</f>
        <v/>
      </c>
      <c r="F488" s="17" t="str">
        <f aca="false">IF($O488="","",INDEX('Auto Process'!$AH:$AH,$O488))</f>
        <v/>
      </c>
      <c r="G488" s="17" t="str">
        <f aca="false">IF($O488="","",INDEX('Auto Process'!$AI:$AI,$O488))</f>
        <v/>
      </c>
      <c r="H488" s="17" t="str">
        <f aca="false">IF($O488="","",INDEX('Auto Process'!$AJ:$AJ,$O488))</f>
        <v/>
      </c>
      <c r="I488" s="17" t="str">
        <f aca="false">IF($O488="","",INDEX('Auto Process'!$AK:$AK,$O488))</f>
        <v/>
      </c>
      <c r="J488" s="17" t="str">
        <f aca="false">IF($O488="","",INDEX('Auto Process'!$AL:$AL,$O488))</f>
        <v/>
      </c>
      <c r="K488" s="17" t="str">
        <f aca="false">IF($O488="","",INDEX('Auto Process'!$AM:$AM,$O488))</f>
        <v/>
      </c>
      <c r="L488" s="17" t="str">
        <f aca="false">IF($O488="","",INDEX('Auto Process'!$AN:$AN,$O488))</f>
        <v/>
      </c>
      <c r="M488" s="17" t="str">
        <f aca="false">IF($O488="","",INDEX('Auto Process'!$AO:$AO,$O488))</f>
        <v/>
      </c>
      <c r="O488" s="19" t="str">
        <f aca="false">IFERROR(_xlfn.AGGREGATE(15,6,ROW('Auto Process'!$D$4:$D$503)/('Auto Process'!$D$4:$D$503="Panel Details"),ROW()-1),"")</f>
        <v/>
      </c>
    </row>
    <row r="489" customFormat="false" ht="13.5" hidden="false" customHeight="true" outlineLevel="0" collapsed="false">
      <c r="A489" s="27" t="str">
        <f aca="false">IF($O489="","",INDEX('Auto Process'!$AC:$AC,$O489))</f>
        <v/>
      </c>
      <c r="B489" s="17" t="str">
        <f aca="false">IF($O489="","",INDEX('Auto Process'!$AD:$AD,$O489))</f>
        <v/>
      </c>
      <c r="C489" s="17" t="str">
        <f aca="false">IF($O489="","",INDEX('Auto Process'!$AE:$AE,$O489))</f>
        <v/>
      </c>
      <c r="D489" s="17" t="str">
        <f aca="false">IF($O489="","",INDEX('Auto Process'!$AF:$AF,$O489))</f>
        <v/>
      </c>
      <c r="E489" s="17" t="str">
        <f aca="false">IF($O489="","",INDEX('Auto Process'!$AG:$AG,$O489))</f>
        <v/>
      </c>
      <c r="F489" s="17" t="str">
        <f aca="false">IF($O489="","",INDEX('Auto Process'!$AH:$AH,$O489))</f>
        <v/>
      </c>
      <c r="G489" s="17" t="str">
        <f aca="false">IF($O489="","",INDEX('Auto Process'!$AI:$AI,$O489))</f>
        <v/>
      </c>
      <c r="H489" s="17" t="str">
        <f aca="false">IF($O489="","",INDEX('Auto Process'!$AJ:$AJ,$O489))</f>
        <v/>
      </c>
      <c r="I489" s="17" t="str">
        <f aca="false">IF($O489="","",INDEX('Auto Process'!$AK:$AK,$O489))</f>
        <v/>
      </c>
      <c r="J489" s="17" t="str">
        <f aca="false">IF($O489="","",INDEX('Auto Process'!$AL:$AL,$O489))</f>
        <v/>
      </c>
      <c r="K489" s="17" t="str">
        <f aca="false">IF($O489="","",INDEX('Auto Process'!$AM:$AM,$O489))</f>
        <v/>
      </c>
      <c r="L489" s="17" t="str">
        <f aca="false">IF($O489="","",INDEX('Auto Process'!$AN:$AN,$O489))</f>
        <v/>
      </c>
      <c r="M489" s="17" t="str">
        <f aca="false">IF($O489="","",INDEX('Auto Process'!$AO:$AO,$O489))</f>
        <v/>
      </c>
      <c r="O489" s="19" t="str">
        <f aca="false">IFERROR(_xlfn.AGGREGATE(15,6,ROW('Auto Process'!$D$4:$D$503)/('Auto Process'!$D$4:$D$503="Panel Details"),ROW()-1),"")</f>
        <v/>
      </c>
    </row>
    <row r="490" customFormat="false" ht="13.5" hidden="false" customHeight="true" outlineLevel="0" collapsed="false">
      <c r="A490" s="27" t="str">
        <f aca="false">IF($O490="","",INDEX('Auto Process'!$AC:$AC,$O490))</f>
        <v/>
      </c>
      <c r="B490" s="17" t="str">
        <f aca="false">IF($O490="","",INDEX('Auto Process'!$AD:$AD,$O490))</f>
        <v/>
      </c>
      <c r="C490" s="17" t="str">
        <f aca="false">IF($O490="","",INDEX('Auto Process'!$AE:$AE,$O490))</f>
        <v/>
      </c>
      <c r="D490" s="17" t="str">
        <f aca="false">IF($O490="","",INDEX('Auto Process'!$AF:$AF,$O490))</f>
        <v/>
      </c>
      <c r="E490" s="17" t="str">
        <f aca="false">IF($O490="","",INDEX('Auto Process'!$AG:$AG,$O490))</f>
        <v/>
      </c>
      <c r="F490" s="17" t="str">
        <f aca="false">IF($O490="","",INDEX('Auto Process'!$AH:$AH,$O490))</f>
        <v/>
      </c>
      <c r="G490" s="17" t="str">
        <f aca="false">IF($O490="","",INDEX('Auto Process'!$AI:$AI,$O490))</f>
        <v/>
      </c>
      <c r="H490" s="17" t="str">
        <f aca="false">IF($O490="","",INDEX('Auto Process'!$AJ:$AJ,$O490))</f>
        <v/>
      </c>
      <c r="I490" s="17" t="str">
        <f aca="false">IF($O490="","",INDEX('Auto Process'!$AK:$AK,$O490))</f>
        <v/>
      </c>
      <c r="J490" s="17" t="str">
        <f aca="false">IF($O490="","",INDEX('Auto Process'!$AL:$AL,$O490))</f>
        <v/>
      </c>
      <c r="K490" s="17" t="str">
        <f aca="false">IF($O490="","",INDEX('Auto Process'!$AM:$AM,$O490))</f>
        <v/>
      </c>
      <c r="L490" s="17" t="str">
        <f aca="false">IF($O490="","",INDEX('Auto Process'!$AN:$AN,$O490))</f>
        <v/>
      </c>
      <c r="M490" s="17" t="str">
        <f aca="false">IF($O490="","",INDEX('Auto Process'!$AO:$AO,$O490))</f>
        <v/>
      </c>
      <c r="O490" s="19" t="str">
        <f aca="false">IFERROR(_xlfn.AGGREGATE(15,6,ROW('Auto Process'!$D$4:$D$503)/('Auto Process'!$D$4:$D$503="Panel Details"),ROW()-1),"")</f>
        <v/>
      </c>
    </row>
    <row r="491" customFormat="false" ht="13.5" hidden="false" customHeight="true" outlineLevel="0" collapsed="false">
      <c r="A491" s="27" t="str">
        <f aca="false">IF($O491="","",INDEX('Auto Process'!$AC:$AC,$O491))</f>
        <v/>
      </c>
      <c r="B491" s="17" t="str">
        <f aca="false">IF($O491="","",INDEX('Auto Process'!$AD:$AD,$O491))</f>
        <v/>
      </c>
      <c r="C491" s="17" t="str">
        <f aca="false">IF($O491="","",INDEX('Auto Process'!$AE:$AE,$O491))</f>
        <v/>
      </c>
      <c r="D491" s="17" t="str">
        <f aca="false">IF($O491="","",INDEX('Auto Process'!$AF:$AF,$O491))</f>
        <v/>
      </c>
      <c r="E491" s="17" t="str">
        <f aca="false">IF($O491="","",INDEX('Auto Process'!$AG:$AG,$O491))</f>
        <v/>
      </c>
      <c r="F491" s="17" t="str">
        <f aca="false">IF($O491="","",INDEX('Auto Process'!$AH:$AH,$O491))</f>
        <v/>
      </c>
      <c r="G491" s="17" t="str">
        <f aca="false">IF($O491="","",INDEX('Auto Process'!$AI:$AI,$O491))</f>
        <v/>
      </c>
      <c r="H491" s="17" t="str">
        <f aca="false">IF($O491="","",INDEX('Auto Process'!$AJ:$AJ,$O491))</f>
        <v/>
      </c>
      <c r="I491" s="17" t="str">
        <f aca="false">IF($O491="","",INDEX('Auto Process'!$AK:$AK,$O491))</f>
        <v/>
      </c>
      <c r="J491" s="17" t="str">
        <f aca="false">IF($O491="","",INDEX('Auto Process'!$AL:$AL,$O491))</f>
        <v/>
      </c>
      <c r="K491" s="17" t="str">
        <f aca="false">IF($O491="","",INDEX('Auto Process'!$AM:$AM,$O491))</f>
        <v/>
      </c>
      <c r="L491" s="17" t="str">
        <f aca="false">IF($O491="","",INDEX('Auto Process'!$AN:$AN,$O491))</f>
        <v/>
      </c>
      <c r="M491" s="17" t="str">
        <f aca="false">IF($O491="","",INDEX('Auto Process'!$AO:$AO,$O491))</f>
        <v/>
      </c>
      <c r="O491" s="19" t="str">
        <f aca="false">IFERROR(_xlfn.AGGREGATE(15,6,ROW('Auto Process'!$D$4:$D$503)/('Auto Process'!$D$4:$D$503="Panel Details"),ROW()-1),"")</f>
        <v/>
      </c>
    </row>
    <row r="492" customFormat="false" ht="13.5" hidden="false" customHeight="true" outlineLevel="0" collapsed="false">
      <c r="A492" s="27" t="str">
        <f aca="false">IF($O492="","",INDEX('Auto Process'!$AC:$AC,$O492))</f>
        <v/>
      </c>
      <c r="B492" s="17" t="str">
        <f aca="false">IF($O492="","",INDEX('Auto Process'!$AD:$AD,$O492))</f>
        <v/>
      </c>
      <c r="C492" s="17" t="str">
        <f aca="false">IF($O492="","",INDEX('Auto Process'!$AE:$AE,$O492))</f>
        <v/>
      </c>
      <c r="D492" s="17" t="str">
        <f aca="false">IF($O492="","",INDEX('Auto Process'!$AF:$AF,$O492))</f>
        <v/>
      </c>
      <c r="E492" s="17" t="str">
        <f aca="false">IF($O492="","",INDEX('Auto Process'!$AG:$AG,$O492))</f>
        <v/>
      </c>
      <c r="F492" s="17" t="str">
        <f aca="false">IF($O492="","",INDEX('Auto Process'!$AH:$AH,$O492))</f>
        <v/>
      </c>
      <c r="G492" s="17" t="str">
        <f aca="false">IF($O492="","",INDEX('Auto Process'!$AI:$AI,$O492))</f>
        <v/>
      </c>
      <c r="H492" s="17" t="str">
        <f aca="false">IF($O492="","",INDEX('Auto Process'!$AJ:$AJ,$O492))</f>
        <v/>
      </c>
      <c r="I492" s="17" t="str">
        <f aca="false">IF($O492="","",INDEX('Auto Process'!$AK:$AK,$O492))</f>
        <v/>
      </c>
      <c r="J492" s="17" t="str">
        <f aca="false">IF($O492="","",INDEX('Auto Process'!$AL:$AL,$O492))</f>
        <v/>
      </c>
      <c r="K492" s="17" t="str">
        <f aca="false">IF($O492="","",INDEX('Auto Process'!$AM:$AM,$O492))</f>
        <v/>
      </c>
      <c r="L492" s="17" t="str">
        <f aca="false">IF($O492="","",INDEX('Auto Process'!$AN:$AN,$O492))</f>
        <v/>
      </c>
      <c r="M492" s="17" t="str">
        <f aca="false">IF($O492="","",INDEX('Auto Process'!$AO:$AO,$O492))</f>
        <v/>
      </c>
      <c r="O492" s="19" t="str">
        <f aca="false">IFERROR(_xlfn.AGGREGATE(15,6,ROW('Auto Process'!$D$4:$D$503)/('Auto Process'!$D$4:$D$503="Panel Details"),ROW()-1),"")</f>
        <v/>
      </c>
    </row>
    <row r="493" customFormat="false" ht="13.5" hidden="false" customHeight="true" outlineLevel="0" collapsed="false">
      <c r="A493" s="27" t="str">
        <f aca="false">IF($O493="","",INDEX('Auto Process'!$AC:$AC,$O493))</f>
        <v/>
      </c>
      <c r="B493" s="17" t="str">
        <f aca="false">IF($O493="","",INDEX('Auto Process'!$AD:$AD,$O493))</f>
        <v/>
      </c>
      <c r="C493" s="17" t="str">
        <f aca="false">IF($O493="","",INDEX('Auto Process'!$AE:$AE,$O493))</f>
        <v/>
      </c>
      <c r="D493" s="17" t="str">
        <f aca="false">IF($O493="","",INDEX('Auto Process'!$AF:$AF,$O493))</f>
        <v/>
      </c>
      <c r="E493" s="17" t="str">
        <f aca="false">IF($O493="","",INDEX('Auto Process'!$AG:$AG,$O493))</f>
        <v/>
      </c>
      <c r="F493" s="17" t="str">
        <f aca="false">IF($O493="","",INDEX('Auto Process'!$AH:$AH,$O493))</f>
        <v/>
      </c>
      <c r="G493" s="17" t="str">
        <f aca="false">IF($O493="","",INDEX('Auto Process'!$AI:$AI,$O493))</f>
        <v/>
      </c>
      <c r="H493" s="17" t="str">
        <f aca="false">IF($O493="","",INDEX('Auto Process'!$AJ:$AJ,$O493))</f>
        <v/>
      </c>
      <c r="I493" s="17" t="str">
        <f aca="false">IF($O493="","",INDEX('Auto Process'!$AK:$AK,$O493))</f>
        <v/>
      </c>
      <c r="J493" s="17" t="str">
        <f aca="false">IF($O493="","",INDEX('Auto Process'!$AL:$AL,$O493))</f>
        <v/>
      </c>
      <c r="K493" s="17" t="str">
        <f aca="false">IF($O493="","",INDEX('Auto Process'!$AM:$AM,$O493))</f>
        <v/>
      </c>
      <c r="L493" s="17" t="str">
        <f aca="false">IF($O493="","",INDEX('Auto Process'!$AN:$AN,$O493))</f>
        <v/>
      </c>
      <c r="M493" s="17" t="str">
        <f aca="false">IF($O493="","",INDEX('Auto Process'!$AO:$AO,$O493))</f>
        <v/>
      </c>
      <c r="O493" s="19" t="str">
        <f aca="false">IFERROR(_xlfn.AGGREGATE(15,6,ROW('Auto Process'!$D$4:$D$503)/('Auto Process'!$D$4:$D$503="Panel Details"),ROW()-1),"")</f>
        <v/>
      </c>
    </row>
    <row r="494" customFormat="false" ht="13.5" hidden="false" customHeight="true" outlineLevel="0" collapsed="false">
      <c r="A494" s="27" t="str">
        <f aca="false">IF($O494="","",INDEX('Auto Process'!$AC:$AC,$O494))</f>
        <v/>
      </c>
      <c r="B494" s="17" t="str">
        <f aca="false">IF($O494="","",INDEX('Auto Process'!$AD:$AD,$O494))</f>
        <v/>
      </c>
      <c r="C494" s="17" t="str">
        <f aca="false">IF($O494="","",INDEX('Auto Process'!$AE:$AE,$O494))</f>
        <v/>
      </c>
      <c r="D494" s="17" t="str">
        <f aca="false">IF($O494="","",INDEX('Auto Process'!$AF:$AF,$O494))</f>
        <v/>
      </c>
      <c r="E494" s="17" t="str">
        <f aca="false">IF($O494="","",INDEX('Auto Process'!$AG:$AG,$O494))</f>
        <v/>
      </c>
      <c r="F494" s="17" t="str">
        <f aca="false">IF($O494="","",INDEX('Auto Process'!$AH:$AH,$O494))</f>
        <v/>
      </c>
      <c r="G494" s="17" t="str">
        <f aca="false">IF($O494="","",INDEX('Auto Process'!$AI:$AI,$O494))</f>
        <v/>
      </c>
      <c r="H494" s="17" t="str">
        <f aca="false">IF($O494="","",INDEX('Auto Process'!$AJ:$AJ,$O494))</f>
        <v/>
      </c>
      <c r="I494" s="17" t="str">
        <f aca="false">IF($O494="","",INDEX('Auto Process'!$AK:$AK,$O494))</f>
        <v/>
      </c>
      <c r="J494" s="17" t="str">
        <f aca="false">IF($O494="","",INDEX('Auto Process'!$AL:$AL,$O494))</f>
        <v/>
      </c>
      <c r="K494" s="17" t="str">
        <f aca="false">IF($O494="","",INDEX('Auto Process'!$AM:$AM,$O494))</f>
        <v/>
      </c>
      <c r="L494" s="17" t="str">
        <f aca="false">IF($O494="","",INDEX('Auto Process'!$AN:$AN,$O494))</f>
        <v/>
      </c>
      <c r="M494" s="17" t="str">
        <f aca="false">IF($O494="","",INDEX('Auto Process'!$AO:$AO,$O494))</f>
        <v/>
      </c>
      <c r="O494" s="19" t="str">
        <f aca="false">IFERROR(_xlfn.AGGREGATE(15,6,ROW('Auto Process'!$D$4:$D$503)/('Auto Process'!$D$4:$D$503="Panel Details"),ROW()-1),"")</f>
        <v/>
      </c>
    </row>
    <row r="495" customFormat="false" ht="13.5" hidden="false" customHeight="true" outlineLevel="0" collapsed="false">
      <c r="A495" s="27" t="str">
        <f aca="false">IF($O495="","",INDEX('Auto Process'!$AC:$AC,$O495))</f>
        <v/>
      </c>
      <c r="B495" s="17" t="str">
        <f aca="false">IF($O495="","",INDEX('Auto Process'!$AD:$AD,$O495))</f>
        <v/>
      </c>
      <c r="C495" s="17" t="str">
        <f aca="false">IF($O495="","",INDEX('Auto Process'!$AE:$AE,$O495))</f>
        <v/>
      </c>
      <c r="D495" s="17" t="str">
        <f aca="false">IF($O495="","",INDEX('Auto Process'!$AF:$AF,$O495))</f>
        <v/>
      </c>
      <c r="E495" s="17" t="str">
        <f aca="false">IF($O495="","",INDEX('Auto Process'!$AG:$AG,$O495))</f>
        <v/>
      </c>
      <c r="F495" s="17" t="str">
        <f aca="false">IF($O495="","",INDEX('Auto Process'!$AH:$AH,$O495))</f>
        <v/>
      </c>
      <c r="G495" s="17" t="str">
        <f aca="false">IF($O495="","",INDEX('Auto Process'!$AI:$AI,$O495))</f>
        <v/>
      </c>
      <c r="H495" s="17" t="str">
        <f aca="false">IF($O495="","",INDEX('Auto Process'!$AJ:$AJ,$O495))</f>
        <v/>
      </c>
      <c r="I495" s="17" t="str">
        <f aca="false">IF($O495="","",INDEX('Auto Process'!$AK:$AK,$O495))</f>
        <v/>
      </c>
      <c r="J495" s="17" t="str">
        <f aca="false">IF($O495="","",INDEX('Auto Process'!$AL:$AL,$O495))</f>
        <v/>
      </c>
      <c r="K495" s="17" t="str">
        <f aca="false">IF($O495="","",INDEX('Auto Process'!$AM:$AM,$O495))</f>
        <v/>
      </c>
      <c r="L495" s="17" t="str">
        <f aca="false">IF($O495="","",INDEX('Auto Process'!$AN:$AN,$O495))</f>
        <v/>
      </c>
      <c r="M495" s="17" t="str">
        <f aca="false">IF($O495="","",INDEX('Auto Process'!$AO:$AO,$O495))</f>
        <v/>
      </c>
      <c r="O495" s="19" t="str">
        <f aca="false">IFERROR(_xlfn.AGGREGATE(15,6,ROW('Auto Process'!$D$4:$D$503)/('Auto Process'!$D$4:$D$503="Panel Details"),ROW()-1),"")</f>
        <v/>
      </c>
    </row>
    <row r="496" customFormat="false" ht="13.5" hidden="false" customHeight="true" outlineLevel="0" collapsed="false">
      <c r="A496" s="27" t="str">
        <f aca="false">IF($O496="","",INDEX('Auto Process'!$AC:$AC,$O496))</f>
        <v/>
      </c>
      <c r="B496" s="17" t="str">
        <f aca="false">IF($O496="","",INDEX('Auto Process'!$AD:$AD,$O496))</f>
        <v/>
      </c>
      <c r="C496" s="17" t="str">
        <f aca="false">IF($O496="","",INDEX('Auto Process'!$AE:$AE,$O496))</f>
        <v/>
      </c>
      <c r="D496" s="17" t="str">
        <f aca="false">IF($O496="","",INDEX('Auto Process'!$AF:$AF,$O496))</f>
        <v/>
      </c>
      <c r="E496" s="17" t="str">
        <f aca="false">IF($O496="","",INDEX('Auto Process'!$AG:$AG,$O496))</f>
        <v/>
      </c>
      <c r="F496" s="17" t="str">
        <f aca="false">IF($O496="","",INDEX('Auto Process'!$AH:$AH,$O496))</f>
        <v/>
      </c>
      <c r="G496" s="17" t="str">
        <f aca="false">IF($O496="","",INDEX('Auto Process'!$AI:$AI,$O496))</f>
        <v/>
      </c>
      <c r="H496" s="17" t="str">
        <f aca="false">IF($O496="","",INDEX('Auto Process'!$AJ:$AJ,$O496))</f>
        <v/>
      </c>
      <c r="I496" s="17" t="str">
        <f aca="false">IF($O496="","",INDEX('Auto Process'!$AK:$AK,$O496))</f>
        <v/>
      </c>
      <c r="J496" s="17" t="str">
        <f aca="false">IF($O496="","",INDEX('Auto Process'!$AL:$AL,$O496))</f>
        <v/>
      </c>
      <c r="K496" s="17" t="str">
        <f aca="false">IF($O496="","",INDEX('Auto Process'!$AM:$AM,$O496))</f>
        <v/>
      </c>
      <c r="L496" s="17" t="str">
        <f aca="false">IF($O496="","",INDEX('Auto Process'!$AN:$AN,$O496))</f>
        <v/>
      </c>
      <c r="M496" s="17" t="str">
        <f aca="false">IF($O496="","",INDEX('Auto Process'!$AO:$AO,$O496))</f>
        <v/>
      </c>
      <c r="O496" s="19" t="str">
        <f aca="false">IFERROR(_xlfn.AGGREGATE(15,6,ROW('Auto Process'!$D$4:$D$503)/('Auto Process'!$D$4:$D$503="Panel Details"),ROW()-1),"")</f>
        <v/>
      </c>
    </row>
    <row r="497" customFormat="false" ht="13.5" hidden="false" customHeight="true" outlineLevel="0" collapsed="false">
      <c r="A497" s="27" t="str">
        <f aca="false">IF($O497="","",INDEX('Auto Process'!$AC:$AC,$O497))</f>
        <v/>
      </c>
      <c r="B497" s="17" t="str">
        <f aca="false">IF($O497="","",INDEX('Auto Process'!$AD:$AD,$O497))</f>
        <v/>
      </c>
      <c r="C497" s="17" t="str">
        <f aca="false">IF($O497="","",INDEX('Auto Process'!$AE:$AE,$O497))</f>
        <v/>
      </c>
      <c r="D497" s="17" t="str">
        <f aca="false">IF($O497="","",INDEX('Auto Process'!$AF:$AF,$O497))</f>
        <v/>
      </c>
      <c r="E497" s="17" t="str">
        <f aca="false">IF($O497="","",INDEX('Auto Process'!$AG:$AG,$O497))</f>
        <v/>
      </c>
      <c r="F497" s="17" t="str">
        <f aca="false">IF($O497="","",INDEX('Auto Process'!$AH:$AH,$O497))</f>
        <v/>
      </c>
      <c r="G497" s="17" t="str">
        <f aca="false">IF($O497="","",INDEX('Auto Process'!$AI:$AI,$O497))</f>
        <v/>
      </c>
      <c r="H497" s="17" t="str">
        <f aca="false">IF($O497="","",INDEX('Auto Process'!$AJ:$AJ,$O497))</f>
        <v/>
      </c>
      <c r="I497" s="17" t="str">
        <f aca="false">IF($O497="","",INDEX('Auto Process'!$AK:$AK,$O497))</f>
        <v/>
      </c>
      <c r="J497" s="17" t="str">
        <f aca="false">IF($O497="","",INDEX('Auto Process'!$AL:$AL,$O497))</f>
        <v/>
      </c>
      <c r="K497" s="17" t="str">
        <f aca="false">IF($O497="","",INDEX('Auto Process'!$AM:$AM,$O497))</f>
        <v/>
      </c>
      <c r="L497" s="17" t="str">
        <f aca="false">IF($O497="","",INDEX('Auto Process'!$AN:$AN,$O497))</f>
        <v/>
      </c>
      <c r="M497" s="17" t="str">
        <f aca="false">IF($O497="","",INDEX('Auto Process'!$AO:$AO,$O497))</f>
        <v/>
      </c>
      <c r="O497" s="19" t="str">
        <f aca="false">IFERROR(_xlfn.AGGREGATE(15,6,ROW('Auto Process'!$D$4:$D$503)/('Auto Process'!$D$4:$D$503="Panel Details"),ROW()-1),"")</f>
        <v/>
      </c>
    </row>
    <row r="498" customFormat="false" ht="13.5" hidden="false" customHeight="true" outlineLevel="0" collapsed="false">
      <c r="A498" s="27" t="str">
        <f aca="false">IF($O498="","",INDEX('Auto Process'!$AC:$AC,$O498))</f>
        <v/>
      </c>
      <c r="B498" s="17" t="str">
        <f aca="false">IF($O498="","",INDEX('Auto Process'!$AD:$AD,$O498))</f>
        <v/>
      </c>
      <c r="C498" s="17" t="str">
        <f aca="false">IF($O498="","",INDEX('Auto Process'!$AE:$AE,$O498))</f>
        <v/>
      </c>
      <c r="D498" s="17" t="str">
        <f aca="false">IF($O498="","",INDEX('Auto Process'!$AF:$AF,$O498))</f>
        <v/>
      </c>
      <c r="E498" s="17" t="str">
        <f aca="false">IF($O498="","",INDEX('Auto Process'!$AG:$AG,$O498))</f>
        <v/>
      </c>
      <c r="F498" s="17" t="str">
        <f aca="false">IF($O498="","",INDEX('Auto Process'!$AH:$AH,$O498))</f>
        <v/>
      </c>
      <c r="G498" s="17" t="str">
        <f aca="false">IF($O498="","",INDEX('Auto Process'!$AI:$AI,$O498))</f>
        <v/>
      </c>
      <c r="H498" s="17" t="str">
        <f aca="false">IF($O498="","",INDEX('Auto Process'!$AJ:$AJ,$O498))</f>
        <v/>
      </c>
      <c r="I498" s="17" t="str">
        <f aca="false">IF($O498="","",INDEX('Auto Process'!$AK:$AK,$O498))</f>
        <v/>
      </c>
      <c r="J498" s="17" t="str">
        <f aca="false">IF($O498="","",INDEX('Auto Process'!$AL:$AL,$O498))</f>
        <v/>
      </c>
      <c r="K498" s="17" t="str">
        <f aca="false">IF($O498="","",INDEX('Auto Process'!$AM:$AM,$O498))</f>
        <v/>
      </c>
      <c r="L498" s="17" t="str">
        <f aca="false">IF($O498="","",INDEX('Auto Process'!$AN:$AN,$O498))</f>
        <v/>
      </c>
      <c r="M498" s="17" t="str">
        <f aca="false">IF($O498="","",INDEX('Auto Process'!$AO:$AO,$O498))</f>
        <v/>
      </c>
      <c r="O498" s="19" t="str">
        <f aca="false">IFERROR(_xlfn.AGGREGATE(15,6,ROW('Auto Process'!$D$4:$D$503)/('Auto Process'!$D$4:$D$503="Panel Details"),ROW()-1),"")</f>
        <v/>
      </c>
    </row>
    <row r="499" customFormat="false" ht="13.5" hidden="false" customHeight="true" outlineLevel="0" collapsed="false">
      <c r="A499" s="27" t="str">
        <f aca="false">IF($O499="","",INDEX('Auto Process'!$AC:$AC,$O499))</f>
        <v/>
      </c>
      <c r="B499" s="17" t="str">
        <f aca="false">IF($O499="","",INDEX('Auto Process'!$AD:$AD,$O499))</f>
        <v/>
      </c>
      <c r="C499" s="17" t="str">
        <f aca="false">IF($O499="","",INDEX('Auto Process'!$AE:$AE,$O499))</f>
        <v/>
      </c>
      <c r="D499" s="17" t="str">
        <f aca="false">IF($O499="","",INDEX('Auto Process'!$AF:$AF,$O499))</f>
        <v/>
      </c>
      <c r="E499" s="17" t="str">
        <f aca="false">IF($O499="","",INDEX('Auto Process'!$AG:$AG,$O499))</f>
        <v/>
      </c>
      <c r="F499" s="17" t="str">
        <f aca="false">IF($O499="","",INDEX('Auto Process'!$AH:$AH,$O499))</f>
        <v/>
      </c>
      <c r="G499" s="17" t="str">
        <f aca="false">IF($O499="","",INDEX('Auto Process'!$AI:$AI,$O499))</f>
        <v/>
      </c>
      <c r="H499" s="17" t="str">
        <f aca="false">IF($O499="","",INDEX('Auto Process'!$AJ:$AJ,$O499))</f>
        <v/>
      </c>
      <c r="I499" s="17" t="str">
        <f aca="false">IF($O499="","",INDEX('Auto Process'!$AK:$AK,$O499))</f>
        <v/>
      </c>
      <c r="J499" s="17" t="str">
        <f aca="false">IF($O499="","",INDEX('Auto Process'!$AL:$AL,$O499))</f>
        <v/>
      </c>
      <c r="K499" s="17" t="str">
        <f aca="false">IF($O499="","",INDEX('Auto Process'!$AM:$AM,$O499))</f>
        <v/>
      </c>
      <c r="L499" s="17" t="str">
        <f aca="false">IF($O499="","",INDEX('Auto Process'!$AN:$AN,$O499))</f>
        <v/>
      </c>
      <c r="M499" s="17" t="str">
        <f aca="false">IF($O499="","",INDEX('Auto Process'!$AO:$AO,$O499))</f>
        <v/>
      </c>
      <c r="O499" s="19" t="str">
        <f aca="false">IFERROR(_xlfn.AGGREGATE(15,6,ROW('Auto Process'!$D$4:$D$503)/('Auto Process'!$D$4:$D$503="Panel Details"),ROW()-1),"")</f>
        <v/>
      </c>
    </row>
    <row r="500" customFormat="false" ht="13.5" hidden="false" customHeight="true" outlineLevel="0" collapsed="false">
      <c r="A500" s="27" t="str">
        <f aca="false">IF($O500="","",INDEX('Auto Process'!$AC:$AC,$O500))</f>
        <v/>
      </c>
      <c r="B500" s="17" t="str">
        <f aca="false">IF($O500="","",INDEX('Auto Process'!$AD:$AD,$O500))</f>
        <v/>
      </c>
      <c r="C500" s="17" t="str">
        <f aca="false">IF($O500="","",INDEX('Auto Process'!$AE:$AE,$O500))</f>
        <v/>
      </c>
      <c r="D500" s="17" t="str">
        <f aca="false">IF($O500="","",INDEX('Auto Process'!$AF:$AF,$O500))</f>
        <v/>
      </c>
      <c r="E500" s="17" t="str">
        <f aca="false">IF($O500="","",INDEX('Auto Process'!$AG:$AG,$O500))</f>
        <v/>
      </c>
      <c r="F500" s="17" t="str">
        <f aca="false">IF($O500="","",INDEX('Auto Process'!$AH:$AH,$O500))</f>
        <v/>
      </c>
      <c r="G500" s="17" t="str">
        <f aca="false">IF($O500="","",INDEX('Auto Process'!$AI:$AI,$O500))</f>
        <v/>
      </c>
      <c r="H500" s="17" t="str">
        <f aca="false">IF($O500="","",INDEX('Auto Process'!$AJ:$AJ,$O500))</f>
        <v/>
      </c>
      <c r="I500" s="17" t="str">
        <f aca="false">IF($O500="","",INDEX('Auto Process'!$AK:$AK,$O500))</f>
        <v/>
      </c>
      <c r="J500" s="17" t="str">
        <f aca="false">IF($O500="","",INDEX('Auto Process'!$AL:$AL,$O500))</f>
        <v/>
      </c>
      <c r="K500" s="17" t="str">
        <f aca="false">IF($O500="","",INDEX('Auto Process'!$AM:$AM,$O500))</f>
        <v/>
      </c>
      <c r="L500" s="17" t="str">
        <f aca="false">IF($O500="","",INDEX('Auto Process'!$AN:$AN,$O500))</f>
        <v/>
      </c>
      <c r="M500" s="17" t="str">
        <f aca="false">IF($O500="","",INDEX('Auto Process'!$AO:$AO,$O500))</f>
        <v/>
      </c>
      <c r="O500" s="19" t="str">
        <f aca="false">IFERROR(_xlfn.AGGREGATE(15,6,ROW('Auto Process'!$D$4:$D$503)/('Auto Process'!$D$4:$D$503="Panel Details"),ROW()-1),"")</f>
        <v/>
      </c>
    </row>
    <row r="501" customFormat="false" ht="13.5" hidden="false" customHeight="true" outlineLevel="0" collapsed="false">
      <c r="A501" s="27" t="str">
        <f aca="false">IF($O501="","",INDEX('Auto Process'!$AC:$AC,$O501))</f>
        <v/>
      </c>
      <c r="B501" s="17" t="str">
        <f aca="false">IF($O501="","",INDEX('Auto Process'!$AD:$AD,$O501))</f>
        <v/>
      </c>
      <c r="C501" s="17" t="str">
        <f aca="false">IF($O501="","",INDEX('Auto Process'!$AE:$AE,$O501))</f>
        <v/>
      </c>
      <c r="D501" s="17" t="str">
        <f aca="false">IF($O501="","",INDEX('Auto Process'!$AF:$AF,$O501))</f>
        <v/>
      </c>
      <c r="E501" s="17" t="str">
        <f aca="false">IF($O501="","",INDEX('Auto Process'!$AG:$AG,$O501))</f>
        <v/>
      </c>
      <c r="F501" s="17" t="str">
        <f aca="false">IF($O501="","",INDEX('Auto Process'!$AH:$AH,$O501))</f>
        <v/>
      </c>
      <c r="G501" s="17" t="str">
        <f aca="false">IF($O501="","",INDEX('Auto Process'!$AI:$AI,$O501))</f>
        <v/>
      </c>
      <c r="H501" s="17" t="str">
        <f aca="false">IF($O501="","",INDEX('Auto Process'!$AJ:$AJ,$O501))</f>
        <v/>
      </c>
      <c r="I501" s="17" t="str">
        <f aca="false">IF($O501="","",INDEX('Auto Process'!$AK:$AK,$O501))</f>
        <v/>
      </c>
      <c r="J501" s="17" t="str">
        <f aca="false">IF($O501="","",INDEX('Auto Process'!$AL:$AL,$O501))</f>
        <v/>
      </c>
      <c r="K501" s="17" t="str">
        <f aca="false">IF($O501="","",INDEX('Auto Process'!$AM:$AM,$O501))</f>
        <v/>
      </c>
      <c r="L501" s="17" t="str">
        <f aca="false">IF($O501="","",INDEX('Auto Process'!$AN:$AN,$O501))</f>
        <v/>
      </c>
      <c r="M501" s="17" t="str">
        <f aca="false">IF($O501="","",INDEX('Auto Process'!$AO:$AO,$O501))</f>
        <v/>
      </c>
      <c r="O501" s="19" t="str">
        <f aca="false">IFERROR(_xlfn.AGGREGATE(15,6,ROW('Auto Process'!$D$4:$D$503)/('Auto Process'!$D$4:$D$503="Panel Details"),ROW()-1),"")</f>
        <v/>
      </c>
    </row>
  </sheetData>
  <conditionalFormatting sqref="B1">
    <cfRule type="duplicateValues" priority="2" aboveAverage="0" equalAverage="0" bottom="0" percent="0" rank="0" text="" dxfId="1"/>
    <cfRule type="duplicateValues" priority="3" aboveAverage="0" equalAverage="0" bottom="0" percent="0" rank="0" text="" dxfId="1"/>
    <cfRule type="duplicateValues" priority="4" aboveAverage="0" equalAverage="0" bottom="0" percent="0" rank="0" text="" dxfId="1"/>
    <cfRule type="duplicateValues" priority="5" aboveAverage="0" equalAverage="0" bottom="0" percent="0" rank="0" text="" dxfId="1"/>
    <cfRule type="duplicateValues" priority="6" aboveAverage="0" equalAverage="0" bottom="0" percent="0" rank="0" text="" dxfId="1"/>
    <cfRule type="duplicateValues" priority="7" aboveAverage="0" equalAverage="0" bottom="0" percent="0" rank="0" text="" dxfId="1"/>
    <cfRule type="duplicateValues" priority="8" aboveAverage="0" equalAverage="0" bottom="0" percent="0" rank="0" text="" dxfId="1"/>
    <cfRule type="duplicateValues" priority="9" aboveAverage="0" equalAverage="0" bottom="0" percent="0" rank="0" text="" dxfId="1"/>
    <cfRule type="duplicateValues" priority="10" aboveAverage="0" equalAverage="0" bottom="0" percent="0" rank="0" text="" dxfId="1"/>
    <cfRule type="duplicateValues" priority="11" aboveAverage="0" equalAverage="0" bottom="0" percent="0" rank="0" text="" dxfId="1"/>
    <cfRule type="duplicateValues" priority="12" aboveAverage="0" equalAverage="0" bottom="0" percent="0" rank="0" text="" dxfId="1"/>
    <cfRule type="duplicateValues" priority="13" aboveAverage="0" equalAverage="0" bottom="0" percent="0" rank="0" text="" dxfId="1"/>
    <cfRule type="duplicateValues" priority="14" aboveAverage="0" equalAverage="0" bottom="0" percent="0" rank="0" text="" dxfId="1"/>
    <cfRule type="duplicateValues" priority="15" aboveAverage="0" equalAverage="0" bottom="0" percent="0" rank="0" text="" dxfId="1"/>
    <cfRule type="duplicateValues" priority="16" aboveAverage="0" equalAverage="0" bottom="0" percent="0" rank="0" text="" dxfId="1"/>
    <cfRule type="duplicateValues" priority="17" aboveAverage="0" equalAverage="0" bottom="0" percent="0" rank="0" text="" dxfId="1"/>
    <cfRule type="duplicateValues" priority="18" aboveAverage="0" equalAverage="0" bottom="0" percent="0" rank="0" text="" dxfId="1"/>
    <cfRule type="duplicateValues" priority="19" aboveAverage="0" equalAverage="0" bottom="0" percent="0" rank="0" text="" dxfId="1"/>
  </conditionalFormatting>
  <conditionalFormatting sqref="A1">
    <cfRule type="duplicateValues" priority="20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4" width="28"/>
    <col collapsed="false" customWidth="true" hidden="false" outlineLevel="0" max="2" min="2" style="14" width="20"/>
    <col collapsed="false" customWidth="true" hidden="false" outlineLevel="0" max="4" min="3" style="14" width="14"/>
    <col collapsed="false" customWidth="true" hidden="false" outlineLevel="0" max="5" min="5" style="14" width="18"/>
    <col collapsed="false" customWidth="true" hidden="false" outlineLevel="0" max="7" min="6" style="14" width="26"/>
    <col collapsed="false" customWidth="true" hidden="false" outlineLevel="0" max="8" min="8" style="14" width="44"/>
  </cols>
  <sheetData>
    <row r="1" customFormat="false" ht="15" hidden="false" customHeight="true" outlineLevel="0" collapsed="false">
      <c r="A1" s="16" t="s">
        <v>32</v>
      </c>
      <c r="B1" s="16" t="s">
        <v>33</v>
      </c>
      <c r="C1" s="16" t="s">
        <v>34</v>
      </c>
      <c r="D1" s="16" t="s">
        <v>37</v>
      </c>
      <c r="E1" s="16" t="s">
        <v>38</v>
      </c>
      <c r="F1" s="16" t="s">
        <v>45</v>
      </c>
      <c r="G1" s="16" t="s">
        <v>46</v>
      </c>
      <c r="H1" s="16" t="s">
        <v>47</v>
      </c>
      <c r="J1" s="26" t="s">
        <v>44</v>
      </c>
    </row>
    <row r="2" customFormat="false" ht="15" hidden="false" customHeight="true" outlineLevel="0" collapsed="false">
      <c r="A2" s="17" t="str">
        <f aca="false">IF($J2="","",INDEX('Auto Process'!$AP:$AP,$J2))</f>
        <v/>
      </c>
      <c r="B2" s="17" t="str">
        <f aca="false">IF($J2="","",INDEX('Auto Process'!$AQ:$AQ,$J2))</f>
        <v/>
      </c>
      <c r="C2" s="17" t="str">
        <f aca="false">IF($J2="","",INDEX('Auto Process'!$AR:$AR,$J2))</f>
        <v/>
      </c>
      <c r="D2" s="17" t="str">
        <f aca="false">IF($J2="","",INDEX('Auto Process'!$AS:$AS,$J2))</f>
        <v/>
      </c>
      <c r="E2" s="17" t="str">
        <f aca="false">IF($J2="","",INDEX('Auto Process'!$AT:$AT,$J2))</f>
        <v/>
      </c>
      <c r="F2" s="17" t="str">
        <f aca="false">IF($J2="","",INDEX('Auto Process'!$AU:$AU,$J2))</f>
        <v/>
      </c>
      <c r="G2" s="17" t="str">
        <f aca="false">IF($J2="","",INDEX('Auto Process'!$AV:$AV,$J2))</f>
        <v/>
      </c>
      <c r="H2" s="17" t="str">
        <f aca="false">IF($J2="","",INDEX('Auto Process'!$AW:$AW,$J2))</f>
        <v/>
      </c>
      <c r="J2" s="14" t="str">
        <f aca="false">IFERROR(_xlfn.AGGREGATE(15,6,ROW('Auto Process'!$D$4:$D$503)/('Auto Process'!$D$4:$D$503="Followup"),ROW()-1),"")</f>
        <v/>
      </c>
    </row>
    <row r="3" customFormat="false" ht="15" hidden="false" customHeight="true" outlineLevel="0" collapsed="false">
      <c r="A3" s="17" t="str">
        <f aca="false">IF($J3="","",INDEX('Auto Process'!$AP:$AP,$J3))</f>
        <v/>
      </c>
      <c r="B3" s="17" t="str">
        <f aca="false">IF($J3="","",INDEX('Auto Process'!$AQ:$AQ,$J3))</f>
        <v/>
      </c>
      <c r="C3" s="17" t="str">
        <f aca="false">IF($J3="","",INDEX('Auto Process'!$AR:$AR,$J3))</f>
        <v/>
      </c>
      <c r="D3" s="17" t="str">
        <f aca="false">IF($J3="","",INDEX('Auto Process'!$AS:$AS,$J3))</f>
        <v/>
      </c>
      <c r="E3" s="17" t="str">
        <f aca="false">IF($J3="","",INDEX('Auto Process'!$AT:$AT,$J3))</f>
        <v/>
      </c>
      <c r="F3" s="17" t="str">
        <f aca="false">IF($J3="","",INDEX('Auto Process'!$AU:$AU,$J3))</f>
        <v/>
      </c>
      <c r="G3" s="17" t="str">
        <f aca="false">IF($J3="","",INDEX('Auto Process'!$AV:$AV,$J3))</f>
        <v/>
      </c>
      <c r="H3" s="17" t="str">
        <f aca="false">IF($J3="","",INDEX('Auto Process'!$AW:$AW,$J3))</f>
        <v/>
      </c>
      <c r="J3" s="14" t="str">
        <f aca="false">IFERROR(_xlfn.AGGREGATE(15,6,ROW('Auto Process'!$D$4:$D$503)/('Auto Process'!$D$4:$D$503="Followup"),ROW()-1),"")</f>
        <v/>
      </c>
    </row>
    <row r="4" customFormat="false" ht="15" hidden="false" customHeight="true" outlineLevel="0" collapsed="false">
      <c r="A4" s="17" t="str">
        <f aca="false">IF($J4="","",INDEX('Auto Process'!$AP:$AP,$J4))</f>
        <v/>
      </c>
      <c r="B4" s="17" t="str">
        <f aca="false">IF($J4="","",INDEX('Auto Process'!$AQ:$AQ,$J4))</f>
        <v/>
      </c>
      <c r="C4" s="17" t="str">
        <f aca="false">IF($J4="","",INDEX('Auto Process'!$AR:$AR,$J4))</f>
        <v/>
      </c>
      <c r="D4" s="17" t="str">
        <f aca="false">IF($J4="","",INDEX('Auto Process'!$AS:$AS,$J4))</f>
        <v/>
      </c>
      <c r="E4" s="17" t="str">
        <f aca="false">IF($J4="","",INDEX('Auto Process'!$AT:$AT,$J4))</f>
        <v/>
      </c>
      <c r="F4" s="17" t="str">
        <f aca="false">IF($J4="","",INDEX('Auto Process'!$AU:$AU,$J4))</f>
        <v/>
      </c>
      <c r="G4" s="17" t="str">
        <f aca="false">IF($J4="","",INDEX('Auto Process'!$AV:$AV,$J4))</f>
        <v/>
      </c>
      <c r="H4" s="17" t="str">
        <f aca="false">IF($J4="","",INDEX('Auto Process'!$AW:$AW,$J4))</f>
        <v/>
      </c>
      <c r="J4" s="14" t="str">
        <f aca="false">IFERROR(_xlfn.AGGREGATE(15,6,ROW('Auto Process'!$D$4:$D$503)/('Auto Process'!$D$4:$D$503="Followup"),ROW()-1),"")</f>
        <v/>
      </c>
    </row>
    <row r="5" customFormat="false" ht="15" hidden="false" customHeight="true" outlineLevel="0" collapsed="false">
      <c r="A5" s="17" t="str">
        <f aca="false">IF($J5="","",INDEX('Auto Process'!$AP:$AP,$J5))</f>
        <v/>
      </c>
      <c r="B5" s="17" t="str">
        <f aca="false">IF($J5="","",INDEX('Auto Process'!$AQ:$AQ,$J5))</f>
        <v/>
      </c>
      <c r="C5" s="17" t="str">
        <f aca="false">IF($J5="","",INDEX('Auto Process'!$AR:$AR,$J5))</f>
        <v/>
      </c>
      <c r="D5" s="17" t="str">
        <f aca="false">IF($J5="","",INDEX('Auto Process'!$AS:$AS,$J5))</f>
        <v/>
      </c>
      <c r="E5" s="17" t="str">
        <f aca="false">IF($J5="","",INDEX('Auto Process'!$AT:$AT,$J5))</f>
        <v/>
      </c>
      <c r="F5" s="17" t="str">
        <f aca="false">IF($J5="","",INDEX('Auto Process'!$AU:$AU,$J5))</f>
        <v/>
      </c>
      <c r="G5" s="17" t="str">
        <f aca="false">IF($J5="","",INDEX('Auto Process'!$AV:$AV,$J5))</f>
        <v/>
      </c>
      <c r="H5" s="17" t="str">
        <f aca="false">IF($J5="","",INDEX('Auto Process'!$AW:$AW,$J5))</f>
        <v/>
      </c>
      <c r="J5" s="14" t="str">
        <f aca="false">IFERROR(_xlfn.AGGREGATE(15,6,ROW('Auto Process'!$D$4:$D$503)/('Auto Process'!$D$4:$D$503="Followup"),ROW()-1),"")</f>
        <v/>
      </c>
    </row>
    <row r="6" customFormat="false" ht="15" hidden="false" customHeight="true" outlineLevel="0" collapsed="false">
      <c r="A6" s="17" t="str">
        <f aca="false">IF($J6="","",INDEX('Auto Process'!$AP:$AP,$J6))</f>
        <v/>
      </c>
      <c r="B6" s="17" t="str">
        <f aca="false">IF($J6="","",INDEX('Auto Process'!$AQ:$AQ,$J6))</f>
        <v/>
      </c>
      <c r="C6" s="17" t="str">
        <f aca="false">IF($J6="","",INDEX('Auto Process'!$AR:$AR,$J6))</f>
        <v/>
      </c>
      <c r="D6" s="17" t="str">
        <f aca="false">IF($J6="","",INDEX('Auto Process'!$AS:$AS,$J6))</f>
        <v/>
      </c>
      <c r="E6" s="17" t="str">
        <f aca="false">IF($J6="","",INDEX('Auto Process'!$AT:$AT,$J6))</f>
        <v/>
      </c>
      <c r="F6" s="17" t="str">
        <f aca="false">IF($J6="","",INDEX('Auto Process'!$AU:$AU,$J6))</f>
        <v/>
      </c>
      <c r="G6" s="17" t="str">
        <f aca="false">IF($J6="","",INDEX('Auto Process'!$AV:$AV,$J6))</f>
        <v/>
      </c>
      <c r="H6" s="17" t="str">
        <f aca="false">IF($J6="","",INDEX('Auto Process'!$AW:$AW,$J6))</f>
        <v/>
      </c>
      <c r="J6" s="14" t="str">
        <f aca="false">IFERROR(_xlfn.AGGREGATE(15,6,ROW('Auto Process'!$D$4:$D$503)/('Auto Process'!$D$4:$D$503="Followup"),ROW()-1),"")</f>
        <v/>
      </c>
    </row>
    <row r="7" customFormat="false" ht="15" hidden="false" customHeight="true" outlineLevel="0" collapsed="false">
      <c r="A7" s="17" t="str">
        <f aca="false">IF($J7="","",INDEX('Auto Process'!$AP:$AP,$J7))</f>
        <v/>
      </c>
      <c r="B7" s="17" t="str">
        <f aca="false">IF($J7="","",INDEX('Auto Process'!$AQ:$AQ,$J7))</f>
        <v/>
      </c>
      <c r="C7" s="17" t="str">
        <f aca="false">IF($J7="","",INDEX('Auto Process'!$AR:$AR,$J7))</f>
        <v/>
      </c>
      <c r="D7" s="17" t="str">
        <f aca="false">IF($J7="","",INDEX('Auto Process'!$AS:$AS,$J7))</f>
        <v/>
      </c>
      <c r="E7" s="17" t="str">
        <f aca="false">IF($J7="","",INDEX('Auto Process'!$AT:$AT,$J7))</f>
        <v/>
      </c>
      <c r="F7" s="17" t="str">
        <f aca="false">IF($J7="","",INDEX('Auto Process'!$AU:$AU,$J7))</f>
        <v/>
      </c>
      <c r="G7" s="17" t="str">
        <f aca="false">IF($J7="","",INDEX('Auto Process'!$AV:$AV,$J7))</f>
        <v/>
      </c>
      <c r="H7" s="17" t="str">
        <f aca="false">IF($J7="","",INDEX('Auto Process'!$AW:$AW,$J7))</f>
        <v/>
      </c>
      <c r="J7" s="14" t="str">
        <f aca="false">IFERROR(_xlfn.AGGREGATE(15,6,ROW('Auto Process'!$D$4:$D$503)/('Auto Process'!$D$4:$D$503="Followup"),ROW()-1),"")</f>
        <v/>
      </c>
    </row>
    <row r="8" customFormat="false" ht="15" hidden="false" customHeight="true" outlineLevel="0" collapsed="false">
      <c r="A8" s="17" t="str">
        <f aca="false">IF($J8="","",INDEX('Auto Process'!$AP:$AP,$J8))</f>
        <v/>
      </c>
      <c r="B8" s="17" t="str">
        <f aca="false">IF($J8="","",INDEX('Auto Process'!$AQ:$AQ,$J8))</f>
        <v/>
      </c>
      <c r="C8" s="17" t="str">
        <f aca="false">IF($J8="","",INDEX('Auto Process'!$AR:$AR,$J8))</f>
        <v/>
      </c>
      <c r="D8" s="17" t="str">
        <f aca="false">IF($J8="","",INDEX('Auto Process'!$AS:$AS,$J8))</f>
        <v/>
      </c>
      <c r="E8" s="17" t="str">
        <f aca="false">IF($J8="","",INDEX('Auto Process'!$AT:$AT,$J8))</f>
        <v/>
      </c>
      <c r="F8" s="17" t="str">
        <f aca="false">IF($J8="","",INDEX('Auto Process'!$AU:$AU,$J8))</f>
        <v/>
      </c>
      <c r="G8" s="17" t="str">
        <f aca="false">IF($J8="","",INDEX('Auto Process'!$AV:$AV,$J8))</f>
        <v/>
      </c>
      <c r="H8" s="17" t="str">
        <f aca="false">IF($J8="","",INDEX('Auto Process'!$AW:$AW,$J8))</f>
        <v/>
      </c>
      <c r="J8" s="14" t="str">
        <f aca="false">IFERROR(_xlfn.AGGREGATE(15,6,ROW('Auto Process'!$D$4:$D$503)/('Auto Process'!$D$4:$D$503="Followup"),ROW()-1),"")</f>
        <v/>
      </c>
    </row>
    <row r="9" customFormat="false" ht="15" hidden="false" customHeight="true" outlineLevel="0" collapsed="false">
      <c r="A9" s="17" t="str">
        <f aca="false">IF($J9="","",INDEX('Auto Process'!$AP:$AP,$J9))</f>
        <v/>
      </c>
      <c r="B9" s="17" t="str">
        <f aca="false">IF($J9="","",INDEX('Auto Process'!$AQ:$AQ,$J9))</f>
        <v/>
      </c>
      <c r="C9" s="17" t="str">
        <f aca="false">IF($J9="","",INDEX('Auto Process'!$AR:$AR,$J9))</f>
        <v/>
      </c>
      <c r="D9" s="17" t="str">
        <f aca="false">IF($J9="","",INDEX('Auto Process'!$AS:$AS,$J9))</f>
        <v/>
      </c>
      <c r="E9" s="17" t="str">
        <f aca="false">IF($J9="","",INDEX('Auto Process'!$AT:$AT,$J9))</f>
        <v/>
      </c>
      <c r="F9" s="17" t="str">
        <f aca="false">IF($J9="","",INDEX('Auto Process'!$AU:$AU,$J9))</f>
        <v/>
      </c>
      <c r="G9" s="17" t="str">
        <f aca="false">IF($J9="","",INDEX('Auto Process'!$AV:$AV,$J9))</f>
        <v/>
      </c>
      <c r="H9" s="17" t="str">
        <f aca="false">IF($J9="","",INDEX('Auto Process'!$AW:$AW,$J9))</f>
        <v/>
      </c>
      <c r="J9" s="14" t="str">
        <f aca="false">IFERROR(_xlfn.AGGREGATE(15,6,ROW('Auto Process'!$D$4:$D$503)/('Auto Process'!$D$4:$D$503="Followup"),ROW()-1),"")</f>
        <v/>
      </c>
    </row>
    <row r="10" customFormat="false" ht="15" hidden="false" customHeight="true" outlineLevel="0" collapsed="false">
      <c r="A10" s="17" t="str">
        <f aca="false">IF($J10="","",INDEX('Auto Process'!$AP:$AP,$J10))</f>
        <v/>
      </c>
      <c r="B10" s="17" t="str">
        <f aca="false">IF($J10="","",INDEX('Auto Process'!$AQ:$AQ,$J10))</f>
        <v/>
      </c>
      <c r="C10" s="17" t="str">
        <f aca="false">IF($J10="","",INDEX('Auto Process'!$AR:$AR,$J10))</f>
        <v/>
      </c>
      <c r="D10" s="17" t="str">
        <f aca="false">IF($J10="","",INDEX('Auto Process'!$AS:$AS,$J10))</f>
        <v/>
      </c>
      <c r="E10" s="17" t="str">
        <f aca="false">IF($J10="","",INDEX('Auto Process'!$AT:$AT,$J10))</f>
        <v/>
      </c>
      <c r="F10" s="17" t="str">
        <f aca="false">IF($J10="","",INDEX('Auto Process'!$AU:$AU,$J10))</f>
        <v/>
      </c>
      <c r="G10" s="17" t="str">
        <f aca="false">IF($J10="","",INDEX('Auto Process'!$AV:$AV,$J10))</f>
        <v/>
      </c>
      <c r="H10" s="17" t="str">
        <f aca="false">IF($J10="","",INDEX('Auto Process'!$AW:$AW,$J10))</f>
        <v/>
      </c>
      <c r="J10" s="14" t="str">
        <f aca="false">IFERROR(_xlfn.AGGREGATE(15,6,ROW('Auto Process'!$D$4:$D$503)/('Auto Process'!$D$4:$D$503="Followup"),ROW()-1),"")</f>
        <v/>
      </c>
    </row>
    <row r="11" customFormat="false" ht="15" hidden="false" customHeight="true" outlineLevel="0" collapsed="false">
      <c r="A11" s="17" t="str">
        <f aca="false">IF($J11="","",INDEX('Auto Process'!$AP:$AP,$J11))</f>
        <v/>
      </c>
      <c r="B11" s="17" t="str">
        <f aca="false">IF($J11="","",INDEX('Auto Process'!$AQ:$AQ,$J11))</f>
        <v/>
      </c>
      <c r="C11" s="17" t="str">
        <f aca="false">IF($J11="","",INDEX('Auto Process'!$AR:$AR,$J11))</f>
        <v/>
      </c>
      <c r="D11" s="17" t="str">
        <f aca="false">IF($J11="","",INDEX('Auto Process'!$AS:$AS,$J11))</f>
        <v/>
      </c>
      <c r="E11" s="17" t="str">
        <f aca="false">IF($J11="","",INDEX('Auto Process'!$AT:$AT,$J11))</f>
        <v/>
      </c>
      <c r="F11" s="17" t="str">
        <f aca="false">IF($J11="","",INDEX('Auto Process'!$AU:$AU,$J11))</f>
        <v/>
      </c>
      <c r="G11" s="17" t="str">
        <f aca="false">IF($J11="","",INDEX('Auto Process'!$AV:$AV,$J11))</f>
        <v/>
      </c>
      <c r="H11" s="17" t="str">
        <f aca="false">IF($J11="","",INDEX('Auto Process'!$AW:$AW,$J11))</f>
        <v/>
      </c>
      <c r="J11" s="14" t="str">
        <f aca="false">IFERROR(_xlfn.AGGREGATE(15,6,ROW('Auto Process'!$D$4:$D$503)/('Auto Process'!$D$4:$D$503="Followup"),ROW()-1),"")</f>
        <v/>
      </c>
    </row>
    <row r="12" customFormat="false" ht="15" hidden="false" customHeight="true" outlineLevel="0" collapsed="false">
      <c r="A12" s="17" t="str">
        <f aca="false">IF($J12="","",INDEX('Auto Process'!$AP:$AP,$J12))</f>
        <v/>
      </c>
      <c r="B12" s="17" t="str">
        <f aca="false">IF($J12="","",INDEX('Auto Process'!$AQ:$AQ,$J12))</f>
        <v/>
      </c>
      <c r="C12" s="17" t="str">
        <f aca="false">IF($J12="","",INDEX('Auto Process'!$AR:$AR,$J12))</f>
        <v/>
      </c>
      <c r="D12" s="17" t="str">
        <f aca="false">IF($J12="","",INDEX('Auto Process'!$AS:$AS,$J12))</f>
        <v/>
      </c>
      <c r="E12" s="17" t="str">
        <f aca="false">IF($J12="","",INDEX('Auto Process'!$AT:$AT,$J12))</f>
        <v/>
      </c>
      <c r="F12" s="17" t="str">
        <f aca="false">IF($J12="","",INDEX('Auto Process'!$AU:$AU,$J12))</f>
        <v/>
      </c>
      <c r="G12" s="17" t="str">
        <f aca="false">IF($J12="","",INDEX('Auto Process'!$AV:$AV,$J12))</f>
        <v/>
      </c>
      <c r="H12" s="17" t="str">
        <f aca="false">IF($J12="","",INDEX('Auto Process'!$AW:$AW,$J12))</f>
        <v/>
      </c>
      <c r="J12" s="14" t="str">
        <f aca="false">IFERROR(_xlfn.AGGREGATE(15,6,ROW('Auto Process'!$D$4:$D$503)/('Auto Process'!$D$4:$D$503="Followup"),ROW()-1),"")</f>
        <v/>
      </c>
    </row>
    <row r="13" customFormat="false" ht="15" hidden="false" customHeight="true" outlineLevel="0" collapsed="false">
      <c r="A13" s="17" t="str">
        <f aca="false">IF($J13="","",INDEX('Auto Process'!$AP:$AP,$J13))</f>
        <v/>
      </c>
      <c r="B13" s="17" t="str">
        <f aca="false">IF($J13="","",INDEX('Auto Process'!$AQ:$AQ,$J13))</f>
        <v/>
      </c>
      <c r="C13" s="17" t="str">
        <f aca="false">IF($J13="","",INDEX('Auto Process'!$AR:$AR,$J13))</f>
        <v/>
      </c>
      <c r="D13" s="17" t="str">
        <f aca="false">IF($J13="","",INDEX('Auto Process'!$AS:$AS,$J13))</f>
        <v/>
      </c>
      <c r="E13" s="17" t="str">
        <f aca="false">IF($J13="","",INDEX('Auto Process'!$AT:$AT,$J13))</f>
        <v/>
      </c>
      <c r="F13" s="17" t="str">
        <f aca="false">IF($J13="","",INDEX('Auto Process'!$AU:$AU,$J13))</f>
        <v/>
      </c>
      <c r="G13" s="17" t="str">
        <f aca="false">IF($J13="","",INDEX('Auto Process'!$AV:$AV,$J13))</f>
        <v/>
      </c>
      <c r="H13" s="17" t="str">
        <f aca="false">IF($J13="","",INDEX('Auto Process'!$AW:$AW,$J13))</f>
        <v/>
      </c>
      <c r="J13" s="14" t="str">
        <f aca="false">IFERROR(_xlfn.AGGREGATE(15,6,ROW('Auto Process'!$D$4:$D$503)/('Auto Process'!$D$4:$D$503="Followup"),ROW()-1),"")</f>
        <v/>
      </c>
    </row>
    <row r="14" customFormat="false" ht="15" hidden="false" customHeight="true" outlineLevel="0" collapsed="false">
      <c r="A14" s="17" t="str">
        <f aca="false">IF($J14="","",INDEX('Auto Process'!$AP:$AP,$J14))</f>
        <v/>
      </c>
      <c r="B14" s="17" t="str">
        <f aca="false">IF($J14="","",INDEX('Auto Process'!$AQ:$AQ,$J14))</f>
        <v/>
      </c>
      <c r="C14" s="17" t="str">
        <f aca="false">IF($J14="","",INDEX('Auto Process'!$AR:$AR,$J14))</f>
        <v/>
      </c>
      <c r="D14" s="17" t="str">
        <f aca="false">IF($J14="","",INDEX('Auto Process'!$AS:$AS,$J14))</f>
        <v/>
      </c>
      <c r="E14" s="17" t="str">
        <f aca="false">IF($J14="","",INDEX('Auto Process'!$AT:$AT,$J14))</f>
        <v/>
      </c>
      <c r="F14" s="17" t="str">
        <f aca="false">IF($J14="","",INDEX('Auto Process'!$AU:$AU,$J14))</f>
        <v/>
      </c>
      <c r="G14" s="17" t="str">
        <f aca="false">IF($J14="","",INDEX('Auto Process'!$AV:$AV,$J14))</f>
        <v/>
      </c>
      <c r="H14" s="17" t="str">
        <f aca="false">IF($J14="","",INDEX('Auto Process'!$AW:$AW,$J14))</f>
        <v/>
      </c>
      <c r="J14" s="14" t="str">
        <f aca="false">IFERROR(_xlfn.AGGREGATE(15,6,ROW('Auto Process'!$D$4:$D$503)/('Auto Process'!$D$4:$D$503="Followup"),ROW()-1),"")</f>
        <v/>
      </c>
    </row>
    <row r="15" customFormat="false" ht="15" hidden="false" customHeight="true" outlineLevel="0" collapsed="false">
      <c r="A15" s="17" t="str">
        <f aca="false">IF($J15="","",INDEX('Auto Process'!$AP:$AP,$J15))</f>
        <v/>
      </c>
      <c r="B15" s="17" t="str">
        <f aca="false">IF($J15="","",INDEX('Auto Process'!$AQ:$AQ,$J15))</f>
        <v/>
      </c>
      <c r="C15" s="17" t="str">
        <f aca="false">IF($J15="","",INDEX('Auto Process'!$AR:$AR,$J15))</f>
        <v/>
      </c>
      <c r="D15" s="17" t="str">
        <f aca="false">IF($J15="","",INDEX('Auto Process'!$AS:$AS,$J15))</f>
        <v/>
      </c>
      <c r="E15" s="17" t="str">
        <f aca="false">IF($J15="","",INDEX('Auto Process'!$AT:$AT,$J15))</f>
        <v/>
      </c>
      <c r="F15" s="17" t="str">
        <f aca="false">IF($J15="","",INDEX('Auto Process'!$AU:$AU,$J15))</f>
        <v/>
      </c>
      <c r="G15" s="17" t="str">
        <f aca="false">IF($J15="","",INDEX('Auto Process'!$AV:$AV,$J15))</f>
        <v/>
      </c>
      <c r="H15" s="17" t="str">
        <f aca="false">IF($J15="","",INDEX('Auto Process'!$AW:$AW,$J15))</f>
        <v/>
      </c>
      <c r="J15" s="14" t="str">
        <f aca="false">IFERROR(_xlfn.AGGREGATE(15,6,ROW('Auto Process'!$D$4:$D$503)/('Auto Process'!$D$4:$D$503="Followup"),ROW()-1),"")</f>
        <v/>
      </c>
    </row>
    <row r="16" customFormat="false" ht="15" hidden="false" customHeight="true" outlineLevel="0" collapsed="false">
      <c r="A16" s="17" t="str">
        <f aca="false">IF($J16="","",INDEX('Auto Process'!$AP:$AP,$J16))</f>
        <v/>
      </c>
      <c r="B16" s="17" t="str">
        <f aca="false">IF($J16="","",INDEX('Auto Process'!$AQ:$AQ,$J16))</f>
        <v/>
      </c>
      <c r="C16" s="17" t="str">
        <f aca="false">IF($J16="","",INDEX('Auto Process'!$AR:$AR,$J16))</f>
        <v/>
      </c>
      <c r="D16" s="17" t="str">
        <f aca="false">IF($J16="","",INDEX('Auto Process'!$AS:$AS,$J16))</f>
        <v/>
      </c>
      <c r="E16" s="17" t="str">
        <f aca="false">IF($J16="","",INDEX('Auto Process'!$AT:$AT,$J16))</f>
        <v/>
      </c>
      <c r="F16" s="17" t="str">
        <f aca="false">IF($J16="","",INDEX('Auto Process'!$AU:$AU,$J16))</f>
        <v/>
      </c>
      <c r="G16" s="17" t="str">
        <f aca="false">IF($J16="","",INDEX('Auto Process'!$AV:$AV,$J16))</f>
        <v/>
      </c>
      <c r="H16" s="17" t="str">
        <f aca="false">IF($J16="","",INDEX('Auto Process'!$AW:$AW,$J16))</f>
        <v/>
      </c>
      <c r="J16" s="14" t="str">
        <f aca="false">IFERROR(_xlfn.AGGREGATE(15,6,ROW('Auto Process'!$D$4:$D$503)/('Auto Process'!$D$4:$D$503="Followup"),ROW()-1),"")</f>
        <v/>
      </c>
    </row>
    <row r="17" customFormat="false" ht="15" hidden="false" customHeight="true" outlineLevel="0" collapsed="false">
      <c r="A17" s="17" t="str">
        <f aca="false">IF($J17="","",INDEX('Auto Process'!$AP:$AP,$J17))</f>
        <v/>
      </c>
      <c r="B17" s="17" t="str">
        <f aca="false">IF($J17="","",INDEX('Auto Process'!$AQ:$AQ,$J17))</f>
        <v/>
      </c>
      <c r="C17" s="17" t="str">
        <f aca="false">IF($J17="","",INDEX('Auto Process'!$AR:$AR,$J17))</f>
        <v/>
      </c>
      <c r="D17" s="17" t="str">
        <f aca="false">IF($J17="","",INDEX('Auto Process'!$AS:$AS,$J17))</f>
        <v/>
      </c>
      <c r="E17" s="17" t="str">
        <f aca="false">IF($J17="","",INDEX('Auto Process'!$AT:$AT,$J17))</f>
        <v/>
      </c>
      <c r="F17" s="17" t="str">
        <f aca="false">IF($J17="","",INDEX('Auto Process'!$AU:$AU,$J17))</f>
        <v/>
      </c>
      <c r="G17" s="17" t="str">
        <f aca="false">IF($J17="","",INDEX('Auto Process'!$AV:$AV,$J17))</f>
        <v/>
      </c>
      <c r="H17" s="17" t="str">
        <f aca="false">IF($J17="","",INDEX('Auto Process'!$AW:$AW,$J17))</f>
        <v/>
      </c>
      <c r="J17" s="14" t="str">
        <f aca="false">IFERROR(_xlfn.AGGREGATE(15,6,ROW('Auto Process'!$D$4:$D$503)/('Auto Process'!$D$4:$D$503="Followup"),ROW()-1),"")</f>
        <v/>
      </c>
    </row>
    <row r="18" customFormat="false" ht="15" hidden="false" customHeight="true" outlineLevel="0" collapsed="false">
      <c r="A18" s="17" t="str">
        <f aca="false">IF($J18="","",INDEX('Auto Process'!$AP:$AP,$J18))</f>
        <v/>
      </c>
      <c r="B18" s="17" t="str">
        <f aca="false">IF($J18="","",INDEX('Auto Process'!$AQ:$AQ,$J18))</f>
        <v/>
      </c>
      <c r="C18" s="17" t="str">
        <f aca="false">IF($J18="","",INDEX('Auto Process'!$AR:$AR,$J18))</f>
        <v/>
      </c>
      <c r="D18" s="17" t="str">
        <f aca="false">IF($J18="","",INDEX('Auto Process'!$AS:$AS,$J18))</f>
        <v/>
      </c>
      <c r="E18" s="17" t="str">
        <f aca="false">IF($J18="","",INDEX('Auto Process'!$AT:$AT,$J18))</f>
        <v/>
      </c>
      <c r="F18" s="17" t="str">
        <f aca="false">IF($J18="","",INDEX('Auto Process'!$AU:$AU,$J18))</f>
        <v/>
      </c>
      <c r="G18" s="17" t="str">
        <f aca="false">IF($J18="","",INDEX('Auto Process'!$AV:$AV,$J18))</f>
        <v/>
      </c>
      <c r="H18" s="17" t="str">
        <f aca="false">IF($J18="","",INDEX('Auto Process'!$AW:$AW,$J18))</f>
        <v/>
      </c>
      <c r="J18" s="14" t="str">
        <f aca="false">IFERROR(_xlfn.AGGREGATE(15,6,ROW('Auto Process'!$D$4:$D$503)/('Auto Process'!$D$4:$D$503="Followup"),ROW()-1),"")</f>
        <v/>
      </c>
    </row>
    <row r="19" customFormat="false" ht="15" hidden="false" customHeight="true" outlineLevel="0" collapsed="false">
      <c r="A19" s="17" t="str">
        <f aca="false">IF($J19="","",INDEX('Auto Process'!$AP:$AP,$J19))</f>
        <v/>
      </c>
      <c r="B19" s="17" t="str">
        <f aca="false">IF($J19="","",INDEX('Auto Process'!$AQ:$AQ,$J19))</f>
        <v/>
      </c>
      <c r="C19" s="17" t="str">
        <f aca="false">IF($J19="","",INDEX('Auto Process'!$AR:$AR,$J19))</f>
        <v/>
      </c>
      <c r="D19" s="17" t="str">
        <f aca="false">IF($J19="","",INDEX('Auto Process'!$AS:$AS,$J19))</f>
        <v/>
      </c>
      <c r="E19" s="17" t="str">
        <f aca="false">IF($J19="","",INDEX('Auto Process'!$AT:$AT,$J19))</f>
        <v/>
      </c>
      <c r="F19" s="17" t="str">
        <f aca="false">IF($J19="","",INDEX('Auto Process'!$AU:$AU,$J19))</f>
        <v/>
      </c>
      <c r="G19" s="17" t="str">
        <f aca="false">IF($J19="","",INDEX('Auto Process'!$AV:$AV,$J19))</f>
        <v/>
      </c>
      <c r="H19" s="17" t="str">
        <f aca="false">IF($J19="","",INDEX('Auto Process'!$AW:$AW,$J19))</f>
        <v/>
      </c>
      <c r="J19" s="14" t="str">
        <f aca="false">IFERROR(_xlfn.AGGREGATE(15,6,ROW('Auto Process'!$D$4:$D$503)/('Auto Process'!$D$4:$D$503="Followup"),ROW()-1),"")</f>
        <v/>
      </c>
    </row>
    <row r="20" customFormat="false" ht="15" hidden="false" customHeight="true" outlineLevel="0" collapsed="false">
      <c r="A20" s="17" t="str">
        <f aca="false">IF($J20="","",INDEX('Auto Process'!$AP:$AP,$J20))</f>
        <v/>
      </c>
      <c r="B20" s="17" t="str">
        <f aca="false">IF($J20="","",INDEX('Auto Process'!$AQ:$AQ,$J20))</f>
        <v/>
      </c>
      <c r="C20" s="17" t="str">
        <f aca="false">IF($J20="","",INDEX('Auto Process'!$AR:$AR,$J20))</f>
        <v/>
      </c>
      <c r="D20" s="17" t="str">
        <f aca="false">IF($J20="","",INDEX('Auto Process'!$AS:$AS,$J20))</f>
        <v/>
      </c>
      <c r="E20" s="17" t="str">
        <f aca="false">IF($J20="","",INDEX('Auto Process'!$AT:$AT,$J20))</f>
        <v/>
      </c>
      <c r="F20" s="17" t="str">
        <f aca="false">IF($J20="","",INDEX('Auto Process'!$AU:$AU,$J20))</f>
        <v/>
      </c>
      <c r="G20" s="17" t="str">
        <f aca="false">IF($J20="","",INDEX('Auto Process'!$AV:$AV,$J20))</f>
        <v/>
      </c>
      <c r="H20" s="17" t="str">
        <f aca="false">IF($J20="","",INDEX('Auto Process'!$AW:$AW,$J20))</f>
        <v/>
      </c>
      <c r="J20" s="14" t="str">
        <f aca="false">IFERROR(_xlfn.AGGREGATE(15,6,ROW('Auto Process'!$D$4:$D$503)/('Auto Process'!$D$4:$D$503="Followup"),ROW()-1),"")</f>
        <v/>
      </c>
    </row>
    <row r="21" customFormat="false" ht="15" hidden="false" customHeight="true" outlineLevel="0" collapsed="false">
      <c r="A21" s="17" t="str">
        <f aca="false">IF($J21="","",INDEX('Auto Process'!$AP:$AP,$J21))</f>
        <v/>
      </c>
      <c r="B21" s="17" t="str">
        <f aca="false">IF($J21="","",INDEX('Auto Process'!$AQ:$AQ,$J21))</f>
        <v/>
      </c>
      <c r="C21" s="17" t="str">
        <f aca="false">IF($J21="","",INDEX('Auto Process'!$AR:$AR,$J21))</f>
        <v/>
      </c>
      <c r="D21" s="17" t="str">
        <f aca="false">IF($J21="","",INDEX('Auto Process'!$AS:$AS,$J21))</f>
        <v/>
      </c>
      <c r="E21" s="17" t="str">
        <f aca="false">IF($J21="","",INDEX('Auto Process'!$AT:$AT,$J21))</f>
        <v/>
      </c>
      <c r="F21" s="17" t="str">
        <f aca="false">IF($J21="","",INDEX('Auto Process'!$AU:$AU,$J21))</f>
        <v/>
      </c>
      <c r="G21" s="17" t="str">
        <f aca="false">IF($J21="","",INDEX('Auto Process'!$AV:$AV,$J21))</f>
        <v/>
      </c>
      <c r="H21" s="17" t="str">
        <f aca="false">IF($J21="","",INDEX('Auto Process'!$AW:$AW,$J21))</f>
        <v/>
      </c>
      <c r="J21" s="14" t="str">
        <f aca="false">IFERROR(_xlfn.AGGREGATE(15,6,ROW('Auto Process'!$D$4:$D$503)/('Auto Process'!$D$4:$D$503="Followup"),ROW()-1),"")</f>
        <v/>
      </c>
    </row>
    <row r="22" customFormat="false" ht="15" hidden="false" customHeight="true" outlineLevel="0" collapsed="false">
      <c r="A22" s="17" t="str">
        <f aca="false">IF($J22="","",INDEX('Auto Process'!$AP:$AP,$J22))</f>
        <v/>
      </c>
      <c r="B22" s="17" t="str">
        <f aca="false">IF($J22="","",INDEX('Auto Process'!$AQ:$AQ,$J22))</f>
        <v/>
      </c>
      <c r="C22" s="17" t="str">
        <f aca="false">IF($J22="","",INDEX('Auto Process'!$AR:$AR,$J22))</f>
        <v/>
      </c>
      <c r="D22" s="17" t="str">
        <f aca="false">IF($J22="","",INDEX('Auto Process'!$AS:$AS,$J22))</f>
        <v/>
      </c>
      <c r="E22" s="17" t="str">
        <f aca="false">IF($J22="","",INDEX('Auto Process'!$AT:$AT,$J22))</f>
        <v/>
      </c>
      <c r="F22" s="17" t="str">
        <f aca="false">IF($J22="","",INDEX('Auto Process'!$AU:$AU,$J22))</f>
        <v/>
      </c>
      <c r="G22" s="17" t="str">
        <f aca="false">IF($J22="","",INDEX('Auto Process'!$AV:$AV,$J22))</f>
        <v/>
      </c>
      <c r="H22" s="17" t="str">
        <f aca="false">IF($J22="","",INDEX('Auto Process'!$AW:$AW,$J22))</f>
        <v/>
      </c>
      <c r="J22" s="14" t="str">
        <f aca="false">IFERROR(_xlfn.AGGREGATE(15,6,ROW('Auto Process'!$D$4:$D$503)/('Auto Process'!$D$4:$D$503="Followup"),ROW()-1),"")</f>
        <v/>
      </c>
    </row>
    <row r="23" customFormat="false" ht="15" hidden="false" customHeight="true" outlineLevel="0" collapsed="false">
      <c r="A23" s="17" t="str">
        <f aca="false">IF($J23="","",INDEX('Auto Process'!$AP:$AP,$J23))</f>
        <v/>
      </c>
      <c r="B23" s="17" t="str">
        <f aca="false">IF($J23="","",INDEX('Auto Process'!$AQ:$AQ,$J23))</f>
        <v/>
      </c>
      <c r="C23" s="17" t="str">
        <f aca="false">IF($J23="","",INDEX('Auto Process'!$AR:$AR,$J23))</f>
        <v/>
      </c>
      <c r="D23" s="17" t="str">
        <f aca="false">IF($J23="","",INDEX('Auto Process'!$AS:$AS,$J23))</f>
        <v/>
      </c>
      <c r="E23" s="17" t="str">
        <f aca="false">IF($J23="","",INDEX('Auto Process'!$AT:$AT,$J23))</f>
        <v/>
      </c>
      <c r="F23" s="17" t="str">
        <f aca="false">IF($J23="","",INDEX('Auto Process'!$AU:$AU,$J23))</f>
        <v/>
      </c>
      <c r="G23" s="17" t="str">
        <f aca="false">IF($J23="","",INDEX('Auto Process'!$AV:$AV,$J23))</f>
        <v/>
      </c>
      <c r="H23" s="17" t="str">
        <f aca="false">IF($J23="","",INDEX('Auto Process'!$AW:$AW,$J23))</f>
        <v/>
      </c>
      <c r="J23" s="14" t="str">
        <f aca="false">IFERROR(_xlfn.AGGREGATE(15,6,ROW('Auto Process'!$D$4:$D$503)/('Auto Process'!$D$4:$D$503="Followup"),ROW()-1),"")</f>
        <v/>
      </c>
    </row>
    <row r="24" customFormat="false" ht="15" hidden="false" customHeight="true" outlineLevel="0" collapsed="false">
      <c r="A24" s="17" t="str">
        <f aca="false">IF($J24="","",INDEX('Auto Process'!$AP:$AP,$J24))</f>
        <v/>
      </c>
      <c r="B24" s="17" t="str">
        <f aca="false">IF($J24="","",INDEX('Auto Process'!$AQ:$AQ,$J24))</f>
        <v/>
      </c>
      <c r="C24" s="17" t="str">
        <f aca="false">IF($J24="","",INDEX('Auto Process'!$AR:$AR,$J24))</f>
        <v/>
      </c>
      <c r="D24" s="17" t="str">
        <f aca="false">IF($J24="","",INDEX('Auto Process'!$AS:$AS,$J24))</f>
        <v/>
      </c>
      <c r="E24" s="17" t="str">
        <f aca="false">IF($J24="","",INDEX('Auto Process'!$AT:$AT,$J24))</f>
        <v/>
      </c>
      <c r="F24" s="17" t="str">
        <f aca="false">IF($J24="","",INDEX('Auto Process'!$AU:$AU,$J24))</f>
        <v/>
      </c>
      <c r="G24" s="17" t="str">
        <f aca="false">IF($J24="","",INDEX('Auto Process'!$AV:$AV,$J24))</f>
        <v/>
      </c>
      <c r="H24" s="17" t="str">
        <f aca="false">IF($J24="","",INDEX('Auto Process'!$AW:$AW,$J24))</f>
        <v/>
      </c>
      <c r="J24" s="14" t="str">
        <f aca="false">IFERROR(_xlfn.AGGREGATE(15,6,ROW('Auto Process'!$D$4:$D$503)/('Auto Process'!$D$4:$D$503="Followup"),ROW()-1),"")</f>
        <v/>
      </c>
    </row>
    <row r="25" customFormat="false" ht="15" hidden="false" customHeight="true" outlineLevel="0" collapsed="false">
      <c r="A25" s="17" t="str">
        <f aca="false">IF($J25="","",INDEX('Auto Process'!$AP:$AP,$J25))</f>
        <v/>
      </c>
      <c r="B25" s="17" t="str">
        <f aca="false">IF($J25="","",INDEX('Auto Process'!$AQ:$AQ,$J25))</f>
        <v/>
      </c>
      <c r="C25" s="17" t="str">
        <f aca="false">IF($J25="","",INDEX('Auto Process'!$AR:$AR,$J25))</f>
        <v/>
      </c>
      <c r="D25" s="17" t="str">
        <f aca="false">IF($J25="","",INDEX('Auto Process'!$AS:$AS,$J25))</f>
        <v/>
      </c>
      <c r="E25" s="17" t="str">
        <f aca="false">IF($J25="","",INDEX('Auto Process'!$AT:$AT,$J25))</f>
        <v/>
      </c>
      <c r="F25" s="17" t="str">
        <f aca="false">IF($J25="","",INDEX('Auto Process'!$AU:$AU,$J25))</f>
        <v/>
      </c>
      <c r="G25" s="17" t="str">
        <f aca="false">IF($J25="","",INDEX('Auto Process'!$AV:$AV,$J25))</f>
        <v/>
      </c>
      <c r="H25" s="17" t="str">
        <f aca="false">IF($J25="","",INDEX('Auto Process'!$AW:$AW,$J25))</f>
        <v/>
      </c>
      <c r="J25" s="14" t="str">
        <f aca="false">IFERROR(_xlfn.AGGREGATE(15,6,ROW('Auto Process'!$D$4:$D$503)/('Auto Process'!$D$4:$D$503="Followup"),ROW()-1),"")</f>
        <v/>
      </c>
    </row>
    <row r="26" customFormat="false" ht="15" hidden="false" customHeight="true" outlineLevel="0" collapsed="false">
      <c r="A26" s="17" t="str">
        <f aca="false">IF($J26="","",INDEX('Auto Process'!$AP:$AP,$J26))</f>
        <v/>
      </c>
      <c r="B26" s="17" t="str">
        <f aca="false">IF($J26="","",INDEX('Auto Process'!$AQ:$AQ,$J26))</f>
        <v/>
      </c>
      <c r="C26" s="17" t="str">
        <f aca="false">IF($J26="","",INDEX('Auto Process'!$AR:$AR,$J26))</f>
        <v/>
      </c>
      <c r="D26" s="17" t="str">
        <f aca="false">IF($J26="","",INDEX('Auto Process'!$AS:$AS,$J26))</f>
        <v/>
      </c>
      <c r="E26" s="17" t="str">
        <f aca="false">IF($J26="","",INDEX('Auto Process'!$AT:$AT,$J26))</f>
        <v/>
      </c>
      <c r="F26" s="17" t="str">
        <f aca="false">IF($J26="","",INDEX('Auto Process'!$AU:$AU,$J26))</f>
        <v/>
      </c>
      <c r="G26" s="17" t="str">
        <f aca="false">IF($J26="","",INDEX('Auto Process'!$AV:$AV,$J26))</f>
        <v/>
      </c>
      <c r="H26" s="17" t="str">
        <f aca="false">IF($J26="","",INDEX('Auto Process'!$AW:$AW,$J26))</f>
        <v/>
      </c>
      <c r="J26" s="14" t="str">
        <f aca="false">IFERROR(_xlfn.AGGREGATE(15,6,ROW('Auto Process'!$D$4:$D$503)/('Auto Process'!$D$4:$D$503="Followup"),ROW()-1),"")</f>
        <v/>
      </c>
    </row>
    <row r="27" customFormat="false" ht="15" hidden="false" customHeight="true" outlineLevel="0" collapsed="false">
      <c r="A27" s="17" t="str">
        <f aca="false">IF($J27="","",INDEX('Auto Process'!$AP:$AP,$J27))</f>
        <v/>
      </c>
      <c r="B27" s="17" t="str">
        <f aca="false">IF($J27="","",INDEX('Auto Process'!$AQ:$AQ,$J27))</f>
        <v/>
      </c>
      <c r="C27" s="17" t="str">
        <f aca="false">IF($J27="","",INDEX('Auto Process'!$AR:$AR,$J27))</f>
        <v/>
      </c>
      <c r="D27" s="17" t="str">
        <f aca="false">IF($J27="","",INDEX('Auto Process'!$AS:$AS,$J27))</f>
        <v/>
      </c>
      <c r="E27" s="17" t="str">
        <f aca="false">IF($J27="","",INDEX('Auto Process'!$AT:$AT,$J27))</f>
        <v/>
      </c>
      <c r="F27" s="17" t="str">
        <f aca="false">IF($J27="","",INDEX('Auto Process'!$AU:$AU,$J27))</f>
        <v/>
      </c>
      <c r="G27" s="17" t="str">
        <f aca="false">IF($J27="","",INDEX('Auto Process'!$AV:$AV,$J27))</f>
        <v/>
      </c>
      <c r="H27" s="17" t="str">
        <f aca="false">IF($J27="","",INDEX('Auto Process'!$AW:$AW,$J27))</f>
        <v/>
      </c>
      <c r="J27" s="14" t="str">
        <f aca="false">IFERROR(_xlfn.AGGREGATE(15,6,ROW('Auto Process'!$D$4:$D$503)/('Auto Process'!$D$4:$D$503="Followup"),ROW()-1),"")</f>
        <v/>
      </c>
    </row>
    <row r="28" customFormat="false" ht="15" hidden="false" customHeight="true" outlineLevel="0" collapsed="false">
      <c r="A28" s="17" t="str">
        <f aca="false">IF($J28="","",INDEX('Auto Process'!$AP:$AP,$J28))</f>
        <v/>
      </c>
      <c r="B28" s="17" t="str">
        <f aca="false">IF($J28="","",INDEX('Auto Process'!$AQ:$AQ,$J28))</f>
        <v/>
      </c>
      <c r="C28" s="17" t="str">
        <f aca="false">IF($J28="","",INDEX('Auto Process'!$AR:$AR,$J28))</f>
        <v/>
      </c>
      <c r="D28" s="17" t="str">
        <f aca="false">IF($J28="","",INDEX('Auto Process'!$AS:$AS,$J28))</f>
        <v/>
      </c>
      <c r="E28" s="17" t="str">
        <f aca="false">IF($J28="","",INDEX('Auto Process'!$AT:$AT,$J28))</f>
        <v/>
      </c>
      <c r="F28" s="17" t="str">
        <f aca="false">IF($J28="","",INDEX('Auto Process'!$AU:$AU,$J28))</f>
        <v/>
      </c>
      <c r="G28" s="17" t="str">
        <f aca="false">IF($J28="","",INDEX('Auto Process'!$AV:$AV,$J28))</f>
        <v/>
      </c>
      <c r="H28" s="17" t="str">
        <f aca="false">IF($J28="","",INDEX('Auto Process'!$AW:$AW,$J28))</f>
        <v/>
      </c>
      <c r="J28" s="14" t="str">
        <f aca="false">IFERROR(_xlfn.AGGREGATE(15,6,ROW('Auto Process'!$D$4:$D$503)/('Auto Process'!$D$4:$D$503="Followup"),ROW()-1),"")</f>
        <v/>
      </c>
    </row>
    <row r="29" customFormat="false" ht="15" hidden="false" customHeight="true" outlineLevel="0" collapsed="false">
      <c r="A29" s="17" t="str">
        <f aca="false">IF($J29="","",INDEX('Auto Process'!$AP:$AP,$J29))</f>
        <v/>
      </c>
      <c r="B29" s="17" t="str">
        <f aca="false">IF($J29="","",INDEX('Auto Process'!$AQ:$AQ,$J29))</f>
        <v/>
      </c>
      <c r="C29" s="17" t="str">
        <f aca="false">IF($J29="","",INDEX('Auto Process'!$AR:$AR,$J29))</f>
        <v/>
      </c>
      <c r="D29" s="17" t="str">
        <f aca="false">IF($J29="","",INDEX('Auto Process'!$AS:$AS,$J29))</f>
        <v/>
      </c>
      <c r="E29" s="17" t="str">
        <f aca="false">IF($J29="","",INDEX('Auto Process'!$AT:$AT,$J29))</f>
        <v/>
      </c>
      <c r="F29" s="17" t="str">
        <f aca="false">IF($J29="","",INDEX('Auto Process'!$AU:$AU,$J29))</f>
        <v/>
      </c>
      <c r="G29" s="17" t="str">
        <f aca="false">IF($J29="","",INDEX('Auto Process'!$AV:$AV,$J29))</f>
        <v/>
      </c>
      <c r="H29" s="17" t="str">
        <f aca="false">IF($J29="","",INDEX('Auto Process'!$AW:$AW,$J29))</f>
        <v/>
      </c>
      <c r="J29" s="14" t="str">
        <f aca="false">IFERROR(_xlfn.AGGREGATE(15,6,ROW('Auto Process'!$D$4:$D$503)/('Auto Process'!$D$4:$D$503="Followup"),ROW()-1),"")</f>
        <v/>
      </c>
    </row>
    <row r="30" customFormat="false" ht="15" hidden="false" customHeight="true" outlineLevel="0" collapsed="false">
      <c r="A30" s="17" t="str">
        <f aca="false">IF($J30="","",INDEX('Auto Process'!$AP:$AP,$J30))</f>
        <v/>
      </c>
      <c r="B30" s="17" t="str">
        <f aca="false">IF($J30="","",INDEX('Auto Process'!$AQ:$AQ,$J30))</f>
        <v/>
      </c>
      <c r="C30" s="17" t="str">
        <f aca="false">IF($J30="","",INDEX('Auto Process'!$AR:$AR,$J30))</f>
        <v/>
      </c>
      <c r="D30" s="17" t="str">
        <f aca="false">IF($J30="","",INDEX('Auto Process'!$AS:$AS,$J30))</f>
        <v/>
      </c>
      <c r="E30" s="17" t="str">
        <f aca="false">IF($J30="","",INDEX('Auto Process'!$AT:$AT,$J30))</f>
        <v/>
      </c>
      <c r="F30" s="17" t="str">
        <f aca="false">IF($J30="","",INDEX('Auto Process'!$AU:$AU,$J30))</f>
        <v/>
      </c>
      <c r="G30" s="17" t="str">
        <f aca="false">IF($J30="","",INDEX('Auto Process'!$AV:$AV,$J30))</f>
        <v/>
      </c>
      <c r="H30" s="17" t="str">
        <f aca="false">IF($J30="","",INDEX('Auto Process'!$AW:$AW,$J30))</f>
        <v/>
      </c>
      <c r="J30" s="14" t="str">
        <f aca="false">IFERROR(_xlfn.AGGREGATE(15,6,ROW('Auto Process'!$D$4:$D$503)/('Auto Process'!$D$4:$D$503="Followup"),ROW()-1),"")</f>
        <v/>
      </c>
    </row>
    <row r="31" customFormat="false" ht="15" hidden="false" customHeight="true" outlineLevel="0" collapsed="false">
      <c r="A31" s="17" t="str">
        <f aca="false">IF($J31="","",INDEX('Auto Process'!$AP:$AP,$J31))</f>
        <v/>
      </c>
      <c r="B31" s="17" t="str">
        <f aca="false">IF($J31="","",INDEX('Auto Process'!$AQ:$AQ,$J31))</f>
        <v/>
      </c>
      <c r="C31" s="17" t="str">
        <f aca="false">IF($J31="","",INDEX('Auto Process'!$AR:$AR,$J31))</f>
        <v/>
      </c>
      <c r="D31" s="17" t="str">
        <f aca="false">IF($J31="","",INDEX('Auto Process'!$AS:$AS,$J31))</f>
        <v/>
      </c>
      <c r="E31" s="17" t="str">
        <f aca="false">IF($J31="","",INDEX('Auto Process'!$AT:$AT,$J31))</f>
        <v/>
      </c>
      <c r="F31" s="17" t="str">
        <f aca="false">IF($J31="","",INDEX('Auto Process'!$AU:$AU,$J31))</f>
        <v/>
      </c>
      <c r="G31" s="17" t="str">
        <f aca="false">IF($J31="","",INDEX('Auto Process'!$AV:$AV,$J31))</f>
        <v/>
      </c>
      <c r="H31" s="17" t="str">
        <f aca="false">IF($J31="","",INDEX('Auto Process'!$AW:$AW,$J31))</f>
        <v/>
      </c>
      <c r="J31" s="14" t="str">
        <f aca="false">IFERROR(_xlfn.AGGREGATE(15,6,ROW('Auto Process'!$D$4:$D$503)/('Auto Process'!$D$4:$D$503="Followup"),ROW()-1),"")</f>
        <v/>
      </c>
    </row>
    <row r="32" customFormat="false" ht="15" hidden="false" customHeight="true" outlineLevel="0" collapsed="false">
      <c r="A32" s="17" t="str">
        <f aca="false">IF($J32="","",INDEX('Auto Process'!$AP:$AP,$J32))</f>
        <v/>
      </c>
      <c r="B32" s="17" t="str">
        <f aca="false">IF($J32="","",INDEX('Auto Process'!$AQ:$AQ,$J32))</f>
        <v/>
      </c>
      <c r="C32" s="17" t="str">
        <f aca="false">IF($J32="","",INDEX('Auto Process'!$AR:$AR,$J32))</f>
        <v/>
      </c>
      <c r="D32" s="17" t="str">
        <f aca="false">IF($J32="","",INDEX('Auto Process'!$AS:$AS,$J32))</f>
        <v/>
      </c>
      <c r="E32" s="17" t="str">
        <f aca="false">IF($J32="","",INDEX('Auto Process'!$AT:$AT,$J32))</f>
        <v/>
      </c>
      <c r="F32" s="17" t="str">
        <f aca="false">IF($J32="","",INDEX('Auto Process'!$AU:$AU,$J32))</f>
        <v/>
      </c>
      <c r="G32" s="17" t="str">
        <f aca="false">IF($J32="","",INDEX('Auto Process'!$AV:$AV,$J32))</f>
        <v/>
      </c>
      <c r="H32" s="17" t="str">
        <f aca="false">IF($J32="","",INDEX('Auto Process'!$AW:$AW,$J32))</f>
        <v/>
      </c>
      <c r="J32" s="14" t="str">
        <f aca="false">IFERROR(_xlfn.AGGREGATE(15,6,ROW('Auto Process'!$D$4:$D$503)/('Auto Process'!$D$4:$D$503="Followup"),ROW()-1),"")</f>
        <v/>
      </c>
    </row>
    <row r="33" customFormat="false" ht="15" hidden="false" customHeight="true" outlineLevel="0" collapsed="false">
      <c r="A33" s="17" t="str">
        <f aca="false">IF($J33="","",INDEX('Auto Process'!$AP:$AP,$J33))</f>
        <v/>
      </c>
      <c r="B33" s="17" t="str">
        <f aca="false">IF($J33="","",INDEX('Auto Process'!$AQ:$AQ,$J33))</f>
        <v/>
      </c>
      <c r="C33" s="17" t="str">
        <f aca="false">IF($J33="","",INDEX('Auto Process'!$AR:$AR,$J33))</f>
        <v/>
      </c>
      <c r="D33" s="17" t="str">
        <f aca="false">IF($J33="","",INDEX('Auto Process'!$AS:$AS,$J33))</f>
        <v/>
      </c>
      <c r="E33" s="17" t="str">
        <f aca="false">IF($J33="","",INDEX('Auto Process'!$AT:$AT,$J33))</f>
        <v/>
      </c>
      <c r="F33" s="17" t="str">
        <f aca="false">IF($J33="","",INDEX('Auto Process'!$AU:$AU,$J33))</f>
        <v/>
      </c>
      <c r="G33" s="17" t="str">
        <f aca="false">IF($J33="","",INDEX('Auto Process'!$AV:$AV,$J33))</f>
        <v/>
      </c>
      <c r="H33" s="17" t="str">
        <f aca="false">IF($J33="","",INDEX('Auto Process'!$AW:$AW,$J33))</f>
        <v/>
      </c>
      <c r="J33" s="14" t="str">
        <f aca="false">IFERROR(_xlfn.AGGREGATE(15,6,ROW('Auto Process'!$D$4:$D$503)/('Auto Process'!$D$4:$D$503="Followup"),ROW()-1),"")</f>
        <v/>
      </c>
    </row>
    <row r="34" customFormat="false" ht="15" hidden="false" customHeight="true" outlineLevel="0" collapsed="false">
      <c r="A34" s="17" t="str">
        <f aca="false">IF($J34="","",INDEX('Auto Process'!$AP:$AP,$J34))</f>
        <v/>
      </c>
      <c r="B34" s="17" t="str">
        <f aca="false">IF($J34="","",INDEX('Auto Process'!$AQ:$AQ,$J34))</f>
        <v/>
      </c>
      <c r="C34" s="17" t="str">
        <f aca="false">IF($J34="","",INDEX('Auto Process'!$AR:$AR,$J34))</f>
        <v/>
      </c>
      <c r="D34" s="17" t="str">
        <f aca="false">IF($J34="","",INDEX('Auto Process'!$AS:$AS,$J34))</f>
        <v/>
      </c>
      <c r="E34" s="17" t="str">
        <f aca="false">IF($J34="","",INDEX('Auto Process'!$AT:$AT,$J34))</f>
        <v/>
      </c>
      <c r="F34" s="17" t="str">
        <f aca="false">IF($J34="","",INDEX('Auto Process'!$AU:$AU,$J34))</f>
        <v/>
      </c>
      <c r="G34" s="17" t="str">
        <f aca="false">IF($J34="","",INDEX('Auto Process'!$AV:$AV,$J34))</f>
        <v/>
      </c>
      <c r="H34" s="17" t="str">
        <f aca="false">IF($J34="","",INDEX('Auto Process'!$AW:$AW,$J34))</f>
        <v/>
      </c>
      <c r="J34" s="14" t="str">
        <f aca="false">IFERROR(_xlfn.AGGREGATE(15,6,ROW('Auto Process'!$D$4:$D$503)/('Auto Process'!$D$4:$D$503="Followup"),ROW()-1),"")</f>
        <v/>
      </c>
    </row>
    <row r="35" customFormat="false" ht="15" hidden="false" customHeight="true" outlineLevel="0" collapsed="false">
      <c r="A35" s="17" t="str">
        <f aca="false">IF($J35="","",INDEX('Auto Process'!$AP:$AP,$J35))</f>
        <v/>
      </c>
      <c r="B35" s="17" t="str">
        <f aca="false">IF($J35="","",INDEX('Auto Process'!$AQ:$AQ,$J35))</f>
        <v/>
      </c>
      <c r="C35" s="17" t="str">
        <f aca="false">IF($J35="","",INDEX('Auto Process'!$AR:$AR,$J35))</f>
        <v/>
      </c>
      <c r="D35" s="17" t="str">
        <f aca="false">IF($J35="","",INDEX('Auto Process'!$AS:$AS,$J35))</f>
        <v/>
      </c>
      <c r="E35" s="17" t="str">
        <f aca="false">IF($J35="","",INDEX('Auto Process'!$AT:$AT,$J35))</f>
        <v/>
      </c>
      <c r="F35" s="17" t="str">
        <f aca="false">IF($J35="","",INDEX('Auto Process'!$AU:$AU,$J35))</f>
        <v/>
      </c>
      <c r="G35" s="17" t="str">
        <f aca="false">IF($J35="","",INDEX('Auto Process'!$AV:$AV,$J35))</f>
        <v/>
      </c>
      <c r="H35" s="17" t="str">
        <f aca="false">IF($J35="","",INDEX('Auto Process'!$AW:$AW,$J35))</f>
        <v/>
      </c>
      <c r="J35" s="14" t="str">
        <f aca="false">IFERROR(_xlfn.AGGREGATE(15,6,ROW('Auto Process'!$D$4:$D$503)/('Auto Process'!$D$4:$D$503="Followup"),ROW()-1),"")</f>
        <v/>
      </c>
    </row>
    <row r="36" customFormat="false" ht="15" hidden="false" customHeight="true" outlineLevel="0" collapsed="false">
      <c r="A36" s="17" t="str">
        <f aca="false">IF($J36="","",INDEX('Auto Process'!$AP:$AP,$J36))</f>
        <v/>
      </c>
      <c r="B36" s="17" t="str">
        <f aca="false">IF($J36="","",INDEX('Auto Process'!$AQ:$AQ,$J36))</f>
        <v/>
      </c>
      <c r="C36" s="17" t="str">
        <f aca="false">IF($J36="","",INDEX('Auto Process'!$AR:$AR,$J36))</f>
        <v/>
      </c>
      <c r="D36" s="17" t="str">
        <f aca="false">IF($J36="","",INDEX('Auto Process'!$AS:$AS,$J36))</f>
        <v/>
      </c>
      <c r="E36" s="17" t="str">
        <f aca="false">IF($J36="","",INDEX('Auto Process'!$AT:$AT,$J36))</f>
        <v/>
      </c>
      <c r="F36" s="17" t="str">
        <f aca="false">IF($J36="","",INDEX('Auto Process'!$AU:$AU,$J36))</f>
        <v/>
      </c>
      <c r="G36" s="17" t="str">
        <f aca="false">IF($J36="","",INDEX('Auto Process'!$AV:$AV,$J36))</f>
        <v/>
      </c>
      <c r="H36" s="17" t="str">
        <f aca="false">IF($J36="","",INDEX('Auto Process'!$AW:$AW,$J36))</f>
        <v/>
      </c>
      <c r="J36" s="14" t="str">
        <f aca="false">IFERROR(_xlfn.AGGREGATE(15,6,ROW('Auto Process'!$D$4:$D$503)/('Auto Process'!$D$4:$D$503="Followup"),ROW()-1),"")</f>
        <v/>
      </c>
    </row>
    <row r="37" customFormat="false" ht="15" hidden="false" customHeight="true" outlineLevel="0" collapsed="false">
      <c r="A37" s="17" t="str">
        <f aca="false">IF($J37="","",INDEX('Auto Process'!$AP:$AP,$J37))</f>
        <v/>
      </c>
      <c r="B37" s="17" t="str">
        <f aca="false">IF($J37="","",INDEX('Auto Process'!$AQ:$AQ,$J37))</f>
        <v/>
      </c>
      <c r="C37" s="17" t="str">
        <f aca="false">IF($J37="","",INDEX('Auto Process'!$AR:$AR,$J37))</f>
        <v/>
      </c>
      <c r="D37" s="17" t="str">
        <f aca="false">IF($J37="","",INDEX('Auto Process'!$AS:$AS,$J37))</f>
        <v/>
      </c>
      <c r="E37" s="17" t="str">
        <f aca="false">IF($J37="","",INDEX('Auto Process'!$AT:$AT,$J37))</f>
        <v/>
      </c>
      <c r="F37" s="17" t="str">
        <f aca="false">IF($J37="","",INDEX('Auto Process'!$AU:$AU,$J37))</f>
        <v/>
      </c>
      <c r="G37" s="17" t="str">
        <f aca="false">IF($J37="","",INDEX('Auto Process'!$AV:$AV,$J37))</f>
        <v/>
      </c>
      <c r="H37" s="17" t="str">
        <f aca="false">IF($J37="","",INDEX('Auto Process'!$AW:$AW,$J37))</f>
        <v/>
      </c>
      <c r="J37" s="14" t="str">
        <f aca="false">IFERROR(_xlfn.AGGREGATE(15,6,ROW('Auto Process'!$D$4:$D$503)/('Auto Process'!$D$4:$D$503="Followup"),ROW()-1),"")</f>
        <v/>
      </c>
    </row>
    <row r="38" customFormat="false" ht="15" hidden="false" customHeight="true" outlineLevel="0" collapsed="false">
      <c r="A38" s="17" t="str">
        <f aca="false">IF($J38="","",INDEX('Auto Process'!$AP:$AP,$J38))</f>
        <v/>
      </c>
      <c r="B38" s="17" t="str">
        <f aca="false">IF($J38="","",INDEX('Auto Process'!$AQ:$AQ,$J38))</f>
        <v/>
      </c>
      <c r="C38" s="17" t="str">
        <f aca="false">IF($J38="","",INDEX('Auto Process'!$AR:$AR,$J38))</f>
        <v/>
      </c>
      <c r="D38" s="17" t="str">
        <f aca="false">IF($J38="","",INDEX('Auto Process'!$AS:$AS,$J38))</f>
        <v/>
      </c>
      <c r="E38" s="17" t="str">
        <f aca="false">IF($J38="","",INDEX('Auto Process'!$AT:$AT,$J38))</f>
        <v/>
      </c>
      <c r="F38" s="17" t="str">
        <f aca="false">IF($J38="","",INDEX('Auto Process'!$AU:$AU,$J38))</f>
        <v/>
      </c>
      <c r="G38" s="17" t="str">
        <f aca="false">IF($J38="","",INDEX('Auto Process'!$AV:$AV,$J38))</f>
        <v/>
      </c>
      <c r="H38" s="17" t="str">
        <f aca="false">IF($J38="","",INDEX('Auto Process'!$AW:$AW,$J38))</f>
        <v/>
      </c>
      <c r="J38" s="14" t="str">
        <f aca="false">IFERROR(_xlfn.AGGREGATE(15,6,ROW('Auto Process'!$D$4:$D$503)/('Auto Process'!$D$4:$D$503="Followup"),ROW()-1),"")</f>
        <v/>
      </c>
    </row>
    <row r="39" customFormat="false" ht="15" hidden="false" customHeight="true" outlineLevel="0" collapsed="false">
      <c r="A39" s="17" t="str">
        <f aca="false">IF($J39="","",INDEX('Auto Process'!$AP:$AP,$J39))</f>
        <v/>
      </c>
      <c r="B39" s="17" t="str">
        <f aca="false">IF($J39="","",INDEX('Auto Process'!$AQ:$AQ,$J39))</f>
        <v/>
      </c>
      <c r="C39" s="17" t="str">
        <f aca="false">IF($J39="","",INDEX('Auto Process'!$AR:$AR,$J39))</f>
        <v/>
      </c>
      <c r="D39" s="17" t="str">
        <f aca="false">IF($J39="","",INDEX('Auto Process'!$AS:$AS,$J39))</f>
        <v/>
      </c>
      <c r="E39" s="17" t="str">
        <f aca="false">IF($J39="","",INDEX('Auto Process'!$AT:$AT,$J39))</f>
        <v/>
      </c>
      <c r="F39" s="17" t="str">
        <f aca="false">IF($J39="","",INDEX('Auto Process'!$AU:$AU,$J39))</f>
        <v/>
      </c>
      <c r="G39" s="17" t="str">
        <f aca="false">IF($J39="","",INDEX('Auto Process'!$AV:$AV,$J39))</f>
        <v/>
      </c>
      <c r="H39" s="17" t="str">
        <f aca="false">IF($J39="","",INDEX('Auto Process'!$AW:$AW,$J39))</f>
        <v/>
      </c>
      <c r="J39" s="14" t="str">
        <f aca="false">IFERROR(_xlfn.AGGREGATE(15,6,ROW('Auto Process'!$D$4:$D$503)/('Auto Process'!$D$4:$D$503="Followup"),ROW()-1),"")</f>
        <v/>
      </c>
    </row>
    <row r="40" customFormat="false" ht="15" hidden="false" customHeight="true" outlineLevel="0" collapsed="false">
      <c r="A40" s="17" t="str">
        <f aca="false">IF($J40="","",INDEX('Auto Process'!$AP:$AP,$J40))</f>
        <v/>
      </c>
      <c r="B40" s="17" t="str">
        <f aca="false">IF($J40="","",INDEX('Auto Process'!$AQ:$AQ,$J40))</f>
        <v/>
      </c>
      <c r="C40" s="17" t="str">
        <f aca="false">IF($J40="","",INDEX('Auto Process'!$AR:$AR,$J40))</f>
        <v/>
      </c>
      <c r="D40" s="17" t="str">
        <f aca="false">IF($J40="","",INDEX('Auto Process'!$AS:$AS,$J40))</f>
        <v/>
      </c>
      <c r="E40" s="17" t="str">
        <f aca="false">IF($J40="","",INDEX('Auto Process'!$AT:$AT,$J40))</f>
        <v/>
      </c>
      <c r="F40" s="17" t="str">
        <f aca="false">IF($J40="","",INDEX('Auto Process'!$AU:$AU,$J40))</f>
        <v/>
      </c>
      <c r="G40" s="17" t="str">
        <f aca="false">IF($J40="","",INDEX('Auto Process'!$AV:$AV,$J40))</f>
        <v/>
      </c>
      <c r="H40" s="17" t="str">
        <f aca="false">IF($J40="","",INDEX('Auto Process'!$AW:$AW,$J40))</f>
        <v/>
      </c>
      <c r="J40" s="14" t="str">
        <f aca="false">IFERROR(_xlfn.AGGREGATE(15,6,ROW('Auto Process'!$D$4:$D$503)/('Auto Process'!$D$4:$D$503="Followup"),ROW()-1),"")</f>
        <v/>
      </c>
    </row>
    <row r="41" customFormat="false" ht="15" hidden="false" customHeight="true" outlineLevel="0" collapsed="false">
      <c r="A41" s="17" t="str">
        <f aca="false">IF($J41="","",INDEX('Auto Process'!$AP:$AP,$J41))</f>
        <v/>
      </c>
      <c r="B41" s="17" t="str">
        <f aca="false">IF($J41="","",INDEX('Auto Process'!$AQ:$AQ,$J41))</f>
        <v/>
      </c>
      <c r="C41" s="17" t="str">
        <f aca="false">IF($J41="","",INDEX('Auto Process'!$AR:$AR,$J41))</f>
        <v/>
      </c>
      <c r="D41" s="17" t="str">
        <f aca="false">IF($J41="","",INDEX('Auto Process'!$AS:$AS,$J41))</f>
        <v/>
      </c>
      <c r="E41" s="17" t="str">
        <f aca="false">IF($J41="","",INDEX('Auto Process'!$AT:$AT,$J41))</f>
        <v/>
      </c>
      <c r="F41" s="17" t="str">
        <f aca="false">IF($J41="","",INDEX('Auto Process'!$AU:$AU,$J41))</f>
        <v/>
      </c>
      <c r="G41" s="17" t="str">
        <f aca="false">IF($J41="","",INDEX('Auto Process'!$AV:$AV,$J41))</f>
        <v/>
      </c>
      <c r="H41" s="17" t="str">
        <f aca="false">IF($J41="","",INDEX('Auto Process'!$AW:$AW,$J41))</f>
        <v/>
      </c>
      <c r="J41" s="14" t="str">
        <f aca="false">IFERROR(_xlfn.AGGREGATE(15,6,ROW('Auto Process'!$D$4:$D$503)/('Auto Process'!$D$4:$D$503="Followup"),ROW()-1),"")</f>
        <v/>
      </c>
    </row>
    <row r="42" customFormat="false" ht="15" hidden="false" customHeight="true" outlineLevel="0" collapsed="false">
      <c r="A42" s="17" t="str">
        <f aca="false">IF($J42="","",INDEX('Auto Process'!$AP:$AP,$J42))</f>
        <v/>
      </c>
      <c r="B42" s="17" t="str">
        <f aca="false">IF($J42="","",INDEX('Auto Process'!$AQ:$AQ,$J42))</f>
        <v/>
      </c>
      <c r="C42" s="17" t="str">
        <f aca="false">IF($J42="","",INDEX('Auto Process'!$AR:$AR,$J42))</f>
        <v/>
      </c>
      <c r="D42" s="17" t="str">
        <f aca="false">IF($J42="","",INDEX('Auto Process'!$AS:$AS,$J42))</f>
        <v/>
      </c>
      <c r="E42" s="17" t="str">
        <f aca="false">IF($J42="","",INDEX('Auto Process'!$AT:$AT,$J42))</f>
        <v/>
      </c>
      <c r="F42" s="17" t="str">
        <f aca="false">IF($J42="","",INDEX('Auto Process'!$AU:$AU,$J42))</f>
        <v/>
      </c>
      <c r="G42" s="17" t="str">
        <f aca="false">IF($J42="","",INDEX('Auto Process'!$AV:$AV,$J42))</f>
        <v/>
      </c>
      <c r="H42" s="17" t="str">
        <f aca="false">IF($J42="","",INDEX('Auto Process'!$AW:$AW,$J42))</f>
        <v/>
      </c>
      <c r="J42" s="14" t="str">
        <f aca="false">IFERROR(_xlfn.AGGREGATE(15,6,ROW('Auto Process'!$D$4:$D$503)/('Auto Process'!$D$4:$D$503="Followup"),ROW()-1),"")</f>
        <v/>
      </c>
    </row>
    <row r="43" customFormat="false" ht="15" hidden="false" customHeight="true" outlineLevel="0" collapsed="false">
      <c r="A43" s="17" t="str">
        <f aca="false">IF($J43="","",INDEX('Auto Process'!$AP:$AP,$J43))</f>
        <v/>
      </c>
      <c r="B43" s="17" t="str">
        <f aca="false">IF($J43="","",INDEX('Auto Process'!$AQ:$AQ,$J43))</f>
        <v/>
      </c>
      <c r="C43" s="17" t="str">
        <f aca="false">IF($J43="","",INDEX('Auto Process'!$AR:$AR,$J43))</f>
        <v/>
      </c>
      <c r="D43" s="17" t="str">
        <f aca="false">IF($J43="","",INDEX('Auto Process'!$AS:$AS,$J43))</f>
        <v/>
      </c>
      <c r="E43" s="17" t="str">
        <f aca="false">IF($J43="","",INDEX('Auto Process'!$AT:$AT,$J43))</f>
        <v/>
      </c>
      <c r="F43" s="17" t="str">
        <f aca="false">IF($J43="","",INDEX('Auto Process'!$AU:$AU,$J43))</f>
        <v/>
      </c>
      <c r="G43" s="17" t="str">
        <f aca="false">IF($J43="","",INDEX('Auto Process'!$AV:$AV,$J43))</f>
        <v/>
      </c>
      <c r="H43" s="17" t="str">
        <f aca="false">IF($J43="","",INDEX('Auto Process'!$AW:$AW,$J43))</f>
        <v/>
      </c>
      <c r="J43" s="14" t="str">
        <f aca="false">IFERROR(_xlfn.AGGREGATE(15,6,ROW('Auto Process'!$D$4:$D$503)/('Auto Process'!$D$4:$D$503="Followup"),ROW()-1),"")</f>
        <v/>
      </c>
    </row>
    <row r="44" customFormat="false" ht="15" hidden="false" customHeight="true" outlineLevel="0" collapsed="false">
      <c r="A44" s="17" t="str">
        <f aca="false">IF($J44="","",INDEX('Auto Process'!$AP:$AP,$J44))</f>
        <v/>
      </c>
      <c r="B44" s="17" t="str">
        <f aca="false">IF($J44="","",INDEX('Auto Process'!$AQ:$AQ,$J44))</f>
        <v/>
      </c>
      <c r="C44" s="17" t="str">
        <f aca="false">IF($J44="","",INDEX('Auto Process'!$AR:$AR,$J44))</f>
        <v/>
      </c>
      <c r="D44" s="17" t="str">
        <f aca="false">IF($J44="","",INDEX('Auto Process'!$AS:$AS,$J44))</f>
        <v/>
      </c>
      <c r="E44" s="17" t="str">
        <f aca="false">IF($J44="","",INDEX('Auto Process'!$AT:$AT,$J44))</f>
        <v/>
      </c>
      <c r="F44" s="17" t="str">
        <f aca="false">IF($J44="","",INDEX('Auto Process'!$AU:$AU,$J44))</f>
        <v/>
      </c>
      <c r="G44" s="17" t="str">
        <f aca="false">IF($J44="","",INDEX('Auto Process'!$AV:$AV,$J44))</f>
        <v/>
      </c>
      <c r="H44" s="17" t="str">
        <f aca="false">IF($J44="","",INDEX('Auto Process'!$AW:$AW,$J44))</f>
        <v/>
      </c>
      <c r="J44" s="14" t="str">
        <f aca="false">IFERROR(_xlfn.AGGREGATE(15,6,ROW('Auto Process'!$D$4:$D$503)/('Auto Process'!$D$4:$D$503="Followup"),ROW()-1),"")</f>
        <v/>
      </c>
    </row>
    <row r="45" customFormat="false" ht="15" hidden="false" customHeight="true" outlineLevel="0" collapsed="false">
      <c r="A45" s="17" t="str">
        <f aca="false">IF($J45="","",INDEX('Auto Process'!$AP:$AP,$J45))</f>
        <v/>
      </c>
      <c r="B45" s="17" t="str">
        <f aca="false">IF($J45="","",INDEX('Auto Process'!$AQ:$AQ,$J45))</f>
        <v/>
      </c>
      <c r="C45" s="17" t="str">
        <f aca="false">IF($J45="","",INDEX('Auto Process'!$AR:$AR,$J45))</f>
        <v/>
      </c>
      <c r="D45" s="17" t="str">
        <f aca="false">IF($J45="","",INDEX('Auto Process'!$AS:$AS,$J45))</f>
        <v/>
      </c>
      <c r="E45" s="17" t="str">
        <f aca="false">IF($J45="","",INDEX('Auto Process'!$AT:$AT,$J45))</f>
        <v/>
      </c>
      <c r="F45" s="17" t="str">
        <f aca="false">IF($J45="","",INDEX('Auto Process'!$AU:$AU,$J45))</f>
        <v/>
      </c>
      <c r="G45" s="17" t="str">
        <f aca="false">IF($J45="","",INDEX('Auto Process'!$AV:$AV,$J45))</f>
        <v/>
      </c>
      <c r="H45" s="17" t="str">
        <f aca="false">IF($J45="","",INDEX('Auto Process'!$AW:$AW,$J45))</f>
        <v/>
      </c>
      <c r="J45" s="14" t="str">
        <f aca="false">IFERROR(_xlfn.AGGREGATE(15,6,ROW('Auto Process'!$D$4:$D$503)/('Auto Process'!$D$4:$D$503="Followup"),ROW()-1),"")</f>
        <v/>
      </c>
    </row>
    <row r="46" customFormat="false" ht="15" hidden="false" customHeight="true" outlineLevel="0" collapsed="false">
      <c r="A46" s="17" t="str">
        <f aca="false">IF($J46="","",INDEX('Auto Process'!$AP:$AP,$J46))</f>
        <v/>
      </c>
      <c r="B46" s="17" t="str">
        <f aca="false">IF($J46="","",INDEX('Auto Process'!$AQ:$AQ,$J46))</f>
        <v/>
      </c>
      <c r="C46" s="17" t="str">
        <f aca="false">IF($J46="","",INDEX('Auto Process'!$AR:$AR,$J46))</f>
        <v/>
      </c>
      <c r="D46" s="17" t="str">
        <f aca="false">IF($J46="","",INDEX('Auto Process'!$AS:$AS,$J46))</f>
        <v/>
      </c>
      <c r="E46" s="17" t="str">
        <f aca="false">IF($J46="","",INDEX('Auto Process'!$AT:$AT,$J46))</f>
        <v/>
      </c>
      <c r="F46" s="17" t="str">
        <f aca="false">IF($J46="","",INDEX('Auto Process'!$AU:$AU,$J46))</f>
        <v/>
      </c>
      <c r="G46" s="17" t="str">
        <f aca="false">IF($J46="","",INDEX('Auto Process'!$AV:$AV,$J46))</f>
        <v/>
      </c>
      <c r="H46" s="17" t="str">
        <f aca="false">IF($J46="","",INDEX('Auto Process'!$AW:$AW,$J46))</f>
        <v/>
      </c>
      <c r="J46" s="14" t="str">
        <f aca="false">IFERROR(_xlfn.AGGREGATE(15,6,ROW('Auto Process'!$D$4:$D$503)/('Auto Process'!$D$4:$D$503="Followup"),ROW()-1),"")</f>
        <v/>
      </c>
    </row>
    <row r="47" customFormat="false" ht="15" hidden="false" customHeight="true" outlineLevel="0" collapsed="false">
      <c r="A47" s="17" t="str">
        <f aca="false">IF($J47="","",INDEX('Auto Process'!$AP:$AP,$J47))</f>
        <v/>
      </c>
      <c r="B47" s="17" t="str">
        <f aca="false">IF($J47="","",INDEX('Auto Process'!$AQ:$AQ,$J47))</f>
        <v/>
      </c>
      <c r="C47" s="17" t="str">
        <f aca="false">IF($J47="","",INDEX('Auto Process'!$AR:$AR,$J47))</f>
        <v/>
      </c>
      <c r="D47" s="17" t="str">
        <f aca="false">IF($J47="","",INDEX('Auto Process'!$AS:$AS,$J47))</f>
        <v/>
      </c>
      <c r="E47" s="17" t="str">
        <f aca="false">IF($J47="","",INDEX('Auto Process'!$AT:$AT,$J47))</f>
        <v/>
      </c>
      <c r="F47" s="17" t="str">
        <f aca="false">IF($J47="","",INDEX('Auto Process'!$AU:$AU,$J47))</f>
        <v/>
      </c>
      <c r="G47" s="17" t="str">
        <f aca="false">IF($J47="","",INDEX('Auto Process'!$AV:$AV,$J47))</f>
        <v/>
      </c>
      <c r="H47" s="17" t="str">
        <f aca="false">IF($J47="","",INDEX('Auto Process'!$AW:$AW,$J47))</f>
        <v/>
      </c>
      <c r="J47" s="14" t="str">
        <f aca="false">IFERROR(_xlfn.AGGREGATE(15,6,ROW('Auto Process'!$D$4:$D$503)/('Auto Process'!$D$4:$D$503="Followup"),ROW()-1),"")</f>
        <v/>
      </c>
    </row>
    <row r="48" customFormat="false" ht="15" hidden="false" customHeight="true" outlineLevel="0" collapsed="false">
      <c r="A48" s="17" t="str">
        <f aca="false">IF($J48="","",INDEX('Auto Process'!$AP:$AP,$J48))</f>
        <v/>
      </c>
      <c r="B48" s="17" t="str">
        <f aca="false">IF($J48="","",INDEX('Auto Process'!$AQ:$AQ,$J48))</f>
        <v/>
      </c>
      <c r="C48" s="17" t="str">
        <f aca="false">IF($J48="","",INDEX('Auto Process'!$AR:$AR,$J48))</f>
        <v/>
      </c>
      <c r="D48" s="17" t="str">
        <f aca="false">IF($J48="","",INDEX('Auto Process'!$AS:$AS,$J48))</f>
        <v/>
      </c>
      <c r="E48" s="17" t="str">
        <f aca="false">IF($J48="","",INDEX('Auto Process'!$AT:$AT,$J48))</f>
        <v/>
      </c>
      <c r="F48" s="17" t="str">
        <f aca="false">IF($J48="","",INDEX('Auto Process'!$AU:$AU,$J48))</f>
        <v/>
      </c>
      <c r="G48" s="17" t="str">
        <f aca="false">IF($J48="","",INDEX('Auto Process'!$AV:$AV,$J48))</f>
        <v/>
      </c>
      <c r="H48" s="17" t="str">
        <f aca="false">IF($J48="","",INDEX('Auto Process'!$AW:$AW,$J48))</f>
        <v/>
      </c>
      <c r="J48" s="14" t="str">
        <f aca="false">IFERROR(_xlfn.AGGREGATE(15,6,ROW('Auto Process'!$D$4:$D$503)/('Auto Process'!$D$4:$D$503="Followup"),ROW()-1),"")</f>
        <v/>
      </c>
    </row>
    <row r="49" customFormat="false" ht="15" hidden="false" customHeight="true" outlineLevel="0" collapsed="false">
      <c r="A49" s="17" t="str">
        <f aca="false">IF($J49="","",INDEX('Auto Process'!$AP:$AP,$J49))</f>
        <v/>
      </c>
      <c r="B49" s="17" t="str">
        <f aca="false">IF($J49="","",INDEX('Auto Process'!$AQ:$AQ,$J49))</f>
        <v/>
      </c>
      <c r="C49" s="17" t="str">
        <f aca="false">IF($J49="","",INDEX('Auto Process'!$AR:$AR,$J49))</f>
        <v/>
      </c>
      <c r="D49" s="17" t="str">
        <f aca="false">IF($J49="","",INDEX('Auto Process'!$AS:$AS,$J49))</f>
        <v/>
      </c>
      <c r="E49" s="17" t="str">
        <f aca="false">IF($J49="","",INDEX('Auto Process'!$AT:$AT,$J49))</f>
        <v/>
      </c>
      <c r="F49" s="17" t="str">
        <f aca="false">IF($J49="","",INDEX('Auto Process'!$AU:$AU,$J49))</f>
        <v/>
      </c>
      <c r="G49" s="17" t="str">
        <f aca="false">IF($J49="","",INDEX('Auto Process'!$AV:$AV,$J49))</f>
        <v/>
      </c>
      <c r="H49" s="17" t="str">
        <f aca="false">IF($J49="","",INDEX('Auto Process'!$AW:$AW,$J49))</f>
        <v/>
      </c>
      <c r="J49" s="14" t="str">
        <f aca="false">IFERROR(_xlfn.AGGREGATE(15,6,ROW('Auto Process'!$D$4:$D$503)/('Auto Process'!$D$4:$D$503="Followup"),ROW()-1),"")</f>
        <v/>
      </c>
    </row>
    <row r="50" customFormat="false" ht="15" hidden="false" customHeight="true" outlineLevel="0" collapsed="false">
      <c r="A50" s="17" t="str">
        <f aca="false">IF($J50="","",INDEX('Auto Process'!$AP:$AP,$J50))</f>
        <v/>
      </c>
      <c r="B50" s="17" t="str">
        <f aca="false">IF($J50="","",INDEX('Auto Process'!$AQ:$AQ,$J50))</f>
        <v/>
      </c>
      <c r="C50" s="17" t="str">
        <f aca="false">IF($J50="","",INDEX('Auto Process'!$AR:$AR,$J50))</f>
        <v/>
      </c>
      <c r="D50" s="17" t="str">
        <f aca="false">IF($J50="","",INDEX('Auto Process'!$AS:$AS,$J50))</f>
        <v/>
      </c>
      <c r="E50" s="17" t="str">
        <f aca="false">IF($J50="","",INDEX('Auto Process'!$AT:$AT,$J50))</f>
        <v/>
      </c>
      <c r="F50" s="17" t="str">
        <f aca="false">IF($J50="","",INDEX('Auto Process'!$AU:$AU,$J50))</f>
        <v/>
      </c>
      <c r="G50" s="17" t="str">
        <f aca="false">IF($J50="","",INDEX('Auto Process'!$AV:$AV,$J50))</f>
        <v/>
      </c>
      <c r="H50" s="17" t="str">
        <f aca="false">IF($J50="","",INDEX('Auto Process'!$AW:$AW,$J50))</f>
        <v/>
      </c>
      <c r="J50" s="14" t="str">
        <f aca="false">IFERROR(_xlfn.AGGREGATE(15,6,ROW('Auto Process'!$D$4:$D$503)/('Auto Process'!$D$4:$D$503="Followup"),ROW()-1),"")</f>
        <v/>
      </c>
    </row>
    <row r="51" customFormat="false" ht="15" hidden="false" customHeight="true" outlineLevel="0" collapsed="false">
      <c r="A51" s="17" t="str">
        <f aca="false">IF($J51="","",INDEX('Auto Process'!$AP:$AP,$J51))</f>
        <v/>
      </c>
      <c r="B51" s="17" t="str">
        <f aca="false">IF($J51="","",INDEX('Auto Process'!$AQ:$AQ,$J51))</f>
        <v/>
      </c>
      <c r="C51" s="17" t="str">
        <f aca="false">IF($J51="","",INDEX('Auto Process'!$AR:$AR,$J51))</f>
        <v/>
      </c>
      <c r="D51" s="17" t="str">
        <f aca="false">IF($J51="","",INDEX('Auto Process'!$AS:$AS,$J51))</f>
        <v/>
      </c>
      <c r="E51" s="17" t="str">
        <f aca="false">IF($J51="","",INDEX('Auto Process'!$AT:$AT,$J51))</f>
        <v/>
      </c>
      <c r="F51" s="17" t="str">
        <f aca="false">IF($J51="","",INDEX('Auto Process'!$AU:$AU,$J51))</f>
        <v/>
      </c>
      <c r="G51" s="17" t="str">
        <f aca="false">IF($J51="","",INDEX('Auto Process'!$AV:$AV,$J51))</f>
        <v/>
      </c>
      <c r="H51" s="17" t="str">
        <f aca="false">IF($J51="","",INDEX('Auto Process'!$AW:$AW,$J51))</f>
        <v/>
      </c>
      <c r="J51" s="14" t="str">
        <f aca="false">IFERROR(_xlfn.AGGREGATE(15,6,ROW('Auto Process'!$D$4:$D$503)/('Auto Process'!$D$4:$D$503="Followup"),ROW()-1),"")</f>
        <v/>
      </c>
    </row>
    <row r="52" customFormat="false" ht="15" hidden="false" customHeight="true" outlineLevel="0" collapsed="false">
      <c r="A52" s="17" t="str">
        <f aca="false">IF($J52="","",INDEX('Auto Process'!$AP:$AP,$J52))</f>
        <v/>
      </c>
      <c r="B52" s="17" t="str">
        <f aca="false">IF($J52="","",INDEX('Auto Process'!$AQ:$AQ,$J52))</f>
        <v/>
      </c>
      <c r="C52" s="17" t="str">
        <f aca="false">IF($J52="","",INDEX('Auto Process'!$AR:$AR,$J52))</f>
        <v/>
      </c>
      <c r="D52" s="17" t="str">
        <f aca="false">IF($J52="","",INDEX('Auto Process'!$AS:$AS,$J52))</f>
        <v/>
      </c>
      <c r="E52" s="17" t="str">
        <f aca="false">IF($J52="","",INDEX('Auto Process'!$AT:$AT,$J52))</f>
        <v/>
      </c>
      <c r="F52" s="17" t="str">
        <f aca="false">IF($J52="","",INDEX('Auto Process'!$AU:$AU,$J52))</f>
        <v/>
      </c>
      <c r="G52" s="17" t="str">
        <f aca="false">IF($J52="","",INDEX('Auto Process'!$AV:$AV,$J52))</f>
        <v/>
      </c>
      <c r="H52" s="17" t="str">
        <f aca="false">IF($J52="","",INDEX('Auto Process'!$AW:$AW,$J52))</f>
        <v/>
      </c>
      <c r="J52" s="14" t="str">
        <f aca="false">IFERROR(_xlfn.AGGREGATE(15,6,ROW('Auto Process'!$D$4:$D$503)/('Auto Process'!$D$4:$D$503="Followup"),ROW()-1),"")</f>
        <v/>
      </c>
    </row>
    <row r="53" customFormat="false" ht="15" hidden="false" customHeight="true" outlineLevel="0" collapsed="false">
      <c r="A53" s="17" t="str">
        <f aca="false">IF($J53="","",INDEX('Auto Process'!$AP:$AP,$J53))</f>
        <v/>
      </c>
      <c r="B53" s="17" t="str">
        <f aca="false">IF($J53="","",INDEX('Auto Process'!$AQ:$AQ,$J53))</f>
        <v/>
      </c>
      <c r="C53" s="17" t="str">
        <f aca="false">IF($J53="","",INDEX('Auto Process'!$AR:$AR,$J53))</f>
        <v/>
      </c>
      <c r="D53" s="17" t="str">
        <f aca="false">IF($J53="","",INDEX('Auto Process'!$AS:$AS,$J53))</f>
        <v/>
      </c>
      <c r="E53" s="17" t="str">
        <f aca="false">IF($J53="","",INDEX('Auto Process'!$AT:$AT,$J53))</f>
        <v/>
      </c>
      <c r="F53" s="17" t="str">
        <f aca="false">IF($J53="","",INDEX('Auto Process'!$AU:$AU,$J53))</f>
        <v/>
      </c>
      <c r="G53" s="17" t="str">
        <f aca="false">IF($J53="","",INDEX('Auto Process'!$AV:$AV,$J53))</f>
        <v/>
      </c>
      <c r="H53" s="17" t="str">
        <f aca="false">IF($J53="","",INDEX('Auto Process'!$AW:$AW,$J53))</f>
        <v/>
      </c>
      <c r="J53" s="14" t="str">
        <f aca="false">IFERROR(_xlfn.AGGREGATE(15,6,ROW('Auto Process'!$D$4:$D$503)/('Auto Process'!$D$4:$D$503="Followup"),ROW()-1),"")</f>
        <v/>
      </c>
    </row>
    <row r="54" customFormat="false" ht="15" hidden="false" customHeight="true" outlineLevel="0" collapsed="false">
      <c r="A54" s="17" t="str">
        <f aca="false">IF($J54="","",INDEX('Auto Process'!$AP:$AP,$J54))</f>
        <v/>
      </c>
      <c r="B54" s="17" t="str">
        <f aca="false">IF($J54="","",INDEX('Auto Process'!$AQ:$AQ,$J54))</f>
        <v/>
      </c>
      <c r="C54" s="17" t="str">
        <f aca="false">IF($J54="","",INDEX('Auto Process'!$AR:$AR,$J54))</f>
        <v/>
      </c>
      <c r="D54" s="17" t="str">
        <f aca="false">IF($J54="","",INDEX('Auto Process'!$AS:$AS,$J54))</f>
        <v/>
      </c>
      <c r="E54" s="17" t="str">
        <f aca="false">IF($J54="","",INDEX('Auto Process'!$AT:$AT,$J54))</f>
        <v/>
      </c>
      <c r="F54" s="17" t="str">
        <f aca="false">IF($J54="","",INDEX('Auto Process'!$AU:$AU,$J54))</f>
        <v/>
      </c>
      <c r="G54" s="17" t="str">
        <f aca="false">IF($J54="","",INDEX('Auto Process'!$AV:$AV,$J54))</f>
        <v/>
      </c>
      <c r="H54" s="17" t="str">
        <f aca="false">IF($J54="","",INDEX('Auto Process'!$AW:$AW,$J54))</f>
        <v/>
      </c>
      <c r="J54" s="14" t="str">
        <f aca="false">IFERROR(_xlfn.AGGREGATE(15,6,ROW('Auto Process'!$D$4:$D$503)/('Auto Process'!$D$4:$D$503="Followup"),ROW()-1),"")</f>
        <v/>
      </c>
    </row>
    <row r="55" customFormat="false" ht="15" hidden="false" customHeight="true" outlineLevel="0" collapsed="false">
      <c r="A55" s="17" t="str">
        <f aca="false">IF($J55="","",INDEX('Auto Process'!$AP:$AP,$J55))</f>
        <v/>
      </c>
      <c r="B55" s="17" t="str">
        <f aca="false">IF($J55="","",INDEX('Auto Process'!$AQ:$AQ,$J55))</f>
        <v/>
      </c>
      <c r="C55" s="17" t="str">
        <f aca="false">IF($J55="","",INDEX('Auto Process'!$AR:$AR,$J55))</f>
        <v/>
      </c>
      <c r="D55" s="17" t="str">
        <f aca="false">IF($J55="","",INDEX('Auto Process'!$AS:$AS,$J55))</f>
        <v/>
      </c>
      <c r="E55" s="17" t="str">
        <f aca="false">IF($J55="","",INDEX('Auto Process'!$AT:$AT,$J55))</f>
        <v/>
      </c>
      <c r="F55" s="17" t="str">
        <f aca="false">IF($J55="","",INDEX('Auto Process'!$AU:$AU,$J55))</f>
        <v/>
      </c>
      <c r="G55" s="17" t="str">
        <f aca="false">IF($J55="","",INDEX('Auto Process'!$AV:$AV,$J55))</f>
        <v/>
      </c>
      <c r="H55" s="17" t="str">
        <f aca="false">IF($J55="","",INDEX('Auto Process'!$AW:$AW,$J55))</f>
        <v/>
      </c>
      <c r="J55" s="14" t="str">
        <f aca="false">IFERROR(_xlfn.AGGREGATE(15,6,ROW('Auto Process'!$D$4:$D$503)/('Auto Process'!$D$4:$D$503="Followup"),ROW()-1),"")</f>
        <v/>
      </c>
    </row>
    <row r="56" customFormat="false" ht="15" hidden="false" customHeight="true" outlineLevel="0" collapsed="false">
      <c r="A56" s="17" t="str">
        <f aca="false">IF($J56="","",INDEX('Auto Process'!$AP:$AP,$J56))</f>
        <v/>
      </c>
      <c r="B56" s="17" t="str">
        <f aca="false">IF($J56="","",INDEX('Auto Process'!$AQ:$AQ,$J56))</f>
        <v/>
      </c>
      <c r="C56" s="17" t="str">
        <f aca="false">IF($J56="","",INDEX('Auto Process'!$AR:$AR,$J56))</f>
        <v/>
      </c>
      <c r="D56" s="17" t="str">
        <f aca="false">IF($J56="","",INDEX('Auto Process'!$AS:$AS,$J56))</f>
        <v/>
      </c>
      <c r="E56" s="17" t="str">
        <f aca="false">IF($J56="","",INDEX('Auto Process'!$AT:$AT,$J56))</f>
        <v/>
      </c>
      <c r="F56" s="17" t="str">
        <f aca="false">IF($J56="","",INDEX('Auto Process'!$AU:$AU,$J56))</f>
        <v/>
      </c>
      <c r="G56" s="17" t="str">
        <f aca="false">IF($J56="","",INDEX('Auto Process'!$AV:$AV,$J56))</f>
        <v/>
      </c>
      <c r="H56" s="17" t="str">
        <f aca="false">IF($J56="","",INDEX('Auto Process'!$AW:$AW,$J56))</f>
        <v/>
      </c>
      <c r="J56" s="14" t="str">
        <f aca="false">IFERROR(_xlfn.AGGREGATE(15,6,ROW('Auto Process'!$D$4:$D$503)/('Auto Process'!$D$4:$D$503="Followup"),ROW()-1),"")</f>
        <v/>
      </c>
    </row>
    <row r="57" customFormat="false" ht="15" hidden="false" customHeight="true" outlineLevel="0" collapsed="false">
      <c r="A57" s="17" t="str">
        <f aca="false">IF($J57="","",INDEX('Auto Process'!$AP:$AP,$J57))</f>
        <v/>
      </c>
      <c r="B57" s="17" t="str">
        <f aca="false">IF($J57="","",INDEX('Auto Process'!$AQ:$AQ,$J57))</f>
        <v/>
      </c>
      <c r="C57" s="17" t="str">
        <f aca="false">IF($J57="","",INDEX('Auto Process'!$AR:$AR,$J57))</f>
        <v/>
      </c>
      <c r="D57" s="17" t="str">
        <f aca="false">IF($J57="","",INDEX('Auto Process'!$AS:$AS,$J57))</f>
        <v/>
      </c>
      <c r="E57" s="17" t="str">
        <f aca="false">IF($J57="","",INDEX('Auto Process'!$AT:$AT,$J57))</f>
        <v/>
      </c>
      <c r="F57" s="17" t="str">
        <f aca="false">IF($J57="","",INDEX('Auto Process'!$AU:$AU,$J57))</f>
        <v/>
      </c>
      <c r="G57" s="17" t="str">
        <f aca="false">IF($J57="","",INDEX('Auto Process'!$AV:$AV,$J57))</f>
        <v/>
      </c>
      <c r="H57" s="17" t="str">
        <f aca="false">IF($J57="","",INDEX('Auto Process'!$AW:$AW,$J57))</f>
        <v/>
      </c>
      <c r="J57" s="14" t="str">
        <f aca="false">IFERROR(_xlfn.AGGREGATE(15,6,ROW('Auto Process'!$D$4:$D$503)/('Auto Process'!$D$4:$D$503="Followup"),ROW()-1),"")</f>
        <v/>
      </c>
    </row>
    <row r="58" customFormat="false" ht="15" hidden="false" customHeight="true" outlineLevel="0" collapsed="false">
      <c r="A58" s="17" t="str">
        <f aca="false">IF($J58="","",INDEX('Auto Process'!$AP:$AP,$J58))</f>
        <v/>
      </c>
      <c r="B58" s="17" t="str">
        <f aca="false">IF($J58="","",INDEX('Auto Process'!$AQ:$AQ,$J58))</f>
        <v/>
      </c>
      <c r="C58" s="17" t="str">
        <f aca="false">IF($J58="","",INDEX('Auto Process'!$AR:$AR,$J58))</f>
        <v/>
      </c>
      <c r="D58" s="17" t="str">
        <f aca="false">IF($J58="","",INDEX('Auto Process'!$AS:$AS,$J58))</f>
        <v/>
      </c>
      <c r="E58" s="17" t="str">
        <f aca="false">IF($J58="","",INDEX('Auto Process'!$AT:$AT,$J58))</f>
        <v/>
      </c>
      <c r="F58" s="17" t="str">
        <f aca="false">IF($J58="","",INDEX('Auto Process'!$AU:$AU,$J58))</f>
        <v/>
      </c>
      <c r="G58" s="17" t="str">
        <f aca="false">IF($J58="","",INDEX('Auto Process'!$AV:$AV,$J58))</f>
        <v/>
      </c>
      <c r="H58" s="17" t="str">
        <f aca="false">IF($J58="","",INDEX('Auto Process'!$AW:$AW,$J58))</f>
        <v/>
      </c>
      <c r="J58" s="14" t="str">
        <f aca="false">IFERROR(_xlfn.AGGREGATE(15,6,ROW('Auto Process'!$D$4:$D$503)/('Auto Process'!$D$4:$D$503="Followup"),ROW()-1),"")</f>
        <v/>
      </c>
    </row>
    <row r="59" customFormat="false" ht="15" hidden="false" customHeight="true" outlineLevel="0" collapsed="false">
      <c r="A59" s="17" t="str">
        <f aca="false">IF($J59="","",INDEX('Auto Process'!$AP:$AP,$J59))</f>
        <v/>
      </c>
      <c r="B59" s="17" t="str">
        <f aca="false">IF($J59="","",INDEX('Auto Process'!$AQ:$AQ,$J59))</f>
        <v/>
      </c>
      <c r="C59" s="17" t="str">
        <f aca="false">IF($J59="","",INDEX('Auto Process'!$AR:$AR,$J59))</f>
        <v/>
      </c>
      <c r="D59" s="17" t="str">
        <f aca="false">IF($J59="","",INDEX('Auto Process'!$AS:$AS,$J59))</f>
        <v/>
      </c>
      <c r="E59" s="17" t="str">
        <f aca="false">IF($J59="","",INDEX('Auto Process'!$AT:$AT,$J59))</f>
        <v/>
      </c>
      <c r="F59" s="17" t="str">
        <f aca="false">IF($J59="","",INDEX('Auto Process'!$AU:$AU,$J59))</f>
        <v/>
      </c>
      <c r="G59" s="17" t="str">
        <f aca="false">IF($J59="","",INDEX('Auto Process'!$AV:$AV,$J59))</f>
        <v/>
      </c>
      <c r="H59" s="17" t="str">
        <f aca="false">IF($J59="","",INDEX('Auto Process'!$AW:$AW,$J59))</f>
        <v/>
      </c>
      <c r="J59" s="14" t="str">
        <f aca="false">IFERROR(_xlfn.AGGREGATE(15,6,ROW('Auto Process'!$D$4:$D$503)/('Auto Process'!$D$4:$D$503="Followup"),ROW()-1),"")</f>
        <v/>
      </c>
    </row>
    <row r="60" customFormat="false" ht="15" hidden="false" customHeight="true" outlineLevel="0" collapsed="false">
      <c r="A60" s="17" t="str">
        <f aca="false">IF($J60="","",INDEX('Auto Process'!$AP:$AP,$J60))</f>
        <v/>
      </c>
      <c r="B60" s="17" t="str">
        <f aca="false">IF($J60="","",INDEX('Auto Process'!$AQ:$AQ,$J60))</f>
        <v/>
      </c>
      <c r="C60" s="17" t="str">
        <f aca="false">IF($J60="","",INDEX('Auto Process'!$AR:$AR,$J60))</f>
        <v/>
      </c>
      <c r="D60" s="17" t="str">
        <f aca="false">IF($J60="","",INDEX('Auto Process'!$AS:$AS,$J60))</f>
        <v/>
      </c>
      <c r="E60" s="17" t="str">
        <f aca="false">IF($J60="","",INDEX('Auto Process'!$AT:$AT,$J60))</f>
        <v/>
      </c>
      <c r="F60" s="17" t="str">
        <f aca="false">IF($J60="","",INDEX('Auto Process'!$AU:$AU,$J60))</f>
        <v/>
      </c>
      <c r="G60" s="17" t="str">
        <f aca="false">IF($J60="","",INDEX('Auto Process'!$AV:$AV,$J60))</f>
        <v/>
      </c>
      <c r="H60" s="17" t="str">
        <f aca="false">IF($J60="","",INDEX('Auto Process'!$AW:$AW,$J60))</f>
        <v/>
      </c>
      <c r="J60" s="14" t="str">
        <f aca="false">IFERROR(_xlfn.AGGREGATE(15,6,ROW('Auto Process'!$D$4:$D$503)/('Auto Process'!$D$4:$D$503="Followup"),ROW()-1),"")</f>
        <v/>
      </c>
    </row>
    <row r="61" customFormat="false" ht="15" hidden="false" customHeight="true" outlineLevel="0" collapsed="false">
      <c r="A61" s="17" t="str">
        <f aca="false">IF($J61="","",INDEX('Auto Process'!$AP:$AP,$J61))</f>
        <v/>
      </c>
      <c r="B61" s="17" t="str">
        <f aca="false">IF($J61="","",INDEX('Auto Process'!$AQ:$AQ,$J61))</f>
        <v/>
      </c>
      <c r="C61" s="17" t="str">
        <f aca="false">IF($J61="","",INDEX('Auto Process'!$AR:$AR,$J61))</f>
        <v/>
      </c>
      <c r="D61" s="17" t="str">
        <f aca="false">IF($J61="","",INDEX('Auto Process'!$AS:$AS,$J61))</f>
        <v/>
      </c>
      <c r="E61" s="17" t="str">
        <f aca="false">IF($J61="","",INDEX('Auto Process'!$AT:$AT,$J61))</f>
        <v/>
      </c>
      <c r="F61" s="17" t="str">
        <f aca="false">IF($J61="","",INDEX('Auto Process'!$AU:$AU,$J61))</f>
        <v/>
      </c>
      <c r="G61" s="17" t="str">
        <f aca="false">IF($J61="","",INDEX('Auto Process'!$AV:$AV,$J61))</f>
        <v/>
      </c>
      <c r="H61" s="17" t="str">
        <f aca="false">IF($J61="","",INDEX('Auto Process'!$AW:$AW,$J61))</f>
        <v/>
      </c>
      <c r="J61" s="14" t="str">
        <f aca="false">IFERROR(_xlfn.AGGREGATE(15,6,ROW('Auto Process'!$D$4:$D$503)/('Auto Process'!$D$4:$D$503="Followup"),ROW()-1),"")</f>
        <v/>
      </c>
    </row>
    <row r="62" customFormat="false" ht="15" hidden="false" customHeight="true" outlineLevel="0" collapsed="false">
      <c r="A62" s="17" t="str">
        <f aca="false">IF($J62="","",INDEX('Auto Process'!$AP:$AP,$J62))</f>
        <v/>
      </c>
      <c r="B62" s="17" t="str">
        <f aca="false">IF($J62="","",INDEX('Auto Process'!$AQ:$AQ,$J62))</f>
        <v/>
      </c>
      <c r="C62" s="17" t="str">
        <f aca="false">IF($J62="","",INDEX('Auto Process'!$AR:$AR,$J62))</f>
        <v/>
      </c>
      <c r="D62" s="17" t="str">
        <f aca="false">IF($J62="","",INDEX('Auto Process'!$AS:$AS,$J62))</f>
        <v/>
      </c>
      <c r="E62" s="17" t="str">
        <f aca="false">IF($J62="","",INDEX('Auto Process'!$AT:$AT,$J62))</f>
        <v/>
      </c>
      <c r="F62" s="17" t="str">
        <f aca="false">IF($J62="","",INDEX('Auto Process'!$AU:$AU,$J62))</f>
        <v/>
      </c>
      <c r="G62" s="17" t="str">
        <f aca="false">IF($J62="","",INDEX('Auto Process'!$AV:$AV,$J62))</f>
        <v/>
      </c>
      <c r="H62" s="17" t="str">
        <f aca="false">IF($J62="","",INDEX('Auto Process'!$AW:$AW,$J62))</f>
        <v/>
      </c>
      <c r="J62" s="14" t="str">
        <f aca="false">IFERROR(_xlfn.AGGREGATE(15,6,ROW('Auto Process'!$D$4:$D$503)/('Auto Process'!$D$4:$D$503="Followup"),ROW()-1),"")</f>
        <v/>
      </c>
    </row>
    <row r="63" customFormat="false" ht="15" hidden="false" customHeight="true" outlineLevel="0" collapsed="false">
      <c r="A63" s="17" t="str">
        <f aca="false">IF($J63="","",INDEX('Auto Process'!$AP:$AP,$J63))</f>
        <v/>
      </c>
      <c r="B63" s="17" t="str">
        <f aca="false">IF($J63="","",INDEX('Auto Process'!$AQ:$AQ,$J63))</f>
        <v/>
      </c>
      <c r="C63" s="17" t="str">
        <f aca="false">IF($J63="","",INDEX('Auto Process'!$AR:$AR,$J63))</f>
        <v/>
      </c>
      <c r="D63" s="17" t="str">
        <f aca="false">IF($J63="","",INDEX('Auto Process'!$AS:$AS,$J63))</f>
        <v/>
      </c>
      <c r="E63" s="17" t="str">
        <f aca="false">IF($J63="","",INDEX('Auto Process'!$AT:$AT,$J63))</f>
        <v/>
      </c>
      <c r="F63" s="17" t="str">
        <f aca="false">IF($J63="","",INDEX('Auto Process'!$AU:$AU,$J63))</f>
        <v/>
      </c>
      <c r="G63" s="17" t="str">
        <f aca="false">IF($J63="","",INDEX('Auto Process'!$AV:$AV,$J63))</f>
        <v/>
      </c>
      <c r="H63" s="17" t="str">
        <f aca="false">IF($J63="","",INDEX('Auto Process'!$AW:$AW,$J63))</f>
        <v/>
      </c>
      <c r="J63" s="14" t="str">
        <f aca="false">IFERROR(_xlfn.AGGREGATE(15,6,ROW('Auto Process'!$D$4:$D$503)/('Auto Process'!$D$4:$D$503="Followup"),ROW()-1),"")</f>
        <v/>
      </c>
    </row>
    <row r="64" customFormat="false" ht="15" hidden="false" customHeight="true" outlineLevel="0" collapsed="false">
      <c r="A64" s="17" t="str">
        <f aca="false">IF($J64="","",INDEX('Auto Process'!$AP:$AP,$J64))</f>
        <v/>
      </c>
      <c r="B64" s="17" t="str">
        <f aca="false">IF($J64="","",INDEX('Auto Process'!$AQ:$AQ,$J64))</f>
        <v/>
      </c>
      <c r="C64" s="17" t="str">
        <f aca="false">IF($J64="","",INDEX('Auto Process'!$AR:$AR,$J64))</f>
        <v/>
      </c>
      <c r="D64" s="17" t="str">
        <f aca="false">IF($J64="","",INDEX('Auto Process'!$AS:$AS,$J64))</f>
        <v/>
      </c>
      <c r="E64" s="17" t="str">
        <f aca="false">IF($J64="","",INDEX('Auto Process'!$AT:$AT,$J64))</f>
        <v/>
      </c>
      <c r="F64" s="17" t="str">
        <f aca="false">IF($J64="","",INDEX('Auto Process'!$AU:$AU,$J64))</f>
        <v/>
      </c>
      <c r="G64" s="17" t="str">
        <f aca="false">IF($J64="","",INDEX('Auto Process'!$AV:$AV,$J64))</f>
        <v/>
      </c>
      <c r="H64" s="17" t="str">
        <f aca="false">IF($J64="","",INDEX('Auto Process'!$AW:$AW,$J64))</f>
        <v/>
      </c>
      <c r="J64" s="14" t="str">
        <f aca="false">IFERROR(_xlfn.AGGREGATE(15,6,ROW('Auto Process'!$D$4:$D$503)/('Auto Process'!$D$4:$D$503="Followup"),ROW()-1),"")</f>
        <v/>
      </c>
    </row>
    <row r="65" customFormat="false" ht="15" hidden="false" customHeight="true" outlineLevel="0" collapsed="false">
      <c r="A65" s="17" t="str">
        <f aca="false">IF($J65="","",INDEX('Auto Process'!$AP:$AP,$J65))</f>
        <v/>
      </c>
      <c r="B65" s="17" t="str">
        <f aca="false">IF($J65="","",INDEX('Auto Process'!$AQ:$AQ,$J65))</f>
        <v/>
      </c>
      <c r="C65" s="17" t="str">
        <f aca="false">IF($J65="","",INDEX('Auto Process'!$AR:$AR,$J65))</f>
        <v/>
      </c>
      <c r="D65" s="17" t="str">
        <f aca="false">IF($J65="","",INDEX('Auto Process'!$AS:$AS,$J65))</f>
        <v/>
      </c>
      <c r="E65" s="17" t="str">
        <f aca="false">IF($J65="","",INDEX('Auto Process'!$AT:$AT,$J65))</f>
        <v/>
      </c>
      <c r="F65" s="17" t="str">
        <f aca="false">IF($J65="","",INDEX('Auto Process'!$AU:$AU,$J65))</f>
        <v/>
      </c>
      <c r="G65" s="17" t="str">
        <f aca="false">IF($J65="","",INDEX('Auto Process'!$AV:$AV,$J65))</f>
        <v/>
      </c>
      <c r="H65" s="17" t="str">
        <f aca="false">IF($J65="","",INDEX('Auto Process'!$AW:$AW,$J65))</f>
        <v/>
      </c>
      <c r="J65" s="14" t="str">
        <f aca="false">IFERROR(_xlfn.AGGREGATE(15,6,ROW('Auto Process'!$D$4:$D$503)/('Auto Process'!$D$4:$D$503="Followup"),ROW()-1),"")</f>
        <v/>
      </c>
    </row>
    <row r="66" customFormat="false" ht="15" hidden="false" customHeight="true" outlineLevel="0" collapsed="false">
      <c r="A66" s="17" t="str">
        <f aca="false">IF($J66="","",INDEX('Auto Process'!$AP:$AP,$J66))</f>
        <v/>
      </c>
      <c r="B66" s="17" t="str">
        <f aca="false">IF($J66="","",INDEX('Auto Process'!$AQ:$AQ,$J66))</f>
        <v/>
      </c>
      <c r="C66" s="17" t="str">
        <f aca="false">IF($J66="","",INDEX('Auto Process'!$AR:$AR,$J66))</f>
        <v/>
      </c>
      <c r="D66" s="17" t="str">
        <f aca="false">IF($J66="","",INDEX('Auto Process'!$AS:$AS,$J66))</f>
        <v/>
      </c>
      <c r="E66" s="17" t="str">
        <f aca="false">IF($J66="","",INDEX('Auto Process'!$AT:$AT,$J66))</f>
        <v/>
      </c>
      <c r="F66" s="17" t="str">
        <f aca="false">IF($J66="","",INDEX('Auto Process'!$AU:$AU,$J66))</f>
        <v/>
      </c>
      <c r="G66" s="17" t="str">
        <f aca="false">IF($J66="","",INDEX('Auto Process'!$AV:$AV,$J66))</f>
        <v/>
      </c>
      <c r="H66" s="17" t="str">
        <f aca="false">IF($J66="","",INDEX('Auto Process'!$AW:$AW,$J66))</f>
        <v/>
      </c>
      <c r="J66" s="14" t="str">
        <f aca="false">IFERROR(_xlfn.AGGREGATE(15,6,ROW('Auto Process'!$D$4:$D$503)/('Auto Process'!$D$4:$D$503="Followup"),ROW()-1),"")</f>
        <v/>
      </c>
    </row>
    <row r="67" customFormat="false" ht="15" hidden="false" customHeight="true" outlineLevel="0" collapsed="false">
      <c r="A67" s="17" t="str">
        <f aca="false">IF($J67="","",INDEX('Auto Process'!$AP:$AP,$J67))</f>
        <v/>
      </c>
      <c r="B67" s="17" t="str">
        <f aca="false">IF($J67="","",INDEX('Auto Process'!$AQ:$AQ,$J67))</f>
        <v/>
      </c>
      <c r="C67" s="17" t="str">
        <f aca="false">IF($J67="","",INDEX('Auto Process'!$AR:$AR,$J67))</f>
        <v/>
      </c>
      <c r="D67" s="17" t="str">
        <f aca="false">IF($J67="","",INDEX('Auto Process'!$AS:$AS,$J67))</f>
        <v/>
      </c>
      <c r="E67" s="17" t="str">
        <f aca="false">IF($J67="","",INDEX('Auto Process'!$AT:$AT,$J67))</f>
        <v/>
      </c>
      <c r="F67" s="17" t="str">
        <f aca="false">IF($J67="","",INDEX('Auto Process'!$AU:$AU,$J67))</f>
        <v/>
      </c>
      <c r="G67" s="17" t="str">
        <f aca="false">IF($J67="","",INDEX('Auto Process'!$AV:$AV,$J67))</f>
        <v/>
      </c>
      <c r="H67" s="17" t="str">
        <f aca="false">IF($J67="","",INDEX('Auto Process'!$AW:$AW,$J67))</f>
        <v/>
      </c>
      <c r="J67" s="14" t="str">
        <f aca="false">IFERROR(_xlfn.AGGREGATE(15,6,ROW('Auto Process'!$D$4:$D$503)/('Auto Process'!$D$4:$D$503="Followup"),ROW()-1),"")</f>
        <v/>
      </c>
    </row>
    <row r="68" customFormat="false" ht="15" hidden="false" customHeight="true" outlineLevel="0" collapsed="false">
      <c r="A68" s="17" t="str">
        <f aca="false">IF($J68="","",INDEX('Auto Process'!$AP:$AP,$J68))</f>
        <v/>
      </c>
      <c r="B68" s="17" t="str">
        <f aca="false">IF($J68="","",INDEX('Auto Process'!$AQ:$AQ,$J68))</f>
        <v/>
      </c>
      <c r="C68" s="17" t="str">
        <f aca="false">IF($J68="","",INDEX('Auto Process'!$AR:$AR,$J68))</f>
        <v/>
      </c>
      <c r="D68" s="17" t="str">
        <f aca="false">IF($J68="","",INDEX('Auto Process'!$AS:$AS,$J68))</f>
        <v/>
      </c>
      <c r="E68" s="17" t="str">
        <f aca="false">IF($J68="","",INDEX('Auto Process'!$AT:$AT,$J68))</f>
        <v/>
      </c>
      <c r="F68" s="17" t="str">
        <f aca="false">IF($J68="","",INDEX('Auto Process'!$AU:$AU,$J68))</f>
        <v/>
      </c>
      <c r="G68" s="17" t="str">
        <f aca="false">IF($J68="","",INDEX('Auto Process'!$AV:$AV,$J68))</f>
        <v/>
      </c>
      <c r="H68" s="17" t="str">
        <f aca="false">IF($J68="","",INDEX('Auto Process'!$AW:$AW,$J68))</f>
        <v/>
      </c>
      <c r="J68" s="14" t="str">
        <f aca="false">IFERROR(_xlfn.AGGREGATE(15,6,ROW('Auto Process'!$D$4:$D$503)/('Auto Process'!$D$4:$D$503="Followup"),ROW()-1),"")</f>
        <v/>
      </c>
    </row>
    <row r="69" customFormat="false" ht="15" hidden="false" customHeight="true" outlineLevel="0" collapsed="false">
      <c r="A69" s="17" t="str">
        <f aca="false">IF($J69="","",INDEX('Auto Process'!$AP:$AP,$J69))</f>
        <v/>
      </c>
      <c r="B69" s="17" t="str">
        <f aca="false">IF($J69="","",INDEX('Auto Process'!$AQ:$AQ,$J69))</f>
        <v/>
      </c>
      <c r="C69" s="17" t="str">
        <f aca="false">IF($J69="","",INDEX('Auto Process'!$AR:$AR,$J69))</f>
        <v/>
      </c>
      <c r="D69" s="17" t="str">
        <f aca="false">IF($J69="","",INDEX('Auto Process'!$AS:$AS,$J69))</f>
        <v/>
      </c>
      <c r="E69" s="17" t="str">
        <f aca="false">IF($J69="","",INDEX('Auto Process'!$AT:$AT,$J69))</f>
        <v/>
      </c>
      <c r="F69" s="17" t="str">
        <f aca="false">IF($J69="","",INDEX('Auto Process'!$AU:$AU,$J69))</f>
        <v/>
      </c>
      <c r="G69" s="17" t="str">
        <f aca="false">IF($J69="","",INDEX('Auto Process'!$AV:$AV,$J69))</f>
        <v/>
      </c>
      <c r="H69" s="17" t="str">
        <f aca="false">IF($J69="","",INDEX('Auto Process'!$AW:$AW,$J69))</f>
        <v/>
      </c>
      <c r="J69" s="14" t="str">
        <f aca="false">IFERROR(_xlfn.AGGREGATE(15,6,ROW('Auto Process'!$D$4:$D$503)/('Auto Process'!$D$4:$D$503="Followup"),ROW()-1),"")</f>
        <v/>
      </c>
    </row>
    <row r="70" customFormat="false" ht="15" hidden="false" customHeight="true" outlineLevel="0" collapsed="false">
      <c r="A70" s="17" t="str">
        <f aca="false">IF($J70="","",INDEX('Auto Process'!$AP:$AP,$J70))</f>
        <v/>
      </c>
      <c r="B70" s="17" t="str">
        <f aca="false">IF($J70="","",INDEX('Auto Process'!$AQ:$AQ,$J70))</f>
        <v/>
      </c>
      <c r="C70" s="17" t="str">
        <f aca="false">IF($J70="","",INDEX('Auto Process'!$AR:$AR,$J70))</f>
        <v/>
      </c>
      <c r="D70" s="17" t="str">
        <f aca="false">IF($J70="","",INDEX('Auto Process'!$AS:$AS,$J70))</f>
        <v/>
      </c>
      <c r="E70" s="17" t="str">
        <f aca="false">IF($J70="","",INDEX('Auto Process'!$AT:$AT,$J70))</f>
        <v/>
      </c>
      <c r="F70" s="17" t="str">
        <f aca="false">IF($J70="","",INDEX('Auto Process'!$AU:$AU,$J70))</f>
        <v/>
      </c>
      <c r="G70" s="17" t="str">
        <f aca="false">IF($J70="","",INDEX('Auto Process'!$AV:$AV,$J70))</f>
        <v/>
      </c>
      <c r="H70" s="17" t="str">
        <f aca="false">IF($J70="","",INDEX('Auto Process'!$AW:$AW,$J70))</f>
        <v/>
      </c>
      <c r="J70" s="14" t="str">
        <f aca="false">IFERROR(_xlfn.AGGREGATE(15,6,ROW('Auto Process'!$D$4:$D$503)/('Auto Process'!$D$4:$D$503="Followup"),ROW()-1),"")</f>
        <v/>
      </c>
    </row>
    <row r="71" customFormat="false" ht="15" hidden="false" customHeight="true" outlineLevel="0" collapsed="false">
      <c r="A71" s="17" t="str">
        <f aca="false">IF($J71="","",INDEX('Auto Process'!$AP:$AP,$J71))</f>
        <v/>
      </c>
      <c r="B71" s="17" t="str">
        <f aca="false">IF($J71="","",INDEX('Auto Process'!$AQ:$AQ,$J71))</f>
        <v/>
      </c>
      <c r="C71" s="17" t="str">
        <f aca="false">IF($J71="","",INDEX('Auto Process'!$AR:$AR,$J71))</f>
        <v/>
      </c>
      <c r="D71" s="17" t="str">
        <f aca="false">IF($J71="","",INDEX('Auto Process'!$AS:$AS,$J71))</f>
        <v/>
      </c>
      <c r="E71" s="17" t="str">
        <f aca="false">IF($J71="","",INDEX('Auto Process'!$AT:$AT,$J71))</f>
        <v/>
      </c>
      <c r="F71" s="17" t="str">
        <f aca="false">IF($J71="","",INDEX('Auto Process'!$AU:$AU,$J71))</f>
        <v/>
      </c>
      <c r="G71" s="17" t="str">
        <f aca="false">IF($J71="","",INDEX('Auto Process'!$AV:$AV,$J71))</f>
        <v/>
      </c>
      <c r="H71" s="17" t="str">
        <f aca="false">IF($J71="","",INDEX('Auto Process'!$AW:$AW,$J71))</f>
        <v/>
      </c>
      <c r="J71" s="14" t="str">
        <f aca="false">IFERROR(_xlfn.AGGREGATE(15,6,ROW('Auto Process'!$D$4:$D$503)/('Auto Process'!$D$4:$D$503="Followup"),ROW()-1),"")</f>
        <v/>
      </c>
    </row>
    <row r="72" customFormat="false" ht="15" hidden="false" customHeight="true" outlineLevel="0" collapsed="false">
      <c r="A72" s="17" t="str">
        <f aca="false">IF($J72="","",INDEX('Auto Process'!$AP:$AP,$J72))</f>
        <v/>
      </c>
      <c r="B72" s="17" t="str">
        <f aca="false">IF($J72="","",INDEX('Auto Process'!$AQ:$AQ,$J72))</f>
        <v/>
      </c>
      <c r="C72" s="17" t="str">
        <f aca="false">IF($J72="","",INDEX('Auto Process'!$AR:$AR,$J72))</f>
        <v/>
      </c>
      <c r="D72" s="17" t="str">
        <f aca="false">IF($J72="","",INDEX('Auto Process'!$AS:$AS,$J72))</f>
        <v/>
      </c>
      <c r="E72" s="17" t="str">
        <f aca="false">IF($J72="","",INDEX('Auto Process'!$AT:$AT,$J72))</f>
        <v/>
      </c>
      <c r="F72" s="17" t="str">
        <f aca="false">IF($J72="","",INDEX('Auto Process'!$AU:$AU,$J72))</f>
        <v/>
      </c>
      <c r="G72" s="17" t="str">
        <f aca="false">IF($J72="","",INDEX('Auto Process'!$AV:$AV,$J72))</f>
        <v/>
      </c>
      <c r="H72" s="17" t="str">
        <f aca="false">IF($J72="","",INDEX('Auto Process'!$AW:$AW,$J72))</f>
        <v/>
      </c>
      <c r="J72" s="14" t="str">
        <f aca="false">IFERROR(_xlfn.AGGREGATE(15,6,ROW('Auto Process'!$D$4:$D$503)/('Auto Process'!$D$4:$D$503="Followup"),ROW()-1),"")</f>
        <v/>
      </c>
    </row>
    <row r="73" customFormat="false" ht="15" hidden="false" customHeight="true" outlineLevel="0" collapsed="false">
      <c r="A73" s="17" t="str">
        <f aca="false">IF($J73="","",INDEX('Auto Process'!$AP:$AP,$J73))</f>
        <v/>
      </c>
      <c r="B73" s="17" t="str">
        <f aca="false">IF($J73="","",INDEX('Auto Process'!$AQ:$AQ,$J73))</f>
        <v/>
      </c>
      <c r="C73" s="17" t="str">
        <f aca="false">IF($J73="","",INDEX('Auto Process'!$AR:$AR,$J73))</f>
        <v/>
      </c>
      <c r="D73" s="17" t="str">
        <f aca="false">IF($J73="","",INDEX('Auto Process'!$AS:$AS,$J73))</f>
        <v/>
      </c>
      <c r="E73" s="17" t="str">
        <f aca="false">IF($J73="","",INDEX('Auto Process'!$AT:$AT,$J73))</f>
        <v/>
      </c>
      <c r="F73" s="17" t="str">
        <f aca="false">IF($J73="","",INDEX('Auto Process'!$AU:$AU,$J73))</f>
        <v/>
      </c>
      <c r="G73" s="17" t="str">
        <f aca="false">IF($J73="","",INDEX('Auto Process'!$AV:$AV,$J73))</f>
        <v/>
      </c>
      <c r="H73" s="17" t="str">
        <f aca="false">IF($J73="","",INDEX('Auto Process'!$AW:$AW,$J73))</f>
        <v/>
      </c>
      <c r="J73" s="14" t="str">
        <f aca="false">IFERROR(_xlfn.AGGREGATE(15,6,ROW('Auto Process'!$D$4:$D$503)/('Auto Process'!$D$4:$D$503="Followup"),ROW()-1),"")</f>
        <v/>
      </c>
    </row>
    <row r="74" customFormat="false" ht="15" hidden="false" customHeight="true" outlineLevel="0" collapsed="false">
      <c r="A74" s="17" t="str">
        <f aca="false">IF($J74="","",INDEX('Auto Process'!$AP:$AP,$J74))</f>
        <v/>
      </c>
      <c r="B74" s="17" t="str">
        <f aca="false">IF($J74="","",INDEX('Auto Process'!$AQ:$AQ,$J74))</f>
        <v/>
      </c>
      <c r="C74" s="17" t="str">
        <f aca="false">IF($J74="","",INDEX('Auto Process'!$AR:$AR,$J74))</f>
        <v/>
      </c>
      <c r="D74" s="17" t="str">
        <f aca="false">IF($J74="","",INDEX('Auto Process'!$AS:$AS,$J74))</f>
        <v/>
      </c>
      <c r="E74" s="17" t="str">
        <f aca="false">IF($J74="","",INDEX('Auto Process'!$AT:$AT,$J74))</f>
        <v/>
      </c>
      <c r="F74" s="17" t="str">
        <f aca="false">IF($J74="","",INDEX('Auto Process'!$AU:$AU,$J74))</f>
        <v/>
      </c>
      <c r="G74" s="17" t="str">
        <f aca="false">IF($J74="","",INDEX('Auto Process'!$AV:$AV,$J74))</f>
        <v/>
      </c>
      <c r="H74" s="17" t="str">
        <f aca="false">IF($J74="","",INDEX('Auto Process'!$AW:$AW,$J74))</f>
        <v/>
      </c>
      <c r="J74" s="14" t="str">
        <f aca="false">IFERROR(_xlfn.AGGREGATE(15,6,ROW('Auto Process'!$D$4:$D$503)/('Auto Process'!$D$4:$D$503="Followup"),ROW()-1),"")</f>
        <v/>
      </c>
    </row>
    <row r="75" customFormat="false" ht="15" hidden="false" customHeight="true" outlineLevel="0" collapsed="false">
      <c r="A75" s="17" t="str">
        <f aca="false">IF($J75="","",INDEX('Auto Process'!$AP:$AP,$J75))</f>
        <v/>
      </c>
      <c r="B75" s="17" t="str">
        <f aca="false">IF($J75="","",INDEX('Auto Process'!$AQ:$AQ,$J75))</f>
        <v/>
      </c>
      <c r="C75" s="17" t="str">
        <f aca="false">IF($J75="","",INDEX('Auto Process'!$AR:$AR,$J75))</f>
        <v/>
      </c>
      <c r="D75" s="17" t="str">
        <f aca="false">IF($J75="","",INDEX('Auto Process'!$AS:$AS,$J75))</f>
        <v/>
      </c>
      <c r="E75" s="17" t="str">
        <f aca="false">IF($J75="","",INDEX('Auto Process'!$AT:$AT,$J75))</f>
        <v/>
      </c>
      <c r="F75" s="17" t="str">
        <f aca="false">IF($J75="","",INDEX('Auto Process'!$AU:$AU,$J75))</f>
        <v/>
      </c>
      <c r="G75" s="17" t="str">
        <f aca="false">IF($J75="","",INDEX('Auto Process'!$AV:$AV,$J75))</f>
        <v/>
      </c>
      <c r="H75" s="17" t="str">
        <f aca="false">IF($J75="","",INDEX('Auto Process'!$AW:$AW,$J75))</f>
        <v/>
      </c>
      <c r="J75" s="14" t="str">
        <f aca="false">IFERROR(_xlfn.AGGREGATE(15,6,ROW('Auto Process'!$D$4:$D$503)/('Auto Process'!$D$4:$D$503="Followup"),ROW()-1),"")</f>
        <v/>
      </c>
    </row>
    <row r="76" customFormat="false" ht="15" hidden="false" customHeight="true" outlineLevel="0" collapsed="false">
      <c r="A76" s="17" t="str">
        <f aca="false">IF($J76="","",INDEX('Auto Process'!$AP:$AP,$J76))</f>
        <v/>
      </c>
      <c r="B76" s="17" t="str">
        <f aca="false">IF($J76="","",INDEX('Auto Process'!$AQ:$AQ,$J76))</f>
        <v/>
      </c>
      <c r="C76" s="17" t="str">
        <f aca="false">IF($J76="","",INDEX('Auto Process'!$AR:$AR,$J76))</f>
        <v/>
      </c>
      <c r="D76" s="17" t="str">
        <f aca="false">IF($J76="","",INDEX('Auto Process'!$AS:$AS,$J76))</f>
        <v/>
      </c>
      <c r="E76" s="17" t="str">
        <f aca="false">IF($J76="","",INDEX('Auto Process'!$AT:$AT,$J76))</f>
        <v/>
      </c>
      <c r="F76" s="17" t="str">
        <f aca="false">IF($J76="","",INDEX('Auto Process'!$AU:$AU,$J76))</f>
        <v/>
      </c>
      <c r="G76" s="17" t="str">
        <f aca="false">IF($J76="","",INDEX('Auto Process'!$AV:$AV,$J76))</f>
        <v/>
      </c>
      <c r="H76" s="17" t="str">
        <f aca="false">IF($J76="","",INDEX('Auto Process'!$AW:$AW,$J76))</f>
        <v/>
      </c>
      <c r="J76" s="14" t="str">
        <f aca="false">IFERROR(_xlfn.AGGREGATE(15,6,ROW('Auto Process'!$D$4:$D$503)/('Auto Process'!$D$4:$D$503="Followup"),ROW()-1),"")</f>
        <v/>
      </c>
    </row>
    <row r="77" customFormat="false" ht="15" hidden="false" customHeight="true" outlineLevel="0" collapsed="false">
      <c r="A77" s="17" t="str">
        <f aca="false">IF($J77="","",INDEX('Auto Process'!$AP:$AP,$J77))</f>
        <v/>
      </c>
      <c r="B77" s="17" t="str">
        <f aca="false">IF($J77="","",INDEX('Auto Process'!$AQ:$AQ,$J77))</f>
        <v/>
      </c>
      <c r="C77" s="17" t="str">
        <f aca="false">IF($J77="","",INDEX('Auto Process'!$AR:$AR,$J77))</f>
        <v/>
      </c>
      <c r="D77" s="17" t="str">
        <f aca="false">IF($J77="","",INDEX('Auto Process'!$AS:$AS,$J77))</f>
        <v/>
      </c>
      <c r="E77" s="17" t="str">
        <f aca="false">IF($J77="","",INDEX('Auto Process'!$AT:$AT,$J77))</f>
        <v/>
      </c>
      <c r="F77" s="17" t="str">
        <f aca="false">IF($J77="","",INDEX('Auto Process'!$AU:$AU,$J77))</f>
        <v/>
      </c>
      <c r="G77" s="17" t="str">
        <f aca="false">IF($J77="","",INDEX('Auto Process'!$AV:$AV,$J77))</f>
        <v/>
      </c>
      <c r="H77" s="17" t="str">
        <f aca="false">IF($J77="","",INDEX('Auto Process'!$AW:$AW,$J77))</f>
        <v/>
      </c>
      <c r="J77" s="14" t="str">
        <f aca="false">IFERROR(_xlfn.AGGREGATE(15,6,ROW('Auto Process'!$D$4:$D$503)/('Auto Process'!$D$4:$D$503="Followup"),ROW()-1),"")</f>
        <v/>
      </c>
    </row>
    <row r="78" customFormat="false" ht="15" hidden="false" customHeight="true" outlineLevel="0" collapsed="false">
      <c r="A78" s="17" t="str">
        <f aca="false">IF($J78="","",INDEX('Auto Process'!$AP:$AP,$J78))</f>
        <v/>
      </c>
      <c r="B78" s="17" t="str">
        <f aca="false">IF($J78="","",INDEX('Auto Process'!$AQ:$AQ,$J78))</f>
        <v/>
      </c>
      <c r="C78" s="17" t="str">
        <f aca="false">IF($J78="","",INDEX('Auto Process'!$AR:$AR,$J78))</f>
        <v/>
      </c>
      <c r="D78" s="17" t="str">
        <f aca="false">IF($J78="","",INDEX('Auto Process'!$AS:$AS,$J78))</f>
        <v/>
      </c>
      <c r="E78" s="17" t="str">
        <f aca="false">IF($J78="","",INDEX('Auto Process'!$AT:$AT,$J78))</f>
        <v/>
      </c>
      <c r="F78" s="17" t="str">
        <f aca="false">IF($J78="","",INDEX('Auto Process'!$AU:$AU,$J78))</f>
        <v/>
      </c>
      <c r="G78" s="17" t="str">
        <f aca="false">IF($J78="","",INDEX('Auto Process'!$AV:$AV,$J78))</f>
        <v/>
      </c>
      <c r="H78" s="17" t="str">
        <f aca="false">IF($J78="","",INDEX('Auto Process'!$AW:$AW,$J78))</f>
        <v/>
      </c>
      <c r="J78" s="14" t="str">
        <f aca="false">IFERROR(_xlfn.AGGREGATE(15,6,ROW('Auto Process'!$D$4:$D$503)/('Auto Process'!$D$4:$D$503="Followup"),ROW()-1),"")</f>
        <v/>
      </c>
    </row>
    <row r="79" customFormat="false" ht="15" hidden="false" customHeight="true" outlineLevel="0" collapsed="false">
      <c r="A79" s="17" t="str">
        <f aca="false">IF($J79="","",INDEX('Auto Process'!$AP:$AP,$J79))</f>
        <v/>
      </c>
      <c r="B79" s="17" t="str">
        <f aca="false">IF($J79="","",INDEX('Auto Process'!$AQ:$AQ,$J79))</f>
        <v/>
      </c>
      <c r="C79" s="17" t="str">
        <f aca="false">IF($J79="","",INDEX('Auto Process'!$AR:$AR,$J79))</f>
        <v/>
      </c>
      <c r="D79" s="17" t="str">
        <f aca="false">IF($J79="","",INDEX('Auto Process'!$AS:$AS,$J79))</f>
        <v/>
      </c>
      <c r="E79" s="17" t="str">
        <f aca="false">IF($J79="","",INDEX('Auto Process'!$AT:$AT,$J79))</f>
        <v/>
      </c>
      <c r="F79" s="17" t="str">
        <f aca="false">IF($J79="","",INDEX('Auto Process'!$AU:$AU,$J79))</f>
        <v/>
      </c>
      <c r="G79" s="17" t="str">
        <f aca="false">IF($J79="","",INDEX('Auto Process'!$AV:$AV,$J79))</f>
        <v/>
      </c>
      <c r="H79" s="17" t="str">
        <f aca="false">IF($J79="","",INDEX('Auto Process'!$AW:$AW,$J79))</f>
        <v/>
      </c>
      <c r="J79" s="14" t="str">
        <f aca="false">IFERROR(_xlfn.AGGREGATE(15,6,ROW('Auto Process'!$D$4:$D$503)/('Auto Process'!$D$4:$D$503="Followup"),ROW()-1),"")</f>
        <v/>
      </c>
    </row>
    <row r="80" customFormat="false" ht="15" hidden="false" customHeight="true" outlineLevel="0" collapsed="false">
      <c r="A80" s="17" t="str">
        <f aca="false">IF($J80="","",INDEX('Auto Process'!$AP:$AP,$J80))</f>
        <v/>
      </c>
      <c r="B80" s="17" t="str">
        <f aca="false">IF($J80="","",INDEX('Auto Process'!$AQ:$AQ,$J80))</f>
        <v/>
      </c>
      <c r="C80" s="17" t="str">
        <f aca="false">IF($J80="","",INDEX('Auto Process'!$AR:$AR,$J80))</f>
        <v/>
      </c>
      <c r="D80" s="17" t="str">
        <f aca="false">IF($J80="","",INDEX('Auto Process'!$AS:$AS,$J80))</f>
        <v/>
      </c>
      <c r="E80" s="17" t="str">
        <f aca="false">IF($J80="","",INDEX('Auto Process'!$AT:$AT,$J80))</f>
        <v/>
      </c>
      <c r="F80" s="17" t="str">
        <f aca="false">IF($J80="","",INDEX('Auto Process'!$AU:$AU,$J80))</f>
        <v/>
      </c>
      <c r="G80" s="17" t="str">
        <f aca="false">IF($J80="","",INDEX('Auto Process'!$AV:$AV,$J80))</f>
        <v/>
      </c>
      <c r="H80" s="17" t="str">
        <f aca="false">IF($J80="","",INDEX('Auto Process'!$AW:$AW,$J80))</f>
        <v/>
      </c>
      <c r="J80" s="14" t="str">
        <f aca="false">IFERROR(_xlfn.AGGREGATE(15,6,ROW('Auto Process'!$D$4:$D$503)/('Auto Process'!$D$4:$D$503="Followup"),ROW()-1),"")</f>
        <v/>
      </c>
    </row>
    <row r="81" customFormat="false" ht="15" hidden="false" customHeight="true" outlineLevel="0" collapsed="false">
      <c r="A81" s="17" t="str">
        <f aca="false">IF($J81="","",INDEX('Auto Process'!$AP:$AP,$J81))</f>
        <v/>
      </c>
      <c r="B81" s="17" t="str">
        <f aca="false">IF($J81="","",INDEX('Auto Process'!$AQ:$AQ,$J81))</f>
        <v/>
      </c>
      <c r="C81" s="17" t="str">
        <f aca="false">IF($J81="","",INDEX('Auto Process'!$AR:$AR,$J81))</f>
        <v/>
      </c>
      <c r="D81" s="17" t="str">
        <f aca="false">IF($J81="","",INDEX('Auto Process'!$AS:$AS,$J81))</f>
        <v/>
      </c>
      <c r="E81" s="17" t="str">
        <f aca="false">IF($J81="","",INDEX('Auto Process'!$AT:$AT,$J81))</f>
        <v/>
      </c>
      <c r="F81" s="17" t="str">
        <f aca="false">IF($J81="","",INDEX('Auto Process'!$AU:$AU,$J81))</f>
        <v/>
      </c>
      <c r="G81" s="17" t="str">
        <f aca="false">IF($J81="","",INDEX('Auto Process'!$AV:$AV,$J81))</f>
        <v/>
      </c>
      <c r="H81" s="17" t="str">
        <f aca="false">IF($J81="","",INDEX('Auto Process'!$AW:$AW,$J81))</f>
        <v/>
      </c>
      <c r="J81" s="14" t="str">
        <f aca="false">IFERROR(_xlfn.AGGREGATE(15,6,ROW('Auto Process'!$D$4:$D$503)/('Auto Process'!$D$4:$D$503="Followup"),ROW()-1),"")</f>
        <v/>
      </c>
    </row>
    <row r="82" customFormat="false" ht="15" hidden="false" customHeight="true" outlineLevel="0" collapsed="false">
      <c r="A82" s="17" t="str">
        <f aca="false">IF($J82="","",INDEX('Auto Process'!$AP:$AP,$J82))</f>
        <v/>
      </c>
      <c r="B82" s="17" t="str">
        <f aca="false">IF($J82="","",INDEX('Auto Process'!$AQ:$AQ,$J82))</f>
        <v/>
      </c>
      <c r="C82" s="17" t="str">
        <f aca="false">IF($J82="","",INDEX('Auto Process'!$AR:$AR,$J82))</f>
        <v/>
      </c>
      <c r="D82" s="17" t="str">
        <f aca="false">IF($J82="","",INDEX('Auto Process'!$AS:$AS,$J82))</f>
        <v/>
      </c>
      <c r="E82" s="17" t="str">
        <f aca="false">IF($J82="","",INDEX('Auto Process'!$AT:$AT,$J82))</f>
        <v/>
      </c>
      <c r="F82" s="17" t="str">
        <f aca="false">IF($J82="","",INDEX('Auto Process'!$AU:$AU,$J82))</f>
        <v/>
      </c>
      <c r="G82" s="17" t="str">
        <f aca="false">IF($J82="","",INDEX('Auto Process'!$AV:$AV,$J82))</f>
        <v/>
      </c>
      <c r="H82" s="17" t="str">
        <f aca="false">IF($J82="","",INDEX('Auto Process'!$AW:$AW,$J82))</f>
        <v/>
      </c>
      <c r="J82" s="14" t="str">
        <f aca="false">IFERROR(_xlfn.AGGREGATE(15,6,ROW('Auto Process'!$D$4:$D$503)/('Auto Process'!$D$4:$D$503="Followup"),ROW()-1),"")</f>
        <v/>
      </c>
    </row>
    <row r="83" customFormat="false" ht="15" hidden="false" customHeight="true" outlineLevel="0" collapsed="false">
      <c r="A83" s="17" t="str">
        <f aca="false">IF($J83="","",INDEX('Auto Process'!$AP:$AP,$J83))</f>
        <v/>
      </c>
      <c r="B83" s="17" t="str">
        <f aca="false">IF($J83="","",INDEX('Auto Process'!$AQ:$AQ,$J83))</f>
        <v/>
      </c>
      <c r="C83" s="17" t="str">
        <f aca="false">IF($J83="","",INDEX('Auto Process'!$AR:$AR,$J83))</f>
        <v/>
      </c>
      <c r="D83" s="17" t="str">
        <f aca="false">IF($J83="","",INDEX('Auto Process'!$AS:$AS,$J83))</f>
        <v/>
      </c>
      <c r="E83" s="17" t="str">
        <f aca="false">IF($J83="","",INDEX('Auto Process'!$AT:$AT,$J83))</f>
        <v/>
      </c>
      <c r="F83" s="17" t="str">
        <f aca="false">IF($J83="","",INDEX('Auto Process'!$AU:$AU,$J83))</f>
        <v/>
      </c>
      <c r="G83" s="17" t="str">
        <f aca="false">IF($J83="","",INDEX('Auto Process'!$AV:$AV,$J83))</f>
        <v/>
      </c>
      <c r="H83" s="17" t="str">
        <f aca="false">IF($J83="","",INDEX('Auto Process'!$AW:$AW,$J83))</f>
        <v/>
      </c>
      <c r="J83" s="14" t="str">
        <f aca="false">IFERROR(_xlfn.AGGREGATE(15,6,ROW('Auto Process'!$D$4:$D$503)/('Auto Process'!$D$4:$D$503="Followup"),ROW()-1),"")</f>
        <v/>
      </c>
    </row>
    <row r="84" customFormat="false" ht="15" hidden="false" customHeight="true" outlineLevel="0" collapsed="false">
      <c r="A84" s="17" t="str">
        <f aca="false">IF($J84="","",INDEX('Auto Process'!$AP:$AP,$J84))</f>
        <v/>
      </c>
      <c r="B84" s="17" t="str">
        <f aca="false">IF($J84="","",INDEX('Auto Process'!$AQ:$AQ,$J84))</f>
        <v/>
      </c>
      <c r="C84" s="17" t="str">
        <f aca="false">IF($J84="","",INDEX('Auto Process'!$AR:$AR,$J84))</f>
        <v/>
      </c>
      <c r="D84" s="17" t="str">
        <f aca="false">IF($J84="","",INDEX('Auto Process'!$AS:$AS,$J84))</f>
        <v/>
      </c>
      <c r="E84" s="17" t="str">
        <f aca="false">IF($J84="","",INDEX('Auto Process'!$AT:$AT,$J84))</f>
        <v/>
      </c>
      <c r="F84" s="17" t="str">
        <f aca="false">IF($J84="","",INDEX('Auto Process'!$AU:$AU,$J84))</f>
        <v/>
      </c>
      <c r="G84" s="17" t="str">
        <f aca="false">IF($J84="","",INDEX('Auto Process'!$AV:$AV,$J84))</f>
        <v/>
      </c>
      <c r="H84" s="17" t="str">
        <f aca="false">IF($J84="","",INDEX('Auto Process'!$AW:$AW,$J84))</f>
        <v/>
      </c>
      <c r="J84" s="14" t="str">
        <f aca="false">IFERROR(_xlfn.AGGREGATE(15,6,ROW('Auto Process'!$D$4:$D$503)/('Auto Process'!$D$4:$D$503="Followup"),ROW()-1),"")</f>
        <v/>
      </c>
    </row>
    <row r="85" customFormat="false" ht="15" hidden="false" customHeight="true" outlineLevel="0" collapsed="false">
      <c r="A85" s="17" t="str">
        <f aca="false">IF($J85="","",INDEX('Auto Process'!$AP:$AP,$J85))</f>
        <v/>
      </c>
      <c r="B85" s="17" t="str">
        <f aca="false">IF($J85="","",INDEX('Auto Process'!$AQ:$AQ,$J85))</f>
        <v/>
      </c>
      <c r="C85" s="17" t="str">
        <f aca="false">IF($J85="","",INDEX('Auto Process'!$AR:$AR,$J85))</f>
        <v/>
      </c>
      <c r="D85" s="17" t="str">
        <f aca="false">IF($J85="","",INDEX('Auto Process'!$AS:$AS,$J85))</f>
        <v/>
      </c>
      <c r="E85" s="17" t="str">
        <f aca="false">IF($J85="","",INDEX('Auto Process'!$AT:$AT,$J85))</f>
        <v/>
      </c>
      <c r="F85" s="17" t="str">
        <f aca="false">IF($J85="","",INDEX('Auto Process'!$AU:$AU,$J85))</f>
        <v/>
      </c>
      <c r="G85" s="17" t="str">
        <f aca="false">IF($J85="","",INDEX('Auto Process'!$AV:$AV,$J85))</f>
        <v/>
      </c>
      <c r="H85" s="17" t="str">
        <f aca="false">IF($J85="","",INDEX('Auto Process'!$AW:$AW,$J85))</f>
        <v/>
      </c>
      <c r="J85" s="14" t="str">
        <f aca="false">IFERROR(_xlfn.AGGREGATE(15,6,ROW('Auto Process'!$D$4:$D$503)/('Auto Process'!$D$4:$D$503="Followup"),ROW()-1),"")</f>
        <v/>
      </c>
    </row>
    <row r="86" customFormat="false" ht="15" hidden="false" customHeight="true" outlineLevel="0" collapsed="false">
      <c r="A86" s="17" t="str">
        <f aca="false">IF($J86="","",INDEX('Auto Process'!$AP:$AP,$J86))</f>
        <v/>
      </c>
      <c r="B86" s="17" t="str">
        <f aca="false">IF($J86="","",INDEX('Auto Process'!$AQ:$AQ,$J86))</f>
        <v/>
      </c>
      <c r="C86" s="17" t="str">
        <f aca="false">IF($J86="","",INDEX('Auto Process'!$AR:$AR,$J86))</f>
        <v/>
      </c>
      <c r="D86" s="17" t="str">
        <f aca="false">IF($J86="","",INDEX('Auto Process'!$AS:$AS,$J86))</f>
        <v/>
      </c>
      <c r="E86" s="17" t="str">
        <f aca="false">IF($J86="","",INDEX('Auto Process'!$AT:$AT,$J86))</f>
        <v/>
      </c>
      <c r="F86" s="17" t="str">
        <f aca="false">IF($J86="","",INDEX('Auto Process'!$AU:$AU,$J86))</f>
        <v/>
      </c>
      <c r="G86" s="17" t="str">
        <f aca="false">IF($J86="","",INDEX('Auto Process'!$AV:$AV,$J86))</f>
        <v/>
      </c>
      <c r="H86" s="17" t="str">
        <f aca="false">IF($J86="","",INDEX('Auto Process'!$AW:$AW,$J86))</f>
        <v/>
      </c>
      <c r="J86" s="14" t="str">
        <f aca="false">IFERROR(_xlfn.AGGREGATE(15,6,ROW('Auto Process'!$D$4:$D$503)/('Auto Process'!$D$4:$D$503="Followup"),ROW()-1),"")</f>
        <v/>
      </c>
    </row>
    <row r="87" customFormat="false" ht="15" hidden="false" customHeight="true" outlineLevel="0" collapsed="false">
      <c r="A87" s="17" t="str">
        <f aca="false">IF($J87="","",INDEX('Auto Process'!$AP:$AP,$J87))</f>
        <v/>
      </c>
      <c r="B87" s="17" t="str">
        <f aca="false">IF($J87="","",INDEX('Auto Process'!$AQ:$AQ,$J87))</f>
        <v/>
      </c>
      <c r="C87" s="17" t="str">
        <f aca="false">IF($J87="","",INDEX('Auto Process'!$AR:$AR,$J87))</f>
        <v/>
      </c>
      <c r="D87" s="17" t="str">
        <f aca="false">IF($J87="","",INDEX('Auto Process'!$AS:$AS,$J87))</f>
        <v/>
      </c>
      <c r="E87" s="17" t="str">
        <f aca="false">IF($J87="","",INDEX('Auto Process'!$AT:$AT,$J87))</f>
        <v/>
      </c>
      <c r="F87" s="17" t="str">
        <f aca="false">IF($J87="","",INDEX('Auto Process'!$AU:$AU,$J87))</f>
        <v/>
      </c>
      <c r="G87" s="17" t="str">
        <f aca="false">IF($J87="","",INDEX('Auto Process'!$AV:$AV,$J87))</f>
        <v/>
      </c>
      <c r="H87" s="17" t="str">
        <f aca="false">IF($J87="","",INDEX('Auto Process'!$AW:$AW,$J87))</f>
        <v/>
      </c>
      <c r="J87" s="14" t="str">
        <f aca="false">IFERROR(_xlfn.AGGREGATE(15,6,ROW('Auto Process'!$D$4:$D$503)/('Auto Process'!$D$4:$D$503="Followup"),ROW()-1),"")</f>
        <v/>
      </c>
    </row>
    <row r="88" customFormat="false" ht="15" hidden="false" customHeight="true" outlineLevel="0" collapsed="false">
      <c r="A88" s="17" t="str">
        <f aca="false">IF($J88="","",INDEX('Auto Process'!$AP:$AP,$J88))</f>
        <v/>
      </c>
      <c r="B88" s="17" t="str">
        <f aca="false">IF($J88="","",INDEX('Auto Process'!$AQ:$AQ,$J88))</f>
        <v/>
      </c>
      <c r="C88" s="17" t="str">
        <f aca="false">IF($J88="","",INDEX('Auto Process'!$AR:$AR,$J88))</f>
        <v/>
      </c>
      <c r="D88" s="17" t="str">
        <f aca="false">IF($J88="","",INDEX('Auto Process'!$AS:$AS,$J88))</f>
        <v/>
      </c>
      <c r="E88" s="17" t="str">
        <f aca="false">IF($J88="","",INDEX('Auto Process'!$AT:$AT,$J88))</f>
        <v/>
      </c>
      <c r="F88" s="17" t="str">
        <f aca="false">IF($J88="","",INDEX('Auto Process'!$AU:$AU,$J88))</f>
        <v/>
      </c>
      <c r="G88" s="17" t="str">
        <f aca="false">IF($J88="","",INDEX('Auto Process'!$AV:$AV,$J88))</f>
        <v/>
      </c>
      <c r="H88" s="17" t="str">
        <f aca="false">IF($J88="","",INDEX('Auto Process'!$AW:$AW,$J88))</f>
        <v/>
      </c>
      <c r="J88" s="14" t="str">
        <f aca="false">IFERROR(_xlfn.AGGREGATE(15,6,ROW('Auto Process'!$D$4:$D$503)/('Auto Process'!$D$4:$D$503="Followup"),ROW()-1),"")</f>
        <v/>
      </c>
    </row>
    <row r="89" customFormat="false" ht="15" hidden="false" customHeight="true" outlineLevel="0" collapsed="false">
      <c r="A89" s="17" t="str">
        <f aca="false">IF($J89="","",INDEX('Auto Process'!$AP:$AP,$J89))</f>
        <v/>
      </c>
      <c r="B89" s="17" t="str">
        <f aca="false">IF($J89="","",INDEX('Auto Process'!$AQ:$AQ,$J89))</f>
        <v/>
      </c>
      <c r="C89" s="17" t="str">
        <f aca="false">IF($J89="","",INDEX('Auto Process'!$AR:$AR,$J89))</f>
        <v/>
      </c>
      <c r="D89" s="17" t="str">
        <f aca="false">IF($J89="","",INDEX('Auto Process'!$AS:$AS,$J89))</f>
        <v/>
      </c>
      <c r="E89" s="17" t="str">
        <f aca="false">IF($J89="","",INDEX('Auto Process'!$AT:$AT,$J89))</f>
        <v/>
      </c>
      <c r="F89" s="17" t="str">
        <f aca="false">IF($J89="","",INDEX('Auto Process'!$AU:$AU,$J89))</f>
        <v/>
      </c>
      <c r="G89" s="17" t="str">
        <f aca="false">IF($J89="","",INDEX('Auto Process'!$AV:$AV,$J89))</f>
        <v/>
      </c>
      <c r="H89" s="17" t="str">
        <f aca="false">IF($J89="","",INDEX('Auto Process'!$AW:$AW,$J89))</f>
        <v/>
      </c>
      <c r="J89" s="14" t="str">
        <f aca="false">IFERROR(_xlfn.AGGREGATE(15,6,ROW('Auto Process'!$D$4:$D$503)/('Auto Process'!$D$4:$D$503="Followup"),ROW()-1),"")</f>
        <v/>
      </c>
    </row>
    <row r="90" customFormat="false" ht="15" hidden="false" customHeight="true" outlineLevel="0" collapsed="false">
      <c r="A90" s="17" t="str">
        <f aca="false">IF($J90="","",INDEX('Auto Process'!$AP:$AP,$J90))</f>
        <v/>
      </c>
      <c r="B90" s="17" t="str">
        <f aca="false">IF($J90="","",INDEX('Auto Process'!$AQ:$AQ,$J90))</f>
        <v/>
      </c>
      <c r="C90" s="17" t="str">
        <f aca="false">IF($J90="","",INDEX('Auto Process'!$AR:$AR,$J90))</f>
        <v/>
      </c>
      <c r="D90" s="17" t="str">
        <f aca="false">IF($J90="","",INDEX('Auto Process'!$AS:$AS,$J90))</f>
        <v/>
      </c>
      <c r="E90" s="17" t="str">
        <f aca="false">IF($J90="","",INDEX('Auto Process'!$AT:$AT,$J90))</f>
        <v/>
      </c>
      <c r="F90" s="17" t="str">
        <f aca="false">IF($J90="","",INDEX('Auto Process'!$AU:$AU,$J90))</f>
        <v/>
      </c>
      <c r="G90" s="17" t="str">
        <f aca="false">IF($J90="","",INDEX('Auto Process'!$AV:$AV,$J90))</f>
        <v/>
      </c>
      <c r="H90" s="17" t="str">
        <f aca="false">IF($J90="","",INDEX('Auto Process'!$AW:$AW,$J90))</f>
        <v/>
      </c>
      <c r="J90" s="14" t="str">
        <f aca="false">IFERROR(_xlfn.AGGREGATE(15,6,ROW('Auto Process'!$D$4:$D$503)/('Auto Process'!$D$4:$D$503="Followup"),ROW()-1),"")</f>
        <v/>
      </c>
    </row>
    <row r="91" customFormat="false" ht="15" hidden="false" customHeight="true" outlineLevel="0" collapsed="false">
      <c r="A91" s="17" t="str">
        <f aca="false">IF($J91="","",INDEX('Auto Process'!$AP:$AP,$J91))</f>
        <v/>
      </c>
      <c r="B91" s="17" t="str">
        <f aca="false">IF($J91="","",INDEX('Auto Process'!$AQ:$AQ,$J91))</f>
        <v/>
      </c>
      <c r="C91" s="17" t="str">
        <f aca="false">IF($J91="","",INDEX('Auto Process'!$AR:$AR,$J91))</f>
        <v/>
      </c>
      <c r="D91" s="17" t="str">
        <f aca="false">IF($J91="","",INDEX('Auto Process'!$AS:$AS,$J91))</f>
        <v/>
      </c>
      <c r="E91" s="17" t="str">
        <f aca="false">IF($J91="","",INDEX('Auto Process'!$AT:$AT,$J91))</f>
        <v/>
      </c>
      <c r="F91" s="17" t="str">
        <f aca="false">IF($J91="","",INDEX('Auto Process'!$AU:$AU,$J91))</f>
        <v/>
      </c>
      <c r="G91" s="17" t="str">
        <f aca="false">IF($J91="","",INDEX('Auto Process'!$AV:$AV,$J91))</f>
        <v/>
      </c>
      <c r="H91" s="17" t="str">
        <f aca="false">IF($J91="","",INDEX('Auto Process'!$AW:$AW,$J91))</f>
        <v/>
      </c>
      <c r="J91" s="14" t="str">
        <f aca="false">IFERROR(_xlfn.AGGREGATE(15,6,ROW('Auto Process'!$D$4:$D$503)/('Auto Process'!$D$4:$D$503="Followup"),ROW()-1),"")</f>
        <v/>
      </c>
    </row>
    <row r="92" customFormat="false" ht="15" hidden="false" customHeight="true" outlineLevel="0" collapsed="false">
      <c r="A92" s="17" t="str">
        <f aca="false">IF($J92="","",INDEX('Auto Process'!$AP:$AP,$J92))</f>
        <v/>
      </c>
      <c r="B92" s="17" t="str">
        <f aca="false">IF($J92="","",INDEX('Auto Process'!$AQ:$AQ,$J92))</f>
        <v/>
      </c>
      <c r="C92" s="17" t="str">
        <f aca="false">IF($J92="","",INDEX('Auto Process'!$AR:$AR,$J92))</f>
        <v/>
      </c>
      <c r="D92" s="17" t="str">
        <f aca="false">IF($J92="","",INDEX('Auto Process'!$AS:$AS,$J92))</f>
        <v/>
      </c>
      <c r="E92" s="17" t="str">
        <f aca="false">IF($J92="","",INDEX('Auto Process'!$AT:$AT,$J92))</f>
        <v/>
      </c>
      <c r="F92" s="17" t="str">
        <f aca="false">IF($J92="","",INDEX('Auto Process'!$AU:$AU,$J92))</f>
        <v/>
      </c>
      <c r="G92" s="17" t="str">
        <f aca="false">IF($J92="","",INDEX('Auto Process'!$AV:$AV,$J92))</f>
        <v/>
      </c>
      <c r="H92" s="17" t="str">
        <f aca="false">IF($J92="","",INDEX('Auto Process'!$AW:$AW,$J92))</f>
        <v/>
      </c>
      <c r="J92" s="14" t="str">
        <f aca="false">IFERROR(_xlfn.AGGREGATE(15,6,ROW('Auto Process'!$D$4:$D$503)/('Auto Process'!$D$4:$D$503="Followup"),ROW()-1),"")</f>
        <v/>
      </c>
    </row>
    <row r="93" customFormat="false" ht="15" hidden="false" customHeight="true" outlineLevel="0" collapsed="false">
      <c r="A93" s="17" t="str">
        <f aca="false">IF($J93="","",INDEX('Auto Process'!$AP:$AP,$J93))</f>
        <v/>
      </c>
      <c r="B93" s="17" t="str">
        <f aca="false">IF($J93="","",INDEX('Auto Process'!$AQ:$AQ,$J93))</f>
        <v/>
      </c>
      <c r="C93" s="17" t="str">
        <f aca="false">IF($J93="","",INDEX('Auto Process'!$AR:$AR,$J93))</f>
        <v/>
      </c>
      <c r="D93" s="17" t="str">
        <f aca="false">IF($J93="","",INDEX('Auto Process'!$AS:$AS,$J93))</f>
        <v/>
      </c>
      <c r="E93" s="17" t="str">
        <f aca="false">IF($J93="","",INDEX('Auto Process'!$AT:$AT,$J93))</f>
        <v/>
      </c>
      <c r="F93" s="17" t="str">
        <f aca="false">IF($J93="","",INDEX('Auto Process'!$AU:$AU,$J93))</f>
        <v/>
      </c>
      <c r="G93" s="17" t="str">
        <f aca="false">IF($J93="","",INDEX('Auto Process'!$AV:$AV,$J93))</f>
        <v/>
      </c>
      <c r="H93" s="17" t="str">
        <f aca="false">IF($J93="","",INDEX('Auto Process'!$AW:$AW,$J93))</f>
        <v/>
      </c>
      <c r="J93" s="14" t="str">
        <f aca="false">IFERROR(_xlfn.AGGREGATE(15,6,ROW('Auto Process'!$D$4:$D$503)/('Auto Process'!$D$4:$D$503="Followup"),ROW()-1),"")</f>
        <v/>
      </c>
    </row>
    <row r="94" customFormat="false" ht="15" hidden="false" customHeight="true" outlineLevel="0" collapsed="false">
      <c r="A94" s="17" t="str">
        <f aca="false">IF($J94="","",INDEX('Auto Process'!$AP:$AP,$J94))</f>
        <v/>
      </c>
      <c r="B94" s="17" t="str">
        <f aca="false">IF($J94="","",INDEX('Auto Process'!$AQ:$AQ,$J94))</f>
        <v/>
      </c>
      <c r="C94" s="17" t="str">
        <f aca="false">IF($J94="","",INDEX('Auto Process'!$AR:$AR,$J94))</f>
        <v/>
      </c>
      <c r="D94" s="17" t="str">
        <f aca="false">IF($J94="","",INDEX('Auto Process'!$AS:$AS,$J94))</f>
        <v/>
      </c>
      <c r="E94" s="17" t="str">
        <f aca="false">IF($J94="","",INDEX('Auto Process'!$AT:$AT,$J94))</f>
        <v/>
      </c>
      <c r="F94" s="17" t="str">
        <f aca="false">IF($J94="","",INDEX('Auto Process'!$AU:$AU,$J94))</f>
        <v/>
      </c>
      <c r="G94" s="17" t="str">
        <f aca="false">IF($J94="","",INDEX('Auto Process'!$AV:$AV,$J94))</f>
        <v/>
      </c>
      <c r="H94" s="17" t="str">
        <f aca="false">IF($J94="","",INDEX('Auto Process'!$AW:$AW,$J94))</f>
        <v/>
      </c>
      <c r="J94" s="14" t="str">
        <f aca="false">IFERROR(_xlfn.AGGREGATE(15,6,ROW('Auto Process'!$D$4:$D$503)/('Auto Process'!$D$4:$D$503="Followup"),ROW()-1),"")</f>
        <v/>
      </c>
    </row>
    <row r="95" customFormat="false" ht="15" hidden="false" customHeight="true" outlineLevel="0" collapsed="false">
      <c r="A95" s="17" t="str">
        <f aca="false">IF($J95="","",INDEX('Auto Process'!$AP:$AP,$J95))</f>
        <v/>
      </c>
      <c r="B95" s="17" t="str">
        <f aca="false">IF($J95="","",INDEX('Auto Process'!$AQ:$AQ,$J95))</f>
        <v/>
      </c>
      <c r="C95" s="17" t="str">
        <f aca="false">IF($J95="","",INDEX('Auto Process'!$AR:$AR,$J95))</f>
        <v/>
      </c>
      <c r="D95" s="17" t="str">
        <f aca="false">IF($J95="","",INDEX('Auto Process'!$AS:$AS,$J95))</f>
        <v/>
      </c>
      <c r="E95" s="17" t="str">
        <f aca="false">IF($J95="","",INDEX('Auto Process'!$AT:$AT,$J95))</f>
        <v/>
      </c>
      <c r="F95" s="17" t="str">
        <f aca="false">IF($J95="","",INDEX('Auto Process'!$AU:$AU,$J95))</f>
        <v/>
      </c>
      <c r="G95" s="17" t="str">
        <f aca="false">IF($J95="","",INDEX('Auto Process'!$AV:$AV,$J95))</f>
        <v/>
      </c>
      <c r="H95" s="17" t="str">
        <f aca="false">IF($J95="","",INDEX('Auto Process'!$AW:$AW,$J95))</f>
        <v/>
      </c>
      <c r="J95" s="14" t="str">
        <f aca="false">IFERROR(_xlfn.AGGREGATE(15,6,ROW('Auto Process'!$D$4:$D$503)/('Auto Process'!$D$4:$D$503="Followup"),ROW()-1),"")</f>
        <v/>
      </c>
    </row>
    <row r="96" customFormat="false" ht="15" hidden="false" customHeight="true" outlineLevel="0" collapsed="false">
      <c r="A96" s="17" t="str">
        <f aca="false">IF($J96="","",INDEX('Auto Process'!$AP:$AP,$J96))</f>
        <v/>
      </c>
      <c r="B96" s="17" t="str">
        <f aca="false">IF($J96="","",INDEX('Auto Process'!$AQ:$AQ,$J96))</f>
        <v/>
      </c>
      <c r="C96" s="17" t="str">
        <f aca="false">IF($J96="","",INDEX('Auto Process'!$AR:$AR,$J96))</f>
        <v/>
      </c>
      <c r="D96" s="17" t="str">
        <f aca="false">IF($J96="","",INDEX('Auto Process'!$AS:$AS,$J96))</f>
        <v/>
      </c>
      <c r="E96" s="17" t="str">
        <f aca="false">IF($J96="","",INDEX('Auto Process'!$AT:$AT,$J96))</f>
        <v/>
      </c>
      <c r="F96" s="17" t="str">
        <f aca="false">IF($J96="","",INDEX('Auto Process'!$AU:$AU,$J96))</f>
        <v/>
      </c>
      <c r="G96" s="17" t="str">
        <f aca="false">IF($J96="","",INDEX('Auto Process'!$AV:$AV,$J96))</f>
        <v/>
      </c>
      <c r="H96" s="17" t="str">
        <f aca="false">IF($J96="","",INDEX('Auto Process'!$AW:$AW,$J96))</f>
        <v/>
      </c>
      <c r="J96" s="14" t="str">
        <f aca="false">IFERROR(_xlfn.AGGREGATE(15,6,ROW('Auto Process'!$D$4:$D$503)/('Auto Process'!$D$4:$D$503="Followup"),ROW()-1),"")</f>
        <v/>
      </c>
    </row>
    <row r="97" customFormat="false" ht="15" hidden="false" customHeight="true" outlineLevel="0" collapsed="false">
      <c r="A97" s="17" t="str">
        <f aca="false">IF($J97="","",INDEX('Auto Process'!$AP:$AP,$J97))</f>
        <v/>
      </c>
      <c r="B97" s="17" t="str">
        <f aca="false">IF($J97="","",INDEX('Auto Process'!$AQ:$AQ,$J97))</f>
        <v/>
      </c>
      <c r="C97" s="17" t="str">
        <f aca="false">IF($J97="","",INDEX('Auto Process'!$AR:$AR,$J97))</f>
        <v/>
      </c>
      <c r="D97" s="17" t="str">
        <f aca="false">IF($J97="","",INDEX('Auto Process'!$AS:$AS,$J97))</f>
        <v/>
      </c>
      <c r="E97" s="17" t="str">
        <f aca="false">IF($J97="","",INDEX('Auto Process'!$AT:$AT,$J97))</f>
        <v/>
      </c>
      <c r="F97" s="17" t="str">
        <f aca="false">IF($J97="","",INDEX('Auto Process'!$AU:$AU,$J97))</f>
        <v/>
      </c>
      <c r="G97" s="17" t="str">
        <f aca="false">IF($J97="","",INDEX('Auto Process'!$AV:$AV,$J97))</f>
        <v/>
      </c>
      <c r="H97" s="17" t="str">
        <f aca="false">IF($J97="","",INDEX('Auto Process'!$AW:$AW,$J97))</f>
        <v/>
      </c>
      <c r="J97" s="14" t="str">
        <f aca="false">IFERROR(_xlfn.AGGREGATE(15,6,ROW('Auto Process'!$D$4:$D$503)/('Auto Process'!$D$4:$D$503="Followup"),ROW()-1),"")</f>
        <v/>
      </c>
    </row>
    <row r="98" customFormat="false" ht="15" hidden="false" customHeight="true" outlineLevel="0" collapsed="false">
      <c r="A98" s="17" t="str">
        <f aca="false">IF($J98="","",INDEX('Auto Process'!$AP:$AP,$J98))</f>
        <v/>
      </c>
      <c r="B98" s="17" t="str">
        <f aca="false">IF($J98="","",INDEX('Auto Process'!$AQ:$AQ,$J98))</f>
        <v/>
      </c>
      <c r="C98" s="17" t="str">
        <f aca="false">IF($J98="","",INDEX('Auto Process'!$AR:$AR,$J98))</f>
        <v/>
      </c>
      <c r="D98" s="17" t="str">
        <f aca="false">IF($J98="","",INDEX('Auto Process'!$AS:$AS,$J98))</f>
        <v/>
      </c>
      <c r="E98" s="17" t="str">
        <f aca="false">IF($J98="","",INDEX('Auto Process'!$AT:$AT,$J98))</f>
        <v/>
      </c>
      <c r="F98" s="17" t="str">
        <f aca="false">IF($J98="","",INDEX('Auto Process'!$AU:$AU,$J98))</f>
        <v/>
      </c>
      <c r="G98" s="17" t="str">
        <f aca="false">IF($J98="","",INDEX('Auto Process'!$AV:$AV,$J98))</f>
        <v/>
      </c>
      <c r="H98" s="17" t="str">
        <f aca="false">IF($J98="","",INDEX('Auto Process'!$AW:$AW,$J98))</f>
        <v/>
      </c>
      <c r="J98" s="14" t="str">
        <f aca="false">IFERROR(_xlfn.AGGREGATE(15,6,ROW('Auto Process'!$D$4:$D$503)/('Auto Process'!$D$4:$D$503="Followup"),ROW()-1),"")</f>
        <v/>
      </c>
    </row>
    <row r="99" customFormat="false" ht="15" hidden="false" customHeight="true" outlineLevel="0" collapsed="false">
      <c r="A99" s="17" t="str">
        <f aca="false">IF($J99="","",INDEX('Auto Process'!$AP:$AP,$J99))</f>
        <v/>
      </c>
      <c r="B99" s="17" t="str">
        <f aca="false">IF($J99="","",INDEX('Auto Process'!$AQ:$AQ,$J99))</f>
        <v/>
      </c>
      <c r="C99" s="17" t="str">
        <f aca="false">IF($J99="","",INDEX('Auto Process'!$AR:$AR,$J99))</f>
        <v/>
      </c>
      <c r="D99" s="17" t="str">
        <f aca="false">IF($J99="","",INDEX('Auto Process'!$AS:$AS,$J99))</f>
        <v/>
      </c>
      <c r="E99" s="17" t="str">
        <f aca="false">IF($J99="","",INDEX('Auto Process'!$AT:$AT,$J99))</f>
        <v/>
      </c>
      <c r="F99" s="17" t="str">
        <f aca="false">IF($J99="","",INDEX('Auto Process'!$AU:$AU,$J99))</f>
        <v/>
      </c>
      <c r="G99" s="17" t="str">
        <f aca="false">IF($J99="","",INDEX('Auto Process'!$AV:$AV,$J99))</f>
        <v/>
      </c>
      <c r="H99" s="17" t="str">
        <f aca="false">IF($J99="","",INDEX('Auto Process'!$AW:$AW,$J99))</f>
        <v/>
      </c>
      <c r="J99" s="14" t="str">
        <f aca="false">IFERROR(_xlfn.AGGREGATE(15,6,ROW('Auto Process'!$D$4:$D$503)/('Auto Process'!$D$4:$D$503="Followup"),ROW()-1),"")</f>
        <v/>
      </c>
    </row>
    <row r="100" customFormat="false" ht="15" hidden="false" customHeight="true" outlineLevel="0" collapsed="false">
      <c r="A100" s="17" t="str">
        <f aca="false">IF($J100="","",INDEX('Auto Process'!$AP:$AP,$J100))</f>
        <v/>
      </c>
      <c r="B100" s="17" t="str">
        <f aca="false">IF($J100="","",INDEX('Auto Process'!$AQ:$AQ,$J100))</f>
        <v/>
      </c>
      <c r="C100" s="17" t="str">
        <f aca="false">IF($J100="","",INDEX('Auto Process'!$AR:$AR,$J100))</f>
        <v/>
      </c>
      <c r="D100" s="17" t="str">
        <f aca="false">IF($J100="","",INDEX('Auto Process'!$AS:$AS,$J100))</f>
        <v/>
      </c>
      <c r="E100" s="17" t="str">
        <f aca="false">IF($J100="","",INDEX('Auto Process'!$AT:$AT,$J100))</f>
        <v/>
      </c>
      <c r="F100" s="17" t="str">
        <f aca="false">IF($J100="","",INDEX('Auto Process'!$AU:$AU,$J100))</f>
        <v/>
      </c>
      <c r="G100" s="17" t="str">
        <f aca="false">IF($J100="","",INDEX('Auto Process'!$AV:$AV,$J100))</f>
        <v/>
      </c>
      <c r="H100" s="17" t="str">
        <f aca="false">IF($J100="","",INDEX('Auto Process'!$AW:$AW,$J100))</f>
        <v/>
      </c>
      <c r="J100" s="14" t="str">
        <f aca="false">IFERROR(_xlfn.AGGREGATE(15,6,ROW('Auto Process'!$D$4:$D$503)/('Auto Process'!$D$4:$D$503="Followup"),ROW()-1),"")</f>
        <v/>
      </c>
    </row>
    <row r="101" customFormat="false" ht="15" hidden="false" customHeight="true" outlineLevel="0" collapsed="false">
      <c r="A101" s="17" t="str">
        <f aca="false">IF($J101="","",INDEX('Auto Process'!$AP:$AP,$J101))</f>
        <v/>
      </c>
      <c r="B101" s="17" t="str">
        <f aca="false">IF($J101="","",INDEX('Auto Process'!$AQ:$AQ,$J101))</f>
        <v/>
      </c>
      <c r="C101" s="17" t="str">
        <f aca="false">IF($J101="","",INDEX('Auto Process'!$AR:$AR,$J101))</f>
        <v/>
      </c>
      <c r="D101" s="17" t="str">
        <f aca="false">IF($J101="","",INDEX('Auto Process'!$AS:$AS,$J101))</f>
        <v/>
      </c>
      <c r="E101" s="17" t="str">
        <f aca="false">IF($J101="","",INDEX('Auto Process'!$AT:$AT,$J101))</f>
        <v/>
      </c>
      <c r="F101" s="17" t="str">
        <f aca="false">IF($J101="","",INDEX('Auto Process'!$AU:$AU,$J101))</f>
        <v/>
      </c>
      <c r="G101" s="17" t="str">
        <f aca="false">IF($J101="","",INDEX('Auto Process'!$AV:$AV,$J101))</f>
        <v/>
      </c>
      <c r="H101" s="17" t="str">
        <f aca="false">IF($J101="","",INDEX('Auto Process'!$AW:$AW,$J101))</f>
        <v/>
      </c>
      <c r="J101" s="14" t="str">
        <f aca="false">IFERROR(_xlfn.AGGREGATE(15,6,ROW('Auto Process'!$D$4:$D$503)/('Auto Process'!$D$4:$D$503="Followup"),ROW()-1),"")</f>
        <v/>
      </c>
    </row>
    <row r="102" customFormat="false" ht="15" hidden="false" customHeight="true" outlineLevel="0" collapsed="false">
      <c r="A102" s="17" t="str">
        <f aca="false">IF($J102="","",INDEX('Auto Process'!$AP:$AP,$J102))</f>
        <v/>
      </c>
      <c r="B102" s="17" t="str">
        <f aca="false">IF($J102="","",INDEX('Auto Process'!$AQ:$AQ,$J102))</f>
        <v/>
      </c>
      <c r="C102" s="17" t="str">
        <f aca="false">IF($J102="","",INDEX('Auto Process'!$AR:$AR,$J102))</f>
        <v/>
      </c>
      <c r="D102" s="17" t="str">
        <f aca="false">IF($J102="","",INDEX('Auto Process'!$AS:$AS,$J102))</f>
        <v/>
      </c>
      <c r="E102" s="17" t="str">
        <f aca="false">IF($J102="","",INDEX('Auto Process'!$AT:$AT,$J102))</f>
        <v/>
      </c>
      <c r="F102" s="17" t="str">
        <f aca="false">IF($J102="","",INDEX('Auto Process'!$AU:$AU,$J102))</f>
        <v/>
      </c>
      <c r="G102" s="17" t="str">
        <f aca="false">IF($J102="","",INDEX('Auto Process'!$AV:$AV,$J102))</f>
        <v/>
      </c>
      <c r="H102" s="17" t="str">
        <f aca="false">IF($J102="","",INDEX('Auto Process'!$AW:$AW,$J102))</f>
        <v/>
      </c>
      <c r="J102" s="14" t="str">
        <f aca="false">IFERROR(_xlfn.AGGREGATE(15,6,ROW('Auto Process'!$D$4:$D$503)/('Auto Process'!$D$4:$D$503="Followup"),ROW()-1),"")</f>
        <v/>
      </c>
    </row>
    <row r="103" customFormat="false" ht="15" hidden="false" customHeight="true" outlineLevel="0" collapsed="false">
      <c r="A103" s="17" t="str">
        <f aca="false">IF($J103="","",INDEX('Auto Process'!$AP:$AP,$J103))</f>
        <v/>
      </c>
      <c r="B103" s="17" t="str">
        <f aca="false">IF($J103="","",INDEX('Auto Process'!$AQ:$AQ,$J103))</f>
        <v/>
      </c>
      <c r="C103" s="17" t="str">
        <f aca="false">IF($J103="","",INDEX('Auto Process'!$AR:$AR,$J103))</f>
        <v/>
      </c>
      <c r="D103" s="17" t="str">
        <f aca="false">IF($J103="","",INDEX('Auto Process'!$AS:$AS,$J103))</f>
        <v/>
      </c>
      <c r="E103" s="17" t="str">
        <f aca="false">IF($J103="","",INDEX('Auto Process'!$AT:$AT,$J103))</f>
        <v/>
      </c>
      <c r="F103" s="17" t="str">
        <f aca="false">IF($J103="","",INDEX('Auto Process'!$AU:$AU,$J103))</f>
        <v/>
      </c>
      <c r="G103" s="17" t="str">
        <f aca="false">IF($J103="","",INDEX('Auto Process'!$AV:$AV,$J103))</f>
        <v/>
      </c>
      <c r="H103" s="17" t="str">
        <f aca="false">IF($J103="","",INDEX('Auto Process'!$AW:$AW,$J103))</f>
        <v/>
      </c>
      <c r="J103" s="14" t="str">
        <f aca="false">IFERROR(_xlfn.AGGREGATE(15,6,ROW('Auto Process'!$D$4:$D$503)/('Auto Process'!$D$4:$D$503="Followup"),ROW()-1),"")</f>
        <v/>
      </c>
    </row>
    <row r="104" customFormat="false" ht="15" hidden="false" customHeight="true" outlineLevel="0" collapsed="false">
      <c r="A104" s="17" t="str">
        <f aca="false">IF($J104="","",INDEX('Auto Process'!$AP:$AP,$J104))</f>
        <v/>
      </c>
      <c r="B104" s="17" t="str">
        <f aca="false">IF($J104="","",INDEX('Auto Process'!$AQ:$AQ,$J104))</f>
        <v/>
      </c>
      <c r="C104" s="17" t="str">
        <f aca="false">IF($J104="","",INDEX('Auto Process'!$AR:$AR,$J104))</f>
        <v/>
      </c>
      <c r="D104" s="17" t="str">
        <f aca="false">IF($J104="","",INDEX('Auto Process'!$AS:$AS,$J104))</f>
        <v/>
      </c>
      <c r="E104" s="17" t="str">
        <f aca="false">IF($J104="","",INDEX('Auto Process'!$AT:$AT,$J104))</f>
        <v/>
      </c>
      <c r="F104" s="17" t="str">
        <f aca="false">IF($J104="","",INDEX('Auto Process'!$AU:$AU,$J104))</f>
        <v/>
      </c>
      <c r="G104" s="17" t="str">
        <f aca="false">IF($J104="","",INDEX('Auto Process'!$AV:$AV,$J104))</f>
        <v/>
      </c>
      <c r="H104" s="17" t="str">
        <f aca="false">IF($J104="","",INDEX('Auto Process'!$AW:$AW,$J104))</f>
        <v/>
      </c>
      <c r="J104" s="14" t="str">
        <f aca="false">IFERROR(_xlfn.AGGREGATE(15,6,ROW('Auto Process'!$D$4:$D$503)/('Auto Process'!$D$4:$D$503="Followup"),ROW()-1),"")</f>
        <v/>
      </c>
    </row>
    <row r="105" customFormat="false" ht="15" hidden="false" customHeight="true" outlineLevel="0" collapsed="false">
      <c r="A105" s="17" t="str">
        <f aca="false">IF($J105="","",INDEX('Auto Process'!$AP:$AP,$J105))</f>
        <v/>
      </c>
      <c r="B105" s="17" t="str">
        <f aca="false">IF($J105="","",INDEX('Auto Process'!$AQ:$AQ,$J105))</f>
        <v/>
      </c>
      <c r="C105" s="17" t="str">
        <f aca="false">IF($J105="","",INDEX('Auto Process'!$AR:$AR,$J105))</f>
        <v/>
      </c>
      <c r="D105" s="17" t="str">
        <f aca="false">IF($J105="","",INDEX('Auto Process'!$AS:$AS,$J105))</f>
        <v/>
      </c>
      <c r="E105" s="17" t="str">
        <f aca="false">IF($J105="","",INDEX('Auto Process'!$AT:$AT,$J105))</f>
        <v/>
      </c>
      <c r="F105" s="17" t="str">
        <f aca="false">IF($J105="","",INDEX('Auto Process'!$AU:$AU,$J105))</f>
        <v/>
      </c>
      <c r="G105" s="17" t="str">
        <f aca="false">IF($J105="","",INDEX('Auto Process'!$AV:$AV,$J105))</f>
        <v/>
      </c>
      <c r="H105" s="17" t="str">
        <f aca="false">IF($J105="","",INDEX('Auto Process'!$AW:$AW,$J105))</f>
        <v/>
      </c>
      <c r="J105" s="14" t="str">
        <f aca="false">IFERROR(_xlfn.AGGREGATE(15,6,ROW('Auto Process'!$D$4:$D$503)/('Auto Process'!$D$4:$D$503="Followup"),ROW()-1),"")</f>
        <v/>
      </c>
    </row>
    <row r="106" customFormat="false" ht="15" hidden="false" customHeight="true" outlineLevel="0" collapsed="false">
      <c r="A106" s="17" t="str">
        <f aca="false">IF($J106="","",INDEX('Auto Process'!$AP:$AP,$J106))</f>
        <v/>
      </c>
      <c r="B106" s="17" t="str">
        <f aca="false">IF($J106="","",INDEX('Auto Process'!$AQ:$AQ,$J106))</f>
        <v/>
      </c>
      <c r="C106" s="17" t="str">
        <f aca="false">IF($J106="","",INDEX('Auto Process'!$AR:$AR,$J106))</f>
        <v/>
      </c>
      <c r="D106" s="17" t="str">
        <f aca="false">IF($J106="","",INDEX('Auto Process'!$AS:$AS,$J106))</f>
        <v/>
      </c>
      <c r="E106" s="17" t="str">
        <f aca="false">IF($J106="","",INDEX('Auto Process'!$AT:$AT,$J106))</f>
        <v/>
      </c>
      <c r="F106" s="17" t="str">
        <f aca="false">IF($J106="","",INDEX('Auto Process'!$AU:$AU,$J106))</f>
        <v/>
      </c>
      <c r="G106" s="17" t="str">
        <f aca="false">IF($J106="","",INDEX('Auto Process'!$AV:$AV,$J106))</f>
        <v/>
      </c>
      <c r="H106" s="17" t="str">
        <f aca="false">IF($J106="","",INDEX('Auto Process'!$AW:$AW,$J106))</f>
        <v/>
      </c>
      <c r="J106" s="14" t="str">
        <f aca="false">IFERROR(_xlfn.AGGREGATE(15,6,ROW('Auto Process'!$D$4:$D$503)/('Auto Process'!$D$4:$D$503="Followup"),ROW()-1),"")</f>
        <v/>
      </c>
    </row>
    <row r="107" customFormat="false" ht="15" hidden="false" customHeight="true" outlineLevel="0" collapsed="false">
      <c r="A107" s="17" t="str">
        <f aca="false">IF($J107="","",INDEX('Auto Process'!$AP:$AP,$J107))</f>
        <v/>
      </c>
      <c r="B107" s="17" t="str">
        <f aca="false">IF($J107="","",INDEX('Auto Process'!$AQ:$AQ,$J107))</f>
        <v/>
      </c>
      <c r="C107" s="17" t="str">
        <f aca="false">IF($J107="","",INDEX('Auto Process'!$AR:$AR,$J107))</f>
        <v/>
      </c>
      <c r="D107" s="17" t="str">
        <f aca="false">IF($J107="","",INDEX('Auto Process'!$AS:$AS,$J107))</f>
        <v/>
      </c>
      <c r="E107" s="17" t="str">
        <f aca="false">IF($J107="","",INDEX('Auto Process'!$AT:$AT,$J107))</f>
        <v/>
      </c>
      <c r="F107" s="17" t="str">
        <f aca="false">IF($J107="","",INDEX('Auto Process'!$AU:$AU,$J107))</f>
        <v/>
      </c>
      <c r="G107" s="17" t="str">
        <f aca="false">IF($J107="","",INDEX('Auto Process'!$AV:$AV,$J107))</f>
        <v/>
      </c>
      <c r="H107" s="17" t="str">
        <f aca="false">IF($J107="","",INDEX('Auto Process'!$AW:$AW,$J107))</f>
        <v/>
      </c>
      <c r="J107" s="14" t="str">
        <f aca="false">IFERROR(_xlfn.AGGREGATE(15,6,ROW('Auto Process'!$D$4:$D$503)/('Auto Process'!$D$4:$D$503="Followup"),ROW()-1),"")</f>
        <v/>
      </c>
    </row>
    <row r="108" customFormat="false" ht="15" hidden="false" customHeight="true" outlineLevel="0" collapsed="false">
      <c r="A108" s="17" t="str">
        <f aca="false">IF($J108="","",INDEX('Auto Process'!$AP:$AP,$J108))</f>
        <v/>
      </c>
      <c r="B108" s="17" t="str">
        <f aca="false">IF($J108="","",INDEX('Auto Process'!$AQ:$AQ,$J108))</f>
        <v/>
      </c>
      <c r="C108" s="17" t="str">
        <f aca="false">IF($J108="","",INDEX('Auto Process'!$AR:$AR,$J108))</f>
        <v/>
      </c>
      <c r="D108" s="17" t="str">
        <f aca="false">IF($J108="","",INDEX('Auto Process'!$AS:$AS,$J108))</f>
        <v/>
      </c>
      <c r="E108" s="17" t="str">
        <f aca="false">IF($J108="","",INDEX('Auto Process'!$AT:$AT,$J108))</f>
        <v/>
      </c>
      <c r="F108" s="17" t="str">
        <f aca="false">IF($J108="","",INDEX('Auto Process'!$AU:$AU,$J108))</f>
        <v/>
      </c>
      <c r="G108" s="17" t="str">
        <f aca="false">IF($J108="","",INDEX('Auto Process'!$AV:$AV,$J108))</f>
        <v/>
      </c>
      <c r="H108" s="17" t="str">
        <f aca="false">IF($J108="","",INDEX('Auto Process'!$AW:$AW,$J108))</f>
        <v/>
      </c>
      <c r="J108" s="14" t="str">
        <f aca="false">IFERROR(_xlfn.AGGREGATE(15,6,ROW('Auto Process'!$D$4:$D$503)/('Auto Process'!$D$4:$D$503="Followup"),ROW()-1),"")</f>
        <v/>
      </c>
    </row>
    <row r="109" customFormat="false" ht="15" hidden="false" customHeight="true" outlineLevel="0" collapsed="false">
      <c r="A109" s="17" t="str">
        <f aca="false">IF($J109="","",INDEX('Auto Process'!$AP:$AP,$J109))</f>
        <v/>
      </c>
      <c r="B109" s="17" t="str">
        <f aca="false">IF($J109="","",INDEX('Auto Process'!$AQ:$AQ,$J109))</f>
        <v/>
      </c>
      <c r="C109" s="17" t="str">
        <f aca="false">IF($J109="","",INDEX('Auto Process'!$AR:$AR,$J109))</f>
        <v/>
      </c>
      <c r="D109" s="17" t="str">
        <f aca="false">IF($J109="","",INDEX('Auto Process'!$AS:$AS,$J109))</f>
        <v/>
      </c>
      <c r="E109" s="17" t="str">
        <f aca="false">IF($J109="","",INDEX('Auto Process'!$AT:$AT,$J109))</f>
        <v/>
      </c>
      <c r="F109" s="17" t="str">
        <f aca="false">IF($J109="","",INDEX('Auto Process'!$AU:$AU,$J109))</f>
        <v/>
      </c>
      <c r="G109" s="17" t="str">
        <f aca="false">IF($J109="","",INDEX('Auto Process'!$AV:$AV,$J109))</f>
        <v/>
      </c>
      <c r="H109" s="17" t="str">
        <f aca="false">IF($J109="","",INDEX('Auto Process'!$AW:$AW,$J109))</f>
        <v/>
      </c>
      <c r="J109" s="14" t="str">
        <f aca="false">IFERROR(_xlfn.AGGREGATE(15,6,ROW('Auto Process'!$D$4:$D$503)/('Auto Process'!$D$4:$D$503="Followup"),ROW()-1),"")</f>
        <v/>
      </c>
    </row>
    <row r="110" customFormat="false" ht="15" hidden="false" customHeight="true" outlineLevel="0" collapsed="false">
      <c r="A110" s="17" t="str">
        <f aca="false">IF($J110="","",INDEX('Auto Process'!$AP:$AP,$J110))</f>
        <v/>
      </c>
      <c r="B110" s="17" t="str">
        <f aca="false">IF($J110="","",INDEX('Auto Process'!$AQ:$AQ,$J110))</f>
        <v/>
      </c>
      <c r="C110" s="17" t="str">
        <f aca="false">IF($J110="","",INDEX('Auto Process'!$AR:$AR,$J110))</f>
        <v/>
      </c>
      <c r="D110" s="17" t="str">
        <f aca="false">IF($J110="","",INDEX('Auto Process'!$AS:$AS,$J110))</f>
        <v/>
      </c>
      <c r="E110" s="17" t="str">
        <f aca="false">IF($J110="","",INDEX('Auto Process'!$AT:$AT,$J110))</f>
        <v/>
      </c>
      <c r="F110" s="17" t="str">
        <f aca="false">IF($J110="","",INDEX('Auto Process'!$AU:$AU,$J110))</f>
        <v/>
      </c>
      <c r="G110" s="17" t="str">
        <f aca="false">IF($J110="","",INDEX('Auto Process'!$AV:$AV,$J110))</f>
        <v/>
      </c>
      <c r="H110" s="17" t="str">
        <f aca="false">IF($J110="","",INDEX('Auto Process'!$AW:$AW,$J110))</f>
        <v/>
      </c>
      <c r="J110" s="14" t="str">
        <f aca="false">IFERROR(_xlfn.AGGREGATE(15,6,ROW('Auto Process'!$D$4:$D$503)/('Auto Process'!$D$4:$D$503="Followup"),ROW()-1),"")</f>
        <v/>
      </c>
    </row>
    <row r="111" customFormat="false" ht="15" hidden="false" customHeight="true" outlineLevel="0" collapsed="false">
      <c r="A111" s="17" t="str">
        <f aca="false">IF($J111="","",INDEX('Auto Process'!$AP:$AP,$J111))</f>
        <v/>
      </c>
      <c r="B111" s="17" t="str">
        <f aca="false">IF($J111="","",INDEX('Auto Process'!$AQ:$AQ,$J111))</f>
        <v/>
      </c>
      <c r="C111" s="17" t="str">
        <f aca="false">IF($J111="","",INDEX('Auto Process'!$AR:$AR,$J111))</f>
        <v/>
      </c>
      <c r="D111" s="17" t="str">
        <f aca="false">IF($J111="","",INDEX('Auto Process'!$AS:$AS,$J111))</f>
        <v/>
      </c>
      <c r="E111" s="17" t="str">
        <f aca="false">IF($J111="","",INDEX('Auto Process'!$AT:$AT,$J111))</f>
        <v/>
      </c>
      <c r="F111" s="17" t="str">
        <f aca="false">IF($J111="","",INDEX('Auto Process'!$AU:$AU,$J111))</f>
        <v/>
      </c>
      <c r="G111" s="17" t="str">
        <f aca="false">IF($J111="","",INDEX('Auto Process'!$AV:$AV,$J111))</f>
        <v/>
      </c>
      <c r="H111" s="17" t="str">
        <f aca="false">IF($J111="","",INDEX('Auto Process'!$AW:$AW,$J111))</f>
        <v/>
      </c>
      <c r="J111" s="14" t="str">
        <f aca="false">IFERROR(_xlfn.AGGREGATE(15,6,ROW('Auto Process'!$D$4:$D$503)/('Auto Process'!$D$4:$D$503="Followup"),ROW()-1),"")</f>
        <v/>
      </c>
    </row>
    <row r="112" customFormat="false" ht="15" hidden="false" customHeight="true" outlineLevel="0" collapsed="false">
      <c r="A112" s="17" t="str">
        <f aca="false">IF($J112="","",INDEX('Auto Process'!$AP:$AP,$J112))</f>
        <v/>
      </c>
      <c r="B112" s="17" t="str">
        <f aca="false">IF($J112="","",INDEX('Auto Process'!$AQ:$AQ,$J112))</f>
        <v/>
      </c>
      <c r="C112" s="17" t="str">
        <f aca="false">IF($J112="","",INDEX('Auto Process'!$AR:$AR,$J112))</f>
        <v/>
      </c>
      <c r="D112" s="17" t="str">
        <f aca="false">IF($J112="","",INDEX('Auto Process'!$AS:$AS,$J112))</f>
        <v/>
      </c>
      <c r="E112" s="17" t="str">
        <f aca="false">IF($J112="","",INDEX('Auto Process'!$AT:$AT,$J112))</f>
        <v/>
      </c>
      <c r="F112" s="17" t="str">
        <f aca="false">IF($J112="","",INDEX('Auto Process'!$AU:$AU,$J112))</f>
        <v/>
      </c>
      <c r="G112" s="17" t="str">
        <f aca="false">IF($J112="","",INDEX('Auto Process'!$AV:$AV,$J112))</f>
        <v/>
      </c>
      <c r="H112" s="17" t="str">
        <f aca="false">IF($J112="","",INDEX('Auto Process'!$AW:$AW,$J112))</f>
        <v/>
      </c>
      <c r="J112" s="14" t="str">
        <f aca="false">IFERROR(_xlfn.AGGREGATE(15,6,ROW('Auto Process'!$D$4:$D$503)/('Auto Process'!$D$4:$D$503="Followup"),ROW()-1),"")</f>
        <v/>
      </c>
    </row>
    <row r="113" customFormat="false" ht="15" hidden="false" customHeight="true" outlineLevel="0" collapsed="false">
      <c r="A113" s="17" t="str">
        <f aca="false">IF($J113="","",INDEX('Auto Process'!$AP:$AP,$J113))</f>
        <v/>
      </c>
      <c r="B113" s="17" t="str">
        <f aca="false">IF($J113="","",INDEX('Auto Process'!$AQ:$AQ,$J113))</f>
        <v/>
      </c>
      <c r="C113" s="17" t="str">
        <f aca="false">IF($J113="","",INDEX('Auto Process'!$AR:$AR,$J113))</f>
        <v/>
      </c>
      <c r="D113" s="17" t="str">
        <f aca="false">IF($J113="","",INDEX('Auto Process'!$AS:$AS,$J113))</f>
        <v/>
      </c>
      <c r="E113" s="17" t="str">
        <f aca="false">IF($J113="","",INDEX('Auto Process'!$AT:$AT,$J113))</f>
        <v/>
      </c>
      <c r="F113" s="17" t="str">
        <f aca="false">IF($J113="","",INDEX('Auto Process'!$AU:$AU,$J113))</f>
        <v/>
      </c>
      <c r="G113" s="17" t="str">
        <f aca="false">IF($J113="","",INDEX('Auto Process'!$AV:$AV,$J113))</f>
        <v/>
      </c>
      <c r="H113" s="17" t="str">
        <f aca="false">IF($J113="","",INDEX('Auto Process'!$AW:$AW,$J113))</f>
        <v/>
      </c>
      <c r="J113" s="14" t="str">
        <f aca="false">IFERROR(_xlfn.AGGREGATE(15,6,ROW('Auto Process'!$D$4:$D$503)/('Auto Process'!$D$4:$D$503="Followup"),ROW()-1),"")</f>
        <v/>
      </c>
    </row>
    <row r="114" customFormat="false" ht="15" hidden="false" customHeight="true" outlineLevel="0" collapsed="false">
      <c r="A114" s="17" t="str">
        <f aca="false">IF($J114="","",INDEX('Auto Process'!$AP:$AP,$J114))</f>
        <v/>
      </c>
      <c r="B114" s="17" t="str">
        <f aca="false">IF($J114="","",INDEX('Auto Process'!$AQ:$AQ,$J114))</f>
        <v/>
      </c>
      <c r="C114" s="17" t="str">
        <f aca="false">IF($J114="","",INDEX('Auto Process'!$AR:$AR,$J114))</f>
        <v/>
      </c>
      <c r="D114" s="17" t="str">
        <f aca="false">IF($J114="","",INDEX('Auto Process'!$AS:$AS,$J114))</f>
        <v/>
      </c>
      <c r="E114" s="17" t="str">
        <f aca="false">IF($J114="","",INDEX('Auto Process'!$AT:$AT,$J114))</f>
        <v/>
      </c>
      <c r="F114" s="17" t="str">
        <f aca="false">IF($J114="","",INDEX('Auto Process'!$AU:$AU,$J114))</f>
        <v/>
      </c>
      <c r="G114" s="17" t="str">
        <f aca="false">IF($J114="","",INDEX('Auto Process'!$AV:$AV,$J114))</f>
        <v/>
      </c>
      <c r="H114" s="17" t="str">
        <f aca="false">IF($J114="","",INDEX('Auto Process'!$AW:$AW,$J114))</f>
        <v/>
      </c>
      <c r="J114" s="14" t="str">
        <f aca="false">IFERROR(_xlfn.AGGREGATE(15,6,ROW('Auto Process'!$D$4:$D$503)/('Auto Process'!$D$4:$D$503="Followup"),ROW()-1),"")</f>
        <v/>
      </c>
    </row>
    <row r="115" customFormat="false" ht="15" hidden="false" customHeight="true" outlineLevel="0" collapsed="false">
      <c r="A115" s="17" t="str">
        <f aca="false">IF($J115="","",INDEX('Auto Process'!$AP:$AP,$J115))</f>
        <v/>
      </c>
      <c r="B115" s="17" t="str">
        <f aca="false">IF($J115="","",INDEX('Auto Process'!$AQ:$AQ,$J115))</f>
        <v/>
      </c>
      <c r="C115" s="17" t="str">
        <f aca="false">IF($J115="","",INDEX('Auto Process'!$AR:$AR,$J115))</f>
        <v/>
      </c>
      <c r="D115" s="17" t="str">
        <f aca="false">IF($J115="","",INDEX('Auto Process'!$AS:$AS,$J115))</f>
        <v/>
      </c>
      <c r="E115" s="17" t="str">
        <f aca="false">IF($J115="","",INDEX('Auto Process'!$AT:$AT,$J115))</f>
        <v/>
      </c>
      <c r="F115" s="17" t="str">
        <f aca="false">IF($J115="","",INDEX('Auto Process'!$AU:$AU,$J115))</f>
        <v/>
      </c>
      <c r="G115" s="17" t="str">
        <f aca="false">IF($J115="","",INDEX('Auto Process'!$AV:$AV,$J115))</f>
        <v/>
      </c>
      <c r="H115" s="17" t="str">
        <f aca="false">IF($J115="","",INDEX('Auto Process'!$AW:$AW,$J115))</f>
        <v/>
      </c>
      <c r="J115" s="14" t="str">
        <f aca="false">IFERROR(_xlfn.AGGREGATE(15,6,ROW('Auto Process'!$D$4:$D$503)/('Auto Process'!$D$4:$D$503="Followup"),ROW()-1),"")</f>
        <v/>
      </c>
    </row>
    <row r="116" customFormat="false" ht="15" hidden="false" customHeight="true" outlineLevel="0" collapsed="false">
      <c r="A116" s="17" t="str">
        <f aca="false">IF($J116="","",INDEX('Auto Process'!$AP:$AP,$J116))</f>
        <v/>
      </c>
      <c r="B116" s="17" t="str">
        <f aca="false">IF($J116="","",INDEX('Auto Process'!$AQ:$AQ,$J116))</f>
        <v/>
      </c>
      <c r="C116" s="17" t="str">
        <f aca="false">IF($J116="","",INDEX('Auto Process'!$AR:$AR,$J116))</f>
        <v/>
      </c>
      <c r="D116" s="17" t="str">
        <f aca="false">IF($J116="","",INDEX('Auto Process'!$AS:$AS,$J116))</f>
        <v/>
      </c>
      <c r="E116" s="17" t="str">
        <f aca="false">IF($J116="","",INDEX('Auto Process'!$AT:$AT,$J116))</f>
        <v/>
      </c>
      <c r="F116" s="17" t="str">
        <f aca="false">IF($J116="","",INDEX('Auto Process'!$AU:$AU,$J116))</f>
        <v/>
      </c>
      <c r="G116" s="17" t="str">
        <f aca="false">IF($J116="","",INDEX('Auto Process'!$AV:$AV,$J116))</f>
        <v/>
      </c>
      <c r="H116" s="17" t="str">
        <f aca="false">IF($J116="","",INDEX('Auto Process'!$AW:$AW,$J116))</f>
        <v/>
      </c>
      <c r="J116" s="14" t="str">
        <f aca="false">IFERROR(_xlfn.AGGREGATE(15,6,ROW('Auto Process'!$D$4:$D$503)/('Auto Process'!$D$4:$D$503="Followup"),ROW()-1),"")</f>
        <v/>
      </c>
    </row>
    <row r="117" customFormat="false" ht="15" hidden="false" customHeight="true" outlineLevel="0" collapsed="false">
      <c r="A117" s="17" t="str">
        <f aca="false">IF($J117="","",INDEX('Auto Process'!$AP:$AP,$J117))</f>
        <v/>
      </c>
      <c r="B117" s="17" t="str">
        <f aca="false">IF($J117="","",INDEX('Auto Process'!$AQ:$AQ,$J117))</f>
        <v/>
      </c>
      <c r="C117" s="17" t="str">
        <f aca="false">IF($J117="","",INDEX('Auto Process'!$AR:$AR,$J117))</f>
        <v/>
      </c>
      <c r="D117" s="17" t="str">
        <f aca="false">IF($J117="","",INDEX('Auto Process'!$AS:$AS,$J117))</f>
        <v/>
      </c>
      <c r="E117" s="17" t="str">
        <f aca="false">IF($J117="","",INDEX('Auto Process'!$AT:$AT,$J117))</f>
        <v/>
      </c>
      <c r="F117" s="17" t="str">
        <f aca="false">IF($J117="","",INDEX('Auto Process'!$AU:$AU,$J117))</f>
        <v/>
      </c>
      <c r="G117" s="17" t="str">
        <f aca="false">IF($J117="","",INDEX('Auto Process'!$AV:$AV,$J117))</f>
        <v/>
      </c>
      <c r="H117" s="17" t="str">
        <f aca="false">IF($J117="","",INDEX('Auto Process'!$AW:$AW,$J117))</f>
        <v/>
      </c>
      <c r="J117" s="14" t="str">
        <f aca="false">IFERROR(_xlfn.AGGREGATE(15,6,ROW('Auto Process'!$D$4:$D$503)/('Auto Process'!$D$4:$D$503="Followup"),ROW()-1),"")</f>
        <v/>
      </c>
    </row>
    <row r="118" customFormat="false" ht="15" hidden="false" customHeight="true" outlineLevel="0" collapsed="false">
      <c r="A118" s="17" t="str">
        <f aca="false">IF($J118="","",INDEX('Auto Process'!$AP:$AP,$J118))</f>
        <v/>
      </c>
      <c r="B118" s="17" t="str">
        <f aca="false">IF($J118="","",INDEX('Auto Process'!$AQ:$AQ,$J118))</f>
        <v/>
      </c>
      <c r="C118" s="17" t="str">
        <f aca="false">IF($J118="","",INDEX('Auto Process'!$AR:$AR,$J118))</f>
        <v/>
      </c>
      <c r="D118" s="17" t="str">
        <f aca="false">IF($J118="","",INDEX('Auto Process'!$AS:$AS,$J118))</f>
        <v/>
      </c>
      <c r="E118" s="17" t="str">
        <f aca="false">IF($J118="","",INDEX('Auto Process'!$AT:$AT,$J118))</f>
        <v/>
      </c>
      <c r="F118" s="17" t="str">
        <f aca="false">IF($J118="","",INDEX('Auto Process'!$AU:$AU,$J118))</f>
        <v/>
      </c>
      <c r="G118" s="17" t="str">
        <f aca="false">IF($J118="","",INDEX('Auto Process'!$AV:$AV,$J118))</f>
        <v/>
      </c>
      <c r="H118" s="17" t="str">
        <f aca="false">IF($J118="","",INDEX('Auto Process'!$AW:$AW,$J118))</f>
        <v/>
      </c>
      <c r="J118" s="14" t="str">
        <f aca="false">IFERROR(_xlfn.AGGREGATE(15,6,ROW('Auto Process'!$D$4:$D$503)/('Auto Process'!$D$4:$D$503="Followup"),ROW()-1),"")</f>
        <v/>
      </c>
    </row>
    <row r="119" customFormat="false" ht="15" hidden="false" customHeight="true" outlineLevel="0" collapsed="false">
      <c r="A119" s="17" t="str">
        <f aca="false">IF($J119="","",INDEX('Auto Process'!$AP:$AP,$J119))</f>
        <v/>
      </c>
      <c r="B119" s="17" t="str">
        <f aca="false">IF($J119="","",INDEX('Auto Process'!$AQ:$AQ,$J119))</f>
        <v/>
      </c>
      <c r="C119" s="17" t="str">
        <f aca="false">IF($J119="","",INDEX('Auto Process'!$AR:$AR,$J119))</f>
        <v/>
      </c>
      <c r="D119" s="17" t="str">
        <f aca="false">IF($J119="","",INDEX('Auto Process'!$AS:$AS,$J119))</f>
        <v/>
      </c>
      <c r="E119" s="17" t="str">
        <f aca="false">IF($J119="","",INDEX('Auto Process'!$AT:$AT,$J119))</f>
        <v/>
      </c>
      <c r="F119" s="17" t="str">
        <f aca="false">IF($J119="","",INDEX('Auto Process'!$AU:$AU,$J119))</f>
        <v/>
      </c>
      <c r="G119" s="17" t="str">
        <f aca="false">IF($J119="","",INDEX('Auto Process'!$AV:$AV,$J119))</f>
        <v/>
      </c>
      <c r="H119" s="17" t="str">
        <f aca="false">IF($J119="","",INDEX('Auto Process'!$AW:$AW,$J119))</f>
        <v/>
      </c>
      <c r="J119" s="14" t="str">
        <f aca="false">IFERROR(_xlfn.AGGREGATE(15,6,ROW('Auto Process'!$D$4:$D$503)/('Auto Process'!$D$4:$D$503="Followup"),ROW()-1),"")</f>
        <v/>
      </c>
    </row>
    <row r="120" customFormat="false" ht="15" hidden="false" customHeight="true" outlineLevel="0" collapsed="false">
      <c r="A120" s="17" t="str">
        <f aca="false">IF($J120="","",INDEX('Auto Process'!$AP:$AP,$J120))</f>
        <v/>
      </c>
      <c r="B120" s="17" t="str">
        <f aca="false">IF($J120="","",INDEX('Auto Process'!$AQ:$AQ,$J120))</f>
        <v/>
      </c>
      <c r="C120" s="17" t="str">
        <f aca="false">IF($J120="","",INDEX('Auto Process'!$AR:$AR,$J120))</f>
        <v/>
      </c>
      <c r="D120" s="17" t="str">
        <f aca="false">IF($J120="","",INDEX('Auto Process'!$AS:$AS,$J120))</f>
        <v/>
      </c>
      <c r="E120" s="17" t="str">
        <f aca="false">IF($J120="","",INDEX('Auto Process'!$AT:$AT,$J120))</f>
        <v/>
      </c>
      <c r="F120" s="17" t="str">
        <f aca="false">IF($J120="","",INDEX('Auto Process'!$AU:$AU,$J120))</f>
        <v/>
      </c>
      <c r="G120" s="17" t="str">
        <f aca="false">IF($J120="","",INDEX('Auto Process'!$AV:$AV,$J120))</f>
        <v/>
      </c>
      <c r="H120" s="17" t="str">
        <f aca="false">IF($J120="","",INDEX('Auto Process'!$AW:$AW,$J120))</f>
        <v/>
      </c>
      <c r="J120" s="14" t="str">
        <f aca="false">IFERROR(_xlfn.AGGREGATE(15,6,ROW('Auto Process'!$D$4:$D$503)/('Auto Process'!$D$4:$D$503="Followup"),ROW()-1),"")</f>
        <v/>
      </c>
    </row>
    <row r="121" customFormat="false" ht="15" hidden="false" customHeight="true" outlineLevel="0" collapsed="false">
      <c r="A121" s="17" t="str">
        <f aca="false">IF($J121="","",INDEX('Auto Process'!$AP:$AP,$J121))</f>
        <v/>
      </c>
      <c r="B121" s="17" t="str">
        <f aca="false">IF($J121="","",INDEX('Auto Process'!$AQ:$AQ,$J121))</f>
        <v/>
      </c>
      <c r="C121" s="17" t="str">
        <f aca="false">IF($J121="","",INDEX('Auto Process'!$AR:$AR,$J121))</f>
        <v/>
      </c>
      <c r="D121" s="17" t="str">
        <f aca="false">IF($J121="","",INDEX('Auto Process'!$AS:$AS,$J121))</f>
        <v/>
      </c>
      <c r="E121" s="17" t="str">
        <f aca="false">IF($J121="","",INDEX('Auto Process'!$AT:$AT,$J121))</f>
        <v/>
      </c>
      <c r="F121" s="17" t="str">
        <f aca="false">IF($J121="","",INDEX('Auto Process'!$AU:$AU,$J121))</f>
        <v/>
      </c>
      <c r="G121" s="17" t="str">
        <f aca="false">IF($J121="","",INDEX('Auto Process'!$AV:$AV,$J121))</f>
        <v/>
      </c>
      <c r="H121" s="17" t="str">
        <f aca="false">IF($J121="","",INDEX('Auto Process'!$AW:$AW,$J121))</f>
        <v/>
      </c>
      <c r="J121" s="14" t="str">
        <f aca="false">IFERROR(_xlfn.AGGREGATE(15,6,ROW('Auto Process'!$D$4:$D$503)/('Auto Process'!$D$4:$D$503="Followup"),ROW()-1),"")</f>
        <v/>
      </c>
    </row>
    <row r="122" customFormat="false" ht="15" hidden="false" customHeight="true" outlineLevel="0" collapsed="false">
      <c r="A122" s="17" t="str">
        <f aca="false">IF($J122="","",INDEX('Auto Process'!$AP:$AP,$J122))</f>
        <v/>
      </c>
      <c r="B122" s="17" t="str">
        <f aca="false">IF($J122="","",INDEX('Auto Process'!$AQ:$AQ,$J122))</f>
        <v/>
      </c>
      <c r="C122" s="17" t="str">
        <f aca="false">IF($J122="","",INDEX('Auto Process'!$AR:$AR,$J122))</f>
        <v/>
      </c>
      <c r="D122" s="17" t="str">
        <f aca="false">IF($J122="","",INDEX('Auto Process'!$AS:$AS,$J122))</f>
        <v/>
      </c>
      <c r="E122" s="17" t="str">
        <f aca="false">IF($J122="","",INDEX('Auto Process'!$AT:$AT,$J122))</f>
        <v/>
      </c>
      <c r="F122" s="17" t="str">
        <f aca="false">IF($J122="","",INDEX('Auto Process'!$AU:$AU,$J122))</f>
        <v/>
      </c>
      <c r="G122" s="17" t="str">
        <f aca="false">IF($J122="","",INDEX('Auto Process'!$AV:$AV,$J122))</f>
        <v/>
      </c>
      <c r="H122" s="17" t="str">
        <f aca="false">IF($J122="","",INDEX('Auto Process'!$AW:$AW,$J122))</f>
        <v/>
      </c>
      <c r="J122" s="14" t="str">
        <f aca="false">IFERROR(_xlfn.AGGREGATE(15,6,ROW('Auto Process'!$D$4:$D$503)/('Auto Process'!$D$4:$D$503="Followup"),ROW()-1),"")</f>
        <v/>
      </c>
    </row>
    <row r="123" customFormat="false" ht="15" hidden="false" customHeight="true" outlineLevel="0" collapsed="false">
      <c r="A123" s="17" t="str">
        <f aca="false">IF($J123="","",INDEX('Auto Process'!$AP:$AP,$J123))</f>
        <v/>
      </c>
      <c r="B123" s="17" t="str">
        <f aca="false">IF($J123="","",INDEX('Auto Process'!$AQ:$AQ,$J123))</f>
        <v/>
      </c>
      <c r="C123" s="17" t="str">
        <f aca="false">IF($J123="","",INDEX('Auto Process'!$AR:$AR,$J123))</f>
        <v/>
      </c>
      <c r="D123" s="17" t="str">
        <f aca="false">IF($J123="","",INDEX('Auto Process'!$AS:$AS,$J123))</f>
        <v/>
      </c>
      <c r="E123" s="17" t="str">
        <f aca="false">IF($J123="","",INDEX('Auto Process'!$AT:$AT,$J123))</f>
        <v/>
      </c>
      <c r="F123" s="17" t="str">
        <f aca="false">IF($J123="","",INDEX('Auto Process'!$AU:$AU,$J123))</f>
        <v/>
      </c>
      <c r="G123" s="17" t="str">
        <f aca="false">IF($J123="","",INDEX('Auto Process'!$AV:$AV,$J123))</f>
        <v/>
      </c>
      <c r="H123" s="17" t="str">
        <f aca="false">IF($J123="","",INDEX('Auto Process'!$AW:$AW,$J123))</f>
        <v/>
      </c>
      <c r="J123" s="14" t="str">
        <f aca="false">IFERROR(_xlfn.AGGREGATE(15,6,ROW('Auto Process'!$D$4:$D$503)/('Auto Process'!$D$4:$D$503="Followup"),ROW()-1),"")</f>
        <v/>
      </c>
    </row>
    <row r="124" customFormat="false" ht="15" hidden="false" customHeight="true" outlineLevel="0" collapsed="false">
      <c r="A124" s="17" t="str">
        <f aca="false">IF($J124="","",INDEX('Auto Process'!$AP:$AP,$J124))</f>
        <v/>
      </c>
      <c r="B124" s="17" t="str">
        <f aca="false">IF($J124="","",INDEX('Auto Process'!$AQ:$AQ,$J124))</f>
        <v/>
      </c>
      <c r="C124" s="17" t="str">
        <f aca="false">IF($J124="","",INDEX('Auto Process'!$AR:$AR,$J124))</f>
        <v/>
      </c>
      <c r="D124" s="17" t="str">
        <f aca="false">IF($J124="","",INDEX('Auto Process'!$AS:$AS,$J124))</f>
        <v/>
      </c>
      <c r="E124" s="17" t="str">
        <f aca="false">IF($J124="","",INDEX('Auto Process'!$AT:$AT,$J124))</f>
        <v/>
      </c>
      <c r="F124" s="17" t="str">
        <f aca="false">IF($J124="","",INDEX('Auto Process'!$AU:$AU,$J124))</f>
        <v/>
      </c>
      <c r="G124" s="17" t="str">
        <f aca="false">IF($J124="","",INDEX('Auto Process'!$AV:$AV,$J124))</f>
        <v/>
      </c>
      <c r="H124" s="17" t="str">
        <f aca="false">IF($J124="","",INDEX('Auto Process'!$AW:$AW,$J124))</f>
        <v/>
      </c>
      <c r="J124" s="14" t="str">
        <f aca="false">IFERROR(_xlfn.AGGREGATE(15,6,ROW('Auto Process'!$D$4:$D$503)/('Auto Process'!$D$4:$D$503="Followup"),ROW()-1),"")</f>
        <v/>
      </c>
    </row>
    <row r="125" customFormat="false" ht="15" hidden="false" customHeight="true" outlineLevel="0" collapsed="false">
      <c r="A125" s="17" t="str">
        <f aca="false">IF($J125="","",INDEX('Auto Process'!$AP:$AP,$J125))</f>
        <v/>
      </c>
      <c r="B125" s="17" t="str">
        <f aca="false">IF($J125="","",INDEX('Auto Process'!$AQ:$AQ,$J125))</f>
        <v/>
      </c>
      <c r="C125" s="17" t="str">
        <f aca="false">IF($J125="","",INDEX('Auto Process'!$AR:$AR,$J125))</f>
        <v/>
      </c>
      <c r="D125" s="17" t="str">
        <f aca="false">IF($J125="","",INDEX('Auto Process'!$AS:$AS,$J125))</f>
        <v/>
      </c>
      <c r="E125" s="17" t="str">
        <f aca="false">IF($J125="","",INDEX('Auto Process'!$AT:$AT,$J125))</f>
        <v/>
      </c>
      <c r="F125" s="17" t="str">
        <f aca="false">IF($J125="","",INDEX('Auto Process'!$AU:$AU,$J125))</f>
        <v/>
      </c>
      <c r="G125" s="17" t="str">
        <f aca="false">IF($J125="","",INDEX('Auto Process'!$AV:$AV,$J125))</f>
        <v/>
      </c>
      <c r="H125" s="17" t="str">
        <f aca="false">IF($J125="","",INDEX('Auto Process'!$AW:$AW,$J125))</f>
        <v/>
      </c>
      <c r="J125" s="14" t="str">
        <f aca="false">IFERROR(_xlfn.AGGREGATE(15,6,ROW('Auto Process'!$D$4:$D$503)/('Auto Process'!$D$4:$D$503="Followup"),ROW()-1),"")</f>
        <v/>
      </c>
    </row>
    <row r="126" customFormat="false" ht="15" hidden="false" customHeight="true" outlineLevel="0" collapsed="false">
      <c r="A126" s="17" t="str">
        <f aca="false">IF($J126="","",INDEX('Auto Process'!$AP:$AP,$J126))</f>
        <v/>
      </c>
      <c r="B126" s="17" t="str">
        <f aca="false">IF($J126="","",INDEX('Auto Process'!$AQ:$AQ,$J126))</f>
        <v/>
      </c>
      <c r="C126" s="17" t="str">
        <f aca="false">IF($J126="","",INDEX('Auto Process'!$AR:$AR,$J126))</f>
        <v/>
      </c>
      <c r="D126" s="17" t="str">
        <f aca="false">IF($J126="","",INDEX('Auto Process'!$AS:$AS,$J126))</f>
        <v/>
      </c>
      <c r="E126" s="17" t="str">
        <f aca="false">IF($J126="","",INDEX('Auto Process'!$AT:$AT,$J126))</f>
        <v/>
      </c>
      <c r="F126" s="17" t="str">
        <f aca="false">IF($J126="","",INDEX('Auto Process'!$AU:$AU,$J126))</f>
        <v/>
      </c>
      <c r="G126" s="17" t="str">
        <f aca="false">IF($J126="","",INDEX('Auto Process'!$AV:$AV,$J126))</f>
        <v/>
      </c>
      <c r="H126" s="17" t="str">
        <f aca="false">IF($J126="","",INDEX('Auto Process'!$AW:$AW,$J126))</f>
        <v/>
      </c>
      <c r="J126" s="14" t="str">
        <f aca="false">IFERROR(_xlfn.AGGREGATE(15,6,ROW('Auto Process'!$D$4:$D$503)/('Auto Process'!$D$4:$D$503="Followup"),ROW()-1),"")</f>
        <v/>
      </c>
    </row>
    <row r="127" customFormat="false" ht="15" hidden="false" customHeight="true" outlineLevel="0" collapsed="false">
      <c r="A127" s="17" t="str">
        <f aca="false">IF($J127="","",INDEX('Auto Process'!$AP:$AP,$J127))</f>
        <v/>
      </c>
      <c r="B127" s="17" t="str">
        <f aca="false">IF($J127="","",INDEX('Auto Process'!$AQ:$AQ,$J127))</f>
        <v/>
      </c>
      <c r="C127" s="17" t="str">
        <f aca="false">IF($J127="","",INDEX('Auto Process'!$AR:$AR,$J127))</f>
        <v/>
      </c>
      <c r="D127" s="17" t="str">
        <f aca="false">IF($J127="","",INDEX('Auto Process'!$AS:$AS,$J127))</f>
        <v/>
      </c>
      <c r="E127" s="17" t="str">
        <f aca="false">IF($J127="","",INDEX('Auto Process'!$AT:$AT,$J127))</f>
        <v/>
      </c>
      <c r="F127" s="17" t="str">
        <f aca="false">IF($J127="","",INDEX('Auto Process'!$AU:$AU,$J127))</f>
        <v/>
      </c>
      <c r="G127" s="17" t="str">
        <f aca="false">IF($J127="","",INDEX('Auto Process'!$AV:$AV,$J127))</f>
        <v/>
      </c>
      <c r="H127" s="17" t="str">
        <f aca="false">IF($J127="","",INDEX('Auto Process'!$AW:$AW,$J127))</f>
        <v/>
      </c>
      <c r="J127" s="14" t="str">
        <f aca="false">IFERROR(_xlfn.AGGREGATE(15,6,ROW('Auto Process'!$D$4:$D$503)/('Auto Process'!$D$4:$D$503="Followup"),ROW()-1),"")</f>
        <v/>
      </c>
    </row>
    <row r="128" customFormat="false" ht="15" hidden="false" customHeight="true" outlineLevel="0" collapsed="false">
      <c r="A128" s="17" t="str">
        <f aca="false">IF($J128="","",INDEX('Auto Process'!$AP:$AP,$J128))</f>
        <v/>
      </c>
      <c r="B128" s="17" t="str">
        <f aca="false">IF($J128="","",INDEX('Auto Process'!$AQ:$AQ,$J128))</f>
        <v/>
      </c>
      <c r="C128" s="17" t="str">
        <f aca="false">IF($J128="","",INDEX('Auto Process'!$AR:$AR,$J128))</f>
        <v/>
      </c>
      <c r="D128" s="17" t="str">
        <f aca="false">IF($J128="","",INDEX('Auto Process'!$AS:$AS,$J128))</f>
        <v/>
      </c>
      <c r="E128" s="17" t="str">
        <f aca="false">IF($J128="","",INDEX('Auto Process'!$AT:$AT,$J128))</f>
        <v/>
      </c>
      <c r="F128" s="17" t="str">
        <f aca="false">IF($J128="","",INDEX('Auto Process'!$AU:$AU,$J128))</f>
        <v/>
      </c>
      <c r="G128" s="17" t="str">
        <f aca="false">IF($J128="","",INDEX('Auto Process'!$AV:$AV,$J128))</f>
        <v/>
      </c>
      <c r="H128" s="17" t="str">
        <f aca="false">IF($J128="","",INDEX('Auto Process'!$AW:$AW,$J128))</f>
        <v/>
      </c>
      <c r="J128" s="14" t="str">
        <f aca="false">IFERROR(_xlfn.AGGREGATE(15,6,ROW('Auto Process'!$D$4:$D$503)/('Auto Process'!$D$4:$D$503="Followup"),ROW()-1),"")</f>
        <v/>
      </c>
    </row>
    <row r="129" customFormat="false" ht="15" hidden="false" customHeight="true" outlineLevel="0" collapsed="false">
      <c r="A129" s="17" t="str">
        <f aca="false">IF($J129="","",INDEX('Auto Process'!$AP:$AP,$J129))</f>
        <v/>
      </c>
      <c r="B129" s="17" t="str">
        <f aca="false">IF($J129="","",INDEX('Auto Process'!$AQ:$AQ,$J129))</f>
        <v/>
      </c>
      <c r="C129" s="17" t="str">
        <f aca="false">IF($J129="","",INDEX('Auto Process'!$AR:$AR,$J129))</f>
        <v/>
      </c>
      <c r="D129" s="17" t="str">
        <f aca="false">IF($J129="","",INDEX('Auto Process'!$AS:$AS,$J129))</f>
        <v/>
      </c>
      <c r="E129" s="17" t="str">
        <f aca="false">IF($J129="","",INDEX('Auto Process'!$AT:$AT,$J129))</f>
        <v/>
      </c>
      <c r="F129" s="17" t="str">
        <f aca="false">IF($J129="","",INDEX('Auto Process'!$AU:$AU,$J129))</f>
        <v/>
      </c>
      <c r="G129" s="17" t="str">
        <f aca="false">IF($J129="","",INDEX('Auto Process'!$AV:$AV,$J129))</f>
        <v/>
      </c>
      <c r="H129" s="17" t="str">
        <f aca="false">IF($J129="","",INDEX('Auto Process'!$AW:$AW,$J129))</f>
        <v/>
      </c>
      <c r="J129" s="14" t="str">
        <f aca="false">IFERROR(_xlfn.AGGREGATE(15,6,ROW('Auto Process'!$D$4:$D$503)/('Auto Process'!$D$4:$D$503="Followup"),ROW()-1),"")</f>
        <v/>
      </c>
    </row>
    <row r="130" customFormat="false" ht="15" hidden="false" customHeight="true" outlineLevel="0" collapsed="false">
      <c r="A130" s="17" t="str">
        <f aca="false">IF($J130="","",INDEX('Auto Process'!$AP:$AP,$J130))</f>
        <v/>
      </c>
      <c r="B130" s="17" t="str">
        <f aca="false">IF($J130="","",INDEX('Auto Process'!$AQ:$AQ,$J130))</f>
        <v/>
      </c>
      <c r="C130" s="17" t="str">
        <f aca="false">IF($J130="","",INDEX('Auto Process'!$AR:$AR,$J130))</f>
        <v/>
      </c>
      <c r="D130" s="17" t="str">
        <f aca="false">IF($J130="","",INDEX('Auto Process'!$AS:$AS,$J130))</f>
        <v/>
      </c>
      <c r="E130" s="17" t="str">
        <f aca="false">IF($J130="","",INDEX('Auto Process'!$AT:$AT,$J130))</f>
        <v/>
      </c>
      <c r="F130" s="17" t="str">
        <f aca="false">IF($J130="","",INDEX('Auto Process'!$AU:$AU,$J130))</f>
        <v/>
      </c>
      <c r="G130" s="17" t="str">
        <f aca="false">IF($J130="","",INDEX('Auto Process'!$AV:$AV,$J130))</f>
        <v/>
      </c>
      <c r="H130" s="17" t="str">
        <f aca="false">IF($J130="","",INDEX('Auto Process'!$AW:$AW,$J130))</f>
        <v/>
      </c>
      <c r="J130" s="14" t="str">
        <f aca="false">IFERROR(_xlfn.AGGREGATE(15,6,ROW('Auto Process'!$D$4:$D$503)/('Auto Process'!$D$4:$D$503="Followup"),ROW()-1),"")</f>
        <v/>
      </c>
    </row>
    <row r="131" customFormat="false" ht="15" hidden="false" customHeight="true" outlineLevel="0" collapsed="false">
      <c r="A131" s="17" t="str">
        <f aca="false">IF($J131="","",INDEX('Auto Process'!$AP:$AP,$J131))</f>
        <v/>
      </c>
      <c r="B131" s="17" t="str">
        <f aca="false">IF($J131="","",INDEX('Auto Process'!$AQ:$AQ,$J131))</f>
        <v/>
      </c>
      <c r="C131" s="17" t="str">
        <f aca="false">IF($J131="","",INDEX('Auto Process'!$AR:$AR,$J131))</f>
        <v/>
      </c>
      <c r="D131" s="17" t="str">
        <f aca="false">IF($J131="","",INDEX('Auto Process'!$AS:$AS,$J131))</f>
        <v/>
      </c>
      <c r="E131" s="17" t="str">
        <f aca="false">IF($J131="","",INDEX('Auto Process'!$AT:$AT,$J131))</f>
        <v/>
      </c>
      <c r="F131" s="17" t="str">
        <f aca="false">IF($J131="","",INDEX('Auto Process'!$AU:$AU,$J131))</f>
        <v/>
      </c>
      <c r="G131" s="17" t="str">
        <f aca="false">IF($J131="","",INDEX('Auto Process'!$AV:$AV,$J131))</f>
        <v/>
      </c>
      <c r="H131" s="17" t="str">
        <f aca="false">IF($J131="","",INDEX('Auto Process'!$AW:$AW,$J131))</f>
        <v/>
      </c>
      <c r="J131" s="14" t="str">
        <f aca="false">IFERROR(_xlfn.AGGREGATE(15,6,ROW('Auto Process'!$D$4:$D$503)/('Auto Process'!$D$4:$D$503="Followup"),ROW()-1),"")</f>
        <v/>
      </c>
    </row>
    <row r="132" customFormat="false" ht="15" hidden="false" customHeight="true" outlineLevel="0" collapsed="false">
      <c r="A132" s="17" t="str">
        <f aca="false">IF($J132="","",INDEX('Auto Process'!$AP:$AP,$J132))</f>
        <v/>
      </c>
      <c r="B132" s="17" t="str">
        <f aca="false">IF($J132="","",INDEX('Auto Process'!$AQ:$AQ,$J132))</f>
        <v/>
      </c>
      <c r="C132" s="17" t="str">
        <f aca="false">IF($J132="","",INDEX('Auto Process'!$AR:$AR,$J132))</f>
        <v/>
      </c>
      <c r="D132" s="17" t="str">
        <f aca="false">IF($J132="","",INDEX('Auto Process'!$AS:$AS,$J132))</f>
        <v/>
      </c>
      <c r="E132" s="17" t="str">
        <f aca="false">IF($J132="","",INDEX('Auto Process'!$AT:$AT,$J132))</f>
        <v/>
      </c>
      <c r="F132" s="17" t="str">
        <f aca="false">IF($J132="","",INDEX('Auto Process'!$AU:$AU,$J132))</f>
        <v/>
      </c>
      <c r="G132" s="17" t="str">
        <f aca="false">IF($J132="","",INDEX('Auto Process'!$AV:$AV,$J132))</f>
        <v/>
      </c>
      <c r="H132" s="17" t="str">
        <f aca="false">IF($J132="","",INDEX('Auto Process'!$AW:$AW,$J132))</f>
        <v/>
      </c>
      <c r="J132" s="14" t="str">
        <f aca="false">IFERROR(_xlfn.AGGREGATE(15,6,ROW('Auto Process'!$D$4:$D$503)/('Auto Process'!$D$4:$D$503="Followup"),ROW()-1),"")</f>
        <v/>
      </c>
    </row>
    <row r="133" customFormat="false" ht="15" hidden="false" customHeight="true" outlineLevel="0" collapsed="false">
      <c r="A133" s="17" t="str">
        <f aca="false">IF($J133="","",INDEX('Auto Process'!$AP:$AP,$J133))</f>
        <v/>
      </c>
      <c r="B133" s="17" t="str">
        <f aca="false">IF($J133="","",INDEX('Auto Process'!$AQ:$AQ,$J133))</f>
        <v/>
      </c>
      <c r="C133" s="17" t="str">
        <f aca="false">IF($J133="","",INDEX('Auto Process'!$AR:$AR,$J133))</f>
        <v/>
      </c>
      <c r="D133" s="17" t="str">
        <f aca="false">IF($J133="","",INDEX('Auto Process'!$AS:$AS,$J133))</f>
        <v/>
      </c>
      <c r="E133" s="17" t="str">
        <f aca="false">IF($J133="","",INDEX('Auto Process'!$AT:$AT,$J133))</f>
        <v/>
      </c>
      <c r="F133" s="17" t="str">
        <f aca="false">IF($J133="","",INDEX('Auto Process'!$AU:$AU,$J133))</f>
        <v/>
      </c>
      <c r="G133" s="17" t="str">
        <f aca="false">IF($J133="","",INDEX('Auto Process'!$AV:$AV,$J133))</f>
        <v/>
      </c>
      <c r="H133" s="17" t="str">
        <f aca="false">IF($J133="","",INDEX('Auto Process'!$AW:$AW,$J133))</f>
        <v/>
      </c>
      <c r="J133" s="14" t="str">
        <f aca="false">IFERROR(_xlfn.AGGREGATE(15,6,ROW('Auto Process'!$D$4:$D$503)/('Auto Process'!$D$4:$D$503="Followup"),ROW()-1),"")</f>
        <v/>
      </c>
    </row>
    <row r="134" customFormat="false" ht="15" hidden="false" customHeight="true" outlineLevel="0" collapsed="false">
      <c r="A134" s="17" t="str">
        <f aca="false">IF($J134="","",INDEX('Auto Process'!$AP:$AP,$J134))</f>
        <v/>
      </c>
      <c r="B134" s="17" t="str">
        <f aca="false">IF($J134="","",INDEX('Auto Process'!$AQ:$AQ,$J134))</f>
        <v/>
      </c>
      <c r="C134" s="17" t="str">
        <f aca="false">IF($J134="","",INDEX('Auto Process'!$AR:$AR,$J134))</f>
        <v/>
      </c>
      <c r="D134" s="17" t="str">
        <f aca="false">IF($J134="","",INDEX('Auto Process'!$AS:$AS,$J134))</f>
        <v/>
      </c>
      <c r="E134" s="17" t="str">
        <f aca="false">IF($J134="","",INDEX('Auto Process'!$AT:$AT,$J134))</f>
        <v/>
      </c>
      <c r="F134" s="17" t="str">
        <f aca="false">IF($J134="","",INDEX('Auto Process'!$AU:$AU,$J134))</f>
        <v/>
      </c>
      <c r="G134" s="17" t="str">
        <f aca="false">IF($J134="","",INDEX('Auto Process'!$AV:$AV,$J134))</f>
        <v/>
      </c>
      <c r="H134" s="17" t="str">
        <f aca="false">IF($J134="","",INDEX('Auto Process'!$AW:$AW,$J134))</f>
        <v/>
      </c>
      <c r="J134" s="14" t="str">
        <f aca="false">IFERROR(_xlfn.AGGREGATE(15,6,ROW('Auto Process'!$D$4:$D$503)/('Auto Process'!$D$4:$D$503="Followup"),ROW()-1),"")</f>
        <v/>
      </c>
    </row>
    <row r="135" customFormat="false" ht="15" hidden="false" customHeight="true" outlineLevel="0" collapsed="false">
      <c r="A135" s="17" t="str">
        <f aca="false">IF($J135="","",INDEX('Auto Process'!$AP:$AP,$J135))</f>
        <v/>
      </c>
      <c r="B135" s="17" t="str">
        <f aca="false">IF($J135="","",INDEX('Auto Process'!$AQ:$AQ,$J135))</f>
        <v/>
      </c>
      <c r="C135" s="17" t="str">
        <f aca="false">IF($J135="","",INDEX('Auto Process'!$AR:$AR,$J135))</f>
        <v/>
      </c>
      <c r="D135" s="17" t="str">
        <f aca="false">IF($J135="","",INDEX('Auto Process'!$AS:$AS,$J135))</f>
        <v/>
      </c>
      <c r="E135" s="17" t="str">
        <f aca="false">IF($J135="","",INDEX('Auto Process'!$AT:$AT,$J135))</f>
        <v/>
      </c>
      <c r="F135" s="17" t="str">
        <f aca="false">IF($J135="","",INDEX('Auto Process'!$AU:$AU,$J135))</f>
        <v/>
      </c>
      <c r="G135" s="17" t="str">
        <f aca="false">IF($J135="","",INDEX('Auto Process'!$AV:$AV,$J135))</f>
        <v/>
      </c>
      <c r="H135" s="17" t="str">
        <f aca="false">IF($J135="","",INDEX('Auto Process'!$AW:$AW,$J135))</f>
        <v/>
      </c>
      <c r="J135" s="14" t="str">
        <f aca="false">IFERROR(_xlfn.AGGREGATE(15,6,ROW('Auto Process'!$D$4:$D$503)/('Auto Process'!$D$4:$D$503="Followup"),ROW()-1),"")</f>
        <v/>
      </c>
    </row>
    <row r="136" customFormat="false" ht="15" hidden="false" customHeight="true" outlineLevel="0" collapsed="false">
      <c r="A136" s="17" t="str">
        <f aca="false">IF($J136="","",INDEX('Auto Process'!$AP:$AP,$J136))</f>
        <v/>
      </c>
      <c r="B136" s="17" t="str">
        <f aca="false">IF($J136="","",INDEX('Auto Process'!$AQ:$AQ,$J136))</f>
        <v/>
      </c>
      <c r="C136" s="17" t="str">
        <f aca="false">IF($J136="","",INDEX('Auto Process'!$AR:$AR,$J136))</f>
        <v/>
      </c>
      <c r="D136" s="17" t="str">
        <f aca="false">IF($J136="","",INDEX('Auto Process'!$AS:$AS,$J136))</f>
        <v/>
      </c>
      <c r="E136" s="17" t="str">
        <f aca="false">IF($J136="","",INDEX('Auto Process'!$AT:$AT,$J136))</f>
        <v/>
      </c>
      <c r="F136" s="17" t="str">
        <f aca="false">IF($J136="","",INDEX('Auto Process'!$AU:$AU,$J136))</f>
        <v/>
      </c>
      <c r="G136" s="17" t="str">
        <f aca="false">IF($J136="","",INDEX('Auto Process'!$AV:$AV,$J136))</f>
        <v/>
      </c>
      <c r="H136" s="17" t="str">
        <f aca="false">IF($J136="","",INDEX('Auto Process'!$AW:$AW,$J136))</f>
        <v/>
      </c>
      <c r="J136" s="14" t="str">
        <f aca="false">IFERROR(_xlfn.AGGREGATE(15,6,ROW('Auto Process'!$D$4:$D$503)/('Auto Process'!$D$4:$D$503="Followup"),ROW()-1),"")</f>
        <v/>
      </c>
    </row>
    <row r="137" customFormat="false" ht="15" hidden="false" customHeight="true" outlineLevel="0" collapsed="false">
      <c r="A137" s="17" t="str">
        <f aca="false">IF($J137="","",INDEX('Auto Process'!$AP:$AP,$J137))</f>
        <v/>
      </c>
      <c r="B137" s="17" t="str">
        <f aca="false">IF($J137="","",INDEX('Auto Process'!$AQ:$AQ,$J137))</f>
        <v/>
      </c>
      <c r="C137" s="17" t="str">
        <f aca="false">IF($J137="","",INDEX('Auto Process'!$AR:$AR,$J137))</f>
        <v/>
      </c>
      <c r="D137" s="17" t="str">
        <f aca="false">IF($J137="","",INDEX('Auto Process'!$AS:$AS,$J137))</f>
        <v/>
      </c>
      <c r="E137" s="17" t="str">
        <f aca="false">IF($J137="","",INDEX('Auto Process'!$AT:$AT,$J137))</f>
        <v/>
      </c>
      <c r="F137" s="17" t="str">
        <f aca="false">IF($J137="","",INDEX('Auto Process'!$AU:$AU,$J137))</f>
        <v/>
      </c>
      <c r="G137" s="17" t="str">
        <f aca="false">IF($J137="","",INDEX('Auto Process'!$AV:$AV,$J137))</f>
        <v/>
      </c>
      <c r="H137" s="17" t="str">
        <f aca="false">IF($J137="","",INDEX('Auto Process'!$AW:$AW,$J137))</f>
        <v/>
      </c>
      <c r="J137" s="14" t="str">
        <f aca="false">IFERROR(_xlfn.AGGREGATE(15,6,ROW('Auto Process'!$D$4:$D$503)/('Auto Process'!$D$4:$D$503="Followup"),ROW()-1),"")</f>
        <v/>
      </c>
    </row>
    <row r="138" customFormat="false" ht="15" hidden="false" customHeight="true" outlineLevel="0" collapsed="false">
      <c r="A138" s="17" t="str">
        <f aca="false">IF($J138="","",INDEX('Auto Process'!$AP:$AP,$J138))</f>
        <v/>
      </c>
      <c r="B138" s="17" t="str">
        <f aca="false">IF($J138="","",INDEX('Auto Process'!$AQ:$AQ,$J138))</f>
        <v/>
      </c>
      <c r="C138" s="17" t="str">
        <f aca="false">IF($J138="","",INDEX('Auto Process'!$AR:$AR,$J138))</f>
        <v/>
      </c>
      <c r="D138" s="17" t="str">
        <f aca="false">IF($J138="","",INDEX('Auto Process'!$AS:$AS,$J138))</f>
        <v/>
      </c>
      <c r="E138" s="17" t="str">
        <f aca="false">IF($J138="","",INDEX('Auto Process'!$AT:$AT,$J138))</f>
        <v/>
      </c>
      <c r="F138" s="17" t="str">
        <f aca="false">IF($J138="","",INDEX('Auto Process'!$AU:$AU,$J138))</f>
        <v/>
      </c>
      <c r="G138" s="17" t="str">
        <f aca="false">IF($J138="","",INDEX('Auto Process'!$AV:$AV,$J138))</f>
        <v/>
      </c>
      <c r="H138" s="17" t="str">
        <f aca="false">IF($J138="","",INDEX('Auto Process'!$AW:$AW,$J138))</f>
        <v/>
      </c>
      <c r="J138" s="14" t="str">
        <f aca="false">IFERROR(_xlfn.AGGREGATE(15,6,ROW('Auto Process'!$D$4:$D$503)/('Auto Process'!$D$4:$D$503="Followup"),ROW()-1),"")</f>
        <v/>
      </c>
    </row>
    <row r="139" customFormat="false" ht="15" hidden="false" customHeight="true" outlineLevel="0" collapsed="false">
      <c r="A139" s="17" t="str">
        <f aca="false">IF($J139="","",INDEX('Auto Process'!$AP:$AP,$J139))</f>
        <v/>
      </c>
      <c r="B139" s="17" t="str">
        <f aca="false">IF($J139="","",INDEX('Auto Process'!$AQ:$AQ,$J139))</f>
        <v/>
      </c>
      <c r="C139" s="17" t="str">
        <f aca="false">IF($J139="","",INDEX('Auto Process'!$AR:$AR,$J139))</f>
        <v/>
      </c>
      <c r="D139" s="17" t="str">
        <f aca="false">IF($J139="","",INDEX('Auto Process'!$AS:$AS,$J139))</f>
        <v/>
      </c>
      <c r="E139" s="17" t="str">
        <f aca="false">IF($J139="","",INDEX('Auto Process'!$AT:$AT,$J139))</f>
        <v/>
      </c>
      <c r="F139" s="17" t="str">
        <f aca="false">IF($J139="","",INDEX('Auto Process'!$AU:$AU,$J139))</f>
        <v/>
      </c>
      <c r="G139" s="17" t="str">
        <f aca="false">IF($J139="","",INDEX('Auto Process'!$AV:$AV,$J139))</f>
        <v/>
      </c>
      <c r="H139" s="17" t="str">
        <f aca="false">IF($J139="","",INDEX('Auto Process'!$AW:$AW,$J139))</f>
        <v/>
      </c>
      <c r="J139" s="14" t="str">
        <f aca="false">IFERROR(_xlfn.AGGREGATE(15,6,ROW('Auto Process'!$D$4:$D$503)/('Auto Process'!$D$4:$D$503="Followup"),ROW()-1),"")</f>
        <v/>
      </c>
    </row>
    <row r="140" customFormat="false" ht="15" hidden="false" customHeight="true" outlineLevel="0" collapsed="false">
      <c r="A140" s="17" t="str">
        <f aca="false">IF($J140="","",INDEX('Auto Process'!$AP:$AP,$J140))</f>
        <v/>
      </c>
      <c r="B140" s="17" t="str">
        <f aca="false">IF($J140="","",INDEX('Auto Process'!$AQ:$AQ,$J140))</f>
        <v/>
      </c>
      <c r="C140" s="17" t="str">
        <f aca="false">IF($J140="","",INDEX('Auto Process'!$AR:$AR,$J140))</f>
        <v/>
      </c>
      <c r="D140" s="17" t="str">
        <f aca="false">IF($J140="","",INDEX('Auto Process'!$AS:$AS,$J140))</f>
        <v/>
      </c>
      <c r="E140" s="17" t="str">
        <f aca="false">IF($J140="","",INDEX('Auto Process'!$AT:$AT,$J140))</f>
        <v/>
      </c>
      <c r="F140" s="17" t="str">
        <f aca="false">IF($J140="","",INDEX('Auto Process'!$AU:$AU,$J140))</f>
        <v/>
      </c>
      <c r="G140" s="17" t="str">
        <f aca="false">IF($J140="","",INDEX('Auto Process'!$AV:$AV,$J140))</f>
        <v/>
      </c>
      <c r="H140" s="17" t="str">
        <f aca="false">IF($J140="","",INDEX('Auto Process'!$AW:$AW,$J140))</f>
        <v/>
      </c>
      <c r="J140" s="14" t="str">
        <f aca="false">IFERROR(_xlfn.AGGREGATE(15,6,ROW('Auto Process'!$D$4:$D$503)/('Auto Process'!$D$4:$D$503="Followup"),ROW()-1),"")</f>
        <v/>
      </c>
    </row>
    <row r="141" customFormat="false" ht="15" hidden="false" customHeight="true" outlineLevel="0" collapsed="false">
      <c r="A141" s="17" t="str">
        <f aca="false">IF($J141="","",INDEX('Auto Process'!$AP:$AP,$J141))</f>
        <v/>
      </c>
      <c r="B141" s="17" t="str">
        <f aca="false">IF($J141="","",INDEX('Auto Process'!$AQ:$AQ,$J141))</f>
        <v/>
      </c>
      <c r="C141" s="17" t="str">
        <f aca="false">IF($J141="","",INDEX('Auto Process'!$AR:$AR,$J141))</f>
        <v/>
      </c>
      <c r="D141" s="17" t="str">
        <f aca="false">IF($J141="","",INDEX('Auto Process'!$AS:$AS,$J141))</f>
        <v/>
      </c>
      <c r="E141" s="17" t="str">
        <f aca="false">IF($J141="","",INDEX('Auto Process'!$AT:$AT,$J141))</f>
        <v/>
      </c>
      <c r="F141" s="17" t="str">
        <f aca="false">IF($J141="","",INDEX('Auto Process'!$AU:$AU,$J141))</f>
        <v/>
      </c>
      <c r="G141" s="17" t="str">
        <f aca="false">IF($J141="","",INDEX('Auto Process'!$AV:$AV,$J141))</f>
        <v/>
      </c>
      <c r="H141" s="17" t="str">
        <f aca="false">IF($J141="","",INDEX('Auto Process'!$AW:$AW,$J141))</f>
        <v/>
      </c>
      <c r="J141" s="14" t="str">
        <f aca="false">IFERROR(_xlfn.AGGREGATE(15,6,ROW('Auto Process'!$D$4:$D$503)/('Auto Process'!$D$4:$D$503="Followup"),ROW()-1),"")</f>
        <v/>
      </c>
    </row>
    <row r="142" customFormat="false" ht="15" hidden="false" customHeight="true" outlineLevel="0" collapsed="false">
      <c r="A142" s="17" t="str">
        <f aca="false">IF($J142="","",INDEX('Auto Process'!$AP:$AP,$J142))</f>
        <v/>
      </c>
      <c r="B142" s="17" t="str">
        <f aca="false">IF($J142="","",INDEX('Auto Process'!$AQ:$AQ,$J142))</f>
        <v/>
      </c>
      <c r="C142" s="17" t="str">
        <f aca="false">IF($J142="","",INDEX('Auto Process'!$AR:$AR,$J142))</f>
        <v/>
      </c>
      <c r="D142" s="17" t="str">
        <f aca="false">IF($J142="","",INDEX('Auto Process'!$AS:$AS,$J142))</f>
        <v/>
      </c>
      <c r="E142" s="17" t="str">
        <f aca="false">IF($J142="","",INDEX('Auto Process'!$AT:$AT,$J142))</f>
        <v/>
      </c>
      <c r="F142" s="17" t="str">
        <f aca="false">IF($J142="","",INDEX('Auto Process'!$AU:$AU,$J142))</f>
        <v/>
      </c>
      <c r="G142" s="17" t="str">
        <f aca="false">IF($J142="","",INDEX('Auto Process'!$AV:$AV,$J142))</f>
        <v/>
      </c>
      <c r="H142" s="17" t="str">
        <f aca="false">IF($J142="","",INDEX('Auto Process'!$AW:$AW,$J142))</f>
        <v/>
      </c>
      <c r="J142" s="14" t="str">
        <f aca="false">IFERROR(_xlfn.AGGREGATE(15,6,ROW('Auto Process'!$D$4:$D$503)/('Auto Process'!$D$4:$D$503="Followup"),ROW()-1),"")</f>
        <v/>
      </c>
    </row>
    <row r="143" customFormat="false" ht="15" hidden="false" customHeight="true" outlineLevel="0" collapsed="false">
      <c r="A143" s="17" t="str">
        <f aca="false">IF($J143="","",INDEX('Auto Process'!$AP:$AP,$J143))</f>
        <v/>
      </c>
      <c r="B143" s="17" t="str">
        <f aca="false">IF($J143="","",INDEX('Auto Process'!$AQ:$AQ,$J143))</f>
        <v/>
      </c>
      <c r="C143" s="17" t="str">
        <f aca="false">IF($J143="","",INDEX('Auto Process'!$AR:$AR,$J143))</f>
        <v/>
      </c>
      <c r="D143" s="17" t="str">
        <f aca="false">IF($J143="","",INDEX('Auto Process'!$AS:$AS,$J143))</f>
        <v/>
      </c>
      <c r="E143" s="17" t="str">
        <f aca="false">IF($J143="","",INDEX('Auto Process'!$AT:$AT,$J143))</f>
        <v/>
      </c>
      <c r="F143" s="17" t="str">
        <f aca="false">IF($J143="","",INDEX('Auto Process'!$AU:$AU,$J143))</f>
        <v/>
      </c>
      <c r="G143" s="17" t="str">
        <f aca="false">IF($J143="","",INDEX('Auto Process'!$AV:$AV,$J143))</f>
        <v/>
      </c>
      <c r="H143" s="17" t="str">
        <f aca="false">IF($J143="","",INDEX('Auto Process'!$AW:$AW,$J143))</f>
        <v/>
      </c>
      <c r="J143" s="14" t="str">
        <f aca="false">IFERROR(_xlfn.AGGREGATE(15,6,ROW('Auto Process'!$D$4:$D$503)/('Auto Process'!$D$4:$D$503="Followup"),ROW()-1),"")</f>
        <v/>
      </c>
    </row>
    <row r="144" customFormat="false" ht="15" hidden="false" customHeight="true" outlineLevel="0" collapsed="false">
      <c r="A144" s="17" t="str">
        <f aca="false">IF($J144="","",INDEX('Auto Process'!$AP:$AP,$J144))</f>
        <v/>
      </c>
      <c r="B144" s="17" t="str">
        <f aca="false">IF($J144="","",INDEX('Auto Process'!$AQ:$AQ,$J144))</f>
        <v/>
      </c>
      <c r="C144" s="17" t="str">
        <f aca="false">IF($J144="","",INDEX('Auto Process'!$AR:$AR,$J144))</f>
        <v/>
      </c>
      <c r="D144" s="17" t="str">
        <f aca="false">IF($J144="","",INDEX('Auto Process'!$AS:$AS,$J144))</f>
        <v/>
      </c>
      <c r="E144" s="17" t="str">
        <f aca="false">IF($J144="","",INDEX('Auto Process'!$AT:$AT,$J144))</f>
        <v/>
      </c>
      <c r="F144" s="17" t="str">
        <f aca="false">IF($J144="","",INDEX('Auto Process'!$AU:$AU,$J144))</f>
        <v/>
      </c>
      <c r="G144" s="17" t="str">
        <f aca="false">IF($J144="","",INDEX('Auto Process'!$AV:$AV,$J144))</f>
        <v/>
      </c>
      <c r="H144" s="17" t="str">
        <f aca="false">IF($J144="","",INDEX('Auto Process'!$AW:$AW,$J144))</f>
        <v/>
      </c>
      <c r="J144" s="14" t="str">
        <f aca="false">IFERROR(_xlfn.AGGREGATE(15,6,ROW('Auto Process'!$D$4:$D$503)/('Auto Process'!$D$4:$D$503="Followup"),ROW()-1),"")</f>
        <v/>
      </c>
    </row>
    <row r="145" customFormat="false" ht="15" hidden="false" customHeight="true" outlineLevel="0" collapsed="false">
      <c r="A145" s="17" t="str">
        <f aca="false">IF($J145="","",INDEX('Auto Process'!$AP:$AP,$J145))</f>
        <v/>
      </c>
      <c r="B145" s="17" t="str">
        <f aca="false">IF($J145="","",INDEX('Auto Process'!$AQ:$AQ,$J145))</f>
        <v/>
      </c>
      <c r="C145" s="17" t="str">
        <f aca="false">IF($J145="","",INDEX('Auto Process'!$AR:$AR,$J145))</f>
        <v/>
      </c>
      <c r="D145" s="17" t="str">
        <f aca="false">IF($J145="","",INDEX('Auto Process'!$AS:$AS,$J145))</f>
        <v/>
      </c>
      <c r="E145" s="17" t="str">
        <f aca="false">IF($J145="","",INDEX('Auto Process'!$AT:$AT,$J145))</f>
        <v/>
      </c>
      <c r="F145" s="17" t="str">
        <f aca="false">IF($J145="","",INDEX('Auto Process'!$AU:$AU,$J145))</f>
        <v/>
      </c>
      <c r="G145" s="17" t="str">
        <f aca="false">IF($J145="","",INDEX('Auto Process'!$AV:$AV,$J145))</f>
        <v/>
      </c>
      <c r="H145" s="17" t="str">
        <f aca="false">IF($J145="","",INDEX('Auto Process'!$AW:$AW,$J145))</f>
        <v/>
      </c>
      <c r="J145" s="14" t="str">
        <f aca="false">IFERROR(_xlfn.AGGREGATE(15,6,ROW('Auto Process'!$D$4:$D$503)/('Auto Process'!$D$4:$D$503="Followup"),ROW()-1),"")</f>
        <v/>
      </c>
    </row>
    <row r="146" customFormat="false" ht="15" hidden="false" customHeight="true" outlineLevel="0" collapsed="false">
      <c r="A146" s="17" t="str">
        <f aca="false">IF($J146="","",INDEX('Auto Process'!$AP:$AP,$J146))</f>
        <v/>
      </c>
      <c r="B146" s="17" t="str">
        <f aca="false">IF($J146="","",INDEX('Auto Process'!$AQ:$AQ,$J146))</f>
        <v/>
      </c>
      <c r="C146" s="17" t="str">
        <f aca="false">IF($J146="","",INDEX('Auto Process'!$AR:$AR,$J146))</f>
        <v/>
      </c>
      <c r="D146" s="17" t="str">
        <f aca="false">IF($J146="","",INDEX('Auto Process'!$AS:$AS,$J146))</f>
        <v/>
      </c>
      <c r="E146" s="17" t="str">
        <f aca="false">IF($J146="","",INDEX('Auto Process'!$AT:$AT,$J146))</f>
        <v/>
      </c>
      <c r="F146" s="17" t="str">
        <f aca="false">IF($J146="","",INDEX('Auto Process'!$AU:$AU,$J146))</f>
        <v/>
      </c>
      <c r="G146" s="17" t="str">
        <f aca="false">IF($J146="","",INDEX('Auto Process'!$AV:$AV,$J146))</f>
        <v/>
      </c>
      <c r="H146" s="17" t="str">
        <f aca="false">IF($J146="","",INDEX('Auto Process'!$AW:$AW,$J146))</f>
        <v/>
      </c>
      <c r="J146" s="14" t="str">
        <f aca="false">IFERROR(_xlfn.AGGREGATE(15,6,ROW('Auto Process'!$D$4:$D$503)/('Auto Process'!$D$4:$D$503="Followup"),ROW()-1),"")</f>
        <v/>
      </c>
    </row>
    <row r="147" customFormat="false" ht="15" hidden="false" customHeight="true" outlineLevel="0" collapsed="false">
      <c r="A147" s="17" t="str">
        <f aca="false">IF($J147="","",INDEX('Auto Process'!$AP:$AP,$J147))</f>
        <v/>
      </c>
      <c r="B147" s="17" t="str">
        <f aca="false">IF($J147="","",INDEX('Auto Process'!$AQ:$AQ,$J147))</f>
        <v/>
      </c>
      <c r="C147" s="17" t="str">
        <f aca="false">IF($J147="","",INDEX('Auto Process'!$AR:$AR,$J147))</f>
        <v/>
      </c>
      <c r="D147" s="17" t="str">
        <f aca="false">IF($J147="","",INDEX('Auto Process'!$AS:$AS,$J147))</f>
        <v/>
      </c>
      <c r="E147" s="17" t="str">
        <f aca="false">IF($J147="","",INDEX('Auto Process'!$AT:$AT,$J147))</f>
        <v/>
      </c>
      <c r="F147" s="17" t="str">
        <f aca="false">IF($J147="","",INDEX('Auto Process'!$AU:$AU,$J147))</f>
        <v/>
      </c>
      <c r="G147" s="17" t="str">
        <f aca="false">IF($J147="","",INDEX('Auto Process'!$AV:$AV,$J147))</f>
        <v/>
      </c>
      <c r="H147" s="17" t="str">
        <f aca="false">IF($J147="","",INDEX('Auto Process'!$AW:$AW,$J147))</f>
        <v/>
      </c>
      <c r="J147" s="14" t="str">
        <f aca="false">IFERROR(_xlfn.AGGREGATE(15,6,ROW('Auto Process'!$D$4:$D$503)/('Auto Process'!$D$4:$D$503="Followup"),ROW()-1),"")</f>
        <v/>
      </c>
    </row>
    <row r="148" customFormat="false" ht="15" hidden="false" customHeight="true" outlineLevel="0" collapsed="false">
      <c r="A148" s="17" t="str">
        <f aca="false">IF($J148="","",INDEX('Auto Process'!$AP:$AP,$J148))</f>
        <v/>
      </c>
      <c r="B148" s="17" t="str">
        <f aca="false">IF($J148="","",INDEX('Auto Process'!$AQ:$AQ,$J148))</f>
        <v/>
      </c>
      <c r="C148" s="17" t="str">
        <f aca="false">IF($J148="","",INDEX('Auto Process'!$AR:$AR,$J148))</f>
        <v/>
      </c>
      <c r="D148" s="17" t="str">
        <f aca="false">IF($J148="","",INDEX('Auto Process'!$AS:$AS,$J148))</f>
        <v/>
      </c>
      <c r="E148" s="17" t="str">
        <f aca="false">IF($J148="","",INDEX('Auto Process'!$AT:$AT,$J148))</f>
        <v/>
      </c>
      <c r="F148" s="17" t="str">
        <f aca="false">IF($J148="","",INDEX('Auto Process'!$AU:$AU,$J148))</f>
        <v/>
      </c>
      <c r="G148" s="17" t="str">
        <f aca="false">IF($J148="","",INDEX('Auto Process'!$AV:$AV,$J148))</f>
        <v/>
      </c>
      <c r="H148" s="17" t="str">
        <f aca="false">IF($J148="","",INDEX('Auto Process'!$AW:$AW,$J148))</f>
        <v/>
      </c>
      <c r="J148" s="14" t="str">
        <f aca="false">IFERROR(_xlfn.AGGREGATE(15,6,ROW('Auto Process'!$D$4:$D$503)/('Auto Process'!$D$4:$D$503="Followup"),ROW()-1),"")</f>
        <v/>
      </c>
    </row>
    <row r="149" customFormat="false" ht="15" hidden="false" customHeight="true" outlineLevel="0" collapsed="false">
      <c r="A149" s="17" t="str">
        <f aca="false">IF($J149="","",INDEX('Auto Process'!$AP:$AP,$J149))</f>
        <v/>
      </c>
      <c r="B149" s="17" t="str">
        <f aca="false">IF($J149="","",INDEX('Auto Process'!$AQ:$AQ,$J149))</f>
        <v/>
      </c>
      <c r="C149" s="17" t="str">
        <f aca="false">IF($J149="","",INDEX('Auto Process'!$AR:$AR,$J149))</f>
        <v/>
      </c>
      <c r="D149" s="17" t="str">
        <f aca="false">IF($J149="","",INDEX('Auto Process'!$AS:$AS,$J149))</f>
        <v/>
      </c>
      <c r="E149" s="17" t="str">
        <f aca="false">IF($J149="","",INDEX('Auto Process'!$AT:$AT,$J149))</f>
        <v/>
      </c>
      <c r="F149" s="17" t="str">
        <f aca="false">IF($J149="","",INDEX('Auto Process'!$AU:$AU,$J149))</f>
        <v/>
      </c>
      <c r="G149" s="17" t="str">
        <f aca="false">IF($J149="","",INDEX('Auto Process'!$AV:$AV,$J149))</f>
        <v/>
      </c>
      <c r="H149" s="17" t="str">
        <f aca="false">IF($J149="","",INDEX('Auto Process'!$AW:$AW,$J149))</f>
        <v/>
      </c>
      <c r="J149" s="14" t="str">
        <f aca="false">IFERROR(_xlfn.AGGREGATE(15,6,ROW('Auto Process'!$D$4:$D$503)/('Auto Process'!$D$4:$D$503="Followup"),ROW()-1),"")</f>
        <v/>
      </c>
    </row>
    <row r="150" customFormat="false" ht="15" hidden="false" customHeight="true" outlineLevel="0" collapsed="false">
      <c r="A150" s="17" t="str">
        <f aca="false">IF($J150="","",INDEX('Auto Process'!$AP:$AP,$J150))</f>
        <v/>
      </c>
      <c r="B150" s="17" t="str">
        <f aca="false">IF($J150="","",INDEX('Auto Process'!$AQ:$AQ,$J150))</f>
        <v/>
      </c>
      <c r="C150" s="17" t="str">
        <f aca="false">IF($J150="","",INDEX('Auto Process'!$AR:$AR,$J150))</f>
        <v/>
      </c>
      <c r="D150" s="17" t="str">
        <f aca="false">IF($J150="","",INDEX('Auto Process'!$AS:$AS,$J150))</f>
        <v/>
      </c>
      <c r="E150" s="17" t="str">
        <f aca="false">IF($J150="","",INDEX('Auto Process'!$AT:$AT,$J150))</f>
        <v/>
      </c>
      <c r="F150" s="17" t="str">
        <f aca="false">IF($J150="","",INDEX('Auto Process'!$AU:$AU,$J150))</f>
        <v/>
      </c>
      <c r="G150" s="17" t="str">
        <f aca="false">IF($J150="","",INDEX('Auto Process'!$AV:$AV,$J150))</f>
        <v/>
      </c>
      <c r="H150" s="17" t="str">
        <f aca="false">IF($J150="","",INDEX('Auto Process'!$AW:$AW,$J150))</f>
        <v/>
      </c>
      <c r="J150" s="14" t="str">
        <f aca="false">IFERROR(_xlfn.AGGREGATE(15,6,ROW('Auto Process'!$D$4:$D$503)/('Auto Process'!$D$4:$D$503="Followup"),ROW()-1),"")</f>
        <v/>
      </c>
    </row>
    <row r="151" customFormat="false" ht="15" hidden="false" customHeight="true" outlineLevel="0" collapsed="false">
      <c r="A151" s="17" t="str">
        <f aca="false">IF($J151="","",INDEX('Auto Process'!$AP:$AP,$J151))</f>
        <v/>
      </c>
      <c r="B151" s="17" t="str">
        <f aca="false">IF($J151="","",INDEX('Auto Process'!$AQ:$AQ,$J151))</f>
        <v/>
      </c>
      <c r="C151" s="17" t="str">
        <f aca="false">IF($J151="","",INDEX('Auto Process'!$AR:$AR,$J151))</f>
        <v/>
      </c>
      <c r="D151" s="17" t="str">
        <f aca="false">IF($J151="","",INDEX('Auto Process'!$AS:$AS,$J151))</f>
        <v/>
      </c>
      <c r="E151" s="17" t="str">
        <f aca="false">IF($J151="","",INDEX('Auto Process'!$AT:$AT,$J151))</f>
        <v/>
      </c>
      <c r="F151" s="17" t="str">
        <f aca="false">IF($J151="","",INDEX('Auto Process'!$AU:$AU,$J151))</f>
        <v/>
      </c>
      <c r="G151" s="17" t="str">
        <f aca="false">IF($J151="","",INDEX('Auto Process'!$AV:$AV,$J151))</f>
        <v/>
      </c>
      <c r="H151" s="17" t="str">
        <f aca="false">IF($J151="","",INDEX('Auto Process'!$AW:$AW,$J151))</f>
        <v/>
      </c>
      <c r="J151" s="14" t="str">
        <f aca="false">IFERROR(_xlfn.AGGREGATE(15,6,ROW('Auto Process'!$D$4:$D$503)/('Auto Process'!$D$4:$D$503="Followup"),ROW()-1),"")</f>
        <v/>
      </c>
    </row>
    <row r="152" customFormat="false" ht="15" hidden="false" customHeight="true" outlineLevel="0" collapsed="false">
      <c r="A152" s="17" t="str">
        <f aca="false">IF($J152="","",INDEX('Auto Process'!$AP:$AP,$J152))</f>
        <v/>
      </c>
      <c r="B152" s="17" t="str">
        <f aca="false">IF($J152="","",INDEX('Auto Process'!$AQ:$AQ,$J152))</f>
        <v/>
      </c>
      <c r="C152" s="17" t="str">
        <f aca="false">IF($J152="","",INDEX('Auto Process'!$AR:$AR,$J152))</f>
        <v/>
      </c>
      <c r="D152" s="17" t="str">
        <f aca="false">IF($J152="","",INDEX('Auto Process'!$AS:$AS,$J152))</f>
        <v/>
      </c>
      <c r="E152" s="17" t="str">
        <f aca="false">IF($J152="","",INDEX('Auto Process'!$AT:$AT,$J152))</f>
        <v/>
      </c>
      <c r="F152" s="17" t="str">
        <f aca="false">IF($J152="","",INDEX('Auto Process'!$AU:$AU,$J152))</f>
        <v/>
      </c>
      <c r="G152" s="17" t="str">
        <f aca="false">IF($J152="","",INDEX('Auto Process'!$AV:$AV,$J152))</f>
        <v/>
      </c>
      <c r="H152" s="17" t="str">
        <f aca="false">IF($J152="","",INDEX('Auto Process'!$AW:$AW,$J152))</f>
        <v/>
      </c>
      <c r="J152" s="14" t="str">
        <f aca="false">IFERROR(_xlfn.AGGREGATE(15,6,ROW('Auto Process'!$D$4:$D$503)/('Auto Process'!$D$4:$D$503="Followup"),ROW()-1),"")</f>
        <v/>
      </c>
    </row>
    <row r="153" customFormat="false" ht="15" hidden="false" customHeight="true" outlineLevel="0" collapsed="false">
      <c r="A153" s="17" t="str">
        <f aca="false">IF($J153="","",INDEX('Auto Process'!$AP:$AP,$J153))</f>
        <v/>
      </c>
      <c r="B153" s="17" t="str">
        <f aca="false">IF($J153="","",INDEX('Auto Process'!$AQ:$AQ,$J153))</f>
        <v/>
      </c>
      <c r="C153" s="17" t="str">
        <f aca="false">IF($J153="","",INDEX('Auto Process'!$AR:$AR,$J153))</f>
        <v/>
      </c>
      <c r="D153" s="17" t="str">
        <f aca="false">IF($J153="","",INDEX('Auto Process'!$AS:$AS,$J153))</f>
        <v/>
      </c>
      <c r="E153" s="17" t="str">
        <f aca="false">IF($J153="","",INDEX('Auto Process'!$AT:$AT,$J153))</f>
        <v/>
      </c>
      <c r="F153" s="17" t="str">
        <f aca="false">IF($J153="","",INDEX('Auto Process'!$AU:$AU,$J153))</f>
        <v/>
      </c>
      <c r="G153" s="17" t="str">
        <f aca="false">IF($J153="","",INDEX('Auto Process'!$AV:$AV,$J153))</f>
        <v/>
      </c>
      <c r="H153" s="17" t="str">
        <f aca="false">IF($J153="","",INDEX('Auto Process'!$AW:$AW,$J153))</f>
        <v/>
      </c>
      <c r="J153" s="14" t="str">
        <f aca="false">IFERROR(_xlfn.AGGREGATE(15,6,ROW('Auto Process'!$D$4:$D$503)/('Auto Process'!$D$4:$D$503="Followup"),ROW()-1),"")</f>
        <v/>
      </c>
    </row>
    <row r="154" customFormat="false" ht="15" hidden="false" customHeight="true" outlineLevel="0" collapsed="false">
      <c r="A154" s="17" t="str">
        <f aca="false">IF($J154="","",INDEX('Auto Process'!$AP:$AP,$J154))</f>
        <v/>
      </c>
      <c r="B154" s="17" t="str">
        <f aca="false">IF($J154="","",INDEX('Auto Process'!$AQ:$AQ,$J154))</f>
        <v/>
      </c>
      <c r="C154" s="17" t="str">
        <f aca="false">IF($J154="","",INDEX('Auto Process'!$AR:$AR,$J154))</f>
        <v/>
      </c>
      <c r="D154" s="17" t="str">
        <f aca="false">IF($J154="","",INDEX('Auto Process'!$AS:$AS,$J154))</f>
        <v/>
      </c>
      <c r="E154" s="17" t="str">
        <f aca="false">IF($J154="","",INDEX('Auto Process'!$AT:$AT,$J154))</f>
        <v/>
      </c>
      <c r="F154" s="17" t="str">
        <f aca="false">IF($J154="","",INDEX('Auto Process'!$AU:$AU,$J154))</f>
        <v/>
      </c>
      <c r="G154" s="17" t="str">
        <f aca="false">IF($J154="","",INDEX('Auto Process'!$AV:$AV,$J154))</f>
        <v/>
      </c>
      <c r="H154" s="17" t="str">
        <f aca="false">IF($J154="","",INDEX('Auto Process'!$AW:$AW,$J154))</f>
        <v/>
      </c>
      <c r="J154" s="14" t="str">
        <f aca="false">IFERROR(_xlfn.AGGREGATE(15,6,ROW('Auto Process'!$D$4:$D$503)/('Auto Process'!$D$4:$D$503="Followup"),ROW()-1),"")</f>
        <v/>
      </c>
    </row>
    <row r="155" customFormat="false" ht="15" hidden="false" customHeight="true" outlineLevel="0" collapsed="false">
      <c r="A155" s="17" t="str">
        <f aca="false">IF($J155="","",INDEX('Auto Process'!$AP:$AP,$J155))</f>
        <v/>
      </c>
      <c r="B155" s="17" t="str">
        <f aca="false">IF($J155="","",INDEX('Auto Process'!$AQ:$AQ,$J155))</f>
        <v/>
      </c>
      <c r="C155" s="17" t="str">
        <f aca="false">IF($J155="","",INDEX('Auto Process'!$AR:$AR,$J155))</f>
        <v/>
      </c>
      <c r="D155" s="17" t="str">
        <f aca="false">IF($J155="","",INDEX('Auto Process'!$AS:$AS,$J155))</f>
        <v/>
      </c>
      <c r="E155" s="17" t="str">
        <f aca="false">IF($J155="","",INDEX('Auto Process'!$AT:$AT,$J155))</f>
        <v/>
      </c>
      <c r="F155" s="17" t="str">
        <f aca="false">IF($J155="","",INDEX('Auto Process'!$AU:$AU,$J155))</f>
        <v/>
      </c>
      <c r="G155" s="17" t="str">
        <f aca="false">IF($J155="","",INDEX('Auto Process'!$AV:$AV,$J155))</f>
        <v/>
      </c>
      <c r="H155" s="17" t="str">
        <f aca="false">IF($J155="","",INDEX('Auto Process'!$AW:$AW,$J155))</f>
        <v/>
      </c>
      <c r="J155" s="14" t="str">
        <f aca="false">IFERROR(_xlfn.AGGREGATE(15,6,ROW('Auto Process'!$D$4:$D$503)/('Auto Process'!$D$4:$D$503="Followup"),ROW()-1),"")</f>
        <v/>
      </c>
    </row>
    <row r="156" customFormat="false" ht="15" hidden="false" customHeight="true" outlineLevel="0" collapsed="false">
      <c r="A156" s="17" t="str">
        <f aca="false">IF($J156="","",INDEX('Auto Process'!$AP:$AP,$J156))</f>
        <v/>
      </c>
      <c r="B156" s="17" t="str">
        <f aca="false">IF($J156="","",INDEX('Auto Process'!$AQ:$AQ,$J156))</f>
        <v/>
      </c>
      <c r="C156" s="17" t="str">
        <f aca="false">IF($J156="","",INDEX('Auto Process'!$AR:$AR,$J156))</f>
        <v/>
      </c>
      <c r="D156" s="17" t="str">
        <f aca="false">IF($J156="","",INDEX('Auto Process'!$AS:$AS,$J156))</f>
        <v/>
      </c>
      <c r="E156" s="17" t="str">
        <f aca="false">IF($J156="","",INDEX('Auto Process'!$AT:$AT,$J156))</f>
        <v/>
      </c>
      <c r="F156" s="17" t="str">
        <f aca="false">IF($J156="","",INDEX('Auto Process'!$AU:$AU,$J156))</f>
        <v/>
      </c>
      <c r="G156" s="17" t="str">
        <f aca="false">IF($J156="","",INDEX('Auto Process'!$AV:$AV,$J156))</f>
        <v/>
      </c>
      <c r="H156" s="17" t="str">
        <f aca="false">IF($J156="","",INDEX('Auto Process'!$AW:$AW,$J156))</f>
        <v/>
      </c>
      <c r="J156" s="14" t="str">
        <f aca="false">IFERROR(_xlfn.AGGREGATE(15,6,ROW('Auto Process'!$D$4:$D$503)/('Auto Process'!$D$4:$D$503="Followup"),ROW()-1),"")</f>
        <v/>
      </c>
    </row>
    <row r="157" customFormat="false" ht="15" hidden="false" customHeight="true" outlineLevel="0" collapsed="false">
      <c r="A157" s="17" t="str">
        <f aca="false">IF($J157="","",INDEX('Auto Process'!$AP:$AP,$J157))</f>
        <v/>
      </c>
      <c r="B157" s="17" t="str">
        <f aca="false">IF($J157="","",INDEX('Auto Process'!$AQ:$AQ,$J157))</f>
        <v/>
      </c>
      <c r="C157" s="17" t="str">
        <f aca="false">IF($J157="","",INDEX('Auto Process'!$AR:$AR,$J157))</f>
        <v/>
      </c>
      <c r="D157" s="17" t="str">
        <f aca="false">IF($J157="","",INDEX('Auto Process'!$AS:$AS,$J157))</f>
        <v/>
      </c>
      <c r="E157" s="17" t="str">
        <f aca="false">IF($J157="","",INDEX('Auto Process'!$AT:$AT,$J157))</f>
        <v/>
      </c>
      <c r="F157" s="17" t="str">
        <f aca="false">IF($J157="","",INDEX('Auto Process'!$AU:$AU,$J157))</f>
        <v/>
      </c>
      <c r="G157" s="17" t="str">
        <f aca="false">IF($J157="","",INDEX('Auto Process'!$AV:$AV,$J157))</f>
        <v/>
      </c>
      <c r="H157" s="17" t="str">
        <f aca="false">IF($J157="","",INDEX('Auto Process'!$AW:$AW,$J157))</f>
        <v/>
      </c>
      <c r="J157" s="14" t="str">
        <f aca="false">IFERROR(_xlfn.AGGREGATE(15,6,ROW('Auto Process'!$D$4:$D$503)/('Auto Process'!$D$4:$D$503="Followup"),ROW()-1),"")</f>
        <v/>
      </c>
    </row>
    <row r="158" customFormat="false" ht="15" hidden="false" customHeight="true" outlineLevel="0" collapsed="false">
      <c r="A158" s="17" t="str">
        <f aca="false">IF($J158="","",INDEX('Auto Process'!$AP:$AP,$J158))</f>
        <v/>
      </c>
      <c r="B158" s="17" t="str">
        <f aca="false">IF($J158="","",INDEX('Auto Process'!$AQ:$AQ,$J158))</f>
        <v/>
      </c>
      <c r="C158" s="17" t="str">
        <f aca="false">IF($J158="","",INDEX('Auto Process'!$AR:$AR,$J158))</f>
        <v/>
      </c>
      <c r="D158" s="17" t="str">
        <f aca="false">IF($J158="","",INDEX('Auto Process'!$AS:$AS,$J158))</f>
        <v/>
      </c>
      <c r="E158" s="17" t="str">
        <f aca="false">IF($J158="","",INDEX('Auto Process'!$AT:$AT,$J158))</f>
        <v/>
      </c>
      <c r="F158" s="17" t="str">
        <f aca="false">IF($J158="","",INDEX('Auto Process'!$AU:$AU,$J158))</f>
        <v/>
      </c>
      <c r="G158" s="17" t="str">
        <f aca="false">IF($J158="","",INDEX('Auto Process'!$AV:$AV,$J158))</f>
        <v/>
      </c>
      <c r="H158" s="17" t="str">
        <f aca="false">IF($J158="","",INDEX('Auto Process'!$AW:$AW,$J158))</f>
        <v/>
      </c>
      <c r="J158" s="14" t="str">
        <f aca="false">IFERROR(_xlfn.AGGREGATE(15,6,ROW('Auto Process'!$D$4:$D$503)/('Auto Process'!$D$4:$D$503="Followup"),ROW()-1),"")</f>
        <v/>
      </c>
    </row>
    <row r="159" customFormat="false" ht="15" hidden="false" customHeight="true" outlineLevel="0" collapsed="false">
      <c r="A159" s="17" t="str">
        <f aca="false">IF($J159="","",INDEX('Auto Process'!$AP:$AP,$J159))</f>
        <v/>
      </c>
      <c r="B159" s="17" t="str">
        <f aca="false">IF($J159="","",INDEX('Auto Process'!$AQ:$AQ,$J159))</f>
        <v/>
      </c>
      <c r="C159" s="17" t="str">
        <f aca="false">IF($J159="","",INDEX('Auto Process'!$AR:$AR,$J159))</f>
        <v/>
      </c>
      <c r="D159" s="17" t="str">
        <f aca="false">IF($J159="","",INDEX('Auto Process'!$AS:$AS,$J159))</f>
        <v/>
      </c>
      <c r="E159" s="17" t="str">
        <f aca="false">IF($J159="","",INDEX('Auto Process'!$AT:$AT,$J159))</f>
        <v/>
      </c>
      <c r="F159" s="17" t="str">
        <f aca="false">IF($J159="","",INDEX('Auto Process'!$AU:$AU,$J159))</f>
        <v/>
      </c>
      <c r="G159" s="17" t="str">
        <f aca="false">IF($J159="","",INDEX('Auto Process'!$AV:$AV,$J159))</f>
        <v/>
      </c>
      <c r="H159" s="17" t="str">
        <f aca="false">IF($J159="","",INDEX('Auto Process'!$AW:$AW,$J159))</f>
        <v/>
      </c>
      <c r="J159" s="14" t="str">
        <f aca="false">IFERROR(_xlfn.AGGREGATE(15,6,ROW('Auto Process'!$D$4:$D$503)/('Auto Process'!$D$4:$D$503="Followup"),ROW()-1),"")</f>
        <v/>
      </c>
    </row>
    <row r="160" customFormat="false" ht="15" hidden="false" customHeight="true" outlineLevel="0" collapsed="false">
      <c r="A160" s="17" t="str">
        <f aca="false">IF($J160="","",INDEX('Auto Process'!$AP:$AP,$J160))</f>
        <v/>
      </c>
      <c r="B160" s="17" t="str">
        <f aca="false">IF($J160="","",INDEX('Auto Process'!$AQ:$AQ,$J160))</f>
        <v/>
      </c>
      <c r="C160" s="17" t="str">
        <f aca="false">IF($J160="","",INDEX('Auto Process'!$AR:$AR,$J160))</f>
        <v/>
      </c>
      <c r="D160" s="17" t="str">
        <f aca="false">IF($J160="","",INDEX('Auto Process'!$AS:$AS,$J160))</f>
        <v/>
      </c>
      <c r="E160" s="17" t="str">
        <f aca="false">IF($J160="","",INDEX('Auto Process'!$AT:$AT,$J160))</f>
        <v/>
      </c>
      <c r="F160" s="17" t="str">
        <f aca="false">IF($J160="","",INDEX('Auto Process'!$AU:$AU,$J160))</f>
        <v/>
      </c>
      <c r="G160" s="17" t="str">
        <f aca="false">IF($J160="","",INDEX('Auto Process'!$AV:$AV,$J160))</f>
        <v/>
      </c>
      <c r="H160" s="17" t="str">
        <f aca="false">IF($J160="","",INDEX('Auto Process'!$AW:$AW,$J160))</f>
        <v/>
      </c>
      <c r="J160" s="14" t="str">
        <f aca="false">IFERROR(_xlfn.AGGREGATE(15,6,ROW('Auto Process'!$D$4:$D$503)/('Auto Process'!$D$4:$D$503="Followup"),ROW()-1),"")</f>
        <v/>
      </c>
    </row>
    <row r="161" customFormat="false" ht="15" hidden="false" customHeight="true" outlineLevel="0" collapsed="false">
      <c r="A161" s="17" t="str">
        <f aca="false">IF($J161="","",INDEX('Auto Process'!$AP:$AP,$J161))</f>
        <v/>
      </c>
      <c r="B161" s="17" t="str">
        <f aca="false">IF($J161="","",INDEX('Auto Process'!$AQ:$AQ,$J161))</f>
        <v/>
      </c>
      <c r="C161" s="17" t="str">
        <f aca="false">IF($J161="","",INDEX('Auto Process'!$AR:$AR,$J161))</f>
        <v/>
      </c>
      <c r="D161" s="17" t="str">
        <f aca="false">IF($J161="","",INDEX('Auto Process'!$AS:$AS,$J161))</f>
        <v/>
      </c>
      <c r="E161" s="17" t="str">
        <f aca="false">IF($J161="","",INDEX('Auto Process'!$AT:$AT,$J161))</f>
        <v/>
      </c>
      <c r="F161" s="17" t="str">
        <f aca="false">IF($J161="","",INDEX('Auto Process'!$AU:$AU,$J161))</f>
        <v/>
      </c>
      <c r="G161" s="17" t="str">
        <f aca="false">IF($J161="","",INDEX('Auto Process'!$AV:$AV,$J161))</f>
        <v/>
      </c>
      <c r="H161" s="17" t="str">
        <f aca="false">IF($J161="","",INDEX('Auto Process'!$AW:$AW,$J161))</f>
        <v/>
      </c>
      <c r="J161" s="14" t="str">
        <f aca="false">IFERROR(_xlfn.AGGREGATE(15,6,ROW('Auto Process'!$D$4:$D$503)/('Auto Process'!$D$4:$D$503="Followup"),ROW()-1),"")</f>
        <v/>
      </c>
    </row>
    <row r="162" customFormat="false" ht="15" hidden="false" customHeight="true" outlineLevel="0" collapsed="false">
      <c r="A162" s="17" t="str">
        <f aca="false">IF($J162="","",INDEX('Auto Process'!$AP:$AP,$J162))</f>
        <v/>
      </c>
      <c r="B162" s="17" t="str">
        <f aca="false">IF($J162="","",INDEX('Auto Process'!$AQ:$AQ,$J162))</f>
        <v/>
      </c>
      <c r="C162" s="17" t="str">
        <f aca="false">IF($J162="","",INDEX('Auto Process'!$AR:$AR,$J162))</f>
        <v/>
      </c>
      <c r="D162" s="17" t="str">
        <f aca="false">IF($J162="","",INDEX('Auto Process'!$AS:$AS,$J162))</f>
        <v/>
      </c>
      <c r="E162" s="17" t="str">
        <f aca="false">IF($J162="","",INDEX('Auto Process'!$AT:$AT,$J162))</f>
        <v/>
      </c>
      <c r="F162" s="17" t="str">
        <f aca="false">IF($J162="","",INDEX('Auto Process'!$AU:$AU,$J162))</f>
        <v/>
      </c>
      <c r="G162" s="17" t="str">
        <f aca="false">IF($J162="","",INDEX('Auto Process'!$AV:$AV,$J162))</f>
        <v/>
      </c>
      <c r="H162" s="17" t="str">
        <f aca="false">IF($J162="","",INDEX('Auto Process'!$AW:$AW,$J162))</f>
        <v/>
      </c>
      <c r="J162" s="14" t="str">
        <f aca="false">IFERROR(_xlfn.AGGREGATE(15,6,ROW('Auto Process'!$D$4:$D$503)/('Auto Process'!$D$4:$D$503="Followup"),ROW()-1),"")</f>
        <v/>
      </c>
    </row>
    <row r="163" customFormat="false" ht="15" hidden="false" customHeight="true" outlineLevel="0" collapsed="false">
      <c r="A163" s="17" t="str">
        <f aca="false">IF($J163="","",INDEX('Auto Process'!$AP:$AP,$J163))</f>
        <v/>
      </c>
      <c r="B163" s="17" t="str">
        <f aca="false">IF($J163="","",INDEX('Auto Process'!$AQ:$AQ,$J163))</f>
        <v/>
      </c>
      <c r="C163" s="17" t="str">
        <f aca="false">IF($J163="","",INDEX('Auto Process'!$AR:$AR,$J163))</f>
        <v/>
      </c>
      <c r="D163" s="17" t="str">
        <f aca="false">IF($J163="","",INDEX('Auto Process'!$AS:$AS,$J163))</f>
        <v/>
      </c>
      <c r="E163" s="17" t="str">
        <f aca="false">IF($J163="","",INDEX('Auto Process'!$AT:$AT,$J163))</f>
        <v/>
      </c>
      <c r="F163" s="17" t="str">
        <f aca="false">IF($J163="","",INDEX('Auto Process'!$AU:$AU,$J163))</f>
        <v/>
      </c>
      <c r="G163" s="17" t="str">
        <f aca="false">IF($J163="","",INDEX('Auto Process'!$AV:$AV,$J163))</f>
        <v/>
      </c>
      <c r="H163" s="17" t="str">
        <f aca="false">IF($J163="","",INDEX('Auto Process'!$AW:$AW,$J163))</f>
        <v/>
      </c>
      <c r="J163" s="14" t="str">
        <f aca="false">IFERROR(_xlfn.AGGREGATE(15,6,ROW('Auto Process'!$D$4:$D$503)/('Auto Process'!$D$4:$D$503="Followup"),ROW()-1),"")</f>
        <v/>
      </c>
    </row>
    <row r="164" customFormat="false" ht="15" hidden="false" customHeight="true" outlineLevel="0" collapsed="false">
      <c r="A164" s="17" t="str">
        <f aca="false">IF($J164="","",INDEX('Auto Process'!$AP:$AP,$J164))</f>
        <v/>
      </c>
      <c r="B164" s="17" t="str">
        <f aca="false">IF($J164="","",INDEX('Auto Process'!$AQ:$AQ,$J164))</f>
        <v/>
      </c>
      <c r="C164" s="17" t="str">
        <f aca="false">IF($J164="","",INDEX('Auto Process'!$AR:$AR,$J164))</f>
        <v/>
      </c>
      <c r="D164" s="17" t="str">
        <f aca="false">IF($J164="","",INDEX('Auto Process'!$AS:$AS,$J164))</f>
        <v/>
      </c>
      <c r="E164" s="17" t="str">
        <f aca="false">IF($J164="","",INDEX('Auto Process'!$AT:$AT,$J164))</f>
        <v/>
      </c>
      <c r="F164" s="17" t="str">
        <f aca="false">IF($J164="","",INDEX('Auto Process'!$AU:$AU,$J164))</f>
        <v/>
      </c>
      <c r="G164" s="17" t="str">
        <f aca="false">IF($J164="","",INDEX('Auto Process'!$AV:$AV,$J164))</f>
        <v/>
      </c>
      <c r="H164" s="17" t="str">
        <f aca="false">IF($J164="","",INDEX('Auto Process'!$AW:$AW,$J164))</f>
        <v/>
      </c>
      <c r="J164" s="14" t="str">
        <f aca="false">IFERROR(_xlfn.AGGREGATE(15,6,ROW('Auto Process'!$D$4:$D$503)/('Auto Process'!$D$4:$D$503="Followup"),ROW()-1),"")</f>
        <v/>
      </c>
    </row>
    <row r="165" customFormat="false" ht="15" hidden="false" customHeight="true" outlineLevel="0" collapsed="false">
      <c r="A165" s="17" t="str">
        <f aca="false">IF($J165="","",INDEX('Auto Process'!$AP:$AP,$J165))</f>
        <v/>
      </c>
      <c r="B165" s="17" t="str">
        <f aca="false">IF($J165="","",INDEX('Auto Process'!$AQ:$AQ,$J165))</f>
        <v/>
      </c>
      <c r="C165" s="17" t="str">
        <f aca="false">IF($J165="","",INDEX('Auto Process'!$AR:$AR,$J165))</f>
        <v/>
      </c>
      <c r="D165" s="17" t="str">
        <f aca="false">IF($J165="","",INDEX('Auto Process'!$AS:$AS,$J165))</f>
        <v/>
      </c>
      <c r="E165" s="17" t="str">
        <f aca="false">IF($J165="","",INDEX('Auto Process'!$AT:$AT,$J165))</f>
        <v/>
      </c>
      <c r="F165" s="17" t="str">
        <f aca="false">IF($J165="","",INDEX('Auto Process'!$AU:$AU,$J165))</f>
        <v/>
      </c>
      <c r="G165" s="17" t="str">
        <f aca="false">IF($J165="","",INDEX('Auto Process'!$AV:$AV,$J165))</f>
        <v/>
      </c>
      <c r="H165" s="17" t="str">
        <f aca="false">IF($J165="","",INDEX('Auto Process'!$AW:$AW,$J165))</f>
        <v/>
      </c>
      <c r="J165" s="14" t="str">
        <f aca="false">IFERROR(_xlfn.AGGREGATE(15,6,ROW('Auto Process'!$D$4:$D$503)/('Auto Process'!$D$4:$D$503="Followup"),ROW()-1),"")</f>
        <v/>
      </c>
    </row>
    <row r="166" customFormat="false" ht="15" hidden="false" customHeight="true" outlineLevel="0" collapsed="false">
      <c r="A166" s="17" t="str">
        <f aca="false">IF($J166="","",INDEX('Auto Process'!$AP:$AP,$J166))</f>
        <v/>
      </c>
      <c r="B166" s="17" t="str">
        <f aca="false">IF($J166="","",INDEX('Auto Process'!$AQ:$AQ,$J166))</f>
        <v/>
      </c>
      <c r="C166" s="17" t="str">
        <f aca="false">IF($J166="","",INDEX('Auto Process'!$AR:$AR,$J166))</f>
        <v/>
      </c>
      <c r="D166" s="17" t="str">
        <f aca="false">IF($J166="","",INDEX('Auto Process'!$AS:$AS,$J166))</f>
        <v/>
      </c>
      <c r="E166" s="17" t="str">
        <f aca="false">IF($J166="","",INDEX('Auto Process'!$AT:$AT,$J166))</f>
        <v/>
      </c>
      <c r="F166" s="17" t="str">
        <f aca="false">IF($J166="","",INDEX('Auto Process'!$AU:$AU,$J166))</f>
        <v/>
      </c>
      <c r="G166" s="17" t="str">
        <f aca="false">IF($J166="","",INDEX('Auto Process'!$AV:$AV,$J166))</f>
        <v/>
      </c>
      <c r="H166" s="17" t="str">
        <f aca="false">IF($J166="","",INDEX('Auto Process'!$AW:$AW,$J166))</f>
        <v/>
      </c>
      <c r="J166" s="14" t="str">
        <f aca="false">IFERROR(_xlfn.AGGREGATE(15,6,ROW('Auto Process'!$D$4:$D$503)/('Auto Process'!$D$4:$D$503="Followup"),ROW()-1),"")</f>
        <v/>
      </c>
    </row>
    <row r="167" customFormat="false" ht="15" hidden="false" customHeight="true" outlineLevel="0" collapsed="false">
      <c r="A167" s="17" t="str">
        <f aca="false">IF($J167="","",INDEX('Auto Process'!$AP:$AP,$J167))</f>
        <v/>
      </c>
      <c r="B167" s="17" t="str">
        <f aca="false">IF($J167="","",INDEX('Auto Process'!$AQ:$AQ,$J167))</f>
        <v/>
      </c>
      <c r="C167" s="17" t="str">
        <f aca="false">IF($J167="","",INDEX('Auto Process'!$AR:$AR,$J167))</f>
        <v/>
      </c>
      <c r="D167" s="17" t="str">
        <f aca="false">IF($J167="","",INDEX('Auto Process'!$AS:$AS,$J167))</f>
        <v/>
      </c>
      <c r="E167" s="17" t="str">
        <f aca="false">IF($J167="","",INDEX('Auto Process'!$AT:$AT,$J167))</f>
        <v/>
      </c>
      <c r="F167" s="17" t="str">
        <f aca="false">IF($J167="","",INDEX('Auto Process'!$AU:$AU,$J167))</f>
        <v/>
      </c>
      <c r="G167" s="17" t="str">
        <f aca="false">IF($J167="","",INDEX('Auto Process'!$AV:$AV,$J167))</f>
        <v/>
      </c>
      <c r="H167" s="17" t="str">
        <f aca="false">IF($J167="","",INDEX('Auto Process'!$AW:$AW,$J167))</f>
        <v/>
      </c>
      <c r="J167" s="14" t="str">
        <f aca="false">IFERROR(_xlfn.AGGREGATE(15,6,ROW('Auto Process'!$D$4:$D$503)/('Auto Process'!$D$4:$D$503="Followup"),ROW()-1),"")</f>
        <v/>
      </c>
    </row>
    <row r="168" customFormat="false" ht="15" hidden="false" customHeight="true" outlineLevel="0" collapsed="false">
      <c r="A168" s="17" t="str">
        <f aca="false">IF($J168="","",INDEX('Auto Process'!$AP:$AP,$J168))</f>
        <v/>
      </c>
      <c r="B168" s="17" t="str">
        <f aca="false">IF($J168="","",INDEX('Auto Process'!$AQ:$AQ,$J168))</f>
        <v/>
      </c>
      <c r="C168" s="17" t="str">
        <f aca="false">IF($J168="","",INDEX('Auto Process'!$AR:$AR,$J168))</f>
        <v/>
      </c>
      <c r="D168" s="17" t="str">
        <f aca="false">IF($J168="","",INDEX('Auto Process'!$AS:$AS,$J168))</f>
        <v/>
      </c>
      <c r="E168" s="17" t="str">
        <f aca="false">IF($J168="","",INDEX('Auto Process'!$AT:$AT,$J168))</f>
        <v/>
      </c>
      <c r="F168" s="17" t="str">
        <f aca="false">IF($J168="","",INDEX('Auto Process'!$AU:$AU,$J168))</f>
        <v/>
      </c>
      <c r="G168" s="17" t="str">
        <f aca="false">IF($J168="","",INDEX('Auto Process'!$AV:$AV,$J168))</f>
        <v/>
      </c>
      <c r="H168" s="17" t="str">
        <f aca="false">IF($J168="","",INDEX('Auto Process'!$AW:$AW,$J168))</f>
        <v/>
      </c>
      <c r="J168" s="14" t="str">
        <f aca="false">IFERROR(_xlfn.AGGREGATE(15,6,ROW('Auto Process'!$D$4:$D$503)/('Auto Process'!$D$4:$D$503="Followup"),ROW()-1),"")</f>
        <v/>
      </c>
    </row>
    <row r="169" customFormat="false" ht="15" hidden="false" customHeight="true" outlineLevel="0" collapsed="false">
      <c r="A169" s="17" t="str">
        <f aca="false">IF($J169="","",INDEX('Auto Process'!$AP:$AP,$J169))</f>
        <v/>
      </c>
      <c r="B169" s="17" t="str">
        <f aca="false">IF($J169="","",INDEX('Auto Process'!$AQ:$AQ,$J169))</f>
        <v/>
      </c>
      <c r="C169" s="17" t="str">
        <f aca="false">IF($J169="","",INDEX('Auto Process'!$AR:$AR,$J169))</f>
        <v/>
      </c>
      <c r="D169" s="17" t="str">
        <f aca="false">IF($J169="","",INDEX('Auto Process'!$AS:$AS,$J169))</f>
        <v/>
      </c>
      <c r="E169" s="17" t="str">
        <f aca="false">IF($J169="","",INDEX('Auto Process'!$AT:$AT,$J169))</f>
        <v/>
      </c>
      <c r="F169" s="17" t="str">
        <f aca="false">IF($J169="","",INDEX('Auto Process'!$AU:$AU,$J169))</f>
        <v/>
      </c>
      <c r="G169" s="17" t="str">
        <f aca="false">IF($J169="","",INDEX('Auto Process'!$AV:$AV,$J169))</f>
        <v/>
      </c>
      <c r="H169" s="17" t="str">
        <f aca="false">IF($J169="","",INDEX('Auto Process'!$AW:$AW,$J169))</f>
        <v/>
      </c>
      <c r="J169" s="14" t="str">
        <f aca="false">IFERROR(_xlfn.AGGREGATE(15,6,ROW('Auto Process'!$D$4:$D$503)/('Auto Process'!$D$4:$D$503="Followup"),ROW()-1),"")</f>
        <v/>
      </c>
    </row>
    <row r="170" customFormat="false" ht="15" hidden="false" customHeight="true" outlineLevel="0" collapsed="false">
      <c r="A170" s="17" t="str">
        <f aca="false">IF($J170="","",INDEX('Auto Process'!$AP:$AP,$J170))</f>
        <v/>
      </c>
      <c r="B170" s="17" t="str">
        <f aca="false">IF($J170="","",INDEX('Auto Process'!$AQ:$AQ,$J170))</f>
        <v/>
      </c>
      <c r="C170" s="17" t="str">
        <f aca="false">IF($J170="","",INDEX('Auto Process'!$AR:$AR,$J170))</f>
        <v/>
      </c>
      <c r="D170" s="17" t="str">
        <f aca="false">IF($J170="","",INDEX('Auto Process'!$AS:$AS,$J170))</f>
        <v/>
      </c>
      <c r="E170" s="17" t="str">
        <f aca="false">IF($J170="","",INDEX('Auto Process'!$AT:$AT,$J170))</f>
        <v/>
      </c>
      <c r="F170" s="17" t="str">
        <f aca="false">IF($J170="","",INDEX('Auto Process'!$AU:$AU,$J170))</f>
        <v/>
      </c>
      <c r="G170" s="17" t="str">
        <f aca="false">IF($J170="","",INDEX('Auto Process'!$AV:$AV,$J170))</f>
        <v/>
      </c>
      <c r="H170" s="17" t="str">
        <f aca="false">IF($J170="","",INDEX('Auto Process'!$AW:$AW,$J170))</f>
        <v/>
      </c>
      <c r="J170" s="14" t="str">
        <f aca="false">IFERROR(_xlfn.AGGREGATE(15,6,ROW('Auto Process'!$D$4:$D$503)/('Auto Process'!$D$4:$D$503="Followup"),ROW()-1),"")</f>
        <v/>
      </c>
    </row>
    <row r="171" customFormat="false" ht="15" hidden="false" customHeight="true" outlineLevel="0" collapsed="false">
      <c r="A171" s="17" t="str">
        <f aca="false">IF($J171="","",INDEX('Auto Process'!$AP:$AP,$J171))</f>
        <v/>
      </c>
      <c r="B171" s="17" t="str">
        <f aca="false">IF($J171="","",INDEX('Auto Process'!$AQ:$AQ,$J171))</f>
        <v/>
      </c>
      <c r="C171" s="17" t="str">
        <f aca="false">IF($J171="","",INDEX('Auto Process'!$AR:$AR,$J171))</f>
        <v/>
      </c>
      <c r="D171" s="17" t="str">
        <f aca="false">IF($J171="","",INDEX('Auto Process'!$AS:$AS,$J171))</f>
        <v/>
      </c>
      <c r="E171" s="17" t="str">
        <f aca="false">IF($J171="","",INDEX('Auto Process'!$AT:$AT,$J171))</f>
        <v/>
      </c>
      <c r="F171" s="17" t="str">
        <f aca="false">IF($J171="","",INDEX('Auto Process'!$AU:$AU,$J171))</f>
        <v/>
      </c>
      <c r="G171" s="17" t="str">
        <f aca="false">IF($J171="","",INDEX('Auto Process'!$AV:$AV,$J171))</f>
        <v/>
      </c>
      <c r="H171" s="17" t="str">
        <f aca="false">IF($J171="","",INDEX('Auto Process'!$AW:$AW,$J171))</f>
        <v/>
      </c>
      <c r="J171" s="14" t="str">
        <f aca="false">IFERROR(_xlfn.AGGREGATE(15,6,ROW('Auto Process'!$D$4:$D$503)/('Auto Process'!$D$4:$D$503="Followup"),ROW()-1),"")</f>
        <v/>
      </c>
    </row>
    <row r="172" customFormat="false" ht="15" hidden="false" customHeight="true" outlineLevel="0" collapsed="false">
      <c r="A172" s="17" t="str">
        <f aca="false">IF($J172="","",INDEX('Auto Process'!$AP:$AP,$J172))</f>
        <v/>
      </c>
      <c r="B172" s="17" t="str">
        <f aca="false">IF($J172="","",INDEX('Auto Process'!$AQ:$AQ,$J172))</f>
        <v/>
      </c>
      <c r="C172" s="17" t="str">
        <f aca="false">IF($J172="","",INDEX('Auto Process'!$AR:$AR,$J172))</f>
        <v/>
      </c>
      <c r="D172" s="17" t="str">
        <f aca="false">IF($J172="","",INDEX('Auto Process'!$AS:$AS,$J172))</f>
        <v/>
      </c>
      <c r="E172" s="17" t="str">
        <f aca="false">IF($J172="","",INDEX('Auto Process'!$AT:$AT,$J172))</f>
        <v/>
      </c>
      <c r="F172" s="17" t="str">
        <f aca="false">IF($J172="","",INDEX('Auto Process'!$AU:$AU,$J172))</f>
        <v/>
      </c>
      <c r="G172" s="17" t="str">
        <f aca="false">IF($J172="","",INDEX('Auto Process'!$AV:$AV,$J172))</f>
        <v/>
      </c>
      <c r="H172" s="17" t="str">
        <f aca="false">IF($J172="","",INDEX('Auto Process'!$AW:$AW,$J172))</f>
        <v/>
      </c>
      <c r="J172" s="14" t="str">
        <f aca="false">IFERROR(_xlfn.AGGREGATE(15,6,ROW('Auto Process'!$D$4:$D$503)/('Auto Process'!$D$4:$D$503="Followup"),ROW()-1),"")</f>
        <v/>
      </c>
    </row>
    <row r="173" customFormat="false" ht="15" hidden="false" customHeight="true" outlineLevel="0" collapsed="false">
      <c r="A173" s="17" t="str">
        <f aca="false">IF($J173="","",INDEX('Auto Process'!$AP:$AP,$J173))</f>
        <v/>
      </c>
      <c r="B173" s="17" t="str">
        <f aca="false">IF($J173="","",INDEX('Auto Process'!$AQ:$AQ,$J173))</f>
        <v/>
      </c>
      <c r="C173" s="17" t="str">
        <f aca="false">IF($J173="","",INDEX('Auto Process'!$AR:$AR,$J173))</f>
        <v/>
      </c>
      <c r="D173" s="17" t="str">
        <f aca="false">IF($J173="","",INDEX('Auto Process'!$AS:$AS,$J173))</f>
        <v/>
      </c>
      <c r="E173" s="17" t="str">
        <f aca="false">IF($J173="","",INDEX('Auto Process'!$AT:$AT,$J173))</f>
        <v/>
      </c>
      <c r="F173" s="17" t="str">
        <f aca="false">IF($J173="","",INDEX('Auto Process'!$AU:$AU,$J173))</f>
        <v/>
      </c>
      <c r="G173" s="17" t="str">
        <f aca="false">IF($J173="","",INDEX('Auto Process'!$AV:$AV,$J173))</f>
        <v/>
      </c>
      <c r="H173" s="17" t="str">
        <f aca="false">IF($J173="","",INDEX('Auto Process'!$AW:$AW,$J173))</f>
        <v/>
      </c>
      <c r="J173" s="14" t="str">
        <f aca="false">IFERROR(_xlfn.AGGREGATE(15,6,ROW('Auto Process'!$D$4:$D$503)/('Auto Process'!$D$4:$D$503="Followup"),ROW()-1),"")</f>
        <v/>
      </c>
    </row>
    <row r="174" customFormat="false" ht="15" hidden="false" customHeight="true" outlineLevel="0" collapsed="false">
      <c r="A174" s="17" t="str">
        <f aca="false">IF($J174="","",INDEX('Auto Process'!$AP:$AP,$J174))</f>
        <v/>
      </c>
      <c r="B174" s="17" t="str">
        <f aca="false">IF($J174="","",INDEX('Auto Process'!$AQ:$AQ,$J174))</f>
        <v/>
      </c>
      <c r="C174" s="17" t="str">
        <f aca="false">IF($J174="","",INDEX('Auto Process'!$AR:$AR,$J174))</f>
        <v/>
      </c>
      <c r="D174" s="17" t="str">
        <f aca="false">IF($J174="","",INDEX('Auto Process'!$AS:$AS,$J174))</f>
        <v/>
      </c>
      <c r="E174" s="17" t="str">
        <f aca="false">IF($J174="","",INDEX('Auto Process'!$AT:$AT,$J174))</f>
        <v/>
      </c>
      <c r="F174" s="17" t="str">
        <f aca="false">IF($J174="","",INDEX('Auto Process'!$AU:$AU,$J174))</f>
        <v/>
      </c>
      <c r="G174" s="17" t="str">
        <f aca="false">IF($J174="","",INDEX('Auto Process'!$AV:$AV,$J174))</f>
        <v/>
      </c>
      <c r="H174" s="17" t="str">
        <f aca="false">IF($J174="","",INDEX('Auto Process'!$AW:$AW,$J174))</f>
        <v/>
      </c>
      <c r="J174" s="14" t="str">
        <f aca="false">IFERROR(_xlfn.AGGREGATE(15,6,ROW('Auto Process'!$D$4:$D$503)/('Auto Process'!$D$4:$D$503="Followup"),ROW()-1),"")</f>
        <v/>
      </c>
    </row>
    <row r="175" customFormat="false" ht="15" hidden="false" customHeight="true" outlineLevel="0" collapsed="false">
      <c r="A175" s="17" t="str">
        <f aca="false">IF($J175="","",INDEX('Auto Process'!$AP:$AP,$J175))</f>
        <v/>
      </c>
      <c r="B175" s="17" t="str">
        <f aca="false">IF($J175="","",INDEX('Auto Process'!$AQ:$AQ,$J175))</f>
        <v/>
      </c>
      <c r="C175" s="17" t="str">
        <f aca="false">IF($J175="","",INDEX('Auto Process'!$AR:$AR,$J175))</f>
        <v/>
      </c>
      <c r="D175" s="17" t="str">
        <f aca="false">IF($J175="","",INDEX('Auto Process'!$AS:$AS,$J175))</f>
        <v/>
      </c>
      <c r="E175" s="17" t="str">
        <f aca="false">IF($J175="","",INDEX('Auto Process'!$AT:$AT,$J175))</f>
        <v/>
      </c>
      <c r="F175" s="17" t="str">
        <f aca="false">IF($J175="","",INDEX('Auto Process'!$AU:$AU,$J175))</f>
        <v/>
      </c>
      <c r="G175" s="17" t="str">
        <f aca="false">IF($J175="","",INDEX('Auto Process'!$AV:$AV,$J175))</f>
        <v/>
      </c>
      <c r="H175" s="17" t="str">
        <f aca="false">IF($J175="","",INDEX('Auto Process'!$AW:$AW,$J175))</f>
        <v/>
      </c>
      <c r="J175" s="14" t="str">
        <f aca="false">IFERROR(_xlfn.AGGREGATE(15,6,ROW('Auto Process'!$D$4:$D$503)/('Auto Process'!$D$4:$D$503="Followup"),ROW()-1),"")</f>
        <v/>
      </c>
    </row>
    <row r="176" customFormat="false" ht="15" hidden="false" customHeight="true" outlineLevel="0" collapsed="false">
      <c r="A176" s="17" t="str">
        <f aca="false">IF($J176="","",INDEX('Auto Process'!$AP:$AP,$J176))</f>
        <v/>
      </c>
      <c r="B176" s="17" t="str">
        <f aca="false">IF($J176="","",INDEX('Auto Process'!$AQ:$AQ,$J176))</f>
        <v/>
      </c>
      <c r="C176" s="17" t="str">
        <f aca="false">IF($J176="","",INDEX('Auto Process'!$AR:$AR,$J176))</f>
        <v/>
      </c>
      <c r="D176" s="17" t="str">
        <f aca="false">IF($J176="","",INDEX('Auto Process'!$AS:$AS,$J176))</f>
        <v/>
      </c>
      <c r="E176" s="17" t="str">
        <f aca="false">IF($J176="","",INDEX('Auto Process'!$AT:$AT,$J176))</f>
        <v/>
      </c>
      <c r="F176" s="17" t="str">
        <f aca="false">IF($J176="","",INDEX('Auto Process'!$AU:$AU,$J176))</f>
        <v/>
      </c>
      <c r="G176" s="17" t="str">
        <f aca="false">IF($J176="","",INDEX('Auto Process'!$AV:$AV,$J176))</f>
        <v/>
      </c>
      <c r="H176" s="17" t="str">
        <f aca="false">IF($J176="","",INDEX('Auto Process'!$AW:$AW,$J176))</f>
        <v/>
      </c>
      <c r="J176" s="14" t="str">
        <f aca="false">IFERROR(_xlfn.AGGREGATE(15,6,ROW('Auto Process'!$D$4:$D$503)/('Auto Process'!$D$4:$D$503="Followup"),ROW()-1),"")</f>
        <v/>
      </c>
    </row>
    <row r="177" customFormat="false" ht="15" hidden="false" customHeight="true" outlineLevel="0" collapsed="false">
      <c r="A177" s="17" t="str">
        <f aca="false">IF($J177="","",INDEX('Auto Process'!$AP:$AP,$J177))</f>
        <v/>
      </c>
      <c r="B177" s="17" t="str">
        <f aca="false">IF($J177="","",INDEX('Auto Process'!$AQ:$AQ,$J177))</f>
        <v/>
      </c>
      <c r="C177" s="17" t="str">
        <f aca="false">IF($J177="","",INDEX('Auto Process'!$AR:$AR,$J177))</f>
        <v/>
      </c>
      <c r="D177" s="17" t="str">
        <f aca="false">IF($J177="","",INDEX('Auto Process'!$AS:$AS,$J177))</f>
        <v/>
      </c>
      <c r="E177" s="17" t="str">
        <f aca="false">IF($J177="","",INDEX('Auto Process'!$AT:$AT,$J177))</f>
        <v/>
      </c>
      <c r="F177" s="17" t="str">
        <f aca="false">IF($J177="","",INDEX('Auto Process'!$AU:$AU,$J177))</f>
        <v/>
      </c>
      <c r="G177" s="17" t="str">
        <f aca="false">IF($J177="","",INDEX('Auto Process'!$AV:$AV,$J177))</f>
        <v/>
      </c>
      <c r="H177" s="17" t="str">
        <f aca="false">IF($J177="","",INDEX('Auto Process'!$AW:$AW,$J177))</f>
        <v/>
      </c>
      <c r="J177" s="14" t="str">
        <f aca="false">IFERROR(_xlfn.AGGREGATE(15,6,ROW('Auto Process'!$D$4:$D$503)/('Auto Process'!$D$4:$D$503="Followup"),ROW()-1),"")</f>
        <v/>
      </c>
    </row>
    <row r="178" customFormat="false" ht="15" hidden="false" customHeight="true" outlineLevel="0" collapsed="false">
      <c r="A178" s="17" t="str">
        <f aca="false">IF($J178="","",INDEX('Auto Process'!$AP:$AP,$J178))</f>
        <v/>
      </c>
      <c r="B178" s="17" t="str">
        <f aca="false">IF($J178="","",INDEX('Auto Process'!$AQ:$AQ,$J178))</f>
        <v/>
      </c>
      <c r="C178" s="17" t="str">
        <f aca="false">IF($J178="","",INDEX('Auto Process'!$AR:$AR,$J178))</f>
        <v/>
      </c>
      <c r="D178" s="17" t="str">
        <f aca="false">IF($J178="","",INDEX('Auto Process'!$AS:$AS,$J178))</f>
        <v/>
      </c>
      <c r="E178" s="17" t="str">
        <f aca="false">IF($J178="","",INDEX('Auto Process'!$AT:$AT,$J178))</f>
        <v/>
      </c>
      <c r="F178" s="17" t="str">
        <f aca="false">IF($J178="","",INDEX('Auto Process'!$AU:$AU,$J178))</f>
        <v/>
      </c>
      <c r="G178" s="17" t="str">
        <f aca="false">IF($J178="","",INDEX('Auto Process'!$AV:$AV,$J178))</f>
        <v/>
      </c>
      <c r="H178" s="17" t="str">
        <f aca="false">IF($J178="","",INDEX('Auto Process'!$AW:$AW,$J178))</f>
        <v/>
      </c>
      <c r="J178" s="14" t="str">
        <f aca="false">IFERROR(_xlfn.AGGREGATE(15,6,ROW('Auto Process'!$D$4:$D$503)/('Auto Process'!$D$4:$D$503="Followup"),ROW()-1),"")</f>
        <v/>
      </c>
    </row>
    <row r="179" customFormat="false" ht="15" hidden="false" customHeight="true" outlineLevel="0" collapsed="false">
      <c r="A179" s="17" t="str">
        <f aca="false">IF($J179="","",INDEX('Auto Process'!$AP:$AP,$J179))</f>
        <v/>
      </c>
      <c r="B179" s="17" t="str">
        <f aca="false">IF($J179="","",INDEX('Auto Process'!$AQ:$AQ,$J179))</f>
        <v/>
      </c>
      <c r="C179" s="17" t="str">
        <f aca="false">IF($J179="","",INDEX('Auto Process'!$AR:$AR,$J179))</f>
        <v/>
      </c>
      <c r="D179" s="17" t="str">
        <f aca="false">IF($J179="","",INDEX('Auto Process'!$AS:$AS,$J179))</f>
        <v/>
      </c>
      <c r="E179" s="17" t="str">
        <f aca="false">IF($J179="","",INDEX('Auto Process'!$AT:$AT,$J179))</f>
        <v/>
      </c>
      <c r="F179" s="17" t="str">
        <f aca="false">IF($J179="","",INDEX('Auto Process'!$AU:$AU,$J179))</f>
        <v/>
      </c>
      <c r="G179" s="17" t="str">
        <f aca="false">IF($J179="","",INDEX('Auto Process'!$AV:$AV,$J179))</f>
        <v/>
      </c>
      <c r="H179" s="17" t="str">
        <f aca="false">IF($J179="","",INDEX('Auto Process'!$AW:$AW,$J179))</f>
        <v/>
      </c>
      <c r="J179" s="14" t="str">
        <f aca="false">IFERROR(_xlfn.AGGREGATE(15,6,ROW('Auto Process'!$D$4:$D$503)/('Auto Process'!$D$4:$D$503="Followup"),ROW()-1),"")</f>
        <v/>
      </c>
    </row>
    <row r="180" customFormat="false" ht="15" hidden="false" customHeight="true" outlineLevel="0" collapsed="false">
      <c r="A180" s="17" t="str">
        <f aca="false">IF($J180="","",INDEX('Auto Process'!$AP:$AP,$J180))</f>
        <v/>
      </c>
      <c r="B180" s="17" t="str">
        <f aca="false">IF($J180="","",INDEX('Auto Process'!$AQ:$AQ,$J180))</f>
        <v/>
      </c>
      <c r="C180" s="17" t="str">
        <f aca="false">IF($J180="","",INDEX('Auto Process'!$AR:$AR,$J180))</f>
        <v/>
      </c>
      <c r="D180" s="17" t="str">
        <f aca="false">IF($J180="","",INDEX('Auto Process'!$AS:$AS,$J180))</f>
        <v/>
      </c>
      <c r="E180" s="17" t="str">
        <f aca="false">IF($J180="","",INDEX('Auto Process'!$AT:$AT,$J180))</f>
        <v/>
      </c>
      <c r="F180" s="17" t="str">
        <f aca="false">IF($J180="","",INDEX('Auto Process'!$AU:$AU,$J180))</f>
        <v/>
      </c>
      <c r="G180" s="17" t="str">
        <f aca="false">IF($J180="","",INDEX('Auto Process'!$AV:$AV,$J180))</f>
        <v/>
      </c>
      <c r="H180" s="17" t="str">
        <f aca="false">IF($J180="","",INDEX('Auto Process'!$AW:$AW,$J180))</f>
        <v/>
      </c>
      <c r="J180" s="14" t="str">
        <f aca="false">IFERROR(_xlfn.AGGREGATE(15,6,ROW('Auto Process'!$D$4:$D$503)/('Auto Process'!$D$4:$D$503="Followup"),ROW()-1),"")</f>
        <v/>
      </c>
    </row>
    <row r="181" customFormat="false" ht="15" hidden="false" customHeight="true" outlineLevel="0" collapsed="false">
      <c r="A181" s="17" t="str">
        <f aca="false">IF($J181="","",INDEX('Auto Process'!$AP:$AP,$J181))</f>
        <v/>
      </c>
      <c r="B181" s="17" t="str">
        <f aca="false">IF($J181="","",INDEX('Auto Process'!$AQ:$AQ,$J181))</f>
        <v/>
      </c>
      <c r="C181" s="17" t="str">
        <f aca="false">IF($J181="","",INDEX('Auto Process'!$AR:$AR,$J181))</f>
        <v/>
      </c>
      <c r="D181" s="17" t="str">
        <f aca="false">IF($J181="","",INDEX('Auto Process'!$AS:$AS,$J181))</f>
        <v/>
      </c>
      <c r="E181" s="17" t="str">
        <f aca="false">IF($J181="","",INDEX('Auto Process'!$AT:$AT,$J181))</f>
        <v/>
      </c>
      <c r="F181" s="17" t="str">
        <f aca="false">IF($J181="","",INDEX('Auto Process'!$AU:$AU,$J181))</f>
        <v/>
      </c>
      <c r="G181" s="17" t="str">
        <f aca="false">IF($J181="","",INDEX('Auto Process'!$AV:$AV,$J181))</f>
        <v/>
      </c>
      <c r="H181" s="17" t="str">
        <f aca="false">IF($J181="","",INDEX('Auto Process'!$AW:$AW,$J181))</f>
        <v/>
      </c>
      <c r="J181" s="14" t="str">
        <f aca="false">IFERROR(_xlfn.AGGREGATE(15,6,ROW('Auto Process'!$D$4:$D$503)/('Auto Process'!$D$4:$D$503="Followup"),ROW()-1),"")</f>
        <v/>
      </c>
    </row>
    <row r="182" customFormat="false" ht="15" hidden="false" customHeight="true" outlineLevel="0" collapsed="false">
      <c r="A182" s="17" t="str">
        <f aca="false">IF($J182="","",INDEX('Auto Process'!$AP:$AP,$J182))</f>
        <v/>
      </c>
      <c r="B182" s="17" t="str">
        <f aca="false">IF($J182="","",INDEX('Auto Process'!$AQ:$AQ,$J182))</f>
        <v/>
      </c>
      <c r="C182" s="17" t="str">
        <f aca="false">IF($J182="","",INDEX('Auto Process'!$AR:$AR,$J182))</f>
        <v/>
      </c>
      <c r="D182" s="17" t="str">
        <f aca="false">IF($J182="","",INDEX('Auto Process'!$AS:$AS,$J182))</f>
        <v/>
      </c>
      <c r="E182" s="17" t="str">
        <f aca="false">IF($J182="","",INDEX('Auto Process'!$AT:$AT,$J182))</f>
        <v/>
      </c>
      <c r="F182" s="17" t="str">
        <f aca="false">IF($J182="","",INDEX('Auto Process'!$AU:$AU,$J182))</f>
        <v/>
      </c>
      <c r="G182" s="17" t="str">
        <f aca="false">IF($J182="","",INDEX('Auto Process'!$AV:$AV,$J182))</f>
        <v/>
      </c>
      <c r="H182" s="17" t="str">
        <f aca="false">IF($J182="","",INDEX('Auto Process'!$AW:$AW,$J182))</f>
        <v/>
      </c>
      <c r="J182" s="14" t="str">
        <f aca="false">IFERROR(_xlfn.AGGREGATE(15,6,ROW('Auto Process'!$D$4:$D$503)/('Auto Process'!$D$4:$D$503="Followup"),ROW()-1),"")</f>
        <v/>
      </c>
    </row>
    <row r="183" customFormat="false" ht="15" hidden="false" customHeight="true" outlineLevel="0" collapsed="false">
      <c r="A183" s="17" t="str">
        <f aca="false">IF($J183="","",INDEX('Auto Process'!$AP:$AP,$J183))</f>
        <v/>
      </c>
      <c r="B183" s="17" t="str">
        <f aca="false">IF($J183="","",INDEX('Auto Process'!$AQ:$AQ,$J183))</f>
        <v/>
      </c>
      <c r="C183" s="17" t="str">
        <f aca="false">IF($J183="","",INDEX('Auto Process'!$AR:$AR,$J183))</f>
        <v/>
      </c>
      <c r="D183" s="17" t="str">
        <f aca="false">IF($J183="","",INDEX('Auto Process'!$AS:$AS,$J183))</f>
        <v/>
      </c>
      <c r="E183" s="17" t="str">
        <f aca="false">IF($J183="","",INDEX('Auto Process'!$AT:$AT,$J183))</f>
        <v/>
      </c>
      <c r="F183" s="17" t="str">
        <f aca="false">IF($J183="","",INDEX('Auto Process'!$AU:$AU,$J183))</f>
        <v/>
      </c>
      <c r="G183" s="17" t="str">
        <f aca="false">IF($J183="","",INDEX('Auto Process'!$AV:$AV,$J183))</f>
        <v/>
      </c>
      <c r="H183" s="17" t="str">
        <f aca="false">IF($J183="","",INDEX('Auto Process'!$AW:$AW,$J183))</f>
        <v/>
      </c>
      <c r="J183" s="14" t="str">
        <f aca="false">IFERROR(_xlfn.AGGREGATE(15,6,ROW('Auto Process'!$D$4:$D$503)/('Auto Process'!$D$4:$D$503="Followup"),ROW()-1),"")</f>
        <v/>
      </c>
    </row>
    <row r="184" customFormat="false" ht="15" hidden="false" customHeight="true" outlineLevel="0" collapsed="false">
      <c r="A184" s="17" t="str">
        <f aca="false">IF($J184="","",INDEX('Auto Process'!$AP:$AP,$J184))</f>
        <v/>
      </c>
      <c r="B184" s="17" t="str">
        <f aca="false">IF($J184="","",INDEX('Auto Process'!$AQ:$AQ,$J184))</f>
        <v/>
      </c>
      <c r="C184" s="17" t="str">
        <f aca="false">IF($J184="","",INDEX('Auto Process'!$AR:$AR,$J184))</f>
        <v/>
      </c>
      <c r="D184" s="17" t="str">
        <f aca="false">IF($J184="","",INDEX('Auto Process'!$AS:$AS,$J184))</f>
        <v/>
      </c>
      <c r="E184" s="17" t="str">
        <f aca="false">IF($J184="","",INDEX('Auto Process'!$AT:$AT,$J184))</f>
        <v/>
      </c>
      <c r="F184" s="17" t="str">
        <f aca="false">IF($J184="","",INDEX('Auto Process'!$AU:$AU,$J184))</f>
        <v/>
      </c>
      <c r="G184" s="17" t="str">
        <f aca="false">IF($J184="","",INDEX('Auto Process'!$AV:$AV,$J184))</f>
        <v/>
      </c>
      <c r="H184" s="17" t="str">
        <f aca="false">IF($J184="","",INDEX('Auto Process'!$AW:$AW,$J184))</f>
        <v/>
      </c>
      <c r="J184" s="14" t="str">
        <f aca="false">IFERROR(_xlfn.AGGREGATE(15,6,ROW('Auto Process'!$D$4:$D$503)/('Auto Process'!$D$4:$D$503="Followup"),ROW()-1),"")</f>
        <v/>
      </c>
    </row>
    <row r="185" customFormat="false" ht="15" hidden="false" customHeight="true" outlineLevel="0" collapsed="false">
      <c r="A185" s="17" t="str">
        <f aca="false">IF($J185="","",INDEX('Auto Process'!$AP:$AP,$J185))</f>
        <v/>
      </c>
      <c r="B185" s="17" t="str">
        <f aca="false">IF($J185="","",INDEX('Auto Process'!$AQ:$AQ,$J185))</f>
        <v/>
      </c>
      <c r="C185" s="17" t="str">
        <f aca="false">IF($J185="","",INDEX('Auto Process'!$AR:$AR,$J185))</f>
        <v/>
      </c>
      <c r="D185" s="17" t="str">
        <f aca="false">IF($J185="","",INDEX('Auto Process'!$AS:$AS,$J185))</f>
        <v/>
      </c>
      <c r="E185" s="17" t="str">
        <f aca="false">IF($J185="","",INDEX('Auto Process'!$AT:$AT,$J185))</f>
        <v/>
      </c>
      <c r="F185" s="17" t="str">
        <f aca="false">IF($J185="","",INDEX('Auto Process'!$AU:$AU,$J185))</f>
        <v/>
      </c>
      <c r="G185" s="17" t="str">
        <f aca="false">IF($J185="","",INDEX('Auto Process'!$AV:$AV,$J185))</f>
        <v/>
      </c>
      <c r="H185" s="17" t="str">
        <f aca="false">IF($J185="","",INDEX('Auto Process'!$AW:$AW,$J185))</f>
        <v/>
      </c>
      <c r="J185" s="14" t="str">
        <f aca="false">IFERROR(_xlfn.AGGREGATE(15,6,ROW('Auto Process'!$D$4:$D$503)/('Auto Process'!$D$4:$D$503="Followup"),ROW()-1),"")</f>
        <v/>
      </c>
    </row>
    <row r="186" customFormat="false" ht="15" hidden="false" customHeight="true" outlineLevel="0" collapsed="false">
      <c r="A186" s="17" t="str">
        <f aca="false">IF($J186="","",INDEX('Auto Process'!$AP:$AP,$J186))</f>
        <v/>
      </c>
      <c r="B186" s="17" t="str">
        <f aca="false">IF($J186="","",INDEX('Auto Process'!$AQ:$AQ,$J186))</f>
        <v/>
      </c>
      <c r="C186" s="17" t="str">
        <f aca="false">IF($J186="","",INDEX('Auto Process'!$AR:$AR,$J186))</f>
        <v/>
      </c>
      <c r="D186" s="17" t="str">
        <f aca="false">IF($J186="","",INDEX('Auto Process'!$AS:$AS,$J186))</f>
        <v/>
      </c>
      <c r="E186" s="17" t="str">
        <f aca="false">IF($J186="","",INDEX('Auto Process'!$AT:$AT,$J186))</f>
        <v/>
      </c>
      <c r="F186" s="17" t="str">
        <f aca="false">IF($J186="","",INDEX('Auto Process'!$AU:$AU,$J186))</f>
        <v/>
      </c>
      <c r="G186" s="17" t="str">
        <f aca="false">IF($J186="","",INDEX('Auto Process'!$AV:$AV,$J186))</f>
        <v/>
      </c>
      <c r="H186" s="17" t="str">
        <f aca="false">IF($J186="","",INDEX('Auto Process'!$AW:$AW,$J186))</f>
        <v/>
      </c>
      <c r="J186" s="14" t="str">
        <f aca="false">IFERROR(_xlfn.AGGREGATE(15,6,ROW('Auto Process'!$D$4:$D$503)/('Auto Process'!$D$4:$D$503="Followup"),ROW()-1),"")</f>
        <v/>
      </c>
    </row>
    <row r="187" customFormat="false" ht="15" hidden="false" customHeight="true" outlineLevel="0" collapsed="false">
      <c r="A187" s="17" t="str">
        <f aca="false">IF($J187="","",INDEX('Auto Process'!$AP:$AP,$J187))</f>
        <v/>
      </c>
      <c r="B187" s="17" t="str">
        <f aca="false">IF($J187="","",INDEX('Auto Process'!$AQ:$AQ,$J187))</f>
        <v/>
      </c>
      <c r="C187" s="17" t="str">
        <f aca="false">IF($J187="","",INDEX('Auto Process'!$AR:$AR,$J187))</f>
        <v/>
      </c>
      <c r="D187" s="17" t="str">
        <f aca="false">IF($J187="","",INDEX('Auto Process'!$AS:$AS,$J187))</f>
        <v/>
      </c>
      <c r="E187" s="17" t="str">
        <f aca="false">IF($J187="","",INDEX('Auto Process'!$AT:$AT,$J187))</f>
        <v/>
      </c>
      <c r="F187" s="17" t="str">
        <f aca="false">IF($J187="","",INDEX('Auto Process'!$AU:$AU,$J187))</f>
        <v/>
      </c>
      <c r="G187" s="17" t="str">
        <f aca="false">IF($J187="","",INDEX('Auto Process'!$AV:$AV,$J187))</f>
        <v/>
      </c>
      <c r="H187" s="17" t="str">
        <f aca="false">IF($J187="","",INDEX('Auto Process'!$AW:$AW,$J187))</f>
        <v/>
      </c>
      <c r="J187" s="14" t="str">
        <f aca="false">IFERROR(_xlfn.AGGREGATE(15,6,ROW('Auto Process'!$D$4:$D$503)/('Auto Process'!$D$4:$D$503="Followup"),ROW()-1),"")</f>
        <v/>
      </c>
    </row>
    <row r="188" customFormat="false" ht="15" hidden="false" customHeight="true" outlineLevel="0" collapsed="false">
      <c r="A188" s="17" t="str">
        <f aca="false">IF($J188="","",INDEX('Auto Process'!$AP:$AP,$J188))</f>
        <v/>
      </c>
      <c r="B188" s="17" t="str">
        <f aca="false">IF($J188="","",INDEX('Auto Process'!$AQ:$AQ,$J188))</f>
        <v/>
      </c>
      <c r="C188" s="17" t="str">
        <f aca="false">IF($J188="","",INDEX('Auto Process'!$AR:$AR,$J188))</f>
        <v/>
      </c>
      <c r="D188" s="17" t="str">
        <f aca="false">IF($J188="","",INDEX('Auto Process'!$AS:$AS,$J188))</f>
        <v/>
      </c>
      <c r="E188" s="17" t="str">
        <f aca="false">IF($J188="","",INDEX('Auto Process'!$AT:$AT,$J188))</f>
        <v/>
      </c>
      <c r="F188" s="17" t="str">
        <f aca="false">IF($J188="","",INDEX('Auto Process'!$AU:$AU,$J188))</f>
        <v/>
      </c>
      <c r="G188" s="17" t="str">
        <f aca="false">IF($J188="","",INDEX('Auto Process'!$AV:$AV,$J188))</f>
        <v/>
      </c>
      <c r="H188" s="17" t="str">
        <f aca="false">IF($J188="","",INDEX('Auto Process'!$AW:$AW,$J188))</f>
        <v/>
      </c>
      <c r="J188" s="14" t="str">
        <f aca="false">IFERROR(_xlfn.AGGREGATE(15,6,ROW('Auto Process'!$D$4:$D$503)/('Auto Process'!$D$4:$D$503="Followup"),ROW()-1),"")</f>
        <v/>
      </c>
    </row>
    <row r="189" customFormat="false" ht="15" hidden="false" customHeight="true" outlineLevel="0" collapsed="false">
      <c r="A189" s="17" t="str">
        <f aca="false">IF($J189="","",INDEX('Auto Process'!$AP:$AP,$J189))</f>
        <v/>
      </c>
      <c r="B189" s="17" t="str">
        <f aca="false">IF($J189="","",INDEX('Auto Process'!$AQ:$AQ,$J189))</f>
        <v/>
      </c>
      <c r="C189" s="17" t="str">
        <f aca="false">IF($J189="","",INDEX('Auto Process'!$AR:$AR,$J189))</f>
        <v/>
      </c>
      <c r="D189" s="17" t="str">
        <f aca="false">IF($J189="","",INDEX('Auto Process'!$AS:$AS,$J189))</f>
        <v/>
      </c>
      <c r="E189" s="17" t="str">
        <f aca="false">IF($J189="","",INDEX('Auto Process'!$AT:$AT,$J189))</f>
        <v/>
      </c>
      <c r="F189" s="17" t="str">
        <f aca="false">IF($J189="","",INDEX('Auto Process'!$AU:$AU,$J189))</f>
        <v/>
      </c>
      <c r="G189" s="17" t="str">
        <f aca="false">IF($J189="","",INDEX('Auto Process'!$AV:$AV,$J189))</f>
        <v/>
      </c>
      <c r="H189" s="17" t="str">
        <f aca="false">IF($J189="","",INDEX('Auto Process'!$AW:$AW,$J189))</f>
        <v/>
      </c>
      <c r="J189" s="14" t="str">
        <f aca="false">IFERROR(_xlfn.AGGREGATE(15,6,ROW('Auto Process'!$D$4:$D$503)/('Auto Process'!$D$4:$D$503="Followup"),ROW()-1),"")</f>
        <v/>
      </c>
    </row>
    <row r="190" customFormat="false" ht="15" hidden="false" customHeight="true" outlineLevel="0" collapsed="false">
      <c r="A190" s="17" t="str">
        <f aca="false">IF($J190="","",INDEX('Auto Process'!$AP:$AP,$J190))</f>
        <v/>
      </c>
      <c r="B190" s="17" t="str">
        <f aca="false">IF($J190="","",INDEX('Auto Process'!$AQ:$AQ,$J190))</f>
        <v/>
      </c>
      <c r="C190" s="17" t="str">
        <f aca="false">IF($J190="","",INDEX('Auto Process'!$AR:$AR,$J190))</f>
        <v/>
      </c>
      <c r="D190" s="17" t="str">
        <f aca="false">IF($J190="","",INDEX('Auto Process'!$AS:$AS,$J190))</f>
        <v/>
      </c>
      <c r="E190" s="17" t="str">
        <f aca="false">IF($J190="","",INDEX('Auto Process'!$AT:$AT,$J190))</f>
        <v/>
      </c>
      <c r="F190" s="17" t="str">
        <f aca="false">IF($J190="","",INDEX('Auto Process'!$AU:$AU,$J190))</f>
        <v/>
      </c>
      <c r="G190" s="17" t="str">
        <f aca="false">IF($J190="","",INDEX('Auto Process'!$AV:$AV,$J190))</f>
        <v/>
      </c>
      <c r="H190" s="17" t="str">
        <f aca="false">IF($J190="","",INDEX('Auto Process'!$AW:$AW,$J190))</f>
        <v/>
      </c>
      <c r="J190" s="14" t="str">
        <f aca="false">IFERROR(_xlfn.AGGREGATE(15,6,ROW('Auto Process'!$D$4:$D$503)/('Auto Process'!$D$4:$D$503="Followup"),ROW()-1),"")</f>
        <v/>
      </c>
    </row>
    <row r="191" customFormat="false" ht="15" hidden="false" customHeight="true" outlineLevel="0" collapsed="false">
      <c r="A191" s="17" t="str">
        <f aca="false">IF($J191="","",INDEX('Auto Process'!$AP:$AP,$J191))</f>
        <v/>
      </c>
      <c r="B191" s="17" t="str">
        <f aca="false">IF($J191="","",INDEX('Auto Process'!$AQ:$AQ,$J191))</f>
        <v/>
      </c>
      <c r="C191" s="17" t="str">
        <f aca="false">IF($J191="","",INDEX('Auto Process'!$AR:$AR,$J191))</f>
        <v/>
      </c>
      <c r="D191" s="17" t="str">
        <f aca="false">IF($J191="","",INDEX('Auto Process'!$AS:$AS,$J191))</f>
        <v/>
      </c>
      <c r="E191" s="17" t="str">
        <f aca="false">IF($J191="","",INDEX('Auto Process'!$AT:$AT,$J191))</f>
        <v/>
      </c>
      <c r="F191" s="17" t="str">
        <f aca="false">IF($J191="","",INDEX('Auto Process'!$AU:$AU,$J191))</f>
        <v/>
      </c>
      <c r="G191" s="17" t="str">
        <f aca="false">IF($J191="","",INDEX('Auto Process'!$AV:$AV,$J191))</f>
        <v/>
      </c>
      <c r="H191" s="17" t="str">
        <f aca="false">IF($J191="","",INDEX('Auto Process'!$AW:$AW,$J191))</f>
        <v/>
      </c>
      <c r="J191" s="14" t="str">
        <f aca="false">IFERROR(_xlfn.AGGREGATE(15,6,ROW('Auto Process'!$D$4:$D$503)/('Auto Process'!$D$4:$D$503="Followup"),ROW()-1),"")</f>
        <v/>
      </c>
    </row>
    <row r="192" customFormat="false" ht="15" hidden="false" customHeight="true" outlineLevel="0" collapsed="false">
      <c r="A192" s="17" t="str">
        <f aca="false">IF($J192="","",INDEX('Auto Process'!$AP:$AP,$J192))</f>
        <v/>
      </c>
      <c r="B192" s="17" t="str">
        <f aca="false">IF($J192="","",INDEX('Auto Process'!$AQ:$AQ,$J192))</f>
        <v/>
      </c>
      <c r="C192" s="17" t="str">
        <f aca="false">IF($J192="","",INDEX('Auto Process'!$AR:$AR,$J192))</f>
        <v/>
      </c>
      <c r="D192" s="17" t="str">
        <f aca="false">IF($J192="","",INDEX('Auto Process'!$AS:$AS,$J192))</f>
        <v/>
      </c>
      <c r="E192" s="17" t="str">
        <f aca="false">IF($J192="","",INDEX('Auto Process'!$AT:$AT,$J192))</f>
        <v/>
      </c>
      <c r="F192" s="17" t="str">
        <f aca="false">IF($J192="","",INDEX('Auto Process'!$AU:$AU,$J192))</f>
        <v/>
      </c>
      <c r="G192" s="17" t="str">
        <f aca="false">IF($J192="","",INDEX('Auto Process'!$AV:$AV,$J192))</f>
        <v/>
      </c>
      <c r="H192" s="17" t="str">
        <f aca="false">IF($J192="","",INDEX('Auto Process'!$AW:$AW,$J192))</f>
        <v/>
      </c>
      <c r="J192" s="14" t="str">
        <f aca="false">IFERROR(_xlfn.AGGREGATE(15,6,ROW('Auto Process'!$D$4:$D$503)/('Auto Process'!$D$4:$D$503="Followup"),ROW()-1),"")</f>
        <v/>
      </c>
    </row>
    <row r="193" customFormat="false" ht="15" hidden="false" customHeight="true" outlineLevel="0" collapsed="false">
      <c r="A193" s="17" t="str">
        <f aca="false">IF($J193="","",INDEX('Auto Process'!$AP:$AP,$J193))</f>
        <v/>
      </c>
      <c r="B193" s="17" t="str">
        <f aca="false">IF($J193="","",INDEX('Auto Process'!$AQ:$AQ,$J193))</f>
        <v/>
      </c>
      <c r="C193" s="17" t="str">
        <f aca="false">IF($J193="","",INDEX('Auto Process'!$AR:$AR,$J193))</f>
        <v/>
      </c>
      <c r="D193" s="17" t="str">
        <f aca="false">IF($J193="","",INDEX('Auto Process'!$AS:$AS,$J193))</f>
        <v/>
      </c>
      <c r="E193" s="17" t="str">
        <f aca="false">IF($J193="","",INDEX('Auto Process'!$AT:$AT,$J193))</f>
        <v/>
      </c>
      <c r="F193" s="17" t="str">
        <f aca="false">IF($J193="","",INDEX('Auto Process'!$AU:$AU,$J193))</f>
        <v/>
      </c>
      <c r="G193" s="17" t="str">
        <f aca="false">IF($J193="","",INDEX('Auto Process'!$AV:$AV,$J193))</f>
        <v/>
      </c>
      <c r="H193" s="17" t="str">
        <f aca="false">IF($J193="","",INDEX('Auto Process'!$AW:$AW,$J193))</f>
        <v/>
      </c>
      <c r="J193" s="14" t="str">
        <f aca="false">IFERROR(_xlfn.AGGREGATE(15,6,ROW('Auto Process'!$D$4:$D$503)/('Auto Process'!$D$4:$D$503="Followup"),ROW()-1),"")</f>
        <v/>
      </c>
    </row>
    <row r="194" customFormat="false" ht="15" hidden="false" customHeight="true" outlineLevel="0" collapsed="false">
      <c r="A194" s="17" t="str">
        <f aca="false">IF($J194="","",INDEX('Auto Process'!$AP:$AP,$J194))</f>
        <v/>
      </c>
      <c r="B194" s="17" t="str">
        <f aca="false">IF($J194="","",INDEX('Auto Process'!$AQ:$AQ,$J194))</f>
        <v/>
      </c>
      <c r="C194" s="17" t="str">
        <f aca="false">IF($J194="","",INDEX('Auto Process'!$AR:$AR,$J194))</f>
        <v/>
      </c>
      <c r="D194" s="17" t="str">
        <f aca="false">IF($J194="","",INDEX('Auto Process'!$AS:$AS,$J194))</f>
        <v/>
      </c>
      <c r="E194" s="17" t="str">
        <f aca="false">IF($J194="","",INDEX('Auto Process'!$AT:$AT,$J194))</f>
        <v/>
      </c>
      <c r="F194" s="17" t="str">
        <f aca="false">IF($J194="","",INDEX('Auto Process'!$AU:$AU,$J194))</f>
        <v/>
      </c>
      <c r="G194" s="17" t="str">
        <f aca="false">IF($J194="","",INDEX('Auto Process'!$AV:$AV,$J194))</f>
        <v/>
      </c>
      <c r="H194" s="17" t="str">
        <f aca="false">IF($J194="","",INDEX('Auto Process'!$AW:$AW,$J194))</f>
        <v/>
      </c>
      <c r="J194" s="14" t="str">
        <f aca="false">IFERROR(_xlfn.AGGREGATE(15,6,ROW('Auto Process'!$D$4:$D$503)/('Auto Process'!$D$4:$D$503="Followup"),ROW()-1),"")</f>
        <v/>
      </c>
    </row>
    <row r="195" customFormat="false" ht="15" hidden="false" customHeight="true" outlineLevel="0" collapsed="false">
      <c r="A195" s="17" t="str">
        <f aca="false">IF($J195="","",INDEX('Auto Process'!$AP:$AP,$J195))</f>
        <v/>
      </c>
      <c r="B195" s="17" t="str">
        <f aca="false">IF($J195="","",INDEX('Auto Process'!$AQ:$AQ,$J195))</f>
        <v/>
      </c>
      <c r="C195" s="17" t="str">
        <f aca="false">IF($J195="","",INDEX('Auto Process'!$AR:$AR,$J195))</f>
        <v/>
      </c>
      <c r="D195" s="17" t="str">
        <f aca="false">IF($J195="","",INDEX('Auto Process'!$AS:$AS,$J195))</f>
        <v/>
      </c>
      <c r="E195" s="17" t="str">
        <f aca="false">IF($J195="","",INDEX('Auto Process'!$AT:$AT,$J195))</f>
        <v/>
      </c>
      <c r="F195" s="17" t="str">
        <f aca="false">IF($J195="","",INDEX('Auto Process'!$AU:$AU,$J195))</f>
        <v/>
      </c>
      <c r="G195" s="17" t="str">
        <f aca="false">IF($J195="","",INDEX('Auto Process'!$AV:$AV,$J195))</f>
        <v/>
      </c>
      <c r="H195" s="17" t="str">
        <f aca="false">IF($J195="","",INDEX('Auto Process'!$AW:$AW,$J195))</f>
        <v/>
      </c>
      <c r="J195" s="14" t="str">
        <f aca="false">IFERROR(_xlfn.AGGREGATE(15,6,ROW('Auto Process'!$D$4:$D$503)/('Auto Process'!$D$4:$D$503="Followup"),ROW()-1),"")</f>
        <v/>
      </c>
    </row>
    <row r="196" customFormat="false" ht="15" hidden="false" customHeight="true" outlineLevel="0" collapsed="false">
      <c r="A196" s="17" t="str">
        <f aca="false">IF($J196="","",INDEX('Auto Process'!$AP:$AP,$J196))</f>
        <v/>
      </c>
      <c r="B196" s="17" t="str">
        <f aca="false">IF($J196="","",INDEX('Auto Process'!$AQ:$AQ,$J196))</f>
        <v/>
      </c>
      <c r="C196" s="17" t="str">
        <f aca="false">IF($J196="","",INDEX('Auto Process'!$AR:$AR,$J196))</f>
        <v/>
      </c>
      <c r="D196" s="17" t="str">
        <f aca="false">IF($J196="","",INDEX('Auto Process'!$AS:$AS,$J196))</f>
        <v/>
      </c>
      <c r="E196" s="17" t="str">
        <f aca="false">IF($J196="","",INDEX('Auto Process'!$AT:$AT,$J196))</f>
        <v/>
      </c>
      <c r="F196" s="17" t="str">
        <f aca="false">IF($J196="","",INDEX('Auto Process'!$AU:$AU,$J196))</f>
        <v/>
      </c>
      <c r="G196" s="17" t="str">
        <f aca="false">IF($J196="","",INDEX('Auto Process'!$AV:$AV,$J196))</f>
        <v/>
      </c>
      <c r="H196" s="17" t="str">
        <f aca="false">IF($J196="","",INDEX('Auto Process'!$AW:$AW,$J196))</f>
        <v/>
      </c>
      <c r="J196" s="14" t="str">
        <f aca="false">IFERROR(_xlfn.AGGREGATE(15,6,ROW('Auto Process'!$D$4:$D$503)/('Auto Process'!$D$4:$D$503="Followup"),ROW()-1),"")</f>
        <v/>
      </c>
    </row>
    <row r="197" customFormat="false" ht="15" hidden="false" customHeight="true" outlineLevel="0" collapsed="false">
      <c r="A197" s="17" t="str">
        <f aca="false">IF($J197="","",INDEX('Auto Process'!$AP:$AP,$J197))</f>
        <v/>
      </c>
      <c r="B197" s="17" t="str">
        <f aca="false">IF($J197="","",INDEX('Auto Process'!$AQ:$AQ,$J197))</f>
        <v/>
      </c>
      <c r="C197" s="17" t="str">
        <f aca="false">IF($J197="","",INDEX('Auto Process'!$AR:$AR,$J197))</f>
        <v/>
      </c>
      <c r="D197" s="17" t="str">
        <f aca="false">IF($J197="","",INDEX('Auto Process'!$AS:$AS,$J197))</f>
        <v/>
      </c>
      <c r="E197" s="17" t="str">
        <f aca="false">IF($J197="","",INDEX('Auto Process'!$AT:$AT,$J197))</f>
        <v/>
      </c>
      <c r="F197" s="17" t="str">
        <f aca="false">IF($J197="","",INDEX('Auto Process'!$AU:$AU,$J197))</f>
        <v/>
      </c>
      <c r="G197" s="17" t="str">
        <f aca="false">IF($J197="","",INDEX('Auto Process'!$AV:$AV,$J197))</f>
        <v/>
      </c>
      <c r="H197" s="17" t="str">
        <f aca="false">IF($J197="","",INDEX('Auto Process'!$AW:$AW,$J197))</f>
        <v/>
      </c>
      <c r="J197" s="14" t="str">
        <f aca="false">IFERROR(_xlfn.AGGREGATE(15,6,ROW('Auto Process'!$D$4:$D$503)/('Auto Process'!$D$4:$D$503="Followup"),ROW()-1),"")</f>
        <v/>
      </c>
    </row>
    <row r="198" customFormat="false" ht="15" hidden="false" customHeight="true" outlineLevel="0" collapsed="false">
      <c r="A198" s="17" t="str">
        <f aca="false">IF($J198="","",INDEX('Auto Process'!$AP:$AP,$J198))</f>
        <v/>
      </c>
      <c r="B198" s="17" t="str">
        <f aca="false">IF($J198="","",INDEX('Auto Process'!$AQ:$AQ,$J198))</f>
        <v/>
      </c>
      <c r="C198" s="17" t="str">
        <f aca="false">IF($J198="","",INDEX('Auto Process'!$AR:$AR,$J198))</f>
        <v/>
      </c>
      <c r="D198" s="17" t="str">
        <f aca="false">IF($J198="","",INDEX('Auto Process'!$AS:$AS,$J198))</f>
        <v/>
      </c>
      <c r="E198" s="17" t="str">
        <f aca="false">IF($J198="","",INDEX('Auto Process'!$AT:$AT,$J198))</f>
        <v/>
      </c>
      <c r="F198" s="17" t="str">
        <f aca="false">IF($J198="","",INDEX('Auto Process'!$AU:$AU,$J198))</f>
        <v/>
      </c>
      <c r="G198" s="17" t="str">
        <f aca="false">IF($J198="","",INDEX('Auto Process'!$AV:$AV,$J198))</f>
        <v/>
      </c>
      <c r="H198" s="17" t="str">
        <f aca="false">IF($J198="","",INDEX('Auto Process'!$AW:$AW,$J198))</f>
        <v/>
      </c>
      <c r="J198" s="14" t="str">
        <f aca="false">IFERROR(_xlfn.AGGREGATE(15,6,ROW('Auto Process'!$D$4:$D$503)/('Auto Process'!$D$4:$D$503="Followup"),ROW()-1),"")</f>
        <v/>
      </c>
    </row>
    <row r="199" customFormat="false" ht="15" hidden="false" customHeight="true" outlineLevel="0" collapsed="false">
      <c r="A199" s="17" t="str">
        <f aca="false">IF($J199="","",INDEX('Auto Process'!$AP:$AP,$J199))</f>
        <v/>
      </c>
      <c r="B199" s="17" t="str">
        <f aca="false">IF($J199="","",INDEX('Auto Process'!$AQ:$AQ,$J199))</f>
        <v/>
      </c>
      <c r="C199" s="17" t="str">
        <f aca="false">IF($J199="","",INDEX('Auto Process'!$AR:$AR,$J199))</f>
        <v/>
      </c>
      <c r="D199" s="17" t="str">
        <f aca="false">IF($J199="","",INDEX('Auto Process'!$AS:$AS,$J199))</f>
        <v/>
      </c>
      <c r="E199" s="17" t="str">
        <f aca="false">IF($J199="","",INDEX('Auto Process'!$AT:$AT,$J199))</f>
        <v/>
      </c>
      <c r="F199" s="17" t="str">
        <f aca="false">IF($J199="","",INDEX('Auto Process'!$AU:$AU,$J199))</f>
        <v/>
      </c>
      <c r="G199" s="17" t="str">
        <f aca="false">IF($J199="","",INDEX('Auto Process'!$AV:$AV,$J199))</f>
        <v/>
      </c>
      <c r="H199" s="17" t="str">
        <f aca="false">IF($J199="","",INDEX('Auto Process'!$AW:$AW,$J199))</f>
        <v/>
      </c>
      <c r="J199" s="14" t="str">
        <f aca="false">IFERROR(_xlfn.AGGREGATE(15,6,ROW('Auto Process'!$D$4:$D$503)/('Auto Process'!$D$4:$D$503="Followup"),ROW()-1),"")</f>
        <v/>
      </c>
    </row>
    <row r="200" customFormat="false" ht="15" hidden="false" customHeight="true" outlineLevel="0" collapsed="false">
      <c r="A200" s="17" t="str">
        <f aca="false">IF($J200="","",INDEX('Auto Process'!$AP:$AP,$J200))</f>
        <v/>
      </c>
      <c r="B200" s="17" t="str">
        <f aca="false">IF($J200="","",INDEX('Auto Process'!$AQ:$AQ,$J200))</f>
        <v/>
      </c>
      <c r="C200" s="17" t="str">
        <f aca="false">IF($J200="","",INDEX('Auto Process'!$AR:$AR,$J200))</f>
        <v/>
      </c>
      <c r="D200" s="17" t="str">
        <f aca="false">IF($J200="","",INDEX('Auto Process'!$AS:$AS,$J200))</f>
        <v/>
      </c>
      <c r="E200" s="17" t="str">
        <f aca="false">IF($J200="","",INDEX('Auto Process'!$AT:$AT,$J200))</f>
        <v/>
      </c>
      <c r="F200" s="17" t="str">
        <f aca="false">IF($J200="","",INDEX('Auto Process'!$AU:$AU,$J200))</f>
        <v/>
      </c>
      <c r="G200" s="17" t="str">
        <f aca="false">IF($J200="","",INDEX('Auto Process'!$AV:$AV,$J200))</f>
        <v/>
      </c>
      <c r="H200" s="17" t="str">
        <f aca="false">IF($J200="","",INDEX('Auto Process'!$AW:$AW,$J200))</f>
        <v/>
      </c>
      <c r="J200" s="14" t="str">
        <f aca="false">IFERROR(_xlfn.AGGREGATE(15,6,ROW('Auto Process'!$D$4:$D$503)/('Auto Process'!$D$4:$D$503="Followup"),ROW()-1),"")</f>
        <v/>
      </c>
    </row>
    <row r="201" customFormat="false" ht="15" hidden="false" customHeight="true" outlineLevel="0" collapsed="false">
      <c r="A201" s="17" t="str">
        <f aca="false">IF($J201="","",INDEX('Auto Process'!$AP:$AP,$J201))</f>
        <v/>
      </c>
      <c r="B201" s="17" t="str">
        <f aca="false">IF($J201="","",INDEX('Auto Process'!$AQ:$AQ,$J201))</f>
        <v/>
      </c>
      <c r="C201" s="17" t="str">
        <f aca="false">IF($J201="","",INDEX('Auto Process'!$AR:$AR,$J201))</f>
        <v/>
      </c>
      <c r="D201" s="17" t="str">
        <f aca="false">IF($J201="","",INDEX('Auto Process'!$AS:$AS,$J201))</f>
        <v/>
      </c>
      <c r="E201" s="17" t="str">
        <f aca="false">IF($J201="","",INDEX('Auto Process'!$AT:$AT,$J201))</f>
        <v/>
      </c>
      <c r="F201" s="17" t="str">
        <f aca="false">IF($J201="","",INDEX('Auto Process'!$AU:$AU,$J201))</f>
        <v/>
      </c>
      <c r="G201" s="17" t="str">
        <f aca="false">IF($J201="","",INDEX('Auto Process'!$AV:$AV,$J201))</f>
        <v/>
      </c>
      <c r="H201" s="17" t="str">
        <f aca="false">IF($J201="","",INDEX('Auto Process'!$AW:$AW,$J201))</f>
        <v/>
      </c>
      <c r="J201" s="14" t="str">
        <f aca="false">IFERROR(_xlfn.AGGREGATE(15,6,ROW('Auto Process'!$D$4:$D$503)/('Auto Process'!$D$4:$D$503="Followup"),ROW()-1),"")</f>
        <v/>
      </c>
    </row>
    <row r="202" customFormat="false" ht="15" hidden="false" customHeight="true" outlineLevel="0" collapsed="false">
      <c r="A202" s="17" t="str">
        <f aca="false">IF($J202="","",INDEX('Auto Process'!$AP:$AP,$J202))</f>
        <v/>
      </c>
      <c r="B202" s="17" t="str">
        <f aca="false">IF($J202="","",INDEX('Auto Process'!$AQ:$AQ,$J202))</f>
        <v/>
      </c>
      <c r="C202" s="17" t="str">
        <f aca="false">IF($J202="","",INDEX('Auto Process'!$AR:$AR,$J202))</f>
        <v/>
      </c>
      <c r="D202" s="17" t="str">
        <f aca="false">IF($J202="","",INDEX('Auto Process'!$AS:$AS,$J202))</f>
        <v/>
      </c>
      <c r="E202" s="17" t="str">
        <f aca="false">IF($J202="","",INDEX('Auto Process'!$AT:$AT,$J202))</f>
        <v/>
      </c>
      <c r="F202" s="17" t="str">
        <f aca="false">IF($J202="","",INDEX('Auto Process'!$AU:$AU,$J202))</f>
        <v/>
      </c>
      <c r="G202" s="17" t="str">
        <f aca="false">IF($J202="","",INDEX('Auto Process'!$AV:$AV,$J202))</f>
        <v/>
      </c>
      <c r="H202" s="17" t="str">
        <f aca="false">IF($J202="","",INDEX('Auto Process'!$AW:$AW,$J202))</f>
        <v/>
      </c>
      <c r="J202" s="14" t="str">
        <f aca="false">IFERROR(_xlfn.AGGREGATE(15,6,ROW('Auto Process'!$D$4:$D$503)/('Auto Process'!$D$4:$D$503="Followup"),ROW()-1),"")</f>
        <v/>
      </c>
    </row>
    <row r="203" customFormat="false" ht="15" hidden="false" customHeight="true" outlineLevel="0" collapsed="false">
      <c r="A203" s="17" t="str">
        <f aca="false">IF($J203="","",INDEX('Auto Process'!$AP:$AP,$J203))</f>
        <v/>
      </c>
      <c r="B203" s="17" t="str">
        <f aca="false">IF($J203="","",INDEX('Auto Process'!$AQ:$AQ,$J203))</f>
        <v/>
      </c>
      <c r="C203" s="17" t="str">
        <f aca="false">IF($J203="","",INDEX('Auto Process'!$AR:$AR,$J203))</f>
        <v/>
      </c>
      <c r="D203" s="17" t="str">
        <f aca="false">IF($J203="","",INDEX('Auto Process'!$AS:$AS,$J203))</f>
        <v/>
      </c>
      <c r="E203" s="17" t="str">
        <f aca="false">IF($J203="","",INDEX('Auto Process'!$AT:$AT,$J203))</f>
        <v/>
      </c>
      <c r="F203" s="17" t="str">
        <f aca="false">IF($J203="","",INDEX('Auto Process'!$AU:$AU,$J203))</f>
        <v/>
      </c>
      <c r="G203" s="17" t="str">
        <f aca="false">IF($J203="","",INDEX('Auto Process'!$AV:$AV,$J203))</f>
        <v/>
      </c>
      <c r="H203" s="17" t="str">
        <f aca="false">IF($J203="","",INDEX('Auto Process'!$AW:$AW,$J203))</f>
        <v/>
      </c>
      <c r="J203" s="14" t="str">
        <f aca="false">IFERROR(_xlfn.AGGREGATE(15,6,ROW('Auto Process'!$D$4:$D$503)/('Auto Process'!$D$4:$D$503="Followup"),ROW()-1),"")</f>
        <v/>
      </c>
    </row>
    <row r="204" customFormat="false" ht="15" hidden="false" customHeight="true" outlineLevel="0" collapsed="false">
      <c r="A204" s="17" t="str">
        <f aca="false">IF($J204="","",INDEX('Auto Process'!$AP:$AP,$J204))</f>
        <v/>
      </c>
      <c r="B204" s="17" t="str">
        <f aca="false">IF($J204="","",INDEX('Auto Process'!$AQ:$AQ,$J204))</f>
        <v/>
      </c>
      <c r="C204" s="17" t="str">
        <f aca="false">IF($J204="","",INDEX('Auto Process'!$AR:$AR,$J204))</f>
        <v/>
      </c>
      <c r="D204" s="17" t="str">
        <f aca="false">IF($J204="","",INDEX('Auto Process'!$AS:$AS,$J204))</f>
        <v/>
      </c>
      <c r="E204" s="17" t="str">
        <f aca="false">IF($J204="","",INDEX('Auto Process'!$AT:$AT,$J204))</f>
        <v/>
      </c>
      <c r="F204" s="17" t="str">
        <f aca="false">IF($J204="","",INDEX('Auto Process'!$AU:$AU,$J204))</f>
        <v/>
      </c>
      <c r="G204" s="17" t="str">
        <f aca="false">IF($J204="","",INDEX('Auto Process'!$AV:$AV,$J204))</f>
        <v/>
      </c>
      <c r="H204" s="17" t="str">
        <f aca="false">IF($J204="","",INDEX('Auto Process'!$AW:$AW,$J204))</f>
        <v/>
      </c>
      <c r="J204" s="14" t="str">
        <f aca="false">IFERROR(_xlfn.AGGREGATE(15,6,ROW('Auto Process'!$D$4:$D$503)/('Auto Process'!$D$4:$D$503="Followup"),ROW()-1),"")</f>
        <v/>
      </c>
    </row>
    <row r="205" customFormat="false" ht="15" hidden="false" customHeight="true" outlineLevel="0" collapsed="false">
      <c r="A205" s="17" t="str">
        <f aca="false">IF($J205="","",INDEX('Auto Process'!$AP:$AP,$J205))</f>
        <v/>
      </c>
      <c r="B205" s="17" t="str">
        <f aca="false">IF($J205="","",INDEX('Auto Process'!$AQ:$AQ,$J205))</f>
        <v/>
      </c>
      <c r="C205" s="17" t="str">
        <f aca="false">IF($J205="","",INDEX('Auto Process'!$AR:$AR,$J205))</f>
        <v/>
      </c>
      <c r="D205" s="17" t="str">
        <f aca="false">IF($J205="","",INDEX('Auto Process'!$AS:$AS,$J205))</f>
        <v/>
      </c>
      <c r="E205" s="17" t="str">
        <f aca="false">IF($J205="","",INDEX('Auto Process'!$AT:$AT,$J205))</f>
        <v/>
      </c>
      <c r="F205" s="17" t="str">
        <f aca="false">IF($J205="","",INDEX('Auto Process'!$AU:$AU,$J205))</f>
        <v/>
      </c>
      <c r="G205" s="17" t="str">
        <f aca="false">IF($J205="","",INDEX('Auto Process'!$AV:$AV,$J205))</f>
        <v/>
      </c>
      <c r="H205" s="17" t="str">
        <f aca="false">IF($J205="","",INDEX('Auto Process'!$AW:$AW,$J205))</f>
        <v/>
      </c>
      <c r="J205" s="14" t="str">
        <f aca="false">IFERROR(_xlfn.AGGREGATE(15,6,ROW('Auto Process'!$D$4:$D$503)/('Auto Process'!$D$4:$D$503="Followup"),ROW()-1),"")</f>
        <v/>
      </c>
    </row>
    <row r="206" customFormat="false" ht="15" hidden="false" customHeight="true" outlineLevel="0" collapsed="false">
      <c r="A206" s="17" t="str">
        <f aca="false">IF($J206="","",INDEX('Auto Process'!$AP:$AP,$J206))</f>
        <v/>
      </c>
      <c r="B206" s="17" t="str">
        <f aca="false">IF($J206="","",INDEX('Auto Process'!$AQ:$AQ,$J206))</f>
        <v/>
      </c>
      <c r="C206" s="17" t="str">
        <f aca="false">IF($J206="","",INDEX('Auto Process'!$AR:$AR,$J206))</f>
        <v/>
      </c>
      <c r="D206" s="17" t="str">
        <f aca="false">IF($J206="","",INDEX('Auto Process'!$AS:$AS,$J206))</f>
        <v/>
      </c>
      <c r="E206" s="17" t="str">
        <f aca="false">IF($J206="","",INDEX('Auto Process'!$AT:$AT,$J206))</f>
        <v/>
      </c>
      <c r="F206" s="17" t="str">
        <f aca="false">IF($J206="","",INDEX('Auto Process'!$AU:$AU,$J206))</f>
        <v/>
      </c>
      <c r="G206" s="17" t="str">
        <f aca="false">IF($J206="","",INDEX('Auto Process'!$AV:$AV,$J206))</f>
        <v/>
      </c>
      <c r="H206" s="17" t="str">
        <f aca="false">IF($J206="","",INDEX('Auto Process'!$AW:$AW,$J206))</f>
        <v/>
      </c>
      <c r="J206" s="14" t="str">
        <f aca="false">IFERROR(_xlfn.AGGREGATE(15,6,ROW('Auto Process'!$D$4:$D$503)/('Auto Process'!$D$4:$D$503="Followup"),ROW()-1),"")</f>
        <v/>
      </c>
    </row>
    <row r="207" customFormat="false" ht="15" hidden="false" customHeight="true" outlineLevel="0" collapsed="false">
      <c r="A207" s="17" t="str">
        <f aca="false">IF($J207="","",INDEX('Auto Process'!$AP:$AP,$J207))</f>
        <v/>
      </c>
      <c r="B207" s="17" t="str">
        <f aca="false">IF($J207="","",INDEX('Auto Process'!$AQ:$AQ,$J207))</f>
        <v/>
      </c>
      <c r="C207" s="17" t="str">
        <f aca="false">IF($J207="","",INDEX('Auto Process'!$AR:$AR,$J207))</f>
        <v/>
      </c>
      <c r="D207" s="17" t="str">
        <f aca="false">IF($J207="","",INDEX('Auto Process'!$AS:$AS,$J207))</f>
        <v/>
      </c>
      <c r="E207" s="17" t="str">
        <f aca="false">IF($J207="","",INDEX('Auto Process'!$AT:$AT,$J207))</f>
        <v/>
      </c>
      <c r="F207" s="17" t="str">
        <f aca="false">IF($J207="","",INDEX('Auto Process'!$AU:$AU,$J207))</f>
        <v/>
      </c>
      <c r="G207" s="17" t="str">
        <f aca="false">IF($J207="","",INDEX('Auto Process'!$AV:$AV,$J207))</f>
        <v/>
      </c>
      <c r="H207" s="17" t="str">
        <f aca="false">IF($J207="","",INDEX('Auto Process'!$AW:$AW,$J207))</f>
        <v/>
      </c>
      <c r="J207" s="14" t="str">
        <f aca="false">IFERROR(_xlfn.AGGREGATE(15,6,ROW('Auto Process'!$D$4:$D$503)/('Auto Process'!$D$4:$D$503="Followup"),ROW()-1),"")</f>
        <v/>
      </c>
    </row>
    <row r="208" customFormat="false" ht="15" hidden="false" customHeight="true" outlineLevel="0" collapsed="false">
      <c r="A208" s="17" t="str">
        <f aca="false">IF($J208="","",INDEX('Auto Process'!$AP:$AP,$J208))</f>
        <v/>
      </c>
      <c r="B208" s="17" t="str">
        <f aca="false">IF($J208="","",INDEX('Auto Process'!$AQ:$AQ,$J208))</f>
        <v/>
      </c>
      <c r="C208" s="17" t="str">
        <f aca="false">IF($J208="","",INDEX('Auto Process'!$AR:$AR,$J208))</f>
        <v/>
      </c>
      <c r="D208" s="17" t="str">
        <f aca="false">IF($J208="","",INDEX('Auto Process'!$AS:$AS,$J208))</f>
        <v/>
      </c>
      <c r="E208" s="17" t="str">
        <f aca="false">IF($J208="","",INDEX('Auto Process'!$AT:$AT,$J208))</f>
        <v/>
      </c>
      <c r="F208" s="17" t="str">
        <f aca="false">IF($J208="","",INDEX('Auto Process'!$AU:$AU,$J208))</f>
        <v/>
      </c>
      <c r="G208" s="17" t="str">
        <f aca="false">IF($J208="","",INDEX('Auto Process'!$AV:$AV,$J208))</f>
        <v/>
      </c>
      <c r="H208" s="17" t="str">
        <f aca="false">IF($J208="","",INDEX('Auto Process'!$AW:$AW,$J208))</f>
        <v/>
      </c>
      <c r="J208" s="14" t="str">
        <f aca="false">IFERROR(_xlfn.AGGREGATE(15,6,ROW('Auto Process'!$D$4:$D$503)/('Auto Process'!$D$4:$D$503="Followup"),ROW()-1),"")</f>
        <v/>
      </c>
    </row>
    <row r="209" customFormat="false" ht="15" hidden="false" customHeight="true" outlineLevel="0" collapsed="false">
      <c r="A209" s="17" t="str">
        <f aca="false">IF($J209="","",INDEX('Auto Process'!$AP:$AP,$J209))</f>
        <v/>
      </c>
      <c r="B209" s="17" t="str">
        <f aca="false">IF($J209="","",INDEX('Auto Process'!$AQ:$AQ,$J209))</f>
        <v/>
      </c>
      <c r="C209" s="17" t="str">
        <f aca="false">IF($J209="","",INDEX('Auto Process'!$AR:$AR,$J209))</f>
        <v/>
      </c>
      <c r="D209" s="17" t="str">
        <f aca="false">IF($J209="","",INDEX('Auto Process'!$AS:$AS,$J209))</f>
        <v/>
      </c>
      <c r="E209" s="17" t="str">
        <f aca="false">IF($J209="","",INDEX('Auto Process'!$AT:$AT,$J209))</f>
        <v/>
      </c>
      <c r="F209" s="17" t="str">
        <f aca="false">IF($J209="","",INDEX('Auto Process'!$AU:$AU,$J209))</f>
        <v/>
      </c>
      <c r="G209" s="17" t="str">
        <f aca="false">IF($J209="","",INDEX('Auto Process'!$AV:$AV,$J209))</f>
        <v/>
      </c>
      <c r="H209" s="17" t="str">
        <f aca="false">IF($J209="","",INDEX('Auto Process'!$AW:$AW,$J209))</f>
        <v/>
      </c>
      <c r="J209" s="14" t="str">
        <f aca="false">IFERROR(_xlfn.AGGREGATE(15,6,ROW('Auto Process'!$D$4:$D$503)/('Auto Process'!$D$4:$D$503="Followup"),ROW()-1),"")</f>
        <v/>
      </c>
    </row>
    <row r="210" customFormat="false" ht="15" hidden="false" customHeight="true" outlineLevel="0" collapsed="false">
      <c r="A210" s="17" t="str">
        <f aca="false">IF($J210="","",INDEX('Auto Process'!$AP:$AP,$J210))</f>
        <v/>
      </c>
      <c r="B210" s="17" t="str">
        <f aca="false">IF($J210="","",INDEX('Auto Process'!$AQ:$AQ,$J210))</f>
        <v/>
      </c>
      <c r="C210" s="17" t="str">
        <f aca="false">IF($J210="","",INDEX('Auto Process'!$AR:$AR,$J210))</f>
        <v/>
      </c>
      <c r="D210" s="17" t="str">
        <f aca="false">IF($J210="","",INDEX('Auto Process'!$AS:$AS,$J210))</f>
        <v/>
      </c>
      <c r="E210" s="17" t="str">
        <f aca="false">IF($J210="","",INDEX('Auto Process'!$AT:$AT,$J210))</f>
        <v/>
      </c>
      <c r="F210" s="17" t="str">
        <f aca="false">IF($J210="","",INDEX('Auto Process'!$AU:$AU,$J210))</f>
        <v/>
      </c>
      <c r="G210" s="17" t="str">
        <f aca="false">IF($J210="","",INDEX('Auto Process'!$AV:$AV,$J210))</f>
        <v/>
      </c>
      <c r="H210" s="17" t="str">
        <f aca="false">IF($J210="","",INDEX('Auto Process'!$AW:$AW,$J210))</f>
        <v/>
      </c>
      <c r="J210" s="14" t="str">
        <f aca="false">IFERROR(_xlfn.AGGREGATE(15,6,ROW('Auto Process'!$D$4:$D$503)/('Auto Process'!$D$4:$D$503="Followup"),ROW()-1),"")</f>
        <v/>
      </c>
    </row>
    <row r="211" customFormat="false" ht="15" hidden="false" customHeight="true" outlineLevel="0" collapsed="false">
      <c r="A211" s="17" t="str">
        <f aca="false">IF($J211="","",INDEX('Auto Process'!$AP:$AP,$J211))</f>
        <v/>
      </c>
      <c r="B211" s="17" t="str">
        <f aca="false">IF($J211="","",INDEX('Auto Process'!$AQ:$AQ,$J211))</f>
        <v/>
      </c>
      <c r="C211" s="17" t="str">
        <f aca="false">IF($J211="","",INDEX('Auto Process'!$AR:$AR,$J211))</f>
        <v/>
      </c>
      <c r="D211" s="17" t="str">
        <f aca="false">IF($J211="","",INDEX('Auto Process'!$AS:$AS,$J211))</f>
        <v/>
      </c>
      <c r="E211" s="17" t="str">
        <f aca="false">IF($J211="","",INDEX('Auto Process'!$AT:$AT,$J211))</f>
        <v/>
      </c>
      <c r="F211" s="17" t="str">
        <f aca="false">IF($J211="","",INDEX('Auto Process'!$AU:$AU,$J211))</f>
        <v/>
      </c>
      <c r="G211" s="17" t="str">
        <f aca="false">IF($J211="","",INDEX('Auto Process'!$AV:$AV,$J211))</f>
        <v/>
      </c>
      <c r="H211" s="17" t="str">
        <f aca="false">IF($J211="","",INDEX('Auto Process'!$AW:$AW,$J211))</f>
        <v/>
      </c>
      <c r="J211" s="14" t="str">
        <f aca="false">IFERROR(_xlfn.AGGREGATE(15,6,ROW('Auto Process'!$D$4:$D$503)/('Auto Process'!$D$4:$D$503="Followup"),ROW()-1),"")</f>
        <v/>
      </c>
    </row>
    <row r="212" customFormat="false" ht="15" hidden="false" customHeight="true" outlineLevel="0" collapsed="false">
      <c r="A212" s="17" t="str">
        <f aca="false">IF($J212="","",INDEX('Auto Process'!$AP:$AP,$J212))</f>
        <v/>
      </c>
      <c r="B212" s="17" t="str">
        <f aca="false">IF($J212="","",INDEX('Auto Process'!$AQ:$AQ,$J212))</f>
        <v/>
      </c>
      <c r="C212" s="17" t="str">
        <f aca="false">IF($J212="","",INDEX('Auto Process'!$AR:$AR,$J212))</f>
        <v/>
      </c>
      <c r="D212" s="17" t="str">
        <f aca="false">IF($J212="","",INDEX('Auto Process'!$AS:$AS,$J212))</f>
        <v/>
      </c>
      <c r="E212" s="17" t="str">
        <f aca="false">IF($J212="","",INDEX('Auto Process'!$AT:$AT,$J212))</f>
        <v/>
      </c>
      <c r="F212" s="17" t="str">
        <f aca="false">IF($J212="","",INDEX('Auto Process'!$AU:$AU,$J212))</f>
        <v/>
      </c>
      <c r="G212" s="17" t="str">
        <f aca="false">IF($J212="","",INDEX('Auto Process'!$AV:$AV,$J212))</f>
        <v/>
      </c>
      <c r="H212" s="17" t="str">
        <f aca="false">IF($J212="","",INDEX('Auto Process'!$AW:$AW,$J212))</f>
        <v/>
      </c>
      <c r="J212" s="14" t="str">
        <f aca="false">IFERROR(_xlfn.AGGREGATE(15,6,ROW('Auto Process'!$D$4:$D$503)/('Auto Process'!$D$4:$D$503="Followup"),ROW()-1),"")</f>
        <v/>
      </c>
    </row>
    <row r="213" customFormat="false" ht="15" hidden="false" customHeight="true" outlineLevel="0" collapsed="false">
      <c r="A213" s="17" t="str">
        <f aca="false">IF($J213="","",INDEX('Auto Process'!$AP:$AP,$J213))</f>
        <v/>
      </c>
      <c r="B213" s="17" t="str">
        <f aca="false">IF($J213="","",INDEX('Auto Process'!$AQ:$AQ,$J213))</f>
        <v/>
      </c>
      <c r="C213" s="17" t="str">
        <f aca="false">IF($J213="","",INDEX('Auto Process'!$AR:$AR,$J213))</f>
        <v/>
      </c>
      <c r="D213" s="17" t="str">
        <f aca="false">IF($J213="","",INDEX('Auto Process'!$AS:$AS,$J213))</f>
        <v/>
      </c>
      <c r="E213" s="17" t="str">
        <f aca="false">IF($J213="","",INDEX('Auto Process'!$AT:$AT,$J213))</f>
        <v/>
      </c>
      <c r="F213" s="17" t="str">
        <f aca="false">IF($J213="","",INDEX('Auto Process'!$AU:$AU,$J213))</f>
        <v/>
      </c>
      <c r="G213" s="17" t="str">
        <f aca="false">IF($J213="","",INDEX('Auto Process'!$AV:$AV,$J213))</f>
        <v/>
      </c>
      <c r="H213" s="17" t="str">
        <f aca="false">IF($J213="","",INDEX('Auto Process'!$AW:$AW,$J213))</f>
        <v/>
      </c>
      <c r="J213" s="14" t="str">
        <f aca="false">IFERROR(_xlfn.AGGREGATE(15,6,ROW('Auto Process'!$D$4:$D$503)/('Auto Process'!$D$4:$D$503="Followup"),ROW()-1),"")</f>
        <v/>
      </c>
    </row>
    <row r="214" customFormat="false" ht="15" hidden="false" customHeight="true" outlineLevel="0" collapsed="false">
      <c r="A214" s="17" t="str">
        <f aca="false">IF($J214="","",INDEX('Auto Process'!$AP:$AP,$J214))</f>
        <v/>
      </c>
      <c r="B214" s="17" t="str">
        <f aca="false">IF($J214="","",INDEX('Auto Process'!$AQ:$AQ,$J214))</f>
        <v/>
      </c>
      <c r="C214" s="17" t="str">
        <f aca="false">IF($J214="","",INDEX('Auto Process'!$AR:$AR,$J214))</f>
        <v/>
      </c>
      <c r="D214" s="17" t="str">
        <f aca="false">IF($J214="","",INDEX('Auto Process'!$AS:$AS,$J214))</f>
        <v/>
      </c>
      <c r="E214" s="17" t="str">
        <f aca="false">IF($J214="","",INDEX('Auto Process'!$AT:$AT,$J214))</f>
        <v/>
      </c>
      <c r="F214" s="17" t="str">
        <f aca="false">IF($J214="","",INDEX('Auto Process'!$AU:$AU,$J214))</f>
        <v/>
      </c>
      <c r="G214" s="17" t="str">
        <f aca="false">IF($J214="","",INDEX('Auto Process'!$AV:$AV,$J214))</f>
        <v/>
      </c>
      <c r="H214" s="17" t="str">
        <f aca="false">IF($J214="","",INDEX('Auto Process'!$AW:$AW,$J214))</f>
        <v/>
      </c>
      <c r="J214" s="14" t="str">
        <f aca="false">IFERROR(_xlfn.AGGREGATE(15,6,ROW('Auto Process'!$D$4:$D$503)/('Auto Process'!$D$4:$D$503="Followup"),ROW()-1),"")</f>
        <v/>
      </c>
    </row>
    <row r="215" customFormat="false" ht="15" hidden="false" customHeight="true" outlineLevel="0" collapsed="false">
      <c r="A215" s="17" t="str">
        <f aca="false">IF($J215="","",INDEX('Auto Process'!$AP:$AP,$J215))</f>
        <v/>
      </c>
      <c r="B215" s="17" t="str">
        <f aca="false">IF($J215="","",INDEX('Auto Process'!$AQ:$AQ,$J215))</f>
        <v/>
      </c>
      <c r="C215" s="17" t="str">
        <f aca="false">IF($J215="","",INDEX('Auto Process'!$AR:$AR,$J215))</f>
        <v/>
      </c>
      <c r="D215" s="17" t="str">
        <f aca="false">IF($J215="","",INDEX('Auto Process'!$AS:$AS,$J215))</f>
        <v/>
      </c>
      <c r="E215" s="17" t="str">
        <f aca="false">IF($J215="","",INDEX('Auto Process'!$AT:$AT,$J215))</f>
        <v/>
      </c>
      <c r="F215" s="17" t="str">
        <f aca="false">IF($J215="","",INDEX('Auto Process'!$AU:$AU,$J215))</f>
        <v/>
      </c>
      <c r="G215" s="17" t="str">
        <f aca="false">IF($J215="","",INDEX('Auto Process'!$AV:$AV,$J215))</f>
        <v/>
      </c>
      <c r="H215" s="17" t="str">
        <f aca="false">IF($J215="","",INDEX('Auto Process'!$AW:$AW,$J215))</f>
        <v/>
      </c>
      <c r="J215" s="14" t="str">
        <f aca="false">IFERROR(_xlfn.AGGREGATE(15,6,ROW('Auto Process'!$D$4:$D$503)/('Auto Process'!$D$4:$D$503="Followup"),ROW()-1),"")</f>
        <v/>
      </c>
    </row>
    <row r="216" customFormat="false" ht="15" hidden="false" customHeight="true" outlineLevel="0" collapsed="false">
      <c r="A216" s="17" t="str">
        <f aca="false">IF($J216="","",INDEX('Auto Process'!$AP:$AP,$J216))</f>
        <v/>
      </c>
      <c r="B216" s="17" t="str">
        <f aca="false">IF($J216="","",INDEX('Auto Process'!$AQ:$AQ,$J216))</f>
        <v/>
      </c>
      <c r="C216" s="17" t="str">
        <f aca="false">IF($J216="","",INDEX('Auto Process'!$AR:$AR,$J216))</f>
        <v/>
      </c>
      <c r="D216" s="17" t="str">
        <f aca="false">IF($J216="","",INDEX('Auto Process'!$AS:$AS,$J216))</f>
        <v/>
      </c>
      <c r="E216" s="17" t="str">
        <f aca="false">IF($J216="","",INDEX('Auto Process'!$AT:$AT,$J216))</f>
        <v/>
      </c>
      <c r="F216" s="17" t="str">
        <f aca="false">IF($J216="","",INDEX('Auto Process'!$AU:$AU,$J216))</f>
        <v/>
      </c>
      <c r="G216" s="17" t="str">
        <f aca="false">IF($J216="","",INDEX('Auto Process'!$AV:$AV,$J216))</f>
        <v/>
      </c>
      <c r="H216" s="17" t="str">
        <f aca="false">IF($J216="","",INDEX('Auto Process'!$AW:$AW,$J216))</f>
        <v/>
      </c>
      <c r="J216" s="14" t="str">
        <f aca="false">IFERROR(_xlfn.AGGREGATE(15,6,ROW('Auto Process'!$D$4:$D$503)/('Auto Process'!$D$4:$D$503="Followup"),ROW()-1),"")</f>
        <v/>
      </c>
    </row>
    <row r="217" customFormat="false" ht="15" hidden="false" customHeight="true" outlineLevel="0" collapsed="false">
      <c r="A217" s="17" t="str">
        <f aca="false">IF($J217="","",INDEX('Auto Process'!$AP:$AP,$J217))</f>
        <v/>
      </c>
      <c r="B217" s="17" t="str">
        <f aca="false">IF($J217="","",INDEX('Auto Process'!$AQ:$AQ,$J217))</f>
        <v/>
      </c>
      <c r="C217" s="17" t="str">
        <f aca="false">IF($J217="","",INDEX('Auto Process'!$AR:$AR,$J217))</f>
        <v/>
      </c>
      <c r="D217" s="17" t="str">
        <f aca="false">IF($J217="","",INDEX('Auto Process'!$AS:$AS,$J217))</f>
        <v/>
      </c>
      <c r="E217" s="17" t="str">
        <f aca="false">IF($J217="","",INDEX('Auto Process'!$AT:$AT,$J217))</f>
        <v/>
      </c>
      <c r="F217" s="17" t="str">
        <f aca="false">IF($J217="","",INDEX('Auto Process'!$AU:$AU,$J217))</f>
        <v/>
      </c>
      <c r="G217" s="17" t="str">
        <f aca="false">IF($J217="","",INDEX('Auto Process'!$AV:$AV,$J217))</f>
        <v/>
      </c>
      <c r="H217" s="17" t="str">
        <f aca="false">IF($J217="","",INDEX('Auto Process'!$AW:$AW,$J217))</f>
        <v/>
      </c>
      <c r="J217" s="14" t="str">
        <f aca="false">IFERROR(_xlfn.AGGREGATE(15,6,ROW('Auto Process'!$D$4:$D$503)/('Auto Process'!$D$4:$D$503="Followup"),ROW()-1),"")</f>
        <v/>
      </c>
    </row>
    <row r="218" customFormat="false" ht="15" hidden="false" customHeight="true" outlineLevel="0" collapsed="false">
      <c r="A218" s="17" t="str">
        <f aca="false">IF($J218="","",INDEX('Auto Process'!$AP:$AP,$J218))</f>
        <v/>
      </c>
      <c r="B218" s="17" t="str">
        <f aca="false">IF($J218="","",INDEX('Auto Process'!$AQ:$AQ,$J218))</f>
        <v/>
      </c>
      <c r="C218" s="17" t="str">
        <f aca="false">IF($J218="","",INDEX('Auto Process'!$AR:$AR,$J218))</f>
        <v/>
      </c>
      <c r="D218" s="17" t="str">
        <f aca="false">IF($J218="","",INDEX('Auto Process'!$AS:$AS,$J218))</f>
        <v/>
      </c>
      <c r="E218" s="17" t="str">
        <f aca="false">IF($J218="","",INDEX('Auto Process'!$AT:$AT,$J218))</f>
        <v/>
      </c>
      <c r="F218" s="17" t="str">
        <f aca="false">IF($J218="","",INDEX('Auto Process'!$AU:$AU,$J218))</f>
        <v/>
      </c>
      <c r="G218" s="17" t="str">
        <f aca="false">IF($J218="","",INDEX('Auto Process'!$AV:$AV,$J218))</f>
        <v/>
      </c>
      <c r="H218" s="17" t="str">
        <f aca="false">IF($J218="","",INDEX('Auto Process'!$AW:$AW,$J218))</f>
        <v/>
      </c>
      <c r="J218" s="14" t="str">
        <f aca="false">IFERROR(_xlfn.AGGREGATE(15,6,ROW('Auto Process'!$D$4:$D$503)/('Auto Process'!$D$4:$D$503="Followup"),ROW()-1),"")</f>
        <v/>
      </c>
    </row>
    <row r="219" customFormat="false" ht="15" hidden="false" customHeight="true" outlineLevel="0" collapsed="false">
      <c r="A219" s="17" t="str">
        <f aca="false">IF($J219="","",INDEX('Auto Process'!$AP:$AP,$J219))</f>
        <v/>
      </c>
      <c r="B219" s="17" t="str">
        <f aca="false">IF($J219="","",INDEX('Auto Process'!$AQ:$AQ,$J219))</f>
        <v/>
      </c>
      <c r="C219" s="17" t="str">
        <f aca="false">IF($J219="","",INDEX('Auto Process'!$AR:$AR,$J219))</f>
        <v/>
      </c>
      <c r="D219" s="17" t="str">
        <f aca="false">IF($J219="","",INDEX('Auto Process'!$AS:$AS,$J219))</f>
        <v/>
      </c>
      <c r="E219" s="17" t="str">
        <f aca="false">IF($J219="","",INDEX('Auto Process'!$AT:$AT,$J219))</f>
        <v/>
      </c>
      <c r="F219" s="17" t="str">
        <f aca="false">IF($J219="","",INDEX('Auto Process'!$AU:$AU,$J219))</f>
        <v/>
      </c>
      <c r="G219" s="17" t="str">
        <f aca="false">IF($J219="","",INDEX('Auto Process'!$AV:$AV,$J219))</f>
        <v/>
      </c>
      <c r="H219" s="17" t="str">
        <f aca="false">IF($J219="","",INDEX('Auto Process'!$AW:$AW,$J219))</f>
        <v/>
      </c>
      <c r="J219" s="14" t="str">
        <f aca="false">IFERROR(_xlfn.AGGREGATE(15,6,ROW('Auto Process'!$D$4:$D$503)/('Auto Process'!$D$4:$D$503="Followup"),ROW()-1),"")</f>
        <v/>
      </c>
    </row>
    <row r="220" customFormat="false" ht="15" hidden="false" customHeight="true" outlineLevel="0" collapsed="false">
      <c r="A220" s="17" t="str">
        <f aca="false">IF($J220="","",INDEX('Auto Process'!$AP:$AP,$J220))</f>
        <v/>
      </c>
      <c r="B220" s="17" t="str">
        <f aca="false">IF($J220="","",INDEX('Auto Process'!$AQ:$AQ,$J220))</f>
        <v/>
      </c>
      <c r="C220" s="17" t="str">
        <f aca="false">IF($J220="","",INDEX('Auto Process'!$AR:$AR,$J220))</f>
        <v/>
      </c>
      <c r="D220" s="17" t="str">
        <f aca="false">IF($J220="","",INDEX('Auto Process'!$AS:$AS,$J220))</f>
        <v/>
      </c>
      <c r="E220" s="17" t="str">
        <f aca="false">IF($J220="","",INDEX('Auto Process'!$AT:$AT,$J220))</f>
        <v/>
      </c>
      <c r="F220" s="17" t="str">
        <f aca="false">IF($J220="","",INDEX('Auto Process'!$AU:$AU,$J220))</f>
        <v/>
      </c>
      <c r="G220" s="17" t="str">
        <f aca="false">IF($J220="","",INDEX('Auto Process'!$AV:$AV,$J220))</f>
        <v/>
      </c>
      <c r="H220" s="17" t="str">
        <f aca="false">IF($J220="","",INDEX('Auto Process'!$AW:$AW,$J220))</f>
        <v/>
      </c>
      <c r="J220" s="14" t="str">
        <f aca="false">IFERROR(_xlfn.AGGREGATE(15,6,ROW('Auto Process'!$D$4:$D$503)/('Auto Process'!$D$4:$D$503="Followup"),ROW()-1),"")</f>
        <v/>
      </c>
    </row>
    <row r="221" customFormat="false" ht="15" hidden="false" customHeight="true" outlineLevel="0" collapsed="false">
      <c r="A221" s="17" t="str">
        <f aca="false">IF($J221="","",INDEX('Auto Process'!$AP:$AP,$J221))</f>
        <v/>
      </c>
      <c r="B221" s="17" t="str">
        <f aca="false">IF($J221="","",INDEX('Auto Process'!$AQ:$AQ,$J221))</f>
        <v/>
      </c>
      <c r="C221" s="17" t="str">
        <f aca="false">IF($J221="","",INDEX('Auto Process'!$AR:$AR,$J221))</f>
        <v/>
      </c>
      <c r="D221" s="17" t="str">
        <f aca="false">IF($J221="","",INDEX('Auto Process'!$AS:$AS,$J221))</f>
        <v/>
      </c>
      <c r="E221" s="17" t="str">
        <f aca="false">IF($J221="","",INDEX('Auto Process'!$AT:$AT,$J221))</f>
        <v/>
      </c>
      <c r="F221" s="17" t="str">
        <f aca="false">IF($J221="","",INDEX('Auto Process'!$AU:$AU,$J221))</f>
        <v/>
      </c>
      <c r="G221" s="17" t="str">
        <f aca="false">IF($J221="","",INDEX('Auto Process'!$AV:$AV,$J221))</f>
        <v/>
      </c>
      <c r="H221" s="17" t="str">
        <f aca="false">IF($J221="","",INDEX('Auto Process'!$AW:$AW,$J221))</f>
        <v/>
      </c>
      <c r="J221" s="14" t="str">
        <f aca="false">IFERROR(_xlfn.AGGREGATE(15,6,ROW('Auto Process'!$D$4:$D$503)/('Auto Process'!$D$4:$D$503="Followup"),ROW()-1),"")</f>
        <v/>
      </c>
    </row>
    <row r="222" customFormat="false" ht="15" hidden="false" customHeight="true" outlineLevel="0" collapsed="false">
      <c r="A222" s="17" t="str">
        <f aca="false">IF($J222="","",INDEX('Auto Process'!$AP:$AP,$J222))</f>
        <v/>
      </c>
      <c r="B222" s="17" t="str">
        <f aca="false">IF($J222="","",INDEX('Auto Process'!$AQ:$AQ,$J222))</f>
        <v/>
      </c>
      <c r="C222" s="17" t="str">
        <f aca="false">IF($J222="","",INDEX('Auto Process'!$AR:$AR,$J222))</f>
        <v/>
      </c>
      <c r="D222" s="17" t="str">
        <f aca="false">IF($J222="","",INDEX('Auto Process'!$AS:$AS,$J222))</f>
        <v/>
      </c>
      <c r="E222" s="17" t="str">
        <f aca="false">IF($J222="","",INDEX('Auto Process'!$AT:$AT,$J222))</f>
        <v/>
      </c>
      <c r="F222" s="17" t="str">
        <f aca="false">IF($J222="","",INDEX('Auto Process'!$AU:$AU,$J222))</f>
        <v/>
      </c>
      <c r="G222" s="17" t="str">
        <f aca="false">IF($J222="","",INDEX('Auto Process'!$AV:$AV,$J222))</f>
        <v/>
      </c>
      <c r="H222" s="17" t="str">
        <f aca="false">IF($J222="","",INDEX('Auto Process'!$AW:$AW,$J222))</f>
        <v/>
      </c>
      <c r="J222" s="14" t="str">
        <f aca="false">IFERROR(_xlfn.AGGREGATE(15,6,ROW('Auto Process'!$D$4:$D$503)/('Auto Process'!$D$4:$D$503="Followup"),ROW()-1),"")</f>
        <v/>
      </c>
    </row>
    <row r="223" customFormat="false" ht="15" hidden="false" customHeight="true" outlineLevel="0" collapsed="false">
      <c r="A223" s="17" t="str">
        <f aca="false">IF($J223="","",INDEX('Auto Process'!$AP:$AP,$J223))</f>
        <v/>
      </c>
      <c r="B223" s="17" t="str">
        <f aca="false">IF($J223="","",INDEX('Auto Process'!$AQ:$AQ,$J223))</f>
        <v/>
      </c>
      <c r="C223" s="17" t="str">
        <f aca="false">IF($J223="","",INDEX('Auto Process'!$AR:$AR,$J223))</f>
        <v/>
      </c>
      <c r="D223" s="17" t="str">
        <f aca="false">IF($J223="","",INDEX('Auto Process'!$AS:$AS,$J223))</f>
        <v/>
      </c>
      <c r="E223" s="17" t="str">
        <f aca="false">IF($J223="","",INDEX('Auto Process'!$AT:$AT,$J223))</f>
        <v/>
      </c>
      <c r="F223" s="17" t="str">
        <f aca="false">IF($J223="","",INDEX('Auto Process'!$AU:$AU,$J223))</f>
        <v/>
      </c>
      <c r="G223" s="17" t="str">
        <f aca="false">IF($J223="","",INDEX('Auto Process'!$AV:$AV,$J223))</f>
        <v/>
      </c>
      <c r="H223" s="17" t="str">
        <f aca="false">IF($J223="","",INDEX('Auto Process'!$AW:$AW,$J223))</f>
        <v/>
      </c>
      <c r="J223" s="14" t="str">
        <f aca="false">IFERROR(_xlfn.AGGREGATE(15,6,ROW('Auto Process'!$D$4:$D$503)/('Auto Process'!$D$4:$D$503="Followup"),ROW()-1),"")</f>
        <v/>
      </c>
    </row>
    <row r="224" customFormat="false" ht="15" hidden="false" customHeight="true" outlineLevel="0" collapsed="false">
      <c r="A224" s="17" t="str">
        <f aca="false">IF($J224="","",INDEX('Auto Process'!$AP:$AP,$J224))</f>
        <v/>
      </c>
      <c r="B224" s="17" t="str">
        <f aca="false">IF($J224="","",INDEX('Auto Process'!$AQ:$AQ,$J224))</f>
        <v/>
      </c>
      <c r="C224" s="17" t="str">
        <f aca="false">IF($J224="","",INDEX('Auto Process'!$AR:$AR,$J224))</f>
        <v/>
      </c>
      <c r="D224" s="17" t="str">
        <f aca="false">IF($J224="","",INDEX('Auto Process'!$AS:$AS,$J224))</f>
        <v/>
      </c>
      <c r="E224" s="17" t="str">
        <f aca="false">IF($J224="","",INDEX('Auto Process'!$AT:$AT,$J224))</f>
        <v/>
      </c>
      <c r="F224" s="17" t="str">
        <f aca="false">IF($J224="","",INDEX('Auto Process'!$AU:$AU,$J224))</f>
        <v/>
      </c>
      <c r="G224" s="17" t="str">
        <f aca="false">IF($J224="","",INDEX('Auto Process'!$AV:$AV,$J224))</f>
        <v/>
      </c>
      <c r="H224" s="17" t="str">
        <f aca="false">IF($J224="","",INDEX('Auto Process'!$AW:$AW,$J224))</f>
        <v/>
      </c>
      <c r="J224" s="14" t="str">
        <f aca="false">IFERROR(_xlfn.AGGREGATE(15,6,ROW('Auto Process'!$D$4:$D$503)/('Auto Process'!$D$4:$D$503="Followup"),ROW()-1),"")</f>
        <v/>
      </c>
    </row>
    <row r="225" customFormat="false" ht="15" hidden="false" customHeight="true" outlineLevel="0" collapsed="false">
      <c r="A225" s="17" t="str">
        <f aca="false">IF($J225="","",INDEX('Auto Process'!$AP:$AP,$J225))</f>
        <v/>
      </c>
      <c r="B225" s="17" t="str">
        <f aca="false">IF($J225="","",INDEX('Auto Process'!$AQ:$AQ,$J225))</f>
        <v/>
      </c>
      <c r="C225" s="17" t="str">
        <f aca="false">IF($J225="","",INDEX('Auto Process'!$AR:$AR,$J225))</f>
        <v/>
      </c>
      <c r="D225" s="17" t="str">
        <f aca="false">IF($J225="","",INDEX('Auto Process'!$AS:$AS,$J225))</f>
        <v/>
      </c>
      <c r="E225" s="17" t="str">
        <f aca="false">IF($J225="","",INDEX('Auto Process'!$AT:$AT,$J225))</f>
        <v/>
      </c>
      <c r="F225" s="17" t="str">
        <f aca="false">IF($J225="","",INDEX('Auto Process'!$AU:$AU,$J225))</f>
        <v/>
      </c>
      <c r="G225" s="17" t="str">
        <f aca="false">IF($J225="","",INDEX('Auto Process'!$AV:$AV,$J225))</f>
        <v/>
      </c>
      <c r="H225" s="17" t="str">
        <f aca="false">IF($J225="","",INDEX('Auto Process'!$AW:$AW,$J225))</f>
        <v/>
      </c>
      <c r="J225" s="14" t="str">
        <f aca="false">IFERROR(_xlfn.AGGREGATE(15,6,ROW('Auto Process'!$D$4:$D$503)/('Auto Process'!$D$4:$D$503="Followup"),ROW()-1),"")</f>
        <v/>
      </c>
    </row>
    <row r="226" customFormat="false" ht="15" hidden="false" customHeight="true" outlineLevel="0" collapsed="false">
      <c r="A226" s="17" t="str">
        <f aca="false">IF($J226="","",INDEX('Auto Process'!$AP:$AP,$J226))</f>
        <v/>
      </c>
      <c r="B226" s="17" t="str">
        <f aca="false">IF($J226="","",INDEX('Auto Process'!$AQ:$AQ,$J226))</f>
        <v/>
      </c>
      <c r="C226" s="17" t="str">
        <f aca="false">IF($J226="","",INDEX('Auto Process'!$AR:$AR,$J226))</f>
        <v/>
      </c>
      <c r="D226" s="17" t="str">
        <f aca="false">IF($J226="","",INDEX('Auto Process'!$AS:$AS,$J226))</f>
        <v/>
      </c>
      <c r="E226" s="17" t="str">
        <f aca="false">IF($J226="","",INDEX('Auto Process'!$AT:$AT,$J226))</f>
        <v/>
      </c>
      <c r="F226" s="17" t="str">
        <f aca="false">IF($J226="","",INDEX('Auto Process'!$AU:$AU,$J226))</f>
        <v/>
      </c>
      <c r="G226" s="17" t="str">
        <f aca="false">IF($J226="","",INDEX('Auto Process'!$AV:$AV,$J226))</f>
        <v/>
      </c>
      <c r="H226" s="17" t="str">
        <f aca="false">IF($J226="","",INDEX('Auto Process'!$AW:$AW,$J226))</f>
        <v/>
      </c>
      <c r="J226" s="14" t="str">
        <f aca="false">IFERROR(_xlfn.AGGREGATE(15,6,ROW('Auto Process'!$D$4:$D$503)/('Auto Process'!$D$4:$D$503="Followup"),ROW()-1),"")</f>
        <v/>
      </c>
    </row>
    <row r="227" customFormat="false" ht="15" hidden="false" customHeight="true" outlineLevel="0" collapsed="false">
      <c r="A227" s="17" t="str">
        <f aca="false">IF($J227="","",INDEX('Auto Process'!$AP:$AP,$J227))</f>
        <v/>
      </c>
      <c r="B227" s="17" t="str">
        <f aca="false">IF($J227="","",INDEX('Auto Process'!$AQ:$AQ,$J227))</f>
        <v/>
      </c>
      <c r="C227" s="17" t="str">
        <f aca="false">IF($J227="","",INDEX('Auto Process'!$AR:$AR,$J227))</f>
        <v/>
      </c>
      <c r="D227" s="17" t="str">
        <f aca="false">IF($J227="","",INDEX('Auto Process'!$AS:$AS,$J227))</f>
        <v/>
      </c>
      <c r="E227" s="17" t="str">
        <f aca="false">IF($J227="","",INDEX('Auto Process'!$AT:$AT,$J227))</f>
        <v/>
      </c>
      <c r="F227" s="17" t="str">
        <f aca="false">IF($J227="","",INDEX('Auto Process'!$AU:$AU,$J227))</f>
        <v/>
      </c>
      <c r="G227" s="17" t="str">
        <f aca="false">IF($J227="","",INDEX('Auto Process'!$AV:$AV,$J227))</f>
        <v/>
      </c>
      <c r="H227" s="17" t="str">
        <f aca="false">IF($J227="","",INDEX('Auto Process'!$AW:$AW,$J227))</f>
        <v/>
      </c>
      <c r="J227" s="14" t="str">
        <f aca="false">IFERROR(_xlfn.AGGREGATE(15,6,ROW('Auto Process'!$D$4:$D$503)/('Auto Process'!$D$4:$D$503="Followup"),ROW()-1),"")</f>
        <v/>
      </c>
    </row>
    <row r="228" customFormat="false" ht="15" hidden="false" customHeight="true" outlineLevel="0" collapsed="false">
      <c r="A228" s="17" t="str">
        <f aca="false">IF($J228="","",INDEX('Auto Process'!$AP:$AP,$J228))</f>
        <v/>
      </c>
      <c r="B228" s="17" t="str">
        <f aca="false">IF($J228="","",INDEX('Auto Process'!$AQ:$AQ,$J228))</f>
        <v/>
      </c>
      <c r="C228" s="17" t="str">
        <f aca="false">IF($J228="","",INDEX('Auto Process'!$AR:$AR,$J228))</f>
        <v/>
      </c>
      <c r="D228" s="17" t="str">
        <f aca="false">IF($J228="","",INDEX('Auto Process'!$AS:$AS,$J228))</f>
        <v/>
      </c>
      <c r="E228" s="17" t="str">
        <f aca="false">IF($J228="","",INDEX('Auto Process'!$AT:$AT,$J228))</f>
        <v/>
      </c>
      <c r="F228" s="17" t="str">
        <f aca="false">IF($J228="","",INDEX('Auto Process'!$AU:$AU,$J228))</f>
        <v/>
      </c>
      <c r="G228" s="17" t="str">
        <f aca="false">IF($J228="","",INDEX('Auto Process'!$AV:$AV,$J228))</f>
        <v/>
      </c>
      <c r="H228" s="17" t="str">
        <f aca="false">IF($J228="","",INDEX('Auto Process'!$AW:$AW,$J228))</f>
        <v/>
      </c>
      <c r="J228" s="14" t="str">
        <f aca="false">IFERROR(_xlfn.AGGREGATE(15,6,ROW('Auto Process'!$D$4:$D$503)/('Auto Process'!$D$4:$D$503="Followup"),ROW()-1),"")</f>
        <v/>
      </c>
    </row>
    <row r="229" customFormat="false" ht="15" hidden="false" customHeight="true" outlineLevel="0" collapsed="false">
      <c r="A229" s="17" t="str">
        <f aca="false">IF($J229="","",INDEX('Auto Process'!$AP:$AP,$J229))</f>
        <v/>
      </c>
      <c r="B229" s="17" t="str">
        <f aca="false">IF($J229="","",INDEX('Auto Process'!$AQ:$AQ,$J229))</f>
        <v/>
      </c>
      <c r="C229" s="17" t="str">
        <f aca="false">IF($J229="","",INDEX('Auto Process'!$AR:$AR,$J229))</f>
        <v/>
      </c>
      <c r="D229" s="17" t="str">
        <f aca="false">IF($J229="","",INDEX('Auto Process'!$AS:$AS,$J229))</f>
        <v/>
      </c>
      <c r="E229" s="17" t="str">
        <f aca="false">IF($J229="","",INDEX('Auto Process'!$AT:$AT,$J229))</f>
        <v/>
      </c>
      <c r="F229" s="17" t="str">
        <f aca="false">IF($J229="","",INDEX('Auto Process'!$AU:$AU,$J229))</f>
        <v/>
      </c>
      <c r="G229" s="17" t="str">
        <f aca="false">IF($J229="","",INDEX('Auto Process'!$AV:$AV,$J229))</f>
        <v/>
      </c>
      <c r="H229" s="17" t="str">
        <f aca="false">IF($J229="","",INDEX('Auto Process'!$AW:$AW,$J229))</f>
        <v/>
      </c>
      <c r="J229" s="14" t="str">
        <f aca="false">IFERROR(_xlfn.AGGREGATE(15,6,ROW('Auto Process'!$D$4:$D$503)/('Auto Process'!$D$4:$D$503="Followup"),ROW()-1),"")</f>
        <v/>
      </c>
    </row>
    <row r="230" customFormat="false" ht="15" hidden="false" customHeight="true" outlineLevel="0" collapsed="false">
      <c r="A230" s="17" t="str">
        <f aca="false">IF($J230="","",INDEX('Auto Process'!$AP:$AP,$J230))</f>
        <v/>
      </c>
      <c r="B230" s="17" t="str">
        <f aca="false">IF($J230="","",INDEX('Auto Process'!$AQ:$AQ,$J230))</f>
        <v/>
      </c>
      <c r="C230" s="17" t="str">
        <f aca="false">IF($J230="","",INDEX('Auto Process'!$AR:$AR,$J230))</f>
        <v/>
      </c>
      <c r="D230" s="17" t="str">
        <f aca="false">IF($J230="","",INDEX('Auto Process'!$AS:$AS,$J230))</f>
        <v/>
      </c>
      <c r="E230" s="17" t="str">
        <f aca="false">IF($J230="","",INDEX('Auto Process'!$AT:$AT,$J230))</f>
        <v/>
      </c>
      <c r="F230" s="17" t="str">
        <f aca="false">IF($J230="","",INDEX('Auto Process'!$AU:$AU,$J230))</f>
        <v/>
      </c>
      <c r="G230" s="17" t="str">
        <f aca="false">IF($J230="","",INDEX('Auto Process'!$AV:$AV,$J230))</f>
        <v/>
      </c>
      <c r="H230" s="17" t="str">
        <f aca="false">IF($J230="","",INDEX('Auto Process'!$AW:$AW,$J230))</f>
        <v/>
      </c>
      <c r="J230" s="14" t="str">
        <f aca="false">IFERROR(_xlfn.AGGREGATE(15,6,ROW('Auto Process'!$D$4:$D$503)/('Auto Process'!$D$4:$D$503="Followup"),ROW()-1),"")</f>
        <v/>
      </c>
    </row>
    <row r="231" customFormat="false" ht="15" hidden="false" customHeight="true" outlineLevel="0" collapsed="false">
      <c r="A231" s="17" t="str">
        <f aca="false">IF($J231="","",INDEX('Auto Process'!$AP:$AP,$J231))</f>
        <v/>
      </c>
      <c r="B231" s="17" t="str">
        <f aca="false">IF($J231="","",INDEX('Auto Process'!$AQ:$AQ,$J231))</f>
        <v/>
      </c>
      <c r="C231" s="17" t="str">
        <f aca="false">IF($J231="","",INDEX('Auto Process'!$AR:$AR,$J231))</f>
        <v/>
      </c>
      <c r="D231" s="17" t="str">
        <f aca="false">IF($J231="","",INDEX('Auto Process'!$AS:$AS,$J231))</f>
        <v/>
      </c>
      <c r="E231" s="17" t="str">
        <f aca="false">IF($J231="","",INDEX('Auto Process'!$AT:$AT,$J231))</f>
        <v/>
      </c>
      <c r="F231" s="17" t="str">
        <f aca="false">IF($J231="","",INDEX('Auto Process'!$AU:$AU,$J231))</f>
        <v/>
      </c>
      <c r="G231" s="17" t="str">
        <f aca="false">IF($J231="","",INDEX('Auto Process'!$AV:$AV,$J231))</f>
        <v/>
      </c>
      <c r="H231" s="17" t="str">
        <f aca="false">IF($J231="","",INDEX('Auto Process'!$AW:$AW,$J231))</f>
        <v/>
      </c>
      <c r="J231" s="14" t="str">
        <f aca="false">IFERROR(_xlfn.AGGREGATE(15,6,ROW('Auto Process'!$D$4:$D$503)/('Auto Process'!$D$4:$D$503="Followup"),ROW()-1),"")</f>
        <v/>
      </c>
    </row>
    <row r="232" customFormat="false" ht="15" hidden="false" customHeight="true" outlineLevel="0" collapsed="false">
      <c r="A232" s="17" t="str">
        <f aca="false">IF($J232="","",INDEX('Auto Process'!$AP:$AP,$J232))</f>
        <v/>
      </c>
      <c r="B232" s="17" t="str">
        <f aca="false">IF($J232="","",INDEX('Auto Process'!$AQ:$AQ,$J232))</f>
        <v/>
      </c>
      <c r="C232" s="17" t="str">
        <f aca="false">IF($J232="","",INDEX('Auto Process'!$AR:$AR,$J232))</f>
        <v/>
      </c>
      <c r="D232" s="17" t="str">
        <f aca="false">IF($J232="","",INDEX('Auto Process'!$AS:$AS,$J232))</f>
        <v/>
      </c>
      <c r="E232" s="17" t="str">
        <f aca="false">IF($J232="","",INDEX('Auto Process'!$AT:$AT,$J232))</f>
        <v/>
      </c>
      <c r="F232" s="17" t="str">
        <f aca="false">IF($J232="","",INDEX('Auto Process'!$AU:$AU,$J232))</f>
        <v/>
      </c>
      <c r="G232" s="17" t="str">
        <f aca="false">IF($J232="","",INDEX('Auto Process'!$AV:$AV,$J232))</f>
        <v/>
      </c>
      <c r="H232" s="17" t="str">
        <f aca="false">IF($J232="","",INDEX('Auto Process'!$AW:$AW,$J232))</f>
        <v/>
      </c>
      <c r="J232" s="14" t="str">
        <f aca="false">IFERROR(_xlfn.AGGREGATE(15,6,ROW('Auto Process'!$D$4:$D$503)/('Auto Process'!$D$4:$D$503="Followup"),ROW()-1),"")</f>
        <v/>
      </c>
    </row>
    <row r="233" customFormat="false" ht="15" hidden="false" customHeight="true" outlineLevel="0" collapsed="false">
      <c r="A233" s="17" t="str">
        <f aca="false">IF($J233="","",INDEX('Auto Process'!$AP:$AP,$J233))</f>
        <v/>
      </c>
      <c r="B233" s="17" t="str">
        <f aca="false">IF($J233="","",INDEX('Auto Process'!$AQ:$AQ,$J233))</f>
        <v/>
      </c>
      <c r="C233" s="17" t="str">
        <f aca="false">IF($J233="","",INDEX('Auto Process'!$AR:$AR,$J233))</f>
        <v/>
      </c>
      <c r="D233" s="17" t="str">
        <f aca="false">IF($J233="","",INDEX('Auto Process'!$AS:$AS,$J233))</f>
        <v/>
      </c>
      <c r="E233" s="17" t="str">
        <f aca="false">IF($J233="","",INDEX('Auto Process'!$AT:$AT,$J233))</f>
        <v/>
      </c>
      <c r="F233" s="17" t="str">
        <f aca="false">IF($J233="","",INDEX('Auto Process'!$AU:$AU,$J233))</f>
        <v/>
      </c>
      <c r="G233" s="17" t="str">
        <f aca="false">IF($J233="","",INDEX('Auto Process'!$AV:$AV,$J233))</f>
        <v/>
      </c>
      <c r="H233" s="17" t="str">
        <f aca="false">IF($J233="","",INDEX('Auto Process'!$AW:$AW,$J233))</f>
        <v/>
      </c>
      <c r="J233" s="14" t="str">
        <f aca="false">IFERROR(_xlfn.AGGREGATE(15,6,ROW('Auto Process'!$D$4:$D$503)/('Auto Process'!$D$4:$D$503="Followup"),ROW()-1),"")</f>
        <v/>
      </c>
    </row>
    <row r="234" customFormat="false" ht="15" hidden="false" customHeight="true" outlineLevel="0" collapsed="false">
      <c r="A234" s="17" t="str">
        <f aca="false">IF($J234="","",INDEX('Auto Process'!$AP:$AP,$J234))</f>
        <v/>
      </c>
      <c r="B234" s="17" t="str">
        <f aca="false">IF($J234="","",INDEX('Auto Process'!$AQ:$AQ,$J234))</f>
        <v/>
      </c>
      <c r="C234" s="17" t="str">
        <f aca="false">IF($J234="","",INDEX('Auto Process'!$AR:$AR,$J234))</f>
        <v/>
      </c>
      <c r="D234" s="17" t="str">
        <f aca="false">IF($J234="","",INDEX('Auto Process'!$AS:$AS,$J234))</f>
        <v/>
      </c>
      <c r="E234" s="17" t="str">
        <f aca="false">IF($J234="","",INDEX('Auto Process'!$AT:$AT,$J234))</f>
        <v/>
      </c>
      <c r="F234" s="17" t="str">
        <f aca="false">IF($J234="","",INDEX('Auto Process'!$AU:$AU,$J234))</f>
        <v/>
      </c>
      <c r="G234" s="17" t="str">
        <f aca="false">IF($J234="","",INDEX('Auto Process'!$AV:$AV,$J234))</f>
        <v/>
      </c>
      <c r="H234" s="17" t="str">
        <f aca="false">IF($J234="","",INDEX('Auto Process'!$AW:$AW,$J234))</f>
        <v/>
      </c>
      <c r="J234" s="14" t="str">
        <f aca="false">IFERROR(_xlfn.AGGREGATE(15,6,ROW('Auto Process'!$D$4:$D$503)/('Auto Process'!$D$4:$D$503="Followup"),ROW()-1),"")</f>
        <v/>
      </c>
    </row>
    <row r="235" customFormat="false" ht="15" hidden="false" customHeight="true" outlineLevel="0" collapsed="false">
      <c r="A235" s="17" t="str">
        <f aca="false">IF($J235="","",INDEX('Auto Process'!$AP:$AP,$J235))</f>
        <v/>
      </c>
      <c r="B235" s="17" t="str">
        <f aca="false">IF($J235="","",INDEX('Auto Process'!$AQ:$AQ,$J235))</f>
        <v/>
      </c>
      <c r="C235" s="17" t="str">
        <f aca="false">IF($J235="","",INDEX('Auto Process'!$AR:$AR,$J235))</f>
        <v/>
      </c>
      <c r="D235" s="17" t="str">
        <f aca="false">IF($J235="","",INDEX('Auto Process'!$AS:$AS,$J235))</f>
        <v/>
      </c>
      <c r="E235" s="17" t="str">
        <f aca="false">IF($J235="","",INDEX('Auto Process'!$AT:$AT,$J235))</f>
        <v/>
      </c>
      <c r="F235" s="17" t="str">
        <f aca="false">IF($J235="","",INDEX('Auto Process'!$AU:$AU,$J235))</f>
        <v/>
      </c>
      <c r="G235" s="17" t="str">
        <f aca="false">IF($J235="","",INDEX('Auto Process'!$AV:$AV,$J235))</f>
        <v/>
      </c>
      <c r="H235" s="17" t="str">
        <f aca="false">IF($J235="","",INDEX('Auto Process'!$AW:$AW,$J235))</f>
        <v/>
      </c>
      <c r="J235" s="14" t="str">
        <f aca="false">IFERROR(_xlfn.AGGREGATE(15,6,ROW('Auto Process'!$D$4:$D$503)/('Auto Process'!$D$4:$D$503="Followup"),ROW()-1),"")</f>
        <v/>
      </c>
    </row>
    <row r="236" customFormat="false" ht="15" hidden="false" customHeight="true" outlineLevel="0" collapsed="false">
      <c r="A236" s="17" t="str">
        <f aca="false">IF($J236="","",INDEX('Auto Process'!$AP:$AP,$J236))</f>
        <v/>
      </c>
      <c r="B236" s="17" t="str">
        <f aca="false">IF($J236="","",INDEX('Auto Process'!$AQ:$AQ,$J236))</f>
        <v/>
      </c>
      <c r="C236" s="17" t="str">
        <f aca="false">IF($J236="","",INDEX('Auto Process'!$AR:$AR,$J236))</f>
        <v/>
      </c>
      <c r="D236" s="17" t="str">
        <f aca="false">IF($J236="","",INDEX('Auto Process'!$AS:$AS,$J236))</f>
        <v/>
      </c>
      <c r="E236" s="17" t="str">
        <f aca="false">IF($J236="","",INDEX('Auto Process'!$AT:$AT,$J236))</f>
        <v/>
      </c>
      <c r="F236" s="17" t="str">
        <f aca="false">IF($J236="","",INDEX('Auto Process'!$AU:$AU,$J236))</f>
        <v/>
      </c>
      <c r="G236" s="17" t="str">
        <f aca="false">IF($J236="","",INDEX('Auto Process'!$AV:$AV,$J236))</f>
        <v/>
      </c>
      <c r="H236" s="17" t="str">
        <f aca="false">IF($J236="","",INDEX('Auto Process'!$AW:$AW,$J236))</f>
        <v/>
      </c>
      <c r="J236" s="14" t="str">
        <f aca="false">IFERROR(_xlfn.AGGREGATE(15,6,ROW('Auto Process'!$D$4:$D$503)/('Auto Process'!$D$4:$D$503="Followup"),ROW()-1),"")</f>
        <v/>
      </c>
    </row>
    <row r="237" customFormat="false" ht="15" hidden="false" customHeight="true" outlineLevel="0" collapsed="false">
      <c r="A237" s="17" t="str">
        <f aca="false">IF($J237="","",INDEX('Auto Process'!$AP:$AP,$J237))</f>
        <v/>
      </c>
      <c r="B237" s="17" t="str">
        <f aca="false">IF($J237="","",INDEX('Auto Process'!$AQ:$AQ,$J237))</f>
        <v/>
      </c>
      <c r="C237" s="17" t="str">
        <f aca="false">IF($J237="","",INDEX('Auto Process'!$AR:$AR,$J237))</f>
        <v/>
      </c>
      <c r="D237" s="17" t="str">
        <f aca="false">IF($J237="","",INDEX('Auto Process'!$AS:$AS,$J237))</f>
        <v/>
      </c>
      <c r="E237" s="17" t="str">
        <f aca="false">IF($J237="","",INDEX('Auto Process'!$AT:$AT,$J237))</f>
        <v/>
      </c>
      <c r="F237" s="17" t="str">
        <f aca="false">IF($J237="","",INDEX('Auto Process'!$AU:$AU,$J237))</f>
        <v/>
      </c>
      <c r="G237" s="17" t="str">
        <f aca="false">IF($J237="","",INDEX('Auto Process'!$AV:$AV,$J237))</f>
        <v/>
      </c>
      <c r="H237" s="17" t="str">
        <f aca="false">IF($J237="","",INDEX('Auto Process'!$AW:$AW,$J237))</f>
        <v/>
      </c>
      <c r="J237" s="14" t="str">
        <f aca="false">IFERROR(_xlfn.AGGREGATE(15,6,ROW('Auto Process'!$D$4:$D$503)/('Auto Process'!$D$4:$D$503="Followup"),ROW()-1),"")</f>
        <v/>
      </c>
    </row>
    <row r="238" customFormat="false" ht="15" hidden="false" customHeight="true" outlineLevel="0" collapsed="false">
      <c r="A238" s="17" t="str">
        <f aca="false">IF($J238="","",INDEX('Auto Process'!$AP:$AP,$J238))</f>
        <v/>
      </c>
      <c r="B238" s="17" t="str">
        <f aca="false">IF($J238="","",INDEX('Auto Process'!$AQ:$AQ,$J238))</f>
        <v/>
      </c>
      <c r="C238" s="17" t="str">
        <f aca="false">IF($J238="","",INDEX('Auto Process'!$AR:$AR,$J238))</f>
        <v/>
      </c>
      <c r="D238" s="17" t="str">
        <f aca="false">IF($J238="","",INDEX('Auto Process'!$AS:$AS,$J238))</f>
        <v/>
      </c>
      <c r="E238" s="17" t="str">
        <f aca="false">IF($J238="","",INDEX('Auto Process'!$AT:$AT,$J238))</f>
        <v/>
      </c>
      <c r="F238" s="17" t="str">
        <f aca="false">IF($J238="","",INDEX('Auto Process'!$AU:$AU,$J238))</f>
        <v/>
      </c>
      <c r="G238" s="17" t="str">
        <f aca="false">IF($J238="","",INDEX('Auto Process'!$AV:$AV,$J238))</f>
        <v/>
      </c>
      <c r="H238" s="17" t="str">
        <f aca="false">IF($J238="","",INDEX('Auto Process'!$AW:$AW,$J238))</f>
        <v/>
      </c>
      <c r="J238" s="14" t="str">
        <f aca="false">IFERROR(_xlfn.AGGREGATE(15,6,ROW('Auto Process'!$D$4:$D$503)/('Auto Process'!$D$4:$D$503="Followup"),ROW()-1),"")</f>
        <v/>
      </c>
    </row>
    <row r="239" customFormat="false" ht="15" hidden="false" customHeight="true" outlineLevel="0" collapsed="false">
      <c r="A239" s="17" t="str">
        <f aca="false">IF($J239="","",INDEX('Auto Process'!$AP:$AP,$J239))</f>
        <v/>
      </c>
      <c r="B239" s="17" t="str">
        <f aca="false">IF($J239="","",INDEX('Auto Process'!$AQ:$AQ,$J239))</f>
        <v/>
      </c>
      <c r="C239" s="17" t="str">
        <f aca="false">IF($J239="","",INDEX('Auto Process'!$AR:$AR,$J239))</f>
        <v/>
      </c>
      <c r="D239" s="17" t="str">
        <f aca="false">IF($J239="","",INDEX('Auto Process'!$AS:$AS,$J239))</f>
        <v/>
      </c>
      <c r="E239" s="17" t="str">
        <f aca="false">IF($J239="","",INDEX('Auto Process'!$AT:$AT,$J239))</f>
        <v/>
      </c>
      <c r="F239" s="17" t="str">
        <f aca="false">IF($J239="","",INDEX('Auto Process'!$AU:$AU,$J239))</f>
        <v/>
      </c>
      <c r="G239" s="17" t="str">
        <f aca="false">IF($J239="","",INDEX('Auto Process'!$AV:$AV,$J239))</f>
        <v/>
      </c>
      <c r="H239" s="17" t="str">
        <f aca="false">IF($J239="","",INDEX('Auto Process'!$AW:$AW,$J239))</f>
        <v/>
      </c>
      <c r="J239" s="14" t="str">
        <f aca="false">IFERROR(_xlfn.AGGREGATE(15,6,ROW('Auto Process'!$D$4:$D$503)/('Auto Process'!$D$4:$D$503="Followup"),ROW()-1),"")</f>
        <v/>
      </c>
    </row>
    <row r="240" customFormat="false" ht="15" hidden="false" customHeight="true" outlineLevel="0" collapsed="false">
      <c r="A240" s="17" t="str">
        <f aca="false">IF($J240="","",INDEX('Auto Process'!$AP:$AP,$J240))</f>
        <v/>
      </c>
      <c r="B240" s="17" t="str">
        <f aca="false">IF($J240="","",INDEX('Auto Process'!$AQ:$AQ,$J240))</f>
        <v/>
      </c>
      <c r="C240" s="17" t="str">
        <f aca="false">IF($J240="","",INDEX('Auto Process'!$AR:$AR,$J240))</f>
        <v/>
      </c>
      <c r="D240" s="17" t="str">
        <f aca="false">IF($J240="","",INDEX('Auto Process'!$AS:$AS,$J240))</f>
        <v/>
      </c>
      <c r="E240" s="17" t="str">
        <f aca="false">IF($J240="","",INDEX('Auto Process'!$AT:$AT,$J240))</f>
        <v/>
      </c>
      <c r="F240" s="17" t="str">
        <f aca="false">IF($J240="","",INDEX('Auto Process'!$AU:$AU,$J240))</f>
        <v/>
      </c>
      <c r="G240" s="17" t="str">
        <f aca="false">IF($J240="","",INDEX('Auto Process'!$AV:$AV,$J240))</f>
        <v/>
      </c>
      <c r="H240" s="17" t="str">
        <f aca="false">IF($J240="","",INDEX('Auto Process'!$AW:$AW,$J240))</f>
        <v/>
      </c>
      <c r="J240" s="14" t="str">
        <f aca="false">IFERROR(_xlfn.AGGREGATE(15,6,ROW('Auto Process'!$D$4:$D$503)/('Auto Process'!$D$4:$D$503="Followup"),ROW()-1),"")</f>
        <v/>
      </c>
    </row>
    <row r="241" customFormat="false" ht="15" hidden="false" customHeight="true" outlineLevel="0" collapsed="false">
      <c r="A241" s="17" t="str">
        <f aca="false">IF($J241="","",INDEX('Auto Process'!$AP:$AP,$J241))</f>
        <v/>
      </c>
      <c r="B241" s="17" t="str">
        <f aca="false">IF($J241="","",INDEX('Auto Process'!$AQ:$AQ,$J241))</f>
        <v/>
      </c>
      <c r="C241" s="17" t="str">
        <f aca="false">IF($J241="","",INDEX('Auto Process'!$AR:$AR,$J241))</f>
        <v/>
      </c>
      <c r="D241" s="17" t="str">
        <f aca="false">IF($J241="","",INDEX('Auto Process'!$AS:$AS,$J241))</f>
        <v/>
      </c>
      <c r="E241" s="17" t="str">
        <f aca="false">IF($J241="","",INDEX('Auto Process'!$AT:$AT,$J241))</f>
        <v/>
      </c>
      <c r="F241" s="17" t="str">
        <f aca="false">IF($J241="","",INDEX('Auto Process'!$AU:$AU,$J241))</f>
        <v/>
      </c>
      <c r="G241" s="17" t="str">
        <f aca="false">IF($J241="","",INDEX('Auto Process'!$AV:$AV,$J241))</f>
        <v/>
      </c>
      <c r="H241" s="17" t="str">
        <f aca="false">IF($J241="","",INDEX('Auto Process'!$AW:$AW,$J241))</f>
        <v/>
      </c>
      <c r="J241" s="14" t="str">
        <f aca="false">IFERROR(_xlfn.AGGREGATE(15,6,ROW('Auto Process'!$D$4:$D$503)/('Auto Process'!$D$4:$D$503="Followup"),ROW()-1),"")</f>
        <v/>
      </c>
    </row>
    <row r="242" customFormat="false" ht="15" hidden="false" customHeight="true" outlineLevel="0" collapsed="false">
      <c r="A242" s="17" t="str">
        <f aca="false">IF($J242="","",INDEX('Auto Process'!$AP:$AP,$J242))</f>
        <v/>
      </c>
      <c r="B242" s="17" t="str">
        <f aca="false">IF($J242="","",INDEX('Auto Process'!$AQ:$AQ,$J242))</f>
        <v/>
      </c>
      <c r="C242" s="17" t="str">
        <f aca="false">IF($J242="","",INDEX('Auto Process'!$AR:$AR,$J242))</f>
        <v/>
      </c>
      <c r="D242" s="17" t="str">
        <f aca="false">IF($J242="","",INDEX('Auto Process'!$AS:$AS,$J242))</f>
        <v/>
      </c>
      <c r="E242" s="17" t="str">
        <f aca="false">IF($J242="","",INDEX('Auto Process'!$AT:$AT,$J242))</f>
        <v/>
      </c>
      <c r="F242" s="17" t="str">
        <f aca="false">IF($J242="","",INDEX('Auto Process'!$AU:$AU,$J242))</f>
        <v/>
      </c>
      <c r="G242" s="17" t="str">
        <f aca="false">IF($J242="","",INDEX('Auto Process'!$AV:$AV,$J242))</f>
        <v/>
      </c>
      <c r="H242" s="17" t="str">
        <f aca="false">IF($J242="","",INDEX('Auto Process'!$AW:$AW,$J242))</f>
        <v/>
      </c>
      <c r="J242" s="14" t="str">
        <f aca="false">IFERROR(_xlfn.AGGREGATE(15,6,ROW('Auto Process'!$D$4:$D$503)/('Auto Process'!$D$4:$D$503="Followup"),ROW()-1),"")</f>
        <v/>
      </c>
    </row>
    <row r="243" customFormat="false" ht="15" hidden="false" customHeight="true" outlineLevel="0" collapsed="false">
      <c r="A243" s="17" t="str">
        <f aca="false">IF($J243="","",INDEX('Auto Process'!$AP:$AP,$J243))</f>
        <v/>
      </c>
      <c r="B243" s="17" t="str">
        <f aca="false">IF($J243="","",INDEX('Auto Process'!$AQ:$AQ,$J243))</f>
        <v/>
      </c>
      <c r="C243" s="17" t="str">
        <f aca="false">IF($J243="","",INDEX('Auto Process'!$AR:$AR,$J243))</f>
        <v/>
      </c>
      <c r="D243" s="17" t="str">
        <f aca="false">IF($J243="","",INDEX('Auto Process'!$AS:$AS,$J243))</f>
        <v/>
      </c>
      <c r="E243" s="17" t="str">
        <f aca="false">IF($J243="","",INDEX('Auto Process'!$AT:$AT,$J243))</f>
        <v/>
      </c>
      <c r="F243" s="17" t="str">
        <f aca="false">IF($J243="","",INDEX('Auto Process'!$AU:$AU,$J243))</f>
        <v/>
      </c>
      <c r="G243" s="17" t="str">
        <f aca="false">IF($J243="","",INDEX('Auto Process'!$AV:$AV,$J243))</f>
        <v/>
      </c>
      <c r="H243" s="17" t="str">
        <f aca="false">IF($J243="","",INDEX('Auto Process'!$AW:$AW,$J243))</f>
        <v/>
      </c>
      <c r="J243" s="14" t="str">
        <f aca="false">IFERROR(_xlfn.AGGREGATE(15,6,ROW('Auto Process'!$D$4:$D$503)/('Auto Process'!$D$4:$D$503="Followup"),ROW()-1),"")</f>
        <v/>
      </c>
    </row>
    <row r="244" customFormat="false" ht="15" hidden="false" customHeight="true" outlineLevel="0" collapsed="false">
      <c r="A244" s="17" t="str">
        <f aca="false">IF($J244="","",INDEX('Auto Process'!$AP:$AP,$J244))</f>
        <v/>
      </c>
      <c r="B244" s="17" t="str">
        <f aca="false">IF($J244="","",INDEX('Auto Process'!$AQ:$AQ,$J244))</f>
        <v/>
      </c>
      <c r="C244" s="17" t="str">
        <f aca="false">IF($J244="","",INDEX('Auto Process'!$AR:$AR,$J244))</f>
        <v/>
      </c>
      <c r="D244" s="17" t="str">
        <f aca="false">IF($J244="","",INDEX('Auto Process'!$AS:$AS,$J244))</f>
        <v/>
      </c>
      <c r="E244" s="17" t="str">
        <f aca="false">IF($J244="","",INDEX('Auto Process'!$AT:$AT,$J244))</f>
        <v/>
      </c>
      <c r="F244" s="17" t="str">
        <f aca="false">IF($J244="","",INDEX('Auto Process'!$AU:$AU,$J244))</f>
        <v/>
      </c>
      <c r="G244" s="17" t="str">
        <f aca="false">IF($J244="","",INDEX('Auto Process'!$AV:$AV,$J244))</f>
        <v/>
      </c>
      <c r="H244" s="17" t="str">
        <f aca="false">IF($J244="","",INDEX('Auto Process'!$AW:$AW,$J244))</f>
        <v/>
      </c>
      <c r="J244" s="14" t="str">
        <f aca="false">IFERROR(_xlfn.AGGREGATE(15,6,ROW('Auto Process'!$D$4:$D$503)/('Auto Process'!$D$4:$D$503="Followup"),ROW()-1),"")</f>
        <v/>
      </c>
    </row>
    <row r="245" customFormat="false" ht="15" hidden="false" customHeight="true" outlineLevel="0" collapsed="false">
      <c r="A245" s="17" t="str">
        <f aca="false">IF($J245="","",INDEX('Auto Process'!$AP:$AP,$J245))</f>
        <v/>
      </c>
      <c r="B245" s="17" t="str">
        <f aca="false">IF($J245="","",INDEX('Auto Process'!$AQ:$AQ,$J245))</f>
        <v/>
      </c>
      <c r="C245" s="17" t="str">
        <f aca="false">IF($J245="","",INDEX('Auto Process'!$AR:$AR,$J245))</f>
        <v/>
      </c>
      <c r="D245" s="17" t="str">
        <f aca="false">IF($J245="","",INDEX('Auto Process'!$AS:$AS,$J245))</f>
        <v/>
      </c>
      <c r="E245" s="17" t="str">
        <f aca="false">IF($J245="","",INDEX('Auto Process'!$AT:$AT,$J245))</f>
        <v/>
      </c>
      <c r="F245" s="17" t="str">
        <f aca="false">IF($J245="","",INDEX('Auto Process'!$AU:$AU,$J245))</f>
        <v/>
      </c>
      <c r="G245" s="17" t="str">
        <f aca="false">IF($J245="","",INDEX('Auto Process'!$AV:$AV,$J245))</f>
        <v/>
      </c>
      <c r="H245" s="17" t="str">
        <f aca="false">IF($J245="","",INDEX('Auto Process'!$AW:$AW,$J245))</f>
        <v/>
      </c>
      <c r="J245" s="14" t="str">
        <f aca="false">IFERROR(_xlfn.AGGREGATE(15,6,ROW('Auto Process'!$D$4:$D$503)/('Auto Process'!$D$4:$D$503="Followup"),ROW()-1),"")</f>
        <v/>
      </c>
    </row>
    <row r="246" customFormat="false" ht="15" hidden="false" customHeight="true" outlineLevel="0" collapsed="false">
      <c r="A246" s="17" t="str">
        <f aca="false">IF($J246="","",INDEX('Auto Process'!$AP:$AP,$J246))</f>
        <v/>
      </c>
      <c r="B246" s="17" t="str">
        <f aca="false">IF($J246="","",INDEX('Auto Process'!$AQ:$AQ,$J246))</f>
        <v/>
      </c>
      <c r="C246" s="17" t="str">
        <f aca="false">IF($J246="","",INDEX('Auto Process'!$AR:$AR,$J246))</f>
        <v/>
      </c>
      <c r="D246" s="17" t="str">
        <f aca="false">IF($J246="","",INDEX('Auto Process'!$AS:$AS,$J246))</f>
        <v/>
      </c>
      <c r="E246" s="17" t="str">
        <f aca="false">IF($J246="","",INDEX('Auto Process'!$AT:$AT,$J246))</f>
        <v/>
      </c>
      <c r="F246" s="17" t="str">
        <f aca="false">IF($J246="","",INDEX('Auto Process'!$AU:$AU,$J246))</f>
        <v/>
      </c>
      <c r="G246" s="17" t="str">
        <f aca="false">IF($J246="","",INDEX('Auto Process'!$AV:$AV,$J246))</f>
        <v/>
      </c>
      <c r="H246" s="17" t="str">
        <f aca="false">IF($J246="","",INDEX('Auto Process'!$AW:$AW,$J246))</f>
        <v/>
      </c>
      <c r="J246" s="14" t="str">
        <f aca="false">IFERROR(_xlfn.AGGREGATE(15,6,ROW('Auto Process'!$D$4:$D$503)/('Auto Process'!$D$4:$D$503="Followup"),ROW()-1),"")</f>
        <v/>
      </c>
    </row>
    <row r="247" customFormat="false" ht="15" hidden="false" customHeight="true" outlineLevel="0" collapsed="false">
      <c r="A247" s="17" t="str">
        <f aca="false">IF($J247="","",INDEX('Auto Process'!$AP:$AP,$J247))</f>
        <v/>
      </c>
      <c r="B247" s="17" t="str">
        <f aca="false">IF($J247="","",INDEX('Auto Process'!$AQ:$AQ,$J247))</f>
        <v/>
      </c>
      <c r="C247" s="17" t="str">
        <f aca="false">IF($J247="","",INDEX('Auto Process'!$AR:$AR,$J247))</f>
        <v/>
      </c>
      <c r="D247" s="17" t="str">
        <f aca="false">IF($J247="","",INDEX('Auto Process'!$AS:$AS,$J247))</f>
        <v/>
      </c>
      <c r="E247" s="17" t="str">
        <f aca="false">IF($J247="","",INDEX('Auto Process'!$AT:$AT,$J247))</f>
        <v/>
      </c>
      <c r="F247" s="17" t="str">
        <f aca="false">IF($J247="","",INDEX('Auto Process'!$AU:$AU,$J247))</f>
        <v/>
      </c>
      <c r="G247" s="17" t="str">
        <f aca="false">IF($J247="","",INDEX('Auto Process'!$AV:$AV,$J247))</f>
        <v/>
      </c>
      <c r="H247" s="17" t="str">
        <f aca="false">IF($J247="","",INDEX('Auto Process'!$AW:$AW,$J247))</f>
        <v/>
      </c>
      <c r="J247" s="14" t="str">
        <f aca="false">IFERROR(_xlfn.AGGREGATE(15,6,ROW('Auto Process'!$D$4:$D$503)/('Auto Process'!$D$4:$D$503="Followup"),ROW()-1),"")</f>
        <v/>
      </c>
    </row>
    <row r="248" customFormat="false" ht="15" hidden="false" customHeight="true" outlineLevel="0" collapsed="false">
      <c r="A248" s="17" t="str">
        <f aca="false">IF($J248="","",INDEX('Auto Process'!$AP:$AP,$J248))</f>
        <v/>
      </c>
      <c r="B248" s="17" t="str">
        <f aca="false">IF($J248="","",INDEX('Auto Process'!$AQ:$AQ,$J248))</f>
        <v/>
      </c>
      <c r="C248" s="17" t="str">
        <f aca="false">IF($J248="","",INDEX('Auto Process'!$AR:$AR,$J248))</f>
        <v/>
      </c>
      <c r="D248" s="17" t="str">
        <f aca="false">IF($J248="","",INDEX('Auto Process'!$AS:$AS,$J248))</f>
        <v/>
      </c>
      <c r="E248" s="17" t="str">
        <f aca="false">IF($J248="","",INDEX('Auto Process'!$AT:$AT,$J248))</f>
        <v/>
      </c>
      <c r="F248" s="17" t="str">
        <f aca="false">IF($J248="","",INDEX('Auto Process'!$AU:$AU,$J248))</f>
        <v/>
      </c>
      <c r="G248" s="17" t="str">
        <f aca="false">IF($J248="","",INDEX('Auto Process'!$AV:$AV,$J248))</f>
        <v/>
      </c>
      <c r="H248" s="17" t="str">
        <f aca="false">IF($J248="","",INDEX('Auto Process'!$AW:$AW,$J248))</f>
        <v/>
      </c>
      <c r="J248" s="14" t="str">
        <f aca="false">IFERROR(_xlfn.AGGREGATE(15,6,ROW('Auto Process'!$D$4:$D$503)/('Auto Process'!$D$4:$D$503="Followup"),ROW()-1),"")</f>
        <v/>
      </c>
    </row>
    <row r="249" customFormat="false" ht="15" hidden="false" customHeight="true" outlineLevel="0" collapsed="false">
      <c r="A249" s="17" t="str">
        <f aca="false">IF($J249="","",INDEX('Auto Process'!$AP:$AP,$J249))</f>
        <v/>
      </c>
      <c r="B249" s="17" t="str">
        <f aca="false">IF($J249="","",INDEX('Auto Process'!$AQ:$AQ,$J249))</f>
        <v/>
      </c>
      <c r="C249" s="17" t="str">
        <f aca="false">IF($J249="","",INDEX('Auto Process'!$AR:$AR,$J249))</f>
        <v/>
      </c>
      <c r="D249" s="17" t="str">
        <f aca="false">IF($J249="","",INDEX('Auto Process'!$AS:$AS,$J249))</f>
        <v/>
      </c>
      <c r="E249" s="17" t="str">
        <f aca="false">IF($J249="","",INDEX('Auto Process'!$AT:$AT,$J249))</f>
        <v/>
      </c>
      <c r="F249" s="17" t="str">
        <f aca="false">IF($J249="","",INDEX('Auto Process'!$AU:$AU,$J249))</f>
        <v/>
      </c>
      <c r="G249" s="17" t="str">
        <f aca="false">IF($J249="","",INDEX('Auto Process'!$AV:$AV,$J249))</f>
        <v/>
      </c>
      <c r="H249" s="17" t="str">
        <f aca="false">IF($J249="","",INDEX('Auto Process'!$AW:$AW,$J249))</f>
        <v/>
      </c>
      <c r="J249" s="14" t="str">
        <f aca="false">IFERROR(_xlfn.AGGREGATE(15,6,ROW('Auto Process'!$D$4:$D$503)/('Auto Process'!$D$4:$D$503="Followup"),ROW()-1),"")</f>
        <v/>
      </c>
    </row>
    <row r="250" customFormat="false" ht="15" hidden="false" customHeight="true" outlineLevel="0" collapsed="false">
      <c r="A250" s="17" t="str">
        <f aca="false">IF($J250="","",INDEX('Auto Process'!$AP:$AP,$J250))</f>
        <v/>
      </c>
      <c r="B250" s="17" t="str">
        <f aca="false">IF($J250="","",INDEX('Auto Process'!$AQ:$AQ,$J250))</f>
        <v/>
      </c>
      <c r="C250" s="17" t="str">
        <f aca="false">IF($J250="","",INDEX('Auto Process'!$AR:$AR,$J250))</f>
        <v/>
      </c>
      <c r="D250" s="17" t="str">
        <f aca="false">IF($J250="","",INDEX('Auto Process'!$AS:$AS,$J250))</f>
        <v/>
      </c>
      <c r="E250" s="17" t="str">
        <f aca="false">IF($J250="","",INDEX('Auto Process'!$AT:$AT,$J250))</f>
        <v/>
      </c>
      <c r="F250" s="17" t="str">
        <f aca="false">IF($J250="","",INDEX('Auto Process'!$AU:$AU,$J250))</f>
        <v/>
      </c>
      <c r="G250" s="17" t="str">
        <f aca="false">IF($J250="","",INDEX('Auto Process'!$AV:$AV,$J250))</f>
        <v/>
      </c>
      <c r="H250" s="17" t="str">
        <f aca="false">IF($J250="","",INDEX('Auto Process'!$AW:$AW,$J250))</f>
        <v/>
      </c>
      <c r="J250" s="14" t="str">
        <f aca="false">IFERROR(_xlfn.AGGREGATE(15,6,ROW('Auto Process'!$D$4:$D$503)/('Auto Process'!$D$4:$D$503="Followup"),ROW()-1),"")</f>
        <v/>
      </c>
    </row>
    <row r="251" customFormat="false" ht="15" hidden="false" customHeight="true" outlineLevel="0" collapsed="false">
      <c r="A251" s="17" t="str">
        <f aca="false">IF($J251="","",INDEX('Auto Process'!$AP:$AP,$J251))</f>
        <v/>
      </c>
      <c r="B251" s="17" t="str">
        <f aca="false">IF($J251="","",INDEX('Auto Process'!$AQ:$AQ,$J251))</f>
        <v/>
      </c>
      <c r="C251" s="17" t="str">
        <f aca="false">IF($J251="","",INDEX('Auto Process'!$AR:$AR,$J251))</f>
        <v/>
      </c>
      <c r="D251" s="17" t="str">
        <f aca="false">IF($J251="","",INDEX('Auto Process'!$AS:$AS,$J251))</f>
        <v/>
      </c>
      <c r="E251" s="17" t="str">
        <f aca="false">IF($J251="","",INDEX('Auto Process'!$AT:$AT,$J251))</f>
        <v/>
      </c>
      <c r="F251" s="17" t="str">
        <f aca="false">IF($J251="","",INDEX('Auto Process'!$AU:$AU,$J251))</f>
        <v/>
      </c>
      <c r="G251" s="17" t="str">
        <f aca="false">IF($J251="","",INDEX('Auto Process'!$AV:$AV,$J251))</f>
        <v/>
      </c>
      <c r="H251" s="17" t="str">
        <f aca="false">IF($J251="","",INDEX('Auto Process'!$AW:$AW,$J251))</f>
        <v/>
      </c>
      <c r="J251" s="14" t="str">
        <f aca="false">IFERROR(_xlfn.AGGREGATE(15,6,ROW('Auto Process'!$D$4:$D$503)/('Auto Process'!$D$4:$D$503="Followup"),ROW()-1),"")</f>
        <v/>
      </c>
    </row>
    <row r="252" customFormat="false" ht="15" hidden="false" customHeight="true" outlineLevel="0" collapsed="false">
      <c r="A252" s="17" t="str">
        <f aca="false">IF($J252="","",INDEX('Auto Process'!$AP:$AP,$J252))</f>
        <v/>
      </c>
      <c r="B252" s="17" t="str">
        <f aca="false">IF($J252="","",INDEX('Auto Process'!$AQ:$AQ,$J252))</f>
        <v/>
      </c>
      <c r="C252" s="17" t="str">
        <f aca="false">IF($J252="","",INDEX('Auto Process'!$AR:$AR,$J252))</f>
        <v/>
      </c>
      <c r="D252" s="17" t="str">
        <f aca="false">IF($J252="","",INDEX('Auto Process'!$AS:$AS,$J252))</f>
        <v/>
      </c>
      <c r="E252" s="17" t="str">
        <f aca="false">IF($J252="","",INDEX('Auto Process'!$AT:$AT,$J252))</f>
        <v/>
      </c>
      <c r="F252" s="17" t="str">
        <f aca="false">IF($J252="","",INDEX('Auto Process'!$AU:$AU,$J252))</f>
        <v/>
      </c>
      <c r="G252" s="17" t="str">
        <f aca="false">IF($J252="","",INDEX('Auto Process'!$AV:$AV,$J252))</f>
        <v/>
      </c>
      <c r="H252" s="17" t="str">
        <f aca="false">IF($J252="","",INDEX('Auto Process'!$AW:$AW,$J252))</f>
        <v/>
      </c>
      <c r="J252" s="14" t="str">
        <f aca="false">IFERROR(_xlfn.AGGREGATE(15,6,ROW('Auto Process'!$D$4:$D$503)/('Auto Process'!$D$4:$D$503="Followup"),ROW()-1),"")</f>
        <v/>
      </c>
    </row>
    <row r="253" customFormat="false" ht="15" hidden="false" customHeight="true" outlineLevel="0" collapsed="false">
      <c r="A253" s="17" t="str">
        <f aca="false">IF($J253="","",INDEX('Auto Process'!$AP:$AP,$J253))</f>
        <v/>
      </c>
      <c r="B253" s="17" t="str">
        <f aca="false">IF($J253="","",INDEX('Auto Process'!$AQ:$AQ,$J253))</f>
        <v/>
      </c>
      <c r="C253" s="17" t="str">
        <f aca="false">IF($J253="","",INDEX('Auto Process'!$AR:$AR,$J253))</f>
        <v/>
      </c>
      <c r="D253" s="17" t="str">
        <f aca="false">IF($J253="","",INDEX('Auto Process'!$AS:$AS,$J253))</f>
        <v/>
      </c>
      <c r="E253" s="17" t="str">
        <f aca="false">IF($J253="","",INDEX('Auto Process'!$AT:$AT,$J253))</f>
        <v/>
      </c>
      <c r="F253" s="17" t="str">
        <f aca="false">IF($J253="","",INDEX('Auto Process'!$AU:$AU,$J253))</f>
        <v/>
      </c>
      <c r="G253" s="17" t="str">
        <f aca="false">IF($J253="","",INDEX('Auto Process'!$AV:$AV,$J253))</f>
        <v/>
      </c>
      <c r="H253" s="17" t="str">
        <f aca="false">IF($J253="","",INDEX('Auto Process'!$AW:$AW,$J253))</f>
        <v/>
      </c>
      <c r="J253" s="14" t="str">
        <f aca="false">IFERROR(_xlfn.AGGREGATE(15,6,ROW('Auto Process'!$D$4:$D$503)/('Auto Process'!$D$4:$D$503="Followup"),ROW()-1),"")</f>
        <v/>
      </c>
    </row>
    <row r="254" customFormat="false" ht="15" hidden="false" customHeight="true" outlineLevel="0" collapsed="false">
      <c r="A254" s="17" t="str">
        <f aca="false">IF($J254="","",INDEX('Auto Process'!$AP:$AP,$J254))</f>
        <v/>
      </c>
      <c r="B254" s="17" t="str">
        <f aca="false">IF($J254="","",INDEX('Auto Process'!$AQ:$AQ,$J254))</f>
        <v/>
      </c>
      <c r="C254" s="17" t="str">
        <f aca="false">IF($J254="","",INDEX('Auto Process'!$AR:$AR,$J254))</f>
        <v/>
      </c>
      <c r="D254" s="17" t="str">
        <f aca="false">IF($J254="","",INDEX('Auto Process'!$AS:$AS,$J254))</f>
        <v/>
      </c>
      <c r="E254" s="17" t="str">
        <f aca="false">IF($J254="","",INDEX('Auto Process'!$AT:$AT,$J254))</f>
        <v/>
      </c>
      <c r="F254" s="17" t="str">
        <f aca="false">IF($J254="","",INDEX('Auto Process'!$AU:$AU,$J254))</f>
        <v/>
      </c>
      <c r="G254" s="17" t="str">
        <f aca="false">IF($J254="","",INDEX('Auto Process'!$AV:$AV,$J254))</f>
        <v/>
      </c>
      <c r="H254" s="17" t="str">
        <f aca="false">IF($J254="","",INDEX('Auto Process'!$AW:$AW,$J254))</f>
        <v/>
      </c>
      <c r="J254" s="14" t="str">
        <f aca="false">IFERROR(_xlfn.AGGREGATE(15,6,ROW('Auto Process'!$D$4:$D$503)/('Auto Process'!$D$4:$D$503="Followup"),ROW()-1),"")</f>
        <v/>
      </c>
    </row>
    <row r="255" customFormat="false" ht="15" hidden="false" customHeight="true" outlineLevel="0" collapsed="false">
      <c r="A255" s="17" t="str">
        <f aca="false">IF($J255="","",INDEX('Auto Process'!$AP:$AP,$J255))</f>
        <v/>
      </c>
      <c r="B255" s="17" t="str">
        <f aca="false">IF($J255="","",INDEX('Auto Process'!$AQ:$AQ,$J255))</f>
        <v/>
      </c>
      <c r="C255" s="17" t="str">
        <f aca="false">IF($J255="","",INDEX('Auto Process'!$AR:$AR,$J255))</f>
        <v/>
      </c>
      <c r="D255" s="17" t="str">
        <f aca="false">IF($J255="","",INDEX('Auto Process'!$AS:$AS,$J255))</f>
        <v/>
      </c>
      <c r="E255" s="17" t="str">
        <f aca="false">IF($J255="","",INDEX('Auto Process'!$AT:$AT,$J255))</f>
        <v/>
      </c>
      <c r="F255" s="17" t="str">
        <f aca="false">IF($J255="","",INDEX('Auto Process'!$AU:$AU,$J255))</f>
        <v/>
      </c>
      <c r="G255" s="17" t="str">
        <f aca="false">IF($J255="","",INDEX('Auto Process'!$AV:$AV,$J255))</f>
        <v/>
      </c>
      <c r="H255" s="17" t="str">
        <f aca="false">IF($J255="","",INDEX('Auto Process'!$AW:$AW,$J255))</f>
        <v/>
      </c>
      <c r="J255" s="14" t="str">
        <f aca="false">IFERROR(_xlfn.AGGREGATE(15,6,ROW('Auto Process'!$D$4:$D$503)/('Auto Process'!$D$4:$D$503="Followup"),ROW()-1),"")</f>
        <v/>
      </c>
    </row>
    <row r="256" customFormat="false" ht="15" hidden="false" customHeight="true" outlineLevel="0" collapsed="false">
      <c r="A256" s="17" t="str">
        <f aca="false">IF($J256="","",INDEX('Auto Process'!$AP:$AP,$J256))</f>
        <v/>
      </c>
      <c r="B256" s="17" t="str">
        <f aca="false">IF($J256="","",INDEX('Auto Process'!$AQ:$AQ,$J256))</f>
        <v/>
      </c>
      <c r="C256" s="17" t="str">
        <f aca="false">IF($J256="","",INDEX('Auto Process'!$AR:$AR,$J256))</f>
        <v/>
      </c>
      <c r="D256" s="17" t="str">
        <f aca="false">IF($J256="","",INDEX('Auto Process'!$AS:$AS,$J256))</f>
        <v/>
      </c>
      <c r="E256" s="17" t="str">
        <f aca="false">IF($J256="","",INDEX('Auto Process'!$AT:$AT,$J256))</f>
        <v/>
      </c>
      <c r="F256" s="17" t="str">
        <f aca="false">IF($J256="","",INDEX('Auto Process'!$AU:$AU,$J256))</f>
        <v/>
      </c>
      <c r="G256" s="17" t="str">
        <f aca="false">IF($J256="","",INDEX('Auto Process'!$AV:$AV,$J256))</f>
        <v/>
      </c>
      <c r="H256" s="17" t="str">
        <f aca="false">IF($J256="","",INDEX('Auto Process'!$AW:$AW,$J256))</f>
        <v/>
      </c>
      <c r="J256" s="14" t="str">
        <f aca="false">IFERROR(_xlfn.AGGREGATE(15,6,ROW('Auto Process'!$D$4:$D$503)/('Auto Process'!$D$4:$D$503="Followup"),ROW()-1),"")</f>
        <v/>
      </c>
    </row>
    <row r="257" customFormat="false" ht="15" hidden="false" customHeight="true" outlineLevel="0" collapsed="false">
      <c r="A257" s="17" t="str">
        <f aca="false">IF($J257="","",INDEX('Auto Process'!$AP:$AP,$J257))</f>
        <v/>
      </c>
      <c r="B257" s="17" t="str">
        <f aca="false">IF($J257="","",INDEX('Auto Process'!$AQ:$AQ,$J257))</f>
        <v/>
      </c>
      <c r="C257" s="17" t="str">
        <f aca="false">IF($J257="","",INDEX('Auto Process'!$AR:$AR,$J257))</f>
        <v/>
      </c>
      <c r="D257" s="17" t="str">
        <f aca="false">IF($J257="","",INDEX('Auto Process'!$AS:$AS,$J257))</f>
        <v/>
      </c>
      <c r="E257" s="17" t="str">
        <f aca="false">IF($J257="","",INDEX('Auto Process'!$AT:$AT,$J257))</f>
        <v/>
      </c>
      <c r="F257" s="17" t="str">
        <f aca="false">IF($J257="","",INDEX('Auto Process'!$AU:$AU,$J257))</f>
        <v/>
      </c>
      <c r="G257" s="17" t="str">
        <f aca="false">IF($J257="","",INDEX('Auto Process'!$AV:$AV,$J257))</f>
        <v/>
      </c>
      <c r="H257" s="17" t="str">
        <f aca="false">IF($J257="","",INDEX('Auto Process'!$AW:$AW,$J257))</f>
        <v/>
      </c>
      <c r="J257" s="14" t="str">
        <f aca="false">IFERROR(_xlfn.AGGREGATE(15,6,ROW('Auto Process'!$D$4:$D$503)/('Auto Process'!$D$4:$D$503="Followup"),ROW()-1),"")</f>
        <v/>
      </c>
    </row>
    <row r="258" customFormat="false" ht="15" hidden="false" customHeight="true" outlineLevel="0" collapsed="false">
      <c r="A258" s="17" t="str">
        <f aca="false">IF($J258="","",INDEX('Auto Process'!$AP:$AP,$J258))</f>
        <v/>
      </c>
      <c r="B258" s="17" t="str">
        <f aca="false">IF($J258="","",INDEX('Auto Process'!$AQ:$AQ,$J258))</f>
        <v/>
      </c>
      <c r="C258" s="17" t="str">
        <f aca="false">IF($J258="","",INDEX('Auto Process'!$AR:$AR,$J258))</f>
        <v/>
      </c>
      <c r="D258" s="17" t="str">
        <f aca="false">IF($J258="","",INDEX('Auto Process'!$AS:$AS,$J258))</f>
        <v/>
      </c>
      <c r="E258" s="17" t="str">
        <f aca="false">IF($J258="","",INDEX('Auto Process'!$AT:$AT,$J258))</f>
        <v/>
      </c>
      <c r="F258" s="17" t="str">
        <f aca="false">IF($J258="","",INDEX('Auto Process'!$AU:$AU,$J258))</f>
        <v/>
      </c>
      <c r="G258" s="17" t="str">
        <f aca="false">IF($J258="","",INDEX('Auto Process'!$AV:$AV,$J258))</f>
        <v/>
      </c>
      <c r="H258" s="17" t="str">
        <f aca="false">IF($J258="","",INDEX('Auto Process'!$AW:$AW,$J258))</f>
        <v/>
      </c>
      <c r="J258" s="14" t="str">
        <f aca="false">IFERROR(_xlfn.AGGREGATE(15,6,ROW('Auto Process'!$D$4:$D$503)/('Auto Process'!$D$4:$D$503="Followup"),ROW()-1),"")</f>
        <v/>
      </c>
    </row>
    <row r="259" customFormat="false" ht="15" hidden="false" customHeight="true" outlineLevel="0" collapsed="false">
      <c r="A259" s="17" t="str">
        <f aca="false">IF($J259="","",INDEX('Auto Process'!$AP:$AP,$J259))</f>
        <v/>
      </c>
      <c r="B259" s="17" t="str">
        <f aca="false">IF($J259="","",INDEX('Auto Process'!$AQ:$AQ,$J259))</f>
        <v/>
      </c>
      <c r="C259" s="17" t="str">
        <f aca="false">IF($J259="","",INDEX('Auto Process'!$AR:$AR,$J259))</f>
        <v/>
      </c>
      <c r="D259" s="17" t="str">
        <f aca="false">IF($J259="","",INDEX('Auto Process'!$AS:$AS,$J259))</f>
        <v/>
      </c>
      <c r="E259" s="17" t="str">
        <f aca="false">IF($J259="","",INDEX('Auto Process'!$AT:$AT,$J259))</f>
        <v/>
      </c>
      <c r="F259" s="17" t="str">
        <f aca="false">IF($J259="","",INDEX('Auto Process'!$AU:$AU,$J259))</f>
        <v/>
      </c>
      <c r="G259" s="17" t="str">
        <f aca="false">IF($J259="","",INDEX('Auto Process'!$AV:$AV,$J259))</f>
        <v/>
      </c>
      <c r="H259" s="17" t="str">
        <f aca="false">IF($J259="","",INDEX('Auto Process'!$AW:$AW,$J259))</f>
        <v/>
      </c>
      <c r="J259" s="14" t="str">
        <f aca="false">IFERROR(_xlfn.AGGREGATE(15,6,ROW('Auto Process'!$D$4:$D$503)/('Auto Process'!$D$4:$D$503="Followup"),ROW()-1),"")</f>
        <v/>
      </c>
    </row>
    <row r="260" customFormat="false" ht="15" hidden="false" customHeight="true" outlineLevel="0" collapsed="false">
      <c r="A260" s="17" t="str">
        <f aca="false">IF($J260="","",INDEX('Auto Process'!$AP:$AP,$J260))</f>
        <v/>
      </c>
      <c r="B260" s="17" t="str">
        <f aca="false">IF($J260="","",INDEX('Auto Process'!$AQ:$AQ,$J260))</f>
        <v/>
      </c>
      <c r="C260" s="17" t="str">
        <f aca="false">IF($J260="","",INDEX('Auto Process'!$AR:$AR,$J260))</f>
        <v/>
      </c>
      <c r="D260" s="17" t="str">
        <f aca="false">IF($J260="","",INDEX('Auto Process'!$AS:$AS,$J260))</f>
        <v/>
      </c>
      <c r="E260" s="17" t="str">
        <f aca="false">IF($J260="","",INDEX('Auto Process'!$AT:$AT,$J260))</f>
        <v/>
      </c>
      <c r="F260" s="17" t="str">
        <f aca="false">IF($J260="","",INDEX('Auto Process'!$AU:$AU,$J260))</f>
        <v/>
      </c>
      <c r="G260" s="17" t="str">
        <f aca="false">IF($J260="","",INDEX('Auto Process'!$AV:$AV,$J260))</f>
        <v/>
      </c>
      <c r="H260" s="17" t="str">
        <f aca="false">IF($J260="","",INDEX('Auto Process'!$AW:$AW,$J260))</f>
        <v/>
      </c>
      <c r="J260" s="14" t="str">
        <f aca="false">IFERROR(_xlfn.AGGREGATE(15,6,ROW('Auto Process'!$D$4:$D$503)/('Auto Process'!$D$4:$D$503="Followup"),ROW()-1),"")</f>
        <v/>
      </c>
    </row>
    <row r="261" customFormat="false" ht="15" hidden="false" customHeight="true" outlineLevel="0" collapsed="false">
      <c r="A261" s="17" t="str">
        <f aca="false">IF($J261="","",INDEX('Auto Process'!$AP:$AP,$J261))</f>
        <v/>
      </c>
      <c r="B261" s="17" t="str">
        <f aca="false">IF($J261="","",INDEX('Auto Process'!$AQ:$AQ,$J261))</f>
        <v/>
      </c>
      <c r="C261" s="17" t="str">
        <f aca="false">IF($J261="","",INDEX('Auto Process'!$AR:$AR,$J261))</f>
        <v/>
      </c>
      <c r="D261" s="17" t="str">
        <f aca="false">IF($J261="","",INDEX('Auto Process'!$AS:$AS,$J261))</f>
        <v/>
      </c>
      <c r="E261" s="17" t="str">
        <f aca="false">IF($J261="","",INDEX('Auto Process'!$AT:$AT,$J261))</f>
        <v/>
      </c>
      <c r="F261" s="17" t="str">
        <f aca="false">IF($J261="","",INDEX('Auto Process'!$AU:$AU,$J261))</f>
        <v/>
      </c>
      <c r="G261" s="17" t="str">
        <f aca="false">IF($J261="","",INDEX('Auto Process'!$AV:$AV,$J261))</f>
        <v/>
      </c>
      <c r="H261" s="17" t="str">
        <f aca="false">IF($J261="","",INDEX('Auto Process'!$AW:$AW,$J261))</f>
        <v/>
      </c>
      <c r="J261" s="14" t="str">
        <f aca="false">IFERROR(_xlfn.AGGREGATE(15,6,ROW('Auto Process'!$D$4:$D$503)/('Auto Process'!$D$4:$D$503="Followup"),ROW()-1),"")</f>
        <v/>
      </c>
    </row>
    <row r="262" customFormat="false" ht="15" hidden="false" customHeight="true" outlineLevel="0" collapsed="false">
      <c r="A262" s="17" t="str">
        <f aca="false">IF($J262="","",INDEX('Auto Process'!$AP:$AP,$J262))</f>
        <v/>
      </c>
      <c r="B262" s="17" t="str">
        <f aca="false">IF($J262="","",INDEX('Auto Process'!$AQ:$AQ,$J262))</f>
        <v/>
      </c>
      <c r="C262" s="17" t="str">
        <f aca="false">IF($J262="","",INDEX('Auto Process'!$AR:$AR,$J262))</f>
        <v/>
      </c>
      <c r="D262" s="17" t="str">
        <f aca="false">IF($J262="","",INDEX('Auto Process'!$AS:$AS,$J262))</f>
        <v/>
      </c>
      <c r="E262" s="17" t="str">
        <f aca="false">IF($J262="","",INDEX('Auto Process'!$AT:$AT,$J262))</f>
        <v/>
      </c>
      <c r="F262" s="17" t="str">
        <f aca="false">IF($J262="","",INDEX('Auto Process'!$AU:$AU,$J262))</f>
        <v/>
      </c>
      <c r="G262" s="17" t="str">
        <f aca="false">IF($J262="","",INDEX('Auto Process'!$AV:$AV,$J262))</f>
        <v/>
      </c>
      <c r="H262" s="17" t="str">
        <f aca="false">IF($J262="","",INDEX('Auto Process'!$AW:$AW,$J262))</f>
        <v/>
      </c>
      <c r="J262" s="14" t="str">
        <f aca="false">IFERROR(_xlfn.AGGREGATE(15,6,ROW('Auto Process'!$D$4:$D$503)/('Auto Process'!$D$4:$D$503="Followup"),ROW()-1),"")</f>
        <v/>
      </c>
    </row>
    <row r="263" customFormat="false" ht="15" hidden="false" customHeight="true" outlineLevel="0" collapsed="false">
      <c r="A263" s="17" t="str">
        <f aca="false">IF($J263="","",INDEX('Auto Process'!$AP:$AP,$J263))</f>
        <v/>
      </c>
      <c r="B263" s="17" t="str">
        <f aca="false">IF($J263="","",INDEX('Auto Process'!$AQ:$AQ,$J263))</f>
        <v/>
      </c>
      <c r="C263" s="17" t="str">
        <f aca="false">IF($J263="","",INDEX('Auto Process'!$AR:$AR,$J263))</f>
        <v/>
      </c>
      <c r="D263" s="17" t="str">
        <f aca="false">IF($J263="","",INDEX('Auto Process'!$AS:$AS,$J263))</f>
        <v/>
      </c>
      <c r="E263" s="17" t="str">
        <f aca="false">IF($J263="","",INDEX('Auto Process'!$AT:$AT,$J263))</f>
        <v/>
      </c>
      <c r="F263" s="17" t="str">
        <f aca="false">IF($J263="","",INDEX('Auto Process'!$AU:$AU,$J263))</f>
        <v/>
      </c>
      <c r="G263" s="17" t="str">
        <f aca="false">IF($J263="","",INDEX('Auto Process'!$AV:$AV,$J263))</f>
        <v/>
      </c>
      <c r="H263" s="17" t="str">
        <f aca="false">IF($J263="","",INDEX('Auto Process'!$AW:$AW,$J263))</f>
        <v/>
      </c>
      <c r="J263" s="14" t="str">
        <f aca="false">IFERROR(_xlfn.AGGREGATE(15,6,ROW('Auto Process'!$D$4:$D$503)/('Auto Process'!$D$4:$D$503="Followup"),ROW()-1),"")</f>
        <v/>
      </c>
    </row>
    <row r="264" customFormat="false" ht="15" hidden="false" customHeight="true" outlineLevel="0" collapsed="false">
      <c r="A264" s="17" t="str">
        <f aca="false">IF($J264="","",INDEX('Auto Process'!$AP:$AP,$J264))</f>
        <v/>
      </c>
      <c r="B264" s="17" t="str">
        <f aca="false">IF($J264="","",INDEX('Auto Process'!$AQ:$AQ,$J264))</f>
        <v/>
      </c>
      <c r="C264" s="17" t="str">
        <f aca="false">IF($J264="","",INDEX('Auto Process'!$AR:$AR,$J264))</f>
        <v/>
      </c>
      <c r="D264" s="17" t="str">
        <f aca="false">IF($J264="","",INDEX('Auto Process'!$AS:$AS,$J264))</f>
        <v/>
      </c>
      <c r="E264" s="17" t="str">
        <f aca="false">IF($J264="","",INDEX('Auto Process'!$AT:$AT,$J264))</f>
        <v/>
      </c>
      <c r="F264" s="17" t="str">
        <f aca="false">IF($J264="","",INDEX('Auto Process'!$AU:$AU,$J264))</f>
        <v/>
      </c>
      <c r="G264" s="17" t="str">
        <f aca="false">IF($J264="","",INDEX('Auto Process'!$AV:$AV,$J264))</f>
        <v/>
      </c>
      <c r="H264" s="17" t="str">
        <f aca="false">IF($J264="","",INDEX('Auto Process'!$AW:$AW,$J264))</f>
        <v/>
      </c>
      <c r="J264" s="14" t="str">
        <f aca="false">IFERROR(_xlfn.AGGREGATE(15,6,ROW('Auto Process'!$D$4:$D$503)/('Auto Process'!$D$4:$D$503="Followup"),ROW()-1),"")</f>
        <v/>
      </c>
    </row>
    <row r="265" customFormat="false" ht="15" hidden="false" customHeight="true" outlineLevel="0" collapsed="false">
      <c r="A265" s="17" t="str">
        <f aca="false">IF($J265="","",INDEX('Auto Process'!$AP:$AP,$J265))</f>
        <v/>
      </c>
      <c r="B265" s="17" t="str">
        <f aca="false">IF($J265="","",INDEX('Auto Process'!$AQ:$AQ,$J265))</f>
        <v/>
      </c>
      <c r="C265" s="17" t="str">
        <f aca="false">IF($J265="","",INDEX('Auto Process'!$AR:$AR,$J265))</f>
        <v/>
      </c>
      <c r="D265" s="17" t="str">
        <f aca="false">IF($J265="","",INDEX('Auto Process'!$AS:$AS,$J265))</f>
        <v/>
      </c>
      <c r="E265" s="17" t="str">
        <f aca="false">IF($J265="","",INDEX('Auto Process'!$AT:$AT,$J265))</f>
        <v/>
      </c>
      <c r="F265" s="17" t="str">
        <f aca="false">IF($J265="","",INDEX('Auto Process'!$AU:$AU,$J265))</f>
        <v/>
      </c>
      <c r="G265" s="17" t="str">
        <f aca="false">IF($J265="","",INDEX('Auto Process'!$AV:$AV,$J265))</f>
        <v/>
      </c>
      <c r="H265" s="17" t="str">
        <f aca="false">IF($J265="","",INDEX('Auto Process'!$AW:$AW,$J265))</f>
        <v/>
      </c>
      <c r="J265" s="14" t="str">
        <f aca="false">IFERROR(_xlfn.AGGREGATE(15,6,ROW('Auto Process'!$D$4:$D$503)/('Auto Process'!$D$4:$D$503="Followup"),ROW()-1),"")</f>
        <v/>
      </c>
    </row>
    <row r="266" customFormat="false" ht="15" hidden="false" customHeight="true" outlineLevel="0" collapsed="false">
      <c r="A266" s="17" t="str">
        <f aca="false">IF($J266="","",INDEX('Auto Process'!$AP:$AP,$J266))</f>
        <v/>
      </c>
      <c r="B266" s="17" t="str">
        <f aca="false">IF($J266="","",INDEX('Auto Process'!$AQ:$AQ,$J266))</f>
        <v/>
      </c>
      <c r="C266" s="17" t="str">
        <f aca="false">IF($J266="","",INDEX('Auto Process'!$AR:$AR,$J266))</f>
        <v/>
      </c>
      <c r="D266" s="17" t="str">
        <f aca="false">IF($J266="","",INDEX('Auto Process'!$AS:$AS,$J266))</f>
        <v/>
      </c>
      <c r="E266" s="17" t="str">
        <f aca="false">IF($J266="","",INDEX('Auto Process'!$AT:$AT,$J266))</f>
        <v/>
      </c>
      <c r="F266" s="17" t="str">
        <f aca="false">IF($J266="","",INDEX('Auto Process'!$AU:$AU,$J266))</f>
        <v/>
      </c>
      <c r="G266" s="17" t="str">
        <f aca="false">IF($J266="","",INDEX('Auto Process'!$AV:$AV,$J266))</f>
        <v/>
      </c>
      <c r="H266" s="17" t="str">
        <f aca="false">IF($J266="","",INDEX('Auto Process'!$AW:$AW,$J266))</f>
        <v/>
      </c>
      <c r="J266" s="14" t="str">
        <f aca="false">IFERROR(_xlfn.AGGREGATE(15,6,ROW('Auto Process'!$D$4:$D$503)/('Auto Process'!$D$4:$D$503="Followup"),ROW()-1),"")</f>
        <v/>
      </c>
    </row>
    <row r="267" customFormat="false" ht="15" hidden="false" customHeight="true" outlineLevel="0" collapsed="false">
      <c r="A267" s="17" t="str">
        <f aca="false">IF($J267="","",INDEX('Auto Process'!$AP:$AP,$J267))</f>
        <v/>
      </c>
      <c r="B267" s="17" t="str">
        <f aca="false">IF($J267="","",INDEX('Auto Process'!$AQ:$AQ,$J267))</f>
        <v/>
      </c>
      <c r="C267" s="17" t="str">
        <f aca="false">IF($J267="","",INDEX('Auto Process'!$AR:$AR,$J267))</f>
        <v/>
      </c>
      <c r="D267" s="17" t="str">
        <f aca="false">IF($J267="","",INDEX('Auto Process'!$AS:$AS,$J267))</f>
        <v/>
      </c>
      <c r="E267" s="17" t="str">
        <f aca="false">IF($J267="","",INDEX('Auto Process'!$AT:$AT,$J267))</f>
        <v/>
      </c>
      <c r="F267" s="17" t="str">
        <f aca="false">IF($J267="","",INDEX('Auto Process'!$AU:$AU,$J267))</f>
        <v/>
      </c>
      <c r="G267" s="17" t="str">
        <f aca="false">IF($J267="","",INDEX('Auto Process'!$AV:$AV,$J267))</f>
        <v/>
      </c>
      <c r="H267" s="17" t="str">
        <f aca="false">IF($J267="","",INDEX('Auto Process'!$AW:$AW,$J267))</f>
        <v/>
      </c>
      <c r="J267" s="14" t="str">
        <f aca="false">IFERROR(_xlfn.AGGREGATE(15,6,ROW('Auto Process'!$D$4:$D$503)/('Auto Process'!$D$4:$D$503="Followup"),ROW()-1),"")</f>
        <v/>
      </c>
    </row>
    <row r="268" customFormat="false" ht="15" hidden="false" customHeight="true" outlineLevel="0" collapsed="false">
      <c r="A268" s="17" t="str">
        <f aca="false">IF($J268="","",INDEX('Auto Process'!$AP:$AP,$J268))</f>
        <v/>
      </c>
      <c r="B268" s="17" t="str">
        <f aca="false">IF($J268="","",INDEX('Auto Process'!$AQ:$AQ,$J268))</f>
        <v/>
      </c>
      <c r="C268" s="17" t="str">
        <f aca="false">IF($J268="","",INDEX('Auto Process'!$AR:$AR,$J268))</f>
        <v/>
      </c>
      <c r="D268" s="17" t="str">
        <f aca="false">IF($J268="","",INDEX('Auto Process'!$AS:$AS,$J268))</f>
        <v/>
      </c>
      <c r="E268" s="17" t="str">
        <f aca="false">IF($J268="","",INDEX('Auto Process'!$AT:$AT,$J268))</f>
        <v/>
      </c>
      <c r="F268" s="17" t="str">
        <f aca="false">IF($J268="","",INDEX('Auto Process'!$AU:$AU,$J268))</f>
        <v/>
      </c>
      <c r="G268" s="17" t="str">
        <f aca="false">IF($J268="","",INDEX('Auto Process'!$AV:$AV,$J268))</f>
        <v/>
      </c>
      <c r="H268" s="17" t="str">
        <f aca="false">IF($J268="","",INDEX('Auto Process'!$AW:$AW,$J268))</f>
        <v/>
      </c>
      <c r="J268" s="14" t="str">
        <f aca="false">IFERROR(_xlfn.AGGREGATE(15,6,ROW('Auto Process'!$D$4:$D$503)/('Auto Process'!$D$4:$D$503="Followup"),ROW()-1),"")</f>
        <v/>
      </c>
    </row>
    <row r="269" customFormat="false" ht="15" hidden="false" customHeight="true" outlineLevel="0" collapsed="false">
      <c r="A269" s="17" t="str">
        <f aca="false">IF($J269="","",INDEX('Auto Process'!$AP:$AP,$J269))</f>
        <v/>
      </c>
      <c r="B269" s="17" t="str">
        <f aca="false">IF($J269="","",INDEX('Auto Process'!$AQ:$AQ,$J269))</f>
        <v/>
      </c>
      <c r="C269" s="17" t="str">
        <f aca="false">IF($J269="","",INDEX('Auto Process'!$AR:$AR,$J269))</f>
        <v/>
      </c>
      <c r="D269" s="17" t="str">
        <f aca="false">IF($J269="","",INDEX('Auto Process'!$AS:$AS,$J269))</f>
        <v/>
      </c>
      <c r="E269" s="17" t="str">
        <f aca="false">IF($J269="","",INDEX('Auto Process'!$AT:$AT,$J269))</f>
        <v/>
      </c>
      <c r="F269" s="17" t="str">
        <f aca="false">IF($J269="","",INDEX('Auto Process'!$AU:$AU,$J269))</f>
        <v/>
      </c>
      <c r="G269" s="17" t="str">
        <f aca="false">IF($J269="","",INDEX('Auto Process'!$AV:$AV,$J269))</f>
        <v/>
      </c>
      <c r="H269" s="17" t="str">
        <f aca="false">IF($J269="","",INDEX('Auto Process'!$AW:$AW,$J269))</f>
        <v/>
      </c>
      <c r="J269" s="14" t="str">
        <f aca="false">IFERROR(_xlfn.AGGREGATE(15,6,ROW('Auto Process'!$D$4:$D$503)/('Auto Process'!$D$4:$D$503="Followup"),ROW()-1),"")</f>
        <v/>
      </c>
    </row>
    <row r="270" customFormat="false" ht="15" hidden="false" customHeight="true" outlineLevel="0" collapsed="false">
      <c r="A270" s="17" t="str">
        <f aca="false">IF($J270="","",INDEX('Auto Process'!$AP:$AP,$J270))</f>
        <v/>
      </c>
      <c r="B270" s="17" t="str">
        <f aca="false">IF($J270="","",INDEX('Auto Process'!$AQ:$AQ,$J270))</f>
        <v/>
      </c>
      <c r="C270" s="17" t="str">
        <f aca="false">IF($J270="","",INDEX('Auto Process'!$AR:$AR,$J270))</f>
        <v/>
      </c>
      <c r="D270" s="17" t="str">
        <f aca="false">IF($J270="","",INDEX('Auto Process'!$AS:$AS,$J270))</f>
        <v/>
      </c>
      <c r="E270" s="17" t="str">
        <f aca="false">IF($J270="","",INDEX('Auto Process'!$AT:$AT,$J270))</f>
        <v/>
      </c>
      <c r="F270" s="17" t="str">
        <f aca="false">IF($J270="","",INDEX('Auto Process'!$AU:$AU,$J270))</f>
        <v/>
      </c>
      <c r="G270" s="17" t="str">
        <f aca="false">IF($J270="","",INDEX('Auto Process'!$AV:$AV,$J270))</f>
        <v/>
      </c>
      <c r="H270" s="17" t="str">
        <f aca="false">IF($J270="","",INDEX('Auto Process'!$AW:$AW,$J270))</f>
        <v/>
      </c>
      <c r="J270" s="14" t="str">
        <f aca="false">IFERROR(_xlfn.AGGREGATE(15,6,ROW('Auto Process'!$D$4:$D$503)/('Auto Process'!$D$4:$D$503="Followup"),ROW()-1),"")</f>
        <v/>
      </c>
    </row>
    <row r="271" customFormat="false" ht="15" hidden="false" customHeight="true" outlineLevel="0" collapsed="false">
      <c r="A271" s="17" t="str">
        <f aca="false">IF($J271="","",INDEX('Auto Process'!$AP:$AP,$J271))</f>
        <v/>
      </c>
      <c r="B271" s="17" t="str">
        <f aca="false">IF($J271="","",INDEX('Auto Process'!$AQ:$AQ,$J271))</f>
        <v/>
      </c>
      <c r="C271" s="17" t="str">
        <f aca="false">IF($J271="","",INDEX('Auto Process'!$AR:$AR,$J271))</f>
        <v/>
      </c>
      <c r="D271" s="17" t="str">
        <f aca="false">IF($J271="","",INDEX('Auto Process'!$AS:$AS,$J271))</f>
        <v/>
      </c>
      <c r="E271" s="17" t="str">
        <f aca="false">IF($J271="","",INDEX('Auto Process'!$AT:$AT,$J271))</f>
        <v/>
      </c>
      <c r="F271" s="17" t="str">
        <f aca="false">IF($J271="","",INDEX('Auto Process'!$AU:$AU,$J271))</f>
        <v/>
      </c>
      <c r="G271" s="17" t="str">
        <f aca="false">IF($J271="","",INDEX('Auto Process'!$AV:$AV,$J271))</f>
        <v/>
      </c>
      <c r="H271" s="17" t="str">
        <f aca="false">IF($J271="","",INDEX('Auto Process'!$AW:$AW,$J271))</f>
        <v/>
      </c>
      <c r="J271" s="14" t="str">
        <f aca="false">IFERROR(_xlfn.AGGREGATE(15,6,ROW('Auto Process'!$D$4:$D$503)/('Auto Process'!$D$4:$D$503="Followup"),ROW()-1),"")</f>
        <v/>
      </c>
    </row>
    <row r="272" customFormat="false" ht="15" hidden="false" customHeight="true" outlineLevel="0" collapsed="false">
      <c r="A272" s="17" t="str">
        <f aca="false">IF($J272="","",INDEX('Auto Process'!$AP:$AP,$J272))</f>
        <v/>
      </c>
      <c r="B272" s="17" t="str">
        <f aca="false">IF($J272="","",INDEX('Auto Process'!$AQ:$AQ,$J272))</f>
        <v/>
      </c>
      <c r="C272" s="17" t="str">
        <f aca="false">IF($J272="","",INDEX('Auto Process'!$AR:$AR,$J272))</f>
        <v/>
      </c>
      <c r="D272" s="17" t="str">
        <f aca="false">IF($J272="","",INDEX('Auto Process'!$AS:$AS,$J272))</f>
        <v/>
      </c>
      <c r="E272" s="17" t="str">
        <f aca="false">IF($J272="","",INDEX('Auto Process'!$AT:$AT,$J272))</f>
        <v/>
      </c>
      <c r="F272" s="17" t="str">
        <f aca="false">IF($J272="","",INDEX('Auto Process'!$AU:$AU,$J272))</f>
        <v/>
      </c>
      <c r="G272" s="17" t="str">
        <f aca="false">IF($J272="","",INDEX('Auto Process'!$AV:$AV,$J272))</f>
        <v/>
      </c>
      <c r="H272" s="17" t="str">
        <f aca="false">IF($J272="","",INDEX('Auto Process'!$AW:$AW,$J272))</f>
        <v/>
      </c>
      <c r="J272" s="14" t="str">
        <f aca="false">IFERROR(_xlfn.AGGREGATE(15,6,ROW('Auto Process'!$D$4:$D$503)/('Auto Process'!$D$4:$D$503="Followup"),ROW()-1),"")</f>
        <v/>
      </c>
    </row>
    <row r="273" customFormat="false" ht="15" hidden="false" customHeight="true" outlineLevel="0" collapsed="false">
      <c r="A273" s="17" t="str">
        <f aca="false">IF($J273="","",INDEX('Auto Process'!$AP:$AP,$J273))</f>
        <v/>
      </c>
      <c r="B273" s="17" t="str">
        <f aca="false">IF($J273="","",INDEX('Auto Process'!$AQ:$AQ,$J273))</f>
        <v/>
      </c>
      <c r="C273" s="17" t="str">
        <f aca="false">IF($J273="","",INDEX('Auto Process'!$AR:$AR,$J273))</f>
        <v/>
      </c>
      <c r="D273" s="17" t="str">
        <f aca="false">IF($J273="","",INDEX('Auto Process'!$AS:$AS,$J273))</f>
        <v/>
      </c>
      <c r="E273" s="17" t="str">
        <f aca="false">IF($J273="","",INDEX('Auto Process'!$AT:$AT,$J273))</f>
        <v/>
      </c>
      <c r="F273" s="17" t="str">
        <f aca="false">IF($J273="","",INDEX('Auto Process'!$AU:$AU,$J273))</f>
        <v/>
      </c>
      <c r="G273" s="17" t="str">
        <f aca="false">IF($J273="","",INDEX('Auto Process'!$AV:$AV,$J273))</f>
        <v/>
      </c>
      <c r="H273" s="17" t="str">
        <f aca="false">IF($J273="","",INDEX('Auto Process'!$AW:$AW,$J273))</f>
        <v/>
      </c>
      <c r="J273" s="14" t="str">
        <f aca="false">IFERROR(_xlfn.AGGREGATE(15,6,ROW('Auto Process'!$D$4:$D$503)/('Auto Process'!$D$4:$D$503="Followup"),ROW()-1),"")</f>
        <v/>
      </c>
    </row>
    <row r="274" customFormat="false" ht="15" hidden="false" customHeight="true" outlineLevel="0" collapsed="false">
      <c r="A274" s="17" t="str">
        <f aca="false">IF($J274="","",INDEX('Auto Process'!$AP:$AP,$J274))</f>
        <v/>
      </c>
      <c r="B274" s="17" t="str">
        <f aca="false">IF($J274="","",INDEX('Auto Process'!$AQ:$AQ,$J274))</f>
        <v/>
      </c>
      <c r="C274" s="17" t="str">
        <f aca="false">IF($J274="","",INDEX('Auto Process'!$AR:$AR,$J274))</f>
        <v/>
      </c>
      <c r="D274" s="17" t="str">
        <f aca="false">IF($J274="","",INDEX('Auto Process'!$AS:$AS,$J274))</f>
        <v/>
      </c>
      <c r="E274" s="17" t="str">
        <f aca="false">IF($J274="","",INDEX('Auto Process'!$AT:$AT,$J274))</f>
        <v/>
      </c>
      <c r="F274" s="17" t="str">
        <f aca="false">IF($J274="","",INDEX('Auto Process'!$AU:$AU,$J274))</f>
        <v/>
      </c>
      <c r="G274" s="17" t="str">
        <f aca="false">IF($J274="","",INDEX('Auto Process'!$AV:$AV,$J274))</f>
        <v/>
      </c>
      <c r="H274" s="17" t="str">
        <f aca="false">IF($J274="","",INDEX('Auto Process'!$AW:$AW,$J274))</f>
        <v/>
      </c>
      <c r="J274" s="14" t="str">
        <f aca="false">IFERROR(_xlfn.AGGREGATE(15,6,ROW('Auto Process'!$D$4:$D$503)/('Auto Process'!$D$4:$D$503="Followup"),ROW()-1),"")</f>
        <v/>
      </c>
    </row>
    <row r="275" customFormat="false" ht="15" hidden="false" customHeight="true" outlineLevel="0" collapsed="false">
      <c r="A275" s="17" t="str">
        <f aca="false">IF($J275="","",INDEX('Auto Process'!$AP:$AP,$J275))</f>
        <v/>
      </c>
      <c r="B275" s="17" t="str">
        <f aca="false">IF($J275="","",INDEX('Auto Process'!$AQ:$AQ,$J275))</f>
        <v/>
      </c>
      <c r="C275" s="17" t="str">
        <f aca="false">IF($J275="","",INDEX('Auto Process'!$AR:$AR,$J275))</f>
        <v/>
      </c>
      <c r="D275" s="17" t="str">
        <f aca="false">IF($J275="","",INDEX('Auto Process'!$AS:$AS,$J275))</f>
        <v/>
      </c>
      <c r="E275" s="17" t="str">
        <f aca="false">IF($J275="","",INDEX('Auto Process'!$AT:$AT,$J275))</f>
        <v/>
      </c>
      <c r="F275" s="17" t="str">
        <f aca="false">IF($J275="","",INDEX('Auto Process'!$AU:$AU,$J275))</f>
        <v/>
      </c>
      <c r="G275" s="17" t="str">
        <f aca="false">IF($J275="","",INDEX('Auto Process'!$AV:$AV,$J275))</f>
        <v/>
      </c>
      <c r="H275" s="17" t="str">
        <f aca="false">IF($J275="","",INDEX('Auto Process'!$AW:$AW,$J275))</f>
        <v/>
      </c>
      <c r="J275" s="14" t="str">
        <f aca="false">IFERROR(_xlfn.AGGREGATE(15,6,ROW('Auto Process'!$D$4:$D$503)/('Auto Process'!$D$4:$D$503="Followup"),ROW()-1),"")</f>
        <v/>
      </c>
    </row>
    <row r="276" customFormat="false" ht="15" hidden="false" customHeight="true" outlineLevel="0" collapsed="false">
      <c r="A276" s="17" t="str">
        <f aca="false">IF($J276="","",INDEX('Auto Process'!$AP:$AP,$J276))</f>
        <v/>
      </c>
      <c r="B276" s="17" t="str">
        <f aca="false">IF($J276="","",INDEX('Auto Process'!$AQ:$AQ,$J276))</f>
        <v/>
      </c>
      <c r="C276" s="17" t="str">
        <f aca="false">IF($J276="","",INDEX('Auto Process'!$AR:$AR,$J276))</f>
        <v/>
      </c>
      <c r="D276" s="17" t="str">
        <f aca="false">IF($J276="","",INDEX('Auto Process'!$AS:$AS,$J276))</f>
        <v/>
      </c>
      <c r="E276" s="17" t="str">
        <f aca="false">IF($J276="","",INDEX('Auto Process'!$AT:$AT,$J276))</f>
        <v/>
      </c>
      <c r="F276" s="17" t="str">
        <f aca="false">IF($J276="","",INDEX('Auto Process'!$AU:$AU,$J276))</f>
        <v/>
      </c>
      <c r="G276" s="17" t="str">
        <f aca="false">IF($J276="","",INDEX('Auto Process'!$AV:$AV,$J276))</f>
        <v/>
      </c>
      <c r="H276" s="17" t="str">
        <f aca="false">IF($J276="","",INDEX('Auto Process'!$AW:$AW,$J276))</f>
        <v/>
      </c>
      <c r="J276" s="14" t="str">
        <f aca="false">IFERROR(_xlfn.AGGREGATE(15,6,ROW('Auto Process'!$D$4:$D$503)/('Auto Process'!$D$4:$D$503="Followup"),ROW()-1),"")</f>
        <v/>
      </c>
    </row>
    <row r="277" customFormat="false" ht="15" hidden="false" customHeight="true" outlineLevel="0" collapsed="false">
      <c r="A277" s="17" t="str">
        <f aca="false">IF($J277="","",INDEX('Auto Process'!$AP:$AP,$J277))</f>
        <v/>
      </c>
      <c r="B277" s="17" t="str">
        <f aca="false">IF($J277="","",INDEX('Auto Process'!$AQ:$AQ,$J277))</f>
        <v/>
      </c>
      <c r="C277" s="17" t="str">
        <f aca="false">IF($J277="","",INDEX('Auto Process'!$AR:$AR,$J277))</f>
        <v/>
      </c>
      <c r="D277" s="17" t="str">
        <f aca="false">IF($J277="","",INDEX('Auto Process'!$AS:$AS,$J277))</f>
        <v/>
      </c>
      <c r="E277" s="17" t="str">
        <f aca="false">IF($J277="","",INDEX('Auto Process'!$AT:$AT,$J277))</f>
        <v/>
      </c>
      <c r="F277" s="17" t="str">
        <f aca="false">IF($J277="","",INDEX('Auto Process'!$AU:$AU,$J277))</f>
        <v/>
      </c>
      <c r="G277" s="17" t="str">
        <f aca="false">IF($J277="","",INDEX('Auto Process'!$AV:$AV,$J277))</f>
        <v/>
      </c>
      <c r="H277" s="17" t="str">
        <f aca="false">IF($J277="","",INDEX('Auto Process'!$AW:$AW,$J277))</f>
        <v/>
      </c>
      <c r="J277" s="14" t="str">
        <f aca="false">IFERROR(_xlfn.AGGREGATE(15,6,ROW('Auto Process'!$D$4:$D$503)/('Auto Process'!$D$4:$D$503="Followup"),ROW()-1),"")</f>
        <v/>
      </c>
    </row>
    <row r="278" customFormat="false" ht="15" hidden="false" customHeight="true" outlineLevel="0" collapsed="false">
      <c r="A278" s="17" t="str">
        <f aca="false">IF($J278="","",INDEX('Auto Process'!$AP:$AP,$J278))</f>
        <v/>
      </c>
      <c r="B278" s="17" t="str">
        <f aca="false">IF($J278="","",INDEX('Auto Process'!$AQ:$AQ,$J278))</f>
        <v/>
      </c>
      <c r="C278" s="17" t="str">
        <f aca="false">IF($J278="","",INDEX('Auto Process'!$AR:$AR,$J278))</f>
        <v/>
      </c>
      <c r="D278" s="17" t="str">
        <f aca="false">IF($J278="","",INDEX('Auto Process'!$AS:$AS,$J278))</f>
        <v/>
      </c>
      <c r="E278" s="17" t="str">
        <f aca="false">IF($J278="","",INDEX('Auto Process'!$AT:$AT,$J278))</f>
        <v/>
      </c>
      <c r="F278" s="17" t="str">
        <f aca="false">IF($J278="","",INDEX('Auto Process'!$AU:$AU,$J278))</f>
        <v/>
      </c>
      <c r="G278" s="17" t="str">
        <f aca="false">IF($J278="","",INDEX('Auto Process'!$AV:$AV,$J278))</f>
        <v/>
      </c>
      <c r="H278" s="17" t="str">
        <f aca="false">IF($J278="","",INDEX('Auto Process'!$AW:$AW,$J278))</f>
        <v/>
      </c>
      <c r="J278" s="14" t="str">
        <f aca="false">IFERROR(_xlfn.AGGREGATE(15,6,ROW('Auto Process'!$D$4:$D$503)/('Auto Process'!$D$4:$D$503="Followup"),ROW()-1),"")</f>
        <v/>
      </c>
    </row>
    <row r="279" customFormat="false" ht="15" hidden="false" customHeight="true" outlineLevel="0" collapsed="false">
      <c r="A279" s="17" t="str">
        <f aca="false">IF($J279="","",INDEX('Auto Process'!$AP:$AP,$J279))</f>
        <v/>
      </c>
      <c r="B279" s="17" t="str">
        <f aca="false">IF($J279="","",INDEX('Auto Process'!$AQ:$AQ,$J279))</f>
        <v/>
      </c>
      <c r="C279" s="17" t="str">
        <f aca="false">IF($J279="","",INDEX('Auto Process'!$AR:$AR,$J279))</f>
        <v/>
      </c>
      <c r="D279" s="17" t="str">
        <f aca="false">IF($J279="","",INDEX('Auto Process'!$AS:$AS,$J279))</f>
        <v/>
      </c>
      <c r="E279" s="17" t="str">
        <f aca="false">IF($J279="","",INDEX('Auto Process'!$AT:$AT,$J279))</f>
        <v/>
      </c>
      <c r="F279" s="17" t="str">
        <f aca="false">IF($J279="","",INDEX('Auto Process'!$AU:$AU,$J279))</f>
        <v/>
      </c>
      <c r="G279" s="17" t="str">
        <f aca="false">IF($J279="","",INDEX('Auto Process'!$AV:$AV,$J279))</f>
        <v/>
      </c>
      <c r="H279" s="17" t="str">
        <f aca="false">IF($J279="","",INDEX('Auto Process'!$AW:$AW,$J279))</f>
        <v/>
      </c>
      <c r="J279" s="14" t="str">
        <f aca="false">IFERROR(_xlfn.AGGREGATE(15,6,ROW('Auto Process'!$D$4:$D$503)/('Auto Process'!$D$4:$D$503="Followup"),ROW()-1),"")</f>
        <v/>
      </c>
    </row>
    <row r="280" customFormat="false" ht="15" hidden="false" customHeight="true" outlineLevel="0" collapsed="false">
      <c r="A280" s="17" t="str">
        <f aca="false">IF($J280="","",INDEX('Auto Process'!$AP:$AP,$J280))</f>
        <v/>
      </c>
      <c r="B280" s="17" t="str">
        <f aca="false">IF($J280="","",INDEX('Auto Process'!$AQ:$AQ,$J280))</f>
        <v/>
      </c>
      <c r="C280" s="17" t="str">
        <f aca="false">IF($J280="","",INDEX('Auto Process'!$AR:$AR,$J280))</f>
        <v/>
      </c>
      <c r="D280" s="17" t="str">
        <f aca="false">IF($J280="","",INDEX('Auto Process'!$AS:$AS,$J280))</f>
        <v/>
      </c>
      <c r="E280" s="17" t="str">
        <f aca="false">IF($J280="","",INDEX('Auto Process'!$AT:$AT,$J280))</f>
        <v/>
      </c>
      <c r="F280" s="17" t="str">
        <f aca="false">IF($J280="","",INDEX('Auto Process'!$AU:$AU,$J280))</f>
        <v/>
      </c>
      <c r="G280" s="17" t="str">
        <f aca="false">IF($J280="","",INDEX('Auto Process'!$AV:$AV,$J280))</f>
        <v/>
      </c>
      <c r="H280" s="17" t="str">
        <f aca="false">IF($J280="","",INDEX('Auto Process'!$AW:$AW,$J280))</f>
        <v/>
      </c>
      <c r="J280" s="14" t="str">
        <f aca="false">IFERROR(_xlfn.AGGREGATE(15,6,ROW('Auto Process'!$D$4:$D$503)/('Auto Process'!$D$4:$D$503="Followup"),ROW()-1),"")</f>
        <v/>
      </c>
    </row>
    <row r="281" customFormat="false" ht="15" hidden="false" customHeight="true" outlineLevel="0" collapsed="false">
      <c r="A281" s="17" t="str">
        <f aca="false">IF($J281="","",INDEX('Auto Process'!$AP:$AP,$J281))</f>
        <v/>
      </c>
      <c r="B281" s="17" t="str">
        <f aca="false">IF($J281="","",INDEX('Auto Process'!$AQ:$AQ,$J281))</f>
        <v/>
      </c>
      <c r="C281" s="17" t="str">
        <f aca="false">IF($J281="","",INDEX('Auto Process'!$AR:$AR,$J281))</f>
        <v/>
      </c>
      <c r="D281" s="17" t="str">
        <f aca="false">IF($J281="","",INDEX('Auto Process'!$AS:$AS,$J281))</f>
        <v/>
      </c>
      <c r="E281" s="17" t="str">
        <f aca="false">IF($J281="","",INDEX('Auto Process'!$AT:$AT,$J281))</f>
        <v/>
      </c>
      <c r="F281" s="17" t="str">
        <f aca="false">IF($J281="","",INDEX('Auto Process'!$AU:$AU,$J281))</f>
        <v/>
      </c>
      <c r="G281" s="17" t="str">
        <f aca="false">IF($J281="","",INDEX('Auto Process'!$AV:$AV,$J281))</f>
        <v/>
      </c>
      <c r="H281" s="17" t="str">
        <f aca="false">IF($J281="","",INDEX('Auto Process'!$AW:$AW,$J281))</f>
        <v/>
      </c>
      <c r="J281" s="14" t="str">
        <f aca="false">IFERROR(_xlfn.AGGREGATE(15,6,ROW('Auto Process'!$D$4:$D$503)/('Auto Process'!$D$4:$D$503="Followup"),ROW()-1),"")</f>
        <v/>
      </c>
    </row>
    <row r="282" customFormat="false" ht="15" hidden="false" customHeight="true" outlineLevel="0" collapsed="false">
      <c r="A282" s="17" t="str">
        <f aca="false">IF($J282="","",INDEX('Auto Process'!$AP:$AP,$J282))</f>
        <v/>
      </c>
      <c r="B282" s="17" t="str">
        <f aca="false">IF($J282="","",INDEX('Auto Process'!$AQ:$AQ,$J282))</f>
        <v/>
      </c>
      <c r="C282" s="17" t="str">
        <f aca="false">IF($J282="","",INDEX('Auto Process'!$AR:$AR,$J282))</f>
        <v/>
      </c>
      <c r="D282" s="17" t="str">
        <f aca="false">IF($J282="","",INDEX('Auto Process'!$AS:$AS,$J282))</f>
        <v/>
      </c>
      <c r="E282" s="17" t="str">
        <f aca="false">IF($J282="","",INDEX('Auto Process'!$AT:$AT,$J282))</f>
        <v/>
      </c>
      <c r="F282" s="17" t="str">
        <f aca="false">IF($J282="","",INDEX('Auto Process'!$AU:$AU,$J282))</f>
        <v/>
      </c>
      <c r="G282" s="17" t="str">
        <f aca="false">IF($J282="","",INDEX('Auto Process'!$AV:$AV,$J282))</f>
        <v/>
      </c>
      <c r="H282" s="17" t="str">
        <f aca="false">IF($J282="","",INDEX('Auto Process'!$AW:$AW,$J282))</f>
        <v/>
      </c>
      <c r="J282" s="14" t="str">
        <f aca="false">IFERROR(_xlfn.AGGREGATE(15,6,ROW('Auto Process'!$D$4:$D$503)/('Auto Process'!$D$4:$D$503="Followup"),ROW()-1),"")</f>
        <v/>
      </c>
    </row>
    <row r="283" customFormat="false" ht="15" hidden="false" customHeight="true" outlineLevel="0" collapsed="false">
      <c r="A283" s="17" t="str">
        <f aca="false">IF($J283="","",INDEX('Auto Process'!$AP:$AP,$J283))</f>
        <v/>
      </c>
      <c r="B283" s="17" t="str">
        <f aca="false">IF($J283="","",INDEX('Auto Process'!$AQ:$AQ,$J283))</f>
        <v/>
      </c>
      <c r="C283" s="17" t="str">
        <f aca="false">IF($J283="","",INDEX('Auto Process'!$AR:$AR,$J283))</f>
        <v/>
      </c>
      <c r="D283" s="17" t="str">
        <f aca="false">IF($J283="","",INDEX('Auto Process'!$AS:$AS,$J283))</f>
        <v/>
      </c>
      <c r="E283" s="17" t="str">
        <f aca="false">IF($J283="","",INDEX('Auto Process'!$AT:$AT,$J283))</f>
        <v/>
      </c>
      <c r="F283" s="17" t="str">
        <f aca="false">IF($J283="","",INDEX('Auto Process'!$AU:$AU,$J283))</f>
        <v/>
      </c>
      <c r="G283" s="17" t="str">
        <f aca="false">IF($J283="","",INDEX('Auto Process'!$AV:$AV,$J283))</f>
        <v/>
      </c>
      <c r="H283" s="17" t="str">
        <f aca="false">IF($J283="","",INDEX('Auto Process'!$AW:$AW,$J283))</f>
        <v/>
      </c>
      <c r="J283" s="14" t="str">
        <f aca="false">IFERROR(_xlfn.AGGREGATE(15,6,ROW('Auto Process'!$D$4:$D$503)/('Auto Process'!$D$4:$D$503="Followup"),ROW()-1),"")</f>
        <v/>
      </c>
    </row>
    <row r="284" customFormat="false" ht="15" hidden="false" customHeight="true" outlineLevel="0" collapsed="false">
      <c r="A284" s="17" t="str">
        <f aca="false">IF($J284="","",INDEX('Auto Process'!$AP:$AP,$J284))</f>
        <v/>
      </c>
      <c r="B284" s="17" t="str">
        <f aca="false">IF($J284="","",INDEX('Auto Process'!$AQ:$AQ,$J284))</f>
        <v/>
      </c>
      <c r="C284" s="17" t="str">
        <f aca="false">IF($J284="","",INDEX('Auto Process'!$AR:$AR,$J284))</f>
        <v/>
      </c>
      <c r="D284" s="17" t="str">
        <f aca="false">IF($J284="","",INDEX('Auto Process'!$AS:$AS,$J284))</f>
        <v/>
      </c>
      <c r="E284" s="17" t="str">
        <f aca="false">IF($J284="","",INDEX('Auto Process'!$AT:$AT,$J284))</f>
        <v/>
      </c>
      <c r="F284" s="17" t="str">
        <f aca="false">IF($J284="","",INDEX('Auto Process'!$AU:$AU,$J284))</f>
        <v/>
      </c>
      <c r="G284" s="17" t="str">
        <f aca="false">IF($J284="","",INDEX('Auto Process'!$AV:$AV,$J284))</f>
        <v/>
      </c>
      <c r="H284" s="17" t="str">
        <f aca="false">IF($J284="","",INDEX('Auto Process'!$AW:$AW,$J284))</f>
        <v/>
      </c>
      <c r="J284" s="14" t="str">
        <f aca="false">IFERROR(_xlfn.AGGREGATE(15,6,ROW('Auto Process'!$D$4:$D$503)/('Auto Process'!$D$4:$D$503="Followup"),ROW()-1),"")</f>
        <v/>
      </c>
    </row>
    <row r="285" customFormat="false" ht="15" hidden="false" customHeight="true" outlineLevel="0" collapsed="false">
      <c r="A285" s="17" t="str">
        <f aca="false">IF($J285="","",INDEX('Auto Process'!$AP:$AP,$J285))</f>
        <v/>
      </c>
      <c r="B285" s="17" t="str">
        <f aca="false">IF($J285="","",INDEX('Auto Process'!$AQ:$AQ,$J285))</f>
        <v/>
      </c>
      <c r="C285" s="17" t="str">
        <f aca="false">IF($J285="","",INDEX('Auto Process'!$AR:$AR,$J285))</f>
        <v/>
      </c>
      <c r="D285" s="17" t="str">
        <f aca="false">IF($J285="","",INDEX('Auto Process'!$AS:$AS,$J285))</f>
        <v/>
      </c>
      <c r="E285" s="17" t="str">
        <f aca="false">IF($J285="","",INDEX('Auto Process'!$AT:$AT,$J285))</f>
        <v/>
      </c>
      <c r="F285" s="17" t="str">
        <f aca="false">IF($J285="","",INDEX('Auto Process'!$AU:$AU,$J285))</f>
        <v/>
      </c>
      <c r="G285" s="17" t="str">
        <f aca="false">IF($J285="","",INDEX('Auto Process'!$AV:$AV,$J285))</f>
        <v/>
      </c>
      <c r="H285" s="17" t="str">
        <f aca="false">IF($J285="","",INDEX('Auto Process'!$AW:$AW,$J285))</f>
        <v/>
      </c>
      <c r="J285" s="14" t="str">
        <f aca="false">IFERROR(_xlfn.AGGREGATE(15,6,ROW('Auto Process'!$D$4:$D$503)/('Auto Process'!$D$4:$D$503="Followup"),ROW()-1),"")</f>
        <v/>
      </c>
    </row>
    <row r="286" customFormat="false" ht="15" hidden="false" customHeight="true" outlineLevel="0" collapsed="false">
      <c r="A286" s="17" t="str">
        <f aca="false">IF($J286="","",INDEX('Auto Process'!$AP:$AP,$J286))</f>
        <v/>
      </c>
      <c r="B286" s="17" t="str">
        <f aca="false">IF($J286="","",INDEX('Auto Process'!$AQ:$AQ,$J286))</f>
        <v/>
      </c>
      <c r="C286" s="17" t="str">
        <f aca="false">IF($J286="","",INDEX('Auto Process'!$AR:$AR,$J286))</f>
        <v/>
      </c>
      <c r="D286" s="17" t="str">
        <f aca="false">IF($J286="","",INDEX('Auto Process'!$AS:$AS,$J286))</f>
        <v/>
      </c>
      <c r="E286" s="17" t="str">
        <f aca="false">IF($J286="","",INDEX('Auto Process'!$AT:$AT,$J286))</f>
        <v/>
      </c>
      <c r="F286" s="17" t="str">
        <f aca="false">IF($J286="","",INDEX('Auto Process'!$AU:$AU,$J286))</f>
        <v/>
      </c>
      <c r="G286" s="17" t="str">
        <f aca="false">IF($J286="","",INDEX('Auto Process'!$AV:$AV,$J286))</f>
        <v/>
      </c>
      <c r="H286" s="17" t="str">
        <f aca="false">IF($J286="","",INDEX('Auto Process'!$AW:$AW,$J286))</f>
        <v/>
      </c>
      <c r="J286" s="14" t="str">
        <f aca="false">IFERROR(_xlfn.AGGREGATE(15,6,ROW('Auto Process'!$D$4:$D$503)/('Auto Process'!$D$4:$D$503="Followup"),ROW()-1),"")</f>
        <v/>
      </c>
    </row>
    <row r="287" customFormat="false" ht="15" hidden="false" customHeight="true" outlineLevel="0" collapsed="false">
      <c r="A287" s="17" t="str">
        <f aca="false">IF($J287="","",INDEX('Auto Process'!$AP:$AP,$J287))</f>
        <v/>
      </c>
      <c r="B287" s="17" t="str">
        <f aca="false">IF($J287="","",INDEX('Auto Process'!$AQ:$AQ,$J287))</f>
        <v/>
      </c>
      <c r="C287" s="17" t="str">
        <f aca="false">IF($J287="","",INDEX('Auto Process'!$AR:$AR,$J287))</f>
        <v/>
      </c>
      <c r="D287" s="17" t="str">
        <f aca="false">IF($J287="","",INDEX('Auto Process'!$AS:$AS,$J287))</f>
        <v/>
      </c>
      <c r="E287" s="17" t="str">
        <f aca="false">IF($J287="","",INDEX('Auto Process'!$AT:$AT,$J287))</f>
        <v/>
      </c>
      <c r="F287" s="17" t="str">
        <f aca="false">IF($J287="","",INDEX('Auto Process'!$AU:$AU,$J287))</f>
        <v/>
      </c>
      <c r="G287" s="17" t="str">
        <f aca="false">IF($J287="","",INDEX('Auto Process'!$AV:$AV,$J287))</f>
        <v/>
      </c>
      <c r="H287" s="17" t="str">
        <f aca="false">IF($J287="","",INDEX('Auto Process'!$AW:$AW,$J287))</f>
        <v/>
      </c>
      <c r="J287" s="14" t="str">
        <f aca="false">IFERROR(_xlfn.AGGREGATE(15,6,ROW('Auto Process'!$D$4:$D$503)/('Auto Process'!$D$4:$D$503="Followup"),ROW()-1),"")</f>
        <v/>
      </c>
    </row>
    <row r="288" customFormat="false" ht="15" hidden="false" customHeight="true" outlineLevel="0" collapsed="false">
      <c r="A288" s="17" t="str">
        <f aca="false">IF($J288="","",INDEX('Auto Process'!$AP:$AP,$J288))</f>
        <v/>
      </c>
      <c r="B288" s="17" t="str">
        <f aca="false">IF($J288="","",INDEX('Auto Process'!$AQ:$AQ,$J288))</f>
        <v/>
      </c>
      <c r="C288" s="17" t="str">
        <f aca="false">IF($J288="","",INDEX('Auto Process'!$AR:$AR,$J288))</f>
        <v/>
      </c>
      <c r="D288" s="17" t="str">
        <f aca="false">IF($J288="","",INDEX('Auto Process'!$AS:$AS,$J288))</f>
        <v/>
      </c>
      <c r="E288" s="17" t="str">
        <f aca="false">IF($J288="","",INDEX('Auto Process'!$AT:$AT,$J288))</f>
        <v/>
      </c>
      <c r="F288" s="17" t="str">
        <f aca="false">IF($J288="","",INDEX('Auto Process'!$AU:$AU,$J288))</f>
        <v/>
      </c>
      <c r="G288" s="17" t="str">
        <f aca="false">IF($J288="","",INDEX('Auto Process'!$AV:$AV,$J288))</f>
        <v/>
      </c>
      <c r="H288" s="17" t="str">
        <f aca="false">IF($J288="","",INDEX('Auto Process'!$AW:$AW,$J288))</f>
        <v/>
      </c>
      <c r="J288" s="14" t="str">
        <f aca="false">IFERROR(_xlfn.AGGREGATE(15,6,ROW('Auto Process'!$D$4:$D$503)/('Auto Process'!$D$4:$D$503="Followup"),ROW()-1),"")</f>
        <v/>
      </c>
    </row>
    <row r="289" customFormat="false" ht="15" hidden="false" customHeight="true" outlineLevel="0" collapsed="false">
      <c r="A289" s="17" t="str">
        <f aca="false">IF($J289="","",INDEX('Auto Process'!$AP:$AP,$J289))</f>
        <v/>
      </c>
      <c r="B289" s="17" t="str">
        <f aca="false">IF($J289="","",INDEX('Auto Process'!$AQ:$AQ,$J289))</f>
        <v/>
      </c>
      <c r="C289" s="17" t="str">
        <f aca="false">IF($J289="","",INDEX('Auto Process'!$AR:$AR,$J289))</f>
        <v/>
      </c>
      <c r="D289" s="17" t="str">
        <f aca="false">IF($J289="","",INDEX('Auto Process'!$AS:$AS,$J289))</f>
        <v/>
      </c>
      <c r="E289" s="17" t="str">
        <f aca="false">IF($J289="","",INDEX('Auto Process'!$AT:$AT,$J289))</f>
        <v/>
      </c>
      <c r="F289" s="17" t="str">
        <f aca="false">IF($J289="","",INDEX('Auto Process'!$AU:$AU,$J289))</f>
        <v/>
      </c>
      <c r="G289" s="17" t="str">
        <f aca="false">IF($J289="","",INDEX('Auto Process'!$AV:$AV,$J289))</f>
        <v/>
      </c>
      <c r="H289" s="17" t="str">
        <f aca="false">IF($J289="","",INDEX('Auto Process'!$AW:$AW,$J289))</f>
        <v/>
      </c>
      <c r="J289" s="14" t="str">
        <f aca="false">IFERROR(_xlfn.AGGREGATE(15,6,ROW('Auto Process'!$D$4:$D$503)/('Auto Process'!$D$4:$D$503="Followup"),ROW()-1),"")</f>
        <v/>
      </c>
    </row>
    <row r="290" customFormat="false" ht="15" hidden="false" customHeight="true" outlineLevel="0" collapsed="false">
      <c r="A290" s="17" t="str">
        <f aca="false">IF($J290="","",INDEX('Auto Process'!$AP:$AP,$J290))</f>
        <v/>
      </c>
      <c r="B290" s="17" t="str">
        <f aca="false">IF($J290="","",INDEX('Auto Process'!$AQ:$AQ,$J290))</f>
        <v/>
      </c>
      <c r="C290" s="17" t="str">
        <f aca="false">IF($J290="","",INDEX('Auto Process'!$AR:$AR,$J290))</f>
        <v/>
      </c>
      <c r="D290" s="17" t="str">
        <f aca="false">IF($J290="","",INDEX('Auto Process'!$AS:$AS,$J290))</f>
        <v/>
      </c>
      <c r="E290" s="17" t="str">
        <f aca="false">IF($J290="","",INDEX('Auto Process'!$AT:$AT,$J290))</f>
        <v/>
      </c>
      <c r="F290" s="17" t="str">
        <f aca="false">IF($J290="","",INDEX('Auto Process'!$AU:$AU,$J290))</f>
        <v/>
      </c>
      <c r="G290" s="17" t="str">
        <f aca="false">IF($J290="","",INDEX('Auto Process'!$AV:$AV,$J290))</f>
        <v/>
      </c>
      <c r="H290" s="17" t="str">
        <f aca="false">IF($J290="","",INDEX('Auto Process'!$AW:$AW,$J290))</f>
        <v/>
      </c>
      <c r="J290" s="14" t="str">
        <f aca="false">IFERROR(_xlfn.AGGREGATE(15,6,ROW('Auto Process'!$D$4:$D$503)/('Auto Process'!$D$4:$D$503="Followup"),ROW()-1),"")</f>
        <v/>
      </c>
    </row>
    <row r="291" customFormat="false" ht="15" hidden="false" customHeight="true" outlineLevel="0" collapsed="false">
      <c r="A291" s="17" t="str">
        <f aca="false">IF($J291="","",INDEX('Auto Process'!$AP:$AP,$J291))</f>
        <v/>
      </c>
      <c r="B291" s="17" t="str">
        <f aca="false">IF($J291="","",INDEX('Auto Process'!$AQ:$AQ,$J291))</f>
        <v/>
      </c>
      <c r="C291" s="17" t="str">
        <f aca="false">IF($J291="","",INDEX('Auto Process'!$AR:$AR,$J291))</f>
        <v/>
      </c>
      <c r="D291" s="17" t="str">
        <f aca="false">IF($J291="","",INDEX('Auto Process'!$AS:$AS,$J291))</f>
        <v/>
      </c>
      <c r="E291" s="17" t="str">
        <f aca="false">IF($J291="","",INDEX('Auto Process'!$AT:$AT,$J291))</f>
        <v/>
      </c>
      <c r="F291" s="17" t="str">
        <f aca="false">IF($J291="","",INDEX('Auto Process'!$AU:$AU,$J291))</f>
        <v/>
      </c>
      <c r="G291" s="17" t="str">
        <f aca="false">IF($J291="","",INDEX('Auto Process'!$AV:$AV,$J291))</f>
        <v/>
      </c>
      <c r="H291" s="17" t="str">
        <f aca="false">IF($J291="","",INDEX('Auto Process'!$AW:$AW,$J291))</f>
        <v/>
      </c>
      <c r="J291" s="14" t="str">
        <f aca="false">IFERROR(_xlfn.AGGREGATE(15,6,ROW('Auto Process'!$D$4:$D$503)/('Auto Process'!$D$4:$D$503="Followup"),ROW()-1),"")</f>
        <v/>
      </c>
    </row>
    <row r="292" customFormat="false" ht="15" hidden="false" customHeight="true" outlineLevel="0" collapsed="false">
      <c r="A292" s="17" t="str">
        <f aca="false">IF($J292="","",INDEX('Auto Process'!$AP:$AP,$J292))</f>
        <v/>
      </c>
      <c r="B292" s="17" t="str">
        <f aca="false">IF($J292="","",INDEX('Auto Process'!$AQ:$AQ,$J292))</f>
        <v/>
      </c>
      <c r="C292" s="17" t="str">
        <f aca="false">IF($J292="","",INDEX('Auto Process'!$AR:$AR,$J292))</f>
        <v/>
      </c>
      <c r="D292" s="17" t="str">
        <f aca="false">IF($J292="","",INDEX('Auto Process'!$AS:$AS,$J292))</f>
        <v/>
      </c>
      <c r="E292" s="17" t="str">
        <f aca="false">IF($J292="","",INDEX('Auto Process'!$AT:$AT,$J292))</f>
        <v/>
      </c>
      <c r="F292" s="17" t="str">
        <f aca="false">IF($J292="","",INDEX('Auto Process'!$AU:$AU,$J292))</f>
        <v/>
      </c>
      <c r="G292" s="17" t="str">
        <f aca="false">IF($J292="","",INDEX('Auto Process'!$AV:$AV,$J292))</f>
        <v/>
      </c>
      <c r="H292" s="17" t="str">
        <f aca="false">IF($J292="","",INDEX('Auto Process'!$AW:$AW,$J292))</f>
        <v/>
      </c>
      <c r="J292" s="14" t="str">
        <f aca="false">IFERROR(_xlfn.AGGREGATE(15,6,ROW('Auto Process'!$D$4:$D$503)/('Auto Process'!$D$4:$D$503="Followup"),ROW()-1),"")</f>
        <v/>
      </c>
    </row>
    <row r="293" customFormat="false" ht="15" hidden="false" customHeight="true" outlineLevel="0" collapsed="false">
      <c r="A293" s="17" t="str">
        <f aca="false">IF($J293="","",INDEX('Auto Process'!$AP:$AP,$J293))</f>
        <v/>
      </c>
      <c r="B293" s="17" t="str">
        <f aca="false">IF($J293="","",INDEX('Auto Process'!$AQ:$AQ,$J293))</f>
        <v/>
      </c>
      <c r="C293" s="17" t="str">
        <f aca="false">IF($J293="","",INDEX('Auto Process'!$AR:$AR,$J293))</f>
        <v/>
      </c>
      <c r="D293" s="17" t="str">
        <f aca="false">IF($J293="","",INDEX('Auto Process'!$AS:$AS,$J293))</f>
        <v/>
      </c>
      <c r="E293" s="17" t="str">
        <f aca="false">IF($J293="","",INDEX('Auto Process'!$AT:$AT,$J293))</f>
        <v/>
      </c>
      <c r="F293" s="17" t="str">
        <f aca="false">IF($J293="","",INDEX('Auto Process'!$AU:$AU,$J293))</f>
        <v/>
      </c>
      <c r="G293" s="17" t="str">
        <f aca="false">IF($J293="","",INDEX('Auto Process'!$AV:$AV,$J293))</f>
        <v/>
      </c>
      <c r="H293" s="17" t="str">
        <f aca="false">IF($J293="","",INDEX('Auto Process'!$AW:$AW,$J293))</f>
        <v/>
      </c>
      <c r="J293" s="14" t="str">
        <f aca="false">IFERROR(_xlfn.AGGREGATE(15,6,ROW('Auto Process'!$D$4:$D$503)/('Auto Process'!$D$4:$D$503="Followup"),ROW()-1),"")</f>
        <v/>
      </c>
    </row>
    <row r="294" customFormat="false" ht="15" hidden="false" customHeight="true" outlineLevel="0" collapsed="false">
      <c r="A294" s="17" t="str">
        <f aca="false">IF($J294="","",INDEX('Auto Process'!$AP:$AP,$J294))</f>
        <v/>
      </c>
      <c r="B294" s="17" t="str">
        <f aca="false">IF($J294="","",INDEX('Auto Process'!$AQ:$AQ,$J294))</f>
        <v/>
      </c>
      <c r="C294" s="17" t="str">
        <f aca="false">IF($J294="","",INDEX('Auto Process'!$AR:$AR,$J294))</f>
        <v/>
      </c>
      <c r="D294" s="17" t="str">
        <f aca="false">IF($J294="","",INDEX('Auto Process'!$AS:$AS,$J294))</f>
        <v/>
      </c>
      <c r="E294" s="17" t="str">
        <f aca="false">IF($J294="","",INDEX('Auto Process'!$AT:$AT,$J294))</f>
        <v/>
      </c>
      <c r="F294" s="17" t="str">
        <f aca="false">IF($J294="","",INDEX('Auto Process'!$AU:$AU,$J294))</f>
        <v/>
      </c>
      <c r="G294" s="17" t="str">
        <f aca="false">IF($J294="","",INDEX('Auto Process'!$AV:$AV,$J294))</f>
        <v/>
      </c>
      <c r="H294" s="17" t="str">
        <f aca="false">IF($J294="","",INDEX('Auto Process'!$AW:$AW,$J294))</f>
        <v/>
      </c>
      <c r="J294" s="14" t="str">
        <f aca="false">IFERROR(_xlfn.AGGREGATE(15,6,ROW('Auto Process'!$D$4:$D$503)/('Auto Process'!$D$4:$D$503="Followup"),ROW()-1),"")</f>
        <v/>
      </c>
    </row>
    <row r="295" customFormat="false" ht="15" hidden="false" customHeight="true" outlineLevel="0" collapsed="false">
      <c r="A295" s="17" t="str">
        <f aca="false">IF($J295="","",INDEX('Auto Process'!$AP:$AP,$J295))</f>
        <v/>
      </c>
      <c r="B295" s="17" t="str">
        <f aca="false">IF($J295="","",INDEX('Auto Process'!$AQ:$AQ,$J295))</f>
        <v/>
      </c>
      <c r="C295" s="17" t="str">
        <f aca="false">IF($J295="","",INDEX('Auto Process'!$AR:$AR,$J295))</f>
        <v/>
      </c>
      <c r="D295" s="17" t="str">
        <f aca="false">IF($J295="","",INDEX('Auto Process'!$AS:$AS,$J295))</f>
        <v/>
      </c>
      <c r="E295" s="17" t="str">
        <f aca="false">IF($J295="","",INDEX('Auto Process'!$AT:$AT,$J295))</f>
        <v/>
      </c>
      <c r="F295" s="17" t="str">
        <f aca="false">IF($J295="","",INDEX('Auto Process'!$AU:$AU,$J295))</f>
        <v/>
      </c>
      <c r="G295" s="17" t="str">
        <f aca="false">IF($J295="","",INDEX('Auto Process'!$AV:$AV,$J295))</f>
        <v/>
      </c>
      <c r="H295" s="17" t="str">
        <f aca="false">IF($J295="","",INDEX('Auto Process'!$AW:$AW,$J295))</f>
        <v/>
      </c>
      <c r="J295" s="14" t="str">
        <f aca="false">IFERROR(_xlfn.AGGREGATE(15,6,ROW('Auto Process'!$D$4:$D$503)/('Auto Process'!$D$4:$D$503="Followup"),ROW()-1),"")</f>
        <v/>
      </c>
    </row>
    <row r="296" customFormat="false" ht="15" hidden="false" customHeight="true" outlineLevel="0" collapsed="false">
      <c r="A296" s="17" t="str">
        <f aca="false">IF($J296="","",INDEX('Auto Process'!$AP:$AP,$J296))</f>
        <v/>
      </c>
      <c r="B296" s="17" t="str">
        <f aca="false">IF($J296="","",INDEX('Auto Process'!$AQ:$AQ,$J296))</f>
        <v/>
      </c>
      <c r="C296" s="17" t="str">
        <f aca="false">IF($J296="","",INDEX('Auto Process'!$AR:$AR,$J296))</f>
        <v/>
      </c>
      <c r="D296" s="17" t="str">
        <f aca="false">IF($J296="","",INDEX('Auto Process'!$AS:$AS,$J296))</f>
        <v/>
      </c>
      <c r="E296" s="17" t="str">
        <f aca="false">IF($J296="","",INDEX('Auto Process'!$AT:$AT,$J296))</f>
        <v/>
      </c>
      <c r="F296" s="17" t="str">
        <f aca="false">IF($J296="","",INDEX('Auto Process'!$AU:$AU,$J296))</f>
        <v/>
      </c>
      <c r="G296" s="17" t="str">
        <f aca="false">IF($J296="","",INDEX('Auto Process'!$AV:$AV,$J296))</f>
        <v/>
      </c>
      <c r="H296" s="17" t="str">
        <f aca="false">IF($J296="","",INDEX('Auto Process'!$AW:$AW,$J296))</f>
        <v/>
      </c>
      <c r="J296" s="14" t="str">
        <f aca="false">IFERROR(_xlfn.AGGREGATE(15,6,ROW('Auto Process'!$D$4:$D$503)/('Auto Process'!$D$4:$D$503="Followup"),ROW()-1),"")</f>
        <v/>
      </c>
    </row>
    <row r="297" customFormat="false" ht="15" hidden="false" customHeight="true" outlineLevel="0" collapsed="false">
      <c r="A297" s="17" t="str">
        <f aca="false">IF($J297="","",INDEX('Auto Process'!$AP:$AP,$J297))</f>
        <v/>
      </c>
      <c r="B297" s="17" t="str">
        <f aca="false">IF($J297="","",INDEX('Auto Process'!$AQ:$AQ,$J297))</f>
        <v/>
      </c>
      <c r="C297" s="17" t="str">
        <f aca="false">IF($J297="","",INDEX('Auto Process'!$AR:$AR,$J297))</f>
        <v/>
      </c>
      <c r="D297" s="17" t="str">
        <f aca="false">IF($J297="","",INDEX('Auto Process'!$AS:$AS,$J297))</f>
        <v/>
      </c>
      <c r="E297" s="17" t="str">
        <f aca="false">IF($J297="","",INDEX('Auto Process'!$AT:$AT,$J297))</f>
        <v/>
      </c>
      <c r="F297" s="17" t="str">
        <f aca="false">IF($J297="","",INDEX('Auto Process'!$AU:$AU,$J297))</f>
        <v/>
      </c>
      <c r="G297" s="17" t="str">
        <f aca="false">IF($J297="","",INDEX('Auto Process'!$AV:$AV,$J297))</f>
        <v/>
      </c>
      <c r="H297" s="17" t="str">
        <f aca="false">IF($J297="","",INDEX('Auto Process'!$AW:$AW,$J297))</f>
        <v/>
      </c>
      <c r="J297" s="14" t="str">
        <f aca="false">IFERROR(_xlfn.AGGREGATE(15,6,ROW('Auto Process'!$D$4:$D$503)/('Auto Process'!$D$4:$D$503="Followup"),ROW()-1),"")</f>
        <v/>
      </c>
    </row>
    <row r="298" customFormat="false" ht="15" hidden="false" customHeight="true" outlineLevel="0" collapsed="false">
      <c r="A298" s="17" t="str">
        <f aca="false">IF($J298="","",INDEX('Auto Process'!$AP:$AP,$J298))</f>
        <v/>
      </c>
      <c r="B298" s="17" t="str">
        <f aca="false">IF($J298="","",INDEX('Auto Process'!$AQ:$AQ,$J298))</f>
        <v/>
      </c>
      <c r="C298" s="17" t="str">
        <f aca="false">IF($J298="","",INDEX('Auto Process'!$AR:$AR,$J298))</f>
        <v/>
      </c>
      <c r="D298" s="17" t="str">
        <f aca="false">IF($J298="","",INDEX('Auto Process'!$AS:$AS,$J298))</f>
        <v/>
      </c>
      <c r="E298" s="17" t="str">
        <f aca="false">IF($J298="","",INDEX('Auto Process'!$AT:$AT,$J298))</f>
        <v/>
      </c>
      <c r="F298" s="17" t="str">
        <f aca="false">IF($J298="","",INDEX('Auto Process'!$AU:$AU,$J298))</f>
        <v/>
      </c>
      <c r="G298" s="17" t="str">
        <f aca="false">IF($J298="","",INDEX('Auto Process'!$AV:$AV,$J298))</f>
        <v/>
      </c>
      <c r="H298" s="17" t="str">
        <f aca="false">IF($J298="","",INDEX('Auto Process'!$AW:$AW,$J298))</f>
        <v/>
      </c>
      <c r="J298" s="14" t="str">
        <f aca="false">IFERROR(_xlfn.AGGREGATE(15,6,ROW('Auto Process'!$D$4:$D$503)/('Auto Process'!$D$4:$D$503="Followup"),ROW()-1),"")</f>
        <v/>
      </c>
    </row>
    <row r="299" customFormat="false" ht="15" hidden="false" customHeight="true" outlineLevel="0" collapsed="false">
      <c r="A299" s="17" t="str">
        <f aca="false">IF($J299="","",INDEX('Auto Process'!$AP:$AP,$J299))</f>
        <v/>
      </c>
      <c r="B299" s="17" t="str">
        <f aca="false">IF($J299="","",INDEX('Auto Process'!$AQ:$AQ,$J299))</f>
        <v/>
      </c>
      <c r="C299" s="17" t="str">
        <f aca="false">IF($J299="","",INDEX('Auto Process'!$AR:$AR,$J299))</f>
        <v/>
      </c>
      <c r="D299" s="17" t="str">
        <f aca="false">IF($J299="","",INDEX('Auto Process'!$AS:$AS,$J299))</f>
        <v/>
      </c>
      <c r="E299" s="17" t="str">
        <f aca="false">IF($J299="","",INDEX('Auto Process'!$AT:$AT,$J299))</f>
        <v/>
      </c>
      <c r="F299" s="17" t="str">
        <f aca="false">IF($J299="","",INDEX('Auto Process'!$AU:$AU,$J299))</f>
        <v/>
      </c>
      <c r="G299" s="17" t="str">
        <f aca="false">IF($J299="","",INDEX('Auto Process'!$AV:$AV,$J299))</f>
        <v/>
      </c>
      <c r="H299" s="17" t="str">
        <f aca="false">IF($J299="","",INDEX('Auto Process'!$AW:$AW,$J299))</f>
        <v/>
      </c>
      <c r="J299" s="14" t="str">
        <f aca="false">IFERROR(_xlfn.AGGREGATE(15,6,ROW('Auto Process'!$D$4:$D$503)/('Auto Process'!$D$4:$D$503="Followup"),ROW()-1),"")</f>
        <v/>
      </c>
    </row>
    <row r="300" customFormat="false" ht="15" hidden="false" customHeight="true" outlineLevel="0" collapsed="false">
      <c r="A300" s="17" t="str">
        <f aca="false">IF($J300="","",INDEX('Auto Process'!$AP:$AP,$J300))</f>
        <v/>
      </c>
      <c r="B300" s="17" t="str">
        <f aca="false">IF($J300="","",INDEX('Auto Process'!$AQ:$AQ,$J300))</f>
        <v/>
      </c>
      <c r="C300" s="17" t="str">
        <f aca="false">IF($J300="","",INDEX('Auto Process'!$AR:$AR,$J300))</f>
        <v/>
      </c>
      <c r="D300" s="17" t="str">
        <f aca="false">IF($J300="","",INDEX('Auto Process'!$AS:$AS,$J300))</f>
        <v/>
      </c>
      <c r="E300" s="17" t="str">
        <f aca="false">IF($J300="","",INDEX('Auto Process'!$AT:$AT,$J300))</f>
        <v/>
      </c>
      <c r="F300" s="17" t="str">
        <f aca="false">IF($J300="","",INDEX('Auto Process'!$AU:$AU,$J300))</f>
        <v/>
      </c>
      <c r="G300" s="17" t="str">
        <f aca="false">IF($J300="","",INDEX('Auto Process'!$AV:$AV,$J300))</f>
        <v/>
      </c>
      <c r="H300" s="17" t="str">
        <f aca="false">IF($J300="","",INDEX('Auto Process'!$AW:$AW,$J300))</f>
        <v/>
      </c>
      <c r="J300" s="14" t="str">
        <f aca="false">IFERROR(_xlfn.AGGREGATE(15,6,ROW('Auto Process'!$D$4:$D$503)/('Auto Process'!$D$4:$D$503="Followup"),ROW()-1),"")</f>
        <v/>
      </c>
    </row>
    <row r="301" customFormat="false" ht="15" hidden="false" customHeight="true" outlineLevel="0" collapsed="false">
      <c r="A301" s="17" t="str">
        <f aca="false">IF($J301="","",INDEX('Auto Process'!$AP:$AP,$J301))</f>
        <v/>
      </c>
      <c r="B301" s="17" t="str">
        <f aca="false">IF($J301="","",INDEX('Auto Process'!$AQ:$AQ,$J301))</f>
        <v/>
      </c>
      <c r="C301" s="17" t="str">
        <f aca="false">IF($J301="","",INDEX('Auto Process'!$AR:$AR,$J301))</f>
        <v/>
      </c>
      <c r="D301" s="17" t="str">
        <f aca="false">IF($J301="","",INDEX('Auto Process'!$AS:$AS,$J301))</f>
        <v/>
      </c>
      <c r="E301" s="17" t="str">
        <f aca="false">IF($J301="","",INDEX('Auto Process'!$AT:$AT,$J301))</f>
        <v/>
      </c>
      <c r="F301" s="17" t="str">
        <f aca="false">IF($J301="","",INDEX('Auto Process'!$AU:$AU,$J301))</f>
        <v/>
      </c>
      <c r="G301" s="17" t="str">
        <f aca="false">IF($J301="","",INDEX('Auto Process'!$AV:$AV,$J301))</f>
        <v/>
      </c>
      <c r="H301" s="17" t="str">
        <f aca="false">IF($J301="","",INDEX('Auto Process'!$AW:$AW,$J301))</f>
        <v/>
      </c>
      <c r="J301" s="14" t="str">
        <f aca="false">IFERROR(_xlfn.AGGREGATE(15,6,ROW('Auto Process'!$D$4:$D$503)/('Auto Process'!$D$4:$D$503="Followup"),ROW()-1),"")</f>
        <v/>
      </c>
    </row>
    <row r="302" customFormat="false" ht="15" hidden="false" customHeight="true" outlineLevel="0" collapsed="false">
      <c r="A302" s="17" t="str">
        <f aca="false">IF($J302="","",INDEX('Auto Process'!$AP:$AP,$J302))</f>
        <v/>
      </c>
      <c r="B302" s="17" t="str">
        <f aca="false">IF($J302="","",INDEX('Auto Process'!$AQ:$AQ,$J302))</f>
        <v/>
      </c>
      <c r="C302" s="17" t="str">
        <f aca="false">IF($J302="","",INDEX('Auto Process'!$AR:$AR,$J302))</f>
        <v/>
      </c>
      <c r="D302" s="17" t="str">
        <f aca="false">IF($J302="","",INDEX('Auto Process'!$AS:$AS,$J302))</f>
        <v/>
      </c>
      <c r="E302" s="17" t="str">
        <f aca="false">IF($J302="","",INDEX('Auto Process'!$AT:$AT,$J302))</f>
        <v/>
      </c>
      <c r="F302" s="17" t="str">
        <f aca="false">IF($J302="","",INDEX('Auto Process'!$AU:$AU,$J302))</f>
        <v/>
      </c>
      <c r="G302" s="17" t="str">
        <f aca="false">IF($J302="","",INDEX('Auto Process'!$AV:$AV,$J302))</f>
        <v/>
      </c>
      <c r="H302" s="17" t="str">
        <f aca="false">IF($J302="","",INDEX('Auto Process'!$AW:$AW,$J302))</f>
        <v/>
      </c>
      <c r="J302" s="14" t="str">
        <f aca="false">IFERROR(_xlfn.AGGREGATE(15,6,ROW('Auto Process'!$D$4:$D$503)/('Auto Process'!$D$4:$D$503="Followup"),ROW()-1),"")</f>
        <v/>
      </c>
    </row>
    <row r="303" customFormat="false" ht="15" hidden="false" customHeight="true" outlineLevel="0" collapsed="false">
      <c r="A303" s="17" t="str">
        <f aca="false">IF($J303="","",INDEX('Auto Process'!$AP:$AP,$J303))</f>
        <v/>
      </c>
      <c r="B303" s="17" t="str">
        <f aca="false">IF($J303="","",INDEX('Auto Process'!$AQ:$AQ,$J303))</f>
        <v/>
      </c>
      <c r="C303" s="17" t="str">
        <f aca="false">IF($J303="","",INDEX('Auto Process'!$AR:$AR,$J303))</f>
        <v/>
      </c>
      <c r="D303" s="17" t="str">
        <f aca="false">IF($J303="","",INDEX('Auto Process'!$AS:$AS,$J303))</f>
        <v/>
      </c>
      <c r="E303" s="17" t="str">
        <f aca="false">IF($J303="","",INDEX('Auto Process'!$AT:$AT,$J303))</f>
        <v/>
      </c>
      <c r="F303" s="17" t="str">
        <f aca="false">IF($J303="","",INDEX('Auto Process'!$AU:$AU,$J303))</f>
        <v/>
      </c>
      <c r="G303" s="17" t="str">
        <f aca="false">IF($J303="","",INDEX('Auto Process'!$AV:$AV,$J303))</f>
        <v/>
      </c>
      <c r="H303" s="17" t="str">
        <f aca="false">IF($J303="","",INDEX('Auto Process'!$AW:$AW,$J303))</f>
        <v/>
      </c>
      <c r="J303" s="14" t="str">
        <f aca="false">IFERROR(_xlfn.AGGREGATE(15,6,ROW('Auto Process'!$D$4:$D$503)/('Auto Process'!$D$4:$D$503="Followup"),ROW()-1),"")</f>
        <v/>
      </c>
    </row>
    <row r="304" customFormat="false" ht="15" hidden="false" customHeight="true" outlineLevel="0" collapsed="false">
      <c r="A304" s="17" t="str">
        <f aca="false">IF($J304="","",INDEX('Auto Process'!$AP:$AP,$J304))</f>
        <v/>
      </c>
      <c r="B304" s="17" t="str">
        <f aca="false">IF($J304="","",INDEX('Auto Process'!$AQ:$AQ,$J304))</f>
        <v/>
      </c>
      <c r="C304" s="17" t="str">
        <f aca="false">IF($J304="","",INDEX('Auto Process'!$AR:$AR,$J304))</f>
        <v/>
      </c>
      <c r="D304" s="17" t="str">
        <f aca="false">IF($J304="","",INDEX('Auto Process'!$AS:$AS,$J304))</f>
        <v/>
      </c>
      <c r="E304" s="17" t="str">
        <f aca="false">IF($J304="","",INDEX('Auto Process'!$AT:$AT,$J304))</f>
        <v/>
      </c>
      <c r="F304" s="17" t="str">
        <f aca="false">IF($J304="","",INDEX('Auto Process'!$AU:$AU,$J304))</f>
        <v/>
      </c>
      <c r="G304" s="17" t="str">
        <f aca="false">IF($J304="","",INDEX('Auto Process'!$AV:$AV,$J304))</f>
        <v/>
      </c>
      <c r="H304" s="17" t="str">
        <f aca="false">IF($J304="","",INDEX('Auto Process'!$AW:$AW,$J304))</f>
        <v/>
      </c>
      <c r="J304" s="14" t="str">
        <f aca="false">IFERROR(_xlfn.AGGREGATE(15,6,ROW('Auto Process'!$D$4:$D$503)/('Auto Process'!$D$4:$D$503="Followup"),ROW()-1),"")</f>
        <v/>
      </c>
    </row>
    <row r="305" customFormat="false" ht="15" hidden="false" customHeight="true" outlineLevel="0" collapsed="false">
      <c r="A305" s="17" t="str">
        <f aca="false">IF($J305="","",INDEX('Auto Process'!$AP:$AP,$J305))</f>
        <v/>
      </c>
      <c r="B305" s="17" t="str">
        <f aca="false">IF($J305="","",INDEX('Auto Process'!$AQ:$AQ,$J305))</f>
        <v/>
      </c>
      <c r="C305" s="17" t="str">
        <f aca="false">IF($J305="","",INDEX('Auto Process'!$AR:$AR,$J305))</f>
        <v/>
      </c>
      <c r="D305" s="17" t="str">
        <f aca="false">IF($J305="","",INDEX('Auto Process'!$AS:$AS,$J305))</f>
        <v/>
      </c>
      <c r="E305" s="17" t="str">
        <f aca="false">IF($J305="","",INDEX('Auto Process'!$AT:$AT,$J305))</f>
        <v/>
      </c>
      <c r="F305" s="17" t="str">
        <f aca="false">IF($J305="","",INDEX('Auto Process'!$AU:$AU,$J305))</f>
        <v/>
      </c>
      <c r="G305" s="17" t="str">
        <f aca="false">IF($J305="","",INDEX('Auto Process'!$AV:$AV,$J305))</f>
        <v/>
      </c>
      <c r="H305" s="17" t="str">
        <f aca="false">IF($J305="","",INDEX('Auto Process'!$AW:$AW,$J305))</f>
        <v/>
      </c>
      <c r="J305" s="14" t="str">
        <f aca="false">IFERROR(_xlfn.AGGREGATE(15,6,ROW('Auto Process'!$D$4:$D$503)/('Auto Process'!$D$4:$D$503="Followup"),ROW()-1),"")</f>
        <v/>
      </c>
    </row>
    <row r="306" customFormat="false" ht="15" hidden="false" customHeight="true" outlineLevel="0" collapsed="false">
      <c r="A306" s="17" t="str">
        <f aca="false">IF($J306="","",INDEX('Auto Process'!$AP:$AP,$J306))</f>
        <v/>
      </c>
      <c r="B306" s="17" t="str">
        <f aca="false">IF($J306="","",INDEX('Auto Process'!$AQ:$AQ,$J306))</f>
        <v/>
      </c>
      <c r="C306" s="17" t="str">
        <f aca="false">IF($J306="","",INDEX('Auto Process'!$AR:$AR,$J306))</f>
        <v/>
      </c>
      <c r="D306" s="17" t="str">
        <f aca="false">IF($J306="","",INDEX('Auto Process'!$AS:$AS,$J306))</f>
        <v/>
      </c>
      <c r="E306" s="17" t="str">
        <f aca="false">IF($J306="","",INDEX('Auto Process'!$AT:$AT,$J306))</f>
        <v/>
      </c>
      <c r="F306" s="17" t="str">
        <f aca="false">IF($J306="","",INDEX('Auto Process'!$AU:$AU,$J306))</f>
        <v/>
      </c>
      <c r="G306" s="17" t="str">
        <f aca="false">IF($J306="","",INDEX('Auto Process'!$AV:$AV,$J306))</f>
        <v/>
      </c>
      <c r="H306" s="17" t="str">
        <f aca="false">IF($J306="","",INDEX('Auto Process'!$AW:$AW,$J306))</f>
        <v/>
      </c>
      <c r="J306" s="14" t="str">
        <f aca="false">IFERROR(_xlfn.AGGREGATE(15,6,ROW('Auto Process'!$D$4:$D$503)/('Auto Process'!$D$4:$D$503="Followup"),ROW()-1),"")</f>
        <v/>
      </c>
    </row>
    <row r="307" customFormat="false" ht="15" hidden="false" customHeight="true" outlineLevel="0" collapsed="false">
      <c r="A307" s="17" t="str">
        <f aca="false">IF($J307="","",INDEX('Auto Process'!$AP:$AP,$J307))</f>
        <v/>
      </c>
      <c r="B307" s="17" t="str">
        <f aca="false">IF($J307="","",INDEX('Auto Process'!$AQ:$AQ,$J307))</f>
        <v/>
      </c>
      <c r="C307" s="17" t="str">
        <f aca="false">IF($J307="","",INDEX('Auto Process'!$AR:$AR,$J307))</f>
        <v/>
      </c>
      <c r="D307" s="17" t="str">
        <f aca="false">IF($J307="","",INDEX('Auto Process'!$AS:$AS,$J307))</f>
        <v/>
      </c>
      <c r="E307" s="17" t="str">
        <f aca="false">IF($J307="","",INDEX('Auto Process'!$AT:$AT,$J307))</f>
        <v/>
      </c>
      <c r="F307" s="17" t="str">
        <f aca="false">IF($J307="","",INDEX('Auto Process'!$AU:$AU,$J307))</f>
        <v/>
      </c>
      <c r="G307" s="17" t="str">
        <f aca="false">IF($J307="","",INDEX('Auto Process'!$AV:$AV,$J307))</f>
        <v/>
      </c>
      <c r="H307" s="17" t="str">
        <f aca="false">IF($J307="","",INDEX('Auto Process'!$AW:$AW,$J307))</f>
        <v/>
      </c>
      <c r="J307" s="14" t="str">
        <f aca="false">IFERROR(_xlfn.AGGREGATE(15,6,ROW('Auto Process'!$D$4:$D$503)/('Auto Process'!$D$4:$D$503="Followup"),ROW()-1),"")</f>
        <v/>
      </c>
    </row>
    <row r="308" customFormat="false" ht="15" hidden="false" customHeight="true" outlineLevel="0" collapsed="false">
      <c r="A308" s="17" t="str">
        <f aca="false">IF($J308="","",INDEX('Auto Process'!$AP:$AP,$J308))</f>
        <v/>
      </c>
      <c r="B308" s="17" t="str">
        <f aca="false">IF($J308="","",INDEX('Auto Process'!$AQ:$AQ,$J308))</f>
        <v/>
      </c>
      <c r="C308" s="17" t="str">
        <f aca="false">IF($J308="","",INDEX('Auto Process'!$AR:$AR,$J308))</f>
        <v/>
      </c>
      <c r="D308" s="17" t="str">
        <f aca="false">IF($J308="","",INDEX('Auto Process'!$AS:$AS,$J308))</f>
        <v/>
      </c>
      <c r="E308" s="17" t="str">
        <f aca="false">IF($J308="","",INDEX('Auto Process'!$AT:$AT,$J308))</f>
        <v/>
      </c>
      <c r="F308" s="17" t="str">
        <f aca="false">IF($J308="","",INDEX('Auto Process'!$AU:$AU,$J308))</f>
        <v/>
      </c>
      <c r="G308" s="17" t="str">
        <f aca="false">IF($J308="","",INDEX('Auto Process'!$AV:$AV,$J308))</f>
        <v/>
      </c>
      <c r="H308" s="17" t="str">
        <f aca="false">IF($J308="","",INDEX('Auto Process'!$AW:$AW,$J308))</f>
        <v/>
      </c>
      <c r="J308" s="14" t="str">
        <f aca="false">IFERROR(_xlfn.AGGREGATE(15,6,ROW('Auto Process'!$D$4:$D$503)/('Auto Process'!$D$4:$D$503="Followup"),ROW()-1),"")</f>
        <v/>
      </c>
    </row>
    <row r="309" customFormat="false" ht="15" hidden="false" customHeight="true" outlineLevel="0" collapsed="false">
      <c r="A309" s="17" t="str">
        <f aca="false">IF($J309="","",INDEX('Auto Process'!$AP:$AP,$J309))</f>
        <v/>
      </c>
      <c r="B309" s="17" t="str">
        <f aca="false">IF($J309="","",INDEX('Auto Process'!$AQ:$AQ,$J309))</f>
        <v/>
      </c>
      <c r="C309" s="17" t="str">
        <f aca="false">IF($J309="","",INDEX('Auto Process'!$AR:$AR,$J309))</f>
        <v/>
      </c>
      <c r="D309" s="17" t="str">
        <f aca="false">IF($J309="","",INDEX('Auto Process'!$AS:$AS,$J309))</f>
        <v/>
      </c>
      <c r="E309" s="17" t="str">
        <f aca="false">IF($J309="","",INDEX('Auto Process'!$AT:$AT,$J309))</f>
        <v/>
      </c>
      <c r="F309" s="17" t="str">
        <f aca="false">IF($J309="","",INDEX('Auto Process'!$AU:$AU,$J309))</f>
        <v/>
      </c>
      <c r="G309" s="17" t="str">
        <f aca="false">IF($J309="","",INDEX('Auto Process'!$AV:$AV,$J309))</f>
        <v/>
      </c>
      <c r="H309" s="17" t="str">
        <f aca="false">IF($J309="","",INDEX('Auto Process'!$AW:$AW,$J309))</f>
        <v/>
      </c>
      <c r="J309" s="14" t="str">
        <f aca="false">IFERROR(_xlfn.AGGREGATE(15,6,ROW('Auto Process'!$D$4:$D$503)/('Auto Process'!$D$4:$D$503="Followup"),ROW()-1),"")</f>
        <v/>
      </c>
    </row>
    <row r="310" customFormat="false" ht="15" hidden="false" customHeight="true" outlineLevel="0" collapsed="false">
      <c r="A310" s="17" t="str">
        <f aca="false">IF($J310="","",INDEX('Auto Process'!$AP:$AP,$J310))</f>
        <v/>
      </c>
      <c r="B310" s="17" t="str">
        <f aca="false">IF($J310="","",INDEX('Auto Process'!$AQ:$AQ,$J310))</f>
        <v/>
      </c>
      <c r="C310" s="17" t="str">
        <f aca="false">IF($J310="","",INDEX('Auto Process'!$AR:$AR,$J310))</f>
        <v/>
      </c>
      <c r="D310" s="17" t="str">
        <f aca="false">IF($J310="","",INDEX('Auto Process'!$AS:$AS,$J310))</f>
        <v/>
      </c>
      <c r="E310" s="17" t="str">
        <f aca="false">IF($J310="","",INDEX('Auto Process'!$AT:$AT,$J310))</f>
        <v/>
      </c>
      <c r="F310" s="17" t="str">
        <f aca="false">IF($J310="","",INDEX('Auto Process'!$AU:$AU,$J310))</f>
        <v/>
      </c>
      <c r="G310" s="17" t="str">
        <f aca="false">IF($J310="","",INDEX('Auto Process'!$AV:$AV,$J310))</f>
        <v/>
      </c>
      <c r="H310" s="17" t="str">
        <f aca="false">IF($J310="","",INDEX('Auto Process'!$AW:$AW,$J310))</f>
        <v/>
      </c>
      <c r="J310" s="14" t="str">
        <f aca="false">IFERROR(_xlfn.AGGREGATE(15,6,ROW('Auto Process'!$D$4:$D$503)/('Auto Process'!$D$4:$D$503="Followup"),ROW()-1),"")</f>
        <v/>
      </c>
    </row>
    <row r="311" customFormat="false" ht="15" hidden="false" customHeight="true" outlineLevel="0" collapsed="false">
      <c r="A311" s="17" t="str">
        <f aca="false">IF($J311="","",INDEX('Auto Process'!$AP:$AP,$J311))</f>
        <v/>
      </c>
      <c r="B311" s="17" t="str">
        <f aca="false">IF($J311="","",INDEX('Auto Process'!$AQ:$AQ,$J311))</f>
        <v/>
      </c>
      <c r="C311" s="17" t="str">
        <f aca="false">IF($J311="","",INDEX('Auto Process'!$AR:$AR,$J311))</f>
        <v/>
      </c>
      <c r="D311" s="17" t="str">
        <f aca="false">IF($J311="","",INDEX('Auto Process'!$AS:$AS,$J311))</f>
        <v/>
      </c>
      <c r="E311" s="17" t="str">
        <f aca="false">IF($J311="","",INDEX('Auto Process'!$AT:$AT,$J311))</f>
        <v/>
      </c>
      <c r="F311" s="17" t="str">
        <f aca="false">IF($J311="","",INDEX('Auto Process'!$AU:$AU,$J311))</f>
        <v/>
      </c>
      <c r="G311" s="17" t="str">
        <f aca="false">IF($J311="","",INDEX('Auto Process'!$AV:$AV,$J311))</f>
        <v/>
      </c>
      <c r="H311" s="17" t="str">
        <f aca="false">IF($J311="","",INDEX('Auto Process'!$AW:$AW,$J311))</f>
        <v/>
      </c>
      <c r="J311" s="14" t="str">
        <f aca="false">IFERROR(_xlfn.AGGREGATE(15,6,ROW('Auto Process'!$D$4:$D$503)/('Auto Process'!$D$4:$D$503="Followup"),ROW()-1),"")</f>
        <v/>
      </c>
    </row>
    <row r="312" customFormat="false" ht="15" hidden="false" customHeight="true" outlineLevel="0" collapsed="false">
      <c r="A312" s="17" t="str">
        <f aca="false">IF($J312="","",INDEX('Auto Process'!$AP:$AP,$J312))</f>
        <v/>
      </c>
      <c r="B312" s="17" t="str">
        <f aca="false">IF($J312="","",INDEX('Auto Process'!$AQ:$AQ,$J312))</f>
        <v/>
      </c>
      <c r="C312" s="17" t="str">
        <f aca="false">IF($J312="","",INDEX('Auto Process'!$AR:$AR,$J312))</f>
        <v/>
      </c>
      <c r="D312" s="17" t="str">
        <f aca="false">IF($J312="","",INDEX('Auto Process'!$AS:$AS,$J312))</f>
        <v/>
      </c>
      <c r="E312" s="17" t="str">
        <f aca="false">IF($J312="","",INDEX('Auto Process'!$AT:$AT,$J312))</f>
        <v/>
      </c>
      <c r="F312" s="17" t="str">
        <f aca="false">IF($J312="","",INDEX('Auto Process'!$AU:$AU,$J312))</f>
        <v/>
      </c>
      <c r="G312" s="17" t="str">
        <f aca="false">IF($J312="","",INDEX('Auto Process'!$AV:$AV,$J312))</f>
        <v/>
      </c>
      <c r="H312" s="17" t="str">
        <f aca="false">IF($J312="","",INDEX('Auto Process'!$AW:$AW,$J312))</f>
        <v/>
      </c>
      <c r="J312" s="14" t="str">
        <f aca="false">IFERROR(_xlfn.AGGREGATE(15,6,ROW('Auto Process'!$D$4:$D$503)/('Auto Process'!$D$4:$D$503="Followup"),ROW()-1),"")</f>
        <v/>
      </c>
    </row>
    <row r="313" customFormat="false" ht="15" hidden="false" customHeight="true" outlineLevel="0" collapsed="false">
      <c r="A313" s="17" t="str">
        <f aca="false">IF($J313="","",INDEX('Auto Process'!$AP:$AP,$J313))</f>
        <v/>
      </c>
      <c r="B313" s="17" t="str">
        <f aca="false">IF($J313="","",INDEX('Auto Process'!$AQ:$AQ,$J313))</f>
        <v/>
      </c>
      <c r="C313" s="17" t="str">
        <f aca="false">IF($J313="","",INDEX('Auto Process'!$AR:$AR,$J313))</f>
        <v/>
      </c>
      <c r="D313" s="17" t="str">
        <f aca="false">IF($J313="","",INDEX('Auto Process'!$AS:$AS,$J313))</f>
        <v/>
      </c>
      <c r="E313" s="17" t="str">
        <f aca="false">IF($J313="","",INDEX('Auto Process'!$AT:$AT,$J313))</f>
        <v/>
      </c>
      <c r="F313" s="17" t="str">
        <f aca="false">IF($J313="","",INDEX('Auto Process'!$AU:$AU,$J313))</f>
        <v/>
      </c>
      <c r="G313" s="17" t="str">
        <f aca="false">IF($J313="","",INDEX('Auto Process'!$AV:$AV,$J313))</f>
        <v/>
      </c>
      <c r="H313" s="17" t="str">
        <f aca="false">IF($J313="","",INDEX('Auto Process'!$AW:$AW,$J313))</f>
        <v/>
      </c>
      <c r="J313" s="14" t="str">
        <f aca="false">IFERROR(_xlfn.AGGREGATE(15,6,ROW('Auto Process'!$D$4:$D$503)/('Auto Process'!$D$4:$D$503="Followup"),ROW()-1),"")</f>
        <v/>
      </c>
    </row>
    <row r="314" customFormat="false" ht="15" hidden="false" customHeight="true" outlineLevel="0" collapsed="false">
      <c r="A314" s="17" t="str">
        <f aca="false">IF($J314="","",INDEX('Auto Process'!$AP:$AP,$J314))</f>
        <v/>
      </c>
      <c r="B314" s="17" t="str">
        <f aca="false">IF($J314="","",INDEX('Auto Process'!$AQ:$AQ,$J314))</f>
        <v/>
      </c>
      <c r="C314" s="17" t="str">
        <f aca="false">IF($J314="","",INDEX('Auto Process'!$AR:$AR,$J314))</f>
        <v/>
      </c>
      <c r="D314" s="17" t="str">
        <f aca="false">IF($J314="","",INDEX('Auto Process'!$AS:$AS,$J314))</f>
        <v/>
      </c>
      <c r="E314" s="17" t="str">
        <f aca="false">IF($J314="","",INDEX('Auto Process'!$AT:$AT,$J314))</f>
        <v/>
      </c>
      <c r="F314" s="17" t="str">
        <f aca="false">IF($J314="","",INDEX('Auto Process'!$AU:$AU,$J314))</f>
        <v/>
      </c>
      <c r="G314" s="17" t="str">
        <f aca="false">IF($J314="","",INDEX('Auto Process'!$AV:$AV,$J314))</f>
        <v/>
      </c>
      <c r="H314" s="17" t="str">
        <f aca="false">IF($J314="","",INDEX('Auto Process'!$AW:$AW,$J314))</f>
        <v/>
      </c>
      <c r="J314" s="14" t="str">
        <f aca="false">IFERROR(_xlfn.AGGREGATE(15,6,ROW('Auto Process'!$D$4:$D$503)/('Auto Process'!$D$4:$D$503="Followup"),ROW()-1),"")</f>
        <v/>
      </c>
    </row>
    <row r="315" customFormat="false" ht="15" hidden="false" customHeight="true" outlineLevel="0" collapsed="false">
      <c r="A315" s="17" t="str">
        <f aca="false">IF($J315="","",INDEX('Auto Process'!$AP:$AP,$J315))</f>
        <v/>
      </c>
      <c r="B315" s="17" t="str">
        <f aca="false">IF($J315="","",INDEX('Auto Process'!$AQ:$AQ,$J315))</f>
        <v/>
      </c>
      <c r="C315" s="17" t="str">
        <f aca="false">IF($J315="","",INDEX('Auto Process'!$AR:$AR,$J315))</f>
        <v/>
      </c>
      <c r="D315" s="17" t="str">
        <f aca="false">IF($J315="","",INDEX('Auto Process'!$AS:$AS,$J315))</f>
        <v/>
      </c>
      <c r="E315" s="17" t="str">
        <f aca="false">IF($J315="","",INDEX('Auto Process'!$AT:$AT,$J315))</f>
        <v/>
      </c>
      <c r="F315" s="17" t="str">
        <f aca="false">IF($J315="","",INDEX('Auto Process'!$AU:$AU,$J315))</f>
        <v/>
      </c>
      <c r="G315" s="17" t="str">
        <f aca="false">IF($J315="","",INDEX('Auto Process'!$AV:$AV,$J315))</f>
        <v/>
      </c>
      <c r="H315" s="17" t="str">
        <f aca="false">IF($J315="","",INDEX('Auto Process'!$AW:$AW,$J315))</f>
        <v/>
      </c>
      <c r="J315" s="14" t="str">
        <f aca="false">IFERROR(_xlfn.AGGREGATE(15,6,ROW('Auto Process'!$D$4:$D$503)/('Auto Process'!$D$4:$D$503="Followup"),ROW()-1),"")</f>
        <v/>
      </c>
    </row>
    <row r="316" customFormat="false" ht="15" hidden="false" customHeight="true" outlineLevel="0" collapsed="false">
      <c r="A316" s="17" t="str">
        <f aca="false">IF($J316="","",INDEX('Auto Process'!$AP:$AP,$J316))</f>
        <v/>
      </c>
      <c r="B316" s="17" t="str">
        <f aca="false">IF($J316="","",INDEX('Auto Process'!$AQ:$AQ,$J316))</f>
        <v/>
      </c>
      <c r="C316" s="17" t="str">
        <f aca="false">IF($J316="","",INDEX('Auto Process'!$AR:$AR,$J316))</f>
        <v/>
      </c>
      <c r="D316" s="17" t="str">
        <f aca="false">IF($J316="","",INDEX('Auto Process'!$AS:$AS,$J316))</f>
        <v/>
      </c>
      <c r="E316" s="17" t="str">
        <f aca="false">IF($J316="","",INDEX('Auto Process'!$AT:$AT,$J316))</f>
        <v/>
      </c>
      <c r="F316" s="17" t="str">
        <f aca="false">IF($J316="","",INDEX('Auto Process'!$AU:$AU,$J316))</f>
        <v/>
      </c>
      <c r="G316" s="17" t="str">
        <f aca="false">IF($J316="","",INDEX('Auto Process'!$AV:$AV,$J316))</f>
        <v/>
      </c>
      <c r="H316" s="17" t="str">
        <f aca="false">IF($J316="","",INDEX('Auto Process'!$AW:$AW,$J316))</f>
        <v/>
      </c>
      <c r="J316" s="14" t="str">
        <f aca="false">IFERROR(_xlfn.AGGREGATE(15,6,ROW('Auto Process'!$D$4:$D$503)/('Auto Process'!$D$4:$D$503="Followup"),ROW()-1),"")</f>
        <v/>
      </c>
    </row>
    <row r="317" customFormat="false" ht="15" hidden="false" customHeight="true" outlineLevel="0" collapsed="false">
      <c r="A317" s="17" t="str">
        <f aca="false">IF($J317="","",INDEX('Auto Process'!$AP:$AP,$J317))</f>
        <v/>
      </c>
      <c r="B317" s="17" t="str">
        <f aca="false">IF($J317="","",INDEX('Auto Process'!$AQ:$AQ,$J317))</f>
        <v/>
      </c>
      <c r="C317" s="17" t="str">
        <f aca="false">IF($J317="","",INDEX('Auto Process'!$AR:$AR,$J317))</f>
        <v/>
      </c>
      <c r="D317" s="17" t="str">
        <f aca="false">IF($J317="","",INDEX('Auto Process'!$AS:$AS,$J317))</f>
        <v/>
      </c>
      <c r="E317" s="17" t="str">
        <f aca="false">IF($J317="","",INDEX('Auto Process'!$AT:$AT,$J317))</f>
        <v/>
      </c>
      <c r="F317" s="17" t="str">
        <f aca="false">IF($J317="","",INDEX('Auto Process'!$AU:$AU,$J317))</f>
        <v/>
      </c>
      <c r="G317" s="17" t="str">
        <f aca="false">IF($J317="","",INDEX('Auto Process'!$AV:$AV,$J317))</f>
        <v/>
      </c>
      <c r="H317" s="17" t="str">
        <f aca="false">IF($J317="","",INDEX('Auto Process'!$AW:$AW,$J317))</f>
        <v/>
      </c>
      <c r="J317" s="14" t="str">
        <f aca="false">IFERROR(_xlfn.AGGREGATE(15,6,ROW('Auto Process'!$D$4:$D$503)/('Auto Process'!$D$4:$D$503="Followup"),ROW()-1),"")</f>
        <v/>
      </c>
    </row>
    <row r="318" customFormat="false" ht="15" hidden="false" customHeight="true" outlineLevel="0" collapsed="false">
      <c r="A318" s="17" t="str">
        <f aca="false">IF($J318="","",INDEX('Auto Process'!$AP:$AP,$J318))</f>
        <v/>
      </c>
      <c r="B318" s="17" t="str">
        <f aca="false">IF($J318="","",INDEX('Auto Process'!$AQ:$AQ,$J318))</f>
        <v/>
      </c>
      <c r="C318" s="17" t="str">
        <f aca="false">IF($J318="","",INDEX('Auto Process'!$AR:$AR,$J318))</f>
        <v/>
      </c>
      <c r="D318" s="17" t="str">
        <f aca="false">IF($J318="","",INDEX('Auto Process'!$AS:$AS,$J318))</f>
        <v/>
      </c>
      <c r="E318" s="17" t="str">
        <f aca="false">IF($J318="","",INDEX('Auto Process'!$AT:$AT,$J318))</f>
        <v/>
      </c>
      <c r="F318" s="17" t="str">
        <f aca="false">IF($J318="","",INDEX('Auto Process'!$AU:$AU,$J318))</f>
        <v/>
      </c>
      <c r="G318" s="17" t="str">
        <f aca="false">IF($J318="","",INDEX('Auto Process'!$AV:$AV,$J318))</f>
        <v/>
      </c>
      <c r="H318" s="17" t="str">
        <f aca="false">IF($J318="","",INDEX('Auto Process'!$AW:$AW,$J318))</f>
        <v/>
      </c>
      <c r="J318" s="14" t="str">
        <f aca="false">IFERROR(_xlfn.AGGREGATE(15,6,ROW('Auto Process'!$D$4:$D$503)/('Auto Process'!$D$4:$D$503="Followup"),ROW()-1),"")</f>
        <v/>
      </c>
    </row>
    <row r="319" customFormat="false" ht="15" hidden="false" customHeight="true" outlineLevel="0" collapsed="false">
      <c r="A319" s="17" t="str">
        <f aca="false">IF($J319="","",INDEX('Auto Process'!$AP:$AP,$J319))</f>
        <v/>
      </c>
      <c r="B319" s="17" t="str">
        <f aca="false">IF($J319="","",INDEX('Auto Process'!$AQ:$AQ,$J319))</f>
        <v/>
      </c>
      <c r="C319" s="17" t="str">
        <f aca="false">IF($J319="","",INDEX('Auto Process'!$AR:$AR,$J319))</f>
        <v/>
      </c>
      <c r="D319" s="17" t="str">
        <f aca="false">IF($J319="","",INDEX('Auto Process'!$AS:$AS,$J319))</f>
        <v/>
      </c>
      <c r="E319" s="17" t="str">
        <f aca="false">IF($J319="","",INDEX('Auto Process'!$AT:$AT,$J319))</f>
        <v/>
      </c>
      <c r="F319" s="17" t="str">
        <f aca="false">IF($J319="","",INDEX('Auto Process'!$AU:$AU,$J319))</f>
        <v/>
      </c>
      <c r="G319" s="17" t="str">
        <f aca="false">IF($J319="","",INDEX('Auto Process'!$AV:$AV,$J319))</f>
        <v/>
      </c>
      <c r="H319" s="17" t="str">
        <f aca="false">IF($J319="","",INDEX('Auto Process'!$AW:$AW,$J319))</f>
        <v/>
      </c>
      <c r="J319" s="14" t="str">
        <f aca="false">IFERROR(_xlfn.AGGREGATE(15,6,ROW('Auto Process'!$D$4:$D$503)/('Auto Process'!$D$4:$D$503="Followup"),ROW()-1),"")</f>
        <v/>
      </c>
    </row>
    <row r="320" customFormat="false" ht="15" hidden="false" customHeight="true" outlineLevel="0" collapsed="false">
      <c r="A320" s="17" t="str">
        <f aca="false">IF($J320="","",INDEX('Auto Process'!$AP:$AP,$J320))</f>
        <v/>
      </c>
      <c r="B320" s="17" t="str">
        <f aca="false">IF($J320="","",INDEX('Auto Process'!$AQ:$AQ,$J320))</f>
        <v/>
      </c>
      <c r="C320" s="17" t="str">
        <f aca="false">IF($J320="","",INDEX('Auto Process'!$AR:$AR,$J320))</f>
        <v/>
      </c>
      <c r="D320" s="17" t="str">
        <f aca="false">IF($J320="","",INDEX('Auto Process'!$AS:$AS,$J320))</f>
        <v/>
      </c>
      <c r="E320" s="17" t="str">
        <f aca="false">IF($J320="","",INDEX('Auto Process'!$AT:$AT,$J320))</f>
        <v/>
      </c>
      <c r="F320" s="17" t="str">
        <f aca="false">IF($J320="","",INDEX('Auto Process'!$AU:$AU,$J320))</f>
        <v/>
      </c>
      <c r="G320" s="17" t="str">
        <f aca="false">IF($J320="","",INDEX('Auto Process'!$AV:$AV,$J320))</f>
        <v/>
      </c>
      <c r="H320" s="17" t="str">
        <f aca="false">IF($J320="","",INDEX('Auto Process'!$AW:$AW,$J320))</f>
        <v/>
      </c>
      <c r="J320" s="14" t="str">
        <f aca="false">IFERROR(_xlfn.AGGREGATE(15,6,ROW('Auto Process'!$D$4:$D$503)/('Auto Process'!$D$4:$D$503="Followup"),ROW()-1),"")</f>
        <v/>
      </c>
    </row>
    <row r="321" customFormat="false" ht="15" hidden="false" customHeight="true" outlineLevel="0" collapsed="false">
      <c r="A321" s="17" t="str">
        <f aca="false">IF($J321="","",INDEX('Auto Process'!$AP:$AP,$J321))</f>
        <v/>
      </c>
      <c r="B321" s="17" t="str">
        <f aca="false">IF($J321="","",INDEX('Auto Process'!$AQ:$AQ,$J321))</f>
        <v/>
      </c>
      <c r="C321" s="17" t="str">
        <f aca="false">IF($J321="","",INDEX('Auto Process'!$AR:$AR,$J321))</f>
        <v/>
      </c>
      <c r="D321" s="17" t="str">
        <f aca="false">IF($J321="","",INDEX('Auto Process'!$AS:$AS,$J321))</f>
        <v/>
      </c>
      <c r="E321" s="17" t="str">
        <f aca="false">IF($J321="","",INDEX('Auto Process'!$AT:$AT,$J321))</f>
        <v/>
      </c>
      <c r="F321" s="17" t="str">
        <f aca="false">IF($J321="","",INDEX('Auto Process'!$AU:$AU,$J321))</f>
        <v/>
      </c>
      <c r="G321" s="17" t="str">
        <f aca="false">IF($J321="","",INDEX('Auto Process'!$AV:$AV,$J321))</f>
        <v/>
      </c>
      <c r="H321" s="17" t="str">
        <f aca="false">IF($J321="","",INDEX('Auto Process'!$AW:$AW,$J321))</f>
        <v/>
      </c>
      <c r="J321" s="14" t="str">
        <f aca="false">IFERROR(_xlfn.AGGREGATE(15,6,ROW('Auto Process'!$D$4:$D$503)/('Auto Process'!$D$4:$D$503="Followup"),ROW()-1),"")</f>
        <v/>
      </c>
    </row>
    <row r="322" customFormat="false" ht="15" hidden="false" customHeight="true" outlineLevel="0" collapsed="false">
      <c r="A322" s="17" t="str">
        <f aca="false">IF($J322="","",INDEX('Auto Process'!$AP:$AP,$J322))</f>
        <v/>
      </c>
      <c r="B322" s="17" t="str">
        <f aca="false">IF($J322="","",INDEX('Auto Process'!$AQ:$AQ,$J322))</f>
        <v/>
      </c>
      <c r="C322" s="17" t="str">
        <f aca="false">IF($J322="","",INDEX('Auto Process'!$AR:$AR,$J322))</f>
        <v/>
      </c>
      <c r="D322" s="17" t="str">
        <f aca="false">IF($J322="","",INDEX('Auto Process'!$AS:$AS,$J322))</f>
        <v/>
      </c>
      <c r="E322" s="17" t="str">
        <f aca="false">IF($J322="","",INDEX('Auto Process'!$AT:$AT,$J322))</f>
        <v/>
      </c>
      <c r="F322" s="17" t="str">
        <f aca="false">IF($J322="","",INDEX('Auto Process'!$AU:$AU,$J322))</f>
        <v/>
      </c>
      <c r="G322" s="17" t="str">
        <f aca="false">IF($J322="","",INDEX('Auto Process'!$AV:$AV,$J322))</f>
        <v/>
      </c>
      <c r="H322" s="17" t="str">
        <f aca="false">IF($J322="","",INDEX('Auto Process'!$AW:$AW,$J322))</f>
        <v/>
      </c>
      <c r="J322" s="14" t="str">
        <f aca="false">IFERROR(_xlfn.AGGREGATE(15,6,ROW('Auto Process'!$D$4:$D$503)/('Auto Process'!$D$4:$D$503="Followup"),ROW()-1),"")</f>
        <v/>
      </c>
    </row>
    <row r="323" customFormat="false" ht="15" hidden="false" customHeight="true" outlineLevel="0" collapsed="false">
      <c r="A323" s="17" t="str">
        <f aca="false">IF($J323="","",INDEX('Auto Process'!$AP:$AP,$J323))</f>
        <v/>
      </c>
      <c r="B323" s="17" t="str">
        <f aca="false">IF($J323="","",INDEX('Auto Process'!$AQ:$AQ,$J323))</f>
        <v/>
      </c>
      <c r="C323" s="17" t="str">
        <f aca="false">IF($J323="","",INDEX('Auto Process'!$AR:$AR,$J323))</f>
        <v/>
      </c>
      <c r="D323" s="17" t="str">
        <f aca="false">IF($J323="","",INDEX('Auto Process'!$AS:$AS,$J323))</f>
        <v/>
      </c>
      <c r="E323" s="17" t="str">
        <f aca="false">IF($J323="","",INDEX('Auto Process'!$AT:$AT,$J323))</f>
        <v/>
      </c>
      <c r="F323" s="17" t="str">
        <f aca="false">IF($J323="","",INDEX('Auto Process'!$AU:$AU,$J323))</f>
        <v/>
      </c>
      <c r="G323" s="17" t="str">
        <f aca="false">IF($J323="","",INDEX('Auto Process'!$AV:$AV,$J323))</f>
        <v/>
      </c>
      <c r="H323" s="17" t="str">
        <f aca="false">IF($J323="","",INDEX('Auto Process'!$AW:$AW,$J323))</f>
        <v/>
      </c>
      <c r="J323" s="14" t="str">
        <f aca="false">IFERROR(_xlfn.AGGREGATE(15,6,ROW('Auto Process'!$D$4:$D$503)/('Auto Process'!$D$4:$D$503="Followup"),ROW()-1),"")</f>
        <v/>
      </c>
    </row>
    <row r="324" customFormat="false" ht="15" hidden="false" customHeight="true" outlineLevel="0" collapsed="false">
      <c r="A324" s="17" t="str">
        <f aca="false">IF($J324="","",INDEX('Auto Process'!$AP:$AP,$J324))</f>
        <v/>
      </c>
      <c r="B324" s="17" t="str">
        <f aca="false">IF($J324="","",INDEX('Auto Process'!$AQ:$AQ,$J324))</f>
        <v/>
      </c>
      <c r="C324" s="17" t="str">
        <f aca="false">IF($J324="","",INDEX('Auto Process'!$AR:$AR,$J324))</f>
        <v/>
      </c>
      <c r="D324" s="17" t="str">
        <f aca="false">IF($J324="","",INDEX('Auto Process'!$AS:$AS,$J324))</f>
        <v/>
      </c>
      <c r="E324" s="17" t="str">
        <f aca="false">IF($J324="","",INDEX('Auto Process'!$AT:$AT,$J324))</f>
        <v/>
      </c>
      <c r="F324" s="17" t="str">
        <f aca="false">IF($J324="","",INDEX('Auto Process'!$AU:$AU,$J324))</f>
        <v/>
      </c>
      <c r="G324" s="17" t="str">
        <f aca="false">IF($J324="","",INDEX('Auto Process'!$AV:$AV,$J324))</f>
        <v/>
      </c>
      <c r="H324" s="17" t="str">
        <f aca="false">IF($J324="","",INDEX('Auto Process'!$AW:$AW,$J324))</f>
        <v/>
      </c>
      <c r="J324" s="14" t="str">
        <f aca="false">IFERROR(_xlfn.AGGREGATE(15,6,ROW('Auto Process'!$D$4:$D$503)/('Auto Process'!$D$4:$D$503="Followup"),ROW()-1),"")</f>
        <v/>
      </c>
    </row>
    <row r="325" customFormat="false" ht="15" hidden="false" customHeight="true" outlineLevel="0" collapsed="false">
      <c r="A325" s="17" t="str">
        <f aca="false">IF($J325="","",INDEX('Auto Process'!$AP:$AP,$J325))</f>
        <v/>
      </c>
      <c r="B325" s="17" t="str">
        <f aca="false">IF($J325="","",INDEX('Auto Process'!$AQ:$AQ,$J325))</f>
        <v/>
      </c>
      <c r="C325" s="17" t="str">
        <f aca="false">IF($J325="","",INDEX('Auto Process'!$AR:$AR,$J325))</f>
        <v/>
      </c>
      <c r="D325" s="17" t="str">
        <f aca="false">IF($J325="","",INDEX('Auto Process'!$AS:$AS,$J325))</f>
        <v/>
      </c>
      <c r="E325" s="17" t="str">
        <f aca="false">IF($J325="","",INDEX('Auto Process'!$AT:$AT,$J325))</f>
        <v/>
      </c>
      <c r="F325" s="17" t="str">
        <f aca="false">IF($J325="","",INDEX('Auto Process'!$AU:$AU,$J325))</f>
        <v/>
      </c>
      <c r="G325" s="17" t="str">
        <f aca="false">IF($J325="","",INDEX('Auto Process'!$AV:$AV,$J325))</f>
        <v/>
      </c>
      <c r="H325" s="17" t="str">
        <f aca="false">IF($J325="","",INDEX('Auto Process'!$AW:$AW,$J325))</f>
        <v/>
      </c>
      <c r="J325" s="14" t="str">
        <f aca="false">IFERROR(_xlfn.AGGREGATE(15,6,ROW('Auto Process'!$D$4:$D$503)/('Auto Process'!$D$4:$D$503="Followup"),ROW()-1),"")</f>
        <v/>
      </c>
    </row>
    <row r="326" customFormat="false" ht="15" hidden="false" customHeight="true" outlineLevel="0" collapsed="false">
      <c r="A326" s="17" t="str">
        <f aca="false">IF($J326="","",INDEX('Auto Process'!$AP:$AP,$J326))</f>
        <v/>
      </c>
      <c r="B326" s="17" t="str">
        <f aca="false">IF($J326="","",INDEX('Auto Process'!$AQ:$AQ,$J326))</f>
        <v/>
      </c>
      <c r="C326" s="17" t="str">
        <f aca="false">IF($J326="","",INDEX('Auto Process'!$AR:$AR,$J326))</f>
        <v/>
      </c>
      <c r="D326" s="17" t="str">
        <f aca="false">IF($J326="","",INDEX('Auto Process'!$AS:$AS,$J326))</f>
        <v/>
      </c>
      <c r="E326" s="17" t="str">
        <f aca="false">IF($J326="","",INDEX('Auto Process'!$AT:$AT,$J326))</f>
        <v/>
      </c>
      <c r="F326" s="17" t="str">
        <f aca="false">IF($J326="","",INDEX('Auto Process'!$AU:$AU,$J326))</f>
        <v/>
      </c>
      <c r="G326" s="17" t="str">
        <f aca="false">IF($J326="","",INDEX('Auto Process'!$AV:$AV,$J326))</f>
        <v/>
      </c>
      <c r="H326" s="17" t="str">
        <f aca="false">IF($J326="","",INDEX('Auto Process'!$AW:$AW,$J326))</f>
        <v/>
      </c>
      <c r="J326" s="14" t="str">
        <f aca="false">IFERROR(_xlfn.AGGREGATE(15,6,ROW('Auto Process'!$D$4:$D$503)/('Auto Process'!$D$4:$D$503="Followup"),ROW()-1),"")</f>
        <v/>
      </c>
    </row>
    <row r="327" customFormat="false" ht="15" hidden="false" customHeight="true" outlineLevel="0" collapsed="false">
      <c r="A327" s="17" t="str">
        <f aca="false">IF($J327="","",INDEX('Auto Process'!$AP:$AP,$J327))</f>
        <v/>
      </c>
      <c r="B327" s="17" t="str">
        <f aca="false">IF($J327="","",INDEX('Auto Process'!$AQ:$AQ,$J327))</f>
        <v/>
      </c>
      <c r="C327" s="17" t="str">
        <f aca="false">IF($J327="","",INDEX('Auto Process'!$AR:$AR,$J327))</f>
        <v/>
      </c>
      <c r="D327" s="17" t="str">
        <f aca="false">IF($J327="","",INDEX('Auto Process'!$AS:$AS,$J327))</f>
        <v/>
      </c>
      <c r="E327" s="17" t="str">
        <f aca="false">IF($J327="","",INDEX('Auto Process'!$AT:$AT,$J327))</f>
        <v/>
      </c>
      <c r="F327" s="17" t="str">
        <f aca="false">IF($J327="","",INDEX('Auto Process'!$AU:$AU,$J327))</f>
        <v/>
      </c>
      <c r="G327" s="17" t="str">
        <f aca="false">IF($J327="","",INDEX('Auto Process'!$AV:$AV,$J327))</f>
        <v/>
      </c>
      <c r="H327" s="17" t="str">
        <f aca="false">IF($J327="","",INDEX('Auto Process'!$AW:$AW,$J327))</f>
        <v/>
      </c>
      <c r="J327" s="14" t="str">
        <f aca="false">IFERROR(_xlfn.AGGREGATE(15,6,ROW('Auto Process'!$D$4:$D$503)/('Auto Process'!$D$4:$D$503="Followup"),ROW()-1),"")</f>
        <v/>
      </c>
    </row>
    <row r="328" customFormat="false" ht="15" hidden="false" customHeight="true" outlineLevel="0" collapsed="false">
      <c r="A328" s="17" t="str">
        <f aca="false">IF($J328="","",INDEX('Auto Process'!$AP:$AP,$J328))</f>
        <v/>
      </c>
      <c r="B328" s="17" t="str">
        <f aca="false">IF($J328="","",INDEX('Auto Process'!$AQ:$AQ,$J328))</f>
        <v/>
      </c>
      <c r="C328" s="17" t="str">
        <f aca="false">IF($J328="","",INDEX('Auto Process'!$AR:$AR,$J328))</f>
        <v/>
      </c>
      <c r="D328" s="17" t="str">
        <f aca="false">IF($J328="","",INDEX('Auto Process'!$AS:$AS,$J328))</f>
        <v/>
      </c>
      <c r="E328" s="17" t="str">
        <f aca="false">IF($J328="","",INDEX('Auto Process'!$AT:$AT,$J328))</f>
        <v/>
      </c>
      <c r="F328" s="17" t="str">
        <f aca="false">IF($J328="","",INDEX('Auto Process'!$AU:$AU,$J328))</f>
        <v/>
      </c>
      <c r="G328" s="17" t="str">
        <f aca="false">IF($J328="","",INDEX('Auto Process'!$AV:$AV,$J328))</f>
        <v/>
      </c>
      <c r="H328" s="17" t="str">
        <f aca="false">IF($J328="","",INDEX('Auto Process'!$AW:$AW,$J328))</f>
        <v/>
      </c>
      <c r="J328" s="14" t="str">
        <f aca="false">IFERROR(_xlfn.AGGREGATE(15,6,ROW('Auto Process'!$D$4:$D$503)/('Auto Process'!$D$4:$D$503="Followup"),ROW()-1),"")</f>
        <v/>
      </c>
    </row>
    <row r="329" customFormat="false" ht="15" hidden="false" customHeight="true" outlineLevel="0" collapsed="false">
      <c r="A329" s="17" t="str">
        <f aca="false">IF($J329="","",INDEX('Auto Process'!$AP:$AP,$J329))</f>
        <v/>
      </c>
      <c r="B329" s="17" t="str">
        <f aca="false">IF($J329="","",INDEX('Auto Process'!$AQ:$AQ,$J329))</f>
        <v/>
      </c>
      <c r="C329" s="17" t="str">
        <f aca="false">IF($J329="","",INDEX('Auto Process'!$AR:$AR,$J329))</f>
        <v/>
      </c>
      <c r="D329" s="17" t="str">
        <f aca="false">IF($J329="","",INDEX('Auto Process'!$AS:$AS,$J329))</f>
        <v/>
      </c>
      <c r="E329" s="17" t="str">
        <f aca="false">IF($J329="","",INDEX('Auto Process'!$AT:$AT,$J329))</f>
        <v/>
      </c>
      <c r="F329" s="17" t="str">
        <f aca="false">IF($J329="","",INDEX('Auto Process'!$AU:$AU,$J329))</f>
        <v/>
      </c>
      <c r="G329" s="17" t="str">
        <f aca="false">IF($J329="","",INDEX('Auto Process'!$AV:$AV,$J329))</f>
        <v/>
      </c>
      <c r="H329" s="17" t="str">
        <f aca="false">IF($J329="","",INDEX('Auto Process'!$AW:$AW,$J329))</f>
        <v/>
      </c>
      <c r="J329" s="14" t="str">
        <f aca="false">IFERROR(_xlfn.AGGREGATE(15,6,ROW('Auto Process'!$D$4:$D$503)/('Auto Process'!$D$4:$D$503="Followup"),ROW()-1),"")</f>
        <v/>
      </c>
    </row>
    <row r="330" customFormat="false" ht="15" hidden="false" customHeight="true" outlineLevel="0" collapsed="false">
      <c r="A330" s="17" t="str">
        <f aca="false">IF($J330="","",INDEX('Auto Process'!$AP:$AP,$J330))</f>
        <v/>
      </c>
      <c r="B330" s="17" t="str">
        <f aca="false">IF($J330="","",INDEX('Auto Process'!$AQ:$AQ,$J330))</f>
        <v/>
      </c>
      <c r="C330" s="17" t="str">
        <f aca="false">IF($J330="","",INDEX('Auto Process'!$AR:$AR,$J330))</f>
        <v/>
      </c>
      <c r="D330" s="17" t="str">
        <f aca="false">IF($J330="","",INDEX('Auto Process'!$AS:$AS,$J330))</f>
        <v/>
      </c>
      <c r="E330" s="17" t="str">
        <f aca="false">IF($J330="","",INDEX('Auto Process'!$AT:$AT,$J330))</f>
        <v/>
      </c>
      <c r="F330" s="17" t="str">
        <f aca="false">IF($J330="","",INDEX('Auto Process'!$AU:$AU,$J330))</f>
        <v/>
      </c>
      <c r="G330" s="17" t="str">
        <f aca="false">IF($J330="","",INDEX('Auto Process'!$AV:$AV,$J330))</f>
        <v/>
      </c>
      <c r="H330" s="17" t="str">
        <f aca="false">IF($J330="","",INDEX('Auto Process'!$AW:$AW,$J330))</f>
        <v/>
      </c>
      <c r="J330" s="14" t="str">
        <f aca="false">IFERROR(_xlfn.AGGREGATE(15,6,ROW('Auto Process'!$D$4:$D$503)/('Auto Process'!$D$4:$D$503="Followup"),ROW()-1),"")</f>
        <v/>
      </c>
    </row>
    <row r="331" customFormat="false" ht="15" hidden="false" customHeight="true" outlineLevel="0" collapsed="false">
      <c r="A331" s="17" t="str">
        <f aca="false">IF($J331="","",INDEX('Auto Process'!$AP:$AP,$J331))</f>
        <v/>
      </c>
      <c r="B331" s="17" t="str">
        <f aca="false">IF($J331="","",INDEX('Auto Process'!$AQ:$AQ,$J331))</f>
        <v/>
      </c>
      <c r="C331" s="17" t="str">
        <f aca="false">IF($J331="","",INDEX('Auto Process'!$AR:$AR,$J331))</f>
        <v/>
      </c>
      <c r="D331" s="17" t="str">
        <f aca="false">IF($J331="","",INDEX('Auto Process'!$AS:$AS,$J331))</f>
        <v/>
      </c>
      <c r="E331" s="17" t="str">
        <f aca="false">IF($J331="","",INDEX('Auto Process'!$AT:$AT,$J331))</f>
        <v/>
      </c>
      <c r="F331" s="17" t="str">
        <f aca="false">IF($J331="","",INDEX('Auto Process'!$AU:$AU,$J331))</f>
        <v/>
      </c>
      <c r="G331" s="17" t="str">
        <f aca="false">IF($J331="","",INDEX('Auto Process'!$AV:$AV,$J331))</f>
        <v/>
      </c>
      <c r="H331" s="17" t="str">
        <f aca="false">IF($J331="","",INDEX('Auto Process'!$AW:$AW,$J331))</f>
        <v/>
      </c>
      <c r="J331" s="14" t="str">
        <f aca="false">IFERROR(_xlfn.AGGREGATE(15,6,ROW('Auto Process'!$D$4:$D$503)/('Auto Process'!$D$4:$D$503="Followup"),ROW()-1),"")</f>
        <v/>
      </c>
    </row>
    <row r="332" customFormat="false" ht="15" hidden="false" customHeight="true" outlineLevel="0" collapsed="false">
      <c r="A332" s="17" t="str">
        <f aca="false">IF($J332="","",INDEX('Auto Process'!$AP:$AP,$J332))</f>
        <v/>
      </c>
      <c r="B332" s="17" t="str">
        <f aca="false">IF($J332="","",INDEX('Auto Process'!$AQ:$AQ,$J332))</f>
        <v/>
      </c>
      <c r="C332" s="17" t="str">
        <f aca="false">IF($J332="","",INDEX('Auto Process'!$AR:$AR,$J332))</f>
        <v/>
      </c>
      <c r="D332" s="17" t="str">
        <f aca="false">IF($J332="","",INDEX('Auto Process'!$AS:$AS,$J332))</f>
        <v/>
      </c>
      <c r="E332" s="17" t="str">
        <f aca="false">IF($J332="","",INDEX('Auto Process'!$AT:$AT,$J332))</f>
        <v/>
      </c>
      <c r="F332" s="17" t="str">
        <f aca="false">IF($J332="","",INDEX('Auto Process'!$AU:$AU,$J332))</f>
        <v/>
      </c>
      <c r="G332" s="17" t="str">
        <f aca="false">IF($J332="","",INDEX('Auto Process'!$AV:$AV,$J332))</f>
        <v/>
      </c>
      <c r="H332" s="17" t="str">
        <f aca="false">IF($J332="","",INDEX('Auto Process'!$AW:$AW,$J332))</f>
        <v/>
      </c>
      <c r="J332" s="14" t="str">
        <f aca="false">IFERROR(_xlfn.AGGREGATE(15,6,ROW('Auto Process'!$D$4:$D$503)/('Auto Process'!$D$4:$D$503="Followup"),ROW()-1),"")</f>
        <v/>
      </c>
    </row>
    <row r="333" customFormat="false" ht="15" hidden="false" customHeight="true" outlineLevel="0" collapsed="false">
      <c r="A333" s="17" t="str">
        <f aca="false">IF($J333="","",INDEX('Auto Process'!$AP:$AP,$J333))</f>
        <v/>
      </c>
      <c r="B333" s="17" t="str">
        <f aca="false">IF($J333="","",INDEX('Auto Process'!$AQ:$AQ,$J333))</f>
        <v/>
      </c>
      <c r="C333" s="17" t="str">
        <f aca="false">IF($J333="","",INDEX('Auto Process'!$AR:$AR,$J333))</f>
        <v/>
      </c>
      <c r="D333" s="17" t="str">
        <f aca="false">IF($J333="","",INDEX('Auto Process'!$AS:$AS,$J333))</f>
        <v/>
      </c>
      <c r="E333" s="17" t="str">
        <f aca="false">IF($J333="","",INDEX('Auto Process'!$AT:$AT,$J333))</f>
        <v/>
      </c>
      <c r="F333" s="17" t="str">
        <f aca="false">IF($J333="","",INDEX('Auto Process'!$AU:$AU,$J333))</f>
        <v/>
      </c>
      <c r="G333" s="17" t="str">
        <f aca="false">IF($J333="","",INDEX('Auto Process'!$AV:$AV,$J333))</f>
        <v/>
      </c>
      <c r="H333" s="17" t="str">
        <f aca="false">IF($J333="","",INDEX('Auto Process'!$AW:$AW,$J333))</f>
        <v/>
      </c>
      <c r="J333" s="14" t="str">
        <f aca="false">IFERROR(_xlfn.AGGREGATE(15,6,ROW('Auto Process'!$D$4:$D$503)/('Auto Process'!$D$4:$D$503="Followup"),ROW()-1),"")</f>
        <v/>
      </c>
    </row>
    <row r="334" customFormat="false" ht="15" hidden="false" customHeight="true" outlineLevel="0" collapsed="false">
      <c r="A334" s="17" t="str">
        <f aca="false">IF($J334="","",INDEX('Auto Process'!$AP:$AP,$J334))</f>
        <v/>
      </c>
      <c r="B334" s="17" t="str">
        <f aca="false">IF($J334="","",INDEX('Auto Process'!$AQ:$AQ,$J334))</f>
        <v/>
      </c>
      <c r="C334" s="17" t="str">
        <f aca="false">IF($J334="","",INDEX('Auto Process'!$AR:$AR,$J334))</f>
        <v/>
      </c>
      <c r="D334" s="17" t="str">
        <f aca="false">IF($J334="","",INDEX('Auto Process'!$AS:$AS,$J334))</f>
        <v/>
      </c>
      <c r="E334" s="17" t="str">
        <f aca="false">IF($J334="","",INDEX('Auto Process'!$AT:$AT,$J334))</f>
        <v/>
      </c>
      <c r="F334" s="17" t="str">
        <f aca="false">IF($J334="","",INDEX('Auto Process'!$AU:$AU,$J334))</f>
        <v/>
      </c>
      <c r="G334" s="17" t="str">
        <f aca="false">IF($J334="","",INDEX('Auto Process'!$AV:$AV,$J334))</f>
        <v/>
      </c>
      <c r="H334" s="17" t="str">
        <f aca="false">IF($J334="","",INDEX('Auto Process'!$AW:$AW,$J334))</f>
        <v/>
      </c>
      <c r="J334" s="14" t="str">
        <f aca="false">IFERROR(_xlfn.AGGREGATE(15,6,ROW('Auto Process'!$D$4:$D$503)/('Auto Process'!$D$4:$D$503="Followup"),ROW()-1),"")</f>
        <v/>
      </c>
    </row>
    <row r="335" customFormat="false" ht="15" hidden="false" customHeight="true" outlineLevel="0" collapsed="false">
      <c r="A335" s="17" t="str">
        <f aca="false">IF($J335="","",INDEX('Auto Process'!$AP:$AP,$J335))</f>
        <v/>
      </c>
      <c r="B335" s="17" t="str">
        <f aca="false">IF($J335="","",INDEX('Auto Process'!$AQ:$AQ,$J335))</f>
        <v/>
      </c>
      <c r="C335" s="17" t="str">
        <f aca="false">IF($J335="","",INDEX('Auto Process'!$AR:$AR,$J335))</f>
        <v/>
      </c>
      <c r="D335" s="17" t="str">
        <f aca="false">IF($J335="","",INDEX('Auto Process'!$AS:$AS,$J335))</f>
        <v/>
      </c>
      <c r="E335" s="17" t="str">
        <f aca="false">IF($J335="","",INDEX('Auto Process'!$AT:$AT,$J335))</f>
        <v/>
      </c>
      <c r="F335" s="17" t="str">
        <f aca="false">IF($J335="","",INDEX('Auto Process'!$AU:$AU,$J335))</f>
        <v/>
      </c>
      <c r="G335" s="17" t="str">
        <f aca="false">IF($J335="","",INDEX('Auto Process'!$AV:$AV,$J335))</f>
        <v/>
      </c>
      <c r="H335" s="17" t="str">
        <f aca="false">IF($J335="","",INDEX('Auto Process'!$AW:$AW,$J335))</f>
        <v/>
      </c>
      <c r="J335" s="14" t="str">
        <f aca="false">IFERROR(_xlfn.AGGREGATE(15,6,ROW('Auto Process'!$D$4:$D$503)/('Auto Process'!$D$4:$D$503="Followup"),ROW()-1),"")</f>
        <v/>
      </c>
    </row>
    <row r="336" customFormat="false" ht="15" hidden="false" customHeight="true" outlineLevel="0" collapsed="false">
      <c r="A336" s="17" t="str">
        <f aca="false">IF($J336="","",INDEX('Auto Process'!$AP:$AP,$J336))</f>
        <v/>
      </c>
      <c r="B336" s="17" t="str">
        <f aca="false">IF($J336="","",INDEX('Auto Process'!$AQ:$AQ,$J336))</f>
        <v/>
      </c>
      <c r="C336" s="17" t="str">
        <f aca="false">IF($J336="","",INDEX('Auto Process'!$AR:$AR,$J336))</f>
        <v/>
      </c>
      <c r="D336" s="17" t="str">
        <f aca="false">IF($J336="","",INDEX('Auto Process'!$AS:$AS,$J336))</f>
        <v/>
      </c>
      <c r="E336" s="17" t="str">
        <f aca="false">IF($J336="","",INDEX('Auto Process'!$AT:$AT,$J336))</f>
        <v/>
      </c>
      <c r="F336" s="17" t="str">
        <f aca="false">IF($J336="","",INDEX('Auto Process'!$AU:$AU,$J336))</f>
        <v/>
      </c>
      <c r="G336" s="17" t="str">
        <f aca="false">IF($J336="","",INDEX('Auto Process'!$AV:$AV,$J336))</f>
        <v/>
      </c>
      <c r="H336" s="17" t="str">
        <f aca="false">IF($J336="","",INDEX('Auto Process'!$AW:$AW,$J336))</f>
        <v/>
      </c>
      <c r="J336" s="14" t="str">
        <f aca="false">IFERROR(_xlfn.AGGREGATE(15,6,ROW('Auto Process'!$D$4:$D$503)/('Auto Process'!$D$4:$D$503="Followup"),ROW()-1),"")</f>
        <v/>
      </c>
    </row>
    <row r="337" customFormat="false" ht="15" hidden="false" customHeight="true" outlineLevel="0" collapsed="false">
      <c r="A337" s="17" t="str">
        <f aca="false">IF($J337="","",INDEX('Auto Process'!$AP:$AP,$J337))</f>
        <v/>
      </c>
      <c r="B337" s="17" t="str">
        <f aca="false">IF($J337="","",INDEX('Auto Process'!$AQ:$AQ,$J337))</f>
        <v/>
      </c>
      <c r="C337" s="17" t="str">
        <f aca="false">IF($J337="","",INDEX('Auto Process'!$AR:$AR,$J337))</f>
        <v/>
      </c>
      <c r="D337" s="17" t="str">
        <f aca="false">IF($J337="","",INDEX('Auto Process'!$AS:$AS,$J337))</f>
        <v/>
      </c>
      <c r="E337" s="17" t="str">
        <f aca="false">IF($J337="","",INDEX('Auto Process'!$AT:$AT,$J337))</f>
        <v/>
      </c>
      <c r="F337" s="17" t="str">
        <f aca="false">IF($J337="","",INDEX('Auto Process'!$AU:$AU,$J337))</f>
        <v/>
      </c>
      <c r="G337" s="17" t="str">
        <f aca="false">IF($J337="","",INDEX('Auto Process'!$AV:$AV,$J337))</f>
        <v/>
      </c>
      <c r="H337" s="17" t="str">
        <f aca="false">IF($J337="","",INDEX('Auto Process'!$AW:$AW,$J337))</f>
        <v/>
      </c>
      <c r="J337" s="14" t="str">
        <f aca="false">IFERROR(_xlfn.AGGREGATE(15,6,ROW('Auto Process'!$D$4:$D$503)/('Auto Process'!$D$4:$D$503="Followup"),ROW()-1),"")</f>
        <v/>
      </c>
    </row>
    <row r="338" customFormat="false" ht="15" hidden="false" customHeight="true" outlineLevel="0" collapsed="false">
      <c r="A338" s="17" t="str">
        <f aca="false">IF($J338="","",INDEX('Auto Process'!$AP:$AP,$J338))</f>
        <v/>
      </c>
      <c r="B338" s="17" t="str">
        <f aca="false">IF($J338="","",INDEX('Auto Process'!$AQ:$AQ,$J338))</f>
        <v/>
      </c>
      <c r="C338" s="17" t="str">
        <f aca="false">IF($J338="","",INDEX('Auto Process'!$AR:$AR,$J338))</f>
        <v/>
      </c>
      <c r="D338" s="17" t="str">
        <f aca="false">IF($J338="","",INDEX('Auto Process'!$AS:$AS,$J338))</f>
        <v/>
      </c>
      <c r="E338" s="17" t="str">
        <f aca="false">IF($J338="","",INDEX('Auto Process'!$AT:$AT,$J338))</f>
        <v/>
      </c>
      <c r="F338" s="17" t="str">
        <f aca="false">IF($J338="","",INDEX('Auto Process'!$AU:$AU,$J338))</f>
        <v/>
      </c>
      <c r="G338" s="17" t="str">
        <f aca="false">IF($J338="","",INDEX('Auto Process'!$AV:$AV,$J338))</f>
        <v/>
      </c>
      <c r="H338" s="17" t="str">
        <f aca="false">IF($J338="","",INDEX('Auto Process'!$AW:$AW,$J338))</f>
        <v/>
      </c>
      <c r="J338" s="14" t="str">
        <f aca="false">IFERROR(_xlfn.AGGREGATE(15,6,ROW('Auto Process'!$D$4:$D$503)/('Auto Process'!$D$4:$D$503="Followup"),ROW()-1),"")</f>
        <v/>
      </c>
    </row>
    <row r="339" customFormat="false" ht="15" hidden="false" customHeight="true" outlineLevel="0" collapsed="false">
      <c r="A339" s="17" t="str">
        <f aca="false">IF($J339="","",INDEX('Auto Process'!$AP:$AP,$J339))</f>
        <v/>
      </c>
      <c r="B339" s="17" t="str">
        <f aca="false">IF($J339="","",INDEX('Auto Process'!$AQ:$AQ,$J339))</f>
        <v/>
      </c>
      <c r="C339" s="17" t="str">
        <f aca="false">IF($J339="","",INDEX('Auto Process'!$AR:$AR,$J339))</f>
        <v/>
      </c>
      <c r="D339" s="17" t="str">
        <f aca="false">IF($J339="","",INDEX('Auto Process'!$AS:$AS,$J339))</f>
        <v/>
      </c>
      <c r="E339" s="17" t="str">
        <f aca="false">IF($J339="","",INDEX('Auto Process'!$AT:$AT,$J339))</f>
        <v/>
      </c>
      <c r="F339" s="17" t="str">
        <f aca="false">IF($J339="","",INDEX('Auto Process'!$AU:$AU,$J339))</f>
        <v/>
      </c>
      <c r="G339" s="17" t="str">
        <f aca="false">IF($J339="","",INDEX('Auto Process'!$AV:$AV,$J339))</f>
        <v/>
      </c>
      <c r="H339" s="17" t="str">
        <f aca="false">IF($J339="","",INDEX('Auto Process'!$AW:$AW,$J339))</f>
        <v/>
      </c>
      <c r="J339" s="14" t="str">
        <f aca="false">IFERROR(_xlfn.AGGREGATE(15,6,ROW('Auto Process'!$D$4:$D$503)/('Auto Process'!$D$4:$D$503="Followup"),ROW()-1),"")</f>
        <v/>
      </c>
    </row>
    <row r="340" customFormat="false" ht="15" hidden="false" customHeight="true" outlineLevel="0" collapsed="false">
      <c r="A340" s="17" t="str">
        <f aca="false">IF($J340="","",INDEX('Auto Process'!$AP:$AP,$J340))</f>
        <v/>
      </c>
      <c r="B340" s="17" t="str">
        <f aca="false">IF($J340="","",INDEX('Auto Process'!$AQ:$AQ,$J340))</f>
        <v/>
      </c>
      <c r="C340" s="17" t="str">
        <f aca="false">IF($J340="","",INDEX('Auto Process'!$AR:$AR,$J340))</f>
        <v/>
      </c>
      <c r="D340" s="17" t="str">
        <f aca="false">IF($J340="","",INDEX('Auto Process'!$AS:$AS,$J340))</f>
        <v/>
      </c>
      <c r="E340" s="17" t="str">
        <f aca="false">IF($J340="","",INDEX('Auto Process'!$AT:$AT,$J340))</f>
        <v/>
      </c>
      <c r="F340" s="17" t="str">
        <f aca="false">IF($J340="","",INDEX('Auto Process'!$AU:$AU,$J340))</f>
        <v/>
      </c>
      <c r="G340" s="17" t="str">
        <f aca="false">IF($J340="","",INDEX('Auto Process'!$AV:$AV,$J340))</f>
        <v/>
      </c>
      <c r="H340" s="17" t="str">
        <f aca="false">IF($J340="","",INDEX('Auto Process'!$AW:$AW,$J340))</f>
        <v/>
      </c>
      <c r="J340" s="14" t="str">
        <f aca="false">IFERROR(_xlfn.AGGREGATE(15,6,ROW('Auto Process'!$D$4:$D$503)/('Auto Process'!$D$4:$D$503="Followup"),ROW()-1),"")</f>
        <v/>
      </c>
    </row>
    <row r="341" customFormat="false" ht="15" hidden="false" customHeight="true" outlineLevel="0" collapsed="false">
      <c r="A341" s="17" t="str">
        <f aca="false">IF($J341="","",INDEX('Auto Process'!$AP:$AP,$J341))</f>
        <v/>
      </c>
      <c r="B341" s="17" t="str">
        <f aca="false">IF($J341="","",INDEX('Auto Process'!$AQ:$AQ,$J341))</f>
        <v/>
      </c>
      <c r="C341" s="17" t="str">
        <f aca="false">IF($J341="","",INDEX('Auto Process'!$AR:$AR,$J341))</f>
        <v/>
      </c>
      <c r="D341" s="17" t="str">
        <f aca="false">IF($J341="","",INDEX('Auto Process'!$AS:$AS,$J341))</f>
        <v/>
      </c>
      <c r="E341" s="17" t="str">
        <f aca="false">IF($J341="","",INDEX('Auto Process'!$AT:$AT,$J341))</f>
        <v/>
      </c>
      <c r="F341" s="17" t="str">
        <f aca="false">IF($J341="","",INDEX('Auto Process'!$AU:$AU,$J341))</f>
        <v/>
      </c>
      <c r="G341" s="17" t="str">
        <f aca="false">IF($J341="","",INDEX('Auto Process'!$AV:$AV,$J341))</f>
        <v/>
      </c>
      <c r="H341" s="17" t="str">
        <f aca="false">IF($J341="","",INDEX('Auto Process'!$AW:$AW,$J341))</f>
        <v/>
      </c>
      <c r="J341" s="14" t="str">
        <f aca="false">IFERROR(_xlfn.AGGREGATE(15,6,ROW('Auto Process'!$D$4:$D$503)/('Auto Process'!$D$4:$D$503="Followup"),ROW()-1),"")</f>
        <v/>
      </c>
    </row>
    <row r="342" customFormat="false" ht="15" hidden="false" customHeight="true" outlineLevel="0" collapsed="false">
      <c r="A342" s="17" t="str">
        <f aca="false">IF($J342="","",INDEX('Auto Process'!$AP:$AP,$J342))</f>
        <v/>
      </c>
      <c r="B342" s="17" t="str">
        <f aca="false">IF($J342="","",INDEX('Auto Process'!$AQ:$AQ,$J342))</f>
        <v/>
      </c>
      <c r="C342" s="17" t="str">
        <f aca="false">IF($J342="","",INDEX('Auto Process'!$AR:$AR,$J342))</f>
        <v/>
      </c>
      <c r="D342" s="17" t="str">
        <f aca="false">IF($J342="","",INDEX('Auto Process'!$AS:$AS,$J342))</f>
        <v/>
      </c>
      <c r="E342" s="17" t="str">
        <f aca="false">IF($J342="","",INDEX('Auto Process'!$AT:$AT,$J342))</f>
        <v/>
      </c>
      <c r="F342" s="17" t="str">
        <f aca="false">IF($J342="","",INDEX('Auto Process'!$AU:$AU,$J342))</f>
        <v/>
      </c>
      <c r="G342" s="17" t="str">
        <f aca="false">IF($J342="","",INDEX('Auto Process'!$AV:$AV,$J342))</f>
        <v/>
      </c>
      <c r="H342" s="17" t="str">
        <f aca="false">IF($J342="","",INDEX('Auto Process'!$AW:$AW,$J342))</f>
        <v/>
      </c>
      <c r="J342" s="14" t="str">
        <f aca="false">IFERROR(_xlfn.AGGREGATE(15,6,ROW('Auto Process'!$D$4:$D$503)/('Auto Process'!$D$4:$D$503="Followup"),ROW()-1),"")</f>
        <v/>
      </c>
    </row>
    <row r="343" customFormat="false" ht="15" hidden="false" customHeight="true" outlineLevel="0" collapsed="false">
      <c r="A343" s="17" t="str">
        <f aca="false">IF($J343="","",INDEX('Auto Process'!$AP:$AP,$J343))</f>
        <v/>
      </c>
      <c r="B343" s="17" t="str">
        <f aca="false">IF($J343="","",INDEX('Auto Process'!$AQ:$AQ,$J343))</f>
        <v/>
      </c>
      <c r="C343" s="17" t="str">
        <f aca="false">IF($J343="","",INDEX('Auto Process'!$AR:$AR,$J343))</f>
        <v/>
      </c>
      <c r="D343" s="17" t="str">
        <f aca="false">IF($J343="","",INDEX('Auto Process'!$AS:$AS,$J343))</f>
        <v/>
      </c>
      <c r="E343" s="17" t="str">
        <f aca="false">IF($J343="","",INDEX('Auto Process'!$AT:$AT,$J343))</f>
        <v/>
      </c>
      <c r="F343" s="17" t="str">
        <f aca="false">IF($J343="","",INDEX('Auto Process'!$AU:$AU,$J343))</f>
        <v/>
      </c>
      <c r="G343" s="17" t="str">
        <f aca="false">IF($J343="","",INDEX('Auto Process'!$AV:$AV,$J343))</f>
        <v/>
      </c>
      <c r="H343" s="17" t="str">
        <f aca="false">IF($J343="","",INDEX('Auto Process'!$AW:$AW,$J343))</f>
        <v/>
      </c>
      <c r="J343" s="14" t="str">
        <f aca="false">IFERROR(_xlfn.AGGREGATE(15,6,ROW('Auto Process'!$D$4:$D$503)/('Auto Process'!$D$4:$D$503="Followup"),ROW()-1),"")</f>
        <v/>
      </c>
    </row>
    <row r="344" customFormat="false" ht="15" hidden="false" customHeight="true" outlineLevel="0" collapsed="false">
      <c r="A344" s="17" t="str">
        <f aca="false">IF($J344="","",INDEX('Auto Process'!$AP:$AP,$J344))</f>
        <v/>
      </c>
      <c r="B344" s="17" t="str">
        <f aca="false">IF($J344="","",INDEX('Auto Process'!$AQ:$AQ,$J344))</f>
        <v/>
      </c>
      <c r="C344" s="17" t="str">
        <f aca="false">IF($J344="","",INDEX('Auto Process'!$AR:$AR,$J344))</f>
        <v/>
      </c>
      <c r="D344" s="17" t="str">
        <f aca="false">IF($J344="","",INDEX('Auto Process'!$AS:$AS,$J344))</f>
        <v/>
      </c>
      <c r="E344" s="17" t="str">
        <f aca="false">IF($J344="","",INDEX('Auto Process'!$AT:$AT,$J344))</f>
        <v/>
      </c>
      <c r="F344" s="17" t="str">
        <f aca="false">IF($J344="","",INDEX('Auto Process'!$AU:$AU,$J344))</f>
        <v/>
      </c>
      <c r="G344" s="17" t="str">
        <f aca="false">IF($J344="","",INDEX('Auto Process'!$AV:$AV,$J344))</f>
        <v/>
      </c>
      <c r="H344" s="17" t="str">
        <f aca="false">IF($J344="","",INDEX('Auto Process'!$AW:$AW,$J344))</f>
        <v/>
      </c>
      <c r="J344" s="14" t="str">
        <f aca="false">IFERROR(_xlfn.AGGREGATE(15,6,ROW('Auto Process'!$D$4:$D$503)/('Auto Process'!$D$4:$D$503="Followup"),ROW()-1),"")</f>
        <v/>
      </c>
    </row>
    <row r="345" customFormat="false" ht="15" hidden="false" customHeight="true" outlineLevel="0" collapsed="false">
      <c r="A345" s="17" t="str">
        <f aca="false">IF($J345="","",INDEX('Auto Process'!$AP:$AP,$J345))</f>
        <v/>
      </c>
      <c r="B345" s="17" t="str">
        <f aca="false">IF($J345="","",INDEX('Auto Process'!$AQ:$AQ,$J345))</f>
        <v/>
      </c>
      <c r="C345" s="17" t="str">
        <f aca="false">IF($J345="","",INDEX('Auto Process'!$AR:$AR,$J345))</f>
        <v/>
      </c>
      <c r="D345" s="17" t="str">
        <f aca="false">IF($J345="","",INDEX('Auto Process'!$AS:$AS,$J345))</f>
        <v/>
      </c>
      <c r="E345" s="17" t="str">
        <f aca="false">IF($J345="","",INDEX('Auto Process'!$AT:$AT,$J345))</f>
        <v/>
      </c>
      <c r="F345" s="17" t="str">
        <f aca="false">IF($J345="","",INDEX('Auto Process'!$AU:$AU,$J345))</f>
        <v/>
      </c>
      <c r="G345" s="17" t="str">
        <f aca="false">IF($J345="","",INDEX('Auto Process'!$AV:$AV,$J345))</f>
        <v/>
      </c>
      <c r="H345" s="17" t="str">
        <f aca="false">IF($J345="","",INDEX('Auto Process'!$AW:$AW,$J345))</f>
        <v/>
      </c>
      <c r="J345" s="14" t="str">
        <f aca="false">IFERROR(_xlfn.AGGREGATE(15,6,ROW('Auto Process'!$D$4:$D$503)/('Auto Process'!$D$4:$D$503="Followup"),ROW()-1),"")</f>
        <v/>
      </c>
    </row>
    <row r="346" customFormat="false" ht="15" hidden="false" customHeight="true" outlineLevel="0" collapsed="false">
      <c r="A346" s="17" t="str">
        <f aca="false">IF($J346="","",INDEX('Auto Process'!$AP:$AP,$J346))</f>
        <v/>
      </c>
      <c r="B346" s="17" t="str">
        <f aca="false">IF($J346="","",INDEX('Auto Process'!$AQ:$AQ,$J346))</f>
        <v/>
      </c>
      <c r="C346" s="17" t="str">
        <f aca="false">IF($J346="","",INDEX('Auto Process'!$AR:$AR,$J346))</f>
        <v/>
      </c>
      <c r="D346" s="17" t="str">
        <f aca="false">IF($J346="","",INDEX('Auto Process'!$AS:$AS,$J346))</f>
        <v/>
      </c>
      <c r="E346" s="17" t="str">
        <f aca="false">IF($J346="","",INDEX('Auto Process'!$AT:$AT,$J346))</f>
        <v/>
      </c>
      <c r="F346" s="17" t="str">
        <f aca="false">IF($J346="","",INDEX('Auto Process'!$AU:$AU,$J346))</f>
        <v/>
      </c>
      <c r="G346" s="17" t="str">
        <f aca="false">IF($J346="","",INDEX('Auto Process'!$AV:$AV,$J346))</f>
        <v/>
      </c>
      <c r="H346" s="17" t="str">
        <f aca="false">IF($J346="","",INDEX('Auto Process'!$AW:$AW,$J346))</f>
        <v/>
      </c>
      <c r="J346" s="14" t="str">
        <f aca="false">IFERROR(_xlfn.AGGREGATE(15,6,ROW('Auto Process'!$D$4:$D$503)/('Auto Process'!$D$4:$D$503="Followup"),ROW()-1),"")</f>
        <v/>
      </c>
    </row>
    <row r="347" customFormat="false" ht="15" hidden="false" customHeight="true" outlineLevel="0" collapsed="false">
      <c r="A347" s="17" t="str">
        <f aca="false">IF($J347="","",INDEX('Auto Process'!$AP:$AP,$J347))</f>
        <v/>
      </c>
      <c r="B347" s="17" t="str">
        <f aca="false">IF($J347="","",INDEX('Auto Process'!$AQ:$AQ,$J347))</f>
        <v/>
      </c>
      <c r="C347" s="17" t="str">
        <f aca="false">IF($J347="","",INDEX('Auto Process'!$AR:$AR,$J347))</f>
        <v/>
      </c>
      <c r="D347" s="17" t="str">
        <f aca="false">IF($J347="","",INDEX('Auto Process'!$AS:$AS,$J347))</f>
        <v/>
      </c>
      <c r="E347" s="17" t="str">
        <f aca="false">IF($J347="","",INDEX('Auto Process'!$AT:$AT,$J347))</f>
        <v/>
      </c>
      <c r="F347" s="17" t="str">
        <f aca="false">IF($J347="","",INDEX('Auto Process'!$AU:$AU,$J347))</f>
        <v/>
      </c>
      <c r="G347" s="17" t="str">
        <f aca="false">IF($J347="","",INDEX('Auto Process'!$AV:$AV,$J347))</f>
        <v/>
      </c>
      <c r="H347" s="17" t="str">
        <f aca="false">IF($J347="","",INDEX('Auto Process'!$AW:$AW,$J347))</f>
        <v/>
      </c>
      <c r="J347" s="14" t="str">
        <f aca="false">IFERROR(_xlfn.AGGREGATE(15,6,ROW('Auto Process'!$D$4:$D$503)/('Auto Process'!$D$4:$D$503="Followup"),ROW()-1),"")</f>
        <v/>
      </c>
    </row>
    <row r="348" customFormat="false" ht="15" hidden="false" customHeight="true" outlineLevel="0" collapsed="false">
      <c r="A348" s="17" t="str">
        <f aca="false">IF($J348="","",INDEX('Auto Process'!$AP:$AP,$J348))</f>
        <v/>
      </c>
      <c r="B348" s="17" t="str">
        <f aca="false">IF($J348="","",INDEX('Auto Process'!$AQ:$AQ,$J348))</f>
        <v/>
      </c>
      <c r="C348" s="17" t="str">
        <f aca="false">IF($J348="","",INDEX('Auto Process'!$AR:$AR,$J348))</f>
        <v/>
      </c>
      <c r="D348" s="17" t="str">
        <f aca="false">IF($J348="","",INDEX('Auto Process'!$AS:$AS,$J348))</f>
        <v/>
      </c>
      <c r="E348" s="17" t="str">
        <f aca="false">IF($J348="","",INDEX('Auto Process'!$AT:$AT,$J348))</f>
        <v/>
      </c>
      <c r="F348" s="17" t="str">
        <f aca="false">IF($J348="","",INDEX('Auto Process'!$AU:$AU,$J348))</f>
        <v/>
      </c>
      <c r="G348" s="17" t="str">
        <f aca="false">IF($J348="","",INDEX('Auto Process'!$AV:$AV,$J348))</f>
        <v/>
      </c>
      <c r="H348" s="17" t="str">
        <f aca="false">IF($J348="","",INDEX('Auto Process'!$AW:$AW,$J348))</f>
        <v/>
      </c>
      <c r="J348" s="14" t="str">
        <f aca="false">IFERROR(_xlfn.AGGREGATE(15,6,ROW('Auto Process'!$D$4:$D$503)/('Auto Process'!$D$4:$D$503="Followup"),ROW()-1),"")</f>
        <v/>
      </c>
    </row>
    <row r="349" customFormat="false" ht="15" hidden="false" customHeight="true" outlineLevel="0" collapsed="false">
      <c r="A349" s="17" t="str">
        <f aca="false">IF($J349="","",INDEX('Auto Process'!$AP:$AP,$J349))</f>
        <v/>
      </c>
      <c r="B349" s="17" t="str">
        <f aca="false">IF($J349="","",INDEX('Auto Process'!$AQ:$AQ,$J349))</f>
        <v/>
      </c>
      <c r="C349" s="17" t="str">
        <f aca="false">IF($J349="","",INDEX('Auto Process'!$AR:$AR,$J349))</f>
        <v/>
      </c>
      <c r="D349" s="17" t="str">
        <f aca="false">IF($J349="","",INDEX('Auto Process'!$AS:$AS,$J349))</f>
        <v/>
      </c>
      <c r="E349" s="17" t="str">
        <f aca="false">IF($J349="","",INDEX('Auto Process'!$AT:$AT,$J349))</f>
        <v/>
      </c>
      <c r="F349" s="17" t="str">
        <f aca="false">IF($J349="","",INDEX('Auto Process'!$AU:$AU,$J349))</f>
        <v/>
      </c>
      <c r="G349" s="17" t="str">
        <f aca="false">IF($J349="","",INDEX('Auto Process'!$AV:$AV,$J349))</f>
        <v/>
      </c>
      <c r="H349" s="17" t="str">
        <f aca="false">IF($J349="","",INDEX('Auto Process'!$AW:$AW,$J349))</f>
        <v/>
      </c>
      <c r="J349" s="14" t="str">
        <f aca="false">IFERROR(_xlfn.AGGREGATE(15,6,ROW('Auto Process'!$D$4:$D$503)/('Auto Process'!$D$4:$D$503="Followup"),ROW()-1),"")</f>
        <v/>
      </c>
    </row>
    <row r="350" customFormat="false" ht="15" hidden="false" customHeight="true" outlineLevel="0" collapsed="false">
      <c r="A350" s="17" t="str">
        <f aca="false">IF($J350="","",INDEX('Auto Process'!$AP:$AP,$J350))</f>
        <v/>
      </c>
      <c r="B350" s="17" t="str">
        <f aca="false">IF($J350="","",INDEX('Auto Process'!$AQ:$AQ,$J350))</f>
        <v/>
      </c>
      <c r="C350" s="17" t="str">
        <f aca="false">IF($J350="","",INDEX('Auto Process'!$AR:$AR,$J350))</f>
        <v/>
      </c>
      <c r="D350" s="17" t="str">
        <f aca="false">IF($J350="","",INDEX('Auto Process'!$AS:$AS,$J350))</f>
        <v/>
      </c>
      <c r="E350" s="17" t="str">
        <f aca="false">IF($J350="","",INDEX('Auto Process'!$AT:$AT,$J350))</f>
        <v/>
      </c>
      <c r="F350" s="17" t="str">
        <f aca="false">IF($J350="","",INDEX('Auto Process'!$AU:$AU,$J350))</f>
        <v/>
      </c>
      <c r="G350" s="17" t="str">
        <f aca="false">IF($J350="","",INDEX('Auto Process'!$AV:$AV,$J350))</f>
        <v/>
      </c>
      <c r="H350" s="17" t="str">
        <f aca="false">IF($J350="","",INDEX('Auto Process'!$AW:$AW,$J350))</f>
        <v/>
      </c>
      <c r="J350" s="14" t="str">
        <f aca="false">IFERROR(_xlfn.AGGREGATE(15,6,ROW('Auto Process'!$D$4:$D$503)/('Auto Process'!$D$4:$D$503="Followup"),ROW()-1),"")</f>
        <v/>
      </c>
    </row>
    <row r="351" customFormat="false" ht="15" hidden="false" customHeight="true" outlineLevel="0" collapsed="false">
      <c r="A351" s="17" t="str">
        <f aca="false">IF($J351="","",INDEX('Auto Process'!$AP:$AP,$J351))</f>
        <v/>
      </c>
      <c r="B351" s="17" t="str">
        <f aca="false">IF($J351="","",INDEX('Auto Process'!$AQ:$AQ,$J351))</f>
        <v/>
      </c>
      <c r="C351" s="17" t="str">
        <f aca="false">IF($J351="","",INDEX('Auto Process'!$AR:$AR,$J351))</f>
        <v/>
      </c>
      <c r="D351" s="17" t="str">
        <f aca="false">IF($J351="","",INDEX('Auto Process'!$AS:$AS,$J351))</f>
        <v/>
      </c>
      <c r="E351" s="17" t="str">
        <f aca="false">IF($J351="","",INDEX('Auto Process'!$AT:$AT,$J351))</f>
        <v/>
      </c>
      <c r="F351" s="17" t="str">
        <f aca="false">IF($J351="","",INDEX('Auto Process'!$AU:$AU,$J351))</f>
        <v/>
      </c>
      <c r="G351" s="17" t="str">
        <f aca="false">IF($J351="","",INDEX('Auto Process'!$AV:$AV,$J351))</f>
        <v/>
      </c>
      <c r="H351" s="17" t="str">
        <f aca="false">IF($J351="","",INDEX('Auto Process'!$AW:$AW,$J351))</f>
        <v/>
      </c>
      <c r="J351" s="14" t="str">
        <f aca="false">IFERROR(_xlfn.AGGREGATE(15,6,ROW('Auto Process'!$D$4:$D$503)/('Auto Process'!$D$4:$D$503="Followup"),ROW()-1),"")</f>
        <v/>
      </c>
    </row>
    <row r="352" customFormat="false" ht="15" hidden="false" customHeight="true" outlineLevel="0" collapsed="false">
      <c r="A352" s="17" t="str">
        <f aca="false">IF($J352="","",INDEX('Auto Process'!$AP:$AP,$J352))</f>
        <v/>
      </c>
      <c r="B352" s="17" t="str">
        <f aca="false">IF($J352="","",INDEX('Auto Process'!$AQ:$AQ,$J352))</f>
        <v/>
      </c>
      <c r="C352" s="17" t="str">
        <f aca="false">IF($J352="","",INDEX('Auto Process'!$AR:$AR,$J352))</f>
        <v/>
      </c>
      <c r="D352" s="17" t="str">
        <f aca="false">IF($J352="","",INDEX('Auto Process'!$AS:$AS,$J352))</f>
        <v/>
      </c>
      <c r="E352" s="17" t="str">
        <f aca="false">IF($J352="","",INDEX('Auto Process'!$AT:$AT,$J352))</f>
        <v/>
      </c>
      <c r="F352" s="17" t="str">
        <f aca="false">IF($J352="","",INDEX('Auto Process'!$AU:$AU,$J352))</f>
        <v/>
      </c>
      <c r="G352" s="17" t="str">
        <f aca="false">IF($J352="","",INDEX('Auto Process'!$AV:$AV,$J352))</f>
        <v/>
      </c>
      <c r="H352" s="17" t="str">
        <f aca="false">IF($J352="","",INDEX('Auto Process'!$AW:$AW,$J352))</f>
        <v/>
      </c>
      <c r="J352" s="14" t="str">
        <f aca="false">IFERROR(_xlfn.AGGREGATE(15,6,ROW('Auto Process'!$D$4:$D$503)/('Auto Process'!$D$4:$D$503="Followup"),ROW()-1),"")</f>
        <v/>
      </c>
    </row>
    <row r="353" customFormat="false" ht="15" hidden="false" customHeight="true" outlineLevel="0" collapsed="false">
      <c r="A353" s="17" t="str">
        <f aca="false">IF($J353="","",INDEX('Auto Process'!$AP:$AP,$J353))</f>
        <v/>
      </c>
      <c r="B353" s="17" t="str">
        <f aca="false">IF($J353="","",INDEX('Auto Process'!$AQ:$AQ,$J353))</f>
        <v/>
      </c>
      <c r="C353" s="17" t="str">
        <f aca="false">IF($J353="","",INDEX('Auto Process'!$AR:$AR,$J353))</f>
        <v/>
      </c>
      <c r="D353" s="17" t="str">
        <f aca="false">IF($J353="","",INDEX('Auto Process'!$AS:$AS,$J353))</f>
        <v/>
      </c>
      <c r="E353" s="17" t="str">
        <f aca="false">IF($J353="","",INDEX('Auto Process'!$AT:$AT,$J353))</f>
        <v/>
      </c>
      <c r="F353" s="17" t="str">
        <f aca="false">IF($J353="","",INDEX('Auto Process'!$AU:$AU,$J353))</f>
        <v/>
      </c>
      <c r="G353" s="17" t="str">
        <f aca="false">IF($J353="","",INDEX('Auto Process'!$AV:$AV,$J353))</f>
        <v/>
      </c>
      <c r="H353" s="17" t="str">
        <f aca="false">IF($J353="","",INDEX('Auto Process'!$AW:$AW,$J353))</f>
        <v/>
      </c>
      <c r="J353" s="14" t="str">
        <f aca="false">IFERROR(_xlfn.AGGREGATE(15,6,ROW('Auto Process'!$D$4:$D$503)/('Auto Process'!$D$4:$D$503="Followup"),ROW()-1),"")</f>
        <v/>
      </c>
    </row>
    <row r="354" customFormat="false" ht="15" hidden="false" customHeight="true" outlineLevel="0" collapsed="false">
      <c r="A354" s="17" t="str">
        <f aca="false">IF($J354="","",INDEX('Auto Process'!$AP:$AP,$J354))</f>
        <v/>
      </c>
      <c r="B354" s="17" t="str">
        <f aca="false">IF($J354="","",INDEX('Auto Process'!$AQ:$AQ,$J354))</f>
        <v/>
      </c>
      <c r="C354" s="17" t="str">
        <f aca="false">IF($J354="","",INDEX('Auto Process'!$AR:$AR,$J354))</f>
        <v/>
      </c>
      <c r="D354" s="17" t="str">
        <f aca="false">IF($J354="","",INDEX('Auto Process'!$AS:$AS,$J354))</f>
        <v/>
      </c>
      <c r="E354" s="17" t="str">
        <f aca="false">IF($J354="","",INDEX('Auto Process'!$AT:$AT,$J354))</f>
        <v/>
      </c>
      <c r="F354" s="17" t="str">
        <f aca="false">IF($J354="","",INDEX('Auto Process'!$AU:$AU,$J354))</f>
        <v/>
      </c>
      <c r="G354" s="17" t="str">
        <f aca="false">IF($J354="","",INDEX('Auto Process'!$AV:$AV,$J354))</f>
        <v/>
      </c>
      <c r="H354" s="17" t="str">
        <f aca="false">IF($J354="","",INDEX('Auto Process'!$AW:$AW,$J354))</f>
        <v/>
      </c>
      <c r="J354" s="14" t="str">
        <f aca="false">IFERROR(_xlfn.AGGREGATE(15,6,ROW('Auto Process'!$D$4:$D$503)/('Auto Process'!$D$4:$D$503="Followup"),ROW()-1),"")</f>
        <v/>
      </c>
    </row>
    <row r="355" customFormat="false" ht="15" hidden="false" customHeight="true" outlineLevel="0" collapsed="false">
      <c r="A355" s="17" t="str">
        <f aca="false">IF($J355="","",INDEX('Auto Process'!$AP:$AP,$J355))</f>
        <v/>
      </c>
      <c r="B355" s="17" t="str">
        <f aca="false">IF($J355="","",INDEX('Auto Process'!$AQ:$AQ,$J355))</f>
        <v/>
      </c>
      <c r="C355" s="17" t="str">
        <f aca="false">IF($J355="","",INDEX('Auto Process'!$AR:$AR,$J355))</f>
        <v/>
      </c>
      <c r="D355" s="17" t="str">
        <f aca="false">IF($J355="","",INDEX('Auto Process'!$AS:$AS,$J355))</f>
        <v/>
      </c>
      <c r="E355" s="17" t="str">
        <f aca="false">IF($J355="","",INDEX('Auto Process'!$AT:$AT,$J355))</f>
        <v/>
      </c>
      <c r="F355" s="17" t="str">
        <f aca="false">IF($J355="","",INDEX('Auto Process'!$AU:$AU,$J355))</f>
        <v/>
      </c>
      <c r="G355" s="17" t="str">
        <f aca="false">IF($J355="","",INDEX('Auto Process'!$AV:$AV,$J355))</f>
        <v/>
      </c>
      <c r="H355" s="17" t="str">
        <f aca="false">IF($J355="","",INDEX('Auto Process'!$AW:$AW,$J355))</f>
        <v/>
      </c>
      <c r="J355" s="14" t="str">
        <f aca="false">IFERROR(_xlfn.AGGREGATE(15,6,ROW('Auto Process'!$D$4:$D$503)/('Auto Process'!$D$4:$D$503="Followup"),ROW()-1),"")</f>
        <v/>
      </c>
    </row>
    <row r="356" customFormat="false" ht="15" hidden="false" customHeight="true" outlineLevel="0" collapsed="false">
      <c r="A356" s="17" t="str">
        <f aca="false">IF($J356="","",INDEX('Auto Process'!$AP:$AP,$J356))</f>
        <v/>
      </c>
      <c r="B356" s="17" t="str">
        <f aca="false">IF($J356="","",INDEX('Auto Process'!$AQ:$AQ,$J356))</f>
        <v/>
      </c>
      <c r="C356" s="17" t="str">
        <f aca="false">IF($J356="","",INDEX('Auto Process'!$AR:$AR,$J356))</f>
        <v/>
      </c>
      <c r="D356" s="17" t="str">
        <f aca="false">IF($J356="","",INDEX('Auto Process'!$AS:$AS,$J356))</f>
        <v/>
      </c>
      <c r="E356" s="17" t="str">
        <f aca="false">IF($J356="","",INDEX('Auto Process'!$AT:$AT,$J356))</f>
        <v/>
      </c>
      <c r="F356" s="17" t="str">
        <f aca="false">IF($J356="","",INDEX('Auto Process'!$AU:$AU,$J356))</f>
        <v/>
      </c>
      <c r="G356" s="17" t="str">
        <f aca="false">IF($J356="","",INDEX('Auto Process'!$AV:$AV,$J356))</f>
        <v/>
      </c>
      <c r="H356" s="17" t="str">
        <f aca="false">IF($J356="","",INDEX('Auto Process'!$AW:$AW,$J356))</f>
        <v/>
      </c>
      <c r="J356" s="14" t="str">
        <f aca="false">IFERROR(_xlfn.AGGREGATE(15,6,ROW('Auto Process'!$D$4:$D$503)/('Auto Process'!$D$4:$D$503="Followup"),ROW()-1),"")</f>
        <v/>
      </c>
    </row>
    <row r="357" customFormat="false" ht="15" hidden="false" customHeight="true" outlineLevel="0" collapsed="false">
      <c r="A357" s="17" t="str">
        <f aca="false">IF($J357="","",INDEX('Auto Process'!$AP:$AP,$J357))</f>
        <v/>
      </c>
      <c r="B357" s="17" t="str">
        <f aca="false">IF($J357="","",INDEX('Auto Process'!$AQ:$AQ,$J357))</f>
        <v/>
      </c>
      <c r="C357" s="17" t="str">
        <f aca="false">IF($J357="","",INDEX('Auto Process'!$AR:$AR,$J357))</f>
        <v/>
      </c>
      <c r="D357" s="17" t="str">
        <f aca="false">IF($J357="","",INDEX('Auto Process'!$AS:$AS,$J357))</f>
        <v/>
      </c>
      <c r="E357" s="17" t="str">
        <f aca="false">IF($J357="","",INDEX('Auto Process'!$AT:$AT,$J357))</f>
        <v/>
      </c>
      <c r="F357" s="17" t="str">
        <f aca="false">IF($J357="","",INDEX('Auto Process'!$AU:$AU,$J357))</f>
        <v/>
      </c>
      <c r="G357" s="17" t="str">
        <f aca="false">IF($J357="","",INDEX('Auto Process'!$AV:$AV,$J357))</f>
        <v/>
      </c>
      <c r="H357" s="17" t="str">
        <f aca="false">IF($J357="","",INDEX('Auto Process'!$AW:$AW,$J357))</f>
        <v/>
      </c>
      <c r="J357" s="14" t="str">
        <f aca="false">IFERROR(_xlfn.AGGREGATE(15,6,ROW('Auto Process'!$D$4:$D$503)/('Auto Process'!$D$4:$D$503="Followup"),ROW()-1),"")</f>
        <v/>
      </c>
    </row>
    <row r="358" customFormat="false" ht="15" hidden="false" customHeight="true" outlineLevel="0" collapsed="false">
      <c r="A358" s="17" t="str">
        <f aca="false">IF($J358="","",INDEX('Auto Process'!$AP:$AP,$J358))</f>
        <v/>
      </c>
      <c r="B358" s="17" t="str">
        <f aca="false">IF($J358="","",INDEX('Auto Process'!$AQ:$AQ,$J358))</f>
        <v/>
      </c>
      <c r="C358" s="17" t="str">
        <f aca="false">IF($J358="","",INDEX('Auto Process'!$AR:$AR,$J358))</f>
        <v/>
      </c>
      <c r="D358" s="17" t="str">
        <f aca="false">IF($J358="","",INDEX('Auto Process'!$AS:$AS,$J358))</f>
        <v/>
      </c>
      <c r="E358" s="17" t="str">
        <f aca="false">IF($J358="","",INDEX('Auto Process'!$AT:$AT,$J358))</f>
        <v/>
      </c>
      <c r="F358" s="17" t="str">
        <f aca="false">IF($J358="","",INDEX('Auto Process'!$AU:$AU,$J358))</f>
        <v/>
      </c>
      <c r="G358" s="17" t="str">
        <f aca="false">IF($J358="","",INDEX('Auto Process'!$AV:$AV,$J358))</f>
        <v/>
      </c>
      <c r="H358" s="17" t="str">
        <f aca="false">IF($J358="","",INDEX('Auto Process'!$AW:$AW,$J358))</f>
        <v/>
      </c>
      <c r="J358" s="14" t="str">
        <f aca="false">IFERROR(_xlfn.AGGREGATE(15,6,ROW('Auto Process'!$D$4:$D$503)/('Auto Process'!$D$4:$D$503="Followup"),ROW()-1),"")</f>
        <v/>
      </c>
    </row>
    <row r="359" customFormat="false" ht="15" hidden="false" customHeight="true" outlineLevel="0" collapsed="false">
      <c r="A359" s="17" t="str">
        <f aca="false">IF($J359="","",INDEX('Auto Process'!$AP:$AP,$J359))</f>
        <v/>
      </c>
      <c r="B359" s="17" t="str">
        <f aca="false">IF($J359="","",INDEX('Auto Process'!$AQ:$AQ,$J359))</f>
        <v/>
      </c>
      <c r="C359" s="17" t="str">
        <f aca="false">IF($J359="","",INDEX('Auto Process'!$AR:$AR,$J359))</f>
        <v/>
      </c>
      <c r="D359" s="17" t="str">
        <f aca="false">IF($J359="","",INDEX('Auto Process'!$AS:$AS,$J359))</f>
        <v/>
      </c>
      <c r="E359" s="17" t="str">
        <f aca="false">IF($J359="","",INDEX('Auto Process'!$AT:$AT,$J359))</f>
        <v/>
      </c>
      <c r="F359" s="17" t="str">
        <f aca="false">IF($J359="","",INDEX('Auto Process'!$AU:$AU,$J359))</f>
        <v/>
      </c>
      <c r="G359" s="17" t="str">
        <f aca="false">IF($J359="","",INDEX('Auto Process'!$AV:$AV,$J359))</f>
        <v/>
      </c>
      <c r="H359" s="17" t="str">
        <f aca="false">IF($J359="","",INDEX('Auto Process'!$AW:$AW,$J359))</f>
        <v/>
      </c>
      <c r="J359" s="14" t="str">
        <f aca="false">IFERROR(_xlfn.AGGREGATE(15,6,ROW('Auto Process'!$D$4:$D$503)/('Auto Process'!$D$4:$D$503="Followup"),ROW()-1),"")</f>
        <v/>
      </c>
    </row>
    <row r="360" customFormat="false" ht="15" hidden="false" customHeight="true" outlineLevel="0" collapsed="false">
      <c r="A360" s="17" t="str">
        <f aca="false">IF($J360="","",INDEX('Auto Process'!$AP:$AP,$J360))</f>
        <v/>
      </c>
      <c r="B360" s="17" t="str">
        <f aca="false">IF($J360="","",INDEX('Auto Process'!$AQ:$AQ,$J360))</f>
        <v/>
      </c>
      <c r="C360" s="17" t="str">
        <f aca="false">IF($J360="","",INDEX('Auto Process'!$AR:$AR,$J360))</f>
        <v/>
      </c>
      <c r="D360" s="17" t="str">
        <f aca="false">IF($J360="","",INDEX('Auto Process'!$AS:$AS,$J360))</f>
        <v/>
      </c>
      <c r="E360" s="17" t="str">
        <f aca="false">IF($J360="","",INDEX('Auto Process'!$AT:$AT,$J360))</f>
        <v/>
      </c>
      <c r="F360" s="17" t="str">
        <f aca="false">IF($J360="","",INDEX('Auto Process'!$AU:$AU,$J360))</f>
        <v/>
      </c>
      <c r="G360" s="17" t="str">
        <f aca="false">IF($J360="","",INDEX('Auto Process'!$AV:$AV,$J360))</f>
        <v/>
      </c>
      <c r="H360" s="17" t="str">
        <f aca="false">IF($J360="","",INDEX('Auto Process'!$AW:$AW,$J360))</f>
        <v/>
      </c>
      <c r="J360" s="14" t="str">
        <f aca="false">IFERROR(_xlfn.AGGREGATE(15,6,ROW('Auto Process'!$D$4:$D$503)/('Auto Process'!$D$4:$D$503="Followup"),ROW()-1),"")</f>
        <v/>
      </c>
    </row>
    <row r="361" customFormat="false" ht="15" hidden="false" customHeight="true" outlineLevel="0" collapsed="false">
      <c r="A361" s="17" t="str">
        <f aca="false">IF($J361="","",INDEX('Auto Process'!$AP:$AP,$J361))</f>
        <v/>
      </c>
      <c r="B361" s="17" t="str">
        <f aca="false">IF($J361="","",INDEX('Auto Process'!$AQ:$AQ,$J361))</f>
        <v/>
      </c>
      <c r="C361" s="17" t="str">
        <f aca="false">IF($J361="","",INDEX('Auto Process'!$AR:$AR,$J361))</f>
        <v/>
      </c>
      <c r="D361" s="17" t="str">
        <f aca="false">IF($J361="","",INDEX('Auto Process'!$AS:$AS,$J361))</f>
        <v/>
      </c>
      <c r="E361" s="17" t="str">
        <f aca="false">IF($J361="","",INDEX('Auto Process'!$AT:$AT,$J361))</f>
        <v/>
      </c>
      <c r="F361" s="17" t="str">
        <f aca="false">IF($J361="","",INDEX('Auto Process'!$AU:$AU,$J361))</f>
        <v/>
      </c>
      <c r="G361" s="17" t="str">
        <f aca="false">IF($J361="","",INDEX('Auto Process'!$AV:$AV,$J361))</f>
        <v/>
      </c>
      <c r="H361" s="17" t="str">
        <f aca="false">IF($J361="","",INDEX('Auto Process'!$AW:$AW,$J361))</f>
        <v/>
      </c>
      <c r="J361" s="14" t="str">
        <f aca="false">IFERROR(_xlfn.AGGREGATE(15,6,ROW('Auto Process'!$D$4:$D$503)/('Auto Process'!$D$4:$D$503="Followup"),ROW()-1),"")</f>
        <v/>
      </c>
    </row>
    <row r="362" customFormat="false" ht="15" hidden="false" customHeight="true" outlineLevel="0" collapsed="false">
      <c r="A362" s="17" t="str">
        <f aca="false">IF($J362="","",INDEX('Auto Process'!$AP:$AP,$J362))</f>
        <v/>
      </c>
      <c r="B362" s="17" t="str">
        <f aca="false">IF($J362="","",INDEX('Auto Process'!$AQ:$AQ,$J362))</f>
        <v/>
      </c>
      <c r="C362" s="17" t="str">
        <f aca="false">IF($J362="","",INDEX('Auto Process'!$AR:$AR,$J362))</f>
        <v/>
      </c>
      <c r="D362" s="17" t="str">
        <f aca="false">IF($J362="","",INDEX('Auto Process'!$AS:$AS,$J362))</f>
        <v/>
      </c>
      <c r="E362" s="17" t="str">
        <f aca="false">IF($J362="","",INDEX('Auto Process'!$AT:$AT,$J362))</f>
        <v/>
      </c>
      <c r="F362" s="17" t="str">
        <f aca="false">IF($J362="","",INDEX('Auto Process'!$AU:$AU,$J362))</f>
        <v/>
      </c>
      <c r="G362" s="17" t="str">
        <f aca="false">IF($J362="","",INDEX('Auto Process'!$AV:$AV,$J362))</f>
        <v/>
      </c>
      <c r="H362" s="17" t="str">
        <f aca="false">IF($J362="","",INDEX('Auto Process'!$AW:$AW,$J362))</f>
        <v/>
      </c>
      <c r="J362" s="14" t="str">
        <f aca="false">IFERROR(_xlfn.AGGREGATE(15,6,ROW('Auto Process'!$D$4:$D$503)/('Auto Process'!$D$4:$D$503="Followup"),ROW()-1),"")</f>
        <v/>
      </c>
    </row>
    <row r="363" customFormat="false" ht="15" hidden="false" customHeight="true" outlineLevel="0" collapsed="false">
      <c r="A363" s="17" t="str">
        <f aca="false">IF($J363="","",INDEX('Auto Process'!$AP:$AP,$J363))</f>
        <v/>
      </c>
      <c r="B363" s="17" t="str">
        <f aca="false">IF($J363="","",INDEX('Auto Process'!$AQ:$AQ,$J363))</f>
        <v/>
      </c>
      <c r="C363" s="17" t="str">
        <f aca="false">IF($J363="","",INDEX('Auto Process'!$AR:$AR,$J363))</f>
        <v/>
      </c>
      <c r="D363" s="17" t="str">
        <f aca="false">IF($J363="","",INDEX('Auto Process'!$AS:$AS,$J363))</f>
        <v/>
      </c>
      <c r="E363" s="17" t="str">
        <f aca="false">IF($J363="","",INDEX('Auto Process'!$AT:$AT,$J363))</f>
        <v/>
      </c>
      <c r="F363" s="17" t="str">
        <f aca="false">IF($J363="","",INDEX('Auto Process'!$AU:$AU,$J363))</f>
        <v/>
      </c>
      <c r="G363" s="17" t="str">
        <f aca="false">IF($J363="","",INDEX('Auto Process'!$AV:$AV,$J363))</f>
        <v/>
      </c>
      <c r="H363" s="17" t="str">
        <f aca="false">IF($J363="","",INDEX('Auto Process'!$AW:$AW,$J363))</f>
        <v/>
      </c>
      <c r="J363" s="14" t="str">
        <f aca="false">IFERROR(_xlfn.AGGREGATE(15,6,ROW('Auto Process'!$D$4:$D$503)/('Auto Process'!$D$4:$D$503="Followup"),ROW()-1),"")</f>
        <v/>
      </c>
    </row>
    <row r="364" customFormat="false" ht="15" hidden="false" customHeight="true" outlineLevel="0" collapsed="false">
      <c r="A364" s="17" t="str">
        <f aca="false">IF($J364="","",INDEX('Auto Process'!$AP:$AP,$J364))</f>
        <v/>
      </c>
      <c r="B364" s="17" t="str">
        <f aca="false">IF($J364="","",INDEX('Auto Process'!$AQ:$AQ,$J364))</f>
        <v/>
      </c>
      <c r="C364" s="17" t="str">
        <f aca="false">IF($J364="","",INDEX('Auto Process'!$AR:$AR,$J364))</f>
        <v/>
      </c>
      <c r="D364" s="17" t="str">
        <f aca="false">IF($J364="","",INDEX('Auto Process'!$AS:$AS,$J364))</f>
        <v/>
      </c>
      <c r="E364" s="17" t="str">
        <f aca="false">IF($J364="","",INDEX('Auto Process'!$AT:$AT,$J364))</f>
        <v/>
      </c>
      <c r="F364" s="17" t="str">
        <f aca="false">IF($J364="","",INDEX('Auto Process'!$AU:$AU,$J364))</f>
        <v/>
      </c>
      <c r="G364" s="17" t="str">
        <f aca="false">IF($J364="","",INDEX('Auto Process'!$AV:$AV,$J364))</f>
        <v/>
      </c>
      <c r="H364" s="17" t="str">
        <f aca="false">IF($J364="","",INDEX('Auto Process'!$AW:$AW,$J364))</f>
        <v/>
      </c>
      <c r="J364" s="14" t="str">
        <f aca="false">IFERROR(_xlfn.AGGREGATE(15,6,ROW('Auto Process'!$D$4:$D$503)/('Auto Process'!$D$4:$D$503="Followup"),ROW()-1),"")</f>
        <v/>
      </c>
    </row>
    <row r="365" customFormat="false" ht="15" hidden="false" customHeight="true" outlineLevel="0" collapsed="false">
      <c r="A365" s="17" t="str">
        <f aca="false">IF($J365="","",INDEX('Auto Process'!$AP:$AP,$J365))</f>
        <v/>
      </c>
      <c r="B365" s="17" t="str">
        <f aca="false">IF($J365="","",INDEX('Auto Process'!$AQ:$AQ,$J365))</f>
        <v/>
      </c>
      <c r="C365" s="17" t="str">
        <f aca="false">IF($J365="","",INDEX('Auto Process'!$AR:$AR,$J365))</f>
        <v/>
      </c>
      <c r="D365" s="17" t="str">
        <f aca="false">IF($J365="","",INDEX('Auto Process'!$AS:$AS,$J365))</f>
        <v/>
      </c>
      <c r="E365" s="17" t="str">
        <f aca="false">IF($J365="","",INDEX('Auto Process'!$AT:$AT,$J365))</f>
        <v/>
      </c>
      <c r="F365" s="17" t="str">
        <f aca="false">IF($J365="","",INDEX('Auto Process'!$AU:$AU,$J365))</f>
        <v/>
      </c>
      <c r="G365" s="17" t="str">
        <f aca="false">IF($J365="","",INDEX('Auto Process'!$AV:$AV,$J365))</f>
        <v/>
      </c>
      <c r="H365" s="17" t="str">
        <f aca="false">IF($J365="","",INDEX('Auto Process'!$AW:$AW,$J365))</f>
        <v/>
      </c>
      <c r="J365" s="14" t="str">
        <f aca="false">IFERROR(_xlfn.AGGREGATE(15,6,ROW('Auto Process'!$D$4:$D$503)/('Auto Process'!$D$4:$D$503="Followup"),ROW()-1),"")</f>
        <v/>
      </c>
    </row>
    <row r="366" customFormat="false" ht="15" hidden="false" customHeight="true" outlineLevel="0" collapsed="false">
      <c r="A366" s="17" t="str">
        <f aca="false">IF($J366="","",INDEX('Auto Process'!$AP:$AP,$J366))</f>
        <v/>
      </c>
      <c r="B366" s="17" t="str">
        <f aca="false">IF($J366="","",INDEX('Auto Process'!$AQ:$AQ,$J366))</f>
        <v/>
      </c>
      <c r="C366" s="17" t="str">
        <f aca="false">IF($J366="","",INDEX('Auto Process'!$AR:$AR,$J366))</f>
        <v/>
      </c>
      <c r="D366" s="17" t="str">
        <f aca="false">IF($J366="","",INDEX('Auto Process'!$AS:$AS,$J366))</f>
        <v/>
      </c>
      <c r="E366" s="17" t="str">
        <f aca="false">IF($J366="","",INDEX('Auto Process'!$AT:$AT,$J366))</f>
        <v/>
      </c>
      <c r="F366" s="17" t="str">
        <f aca="false">IF($J366="","",INDEX('Auto Process'!$AU:$AU,$J366))</f>
        <v/>
      </c>
      <c r="G366" s="17" t="str">
        <f aca="false">IF($J366="","",INDEX('Auto Process'!$AV:$AV,$J366))</f>
        <v/>
      </c>
      <c r="H366" s="17" t="str">
        <f aca="false">IF($J366="","",INDEX('Auto Process'!$AW:$AW,$J366))</f>
        <v/>
      </c>
      <c r="J366" s="14" t="str">
        <f aca="false">IFERROR(_xlfn.AGGREGATE(15,6,ROW('Auto Process'!$D$4:$D$503)/('Auto Process'!$D$4:$D$503="Followup"),ROW()-1),"")</f>
        <v/>
      </c>
    </row>
    <row r="367" customFormat="false" ht="15" hidden="false" customHeight="true" outlineLevel="0" collapsed="false">
      <c r="A367" s="17" t="str">
        <f aca="false">IF($J367="","",INDEX('Auto Process'!$AP:$AP,$J367))</f>
        <v/>
      </c>
      <c r="B367" s="17" t="str">
        <f aca="false">IF($J367="","",INDEX('Auto Process'!$AQ:$AQ,$J367))</f>
        <v/>
      </c>
      <c r="C367" s="17" t="str">
        <f aca="false">IF($J367="","",INDEX('Auto Process'!$AR:$AR,$J367))</f>
        <v/>
      </c>
      <c r="D367" s="17" t="str">
        <f aca="false">IF($J367="","",INDEX('Auto Process'!$AS:$AS,$J367))</f>
        <v/>
      </c>
      <c r="E367" s="17" t="str">
        <f aca="false">IF($J367="","",INDEX('Auto Process'!$AT:$AT,$J367))</f>
        <v/>
      </c>
      <c r="F367" s="17" t="str">
        <f aca="false">IF($J367="","",INDEX('Auto Process'!$AU:$AU,$J367))</f>
        <v/>
      </c>
      <c r="G367" s="17" t="str">
        <f aca="false">IF($J367="","",INDEX('Auto Process'!$AV:$AV,$J367))</f>
        <v/>
      </c>
      <c r="H367" s="17" t="str">
        <f aca="false">IF($J367="","",INDEX('Auto Process'!$AW:$AW,$J367))</f>
        <v/>
      </c>
      <c r="J367" s="14" t="str">
        <f aca="false">IFERROR(_xlfn.AGGREGATE(15,6,ROW('Auto Process'!$D$4:$D$503)/('Auto Process'!$D$4:$D$503="Followup"),ROW()-1),"")</f>
        <v/>
      </c>
    </row>
    <row r="368" customFormat="false" ht="15" hidden="false" customHeight="true" outlineLevel="0" collapsed="false">
      <c r="A368" s="17" t="str">
        <f aca="false">IF($J368="","",INDEX('Auto Process'!$AP:$AP,$J368))</f>
        <v/>
      </c>
      <c r="B368" s="17" t="str">
        <f aca="false">IF($J368="","",INDEX('Auto Process'!$AQ:$AQ,$J368))</f>
        <v/>
      </c>
      <c r="C368" s="17" t="str">
        <f aca="false">IF($J368="","",INDEX('Auto Process'!$AR:$AR,$J368))</f>
        <v/>
      </c>
      <c r="D368" s="17" t="str">
        <f aca="false">IF($J368="","",INDEX('Auto Process'!$AS:$AS,$J368))</f>
        <v/>
      </c>
      <c r="E368" s="17" t="str">
        <f aca="false">IF($J368="","",INDEX('Auto Process'!$AT:$AT,$J368))</f>
        <v/>
      </c>
      <c r="F368" s="17" t="str">
        <f aca="false">IF($J368="","",INDEX('Auto Process'!$AU:$AU,$J368))</f>
        <v/>
      </c>
      <c r="G368" s="17" t="str">
        <f aca="false">IF($J368="","",INDEX('Auto Process'!$AV:$AV,$J368))</f>
        <v/>
      </c>
      <c r="H368" s="17" t="str">
        <f aca="false">IF($J368="","",INDEX('Auto Process'!$AW:$AW,$J368))</f>
        <v/>
      </c>
      <c r="J368" s="14" t="str">
        <f aca="false">IFERROR(_xlfn.AGGREGATE(15,6,ROW('Auto Process'!$D$4:$D$503)/('Auto Process'!$D$4:$D$503="Followup"),ROW()-1),"")</f>
        <v/>
      </c>
    </row>
    <row r="369" customFormat="false" ht="15" hidden="false" customHeight="true" outlineLevel="0" collapsed="false">
      <c r="A369" s="17" t="str">
        <f aca="false">IF($J369="","",INDEX('Auto Process'!$AP:$AP,$J369))</f>
        <v/>
      </c>
      <c r="B369" s="17" t="str">
        <f aca="false">IF($J369="","",INDEX('Auto Process'!$AQ:$AQ,$J369))</f>
        <v/>
      </c>
      <c r="C369" s="17" t="str">
        <f aca="false">IF($J369="","",INDEX('Auto Process'!$AR:$AR,$J369))</f>
        <v/>
      </c>
      <c r="D369" s="17" t="str">
        <f aca="false">IF($J369="","",INDEX('Auto Process'!$AS:$AS,$J369))</f>
        <v/>
      </c>
      <c r="E369" s="17" t="str">
        <f aca="false">IF($J369="","",INDEX('Auto Process'!$AT:$AT,$J369))</f>
        <v/>
      </c>
      <c r="F369" s="17" t="str">
        <f aca="false">IF($J369="","",INDEX('Auto Process'!$AU:$AU,$J369))</f>
        <v/>
      </c>
      <c r="G369" s="17" t="str">
        <f aca="false">IF($J369="","",INDEX('Auto Process'!$AV:$AV,$J369))</f>
        <v/>
      </c>
      <c r="H369" s="17" t="str">
        <f aca="false">IF($J369="","",INDEX('Auto Process'!$AW:$AW,$J369))</f>
        <v/>
      </c>
      <c r="J369" s="14" t="str">
        <f aca="false">IFERROR(_xlfn.AGGREGATE(15,6,ROW('Auto Process'!$D$4:$D$503)/('Auto Process'!$D$4:$D$503="Followup"),ROW()-1),"")</f>
        <v/>
      </c>
    </row>
    <row r="370" customFormat="false" ht="15" hidden="false" customHeight="true" outlineLevel="0" collapsed="false">
      <c r="A370" s="17" t="str">
        <f aca="false">IF($J370="","",INDEX('Auto Process'!$AP:$AP,$J370))</f>
        <v/>
      </c>
      <c r="B370" s="17" t="str">
        <f aca="false">IF($J370="","",INDEX('Auto Process'!$AQ:$AQ,$J370))</f>
        <v/>
      </c>
      <c r="C370" s="17" t="str">
        <f aca="false">IF($J370="","",INDEX('Auto Process'!$AR:$AR,$J370))</f>
        <v/>
      </c>
      <c r="D370" s="17" t="str">
        <f aca="false">IF($J370="","",INDEX('Auto Process'!$AS:$AS,$J370))</f>
        <v/>
      </c>
      <c r="E370" s="17" t="str">
        <f aca="false">IF($J370="","",INDEX('Auto Process'!$AT:$AT,$J370))</f>
        <v/>
      </c>
      <c r="F370" s="17" t="str">
        <f aca="false">IF($J370="","",INDEX('Auto Process'!$AU:$AU,$J370))</f>
        <v/>
      </c>
      <c r="G370" s="17" t="str">
        <f aca="false">IF($J370="","",INDEX('Auto Process'!$AV:$AV,$J370))</f>
        <v/>
      </c>
      <c r="H370" s="17" t="str">
        <f aca="false">IF($J370="","",INDEX('Auto Process'!$AW:$AW,$J370))</f>
        <v/>
      </c>
      <c r="J370" s="14" t="str">
        <f aca="false">IFERROR(_xlfn.AGGREGATE(15,6,ROW('Auto Process'!$D$4:$D$503)/('Auto Process'!$D$4:$D$503="Followup"),ROW()-1),"")</f>
        <v/>
      </c>
    </row>
    <row r="371" customFormat="false" ht="15" hidden="false" customHeight="true" outlineLevel="0" collapsed="false">
      <c r="A371" s="17" t="str">
        <f aca="false">IF($J371="","",INDEX('Auto Process'!$AP:$AP,$J371))</f>
        <v/>
      </c>
      <c r="B371" s="17" t="str">
        <f aca="false">IF($J371="","",INDEX('Auto Process'!$AQ:$AQ,$J371))</f>
        <v/>
      </c>
      <c r="C371" s="17" t="str">
        <f aca="false">IF($J371="","",INDEX('Auto Process'!$AR:$AR,$J371))</f>
        <v/>
      </c>
      <c r="D371" s="17" t="str">
        <f aca="false">IF($J371="","",INDEX('Auto Process'!$AS:$AS,$J371))</f>
        <v/>
      </c>
      <c r="E371" s="17" t="str">
        <f aca="false">IF($J371="","",INDEX('Auto Process'!$AT:$AT,$J371))</f>
        <v/>
      </c>
      <c r="F371" s="17" t="str">
        <f aca="false">IF($J371="","",INDEX('Auto Process'!$AU:$AU,$J371))</f>
        <v/>
      </c>
      <c r="G371" s="17" t="str">
        <f aca="false">IF($J371="","",INDEX('Auto Process'!$AV:$AV,$J371))</f>
        <v/>
      </c>
      <c r="H371" s="17" t="str">
        <f aca="false">IF($J371="","",INDEX('Auto Process'!$AW:$AW,$J371))</f>
        <v/>
      </c>
      <c r="J371" s="14" t="str">
        <f aca="false">IFERROR(_xlfn.AGGREGATE(15,6,ROW('Auto Process'!$D$4:$D$503)/('Auto Process'!$D$4:$D$503="Followup"),ROW()-1),"")</f>
        <v/>
      </c>
    </row>
    <row r="372" customFormat="false" ht="15" hidden="false" customHeight="true" outlineLevel="0" collapsed="false">
      <c r="A372" s="17" t="str">
        <f aca="false">IF($J372="","",INDEX('Auto Process'!$AP:$AP,$J372))</f>
        <v/>
      </c>
      <c r="B372" s="17" t="str">
        <f aca="false">IF($J372="","",INDEX('Auto Process'!$AQ:$AQ,$J372))</f>
        <v/>
      </c>
      <c r="C372" s="17" t="str">
        <f aca="false">IF($J372="","",INDEX('Auto Process'!$AR:$AR,$J372))</f>
        <v/>
      </c>
      <c r="D372" s="17" t="str">
        <f aca="false">IF($J372="","",INDEX('Auto Process'!$AS:$AS,$J372))</f>
        <v/>
      </c>
      <c r="E372" s="17" t="str">
        <f aca="false">IF($J372="","",INDEX('Auto Process'!$AT:$AT,$J372))</f>
        <v/>
      </c>
      <c r="F372" s="17" t="str">
        <f aca="false">IF($J372="","",INDEX('Auto Process'!$AU:$AU,$J372))</f>
        <v/>
      </c>
      <c r="G372" s="17" t="str">
        <f aca="false">IF($J372="","",INDEX('Auto Process'!$AV:$AV,$J372))</f>
        <v/>
      </c>
      <c r="H372" s="17" t="str">
        <f aca="false">IF($J372="","",INDEX('Auto Process'!$AW:$AW,$J372))</f>
        <v/>
      </c>
      <c r="J372" s="14" t="str">
        <f aca="false">IFERROR(_xlfn.AGGREGATE(15,6,ROW('Auto Process'!$D$4:$D$503)/('Auto Process'!$D$4:$D$503="Followup"),ROW()-1),"")</f>
        <v/>
      </c>
    </row>
    <row r="373" customFormat="false" ht="15" hidden="false" customHeight="true" outlineLevel="0" collapsed="false">
      <c r="A373" s="17" t="str">
        <f aca="false">IF($J373="","",INDEX('Auto Process'!$AP:$AP,$J373))</f>
        <v/>
      </c>
      <c r="B373" s="17" t="str">
        <f aca="false">IF($J373="","",INDEX('Auto Process'!$AQ:$AQ,$J373))</f>
        <v/>
      </c>
      <c r="C373" s="17" t="str">
        <f aca="false">IF($J373="","",INDEX('Auto Process'!$AR:$AR,$J373))</f>
        <v/>
      </c>
      <c r="D373" s="17" t="str">
        <f aca="false">IF($J373="","",INDEX('Auto Process'!$AS:$AS,$J373))</f>
        <v/>
      </c>
      <c r="E373" s="17" t="str">
        <f aca="false">IF($J373="","",INDEX('Auto Process'!$AT:$AT,$J373))</f>
        <v/>
      </c>
      <c r="F373" s="17" t="str">
        <f aca="false">IF($J373="","",INDEX('Auto Process'!$AU:$AU,$J373))</f>
        <v/>
      </c>
      <c r="G373" s="17" t="str">
        <f aca="false">IF($J373="","",INDEX('Auto Process'!$AV:$AV,$J373))</f>
        <v/>
      </c>
      <c r="H373" s="17" t="str">
        <f aca="false">IF($J373="","",INDEX('Auto Process'!$AW:$AW,$J373))</f>
        <v/>
      </c>
      <c r="J373" s="14" t="str">
        <f aca="false">IFERROR(_xlfn.AGGREGATE(15,6,ROW('Auto Process'!$D$4:$D$503)/('Auto Process'!$D$4:$D$503="Followup"),ROW()-1),"")</f>
        <v/>
      </c>
    </row>
    <row r="374" customFormat="false" ht="15" hidden="false" customHeight="true" outlineLevel="0" collapsed="false">
      <c r="A374" s="17" t="str">
        <f aca="false">IF($J374="","",INDEX('Auto Process'!$AP:$AP,$J374))</f>
        <v/>
      </c>
      <c r="B374" s="17" t="str">
        <f aca="false">IF($J374="","",INDEX('Auto Process'!$AQ:$AQ,$J374))</f>
        <v/>
      </c>
      <c r="C374" s="17" t="str">
        <f aca="false">IF($J374="","",INDEX('Auto Process'!$AR:$AR,$J374))</f>
        <v/>
      </c>
      <c r="D374" s="17" t="str">
        <f aca="false">IF($J374="","",INDEX('Auto Process'!$AS:$AS,$J374))</f>
        <v/>
      </c>
      <c r="E374" s="17" t="str">
        <f aca="false">IF($J374="","",INDEX('Auto Process'!$AT:$AT,$J374))</f>
        <v/>
      </c>
      <c r="F374" s="17" t="str">
        <f aca="false">IF($J374="","",INDEX('Auto Process'!$AU:$AU,$J374))</f>
        <v/>
      </c>
      <c r="G374" s="17" t="str">
        <f aca="false">IF($J374="","",INDEX('Auto Process'!$AV:$AV,$J374))</f>
        <v/>
      </c>
      <c r="H374" s="17" t="str">
        <f aca="false">IF($J374="","",INDEX('Auto Process'!$AW:$AW,$J374))</f>
        <v/>
      </c>
      <c r="J374" s="14" t="str">
        <f aca="false">IFERROR(_xlfn.AGGREGATE(15,6,ROW('Auto Process'!$D$4:$D$503)/('Auto Process'!$D$4:$D$503="Followup"),ROW()-1),"")</f>
        <v/>
      </c>
    </row>
    <row r="375" customFormat="false" ht="15" hidden="false" customHeight="true" outlineLevel="0" collapsed="false">
      <c r="A375" s="17" t="str">
        <f aca="false">IF($J375="","",INDEX('Auto Process'!$AP:$AP,$J375))</f>
        <v/>
      </c>
      <c r="B375" s="17" t="str">
        <f aca="false">IF($J375="","",INDEX('Auto Process'!$AQ:$AQ,$J375))</f>
        <v/>
      </c>
      <c r="C375" s="17" t="str">
        <f aca="false">IF($J375="","",INDEX('Auto Process'!$AR:$AR,$J375))</f>
        <v/>
      </c>
      <c r="D375" s="17" t="str">
        <f aca="false">IF($J375="","",INDEX('Auto Process'!$AS:$AS,$J375))</f>
        <v/>
      </c>
      <c r="E375" s="17" t="str">
        <f aca="false">IF($J375="","",INDEX('Auto Process'!$AT:$AT,$J375))</f>
        <v/>
      </c>
      <c r="F375" s="17" t="str">
        <f aca="false">IF($J375="","",INDEX('Auto Process'!$AU:$AU,$J375))</f>
        <v/>
      </c>
      <c r="G375" s="17" t="str">
        <f aca="false">IF($J375="","",INDEX('Auto Process'!$AV:$AV,$J375))</f>
        <v/>
      </c>
      <c r="H375" s="17" t="str">
        <f aca="false">IF($J375="","",INDEX('Auto Process'!$AW:$AW,$J375))</f>
        <v/>
      </c>
      <c r="J375" s="14" t="str">
        <f aca="false">IFERROR(_xlfn.AGGREGATE(15,6,ROW('Auto Process'!$D$4:$D$503)/('Auto Process'!$D$4:$D$503="Followup"),ROW()-1),"")</f>
        <v/>
      </c>
    </row>
    <row r="376" customFormat="false" ht="15" hidden="false" customHeight="true" outlineLevel="0" collapsed="false">
      <c r="A376" s="17" t="str">
        <f aca="false">IF($J376="","",INDEX('Auto Process'!$AP:$AP,$J376))</f>
        <v/>
      </c>
      <c r="B376" s="17" t="str">
        <f aca="false">IF($J376="","",INDEX('Auto Process'!$AQ:$AQ,$J376))</f>
        <v/>
      </c>
      <c r="C376" s="17" t="str">
        <f aca="false">IF($J376="","",INDEX('Auto Process'!$AR:$AR,$J376))</f>
        <v/>
      </c>
      <c r="D376" s="17" t="str">
        <f aca="false">IF($J376="","",INDEX('Auto Process'!$AS:$AS,$J376))</f>
        <v/>
      </c>
      <c r="E376" s="17" t="str">
        <f aca="false">IF($J376="","",INDEX('Auto Process'!$AT:$AT,$J376))</f>
        <v/>
      </c>
      <c r="F376" s="17" t="str">
        <f aca="false">IF($J376="","",INDEX('Auto Process'!$AU:$AU,$J376))</f>
        <v/>
      </c>
      <c r="G376" s="17" t="str">
        <f aca="false">IF($J376="","",INDEX('Auto Process'!$AV:$AV,$J376))</f>
        <v/>
      </c>
      <c r="H376" s="17" t="str">
        <f aca="false">IF($J376="","",INDEX('Auto Process'!$AW:$AW,$J376))</f>
        <v/>
      </c>
      <c r="J376" s="14" t="str">
        <f aca="false">IFERROR(_xlfn.AGGREGATE(15,6,ROW('Auto Process'!$D$4:$D$503)/('Auto Process'!$D$4:$D$503="Followup"),ROW()-1),"")</f>
        <v/>
      </c>
    </row>
    <row r="377" customFormat="false" ht="15" hidden="false" customHeight="true" outlineLevel="0" collapsed="false">
      <c r="A377" s="17" t="str">
        <f aca="false">IF($J377="","",INDEX('Auto Process'!$AP:$AP,$J377))</f>
        <v/>
      </c>
      <c r="B377" s="17" t="str">
        <f aca="false">IF($J377="","",INDEX('Auto Process'!$AQ:$AQ,$J377))</f>
        <v/>
      </c>
      <c r="C377" s="17" t="str">
        <f aca="false">IF($J377="","",INDEX('Auto Process'!$AR:$AR,$J377))</f>
        <v/>
      </c>
      <c r="D377" s="17" t="str">
        <f aca="false">IF($J377="","",INDEX('Auto Process'!$AS:$AS,$J377))</f>
        <v/>
      </c>
      <c r="E377" s="17" t="str">
        <f aca="false">IF($J377="","",INDEX('Auto Process'!$AT:$AT,$J377))</f>
        <v/>
      </c>
      <c r="F377" s="17" t="str">
        <f aca="false">IF($J377="","",INDEX('Auto Process'!$AU:$AU,$J377))</f>
        <v/>
      </c>
      <c r="G377" s="17" t="str">
        <f aca="false">IF($J377="","",INDEX('Auto Process'!$AV:$AV,$J377))</f>
        <v/>
      </c>
      <c r="H377" s="17" t="str">
        <f aca="false">IF($J377="","",INDEX('Auto Process'!$AW:$AW,$J377))</f>
        <v/>
      </c>
      <c r="J377" s="14" t="str">
        <f aca="false">IFERROR(_xlfn.AGGREGATE(15,6,ROW('Auto Process'!$D$4:$D$503)/('Auto Process'!$D$4:$D$503="Followup"),ROW()-1),"")</f>
        <v/>
      </c>
    </row>
    <row r="378" customFormat="false" ht="15" hidden="false" customHeight="true" outlineLevel="0" collapsed="false">
      <c r="A378" s="17" t="str">
        <f aca="false">IF($J378="","",INDEX('Auto Process'!$AP:$AP,$J378))</f>
        <v/>
      </c>
      <c r="B378" s="17" t="str">
        <f aca="false">IF($J378="","",INDEX('Auto Process'!$AQ:$AQ,$J378))</f>
        <v/>
      </c>
      <c r="C378" s="17" t="str">
        <f aca="false">IF($J378="","",INDEX('Auto Process'!$AR:$AR,$J378))</f>
        <v/>
      </c>
      <c r="D378" s="17" t="str">
        <f aca="false">IF($J378="","",INDEX('Auto Process'!$AS:$AS,$J378))</f>
        <v/>
      </c>
      <c r="E378" s="17" t="str">
        <f aca="false">IF($J378="","",INDEX('Auto Process'!$AT:$AT,$J378))</f>
        <v/>
      </c>
      <c r="F378" s="17" t="str">
        <f aca="false">IF($J378="","",INDEX('Auto Process'!$AU:$AU,$J378))</f>
        <v/>
      </c>
      <c r="G378" s="17" t="str">
        <f aca="false">IF($J378="","",INDEX('Auto Process'!$AV:$AV,$J378))</f>
        <v/>
      </c>
      <c r="H378" s="17" t="str">
        <f aca="false">IF($J378="","",INDEX('Auto Process'!$AW:$AW,$J378))</f>
        <v/>
      </c>
      <c r="J378" s="14" t="str">
        <f aca="false">IFERROR(_xlfn.AGGREGATE(15,6,ROW('Auto Process'!$D$4:$D$503)/('Auto Process'!$D$4:$D$503="Followup"),ROW()-1),"")</f>
        <v/>
      </c>
    </row>
    <row r="379" customFormat="false" ht="15" hidden="false" customHeight="true" outlineLevel="0" collapsed="false">
      <c r="A379" s="17" t="str">
        <f aca="false">IF($J379="","",INDEX('Auto Process'!$AP:$AP,$J379))</f>
        <v/>
      </c>
      <c r="B379" s="17" t="str">
        <f aca="false">IF($J379="","",INDEX('Auto Process'!$AQ:$AQ,$J379))</f>
        <v/>
      </c>
      <c r="C379" s="17" t="str">
        <f aca="false">IF($J379="","",INDEX('Auto Process'!$AR:$AR,$J379))</f>
        <v/>
      </c>
      <c r="D379" s="17" t="str">
        <f aca="false">IF($J379="","",INDEX('Auto Process'!$AS:$AS,$J379))</f>
        <v/>
      </c>
      <c r="E379" s="17" t="str">
        <f aca="false">IF($J379="","",INDEX('Auto Process'!$AT:$AT,$J379))</f>
        <v/>
      </c>
      <c r="F379" s="17" t="str">
        <f aca="false">IF($J379="","",INDEX('Auto Process'!$AU:$AU,$J379))</f>
        <v/>
      </c>
      <c r="G379" s="17" t="str">
        <f aca="false">IF($J379="","",INDEX('Auto Process'!$AV:$AV,$J379))</f>
        <v/>
      </c>
      <c r="H379" s="17" t="str">
        <f aca="false">IF($J379="","",INDEX('Auto Process'!$AW:$AW,$J379))</f>
        <v/>
      </c>
      <c r="J379" s="14" t="str">
        <f aca="false">IFERROR(_xlfn.AGGREGATE(15,6,ROW('Auto Process'!$D$4:$D$503)/('Auto Process'!$D$4:$D$503="Followup"),ROW()-1),"")</f>
        <v/>
      </c>
    </row>
    <row r="380" customFormat="false" ht="15" hidden="false" customHeight="true" outlineLevel="0" collapsed="false">
      <c r="A380" s="17" t="str">
        <f aca="false">IF($J380="","",INDEX('Auto Process'!$AP:$AP,$J380))</f>
        <v/>
      </c>
      <c r="B380" s="17" t="str">
        <f aca="false">IF($J380="","",INDEX('Auto Process'!$AQ:$AQ,$J380))</f>
        <v/>
      </c>
      <c r="C380" s="17" t="str">
        <f aca="false">IF($J380="","",INDEX('Auto Process'!$AR:$AR,$J380))</f>
        <v/>
      </c>
      <c r="D380" s="17" t="str">
        <f aca="false">IF($J380="","",INDEX('Auto Process'!$AS:$AS,$J380))</f>
        <v/>
      </c>
      <c r="E380" s="17" t="str">
        <f aca="false">IF($J380="","",INDEX('Auto Process'!$AT:$AT,$J380))</f>
        <v/>
      </c>
      <c r="F380" s="17" t="str">
        <f aca="false">IF($J380="","",INDEX('Auto Process'!$AU:$AU,$J380))</f>
        <v/>
      </c>
      <c r="G380" s="17" t="str">
        <f aca="false">IF($J380="","",INDEX('Auto Process'!$AV:$AV,$J380))</f>
        <v/>
      </c>
      <c r="H380" s="17" t="str">
        <f aca="false">IF($J380="","",INDEX('Auto Process'!$AW:$AW,$J380))</f>
        <v/>
      </c>
      <c r="J380" s="14" t="str">
        <f aca="false">IFERROR(_xlfn.AGGREGATE(15,6,ROW('Auto Process'!$D$4:$D$503)/('Auto Process'!$D$4:$D$503="Followup"),ROW()-1),"")</f>
        <v/>
      </c>
    </row>
    <row r="381" customFormat="false" ht="15" hidden="false" customHeight="true" outlineLevel="0" collapsed="false">
      <c r="A381" s="17" t="str">
        <f aca="false">IF($J381="","",INDEX('Auto Process'!$AP:$AP,$J381))</f>
        <v/>
      </c>
      <c r="B381" s="17" t="str">
        <f aca="false">IF($J381="","",INDEX('Auto Process'!$AQ:$AQ,$J381))</f>
        <v/>
      </c>
      <c r="C381" s="17" t="str">
        <f aca="false">IF($J381="","",INDEX('Auto Process'!$AR:$AR,$J381))</f>
        <v/>
      </c>
      <c r="D381" s="17" t="str">
        <f aca="false">IF($J381="","",INDEX('Auto Process'!$AS:$AS,$J381))</f>
        <v/>
      </c>
      <c r="E381" s="17" t="str">
        <f aca="false">IF($J381="","",INDEX('Auto Process'!$AT:$AT,$J381))</f>
        <v/>
      </c>
      <c r="F381" s="17" t="str">
        <f aca="false">IF($J381="","",INDEX('Auto Process'!$AU:$AU,$J381))</f>
        <v/>
      </c>
      <c r="G381" s="17" t="str">
        <f aca="false">IF($J381="","",INDEX('Auto Process'!$AV:$AV,$J381))</f>
        <v/>
      </c>
      <c r="H381" s="17" t="str">
        <f aca="false">IF($J381="","",INDEX('Auto Process'!$AW:$AW,$J381))</f>
        <v/>
      </c>
      <c r="J381" s="14" t="str">
        <f aca="false">IFERROR(_xlfn.AGGREGATE(15,6,ROW('Auto Process'!$D$4:$D$503)/('Auto Process'!$D$4:$D$503="Followup"),ROW()-1),"")</f>
        <v/>
      </c>
    </row>
    <row r="382" customFormat="false" ht="15" hidden="false" customHeight="true" outlineLevel="0" collapsed="false">
      <c r="A382" s="17" t="str">
        <f aca="false">IF($J382="","",INDEX('Auto Process'!$AP:$AP,$J382))</f>
        <v/>
      </c>
      <c r="B382" s="17" t="str">
        <f aca="false">IF($J382="","",INDEX('Auto Process'!$AQ:$AQ,$J382))</f>
        <v/>
      </c>
      <c r="C382" s="17" t="str">
        <f aca="false">IF($J382="","",INDEX('Auto Process'!$AR:$AR,$J382))</f>
        <v/>
      </c>
      <c r="D382" s="17" t="str">
        <f aca="false">IF($J382="","",INDEX('Auto Process'!$AS:$AS,$J382))</f>
        <v/>
      </c>
      <c r="E382" s="17" t="str">
        <f aca="false">IF($J382="","",INDEX('Auto Process'!$AT:$AT,$J382))</f>
        <v/>
      </c>
      <c r="F382" s="17" t="str">
        <f aca="false">IF($J382="","",INDEX('Auto Process'!$AU:$AU,$J382))</f>
        <v/>
      </c>
      <c r="G382" s="17" t="str">
        <f aca="false">IF($J382="","",INDEX('Auto Process'!$AV:$AV,$J382))</f>
        <v/>
      </c>
      <c r="H382" s="17" t="str">
        <f aca="false">IF($J382="","",INDEX('Auto Process'!$AW:$AW,$J382))</f>
        <v/>
      </c>
      <c r="J382" s="14" t="str">
        <f aca="false">IFERROR(_xlfn.AGGREGATE(15,6,ROW('Auto Process'!$D$4:$D$503)/('Auto Process'!$D$4:$D$503="Followup"),ROW()-1),"")</f>
        <v/>
      </c>
    </row>
    <row r="383" customFormat="false" ht="15" hidden="false" customHeight="true" outlineLevel="0" collapsed="false">
      <c r="A383" s="17" t="str">
        <f aca="false">IF($J383="","",INDEX('Auto Process'!$AP:$AP,$J383))</f>
        <v/>
      </c>
      <c r="B383" s="17" t="str">
        <f aca="false">IF($J383="","",INDEX('Auto Process'!$AQ:$AQ,$J383))</f>
        <v/>
      </c>
      <c r="C383" s="17" t="str">
        <f aca="false">IF($J383="","",INDEX('Auto Process'!$AR:$AR,$J383))</f>
        <v/>
      </c>
      <c r="D383" s="17" t="str">
        <f aca="false">IF($J383="","",INDEX('Auto Process'!$AS:$AS,$J383))</f>
        <v/>
      </c>
      <c r="E383" s="17" t="str">
        <f aca="false">IF($J383="","",INDEX('Auto Process'!$AT:$AT,$J383))</f>
        <v/>
      </c>
      <c r="F383" s="17" t="str">
        <f aca="false">IF($J383="","",INDEX('Auto Process'!$AU:$AU,$J383))</f>
        <v/>
      </c>
      <c r="G383" s="17" t="str">
        <f aca="false">IF($J383="","",INDEX('Auto Process'!$AV:$AV,$J383))</f>
        <v/>
      </c>
      <c r="H383" s="17" t="str">
        <f aca="false">IF($J383="","",INDEX('Auto Process'!$AW:$AW,$J383))</f>
        <v/>
      </c>
      <c r="J383" s="14" t="str">
        <f aca="false">IFERROR(_xlfn.AGGREGATE(15,6,ROW('Auto Process'!$D$4:$D$503)/('Auto Process'!$D$4:$D$503="Followup"),ROW()-1),"")</f>
        <v/>
      </c>
    </row>
    <row r="384" customFormat="false" ht="15" hidden="false" customHeight="true" outlineLevel="0" collapsed="false">
      <c r="A384" s="17" t="str">
        <f aca="false">IF($J384="","",INDEX('Auto Process'!$AP:$AP,$J384))</f>
        <v/>
      </c>
      <c r="B384" s="17" t="str">
        <f aca="false">IF($J384="","",INDEX('Auto Process'!$AQ:$AQ,$J384))</f>
        <v/>
      </c>
      <c r="C384" s="17" t="str">
        <f aca="false">IF($J384="","",INDEX('Auto Process'!$AR:$AR,$J384))</f>
        <v/>
      </c>
      <c r="D384" s="17" t="str">
        <f aca="false">IF($J384="","",INDEX('Auto Process'!$AS:$AS,$J384))</f>
        <v/>
      </c>
      <c r="E384" s="17" t="str">
        <f aca="false">IF($J384="","",INDEX('Auto Process'!$AT:$AT,$J384))</f>
        <v/>
      </c>
      <c r="F384" s="17" t="str">
        <f aca="false">IF($J384="","",INDEX('Auto Process'!$AU:$AU,$J384))</f>
        <v/>
      </c>
      <c r="G384" s="17" t="str">
        <f aca="false">IF($J384="","",INDEX('Auto Process'!$AV:$AV,$J384))</f>
        <v/>
      </c>
      <c r="H384" s="17" t="str">
        <f aca="false">IF($J384="","",INDEX('Auto Process'!$AW:$AW,$J384))</f>
        <v/>
      </c>
      <c r="J384" s="14" t="str">
        <f aca="false">IFERROR(_xlfn.AGGREGATE(15,6,ROW('Auto Process'!$D$4:$D$503)/('Auto Process'!$D$4:$D$503="Followup"),ROW()-1),"")</f>
        <v/>
      </c>
    </row>
    <row r="385" customFormat="false" ht="15" hidden="false" customHeight="true" outlineLevel="0" collapsed="false">
      <c r="A385" s="17" t="str">
        <f aca="false">IF($J385="","",INDEX('Auto Process'!$AP:$AP,$J385))</f>
        <v/>
      </c>
      <c r="B385" s="17" t="str">
        <f aca="false">IF($J385="","",INDEX('Auto Process'!$AQ:$AQ,$J385))</f>
        <v/>
      </c>
      <c r="C385" s="17" t="str">
        <f aca="false">IF($J385="","",INDEX('Auto Process'!$AR:$AR,$J385))</f>
        <v/>
      </c>
      <c r="D385" s="17" t="str">
        <f aca="false">IF($J385="","",INDEX('Auto Process'!$AS:$AS,$J385))</f>
        <v/>
      </c>
      <c r="E385" s="17" t="str">
        <f aca="false">IF($J385="","",INDEX('Auto Process'!$AT:$AT,$J385))</f>
        <v/>
      </c>
      <c r="F385" s="17" t="str">
        <f aca="false">IF($J385="","",INDEX('Auto Process'!$AU:$AU,$J385))</f>
        <v/>
      </c>
      <c r="G385" s="17" t="str">
        <f aca="false">IF($J385="","",INDEX('Auto Process'!$AV:$AV,$J385))</f>
        <v/>
      </c>
      <c r="H385" s="17" t="str">
        <f aca="false">IF($J385="","",INDEX('Auto Process'!$AW:$AW,$J385))</f>
        <v/>
      </c>
      <c r="J385" s="14" t="str">
        <f aca="false">IFERROR(_xlfn.AGGREGATE(15,6,ROW('Auto Process'!$D$4:$D$503)/('Auto Process'!$D$4:$D$503="Followup"),ROW()-1),"")</f>
        <v/>
      </c>
    </row>
    <row r="386" customFormat="false" ht="15" hidden="false" customHeight="true" outlineLevel="0" collapsed="false">
      <c r="A386" s="17" t="str">
        <f aca="false">IF($J386="","",INDEX('Auto Process'!$AP:$AP,$J386))</f>
        <v/>
      </c>
      <c r="B386" s="17" t="str">
        <f aca="false">IF($J386="","",INDEX('Auto Process'!$AQ:$AQ,$J386))</f>
        <v/>
      </c>
      <c r="C386" s="17" t="str">
        <f aca="false">IF($J386="","",INDEX('Auto Process'!$AR:$AR,$J386))</f>
        <v/>
      </c>
      <c r="D386" s="17" t="str">
        <f aca="false">IF($J386="","",INDEX('Auto Process'!$AS:$AS,$J386))</f>
        <v/>
      </c>
      <c r="E386" s="17" t="str">
        <f aca="false">IF($J386="","",INDEX('Auto Process'!$AT:$AT,$J386))</f>
        <v/>
      </c>
      <c r="F386" s="17" t="str">
        <f aca="false">IF($J386="","",INDEX('Auto Process'!$AU:$AU,$J386))</f>
        <v/>
      </c>
      <c r="G386" s="17" t="str">
        <f aca="false">IF($J386="","",INDEX('Auto Process'!$AV:$AV,$J386))</f>
        <v/>
      </c>
      <c r="H386" s="17" t="str">
        <f aca="false">IF($J386="","",INDEX('Auto Process'!$AW:$AW,$J386))</f>
        <v/>
      </c>
      <c r="J386" s="14" t="str">
        <f aca="false">IFERROR(_xlfn.AGGREGATE(15,6,ROW('Auto Process'!$D$4:$D$503)/('Auto Process'!$D$4:$D$503="Followup"),ROW()-1),"")</f>
        <v/>
      </c>
    </row>
    <row r="387" customFormat="false" ht="15" hidden="false" customHeight="true" outlineLevel="0" collapsed="false">
      <c r="A387" s="17" t="str">
        <f aca="false">IF($J387="","",INDEX('Auto Process'!$AP:$AP,$J387))</f>
        <v/>
      </c>
      <c r="B387" s="17" t="str">
        <f aca="false">IF($J387="","",INDEX('Auto Process'!$AQ:$AQ,$J387))</f>
        <v/>
      </c>
      <c r="C387" s="17" t="str">
        <f aca="false">IF($J387="","",INDEX('Auto Process'!$AR:$AR,$J387))</f>
        <v/>
      </c>
      <c r="D387" s="17" t="str">
        <f aca="false">IF($J387="","",INDEX('Auto Process'!$AS:$AS,$J387))</f>
        <v/>
      </c>
      <c r="E387" s="17" t="str">
        <f aca="false">IF($J387="","",INDEX('Auto Process'!$AT:$AT,$J387))</f>
        <v/>
      </c>
      <c r="F387" s="17" t="str">
        <f aca="false">IF($J387="","",INDEX('Auto Process'!$AU:$AU,$J387))</f>
        <v/>
      </c>
      <c r="G387" s="17" t="str">
        <f aca="false">IF($J387="","",INDEX('Auto Process'!$AV:$AV,$J387))</f>
        <v/>
      </c>
      <c r="H387" s="17" t="str">
        <f aca="false">IF($J387="","",INDEX('Auto Process'!$AW:$AW,$J387))</f>
        <v/>
      </c>
      <c r="J387" s="14" t="str">
        <f aca="false">IFERROR(_xlfn.AGGREGATE(15,6,ROW('Auto Process'!$D$4:$D$503)/('Auto Process'!$D$4:$D$503="Followup"),ROW()-1),"")</f>
        <v/>
      </c>
    </row>
    <row r="388" customFormat="false" ht="15" hidden="false" customHeight="true" outlineLevel="0" collapsed="false">
      <c r="A388" s="17" t="str">
        <f aca="false">IF($J388="","",INDEX('Auto Process'!$AP:$AP,$J388))</f>
        <v/>
      </c>
      <c r="B388" s="17" t="str">
        <f aca="false">IF($J388="","",INDEX('Auto Process'!$AQ:$AQ,$J388))</f>
        <v/>
      </c>
      <c r="C388" s="17" t="str">
        <f aca="false">IF($J388="","",INDEX('Auto Process'!$AR:$AR,$J388))</f>
        <v/>
      </c>
      <c r="D388" s="17" t="str">
        <f aca="false">IF($J388="","",INDEX('Auto Process'!$AS:$AS,$J388))</f>
        <v/>
      </c>
      <c r="E388" s="17" t="str">
        <f aca="false">IF($J388="","",INDEX('Auto Process'!$AT:$AT,$J388))</f>
        <v/>
      </c>
      <c r="F388" s="17" t="str">
        <f aca="false">IF($J388="","",INDEX('Auto Process'!$AU:$AU,$J388))</f>
        <v/>
      </c>
      <c r="G388" s="17" t="str">
        <f aca="false">IF($J388="","",INDEX('Auto Process'!$AV:$AV,$J388))</f>
        <v/>
      </c>
      <c r="H388" s="17" t="str">
        <f aca="false">IF($J388="","",INDEX('Auto Process'!$AW:$AW,$J388))</f>
        <v/>
      </c>
      <c r="J388" s="14" t="str">
        <f aca="false">IFERROR(_xlfn.AGGREGATE(15,6,ROW('Auto Process'!$D$4:$D$503)/('Auto Process'!$D$4:$D$503="Followup"),ROW()-1),"")</f>
        <v/>
      </c>
    </row>
    <row r="389" customFormat="false" ht="15" hidden="false" customHeight="true" outlineLevel="0" collapsed="false">
      <c r="A389" s="17" t="str">
        <f aca="false">IF($J389="","",INDEX('Auto Process'!$AP:$AP,$J389))</f>
        <v/>
      </c>
      <c r="B389" s="17" t="str">
        <f aca="false">IF($J389="","",INDEX('Auto Process'!$AQ:$AQ,$J389))</f>
        <v/>
      </c>
      <c r="C389" s="17" t="str">
        <f aca="false">IF($J389="","",INDEX('Auto Process'!$AR:$AR,$J389))</f>
        <v/>
      </c>
      <c r="D389" s="17" t="str">
        <f aca="false">IF($J389="","",INDEX('Auto Process'!$AS:$AS,$J389))</f>
        <v/>
      </c>
      <c r="E389" s="17" t="str">
        <f aca="false">IF($J389="","",INDEX('Auto Process'!$AT:$AT,$J389))</f>
        <v/>
      </c>
      <c r="F389" s="17" t="str">
        <f aca="false">IF($J389="","",INDEX('Auto Process'!$AU:$AU,$J389))</f>
        <v/>
      </c>
      <c r="G389" s="17" t="str">
        <f aca="false">IF($J389="","",INDEX('Auto Process'!$AV:$AV,$J389))</f>
        <v/>
      </c>
      <c r="H389" s="17" t="str">
        <f aca="false">IF($J389="","",INDEX('Auto Process'!$AW:$AW,$J389))</f>
        <v/>
      </c>
      <c r="J389" s="14" t="str">
        <f aca="false">IFERROR(_xlfn.AGGREGATE(15,6,ROW('Auto Process'!$D$4:$D$503)/('Auto Process'!$D$4:$D$503="Followup"),ROW()-1),"")</f>
        <v/>
      </c>
    </row>
    <row r="390" customFormat="false" ht="15" hidden="false" customHeight="true" outlineLevel="0" collapsed="false">
      <c r="A390" s="17" t="str">
        <f aca="false">IF($J390="","",INDEX('Auto Process'!$AP:$AP,$J390))</f>
        <v/>
      </c>
      <c r="B390" s="17" t="str">
        <f aca="false">IF($J390="","",INDEX('Auto Process'!$AQ:$AQ,$J390))</f>
        <v/>
      </c>
      <c r="C390" s="17" t="str">
        <f aca="false">IF($J390="","",INDEX('Auto Process'!$AR:$AR,$J390))</f>
        <v/>
      </c>
      <c r="D390" s="17" t="str">
        <f aca="false">IF($J390="","",INDEX('Auto Process'!$AS:$AS,$J390))</f>
        <v/>
      </c>
      <c r="E390" s="17" t="str">
        <f aca="false">IF($J390="","",INDEX('Auto Process'!$AT:$AT,$J390))</f>
        <v/>
      </c>
      <c r="F390" s="17" t="str">
        <f aca="false">IF($J390="","",INDEX('Auto Process'!$AU:$AU,$J390))</f>
        <v/>
      </c>
      <c r="G390" s="17" t="str">
        <f aca="false">IF($J390="","",INDEX('Auto Process'!$AV:$AV,$J390))</f>
        <v/>
      </c>
      <c r="H390" s="17" t="str">
        <f aca="false">IF($J390="","",INDEX('Auto Process'!$AW:$AW,$J390))</f>
        <v/>
      </c>
      <c r="J390" s="14" t="str">
        <f aca="false">IFERROR(_xlfn.AGGREGATE(15,6,ROW('Auto Process'!$D$4:$D$503)/('Auto Process'!$D$4:$D$503="Followup"),ROW()-1),"")</f>
        <v/>
      </c>
    </row>
    <row r="391" customFormat="false" ht="15" hidden="false" customHeight="true" outlineLevel="0" collapsed="false">
      <c r="A391" s="17" t="str">
        <f aca="false">IF($J391="","",INDEX('Auto Process'!$AP:$AP,$J391))</f>
        <v/>
      </c>
      <c r="B391" s="17" t="str">
        <f aca="false">IF($J391="","",INDEX('Auto Process'!$AQ:$AQ,$J391))</f>
        <v/>
      </c>
      <c r="C391" s="17" t="str">
        <f aca="false">IF($J391="","",INDEX('Auto Process'!$AR:$AR,$J391))</f>
        <v/>
      </c>
      <c r="D391" s="17" t="str">
        <f aca="false">IF($J391="","",INDEX('Auto Process'!$AS:$AS,$J391))</f>
        <v/>
      </c>
      <c r="E391" s="17" t="str">
        <f aca="false">IF($J391="","",INDEX('Auto Process'!$AT:$AT,$J391))</f>
        <v/>
      </c>
      <c r="F391" s="17" t="str">
        <f aca="false">IF($J391="","",INDEX('Auto Process'!$AU:$AU,$J391))</f>
        <v/>
      </c>
      <c r="G391" s="17" t="str">
        <f aca="false">IF($J391="","",INDEX('Auto Process'!$AV:$AV,$J391))</f>
        <v/>
      </c>
      <c r="H391" s="17" t="str">
        <f aca="false">IF($J391="","",INDEX('Auto Process'!$AW:$AW,$J391))</f>
        <v/>
      </c>
      <c r="J391" s="14" t="str">
        <f aca="false">IFERROR(_xlfn.AGGREGATE(15,6,ROW('Auto Process'!$D$4:$D$503)/('Auto Process'!$D$4:$D$503="Followup"),ROW()-1),"")</f>
        <v/>
      </c>
    </row>
    <row r="392" customFormat="false" ht="15" hidden="false" customHeight="true" outlineLevel="0" collapsed="false">
      <c r="A392" s="17" t="str">
        <f aca="false">IF($J392="","",INDEX('Auto Process'!$AP:$AP,$J392))</f>
        <v/>
      </c>
      <c r="B392" s="17" t="str">
        <f aca="false">IF($J392="","",INDEX('Auto Process'!$AQ:$AQ,$J392))</f>
        <v/>
      </c>
      <c r="C392" s="17" t="str">
        <f aca="false">IF($J392="","",INDEX('Auto Process'!$AR:$AR,$J392))</f>
        <v/>
      </c>
      <c r="D392" s="17" t="str">
        <f aca="false">IF($J392="","",INDEX('Auto Process'!$AS:$AS,$J392))</f>
        <v/>
      </c>
      <c r="E392" s="17" t="str">
        <f aca="false">IF($J392="","",INDEX('Auto Process'!$AT:$AT,$J392))</f>
        <v/>
      </c>
      <c r="F392" s="17" t="str">
        <f aca="false">IF($J392="","",INDEX('Auto Process'!$AU:$AU,$J392))</f>
        <v/>
      </c>
      <c r="G392" s="17" t="str">
        <f aca="false">IF($J392="","",INDEX('Auto Process'!$AV:$AV,$J392))</f>
        <v/>
      </c>
      <c r="H392" s="17" t="str">
        <f aca="false">IF($J392="","",INDEX('Auto Process'!$AW:$AW,$J392))</f>
        <v/>
      </c>
      <c r="J392" s="14" t="str">
        <f aca="false">IFERROR(_xlfn.AGGREGATE(15,6,ROW('Auto Process'!$D$4:$D$503)/('Auto Process'!$D$4:$D$503="Followup"),ROW()-1),"")</f>
        <v/>
      </c>
    </row>
    <row r="393" customFormat="false" ht="15" hidden="false" customHeight="true" outlineLevel="0" collapsed="false">
      <c r="A393" s="17" t="str">
        <f aca="false">IF($J393="","",INDEX('Auto Process'!$AP:$AP,$J393))</f>
        <v/>
      </c>
      <c r="B393" s="17" t="str">
        <f aca="false">IF($J393="","",INDEX('Auto Process'!$AQ:$AQ,$J393))</f>
        <v/>
      </c>
      <c r="C393" s="17" t="str">
        <f aca="false">IF($J393="","",INDEX('Auto Process'!$AR:$AR,$J393))</f>
        <v/>
      </c>
      <c r="D393" s="17" t="str">
        <f aca="false">IF($J393="","",INDEX('Auto Process'!$AS:$AS,$J393))</f>
        <v/>
      </c>
      <c r="E393" s="17" t="str">
        <f aca="false">IF($J393="","",INDEX('Auto Process'!$AT:$AT,$J393))</f>
        <v/>
      </c>
      <c r="F393" s="17" t="str">
        <f aca="false">IF($J393="","",INDEX('Auto Process'!$AU:$AU,$J393))</f>
        <v/>
      </c>
      <c r="G393" s="17" t="str">
        <f aca="false">IF($J393="","",INDEX('Auto Process'!$AV:$AV,$J393))</f>
        <v/>
      </c>
      <c r="H393" s="17" t="str">
        <f aca="false">IF($J393="","",INDEX('Auto Process'!$AW:$AW,$J393))</f>
        <v/>
      </c>
      <c r="J393" s="14" t="str">
        <f aca="false">IFERROR(_xlfn.AGGREGATE(15,6,ROW('Auto Process'!$D$4:$D$503)/('Auto Process'!$D$4:$D$503="Followup"),ROW()-1),"")</f>
        <v/>
      </c>
    </row>
    <row r="394" customFormat="false" ht="15" hidden="false" customHeight="true" outlineLevel="0" collapsed="false">
      <c r="A394" s="17" t="str">
        <f aca="false">IF($J394="","",INDEX('Auto Process'!$AP:$AP,$J394))</f>
        <v/>
      </c>
      <c r="B394" s="17" t="str">
        <f aca="false">IF($J394="","",INDEX('Auto Process'!$AQ:$AQ,$J394))</f>
        <v/>
      </c>
      <c r="C394" s="17" t="str">
        <f aca="false">IF($J394="","",INDEX('Auto Process'!$AR:$AR,$J394))</f>
        <v/>
      </c>
      <c r="D394" s="17" t="str">
        <f aca="false">IF($J394="","",INDEX('Auto Process'!$AS:$AS,$J394))</f>
        <v/>
      </c>
      <c r="E394" s="17" t="str">
        <f aca="false">IF($J394="","",INDEX('Auto Process'!$AT:$AT,$J394))</f>
        <v/>
      </c>
      <c r="F394" s="17" t="str">
        <f aca="false">IF($J394="","",INDEX('Auto Process'!$AU:$AU,$J394))</f>
        <v/>
      </c>
      <c r="G394" s="17" t="str">
        <f aca="false">IF($J394="","",INDEX('Auto Process'!$AV:$AV,$J394))</f>
        <v/>
      </c>
      <c r="H394" s="17" t="str">
        <f aca="false">IF($J394="","",INDEX('Auto Process'!$AW:$AW,$J394))</f>
        <v/>
      </c>
      <c r="J394" s="14" t="str">
        <f aca="false">IFERROR(_xlfn.AGGREGATE(15,6,ROW('Auto Process'!$D$4:$D$503)/('Auto Process'!$D$4:$D$503="Followup"),ROW()-1),"")</f>
        <v/>
      </c>
    </row>
    <row r="395" customFormat="false" ht="15" hidden="false" customHeight="true" outlineLevel="0" collapsed="false">
      <c r="A395" s="17" t="str">
        <f aca="false">IF($J395="","",INDEX('Auto Process'!$AP:$AP,$J395))</f>
        <v/>
      </c>
      <c r="B395" s="17" t="str">
        <f aca="false">IF($J395="","",INDEX('Auto Process'!$AQ:$AQ,$J395))</f>
        <v/>
      </c>
      <c r="C395" s="17" t="str">
        <f aca="false">IF($J395="","",INDEX('Auto Process'!$AR:$AR,$J395))</f>
        <v/>
      </c>
      <c r="D395" s="17" t="str">
        <f aca="false">IF($J395="","",INDEX('Auto Process'!$AS:$AS,$J395))</f>
        <v/>
      </c>
      <c r="E395" s="17" t="str">
        <f aca="false">IF($J395="","",INDEX('Auto Process'!$AT:$AT,$J395))</f>
        <v/>
      </c>
      <c r="F395" s="17" t="str">
        <f aca="false">IF($J395="","",INDEX('Auto Process'!$AU:$AU,$J395))</f>
        <v/>
      </c>
      <c r="G395" s="17" t="str">
        <f aca="false">IF($J395="","",INDEX('Auto Process'!$AV:$AV,$J395))</f>
        <v/>
      </c>
      <c r="H395" s="17" t="str">
        <f aca="false">IF($J395="","",INDEX('Auto Process'!$AW:$AW,$J395))</f>
        <v/>
      </c>
      <c r="J395" s="14" t="str">
        <f aca="false">IFERROR(_xlfn.AGGREGATE(15,6,ROW('Auto Process'!$D$4:$D$503)/('Auto Process'!$D$4:$D$503="Followup"),ROW()-1),"")</f>
        <v/>
      </c>
    </row>
    <row r="396" customFormat="false" ht="15" hidden="false" customHeight="true" outlineLevel="0" collapsed="false">
      <c r="A396" s="17" t="str">
        <f aca="false">IF($J396="","",INDEX('Auto Process'!$AP:$AP,$J396))</f>
        <v/>
      </c>
      <c r="B396" s="17" t="str">
        <f aca="false">IF($J396="","",INDEX('Auto Process'!$AQ:$AQ,$J396))</f>
        <v/>
      </c>
      <c r="C396" s="17" t="str">
        <f aca="false">IF($J396="","",INDEX('Auto Process'!$AR:$AR,$J396))</f>
        <v/>
      </c>
      <c r="D396" s="17" t="str">
        <f aca="false">IF($J396="","",INDEX('Auto Process'!$AS:$AS,$J396))</f>
        <v/>
      </c>
      <c r="E396" s="17" t="str">
        <f aca="false">IF($J396="","",INDEX('Auto Process'!$AT:$AT,$J396))</f>
        <v/>
      </c>
      <c r="F396" s="17" t="str">
        <f aca="false">IF($J396="","",INDEX('Auto Process'!$AU:$AU,$J396))</f>
        <v/>
      </c>
      <c r="G396" s="17" t="str">
        <f aca="false">IF($J396="","",INDEX('Auto Process'!$AV:$AV,$J396))</f>
        <v/>
      </c>
      <c r="H396" s="17" t="str">
        <f aca="false">IF($J396="","",INDEX('Auto Process'!$AW:$AW,$J396))</f>
        <v/>
      </c>
      <c r="J396" s="14" t="str">
        <f aca="false">IFERROR(_xlfn.AGGREGATE(15,6,ROW('Auto Process'!$D$4:$D$503)/('Auto Process'!$D$4:$D$503="Followup"),ROW()-1),"")</f>
        <v/>
      </c>
    </row>
    <row r="397" customFormat="false" ht="15" hidden="false" customHeight="true" outlineLevel="0" collapsed="false">
      <c r="A397" s="17" t="str">
        <f aca="false">IF($J397="","",INDEX('Auto Process'!$AP:$AP,$J397))</f>
        <v/>
      </c>
      <c r="B397" s="17" t="str">
        <f aca="false">IF($J397="","",INDEX('Auto Process'!$AQ:$AQ,$J397))</f>
        <v/>
      </c>
      <c r="C397" s="17" t="str">
        <f aca="false">IF($J397="","",INDEX('Auto Process'!$AR:$AR,$J397))</f>
        <v/>
      </c>
      <c r="D397" s="17" t="str">
        <f aca="false">IF($J397="","",INDEX('Auto Process'!$AS:$AS,$J397))</f>
        <v/>
      </c>
      <c r="E397" s="17" t="str">
        <f aca="false">IF($J397="","",INDEX('Auto Process'!$AT:$AT,$J397))</f>
        <v/>
      </c>
      <c r="F397" s="17" t="str">
        <f aca="false">IF($J397="","",INDEX('Auto Process'!$AU:$AU,$J397))</f>
        <v/>
      </c>
      <c r="G397" s="17" t="str">
        <f aca="false">IF($J397="","",INDEX('Auto Process'!$AV:$AV,$J397))</f>
        <v/>
      </c>
      <c r="H397" s="17" t="str">
        <f aca="false">IF($J397="","",INDEX('Auto Process'!$AW:$AW,$J397))</f>
        <v/>
      </c>
      <c r="J397" s="14" t="str">
        <f aca="false">IFERROR(_xlfn.AGGREGATE(15,6,ROW('Auto Process'!$D$4:$D$503)/('Auto Process'!$D$4:$D$503="Followup"),ROW()-1),"")</f>
        <v/>
      </c>
    </row>
    <row r="398" customFormat="false" ht="15" hidden="false" customHeight="true" outlineLevel="0" collapsed="false">
      <c r="A398" s="17" t="str">
        <f aca="false">IF($J398="","",INDEX('Auto Process'!$AP:$AP,$J398))</f>
        <v/>
      </c>
      <c r="B398" s="17" t="str">
        <f aca="false">IF($J398="","",INDEX('Auto Process'!$AQ:$AQ,$J398))</f>
        <v/>
      </c>
      <c r="C398" s="17" t="str">
        <f aca="false">IF($J398="","",INDEX('Auto Process'!$AR:$AR,$J398))</f>
        <v/>
      </c>
      <c r="D398" s="17" t="str">
        <f aca="false">IF($J398="","",INDEX('Auto Process'!$AS:$AS,$J398))</f>
        <v/>
      </c>
      <c r="E398" s="17" t="str">
        <f aca="false">IF($J398="","",INDEX('Auto Process'!$AT:$AT,$J398))</f>
        <v/>
      </c>
      <c r="F398" s="17" t="str">
        <f aca="false">IF($J398="","",INDEX('Auto Process'!$AU:$AU,$J398))</f>
        <v/>
      </c>
      <c r="G398" s="17" t="str">
        <f aca="false">IF($J398="","",INDEX('Auto Process'!$AV:$AV,$J398))</f>
        <v/>
      </c>
      <c r="H398" s="17" t="str">
        <f aca="false">IF($J398="","",INDEX('Auto Process'!$AW:$AW,$J398))</f>
        <v/>
      </c>
      <c r="J398" s="14" t="str">
        <f aca="false">IFERROR(_xlfn.AGGREGATE(15,6,ROW('Auto Process'!$D$4:$D$503)/('Auto Process'!$D$4:$D$503="Followup"),ROW()-1),"")</f>
        <v/>
      </c>
    </row>
    <row r="399" customFormat="false" ht="15" hidden="false" customHeight="true" outlineLevel="0" collapsed="false">
      <c r="A399" s="17" t="str">
        <f aca="false">IF($J399="","",INDEX('Auto Process'!$AP:$AP,$J399))</f>
        <v/>
      </c>
      <c r="B399" s="17" t="str">
        <f aca="false">IF($J399="","",INDEX('Auto Process'!$AQ:$AQ,$J399))</f>
        <v/>
      </c>
      <c r="C399" s="17" t="str">
        <f aca="false">IF($J399="","",INDEX('Auto Process'!$AR:$AR,$J399))</f>
        <v/>
      </c>
      <c r="D399" s="17" t="str">
        <f aca="false">IF($J399="","",INDEX('Auto Process'!$AS:$AS,$J399))</f>
        <v/>
      </c>
      <c r="E399" s="17" t="str">
        <f aca="false">IF($J399="","",INDEX('Auto Process'!$AT:$AT,$J399))</f>
        <v/>
      </c>
      <c r="F399" s="17" t="str">
        <f aca="false">IF($J399="","",INDEX('Auto Process'!$AU:$AU,$J399))</f>
        <v/>
      </c>
      <c r="G399" s="17" t="str">
        <f aca="false">IF($J399="","",INDEX('Auto Process'!$AV:$AV,$J399))</f>
        <v/>
      </c>
      <c r="H399" s="17" t="str">
        <f aca="false">IF($J399="","",INDEX('Auto Process'!$AW:$AW,$J399))</f>
        <v/>
      </c>
      <c r="J399" s="14" t="str">
        <f aca="false">IFERROR(_xlfn.AGGREGATE(15,6,ROW('Auto Process'!$D$4:$D$503)/('Auto Process'!$D$4:$D$503="Followup"),ROW()-1),"")</f>
        <v/>
      </c>
    </row>
    <row r="400" customFormat="false" ht="15" hidden="false" customHeight="true" outlineLevel="0" collapsed="false">
      <c r="A400" s="17" t="str">
        <f aca="false">IF($J400="","",INDEX('Auto Process'!$AP:$AP,$J400))</f>
        <v/>
      </c>
      <c r="B400" s="17" t="str">
        <f aca="false">IF($J400="","",INDEX('Auto Process'!$AQ:$AQ,$J400))</f>
        <v/>
      </c>
      <c r="C400" s="17" t="str">
        <f aca="false">IF($J400="","",INDEX('Auto Process'!$AR:$AR,$J400))</f>
        <v/>
      </c>
      <c r="D400" s="17" t="str">
        <f aca="false">IF($J400="","",INDEX('Auto Process'!$AS:$AS,$J400))</f>
        <v/>
      </c>
      <c r="E400" s="17" t="str">
        <f aca="false">IF($J400="","",INDEX('Auto Process'!$AT:$AT,$J400))</f>
        <v/>
      </c>
      <c r="F400" s="17" t="str">
        <f aca="false">IF($J400="","",INDEX('Auto Process'!$AU:$AU,$J400))</f>
        <v/>
      </c>
      <c r="G400" s="17" t="str">
        <f aca="false">IF($J400="","",INDEX('Auto Process'!$AV:$AV,$J400))</f>
        <v/>
      </c>
      <c r="H400" s="17" t="str">
        <f aca="false">IF($J400="","",INDEX('Auto Process'!$AW:$AW,$J400))</f>
        <v/>
      </c>
      <c r="J400" s="14" t="str">
        <f aca="false">IFERROR(_xlfn.AGGREGATE(15,6,ROW('Auto Process'!$D$4:$D$503)/('Auto Process'!$D$4:$D$503="Followup"),ROW()-1),"")</f>
        <v/>
      </c>
    </row>
    <row r="401" customFormat="false" ht="15" hidden="false" customHeight="true" outlineLevel="0" collapsed="false">
      <c r="A401" s="17" t="str">
        <f aca="false">IF($J401="","",INDEX('Auto Process'!$AP:$AP,$J401))</f>
        <v/>
      </c>
      <c r="B401" s="17" t="str">
        <f aca="false">IF($J401="","",INDEX('Auto Process'!$AQ:$AQ,$J401))</f>
        <v/>
      </c>
      <c r="C401" s="17" t="str">
        <f aca="false">IF($J401="","",INDEX('Auto Process'!$AR:$AR,$J401))</f>
        <v/>
      </c>
      <c r="D401" s="17" t="str">
        <f aca="false">IF($J401="","",INDEX('Auto Process'!$AS:$AS,$J401))</f>
        <v/>
      </c>
      <c r="E401" s="17" t="str">
        <f aca="false">IF($J401="","",INDEX('Auto Process'!$AT:$AT,$J401))</f>
        <v/>
      </c>
      <c r="F401" s="17" t="str">
        <f aca="false">IF($J401="","",INDEX('Auto Process'!$AU:$AU,$J401))</f>
        <v/>
      </c>
      <c r="G401" s="17" t="str">
        <f aca="false">IF($J401="","",INDEX('Auto Process'!$AV:$AV,$J401))</f>
        <v/>
      </c>
      <c r="H401" s="17" t="str">
        <f aca="false">IF($J401="","",INDEX('Auto Process'!$AW:$AW,$J401))</f>
        <v/>
      </c>
      <c r="J401" s="14" t="str">
        <f aca="false">IFERROR(_xlfn.AGGREGATE(15,6,ROW('Auto Process'!$D$4:$D$503)/('Auto Process'!$D$4:$D$503="Followup"),ROW()-1),"")</f>
        <v/>
      </c>
    </row>
    <row r="402" customFormat="false" ht="15" hidden="false" customHeight="true" outlineLevel="0" collapsed="false">
      <c r="A402" s="17" t="str">
        <f aca="false">IF($J402="","",INDEX('Auto Process'!$AP:$AP,$J402))</f>
        <v/>
      </c>
      <c r="B402" s="17" t="str">
        <f aca="false">IF($J402="","",INDEX('Auto Process'!$AQ:$AQ,$J402))</f>
        <v/>
      </c>
      <c r="C402" s="17" t="str">
        <f aca="false">IF($J402="","",INDEX('Auto Process'!$AR:$AR,$J402))</f>
        <v/>
      </c>
      <c r="D402" s="17" t="str">
        <f aca="false">IF($J402="","",INDEX('Auto Process'!$AS:$AS,$J402))</f>
        <v/>
      </c>
      <c r="E402" s="17" t="str">
        <f aca="false">IF($J402="","",INDEX('Auto Process'!$AT:$AT,$J402))</f>
        <v/>
      </c>
      <c r="F402" s="17" t="str">
        <f aca="false">IF($J402="","",INDEX('Auto Process'!$AU:$AU,$J402))</f>
        <v/>
      </c>
      <c r="G402" s="17" t="str">
        <f aca="false">IF($J402="","",INDEX('Auto Process'!$AV:$AV,$J402))</f>
        <v/>
      </c>
      <c r="H402" s="17" t="str">
        <f aca="false">IF($J402="","",INDEX('Auto Process'!$AW:$AW,$J402))</f>
        <v/>
      </c>
      <c r="J402" s="14" t="str">
        <f aca="false">IFERROR(_xlfn.AGGREGATE(15,6,ROW('Auto Process'!$D$4:$D$503)/('Auto Process'!$D$4:$D$503="Followup"),ROW()-1),"")</f>
        <v/>
      </c>
    </row>
    <row r="403" customFormat="false" ht="15" hidden="false" customHeight="true" outlineLevel="0" collapsed="false">
      <c r="A403" s="17" t="str">
        <f aca="false">IF($J403="","",INDEX('Auto Process'!$AP:$AP,$J403))</f>
        <v/>
      </c>
      <c r="B403" s="17" t="str">
        <f aca="false">IF($J403="","",INDEX('Auto Process'!$AQ:$AQ,$J403))</f>
        <v/>
      </c>
      <c r="C403" s="17" t="str">
        <f aca="false">IF($J403="","",INDEX('Auto Process'!$AR:$AR,$J403))</f>
        <v/>
      </c>
      <c r="D403" s="17" t="str">
        <f aca="false">IF($J403="","",INDEX('Auto Process'!$AS:$AS,$J403))</f>
        <v/>
      </c>
      <c r="E403" s="17" t="str">
        <f aca="false">IF($J403="","",INDEX('Auto Process'!$AT:$AT,$J403))</f>
        <v/>
      </c>
      <c r="F403" s="17" t="str">
        <f aca="false">IF($J403="","",INDEX('Auto Process'!$AU:$AU,$J403))</f>
        <v/>
      </c>
      <c r="G403" s="17" t="str">
        <f aca="false">IF($J403="","",INDEX('Auto Process'!$AV:$AV,$J403))</f>
        <v/>
      </c>
      <c r="H403" s="17" t="str">
        <f aca="false">IF($J403="","",INDEX('Auto Process'!$AW:$AW,$J403))</f>
        <v/>
      </c>
      <c r="J403" s="14" t="str">
        <f aca="false">IFERROR(_xlfn.AGGREGATE(15,6,ROW('Auto Process'!$D$4:$D$503)/('Auto Process'!$D$4:$D$503="Followup"),ROW()-1),"")</f>
        <v/>
      </c>
    </row>
    <row r="404" customFormat="false" ht="15" hidden="false" customHeight="true" outlineLevel="0" collapsed="false">
      <c r="A404" s="17" t="str">
        <f aca="false">IF($J404="","",INDEX('Auto Process'!$AP:$AP,$J404))</f>
        <v/>
      </c>
      <c r="B404" s="17" t="str">
        <f aca="false">IF($J404="","",INDEX('Auto Process'!$AQ:$AQ,$J404))</f>
        <v/>
      </c>
      <c r="C404" s="17" t="str">
        <f aca="false">IF($J404="","",INDEX('Auto Process'!$AR:$AR,$J404))</f>
        <v/>
      </c>
      <c r="D404" s="17" t="str">
        <f aca="false">IF($J404="","",INDEX('Auto Process'!$AS:$AS,$J404))</f>
        <v/>
      </c>
      <c r="E404" s="17" t="str">
        <f aca="false">IF($J404="","",INDEX('Auto Process'!$AT:$AT,$J404))</f>
        <v/>
      </c>
      <c r="F404" s="17" t="str">
        <f aca="false">IF($J404="","",INDEX('Auto Process'!$AU:$AU,$J404))</f>
        <v/>
      </c>
      <c r="G404" s="17" t="str">
        <f aca="false">IF($J404="","",INDEX('Auto Process'!$AV:$AV,$J404))</f>
        <v/>
      </c>
      <c r="H404" s="17" t="str">
        <f aca="false">IF($J404="","",INDEX('Auto Process'!$AW:$AW,$J404))</f>
        <v/>
      </c>
      <c r="J404" s="14" t="str">
        <f aca="false">IFERROR(_xlfn.AGGREGATE(15,6,ROW('Auto Process'!$D$4:$D$503)/('Auto Process'!$D$4:$D$503="Followup"),ROW()-1),"")</f>
        <v/>
      </c>
    </row>
    <row r="405" customFormat="false" ht="15" hidden="false" customHeight="true" outlineLevel="0" collapsed="false">
      <c r="A405" s="17" t="str">
        <f aca="false">IF($J405="","",INDEX('Auto Process'!$AP:$AP,$J405))</f>
        <v/>
      </c>
      <c r="B405" s="17" t="str">
        <f aca="false">IF($J405="","",INDEX('Auto Process'!$AQ:$AQ,$J405))</f>
        <v/>
      </c>
      <c r="C405" s="17" t="str">
        <f aca="false">IF($J405="","",INDEX('Auto Process'!$AR:$AR,$J405))</f>
        <v/>
      </c>
      <c r="D405" s="17" t="str">
        <f aca="false">IF($J405="","",INDEX('Auto Process'!$AS:$AS,$J405))</f>
        <v/>
      </c>
      <c r="E405" s="17" t="str">
        <f aca="false">IF($J405="","",INDEX('Auto Process'!$AT:$AT,$J405))</f>
        <v/>
      </c>
      <c r="F405" s="17" t="str">
        <f aca="false">IF($J405="","",INDEX('Auto Process'!$AU:$AU,$J405))</f>
        <v/>
      </c>
      <c r="G405" s="17" t="str">
        <f aca="false">IF($J405="","",INDEX('Auto Process'!$AV:$AV,$J405))</f>
        <v/>
      </c>
      <c r="H405" s="17" t="str">
        <f aca="false">IF($J405="","",INDEX('Auto Process'!$AW:$AW,$J405))</f>
        <v/>
      </c>
      <c r="J405" s="14" t="str">
        <f aca="false">IFERROR(_xlfn.AGGREGATE(15,6,ROW('Auto Process'!$D$4:$D$503)/('Auto Process'!$D$4:$D$503="Followup"),ROW()-1),"")</f>
        <v/>
      </c>
    </row>
    <row r="406" customFormat="false" ht="15" hidden="false" customHeight="true" outlineLevel="0" collapsed="false">
      <c r="A406" s="17" t="str">
        <f aca="false">IF($J406="","",INDEX('Auto Process'!$AP:$AP,$J406))</f>
        <v/>
      </c>
      <c r="B406" s="17" t="str">
        <f aca="false">IF($J406="","",INDEX('Auto Process'!$AQ:$AQ,$J406))</f>
        <v/>
      </c>
      <c r="C406" s="17" t="str">
        <f aca="false">IF($J406="","",INDEX('Auto Process'!$AR:$AR,$J406))</f>
        <v/>
      </c>
      <c r="D406" s="17" t="str">
        <f aca="false">IF($J406="","",INDEX('Auto Process'!$AS:$AS,$J406))</f>
        <v/>
      </c>
      <c r="E406" s="17" t="str">
        <f aca="false">IF($J406="","",INDEX('Auto Process'!$AT:$AT,$J406))</f>
        <v/>
      </c>
      <c r="F406" s="17" t="str">
        <f aca="false">IF($J406="","",INDEX('Auto Process'!$AU:$AU,$J406))</f>
        <v/>
      </c>
      <c r="G406" s="17" t="str">
        <f aca="false">IF($J406="","",INDEX('Auto Process'!$AV:$AV,$J406))</f>
        <v/>
      </c>
      <c r="H406" s="17" t="str">
        <f aca="false">IF($J406="","",INDEX('Auto Process'!$AW:$AW,$J406))</f>
        <v/>
      </c>
      <c r="J406" s="14" t="str">
        <f aca="false">IFERROR(_xlfn.AGGREGATE(15,6,ROW('Auto Process'!$D$4:$D$503)/('Auto Process'!$D$4:$D$503="Followup"),ROW()-1),"")</f>
        <v/>
      </c>
    </row>
    <row r="407" customFormat="false" ht="15" hidden="false" customHeight="true" outlineLevel="0" collapsed="false">
      <c r="A407" s="17" t="str">
        <f aca="false">IF($J407="","",INDEX('Auto Process'!$AP:$AP,$J407))</f>
        <v/>
      </c>
      <c r="B407" s="17" t="str">
        <f aca="false">IF($J407="","",INDEX('Auto Process'!$AQ:$AQ,$J407))</f>
        <v/>
      </c>
      <c r="C407" s="17" t="str">
        <f aca="false">IF($J407="","",INDEX('Auto Process'!$AR:$AR,$J407))</f>
        <v/>
      </c>
      <c r="D407" s="17" t="str">
        <f aca="false">IF($J407="","",INDEX('Auto Process'!$AS:$AS,$J407))</f>
        <v/>
      </c>
      <c r="E407" s="17" t="str">
        <f aca="false">IF($J407="","",INDEX('Auto Process'!$AT:$AT,$J407))</f>
        <v/>
      </c>
      <c r="F407" s="17" t="str">
        <f aca="false">IF($J407="","",INDEX('Auto Process'!$AU:$AU,$J407))</f>
        <v/>
      </c>
      <c r="G407" s="17" t="str">
        <f aca="false">IF($J407="","",INDEX('Auto Process'!$AV:$AV,$J407))</f>
        <v/>
      </c>
      <c r="H407" s="17" t="str">
        <f aca="false">IF($J407="","",INDEX('Auto Process'!$AW:$AW,$J407))</f>
        <v/>
      </c>
      <c r="J407" s="14" t="str">
        <f aca="false">IFERROR(_xlfn.AGGREGATE(15,6,ROW('Auto Process'!$D$4:$D$503)/('Auto Process'!$D$4:$D$503="Followup"),ROW()-1),"")</f>
        <v/>
      </c>
    </row>
    <row r="408" customFormat="false" ht="15" hidden="false" customHeight="true" outlineLevel="0" collapsed="false">
      <c r="A408" s="17" t="str">
        <f aca="false">IF($J408="","",INDEX('Auto Process'!$AP:$AP,$J408))</f>
        <v/>
      </c>
      <c r="B408" s="17" t="str">
        <f aca="false">IF($J408="","",INDEX('Auto Process'!$AQ:$AQ,$J408))</f>
        <v/>
      </c>
      <c r="C408" s="17" t="str">
        <f aca="false">IF($J408="","",INDEX('Auto Process'!$AR:$AR,$J408))</f>
        <v/>
      </c>
      <c r="D408" s="17" t="str">
        <f aca="false">IF($J408="","",INDEX('Auto Process'!$AS:$AS,$J408))</f>
        <v/>
      </c>
      <c r="E408" s="17" t="str">
        <f aca="false">IF($J408="","",INDEX('Auto Process'!$AT:$AT,$J408))</f>
        <v/>
      </c>
      <c r="F408" s="17" t="str">
        <f aca="false">IF($J408="","",INDEX('Auto Process'!$AU:$AU,$J408))</f>
        <v/>
      </c>
      <c r="G408" s="17" t="str">
        <f aca="false">IF($J408="","",INDEX('Auto Process'!$AV:$AV,$J408))</f>
        <v/>
      </c>
      <c r="H408" s="17" t="str">
        <f aca="false">IF($J408="","",INDEX('Auto Process'!$AW:$AW,$J408))</f>
        <v/>
      </c>
      <c r="J408" s="14" t="str">
        <f aca="false">IFERROR(_xlfn.AGGREGATE(15,6,ROW('Auto Process'!$D$4:$D$503)/('Auto Process'!$D$4:$D$503="Followup"),ROW()-1),"")</f>
        <v/>
      </c>
    </row>
    <row r="409" customFormat="false" ht="15" hidden="false" customHeight="true" outlineLevel="0" collapsed="false">
      <c r="A409" s="17" t="str">
        <f aca="false">IF($J409="","",INDEX('Auto Process'!$AP:$AP,$J409))</f>
        <v/>
      </c>
      <c r="B409" s="17" t="str">
        <f aca="false">IF($J409="","",INDEX('Auto Process'!$AQ:$AQ,$J409))</f>
        <v/>
      </c>
      <c r="C409" s="17" t="str">
        <f aca="false">IF($J409="","",INDEX('Auto Process'!$AR:$AR,$J409))</f>
        <v/>
      </c>
      <c r="D409" s="17" t="str">
        <f aca="false">IF($J409="","",INDEX('Auto Process'!$AS:$AS,$J409))</f>
        <v/>
      </c>
      <c r="E409" s="17" t="str">
        <f aca="false">IF($J409="","",INDEX('Auto Process'!$AT:$AT,$J409))</f>
        <v/>
      </c>
      <c r="F409" s="17" t="str">
        <f aca="false">IF($J409="","",INDEX('Auto Process'!$AU:$AU,$J409))</f>
        <v/>
      </c>
      <c r="G409" s="17" t="str">
        <f aca="false">IF($J409="","",INDEX('Auto Process'!$AV:$AV,$J409))</f>
        <v/>
      </c>
      <c r="H409" s="17" t="str">
        <f aca="false">IF($J409="","",INDEX('Auto Process'!$AW:$AW,$J409))</f>
        <v/>
      </c>
      <c r="J409" s="14" t="str">
        <f aca="false">IFERROR(_xlfn.AGGREGATE(15,6,ROW('Auto Process'!$D$4:$D$503)/('Auto Process'!$D$4:$D$503="Followup"),ROW()-1),"")</f>
        <v/>
      </c>
    </row>
    <row r="410" customFormat="false" ht="15" hidden="false" customHeight="true" outlineLevel="0" collapsed="false">
      <c r="A410" s="17" t="str">
        <f aca="false">IF($J410="","",INDEX('Auto Process'!$AP:$AP,$J410))</f>
        <v/>
      </c>
      <c r="B410" s="17" t="str">
        <f aca="false">IF($J410="","",INDEX('Auto Process'!$AQ:$AQ,$J410))</f>
        <v/>
      </c>
      <c r="C410" s="17" t="str">
        <f aca="false">IF($J410="","",INDEX('Auto Process'!$AR:$AR,$J410))</f>
        <v/>
      </c>
      <c r="D410" s="17" t="str">
        <f aca="false">IF($J410="","",INDEX('Auto Process'!$AS:$AS,$J410))</f>
        <v/>
      </c>
      <c r="E410" s="17" t="str">
        <f aca="false">IF($J410="","",INDEX('Auto Process'!$AT:$AT,$J410))</f>
        <v/>
      </c>
      <c r="F410" s="17" t="str">
        <f aca="false">IF($J410="","",INDEX('Auto Process'!$AU:$AU,$J410))</f>
        <v/>
      </c>
      <c r="G410" s="17" t="str">
        <f aca="false">IF($J410="","",INDEX('Auto Process'!$AV:$AV,$J410))</f>
        <v/>
      </c>
      <c r="H410" s="17" t="str">
        <f aca="false">IF($J410="","",INDEX('Auto Process'!$AW:$AW,$J410))</f>
        <v/>
      </c>
      <c r="J410" s="14" t="str">
        <f aca="false">IFERROR(_xlfn.AGGREGATE(15,6,ROW('Auto Process'!$D$4:$D$503)/('Auto Process'!$D$4:$D$503="Followup"),ROW()-1),"")</f>
        <v/>
      </c>
    </row>
    <row r="411" customFormat="false" ht="15" hidden="false" customHeight="true" outlineLevel="0" collapsed="false">
      <c r="A411" s="17" t="str">
        <f aca="false">IF($J411="","",INDEX('Auto Process'!$AP:$AP,$J411))</f>
        <v/>
      </c>
      <c r="B411" s="17" t="str">
        <f aca="false">IF($J411="","",INDEX('Auto Process'!$AQ:$AQ,$J411))</f>
        <v/>
      </c>
      <c r="C411" s="17" t="str">
        <f aca="false">IF($J411="","",INDEX('Auto Process'!$AR:$AR,$J411))</f>
        <v/>
      </c>
      <c r="D411" s="17" t="str">
        <f aca="false">IF($J411="","",INDEX('Auto Process'!$AS:$AS,$J411))</f>
        <v/>
      </c>
      <c r="E411" s="17" t="str">
        <f aca="false">IF($J411="","",INDEX('Auto Process'!$AT:$AT,$J411))</f>
        <v/>
      </c>
      <c r="F411" s="17" t="str">
        <f aca="false">IF($J411="","",INDEX('Auto Process'!$AU:$AU,$J411))</f>
        <v/>
      </c>
      <c r="G411" s="17" t="str">
        <f aca="false">IF($J411="","",INDEX('Auto Process'!$AV:$AV,$J411))</f>
        <v/>
      </c>
      <c r="H411" s="17" t="str">
        <f aca="false">IF($J411="","",INDEX('Auto Process'!$AW:$AW,$J411))</f>
        <v/>
      </c>
      <c r="J411" s="14" t="str">
        <f aca="false">IFERROR(_xlfn.AGGREGATE(15,6,ROW('Auto Process'!$D$4:$D$503)/('Auto Process'!$D$4:$D$503="Followup"),ROW()-1),"")</f>
        <v/>
      </c>
    </row>
    <row r="412" customFormat="false" ht="15" hidden="false" customHeight="true" outlineLevel="0" collapsed="false">
      <c r="A412" s="17" t="str">
        <f aca="false">IF($J412="","",INDEX('Auto Process'!$AP:$AP,$J412))</f>
        <v/>
      </c>
      <c r="B412" s="17" t="str">
        <f aca="false">IF($J412="","",INDEX('Auto Process'!$AQ:$AQ,$J412))</f>
        <v/>
      </c>
      <c r="C412" s="17" t="str">
        <f aca="false">IF($J412="","",INDEX('Auto Process'!$AR:$AR,$J412))</f>
        <v/>
      </c>
      <c r="D412" s="17" t="str">
        <f aca="false">IF($J412="","",INDEX('Auto Process'!$AS:$AS,$J412))</f>
        <v/>
      </c>
      <c r="E412" s="17" t="str">
        <f aca="false">IF($J412="","",INDEX('Auto Process'!$AT:$AT,$J412))</f>
        <v/>
      </c>
      <c r="F412" s="17" t="str">
        <f aca="false">IF($J412="","",INDEX('Auto Process'!$AU:$AU,$J412))</f>
        <v/>
      </c>
      <c r="G412" s="17" t="str">
        <f aca="false">IF($J412="","",INDEX('Auto Process'!$AV:$AV,$J412))</f>
        <v/>
      </c>
      <c r="H412" s="17" t="str">
        <f aca="false">IF($J412="","",INDEX('Auto Process'!$AW:$AW,$J412))</f>
        <v/>
      </c>
      <c r="J412" s="14" t="str">
        <f aca="false">IFERROR(_xlfn.AGGREGATE(15,6,ROW('Auto Process'!$D$4:$D$503)/('Auto Process'!$D$4:$D$503="Followup"),ROW()-1),"")</f>
        <v/>
      </c>
    </row>
    <row r="413" customFormat="false" ht="15" hidden="false" customHeight="true" outlineLevel="0" collapsed="false">
      <c r="A413" s="17" t="str">
        <f aca="false">IF($J413="","",INDEX('Auto Process'!$AP:$AP,$J413))</f>
        <v/>
      </c>
      <c r="B413" s="17" t="str">
        <f aca="false">IF($J413="","",INDEX('Auto Process'!$AQ:$AQ,$J413))</f>
        <v/>
      </c>
      <c r="C413" s="17" t="str">
        <f aca="false">IF($J413="","",INDEX('Auto Process'!$AR:$AR,$J413))</f>
        <v/>
      </c>
      <c r="D413" s="17" t="str">
        <f aca="false">IF($J413="","",INDEX('Auto Process'!$AS:$AS,$J413))</f>
        <v/>
      </c>
      <c r="E413" s="17" t="str">
        <f aca="false">IF($J413="","",INDEX('Auto Process'!$AT:$AT,$J413))</f>
        <v/>
      </c>
      <c r="F413" s="17" t="str">
        <f aca="false">IF($J413="","",INDEX('Auto Process'!$AU:$AU,$J413))</f>
        <v/>
      </c>
      <c r="G413" s="17" t="str">
        <f aca="false">IF($J413="","",INDEX('Auto Process'!$AV:$AV,$J413))</f>
        <v/>
      </c>
      <c r="H413" s="17" t="str">
        <f aca="false">IF($J413="","",INDEX('Auto Process'!$AW:$AW,$J413))</f>
        <v/>
      </c>
      <c r="J413" s="14" t="str">
        <f aca="false">IFERROR(_xlfn.AGGREGATE(15,6,ROW('Auto Process'!$D$4:$D$503)/('Auto Process'!$D$4:$D$503="Followup"),ROW()-1),"")</f>
        <v/>
      </c>
    </row>
    <row r="414" customFormat="false" ht="15" hidden="false" customHeight="true" outlineLevel="0" collapsed="false">
      <c r="A414" s="17" t="str">
        <f aca="false">IF($J414="","",INDEX('Auto Process'!$AP:$AP,$J414))</f>
        <v/>
      </c>
      <c r="B414" s="17" t="str">
        <f aca="false">IF($J414="","",INDEX('Auto Process'!$AQ:$AQ,$J414))</f>
        <v/>
      </c>
      <c r="C414" s="17" t="str">
        <f aca="false">IF($J414="","",INDEX('Auto Process'!$AR:$AR,$J414))</f>
        <v/>
      </c>
      <c r="D414" s="17" t="str">
        <f aca="false">IF($J414="","",INDEX('Auto Process'!$AS:$AS,$J414))</f>
        <v/>
      </c>
      <c r="E414" s="17" t="str">
        <f aca="false">IF($J414="","",INDEX('Auto Process'!$AT:$AT,$J414))</f>
        <v/>
      </c>
      <c r="F414" s="17" t="str">
        <f aca="false">IF($J414="","",INDEX('Auto Process'!$AU:$AU,$J414))</f>
        <v/>
      </c>
      <c r="G414" s="17" t="str">
        <f aca="false">IF($J414="","",INDEX('Auto Process'!$AV:$AV,$J414))</f>
        <v/>
      </c>
      <c r="H414" s="17" t="str">
        <f aca="false">IF($J414="","",INDEX('Auto Process'!$AW:$AW,$J414))</f>
        <v/>
      </c>
      <c r="J414" s="14" t="str">
        <f aca="false">IFERROR(_xlfn.AGGREGATE(15,6,ROW('Auto Process'!$D$4:$D$503)/('Auto Process'!$D$4:$D$503="Followup"),ROW()-1),"")</f>
        <v/>
      </c>
    </row>
    <row r="415" customFormat="false" ht="15" hidden="false" customHeight="true" outlineLevel="0" collapsed="false">
      <c r="A415" s="17" t="str">
        <f aca="false">IF($J415="","",INDEX('Auto Process'!$AP:$AP,$J415))</f>
        <v/>
      </c>
      <c r="B415" s="17" t="str">
        <f aca="false">IF($J415="","",INDEX('Auto Process'!$AQ:$AQ,$J415))</f>
        <v/>
      </c>
      <c r="C415" s="17" t="str">
        <f aca="false">IF($J415="","",INDEX('Auto Process'!$AR:$AR,$J415))</f>
        <v/>
      </c>
      <c r="D415" s="17" t="str">
        <f aca="false">IF($J415="","",INDEX('Auto Process'!$AS:$AS,$J415))</f>
        <v/>
      </c>
      <c r="E415" s="17" t="str">
        <f aca="false">IF($J415="","",INDEX('Auto Process'!$AT:$AT,$J415))</f>
        <v/>
      </c>
      <c r="F415" s="17" t="str">
        <f aca="false">IF($J415="","",INDEX('Auto Process'!$AU:$AU,$J415))</f>
        <v/>
      </c>
      <c r="G415" s="17" t="str">
        <f aca="false">IF($J415="","",INDEX('Auto Process'!$AV:$AV,$J415))</f>
        <v/>
      </c>
      <c r="H415" s="17" t="str">
        <f aca="false">IF($J415="","",INDEX('Auto Process'!$AW:$AW,$J415))</f>
        <v/>
      </c>
      <c r="J415" s="14" t="str">
        <f aca="false">IFERROR(_xlfn.AGGREGATE(15,6,ROW('Auto Process'!$D$4:$D$503)/('Auto Process'!$D$4:$D$503="Followup"),ROW()-1),"")</f>
        <v/>
      </c>
    </row>
    <row r="416" customFormat="false" ht="15" hidden="false" customHeight="true" outlineLevel="0" collapsed="false">
      <c r="A416" s="17" t="str">
        <f aca="false">IF($J416="","",INDEX('Auto Process'!$AP:$AP,$J416))</f>
        <v/>
      </c>
      <c r="B416" s="17" t="str">
        <f aca="false">IF($J416="","",INDEX('Auto Process'!$AQ:$AQ,$J416))</f>
        <v/>
      </c>
      <c r="C416" s="17" t="str">
        <f aca="false">IF($J416="","",INDEX('Auto Process'!$AR:$AR,$J416))</f>
        <v/>
      </c>
      <c r="D416" s="17" t="str">
        <f aca="false">IF($J416="","",INDEX('Auto Process'!$AS:$AS,$J416))</f>
        <v/>
      </c>
      <c r="E416" s="17" t="str">
        <f aca="false">IF($J416="","",INDEX('Auto Process'!$AT:$AT,$J416))</f>
        <v/>
      </c>
      <c r="F416" s="17" t="str">
        <f aca="false">IF($J416="","",INDEX('Auto Process'!$AU:$AU,$J416))</f>
        <v/>
      </c>
      <c r="G416" s="17" t="str">
        <f aca="false">IF($J416="","",INDEX('Auto Process'!$AV:$AV,$J416))</f>
        <v/>
      </c>
      <c r="H416" s="17" t="str">
        <f aca="false">IF($J416="","",INDEX('Auto Process'!$AW:$AW,$J416))</f>
        <v/>
      </c>
      <c r="J416" s="14" t="str">
        <f aca="false">IFERROR(_xlfn.AGGREGATE(15,6,ROW('Auto Process'!$D$4:$D$503)/('Auto Process'!$D$4:$D$503="Followup"),ROW()-1),"")</f>
        <v/>
      </c>
    </row>
    <row r="417" customFormat="false" ht="15" hidden="false" customHeight="true" outlineLevel="0" collapsed="false">
      <c r="A417" s="17" t="str">
        <f aca="false">IF($J417="","",INDEX('Auto Process'!$AP:$AP,$J417))</f>
        <v/>
      </c>
      <c r="B417" s="17" t="str">
        <f aca="false">IF($J417="","",INDEX('Auto Process'!$AQ:$AQ,$J417))</f>
        <v/>
      </c>
      <c r="C417" s="17" t="str">
        <f aca="false">IF($J417="","",INDEX('Auto Process'!$AR:$AR,$J417))</f>
        <v/>
      </c>
      <c r="D417" s="17" t="str">
        <f aca="false">IF($J417="","",INDEX('Auto Process'!$AS:$AS,$J417))</f>
        <v/>
      </c>
      <c r="E417" s="17" t="str">
        <f aca="false">IF($J417="","",INDEX('Auto Process'!$AT:$AT,$J417))</f>
        <v/>
      </c>
      <c r="F417" s="17" t="str">
        <f aca="false">IF($J417="","",INDEX('Auto Process'!$AU:$AU,$J417))</f>
        <v/>
      </c>
      <c r="G417" s="17" t="str">
        <f aca="false">IF($J417="","",INDEX('Auto Process'!$AV:$AV,$J417))</f>
        <v/>
      </c>
      <c r="H417" s="17" t="str">
        <f aca="false">IF($J417="","",INDEX('Auto Process'!$AW:$AW,$J417))</f>
        <v/>
      </c>
      <c r="J417" s="14" t="str">
        <f aca="false">IFERROR(_xlfn.AGGREGATE(15,6,ROW('Auto Process'!$D$4:$D$503)/('Auto Process'!$D$4:$D$503="Followup"),ROW()-1),"")</f>
        <v/>
      </c>
    </row>
    <row r="418" customFormat="false" ht="15" hidden="false" customHeight="true" outlineLevel="0" collapsed="false">
      <c r="A418" s="17" t="str">
        <f aca="false">IF($J418="","",INDEX('Auto Process'!$AP:$AP,$J418))</f>
        <v/>
      </c>
      <c r="B418" s="17" t="str">
        <f aca="false">IF($J418="","",INDEX('Auto Process'!$AQ:$AQ,$J418))</f>
        <v/>
      </c>
      <c r="C418" s="17" t="str">
        <f aca="false">IF($J418="","",INDEX('Auto Process'!$AR:$AR,$J418))</f>
        <v/>
      </c>
      <c r="D418" s="17" t="str">
        <f aca="false">IF($J418="","",INDEX('Auto Process'!$AS:$AS,$J418))</f>
        <v/>
      </c>
      <c r="E418" s="17" t="str">
        <f aca="false">IF($J418="","",INDEX('Auto Process'!$AT:$AT,$J418))</f>
        <v/>
      </c>
      <c r="F418" s="17" t="str">
        <f aca="false">IF($J418="","",INDEX('Auto Process'!$AU:$AU,$J418))</f>
        <v/>
      </c>
      <c r="G418" s="17" t="str">
        <f aca="false">IF($J418="","",INDEX('Auto Process'!$AV:$AV,$J418))</f>
        <v/>
      </c>
      <c r="H418" s="17" t="str">
        <f aca="false">IF($J418="","",INDEX('Auto Process'!$AW:$AW,$J418))</f>
        <v/>
      </c>
      <c r="J418" s="14" t="str">
        <f aca="false">IFERROR(_xlfn.AGGREGATE(15,6,ROW('Auto Process'!$D$4:$D$503)/('Auto Process'!$D$4:$D$503="Followup"),ROW()-1),"")</f>
        <v/>
      </c>
    </row>
    <row r="419" customFormat="false" ht="15" hidden="false" customHeight="true" outlineLevel="0" collapsed="false">
      <c r="A419" s="17" t="str">
        <f aca="false">IF($J419="","",INDEX('Auto Process'!$AP:$AP,$J419))</f>
        <v/>
      </c>
      <c r="B419" s="17" t="str">
        <f aca="false">IF($J419="","",INDEX('Auto Process'!$AQ:$AQ,$J419))</f>
        <v/>
      </c>
      <c r="C419" s="17" t="str">
        <f aca="false">IF($J419="","",INDEX('Auto Process'!$AR:$AR,$J419))</f>
        <v/>
      </c>
      <c r="D419" s="17" t="str">
        <f aca="false">IF($J419="","",INDEX('Auto Process'!$AS:$AS,$J419))</f>
        <v/>
      </c>
      <c r="E419" s="17" t="str">
        <f aca="false">IF($J419="","",INDEX('Auto Process'!$AT:$AT,$J419))</f>
        <v/>
      </c>
      <c r="F419" s="17" t="str">
        <f aca="false">IF($J419="","",INDEX('Auto Process'!$AU:$AU,$J419))</f>
        <v/>
      </c>
      <c r="G419" s="17" t="str">
        <f aca="false">IF($J419="","",INDEX('Auto Process'!$AV:$AV,$J419))</f>
        <v/>
      </c>
      <c r="H419" s="17" t="str">
        <f aca="false">IF($J419="","",INDEX('Auto Process'!$AW:$AW,$J419))</f>
        <v/>
      </c>
      <c r="J419" s="14" t="str">
        <f aca="false">IFERROR(_xlfn.AGGREGATE(15,6,ROW('Auto Process'!$D$4:$D$503)/('Auto Process'!$D$4:$D$503="Followup"),ROW()-1),"")</f>
        <v/>
      </c>
    </row>
    <row r="420" customFormat="false" ht="15" hidden="false" customHeight="true" outlineLevel="0" collapsed="false">
      <c r="A420" s="17" t="str">
        <f aca="false">IF($J420="","",INDEX('Auto Process'!$AP:$AP,$J420))</f>
        <v/>
      </c>
      <c r="B420" s="17" t="str">
        <f aca="false">IF($J420="","",INDEX('Auto Process'!$AQ:$AQ,$J420))</f>
        <v/>
      </c>
      <c r="C420" s="17" t="str">
        <f aca="false">IF($J420="","",INDEX('Auto Process'!$AR:$AR,$J420))</f>
        <v/>
      </c>
      <c r="D420" s="17" t="str">
        <f aca="false">IF($J420="","",INDEX('Auto Process'!$AS:$AS,$J420))</f>
        <v/>
      </c>
      <c r="E420" s="17" t="str">
        <f aca="false">IF($J420="","",INDEX('Auto Process'!$AT:$AT,$J420))</f>
        <v/>
      </c>
      <c r="F420" s="17" t="str">
        <f aca="false">IF($J420="","",INDEX('Auto Process'!$AU:$AU,$J420))</f>
        <v/>
      </c>
      <c r="G420" s="17" t="str">
        <f aca="false">IF($J420="","",INDEX('Auto Process'!$AV:$AV,$J420))</f>
        <v/>
      </c>
      <c r="H420" s="17" t="str">
        <f aca="false">IF($J420="","",INDEX('Auto Process'!$AW:$AW,$J420))</f>
        <v/>
      </c>
      <c r="J420" s="14" t="str">
        <f aca="false">IFERROR(_xlfn.AGGREGATE(15,6,ROW('Auto Process'!$D$4:$D$503)/('Auto Process'!$D$4:$D$503="Followup"),ROW()-1),"")</f>
        <v/>
      </c>
    </row>
    <row r="421" customFormat="false" ht="15" hidden="false" customHeight="true" outlineLevel="0" collapsed="false">
      <c r="A421" s="17" t="str">
        <f aca="false">IF($J421="","",INDEX('Auto Process'!$AP:$AP,$J421))</f>
        <v/>
      </c>
      <c r="B421" s="17" t="str">
        <f aca="false">IF($J421="","",INDEX('Auto Process'!$AQ:$AQ,$J421))</f>
        <v/>
      </c>
      <c r="C421" s="17" t="str">
        <f aca="false">IF($J421="","",INDEX('Auto Process'!$AR:$AR,$J421))</f>
        <v/>
      </c>
      <c r="D421" s="17" t="str">
        <f aca="false">IF($J421="","",INDEX('Auto Process'!$AS:$AS,$J421))</f>
        <v/>
      </c>
      <c r="E421" s="17" t="str">
        <f aca="false">IF($J421="","",INDEX('Auto Process'!$AT:$AT,$J421))</f>
        <v/>
      </c>
      <c r="F421" s="17" t="str">
        <f aca="false">IF($J421="","",INDEX('Auto Process'!$AU:$AU,$J421))</f>
        <v/>
      </c>
      <c r="G421" s="17" t="str">
        <f aca="false">IF($J421="","",INDEX('Auto Process'!$AV:$AV,$J421))</f>
        <v/>
      </c>
      <c r="H421" s="17" t="str">
        <f aca="false">IF($J421="","",INDEX('Auto Process'!$AW:$AW,$J421))</f>
        <v/>
      </c>
      <c r="J421" s="14" t="str">
        <f aca="false">IFERROR(_xlfn.AGGREGATE(15,6,ROW('Auto Process'!$D$4:$D$503)/('Auto Process'!$D$4:$D$503="Followup"),ROW()-1),"")</f>
        <v/>
      </c>
    </row>
    <row r="422" customFormat="false" ht="15" hidden="false" customHeight="true" outlineLevel="0" collapsed="false">
      <c r="A422" s="17" t="str">
        <f aca="false">IF($J422="","",INDEX('Auto Process'!$AP:$AP,$J422))</f>
        <v/>
      </c>
      <c r="B422" s="17" t="str">
        <f aca="false">IF($J422="","",INDEX('Auto Process'!$AQ:$AQ,$J422))</f>
        <v/>
      </c>
      <c r="C422" s="17" t="str">
        <f aca="false">IF($J422="","",INDEX('Auto Process'!$AR:$AR,$J422))</f>
        <v/>
      </c>
      <c r="D422" s="17" t="str">
        <f aca="false">IF($J422="","",INDEX('Auto Process'!$AS:$AS,$J422))</f>
        <v/>
      </c>
      <c r="E422" s="17" t="str">
        <f aca="false">IF($J422="","",INDEX('Auto Process'!$AT:$AT,$J422))</f>
        <v/>
      </c>
      <c r="F422" s="17" t="str">
        <f aca="false">IF($J422="","",INDEX('Auto Process'!$AU:$AU,$J422))</f>
        <v/>
      </c>
      <c r="G422" s="17" t="str">
        <f aca="false">IF($J422="","",INDEX('Auto Process'!$AV:$AV,$J422))</f>
        <v/>
      </c>
      <c r="H422" s="17" t="str">
        <f aca="false">IF($J422="","",INDEX('Auto Process'!$AW:$AW,$J422))</f>
        <v/>
      </c>
      <c r="J422" s="14" t="str">
        <f aca="false">IFERROR(_xlfn.AGGREGATE(15,6,ROW('Auto Process'!$D$4:$D$503)/('Auto Process'!$D$4:$D$503="Followup"),ROW()-1),"")</f>
        <v/>
      </c>
    </row>
    <row r="423" customFormat="false" ht="15" hidden="false" customHeight="true" outlineLevel="0" collapsed="false">
      <c r="A423" s="17" t="str">
        <f aca="false">IF($J423="","",INDEX('Auto Process'!$AP:$AP,$J423))</f>
        <v/>
      </c>
      <c r="B423" s="17" t="str">
        <f aca="false">IF($J423="","",INDEX('Auto Process'!$AQ:$AQ,$J423))</f>
        <v/>
      </c>
      <c r="C423" s="17" t="str">
        <f aca="false">IF($J423="","",INDEX('Auto Process'!$AR:$AR,$J423))</f>
        <v/>
      </c>
      <c r="D423" s="17" t="str">
        <f aca="false">IF($J423="","",INDEX('Auto Process'!$AS:$AS,$J423))</f>
        <v/>
      </c>
      <c r="E423" s="17" t="str">
        <f aca="false">IF($J423="","",INDEX('Auto Process'!$AT:$AT,$J423))</f>
        <v/>
      </c>
      <c r="F423" s="17" t="str">
        <f aca="false">IF($J423="","",INDEX('Auto Process'!$AU:$AU,$J423))</f>
        <v/>
      </c>
      <c r="G423" s="17" t="str">
        <f aca="false">IF($J423="","",INDEX('Auto Process'!$AV:$AV,$J423))</f>
        <v/>
      </c>
      <c r="H423" s="17" t="str">
        <f aca="false">IF($J423="","",INDEX('Auto Process'!$AW:$AW,$J423))</f>
        <v/>
      </c>
      <c r="J423" s="14" t="str">
        <f aca="false">IFERROR(_xlfn.AGGREGATE(15,6,ROW('Auto Process'!$D$4:$D$503)/('Auto Process'!$D$4:$D$503="Followup"),ROW()-1),"")</f>
        <v/>
      </c>
    </row>
    <row r="424" customFormat="false" ht="15" hidden="false" customHeight="true" outlineLevel="0" collapsed="false">
      <c r="A424" s="17" t="str">
        <f aca="false">IF($J424="","",INDEX('Auto Process'!$AP:$AP,$J424))</f>
        <v/>
      </c>
      <c r="B424" s="17" t="str">
        <f aca="false">IF($J424="","",INDEX('Auto Process'!$AQ:$AQ,$J424))</f>
        <v/>
      </c>
      <c r="C424" s="17" t="str">
        <f aca="false">IF($J424="","",INDEX('Auto Process'!$AR:$AR,$J424))</f>
        <v/>
      </c>
      <c r="D424" s="17" t="str">
        <f aca="false">IF($J424="","",INDEX('Auto Process'!$AS:$AS,$J424))</f>
        <v/>
      </c>
      <c r="E424" s="17" t="str">
        <f aca="false">IF($J424="","",INDEX('Auto Process'!$AT:$AT,$J424))</f>
        <v/>
      </c>
      <c r="F424" s="17" t="str">
        <f aca="false">IF($J424="","",INDEX('Auto Process'!$AU:$AU,$J424))</f>
        <v/>
      </c>
      <c r="G424" s="17" t="str">
        <f aca="false">IF($J424="","",INDEX('Auto Process'!$AV:$AV,$J424))</f>
        <v/>
      </c>
      <c r="H424" s="17" t="str">
        <f aca="false">IF($J424="","",INDEX('Auto Process'!$AW:$AW,$J424))</f>
        <v/>
      </c>
      <c r="J424" s="14" t="str">
        <f aca="false">IFERROR(_xlfn.AGGREGATE(15,6,ROW('Auto Process'!$D$4:$D$503)/('Auto Process'!$D$4:$D$503="Followup"),ROW()-1),"")</f>
        <v/>
      </c>
    </row>
    <row r="425" customFormat="false" ht="15" hidden="false" customHeight="true" outlineLevel="0" collapsed="false">
      <c r="A425" s="17" t="str">
        <f aca="false">IF($J425="","",INDEX('Auto Process'!$AP:$AP,$J425))</f>
        <v/>
      </c>
      <c r="B425" s="17" t="str">
        <f aca="false">IF($J425="","",INDEX('Auto Process'!$AQ:$AQ,$J425))</f>
        <v/>
      </c>
      <c r="C425" s="17" t="str">
        <f aca="false">IF($J425="","",INDEX('Auto Process'!$AR:$AR,$J425))</f>
        <v/>
      </c>
      <c r="D425" s="17" t="str">
        <f aca="false">IF($J425="","",INDEX('Auto Process'!$AS:$AS,$J425))</f>
        <v/>
      </c>
      <c r="E425" s="17" t="str">
        <f aca="false">IF($J425="","",INDEX('Auto Process'!$AT:$AT,$J425))</f>
        <v/>
      </c>
      <c r="F425" s="17" t="str">
        <f aca="false">IF($J425="","",INDEX('Auto Process'!$AU:$AU,$J425))</f>
        <v/>
      </c>
      <c r="G425" s="17" t="str">
        <f aca="false">IF($J425="","",INDEX('Auto Process'!$AV:$AV,$J425))</f>
        <v/>
      </c>
      <c r="H425" s="17" t="str">
        <f aca="false">IF($J425="","",INDEX('Auto Process'!$AW:$AW,$J425))</f>
        <v/>
      </c>
      <c r="J425" s="14" t="str">
        <f aca="false">IFERROR(_xlfn.AGGREGATE(15,6,ROW('Auto Process'!$D$4:$D$503)/('Auto Process'!$D$4:$D$503="Followup"),ROW()-1),"")</f>
        <v/>
      </c>
    </row>
    <row r="426" customFormat="false" ht="15" hidden="false" customHeight="true" outlineLevel="0" collapsed="false">
      <c r="A426" s="17" t="str">
        <f aca="false">IF($J426="","",INDEX('Auto Process'!$AP:$AP,$J426))</f>
        <v/>
      </c>
      <c r="B426" s="17" t="str">
        <f aca="false">IF($J426="","",INDEX('Auto Process'!$AQ:$AQ,$J426))</f>
        <v/>
      </c>
      <c r="C426" s="17" t="str">
        <f aca="false">IF($J426="","",INDEX('Auto Process'!$AR:$AR,$J426))</f>
        <v/>
      </c>
      <c r="D426" s="17" t="str">
        <f aca="false">IF($J426="","",INDEX('Auto Process'!$AS:$AS,$J426))</f>
        <v/>
      </c>
      <c r="E426" s="17" t="str">
        <f aca="false">IF($J426="","",INDEX('Auto Process'!$AT:$AT,$J426))</f>
        <v/>
      </c>
      <c r="F426" s="17" t="str">
        <f aca="false">IF($J426="","",INDEX('Auto Process'!$AU:$AU,$J426))</f>
        <v/>
      </c>
      <c r="G426" s="17" t="str">
        <f aca="false">IF($J426="","",INDEX('Auto Process'!$AV:$AV,$J426))</f>
        <v/>
      </c>
      <c r="H426" s="17" t="str">
        <f aca="false">IF($J426="","",INDEX('Auto Process'!$AW:$AW,$J426))</f>
        <v/>
      </c>
      <c r="J426" s="14" t="str">
        <f aca="false">IFERROR(_xlfn.AGGREGATE(15,6,ROW('Auto Process'!$D$4:$D$503)/('Auto Process'!$D$4:$D$503="Followup"),ROW()-1),"")</f>
        <v/>
      </c>
    </row>
    <row r="427" customFormat="false" ht="15" hidden="false" customHeight="true" outlineLevel="0" collapsed="false">
      <c r="A427" s="17" t="str">
        <f aca="false">IF($J427="","",INDEX('Auto Process'!$AP:$AP,$J427))</f>
        <v/>
      </c>
      <c r="B427" s="17" t="str">
        <f aca="false">IF($J427="","",INDEX('Auto Process'!$AQ:$AQ,$J427))</f>
        <v/>
      </c>
      <c r="C427" s="17" t="str">
        <f aca="false">IF($J427="","",INDEX('Auto Process'!$AR:$AR,$J427))</f>
        <v/>
      </c>
      <c r="D427" s="17" t="str">
        <f aca="false">IF($J427="","",INDEX('Auto Process'!$AS:$AS,$J427))</f>
        <v/>
      </c>
      <c r="E427" s="17" t="str">
        <f aca="false">IF($J427="","",INDEX('Auto Process'!$AT:$AT,$J427))</f>
        <v/>
      </c>
      <c r="F427" s="17" t="str">
        <f aca="false">IF($J427="","",INDEX('Auto Process'!$AU:$AU,$J427))</f>
        <v/>
      </c>
      <c r="G427" s="17" t="str">
        <f aca="false">IF($J427="","",INDEX('Auto Process'!$AV:$AV,$J427))</f>
        <v/>
      </c>
      <c r="H427" s="17" t="str">
        <f aca="false">IF($J427="","",INDEX('Auto Process'!$AW:$AW,$J427))</f>
        <v/>
      </c>
      <c r="J427" s="14" t="str">
        <f aca="false">IFERROR(_xlfn.AGGREGATE(15,6,ROW('Auto Process'!$D$4:$D$503)/('Auto Process'!$D$4:$D$503="Followup"),ROW()-1),"")</f>
        <v/>
      </c>
    </row>
    <row r="428" customFormat="false" ht="15" hidden="false" customHeight="true" outlineLevel="0" collapsed="false">
      <c r="A428" s="17" t="str">
        <f aca="false">IF($J428="","",INDEX('Auto Process'!$AP:$AP,$J428))</f>
        <v/>
      </c>
      <c r="B428" s="17" t="str">
        <f aca="false">IF($J428="","",INDEX('Auto Process'!$AQ:$AQ,$J428))</f>
        <v/>
      </c>
      <c r="C428" s="17" t="str">
        <f aca="false">IF($J428="","",INDEX('Auto Process'!$AR:$AR,$J428))</f>
        <v/>
      </c>
      <c r="D428" s="17" t="str">
        <f aca="false">IF($J428="","",INDEX('Auto Process'!$AS:$AS,$J428))</f>
        <v/>
      </c>
      <c r="E428" s="17" t="str">
        <f aca="false">IF($J428="","",INDEX('Auto Process'!$AT:$AT,$J428))</f>
        <v/>
      </c>
      <c r="F428" s="17" t="str">
        <f aca="false">IF($J428="","",INDEX('Auto Process'!$AU:$AU,$J428))</f>
        <v/>
      </c>
      <c r="G428" s="17" t="str">
        <f aca="false">IF($J428="","",INDEX('Auto Process'!$AV:$AV,$J428))</f>
        <v/>
      </c>
      <c r="H428" s="17" t="str">
        <f aca="false">IF($J428="","",INDEX('Auto Process'!$AW:$AW,$J428))</f>
        <v/>
      </c>
      <c r="J428" s="14" t="str">
        <f aca="false">IFERROR(_xlfn.AGGREGATE(15,6,ROW('Auto Process'!$D$4:$D$503)/('Auto Process'!$D$4:$D$503="Followup"),ROW()-1),"")</f>
        <v/>
      </c>
    </row>
    <row r="429" customFormat="false" ht="15" hidden="false" customHeight="true" outlineLevel="0" collapsed="false">
      <c r="A429" s="17" t="str">
        <f aca="false">IF($J429="","",INDEX('Auto Process'!$AP:$AP,$J429))</f>
        <v/>
      </c>
      <c r="B429" s="17" t="str">
        <f aca="false">IF($J429="","",INDEX('Auto Process'!$AQ:$AQ,$J429))</f>
        <v/>
      </c>
      <c r="C429" s="17" t="str">
        <f aca="false">IF($J429="","",INDEX('Auto Process'!$AR:$AR,$J429))</f>
        <v/>
      </c>
      <c r="D429" s="17" t="str">
        <f aca="false">IF($J429="","",INDEX('Auto Process'!$AS:$AS,$J429))</f>
        <v/>
      </c>
      <c r="E429" s="17" t="str">
        <f aca="false">IF($J429="","",INDEX('Auto Process'!$AT:$AT,$J429))</f>
        <v/>
      </c>
      <c r="F429" s="17" t="str">
        <f aca="false">IF($J429="","",INDEX('Auto Process'!$AU:$AU,$J429))</f>
        <v/>
      </c>
      <c r="G429" s="17" t="str">
        <f aca="false">IF($J429="","",INDEX('Auto Process'!$AV:$AV,$J429))</f>
        <v/>
      </c>
      <c r="H429" s="17" t="str">
        <f aca="false">IF($J429="","",INDEX('Auto Process'!$AW:$AW,$J429))</f>
        <v/>
      </c>
      <c r="J429" s="14" t="str">
        <f aca="false">IFERROR(_xlfn.AGGREGATE(15,6,ROW('Auto Process'!$D$4:$D$503)/('Auto Process'!$D$4:$D$503="Followup"),ROW()-1),"")</f>
        <v/>
      </c>
    </row>
    <row r="430" customFormat="false" ht="15" hidden="false" customHeight="true" outlineLevel="0" collapsed="false">
      <c r="A430" s="17" t="str">
        <f aca="false">IF($J430="","",INDEX('Auto Process'!$AP:$AP,$J430))</f>
        <v/>
      </c>
      <c r="B430" s="17" t="str">
        <f aca="false">IF($J430="","",INDEX('Auto Process'!$AQ:$AQ,$J430))</f>
        <v/>
      </c>
      <c r="C430" s="17" t="str">
        <f aca="false">IF($J430="","",INDEX('Auto Process'!$AR:$AR,$J430))</f>
        <v/>
      </c>
      <c r="D430" s="17" t="str">
        <f aca="false">IF($J430="","",INDEX('Auto Process'!$AS:$AS,$J430))</f>
        <v/>
      </c>
      <c r="E430" s="17" t="str">
        <f aca="false">IF($J430="","",INDEX('Auto Process'!$AT:$AT,$J430))</f>
        <v/>
      </c>
      <c r="F430" s="17" t="str">
        <f aca="false">IF($J430="","",INDEX('Auto Process'!$AU:$AU,$J430))</f>
        <v/>
      </c>
      <c r="G430" s="17" t="str">
        <f aca="false">IF($J430="","",INDEX('Auto Process'!$AV:$AV,$J430))</f>
        <v/>
      </c>
      <c r="H430" s="17" t="str">
        <f aca="false">IF($J430="","",INDEX('Auto Process'!$AW:$AW,$J430))</f>
        <v/>
      </c>
      <c r="J430" s="14" t="str">
        <f aca="false">IFERROR(_xlfn.AGGREGATE(15,6,ROW('Auto Process'!$D$4:$D$503)/('Auto Process'!$D$4:$D$503="Followup"),ROW()-1),"")</f>
        <v/>
      </c>
    </row>
    <row r="431" customFormat="false" ht="15" hidden="false" customHeight="true" outlineLevel="0" collapsed="false">
      <c r="A431" s="17" t="str">
        <f aca="false">IF($J431="","",INDEX('Auto Process'!$AP:$AP,$J431))</f>
        <v/>
      </c>
      <c r="B431" s="17" t="str">
        <f aca="false">IF($J431="","",INDEX('Auto Process'!$AQ:$AQ,$J431))</f>
        <v/>
      </c>
      <c r="C431" s="17" t="str">
        <f aca="false">IF($J431="","",INDEX('Auto Process'!$AR:$AR,$J431))</f>
        <v/>
      </c>
      <c r="D431" s="17" t="str">
        <f aca="false">IF($J431="","",INDEX('Auto Process'!$AS:$AS,$J431))</f>
        <v/>
      </c>
      <c r="E431" s="17" t="str">
        <f aca="false">IF($J431="","",INDEX('Auto Process'!$AT:$AT,$J431))</f>
        <v/>
      </c>
      <c r="F431" s="17" t="str">
        <f aca="false">IF($J431="","",INDEX('Auto Process'!$AU:$AU,$J431))</f>
        <v/>
      </c>
      <c r="G431" s="17" t="str">
        <f aca="false">IF($J431="","",INDEX('Auto Process'!$AV:$AV,$J431))</f>
        <v/>
      </c>
      <c r="H431" s="17" t="str">
        <f aca="false">IF($J431="","",INDEX('Auto Process'!$AW:$AW,$J431))</f>
        <v/>
      </c>
      <c r="J431" s="14" t="str">
        <f aca="false">IFERROR(_xlfn.AGGREGATE(15,6,ROW('Auto Process'!$D$4:$D$503)/('Auto Process'!$D$4:$D$503="Followup"),ROW()-1),"")</f>
        <v/>
      </c>
    </row>
    <row r="432" customFormat="false" ht="15" hidden="false" customHeight="true" outlineLevel="0" collapsed="false">
      <c r="A432" s="17" t="str">
        <f aca="false">IF($J432="","",INDEX('Auto Process'!$AP:$AP,$J432))</f>
        <v/>
      </c>
      <c r="B432" s="17" t="str">
        <f aca="false">IF($J432="","",INDEX('Auto Process'!$AQ:$AQ,$J432))</f>
        <v/>
      </c>
      <c r="C432" s="17" t="str">
        <f aca="false">IF($J432="","",INDEX('Auto Process'!$AR:$AR,$J432))</f>
        <v/>
      </c>
      <c r="D432" s="17" t="str">
        <f aca="false">IF($J432="","",INDEX('Auto Process'!$AS:$AS,$J432))</f>
        <v/>
      </c>
      <c r="E432" s="17" t="str">
        <f aca="false">IF($J432="","",INDEX('Auto Process'!$AT:$AT,$J432))</f>
        <v/>
      </c>
      <c r="F432" s="17" t="str">
        <f aca="false">IF($J432="","",INDEX('Auto Process'!$AU:$AU,$J432))</f>
        <v/>
      </c>
      <c r="G432" s="17" t="str">
        <f aca="false">IF($J432="","",INDEX('Auto Process'!$AV:$AV,$J432))</f>
        <v/>
      </c>
      <c r="H432" s="17" t="str">
        <f aca="false">IF($J432="","",INDEX('Auto Process'!$AW:$AW,$J432))</f>
        <v/>
      </c>
      <c r="J432" s="14" t="str">
        <f aca="false">IFERROR(_xlfn.AGGREGATE(15,6,ROW('Auto Process'!$D$4:$D$503)/('Auto Process'!$D$4:$D$503="Followup"),ROW()-1),"")</f>
        <v/>
      </c>
    </row>
    <row r="433" customFormat="false" ht="15" hidden="false" customHeight="true" outlineLevel="0" collapsed="false">
      <c r="A433" s="17" t="str">
        <f aca="false">IF($J433="","",INDEX('Auto Process'!$AP:$AP,$J433))</f>
        <v/>
      </c>
      <c r="B433" s="17" t="str">
        <f aca="false">IF($J433="","",INDEX('Auto Process'!$AQ:$AQ,$J433))</f>
        <v/>
      </c>
      <c r="C433" s="17" t="str">
        <f aca="false">IF($J433="","",INDEX('Auto Process'!$AR:$AR,$J433))</f>
        <v/>
      </c>
      <c r="D433" s="17" t="str">
        <f aca="false">IF($J433="","",INDEX('Auto Process'!$AS:$AS,$J433))</f>
        <v/>
      </c>
      <c r="E433" s="17" t="str">
        <f aca="false">IF($J433="","",INDEX('Auto Process'!$AT:$AT,$J433))</f>
        <v/>
      </c>
      <c r="F433" s="17" t="str">
        <f aca="false">IF($J433="","",INDEX('Auto Process'!$AU:$AU,$J433))</f>
        <v/>
      </c>
      <c r="G433" s="17" t="str">
        <f aca="false">IF($J433="","",INDEX('Auto Process'!$AV:$AV,$J433))</f>
        <v/>
      </c>
      <c r="H433" s="17" t="str">
        <f aca="false">IF($J433="","",INDEX('Auto Process'!$AW:$AW,$J433))</f>
        <v/>
      </c>
      <c r="J433" s="14" t="str">
        <f aca="false">IFERROR(_xlfn.AGGREGATE(15,6,ROW('Auto Process'!$D$4:$D$503)/('Auto Process'!$D$4:$D$503="Followup"),ROW()-1),"")</f>
        <v/>
      </c>
    </row>
    <row r="434" customFormat="false" ht="15" hidden="false" customHeight="true" outlineLevel="0" collapsed="false">
      <c r="A434" s="17" t="str">
        <f aca="false">IF($J434="","",INDEX('Auto Process'!$AP:$AP,$J434))</f>
        <v/>
      </c>
      <c r="B434" s="17" t="str">
        <f aca="false">IF($J434="","",INDEX('Auto Process'!$AQ:$AQ,$J434))</f>
        <v/>
      </c>
      <c r="C434" s="17" t="str">
        <f aca="false">IF($J434="","",INDEX('Auto Process'!$AR:$AR,$J434))</f>
        <v/>
      </c>
      <c r="D434" s="17" t="str">
        <f aca="false">IF($J434="","",INDEX('Auto Process'!$AS:$AS,$J434))</f>
        <v/>
      </c>
      <c r="E434" s="17" t="str">
        <f aca="false">IF($J434="","",INDEX('Auto Process'!$AT:$AT,$J434))</f>
        <v/>
      </c>
      <c r="F434" s="17" t="str">
        <f aca="false">IF($J434="","",INDEX('Auto Process'!$AU:$AU,$J434))</f>
        <v/>
      </c>
      <c r="G434" s="17" t="str">
        <f aca="false">IF($J434="","",INDEX('Auto Process'!$AV:$AV,$J434))</f>
        <v/>
      </c>
      <c r="H434" s="17" t="str">
        <f aca="false">IF($J434="","",INDEX('Auto Process'!$AW:$AW,$J434))</f>
        <v/>
      </c>
      <c r="J434" s="14" t="str">
        <f aca="false">IFERROR(_xlfn.AGGREGATE(15,6,ROW('Auto Process'!$D$4:$D$503)/('Auto Process'!$D$4:$D$503="Followup"),ROW()-1),"")</f>
        <v/>
      </c>
    </row>
    <row r="435" customFormat="false" ht="15" hidden="false" customHeight="true" outlineLevel="0" collapsed="false">
      <c r="A435" s="17" t="str">
        <f aca="false">IF($J435="","",INDEX('Auto Process'!$AP:$AP,$J435))</f>
        <v/>
      </c>
      <c r="B435" s="17" t="str">
        <f aca="false">IF($J435="","",INDEX('Auto Process'!$AQ:$AQ,$J435))</f>
        <v/>
      </c>
      <c r="C435" s="17" t="str">
        <f aca="false">IF($J435="","",INDEX('Auto Process'!$AR:$AR,$J435))</f>
        <v/>
      </c>
      <c r="D435" s="17" t="str">
        <f aca="false">IF($J435="","",INDEX('Auto Process'!$AS:$AS,$J435))</f>
        <v/>
      </c>
      <c r="E435" s="17" t="str">
        <f aca="false">IF($J435="","",INDEX('Auto Process'!$AT:$AT,$J435))</f>
        <v/>
      </c>
      <c r="F435" s="17" t="str">
        <f aca="false">IF($J435="","",INDEX('Auto Process'!$AU:$AU,$J435))</f>
        <v/>
      </c>
      <c r="G435" s="17" t="str">
        <f aca="false">IF($J435="","",INDEX('Auto Process'!$AV:$AV,$J435))</f>
        <v/>
      </c>
      <c r="H435" s="17" t="str">
        <f aca="false">IF($J435="","",INDEX('Auto Process'!$AW:$AW,$J435))</f>
        <v/>
      </c>
      <c r="J435" s="14" t="str">
        <f aca="false">IFERROR(_xlfn.AGGREGATE(15,6,ROW('Auto Process'!$D$4:$D$503)/('Auto Process'!$D$4:$D$503="Followup"),ROW()-1),"")</f>
        <v/>
      </c>
    </row>
    <row r="436" customFormat="false" ht="15" hidden="false" customHeight="true" outlineLevel="0" collapsed="false">
      <c r="A436" s="17" t="str">
        <f aca="false">IF($J436="","",INDEX('Auto Process'!$AP:$AP,$J436))</f>
        <v/>
      </c>
      <c r="B436" s="17" t="str">
        <f aca="false">IF($J436="","",INDEX('Auto Process'!$AQ:$AQ,$J436))</f>
        <v/>
      </c>
      <c r="C436" s="17" t="str">
        <f aca="false">IF($J436="","",INDEX('Auto Process'!$AR:$AR,$J436))</f>
        <v/>
      </c>
      <c r="D436" s="17" t="str">
        <f aca="false">IF($J436="","",INDEX('Auto Process'!$AS:$AS,$J436))</f>
        <v/>
      </c>
      <c r="E436" s="17" t="str">
        <f aca="false">IF($J436="","",INDEX('Auto Process'!$AT:$AT,$J436))</f>
        <v/>
      </c>
      <c r="F436" s="17" t="str">
        <f aca="false">IF($J436="","",INDEX('Auto Process'!$AU:$AU,$J436))</f>
        <v/>
      </c>
      <c r="G436" s="17" t="str">
        <f aca="false">IF($J436="","",INDEX('Auto Process'!$AV:$AV,$J436))</f>
        <v/>
      </c>
      <c r="H436" s="17" t="str">
        <f aca="false">IF($J436="","",INDEX('Auto Process'!$AW:$AW,$J436))</f>
        <v/>
      </c>
      <c r="J436" s="14" t="str">
        <f aca="false">IFERROR(_xlfn.AGGREGATE(15,6,ROW('Auto Process'!$D$4:$D$503)/('Auto Process'!$D$4:$D$503="Followup"),ROW()-1),"")</f>
        <v/>
      </c>
    </row>
    <row r="437" customFormat="false" ht="15" hidden="false" customHeight="true" outlineLevel="0" collapsed="false">
      <c r="A437" s="17" t="str">
        <f aca="false">IF($J437="","",INDEX('Auto Process'!$AP:$AP,$J437))</f>
        <v/>
      </c>
      <c r="B437" s="17" t="str">
        <f aca="false">IF($J437="","",INDEX('Auto Process'!$AQ:$AQ,$J437))</f>
        <v/>
      </c>
      <c r="C437" s="17" t="str">
        <f aca="false">IF($J437="","",INDEX('Auto Process'!$AR:$AR,$J437))</f>
        <v/>
      </c>
      <c r="D437" s="17" t="str">
        <f aca="false">IF($J437="","",INDEX('Auto Process'!$AS:$AS,$J437))</f>
        <v/>
      </c>
      <c r="E437" s="17" t="str">
        <f aca="false">IF($J437="","",INDEX('Auto Process'!$AT:$AT,$J437))</f>
        <v/>
      </c>
      <c r="F437" s="17" t="str">
        <f aca="false">IF($J437="","",INDEX('Auto Process'!$AU:$AU,$J437))</f>
        <v/>
      </c>
      <c r="G437" s="17" t="str">
        <f aca="false">IF($J437="","",INDEX('Auto Process'!$AV:$AV,$J437))</f>
        <v/>
      </c>
      <c r="H437" s="17" t="str">
        <f aca="false">IF($J437="","",INDEX('Auto Process'!$AW:$AW,$J437))</f>
        <v/>
      </c>
      <c r="J437" s="14" t="str">
        <f aca="false">IFERROR(_xlfn.AGGREGATE(15,6,ROW('Auto Process'!$D$4:$D$503)/('Auto Process'!$D$4:$D$503="Followup"),ROW()-1),"")</f>
        <v/>
      </c>
    </row>
    <row r="438" customFormat="false" ht="15" hidden="false" customHeight="true" outlineLevel="0" collapsed="false">
      <c r="A438" s="17" t="str">
        <f aca="false">IF($J438="","",INDEX('Auto Process'!$AP:$AP,$J438))</f>
        <v/>
      </c>
      <c r="B438" s="17" t="str">
        <f aca="false">IF($J438="","",INDEX('Auto Process'!$AQ:$AQ,$J438))</f>
        <v/>
      </c>
      <c r="C438" s="17" t="str">
        <f aca="false">IF($J438="","",INDEX('Auto Process'!$AR:$AR,$J438))</f>
        <v/>
      </c>
      <c r="D438" s="17" t="str">
        <f aca="false">IF($J438="","",INDEX('Auto Process'!$AS:$AS,$J438))</f>
        <v/>
      </c>
      <c r="E438" s="17" t="str">
        <f aca="false">IF($J438="","",INDEX('Auto Process'!$AT:$AT,$J438))</f>
        <v/>
      </c>
      <c r="F438" s="17" t="str">
        <f aca="false">IF($J438="","",INDEX('Auto Process'!$AU:$AU,$J438))</f>
        <v/>
      </c>
      <c r="G438" s="17" t="str">
        <f aca="false">IF($J438="","",INDEX('Auto Process'!$AV:$AV,$J438))</f>
        <v/>
      </c>
      <c r="H438" s="17" t="str">
        <f aca="false">IF($J438="","",INDEX('Auto Process'!$AW:$AW,$J438))</f>
        <v/>
      </c>
      <c r="J438" s="14" t="str">
        <f aca="false">IFERROR(_xlfn.AGGREGATE(15,6,ROW('Auto Process'!$D$4:$D$503)/('Auto Process'!$D$4:$D$503="Followup"),ROW()-1),"")</f>
        <v/>
      </c>
    </row>
    <row r="439" customFormat="false" ht="15" hidden="false" customHeight="true" outlineLevel="0" collapsed="false">
      <c r="A439" s="17" t="str">
        <f aca="false">IF($J439="","",INDEX('Auto Process'!$AP:$AP,$J439))</f>
        <v/>
      </c>
      <c r="B439" s="17" t="str">
        <f aca="false">IF($J439="","",INDEX('Auto Process'!$AQ:$AQ,$J439))</f>
        <v/>
      </c>
      <c r="C439" s="17" t="str">
        <f aca="false">IF($J439="","",INDEX('Auto Process'!$AR:$AR,$J439))</f>
        <v/>
      </c>
      <c r="D439" s="17" t="str">
        <f aca="false">IF($J439="","",INDEX('Auto Process'!$AS:$AS,$J439))</f>
        <v/>
      </c>
      <c r="E439" s="17" t="str">
        <f aca="false">IF($J439="","",INDEX('Auto Process'!$AT:$AT,$J439))</f>
        <v/>
      </c>
      <c r="F439" s="17" t="str">
        <f aca="false">IF($J439="","",INDEX('Auto Process'!$AU:$AU,$J439))</f>
        <v/>
      </c>
      <c r="G439" s="17" t="str">
        <f aca="false">IF($J439="","",INDEX('Auto Process'!$AV:$AV,$J439))</f>
        <v/>
      </c>
      <c r="H439" s="17" t="str">
        <f aca="false">IF($J439="","",INDEX('Auto Process'!$AW:$AW,$J439))</f>
        <v/>
      </c>
      <c r="J439" s="14" t="str">
        <f aca="false">IFERROR(_xlfn.AGGREGATE(15,6,ROW('Auto Process'!$D$4:$D$503)/('Auto Process'!$D$4:$D$503="Followup"),ROW()-1),"")</f>
        <v/>
      </c>
    </row>
    <row r="440" customFormat="false" ht="15" hidden="false" customHeight="true" outlineLevel="0" collapsed="false">
      <c r="A440" s="17" t="str">
        <f aca="false">IF($J440="","",INDEX('Auto Process'!$AP:$AP,$J440))</f>
        <v/>
      </c>
      <c r="B440" s="17" t="str">
        <f aca="false">IF($J440="","",INDEX('Auto Process'!$AQ:$AQ,$J440))</f>
        <v/>
      </c>
      <c r="C440" s="17" t="str">
        <f aca="false">IF($J440="","",INDEX('Auto Process'!$AR:$AR,$J440))</f>
        <v/>
      </c>
      <c r="D440" s="17" t="str">
        <f aca="false">IF($J440="","",INDEX('Auto Process'!$AS:$AS,$J440))</f>
        <v/>
      </c>
      <c r="E440" s="17" t="str">
        <f aca="false">IF($J440="","",INDEX('Auto Process'!$AT:$AT,$J440))</f>
        <v/>
      </c>
      <c r="F440" s="17" t="str">
        <f aca="false">IF($J440="","",INDEX('Auto Process'!$AU:$AU,$J440))</f>
        <v/>
      </c>
      <c r="G440" s="17" t="str">
        <f aca="false">IF($J440="","",INDEX('Auto Process'!$AV:$AV,$J440))</f>
        <v/>
      </c>
      <c r="H440" s="17" t="str">
        <f aca="false">IF($J440="","",INDEX('Auto Process'!$AW:$AW,$J440))</f>
        <v/>
      </c>
      <c r="J440" s="14" t="str">
        <f aca="false">IFERROR(_xlfn.AGGREGATE(15,6,ROW('Auto Process'!$D$4:$D$503)/('Auto Process'!$D$4:$D$503="Followup"),ROW()-1),"")</f>
        <v/>
      </c>
    </row>
    <row r="441" customFormat="false" ht="15" hidden="false" customHeight="true" outlineLevel="0" collapsed="false">
      <c r="A441" s="17" t="str">
        <f aca="false">IF($J441="","",INDEX('Auto Process'!$AP:$AP,$J441))</f>
        <v/>
      </c>
      <c r="B441" s="17" t="str">
        <f aca="false">IF($J441="","",INDEX('Auto Process'!$AQ:$AQ,$J441))</f>
        <v/>
      </c>
      <c r="C441" s="17" t="str">
        <f aca="false">IF($J441="","",INDEX('Auto Process'!$AR:$AR,$J441))</f>
        <v/>
      </c>
      <c r="D441" s="17" t="str">
        <f aca="false">IF($J441="","",INDEX('Auto Process'!$AS:$AS,$J441))</f>
        <v/>
      </c>
      <c r="E441" s="17" t="str">
        <f aca="false">IF($J441="","",INDEX('Auto Process'!$AT:$AT,$J441))</f>
        <v/>
      </c>
      <c r="F441" s="17" t="str">
        <f aca="false">IF($J441="","",INDEX('Auto Process'!$AU:$AU,$J441))</f>
        <v/>
      </c>
      <c r="G441" s="17" t="str">
        <f aca="false">IF($J441="","",INDEX('Auto Process'!$AV:$AV,$J441))</f>
        <v/>
      </c>
      <c r="H441" s="17" t="str">
        <f aca="false">IF($J441="","",INDEX('Auto Process'!$AW:$AW,$J441))</f>
        <v/>
      </c>
      <c r="J441" s="14" t="str">
        <f aca="false">IFERROR(_xlfn.AGGREGATE(15,6,ROW('Auto Process'!$D$4:$D$503)/('Auto Process'!$D$4:$D$503="Followup"),ROW()-1),"")</f>
        <v/>
      </c>
    </row>
    <row r="442" customFormat="false" ht="15" hidden="false" customHeight="true" outlineLevel="0" collapsed="false">
      <c r="A442" s="17" t="str">
        <f aca="false">IF($J442="","",INDEX('Auto Process'!$AP:$AP,$J442))</f>
        <v/>
      </c>
      <c r="B442" s="17" t="str">
        <f aca="false">IF($J442="","",INDEX('Auto Process'!$AQ:$AQ,$J442))</f>
        <v/>
      </c>
      <c r="C442" s="17" t="str">
        <f aca="false">IF($J442="","",INDEX('Auto Process'!$AR:$AR,$J442))</f>
        <v/>
      </c>
      <c r="D442" s="17" t="str">
        <f aca="false">IF($J442="","",INDEX('Auto Process'!$AS:$AS,$J442))</f>
        <v/>
      </c>
      <c r="E442" s="17" t="str">
        <f aca="false">IF($J442="","",INDEX('Auto Process'!$AT:$AT,$J442))</f>
        <v/>
      </c>
      <c r="F442" s="17" t="str">
        <f aca="false">IF($J442="","",INDEX('Auto Process'!$AU:$AU,$J442))</f>
        <v/>
      </c>
      <c r="G442" s="17" t="str">
        <f aca="false">IF($J442="","",INDEX('Auto Process'!$AV:$AV,$J442))</f>
        <v/>
      </c>
      <c r="H442" s="17" t="str">
        <f aca="false">IF($J442="","",INDEX('Auto Process'!$AW:$AW,$J442))</f>
        <v/>
      </c>
      <c r="J442" s="14" t="str">
        <f aca="false">IFERROR(_xlfn.AGGREGATE(15,6,ROW('Auto Process'!$D$4:$D$503)/('Auto Process'!$D$4:$D$503="Followup"),ROW()-1),"")</f>
        <v/>
      </c>
    </row>
    <row r="443" customFormat="false" ht="15" hidden="false" customHeight="true" outlineLevel="0" collapsed="false">
      <c r="A443" s="17" t="str">
        <f aca="false">IF($J443="","",INDEX('Auto Process'!$AP:$AP,$J443))</f>
        <v/>
      </c>
      <c r="B443" s="17" t="str">
        <f aca="false">IF($J443="","",INDEX('Auto Process'!$AQ:$AQ,$J443))</f>
        <v/>
      </c>
      <c r="C443" s="17" t="str">
        <f aca="false">IF($J443="","",INDEX('Auto Process'!$AR:$AR,$J443))</f>
        <v/>
      </c>
      <c r="D443" s="17" t="str">
        <f aca="false">IF($J443="","",INDEX('Auto Process'!$AS:$AS,$J443))</f>
        <v/>
      </c>
      <c r="E443" s="17" t="str">
        <f aca="false">IF($J443="","",INDEX('Auto Process'!$AT:$AT,$J443))</f>
        <v/>
      </c>
      <c r="F443" s="17" t="str">
        <f aca="false">IF($J443="","",INDEX('Auto Process'!$AU:$AU,$J443))</f>
        <v/>
      </c>
      <c r="G443" s="17" t="str">
        <f aca="false">IF($J443="","",INDEX('Auto Process'!$AV:$AV,$J443))</f>
        <v/>
      </c>
      <c r="H443" s="17" t="str">
        <f aca="false">IF($J443="","",INDEX('Auto Process'!$AW:$AW,$J443))</f>
        <v/>
      </c>
      <c r="J443" s="14" t="str">
        <f aca="false">IFERROR(_xlfn.AGGREGATE(15,6,ROW('Auto Process'!$D$4:$D$503)/('Auto Process'!$D$4:$D$503="Followup"),ROW()-1),"")</f>
        <v/>
      </c>
    </row>
    <row r="444" customFormat="false" ht="15" hidden="false" customHeight="true" outlineLevel="0" collapsed="false">
      <c r="A444" s="17" t="str">
        <f aca="false">IF($J444="","",INDEX('Auto Process'!$AP:$AP,$J444))</f>
        <v/>
      </c>
      <c r="B444" s="17" t="str">
        <f aca="false">IF($J444="","",INDEX('Auto Process'!$AQ:$AQ,$J444))</f>
        <v/>
      </c>
      <c r="C444" s="17" t="str">
        <f aca="false">IF($J444="","",INDEX('Auto Process'!$AR:$AR,$J444))</f>
        <v/>
      </c>
      <c r="D444" s="17" t="str">
        <f aca="false">IF($J444="","",INDEX('Auto Process'!$AS:$AS,$J444))</f>
        <v/>
      </c>
      <c r="E444" s="17" t="str">
        <f aca="false">IF($J444="","",INDEX('Auto Process'!$AT:$AT,$J444))</f>
        <v/>
      </c>
      <c r="F444" s="17" t="str">
        <f aca="false">IF($J444="","",INDEX('Auto Process'!$AU:$AU,$J444))</f>
        <v/>
      </c>
      <c r="G444" s="17" t="str">
        <f aca="false">IF($J444="","",INDEX('Auto Process'!$AV:$AV,$J444))</f>
        <v/>
      </c>
      <c r="H444" s="17" t="str">
        <f aca="false">IF($J444="","",INDEX('Auto Process'!$AW:$AW,$J444))</f>
        <v/>
      </c>
      <c r="J444" s="14" t="str">
        <f aca="false">IFERROR(_xlfn.AGGREGATE(15,6,ROW('Auto Process'!$D$4:$D$503)/('Auto Process'!$D$4:$D$503="Followup"),ROW()-1),"")</f>
        <v/>
      </c>
    </row>
    <row r="445" customFormat="false" ht="15" hidden="false" customHeight="true" outlineLevel="0" collapsed="false">
      <c r="A445" s="17" t="str">
        <f aca="false">IF($J445="","",INDEX('Auto Process'!$AP:$AP,$J445))</f>
        <v/>
      </c>
      <c r="B445" s="17" t="str">
        <f aca="false">IF($J445="","",INDEX('Auto Process'!$AQ:$AQ,$J445))</f>
        <v/>
      </c>
      <c r="C445" s="17" t="str">
        <f aca="false">IF($J445="","",INDEX('Auto Process'!$AR:$AR,$J445))</f>
        <v/>
      </c>
      <c r="D445" s="17" t="str">
        <f aca="false">IF($J445="","",INDEX('Auto Process'!$AS:$AS,$J445))</f>
        <v/>
      </c>
      <c r="E445" s="17" t="str">
        <f aca="false">IF($J445="","",INDEX('Auto Process'!$AT:$AT,$J445))</f>
        <v/>
      </c>
      <c r="F445" s="17" t="str">
        <f aca="false">IF($J445="","",INDEX('Auto Process'!$AU:$AU,$J445))</f>
        <v/>
      </c>
      <c r="G445" s="17" t="str">
        <f aca="false">IF($J445="","",INDEX('Auto Process'!$AV:$AV,$J445))</f>
        <v/>
      </c>
      <c r="H445" s="17" t="str">
        <f aca="false">IF($J445="","",INDEX('Auto Process'!$AW:$AW,$J445))</f>
        <v/>
      </c>
      <c r="J445" s="14" t="str">
        <f aca="false">IFERROR(_xlfn.AGGREGATE(15,6,ROW('Auto Process'!$D$4:$D$503)/('Auto Process'!$D$4:$D$503="Followup"),ROW()-1),"")</f>
        <v/>
      </c>
    </row>
    <row r="446" customFormat="false" ht="15" hidden="false" customHeight="true" outlineLevel="0" collapsed="false">
      <c r="A446" s="17" t="str">
        <f aca="false">IF($J446="","",INDEX('Auto Process'!$AP:$AP,$J446))</f>
        <v/>
      </c>
      <c r="B446" s="17" t="str">
        <f aca="false">IF($J446="","",INDEX('Auto Process'!$AQ:$AQ,$J446))</f>
        <v/>
      </c>
      <c r="C446" s="17" t="str">
        <f aca="false">IF($J446="","",INDEX('Auto Process'!$AR:$AR,$J446))</f>
        <v/>
      </c>
      <c r="D446" s="17" t="str">
        <f aca="false">IF($J446="","",INDEX('Auto Process'!$AS:$AS,$J446))</f>
        <v/>
      </c>
      <c r="E446" s="17" t="str">
        <f aca="false">IF($J446="","",INDEX('Auto Process'!$AT:$AT,$J446))</f>
        <v/>
      </c>
      <c r="F446" s="17" t="str">
        <f aca="false">IF($J446="","",INDEX('Auto Process'!$AU:$AU,$J446))</f>
        <v/>
      </c>
      <c r="G446" s="17" t="str">
        <f aca="false">IF($J446="","",INDEX('Auto Process'!$AV:$AV,$J446))</f>
        <v/>
      </c>
      <c r="H446" s="17" t="str">
        <f aca="false">IF($J446="","",INDEX('Auto Process'!$AW:$AW,$J446))</f>
        <v/>
      </c>
      <c r="J446" s="14" t="str">
        <f aca="false">IFERROR(_xlfn.AGGREGATE(15,6,ROW('Auto Process'!$D$4:$D$503)/('Auto Process'!$D$4:$D$503="Followup"),ROW()-1),"")</f>
        <v/>
      </c>
    </row>
    <row r="447" customFormat="false" ht="15" hidden="false" customHeight="true" outlineLevel="0" collapsed="false">
      <c r="A447" s="17" t="str">
        <f aca="false">IF($J447="","",INDEX('Auto Process'!$AP:$AP,$J447))</f>
        <v/>
      </c>
      <c r="B447" s="17" t="str">
        <f aca="false">IF($J447="","",INDEX('Auto Process'!$AQ:$AQ,$J447))</f>
        <v/>
      </c>
      <c r="C447" s="17" t="str">
        <f aca="false">IF($J447="","",INDEX('Auto Process'!$AR:$AR,$J447))</f>
        <v/>
      </c>
      <c r="D447" s="17" t="str">
        <f aca="false">IF($J447="","",INDEX('Auto Process'!$AS:$AS,$J447))</f>
        <v/>
      </c>
      <c r="E447" s="17" t="str">
        <f aca="false">IF($J447="","",INDEX('Auto Process'!$AT:$AT,$J447))</f>
        <v/>
      </c>
      <c r="F447" s="17" t="str">
        <f aca="false">IF($J447="","",INDEX('Auto Process'!$AU:$AU,$J447))</f>
        <v/>
      </c>
      <c r="G447" s="17" t="str">
        <f aca="false">IF($J447="","",INDEX('Auto Process'!$AV:$AV,$J447))</f>
        <v/>
      </c>
      <c r="H447" s="17" t="str">
        <f aca="false">IF($J447="","",INDEX('Auto Process'!$AW:$AW,$J447))</f>
        <v/>
      </c>
      <c r="J447" s="14" t="str">
        <f aca="false">IFERROR(_xlfn.AGGREGATE(15,6,ROW('Auto Process'!$D$4:$D$503)/('Auto Process'!$D$4:$D$503="Followup"),ROW()-1),"")</f>
        <v/>
      </c>
    </row>
    <row r="448" customFormat="false" ht="15" hidden="false" customHeight="true" outlineLevel="0" collapsed="false">
      <c r="A448" s="17" t="str">
        <f aca="false">IF($J448="","",INDEX('Auto Process'!$AP:$AP,$J448))</f>
        <v/>
      </c>
      <c r="B448" s="17" t="str">
        <f aca="false">IF($J448="","",INDEX('Auto Process'!$AQ:$AQ,$J448))</f>
        <v/>
      </c>
      <c r="C448" s="17" t="str">
        <f aca="false">IF($J448="","",INDEX('Auto Process'!$AR:$AR,$J448))</f>
        <v/>
      </c>
      <c r="D448" s="17" t="str">
        <f aca="false">IF($J448="","",INDEX('Auto Process'!$AS:$AS,$J448))</f>
        <v/>
      </c>
      <c r="E448" s="17" t="str">
        <f aca="false">IF($J448="","",INDEX('Auto Process'!$AT:$AT,$J448))</f>
        <v/>
      </c>
      <c r="F448" s="17" t="str">
        <f aca="false">IF($J448="","",INDEX('Auto Process'!$AU:$AU,$J448))</f>
        <v/>
      </c>
      <c r="G448" s="17" t="str">
        <f aca="false">IF($J448="","",INDEX('Auto Process'!$AV:$AV,$J448))</f>
        <v/>
      </c>
      <c r="H448" s="17" t="str">
        <f aca="false">IF($J448="","",INDEX('Auto Process'!$AW:$AW,$J448))</f>
        <v/>
      </c>
      <c r="J448" s="14" t="str">
        <f aca="false">IFERROR(_xlfn.AGGREGATE(15,6,ROW('Auto Process'!$D$4:$D$503)/('Auto Process'!$D$4:$D$503="Followup"),ROW()-1),"")</f>
        <v/>
      </c>
    </row>
    <row r="449" customFormat="false" ht="15" hidden="false" customHeight="true" outlineLevel="0" collapsed="false">
      <c r="A449" s="17" t="str">
        <f aca="false">IF($J449="","",INDEX('Auto Process'!$AP:$AP,$J449))</f>
        <v/>
      </c>
      <c r="B449" s="17" t="str">
        <f aca="false">IF($J449="","",INDEX('Auto Process'!$AQ:$AQ,$J449))</f>
        <v/>
      </c>
      <c r="C449" s="17" t="str">
        <f aca="false">IF($J449="","",INDEX('Auto Process'!$AR:$AR,$J449))</f>
        <v/>
      </c>
      <c r="D449" s="17" t="str">
        <f aca="false">IF($J449="","",INDEX('Auto Process'!$AS:$AS,$J449))</f>
        <v/>
      </c>
      <c r="E449" s="17" t="str">
        <f aca="false">IF($J449="","",INDEX('Auto Process'!$AT:$AT,$J449))</f>
        <v/>
      </c>
      <c r="F449" s="17" t="str">
        <f aca="false">IF($J449="","",INDEX('Auto Process'!$AU:$AU,$J449))</f>
        <v/>
      </c>
      <c r="G449" s="17" t="str">
        <f aca="false">IF($J449="","",INDEX('Auto Process'!$AV:$AV,$J449))</f>
        <v/>
      </c>
      <c r="H449" s="17" t="str">
        <f aca="false">IF($J449="","",INDEX('Auto Process'!$AW:$AW,$J449))</f>
        <v/>
      </c>
      <c r="J449" s="14" t="str">
        <f aca="false">IFERROR(_xlfn.AGGREGATE(15,6,ROW('Auto Process'!$D$4:$D$503)/('Auto Process'!$D$4:$D$503="Followup"),ROW()-1),"")</f>
        <v/>
      </c>
    </row>
    <row r="450" customFormat="false" ht="15" hidden="false" customHeight="true" outlineLevel="0" collapsed="false">
      <c r="A450" s="17" t="str">
        <f aca="false">IF($J450="","",INDEX('Auto Process'!$AP:$AP,$J450))</f>
        <v/>
      </c>
      <c r="B450" s="17" t="str">
        <f aca="false">IF($J450="","",INDEX('Auto Process'!$AQ:$AQ,$J450))</f>
        <v/>
      </c>
      <c r="C450" s="17" t="str">
        <f aca="false">IF($J450="","",INDEX('Auto Process'!$AR:$AR,$J450))</f>
        <v/>
      </c>
      <c r="D450" s="17" t="str">
        <f aca="false">IF($J450="","",INDEX('Auto Process'!$AS:$AS,$J450))</f>
        <v/>
      </c>
      <c r="E450" s="17" t="str">
        <f aca="false">IF($J450="","",INDEX('Auto Process'!$AT:$AT,$J450))</f>
        <v/>
      </c>
      <c r="F450" s="17" t="str">
        <f aca="false">IF($J450="","",INDEX('Auto Process'!$AU:$AU,$J450))</f>
        <v/>
      </c>
      <c r="G450" s="17" t="str">
        <f aca="false">IF($J450="","",INDEX('Auto Process'!$AV:$AV,$J450))</f>
        <v/>
      </c>
      <c r="H450" s="17" t="str">
        <f aca="false">IF($J450="","",INDEX('Auto Process'!$AW:$AW,$J450))</f>
        <v/>
      </c>
      <c r="J450" s="14" t="str">
        <f aca="false">IFERROR(_xlfn.AGGREGATE(15,6,ROW('Auto Process'!$D$4:$D$503)/('Auto Process'!$D$4:$D$503="Followup"),ROW()-1),"")</f>
        <v/>
      </c>
    </row>
    <row r="451" customFormat="false" ht="15" hidden="false" customHeight="true" outlineLevel="0" collapsed="false">
      <c r="A451" s="17" t="str">
        <f aca="false">IF($J451="","",INDEX('Auto Process'!$AP:$AP,$J451))</f>
        <v/>
      </c>
      <c r="B451" s="17" t="str">
        <f aca="false">IF($J451="","",INDEX('Auto Process'!$AQ:$AQ,$J451))</f>
        <v/>
      </c>
      <c r="C451" s="17" t="str">
        <f aca="false">IF($J451="","",INDEX('Auto Process'!$AR:$AR,$J451))</f>
        <v/>
      </c>
      <c r="D451" s="17" t="str">
        <f aca="false">IF($J451="","",INDEX('Auto Process'!$AS:$AS,$J451))</f>
        <v/>
      </c>
      <c r="E451" s="17" t="str">
        <f aca="false">IF($J451="","",INDEX('Auto Process'!$AT:$AT,$J451))</f>
        <v/>
      </c>
      <c r="F451" s="17" t="str">
        <f aca="false">IF($J451="","",INDEX('Auto Process'!$AU:$AU,$J451))</f>
        <v/>
      </c>
      <c r="G451" s="17" t="str">
        <f aca="false">IF($J451="","",INDEX('Auto Process'!$AV:$AV,$J451))</f>
        <v/>
      </c>
      <c r="H451" s="17" t="str">
        <f aca="false">IF($J451="","",INDEX('Auto Process'!$AW:$AW,$J451))</f>
        <v/>
      </c>
      <c r="J451" s="14" t="str">
        <f aca="false">IFERROR(_xlfn.AGGREGATE(15,6,ROW('Auto Process'!$D$4:$D$503)/('Auto Process'!$D$4:$D$503="Followup"),ROW()-1),"")</f>
        <v/>
      </c>
    </row>
    <row r="452" customFormat="false" ht="15" hidden="false" customHeight="true" outlineLevel="0" collapsed="false">
      <c r="A452" s="17" t="str">
        <f aca="false">IF($J452="","",INDEX('Auto Process'!$AP:$AP,$J452))</f>
        <v/>
      </c>
      <c r="B452" s="17" t="str">
        <f aca="false">IF($J452="","",INDEX('Auto Process'!$AQ:$AQ,$J452))</f>
        <v/>
      </c>
      <c r="C452" s="17" t="str">
        <f aca="false">IF($J452="","",INDEX('Auto Process'!$AR:$AR,$J452))</f>
        <v/>
      </c>
      <c r="D452" s="17" t="str">
        <f aca="false">IF($J452="","",INDEX('Auto Process'!$AS:$AS,$J452))</f>
        <v/>
      </c>
      <c r="E452" s="17" t="str">
        <f aca="false">IF($J452="","",INDEX('Auto Process'!$AT:$AT,$J452))</f>
        <v/>
      </c>
      <c r="F452" s="17" t="str">
        <f aca="false">IF($J452="","",INDEX('Auto Process'!$AU:$AU,$J452))</f>
        <v/>
      </c>
      <c r="G452" s="17" t="str">
        <f aca="false">IF($J452="","",INDEX('Auto Process'!$AV:$AV,$J452))</f>
        <v/>
      </c>
      <c r="H452" s="17" t="str">
        <f aca="false">IF($J452="","",INDEX('Auto Process'!$AW:$AW,$J452))</f>
        <v/>
      </c>
      <c r="J452" s="14" t="str">
        <f aca="false">IFERROR(_xlfn.AGGREGATE(15,6,ROW('Auto Process'!$D$4:$D$503)/('Auto Process'!$D$4:$D$503="Followup"),ROW()-1),"")</f>
        <v/>
      </c>
    </row>
    <row r="453" customFormat="false" ht="15" hidden="false" customHeight="true" outlineLevel="0" collapsed="false">
      <c r="A453" s="17" t="str">
        <f aca="false">IF($J453="","",INDEX('Auto Process'!$AP:$AP,$J453))</f>
        <v/>
      </c>
      <c r="B453" s="17" t="str">
        <f aca="false">IF($J453="","",INDEX('Auto Process'!$AQ:$AQ,$J453))</f>
        <v/>
      </c>
      <c r="C453" s="17" t="str">
        <f aca="false">IF($J453="","",INDEX('Auto Process'!$AR:$AR,$J453))</f>
        <v/>
      </c>
      <c r="D453" s="17" t="str">
        <f aca="false">IF($J453="","",INDEX('Auto Process'!$AS:$AS,$J453))</f>
        <v/>
      </c>
      <c r="E453" s="17" t="str">
        <f aca="false">IF($J453="","",INDEX('Auto Process'!$AT:$AT,$J453))</f>
        <v/>
      </c>
      <c r="F453" s="17" t="str">
        <f aca="false">IF($J453="","",INDEX('Auto Process'!$AU:$AU,$J453))</f>
        <v/>
      </c>
      <c r="G453" s="17" t="str">
        <f aca="false">IF($J453="","",INDEX('Auto Process'!$AV:$AV,$J453))</f>
        <v/>
      </c>
      <c r="H453" s="17" t="str">
        <f aca="false">IF($J453="","",INDEX('Auto Process'!$AW:$AW,$J453))</f>
        <v/>
      </c>
      <c r="J453" s="14" t="str">
        <f aca="false">IFERROR(_xlfn.AGGREGATE(15,6,ROW('Auto Process'!$D$4:$D$503)/('Auto Process'!$D$4:$D$503="Followup"),ROW()-1),"")</f>
        <v/>
      </c>
    </row>
    <row r="454" customFormat="false" ht="15" hidden="false" customHeight="true" outlineLevel="0" collapsed="false">
      <c r="A454" s="17" t="str">
        <f aca="false">IF($J454="","",INDEX('Auto Process'!$AP:$AP,$J454))</f>
        <v/>
      </c>
      <c r="B454" s="17" t="str">
        <f aca="false">IF($J454="","",INDEX('Auto Process'!$AQ:$AQ,$J454))</f>
        <v/>
      </c>
      <c r="C454" s="17" t="str">
        <f aca="false">IF($J454="","",INDEX('Auto Process'!$AR:$AR,$J454))</f>
        <v/>
      </c>
      <c r="D454" s="17" t="str">
        <f aca="false">IF($J454="","",INDEX('Auto Process'!$AS:$AS,$J454))</f>
        <v/>
      </c>
      <c r="E454" s="17" t="str">
        <f aca="false">IF($J454="","",INDEX('Auto Process'!$AT:$AT,$J454))</f>
        <v/>
      </c>
      <c r="F454" s="17" t="str">
        <f aca="false">IF($J454="","",INDEX('Auto Process'!$AU:$AU,$J454))</f>
        <v/>
      </c>
      <c r="G454" s="17" t="str">
        <f aca="false">IF($J454="","",INDEX('Auto Process'!$AV:$AV,$J454))</f>
        <v/>
      </c>
      <c r="H454" s="17" t="str">
        <f aca="false">IF($J454="","",INDEX('Auto Process'!$AW:$AW,$J454))</f>
        <v/>
      </c>
      <c r="J454" s="14" t="str">
        <f aca="false">IFERROR(_xlfn.AGGREGATE(15,6,ROW('Auto Process'!$D$4:$D$503)/('Auto Process'!$D$4:$D$503="Followup"),ROW()-1),"")</f>
        <v/>
      </c>
    </row>
    <row r="455" customFormat="false" ht="15" hidden="false" customHeight="true" outlineLevel="0" collapsed="false">
      <c r="A455" s="17" t="str">
        <f aca="false">IF($J455="","",INDEX('Auto Process'!$AP:$AP,$J455))</f>
        <v/>
      </c>
      <c r="B455" s="17" t="str">
        <f aca="false">IF($J455="","",INDEX('Auto Process'!$AQ:$AQ,$J455))</f>
        <v/>
      </c>
      <c r="C455" s="17" t="str">
        <f aca="false">IF($J455="","",INDEX('Auto Process'!$AR:$AR,$J455))</f>
        <v/>
      </c>
      <c r="D455" s="17" t="str">
        <f aca="false">IF($J455="","",INDEX('Auto Process'!$AS:$AS,$J455))</f>
        <v/>
      </c>
      <c r="E455" s="17" t="str">
        <f aca="false">IF($J455="","",INDEX('Auto Process'!$AT:$AT,$J455))</f>
        <v/>
      </c>
      <c r="F455" s="17" t="str">
        <f aca="false">IF($J455="","",INDEX('Auto Process'!$AU:$AU,$J455))</f>
        <v/>
      </c>
      <c r="G455" s="17" t="str">
        <f aca="false">IF($J455="","",INDEX('Auto Process'!$AV:$AV,$J455))</f>
        <v/>
      </c>
      <c r="H455" s="17" t="str">
        <f aca="false">IF($J455="","",INDEX('Auto Process'!$AW:$AW,$J455))</f>
        <v/>
      </c>
      <c r="J455" s="14" t="str">
        <f aca="false">IFERROR(_xlfn.AGGREGATE(15,6,ROW('Auto Process'!$D$4:$D$503)/('Auto Process'!$D$4:$D$503="Followup"),ROW()-1),"")</f>
        <v/>
      </c>
    </row>
    <row r="456" customFormat="false" ht="15" hidden="false" customHeight="true" outlineLevel="0" collapsed="false">
      <c r="A456" s="17" t="str">
        <f aca="false">IF($J456="","",INDEX('Auto Process'!$AP:$AP,$J456))</f>
        <v/>
      </c>
      <c r="B456" s="17" t="str">
        <f aca="false">IF($J456="","",INDEX('Auto Process'!$AQ:$AQ,$J456))</f>
        <v/>
      </c>
      <c r="C456" s="17" t="str">
        <f aca="false">IF($J456="","",INDEX('Auto Process'!$AR:$AR,$J456))</f>
        <v/>
      </c>
      <c r="D456" s="17" t="str">
        <f aca="false">IF($J456="","",INDEX('Auto Process'!$AS:$AS,$J456))</f>
        <v/>
      </c>
      <c r="E456" s="17" t="str">
        <f aca="false">IF($J456="","",INDEX('Auto Process'!$AT:$AT,$J456))</f>
        <v/>
      </c>
      <c r="F456" s="17" t="str">
        <f aca="false">IF($J456="","",INDEX('Auto Process'!$AU:$AU,$J456))</f>
        <v/>
      </c>
      <c r="G456" s="17" t="str">
        <f aca="false">IF($J456="","",INDEX('Auto Process'!$AV:$AV,$J456))</f>
        <v/>
      </c>
      <c r="H456" s="17" t="str">
        <f aca="false">IF($J456="","",INDEX('Auto Process'!$AW:$AW,$J456))</f>
        <v/>
      </c>
      <c r="J456" s="14" t="str">
        <f aca="false">IFERROR(_xlfn.AGGREGATE(15,6,ROW('Auto Process'!$D$4:$D$503)/('Auto Process'!$D$4:$D$503="Followup"),ROW()-1),"")</f>
        <v/>
      </c>
    </row>
    <row r="457" customFormat="false" ht="15" hidden="false" customHeight="true" outlineLevel="0" collapsed="false">
      <c r="A457" s="17" t="str">
        <f aca="false">IF($J457="","",INDEX('Auto Process'!$AP:$AP,$J457))</f>
        <v/>
      </c>
      <c r="B457" s="17" t="str">
        <f aca="false">IF($J457="","",INDEX('Auto Process'!$AQ:$AQ,$J457))</f>
        <v/>
      </c>
      <c r="C457" s="17" t="str">
        <f aca="false">IF($J457="","",INDEX('Auto Process'!$AR:$AR,$J457))</f>
        <v/>
      </c>
      <c r="D457" s="17" t="str">
        <f aca="false">IF($J457="","",INDEX('Auto Process'!$AS:$AS,$J457))</f>
        <v/>
      </c>
      <c r="E457" s="17" t="str">
        <f aca="false">IF($J457="","",INDEX('Auto Process'!$AT:$AT,$J457))</f>
        <v/>
      </c>
      <c r="F457" s="17" t="str">
        <f aca="false">IF($J457="","",INDEX('Auto Process'!$AU:$AU,$J457))</f>
        <v/>
      </c>
      <c r="G457" s="17" t="str">
        <f aca="false">IF($J457="","",INDEX('Auto Process'!$AV:$AV,$J457))</f>
        <v/>
      </c>
      <c r="H457" s="17" t="str">
        <f aca="false">IF($J457="","",INDEX('Auto Process'!$AW:$AW,$J457))</f>
        <v/>
      </c>
      <c r="J457" s="14" t="str">
        <f aca="false">IFERROR(_xlfn.AGGREGATE(15,6,ROW('Auto Process'!$D$4:$D$503)/('Auto Process'!$D$4:$D$503="Followup"),ROW()-1),"")</f>
        <v/>
      </c>
    </row>
    <row r="458" customFormat="false" ht="15" hidden="false" customHeight="true" outlineLevel="0" collapsed="false">
      <c r="A458" s="17" t="str">
        <f aca="false">IF($J458="","",INDEX('Auto Process'!$AP:$AP,$J458))</f>
        <v/>
      </c>
      <c r="B458" s="17" t="str">
        <f aca="false">IF($J458="","",INDEX('Auto Process'!$AQ:$AQ,$J458))</f>
        <v/>
      </c>
      <c r="C458" s="17" t="str">
        <f aca="false">IF($J458="","",INDEX('Auto Process'!$AR:$AR,$J458))</f>
        <v/>
      </c>
      <c r="D458" s="17" t="str">
        <f aca="false">IF($J458="","",INDEX('Auto Process'!$AS:$AS,$J458))</f>
        <v/>
      </c>
      <c r="E458" s="17" t="str">
        <f aca="false">IF($J458="","",INDEX('Auto Process'!$AT:$AT,$J458))</f>
        <v/>
      </c>
      <c r="F458" s="17" t="str">
        <f aca="false">IF($J458="","",INDEX('Auto Process'!$AU:$AU,$J458))</f>
        <v/>
      </c>
      <c r="G458" s="17" t="str">
        <f aca="false">IF($J458="","",INDEX('Auto Process'!$AV:$AV,$J458))</f>
        <v/>
      </c>
      <c r="H458" s="17" t="str">
        <f aca="false">IF($J458="","",INDEX('Auto Process'!$AW:$AW,$J458))</f>
        <v/>
      </c>
      <c r="J458" s="14" t="str">
        <f aca="false">IFERROR(_xlfn.AGGREGATE(15,6,ROW('Auto Process'!$D$4:$D$503)/('Auto Process'!$D$4:$D$503="Followup"),ROW()-1),"")</f>
        <v/>
      </c>
    </row>
    <row r="459" customFormat="false" ht="15" hidden="false" customHeight="true" outlineLevel="0" collapsed="false">
      <c r="A459" s="17" t="str">
        <f aca="false">IF($J459="","",INDEX('Auto Process'!$AP:$AP,$J459))</f>
        <v/>
      </c>
      <c r="B459" s="17" t="str">
        <f aca="false">IF($J459="","",INDEX('Auto Process'!$AQ:$AQ,$J459))</f>
        <v/>
      </c>
      <c r="C459" s="17" t="str">
        <f aca="false">IF($J459="","",INDEX('Auto Process'!$AR:$AR,$J459))</f>
        <v/>
      </c>
      <c r="D459" s="17" t="str">
        <f aca="false">IF($J459="","",INDEX('Auto Process'!$AS:$AS,$J459))</f>
        <v/>
      </c>
      <c r="E459" s="17" t="str">
        <f aca="false">IF($J459="","",INDEX('Auto Process'!$AT:$AT,$J459))</f>
        <v/>
      </c>
      <c r="F459" s="17" t="str">
        <f aca="false">IF($J459="","",INDEX('Auto Process'!$AU:$AU,$J459))</f>
        <v/>
      </c>
      <c r="G459" s="17" t="str">
        <f aca="false">IF($J459="","",INDEX('Auto Process'!$AV:$AV,$J459))</f>
        <v/>
      </c>
      <c r="H459" s="17" t="str">
        <f aca="false">IF($J459="","",INDEX('Auto Process'!$AW:$AW,$J459))</f>
        <v/>
      </c>
      <c r="J459" s="14" t="str">
        <f aca="false">IFERROR(_xlfn.AGGREGATE(15,6,ROW('Auto Process'!$D$4:$D$503)/('Auto Process'!$D$4:$D$503="Followup"),ROW()-1),"")</f>
        <v/>
      </c>
    </row>
    <row r="460" customFormat="false" ht="15" hidden="false" customHeight="true" outlineLevel="0" collapsed="false">
      <c r="A460" s="17" t="str">
        <f aca="false">IF($J460="","",INDEX('Auto Process'!$AP:$AP,$J460))</f>
        <v/>
      </c>
      <c r="B460" s="17" t="str">
        <f aca="false">IF($J460="","",INDEX('Auto Process'!$AQ:$AQ,$J460))</f>
        <v/>
      </c>
      <c r="C460" s="17" t="str">
        <f aca="false">IF($J460="","",INDEX('Auto Process'!$AR:$AR,$J460))</f>
        <v/>
      </c>
      <c r="D460" s="17" t="str">
        <f aca="false">IF($J460="","",INDEX('Auto Process'!$AS:$AS,$J460))</f>
        <v/>
      </c>
      <c r="E460" s="17" t="str">
        <f aca="false">IF($J460="","",INDEX('Auto Process'!$AT:$AT,$J460))</f>
        <v/>
      </c>
      <c r="F460" s="17" t="str">
        <f aca="false">IF($J460="","",INDEX('Auto Process'!$AU:$AU,$J460))</f>
        <v/>
      </c>
      <c r="G460" s="17" t="str">
        <f aca="false">IF($J460="","",INDEX('Auto Process'!$AV:$AV,$J460))</f>
        <v/>
      </c>
      <c r="H460" s="17" t="str">
        <f aca="false">IF($J460="","",INDEX('Auto Process'!$AW:$AW,$J460))</f>
        <v/>
      </c>
      <c r="J460" s="14" t="str">
        <f aca="false">IFERROR(_xlfn.AGGREGATE(15,6,ROW('Auto Process'!$D$4:$D$503)/('Auto Process'!$D$4:$D$503="Followup"),ROW()-1),"")</f>
        <v/>
      </c>
    </row>
    <row r="461" customFormat="false" ht="15" hidden="false" customHeight="true" outlineLevel="0" collapsed="false">
      <c r="A461" s="17" t="str">
        <f aca="false">IF($J461="","",INDEX('Auto Process'!$AP:$AP,$J461))</f>
        <v/>
      </c>
      <c r="B461" s="17" t="str">
        <f aca="false">IF($J461="","",INDEX('Auto Process'!$AQ:$AQ,$J461))</f>
        <v/>
      </c>
      <c r="C461" s="17" t="str">
        <f aca="false">IF($J461="","",INDEX('Auto Process'!$AR:$AR,$J461))</f>
        <v/>
      </c>
      <c r="D461" s="17" t="str">
        <f aca="false">IF($J461="","",INDEX('Auto Process'!$AS:$AS,$J461))</f>
        <v/>
      </c>
      <c r="E461" s="17" t="str">
        <f aca="false">IF($J461="","",INDEX('Auto Process'!$AT:$AT,$J461))</f>
        <v/>
      </c>
      <c r="F461" s="17" t="str">
        <f aca="false">IF($J461="","",INDEX('Auto Process'!$AU:$AU,$J461))</f>
        <v/>
      </c>
      <c r="G461" s="17" t="str">
        <f aca="false">IF($J461="","",INDEX('Auto Process'!$AV:$AV,$J461))</f>
        <v/>
      </c>
      <c r="H461" s="17" t="str">
        <f aca="false">IF($J461="","",INDEX('Auto Process'!$AW:$AW,$J461))</f>
        <v/>
      </c>
      <c r="J461" s="14" t="str">
        <f aca="false">IFERROR(_xlfn.AGGREGATE(15,6,ROW('Auto Process'!$D$4:$D$503)/('Auto Process'!$D$4:$D$503="Followup"),ROW()-1),"")</f>
        <v/>
      </c>
    </row>
    <row r="462" customFormat="false" ht="15" hidden="false" customHeight="true" outlineLevel="0" collapsed="false">
      <c r="A462" s="17" t="str">
        <f aca="false">IF($J462="","",INDEX('Auto Process'!$AP:$AP,$J462))</f>
        <v/>
      </c>
      <c r="B462" s="17" t="str">
        <f aca="false">IF($J462="","",INDEX('Auto Process'!$AQ:$AQ,$J462))</f>
        <v/>
      </c>
      <c r="C462" s="17" t="str">
        <f aca="false">IF($J462="","",INDEX('Auto Process'!$AR:$AR,$J462))</f>
        <v/>
      </c>
      <c r="D462" s="17" t="str">
        <f aca="false">IF($J462="","",INDEX('Auto Process'!$AS:$AS,$J462))</f>
        <v/>
      </c>
      <c r="E462" s="17" t="str">
        <f aca="false">IF($J462="","",INDEX('Auto Process'!$AT:$AT,$J462))</f>
        <v/>
      </c>
      <c r="F462" s="17" t="str">
        <f aca="false">IF($J462="","",INDEX('Auto Process'!$AU:$AU,$J462))</f>
        <v/>
      </c>
      <c r="G462" s="17" t="str">
        <f aca="false">IF($J462="","",INDEX('Auto Process'!$AV:$AV,$J462))</f>
        <v/>
      </c>
      <c r="H462" s="17" t="str">
        <f aca="false">IF($J462="","",INDEX('Auto Process'!$AW:$AW,$J462))</f>
        <v/>
      </c>
      <c r="J462" s="14" t="str">
        <f aca="false">IFERROR(_xlfn.AGGREGATE(15,6,ROW('Auto Process'!$D$4:$D$503)/('Auto Process'!$D$4:$D$503="Followup"),ROW()-1),"")</f>
        <v/>
      </c>
    </row>
    <row r="463" customFormat="false" ht="15" hidden="false" customHeight="true" outlineLevel="0" collapsed="false">
      <c r="A463" s="17" t="str">
        <f aca="false">IF($J463="","",INDEX('Auto Process'!$AP:$AP,$J463))</f>
        <v/>
      </c>
      <c r="B463" s="17" t="str">
        <f aca="false">IF($J463="","",INDEX('Auto Process'!$AQ:$AQ,$J463))</f>
        <v/>
      </c>
      <c r="C463" s="17" t="str">
        <f aca="false">IF($J463="","",INDEX('Auto Process'!$AR:$AR,$J463))</f>
        <v/>
      </c>
      <c r="D463" s="17" t="str">
        <f aca="false">IF($J463="","",INDEX('Auto Process'!$AS:$AS,$J463))</f>
        <v/>
      </c>
      <c r="E463" s="17" t="str">
        <f aca="false">IF($J463="","",INDEX('Auto Process'!$AT:$AT,$J463))</f>
        <v/>
      </c>
      <c r="F463" s="17" t="str">
        <f aca="false">IF($J463="","",INDEX('Auto Process'!$AU:$AU,$J463))</f>
        <v/>
      </c>
      <c r="G463" s="17" t="str">
        <f aca="false">IF($J463="","",INDEX('Auto Process'!$AV:$AV,$J463))</f>
        <v/>
      </c>
      <c r="H463" s="17" t="str">
        <f aca="false">IF($J463="","",INDEX('Auto Process'!$AW:$AW,$J463))</f>
        <v/>
      </c>
      <c r="J463" s="14" t="str">
        <f aca="false">IFERROR(_xlfn.AGGREGATE(15,6,ROW('Auto Process'!$D$4:$D$503)/('Auto Process'!$D$4:$D$503="Followup"),ROW()-1),"")</f>
        <v/>
      </c>
    </row>
    <row r="464" customFormat="false" ht="15" hidden="false" customHeight="true" outlineLevel="0" collapsed="false">
      <c r="A464" s="17" t="str">
        <f aca="false">IF($J464="","",INDEX('Auto Process'!$AP:$AP,$J464))</f>
        <v/>
      </c>
      <c r="B464" s="17" t="str">
        <f aca="false">IF($J464="","",INDEX('Auto Process'!$AQ:$AQ,$J464))</f>
        <v/>
      </c>
      <c r="C464" s="17" t="str">
        <f aca="false">IF($J464="","",INDEX('Auto Process'!$AR:$AR,$J464))</f>
        <v/>
      </c>
      <c r="D464" s="17" t="str">
        <f aca="false">IF($J464="","",INDEX('Auto Process'!$AS:$AS,$J464))</f>
        <v/>
      </c>
      <c r="E464" s="17" t="str">
        <f aca="false">IF($J464="","",INDEX('Auto Process'!$AT:$AT,$J464))</f>
        <v/>
      </c>
      <c r="F464" s="17" t="str">
        <f aca="false">IF($J464="","",INDEX('Auto Process'!$AU:$AU,$J464))</f>
        <v/>
      </c>
      <c r="G464" s="17" t="str">
        <f aca="false">IF($J464="","",INDEX('Auto Process'!$AV:$AV,$J464))</f>
        <v/>
      </c>
      <c r="H464" s="17" t="str">
        <f aca="false">IF($J464="","",INDEX('Auto Process'!$AW:$AW,$J464))</f>
        <v/>
      </c>
      <c r="J464" s="14" t="str">
        <f aca="false">IFERROR(_xlfn.AGGREGATE(15,6,ROW('Auto Process'!$D$4:$D$503)/('Auto Process'!$D$4:$D$503="Followup"),ROW()-1),"")</f>
        <v/>
      </c>
    </row>
    <row r="465" customFormat="false" ht="15" hidden="false" customHeight="true" outlineLevel="0" collapsed="false">
      <c r="A465" s="17" t="str">
        <f aca="false">IF($J465="","",INDEX('Auto Process'!$AP:$AP,$J465))</f>
        <v/>
      </c>
      <c r="B465" s="17" t="str">
        <f aca="false">IF($J465="","",INDEX('Auto Process'!$AQ:$AQ,$J465))</f>
        <v/>
      </c>
      <c r="C465" s="17" t="str">
        <f aca="false">IF($J465="","",INDEX('Auto Process'!$AR:$AR,$J465))</f>
        <v/>
      </c>
      <c r="D465" s="17" t="str">
        <f aca="false">IF($J465="","",INDEX('Auto Process'!$AS:$AS,$J465))</f>
        <v/>
      </c>
      <c r="E465" s="17" t="str">
        <f aca="false">IF($J465="","",INDEX('Auto Process'!$AT:$AT,$J465))</f>
        <v/>
      </c>
      <c r="F465" s="17" t="str">
        <f aca="false">IF($J465="","",INDEX('Auto Process'!$AU:$AU,$J465))</f>
        <v/>
      </c>
      <c r="G465" s="17" t="str">
        <f aca="false">IF($J465="","",INDEX('Auto Process'!$AV:$AV,$J465))</f>
        <v/>
      </c>
      <c r="H465" s="17" t="str">
        <f aca="false">IF($J465="","",INDEX('Auto Process'!$AW:$AW,$J465))</f>
        <v/>
      </c>
      <c r="J465" s="14" t="str">
        <f aca="false">IFERROR(_xlfn.AGGREGATE(15,6,ROW('Auto Process'!$D$4:$D$503)/('Auto Process'!$D$4:$D$503="Followup"),ROW()-1),"")</f>
        <v/>
      </c>
    </row>
    <row r="466" customFormat="false" ht="15" hidden="false" customHeight="true" outlineLevel="0" collapsed="false">
      <c r="A466" s="17" t="str">
        <f aca="false">IF($J466="","",INDEX('Auto Process'!$AP:$AP,$J466))</f>
        <v/>
      </c>
      <c r="B466" s="17" t="str">
        <f aca="false">IF($J466="","",INDEX('Auto Process'!$AQ:$AQ,$J466))</f>
        <v/>
      </c>
      <c r="C466" s="17" t="str">
        <f aca="false">IF($J466="","",INDEX('Auto Process'!$AR:$AR,$J466))</f>
        <v/>
      </c>
      <c r="D466" s="17" t="str">
        <f aca="false">IF($J466="","",INDEX('Auto Process'!$AS:$AS,$J466))</f>
        <v/>
      </c>
      <c r="E466" s="17" t="str">
        <f aca="false">IF($J466="","",INDEX('Auto Process'!$AT:$AT,$J466))</f>
        <v/>
      </c>
      <c r="F466" s="17" t="str">
        <f aca="false">IF($J466="","",INDEX('Auto Process'!$AU:$AU,$J466))</f>
        <v/>
      </c>
      <c r="G466" s="17" t="str">
        <f aca="false">IF($J466="","",INDEX('Auto Process'!$AV:$AV,$J466))</f>
        <v/>
      </c>
      <c r="H466" s="17" t="str">
        <f aca="false">IF($J466="","",INDEX('Auto Process'!$AW:$AW,$J466))</f>
        <v/>
      </c>
      <c r="J466" s="14" t="str">
        <f aca="false">IFERROR(_xlfn.AGGREGATE(15,6,ROW('Auto Process'!$D$4:$D$503)/('Auto Process'!$D$4:$D$503="Followup"),ROW()-1),"")</f>
        <v/>
      </c>
    </row>
    <row r="467" customFormat="false" ht="15" hidden="false" customHeight="true" outlineLevel="0" collapsed="false">
      <c r="A467" s="17" t="str">
        <f aca="false">IF($J467="","",INDEX('Auto Process'!$AP:$AP,$J467))</f>
        <v/>
      </c>
      <c r="B467" s="17" t="str">
        <f aca="false">IF($J467="","",INDEX('Auto Process'!$AQ:$AQ,$J467))</f>
        <v/>
      </c>
      <c r="C467" s="17" t="str">
        <f aca="false">IF($J467="","",INDEX('Auto Process'!$AR:$AR,$J467))</f>
        <v/>
      </c>
      <c r="D467" s="17" t="str">
        <f aca="false">IF($J467="","",INDEX('Auto Process'!$AS:$AS,$J467))</f>
        <v/>
      </c>
      <c r="E467" s="17" t="str">
        <f aca="false">IF($J467="","",INDEX('Auto Process'!$AT:$AT,$J467))</f>
        <v/>
      </c>
      <c r="F467" s="17" t="str">
        <f aca="false">IF($J467="","",INDEX('Auto Process'!$AU:$AU,$J467))</f>
        <v/>
      </c>
      <c r="G467" s="17" t="str">
        <f aca="false">IF($J467="","",INDEX('Auto Process'!$AV:$AV,$J467))</f>
        <v/>
      </c>
      <c r="H467" s="17" t="str">
        <f aca="false">IF($J467="","",INDEX('Auto Process'!$AW:$AW,$J467))</f>
        <v/>
      </c>
      <c r="J467" s="14" t="str">
        <f aca="false">IFERROR(_xlfn.AGGREGATE(15,6,ROW('Auto Process'!$D$4:$D$503)/('Auto Process'!$D$4:$D$503="Followup"),ROW()-1),"")</f>
        <v/>
      </c>
    </row>
    <row r="468" customFormat="false" ht="15" hidden="false" customHeight="true" outlineLevel="0" collapsed="false">
      <c r="A468" s="17" t="str">
        <f aca="false">IF($J468="","",INDEX('Auto Process'!$AP:$AP,$J468))</f>
        <v/>
      </c>
      <c r="B468" s="17" t="str">
        <f aca="false">IF($J468="","",INDEX('Auto Process'!$AQ:$AQ,$J468))</f>
        <v/>
      </c>
      <c r="C468" s="17" t="str">
        <f aca="false">IF($J468="","",INDEX('Auto Process'!$AR:$AR,$J468))</f>
        <v/>
      </c>
      <c r="D468" s="17" t="str">
        <f aca="false">IF($J468="","",INDEX('Auto Process'!$AS:$AS,$J468))</f>
        <v/>
      </c>
      <c r="E468" s="17" t="str">
        <f aca="false">IF($J468="","",INDEX('Auto Process'!$AT:$AT,$J468))</f>
        <v/>
      </c>
      <c r="F468" s="17" t="str">
        <f aca="false">IF($J468="","",INDEX('Auto Process'!$AU:$AU,$J468))</f>
        <v/>
      </c>
      <c r="G468" s="17" t="str">
        <f aca="false">IF($J468="","",INDEX('Auto Process'!$AV:$AV,$J468))</f>
        <v/>
      </c>
      <c r="H468" s="17" t="str">
        <f aca="false">IF($J468="","",INDEX('Auto Process'!$AW:$AW,$J468))</f>
        <v/>
      </c>
      <c r="J468" s="14" t="str">
        <f aca="false">IFERROR(_xlfn.AGGREGATE(15,6,ROW('Auto Process'!$D$4:$D$503)/('Auto Process'!$D$4:$D$503="Followup"),ROW()-1),"")</f>
        <v/>
      </c>
    </row>
    <row r="469" customFormat="false" ht="15" hidden="false" customHeight="true" outlineLevel="0" collapsed="false">
      <c r="A469" s="17" t="str">
        <f aca="false">IF($J469="","",INDEX('Auto Process'!$AP:$AP,$J469))</f>
        <v/>
      </c>
      <c r="B469" s="17" t="str">
        <f aca="false">IF($J469="","",INDEX('Auto Process'!$AQ:$AQ,$J469))</f>
        <v/>
      </c>
      <c r="C469" s="17" t="str">
        <f aca="false">IF($J469="","",INDEX('Auto Process'!$AR:$AR,$J469))</f>
        <v/>
      </c>
      <c r="D469" s="17" t="str">
        <f aca="false">IF($J469="","",INDEX('Auto Process'!$AS:$AS,$J469))</f>
        <v/>
      </c>
      <c r="E469" s="17" t="str">
        <f aca="false">IF($J469="","",INDEX('Auto Process'!$AT:$AT,$J469))</f>
        <v/>
      </c>
      <c r="F469" s="17" t="str">
        <f aca="false">IF($J469="","",INDEX('Auto Process'!$AU:$AU,$J469))</f>
        <v/>
      </c>
      <c r="G469" s="17" t="str">
        <f aca="false">IF($J469="","",INDEX('Auto Process'!$AV:$AV,$J469))</f>
        <v/>
      </c>
      <c r="H469" s="17" t="str">
        <f aca="false">IF($J469="","",INDEX('Auto Process'!$AW:$AW,$J469))</f>
        <v/>
      </c>
      <c r="J469" s="14" t="str">
        <f aca="false">IFERROR(_xlfn.AGGREGATE(15,6,ROW('Auto Process'!$D$4:$D$503)/('Auto Process'!$D$4:$D$503="Followup"),ROW()-1),"")</f>
        <v/>
      </c>
    </row>
    <row r="470" customFormat="false" ht="15" hidden="false" customHeight="true" outlineLevel="0" collapsed="false">
      <c r="A470" s="17" t="str">
        <f aca="false">IF($J470="","",INDEX('Auto Process'!$AP:$AP,$J470))</f>
        <v/>
      </c>
      <c r="B470" s="17" t="str">
        <f aca="false">IF($J470="","",INDEX('Auto Process'!$AQ:$AQ,$J470))</f>
        <v/>
      </c>
      <c r="C470" s="17" t="str">
        <f aca="false">IF($J470="","",INDEX('Auto Process'!$AR:$AR,$J470))</f>
        <v/>
      </c>
      <c r="D470" s="17" t="str">
        <f aca="false">IF($J470="","",INDEX('Auto Process'!$AS:$AS,$J470))</f>
        <v/>
      </c>
      <c r="E470" s="17" t="str">
        <f aca="false">IF($J470="","",INDEX('Auto Process'!$AT:$AT,$J470))</f>
        <v/>
      </c>
      <c r="F470" s="17" t="str">
        <f aca="false">IF($J470="","",INDEX('Auto Process'!$AU:$AU,$J470))</f>
        <v/>
      </c>
      <c r="G470" s="17" t="str">
        <f aca="false">IF($J470="","",INDEX('Auto Process'!$AV:$AV,$J470))</f>
        <v/>
      </c>
      <c r="H470" s="17" t="str">
        <f aca="false">IF($J470="","",INDEX('Auto Process'!$AW:$AW,$J470))</f>
        <v/>
      </c>
      <c r="J470" s="14" t="str">
        <f aca="false">IFERROR(_xlfn.AGGREGATE(15,6,ROW('Auto Process'!$D$4:$D$503)/('Auto Process'!$D$4:$D$503="Followup"),ROW()-1),"")</f>
        <v/>
      </c>
    </row>
    <row r="471" customFormat="false" ht="15" hidden="false" customHeight="true" outlineLevel="0" collapsed="false">
      <c r="A471" s="17" t="str">
        <f aca="false">IF($J471="","",INDEX('Auto Process'!$AP:$AP,$J471))</f>
        <v/>
      </c>
      <c r="B471" s="17" t="str">
        <f aca="false">IF($J471="","",INDEX('Auto Process'!$AQ:$AQ,$J471))</f>
        <v/>
      </c>
      <c r="C471" s="17" t="str">
        <f aca="false">IF($J471="","",INDEX('Auto Process'!$AR:$AR,$J471))</f>
        <v/>
      </c>
      <c r="D471" s="17" t="str">
        <f aca="false">IF($J471="","",INDEX('Auto Process'!$AS:$AS,$J471))</f>
        <v/>
      </c>
      <c r="E471" s="17" t="str">
        <f aca="false">IF($J471="","",INDEX('Auto Process'!$AT:$AT,$J471))</f>
        <v/>
      </c>
      <c r="F471" s="17" t="str">
        <f aca="false">IF($J471="","",INDEX('Auto Process'!$AU:$AU,$J471))</f>
        <v/>
      </c>
      <c r="G471" s="17" t="str">
        <f aca="false">IF($J471="","",INDEX('Auto Process'!$AV:$AV,$J471))</f>
        <v/>
      </c>
      <c r="H471" s="17" t="str">
        <f aca="false">IF($J471="","",INDEX('Auto Process'!$AW:$AW,$J471))</f>
        <v/>
      </c>
      <c r="J471" s="14" t="str">
        <f aca="false">IFERROR(_xlfn.AGGREGATE(15,6,ROW('Auto Process'!$D$4:$D$503)/('Auto Process'!$D$4:$D$503="Followup"),ROW()-1),"")</f>
        <v/>
      </c>
    </row>
    <row r="472" customFormat="false" ht="15" hidden="false" customHeight="true" outlineLevel="0" collapsed="false">
      <c r="A472" s="17" t="str">
        <f aca="false">IF($J472="","",INDEX('Auto Process'!$AP:$AP,$J472))</f>
        <v/>
      </c>
      <c r="B472" s="17" t="str">
        <f aca="false">IF($J472="","",INDEX('Auto Process'!$AQ:$AQ,$J472))</f>
        <v/>
      </c>
      <c r="C472" s="17" t="str">
        <f aca="false">IF($J472="","",INDEX('Auto Process'!$AR:$AR,$J472))</f>
        <v/>
      </c>
      <c r="D472" s="17" t="str">
        <f aca="false">IF($J472="","",INDEX('Auto Process'!$AS:$AS,$J472))</f>
        <v/>
      </c>
      <c r="E472" s="17" t="str">
        <f aca="false">IF($J472="","",INDEX('Auto Process'!$AT:$AT,$J472))</f>
        <v/>
      </c>
      <c r="F472" s="17" t="str">
        <f aca="false">IF($J472="","",INDEX('Auto Process'!$AU:$AU,$J472))</f>
        <v/>
      </c>
      <c r="G472" s="17" t="str">
        <f aca="false">IF($J472="","",INDEX('Auto Process'!$AV:$AV,$J472))</f>
        <v/>
      </c>
      <c r="H472" s="17" t="str">
        <f aca="false">IF($J472="","",INDEX('Auto Process'!$AW:$AW,$J472))</f>
        <v/>
      </c>
      <c r="J472" s="14" t="str">
        <f aca="false">IFERROR(_xlfn.AGGREGATE(15,6,ROW('Auto Process'!$D$4:$D$503)/('Auto Process'!$D$4:$D$503="Followup"),ROW()-1),"")</f>
        <v/>
      </c>
    </row>
    <row r="473" customFormat="false" ht="15" hidden="false" customHeight="true" outlineLevel="0" collapsed="false">
      <c r="A473" s="17" t="str">
        <f aca="false">IF($J473="","",INDEX('Auto Process'!$AP:$AP,$J473))</f>
        <v/>
      </c>
      <c r="B473" s="17" t="str">
        <f aca="false">IF($J473="","",INDEX('Auto Process'!$AQ:$AQ,$J473))</f>
        <v/>
      </c>
      <c r="C473" s="17" t="str">
        <f aca="false">IF($J473="","",INDEX('Auto Process'!$AR:$AR,$J473))</f>
        <v/>
      </c>
      <c r="D473" s="17" t="str">
        <f aca="false">IF($J473="","",INDEX('Auto Process'!$AS:$AS,$J473))</f>
        <v/>
      </c>
      <c r="E473" s="17" t="str">
        <f aca="false">IF($J473="","",INDEX('Auto Process'!$AT:$AT,$J473))</f>
        <v/>
      </c>
      <c r="F473" s="17" t="str">
        <f aca="false">IF($J473="","",INDEX('Auto Process'!$AU:$AU,$J473))</f>
        <v/>
      </c>
      <c r="G473" s="17" t="str">
        <f aca="false">IF($J473="","",INDEX('Auto Process'!$AV:$AV,$J473))</f>
        <v/>
      </c>
      <c r="H473" s="17" t="str">
        <f aca="false">IF($J473="","",INDEX('Auto Process'!$AW:$AW,$J473))</f>
        <v/>
      </c>
      <c r="J473" s="14" t="str">
        <f aca="false">IFERROR(_xlfn.AGGREGATE(15,6,ROW('Auto Process'!$D$4:$D$503)/('Auto Process'!$D$4:$D$503="Followup"),ROW()-1),"")</f>
        <v/>
      </c>
    </row>
    <row r="474" customFormat="false" ht="15" hidden="false" customHeight="true" outlineLevel="0" collapsed="false">
      <c r="A474" s="17" t="str">
        <f aca="false">IF($J474="","",INDEX('Auto Process'!$AP:$AP,$J474))</f>
        <v/>
      </c>
      <c r="B474" s="17" t="str">
        <f aca="false">IF($J474="","",INDEX('Auto Process'!$AQ:$AQ,$J474))</f>
        <v/>
      </c>
      <c r="C474" s="17" t="str">
        <f aca="false">IF($J474="","",INDEX('Auto Process'!$AR:$AR,$J474))</f>
        <v/>
      </c>
      <c r="D474" s="17" t="str">
        <f aca="false">IF($J474="","",INDEX('Auto Process'!$AS:$AS,$J474))</f>
        <v/>
      </c>
      <c r="E474" s="17" t="str">
        <f aca="false">IF($J474="","",INDEX('Auto Process'!$AT:$AT,$J474))</f>
        <v/>
      </c>
      <c r="F474" s="17" t="str">
        <f aca="false">IF($J474="","",INDEX('Auto Process'!$AU:$AU,$J474))</f>
        <v/>
      </c>
      <c r="G474" s="17" t="str">
        <f aca="false">IF($J474="","",INDEX('Auto Process'!$AV:$AV,$J474))</f>
        <v/>
      </c>
      <c r="H474" s="17" t="str">
        <f aca="false">IF($J474="","",INDEX('Auto Process'!$AW:$AW,$J474))</f>
        <v/>
      </c>
      <c r="J474" s="14" t="str">
        <f aca="false">IFERROR(_xlfn.AGGREGATE(15,6,ROW('Auto Process'!$D$4:$D$503)/('Auto Process'!$D$4:$D$503="Followup"),ROW()-1),"")</f>
        <v/>
      </c>
    </row>
    <row r="475" customFormat="false" ht="15" hidden="false" customHeight="true" outlineLevel="0" collapsed="false">
      <c r="A475" s="17" t="str">
        <f aca="false">IF($J475="","",INDEX('Auto Process'!$AP:$AP,$J475))</f>
        <v/>
      </c>
      <c r="B475" s="17" t="str">
        <f aca="false">IF($J475="","",INDEX('Auto Process'!$AQ:$AQ,$J475))</f>
        <v/>
      </c>
      <c r="C475" s="17" t="str">
        <f aca="false">IF($J475="","",INDEX('Auto Process'!$AR:$AR,$J475))</f>
        <v/>
      </c>
      <c r="D475" s="17" t="str">
        <f aca="false">IF($J475="","",INDEX('Auto Process'!$AS:$AS,$J475))</f>
        <v/>
      </c>
      <c r="E475" s="17" t="str">
        <f aca="false">IF($J475="","",INDEX('Auto Process'!$AT:$AT,$J475))</f>
        <v/>
      </c>
      <c r="F475" s="17" t="str">
        <f aca="false">IF($J475="","",INDEX('Auto Process'!$AU:$AU,$J475))</f>
        <v/>
      </c>
      <c r="G475" s="17" t="str">
        <f aca="false">IF($J475="","",INDEX('Auto Process'!$AV:$AV,$J475))</f>
        <v/>
      </c>
      <c r="H475" s="17" t="str">
        <f aca="false">IF($J475="","",INDEX('Auto Process'!$AW:$AW,$J475))</f>
        <v/>
      </c>
      <c r="J475" s="14" t="str">
        <f aca="false">IFERROR(_xlfn.AGGREGATE(15,6,ROW('Auto Process'!$D$4:$D$503)/('Auto Process'!$D$4:$D$503="Followup"),ROW()-1),"")</f>
        <v/>
      </c>
    </row>
    <row r="476" customFormat="false" ht="15" hidden="false" customHeight="true" outlineLevel="0" collapsed="false">
      <c r="A476" s="17" t="str">
        <f aca="false">IF($J476="","",INDEX('Auto Process'!$AP:$AP,$J476))</f>
        <v/>
      </c>
      <c r="B476" s="17" t="str">
        <f aca="false">IF($J476="","",INDEX('Auto Process'!$AQ:$AQ,$J476))</f>
        <v/>
      </c>
      <c r="C476" s="17" t="str">
        <f aca="false">IF($J476="","",INDEX('Auto Process'!$AR:$AR,$J476))</f>
        <v/>
      </c>
      <c r="D476" s="17" t="str">
        <f aca="false">IF($J476="","",INDEX('Auto Process'!$AS:$AS,$J476))</f>
        <v/>
      </c>
      <c r="E476" s="17" t="str">
        <f aca="false">IF($J476="","",INDEX('Auto Process'!$AT:$AT,$J476))</f>
        <v/>
      </c>
      <c r="F476" s="17" t="str">
        <f aca="false">IF($J476="","",INDEX('Auto Process'!$AU:$AU,$J476))</f>
        <v/>
      </c>
      <c r="G476" s="17" t="str">
        <f aca="false">IF($J476="","",INDEX('Auto Process'!$AV:$AV,$J476))</f>
        <v/>
      </c>
      <c r="H476" s="17" t="str">
        <f aca="false">IF($J476="","",INDEX('Auto Process'!$AW:$AW,$J476))</f>
        <v/>
      </c>
      <c r="J476" s="14" t="str">
        <f aca="false">IFERROR(_xlfn.AGGREGATE(15,6,ROW('Auto Process'!$D$4:$D$503)/('Auto Process'!$D$4:$D$503="Followup"),ROW()-1),"")</f>
        <v/>
      </c>
    </row>
    <row r="477" customFormat="false" ht="15" hidden="false" customHeight="true" outlineLevel="0" collapsed="false">
      <c r="A477" s="17" t="str">
        <f aca="false">IF($J477="","",INDEX('Auto Process'!$AP:$AP,$J477))</f>
        <v/>
      </c>
      <c r="B477" s="17" t="str">
        <f aca="false">IF($J477="","",INDEX('Auto Process'!$AQ:$AQ,$J477))</f>
        <v/>
      </c>
      <c r="C477" s="17" t="str">
        <f aca="false">IF($J477="","",INDEX('Auto Process'!$AR:$AR,$J477))</f>
        <v/>
      </c>
      <c r="D477" s="17" t="str">
        <f aca="false">IF($J477="","",INDEX('Auto Process'!$AS:$AS,$J477))</f>
        <v/>
      </c>
      <c r="E477" s="17" t="str">
        <f aca="false">IF($J477="","",INDEX('Auto Process'!$AT:$AT,$J477))</f>
        <v/>
      </c>
      <c r="F477" s="17" t="str">
        <f aca="false">IF($J477="","",INDEX('Auto Process'!$AU:$AU,$J477))</f>
        <v/>
      </c>
      <c r="G477" s="17" t="str">
        <f aca="false">IF($J477="","",INDEX('Auto Process'!$AV:$AV,$J477))</f>
        <v/>
      </c>
      <c r="H477" s="17" t="str">
        <f aca="false">IF($J477="","",INDEX('Auto Process'!$AW:$AW,$J477))</f>
        <v/>
      </c>
      <c r="J477" s="14" t="str">
        <f aca="false">IFERROR(_xlfn.AGGREGATE(15,6,ROW('Auto Process'!$D$4:$D$503)/('Auto Process'!$D$4:$D$503="Followup"),ROW()-1),"")</f>
        <v/>
      </c>
    </row>
    <row r="478" customFormat="false" ht="15" hidden="false" customHeight="true" outlineLevel="0" collapsed="false">
      <c r="A478" s="17" t="str">
        <f aca="false">IF($J478="","",INDEX('Auto Process'!$AP:$AP,$J478))</f>
        <v/>
      </c>
      <c r="B478" s="17" t="str">
        <f aca="false">IF($J478="","",INDEX('Auto Process'!$AQ:$AQ,$J478))</f>
        <v/>
      </c>
      <c r="C478" s="17" t="str">
        <f aca="false">IF($J478="","",INDEX('Auto Process'!$AR:$AR,$J478))</f>
        <v/>
      </c>
      <c r="D478" s="17" t="str">
        <f aca="false">IF($J478="","",INDEX('Auto Process'!$AS:$AS,$J478))</f>
        <v/>
      </c>
      <c r="E478" s="17" t="str">
        <f aca="false">IF($J478="","",INDEX('Auto Process'!$AT:$AT,$J478))</f>
        <v/>
      </c>
      <c r="F478" s="17" t="str">
        <f aca="false">IF($J478="","",INDEX('Auto Process'!$AU:$AU,$J478))</f>
        <v/>
      </c>
      <c r="G478" s="17" t="str">
        <f aca="false">IF($J478="","",INDEX('Auto Process'!$AV:$AV,$J478))</f>
        <v/>
      </c>
      <c r="H478" s="17" t="str">
        <f aca="false">IF($J478="","",INDEX('Auto Process'!$AW:$AW,$J478))</f>
        <v/>
      </c>
      <c r="J478" s="14" t="str">
        <f aca="false">IFERROR(_xlfn.AGGREGATE(15,6,ROW('Auto Process'!$D$4:$D$503)/('Auto Process'!$D$4:$D$503="Followup"),ROW()-1),"")</f>
        <v/>
      </c>
    </row>
    <row r="479" customFormat="false" ht="15" hidden="false" customHeight="true" outlineLevel="0" collapsed="false">
      <c r="A479" s="17" t="str">
        <f aca="false">IF($J479="","",INDEX('Auto Process'!$AP:$AP,$J479))</f>
        <v/>
      </c>
      <c r="B479" s="17" t="str">
        <f aca="false">IF($J479="","",INDEX('Auto Process'!$AQ:$AQ,$J479))</f>
        <v/>
      </c>
      <c r="C479" s="17" t="str">
        <f aca="false">IF($J479="","",INDEX('Auto Process'!$AR:$AR,$J479))</f>
        <v/>
      </c>
      <c r="D479" s="17" t="str">
        <f aca="false">IF($J479="","",INDEX('Auto Process'!$AS:$AS,$J479))</f>
        <v/>
      </c>
      <c r="E479" s="17" t="str">
        <f aca="false">IF($J479="","",INDEX('Auto Process'!$AT:$AT,$J479))</f>
        <v/>
      </c>
      <c r="F479" s="17" t="str">
        <f aca="false">IF($J479="","",INDEX('Auto Process'!$AU:$AU,$J479))</f>
        <v/>
      </c>
      <c r="G479" s="17" t="str">
        <f aca="false">IF($J479="","",INDEX('Auto Process'!$AV:$AV,$J479))</f>
        <v/>
      </c>
      <c r="H479" s="17" t="str">
        <f aca="false">IF($J479="","",INDEX('Auto Process'!$AW:$AW,$J479))</f>
        <v/>
      </c>
      <c r="J479" s="14" t="str">
        <f aca="false">IFERROR(_xlfn.AGGREGATE(15,6,ROW('Auto Process'!$D$4:$D$503)/('Auto Process'!$D$4:$D$503="Followup"),ROW()-1),"")</f>
        <v/>
      </c>
    </row>
    <row r="480" customFormat="false" ht="15" hidden="false" customHeight="true" outlineLevel="0" collapsed="false">
      <c r="A480" s="17" t="str">
        <f aca="false">IF($J480="","",INDEX('Auto Process'!$AP:$AP,$J480))</f>
        <v/>
      </c>
      <c r="B480" s="17" t="str">
        <f aca="false">IF($J480="","",INDEX('Auto Process'!$AQ:$AQ,$J480))</f>
        <v/>
      </c>
      <c r="C480" s="17" t="str">
        <f aca="false">IF($J480="","",INDEX('Auto Process'!$AR:$AR,$J480))</f>
        <v/>
      </c>
      <c r="D480" s="17" t="str">
        <f aca="false">IF($J480="","",INDEX('Auto Process'!$AS:$AS,$J480))</f>
        <v/>
      </c>
      <c r="E480" s="17" t="str">
        <f aca="false">IF($J480="","",INDEX('Auto Process'!$AT:$AT,$J480))</f>
        <v/>
      </c>
      <c r="F480" s="17" t="str">
        <f aca="false">IF($J480="","",INDEX('Auto Process'!$AU:$AU,$J480))</f>
        <v/>
      </c>
      <c r="G480" s="17" t="str">
        <f aca="false">IF($J480="","",INDEX('Auto Process'!$AV:$AV,$J480))</f>
        <v/>
      </c>
      <c r="H480" s="17" t="str">
        <f aca="false">IF($J480="","",INDEX('Auto Process'!$AW:$AW,$J480))</f>
        <v/>
      </c>
      <c r="J480" s="14" t="str">
        <f aca="false">IFERROR(_xlfn.AGGREGATE(15,6,ROW('Auto Process'!$D$4:$D$503)/('Auto Process'!$D$4:$D$503="Followup"),ROW()-1),"")</f>
        <v/>
      </c>
    </row>
    <row r="481" customFormat="false" ht="15" hidden="false" customHeight="true" outlineLevel="0" collapsed="false">
      <c r="A481" s="17" t="str">
        <f aca="false">IF($J481="","",INDEX('Auto Process'!$AP:$AP,$J481))</f>
        <v/>
      </c>
      <c r="B481" s="17" t="str">
        <f aca="false">IF($J481="","",INDEX('Auto Process'!$AQ:$AQ,$J481))</f>
        <v/>
      </c>
      <c r="C481" s="17" t="str">
        <f aca="false">IF($J481="","",INDEX('Auto Process'!$AR:$AR,$J481))</f>
        <v/>
      </c>
      <c r="D481" s="17" t="str">
        <f aca="false">IF($J481="","",INDEX('Auto Process'!$AS:$AS,$J481))</f>
        <v/>
      </c>
      <c r="E481" s="17" t="str">
        <f aca="false">IF($J481="","",INDEX('Auto Process'!$AT:$AT,$J481))</f>
        <v/>
      </c>
      <c r="F481" s="17" t="str">
        <f aca="false">IF($J481="","",INDEX('Auto Process'!$AU:$AU,$J481))</f>
        <v/>
      </c>
      <c r="G481" s="17" t="str">
        <f aca="false">IF($J481="","",INDEX('Auto Process'!$AV:$AV,$J481))</f>
        <v/>
      </c>
      <c r="H481" s="17" t="str">
        <f aca="false">IF($J481="","",INDEX('Auto Process'!$AW:$AW,$J481))</f>
        <v/>
      </c>
      <c r="J481" s="14" t="str">
        <f aca="false">IFERROR(_xlfn.AGGREGATE(15,6,ROW('Auto Process'!$D$4:$D$503)/('Auto Process'!$D$4:$D$503="Followup"),ROW()-1),"")</f>
        <v/>
      </c>
    </row>
    <row r="482" customFormat="false" ht="15" hidden="false" customHeight="true" outlineLevel="0" collapsed="false">
      <c r="A482" s="17" t="str">
        <f aca="false">IF($J482="","",INDEX('Auto Process'!$AP:$AP,$J482))</f>
        <v/>
      </c>
      <c r="B482" s="17" t="str">
        <f aca="false">IF($J482="","",INDEX('Auto Process'!$AQ:$AQ,$J482))</f>
        <v/>
      </c>
      <c r="C482" s="17" t="str">
        <f aca="false">IF($J482="","",INDEX('Auto Process'!$AR:$AR,$J482))</f>
        <v/>
      </c>
      <c r="D482" s="17" t="str">
        <f aca="false">IF($J482="","",INDEX('Auto Process'!$AS:$AS,$J482))</f>
        <v/>
      </c>
      <c r="E482" s="17" t="str">
        <f aca="false">IF($J482="","",INDEX('Auto Process'!$AT:$AT,$J482))</f>
        <v/>
      </c>
      <c r="F482" s="17" t="str">
        <f aca="false">IF($J482="","",INDEX('Auto Process'!$AU:$AU,$J482))</f>
        <v/>
      </c>
      <c r="G482" s="17" t="str">
        <f aca="false">IF($J482="","",INDEX('Auto Process'!$AV:$AV,$J482))</f>
        <v/>
      </c>
      <c r="H482" s="17" t="str">
        <f aca="false">IF($J482="","",INDEX('Auto Process'!$AW:$AW,$J482))</f>
        <v/>
      </c>
      <c r="J482" s="14" t="str">
        <f aca="false">IFERROR(_xlfn.AGGREGATE(15,6,ROW('Auto Process'!$D$4:$D$503)/('Auto Process'!$D$4:$D$503="Followup"),ROW()-1),"")</f>
        <v/>
      </c>
    </row>
    <row r="483" customFormat="false" ht="15" hidden="false" customHeight="true" outlineLevel="0" collapsed="false">
      <c r="A483" s="17" t="str">
        <f aca="false">IF($J483="","",INDEX('Auto Process'!$AP:$AP,$J483))</f>
        <v/>
      </c>
      <c r="B483" s="17" t="str">
        <f aca="false">IF($J483="","",INDEX('Auto Process'!$AQ:$AQ,$J483))</f>
        <v/>
      </c>
      <c r="C483" s="17" t="str">
        <f aca="false">IF($J483="","",INDEX('Auto Process'!$AR:$AR,$J483))</f>
        <v/>
      </c>
      <c r="D483" s="17" t="str">
        <f aca="false">IF($J483="","",INDEX('Auto Process'!$AS:$AS,$J483))</f>
        <v/>
      </c>
      <c r="E483" s="17" t="str">
        <f aca="false">IF($J483="","",INDEX('Auto Process'!$AT:$AT,$J483))</f>
        <v/>
      </c>
      <c r="F483" s="17" t="str">
        <f aca="false">IF($J483="","",INDEX('Auto Process'!$AU:$AU,$J483))</f>
        <v/>
      </c>
      <c r="G483" s="17" t="str">
        <f aca="false">IF($J483="","",INDEX('Auto Process'!$AV:$AV,$J483))</f>
        <v/>
      </c>
      <c r="H483" s="17" t="str">
        <f aca="false">IF($J483="","",INDEX('Auto Process'!$AW:$AW,$J483))</f>
        <v/>
      </c>
      <c r="J483" s="14" t="str">
        <f aca="false">IFERROR(_xlfn.AGGREGATE(15,6,ROW('Auto Process'!$D$4:$D$503)/('Auto Process'!$D$4:$D$503="Followup"),ROW()-1),"")</f>
        <v/>
      </c>
    </row>
    <row r="484" customFormat="false" ht="15" hidden="false" customHeight="true" outlineLevel="0" collapsed="false">
      <c r="A484" s="17" t="str">
        <f aca="false">IF($J484="","",INDEX('Auto Process'!$AP:$AP,$J484))</f>
        <v/>
      </c>
      <c r="B484" s="17" t="str">
        <f aca="false">IF($J484="","",INDEX('Auto Process'!$AQ:$AQ,$J484))</f>
        <v/>
      </c>
      <c r="C484" s="17" t="str">
        <f aca="false">IF($J484="","",INDEX('Auto Process'!$AR:$AR,$J484))</f>
        <v/>
      </c>
      <c r="D484" s="17" t="str">
        <f aca="false">IF($J484="","",INDEX('Auto Process'!$AS:$AS,$J484))</f>
        <v/>
      </c>
      <c r="E484" s="17" t="str">
        <f aca="false">IF($J484="","",INDEX('Auto Process'!$AT:$AT,$J484))</f>
        <v/>
      </c>
      <c r="F484" s="17" t="str">
        <f aca="false">IF($J484="","",INDEX('Auto Process'!$AU:$AU,$J484))</f>
        <v/>
      </c>
      <c r="G484" s="17" t="str">
        <f aca="false">IF($J484="","",INDEX('Auto Process'!$AV:$AV,$J484))</f>
        <v/>
      </c>
      <c r="H484" s="17" t="str">
        <f aca="false">IF($J484="","",INDEX('Auto Process'!$AW:$AW,$J484))</f>
        <v/>
      </c>
      <c r="J484" s="14" t="str">
        <f aca="false">IFERROR(_xlfn.AGGREGATE(15,6,ROW('Auto Process'!$D$4:$D$503)/('Auto Process'!$D$4:$D$503="Followup"),ROW()-1),"")</f>
        <v/>
      </c>
    </row>
    <row r="485" customFormat="false" ht="15" hidden="false" customHeight="true" outlineLevel="0" collapsed="false">
      <c r="A485" s="17" t="str">
        <f aca="false">IF($J485="","",INDEX('Auto Process'!$AP:$AP,$J485))</f>
        <v/>
      </c>
      <c r="B485" s="17" t="str">
        <f aca="false">IF($J485="","",INDEX('Auto Process'!$AQ:$AQ,$J485))</f>
        <v/>
      </c>
      <c r="C485" s="17" t="str">
        <f aca="false">IF($J485="","",INDEX('Auto Process'!$AR:$AR,$J485))</f>
        <v/>
      </c>
      <c r="D485" s="17" t="str">
        <f aca="false">IF($J485="","",INDEX('Auto Process'!$AS:$AS,$J485))</f>
        <v/>
      </c>
      <c r="E485" s="17" t="str">
        <f aca="false">IF($J485="","",INDEX('Auto Process'!$AT:$AT,$J485))</f>
        <v/>
      </c>
      <c r="F485" s="17" t="str">
        <f aca="false">IF($J485="","",INDEX('Auto Process'!$AU:$AU,$J485))</f>
        <v/>
      </c>
      <c r="G485" s="17" t="str">
        <f aca="false">IF($J485="","",INDEX('Auto Process'!$AV:$AV,$J485))</f>
        <v/>
      </c>
      <c r="H485" s="17" t="str">
        <f aca="false">IF($J485="","",INDEX('Auto Process'!$AW:$AW,$J485))</f>
        <v/>
      </c>
      <c r="J485" s="14" t="str">
        <f aca="false">IFERROR(_xlfn.AGGREGATE(15,6,ROW('Auto Process'!$D$4:$D$503)/('Auto Process'!$D$4:$D$503="Followup"),ROW()-1),"")</f>
        <v/>
      </c>
    </row>
    <row r="486" customFormat="false" ht="15" hidden="false" customHeight="true" outlineLevel="0" collapsed="false">
      <c r="A486" s="17" t="str">
        <f aca="false">IF($J486="","",INDEX('Auto Process'!$AP:$AP,$J486))</f>
        <v/>
      </c>
      <c r="B486" s="17" t="str">
        <f aca="false">IF($J486="","",INDEX('Auto Process'!$AQ:$AQ,$J486))</f>
        <v/>
      </c>
      <c r="C486" s="17" t="str">
        <f aca="false">IF($J486="","",INDEX('Auto Process'!$AR:$AR,$J486))</f>
        <v/>
      </c>
      <c r="D486" s="17" t="str">
        <f aca="false">IF($J486="","",INDEX('Auto Process'!$AS:$AS,$J486))</f>
        <v/>
      </c>
      <c r="E486" s="17" t="str">
        <f aca="false">IF($J486="","",INDEX('Auto Process'!$AT:$AT,$J486))</f>
        <v/>
      </c>
      <c r="F486" s="17" t="str">
        <f aca="false">IF($J486="","",INDEX('Auto Process'!$AU:$AU,$J486))</f>
        <v/>
      </c>
      <c r="G486" s="17" t="str">
        <f aca="false">IF($J486="","",INDEX('Auto Process'!$AV:$AV,$J486))</f>
        <v/>
      </c>
      <c r="H486" s="17" t="str">
        <f aca="false">IF($J486="","",INDEX('Auto Process'!$AW:$AW,$J486))</f>
        <v/>
      </c>
      <c r="J486" s="14" t="str">
        <f aca="false">IFERROR(_xlfn.AGGREGATE(15,6,ROW('Auto Process'!$D$4:$D$503)/('Auto Process'!$D$4:$D$503="Followup"),ROW()-1),"")</f>
        <v/>
      </c>
    </row>
    <row r="487" customFormat="false" ht="15" hidden="false" customHeight="true" outlineLevel="0" collapsed="false">
      <c r="A487" s="17" t="str">
        <f aca="false">IF($J487="","",INDEX('Auto Process'!$AP:$AP,$J487))</f>
        <v/>
      </c>
      <c r="B487" s="17" t="str">
        <f aca="false">IF($J487="","",INDEX('Auto Process'!$AQ:$AQ,$J487))</f>
        <v/>
      </c>
      <c r="C487" s="17" t="str">
        <f aca="false">IF($J487="","",INDEX('Auto Process'!$AR:$AR,$J487))</f>
        <v/>
      </c>
      <c r="D487" s="17" t="str">
        <f aca="false">IF($J487="","",INDEX('Auto Process'!$AS:$AS,$J487))</f>
        <v/>
      </c>
      <c r="E487" s="17" t="str">
        <f aca="false">IF($J487="","",INDEX('Auto Process'!$AT:$AT,$J487))</f>
        <v/>
      </c>
      <c r="F487" s="17" t="str">
        <f aca="false">IF($J487="","",INDEX('Auto Process'!$AU:$AU,$J487))</f>
        <v/>
      </c>
      <c r="G487" s="17" t="str">
        <f aca="false">IF($J487="","",INDEX('Auto Process'!$AV:$AV,$J487))</f>
        <v/>
      </c>
      <c r="H487" s="17" t="str">
        <f aca="false">IF($J487="","",INDEX('Auto Process'!$AW:$AW,$J487))</f>
        <v/>
      </c>
      <c r="J487" s="14" t="str">
        <f aca="false">IFERROR(_xlfn.AGGREGATE(15,6,ROW('Auto Process'!$D$4:$D$503)/('Auto Process'!$D$4:$D$503="Followup"),ROW()-1),"")</f>
        <v/>
      </c>
    </row>
    <row r="488" customFormat="false" ht="15" hidden="false" customHeight="true" outlineLevel="0" collapsed="false">
      <c r="A488" s="17" t="str">
        <f aca="false">IF($J488="","",INDEX('Auto Process'!$AP:$AP,$J488))</f>
        <v/>
      </c>
      <c r="B488" s="17" t="str">
        <f aca="false">IF($J488="","",INDEX('Auto Process'!$AQ:$AQ,$J488))</f>
        <v/>
      </c>
      <c r="C488" s="17" t="str">
        <f aca="false">IF($J488="","",INDEX('Auto Process'!$AR:$AR,$J488))</f>
        <v/>
      </c>
      <c r="D488" s="17" t="str">
        <f aca="false">IF($J488="","",INDEX('Auto Process'!$AS:$AS,$J488))</f>
        <v/>
      </c>
      <c r="E488" s="17" t="str">
        <f aca="false">IF($J488="","",INDEX('Auto Process'!$AT:$AT,$J488))</f>
        <v/>
      </c>
      <c r="F488" s="17" t="str">
        <f aca="false">IF($J488="","",INDEX('Auto Process'!$AU:$AU,$J488))</f>
        <v/>
      </c>
      <c r="G488" s="17" t="str">
        <f aca="false">IF($J488="","",INDEX('Auto Process'!$AV:$AV,$J488))</f>
        <v/>
      </c>
      <c r="H488" s="17" t="str">
        <f aca="false">IF($J488="","",INDEX('Auto Process'!$AW:$AW,$J488))</f>
        <v/>
      </c>
      <c r="J488" s="14" t="str">
        <f aca="false">IFERROR(_xlfn.AGGREGATE(15,6,ROW('Auto Process'!$D$4:$D$503)/('Auto Process'!$D$4:$D$503="Followup"),ROW()-1),"")</f>
        <v/>
      </c>
    </row>
    <row r="489" customFormat="false" ht="15" hidden="false" customHeight="true" outlineLevel="0" collapsed="false">
      <c r="A489" s="17" t="str">
        <f aca="false">IF($J489="","",INDEX('Auto Process'!$AP:$AP,$J489))</f>
        <v/>
      </c>
      <c r="B489" s="17" t="str">
        <f aca="false">IF($J489="","",INDEX('Auto Process'!$AQ:$AQ,$J489))</f>
        <v/>
      </c>
      <c r="C489" s="17" t="str">
        <f aca="false">IF($J489="","",INDEX('Auto Process'!$AR:$AR,$J489))</f>
        <v/>
      </c>
      <c r="D489" s="17" t="str">
        <f aca="false">IF($J489="","",INDEX('Auto Process'!$AS:$AS,$J489))</f>
        <v/>
      </c>
      <c r="E489" s="17" t="str">
        <f aca="false">IF($J489="","",INDEX('Auto Process'!$AT:$AT,$J489))</f>
        <v/>
      </c>
      <c r="F489" s="17" t="str">
        <f aca="false">IF($J489="","",INDEX('Auto Process'!$AU:$AU,$J489))</f>
        <v/>
      </c>
      <c r="G489" s="17" t="str">
        <f aca="false">IF($J489="","",INDEX('Auto Process'!$AV:$AV,$J489))</f>
        <v/>
      </c>
      <c r="H489" s="17" t="str">
        <f aca="false">IF($J489="","",INDEX('Auto Process'!$AW:$AW,$J489))</f>
        <v/>
      </c>
      <c r="J489" s="14" t="str">
        <f aca="false">IFERROR(_xlfn.AGGREGATE(15,6,ROW('Auto Process'!$D$4:$D$503)/('Auto Process'!$D$4:$D$503="Followup"),ROW()-1),"")</f>
        <v/>
      </c>
    </row>
    <row r="490" customFormat="false" ht="15" hidden="false" customHeight="true" outlineLevel="0" collapsed="false">
      <c r="A490" s="17" t="str">
        <f aca="false">IF($J490="","",INDEX('Auto Process'!$AP:$AP,$J490))</f>
        <v/>
      </c>
      <c r="B490" s="17" t="str">
        <f aca="false">IF($J490="","",INDEX('Auto Process'!$AQ:$AQ,$J490))</f>
        <v/>
      </c>
      <c r="C490" s="17" t="str">
        <f aca="false">IF($J490="","",INDEX('Auto Process'!$AR:$AR,$J490))</f>
        <v/>
      </c>
      <c r="D490" s="17" t="str">
        <f aca="false">IF($J490="","",INDEX('Auto Process'!$AS:$AS,$J490))</f>
        <v/>
      </c>
      <c r="E490" s="17" t="str">
        <f aca="false">IF($J490="","",INDEX('Auto Process'!$AT:$AT,$J490))</f>
        <v/>
      </c>
      <c r="F490" s="17" t="str">
        <f aca="false">IF($J490="","",INDEX('Auto Process'!$AU:$AU,$J490))</f>
        <v/>
      </c>
      <c r="G490" s="17" t="str">
        <f aca="false">IF($J490="","",INDEX('Auto Process'!$AV:$AV,$J490))</f>
        <v/>
      </c>
      <c r="H490" s="17" t="str">
        <f aca="false">IF($J490="","",INDEX('Auto Process'!$AW:$AW,$J490))</f>
        <v/>
      </c>
      <c r="J490" s="14" t="str">
        <f aca="false">IFERROR(_xlfn.AGGREGATE(15,6,ROW('Auto Process'!$D$4:$D$503)/('Auto Process'!$D$4:$D$503="Followup"),ROW()-1),"")</f>
        <v/>
      </c>
    </row>
    <row r="491" customFormat="false" ht="15" hidden="false" customHeight="true" outlineLevel="0" collapsed="false">
      <c r="A491" s="17" t="str">
        <f aca="false">IF($J491="","",INDEX('Auto Process'!$AP:$AP,$J491))</f>
        <v/>
      </c>
      <c r="B491" s="17" t="str">
        <f aca="false">IF($J491="","",INDEX('Auto Process'!$AQ:$AQ,$J491))</f>
        <v/>
      </c>
      <c r="C491" s="17" t="str">
        <f aca="false">IF($J491="","",INDEX('Auto Process'!$AR:$AR,$J491))</f>
        <v/>
      </c>
      <c r="D491" s="17" t="str">
        <f aca="false">IF($J491="","",INDEX('Auto Process'!$AS:$AS,$J491))</f>
        <v/>
      </c>
      <c r="E491" s="17" t="str">
        <f aca="false">IF($J491="","",INDEX('Auto Process'!$AT:$AT,$J491))</f>
        <v/>
      </c>
      <c r="F491" s="17" t="str">
        <f aca="false">IF($J491="","",INDEX('Auto Process'!$AU:$AU,$J491))</f>
        <v/>
      </c>
      <c r="G491" s="17" t="str">
        <f aca="false">IF($J491="","",INDEX('Auto Process'!$AV:$AV,$J491))</f>
        <v/>
      </c>
      <c r="H491" s="17" t="str">
        <f aca="false">IF($J491="","",INDEX('Auto Process'!$AW:$AW,$J491))</f>
        <v/>
      </c>
      <c r="J491" s="14" t="str">
        <f aca="false">IFERROR(_xlfn.AGGREGATE(15,6,ROW('Auto Process'!$D$4:$D$503)/('Auto Process'!$D$4:$D$503="Followup"),ROW()-1),"")</f>
        <v/>
      </c>
    </row>
    <row r="492" customFormat="false" ht="15" hidden="false" customHeight="true" outlineLevel="0" collapsed="false">
      <c r="A492" s="17" t="str">
        <f aca="false">IF($J492="","",INDEX('Auto Process'!$AP:$AP,$J492))</f>
        <v/>
      </c>
      <c r="B492" s="17" t="str">
        <f aca="false">IF($J492="","",INDEX('Auto Process'!$AQ:$AQ,$J492))</f>
        <v/>
      </c>
      <c r="C492" s="17" t="str">
        <f aca="false">IF($J492="","",INDEX('Auto Process'!$AR:$AR,$J492))</f>
        <v/>
      </c>
      <c r="D492" s="17" t="str">
        <f aca="false">IF($J492="","",INDEX('Auto Process'!$AS:$AS,$J492))</f>
        <v/>
      </c>
      <c r="E492" s="17" t="str">
        <f aca="false">IF($J492="","",INDEX('Auto Process'!$AT:$AT,$J492))</f>
        <v/>
      </c>
      <c r="F492" s="17" t="str">
        <f aca="false">IF($J492="","",INDEX('Auto Process'!$AU:$AU,$J492))</f>
        <v/>
      </c>
      <c r="G492" s="17" t="str">
        <f aca="false">IF($J492="","",INDEX('Auto Process'!$AV:$AV,$J492))</f>
        <v/>
      </c>
      <c r="H492" s="17" t="str">
        <f aca="false">IF($J492="","",INDEX('Auto Process'!$AW:$AW,$J492))</f>
        <v/>
      </c>
      <c r="J492" s="14" t="str">
        <f aca="false">IFERROR(_xlfn.AGGREGATE(15,6,ROW('Auto Process'!$D$4:$D$503)/('Auto Process'!$D$4:$D$503="Followup"),ROW()-1),"")</f>
        <v/>
      </c>
    </row>
    <row r="493" customFormat="false" ht="15" hidden="false" customHeight="true" outlineLevel="0" collapsed="false">
      <c r="A493" s="17" t="str">
        <f aca="false">IF($J493="","",INDEX('Auto Process'!$AP:$AP,$J493))</f>
        <v/>
      </c>
      <c r="B493" s="17" t="str">
        <f aca="false">IF($J493="","",INDEX('Auto Process'!$AQ:$AQ,$J493))</f>
        <v/>
      </c>
      <c r="C493" s="17" t="str">
        <f aca="false">IF($J493="","",INDEX('Auto Process'!$AR:$AR,$J493))</f>
        <v/>
      </c>
      <c r="D493" s="17" t="str">
        <f aca="false">IF($J493="","",INDEX('Auto Process'!$AS:$AS,$J493))</f>
        <v/>
      </c>
      <c r="E493" s="17" t="str">
        <f aca="false">IF($J493="","",INDEX('Auto Process'!$AT:$AT,$J493))</f>
        <v/>
      </c>
      <c r="F493" s="17" t="str">
        <f aca="false">IF($J493="","",INDEX('Auto Process'!$AU:$AU,$J493))</f>
        <v/>
      </c>
      <c r="G493" s="17" t="str">
        <f aca="false">IF($J493="","",INDEX('Auto Process'!$AV:$AV,$J493))</f>
        <v/>
      </c>
      <c r="H493" s="17" t="str">
        <f aca="false">IF($J493="","",INDEX('Auto Process'!$AW:$AW,$J493))</f>
        <v/>
      </c>
      <c r="J493" s="14" t="str">
        <f aca="false">IFERROR(_xlfn.AGGREGATE(15,6,ROW('Auto Process'!$D$4:$D$503)/('Auto Process'!$D$4:$D$503="Followup"),ROW()-1),"")</f>
        <v/>
      </c>
    </row>
    <row r="494" customFormat="false" ht="15" hidden="false" customHeight="true" outlineLevel="0" collapsed="false">
      <c r="A494" s="17" t="str">
        <f aca="false">IF($J494="","",INDEX('Auto Process'!$AP:$AP,$J494))</f>
        <v/>
      </c>
      <c r="B494" s="17" t="str">
        <f aca="false">IF($J494="","",INDEX('Auto Process'!$AQ:$AQ,$J494))</f>
        <v/>
      </c>
      <c r="C494" s="17" t="str">
        <f aca="false">IF($J494="","",INDEX('Auto Process'!$AR:$AR,$J494))</f>
        <v/>
      </c>
      <c r="D494" s="17" t="str">
        <f aca="false">IF($J494="","",INDEX('Auto Process'!$AS:$AS,$J494))</f>
        <v/>
      </c>
      <c r="E494" s="17" t="str">
        <f aca="false">IF($J494="","",INDEX('Auto Process'!$AT:$AT,$J494))</f>
        <v/>
      </c>
      <c r="F494" s="17" t="str">
        <f aca="false">IF($J494="","",INDEX('Auto Process'!$AU:$AU,$J494))</f>
        <v/>
      </c>
      <c r="G494" s="17" t="str">
        <f aca="false">IF($J494="","",INDEX('Auto Process'!$AV:$AV,$J494))</f>
        <v/>
      </c>
      <c r="H494" s="17" t="str">
        <f aca="false">IF($J494="","",INDEX('Auto Process'!$AW:$AW,$J494))</f>
        <v/>
      </c>
      <c r="J494" s="14" t="str">
        <f aca="false">IFERROR(_xlfn.AGGREGATE(15,6,ROW('Auto Process'!$D$4:$D$503)/('Auto Process'!$D$4:$D$503="Followup"),ROW()-1),"")</f>
        <v/>
      </c>
    </row>
    <row r="495" customFormat="false" ht="15" hidden="false" customHeight="true" outlineLevel="0" collapsed="false">
      <c r="A495" s="17" t="str">
        <f aca="false">IF($J495="","",INDEX('Auto Process'!$AP:$AP,$J495))</f>
        <v/>
      </c>
      <c r="B495" s="17" t="str">
        <f aca="false">IF($J495="","",INDEX('Auto Process'!$AQ:$AQ,$J495))</f>
        <v/>
      </c>
      <c r="C495" s="17" t="str">
        <f aca="false">IF($J495="","",INDEX('Auto Process'!$AR:$AR,$J495))</f>
        <v/>
      </c>
      <c r="D495" s="17" t="str">
        <f aca="false">IF($J495="","",INDEX('Auto Process'!$AS:$AS,$J495))</f>
        <v/>
      </c>
      <c r="E495" s="17" t="str">
        <f aca="false">IF($J495="","",INDEX('Auto Process'!$AT:$AT,$J495))</f>
        <v/>
      </c>
      <c r="F495" s="17" t="str">
        <f aca="false">IF($J495="","",INDEX('Auto Process'!$AU:$AU,$J495))</f>
        <v/>
      </c>
      <c r="G495" s="17" t="str">
        <f aca="false">IF($J495="","",INDEX('Auto Process'!$AV:$AV,$J495))</f>
        <v/>
      </c>
      <c r="H495" s="17" t="str">
        <f aca="false">IF($J495="","",INDEX('Auto Process'!$AW:$AW,$J495))</f>
        <v/>
      </c>
      <c r="J495" s="14" t="str">
        <f aca="false">IFERROR(_xlfn.AGGREGATE(15,6,ROW('Auto Process'!$D$4:$D$503)/('Auto Process'!$D$4:$D$503="Followup"),ROW()-1),"")</f>
        <v/>
      </c>
    </row>
    <row r="496" customFormat="false" ht="15" hidden="false" customHeight="true" outlineLevel="0" collapsed="false">
      <c r="A496" s="17" t="str">
        <f aca="false">IF($J496="","",INDEX('Auto Process'!$AP:$AP,$J496))</f>
        <v/>
      </c>
      <c r="B496" s="17" t="str">
        <f aca="false">IF($J496="","",INDEX('Auto Process'!$AQ:$AQ,$J496))</f>
        <v/>
      </c>
      <c r="C496" s="17" t="str">
        <f aca="false">IF($J496="","",INDEX('Auto Process'!$AR:$AR,$J496))</f>
        <v/>
      </c>
      <c r="D496" s="17" t="str">
        <f aca="false">IF($J496="","",INDEX('Auto Process'!$AS:$AS,$J496))</f>
        <v/>
      </c>
      <c r="E496" s="17" t="str">
        <f aca="false">IF($J496="","",INDEX('Auto Process'!$AT:$AT,$J496))</f>
        <v/>
      </c>
      <c r="F496" s="17" t="str">
        <f aca="false">IF($J496="","",INDEX('Auto Process'!$AU:$AU,$J496))</f>
        <v/>
      </c>
      <c r="G496" s="17" t="str">
        <f aca="false">IF($J496="","",INDEX('Auto Process'!$AV:$AV,$J496))</f>
        <v/>
      </c>
      <c r="H496" s="17" t="str">
        <f aca="false">IF($J496="","",INDEX('Auto Process'!$AW:$AW,$J496))</f>
        <v/>
      </c>
      <c r="J496" s="14" t="str">
        <f aca="false">IFERROR(_xlfn.AGGREGATE(15,6,ROW('Auto Process'!$D$4:$D$503)/('Auto Process'!$D$4:$D$503="Followup"),ROW()-1),"")</f>
        <v/>
      </c>
    </row>
    <row r="497" customFormat="false" ht="15" hidden="false" customHeight="true" outlineLevel="0" collapsed="false">
      <c r="A497" s="17" t="str">
        <f aca="false">IF($J497="","",INDEX('Auto Process'!$AP:$AP,$J497))</f>
        <v/>
      </c>
      <c r="B497" s="17" t="str">
        <f aca="false">IF($J497="","",INDEX('Auto Process'!$AQ:$AQ,$J497))</f>
        <v/>
      </c>
      <c r="C497" s="17" t="str">
        <f aca="false">IF($J497="","",INDEX('Auto Process'!$AR:$AR,$J497))</f>
        <v/>
      </c>
      <c r="D497" s="17" t="str">
        <f aca="false">IF($J497="","",INDEX('Auto Process'!$AS:$AS,$J497))</f>
        <v/>
      </c>
      <c r="E497" s="17" t="str">
        <f aca="false">IF($J497="","",INDEX('Auto Process'!$AT:$AT,$J497))</f>
        <v/>
      </c>
      <c r="F497" s="17" t="str">
        <f aca="false">IF($J497="","",INDEX('Auto Process'!$AU:$AU,$J497))</f>
        <v/>
      </c>
      <c r="G497" s="17" t="str">
        <f aca="false">IF($J497="","",INDEX('Auto Process'!$AV:$AV,$J497))</f>
        <v/>
      </c>
      <c r="H497" s="17" t="str">
        <f aca="false">IF($J497="","",INDEX('Auto Process'!$AW:$AW,$J497))</f>
        <v/>
      </c>
      <c r="J497" s="14" t="str">
        <f aca="false">IFERROR(_xlfn.AGGREGATE(15,6,ROW('Auto Process'!$D$4:$D$503)/('Auto Process'!$D$4:$D$503="Followup"),ROW()-1),"")</f>
        <v/>
      </c>
    </row>
    <row r="498" customFormat="false" ht="15" hidden="false" customHeight="true" outlineLevel="0" collapsed="false">
      <c r="A498" s="17" t="str">
        <f aca="false">IF($J498="","",INDEX('Auto Process'!$AP:$AP,$J498))</f>
        <v/>
      </c>
      <c r="B498" s="17" t="str">
        <f aca="false">IF($J498="","",INDEX('Auto Process'!$AQ:$AQ,$J498))</f>
        <v/>
      </c>
      <c r="C498" s="17" t="str">
        <f aca="false">IF($J498="","",INDEX('Auto Process'!$AR:$AR,$J498))</f>
        <v/>
      </c>
      <c r="D498" s="17" t="str">
        <f aca="false">IF($J498="","",INDEX('Auto Process'!$AS:$AS,$J498))</f>
        <v/>
      </c>
      <c r="E498" s="17" t="str">
        <f aca="false">IF($J498="","",INDEX('Auto Process'!$AT:$AT,$J498))</f>
        <v/>
      </c>
      <c r="F498" s="17" t="str">
        <f aca="false">IF($J498="","",INDEX('Auto Process'!$AU:$AU,$J498))</f>
        <v/>
      </c>
      <c r="G498" s="17" t="str">
        <f aca="false">IF($J498="","",INDEX('Auto Process'!$AV:$AV,$J498))</f>
        <v/>
      </c>
      <c r="H498" s="17" t="str">
        <f aca="false">IF($J498="","",INDEX('Auto Process'!$AW:$AW,$J498))</f>
        <v/>
      </c>
      <c r="J498" s="14" t="str">
        <f aca="false">IFERROR(_xlfn.AGGREGATE(15,6,ROW('Auto Process'!$D$4:$D$503)/('Auto Process'!$D$4:$D$503="Followup"),ROW()-1),"")</f>
        <v/>
      </c>
    </row>
    <row r="499" customFormat="false" ht="15" hidden="false" customHeight="true" outlineLevel="0" collapsed="false">
      <c r="A499" s="17" t="str">
        <f aca="false">IF($J499="","",INDEX('Auto Process'!$AP:$AP,$J499))</f>
        <v/>
      </c>
      <c r="B499" s="17" t="str">
        <f aca="false">IF($J499="","",INDEX('Auto Process'!$AQ:$AQ,$J499))</f>
        <v/>
      </c>
      <c r="C499" s="17" t="str">
        <f aca="false">IF($J499="","",INDEX('Auto Process'!$AR:$AR,$J499))</f>
        <v/>
      </c>
      <c r="D499" s="17" t="str">
        <f aca="false">IF($J499="","",INDEX('Auto Process'!$AS:$AS,$J499))</f>
        <v/>
      </c>
      <c r="E499" s="17" t="str">
        <f aca="false">IF($J499="","",INDEX('Auto Process'!$AT:$AT,$J499))</f>
        <v/>
      </c>
      <c r="F499" s="17" t="str">
        <f aca="false">IF($J499="","",INDEX('Auto Process'!$AU:$AU,$J499))</f>
        <v/>
      </c>
      <c r="G499" s="17" t="str">
        <f aca="false">IF($J499="","",INDEX('Auto Process'!$AV:$AV,$J499))</f>
        <v/>
      </c>
      <c r="H499" s="17" t="str">
        <f aca="false">IF($J499="","",INDEX('Auto Process'!$AW:$AW,$J499))</f>
        <v/>
      </c>
      <c r="J499" s="14" t="str">
        <f aca="false">IFERROR(_xlfn.AGGREGATE(15,6,ROW('Auto Process'!$D$4:$D$503)/('Auto Process'!$D$4:$D$503="Followup"),ROW()-1),"")</f>
        <v/>
      </c>
    </row>
    <row r="500" customFormat="false" ht="15" hidden="false" customHeight="true" outlineLevel="0" collapsed="false">
      <c r="A500" s="17" t="str">
        <f aca="false">IF($J500="","",INDEX('Auto Process'!$AP:$AP,$J500))</f>
        <v/>
      </c>
      <c r="B500" s="17" t="str">
        <f aca="false">IF($J500="","",INDEX('Auto Process'!$AQ:$AQ,$J500))</f>
        <v/>
      </c>
      <c r="C500" s="17" t="str">
        <f aca="false">IF($J500="","",INDEX('Auto Process'!$AR:$AR,$J500))</f>
        <v/>
      </c>
      <c r="D500" s="17" t="str">
        <f aca="false">IF($J500="","",INDEX('Auto Process'!$AS:$AS,$J500))</f>
        <v/>
      </c>
      <c r="E500" s="17" t="str">
        <f aca="false">IF($J500="","",INDEX('Auto Process'!$AT:$AT,$J500))</f>
        <v/>
      </c>
      <c r="F500" s="17" t="str">
        <f aca="false">IF($J500="","",INDEX('Auto Process'!$AU:$AU,$J500))</f>
        <v/>
      </c>
      <c r="G500" s="17" t="str">
        <f aca="false">IF($J500="","",INDEX('Auto Process'!$AV:$AV,$J500))</f>
        <v/>
      </c>
      <c r="H500" s="17" t="str">
        <f aca="false">IF($J500="","",INDEX('Auto Process'!$AW:$AW,$J500))</f>
        <v/>
      </c>
      <c r="J500" s="14" t="str">
        <f aca="false">IFERROR(_xlfn.AGGREGATE(15,6,ROW('Auto Process'!$D$4:$D$503)/('Auto Process'!$D$4:$D$503="Followup"),ROW()-1),"")</f>
        <v/>
      </c>
    </row>
    <row r="501" customFormat="false" ht="15" hidden="false" customHeight="true" outlineLevel="0" collapsed="false">
      <c r="A501" s="17" t="str">
        <f aca="false">IF($J501="","",INDEX('Auto Process'!$AP:$AP,$J501))</f>
        <v/>
      </c>
      <c r="B501" s="17" t="str">
        <f aca="false">IF($J501="","",INDEX('Auto Process'!$AQ:$AQ,$J501))</f>
        <v/>
      </c>
      <c r="C501" s="17" t="str">
        <f aca="false">IF($J501="","",INDEX('Auto Process'!$AR:$AR,$J501))</f>
        <v/>
      </c>
      <c r="D501" s="17" t="str">
        <f aca="false">IF($J501="","",INDEX('Auto Process'!$AS:$AS,$J501))</f>
        <v/>
      </c>
      <c r="E501" s="17" t="str">
        <f aca="false">IF($J501="","",INDEX('Auto Process'!$AT:$AT,$J501))</f>
        <v/>
      </c>
      <c r="F501" s="17" t="str">
        <f aca="false">IF($J501="","",INDEX('Auto Process'!$AU:$AU,$J501))</f>
        <v/>
      </c>
      <c r="G501" s="17" t="str">
        <f aca="false">IF($J501="","",INDEX('Auto Process'!$AV:$AV,$J501))</f>
        <v/>
      </c>
      <c r="H501" s="17" t="str">
        <f aca="false">IF($J501="","",INDEX('Auto Process'!$AW:$AW,$J501))</f>
        <v/>
      </c>
      <c r="J501" s="14" t="str">
        <f aca="false">IFERROR(_xlfn.AGGREGATE(15,6,ROW('Auto Process'!$D$4:$D$503)/('Auto Process'!$D$4:$D$503="Followup"),ROW()-1),"")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46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390625" defaultRowHeight="13.5" zeroHeight="false" outlineLevelRow="0" outlineLevelCol="0"/>
  <cols>
    <col collapsed="false" customWidth="true" hidden="false" outlineLevel="0" max="1" min="1" style="14" width="3.5"/>
    <col collapsed="false" customWidth="true" hidden="false" outlineLevel="0" max="2" min="2" style="14" width="24.07"/>
    <col collapsed="false" customWidth="true" hidden="false" outlineLevel="0" max="3" min="3" style="14" width="25.93"/>
    <col collapsed="false" customWidth="true" hidden="false" outlineLevel="0" max="4" min="4" style="14" width="10.64"/>
    <col collapsed="false" customWidth="true" hidden="false" outlineLevel="0" max="5" min="5" style="14" width="44.79"/>
    <col collapsed="false" customWidth="true" hidden="false" outlineLevel="0" max="6" min="6" style="14" width="15.86"/>
    <col collapsed="false" customWidth="true" hidden="false" outlineLevel="0" max="7" min="7" style="14" width="9.36"/>
    <col collapsed="false" customWidth="true" hidden="false" outlineLevel="0" max="8" min="8" style="14" width="6.5"/>
    <col collapsed="false" customWidth="true" hidden="false" outlineLevel="0" max="9" min="9" style="14" width="41.07"/>
    <col collapsed="false" customWidth="true" hidden="false" outlineLevel="0" max="10" min="10" style="14" width="17.29"/>
    <col collapsed="false" customWidth="true" hidden="false" outlineLevel="0" max="11" min="11" style="14" width="11.29"/>
  </cols>
  <sheetData>
    <row r="1" customFormat="false" ht="13.5" hidden="false" customHeight="true" outlineLevel="0" collapsed="false">
      <c r="A1" s="29" t="s">
        <v>48</v>
      </c>
      <c r="B1" s="30" t="s">
        <v>49</v>
      </c>
      <c r="C1" s="30" t="s">
        <v>50</v>
      </c>
      <c r="D1" s="30" t="s">
        <v>38</v>
      </c>
      <c r="E1" s="30" t="s">
        <v>51</v>
      </c>
      <c r="F1" s="30" t="s">
        <v>52</v>
      </c>
      <c r="G1" s="30" t="s">
        <v>37</v>
      </c>
      <c r="H1" s="30" t="s">
        <v>53</v>
      </c>
      <c r="I1" s="30" t="s">
        <v>54</v>
      </c>
      <c r="J1" s="30" t="s">
        <v>55</v>
      </c>
      <c r="K1" s="31" t="s">
        <v>56</v>
      </c>
    </row>
    <row r="2" customFormat="false" ht="13.5" hidden="false" customHeight="true" outlineLevel="0" collapsed="false">
      <c r="A2" s="32" t="n">
        <v>1823</v>
      </c>
      <c r="B2" s="32" t="s">
        <v>57</v>
      </c>
      <c r="C2" s="32" t="s">
        <v>58</v>
      </c>
      <c r="D2" s="32" t="s">
        <v>59</v>
      </c>
      <c r="E2" s="32" t="s">
        <v>60</v>
      </c>
      <c r="F2" s="33" t="n">
        <v>917867000000</v>
      </c>
      <c r="G2" s="32" t="s">
        <v>61</v>
      </c>
      <c r="H2" s="32" t="s">
        <v>21</v>
      </c>
      <c r="I2" s="32" t="s">
        <v>29</v>
      </c>
      <c r="J2" s="32" t="s">
        <v>62</v>
      </c>
      <c r="K2" s="32" t="s">
        <v>63</v>
      </c>
    </row>
    <row r="3" customFormat="false" ht="13.5" hidden="false" customHeight="true" outlineLevel="0" collapsed="false">
      <c r="A3" s="32" t="n">
        <v>1824</v>
      </c>
      <c r="B3" s="32" t="s">
        <v>57</v>
      </c>
      <c r="C3" s="32" t="s">
        <v>58</v>
      </c>
      <c r="D3" s="32" t="s">
        <v>59</v>
      </c>
      <c r="E3" s="32" t="s">
        <v>60</v>
      </c>
      <c r="F3" s="33" t="n">
        <v>917867000000</v>
      </c>
      <c r="G3" s="32" t="s">
        <v>61</v>
      </c>
      <c r="H3" s="32" t="s">
        <v>21</v>
      </c>
      <c r="I3" s="32" t="s">
        <v>64</v>
      </c>
      <c r="J3" s="32" t="s">
        <v>62</v>
      </c>
      <c r="K3" s="32" t="s">
        <v>63</v>
      </c>
    </row>
    <row r="4" customFormat="false" ht="13.5" hidden="false" customHeight="true" outlineLevel="0" collapsed="false">
      <c r="A4" s="32" t="n">
        <v>1825</v>
      </c>
      <c r="B4" s="32" t="s">
        <v>57</v>
      </c>
      <c r="C4" s="32" t="s">
        <v>65</v>
      </c>
      <c r="D4" s="32" t="s">
        <v>59</v>
      </c>
      <c r="E4" s="32" t="s">
        <v>60</v>
      </c>
      <c r="F4" s="33" t="n">
        <v>917867000000</v>
      </c>
      <c r="G4" s="32" t="s">
        <v>61</v>
      </c>
      <c r="H4" s="32" t="s">
        <v>21</v>
      </c>
      <c r="I4" s="32" t="s">
        <v>14</v>
      </c>
      <c r="J4" s="32" t="s">
        <v>66</v>
      </c>
      <c r="K4" s="32" t="s">
        <v>63</v>
      </c>
    </row>
    <row r="5" customFormat="false" ht="13.5" hidden="false" customHeight="true" outlineLevel="0" collapsed="false">
      <c r="A5" s="32" t="n">
        <v>1826</v>
      </c>
      <c r="B5" s="32" t="s">
        <v>67</v>
      </c>
      <c r="C5" s="32" t="s">
        <v>68</v>
      </c>
      <c r="D5" s="32" t="s">
        <v>59</v>
      </c>
      <c r="E5" s="32" t="s">
        <v>59</v>
      </c>
      <c r="F5" s="32" t="n">
        <v>7972722106</v>
      </c>
      <c r="G5" s="32" t="s">
        <v>69</v>
      </c>
      <c r="H5" s="32" t="s">
        <v>21</v>
      </c>
      <c r="I5" s="32" t="s">
        <v>70</v>
      </c>
      <c r="J5" s="32" t="s">
        <v>71</v>
      </c>
      <c r="K5" s="32" t="s">
        <v>63</v>
      </c>
    </row>
    <row r="6" customFormat="false" ht="13.5" hidden="false" customHeight="true" outlineLevel="0" collapsed="false">
      <c r="A6" s="32" t="n">
        <v>1827</v>
      </c>
      <c r="B6" s="32" t="s">
        <v>67</v>
      </c>
      <c r="C6" s="32" t="s">
        <v>68</v>
      </c>
      <c r="D6" s="32" t="s">
        <v>59</v>
      </c>
      <c r="E6" s="32" t="s">
        <v>59</v>
      </c>
      <c r="F6" s="32" t="n">
        <v>7972722106</v>
      </c>
      <c r="G6" s="32" t="s">
        <v>69</v>
      </c>
      <c r="H6" s="32" t="s">
        <v>21</v>
      </c>
      <c r="I6" s="32" t="s">
        <v>72</v>
      </c>
      <c r="J6" s="32" t="s">
        <v>73</v>
      </c>
      <c r="K6" s="32" t="s">
        <v>63</v>
      </c>
    </row>
    <row r="7" customFormat="false" ht="13.5" hidden="false" customHeight="true" outlineLevel="0" collapsed="false">
      <c r="A7" s="32" t="n">
        <v>1828</v>
      </c>
      <c r="B7" s="32" t="s">
        <v>67</v>
      </c>
      <c r="C7" s="32" t="s">
        <v>74</v>
      </c>
      <c r="D7" s="32" t="s">
        <v>59</v>
      </c>
      <c r="E7" s="32" t="s">
        <v>59</v>
      </c>
      <c r="F7" s="32" t="n">
        <v>7972722106</v>
      </c>
      <c r="G7" s="32" t="s">
        <v>69</v>
      </c>
      <c r="H7" s="32" t="s">
        <v>21</v>
      </c>
      <c r="I7" s="32" t="s">
        <v>75</v>
      </c>
      <c r="J7" s="32" t="s">
        <v>76</v>
      </c>
      <c r="K7" s="32" t="s">
        <v>63</v>
      </c>
    </row>
    <row r="8" customFormat="false" ht="13.5" hidden="false" customHeight="true" outlineLevel="0" collapsed="false">
      <c r="A8" s="32" t="n">
        <v>1829</v>
      </c>
      <c r="B8" s="32" t="s">
        <v>77</v>
      </c>
      <c r="C8" s="32" t="s">
        <v>78</v>
      </c>
      <c r="D8" s="32" t="s">
        <v>59</v>
      </c>
      <c r="E8" s="32" t="s">
        <v>79</v>
      </c>
      <c r="F8" s="32" t="n">
        <v>9642047700</v>
      </c>
      <c r="G8" s="32" t="s">
        <v>80</v>
      </c>
      <c r="H8" s="32" t="s">
        <v>21</v>
      </c>
      <c r="I8" s="32" t="s">
        <v>81</v>
      </c>
      <c r="J8" s="32" t="s">
        <v>82</v>
      </c>
      <c r="K8" s="32" t="s">
        <v>63</v>
      </c>
    </row>
    <row r="9" customFormat="false" ht="13.5" hidden="false" customHeight="true" outlineLevel="0" collapsed="false">
      <c r="A9" s="32" t="n">
        <v>1830</v>
      </c>
      <c r="B9" s="32" t="s">
        <v>77</v>
      </c>
      <c r="C9" s="32" t="s">
        <v>78</v>
      </c>
      <c r="D9" s="32" t="s">
        <v>59</v>
      </c>
      <c r="E9" s="32" t="s">
        <v>79</v>
      </c>
      <c r="F9" s="32" t="n">
        <v>9642047700</v>
      </c>
      <c r="G9" s="32" t="s">
        <v>80</v>
      </c>
      <c r="H9" s="32" t="s">
        <v>21</v>
      </c>
      <c r="I9" s="32" t="s">
        <v>83</v>
      </c>
      <c r="J9" s="32" t="s">
        <v>84</v>
      </c>
      <c r="K9" s="32" t="s">
        <v>63</v>
      </c>
    </row>
    <row r="10" customFormat="false" ht="13.5" hidden="false" customHeight="true" outlineLevel="0" collapsed="false">
      <c r="A10" s="32" t="n">
        <v>1831</v>
      </c>
      <c r="B10" s="32" t="s">
        <v>77</v>
      </c>
      <c r="C10" s="32" t="s">
        <v>78</v>
      </c>
      <c r="D10" s="32" t="s">
        <v>59</v>
      </c>
      <c r="E10" s="32" t="s">
        <v>79</v>
      </c>
      <c r="F10" s="32" t="n">
        <v>9642047700</v>
      </c>
      <c r="G10" s="32" t="s">
        <v>80</v>
      </c>
      <c r="H10" s="32" t="s">
        <v>21</v>
      </c>
      <c r="I10" s="32" t="s">
        <v>85</v>
      </c>
      <c r="J10" s="32" t="s">
        <v>85</v>
      </c>
      <c r="K10" s="32" t="s">
        <v>63</v>
      </c>
    </row>
    <row r="11" customFormat="false" ht="13.5" hidden="false" customHeight="true" outlineLevel="0" collapsed="false">
      <c r="A11" s="32" t="n">
        <v>1832</v>
      </c>
      <c r="B11" s="32" t="s">
        <v>77</v>
      </c>
      <c r="C11" s="32" t="s">
        <v>86</v>
      </c>
      <c r="D11" s="32" t="s">
        <v>59</v>
      </c>
      <c r="E11" s="32" t="s">
        <v>79</v>
      </c>
      <c r="F11" s="32" t="n">
        <v>9642047700</v>
      </c>
      <c r="G11" s="32" t="s">
        <v>80</v>
      </c>
      <c r="H11" s="32" t="s">
        <v>21</v>
      </c>
      <c r="I11" s="32" t="s">
        <v>87</v>
      </c>
      <c r="J11" s="32" t="s">
        <v>84</v>
      </c>
      <c r="K11" s="32" t="s">
        <v>63</v>
      </c>
    </row>
    <row r="12" customFormat="false" ht="13.5" hidden="false" customHeight="true" outlineLevel="0" collapsed="false">
      <c r="A12" s="32" t="n">
        <v>1834</v>
      </c>
      <c r="B12" s="32" t="s">
        <v>77</v>
      </c>
      <c r="C12" s="32" t="s">
        <v>78</v>
      </c>
      <c r="D12" s="32" t="s">
        <v>59</v>
      </c>
      <c r="E12" s="32" t="s">
        <v>79</v>
      </c>
      <c r="F12" s="32" t="n">
        <v>9642047700</v>
      </c>
      <c r="G12" s="32" t="s">
        <v>80</v>
      </c>
      <c r="H12" s="32" t="s">
        <v>21</v>
      </c>
      <c r="I12" s="32" t="s">
        <v>88</v>
      </c>
      <c r="J12" s="32" t="s">
        <v>89</v>
      </c>
      <c r="K12" s="32" t="s">
        <v>63</v>
      </c>
    </row>
    <row r="13" customFormat="false" ht="13.5" hidden="false" customHeight="true" outlineLevel="0" collapsed="false">
      <c r="A13" s="32" t="n">
        <v>1835</v>
      </c>
      <c r="B13" s="32" t="s">
        <v>90</v>
      </c>
      <c r="C13" s="32" t="s">
        <v>91</v>
      </c>
      <c r="D13" s="32" t="s">
        <v>59</v>
      </c>
      <c r="E13" s="32" t="s">
        <v>92</v>
      </c>
      <c r="F13" s="32" t="n">
        <v>9742708232</v>
      </c>
      <c r="G13" s="32" t="s">
        <v>61</v>
      </c>
      <c r="H13" s="32" t="s">
        <v>21</v>
      </c>
      <c r="I13" s="32" t="s">
        <v>93</v>
      </c>
      <c r="J13" s="32" t="s">
        <v>85</v>
      </c>
      <c r="K13" s="32" t="s">
        <v>63</v>
      </c>
    </row>
    <row r="14" customFormat="false" ht="13.5" hidden="false" customHeight="true" outlineLevel="0" collapsed="false">
      <c r="A14" s="32" t="n">
        <v>1836</v>
      </c>
      <c r="B14" s="32" t="s">
        <v>90</v>
      </c>
      <c r="C14" s="32" t="s">
        <v>94</v>
      </c>
      <c r="D14" s="32" t="s">
        <v>59</v>
      </c>
      <c r="E14" s="32" t="s">
        <v>92</v>
      </c>
      <c r="F14" s="32" t="n">
        <v>9742708232</v>
      </c>
      <c r="G14" s="32" t="s">
        <v>61</v>
      </c>
      <c r="H14" s="32" t="s">
        <v>21</v>
      </c>
      <c r="I14" s="32" t="s">
        <v>95</v>
      </c>
      <c r="J14" s="32" t="s">
        <v>96</v>
      </c>
      <c r="K14" s="32" t="s">
        <v>63</v>
      </c>
    </row>
    <row r="15" customFormat="false" ht="13.5" hidden="false" customHeight="true" outlineLevel="0" collapsed="false">
      <c r="A15" s="32" t="n">
        <v>1837</v>
      </c>
      <c r="B15" s="32" t="s">
        <v>90</v>
      </c>
      <c r="C15" s="32" t="s">
        <v>94</v>
      </c>
      <c r="D15" s="32" t="s">
        <v>59</v>
      </c>
      <c r="E15" s="32" t="s">
        <v>92</v>
      </c>
      <c r="F15" s="32" t="n">
        <v>9742708232</v>
      </c>
      <c r="G15" s="32" t="s">
        <v>61</v>
      </c>
      <c r="H15" s="32" t="s">
        <v>21</v>
      </c>
      <c r="I15" s="32" t="s">
        <v>85</v>
      </c>
      <c r="J15" s="32" t="s">
        <v>85</v>
      </c>
      <c r="K15" s="32" t="s">
        <v>63</v>
      </c>
    </row>
    <row r="16" customFormat="false" ht="13.5" hidden="false" customHeight="true" outlineLevel="0" collapsed="false">
      <c r="A16" s="32" t="n">
        <v>1838</v>
      </c>
      <c r="B16" s="32" t="s">
        <v>90</v>
      </c>
      <c r="C16" s="32" t="s">
        <v>97</v>
      </c>
      <c r="D16" s="32" t="s">
        <v>59</v>
      </c>
      <c r="E16" s="32" t="s">
        <v>92</v>
      </c>
      <c r="F16" s="32" t="n">
        <v>9742708232</v>
      </c>
      <c r="G16" s="32" t="s">
        <v>61</v>
      </c>
      <c r="H16" s="32" t="s">
        <v>21</v>
      </c>
      <c r="I16" s="32" t="s">
        <v>28</v>
      </c>
      <c r="J16" s="32" t="s">
        <v>82</v>
      </c>
      <c r="K16" s="32" t="s">
        <v>63</v>
      </c>
    </row>
    <row r="17" customFormat="false" ht="13.5" hidden="false" customHeight="true" outlineLevel="0" collapsed="false">
      <c r="A17" s="32" t="n">
        <v>1839</v>
      </c>
      <c r="B17" s="32" t="s">
        <v>90</v>
      </c>
      <c r="C17" s="32" t="s">
        <v>97</v>
      </c>
      <c r="D17" s="32" t="s">
        <v>59</v>
      </c>
      <c r="E17" s="32" t="s">
        <v>92</v>
      </c>
      <c r="F17" s="32" t="n">
        <v>9742708232</v>
      </c>
      <c r="G17" s="32" t="s">
        <v>61</v>
      </c>
      <c r="H17" s="32" t="s">
        <v>21</v>
      </c>
      <c r="I17" s="32" t="s">
        <v>98</v>
      </c>
      <c r="J17" s="32" t="s">
        <v>99</v>
      </c>
      <c r="K17" s="32" t="s">
        <v>63</v>
      </c>
    </row>
    <row r="18" customFormat="false" ht="13.5" hidden="false" customHeight="true" outlineLevel="0" collapsed="false">
      <c r="A18" s="32" t="n">
        <v>1840</v>
      </c>
      <c r="B18" s="32" t="s">
        <v>90</v>
      </c>
      <c r="C18" s="32" t="s">
        <v>97</v>
      </c>
      <c r="D18" s="32" t="s">
        <v>59</v>
      </c>
      <c r="E18" s="32" t="s">
        <v>92</v>
      </c>
      <c r="F18" s="32" t="n">
        <v>9742708232</v>
      </c>
      <c r="G18" s="32" t="s">
        <v>61</v>
      </c>
      <c r="H18" s="32" t="s">
        <v>21</v>
      </c>
      <c r="I18" s="32" t="s">
        <v>85</v>
      </c>
      <c r="J18" s="32" t="s">
        <v>85</v>
      </c>
      <c r="K18" s="32" t="s">
        <v>63</v>
      </c>
    </row>
    <row r="19" customFormat="false" ht="13.5" hidden="false" customHeight="true" outlineLevel="0" collapsed="false">
      <c r="A19" s="32" t="n">
        <v>1841</v>
      </c>
      <c r="B19" s="32" t="s">
        <v>90</v>
      </c>
      <c r="C19" s="32" t="s">
        <v>97</v>
      </c>
      <c r="D19" s="32" t="s">
        <v>59</v>
      </c>
      <c r="E19" s="32" t="s">
        <v>92</v>
      </c>
      <c r="F19" s="32" t="n">
        <v>9742708232</v>
      </c>
      <c r="G19" s="32" t="s">
        <v>61</v>
      </c>
      <c r="H19" s="32" t="s">
        <v>21</v>
      </c>
      <c r="I19" s="32" t="s">
        <v>88</v>
      </c>
      <c r="J19" s="32" t="s">
        <v>89</v>
      </c>
      <c r="K19" s="32" t="s">
        <v>63</v>
      </c>
    </row>
    <row r="20" customFormat="false" ht="13.5" hidden="false" customHeight="true" outlineLevel="0" collapsed="false">
      <c r="A20" s="32" t="n">
        <v>1842</v>
      </c>
      <c r="B20" s="32" t="s">
        <v>100</v>
      </c>
      <c r="C20" s="32" t="s">
        <v>101</v>
      </c>
      <c r="D20" s="32" t="s">
        <v>102</v>
      </c>
      <c r="E20" s="32" t="s">
        <v>103</v>
      </c>
      <c r="F20" s="33" t="n">
        <v>919920000000</v>
      </c>
      <c r="G20" s="32" t="s">
        <v>104</v>
      </c>
      <c r="H20" s="32" t="s">
        <v>21</v>
      </c>
      <c r="I20" s="32" t="s">
        <v>76</v>
      </c>
      <c r="J20" s="32" t="s">
        <v>76</v>
      </c>
      <c r="K20" s="32" t="s">
        <v>63</v>
      </c>
    </row>
    <row r="21" customFormat="false" ht="13.5" hidden="false" customHeight="true" outlineLevel="0" collapsed="false">
      <c r="A21" s="32" t="n">
        <v>1843</v>
      </c>
      <c r="B21" s="32" t="s">
        <v>105</v>
      </c>
      <c r="C21" s="32" t="s">
        <v>106</v>
      </c>
      <c r="D21" s="32" t="s">
        <v>59</v>
      </c>
      <c r="E21" s="32" t="s">
        <v>107</v>
      </c>
      <c r="F21" s="33" t="n">
        <v>918447000000</v>
      </c>
      <c r="G21" s="32" t="s">
        <v>80</v>
      </c>
      <c r="H21" s="32" t="s">
        <v>21</v>
      </c>
      <c r="I21" s="32" t="s">
        <v>108</v>
      </c>
      <c r="J21" s="32" t="s">
        <v>71</v>
      </c>
      <c r="K21" s="32" t="s">
        <v>63</v>
      </c>
    </row>
    <row r="22" customFormat="false" ht="13.5" hidden="false" customHeight="true" outlineLevel="0" collapsed="false">
      <c r="A22" s="32" t="n">
        <v>1844</v>
      </c>
      <c r="B22" s="32" t="s">
        <v>105</v>
      </c>
      <c r="C22" s="32" t="s">
        <v>106</v>
      </c>
      <c r="D22" s="32" t="s">
        <v>59</v>
      </c>
      <c r="E22" s="32" t="s">
        <v>107</v>
      </c>
      <c r="F22" s="33" t="n">
        <v>918447000000</v>
      </c>
      <c r="G22" s="32" t="s">
        <v>80</v>
      </c>
      <c r="H22" s="32" t="s">
        <v>21</v>
      </c>
      <c r="I22" s="32" t="s">
        <v>109</v>
      </c>
      <c r="J22" s="32" t="s">
        <v>110</v>
      </c>
      <c r="K22" s="32" t="s">
        <v>63</v>
      </c>
    </row>
    <row r="23" customFormat="false" ht="13.5" hidden="false" customHeight="true" outlineLevel="0" collapsed="false">
      <c r="A23" s="32" t="n">
        <v>1845</v>
      </c>
      <c r="B23" s="32" t="s">
        <v>105</v>
      </c>
      <c r="C23" s="32" t="s">
        <v>106</v>
      </c>
      <c r="D23" s="32" t="s">
        <v>59</v>
      </c>
      <c r="E23" s="32" t="s">
        <v>107</v>
      </c>
      <c r="F23" s="32" t="n">
        <v>8446510778</v>
      </c>
      <c r="G23" s="32" t="s">
        <v>80</v>
      </c>
      <c r="H23" s="32" t="s">
        <v>21</v>
      </c>
      <c r="I23" s="32" t="s">
        <v>111</v>
      </c>
      <c r="J23" s="32" t="s">
        <v>73</v>
      </c>
      <c r="K23" s="32" t="s">
        <v>63</v>
      </c>
    </row>
    <row r="24" customFormat="false" ht="13.5" hidden="false" customHeight="true" outlineLevel="0" collapsed="false">
      <c r="A24" s="32" t="n">
        <v>1846</v>
      </c>
      <c r="B24" s="32" t="s">
        <v>112</v>
      </c>
      <c r="C24" s="32" t="s">
        <v>113</v>
      </c>
      <c r="D24" s="32" t="s">
        <v>114</v>
      </c>
      <c r="E24" s="32" t="s">
        <v>115</v>
      </c>
      <c r="F24" s="32" t="n">
        <v>7760630900</v>
      </c>
      <c r="G24" s="32" t="s">
        <v>61</v>
      </c>
      <c r="H24" s="32" t="s">
        <v>22</v>
      </c>
      <c r="I24" s="32" t="s">
        <v>72</v>
      </c>
      <c r="J24" s="32" t="s">
        <v>73</v>
      </c>
      <c r="K24" s="32" t="s">
        <v>63</v>
      </c>
    </row>
    <row r="25" customFormat="false" ht="13.5" hidden="false" customHeight="true" outlineLevel="0" collapsed="false">
      <c r="A25" s="32" t="n">
        <v>1847</v>
      </c>
      <c r="B25" s="32" t="s">
        <v>112</v>
      </c>
      <c r="C25" s="32" t="s">
        <v>113</v>
      </c>
      <c r="D25" s="32" t="s">
        <v>114</v>
      </c>
      <c r="E25" s="32" t="s">
        <v>115</v>
      </c>
      <c r="F25" s="32" t="n">
        <v>7760630900</v>
      </c>
      <c r="G25" s="32" t="s">
        <v>61</v>
      </c>
      <c r="H25" s="32" t="s">
        <v>22</v>
      </c>
      <c r="I25" s="32" t="s">
        <v>16</v>
      </c>
      <c r="J25" s="32" t="s">
        <v>73</v>
      </c>
      <c r="K25" s="32" t="s">
        <v>63</v>
      </c>
    </row>
    <row r="26" customFormat="false" ht="13.5" hidden="false" customHeight="true" outlineLevel="0" collapsed="false">
      <c r="A26" s="32" t="n">
        <v>1848</v>
      </c>
      <c r="B26" s="32" t="s">
        <v>112</v>
      </c>
      <c r="C26" s="32" t="s">
        <v>113</v>
      </c>
      <c r="D26" s="32" t="s">
        <v>114</v>
      </c>
      <c r="E26" s="32" t="s">
        <v>115</v>
      </c>
      <c r="F26" s="32" t="n">
        <v>7760630900</v>
      </c>
      <c r="G26" s="32" t="s">
        <v>61</v>
      </c>
      <c r="H26" s="32" t="s">
        <v>22</v>
      </c>
      <c r="I26" s="32" t="s">
        <v>116</v>
      </c>
      <c r="J26" s="32" t="s">
        <v>117</v>
      </c>
      <c r="K26" s="32" t="s">
        <v>63</v>
      </c>
    </row>
    <row r="27" customFormat="false" ht="13.5" hidden="false" customHeight="true" outlineLevel="0" collapsed="false">
      <c r="A27" s="32" t="n">
        <v>1849</v>
      </c>
      <c r="B27" s="32" t="s">
        <v>118</v>
      </c>
      <c r="C27" s="32" t="s">
        <v>119</v>
      </c>
      <c r="D27" s="32" t="s">
        <v>59</v>
      </c>
      <c r="E27" s="32" t="s">
        <v>107</v>
      </c>
      <c r="F27" s="33" t="n">
        <v>918088000000</v>
      </c>
      <c r="G27" s="32" t="s">
        <v>69</v>
      </c>
      <c r="H27" s="32" t="s">
        <v>21</v>
      </c>
      <c r="I27" s="32" t="s">
        <v>120</v>
      </c>
      <c r="J27" s="32" t="s">
        <v>110</v>
      </c>
      <c r="K27" s="32" t="s">
        <v>63</v>
      </c>
    </row>
    <row r="28" customFormat="false" ht="13.5" hidden="false" customHeight="true" outlineLevel="0" collapsed="false">
      <c r="A28" s="32" t="n">
        <v>1850</v>
      </c>
      <c r="B28" s="32" t="s">
        <v>118</v>
      </c>
      <c r="C28" s="32" t="s">
        <v>119</v>
      </c>
      <c r="D28" s="32" t="s">
        <v>59</v>
      </c>
      <c r="E28" s="32" t="s">
        <v>107</v>
      </c>
      <c r="F28" s="32" t="n">
        <v>8087805254</v>
      </c>
      <c r="G28" s="32" t="s">
        <v>69</v>
      </c>
      <c r="H28" s="32" t="s">
        <v>21</v>
      </c>
      <c r="I28" s="32" t="s">
        <v>121</v>
      </c>
      <c r="J28" s="32" t="s">
        <v>110</v>
      </c>
      <c r="K28" s="32" t="s">
        <v>63</v>
      </c>
    </row>
    <row r="29" customFormat="false" ht="13.5" hidden="false" customHeight="true" outlineLevel="0" collapsed="false">
      <c r="A29" s="32" t="n">
        <v>1851</v>
      </c>
      <c r="B29" s="32" t="s">
        <v>118</v>
      </c>
      <c r="C29" s="32" t="s">
        <v>119</v>
      </c>
      <c r="D29" s="32" t="s">
        <v>59</v>
      </c>
      <c r="E29" s="32" t="s">
        <v>107</v>
      </c>
      <c r="F29" s="33" t="n">
        <v>918088000000</v>
      </c>
      <c r="G29" s="32" t="s">
        <v>69</v>
      </c>
      <c r="H29" s="32" t="s">
        <v>21</v>
      </c>
      <c r="I29" s="32" t="s">
        <v>93</v>
      </c>
      <c r="J29" s="32" t="s">
        <v>85</v>
      </c>
      <c r="K29" s="32" t="s">
        <v>63</v>
      </c>
    </row>
    <row r="30" customFormat="false" ht="13.5" hidden="false" customHeight="true" outlineLevel="0" collapsed="false">
      <c r="A30" s="32" t="n">
        <v>1852</v>
      </c>
      <c r="B30" s="32" t="s">
        <v>122</v>
      </c>
      <c r="C30" s="32" t="s">
        <v>123</v>
      </c>
      <c r="D30" s="32" t="s">
        <v>114</v>
      </c>
      <c r="E30" s="32" t="s">
        <v>124</v>
      </c>
      <c r="F30" s="32" t="n">
        <v>0</v>
      </c>
      <c r="G30" s="32" t="s">
        <v>0</v>
      </c>
      <c r="H30" s="32" t="s">
        <v>22</v>
      </c>
      <c r="I30" s="32" t="s">
        <v>28</v>
      </c>
      <c r="J30" s="32" t="s">
        <v>82</v>
      </c>
      <c r="K30" s="32" t="s">
        <v>63</v>
      </c>
    </row>
    <row r="31" customFormat="false" ht="13.5" hidden="false" customHeight="true" outlineLevel="0" collapsed="false">
      <c r="A31" s="32" t="n">
        <v>1853</v>
      </c>
      <c r="B31" s="32" t="s">
        <v>122</v>
      </c>
      <c r="C31" s="32" t="s">
        <v>125</v>
      </c>
      <c r="D31" s="32" t="s">
        <v>114</v>
      </c>
      <c r="E31" s="32" t="s">
        <v>124</v>
      </c>
      <c r="F31" s="32" t="n">
        <v>9176394300</v>
      </c>
      <c r="G31" s="32" t="s">
        <v>0</v>
      </c>
      <c r="H31" s="32" t="s">
        <v>22</v>
      </c>
      <c r="I31" s="32" t="s">
        <v>126</v>
      </c>
      <c r="J31" s="32" t="s">
        <v>85</v>
      </c>
      <c r="K31" s="32" t="s">
        <v>63</v>
      </c>
    </row>
    <row r="32" customFormat="false" ht="13.5" hidden="false" customHeight="true" outlineLevel="0" collapsed="false">
      <c r="A32" s="32" t="n">
        <v>1854</v>
      </c>
      <c r="B32" s="32" t="s">
        <v>122</v>
      </c>
      <c r="C32" s="32" t="s">
        <v>127</v>
      </c>
      <c r="D32" s="32" t="s">
        <v>114</v>
      </c>
      <c r="E32" s="32" t="s">
        <v>124</v>
      </c>
      <c r="F32" s="32" t="n">
        <v>9176394300</v>
      </c>
      <c r="G32" s="32" t="s">
        <v>0</v>
      </c>
      <c r="H32" s="32" t="s">
        <v>22</v>
      </c>
      <c r="I32" s="32" t="s">
        <v>128</v>
      </c>
      <c r="J32" s="32" t="s">
        <v>89</v>
      </c>
      <c r="K32" s="32" t="s">
        <v>63</v>
      </c>
    </row>
    <row r="33" customFormat="false" ht="13.5" hidden="false" customHeight="true" outlineLevel="0" collapsed="false">
      <c r="A33" s="32" t="n">
        <v>1856</v>
      </c>
      <c r="B33" s="32" t="s">
        <v>122</v>
      </c>
      <c r="C33" s="32" t="s">
        <v>127</v>
      </c>
      <c r="D33" s="32" t="s">
        <v>114</v>
      </c>
      <c r="E33" s="32" t="s">
        <v>124</v>
      </c>
      <c r="F33" s="32" t="n">
        <v>9176394300</v>
      </c>
      <c r="G33" s="32" t="s">
        <v>0</v>
      </c>
      <c r="H33" s="32" t="s">
        <v>22</v>
      </c>
      <c r="I33" s="32" t="s">
        <v>95</v>
      </c>
      <c r="J33" s="32" t="s">
        <v>96</v>
      </c>
      <c r="K33" s="32" t="s">
        <v>63</v>
      </c>
    </row>
    <row r="34" customFormat="false" ht="13.5" hidden="false" customHeight="true" outlineLevel="0" collapsed="false">
      <c r="A34" s="32" t="n">
        <v>1857</v>
      </c>
      <c r="B34" s="32" t="s">
        <v>122</v>
      </c>
      <c r="C34" s="32" t="s">
        <v>127</v>
      </c>
      <c r="D34" s="32" t="s">
        <v>114</v>
      </c>
      <c r="E34" s="32" t="s">
        <v>124</v>
      </c>
      <c r="F34" s="32" t="n">
        <v>9176394300</v>
      </c>
      <c r="G34" s="32" t="s">
        <v>0</v>
      </c>
      <c r="H34" s="32" t="s">
        <v>22</v>
      </c>
      <c r="I34" s="32" t="s">
        <v>129</v>
      </c>
      <c r="J34" s="32" t="s">
        <v>89</v>
      </c>
      <c r="K34" s="32" t="s">
        <v>63</v>
      </c>
    </row>
    <row r="35" customFormat="false" ht="13.5" hidden="false" customHeight="true" outlineLevel="0" collapsed="false">
      <c r="A35" s="32" t="n">
        <v>1858</v>
      </c>
      <c r="B35" s="32" t="s">
        <v>122</v>
      </c>
      <c r="C35" s="32" t="s">
        <v>127</v>
      </c>
      <c r="D35" s="32" t="s">
        <v>114</v>
      </c>
      <c r="E35" s="32" t="s">
        <v>124</v>
      </c>
      <c r="F35" s="32" t="n">
        <v>9176394300</v>
      </c>
      <c r="G35" s="32" t="s">
        <v>0</v>
      </c>
      <c r="H35" s="32" t="s">
        <v>22</v>
      </c>
      <c r="I35" s="32" t="s">
        <v>130</v>
      </c>
      <c r="J35" s="32" t="s">
        <v>130</v>
      </c>
      <c r="K35" s="32" t="s">
        <v>63</v>
      </c>
    </row>
    <row r="36" customFormat="false" ht="13.5" hidden="false" customHeight="true" outlineLevel="0" collapsed="false">
      <c r="A36" s="32" t="n">
        <v>1859</v>
      </c>
      <c r="B36" s="32" t="s">
        <v>122</v>
      </c>
      <c r="C36" s="32" t="s">
        <v>127</v>
      </c>
      <c r="D36" s="32" t="s">
        <v>114</v>
      </c>
      <c r="E36" s="32" t="s">
        <v>124</v>
      </c>
      <c r="F36" s="32" t="n">
        <v>9176394300</v>
      </c>
      <c r="G36" s="32" t="s">
        <v>0</v>
      </c>
      <c r="H36" s="32" t="s">
        <v>22</v>
      </c>
      <c r="I36" s="32" t="s">
        <v>131</v>
      </c>
      <c r="J36" s="32" t="s">
        <v>132</v>
      </c>
      <c r="K36" s="32" t="s">
        <v>63</v>
      </c>
    </row>
    <row r="37" customFormat="false" ht="13.5" hidden="false" customHeight="true" outlineLevel="0" collapsed="false">
      <c r="A37" s="32" t="n">
        <v>1860</v>
      </c>
      <c r="B37" s="32" t="s">
        <v>122</v>
      </c>
      <c r="C37" s="32" t="s">
        <v>123</v>
      </c>
      <c r="D37" s="32" t="s">
        <v>114</v>
      </c>
      <c r="E37" s="32" t="s">
        <v>124</v>
      </c>
      <c r="F37" s="32" t="n">
        <v>0</v>
      </c>
      <c r="G37" s="32" t="s">
        <v>0</v>
      </c>
      <c r="H37" s="32" t="s">
        <v>22</v>
      </c>
      <c r="I37" s="32" t="s">
        <v>133</v>
      </c>
      <c r="J37" s="32" t="s">
        <v>134</v>
      </c>
      <c r="K37" s="32" t="s">
        <v>63</v>
      </c>
    </row>
    <row r="38" customFormat="false" ht="13.5" hidden="false" customHeight="true" outlineLevel="0" collapsed="false">
      <c r="A38" s="32" t="n">
        <v>1861</v>
      </c>
      <c r="B38" s="32" t="s">
        <v>122</v>
      </c>
      <c r="C38" s="32" t="s">
        <v>135</v>
      </c>
      <c r="D38" s="32" t="s">
        <v>114</v>
      </c>
      <c r="E38" s="32" t="s">
        <v>124</v>
      </c>
      <c r="F38" s="32" t="n">
        <v>0</v>
      </c>
      <c r="G38" s="32" t="s">
        <v>0</v>
      </c>
      <c r="H38" s="32" t="s">
        <v>22</v>
      </c>
      <c r="I38" s="32" t="s">
        <v>87</v>
      </c>
      <c r="J38" s="32" t="s">
        <v>84</v>
      </c>
      <c r="K38" s="32" t="s">
        <v>63</v>
      </c>
    </row>
    <row r="39" customFormat="false" ht="13.5" hidden="false" customHeight="true" outlineLevel="0" collapsed="false">
      <c r="A39" s="32" t="n">
        <v>1862</v>
      </c>
      <c r="B39" s="32" t="s">
        <v>122</v>
      </c>
      <c r="C39" s="32" t="s">
        <v>136</v>
      </c>
      <c r="D39" s="32" t="s">
        <v>114</v>
      </c>
      <c r="E39" s="32" t="s">
        <v>124</v>
      </c>
      <c r="F39" s="32" t="n">
        <v>0</v>
      </c>
      <c r="G39" s="32" t="s">
        <v>0</v>
      </c>
      <c r="H39" s="32" t="s">
        <v>22</v>
      </c>
      <c r="I39" s="32" t="s">
        <v>27</v>
      </c>
      <c r="J39" s="32" t="s">
        <v>13</v>
      </c>
      <c r="K39" s="32" t="s">
        <v>63</v>
      </c>
    </row>
    <row r="40" customFormat="false" ht="13.5" hidden="false" customHeight="true" outlineLevel="0" collapsed="false">
      <c r="A40" s="32" t="n">
        <v>1863</v>
      </c>
      <c r="B40" s="32" t="s">
        <v>122</v>
      </c>
      <c r="C40" s="32" t="s">
        <v>136</v>
      </c>
      <c r="D40" s="32" t="s">
        <v>114</v>
      </c>
      <c r="E40" s="32" t="s">
        <v>124</v>
      </c>
      <c r="F40" s="32" t="n">
        <v>0</v>
      </c>
      <c r="G40" s="32" t="s">
        <v>0</v>
      </c>
      <c r="H40" s="32" t="s">
        <v>22</v>
      </c>
      <c r="I40" s="32" t="s">
        <v>137</v>
      </c>
      <c r="J40" s="32" t="s">
        <v>13</v>
      </c>
      <c r="K40" s="32" t="s">
        <v>63</v>
      </c>
    </row>
    <row r="41" customFormat="false" ht="13.5" hidden="false" customHeight="true" outlineLevel="0" collapsed="false">
      <c r="A41" s="32" t="n">
        <v>1864</v>
      </c>
      <c r="B41" s="32" t="s">
        <v>138</v>
      </c>
      <c r="C41" s="32" t="s">
        <v>139</v>
      </c>
      <c r="D41" s="32" t="s">
        <v>59</v>
      </c>
      <c r="E41" s="32" t="s">
        <v>107</v>
      </c>
      <c r="F41" s="32" t="n">
        <v>0</v>
      </c>
      <c r="G41" s="32" t="s">
        <v>140</v>
      </c>
      <c r="H41" s="32" t="s">
        <v>21</v>
      </c>
      <c r="I41" s="32" t="s">
        <v>95</v>
      </c>
      <c r="J41" s="32" t="s">
        <v>96</v>
      </c>
      <c r="K41" s="32" t="s">
        <v>63</v>
      </c>
    </row>
    <row r="42" customFormat="false" ht="13.5" hidden="false" customHeight="true" outlineLevel="0" collapsed="false">
      <c r="A42" s="32" t="n">
        <v>1865</v>
      </c>
      <c r="B42" s="32" t="s">
        <v>138</v>
      </c>
      <c r="C42" s="32" t="s">
        <v>139</v>
      </c>
      <c r="D42" s="32" t="s">
        <v>59</v>
      </c>
      <c r="E42" s="32" t="s">
        <v>107</v>
      </c>
      <c r="F42" s="32" t="n">
        <v>0</v>
      </c>
      <c r="G42" s="32" t="s">
        <v>140</v>
      </c>
      <c r="H42" s="32" t="s">
        <v>21</v>
      </c>
      <c r="I42" s="32" t="s">
        <v>27</v>
      </c>
      <c r="J42" s="32" t="s">
        <v>13</v>
      </c>
      <c r="K42" s="32" t="s">
        <v>63</v>
      </c>
    </row>
    <row r="43" customFormat="false" ht="13.5" hidden="false" customHeight="true" outlineLevel="0" collapsed="false">
      <c r="A43" s="32" t="n">
        <v>1866</v>
      </c>
      <c r="B43" s="32" t="s">
        <v>138</v>
      </c>
      <c r="C43" s="32" t="s">
        <v>139</v>
      </c>
      <c r="D43" s="32" t="s">
        <v>59</v>
      </c>
      <c r="E43" s="32" t="s">
        <v>107</v>
      </c>
      <c r="F43" s="32" t="n">
        <v>0</v>
      </c>
      <c r="G43" s="32" t="s">
        <v>140</v>
      </c>
      <c r="H43" s="32" t="s">
        <v>21</v>
      </c>
      <c r="I43" s="32" t="s">
        <v>93</v>
      </c>
      <c r="J43" s="32" t="s">
        <v>85</v>
      </c>
      <c r="K43" s="32" t="s">
        <v>63</v>
      </c>
    </row>
    <row r="44" customFormat="false" ht="13.5" hidden="false" customHeight="true" outlineLevel="0" collapsed="false">
      <c r="A44" s="32" t="n">
        <v>1867</v>
      </c>
      <c r="B44" s="32" t="s">
        <v>141</v>
      </c>
      <c r="C44" s="32" t="s">
        <v>142</v>
      </c>
      <c r="D44" s="32" t="s">
        <v>59</v>
      </c>
      <c r="E44" s="32" t="s">
        <v>143</v>
      </c>
      <c r="F44" s="32" t="n">
        <v>9903062924</v>
      </c>
      <c r="G44" s="32" t="s">
        <v>144</v>
      </c>
      <c r="H44" s="32" t="s">
        <v>21</v>
      </c>
      <c r="I44" s="32" t="s">
        <v>145</v>
      </c>
      <c r="J44" s="32" t="s">
        <v>117</v>
      </c>
      <c r="K44" s="32" t="s">
        <v>63</v>
      </c>
    </row>
    <row r="45" customFormat="false" ht="13.5" hidden="false" customHeight="true" outlineLevel="0" collapsed="false">
      <c r="A45" s="32" t="n">
        <v>1868</v>
      </c>
      <c r="B45" s="32" t="s">
        <v>141</v>
      </c>
      <c r="C45" s="32" t="s">
        <v>142</v>
      </c>
      <c r="D45" s="32" t="s">
        <v>59</v>
      </c>
      <c r="E45" s="32" t="s">
        <v>143</v>
      </c>
      <c r="F45" s="32" t="n">
        <v>9903062924</v>
      </c>
      <c r="G45" s="32" t="s">
        <v>144</v>
      </c>
      <c r="H45" s="32" t="s">
        <v>21</v>
      </c>
      <c r="I45" s="32" t="s">
        <v>146</v>
      </c>
      <c r="J45" s="32" t="s">
        <v>117</v>
      </c>
      <c r="K45" s="32" t="s">
        <v>63</v>
      </c>
    </row>
    <row r="46" customFormat="false" ht="13.5" hidden="false" customHeight="true" outlineLevel="0" collapsed="false">
      <c r="A46" s="32" t="n">
        <v>1869</v>
      </c>
      <c r="B46" s="32" t="s">
        <v>141</v>
      </c>
      <c r="C46" s="32" t="s">
        <v>142</v>
      </c>
      <c r="D46" s="32" t="s">
        <v>59</v>
      </c>
      <c r="E46" s="32" t="s">
        <v>143</v>
      </c>
      <c r="F46" s="32" t="n">
        <v>9903062924</v>
      </c>
      <c r="G46" s="32" t="s">
        <v>144</v>
      </c>
      <c r="H46" s="32" t="s">
        <v>21</v>
      </c>
      <c r="I46" s="32" t="s">
        <v>93</v>
      </c>
      <c r="J46" s="32" t="s">
        <v>85</v>
      </c>
      <c r="K46" s="32" t="s">
        <v>63</v>
      </c>
    </row>
    <row r="47" customFormat="false" ht="13.5" hidden="false" customHeight="true" outlineLevel="0" collapsed="false">
      <c r="A47" s="32" t="n">
        <v>1870</v>
      </c>
      <c r="B47" s="32" t="s">
        <v>147</v>
      </c>
      <c r="C47" s="32" t="s">
        <v>148</v>
      </c>
      <c r="D47" s="32" t="s">
        <v>114</v>
      </c>
      <c r="E47" s="32" t="n">
        <v>0</v>
      </c>
      <c r="F47" s="32" t="n">
        <v>0</v>
      </c>
      <c r="G47" s="32" t="s">
        <v>61</v>
      </c>
      <c r="H47" s="32" t="s">
        <v>22</v>
      </c>
      <c r="I47" s="32" t="s">
        <v>149</v>
      </c>
      <c r="J47" s="32" t="s">
        <v>73</v>
      </c>
      <c r="K47" s="32" t="s">
        <v>63</v>
      </c>
    </row>
    <row r="48" customFormat="false" ht="13.5" hidden="false" customHeight="true" outlineLevel="0" collapsed="false">
      <c r="A48" s="32" t="n">
        <v>1871</v>
      </c>
      <c r="B48" s="32" t="s">
        <v>147</v>
      </c>
      <c r="C48" s="32" t="s">
        <v>148</v>
      </c>
      <c r="D48" s="32" t="s">
        <v>114</v>
      </c>
      <c r="E48" s="32" t="n">
        <v>0</v>
      </c>
      <c r="F48" s="32" t="n">
        <v>0</v>
      </c>
      <c r="G48" s="32" t="s">
        <v>61</v>
      </c>
      <c r="H48" s="32" t="s">
        <v>22</v>
      </c>
      <c r="I48" s="32" t="s">
        <v>150</v>
      </c>
      <c r="J48" s="32" t="s">
        <v>73</v>
      </c>
      <c r="K48" s="32" t="s">
        <v>63</v>
      </c>
    </row>
    <row r="49" customFormat="false" ht="13.5" hidden="false" customHeight="true" outlineLevel="0" collapsed="false">
      <c r="A49" s="32" t="n">
        <v>1872</v>
      </c>
      <c r="B49" s="32" t="s">
        <v>147</v>
      </c>
      <c r="C49" s="32" t="s">
        <v>148</v>
      </c>
      <c r="D49" s="32" t="s">
        <v>114</v>
      </c>
      <c r="E49" s="32" t="n">
        <v>0</v>
      </c>
      <c r="F49" s="32" t="n">
        <v>0</v>
      </c>
      <c r="G49" s="32" t="s">
        <v>61</v>
      </c>
      <c r="H49" s="32" t="s">
        <v>22</v>
      </c>
      <c r="I49" s="32" t="s">
        <v>151</v>
      </c>
      <c r="J49" s="32" t="s">
        <v>152</v>
      </c>
      <c r="K49" s="32" t="s">
        <v>63</v>
      </c>
    </row>
    <row r="50" customFormat="false" ht="13.5" hidden="false" customHeight="true" outlineLevel="0" collapsed="false">
      <c r="A50" s="32" t="n">
        <v>1873</v>
      </c>
      <c r="B50" s="32" t="s">
        <v>147</v>
      </c>
      <c r="C50" s="32" t="s">
        <v>148</v>
      </c>
      <c r="D50" s="32" t="s">
        <v>114</v>
      </c>
      <c r="E50" s="32" t="n">
        <v>0</v>
      </c>
      <c r="F50" s="32" t="n">
        <v>0</v>
      </c>
      <c r="G50" s="32" t="s">
        <v>61</v>
      </c>
      <c r="H50" s="32" t="s">
        <v>22</v>
      </c>
      <c r="I50" s="32" t="s">
        <v>16</v>
      </c>
      <c r="J50" s="32" t="s">
        <v>73</v>
      </c>
      <c r="K50" s="32" t="s">
        <v>63</v>
      </c>
    </row>
    <row r="51" customFormat="false" ht="13.5" hidden="false" customHeight="true" outlineLevel="0" collapsed="false">
      <c r="A51" s="32" t="n">
        <v>1874</v>
      </c>
      <c r="B51" s="32" t="s">
        <v>153</v>
      </c>
      <c r="C51" s="32" t="s">
        <v>154</v>
      </c>
      <c r="D51" s="32" t="s">
        <v>59</v>
      </c>
      <c r="E51" s="32" t="s">
        <v>155</v>
      </c>
      <c r="F51" s="32" t="n">
        <v>0</v>
      </c>
      <c r="G51" s="32" t="s">
        <v>61</v>
      </c>
      <c r="H51" s="32" t="s">
        <v>21</v>
      </c>
      <c r="I51" s="32" t="s">
        <v>14</v>
      </c>
      <c r="J51" s="32" t="s">
        <v>66</v>
      </c>
      <c r="K51" s="32" t="s">
        <v>63</v>
      </c>
    </row>
    <row r="52" customFormat="false" ht="13.5" hidden="false" customHeight="true" outlineLevel="0" collapsed="false">
      <c r="A52" s="32" t="n">
        <v>1875</v>
      </c>
      <c r="B52" s="32" t="s">
        <v>153</v>
      </c>
      <c r="C52" s="32" t="s">
        <v>154</v>
      </c>
      <c r="D52" s="32" t="s">
        <v>59</v>
      </c>
      <c r="E52" s="32" t="s">
        <v>155</v>
      </c>
      <c r="F52" s="32" t="n">
        <v>0</v>
      </c>
      <c r="G52" s="32" t="s">
        <v>61</v>
      </c>
      <c r="H52" s="32" t="s">
        <v>21</v>
      </c>
      <c r="I52" s="32" t="s">
        <v>156</v>
      </c>
      <c r="J52" s="32" t="s">
        <v>62</v>
      </c>
      <c r="K52" s="32" t="s">
        <v>63</v>
      </c>
    </row>
    <row r="53" customFormat="false" ht="13.5" hidden="false" customHeight="true" outlineLevel="0" collapsed="false">
      <c r="A53" s="32" t="n">
        <v>1876</v>
      </c>
      <c r="B53" s="32" t="s">
        <v>157</v>
      </c>
      <c r="C53" s="32" t="s">
        <v>158</v>
      </c>
      <c r="D53" s="32" t="s">
        <v>114</v>
      </c>
      <c r="E53" s="32" t="s">
        <v>115</v>
      </c>
      <c r="F53" s="32" t="n">
        <v>9769671026</v>
      </c>
      <c r="G53" s="32" t="s">
        <v>61</v>
      </c>
      <c r="H53" s="32" t="s">
        <v>22</v>
      </c>
      <c r="I53" s="32" t="s">
        <v>121</v>
      </c>
      <c r="J53" s="32" t="s">
        <v>110</v>
      </c>
      <c r="K53" s="32" t="s">
        <v>63</v>
      </c>
    </row>
    <row r="54" customFormat="false" ht="13.5" hidden="false" customHeight="true" outlineLevel="0" collapsed="false">
      <c r="A54" s="32" t="n">
        <v>1877</v>
      </c>
      <c r="B54" s="32" t="s">
        <v>159</v>
      </c>
      <c r="C54" s="32" t="s">
        <v>160</v>
      </c>
      <c r="D54" s="32" t="s">
        <v>102</v>
      </c>
      <c r="E54" s="32" t="s">
        <v>103</v>
      </c>
      <c r="F54" s="32" t="n">
        <v>7974408878</v>
      </c>
      <c r="G54" s="32" t="s">
        <v>80</v>
      </c>
      <c r="H54" s="32" t="s">
        <v>21</v>
      </c>
      <c r="I54" s="32" t="s">
        <v>161</v>
      </c>
      <c r="J54" s="32" t="s">
        <v>117</v>
      </c>
      <c r="K54" s="32" t="s">
        <v>63</v>
      </c>
    </row>
    <row r="55" customFormat="false" ht="13.5" hidden="false" customHeight="true" outlineLevel="0" collapsed="false">
      <c r="A55" s="32" t="n">
        <v>1878</v>
      </c>
      <c r="B55" s="32" t="s">
        <v>159</v>
      </c>
      <c r="C55" s="32" t="s">
        <v>162</v>
      </c>
      <c r="D55" s="32" t="s">
        <v>102</v>
      </c>
      <c r="E55" s="32" t="s">
        <v>103</v>
      </c>
      <c r="F55" s="32" t="n">
        <v>7974408878</v>
      </c>
      <c r="G55" s="32" t="s">
        <v>80</v>
      </c>
      <c r="H55" s="32" t="s">
        <v>21</v>
      </c>
      <c r="I55" s="32" t="s">
        <v>133</v>
      </c>
      <c r="J55" s="32" t="s">
        <v>134</v>
      </c>
      <c r="K55" s="32" t="s">
        <v>63</v>
      </c>
    </row>
    <row r="56" customFormat="false" ht="13.5" hidden="false" customHeight="true" outlineLevel="0" collapsed="false">
      <c r="A56" s="32" t="n">
        <v>1879</v>
      </c>
      <c r="B56" s="32" t="s">
        <v>163</v>
      </c>
      <c r="C56" s="32" t="s">
        <v>164</v>
      </c>
      <c r="D56" s="32" t="s">
        <v>114</v>
      </c>
      <c r="E56" s="32" t="s">
        <v>165</v>
      </c>
      <c r="F56" s="32" t="n">
        <v>7459796521</v>
      </c>
      <c r="G56" s="32" t="s">
        <v>104</v>
      </c>
      <c r="H56" s="32" t="s">
        <v>22</v>
      </c>
      <c r="I56" s="32" t="s">
        <v>28</v>
      </c>
      <c r="J56" s="32" t="s">
        <v>82</v>
      </c>
      <c r="K56" s="32" t="s">
        <v>63</v>
      </c>
    </row>
    <row r="57" customFormat="false" ht="13.5" hidden="false" customHeight="true" outlineLevel="0" collapsed="false">
      <c r="A57" s="32" t="n">
        <v>1880</v>
      </c>
      <c r="B57" s="32" t="s">
        <v>163</v>
      </c>
      <c r="C57" s="32" t="s">
        <v>164</v>
      </c>
      <c r="D57" s="32" t="s">
        <v>114</v>
      </c>
      <c r="E57" s="32" t="s">
        <v>165</v>
      </c>
      <c r="F57" s="32" t="n">
        <v>7459796521</v>
      </c>
      <c r="G57" s="32" t="s">
        <v>104</v>
      </c>
      <c r="H57" s="32" t="s">
        <v>22</v>
      </c>
      <c r="I57" s="32" t="s">
        <v>149</v>
      </c>
      <c r="J57" s="32" t="s">
        <v>73</v>
      </c>
      <c r="K57" s="32" t="s">
        <v>63</v>
      </c>
    </row>
    <row r="58" customFormat="false" ht="13.5" hidden="false" customHeight="true" outlineLevel="0" collapsed="false">
      <c r="A58" s="32" t="n">
        <v>1881</v>
      </c>
      <c r="B58" s="32" t="s">
        <v>163</v>
      </c>
      <c r="C58" s="32" t="s">
        <v>164</v>
      </c>
      <c r="D58" s="32" t="s">
        <v>114</v>
      </c>
      <c r="E58" s="32" t="s">
        <v>165</v>
      </c>
      <c r="F58" s="32" t="n">
        <v>7459796521</v>
      </c>
      <c r="G58" s="32" t="s">
        <v>104</v>
      </c>
      <c r="H58" s="32" t="s">
        <v>22</v>
      </c>
      <c r="I58" s="32" t="s">
        <v>98</v>
      </c>
      <c r="J58" s="32" t="s">
        <v>99</v>
      </c>
      <c r="K58" s="32" t="s">
        <v>63</v>
      </c>
    </row>
    <row r="59" customFormat="false" ht="13.5" hidden="false" customHeight="true" outlineLevel="0" collapsed="false">
      <c r="A59" s="32" t="n">
        <v>1882</v>
      </c>
      <c r="B59" s="32" t="s">
        <v>163</v>
      </c>
      <c r="C59" s="32" t="s">
        <v>164</v>
      </c>
      <c r="D59" s="32" t="s">
        <v>114</v>
      </c>
      <c r="E59" s="32" t="s">
        <v>165</v>
      </c>
      <c r="F59" s="32" t="n">
        <v>7459796521</v>
      </c>
      <c r="G59" s="32" t="s">
        <v>104</v>
      </c>
      <c r="H59" s="32" t="s">
        <v>22</v>
      </c>
      <c r="I59" s="32" t="s">
        <v>29</v>
      </c>
      <c r="J59" s="32" t="s">
        <v>62</v>
      </c>
      <c r="K59" s="32" t="s">
        <v>63</v>
      </c>
    </row>
    <row r="60" customFormat="false" ht="13.5" hidden="false" customHeight="true" outlineLevel="0" collapsed="false">
      <c r="A60" s="32" t="n">
        <v>1883</v>
      </c>
      <c r="B60" s="32" t="s">
        <v>163</v>
      </c>
      <c r="C60" s="32" t="s">
        <v>164</v>
      </c>
      <c r="D60" s="32" t="s">
        <v>114</v>
      </c>
      <c r="E60" s="32" t="s">
        <v>165</v>
      </c>
      <c r="F60" s="32" t="n">
        <v>7459796521</v>
      </c>
      <c r="G60" s="32" t="s">
        <v>104</v>
      </c>
      <c r="H60" s="32" t="s">
        <v>22</v>
      </c>
      <c r="I60" s="32" t="s">
        <v>14</v>
      </c>
      <c r="J60" s="32" t="s">
        <v>66</v>
      </c>
      <c r="K60" s="32" t="s">
        <v>63</v>
      </c>
    </row>
    <row r="61" customFormat="false" ht="13.5" hidden="false" customHeight="true" outlineLevel="0" collapsed="false">
      <c r="A61" s="32" t="n">
        <v>1884</v>
      </c>
      <c r="B61" s="32" t="s">
        <v>163</v>
      </c>
      <c r="C61" s="32" t="s">
        <v>164</v>
      </c>
      <c r="D61" s="32" t="s">
        <v>114</v>
      </c>
      <c r="E61" s="32" t="s">
        <v>165</v>
      </c>
      <c r="F61" s="32" t="n">
        <v>7459796521</v>
      </c>
      <c r="G61" s="32" t="s">
        <v>104</v>
      </c>
      <c r="H61" s="32" t="s">
        <v>22</v>
      </c>
      <c r="I61" s="32" t="s">
        <v>166</v>
      </c>
      <c r="J61" s="32" t="s">
        <v>66</v>
      </c>
      <c r="K61" s="32" t="s">
        <v>63</v>
      </c>
    </row>
    <row r="62" customFormat="false" ht="13.5" hidden="false" customHeight="true" outlineLevel="0" collapsed="false">
      <c r="A62" s="32" t="n">
        <v>1885</v>
      </c>
      <c r="B62" s="32" t="s">
        <v>167</v>
      </c>
      <c r="C62" s="32" t="s">
        <v>168</v>
      </c>
      <c r="D62" s="32" t="s">
        <v>114</v>
      </c>
      <c r="E62" s="32" t="s">
        <v>169</v>
      </c>
      <c r="F62" s="32" t="n">
        <v>8123001414</v>
      </c>
      <c r="G62" s="32" t="s">
        <v>61</v>
      </c>
      <c r="H62" s="32" t="s">
        <v>22</v>
      </c>
      <c r="I62" s="32" t="s">
        <v>93</v>
      </c>
      <c r="J62" s="32" t="s">
        <v>85</v>
      </c>
      <c r="K62" s="32" t="s">
        <v>63</v>
      </c>
    </row>
    <row r="63" customFormat="false" ht="13.5" hidden="false" customHeight="true" outlineLevel="0" collapsed="false">
      <c r="A63" s="32" t="n">
        <v>1886</v>
      </c>
      <c r="B63" s="32" t="s">
        <v>167</v>
      </c>
      <c r="C63" s="32" t="s">
        <v>170</v>
      </c>
      <c r="D63" s="32" t="s">
        <v>114</v>
      </c>
      <c r="E63" s="32" t="s">
        <v>169</v>
      </c>
      <c r="F63" s="32" t="n">
        <v>8123001414</v>
      </c>
      <c r="G63" s="32" t="s">
        <v>61</v>
      </c>
      <c r="H63" s="32" t="s">
        <v>22</v>
      </c>
      <c r="I63" s="32" t="s">
        <v>171</v>
      </c>
      <c r="J63" s="32" t="s">
        <v>152</v>
      </c>
      <c r="K63" s="32" t="s">
        <v>63</v>
      </c>
    </row>
    <row r="64" customFormat="false" ht="13.5" hidden="false" customHeight="true" outlineLevel="0" collapsed="false">
      <c r="A64" s="32" t="n">
        <v>1887</v>
      </c>
      <c r="B64" s="32" t="s">
        <v>167</v>
      </c>
      <c r="C64" s="32" t="s">
        <v>170</v>
      </c>
      <c r="D64" s="32" t="s">
        <v>114</v>
      </c>
      <c r="E64" s="32" t="s">
        <v>169</v>
      </c>
      <c r="F64" s="32" t="n">
        <v>8123001414</v>
      </c>
      <c r="G64" s="32" t="s">
        <v>61</v>
      </c>
      <c r="H64" s="32" t="s">
        <v>22</v>
      </c>
      <c r="I64" s="32" t="s">
        <v>151</v>
      </c>
      <c r="J64" s="32" t="s">
        <v>152</v>
      </c>
      <c r="K64" s="32" t="s">
        <v>63</v>
      </c>
    </row>
    <row r="65" customFormat="false" ht="13.5" hidden="false" customHeight="true" outlineLevel="0" collapsed="false">
      <c r="A65" s="32" t="n">
        <v>1888</v>
      </c>
      <c r="B65" s="32" t="s">
        <v>167</v>
      </c>
      <c r="C65" s="32" t="s">
        <v>170</v>
      </c>
      <c r="D65" s="32" t="s">
        <v>114</v>
      </c>
      <c r="E65" s="32" t="s">
        <v>169</v>
      </c>
      <c r="F65" s="32" t="n">
        <v>8123001414</v>
      </c>
      <c r="G65" s="32" t="s">
        <v>61</v>
      </c>
      <c r="H65" s="32" t="s">
        <v>22</v>
      </c>
      <c r="I65" s="32" t="s">
        <v>172</v>
      </c>
      <c r="J65" s="32" t="s">
        <v>152</v>
      </c>
      <c r="K65" s="32" t="s">
        <v>63</v>
      </c>
    </row>
    <row r="66" customFormat="false" ht="13.5" hidden="false" customHeight="true" outlineLevel="0" collapsed="false">
      <c r="A66" s="32" t="n">
        <v>1889</v>
      </c>
      <c r="B66" s="32" t="s">
        <v>173</v>
      </c>
      <c r="C66" s="32" t="s">
        <v>174</v>
      </c>
      <c r="D66" s="32" t="s">
        <v>59</v>
      </c>
      <c r="E66" s="32" t="s">
        <v>79</v>
      </c>
      <c r="F66" s="32" t="n">
        <v>8888319723</v>
      </c>
      <c r="G66" s="32" t="s">
        <v>80</v>
      </c>
      <c r="H66" s="32" t="s">
        <v>21</v>
      </c>
      <c r="I66" s="32" t="s">
        <v>151</v>
      </c>
      <c r="J66" s="32" t="s">
        <v>152</v>
      </c>
      <c r="K66" s="32" t="s">
        <v>63</v>
      </c>
    </row>
    <row r="67" customFormat="false" ht="13.5" hidden="false" customHeight="true" outlineLevel="0" collapsed="false">
      <c r="A67" s="32" t="n">
        <v>1890</v>
      </c>
      <c r="B67" s="32" t="s">
        <v>173</v>
      </c>
      <c r="C67" s="32" t="s">
        <v>174</v>
      </c>
      <c r="D67" s="32" t="s">
        <v>59</v>
      </c>
      <c r="E67" s="32" t="s">
        <v>79</v>
      </c>
      <c r="F67" s="33" t="n">
        <v>918888000000</v>
      </c>
      <c r="G67" s="32" t="s">
        <v>80</v>
      </c>
      <c r="H67" s="32" t="s">
        <v>21</v>
      </c>
      <c r="I67" s="32" t="s">
        <v>151</v>
      </c>
      <c r="J67" s="32" t="s">
        <v>152</v>
      </c>
      <c r="K67" s="32" t="s">
        <v>63</v>
      </c>
    </row>
    <row r="68" customFormat="false" ht="13.5" hidden="false" customHeight="true" outlineLevel="0" collapsed="false">
      <c r="A68" s="32" t="n">
        <v>1891</v>
      </c>
      <c r="B68" s="32" t="s">
        <v>173</v>
      </c>
      <c r="C68" s="32" t="s">
        <v>174</v>
      </c>
      <c r="D68" s="32" t="s">
        <v>59</v>
      </c>
      <c r="E68" s="32" t="s">
        <v>79</v>
      </c>
      <c r="F68" s="33" t="n">
        <v>918888000000</v>
      </c>
      <c r="G68" s="32" t="s">
        <v>80</v>
      </c>
      <c r="H68" s="32" t="s">
        <v>21</v>
      </c>
      <c r="I68" s="32" t="s">
        <v>146</v>
      </c>
      <c r="J68" s="32" t="s">
        <v>117</v>
      </c>
      <c r="K68" s="32" t="s">
        <v>63</v>
      </c>
    </row>
    <row r="69" customFormat="false" ht="13.5" hidden="false" customHeight="true" outlineLevel="0" collapsed="false">
      <c r="A69" s="32" t="n">
        <v>1892</v>
      </c>
      <c r="B69" s="32" t="s">
        <v>173</v>
      </c>
      <c r="C69" s="32" t="s">
        <v>174</v>
      </c>
      <c r="D69" s="32" t="s">
        <v>59</v>
      </c>
      <c r="E69" s="32" t="s">
        <v>79</v>
      </c>
      <c r="F69" s="33" t="n">
        <v>918888000000</v>
      </c>
      <c r="G69" s="32" t="s">
        <v>80</v>
      </c>
      <c r="H69" s="32" t="s">
        <v>21</v>
      </c>
      <c r="I69" s="32" t="s">
        <v>85</v>
      </c>
      <c r="J69" s="32" t="s">
        <v>85</v>
      </c>
      <c r="K69" s="32" t="s">
        <v>63</v>
      </c>
    </row>
    <row r="70" customFormat="false" ht="13.5" hidden="false" customHeight="true" outlineLevel="0" collapsed="false">
      <c r="A70" s="32" t="n">
        <v>1893</v>
      </c>
      <c r="B70" s="32" t="s">
        <v>173</v>
      </c>
      <c r="C70" s="32" t="s">
        <v>174</v>
      </c>
      <c r="D70" s="32" t="s">
        <v>59</v>
      </c>
      <c r="E70" s="32" t="s">
        <v>79</v>
      </c>
      <c r="F70" s="32" t="n">
        <v>8888319723</v>
      </c>
      <c r="G70" s="32" t="s">
        <v>80</v>
      </c>
      <c r="H70" s="32" t="s">
        <v>21</v>
      </c>
      <c r="I70" s="32" t="s">
        <v>172</v>
      </c>
      <c r="J70" s="32" t="s">
        <v>152</v>
      </c>
      <c r="K70" s="32" t="s">
        <v>63</v>
      </c>
    </row>
    <row r="71" customFormat="false" ht="13.5" hidden="false" customHeight="true" outlineLevel="0" collapsed="false">
      <c r="A71" s="32" t="n">
        <v>1894</v>
      </c>
      <c r="B71" s="32" t="s">
        <v>175</v>
      </c>
      <c r="C71" s="32" t="s">
        <v>176</v>
      </c>
      <c r="D71" s="32" t="s">
        <v>59</v>
      </c>
      <c r="E71" s="32" t="s">
        <v>79</v>
      </c>
      <c r="F71" s="33" t="n">
        <v>919901000000</v>
      </c>
      <c r="G71" s="32" t="s">
        <v>61</v>
      </c>
      <c r="H71" s="32" t="s">
        <v>21</v>
      </c>
      <c r="I71" s="32" t="s">
        <v>151</v>
      </c>
      <c r="J71" s="32" t="s">
        <v>152</v>
      </c>
      <c r="K71" s="32" t="s">
        <v>63</v>
      </c>
    </row>
    <row r="72" customFormat="false" ht="13.5" hidden="false" customHeight="true" outlineLevel="0" collapsed="false">
      <c r="A72" s="32" t="n">
        <v>1895</v>
      </c>
      <c r="B72" s="32" t="s">
        <v>175</v>
      </c>
      <c r="C72" s="32" t="s">
        <v>176</v>
      </c>
      <c r="D72" s="32" t="s">
        <v>59</v>
      </c>
      <c r="E72" s="32" t="s">
        <v>79</v>
      </c>
      <c r="F72" s="33" t="n">
        <v>919901000000</v>
      </c>
      <c r="G72" s="32" t="s">
        <v>61</v>
      </c>
      <c r="H72" s="32" t="s">
        <v>21</v>
      </c>
      <c r="I72" s="32" t="s">
        <v>146</v>
      </c>
      <c r="J72" s="32" t="s">
        <v>117</v>
      </c>
      <c r="K72" s="32" t="s">
        <v>63</v>
      </c>
    </row>
    <row r="73" customFormat="false" ht="13.5" hidden="false" customHeight="true" outlineLevel="0" collapsed="false">
      <c r="A73" s="32" t="n">
        <v>1896</v>
      </c>
      <c r="B73" s="32" t="s">
        <v>177</v>
      </c>
      <c r="C73" s="32" t="s">
        <v>178</v>
      </c>
      <c r="D73" s="32" t="s">
        <v>102</v>
      </c>
      <c r="E73" s="32" t="s">
        <v>155</v>
      </c>
      <c r="F73" s="33" t="n">
        <v>919799000000</v>
      </c>
      <c r="G73" s="32" t="s">
        <v>144</v>
      </c>
      <c r="H73" s="32" t="s">
        <v>21</v>
      </c>
      <c r="I73" s="32" t="s">
        <v>156</v>
      </c>
      <c r="J73" s="32" t="s">
        <v>62</v>
      </c>
      <c r="K73" s="32" t="s">
        <v>63</v>
      </c>
    </row>
    <row r="74" customFormat="false" ht="13.5" hidden="false" customHeight="true" outlineLevel="0" collapsed="false">
      <c r="A74" s="32" t="n">
        <v>1897</v>
      </c>
      <c r="B74" s="32" t="s">
        <v>177</v>
      </c>
      <c r="C74" s="32" t="s">
        <v>178</v>
      </c>
      <c r="D74" s="32" t="s">
        <v>102</v>
      </c>
      <c r="E74" s="32" t="s">
        <v>155</v>
      </c>
      <c r="F74" s="33" t="n">
        <v>919799000000</v>
      </c>
      <c r="G74" s="32" t="s">
        <v>144</v>
      </c>
      <c r="H74" s="32" t="s">
        <v>21</v>
      </c>
      <c r="I74" s="32" t="s">
        <v>29</v>
      </c>
      <c r="J74" s="32" t="s">
        <v>62</v>
      </c>
      <c r="K74" s="32" t="s">
        <v>63</v>
      </c>
    </row>
    <row r="75" customFormat="false" ht="13.5" hidden="false" customHeight="true" outlineLevel="0" collapsed="false">
      <c r="A75" s="32" t="n">
        <v>1898</v>
      </c>
      <c r="B75" s="32" t="s">
        <v>179</v>
      </c>
      <c r="C75" s="32" t="s">
        <v>180</v>
      </c>
      <c r="D75" s="32" t="s">
        <v>59</v>
      </c>
      <c r="E75" s="32" t="s">
        <v>107</v>
      </c>
      <c r="F75" s="32" t="n">
        <v>0</v>
      </c>
      <c r="G75" s="32" t="s">
        <v>181</v>
      </c>
      <c r="H75" s="32" t="s">
        <v>21</v>
      </c>
      <c r="I75" s="32" t="s">
        <v>172</v>
      </c>
      <c r="J75" s="32" t="s">
        <v>152</v>
      </c>
      <c r="K75" s="32" t="s">
        <v>63</v>
      </c>
    </row>
    <row r="76" customFormat="false" ht="13.5" hidden="false" customHeight="true" outlineLevel="0" collapsed="false">
      <c r="A76" s="32" t="n">
        <v>1899</v>
      </c>
      <c r="B76" s="32" t="s">
        <v>179</v>
      </c>
      <c r="C76" s="32" t="s">
        <v>180</v>
      </c>
      <c r="D76" s="32" t="s">
        <v>59</v>
      </c>
      <c r="E76" s="32" t="s">
        <v>107</v>
      </c>
      <c r="F76" s="32" t="n">
        <v>9406743736</v>
      </c>
      <c r="G76" s="32" t="s">
        <v>144</v>
      </c>
      <c r="H76" s="32" t="s">
        <v>21</v>
      </c>
      <c r="I76" s="32" t="s">
        <v>149</v>
      </c>
      <c r="J76" s="32" t="s">
        <v>73</v>
      </c>
      <c r="K76" s="32" t="s">
        <v>63</v>
      </c>
    </row>
    <row r="77" customFormat="false" ht="13.5" hidden="false" customHeight="true" outlineLevel="0" collapsed="false">
      <c r="A77" s="32" t="n">
        <v>1900</v>
      </c>
      <c r="B77" s="32" t="s">
        <v>179</v>
      </c>
      <c r="C77" s="32" t="s">
        <v>182</v>
      </c>
      <c r="D77" s="32" t="s">
        <v>59</v>
      </c>
      <c r="E77" s="32" t="s">
        <v>107</v>
      </c>
      <c r="F77" s="32" t="n">
        <v>0</v>
      </c>
      <c r="G77" s="32" t="s">
        <v>140</v>
      </c>
      <c r="H77" s="32" t="s">
        <v>21</v>
      </c>
      <c r="I77" s="32" t="s">
        <v>149</v>
      </c>
      <c r="J77" s="32" t="s">
        <v>73</v>
      </c>
      <c r="K77" s="32" t="s">
        <v>63</v>
      </c>
    </row>
    <row r="78" customFormat="false" ht="13.5" hidden="false" customHeight="true" outlineLevel="0" collapsed="false">
      <c r="A78" s="32" t="n">
        <v>1901</v>
      </c>
      <c r="B78" s="32" t="s">
        <v>179</v>
      </c>
      <c r="C78" s="32" t="s">
        <v>182</v>
      </c>
      <c r="D78" s="32" t="s">
        <v>59</v>
      </c>
      <c r="E78" s="32" t="s">
        <v>107</v>
      </c>
      <c r="F78" s="32" t="n">
        <v>0</v>
      </c>
      <c r="G78" s="32" t="s">
        <v>140</v>
      </c>
      <c r="H78" s="32" t="s">
        <v>21</v>
      </c>
      <c r="I78" s="32" t="s">
        <v>93</v>
      </c>
      <c r="J78" s="32" t="s">
        <v>85</v>
      </c>
      <c r="K78" s="32" t="s">
        <v>63</v>
      </c>
    </row>
    <row r="79" customFormat="false" ht="13.5" hidden="false" customHeight="true" outlineLevel="0" collapsed="false">
      <c r="A79" s="32" t="n">
        <v>1902</v>
      </c>
      <c r="B79" s="32" t="s">
        <v>179</v>
      </c>
      <c r="C79" s="32" t="s">
        <v>182</v>
      </c>
      <c r="D79" s="32" t="s">
        <v>59</v>
      </c>
      <c r="E79" s="32" t="s">
        <v>107</v>
      </c>
      <c r="F79" s="32" t="n">
        <v>0</v>
      </c>
      <c r="G79" s="32" t="s">
        <v>140</v>
      </c>
      <c r="H79" s="32" t="s">
        <v>21</v>
      </c>
      <c r="I79" s="32" t="s">
        <v>111</v>
      </c>
      <c r="J79" s="32" t="s">
        <v>73</v>
      </c>
      <c r="K79" s="32" t="s">
        <v>63</v>
      </c>
    </row>
    <row r="80" customFormat="false" ht="13.5" hidden="false" customHeight="true" outlineLevel="0" collapsed="false">
      <c r="A80" s="32" t="n">
        <v>1903</v>
      </c>
      <c r="B80" s="32" t="s">
        <v>183</v>
      </c>
      <c r="C80" s="32" t="s">
        <v>184</v>
      </c>
      <c r="D80" s="32" t="s">
        <v>114</v>
      </c>
      <c r="E80" s="32" t="s">
        <v>115</v>
      </c>
      <c r="F80" s="32" t="n">
        <v>9769244648</v>
      </c>
      <c r="G80" s="32" t="s">
        <v>69</v>
      </c>
      <c r="H80" s="32" t="s">
        <v>22</v>
      </c>
      <c r="I80" s="32" t="s">
        <v>185</v>
      </c>
      <c r="J80" s="32" t="s">
        <v>186</v>
      </c>
      <c r="K80" s="32" t="s">
        <v>63</v>
      </c>
    </row>
    <row r="81" customFormat="false" ht="13.5" hidden="false" customHeight="true" outlineLevel="0" collapsed="false">
      <c r="A81" s="32" t="n">
        <v>1904</v>
      </c>
      <c r="B81" s="32" t="s">
        <v>183</v>
      </c>
      <c r="C81" s="32" t="s">
        <v>184</v>
      </c>
      <c r="D81" s="32" t="s">
        <v>114</v>
      </c>
      <c r="E81" s="32" t="s">
        <v>115</v>
      </c>
      <c r="F81" s="32" t="n">
        <v>9769244648</v>
      </c>
      <c r="G81" s="32" t="s">
        <v>69</v>
      </c>
      <c r="H81" s="32" t="s">
        <v>22</v>
      </c>
      <c r="I81" s="32" t="s">
        <v>133</v>
      </c>
      <c r="J81" s="32" t="s">
        <v>134</v>
      </c>
      <c r="K81" s="32" t="s">
        <v>63</v>
      </c>
    </row>
    <row r="82" customFormat="false" ht="13.5" hidden="false" customHeight="true" outlineLevel="0" collapsed="false">
      <c r="A82" s="32" t="n">
        <v>1905</v>
      </c>
      <c r="B82" s="32" t="s">
        <v>183</v>
      </c>
      <c r="C82" s="32" t="s">
        <v>184</v>
      </c>
      <c r="D82" s="32" t="s">
        <v>114</v>
      </c>
      <c r="E82" s="32" t="s">
        <v>115</v>
      </c>
      <c r="F82" s="32" t="n">
        <v>9769244648</v>
      </c>
      <c r="G82" s="32" t="s">
        <v>69</v>
      </c>
      <c r="H82" s="32" t="s">
        <v>22</v>
      </c>
      <c r="I82" s="32" t="s">
        <v>85</v>
      </c>
      <c r="J82" s="32" t="s">
        <v>85</v>
      </c>
      <c r="K82" s="32" t="s">
        <v>63</v>
      </c>
    </row>
    <row r="83" customFormat="false" ht="13.5" hidden="false" customHeight="true" outlineLevel="0" collapsed="false">
      <c r="A83" s="32" t="n">
        <v>1906</v>
      </c>
      <c r="B83" s="32" t="s">
        <v>183</v>
      </c>
      <c r="C83" s="32" t="s">
        <v>184</v>
      </c>
      <c r="D83" s="32" t="s">
        <v>114</v>
      </c>
      <c r="E83" s="32" t="s">
        <v>115</v>
      </c>
      <c r="F83" s="32" t="n">
        <v>9769244648</v>
      </c>
      <c r="G83" s="32" t="s">
        <v>69</v>
      </c>
      <c r="H83" s="32" t="s">
        <v>22</v>
      </c>
      <c r="I83" s="32" t="s">
        <v>121</v>
      </c>
      <c r="J83" s="32" t="s">
        <v>110</v>
      </c>
      <c r="K83" s="32" t="s">
        <v>63</v>
      </c>
    </row>
    <row r="84" customFormat="false" ht="13.5" hidden="false" customHeight="true" outlineLevel="0" collapsed="false">
      <c r="A84" s="32" t="n">
        <v>1907</v>
      </c>
      <c r="B84" s="32" t="s">
        <v>183</v>
      </c>
      <c r="C84" s="32" t="s">
        <v>184</v>
      </c>
      <c r="D84" s="32" t="s">
        <v>114</v>
      </c>
      <c r="E84" s="32" t="s">
        <v>115</v>
      </c>
      <c r="F84" s="32" t="n">
        <v>9769244648</v>
      </c>
      <c r="G84" s="32" t="s">
        <v>69</v>
      </c>
      <c r="H84" s="32" t="s">
        <v>22</v>
      </c>
      <c r="I84" s="32" t="s">
        <v>145</v>
      </c>
      <c r="J84" s="32" t="s">
        <v>117</v>
      </c>
      <c r="K84" s="32" t="s">
        <v>63</v>
      </c>
    </row>
    <row r="85" customFormat="false" ht="13.5" hidden="false" customHeight="true" outlineLevel="0" collapsed="false">
      <c r="A85" s="32" t="n">
        <v>1908</v>
      </c>
      <c r="B85" s="32" t="s">
        <v>187</v>
      </c>
      <c r="C85" s="32" t="s">
        <v>188</v>
      </c>
      <c r="D85" s="32" t="s">
        <v>102</v>
      </c>
      <c r="E85" s="32" t="s">
        <v>155</v>
      </c>
      <c r="F85" s="33" t="n">
        <v>919039000000</v>
      </c>
      <c r="G85" s="32" t="s">
        <v>61</v>
      </c>
      <c r="H85" s="32" t="s">
        <v>21</v>
      </c>
      <c r="I85" s="32" t="s">
        <v>156</v>
      </c>
      <c r="J85" s="32" t="s">
        <v>62</v>
      </c>
      <c r="K85" s="32" t="s">
        <v>63</v>
      </c>
    </row>
    <row r="86" customFormat="false" ht="13.5" hidden="false" customHeight="true" outlineLevel="0" collapsed="false">
      <c r="A86" s="32" t="n">
        <v>1909</v>
      </c>
      <c r="B86" s="32" t="s">
        <v>187</v>
      </c>
      <c r="C86" s="32" t="s">
        <v>188</v>
      </c>
      <c r="D86" s="32" t="s">
        <v>102</v>
      </c>
      <c r="E86" s="32" t="s">
        <v>155</v>
      </c>
      <c r="F86" s="33" t="n">
        <v>919039000000</v>
      </c>
      <c r="G86" s="32" t="s">
        <v>61</v>
      </c>
      <c r="H86" s="32" t="s">
        <v>21</v>
      </c>
      <c r="I86" s="32" t="s">
        <v>29</v>
      </c>
      <c r="J86" s="32" t="s">
        <v>62</v>
      </c>
      <c r="K86" s="32" t="s">
        <v>63</v>
      </c>
    </row>
    <row r="87" customFormat="false" ht="13.5" hidden="false" customHeight="true" outlineLevel="0" collapsed="false">
      <c r="A87" s="32" t="n">
        <v>1910</v>
      </c>
      <c r="B87" s="32" t="s">
        <v>189</v>
      </c>
      <c r="C87" s="32" t="s">
        <v>190</v>
      </c>
      <c r="D87" s="32" t="s">
        <v>102</v>
      </c>
      <c r="E87" s="32" t="s">
        <v>60</v>
      </c>
      <c r="F87" s="32" t="n">
        <v>0</v>
      </c>
      <c r="G87" s="32" t="s">
        <v>144</v>
      </c>
      <c r="H87" s="32" t="s">
        <v>21</v>
      </c>
      <c r="I87" s="32" t="s">
        <v>156</v>
      </c>
      <c r="J87" s="32" t="s">
        <v>62</v>
      </c>
      <c r="K87" s="32" t="s">
        <v>63</v>
      </c>
    </row>
    <row r="88" customFormat="false" ht="13.5" hidden="false" customHeight="true" outlineLevel="0" collapsed="false">
      <c r="A88" s="32" t="n">
        <v>1911</v>
      </c>
      <c r="B88" s="32" t="s">
        <v>189</v>
      </c>
      <c r="C88" s="32" t="s">
        <v>191</v>
      </c>
      <c r="D88" s="32" t="s">
        <v>102</v>
      </c>
      <c r="E88" s="32" t="s">
        <v>60</v>
      </c>
      <c r="F88" s="32" t="n">
        <v>0</v>
      </c>
      <c r="G88" s="32" t="s">
        <v>144</v>
      </c>
      <c r="H88" s="32" t="s">
        <v>21</v>
      </c>
      <c r="I88" s="32" t="s">
        <v>14</v>
      </c>
      <c r="J88" s="32" t="s">
        <v>66</v>
      </c>
      <c r="K88" s="32" t="s">
        <v>63</v>
      </c>
    </row>
    <row r="89" customFormat="false" ht="13.5" hidden="false" customHeight="true" outlineLevel="0" collapsed="false">
      <c r="A89" s="32" t="n">
        <v>1912</v>
      </c>
      <c r="B89" s="32" t="s">
        <v>189</v>
      </c>
      <c r="C89" s="32" t="s">
        <v>191</v>
      </c>
      <c r="D89" s="32" t="s">
        <v>102</v>
      </c>
      <c r="E89" s="32" t="s">
        <v>60</v>
      </c>
      <c r="F89" s="32" t="n">
        <v>0</v>
      </c>
      <c r="G89" s="32" t="s">
        <v>144</v>
      </c>
      <c r="H89" s="32" t="s">
        <v>21</v>
      </c>
      <c r="I89" s="32" t="s">
        <v>29</v>
      </c>
      <c r="J89" s="32" t="s">
        <v>62</v>
      </c>
      <c r="K89" s="32" t="s">
        <v>63</v>
      </c>
    </row>
    <row r="90" customFormat="false" ht="13.5" hidden="false" customHeight="true" outlineLevel="0" collapsed="false">
      <c r="A90" s="32" t="n">
        <v>1913</v>
      </c>
      <c r="B90" s="32" t="s">
        <v>192</v>
      </c>
      <c r="C90" s="32" t="s">
        <v>193</v>
      </c>
      <c r="D90" s="32" t="s">
        <v>59</v>
      </c>
      <c r="E90" s="32" t="s">
        <v>60</v>
      </c>
      <c r="F90" s="32" t="n">
        <v>7678579008</v>
      </c>
      <c r="G90" s="32" t="s">
        <v>144</v>
      </c>
      <c r="H90" s="32" t="s">
        <v>21</v>
      </c>
      <c r="I90" s="32" t="s">
        <v>166</v>
      </c>
      <c r="J90" s="32" t="s">
        <v>66</v>
      </c>
      <c r="K90" s="32" t="s">
        <v>63</v>
      </c>
    </row>
    <row r="91" customFormat="false" ht="13.5" hidden="false" customHeight="true" outlineLevel="0" collapsed="false">
      <c r="A91" s="32" t="n">
        <v>1914</v>
      </c>
      <c r="B91" s="32" t="s">
        <v>194</v>
      </c>
      <c r="C91" s="32" t="s">
        <v>195</v>
      </c>
      <c r="D91" s="32" t="s">
        <v>59</v>
      </c>
      <c r="E91" s="32" t="s">
        <v>60</v>
      </c>
      <c r="F91" s="32" t="n">
        <v>9045613271</v>
      </c>
      <c r="G91" s="32" t="s">
        <v>144</v>
      </c>
      <c r="H91" s="32" t="s">
        <v>21</v>
      </c>
      <c r="I91" s="32" t="s">
        <v>14</v>
      </c>
      <c r="J91" s="32" t="s">
        <v>66</v>
      </c>
      <c r="K91" s="32" t="s">
        <v>63</v>
      </c>
    </row>
    <row r="92" customFormat="false" ht="13.5" hidden="false" customHeight="true" outlineLevel="0" collapsed="false">
      <c r="A92" s="32" t="n">
        <v>1915</v>
      </c>
      <c r="B92" s="32" t="s">
        <v>196</v>
      </c>
      <c r="C92" s="32" t="s">
        <v>197</v>
      </c>
      <c r="D92" s="32" t="s">
        <v>59</v>
      </c>
      <c r="E92" s="32" t="s">
        <v>79</v>
      </c>
      <c r="F92" s="32" t="n">
        <v>6290421903</v>
      </c>
      <c r="G92" s="32" t="s">
        <v>144</v>
      </c>
      <c r="H92" s="32" t="s">
        <v>21</v>
      </c>
      <c r="I92" s="32" t="s">
        <v>93</v>
      </c>
      <c r="J92" s="32" t="s">
        <v>85</v>
      </c>
      <c r="K92" s="32" t="s">
        <v>63</v>
      </c>
    </row>
    <row r="93" customFormat="false" ht="13.5" hidden="false" customHeight="true" outlineLevel="0" collapsed="false">
      <c r="A93" s="32" t="n">
        <v>1916</v>
      </c>
      <c r="B93" s="32" t="s">
        <v>196</v>
      </c>
      <c r="C93" s="32" t="s">
        <v>197</v>
      </c>
      <c r="D93" s="32" t="s">
        <v>59</v>
      </c>
      <c r="E93" s="32" t="s">
        <v>79</v>
      </c>
      <c r="F93" s="32" t="n">
        <v>6290421903</v>
      </c>
      <c r="G93" s="32" t="s">
        <v>144</v>
      </c>
      <c r="H93" s="32" t="s">
        <v>21</v>
      </c>
      <c r="I93" s="32" t="s">
        <v>133</v>
      </c>
      <c r="J93" s="32" t="s">
        <v>134</v>
      </c>
      <c r="K93" s="32" t="s">
        <v>63</v>
      </c>
    </row>
    <row r="94" customFormat="false" ht="13.5" hidden="false" customHeight="true" outlineLevel="0" collapsed="false">
      <c r="A94" s="32" t="n">
        <v>1917</v>
      </c>
      <c r="B94" s="32" t="s">
        <v>196</v>
      </c>
      <c r="C94" s="32" t="s">
        <v>197</v>
      </c>
      <c r="D94" s="32" t="s">
        <v>59</v>
      </c>
      <c r="E94" s="32" t="s">
        <v>79</v>
      </c>
      <c r="F94" s="32" t="n">
        <v>6290421903</v>
      </c>
      <c r="G94" s="32" t="s">
        <v>144</v>
      </c>
      <c r="H94" s="32" t="s">
        <v>21</v>
      </c>
      <c r="I94" s="32" t="s">
        <v>172</v>
      </c>
      <c r="J94" s="32" t="s">
        <v>152</v>
      </c>
      <c r="K94" s="32" t="s">
        <v>63</v>
      </c>
    </row>
    <row r="95" customFormat="false" ht="13.5" hidden="false" customHeight="true" outlineLevel="0" collapsed="false">
      <c r="A95" s="32" t="n">
        <v>1919</v>
      </c>
      <c r="B95" s="32" t="s">
        <v>198</v>
      </c>
      <c r="C95" s="32" t="s">
        <v>199</v>
      </c>
      <c r="D95" s="32" t="s">
        <v>59</v>
      </c>
      <c r="E95" s="32" t="s">
        <v>143</v>
      </c>
      <c r="F95" s="32" t="n">
        <v>14452394979</v>
      </c>
      <c r="G95" s="32" t="s">
        <v>200</v>
      </c>
      <c r="H95" s="32" t="s">
        <v>21</v>
      </c>
      <c r="I95" s="32" t="s">
        <v>75</v>
      </c>
      <c r="J95" s="32" t="s">
        <v>76</v>
      </c>
      <c r="K95" s="32" t="s">
        <v>63</v>
      </c>
    </row>
    <row r="96" customFormat="false" ht="13.5" hidden="false" customHeight="true" outlineLevel="0" collapsed="false">
      <c r="A96" s="32" t="n">
        <v>1920</v>
      </c>
      <c r="B96" s="32" t="s">
        <v>201</v>
      </c>
      <c r="C96" s="32" t="s">
        <v>202</v>
      </c>
      <c r="D96" s="32" t="s">
        <v>59</v>
      </c>
      <c r="E96" s="32" t="s">
        <v>143</v>
      </c>
      <c r="F96" s="33" t="n">
        <v>919816000000</v>
      </c>
      <c r="G96" s="32" t="s">
        <v>144</v>
      </c>
      <c r="H96" s="32" t="s">
        <v>21</v>
      </c>
      <c r="I96" s="32" t="s">
        <v>30</v>
      </c>
      <c r="J96" s="32" t="s">
        <v>203</v>
      </c>
      <c r="K96" s="32" t="s">
        <v>63</v>
      </c>
    </row>
    <row r="97" customFormat="false" ht="13.5" hidden="false" customHeight="true" outlineLevel="0" collapsed="false">
      <c r="A97" s="32" t="n">
        <v>1921</v>
      </c>
      <c r="B97" s="32" t="s">
        <v>201</v>
      </c>
      <c r="C97" s="32" t="s">
        <v>204</v>
      </c>
      <c r="D97" s="32" t="s">
        <v>59</v>
      </c>
      <c r="E97" s="32" t="s">
        <v>143</v>
      </c>
      <c r="F97" s="32" t="n">
        <v>9815897509</v>
      </c>
      <c r="G97" s="32" t="s">
        <v>205</v>
      </c>
      <c r="H97" s="32" t="s">
        <v>21</v>
      </c>
      <c r="I97" s="32" t="s">
        <v>28</v>
      </c>
      <c r="J97" s="32" t="s">
        <v>82</v>
      </c>
      <c r="K97" s="32" t="s">
        <v>63</v>
      </c>
    </row>
    <row r="98" customFormat="false" ht="13.5" hidden="false" customHeight="true" outlineLevel="0" collapsed="false">
      <c r="A98" s="32" t="n">
        <v>1922</v>
      </c>
      <c r="B98" s="32" t="s">
        <v>206</v>
      </c>
      <c r="C98" s="32" t="s">
        <v>207</v>
      </c>
      <c r="D98" s="32" t="s">
        <v>102</v>
      </c>
      <c r="E98" s="32" t="s">
        <v>60</v>
      </c>
      <c r="F98" s="33" t="n">
        <v>919836000000</v>
      </c>
      <c r="G98" s="32" t="s">
        <v>140</v>
      </c>
      <c r="H98" s="32" t="s">
        <v>21</v>
      </c>
      <c r="I98" s="32" t="s">
        <v>29</v>
      </c>
      <c r="J98" s="32" t="s">
        <v>62</v>
      </c>
      <c r="K98" s="32" t="s">
        <v>63</v>
      </c>
    </row>
    <row r="99" customFormat="false" ht="13.5" hidden="false" customHeight="true" outlineLevel="0" collapsed="false">
      <c r="A99" s="32" t="n">
        <v>1923</v>
      </c>
      <c r="B99" s="32" t="s">
        <v>206</v>
      </c>
      <c r="C99" s="32" t="s">
        <v>207</v>
      </c>
      <c r="D99" s="32" t="s">
        <v>102</v>
      </c>
      <c r="E99" s="32" t="s">
        <v>60</v>
      </c>
      <c r="F99" s="33" t="n">
        <v>919836000000</v>
      </c>
      <c r="G99" s="32" t="s">
        <v>140</v>
      </c>
      <c r="H99" s="32" t="s">
        <v>21</v>
      </c>
      <c r="I99" s="32" t="s">
        <v>14</v>
      </c>
      <c r="J99" s="32" t="s">
        <v>66</v>
      </c>
      <c r="K99" s="32" t="s">
        <v>63</v>
      </c>
    </row>
    <row r="100" customFormat="false" ht="13.5" hidden="false" customHeight="true" outlineLevel="0" collapsed="false">
      <c r="A100" s="32" t="n">
        <v>1924</v>
      </c>
      <c r="B100" s="32" t="s">
        <v>208</v>
      </c>
      <c r="C100" s="32" t="s">
        <v>209</v>
      </c>
      <c r="D100" s="32" t="s">
        <v>114</v>
      </c>
      <c r="E100" s="32" t="s">
        <v>115</v>
      </c>
      <c r="F100" s="33" t="n">
        <v>919917000000</v>
      </c>
      <c r="G100" s="32" t="s">
        <v>80</v>
      </c>
      <c r="H100" s="32" t="s">
        <v>22</v>
      </c>
      <c r="I100" s="32" t="s">
        <v>16</v>
      </c>
      <c r="J100" s="32" t="s">
        <v>73</v>
      </c>
      <c r="K100" s="32" t="s">
        <v>63</v>
      </c>
    </row>
    <row r="101" customFormat="false" ht="13.5" hidden="false" customHeight="true" outlineLevel="0" collapsed="false">
      <c r="A101" s="32" t="n">
        <v>1925</v>
      </c>
      <c r="B101" s="32" t="s">
        <v>210</v>
      </c>
      <c r="C101" s="32" t="s">
        <v>211</v>
      </c>
      <c r="D101" s="32" t="s">
        <v>59</v>
      </c>
      <c r="E101" s="32" t="s">
        <v>107</v>
      </c>
      <c r="F101" s="32" t="n">
        <v>9030113244</v>
      </c>
      <c r="G101" s="32" t="s">
        <v>80</v>
      </c>
      <c r="H101" s="32" t="s">
        <v>21</v>
      </c>
      <c r="I101" s="32" t="s">
        <v>145</v>
      </c>
      <c r="J101" s="32" t="s">
        <v>117</v>
      </c>
      <c r="K101" s="32" t="s">
        <v>63</v>
      </c>
    </row>
    <row r="102" customFormat="false" ht="13.5" hidden="false" customHeight="true" outlineLevel="0" collapsed="false">
      <c r="A102" s="32" t="n">
        <v>1926</v>
      </c>
      <c r="B102" s="32" t="s">
        <v>210</v>
      </c>
      <c r="C102" s="32" t="s">
        <v>211</v>
      </c>
      <c r="D102" s="32" t="s">
        <v>59</v>
      </c>
      <c r="E102" s="32" t="s">
        <v>107</v>
      </c>
      <c r="F102" s="32" t="n">
        <v>9030113244</v>
      </c>
      <c r="G102" s="32" t="s">
        <v>80</v>
      </c>
      <c r="H102" s="32" t="s">
        <v>21</v>
      </c>
      <c r="I102" s="32" t="s">
        <v>150</v>
      </c>
      <c r="J102" s="32" t="s">
        <v>73</v>
      </c>
      <c r="K102" s="32" t="s">
        <v>63</v>
      </c>
    </row>
    <row r="103" customFormat="false" ht="13.5" hidden="false" customHeight="true" outlineLevel="0" collapsed="false">
      <c r="A103" s="32" t="n">
        <v>1927</v>
      </c>
      <c r="B103" s="32" t="s">
        <v>210</v>
      </c>
      <c r="C103" s="32" t="s">
        <v>211</v>
      </c>
      <c r="D103" s="32" t="s">
        <v>59</v>
      </c>
      <c r="E103" s="32" t="s">
        <v>107</v>
      </c>
      <c r="F103" s="32" t="n">
        <v>9030113244</v>
      </c>
      <c r="G103" s="32" t="s">
        <v>80</v>
      </c>
      <c r="H103" s="32" t="s">
        <v>21</v>
      </c>
      <c r="I103" s="32" t="s">
        <v>212</v>
      </c>
      <c r="J103" s="32" t="s">
        <v>73</v>
      </c>
      <c r="K103" s="32" t="s">
        <v>63</v>
      </c>
    </row>
    <row r="104" customFormat="false" ht="13.5" hidden="false" customHeight="true" outlineLevel="0" collapsed="false">
      <c r="A104" s="32" t="n">
        <v>1928</v>
      </c>
      <c r="B104" s="32" t="s">
        <v>213</v>
      </c>
      <c r="C104" s="32" t="s">
        <v>214</v>
      </c>
      <c r="D104" s="32" t="s">
        <v>59</v>
      </c>
      <c r="E104" s="32" t="s">
        <v>143</v>
      </c>
      <c r="F104" s="32" t="n">
        <v>7550661013</v>
      </c>
      <c r="G104" s="32" t="s">
        <v>144</v>
      </c>
      <c r="H104" s="32" t="s">
        <v>21</v>
      </c>
      <c r="I104" s="32" t="s">
        <v>128</v>
      </c>
      <c r="J104" s="32" t="s">
        <v>89</v>
      </c>
      <c r="K104" s="32" t="s">
        <v>63</v>
      </c>
    </row>
    <row r="105" customFormat="false" ht="13.5" hidden="false" customHeight="true" outlineLevel="0" collapsed="false">
      <c r="A105" s="32" t="n">
        <v>1929</v>
      </c>
      <c r="B105" s="32" t="s">
        <v>213</v>
      </c>
      <c r="C105" s="32" t="s">
        <v>214</v>
      </c>
      <c r="D105" s="32" t="s">
        <v>59</v>
      </c>
      <c r="E105" s="32" t="s">
        <v>143</v>
      </c>
      <c r="F105" s="32" t="n">
        <v>7550661013</v>
      </c>
      <c r="G105" s="32" t="s">
        <v>144</v>
      </c>
      <c r="H105" s="32" t="s">
        <v>21</v>
      </c>
      <c r="I105" s="32" t="s">
        <v>215</v>
      </c>
      <c r="J105" s="32" t="s">
        <v>132</v>
      </c>
      <c r="K105" s="32" t="s">
        <v>63</v>
      </c>
    </row>
    <row r="106" customFormat="false" ht="13.5" hidden="false" customHeight="true" outlineLevel="0" collapsed="false">
      <c r="A106" s="32" t="n">
        <v>1930</v>
      </c>
      <c r="B106" s="32" t="s">
        <v>213</v>
      </c>
      <c r="C106" s="32" t="s">
        <v>216</v>
      </c>
      <c r="D106" s="32" t="s">
        <v>59</v>
      </c>
      <c r="E106" s="32" t="s">
        <v>143</v>
      </c>
      <c r="F106" s="32" t="n">
        <v>7550661013</v>
      </c>
      <c r="G106" s="32" t="s">
        <v>144</v>
      </c>
      <c r="H106" s="32" t="s">
        <v>21</v>
      </c>
      <c r="I106" s="32" t="s">
        <v>217</v>
      </c>
      <c r="J106" s="32" t="s">
        <v>132</v>
      </c>
      <c r="K106" s="32" t="s">
        <v>63</v>
      </c>
    </row>
    <row r="107" customFormat="false" ht="13.5" hidden="false" customHeight="true" outlineLevel="0" collapsed="false">
      <c r="A107" s="32" t="n">
        <v>1931</v>
      </c>
      <c r="B107" s="32" t="s">
        <v>213</v>
      </c>
      <c r="C107" s="32" t="s">
        <v>216</v>
      </c>
      <c r="D107" s="32" t="s">
        <v>59</v>
      </c>
      <c r="E107" s="32" t="s">
        <v>143</v>
      </c>
      <c r="F107" s="32" t="n">
        <v>7550661013</v>
      </c>
      <c r="G107" s="32" t="s">
        <v>144</v>
      </c>
      <c r="H107" s="32" t="s">
        <v>21</v>
      </c>
      <c r="I107" s="32" t="s">
        <v>218</v>
      </c>
      <c r="J107" s="32" t="s">
        <v>132</v>
      </c>
      <c r="K107" s="32" t="s">
        <v>63</v>
      </c>
    </row>
    <row r="108" customFormat="false" ht="13.5" hidden="false" customHeight="true" outlineLevel="0" collapsed="false">
      <c r="A108" s="32" t="n">
        <v>1932</v>
      </c>
      <c r="B108" s="32" t="s">
        <v>213</v>
      </c>
      <c r="C108" s="32" t="s">
        <v>216</v>
      </c>
      <c r="D108" s="32" t="s">
        <v>59</v>
      </c>
      <c r="E108" s="32" t="s">
        <v>143</v>
      </c>
      <c r="F108" s="32" t="n">
        <v>7550661013</v>
      </c>
      <c r="G108" s="32" t="s">
        <v>144</v>
      </c>
      <c r="H108" s="32" t="s">
        <v>21</v>
      </c>
      <c r="I108" s="32" t="s">
        <v>93</v>
      </c>
      <c r="J108" s="32" t="s">
        <v>85</v>
      </c>
      <c r="K108" s="32" t="s">
        <v>63</v>
      </c>
    </row>
    <row r="109" customFormat="false" ht="13.5" hidden="false" customHeight="true" outlineLevel="0" collapsed="false">
      <c r="A109" s="32" t="n">
        <v>1933</v>
      </c>
      <c r="B109" s="32" t="s">
        <v>219</v>
      </c>
      <c r="C109" s="32" t="s">
        <v>220</v>
      </c>
      <c r="D109" s="32" t="s">
        <v>114</v>
      </c>
      <c r="E109" s="32" t="s">
        <v>115</v>
      </c>
      <c r="F109" s="33" t="n">
        <v>919901000000</v>
      </c>
      <c r="G109" s="32" t="s">
        <v>61</v>
      </c>
      <c r="H109" s="32" t="s">
        <v>22</v>
      </c>
      <c r="I109" s="32" t="s">
        <v>221</v>
      </c>
      <c r="J109" s="32" t="s">
        <v>222</v>
      </c>
      <c r="K109" s="32" t="s">
        <v>63</v>
      </c>
    </row>
    <row r="110" customFormat="false" ht="13.5" hidden="false" customHeight="true" outlineLevel="0" collapsed="false">
      <c r="A110" s="32" t="n">
        <v>1934</v>
      </c>
      <c r="B110" s="32" t="s">
        <v>219</v>
      </c>
      <c r="C110" s="32" t="s">
        <v>220</v>
      </c>
      <c r="D110" s="32" t="s">
        <v>114</v>
      </c>
      <c r="E110" s="32" t="s">
        <v>115</v>
      </c>
      <c r="F110" s="33" t="n">
        <v>919901000000</v>
      </c>
      <c r="G110" s="32" t="s">
        <v>61</v>
      </c>
      <c r="H110" s="32" t="s">
        <v>22</v>
      </c>
      <c r="I110" s="32" t="s">
        <v>223</v>
      </c>
      <c r="J110" s="32" t="s">
        <v>224</v>
      </c>
      <c r="K110" s="32" t="s">
        <v>63</v>
      </c>
    </row>
    <row r="111" customFormat="false" ht="13.5" hidden="false" customHeight="true" outlineLevel="0" collapsed="false">
      <c r="A111" s="32" t="n">
        <v>1935</v>
      </c>
      <c r="B111" s="32" t="s">
        <v>219</v>
      </c>
      <c r="C111" s="32" t="s">
        <v>225</v>
      </c>
      <c r="D111" s="32" t="s">
        <v>114</v>
      </c>
      <c r="E111" s="32" t="s">
        <v>115</v>
      </c>
      <c r="F111" s="32" t="n">
        <v>9901049494</v>
      </c>
      <c r="G111" s="32" t="s">
        <v>61</v>
      </c>
      <c r="H111" s="32" t="s">
        <v>22</v>
      </c>
      <c r="I111" s="32" t="s">
        <v>185</v>
      </c>
      <c r="J111" s="32" t="s">
        <v>186</v>
      </c>
      <c r="K111" s="32" t="s">
        <v>63</v>
      </c>
    </row>
    <row r="112" customFormat="false" ht="13.5" hidden="false" customHeight="true" outlineLevel="0" collapsed="false">
      <c r="A112" s="32" t="n">
        <v>1936</v>
      </c>
      <c r="B112" s="32" t="s">
        <v>219</v>
      </c>
      <c r="C112" s="32" t="s">
        <v>225</v>
      </c>
      <c r="D112" s="32" t="s">
        <v>114</v>
      </c>
      <c r="E112" s="32" t="s">
        <v>115</v>
      </c>
      <c r="F112" s="32" t="n">
        <v>9901049494</v>
      </c>
      <c r="G112" s="32" t="s">
        <v>61</v>
      </c>
      <c r="H112" s="32" t="s">
        <v>22</v>
      </c>
      <c r="I112" s="32" t="s">
        <v>121</v>
      </c>
      <c r="J112" s="32" t="s">
        <v>110</v>
      </c>
      <c r="K112" s="32" t="s">
        <v>63</v>
      </c>
    </row>
    <row r="113" customFormat="false" ht="13.5" hidden="false" customHeight="true" outlineLevel="0" collapsed="false">
      <c r="A113" s="32" t="n">
        <v>1937</v>
      </c>
      <c r="B113" s="32" t="s">
        <v>219</v>
      </c>
      <c r="C113" s="32" t="s">
        <v>225</v>
      </c>
      <c r="D113" s="32" t="s">
        <v>114</v>
      </c>
      <c r="E113" s="32" t="s">
        <v>115</v>
      </c>
      <c r="F113" s="32" t="n">
        <v>9901049494</v>
      </c>
      <c r="G113" s="32" t="s">
        <v>61</v>
      </c>
      <c r="H113" s="32" t="s">
        <v>22</v>
      </c>
      <c r="I113" s="32" t="s">
        <v>145</v>
      </c>
      <c r="J113" s="32" t="s">
        <v>117</v>
      </c>
      <c r="K113" s="32" t="s">
        <v>63</v>
      </c>
    </row>
    <row r="114" customFormat="false" ht="13.5" hidden="false" customHeight="true" outlineLevel="0" collapsed="false">
      <c r="A114" s="32" t="n">
        <v>1938</v>
      </c>
      <c r="B114" s="32" t="s">
        <v>219</v>
      </c>
      <c r="C114" s="32" t="s">
        <v>225</v>
      </c>
      <c r="D114" s="32" t="s">
        <v>114</v>
      </c>
      <c r="E114" s="32" t="s">
        <v>115</v>
      </c>
      <c r="F114" s="33" t="n">
        <v>919901000000</v>
      </c>
      <c r="G114" s="32" t="s">
        <v>61</v>
      </c>
      <c r="H114" s="32" t="s">
        <v>22</v>
      </c>
      <c r="I114" s="32" t="s">
        <v>120</v>
      </c>
      <c r="J114" s="32" t="s">
        <v>110</v>
      </c>
      <c r="K114" s="32" t="s">
        <v>63</v>
      </c>
    </row>
    <row r="115" customFormat="false" ht="13.5" hidden="false" customHeight="true" outlineLevel="0" collapsed="false">
      <c r="A115" s="32" t="n">
        <v>1939</v>
      </c>
      <c r="B115" s="32" t="s">
        <v>219</v>
      </c>
      <c r="C115" s="32" t="s">
        <v>225</v>
      </c>
      <c r="D115" s="32" t="s">
        <v>114</v>
      </c>
      <c r="E115" s="32" t="s">
        <v>115</v>
      </c>
      <c r="F115" s="33" t="n">
        <v>919901000000</v>
      </c>
      <c r="G115" s="32" t="s">
        <v>61</v>
      </c>
      <c r="H115" s="32" t="s">
        <v>22</v>
      </c>
      <c r="I115" s="32" t="s">
        <v>226</v>
      </c>
      <c r="J115" s="32" t="s">
        <v>110</v>
      </c>
      <c r="K115" s="32" t="s">
        <v>63</v>
      </c>
    </row>
    <row r="116" customFormat="false" ht="13.5" hidden="false" customHeight="true" outlineLevel="0" collapsed="false">
      <c r="A116" s="32" t="n">
        <v>1940</v>
      </c>
      <c r="B116" s="32" t="s">
        <v>219</v>
      </c>
      <c r="C116" s="32" t="s">
        <v>225</v>
      </c>
      <c r="D116" s="32" t="s">
        <v>114</v>
      </c>
      <c r="E116" s="32" t="s">
        <v>115</v>
      </c>
      <c r="F116" s="32" t="n">
        <v>9901049494</v>
      </c>
      <c r="G116" s="32" t="s">
        <v>61</v>
      </c>
      <c r="H116" s="32" t="s">
        <v>22</v>
      </c>
      <c r="I116" s="32" t="s">
        <v>227</v>
      </c>
      <c r="J116" s="32" t="s">
        <v>228</v>
      </c>
      <c r="K116" s="32" t="s">
        <v>63</v>
      </c>
    </row>
    <row r="117" customFormat="false" ht="13.5" hidden="false" customHeight="true" outlineLevel="0" collapsed="false">
      <c r="A117" s="32" t="n">
        <v>1941</v>
      </c>
      <c r="B117" s="32" t="s">
        <v>229</v>
      </c>
      <c r="C117" s="32" t="s">
        <v>230</v>
      </c>
      <c r="D117" s="32" t="s">
        <v>114</v>
      </c>
      <c r="E117" s="32" t="s">
        <v>124</v>
      </c>
      <c r="F117" s="33" t="n">
        <v>919176000000</v>
      </c>
      <c r="G117" s="32" t="s">
        <v>61</v>
      </c>
      <c r="H117" s="32" t="s">
        <v>22</v>
      </c>
      <c r="I117" s="32" t="s">
        <v>227</v>
      </c>
      <c r="J117" s="32" t="s">
        <v>228</v>
      </c>
      <c r="K117" s="32" t="s">
        <v>63</v>
      </c>
    </row>
    <row r="118" customFormat="false" ht="13.5" hidden="false" customHeight="true" outlineLevel="0" collapsed="false">
      <c r="A118" s="32" t="n">
        <v>1942</v>
      </c>
      <c r="B118" s="32" t="s">
        <v>229</v>
      </c>
      <c r="C118" s="32" t="s">
        <v>230</v>
      </c>
      <c r="D118" s="32" t="s">
        <v>114</v>
      </c>
      <c r="E118" s="32" t="s">
        <v>124</v>
      </c>
      <c r="F118" s="33" t="n">
        <v>919176000000</v>
      </c>
      <c r="G118" s="32" t="s">
        <v>61</v>
      </c>
      <c r="H118" s="32" t="s">
        <v>22</v>
      </c>
      <c r="I118" s="32" t="s">
        <v>231</v>
      </c>
      <c r="J118" s="32" t="s">
        <v>228</v>
      </c>
      <c r="K118" s="32" t="s">
        <v>63</v>
      </c>
    </row>
    <row r="119" customFormat="false" ht="13.5" hidden="false" customHeight="true" outlineLevel="0" collapsed="false">
      <c r="A119" s="32" t="n">
        <v>1943</v>
      </c>
      <c r="B119" s="32" t="s">
        <v>232</v>
      </c>
      <c r="C119" s="32" t="s">
        <v>233</v>
      </c>
      <c r="D119" s="32" t="s">
        <v>102</v>
      </c>
      <c r="E119" s="32" t="s">
        <v>155</v>
      </c>
      <c r="F119" s="32" t="n">
        <v>6290485481</v>
      </c>
      <c r="G119" s="32" t="s">
        <v>140</v>
      </c>
      <c r="H119" s="32" t="s">
        <v>21</v>
      </c>
      <c r="I119" s="32" t="s">
        <v>234</v>
      </c>
      <c r="J119" s="32" t="s">
        <v>235</v>
      </c>
      <c r="K119" s="32" t="s">
        <v>63</v>
      </c>
    </row>
    <row r="120" customFormat="false" ht="13.5" hidden="false" customHeight="true" outlineLevel="0" collapsed="false">
      <c r="A120" s="32" t="n">
        <v>1944</v>
      </c>
      <c r="B120" s="32" t="s">
        <v>236</v>
      </c>
      <c r="C120" s="32" t="s">
        <v>237</v>
      </c>
      <c r="D120" s="32" t="s">
        <v>59</v>
      </c>
      <c r="E120" s="32" t="s">
        <v>238</v>
      </c>
      <c r="F120" s="33" t="n">
        <v>919911000000</v>
      </c>
      <c r="G120" s="32" t="s">
        <v>144</v>
      </c>
      <c r="H120" s="32" t="s">
        <v>21</v>
      </c>
      <c r="I120" s="32" t="s">
        <v>239</v>
      </c>
      <c r="J120" s="32" t="s">
        <v>132</v>
      </c>
      <c r="K120" s="32" t="s">
        <v>63</v>
      </c>
    </row>
    <row r="121" customFormat="false" ht="13.5" hidden="false" customHeight="true" outlineLevel="0" collapsed="false">
      <c r="A121" s="32" t="n">
        <v>1945</v>
      </c>
      <c r="B121" s="32" t="s">
        <v>236</v>
      </c>
      <c r="C121" s="32" t="s">
        <v>237</v>
      </c>
      <c r="D121" s="32" t="s">
        <v>59</v>
      </c>
      <c r="E121" s="32" t="s">
        <v>238</v>
      </c>
      <c r="F121" s="33" t="n">
        <v>919911000000</v>
      </c>
      <c r="G121" s="32" t="s">
        <v>144</v>
      </c>
      <c r="H121" s="32" t="s">
        <v>21</v>
      </c>
      <c r="I121" s="32" t="s">
        <v>240</v>
      </c>
      <c r="J121" s="32" t="s">
        <v>241</v>
      </c>
      <c r="K121" s="32" t="s">
        <v>63</v>
      </c>
    </row>
    <row r="122" customFormat="false" ht="13.5" hidden="false" customHeight="true" outlineLevel="0" collapsed="false">
      <c r="A122" s="32" t="n">
        <v>1946</v>
      </c>
      <c r="B122" s="32" t="s">
        <v>236</v>
      </c>
      <c r="C122" s="32" t="s">
        <v>237</v>
      </c>
      <c r="D122" s="32" t="s">
        <v>59</v>
      </c>
      <c r="E122" s="32" t="s">
        <v>238</v>
      </c>
      <c r="F122" s="33" t="n">
        <v>919911000000</v>
      </c>
      <c r="G122" s="32" t="s">
        <v>144</v>
      </c>
      <c r="H122" s="32" t="s">
        <v>21</v>
      </c>
      <c r="I122" s="32" t="s">
        <v>242</v>
      </c>
      <c r="J122" s="32" t="s">
        <v>241</v>
      </c>
      <c r="K122" s="32" t="s">
        <v>63</v>
      </c>
    </row>
    <row r="123" customFormat="false" ht="13.5" hidden="false" customHeight="true" outlineLevel="0" collapsed="false">
      <c r="A123" s="32" t="n">
        <v>1947</v>
      </c>
      <c r="B123" s="32" t="s">
        <v>243</v>
      </c>
      <c r="C123" s="32" t="s">
        <v>244</v>
      </c>
      <c r="D123" s="32" t="s">
        <v>59</v>
      </c>
      <c r="E123" s="32" t="s">
        <v>143</v>
      </c>
      <c r="F123" s="33" t="n">
        <v>918893000000</v>
      </c>
      <c r="G123" s="32" t="s">
        <v>61</v>
      </c>
      <c r="H123" s="32" t="s">
        <v>21</v>
      </c>
      <c r="I123" s="32" t="s">
        <v>245</v>
      </c>
      <c r="J123" s="32" t="s">
        <v>71</v>
      </c>
      <c r="K123" s="32" t="s">
        <v>63</v>
      </c>
    </row>
    <row r="124" customFormat="false" ht="13.5" hidden="false" customHeight="true" outlineLevel="0" collapsed="false">
      <c r="A124" s="32" t="n">
        <v>1948</v>
      </c>
      <c r="B124" s="32" t="s">
        <v>243</v>
      </c>
      <c r="C124" s="32" t="s">
        <v>244</v>
      </c>
      <c r="D124" s="32" t="s">
        <v>59</v>
      </c>
      <c r="E124" s="32" t="s">
        <v>143</v>
      </c>
      <c r="F124" s="33" t="n">
        <v>918893000000</v>
      </c>
      <c r="G124" s="32" t="s">
        <v>61</v>
      </c>
      <c r="H124" s="32" t="s">
        <v>21</v>
      </c>
      <c r="I124" s="32" t="s">
        <v>108</v>
      </c>
      <c r="J124" s="32" t="s">
        <v>71</v>
      </c>
      <c r="K124" s="32" t="s">
        <v>63</v>
      </c>
    </row>
    <row r="125" customFormat="false" ht="13.5" hidden="false" customHeight="true" outlineLevel="0" collapsed="false">
      <c r="A125" s="32" t="n">
        <v>1949</v>
      </c>
      <c r="B125" s="32" t="s">
        <v>243</v>
      </c>
      <c r="C125" s="32" t="s">
        <v>244</v>
      </c>
      <c r="D125" s="32" t="s">
        <v>59</v>
      </c>
      <c r="E125" s="32" t="s">
        <v>143</v>
      </c>
      <c r="F125" s="33" t="n">
        <v>918893000000</v>
      </c>
      <c r="G125" s="32" t="s">
        <v>61</v>
      </c>
      <c r="H125" s="32" t="s">
        <v>21</v>
      </c>
      <c r="I125" s="32" t="s">
        <v>133</v>
      </c>
      <c r="J125" s="32" t="s">
        <v>134</v>
      </c>
      <c r="K125" s="32" t="s">
        <v>63</v>
      </c>
    </row>
    <row r="126" customFormat="false" ht="13.5" hidden="false" customHeight="true" outlineLevel="0" collapsed="false">
      <c r="A126" s="32" t="n">
        <v>1950</v>
      </c>
      <c r="B126" s="32" t="s">
        <v>246</v>
      </c>
      <c r="C126" s="32" t="s">
        <v>247</v>
      </c>
      <c r="D126" s="32" t="s">
        <v>59</v>
      </c>
      <c r="E126" s="32" t="s">
        <v>107</v>
      </c>
      <c r="F126" s="32" t="n">
        <v>7722073734</v>
      </c>
      <c r="G126" s="32" t="s">
        <v>144</v>
      </c>
      <c r="H126" s="32" t="s">
        <v>21</v>
      </c>
      <c r="I126" s="32" t="s">
        <v>248</v>
      </c>
      <c r="J126" s="32" t="s">
        <v>117</v>
      </c>
      <c r="K126" s="32" t="s">
        <v>63</v>
      </c>
    </row>
    <row r="127" customFormat="false" ht="13.5" hidden="false" customHeight="true" outlineLevel="0" collapsed="false">
      <c r="A127" s="32" t="n">
        <v>1951</v>
      </c>
      <c r="B127" s="32" t="s">
        <v>246</v>
      </c>
      <c r="C127" s="32" t="s">
        <v>247</v>
      </c>
      <c r="D127" s="32" t="s">
        <v>59</v>
      </c>
      <c r="E127" s="32" t="s">
        <v>107</v>
      </c>
      <c r="F127" s="32" t="n">
        <v>7722073734</v>
      </c>
      <c r="G127" s="32" t="s">
        <v>144</v>
      </c>
      <c r="H127" s="32" t="s">
        <v>21</v>
      </c>
      <c r="I127" s="32" t="s">
        <v>133</v>
      </c>
      <c r="J127" s="32" t="s">
        <v>134</v>
      </c>
      <c r="K127" s="32" t="s">
        <v>63</v>
      </c>
    </row>
    <row r="128" customFormat="false" ht="13.5" hidden="false" customHeight="true" outlineLevel="0" collapsed="false">
      <c r="A128" s="32" t="n">
        <v>1952</v>
      </c>
      <c r="B128" s="32" t="s">
        <v>249</v>
      </c>
      <c r="C128" s="32" t="s">
        <v>250</v>
      </c>
      <c r="D128" s="32" t="s">
        <v>59</v>
      </c>
      <c r="E128" s="32" t="s">
        <v>79</v>
      </c>
      <c r="F128" s="33" t="n">
        <v>919040000000</v>
      </c>
      <c r="G128" s="32" t="s">
        <v>80</v>
      </c>
      <c r="H128" s="32" t="s">
        <v>21</v>
      </c>
      <c r="I128" s="32" t="s">
        <v>151</v>
      </c>
      <c r="J128" s="32" t="s">
        <v>152</v>
      </c>
      <c r="K128" s="32" t="s">
        <v>63</v>
      </c>
    </row>
    <row r="129" customFormat="false" ht="13.5" hidden="false" customHeight="true" outlineLevel="0" collapsed="false">
      <c r="A129" s="32" t="n">
        <v>1953</v>
      </c>
      <c r="B129" s="32" t="s">
        <v>249</v>
      </c>
      <c r="C129" s="32" t="s">
        <v>250</v>
      </c>
      <c r="D129" s="32" t="s">
        <v>59</v>
      </c>
      <c r="E129" s="32" t="s">
        <v>79</v>
      </c>
      <c r="F129" s="33" t="n">
        <v>919040000000</v>
      </c>
      <c r="G129" s="32" t="s">
        <v>80</v>
      </c>
      <c r="H129" s="32" t="s">
        <v>21</v>
      </c>
      <c r="I129" s="32" t="s">
        <v>146</v>
      </c>
      <c r="J129" s="32" t="s">
        <v>117</v>
      </c>
      <c r="K129" s="32" t="s">
        <v>63</v>
      </c>
    </row>
    <row r="130" customFormat="false" ht="13.5" hidden="false" customHeight="true" outlineLevel="0" collapsed="false">
      <c r="A130" s="32" t="n">
        <v>1954</v>
      </c>
      <c r="B130" s="32" t="s">
        <v>249</v>
      </c>
      <c r="C130" s="32" t="s">
        <v>250</v>
      </c>
      <c r="D130" s="32" t="s">
        <v>59</v>
      </c>
      <c r="E130" s="32" t="s">
        <v>79</v>
      </c>
      <c r="F130" s="33" t="n">
        <v>919040000000</v>
      </c>
      <c r="G130" s="32" t="s">
        <v>80</v>
      </c>
      <c r="H130" s="32" t="s">
        <v>21</v>
      </c>
      <c r="I130" s="32" t="s">
        <v>251</v>
      </c>
      <c r="J130" s="32" t="s">
        <v>152</v>
      </c>
      <c r="K130" s="32" t="s">
        <v>63</v>
      </c>
    </row>
    <row r="131" customFormat="false" ht="13.5" hidden="false" customHeight="true" outlineLevel="0" collapsed="false">
      <c r="A131" s="32" t="n">
        <v>1955</v>
      </c>
      <c r="B131" s="32" t="s">
        <v>252</v>
      </c>
      <c r="C131" s="32" t="s">
        <v>253</v>
      </c>
      <c r="D131" s="32" t="s">
        <v>59</v>
      </c>
      <c r="E131" s="32" t="s">
        <v>143</v>
      </c>
      <c r="F131" s="33" t="n">
        <v>918790000000</v>
      </c>
      <c r="G131" s="32" t="s">
        <v>80</v>
      </c>
      <c r="H131" s="32" t="s">
        <v>21</v>
      </c>
      <c r="I131" s="32" t="s">
        <v>254</v>
      </c>
      <c r="J131" s="32" t="s">
        <v>110</v>
      </c>
      <c r="K131" s="32" t="s">
        <v>63</v>
      </c>
    </row>
    <row r="132" customFormat="false" ht="13.5" hidden="false" customHeight="true" outlineLevel="0" collapsed="false">
      <c r="A132" s="32" t="n">
        <v>1956</v>
      </c>
      <c r="B132" s="32" t="s">
        <v>252</v>
      </c>
      <c r="C132" s="32" t="s">
        <v>253</v>
      </c>
      <c r="D132" s="32" t="s">
        <v>59</v>
      </c>
      <c r="E132" s="32" t="s">
        <v>143</v>
      </c>
      <c r="F132" s="33" t="n">
        <v>918790000000</v>
      </c>
      <c r="G132" s="32" t="s">
        <v>80</v>
      </c>
      <c r="H132" s="32" t="s">
        <v>21</v>
      </c>
      <c r="I132" s="32" t="s">
        <v>109</v>
      </c>
      <c r="J132" s="32" t="s">
        <v>110</v>
      </c>
      <c r="K132" s="32" t="s">
        <v>63</v>
      </c>
    </row>
    <row r="133" customFormat="false" ht="13.5" hidden="false" customHeight="true" outlineLevel="0" collapsed="false">
      <c r="A133" s="32" t="n">
        <v>1957</v>
      </c>
      <c r="B133" s="32" t="s">
        <v>252</v>
      </c>
      <c r="C133" s="32" t="s">
        <v>253</v>
      </c>
      <c r="D133" s="32" t="s">
        <v>59</v>
      </c>
      <c r="E133" s="32" t="s">
        <v>143</v>
      </c>
      <c r="F133" s="33" t="n">
        <v>918790000000</v>
      </c>
      <c r="G133" s="32" t="s">
        <v>80</v>
      </c>
      <c r="H133" s="32" t="s">
        <v>21</v>
      </c>
      <c r="I133" s="32" t="s">
        <v>121</v>
      </c>
      <c r="J133" s="32" t="s">
        <v>110</v>
      </c>
      <c r="K133" s="32" t="s">
        <v>63</v>
      </c>
    </row>
    <row r="134" customFormat="false" ht="13.5" hidden="false" customHeight="true" outlineLevel="0" collapsed="false">
      <c r="A134" s="32" t="n">
        <v>1958</v>
      </c>
      <c r="B134" s="32" t="s">
        <v>252</v>
      </c>
      <c r="C134" s="32" t="s">
        <v>255</v>
      </c>
      <c r="D134" s="32" t="s">
        <v>59</v>
      </c>
      <c r="E134" s="32" t="s">
        <v>143</v>
      </c>
      <c r="F134" s="32" t="n">
        <v>8790351516</v>
      </c>
      <c r="G134" s="32" t="s">
        <v>140</v>
      </c>
      <c r="H134" s="32" t="s">
        <v>21</v>
      </c>
      <c r="I134" s="32" t="s">
        <v>227</v>
      </c>
      <c r="J134" s="32" t="s">
        <v>228</v>
      </c>
      <c r="K134" s="32" t="s">
        <v>63</v>
      </c>
    </row>
    <row r="135" customFormat="false" ht="13.5" hidden="false" customHeight="true" outlineLevel="0" collapsed="false">
      <c r="A135" s="32" t="n">
        <v>1959</v>
      </c>
      <c r="B135" s="32" t="s">
        <v>256</v>
      </c>
      <c r="C135" s="32" t="s">
        <v>257</v>
      </c>
      <c r="D135" s="32" t="s">
        <v>59</v>
      </c>
      <c r="E135" s="32" t="s">
        <v>107</v>
      </c>
      <c r="F135" s="32" t="n">
        <v>9900210944</v>
      </c>
      <c r="G135" s="32" t="s">
        <v>61</v>
      </c>
      <c r="H135" s="32" t="s">
        <v>21</v>
      </c>
      <c r="I135" s="32" t="s">
        <v>28</v>
      </c>
      <c r="J135" s="32" t="s">
        <v>82</v>
      </c>
      <c r="K135" s="32" t="s">
        <v>63</v>
      </c>
    </row>
    <row r="136" customFormat="false" ht="13.5" hidden="false" customHeight="true" outlineLevel="0" collapsed="false">
      <c r="A136" s="32" t="n">
        <v>1960</v>
      </c>
      <c r="B136" s="32" t="s">
        <v>258</v>
      </c>
      <c r="C136" s="32" t="s">
        <v>259</v>
      </c>
      <c r="D136" s="32" t="s">
        <v>114</v>
      </c>
      <c r="E136" s="32" t="s">
        <v>165</v>
      </c>
      <c r="F136" s="32" t="n">
        <v>8093592135</v>
      </c>
      <c r="G136" s="32" t="s">
        <v>80</v>
      </c>
      <c r="H136" s="32" t="s">
        <v>22</v>
      </c>
      <c r="I136" s="32" t="s">
        <v>93</v>
      </c>
      <c r="J136" s="32" t="s">
        <v>85</v>
      </c>
      <c r="K136" s="32" t="s">
        <v>63</v>
      </c>
    </row>
    <row r="137" customFormat="false" ht="13.5" hidden="false" customHeight="true" outlineLevel="0" collapsed="false">
      <c r="A137" s="32" t="n">
        <v>1961</v>
      </c>
      <c r="B137" s="32" t="s">
        <v>258</v>
      </c>
      <c r="C137" s="32" t="s">
        <v>260</v>
      </c>
      <c r="D137" s="32" t="s">
        <v>114</v>
      </c>
      <c r="E137" s="32" t="s">
        <v>165</v>
      </c>
      <c r="F137" s="32" t="n">
        <v>8093592135</v>
      </c>
      <c r="G137" s="32" t="s">
        <v>80</v>
      </c>
      <c r="H137" s="32" t="s">
        <v>22</v>
      </c>
      <c r="I137" s="32" t="s">
        <v>16</v>
      </c>
      <c r="J137" s="32" t="s">
        <v>73</v>
      </c>
      <c r="K137" s="32" t="s">
        <v>63</v>
      </c>
    </row>
    <row r="138" customFormat="false" ht="13.5" hidden="false" customHeight="true" outlineLevel="0" collapsed="false">
      <c r="A138" s="32" t="n">
        <v>1962</v>
      </c>
      <c r="B138" s="32" t="s">
        <v>258</v>
      </c>
      <c r="C138" s="32" t="s">
        <v>260</v>
      </c>
      <c r="D138" s="32" t="s">
        <v>114</v>
      </c>
      <c r="E138" s="32" t="s">
        <v>165</v>
      </c>
      <c r="F138" s="32" t="n">
        <v>8093592135</v>
      </c>
      <c r="G138" s="32" t="s">
        <v>80</v>
      </c>
      <c r="H138" s="32" t="s">
        <v>22</v>
      </c>
      <c r="I138" s="32" t="s">
        <v>145</v>
      </c>
      <c r="J138" s="32" t="s">
        <v>117</v>
      </c>
      <c r="K138" s="32" t="s">
        <v>63</v>
      </c>
    </row>
    <row r="139" customFormat="false" ht="13.5" hidden="false" customHeight="true" outlineLevel="0" collapsed="false">
      <c r="A139" s="32" t="n">
        <v>1963</v>
      </c>
      <c r="B139" s="32" t="s">
        <v>258</v>
      </c>
      <c r="C139" s="32" t="s">
        <v>260</v>
      </c>
      <c r="D139" s="32" t="s">
        <v>114</v>
      </c>
      <c r="E139" s="32" t="s">
        <v>165</v>
      </c>
      <c r="F139" s="32" t="n">
        <v>8093592135</v>
      </c>
      <c r="G139" s="32" t="s">
        <v>80</v>
      </c>
      <c r="H139" s="32" t="s">
        <v>22</v>
      </c>
      <c r="I139" s="32" t="s">
        <v>120</v>
      </c>
      <c r="J139" s="32" t="s">
        <v>110</v>
      </c>
      <c r="K139" s="32" t="s">
        <v>63</v>
      </c>
    </row>
    <row r="140" customFormat="false" ht="13.5" hidden="false" customHeight="true" outlineLevel="0" collapsed="false">
      <c r="A140" s="32" t="n">
        <v>1964</v>
      </c>
      <c r="B140" s="32" t="s">
        <v>258</v>
      </c>
      <c r="C140" s="32" t="s">
        <v>260</v>
      </c>
      <c r="D140" s="32" t="s">
        <v>114</v>
      </c>
      <c r="E140" s="32" t="s">
        <v>165</v>
      </c>
      <c r="F140" s="32" t="n">
        <v>8093592135</v>
      </c>
      <c r="G140" s="32" t="s">
        <v>80</v>
      </c>
      <c r="H140" s="32" t="s">
        <v>22</v>
      </c>
      <c r="I140" s="32" t="s">
        <v>261</v>
      </c>
      <c r="J140" s="32" t="s">
        <v>73</v>
      </c>
      <c r="K140" s="32" t="s">
        <v>63</v>
      </c>
    </row>
    <row r="141" customFormat="false" ht="13.5" hidden="false" customHeight="true" outlineLevel="0" collapsed="false">
      <c r="A141" s="32" t="n">
        <v>1965</v>
      </c>
      <c r="B141" s="32" t="s">
        <v>262</v>
      </c>
      <c r="C141" s="32" t="s">
        <v>263</v>
      </c>
      <c r="D141" s="32" t="s">
        <v>59</v>
      </c>
      <c r="E141" s="32" t="s">
        <v>143</v>
      </c>
      <c r="F141" s="32" t="n">
        <v>8108545970</v>
      </c>
      <c r="G141" s="32" t="s">
        <v>104</v>
      </c>
      <c r="H141" s="32" t="s">
        <v>21</v>
      </c>
      <c r="I141" s="32" t="s">
        <v>126</v>
      </c>
      <c r="J141" s="32" t="s">
        <v>85</v>
      </c>
      <c r="K141" s="32" t="s">
        <v>63</v>
      </c>
    </row>
    <row r="142" customFormat="false" ht="13.5" hidden="false" customHeight="true" outlineLevel="0" collapsed="false">
      <c r="A142" s="32" t="n">
        <v>1966</v>
      </c>
      <c r="B142" s="32" t="s">
        <v>262</v>
      </c>
      <c r="C142" s="32" t="s">
        <v>264</v>
      </c>
      <c r="D142" s="32" t="s">
        <v>59</v>
      </c>
      <c r="E142" s="32" t="s">
        <v>143</v>
      </c>
      <c r="F142" s="32" t="n">
        <v>8108545970</v>
      </c>
      <c r="G142" s="32" t="s">
        <v>104</v>
      </c>
      <c r="H142" s="32" t="s">
        <v>21</v>
      </c>
      <c r="I142" s="32" t="s">
        <v>28</v>
      </c>
      <c r="J142" s="32" t="s">
        <v>82</v>
      </c>
      <c r="K142" s="32" t="s">
        <v>63</v>
      </c>
    </row>
    <row r="143" customFormat="false" ht="13.5" hidden="false" customHeight="true" outlineLevel="0" collapsed="false">
      <c r="A143" s="32" t="n">
        <v>1967</v>
      </c>
      <c r="B143" s="32" t="s">
        <v>262</v>
      </c>
      <c r="C143" s="32" t="s">
        <v>264</v>
      </c>
      <c r="D143" s="32" t="s">
        <v>59</v>
      </c>
      <c r="E143" s="32" t="s">
        <v>143</v>
      </c>
      <c r="F143" s="32" t="n">
        <v>8108545970</v>
      </c>
      <c r="G143" s="32" t="s">
        <v>104</v>
      </c>
      <c r="H143" s="32" t="s">
        <v>21</v>
      </c>
      <c r="I143" s="32" t="s">
        <v>145</v>
      </c>
      <c r="J143" s="32" t="s">
        <v>117</v>
      </c>
      <c r="K143" s="32" t="s">
        <v>63</v>
      </c>
    </row>
    <row r="144" customFormat="false" ht="13.5" hidden="false" customHeight="true" outlineLevel="0" collapsed="false">
      <c r="A144" s="32" t="n">
        <v>1969</v>
      </c>
      <c r="B144" s="32" t="s">
        <v>262</v>
      </c>
      <c r="C144" s="32" t="s">
        <v>264</v>
      </c>
      <c r="D144" s="32" t="s">
        <v>59</v>
      </c>
      <c r="E144" s="32" t="s">
        <v>143</v>
      </c>
      <c r="F144" s="32" t="n">
        <v>8108545970</v>
      </c>
      <c r="G144" s="32" t="s">
        <v>104</v>
      </c>
      <c r="H144" s="32" t="s">
        <v>21</v>
      </c>
      <c r="I144" s="32" t="s">
        <v>265</v>
      </c>
      <c r="J144" s="32" t="s">
        <v>152</v>
      </c>
      <c r="K144" s="32" t="s">
        <v>63</v>
      </c>
    </row>
    <row r="145" customFormat="false" ht="13.5" hidden="false" customHeight="true" outlineLevel="0" collapsed="false">
      <c r="A145" s="32" t="n">
        <v>1970</v>
      </c>
      <c r="B145" s="32" t="s">
        <v>266</v>
      </c>
      <c r="C145" s="32" t="s">
        <v>267</v>
      </c>
      <c r="D145" s="32" t="s">
        <v>114</v>
      </c>
      <c r="E145" s="32" t="s">
        <v>268</v>
      </c>
      <c r="F145" s="32" t="n">
        <v>0</v>
      </c>
      <c r="G145" s="32" t="s">
        <v>0</v>
      </c>
      <c r="H145" s="32" t="s">
        <v>22</v>
      </c>
      <c r="I145" s="32" t="s">
        <v>156</v>
      </c>
      <c r="J145" s="32" t="s">
        <v>62</v>
      </c>
      <c r="K145" s="32" t="s">
        <v>63</v>
      </c>
    </row>
    <row r="146" customFormat="false" ht="13.5" hidden="false" customHeight="true" outlineLevel="0" collapsed="false">
      <c r="A146" s="32" t="n">
        <v>1971</v>
      </c>
      <c r="B146" s="32" t="s">
        <v>266</v>
      </c>
      <c r="C146" s="32" t="s">
        <v>267</v>
      </c>
      <c r="D146" s="32" t="s">
        <v>114</v>
      </c>
      <c r="E146" s="32" t="s">
        <v>268</v>
      </c>
      <c r="F146" s="32" t="n">
        <v>0</v>
      </c>
      <c r="G146" s="32" t="s">
        <v>0</v>
      </c>
      <c r="H146" s="32" t="s">
        <v>22</v>
      </c>
      <c r="I146" s="32" t="s">
        <v>29</v>
      </c>
      <c r="J146" s="32" t="s">
        <v>62</v>
      </c>
      <c r="K146" s="32" t="s">
        <v>63</v>
      </c>
    </row>
    <row r="147" customFormat="false" ht="13.5" hidden="false" customHeight="true" outlineLevel="0" collapsed="false">
      <c r="A147" s="32" t="n">
        <v>1972</v>
      </c>
      <c r="B147" s="32" t="s">
        <v>266</v>
      </c>
      <c r="C147" s="32" t="s">
        <v>267</v>
      </c>
      <c r="D147" s="32" t="s">
        <v>114</v>
      </c>
      <c r="E147" s="32" t="s">
        <v>268</v>
      </c>
      <c r="F147" s="32" t="n">
        <v>0</v>
      </c>
      <c r="G147" s="32" t="s">
        <v>0</v>
      </c>
      <c r="H147" s="32" t="s">
        <v>22</v>
      </c>
      <c r="I147" s="32" t="s">
        <v>14</v>
      </c>
      <c r="J147" s="32" t="s">
        <v>66</v>
      </c>
      <c r="K147" s="32" t="s">
        <v>63</v>
      </c>
    </row>
    <row r="148" customFormat="false" ht="13.5" hidden="false" customHeight="true" outlineLevel="0" collapsed="false">
      <c r="A148" s="32" t="n">
        <v>1973</v>
      </c>
      <c r="B148" s="32" t="s">
        <v>266</v>
      </c>
      <c r="C148" s="32" t="s">
        <v>267</v>
      </c>
      <c r="D148" s="32" t="s">
        <v>114</v>
      </c>
      <c r="E148" s="32" t="s">
        <v>268</v>
      </c>
      <c r="F148" s="32" t="n">
        <v>0</v>
      </c>
      <c r="G148" s="32" t="s">
        <v>0</v>
      </c>
      <c r="H148" s="32" t="s">
        <v>22</v>
      </c>
      <c r="I148" s="32" t="s">
        <v>166</v>
      </c>
      <c r="J148" s="32" t="s">
        <v>66</v>
      </c>
      <c r="K148" s="32" t="s">
        <v>63</v>
      </c>
    </row>
    <row r="149" customFormat="false" ht="13.5" hidden="false" customHeight="true" outlineLevel="0" collapsed="false">
      <c r="A149" s="32" t="n">
        <v>1974</v>
      </c>
      <c r="B149" s="32" t="s">
        <v>269</v>
      </c>
      <c r="C149" s="32" t="s">
        <v>270</v>
      </c>
      <c r="D149" s="32" t="s">
        <v>59</v>
      </c>
      <c r="E149" s="32" t="s">
        <v>79</v>
      </c>
      <c r="F149" s="32" t="n">
        <v>9820258077</v>
      </c>
      <c r="G149" s="32" t="s">
        <v>104</v>
      </c>
      <c r="H149" s="32" t="s">
        <v>21</v>
      </c>
      <c r="I149" s="32" t="s">
        <v>251</v>
      </c>
      <c r="J149" s="32" t="s">
        <v>152</v>
      </c>
      <c r="K149" s="32" t="s">
        <v>63</v>
      </c>
    </row>
    <row r="150" customFormat="false" ht="13.5" hidden="false" customHeight="true" outlineLevel="0" collapsed="false">
      <c r="A150" s="32" t="n">
        <v>1975</v>
      </c>
      <c r="B150" s="32" t="s">
        <v>269</v>
      </c>
      <c r="C150" s="32" t="s">
        <v>270</v>
      </c>
      <c r="D150" s="32" t="s">
        <v>59</v>
      </c>
      <c r="E150" s="32" t="s">
        <v>79</v>
      </c>
      <c r="F150" s="32" t="n">
        <v>9820258077</v>
      </c>
      <c r="G150" s="32" t="s">
        <v>104</v>
      </c>
      <c r="H150" s="32" t="s">
        <v>21</v>
      </c>
      <c r="I150" s="32" t="s">
        <v>265</v>
      </c>
      <c r="J150" s="32" t="s">
        <v>152</v>
      </c>
      <c r="K150" s="32" t="s">
        <v>63</v>
      </c>
    </row>
    <row r="151" customFormat="false" ht="13.5" hidden="false" customHeight="true" outlineLevel="0" collapsed="false">
      <c r="A151" s="32" t="n">
        <v>1979</v>
      </c>
      <c r="B151" s="32" t="s">
        <v>269</v>
      </c>
      <c r="C151" s="32" t="s">
        <v>270</v>
      </c>
      <c r="D151" s="32" t="s">
        <v>59</v>
      </c>
      <c r="E151" s="32" t="s">
        <v>79</v>
      </c>
      <c r="F151" s="32" t="n">
        <v>9820258077</v>
      </c>
      <c r="G151" s="32" t="s">
        <v>104</v>
      </c>
      <c r="H151" s="32" t="s">
        <v>21</v>
      </c>
      <c r="I151" s="32" t="s">
        <v>251</v>
      </c>
      <c r="J151" s="32" t="s">
        <v>152</v>
      </c>
      <c r="K151" s="32" t="s">
        <v>63</v>
      </c>
    </row>
    <row r="152" customFormat="false" ht="13.5" hidden="false" customHeight="true" outlineLevel="0" collapsed="false">
      <c r="A152" s="32" t="n">
        <v>1980</v>
      </c>
      <c r="B152" s="32" t="s">
        <v>271</v>
      </c>
      <c r="C152" s="32" t="s">
        <v>272</v>
      </c>
      <c r="D152" s="32" t="s">
        <v>114</v>
      </c>
      <c r="E152" s="32" t="s">
        <v>165</v>
      </c>
      <c r="F152" s="32" t="n">
        <v>8185917257</v>
      </c>
      <c r="G152" s="32" t="s">
        <v>69</v>
      </c>
      <c r="H152" s="32" t="s">
        <v>22</v>
      </c>
      <c r="I152" s="32" t="s">
        <v>126</v>
      </c>
      <c r="J152" s="32" t="s">
        <v>85</v>
      </c>
      <c r="K152" s="32" t="s">
        <v>63</v>
      </c>
    </row>
    <row r="153" customFormat="false" ht="13.5" hidden="false" customHeight="true" outlineLevel="0" collapsed="false">
      <c r="A153" s="32" t="n">
        <v>1981</v>
      </c>
      <c r="B153" s="32" t="s">
        <v>271</v>
      </c>
      <c r="C153" s="32" t="s">
        <v>272</v>
      </c>
      <c r="D153" s="32" t="s">
        <v>114</v>
      </c>
      <c r="E153" s="32" t="s">
        <v>165</v>
      </c>
      <c r="F153" s="32" t="n">
        <v>8185917257</v>
      </c>
      <c r="G153" s="32" t="s">
        <v>69</v>
      </c>
      <c r="H153" s="32" t="s">
        <v>22</v>
      </c>
      <c r="I153" s="32" t="s">
        <v>16</v>
      </c>
      <c r="J153" s="32" t="s">
        <v>73</v>
      </c>
      <c r="K153" s="32" t="s">
        <v>63</v>
      </c>
    </row>
    <row r="154" customFormat="false" ht="13.5" hidden="false" customHeight="true" outlineLevel="0" collapsed="false">
      <c r="A154" s="32" t="n">
        <v>1982</v>
      </c>
      <c r="B154" s="32" t="s">
        <v>271</v>
      </c>
      <c r="C154" s="32" t="s">
        <v>273</v>
      </c>
      <c r="D154" s="32" t="s">
        <v>114</v>
      </c>
      <c r="E154" s="32" t="s">
        <v>165</v>
      </c>
      <c r="F154" s="32" t="n">
        <v>8185917257</v>
      </c>
      <c r="G154" s="32" t="s">
        <v>69</v>
      </c>
      <c r="H154" s="32" t="s">
        <v>22</v>
      </c>
      <c r="I154" s="32" t="s">
        <v>128</v>
      </c>
      <c r="J154" s="32" t="s">
        <v>89</v>
      </c>
      <c r="K154" s="32" t="s">
        <v>63</v>
      </c>
    </row>
    <row r="155" customFormat="false" ht="13.5" hidden="false" customHeight="true" outlineLevel="0" collapsed="false">
      <c r="A155" s="32" t="n">
        <v>1983</v>
      </c>
      <c r="B155" s="32" t="s">
        <v>271</v>
      </c>
      <c r="C155" s="32" t="s">
        <v>273</v>
      </c>
      <c r="D155" s="32" t="s">
        <v>114</v>
      </c>
      <c r="E155" s="32" t="s">
        <v>165</v>
      </c>
      <c r="F155" s="32" t="n">
        <v>8185917257</v>
      </c>
      <c r="G155" s="32" t="s">
        <v>69</v>
      </c>
      <c r="H155" s="32" t="s">
        <v>22</v>
      </c>
      <c r="I155" s="32" t="s">
        <v>145</v>
      </c>
      <c r="J155" s="32" t="s">
        <v>117</v>
      </c>
      <c r="K155" s="32" t="s">
        <v>63</v>
      </c>
    </row>
    <row r="156" customFormat="false" ht="13.5" hidden="false" customHeight="true" outlineLevel="0" collapsed="false">
      <c r="A156" s="32" t="n">
        <v>1984</v>
      </c>
      <c r="B156" s="32" t="s">
        <v>271</v>
      </c>
      <c r="C156" s="32" t="s">
        <v>273</v>
      </c>
      <c r="D156" s="32" t="s">
        <v>114</v>
      </c>
      <c r="E156" s="32" t="s">
        <v>165</v>
      </c>
      <c r="F156" s="32" t="n">
        <v>8185917257</v>
      </c>
      <c r="G156" s="32" t="s">
        <v>69</v>
      </c>
      <c r="H156" s="32" t="s">
        <v>22</v>
      </c>
      <c r="I156" s="32" t="s">
        <v>133</v>
      </c>
      <c r="J156" s="32" t="s">
        <v>134</v>
      </c>
      <c r="K156" s="32" t="s">
        <v>63</v>
      </c>
    </row>
    <row r="157" customFormat="false" ht="13.5" hidden="false" customHeight="true" outlineLevel="0" collapsed="false">
      <c r="A157" s="32" t="n">
        <v>1985</v>
      </c>
      <c r="B157" s="32" t="s">
        <v>274</v>
      </c>
      <c r="C157" s="32" t="s">
        <v>275</v>
      </c>
      <c r="D157" s="32" t="s">
        <v>59</v>
      </c>
      <c r="E157" s="32" t="s">
        <v>107</v>
      </c>
      <c r="F157" s="33" t="n">
        <v>917092000000</v>
      </c>
      <c r="G157" s="32" t="s">
        <v>140</v>
      </c>
      <c r="H157" s="32" t="s">
        <v>21</v>
      </c>
      <c r="I157" s="32" t="s">
        <v>108</v>
      </c>
      <c r="J157" s="32" t="s">
        <v>71</v>
      </c>
      <c r="K157" s="32" t="s">
        <v>63</v>
      </c>
    </row>
    <row r="158" customFormat="false" ht="13.5" hidden="false" customHeight="true" outlineLevel="0" collapsed="false">
      <c r="A158" s="32" t="n">
        <v>1986</v>
      </c>
      <c r="B158" s="32" t="s">
        <v>274</v>
      </c>
      <c r="C158" s="32" t="s">
        <v>275</v>
      </c>
      <c r="D158" s="32" t="s">
        <v>59</v>
      </c>
      <c r="E158" s="32" t="s">
        <v>107</v>
      </c>
      <c r="F158" s="33" t="n">
        <v>917092000000</v>
      </c>
      <c r="G158" s="32" t="s">
        <v>140</v>
      </c>
      <c r="H158" s="32" t="s">
        <v>21</v>
      </c>
      <c r="I158" s="32" t="s">
        <v>30</v>
      </c>
      <c r="J158" s="32" t="s">
        <v>203</v>
      </c>
      <c r="K158" s="32" t="s">
        <v>63</v>
      </c>
    </row>
    <row r="159" customFormat="false" ht="13.5" hidden="false" customHeight="true" outlineLevel="0" collapsed="false">
      <c r="A159" s="32" t="n">
        <v>1987</v>
      </c>
      <c r="B159" s="32" t="s">
        <v>274</v>
      </c>
      <c r="C159" s="32" t="s">
        <v>275</v>
      </c>
      <c r="D159" s="32" t="s">
        <v>59</v>
      </c>
      <c r="E159" s="32" t="s">
        <v>107</v>
      </c>
      <c r="F159" s="32" t="n">
        <v>7091502846</v>
      </c>
      <c r="G159" s="32" t="s">
        <v>140</v>
      </c>
      <c r="H159" s="32" t="s">
        <v>21</v>
      </c>
      <c r="I159" s="32" t="s">
        <v>217</v>
      </c>
      <c r="J159" s="32" t="s">
        <v>132</v>
      </c>
      <c r="K159" s="32" t="s">
        <v>63</v>
      </c>
    </row>
    <row r="160" customFormat="false" ht="13.5" hidden="false" customHeight="true" outlineLevel="0" collapsed="false">
      <c r="A160" s="32" t="n">
        <v>1988</v>
      </c>
      <c r="B160" s="32" t="s">
        <v>276</v>
      </c>
      <c r="C160" s="32" t="s">
        <v>277</v>
      </c>
      <c r="D160" s="32" t="s">
        <v>114</v>
      </c>
      <c r="E160" s="32" t="s">
        <v>278</v>
      </c>
      <c r="F160" s="33" t="n">
        <v>919321000000</v>
      </c>
      <c r="G160" s="32" t="s">
        <v>104</v>
      </c>
      <c r="H160" s="32" t="s">
        <v>22</v>
      </c>
      <c r="I160" s="32" t="s">
        <v>108</v>
      </c>
      <c r="J160" s="32" t="s">
        <v>71</v>
      </c>
      <c r="K160" s="32" t="s">
        <v>63</v>
      </c>
    </row>
    <row r="161" customFormat="false" ht="13.5" hidden="false" customHeight="true" outlineLevel="0" collapsed="false">
      <c r="A161" s="32" t="n">
        <v>1990</v>
      </c>
      <c r="B161" s="32" t="s">
        <v>276</v>
      </c>
      <c r="C161" s="32" t="s">
        <v>279</v>
      </c>
      <c r="D161" s="32" t="s">
        <v>114</v>
      </c>
      <c r="E161" s="32" t="s">
        <v>278</v>
      </c>
      <c r="F161" s="33" t="n">
        <v>919321000000</v>
      </c>
      <c r="G161" s="32" t="s">
        <v>104</v>
      </c>
      <c r="H161" s="32" t="s">
        <v>22</v>
      </c>
      <c r="I161" s="32" t="s">
        <v>95</v>
      </c>
      <c r="J161" s="32" t="s">
        <v>96</v>
      </c>
      <c r="K161" s="32" t="s">
        <v>63</v>
      </c>
    </row>
    <row r="162" customFormat="false" ht="13.5" hidden="false" customHeight="true" outlineLevel="0" collapsed="false">
      <c r="A162" s="32" t="n">
        <v>1991</v>
      </c>
      <c r="B162" s="32" t="s">
        <v>276</v>
      </c>
      <c r="C162" s="32" t="s">
        <v>277</v>
      </c>
      <c r="D162" s="32" t="s">
        <v>114</v>
      </c>
      <c r="E162" s="32" t="s">
        <v>278</v>
      </c>
      <c r="F162" s="33" t="n">
        <v>919321000000</v>
      </c>
      <c r="G162" s="32" t="s">
        <v>104</v>
      </c>
      <c r="H162" s="32" t="s">
        <v>22</v>
      </c>
      <c r="I162" s="32" t="s">
        <v>121</v>
      </c>
      <c r="J162" s="32" t="s">
        <v>110</v>
      </c>
      <c r="K162" s="32" t="s">
        <v>63</v>
      </c>
    </row>
    <row r="163" customFormat="false" ht="13.5" hidden="false" customHeight="true" outlineLevel="0" collapsed="false">
      <c r="A163" s="32" t="n">
        <v>1992</v>
      </c>
      <c r="B163" s="32" t="s">
        <v>276</v>
      </c>
      <c r="C163" s="32" t="s">
        <v>277</v>
      </c>
      <c r="D163" s="32" t="s">
        <v>114</v>
      </c>
      <c r="E163" s="32" t="s">
        <v>278</v>
      </c>
      <c r="F163" s="33" t="n">
        <v>919321000000</v>
      </c>
      <c r="G163" s="32" t="s">
        <v>104</v>
      </c>
      <c r="H163" s="32" t="s">
        <v>22</v>
      </c>
      <c r="I163" s="32" t="s">
        <v>280</v>
      </c>
      <c r="J163" s="32" t="s">
        <v>76</v>
      </c>
      <c r="K163" s="32" t="s">
        <v>63</v>
      </c>
    </row>
    <row r="164" customFormat="false" ht="13.5" hidden="false" customHeight="true" outlineLevel="0" collapsed="false">
      <c r="A164" s="32" t="n">
        <v>1993</v>
      </c>
      <c r="B164" s="32" t="s">
        <v>281</v>
      </c>
      <c r="C164" s="32" t="s">
        <v>282</v>
      </c>
      <c r="D164" s="32" t="s">
        <v>59</v>
      </c>
      <c r="E164" s="32" t="s">
        <v>107</v>
      </c>
      <c r="F164" s="32" t="n">
        <v>7899439492</v>
      </c>
      <c r="G164" s="32" t="s">
        <v>140</v>
      </c>
      <c r="H164" s="32" t="s">
        <v>21</v>
      </c>
      <c r="I164" s="32" t="s">
        <v>151</v>
      </c>
      <c r="J164" s="32" t="s">
        <v>152</v>
      </c>
      <c r="K164" s="32" t="s">
        <v>63</v>
      </c>
    </row>
    <row r="165" customFormat="false" ht="13.5" hidden="false" customHeight="true" outlineLevel="0" collapsed="false">
      <c r="A165" s="32" t="n">
        <v>1994</v>
      </c>
      <c r="B165" s="32" t="s">
        <v>281</v>
      </c>
      <c r="C165" s="32" t="s">
        <v>283</v>
      </c>
      <c r="D165" s="32" t="s">
        <v>59</v>
      </c>
      <c r="E165" s="32" t="s">
        <v>107</v>
      </c>
      <c r="F165" s="32" t="n">
        <v>7899439492</v>
      </c>
      <c r="G165" s="32" t="s">
        <v>140</v>
      </c>
      <c r="H165" s="32" t="s">
        <v>21</v>
      </c>
      <c r="I165" s="32" t="s">
        <v>30</v>
      </c>
      <c r="J165" s="32" t="s">
        <v>203</v>
      </c>
      <c r="K165" s="32" t="s">
        <v>63</v>
      </c>
    </row>
    <row r="166" customFormat="false" ht="13.5" hidden="false" customHeight="true" outlineLevel="0" collapsed="false">
      <c r="A166" s="32" t="n">
        <v>1995</v>
      </c>
      <c r="B166" s="32" t="s">
        <v>281</v>
      </c>
      <c r="C166" s="32" t="s">
        <v>282</v>
      </c>
      <c r="D166" s="32" t="s">
        <v>59</v>
      </c>
      <c r="E166" s="32" t="s">
        <v>107</v>
      </c>
      <c r="F166" s="32" t="n">
        <v>7899439492</v>
      </c>
      <c r="G166" s="32" t="s">
        <v>140</v>
      </c>
      <c r="H166" s="32" t="s">
        <v>21</v>
      </c>
      <c r="I166" s="32" t="s">
        <v>27</v>
      </c>
      <c r="J166" s="32" t="s">
        <v>13</v>
      </c>
      <c r="K166" s="32" t="s">
        <v>63</v>
      </c>
    </row>
    <row r="167" customFormat="false" ht="13.5" hidden="false" customHeight="true" outlineLevel="0" collapsed="false">
      <c r="A167" s="32" t="n">
        <v>1996</v>
      </c>
      <c r="B167" s="32" t="s">
        <v>281</v>
      </c>
      <c r="C167" s="32" t="s">
        <v>282</v>
      </c>
      <c r="D167" s="32" t="s">
        <v>59</v>
      </c>
      <c r="E167" s="32" t="s">
        <v>107</v>
      </c>
      <c r="F167" s="32" t="n">
        <v>7899439492</v>
      </c>
      <c r="G167" s="32" t="s">
        <v>140</v>
      </c>
      <c r="H167" s="32" t="s">
        <v>21</v>
      </c>
      <c r="I167" s="32" t="s">
        <v>151</v>
      </c>
      <c r="J167" s="32" t="s">
        <v>152</v>
      </c>
      <c r="K167" s="32" t="s">
        <v>63</v>
      </c>
    </row>
    <row r="168" customFormat="false" ht="13.5" hidden="false" customHeight="true" outlineLevel="0" collapsed="false">
      <c r="A168" s="32" t="n">
        <v>1997</v>
      </c>
      <c r="B168" s="32" t="s">
        <v>281</v>
      </c>
      <c r="C168" s="32" t="s">
        <v>282</v>
      </c>
      <c r="D168" s="32" t="s">
        <v>59</v>
      </c>
      <c r="E168" s="32" t="s">
        <v>107</v>
      </c>
      <c r="F168" s="32" t="n">
        <v>7899439492</v>
      </c>
      <c r="G168" s="32" t="s">
        <v>140</v>
      </c>
      <c r="H168" s="32" t="s">
        <v>21</v>
      </c>
      <c r="I168" s="32" t="s">
        <v>284</v>
      </c>
      <c r="J168" s="32" t="s">
        <v>117</v>
      </c>
      <c r="K168" s="32" t="s">
        <v>63</v>
      </c>
    </row>
    <row r="169" customFormat="false" ht="13.5" hidden="false" customHeight="true" outlineLevel="0" collapsed="false">
      <c r="A169" s="32" t="n">
        <v>1998</v>
      </c>
      <c r="B169" s="32" t="s">
        <v>285</v>
      </c>
      <c r="C169" s="32" t="s">
        <v>286</v>
      </c>
      <c r="D169" s="32" t="s">
        <v>114</v>
      </c>
      <c r="E169" s="32" t="s">
        <v>165</v>
      </c>
      <c r="F169" s="32" t="n">
        <v>9008155336</v>
      </c>
      <c r="G169" s="32" t="s">
        <v>61</v>
      </c>
      <c r="H169" s="32" t="s">
        <v>22</v>
      </c>
      <c r="I169" s="32" t="s">
        <v>121</v>
      </c>
      <c r="J169" s="32" t="s">
        <v>110</v>
      </c>
      <c r="K169" s="32" t="s">
        <v>63</v>
      </c>
    </row>
    <row r="170" customFormat="false" ht="13.5" hidden="false" customHeight="true" outlineLevel="0" collapsed="false">
      <c r="A170" s="32" t="n">
        <v>1999</v>
      </c>
      <c r="B170" s="32" t="s">
        <v>285</v>
      </c>
      <c r="C170" s="32" t="s">
        <v>286</v>
      </c>
      <c r="D170" s="32" t="s">
        <v>114</v>
      </c>
      <c r="E170" s="32" t="s">
        <v>165</v>
      </c>
      <c r="F170" s="32" t="n">
        <v>9008155336</v>
      </c>
      <c r="G170" s="32" t="s">
        <v>61</v>
      </c>
      <c r="H170" s="32" t="s">
        <v>22</v>
      </c>
      <c r="I170" s="32" t="s">
        <v>133</v>
      </c>
      <c r="J170" s="32" t="s">
        <v>134</v>
      </c>
      <c r="K170" s="32" t="s">
        <v>63</v>
      </c>
    </row>
    <row r="171" customFormat="false" ht="13.5" hidden="false" customHeight="true" outlineLevel="0" collapsed="false">
      <c r="A171" s="32" t="n">
        <v>2000</v>
      </c>
      <c r="B171" s="32" t="s">
        <v>285</v>
      </c>
      <c r="C171" s="32" t="s">
        <v>286</v>
      </c>
      <c r="D171" s="32" t="s">
        <v>114</v>
      </c>
      <c r="E171" s="32" t="s">
        <v>165</v>
      </c>
      <c r="F171" s="32" t="n">
        <v>9008155336</v>
      </c>
      <c r="G171" s="32" t="s">
        <v>61</v>
      </c>
      <c r="H171" s="32" t="s">
        <v>22</v>
      </c>
      <c r="I171" s="32" t="s">
        <v>126</v>
      </c>
      <c r="J171" s="32" t="s">
        <v>85</v>
      </c>
      <c r="K171" s="32" t="s">
        <v>63</v>
      </c>
    </row>
    <row r="172" customFormat="false" ht="13.5" hidden="false" customHeight="true" outlineLevel="0" collapsed="false">
      <c r="A172" s="32" t="n">
        <v>2001</v>
      </c>
      <c r="B172" s="32" t="s">
        <v>285</v>
      </c>
      <c r="C172" s="32" t="s">
        <v>286</v>
      </c>
      <c r="D172" s="32" t="s">
        <v>114</v>
      </c>
      <c r="E172" s="32" t="s">
        <v>165</v>
      </c>
      <c r="F172" s="32" t="n">
        <v>9008155336</v>
      </c>
      <c r="G172" s="32" t="s">
        <v>61</v>
      </c>
      <c r="H172" s="32" t="s">
        <v>22</v>
      </c>
      <c r="I172" s="32" t="s">
        <v>128</v>
      </c>
      <c r="J172" s="32" t="s">
        <v>89</v>
      </c>
      <c r="K172" s="32" t="s">
        <v>63</v>
      </c>
    </row>
    <row r="173" customFormat="false" ht="13.5" hidden="false" customHeight="true" outlineLevel="0" collapsed="false">
      <c r="A173" s="32" t="n">
        <v>2002</v>
      </c>
      <c r="B173" s="32" t="s">
        <v>285</v>
      </c>
      <c r="C173" s="32" t="s">
        <v>286</v>
      </c>
      <c r="D173" s="32" t="s">
        <v>114</v>
      </c>
      <c r="E173" s="32" t="s">
        <v>165</v>
      </c>
      <c r="F173" s="32" t="n">
        <v>9008155336</v>
      </c>
      <c r="G173" s="32" t="s">
        <v>61</v>
      </c>
      <c r="H173" s="32" t="s">
        <v>22</v>
      </c>
      <c r="I173" s="32" t="s">
        <v>145</v>
      </c>
      <c r="J173" s="32" t="s">
        <v>117</v>
      </c>
      <c r="K173" s="32" t="s">
        <v>63</v>
      </c>
    </row>
    <row r="174" customFormat="false" ht="13.5" hidden="false" customHeight="true" outlineLevel="0" collapsed="false">
      <c r="A174" s="32" t="n">
        <v>2003</v>
      </c>
      <c r="B174" s="32" t="s">
        <v>285</v>
      </c>
      <c r="C174" s="32" t="s">
        <v>286</v>
      </c>
      <c r="D174" s="32" t="s">
        <v>114</v>
      </c>
      <c r="E174" s="32" t="s">
        <v>165</v>
      </c>
      <c r="F174" s="32" t="n">
        <v>9008155336</v>
      </c>
      <c r="G174" s="32" t="s">
        <v>61</v>
      </c>
      <c r="H174" s="32" t="s">
        <v>22</v>
      </c>
      <c r="I174" s="32" t="s">
        <v>93</v>
      </c>
      <c r="J174" s="32" t="s">
        <v>85</v>
      </c>
      <c r="K174" s="32" t="s">
        <v>63</v>
      </c>
    </row>
    <row r="175" customFormat="false" ht="13.5" hidden="false" customHeight="true" outlineLevel="0" collapsed="false">
      <c r="A175" s="32" t="n">
        <v>2004</v>
      </c>
      <c r="B175" s="32" t="s">
        <v>287</v>
      </c>
      <c r="C175" s="32" t="s">
        <v>288</v>
      </c>
      <c r="D175" s="32" t="s">
        <v>114</v>
      </c>
      <c r="E175" s="32" t="s">
        <v>165</v>
      </c>
      <c r="F175" s="33" t="n">
        <v>919573000000</v>
      </c>
      <c r="G175" s="32" t="s">
        <v>104</v>
      </c>
      <c r="H175" s="32" t="s">
        <v>22</v>
      </c>
      <c r="I175" s="32" t="s">
        <v>289</v>
      </c>
      <c r="J175" s="32" t="s">
        <v>290</v>
      </c>
      <c r="K175" s="32" t="s">
        <v>63</v>
      </c>
    </row>
    <row r="176" customFormat="false" ht="13.5" hidden="false" customHeight="true" outlineLevel="0" collapsed="false">
      <c r="A176" s="32" t="n">
        <v>2005</v>
      </c>
      <c r="B176" s="32" t="s">
        <v>287</v>
      </c>
      <c r="C176" s="32" t="s">
        <v>288</v>
      </c>
      <c r="D176" s="32" t="s">
        <v>114</v>
      </c>
      <c r="E176" s="32" t="s">
        <v>165</v>
      </c>
      <c r="F176" s="32" t="n">
        <v>9573214441</v>
      </c>
      <c r="G176" s="32" t="s">
        <v>104</v>
      </c>
      <c r="H176" s="32" t="s">
        <v>22</v>
      </c>
      <c r="I176" s="32" t="s">
        <v>227</v>
      </c>
      <c r="J176" s="32" t="s">
        <v>228</v>
      </c>
      <c r="K176" s="32" t="s">
        <v>63</v>
      </c>
    </row>
    <row r="177" customFormat="false" ht="13.5" hidden="false" customHeight="true" outlineLevel="0" collapsed="false">
      <c r="A177" s="32" t="n">
        <v>2006</v>
      </c>
      <c r="B177" s="32" t="s">
        <v>287</v>
      </c>
      <c r="C177" s="32" t="s">
        <v>288</v>
      </c>
      <c r="D177" s="32" t="s">
        <v>114</v>
      </c>
      <c r="E177" s="32" t="s">
        <v>165</v>
      </c>
      <c r="F177" s="33" t="n">
        <v>919573000000</v>
      </c>
      <c r="G177" s="32" t="s">
        <v>104</v>
      </c>
      <c r="H177" s="32" t="s">
        <v>22</v>
      </c>
      <c r="I177" s="32" t="s">
        <v>291</v>
      </c>
      <c r="J177" s="32" t="s">
        <v>132</v>
      </c>
      <c r="K177" s="32" t="s">
        <v>63</v>
      </c>
    </row>
    <row r="178" customFormat="false" ht="13.5" hidden="false" customHeight="true" outlineLevel="0" collapsed="false">
      <c r="A178" s="32" t="n">
        <v>2007</v>
      </c>
      <c r="B178" s="32" t="s">
        <v>292</v>
      </c>
      <c r="C178" s="32" t="s">
        <v>293</v>
      </c>
      <c r="D178" s="32" t="s">
        <v>59</v>
      </c>
      <c r="E178" s="32" t="s">
        <v>107</v>
      </c>
      <c r="F178" s="33" t="n">
        <v>919539000000</v>
      </c>
      <c r="G178" s="32" t="s">
        <v>61</v>
      </c>
      <c r="H178" s="32" t="s">
        <v>21</v>
      </c>
      <c r="I178" s="32" t="s">
        <v>27</v>
      </c>
      <c r="J178" s="32" t="s">
        <v>13</v>
      </c>
      <c r="K178" s="32" t="s">
        <v>63</v>
      </c>
    </row>
    <row r="179" customFormat="false" ht="13.5" hidden="false" customHeight="true" outlineLevel="0" collapsed="false">
      <c r="A179" s="32" t="n">
        <v>2008</v>
      </c>
      <c r="B179" s="32" t="s">
        <v>292</v>
      </c>
      <c r="C179" s="32" t="s">
        <v>293</v>
      </c>
      <c r="D179" s="32" t="s">
        <v>59</v>
      </c>
      <c r="E179" s="32" t="s">
        <v>107</v>
      </c>
      <c r="F179" s="33" t="n">
        <v>919539000000</v>
      </c>
      <c r="G179" s="32" t="s">
        <v>61</v>
      </c>
      <c r="H179" s="32" t="s">
        <v>21</v>
      </c>
      <c r="I179" s="32" t="s">
        <v>109</v>
      </c>
      <c r="J179" s="32" t="s">
        <v>110</v>
      </c>
      <c r="K179" s="32" t="s">
        <v>63</v>
      </c>
    </row>
    <row r="180" customFormat="false" ht="13.5" hidden="false" customHeight="true" outlineLevel="0" collapsed="false">
      <c r="A180" s="32" t="n">
        <v>2011</v>
      </c>
      <c r="B180" s="32" t="s">
        <v>292</v>
      </c>
      <c r="C180" s="32" t="s">
        <v>293</v>
      </c>
      <c r="D180" s="32" t="s">
        <v>59</v>
      </c>
      <c r="E180" s="32" t="s">
        <v>107</v>
      </c>
      <c r="F180" s="33" t="n">
        <v>919539000000</v>
      </c>
      <c r="G180" s="32" t="s">
        <v>61</v>
      </c>
      <c r="H180" s="32" t="s">
        <v>21</v>
      </c>
      <c r="I180" s="32" t="s">
        <v>111</v>
      </c>
      <c r="J180" s="32" t="s">
        <v>73</v>
      </c>
      <c r="K180" s="32" t="s">
        <v>63</v>
      </c>
    </row>
    <row r="181" customFormat="false" ht="13.5" hidden="false" customHeight="true" outlineLevel="0" collapsed="false">
      <c r="A181" s="32" t="n">
        <v>2012</v>
      </c>
      <c r="B181" s="32" t="s">
        <v>294</v>
      </c>
      <c r="C181" s="32" t="s">
        <v>295</v>
      </c>
      <c r="D181" s="32" t="s">
        <v>59</v>
      </c>
      <c r="E181" s="32" t="s">
        <v>79</v>
      </c>
      <c r="F181" s="32" t="n">
        <v>7259448822</v>
      </c>
      <c r="G181" s="32" t="s">
        <v>61</v>
      </c>
      <c r="H181" s="32" t="s">
        <v>21</v>
      </c>
      <c r="I181" s="32" t="s">
        <v>151</v>
      </c>
      <c r="J181" s="32" t="s">
        <v>152</v>
      </c>
      <c r="K181" s="32" t="s">
        <v>63</v>
      </c>
    </row>
    <row r="182" customFormat="false" ht="13.5" hidden="false" customHeight="true" outlineLevel="0" collapsed="false">
      <c r="A182" s="32" t="n">
        <v>2013</v>
      </c>
      <c r="B182" s="32" t="s">
        <v>294</v>
      </c>
      <c r="C182" s="32" t="s">
        <v>295</v>
      </c>
      <c r="D182" s="32" t="s">
        <v>59</v>
      </c>
      <c r="E182" s="32" t="s">
        <v>79</v>
      </c>
      <c r="F182" s="32" t="n">
        <v>7259448822</v>
      </c>
      <c r="G182" s="32" t="s">
        <v>61</v>
      </c>
      <c r="H182" s="32" t="s">
        <v>21</v>
      </c>
      <c r="I182" s="32" t="s">
        <v>133</v>
      </c>
      <c r="J182" s="32" t="s">
        <v>134</v>
      </c>
      <c r="K182" s="32" t="s">
        <v>63</v>
      </c>
    </row>
    <row r="183" customFormat="false" ht="13.5" hidden="false" customHeight="true" outlineLevel="0" collapsed="false">
      <c r="A183" s="32" t="n">
        <v>2014</v>
      </c>
      <c r="B183" s="32" t="s">
        <v>296</v>
      </c>
      <c r="C183" s="32" t="s">
        <v>297</v>
      </c>
      <c r="D183" s="32" t="s">
        <v>59</v>
      </c>
      <c r="E183" s="32" t="s">
        <v>107</v>
      </c>
      <c r="F183" s="32" t="n">
        <v>9902987663</v>
      </c>
      <c r="G183" s="32" t="s">
        <v>69</v>
      </c>
      <c r="H183" s="32" t="s">
        <v>21</v>
      </c>
      <c r="I183" s="32" t="s">
        <v>133</v>
      </c>
      <c r="J183" s="32" t="s">
        <v>134</v>
      </c>
      <c r="K183" s="32" t="s">
        <v>63</v>
      </c>
    </row>
    <row r="184" customFormat="false" ht="13.5" hidden="false" customHeight="true" outlineLevel="0" collapsed="false">
      <c r="A184" s="32" t="n">
        <v>2015</v>
      </c>
      <c r="B184" s="32" t="s">
        <v>298</v>
      </c>
      <c r="C184" s="32" t="s">
        <v>299</v>
      </c>
      <c r="D184" s="32" t="s">
        <v>59</v>
      </c>
      <c r="E184" s="32" t="s">
        <v>79</v>
      </c>
      <c r="F184" s="32" t="n">
        <v>9099092748</v>
      </c>
      <c r="G184" s="32" t="s">
        <v>69</v>
      </c>
      <c r="H184" s="32" t="s">
        <v>21</v>
      </c>
      <c r="I184" s="32" t="s">
        <v>172</v>
      </c>
      <c r="J184" s="32" t="s">
        <v>152</v>
      </c>
      <c r="K184" s="32" t="s">
        <v>63</v>
      </c>
    </row>
    <row r="185" customFormat="false" ht="13.5" hidden="false" customHeight="true" outlineLevel="0" collapsed="false">
      <c r="A185" s="32" t="n">
        <v>2016</v>
      </c>
      <c r="B185" s="32" t="s">
        <v>300</v>
      </c>
      <c r="C185" s="32" t="s">
        <v>301</v>
      </c>
      <c r="D185" s="32" t="s">
        <v>59</v>
      </c>
      <c r="E185" s="32" t="s">
        <v>59</v>
      </c>
      <c r="F185" s="32" t="s">
        <v>302</v>
      </c>
      <c r="G185" s="32" t="s">
        <v>80</v>
      </c>
      <c r="H185" s="32" t="s">
        <v>21</v>
      </c>
      <c r="I185" s="32" t="s">
        <v>133</v>
      </c>
      <c r="J185" s="32" t="s">
        <v>134</v>
      </c>
      <c r="K185" s="32" t="s">
        <v>63</v>
      </c>
    </row>
    <row r="186" customFormat="false" ht="13.5" hidden="false" customHeight="true" outlineLevel="0" collapsed="false">
      <c r="A186" s="32" t="n">
        <v>2017</v>
      </c>
      <c r="B186" s="32" t="s">
        <v>300</v>
      </c>
      <c r="C186" s="32" t="s">
        <v>303</v>
      </c>
      <c r="D186" s="32" t="s">
        <v>59</v>
      </c>
      <c r="E186" s="32" t="s">
        <v>59</v>
      </c>
      <c r="F186" s="32" t="s">
        <v>302</v>
      </c>
      <c r="G186" s="32" t="s">
        <v>80</v>
      </c>
      <c r="H186" s="32" t="s">
        <v>21</v>
      </c>
      <c r="I186" s="32" t="s">
        <v>93</v>
      </c>
      <c r="J186" s="32" t="s">
        <v>85</v>
      </c>
      <c r="K186" s="32" t="s">
        <v>63</v>
      </c>
    </row>
    <row r="187" customFormat="false" ht="13.5" hidden="false" customHeight="true" outlineLevel="0" collapsed="false">
      <c r="A187" s="32" t="n">
        <v>2018</v>
      </c>
      <c r="B187" s="32" t="s">
        <v>300</v>
      </c>
      <c r="C187" s="32" t="s">
        <v>304</v>
      </c>
      <c r="D187" s="32" t="s">
        <v>59</v>
      </c>
      <c r="E187" s="32" t="s">
        <v>59</v>
      </c>
      <c r="F187" s="32" t="s">
        <v>302</v>
      </c>
      <c r="G187" s="32" t="s">
        <v>80</v>
      </c>
      <c r="H187" s="32" t="s">
        <v>21</v>
      </c>
      <c r="I187" s="32" t="s">
        <v>280</v>
      </c>
      <c r="J187" s="32" t="s">
        <v>76</v>
      </c>
      <c r="K187" s="32" t="s">
        <v>63</v>
      </c>
    </row>
    <row r="188" customFormat="false" ht="13.5" hidden="false" customHeight="true" outlineLevel="0" collapsed="false">
      <c r="A188" s="32" t="n">
        <v>2019</v>
      </c>
      <c r="B188" s="32" t="s">
        <v>305</v>
      </c>
      <c r="C188" s="32" t="s">
        <v>306</v>
      </c>
      <c r="D188" s="32" t="s">
        <v>114</v>
      </c>
      <c r="E188" s="32" t="s">
        <v>165</v>
      </c>
      <c r="F188" s="33" t="n">
        <v>918979000000</v>
      </c>
      <c r="G188" s="32" t="s">
        <v>0</v>
      </c>
      <c r="H188" s="32" t="s">
        <v>22</v>
      </c>
      <c r="I188" s="32" t="s">
        <v>245</v>
      </c>
      <c r="J188" s="32" t="s">
        <v>71</v>
      </c>
      <c r="K188" s="32" t="s">
        <v>63</v>
      </c>
    </row>
    <row r="189" customFormat="false" ht="13.5" hidden="false" customHeight="true" outlineLevel="0" collapsed="false">
      <c r="A189" s="32" t="n">
        <v>2020</v>
      </c>
      <c r="B189" s="32" t="s">
        <v>305</v>
      </c>
      <c r="C189" s="32" t="s">
        <v>306</v>
      </c>
      <c r="D189" s="32" t="s">
        <v>114</v>
      </c>
      <c r="E189" s="32" t="s">
        <v>165</v>
      </c>
      <c r="F189" s="33" t="n">
        <v>918979000000</v>
      </c>
      <c r="G189" s="32" t="s">
        <v>0</v>
      </c>
      <c r="H189" s="32" t="s">
        <v>22</v>
      </c>
      <c r="I189" s="32" t="s">
        <v>307</v>
      </c>
      <c r="J189" s="32" t="s">
        <v>307</v>
      </c>
      <c r="K189" s="32" t="s">
        <v>63</v>
      </c>
    </row>
    <row r="190" customFormat="false" ht="13.5" hidden="false" customHeight="true" outlineLevel="0" collapsed="false">
      <c r="A190" s="32" t="n">
        <v>2021</v>
      </c>
      <c r="B190" s="32" t="s">
        <v>305</v>
      </c>
      <c r="C190" s="32" t="s">
        <v>308</v>
      </c>
      <c r="D190" s="32" t="s">
        <v>114</v>
      </c>
      <c r="E190" s="32" t="s">
        <v>165</v>
      </c>
      <c r="F190" s="33" t="n">
        <v>918979000000</v>
      </c>
      <c r="G190" s="32" t="s">
        <v>0</v>
      </c>
      <c r="H190" s="32" t="s">
        <v>22</v>
      </c>
      <c r="I190" s="32" t="s">
        <v>156</v>
      </c>
      <c r="J190" s="32" t="s">
        <v>62</v>
      </c>
      <c r="K190" s="32" t="s">
        <v>63</v>
      </c>
    </row>
    <row r="191" customFormat="false" ht="13.5" hidden="false" customHeight="true" outlineLevel="0" collapsed="false">
      <c r="A191" s="32" t="n">
        <v>2022</v>
      </c>
      <c r="B191" s="32" t="s">
        <v>305</v>
      </c>
      <c r="C191" s="32" t="s">
        <v>308</v>
      </c>
      <c r="D191" s="32" t="s">
        <v>114</v>
      </c>
      <c r="E191" s="32" t="s">
        <v>165</v>
      </c>
      <c r="F191" s="33" t="n">
        <v>918979000000</v>
      </c>
      <c r="G191" s="32" t="s">
        <v>0</v>
      </c>
      <c r="H191" s="32" t="s">
        <v>22</v>
      </c>
      <c r="I191" s="32" t="s">
        <v>29</v>
      </c>
      <c r="J191" s="32" t="s">
        <v>62</v>
      </c>
      <c r="K191" s="32" t="s">
        <v>63</v>
      </c>
    </row>
    <row r="192" customFormat="false" ht="13.5" hidden="false" customHeight="true" outlineLevel="0" collapsed="false">
      <c r="A192" s="32" t="n">
        <v>2023</v>
      </c>
      <c r="B192" s="32" t="s">
        <v>305</v>
      </c>
      <c r="C192" s="32" t="s">
        <v>308</v>
      </c>
      <c r="D192" s="32" t="s">
        <v>114</v>
      </c>
      <c r="E192" s="32" t="s">
        <v>165</v>
      </c>
      <c r="F192" s="33" t="n">
        <v>918979000000</v>
      </c>
      <c r="G192" s="32" t="s">
        <v>0</v>
      </c>
      <c r="H192" s="32" t="s">
        <v>22</v>
      </c>
      <c r="I192" s="32" t="s">
        <v>14</v>
      </c>
      <c r="J192" s="32" t="s">
        <v>66</v>
      </c>
      <c r="K192" s="32" t="s">
        <v>63</v>
      </c>
    </row>
    <row r="193" customFormat="false" ht="13.5" hidden="false" customHeight="true" outlineLevel="0" collapsed="false">
      <c r="A193" s="32" t="n">
        <v>2024</v>
      </c>
      <c r="B193" s="32" t="s">
        <v>305</v>
      </c>
      <c r="C193" s="32" t="s">
        <v>308</v>
      </c>
      <c r="D193" s="32" t="s">
        <v>114</v>
      </c>
      <c r="E193" s="32" t="s">
        <v>165</v>
      </c>
      <c r="F193" s="32" t="n">
        <v>8978986417</v>
      </c>
      <c r="G193" s="32" t="s">
        <v>0</v>
      </c>
      <c r="H193" s="32" t="s">
        <v>22</v>
      </c>
      <c r="I193" s="32" t="s">
        <v>166</v>
      </c>
      <c r="J193" s="32" t="s">
        <v>66</v>
      </c>
      <c r="K193" s="32" t="s">
        <v>63</v>
      </c>
    </row>
    <row r="194" customFormat="false" ht="13.5" hidden="false" customHeight="true" outlineLevel="0" collapsed="false">
      <c r="A194" s="32" t="n">
        <v>2025</v>
      </c>
      <c r="B194" s="32" t="s">
        <v>309</v>
      </c>
      <c r="C194" s="32" t="s">
        <v>310</v>
      </c>
      <c r="D194" s="32" t="s">
        <v>59</v>
      </c>
      <c r="E194" s="32" t="s">
        <v>60</v>
      </c>
      <c r="F194" s="32" t="n">
        <v>9150659274</v>
      </c>
      <c r="G194" s="32" t="s">
        <v>0</v>
      </c>
      <c r="H194" s="32" t="s">
        <v>21</v>
      </c>
      <c r="I194" s="32" t="s">
        <v>29</v>
      </c>
      <c r="J194" s="32" t="s">
        <v>62</v>
      </c>
      <c r="K194" s="32" t="s">
        <v>63</v>
      </c>
    </row>
    <row r="195" customFormat="false" ht="13.5" hidden="false" customHeight="true" outlineLevel="0" collapsed="false">
      <c r="A195" s="32" t="n">
        <v>2026</v>
      </c>
      <c r="B195" s="32" t="s">
        <v>309</v>
      </c>
      <c r="C195" s="32" t="s">
        <v>310</v>
      </c>
      <c r="D195" s="32" t="s">
        <v>59</v>
      </c>
      <c r="E195" s="32" t="s">
        <v>60</v>
      </c>
      <c r="F195" s="32" t="n">
        <v>9150659274</v>
      </c>
      <c r="G195" s="32" t="s">
        <v>0</v>
      </c>
      <c r="H195" s="32" t="s">
        <v>21</v>
      </c>
      <c r="I195" s="32" t="s">
        <v>64</v>
      </c>
      <c r="J195" s="32" t="s">
        <v>62</v>
      </c>
      <c r="K195" s="32" t="s">
        <v>63</v>
      </c>
    </row>
    <row r="196" customFormat="false" ht="13.5" hidden="false" customHeight="true" outlineLevel="0" collapsed="false">
      <c r="A196" s="32" t="n">
        <v>2027</v>
      </c>
      <c r="B196" s="32" t="s">
        <v>309</v>
      </c>
      <c r="C196" s="32" t="s">
        <v>310</v>
      </c>
      <c r="D196" s="32" t="s">
        <v>59</v>
      </c>
      <c r="E196" s="32" t="s">
        <v>60</v>
      </c>
      <c r="F196" s="32" t="n">
        <v>9150659274</v>
      </c>
      <c r="G196" s="32" t="s">
        <v>0</v>
      </c>
      <c r="H196" s="32" t="s">
        <v>21</v>
      </c>
      <c r="I196" s="32" t="s">
        <v>14</v>
      </c>
      <c r="J196" s="32" t="s">
        <v>66</v>
      </c>
      <c r="K196" s="32" t="s">
        <v>63</v>
      </c>
    </row>
    <row r="197" customFormat="false" ht="13.5" hidden="false" customHeight="true" outlineLevel="0" collapsed="false">
      <c r="A197" s="32" t="n">
        <v>2028</v>
      </c>
      <c r="B197" s="32" t="s">
        <v>309</v>
      </c>
      <c r="C197" s="32" t="s">
        <v>310</v>
      </c>
      <c r="D197" s="32" t="s">
        <v>59</v>
      </c>
      <c r="E197" s="32" t="s">
        <v>60</v>
      </c>
      <c r="F197" s="32" t="n">
        <v>9150659274</v>
      </c>
      <c r="G197" s="32" t="s">
        <v>0</v>
      </c>
      <c r="H197" s="32" t="s">
        <v>21</v>
      </c>
      <c r="I197" s="32" t="s">
        <v>156</v>
      </c>
      <c r="J197" s="32" t="s">
        <v>62</v>
      </c>
      <c r="K197" s="32" t="s">
        <v>63</v>
      </c>
    </row>
    <row r="198" customFormat="false" ht="13.5" hidden="false" customHeight="true" outlineLevel="0" collapsed="false">
      <c r="A198" s="32" t="n">
        <v>2029</v>
      </c>
      <c r="B198" s="32" t="s">
        <v>311</v>
      </c>
      <c r="C198" s="32" t="s">
        <v>312</v>
      </c>
      <c r="D198" s="32" t="s">
        <v>114</v>
      </c>
      <c r="E198" s="32" t="s">
        <v>165</v>
      </c>
      <c r="F198" s="33" t="n">
        <v>918680000000</v>
      </c>
      <c r="G198" s="32" t="s">
        <v>313</v>
      </c>
      <c r="H198" s="32" t="s">
        <v>22</v>
      </c>
      <c r="I198" s="32" t="s">
        <v>14</v>
      </c>
      <c r="J198" s="32" t="s">
        <v>66</v>
      </c>
      <c r="K198" s="32" t="s">
        <v>63</v>
      </c>
    </row>
    <row r="199" customFormat="false" ht="13.5" hidden="false" customHeight="true" outlineLevel="0" collapsed="false">
      <c r="A199" s="32" t="n">
        <v>2030</v>
      </c>
      <c r="B199" s="32" t="s">
        <v>311</v>
      </c>
      <c r="C199" s="32" t="s">
        <v>312</v>
      </c>
      <c r="D199" s="32" t="s">
        <v>114</v>
      </c>
      <c r="E199" s="32" t="s">
        <v>165</v>
      </c>
      <c r="F199" s="33" t="n">
        <v>918680000000</v>
      </c>
      <c r="G199" s="32" t="s">
        <v>313</v>
      </c>
      <c r="H199" s="32" t="s">
        <v>22</v>
      </c>
      <c r="I199" s="32" t="s">
        <v>314</v>
      </c>
      <c r="J199" s="32" t="s">
        <v>134</v>
      </c>
      <c r="K199" s="32" t="s">
        <v>63</v>
      </c>
    </row>
    <row r="200" customFormat="false" ht="13.5" hidden="false" customHeight="true" outlineLevel="0" collapsed="false">
      <c r="A200" s="32" t="n">
        <v>2031</v>
      </c>
      <c r="B200" s="32" t="s">
        <v>311</v>
      </c>
      <c r="C200" s="32" t="s">
        <v>312</v>
      </c>
      <c r="D200" s="32" t="s">
        <v>114</v>
      </c>
      <c r="E200" s="32" t="s">
        <v>165</v>
      </c>
      <c r="F200" s="33" t="n">
        <v>918680000000</v>
      </c>
      <c r="G200" s="32" t="s">
        <v>181</v>
      </c>
      <c r="H200" s="32" t="s">
        <v>22</v>
      </c>
      <c r="I200" s="32" t="s">
        <v>172</v>
      </c>
      <c r="J200" s="32" t="s">
        <v>152</v>
      </c>
      <c r="K200" s="32" t="s">
        <v>63</v>
      </c>
    </row>
    <row r="201" customFormat="false" ht="13.5" hidden="false" customHeight="true" outlineLevel="0" collapsed="false">
      <c r="A201" s="32" t="n">
        <v>2032</v>
      </c>
      <c r="B201" s="32" t="s">
        <v>315</v>
      </c>
      <c r="C201" s="32" t="s">
        <v>316</v>
      </c>
      <c r="D201" s="32" t="s">
        <v>114</v>
      </c>
      <c r="E201" s="32" t="s">
        <v>115</v>
      </c>
      <c r="F201" s="32" t="n">
        <v>9940212152</v>
      </c>
      <c r="G201" s="32" t="s">
        <v>0</v>
      </c>
      <c r="H201" s="32" t="s">
        <v>22</v>
      </c>
      <c r="I201" s="32" t="s">
        <v>76</v>
      </c>
      <c r="J201" s="32" t="s">
        <v>76</v>
      </c>
      <c r="K201" s="32" t="s">
        <v>63</v>
      </c>
    </row>
    <row r="202" customFormat="false" ht="13.5" hidden="false" customHeight="true" outlineLevel="0" collapsed="false">
      <c r="A202" s="32" t="n">
        <v>2033</v>
      </c>
      <c r="B202" s="32" t="s">
        <v>315</v>
      </c>
      <c r="C202" s="32" t="s">
        <v>316</v>
      </c>
      <c r="D202" s="32" t="s">
        <v>114</v>
      </c>
      <c r="E202" s="32" t="s">
        <v>115</v>
      </c>
      <c r="F202" s="32" t="n">
        <v>9940212152</v>
      </c>
      <c r="G202" s="32" t="s">
        <v>0</v>
      </c>
      <c r="H202" s="32" t="s">
        <v>22</v>
      </c>
      <c r="I202" s="32" t="s">
        <v>108</v>
      </c>
      <c r="J202" s="32" t="s">
        <v>71</v>
      </c>
      <c r="K202" s="32" t="s">
        <v>63</v>
      </c>
    </row>
    <row r="203" customFormat="false" ht="13.5" hidden="false" customHeight="true" outlineLevel="0" collapsed="false">
      <c r="A203" s="32" t="n">
        <v>2034</v>
      </c>
      <c r="B203" s="32" t="s">
        <v>315</v>
      </c>
      <c r="C203" s="32" t="s">
        <v>316</v>
      </c>
      <c r="D203" s="32" t="s">
        <v>114</v>
      </c>
      <c r="E203" s="32" t="s">
        <v>115</v>
      </c>
      <c r="F203" s="32" t="n">
        <v>9940212152</v>
      </c>
      <c r="G203" s="32" t="s">
        <v>0</v>
      </c>
      <c r="H203" s="32" t="s">
        <v>22</v>
      </c>
      <c r="I203" s="32" t="s">
        <v>317</v>
      </c>
      <c r="J203" s="32" t="s">
        <v>73</v>
      </c>
      <c r="K203" s="32" t="s">
        <v>63</v>
      </c>
    </row>
    <row r="204" customFormat="false" ht="13.5" hidden="false" customHeight="true" outlineLevel="0" collapsed="false">
      <c r="A204" s="32" t="n">
        <v>2036</v>
      </c>
      <c r="B204" s="32" t="s">
        <v>315</v>
      </c>
      <c r="C204" s="32" t="s">
        <v>316</v>
      </c>
      <c r="D204" s="32" t="s">
        <v>114</v>
      </c>
      <c r="E204" s="32" t="s">
        <v>115</v>
      </c>
      <c r="F204" s="32" t="n">
        <v>9940212152</v>
      </c>
      <c r="G204" s="32" t="s">
        <v>0</v>
      </c>
      <c r="H204" s="32" t="s">
        <v>22</v>
      </c>
      <c r="I204" s="32" t="s">
        <v>307</v>
      </c>
      <c r="J204" s="32" t="s">
        <v>307</v>
      </c>
      <c r="K204" s="32" t="s">
        <v>63</v>
      </c>
    </row>
    <row r="205" customFormat="false" ht="13.5" hidden="false" customHeight="true" outlineLevel="0" collapsed="false">
      <c r="A205" s="32" t="n">
        <v>2037</v>
      </c>
      <c r="B205" s="32" t="s">
        <v>315</v>
      </c>
      <c r="C205" s="32" t="s">
        <v>316</v>
      </c>
      <c r="D205" s="32" t="s">
        <v>114</v>
      </c>
      <c r="E205" s="32" t="s">
        <v>115</v>
      </c>
      <c r="F205" s="32" t="n">
        <v>9940212152</v>
      </c>
      <c r="G205" s="32" t="s">
        <v>0</v>
      </c>
      <c r="H205" s="32" t="s">
        <v>22</v>
      </c>
      <c r="I205" s="32" t="s">
        <v>14</v>
      </c>
      <c r="J205" s="32" t="s">
        <v>66</v>
      </c>
      <c r="K205" s="32" t="s">
        <v>63</v>
      </c>
    </row>
    <row r="206" customFormat="false" ht="13.5" hidden="false" customHeight="true" outlineLevel="0" collapsed="false">
      <c r="A206" s="32" t="n">
        <v>2038</v>
      </c>
      <c r="B206" s="32" t="s">
        <v>315</v>
      </c>
      <c r="C206" s="32" t="s">
        <v>316</v>
      </c>
      <c r="D206" s="32" t="s">
        <v>114</v>
      </c>
      <c r="E206" s="32" t="s">
        <v>115</v>
      </c>
      <c r="F206" s="32" t="n">
        <v>9940212152</v>
      </c>
      <c r="G206" s="32" t="s">
        <v>0</v>
      </c>
      <c r="H206" s="32" t="s">
        <v>22</v>
      </c>
      <c r="I206" s="32" t="s">
        <v>318</v>
      </c>
      <c r="J206" s="32" t="s">
        <v>319</v>
      </c>
      <c r="K206" s="32" t="s">
        <v>63</v>
      </c>
    </row>
    <row r="207" customFormat="false" ht="13.5" hidden="false" customHeight="true" outlineLevel="0" collapsed="false">
      <c r="A207" s="32" t="n">
        <v>2039</v>
      </c>
      <c r="B207" s="32" t="s">
        <v>315</v>
      </c>
      <c r="C207" s="32" t="s">
        <v>316</v>
      </c>
      <c r="D207" s="32" t="s">
        <v>114</v>
      </c>
      <c r="E207" s="32" t="s">
        <v>115</v>
      </c>
      <c r="F207" s="32" t="n">
        <v>9940212152</v>
      </c>
      <c r="G207" s="32" t="s">
        <v>0</v>
      </c>
      <c r="H207" s="32" t="s">
        <v>22</v>
      </c>
      <c r="I207" s="32" t="s">
        <v>320</v>
      </c>
      <c r="J207" s="32" t="s">
        <v>321</v>
      </c>
      <c r="K207" s="32" t="s">
        <v>63</v>
      </c>
    </row>
    <row r="208" customFormat="false" ht="13.5" hidden="false" customHeight="true" outlineLevel="0" collapsed="false">
      <c r="A208" s="32" t="n">
        <v>2040</v>
      </c>
      <c r="B208" s="32" t="s">
        <v>315</v>
      </c>
      <c r="C208" s="32" t="s">
        <v>316</v>
      </c>
      <c r="D208" s="32" t="s">
        <v>114</v>
      </c>
      <c r="E208" s="32" t="s">
        <v>115</v>
      </c>
      <c r="F208" s="32" t="n">
        <v>9940212152</v>
      </c>
      <c r="G208" s="32" t="s">
        <v>0</v>
      </c>
      <c r="H208" s="32" t="s">
        <v>22</v>
      </c>
      <c r="I208" s="32" t="s">
        <v>322</v>
      </c>
      <c r="J208" s="32" t="s">
        <v>322</v>
      </c>
      <c r="K208" s="32" t="s">
        <v>63</v>
      </c>
    </row>
    <row r="209" customFormat="false" ht="13.5" hidden="false" customHeight="true" outlineLevel="0" collapsed="false">
      <c r="A209" s="32" t="n">
        <v>2041</v>
      </c>
      <c r="B209" s="32" t="s">
        <v>323</v>
      </c>
      <c r="C209" s="32" t="s">
        <v>324</v>
      </c>
      <c r="D209" s="32" t="s">
        <v>59</v>
      </c>
      <c r="E209" s="32" t="s">
        <v>92</v>
      </c>
      <c r="F209" s="32" t="n">
        <v>0</v>
      </c>
      <c r="G209" s="32" t="s">
        <v>61</v>
      </c>
      <c r="H209" s="32" t="s">
        <v>21</v>
      </c>
      <c r="I209" s="32" t="s">
        <v>325</v>
      </c>
      <c r="J209" s="32" t="s">
        <v>326</v>
      </c>
      <c r="K209" s="32" t="s">
        <v>63</v>
      </c>
    </row>
    <row r="210" customFormat="false" ht="13.5" hidden="false" customHeight="true" outlineLevel="0" collapsed="false">
      <c r="A210" s="32" t="n">
        <v>2042</v>
      </c>
      <c r="B210" s="32" t="s">
        <v>327</v>
      </c>
      <c r="C210" s="32" t="s">
        <v>328</v>
      </c>
      <c r="D210" s="32" t="s">
        <v>59</v>
      </c>
      <c r="E210" s="32" t="s">
        <v>107</v>
      </c>
      <c r="F210" s="33" t="n">
        <v>917739000000</v>
      </c>
      <c r="G210" s="32" t="s">
        <v>104</v>
      </c>
      <c r="H210" s="32" t="s">
        <v>21</v>
      </c>
      <c r="I210" s="32" t="s">
        <v>95</v>
      </c>
      <c r="J210" s="32" t="s">
        <v>96</v>
      </c>
      <c r="K210" s="32" t="s">
        <v>63</v>
      </c>
    </row>
    <row r="211" customFormat="false" ht="13.5" hidden="false" customHeight="true" outlineLevel="0" collapsed="false">
      <c r="A211" s="32" t="n">
        <v>2043</v>
      </c>
      <c r="B211" s="32" t="s">
        <v>327</v>
      </c>
      <c r="C211" s="32" t="s">
        <v>328</v>
      </c>
      <c r="D211" s="32" t="s">
        <v>59</v>
      </c>
      <c r="E211" s="32" t="s">
        <v>107</v>
      </c>
      <c r="F211" s="33" t="n">
        <v>917739000000</v>
      </c>
      <c r="G211" s="32" t="s">
        <v>104</v>
      </c>
      <c r="H211" s="32" t="s">
        <v>21</v>
      </c>
      <c r="I211" s="32" t="s">
        <v>146</v>
      </c>
      <c r="J211" s="32" t="s">
        <v>117</v>
      </c>
      <c r="K211" s="32" t="s">
        <v>63</v>
      </c>
    </row>
    <row r="212" customFormat="false" ht="13.5" hidden="false" customHeight="true" outlineLevel="0" collapsed="false">
      <c r="A212" s="32" t="n">
        <v>2044</v>
      </c>
      <c r="B212" s="32" t="s">
        <v>327</v>
      </c>
      <c r="C212" s="32" t="s">
        <v>328</v>
      </c>
      <c r="D212" s="32" t="s">
        <v>59</v>
      </c>
      <c r="E212" s="32" t="s">
        <v>107</v>
      </c>
      <c r="F212" s="33" t="n">
        <v>917739000000</v>
      </c>
      <c r="G212" s="32" t="s">
        <v>104</v>
      </c>
      <c r="H212" s="32" t="s">
        <v>21</v>
      </c>
      <c r="I212" s="32" t="s">
        <v>93</v>
      </c>
      <c r="J212" s="32" t="s">
        <v>85</v>
      </c>
      <c r="K212" s="32" t="s">
        <v>63</v>
      </c>
    </row>
    <row r="213" customFormat="false" ht="13.5" hidden="false" customHeight="true" outlineLevel="0" collapsed="false">
      <c r="A213" s="32" t="n">
        <v>2045</v>
      </c>
      <c r="B213" s="32" t="s">
        <v>329</v>
      </c>
      <c r="C213" s="32" t="s">
        <v>330</v>
      </c>
      <c r="D213" s="32" t="s">
        <v>331</v>
      </c>
      <c r="E213" s="32" t="s">
        <v>278</v>
      </c>
      <c r="F213" s="32" t="n">
        <v>9966928777</v>
      </c>
      <c r="G213" s="32" t="s">
        <v>80</v>
      </c>
      <c r="H213" s="32" t="s">
        <v>332</v>
      </c>
      <c r="I213" s="32" t="s">
        <v>95</v>
      </c>
      <c r="J213" s="32" t="s">
        <v>96</v>
      </c>
      <c r="K213" s="32" t="s">
        <v>63</v>
      </c>
    </row>
    <row r="214" customFormat="false" ht="13.5" hidden="false" customHeight="true" outlineLevel="0" collapsed="false">
      <c r="A214" s="32" t="n">
        <v>2046</v>
      </c>
      <c r="B214" s="32" t="s">
        <v>329</v>
      </c>
      <c r="C214" s="32" t="s">
        <v>330</v>
      </c>
      <c r="D214" s="32" t="s">
        <v>331</v>
      </c>
      <c r="E214" s="32" t="s">
        <v>278</v>
      </c>
      <c r="F214" s="32" t="n">
        <v>9966928777</v>
      </c>
      <c r="G214" s="32" t="s">
        <v>80</v>
      </c>
      <c r="H214" s="32" t="s">
        <v>332</v>
      </c>
      <c r="I214" s="32" t="s">
        <v>185</v>
      </c>
      <c r="J214" s="32" t="s">
        <v>186</v>
      </c>
      <c r="K214" s="32" t="s">
        <v>63</v>
      </c>
    </row>
    <row r="215" customFormat="false" ht="13.5" hidden="false" customHeight="true" outlineLevel="0" collapsed="false">
      <c r="A215" s="32" t="n">
        <v>2047</v>
      </c>
      <c r="B215" s="32" t="s">
        <v>329</v>
      </c>
      <c r="C215" s="32" t="s">
        <v>330</v>
      </c>
      <c r="D215" s="32" t="s">
        <v>331</v>
      </c>
      <c r="E215" s="32" t="s">
        <v>278</v>
      </c>
      <c r="F215" s="32" t="n">
        <v>9966928777</v>
      </c>
      <c r="G215" s="32" t="s">
        <v>80</v>
      </c>
      <c r="H215" s="32" t="s">
        <v>332</v>
      </c>
      <c r="I215" s="32" t="s">
        <v>227</v>
      </c>
      <c r="J215" s="32" t="s">
        <v>228</v>
      </c>
      <c r="K215" s="32" t="s">
        <v>63</v>
      </c>
    </row>
    <row r="216" customFormat="false" ht="13.5" hidden="false" customHeight="true" outlineLevel="0" collapsed="false">
      <c r="A216" s="32" t="n">
        <v>2048</v>
      </c>
      <c r="B216" s="32" t="s">
        <v>329</v>
      </c>
      <c r="C216" s="32" t="s">
        <v>330</v>
      </c>
      <c r="D216" s="32" t="s">
        <v>331</v>
      </c>
      <c r="E216" s="32" t="s">
        <v>278</v>
      </c>
      <c r="F216" s="32" t="n">
        <v>9966928777</v>
      </c>
      <c r="G216" s="32" t="s">
        <v>80</v>
      </c>
      <c r="H216" s="32" t="s">
        <v>332</v>
      </c>
      <c r="I216" s="32" t="s">
        <v>145</v>
      </c>
      <c r="J216" s="32" t="s">
        <v>117</v>
      </c>
      <c r="K216" s="32" t="s">
        <v>63</v>
      </c>
    </row>
    <row r="217" customFormat="false" ht="13.5" hidden="false" customHeight="true" outlineLevel="0" collapsed="false">
      <c r="A217" s="32" t="n">
        <v>2049</v>
      </c>
      <c r="B217" s="32" t="s">
        <v>329</v>
      </c>
      <c r="C217" s="32" t="s">
        <v>330</v>
      </c>
      <c r="D217" s="32" t="s">
        <v>331</v>
      </c>
      <c r="E217" s="32" t="s">
        <v>278</v>
      </c>
      <c r="F217" s="32" t="n">
        <v>9966928777</v>
      </c>
      <c r="G217" s="32" t="s">
        <v>80</v>
      </c>
      <c r="H217" s="32" t="s">
        <v>332</v>
      </c>
      <c r="I217" s="32" t="s">
        <v>333</v>
      </c>
      <c r="J217" s="32" t="s">
        <v>235</v>
      </c>
      <c r="K217" s="32" t="s">
        <v>63</v>
      </c>
    </row>
    <row r="218" customFormat="false" ht="13.5" hidden="false" customHeight="true" outlineLevel="0" collapsed="false">
      <c r="A218" s="32" t="n">
        <v>2050</v>
      </c>
      <c r="B218" s="32" t="s">
        <v>329</v>
      </c>
      <c r="C218" s="32" t="s">
        <v>330</v>
      </c>
      <c r="D218" s="32" t="s">
        <v>331</v>
      </c>
      <c r="E218" s="32" t="s">
        <v>278</v>
      </c>
      <c r="F218" s="32" t="n">
        <v>9966928777</v>
      </c>
      <c r="G218" s="32" t="s">
        <v>80</v>
      </c>
      <c r="H218" s="32" t="s">
        <v>332</v>
      </c>
      <c r="I218" s="32" t="s">
        <v>76</v>
      </c>
      <c r="J218" s="32" t="s">
        <v>76</v>
      </c>
      <c r="K218" s="32" t="s">
        <v>63</v>
      </c>
    </row>
    <row r="219" customFormat="false" ht="13.5" hidden="false" customHeight="true" outlineLevel="0" collapsed="false">
      <c r="A219" s="32" t="n">
        <v>2051</v>
      </c>
      <c r="B219" s="32" t="s">
        <v>329</v>
      </c>
      <c r="C219" s="32" t="s">
        <v>330</v>
      </c>
      <c r="D219" s="32" t="s">
        <v>331</v>
      </c>
      <c r="E219" s="32" t="s">
        <v>278</v>
      </c>
      <c r="F219" s="32" t="n">
        <v>9966928777</v>
      </c>
      <c r="G219" s="32" t="s">
        <v>80</v>
      </c>
      <c r="H219" s="32" t="s">
        <v>332</v>
      </c>
      <c r="I219" s="32" t="s">
        <v>108</v>
      </c>
      <c r="J219" s="32" t="s">
        <v>71</v>
      </c>
      <c r="K219" s="32" t="s">
        <v>63</v>
      </c>
    </row>
    <row r="220" customFormat="false" ht="13.5" hidden="false" customHeight="true" outlineLevel="0" collapsed="false">
      <c r="A220" s="32" t="n">
        <v>2052</v>
      </c>
      <c r="B220" s="32" t="s">
        <v>334</v>
      </c>
      <c r="C220" s="32" t="s">
        <v>335</v>
      </c>
      <c r="D220" s="32" t="s">
        <v>102</v>
      </c>
      <c r="E220" s="32" t="s">
        <v>60</v>
      </c>
      <c r="F220" s="32" t="n">
        <v>9540439172</v>
      </c>
      <c r="G220" s="32" t="s">
        <v>144</v>
      </c>
      <c r="H220" s="32" t="s">
        <v>21</v>
      </c>
      <c r="I220" s="32" t="s">
        <v>234</v>
      </c>
      <c r="J220" s="32" t="s">
        <v>235</v>
      </c>
      <c r="K220" s="32" t="s">
        <v>63</v>
      </c>
    </row>
    <row r="221" customFormat="false" ht="13.5" hidden="false" customHeight="true" outlineLevel="0" collapsed="false">
      <c r="A221" s="32" t="n">
        <v>2053</v>
      </c>
      <c r="B221" s="32" t="s">
        <v>334</v>
      </c>
      <c r="C221" s="32" t="s">
        <v>335</v>
      </c>
      <c r="D221" s="32" t="s">
        <v>59</v>
      </c>
      <c r="E221" s="32" t="s">
        <v>60</v>
      </c>
      <c r="F221" s="32" t="n">
        <v>9540439172</v>
      </c>
      <c r="G221" s="32" t="s">
        <v>144</v>
      </c>
      <c r="H221" s="32" t="s">
        <v>21</v>
      </c>
      <c r="I221" s="32" t="s">
        <v>151</v>
      </c>
      <c r="J221" s="32" t="s">
        <v>152</v>
      </c>
      <c r="K221" s="32" t="s">
        <v>63</v>
      </c>
    </row>
    <row r="222" customFormat="false" ht="13.5" hidden="false" customHeight="true" outlineLevel="0" collapsed="false">
      <c r="A222" s="32" t="n">
        <v>2054</v>
      </c>
      <c r="B222" s="32" t="s">
        <v>336</v>
      </c>
      <c r="C222" s="32" t="s">
        <v>337</v>
      </c>
      <c r="D222" s="32" t="s">
        <v>114</v>
      </c>
      <c r="E222" s="32" t="s">
        <v>124</v>
      </c>
      <c r="F222" s="33" t="n">
        <v>918871000000</v>
      </c>
      <c r="G222" s="32" t="s">
        <v>144</v>
      </c>
      <c r="H222" s="32" t="s">
        <v>22</v>
      </c>
      <c r="I222" s="32" t="s">
        <v>131</v>
      </c>
      <c r="J222" s="32" t="s">
        <v>132</v>
      </c>
      <c r="K222" s="32" t="s">
        <v>63</v>
      </c>
    </row>
    <row r="223" customFormat="false" ht="13.5" hidden="false" customHeight="true" outlineLevel="0" collapsed="false">
      <c r="A223" s="32" t="n">
        <v>2055</v>
      </c>
      <c r="B223" s="32" t="s">
        <v>336</v>
      </c>
      <c r="C223" s="32" t="s">
        <v>338</v>
      </c>
      <c r="D223" s="32" t="s">
        <v>114</v>
      </c>
      <c r="E223" s="32" t="s">
        <v>124</v>
      </c>
      <c r="F223" s="33" t="n">
        <v>918871000000</v>
      </c>
      <c r="G223" s="32" t="s">
        <v>144</v>
      </c>
      <c r="H223" s="32" t="s">
        <v>22</v>
      </c>
      <c r="I223" s="32" t="s">
        <v>226</v>
      </c>
      <c r="J223" s="32" t="s">
        <v>110</v>
      </c>
      <c r="K223" s="32" t="s">
        <v>63</v>
      </c>
    </row>
    <row r="224" customFormat="false" ht="13.5" hidden="false" customHeight="true" outlineLevel="0" collapsed="false">
      <c r="A224" s="32" t="n">
        <v>2056</v>
      </c>
      <c r="B224" s="32" t="s">
        <v>336</v>
      </c>
      <c r="C224" s="32" t="s">
        <v>338</v>
      </c>
      <c r="D224" s="32" t="s">
        <v>114</v>
      </c>
      <c r="E224" s="32" t="s">
        <v>124</v>
      </c>
      <c r="F224" s="33" t="n">
        <v>918871000000</v>
      </c>
      <c r="G224" s="32" t="s">
        <v>144</v>
      </c>
      <c r="H224" s="32" t="s">
        <v>22</v>
      </c>
      <c r="I224" s="32" t="s">
        <v>109</v>
      </c>
      <c r="J224" s="32" t="s">
        <v>110</v>
      </c>
      <c r="K224" s="32" t="s">
        <v>63</v>
      </c>
    </row>
    <row r="225" customFormat="false" ht="13.5" hidden="false" customHeight="true" outlineLevel="0" collapsed="false">
      <c r="A225" s="32" t="n">
        <v>2057</v>
      </c>
      <c r="B225" s="32" t="s">
        <v>336</v>
      </c>
      <c r="C225" s="32" t="s">
        <v>338</v>
      </c>
      <c r="D225" s="32" t="s">
        <v>114</v>
      </c>
      <c r="E225" s="32" t="s">
        <v>124</v>
      </c>
      <c r="F225" s="33" t="n">
        <v>918871000000</v>
      </c>
      <c r="G225" s="32" t="s">
        <v>144</v>
      </c>
      <c r="H225" s="32" t="s">
        <v>22</v>
      </c>
      <c r="I225" s="32" t="s">
        <v>339</v>
      </c>
      <c r="J225" s="32" t="s">
        <v>110</v>
      </c>
      <c r="K225" s="32" t="s">
        <v>63</v>
      </c>
    </row>
    <row r="226" customFormat="false" ht="13.5" hidden="false" customHeight="true" outlineLevel="0" collapsed="false">
      <c r="A226" s="32" t="n">
        <v>2058</v>
      </c>
      <c r="B226" s="32" t="s">
        <v>336</v>
      </c>
      <c r="C226" s="32" t="s">
        <v>338</v>
      </c>
      <c r="D226" s="32" t="s">
        <v>114</v>
      </c>
      <c r="E226" s="32" t="s">
        <v>124</v>
      </c>
      <c r="F226" s="33" t="n">
        <v>918871000000</v>
      </c>
      <c r="G226" s="32" t="s">
        <v>144</v>
      </c>
      <c r="H226" s="32" t="s">
        <v>22</v>
      </c>
      <c r="I226" s="32" t="s">
        <v>185</v>
      </c>
      <c r="J226" s="32" t="s">
        <v>186</v>
      </c>
      <c r="K226" s="32" t="s">
        <v>63</v>
      </c>
    </row>
    <row r="227" customFormat="false" ht="13.5" hidden="false" customHeight="true" outlineLevel="0" collapsed="false">
      <c r="A227" s="32" t="n">
        <v>2059</v>
      </c>
      <c r="B227" s="32" t="s">
        <v>336</v>
      </c>
      <c r="C227" s="32" t="s">
        <v>338</v>
      </c>
      <c r="D227" s="32" t="s">
        <v>114</v>
      </c>
      <c r="E227" s="32" t="s">
        <v>124</v>
      </c>
      <c r="F227" s="33" t="n">
        <v>918871000000</v>
      </c>
      <c r="G227" s="32" t="s">
        <v>144</v>
      </c>
      <c r="H227" s="32" t="s">
        <v>22</v>
      </c>
      <c r="I227" s="32" t="s">
        <v>93</v>
      </c>
      <c r="J227" s="32" t="s">
        <v>85</v>
      </c>
      <c r="K227" s="32" t="s">
        <v>63</v>
      </c>
    </row>
    <row r="228" customFormat="false" ht="13.5" hidden="false" customHeight="true" outlineLevel="0" collapsed="false">
      <c r="A228" s="32" t="n">
        <v>2060</v>
      </c>
      <c r="B228" s="32" t="s">
        <v>340</v>
      </c>
      <c r="C228" s="32" t="s">
        <v>341</v>
      </c>
      <c r="D228" s="32" t="s">
        <v>59</v>
      </c>
      <c r="E228" s="32" t="s">
        <v>60</v>
      </c>
      <c r="F228" s="33" t="n">
        <v>918789000000</v>
      </c>
      <c r="G228" s="32" t="s">
        <v>61</v>
      </c>
      <c r="H228" s="32" t="s">
        <v>21</v>
      </c>
      <c r="I228" s="32" t="s">
        <v>75</v>
      </c>
      <c r="J228" s="32" t="s">
        <v>76</v>
      </c>
      <c r="K228" s="32" t="s">
        <v>63</v>
      </c>
    </row>
    <row r="229" customFormat="false" ht="13.5" hidden="false" customHeight="true" outlineLevel="0" collapsed="false">
      <c r="A229" s="32" t="n">
        <v>2061</v>
      </c>
      <c r="B229" s="32" t="s">
        <v>340</v>
      </c>
      <c r="C229" s="32" t="s">
        <v>342</v>
      </c>
      <c r="D229" s="32" t="s">
        <v>59</v>
      </c>
      <c r="E229" s="32" t="s">
        <v>60</v>
      </c>
      <c r="F229" s="32" t="n">
        <v>8789198929</v>
      </c>
      <c r="G229" s="32" t="s">
        <v>61</v>
      </c>
      <c r="H229" s="32" t="s">
        <v>21</v>
      </c>
      <c r="I229" s="32" t="s">
        <v>95</v>
      </c>
      <c r="J229" s="32" t="s">
        <v>96</v>
      </c>
      <c r="K229" s="32" t="s">
        <v>63</v>
      </c>
    </row>
    <row r="230" customFormat="false" ht="13.5" hidden="false" customHeight="true" outlineLevel="0" collapsed="false">
      <c r="A230" s="32" t="n">
        <v>2062</v>
      </c>
      <c r="B230" s="32" t="s">
        <v>340</v>
      </c>
      <c r="C230" s="32" t="s">
        <v>342</v>
      </c>
      <c r="D230" s="32" t="s">
        <v>59</v>
      </c>
      <c r="E230" s="32" t="s">
        <v>60</v>
      </c>
      <c r="F230" s="33" t="n">
        <v>918789000000</v>
      </c>
      <c r="G230" s="32" t="s">
        <v>61</v>
      </c>
      <c r="H230" s="32" t="s">
        <v>21</v>
      </c>
      <c r="I230" s="32" t="s">
        <v>64</v>
      </c>
      <c r="J230" s="32" t="s">
        <v>62</v>
      </c>
      <c r="K230" s="32" t="s">
        <v>63</v>
      </c>
    </row>
    <row r="231" customFormat="false" ht="13.5" hidden="false" customHeight="true" outlineLevel="0" collapsed="false">
      <c r="A231" s="32" t="n">
        <v>2063</v>
      </c>
      <c r="B231" s="32" t="s">
        <v>340</v>
      </c>
      <c r="C231" s="32" t="s">
        <v>342</v>
      </c>
      <c r="D231" s="32" t="s">
        <v>59</v>
      </c>
      <c r="E231" s="32" t="s">
        <v>60</v>
      </c>
      <c r="F231" s="33" t="n">
        <v>918789000000</v>
      </c>
      <c r="G231" s="32" t="s">
        <v>61</v>
      </c>
      <c r="H231" s="32" t="s">
        <v>21</v>
      </c>
      <c r="I231" s="32" t="s">
        <v>14</v>
      </c>
      <c r="J231" s="32" t="s">
        <v>66</v>
      </c>
      <c r="K231" s="32" t="s">
        <v>63</v>
      </c>
    </row>
    <row r="232" customFormat="false" ht="13.5" hidden="false" customHeight="true" outlineLevel="0" collapsed="false">
      <c r="A232" s="32" t="n">
        <v>2064</v>
      </c>
      <c r="B232" s="32" t="s">
        <v>343</v>
      </c>
      <c r="C232" s="32" t="s">
        <v>344</v>
      </c>
      <c r="D232" s="32" t="s">
        <v>114</v>
      </c>
      <c r="E232" s="32" t="s">
        <v>124</v>
      </c>
      <c r="F232" s="32" t="n">
        <v>9289404222</v>
      </c>
      <c r="G232" s="32" t="s">
        <v>144</v>
      </c>
      <c r="H232" s="32" t="s">
        <v>22</v>
      </c>
      <c r="I232" s="32" t="s">
        <v>128</v>
      </c>
      <c r="J232" s="32" t="s">
        <v>89</v>
      </c>
      <c r="K232" s="32" t="s">
        <v>63</v>
      </c>
    </row>
    <row r="233" customFormat="false" ht="13.5" hidden="false" customHeight="true" outlineLevel="0" collapsed="false">
      <c r="A233" s="32" t="n">
        <v>2065</v>
      </c>
      <c r="B233" s="32" t="s">
        <v>343</v>
      </c>
      <c r="C233" s="32" t="s">
        <v>344</v>
      </c>
      <c r="D233" s="32" t="s">
        <v>114</v>
      </c>
      <c r="E233" s="32" t="s">
        <v>124</v>
      </c>
      <c r="F233" s="32" t="n">
        <v>9289404222</v>
      </c>
      <c r="G233" s="32" t="s">
        <v>144</v>
      </c>
      <c r="H233" s="32" t="s">
        <v>22</v>
      </c>
      <c r="I233" s="32" t="s">
        <v>284</v>
      </c>
      <c r="J233" s="32" t="s">
        <v>117</v>
      </c>
      <c r="K233" s="32" t="s">
        <v>63</v>
      </c>
    </row>
    <row r="234" customFormat="false" ht="13.5" hidden="false" customHeight="true" outlineLevel="0" collapsed="false">
      <c r="A234" s="32" t="n">
        <v>2066</v>
      </c>
      <c r="B234" s="32" t="s">
        <v>343</v>
      </c>
      <c r="C234" s="32" t="s">
        <v>344</v>
      </c>
      <c r="D234" s="32" t="s">
        <v>114</v>
      </c>
      <c r="E234" s="32" t="s">
        <v>124</v>
      </c>
      <c r="F234" s="32" t="n">
        <v>9289404222</v>
      </c>
      <c r="G234" s="32" t="s">
        <v>144</v>
      </c>
      <c r="H234" s="32" t="s">
        <v>22</v>
      </c>
      <c r="I234" s="32" t="s">
        <v>133</v>
      </c>
      <c r="J234" s="32" t="s">
        <v>134</v>
      </c>
      <c r="K234" s="32" t="s">
        <v>63</v>
      </c>
    </row>
    <row r="235" customFormat="false" ht="13.5" hidden="false" customHeight="true" outlineLevel="0" collapsed="false">
      <c r="A235" s="32" t="n">
        <v>2067</v>
      </c>
      <c r="B235" s="32" t="s">
        <v>343</v>
      </c>
      <c r="C235" s="32" t="s">
        <v>344</v>
      </c>
      <c r="D235" s="32" t="s">
        <v>114</v>
      </c>
      <c r="E235" s="32" t="s">
        <v>124</v>
      </c>
      <c r="F235" s="32" t="n">
        <v>9289404222</v>
      </c>
      <c r="G235" s="32" t="s">
        <v>144</v>
      </c>
      <c r="H235" s="32" t="s">
        <v>22</v>
      </c>
      <c r="I235" s="32" t="s">
        <v>76</v>
      </c>
      <c r="J235" s="32" t="s">
        <v>76</v>
      </c>
      <c r="K235" s="32" t="s">
        <v>63</v>
      </c>
    </row>
    <row r="236" customFormat="false" ht="13.5" hidden="false" customHeight="true" outlineLevel="0" collapsed="false">
      <c r="A236" s="32" t="n">
        <v>2069</v>
      </c>
      <c r="B236" s="32" t="s">
        <v>343</v>
      </c>
      <c r="C236" s="32" t="s">
        <v>344</v>
      </c>
      <c r="D236" s="32" t="s">
        <v>114</v>
      </c>
      <c r="E236" s="32" t="s">
        <v>124</v>
      </c>
      <c r="F236" s="32" t="n">
        <v>9289404222</v>
      </c>
      <c r="G236" s="32" t="s">
        <v>144</v>
      </c>
      <c r="H236" s="32" t="s">
        <v>22</v>
      </c>
      <c r="I236" s="32" t="s">
        <v>345</v>
      </c>
      <c r="J236" s="32" t="s">
        <v>290</v>
      </c>
      <c r="K236" s="32" t="s">
        <v>63</v>
      </c>
    </row>
    <row r="237" customFormat="false" ht="13.5" hidden="false" customHeight="true" outlineLevel="0" collapsed="false">
      <c r="A237" s="32" t="n">
        <v>2070</v>
      </c>
      <c r="B237" s="32" t="s">
        <v>343</v>
      </c>
      <c r="C237" s="32" t="s">
        <v>344</v>
      </c>
      <c r="D237" s="32" t="s">
        <v>114</v>
      </c>
      <c r="E237" s="32" t="s">
        <v>124</v>
      </c>
      <c r="F237" s="32" t="n">
        <v>9289404222</v>
      </c>
      <c r="G237" s="32" t="s">
        <v>144</v>
      </c>
      <c r="H237" s="32" t="s">
        <v>22</v>
      </c>
      <c r="I237" s="32" t="s">
        <v>85</v>
      </c>
      <c r="J237" s="32" t="s">
        <v>85</v>
      </c>
      <c r="K237" s="32" t="s">
        <v>63</v>
      </c>
    </row>
    <row r="238" customFormat="false" ht="13.5" hidden="false" customHeight="true" outlineLevel="0" collapsed="false">
      <c r="A238" s="32" t="n">
        <v>2071</v>
      </c>
      <c r="B238" s="32" t="s">
        <v>343</v>
      </c>
      <c r="C238" s="32" t="s">
        <v>344</v>
      </c>
      <c r="D238" s="32" t="s">
        <v>114</v>
      </c>
      <c r="E238" s="32" t="s">
        <v>124</v>
      </c>
      <c r="F238" s="32" t="n">
        <v>9289404222</v>
      </c>
      <c r="G238" s="32" t="s">
        <v>144</v>
      </c>
      <c r="H238" s="32" t="s">
        <v>22</v>
      </c>
      <c r="I238" s="32" t="s">
        <v>93</v>
      </c>
      <c r="J238" s="32" t="s">
        <v>85</v>
      </c>
      <c r="K238" s="32" t="s">
        <v>63</v>
      </c>
    </row>
    <row r="239" customFormat="false" ht="13.5" hidden="false" customHeight="true" outlineLevel="0" collapsed="false">
      <c r="A239" s="32" t="n">
        <v>2072</v>
      </c>
      <c r="B239" s="32" t="s">
        <v>343</v>
      </c>
      <c r="C239" s="32" t="s">
        <v>344</v>
      </c>
      <c r="D239" s="32" t="s">
        <v>114</v>
      </c>
      <c r="E239" s="32" t="s">
        <v>124</v>
      </c>
      <c r="F239" s="32" t="n">
        <v>9289404222</v>
      </c>
      <c r="G239" s="32" t="s">
        <v>144</v>
      </c>
      <c r="H239" s="32" t="s">
        <v>22</v>
      </c>
      <c r="I239" s="32" t="s">
        <v>346</v>
      </c>
      <c r="J239" s="32" t="s">
        <v>347</v>
      </c>
      <c r="K239" s="32" t="s">
        <v>63</v>
      </c>
    </row>
    <row r="240" customFormat="false" ht="13.5" hidden="false" customHeight="true" outlineLevel="0" collapsed="false">
      <c r="A240" s="32" t="n">
        <v>2073</v>
      </c>
      <c r="B240" s="32" t="s">
        <v>343</v>
      </c>
      <c r="C240" s="32" t="s">
        <v>344</v>
      </c>
      <c r="D240" s="32" t="s">
        <v>114</v>
      </c>
      <c r="E240" s="32" t="s">
        <v>124</v>
      </c>
      <c r="F240" s="32" t="n">
        <v>9289404222</v>
      </c>
      <c r="G240" s="32" t="s">
        <v>144</v>
      </c>
      <c r="H240" s="32" t="s">
        <v>22</v>
      </c>
      <c r="I240" s="32" t="s">
        <v>131</v>
      </c>
      <c r="J240" s="32" t="s">
        <v>132</v>
      </c>
      <c r="K240" s="32" t="s">
        <v>63</v>
      </c>
    </row>
    <row r="241" customFormat="false" ht="13.5" hidden="false" customHeight="true" outlineLevel="0" collapsed="false">
      <c r="A241" s="32" t="n">
        <v>2075</v>
      </c>
      <c r="B241" s="32" t="s">
        <v>343</v>
      </c>
      <c r="C241" s="32" t="s">
        <v>344</v>
      </c>
      <c r="D241" s="32" t="s">
        <v>114</v>
      </c>
      <c r="E241" s="32" t="s">
        <v>124</v>
      </c>
      <c r="F241" s="32" t="n">
        <v>9289404222</v>
      </c>
      <c r="G241" s="32" t="s">
        <v>144</v>
      </c>
      <c r="H241" s="32" t="s">
        <v>22</v>
      </c>
      <c r="I241" s="32" t="s">
        <v>280</v>
      </c>
      <c r="J241" s="32" t="s">
        <v>76</v>
      </c>
      <c r="K241" s="32" t="s">
        <v>63</v>
      </c>
    </row>
    <row r="242" customFormat="false" ht="13.5" hidden="false" customHeight="true" outlineLevel="0" collapsed="false">
      <c r="A242" s="32" t="n">
        <v>2076</v>
      </c>
      <c r="B242" s="32" t="s">
        <v>348</v>
      </c>
      <c r="C242" s="32" t="s">
        <v>349</v>
      </c>
      <c r="D242" s="32" t="s">
        <v>59</v>
      </c>
      <c r="E242" s="32" t="s">
        <v>60</v>
      </c>
      <c r="F242" s="33" t="n">
        <v>918655000000</v>
      </c>
      <c r="G242" s="32" t="s">
        <v>69</v>
      </c>
      <c r="H242" s="32" t="s">
        <v>21</v>
      </c>
      <c r="I242" s="32" t="s">
        <v>350</v>
      </c>
      <c r="J242" s="32" t="s">
        <v>235</v>
      </c>
      <c r="K242" s="32" t="s">
        <v>63</v>
      </c>
    </row>
    <row r="243" customFormat="false" ht="13.5" hidden="false" customHeight="true" outlineLevel="0" collapsed="false">
      <c r="A243" s="32" t="n">
        <v>2077</v>
      </c>
      <c r="B243" s="32" t="s">
        <v>348</v>
      </c>
      <c r="C243" s="32" t="s">
        <v>349</v>
      </c>
      <c r="D243" s="32" t="s">
        <v>59</v>
      </c>
      <c r="E243" s="32" t="s">
        <v>60</v>
      </c>
      <c r="F243" s="33" t="n">
        <v>918655000000</v>
      </c>
      <c r="G243" s="32" t="s">
        <v>69</v>
      </c>
      <c r="H243" s="32" t="s">
        <v>21</v>
      </c>
      <c r="I243" s="32" t="s">
        <v>234</v>
      </c>
      <c r="J243" s="32" t="s">
        <v>235</v>
      </c>
      <c r="K243" s="32" t="s">
        <v>63</v>
      </c>
    </row>
    <row r="244" customFormat="false" ht="13.5" hidden="false" customHeight="true" outlineLevel="0" collapsed="false">
      <c r="A244" s="32" t="n">
        <v>2078</v>
      </c>
      <c r="B244" s="32" t="s">
        <v>348</v>
      </c>
      <c r="C244" s="32" t="s">
        <v>349</v>
      </c>
      <c r="D244" s="32" t="s">
        <v>59</v>
      </c>
      <c r="E244" s="32" t="s">
        <v>60</v>
      </c>
      <c r="F244" s="32" t="n">
        <v>8655186918</v>
      </c>
      <c r="G244" s="32" t="s">
        <v>69</v>
      </c>
      <c r="H244" s="32" t="s">
        <v>21</v>
      </c>
      <c r="I244" s="32" t="s">
        <v>333</v>
      </c>
      <c r="J244" s="32" t="s">
        <v>235</v>
      </c>
      <c r="K244" s="32" t="s">
        <v>63</v>
      </c>
    </row>
    <row r="245" customFormat="false" ht="13.5" hidden="false" customHeight="true" outlineLevel="0" collapsed="false">
      <c r="A245" s="32" t="n">
        <v>2079</v>
      </c>
      <c r="B245" s="32" t="s">
        <v>351</v>
      </c>
      <c r="C245" s="32" t="s">
        <v>352</v>
      </c>
      <c r="D245" s="32" t="s">
        <v>114</v>
      </c>
      <c r="E245" s="32" t="s">
        <v>165</v>
      </c>
      <c r="F245" s="32" t="n">
        <v>9036096336</v>
      </c>
      <c r="G245" s="32" t="s">
        <v>61</v>
      </c>
      <c r="H245" s="32" t="s">
        <v>22</v>
      </c>
      <c r="I245" s="32" t="s">
        <v>30</v>
      </c>
      <c r="J245" s="32" t="s">
        <v>203</v>
      </c>
      <c r="K245" s="32" t="s">
        <v>63</v>
      </c>
    </row>
    <row r="246" customFormat="false" ht="13.5" hidden="false" customHeight="true" outlineLevel="0" collapsed="false">
      <c r="A246" s="32" t="n">
        <v>2080</v>
      </c>
      <c r="B246" s="32" t="s">
        <v>351</v>
      </c>
      <c r="C246" s="32" t="s">
        <v>353</v>
      </c>
      <c r="D246" s="32" t="s">
        <v>114</v>
      </c>
      <c r="E246" s="32" t="s">
        <v>165</v>
      </c>
      <c r="F246" s="32" t="n">
        <v>9036096336</v>
      </c>
      <c r="G246" s="32" t="s">
        <v>61</v>
      </c>
      <c r="H246" s="32" t="s">
        <v>22</v>
      </c>
      <c r="I246" s="32" t="s">
        <v>149</v>
      </c>
      <c r="J246" s="32" t="s">
        <v>73</v>
      </c>
      <c r="K246" s="32" t="s">
        <v>63</v>
      </c>
    </row>
    <row r="247" customFormat="false" ht="13.5" hidden="false" customHeight="true" outlineLevel="0" collapsed="false">
      <c r="A247" s="32" t="n">
        <v>2081</v>
      </c>
      <c r="B247" s="32" t="s">
        <v>351</v>
      </c>
      <c r="C247" s="32" t="s">
        <v>353</v>
      </c>
      <c r="D247" s="32" t="s">
        <v>114</v>
      </c>
      <c r="E247" s="32" t="s">
        <v>165</v>
      </c>
      <c r="F247" s="32" t="n">
        <v>9036096336</v>
      </c>
      <c r="G247" s="32" t="s">
        <v>61</v>
      </c>
      <c r="H247" s="32" t="s">
        <v>22</v>
      </c>
      <c r="I247" s="32" t="s">
        <v>16</v>
      </c>
      <c r="J247" s="32" t="s">
        <v>73</v>
      </c>
      <c r="K247" s="32" t="s">
        <v>63</v>
      </c>
    </row>
    <row r="248" customFormat="false" ht="13.5" hidden="false" customHeight="true" outlineLevel="0" collapsed="false">
      <c r="A248" s="32" t="n">
        <v>2082</v>
      </c>
      <c r="B248" s="32" t="s">
        <v>351</v>
      </c>
      <c r="C248" s="32" t="s">
        <v>352</v>
      </c>
      <c r="D248" s="32" t="s">
        <v>114</v>
      </c>
      <c r="E248" s="32" t="s">
        <v>165</v>
      </c>
      <c r="F248" s="32" t="n">
        <v>9036096336</v>
      </c>
      <c r="G248" s="32" t="s">
        <v>61</v>
      </c>
      <c r="H248" s="32" t="s">
        <v>22</v>
      </c>
      <c r="I248" s="32" t="s">
        <v>27</v>
      </c>
      <c r="J248" s="32" t="s">
        <v>13</v>
      </c>
      <c r="K248" s="32" t="s">
        <v>63</v>
      </c>
    </row>
    <row r="249" customFormat="false" ht="13.5" hidden="false" customHeight="true" outlineLevel="0" collapsed="false">
      <c r="A249" s="32" t="n">
        <v>2083</v>
      </c>
      <c r="B249" s="32" t="s">
        <v>351</v>
      </c>
      <c r="C249" s="32" t="s">
        <v>352</v>
      </c>
      <c r="D249" s="32" t="s">
        <v>114</v>
      </c>
      <c r="E249" s="32" t="s">
        <v>165</v>
      </c>
      <c r="F249" s="32" t="n">
        <v>9036096336</v>
      </c>
      <c r="G249" s="32" t="s">
        <v>61</v>
      </c>
      <c r="H249" s="32" t="s">
        <v>22</v>
      </c>
      <c r="I249" s="32" t="s">
        <v>150</v>
      </c>
      <c r="J249" s="32" t="s">
        <v>73</v>
      </c>
      <c r="K249" s="32" t="s">
        <v>63</v>
      </c>
    </row>
    <row r="250" customFormat="false" ht="13.5" hidden="false" customHeight="true" outlineLevel="0" collapsed="false">
      <c r="A250" s="32" t="n">
        <v>2084</v>
      </c>
      <c r="B250" s="32" t="s">
        <v>354</v>
      </c>
      <c r="C250" s="32" t="s">
        <v>355</v>
      </c>
      <c r="D250" s="32" t="s">
        <v>59</v>
      </c>
      <c r="E250" s="32" t="s">
        <v>107</v>
      </c>
      <c r="F250" s="33" t="n">
        <v>917896000000</v>
      </c>
      <c r="G250" s="32" t="s">
        <v>144</v>
      </c>
      <c r="H250" s="32" t="s">
        <v>21</v>
      </c>
      <c r="I250" s="32" t="s">
        <v>120</v>
      </c>
      <c r="J250" s="32" t="s">
        <v>110</v>
      </c>
      <c r="K250" s="32" t="s">
        <v>63</v>
      </c>
    </row>
    <row r="251" customFormat="false" ht="13.5" hidden="false" customHeight="true" outlineLevel="0" collapsed="false">
      <c r="A251" s="32" t="n">
        <v>2085</v>
      </c>
      <c r="B251" s="32" t="s">
        <v>354</v>
      </c>
      <c r="C251" s="32" t="s">
        <v>355</v>
      </c>
      <c r="D251" s="32" t="s">
        <v>59</v>
      </c>
      <c r="E251" s="32" t="s">
        <v>107</v>
      </c>
      <c r="F251" s="32" t="n">
        <v>7899078417</v>
      </c>
      <c r="G251" s="32" t="s">
        <v>144</v>
      </c>
      <c r="H251" s="32" t="s">
        <v>21</v>
      </c>
      <c r="I251" s="32" t="s">
        <v>121</v>
      </c>
      <c r="J251" s="32" t="s">
        <v>110</v>
      </c>
      <c r="K251" s="32" t="s">
        <v>63</v>
      </c>
    </row>
    <row r="252" customFormat="false" ht="13.5" hidden="false" customHeight="true" outlineLevel="0" collapsed="false">
      <c r="A252" s="32" t="n">
        <v>2086</v>
      </c>
      <c r="B252" s="32" t="s">
        <v>354</v>
      </c>
      <c r="C252" s="32" t="s">
        <v>355</v>
      </c>
      <c r="D252" s="32" t="s">
        <v>59</v>
      </c>
      <c r="E252" s="32" t="s">
        <v>107</v>
      </c>
      <c r="F252" s="32" t="n">
        <v>7899078417</v>
      </c>
      <c r="G252" s="32" t="s">
        <v>144</v>
      </c>
      <c r="H252" s="32" t="s">
        <v>21</v>
      </c>
      <c r="I252" s="32" t="s">
        <v>145</v>
      </c>
      <c r="J252" s="32" t="s">
        <v>117</v>
      </c>
      <c r="K252" s="32" t="s">
        <v>63</v>
      </c>
    </row>
    <row r="253" customFormat="false" ht="13.5" hidden="false" customHeight="true" outlineLevel="0" collapsed="false">
      <c r="A253" s="32" t="n">
        <v>2087</v>
      </c>
      <c r="B253" s="32" t="s">
        <v>356</v>
      </c>
      <c r="C253" s="32" t="s">
        <v>357</v>
      </c>
      <c r="D253" s="32" t="s">
        <v>114</v>
      </c>
      <c r="E253" s="32" t="n">
        <v>0</v>
      </c>
      <c r="F253" s="32" t="n">
        <v>7208418850</v>
      </c>
      <c r="G253" s="32" t="s">
        <v>104</v>
      </c>
      <c r="H253" s="32" t="s">
        <v>22</v>
      </c>
      <c r="I253" s="32" t="s">
        <v>121</v>
      </c>
      <c r="J253" s="32" t="s">
        <v>110</v>
      </c>
      <c r="K253" s="32" t="s">
        <v>63</v>
      </c>
    </row>
    <row r="254" customFormat="false" ht="13.5" hidden="false" customHeight="true" outlineLevel="0" collapsed="false">
      <c r="A254" s="32" t="n">
        <v>2088</v>
      </c>
      <c r="B254" s="32" t="s">
        <v>356</v>
      </c>
      <c r="C254" s="32" t="s">
        <v>357</v>
      </c>
      <c r="D254" s="32" t="s">
        <v>114</v>
      </c>
      <c r="E254" s="32" t="n">
        <v>0</v>
      </c>
      <c r="F254" s="32" t="n">
        <v>7208418850</v>
      </c>
      <c r="G254" s="32" t="s">
        <v>104</v>
      </c>
      <c r="H254" s="32" t="s">
        <v>22</v>
      </c>
      <c r="I254" s="32" t="s">
        <v>145</v>
      </c>
      <c r="J254" s="32" t="s">
        <v>117</v>
      </c>
      <c r="K254" s="32" t="s">
        <v>63</v>
      </c>
    </row>
    <row r="255" customFormat="false" ht="13.5" hidden="false" customHeight="true" outlineLevel="0" collapsed="false">
      <c r="A255" s="32" t="n">
        <v>2089</v>
      </c>
      <c r="B255" s="32" t="s">
        <v>356</v>
      </c>
      <c r="C255" s="32" t="s">
        <v>357</v>
      </c>
      <c r="D255" s="32" t="s">
        <v>114</v>
      </c>
      <c r="E255" s="32" t="n">
        <v>0</v>
      </c>
      <c r="F255" s="32" t="n">
        <v>7208418850</v>
      </c>
      <c r="G255" s="32" t="s">
        <v>104</v>
      </c>
      <c r="H255" s="32" t="s">
        <v>22</v>
      </c>
      <c r="I255" s="32" t="s">
        <v>133</v>
      </c>
      <c r="J255" s="32" t="s">
        <v>134</v>
      </c>
      <c r="K255" s="32" t="s">
        <v>63</v>
      </c>
    </row>
    <row r="256" customFormat="false" ht="13.5" hidden="false" customHeight="true" outlineLevel="0" collapsed="false">
      <c r="A256" s="32" t="n">
        <v>2090</v>
      </c>
      <c r="B256" s="32" t="s">
        <v>356</v>
      </c>
      <c r="C256" s="32" t="s">
        <v>357</v>
      </c>
      <c r="D256" s="32" t="s">
        <v>114</v>
      </c>
      <c r="E256" s="32" t="n">
        <v>0</v>
      </c>
      <c r="F256" s="32" t="n">
        <v>7208418850</v>
      </c>
      <c r="G256" s="32" t="s">
        <v>104</v>
      </c>
      <c r="H256" s="32" t="s">
        <v>22</v>
      </c>
      <c r="I256" s="32" t="s">
        <v>161</v>
      </c>
      <c r="J256" s="32" t="s">
        <v>117</v>
      </c>
      <c r="K256" s="32" t="s">
        <v>63</v>
      </c>
    </row>
    <row r="257" customFormat="false" ht="13.5" hidden="false" customHeight="true" outlineLevel="0" collapsed="false">
      <c r="A257" s="32" t="n">
        <v>2091</v>
      </c>
      <c r="B257" s="32" t="s">
        <v>358</v>
      </c>
      <c r="C257" s="32" t="s">
        <v>359</v>
      </c>
      <c r="D257" s="32" t="s">
        <v>114</v>
      </c>
      <c r="E257" s="32" t="s">
        <v>165</v>
      </c>
      <c r="F257" s="32" t="n">
        <v>9951587183</v>
      </c>
      <c r="G257" s="32" t="s">
        <v>80</v>
      </c>
      <c r="H257" s="32" t="s">
        <v>22</v>
      </c>
      <c r="I257" s="32" t="s">
        <v>95</v>
      </c>
      <c r="J257" s="32" t="s">
        <v>96</v>
      </c>
      <c r="K257" s="32" t="s">
        <v>63</v>
      </c>
    </row>
    <row r="258" customFormat="false" ht="13.5" hidden="false" customHeight="true" outlineLevel="0" collapsed="false">
      <c r="A258" s="32" t="n">
        <v>2092</v>
      </c>
      <c r="B258" s="32" t="s">
        <v>358</v>
      </c>
      <c r="C258" s="32" t="s">
        <v>359</v>
      </c>
      <c r="D258" s="32" t="s">
        <v>114</v>
      </c>
      <c r="E258" s="32" t="s">
        <v>165</v>
      </c>
      <c r="F258" s="32" t="n">
        <v>9951587183</v>
      </c>
      <c r="G258" s="32" t="s">
        <v>80</v>
      </c>
      <c r="H258" s="32" t="s">
        <v>22</v>
      </c>
      <c r="I258" s="32" t="s">
        <v>145</v>
      </c>
      <c r="J258" s="32" t="s">
        <v>117</v>
      </c>
      <c r="K258" s="32" t="s">
        <v>63</v>
      </c>
    </row>
    <row r="259" customFormat="false" ht="13.5" hidden="false" customHeight="true" outlineLevel="0" collapsed="false">
      <c r="A259" s="32" t="n">
        <v>2093</v>
      </c>
      <c r="B259" s="32" t="s">
        <v>358</v>
      </c>
      <c r="C259" s="32" t="s">
        <v>360</v>
      </c>
      <c r="D259" s="32" t="s">
        <v>114</v>
      </c>
      <c r="E259" s="32" t="s">
        <v>165</v>
      </c>
      <c r="F259" s="32" t="n">
        <v>9951587183</v>
      </c>
      <c r="G259" s="32" t="s">
        <v>80</v>
      </c>
      <c r="H259" s="32" t="s">
        <v>22</v>
      </c>
      <c r="I259" s="32" t="s">
        <v>108</v>
      </c>
      <c r="J259" s="32" t="s">
        <v>71</v>
      </c>
      <c r="K259" s="32" t="s">
        <v>63</v>
      </c>
    </row>
    <row r="260" customFormat="false" ht="13.5" hidden="false" customHeight="true" outlineLevel="0" collapsed="false">
      <c r="A260" s="32" t="n">
        <v>2094</v>
      </c>
      <c r="B260" s="32" t="s">
        <v>358</v>
      </c>
      <c r="C260" s="32" t="s">
        <v>359</v>
      </c>
      <c r="D260" s="32" t="s">
        <v>114</v>
      </c>
      <c r="E260" s="32" t="s">
        <v>165</v>
      </c>
      <c r="F260" s="32" t="n">
        <v>9951587183</v>
      </c>
      <c r="G260" s="32" t="s">
        <v>80</v>
      </c>
      <c r="H260" s="32" t="s">
        <v>22</v>
      </c>
      <c r="I260" s="32" t="s">
        <v>27</v>
      </c>
      <c r="J260" s="32" t="s">
        <v>13</v>
      </c>
      <c r="K260" s="32" t="s">
        <v>63</v>
      </c>
    </row>
    <row r="261" customFormat="false" ht="13.5" hidden="false" customHeight="true" outlineLevel="0" collapsed="false">
      <c r="A261" s="32" t="n">
        <v>2095</v>
      </c>
      <c r="B261" s="32" t="s">
        <v>358</v>
      </c>
      <c r="C261" s="32" t="s">
        <v>359</v>
      </c>
      <c r="D261" s="32" t="s">
        <v>114</v>
      </c>
      <c r="E261" s="32" t="s">
        <v>165</v>
      </c>
      <c r="F261" s="32" t="n">
        <v>9951587183</v>
      </c>
      <c r="G261" s="32" t="s">
        <v>80</v>
      </c>
      <c r="H261" s="32" t="s">
        <v>22</v>
      </c>
      <c r="I261" s="32" t="s">
        <v>93</v>
      </c>
      <c r="J261" s="32" t="s">
        <v>85</v>
      </c>
      <c r="K261" s="32" t="s">
        <v>63</v>
      </c>
    </row>
    <row r="262" customFormat="false" ht="13.5" hidden="false" customHeight="true" outlineLevel="0" collapsed="false">
      <c r="A262" s="32" t="n">
        <v>2096</v>
      </c>
      <c r="B262" s="32" t="s">
        <v>358</v>
      </c>
      <c r="C262" s="32" t="s">
        <v>359</v>
      </c>
      <c r="D262" s="32" t="s">
        <v>114</v>
      </c>
      <c r="E262" s="32" t="s">
        <v>165</v>
      </c>
      <c r="F262" s="32" t="n">
        <v>9951587183</v>
      </c>
      <c r="G262" s="32" t="s">
        <v>80</v>
      </c>
      <c r="H262" s="32" t="s">
        <v>22</v>
      </c>
      <c r="I262" s="32" t="s">
        <v>133</v>
      </c>
      <c r="J262" s="32" t="s">
        <v>134</v>
      </c>
      <c r="K262" s="32" t="s">
        <v>63</v>
      </c>
    </row>
    <row r="263" customFormat="false" ht="13.5" hidden="false" customHeight="true" outlineLevel="0" collapsed="false">
      <c r="A263" s="32" t="n">
        <v>2097</v>
      </c>
      <c r="B263" s="32" t="s">
        <v>361</v>
      </c>
      <c r="C263" s="32" t="s">
        <v>362</v>
      </c>
      <c r="D263" s="32" t="s">
        <v>59</v>
      </c>
      <c r="E263" s="32" t="n">
        <v>0</v>
      </c>
      <c r="F263" s="32" t="n">
        <v>9743301214</v>
      </c>
      <c r="G263" s="32" t="s">
        <v>61</v>
      </c>
      <c r="H263" s="32" t="s">
        <v>21</v>
      </c>
      <c r="I263" s="32" t="s">
        <v>93</v>
      </c>
      <c r="J263" s="32" t="s">
        <v>85</v>
      </c>
      <c r="K263" s="32" t="s">
        <v>63</v>
      </c>
    </row>
    <row r="264" customFormat="false" ht="13.5" hidden="false" customHeight="true" outlineLevel="0" collapsed="false">
      <c r="A264" s="32" t="n">
        <v>2098</v>
      </c>
      <c r="B264" s="32" t="s">
        <v>361</v>
      </c>
      <c r="C264" s="32" t="s">
        <v>363</v>
      </c>
      <c r="D264" s="32" t="s">
        <v>59</v>
      </c>
      <c r="E264" s="32" t="n">
        <v>0</v>
      </c>
      <c r="F264" s="32" t="n">
        <v>9743301214</v>
      </c>
      <c r="G264" s="32" t="s">
        <v>61</v>
      </c>
      <c r="H264" s="32" t="s">
        <v>21</v>
      </c>
      <c r="I264" s="32" t="s">
        <v>151</v>
      </c>
      <c r="J264" s="32" t="s">
        <v>152</v>
      </c>
      <c r="K264" s="32" t="s">
        <v>63</v>
      </c>
    </row>
    <row r="265" customFormat="false" ht="13.5" hidden="false" customHeight="true" outlineLevel="0" collapsed="false">
      <c r="A265" s="32" t="n">
        <v>2100</v>
      </c>
      <c r="B265" s="32" t="s">
        <v>361</v>
      </c>
      <c r="C265" s="32" t="s">
        <v>363</v>
      </c>
      <c r="D265" s="32" t="s">
        <v>59</v>
      </c>
      <c r="E265" s="32" t="n">
        <v>0</v>
      </c>
      <c r="F265" s="32" t="n">
        <v>9743301214</v>
      </c>
      <c r="G265" s="32" t="s">
        <v>61</v>
      </c>
      <c r="H265" s="32" t="s">
        <v>21</v>
      </c>
      <c r="I265" s="32" t="s">
        <v>146</v>
      </c>
      <c r="J265" s="32" t="s">
        <v>117</v>
      </c>
      <c r="K265" s="32" t="s">
        <v>63</v>
      </c>
    </row>
    <row r="266" customFormat="false" ht="13.5" hidden="false" customHeight="true" outlineLevel="0" collapsed="false">
      <c r="A266" s="32" t="n">
        <v>2103</v>
      </c>
      <c r="B266" s="32" t="s">
        <v>361</v>
      </c>
      <c r="C266" s="32" t="s">
        <v>363</v>
      </c>
      <c r="D266" s="32" t="s">
        <v>59</v>
      </c>
      <c r="E266" s="32" t="n">
        <v>0</v>
      </c>
      <c r="F266" s="32" t="n">
        <v>9743301214</v>
      </c>
      <c r="G266" s="32" t="s">
        <v>61</v>
      </c>
      <c r="H266" s="32" t="s">
        <v>21</v>
      </c>
      <c r="I266" s="32" t="s">
        <v>284</v>
      </c>
      <c r="J266" s="32" t="s">
        <v>117</v>
      </c>
      <c r="K266" s="32" t="s">
        <v>63</v>
      </c>
    </row>
    <row r="267" customFormat="false" ht="13.5" hidden="false" customHeight="true" outlineLevel="0" collapsed="false">
      <c r="A267" s="32" t="n">
        <v>2104</v>
      </c>
      <c r="B267" s="32" t="s">
        <v>364</v>
      </c>
      <c r="C267" s="32" t="s">
        <v>365</v>
      </c>
      <c r="D267" s="32" t="s">
        <v>331</v>
      </c>
      <c r="E267" s="32" t="s">
        <v>366</v>
      </c>
      <c r="F267" s="32" t="n">
        <v>9999764955</v>
      </c>
      <c r="G267" s="32" t="s">
        <v>144</v>
      </c>
      <c r="H267" s="32" t="s">
        <v>332</v>
      </c>
      <c r="I267" s="32" t="s">
        <v>149</v>
      </c>
      <c r="J267" s="32" t="s">
        <v>73</v>
      </c>
      <c r="K267" s="32" t="s">
        <v>63</v>
      </c>
    </row>
    <row r="268" customFormat="false" ht="13.5" hidden="false" customHeight="true" outlineLevel="0" collapsed="false">
      <c r="A268" s="32" t="n">
        <v>2105</v>
      </c>
      <c r="B268" s="32" t="s">
        <v>364</v>
      </c>
      <c r="C268" s="32" t="s">
        <v>365</v>
      </c>
      <c r="D268" s="32" t="s">
        <v>331</v>
      </c>
      <c r="E268" s="32" t="s">
        <v>366</v>
      </c>
      <c r="F268" s="32" t="n">
        <v>9999764955</v>
      </c>
      <c r="G268" s="32" t="s">
        <v>144</v>
      </c>
      <c r="H268" s="32" t="s">
        <v>332</v>
      </c>
      <c r="I268" s="32" t="s">
        <v>16</v>
      </c>
      <c r="J268" s="32" t="s">
        <v>73</v>
      </c>
      <c r="K268" s="32" t="s">
        <v>63</v>
      </c>
    </row>
    <row r="269" customFormat="false" ht="13.5" hidden="false" customHeight="true" outlineLevel="0" collapsed="false">
      <c r="A269" s="32" t="n">
        <v>2106</v>
      </c>
      <c r="B269" s="32" t="s">
        <v>364</v>
      </c>
      <c r="C269" s="32" t="s">
        <v>365</v>
      </c>
      <c r="D269" s="32" t="s">
        <v>331</v>
      </c>
      <c r="E269" s="32" t="s">
        <v>366</v>
      </c>
      <c r="F269" s="32" t="n">
        <v>9999764955</v>
      </c>
      <c r="G269" s="32" t="s">
        <v>144</v>
      </c>
      <c r="H269" s="32" t="s">
        <v>332</v>
      </c>
      <c r="I269" s="32" t="s">
        <v>150</v>
      </c>
      <c r="J269" s="32" t="s">
        <v>73</v>
      </c>
      <c r="K269" s="32" t="s">
        <v>63</v>
      </c>
    </row>
    <row r="270" customFormat="false" ht="13.5" hidden="false" customHeight="true" outlineLevel="0" collapsed="false">
      <c r="A270" s="32" t="n">
        <v>2107</v>
      </c>
      <c r="B270" s="32" t="s">
        <v>364</v>
      </c>
      <c r="C270" s="32" t="s">
        <v>365</v>
      </c>
      <c r="D270" s="32" t="s">
        <v>331</v>
      </c>
      <c r="E270" s="32" t="s">
        <v>366</v>
      </c>
      <c r="F270" s="32" t="n">
        <v>9999764955</v>
      </c>
      <c r="G270" s="32" t="s">
        <v>144</v>
      </c>
      <c r="H270" s="32" t="s">
        <v>332</v>
      </c>
      <c r="I270" s="32" t="s">
        <v>212</v>
      </c>
      <c r="J270" s="32" t="s">
        <v>73</v>
      </c>
      <c r="K270" s="32" t="s">
        <v>63</v>
      </c>
    </row>
    <row r="271" customFormat="false" ht="13.5" hidden="false" customHeight="true" outlineLevel="0" collapsed="false">
      <c r="A271" s="32" t="n">
        <v>2108</v>
      </c>
      <c r="B271" s="32" t="s">
        <v>367</v>
      </c>
      <c r="C271" s="32" t="s">
        <v>368</v>
      </c>
      <c r="D271" s="32" t="s">
        <v>114</v>
      </c>
      <c r="E271" s="32" t="s">
        <v>169</v>
      </c>
      <c r="F271" s="32" t="n">
        <v>7899433840</v>
      </c>
      <c r="G271" s="32" t="s">
        <v>144</v>
      </c>
      <c r="H271" s="32" t="s">
        <v>22</v>
      </c>
      <c r="I271" s="32" t="s">
        <v>130</v>
      </c>
      <c r="J271" s="32" t="s">
        <v>130</v>
      </c>
      <c r="K271" s="32" t="s">
        <v>63</v>
      </c>
    </row>
    <row r="272" customFormat="false" ht="13.5" hidden="false" customHeight="true" outlineLevel="0" collapsed="false">
      <c r="A272" s="32" t="n">
        <v>2110</v>
      </c>
      <c r="B272" s="32" t="s">
        <v>369</v>
      </c>
      <c r="C272" s="32" t="s">
        <v>370</v>
      </c>
      <c r="D272" s="32" t="s">
        <v>114</v>
      </c>
      <c r="E272" s="32" t="s">
        <v>115</v>
      </c>
      <c r="F272" s="32" t="n">
        <v>9650629577</v>
      </c>
      <c r="G272" s="32" t="s">
        <v>144</v>
      </c>
      <c r="H272" s="32" t="s">
        <v>22</v>
      </c>
      <c r="I272" s="32" t="s">
        <v>371</v>
      </c>
      <c r="J272" s="32" t="s">
        <v>152</v>
      </c>
      <c r="K272" s="32" t="s">
        <v>63</v>
      </c>
    </row>
    <row r="273" customFormat="false" ht="13.5" hidden="false" customHeight="true" outlineLevel="0" collapsed="false">
      <c r="A273" s="32" t="n">
        <v>2111</v>
      </c>
      <c r="B273" s="32" t="s">
        <v>369</v>
      </c>
      <c r="C273" s="32" t="s">
        <v>372</v>
      </c>
      <c r="D273" s="32" t="s">
        <v>114</v>
      </c>
      <c r="E273" s="32" t="s">
        <v>115</v>
      </c>
      <c r="F273" s="32" t="n">
        <v>9650629577</v>
      </c>
      <c r="G273" s="32" t="s">
        <v>144</v>
      </c>
      <c r="H273" s="32" t="s">
        <v>22</v>
      </c>
      <c r="I273" s="32" t="s">
        <v>284</v>
      </c>
      <c r="J273" s="32" t="s">
        <v>117</v>
      </c>
      <c r="K273" s="32" t="s">
        <v>63</v>
      </c>
    </row>
    <row r="274" customFormat="false" ht="13.5" hidden="false" customHeight="true" outlineLevel="0" collapsed="false">
      <c r="A274" s="32" t="n">
        <v>2112</v>
      </c>
      <c r="B274" s="32" t="s">
        <v>369</v>
      </c>
      <c r="C274" s="32" t="s">
        <v>372</v>
      </c>
      <c r="D274" s="32" t="s">
        <v>114</v>
      </c>
      <c r="E274" s="32" t="s">
        <v>115</v>
      </c>
      <c r="F274" s="32" t="n">
        <v>9650629577</v>
      </c>
      <c r="G274" s="32" t="s">
        <v>144</v>
      </c>
      <c r="H274" s="32" t="s">
        <v>22</v>
      </c>
      <c r="I274" s="32" t="s">
        <v>133</v>
      </c>
      <c r="J274" s="32" t="s">
        <v>134</v>
      </c>
      <c r="K274" s="32" t="s">
        <v>63</v>
      </c>
    </row>
    <row r="275" customFormat="false" ht="13.5" hidden="false" customHeight="true" outlineLevel="0" collapsed="false">
      <c r="A275" s="32" t="n">
        <v>2113</v>
      </c>
      <c r="B275" s="32" t="s">
        <v>373</v>
      </c>
      <c r="C275" s="32" t="s">
        <v>374</v>
      </c>
      <c r="D275" s="32" t="s">
        <v>59</v>
      </c>
      <c r="E275" s="32" t="s">
        <v>107</v>
      </c>
      <c r="F275" s="32" t="n">
        <v>9052664441</v>
      </c>
      <c r="G275" s="32" t="s">
        <v>144</v>
      </c>
      <c r="H275" s="32" t="s">
        <v>21</v>
      </c>
      <c r="I275" s="32" t="s">
        <v>121</v>
      </c>
      <c r="J275" s="32" t="s">
        <v>110</v>
      </c>
      <c r="K275" s="32" t="s">
        <v>63</v>
      </c>
    </row>
    <row r="276" customFormat="false" ht="13.5" hidden="false" customHeight="true" outlineLevel="0" collapsed="false">
      <c r="A276" s="32" t="n">
        <v>2114</v>
      </c>
      <c r="B276" s="32" t="s">
        <v>373</v>
      </c>
      <c r="C276" s="32" t="s">
        <v>374</v>
      </c>
      <c r="D276" s="32" t="s">
        <v>59</v>
      </c>
      <c r="E276" s="32" t="s">
        <v>107</v>
      </c>
      <c r="F276" s="32" t="n">
        <v>9052664441</v>
      </c>
      <c r="G276" s="32" t="s">
        <v>144</v>
      </c>
      <c r="H276" s="32" t="s">
        <v>21</v>
      </c>
      <c r="I276" s="32" t="s">
        <v>145</v>
      </c>
      <c r="J276" s="32" t="s">
        <v>117</v>
      </c>
      <c r="K276" s="32" t="s">
        <v>63</v>
      </c>
    </row>
    <row r="277" customFormat="false" ht="13.5" hidden="false" customHeight="true" outlineLevel="0" collapsed="false">
      <c r="A277" s="32" t="n">
        <v>2115</v>
      </c>
      <c r="B277" s="32" t="s">
        <v>373</v>
      </c>
      <c r="C277" s="32" t="s">
        <v>374</v>
      </c>
      <c r="D277" s="32" t="s">
        <v>59</v>
      </c>
      <c r="E277" s="32" t="s">
        <v>107</v>
      </c>
      <c r="F277" s="32" t="n">
        <v>9052664441</v>
      </c>
      <c r="G277" s="32" t="s">
        <v>144</v>
      </c>
      <c r="H277" s="32" t="s">
        <v>21</v>
      </c>
      <c r="I277" s="32" t="s">
        <v>133</v>
      </c>
      <c r="J277" s="32" t="s">
        <v>134</v>
      </c>
      <c r="K277" s="32" t="s">
        <v>63</v>
      </c>
    </row>
    <row r="278" customFormat="false" ht="13.5" hidden="false" customHeight="true" outlineLevel="0" collapsed="false">
      <c r="A278" s="32" t="n">
        <v>2116</v>
      </c>
      <c r="B278" s="32" t="s">
        <v>375</v>
      </c>
      <c r="C278" s="32" t="s">
        <v>376</v>
      </c>
      <c r="D278" s="32" t="s">
        <v>114</v>
      </c>
      <c r="E278" s="32" t="s">
        <v>377</v>
      </c>
      <c r="F278" s="32" t="n">
        <v>9000447654</v>
      </c>
      <c r="G278" s="32" t="s">
        <v>80</v>
      </c>
      <c r="H278" s="32" t="s">
        <v>22</v>
      </c>
      <c r="I278" s="32" t="s">
        <v>171</v>
      </c>
      <c r="J278" s="32" t="s">
        <v>152</v>
      </c>
      <c r="K278" s="32" t="s">
        <v>63</v>
      </c>
    </row>
    <row r="279" customFormat="false" ht="13.5" hidden="false" customHeight="true" outlineLevel="0" collapsed="false">
      <c r="A279" s="32" t="n">
        <v>2117</v>
      </c>
      <c r="B279" s="32" t="s">
        <v>378</v>
      </c>
      <c r="C279" s="32" t="s">
        <v>379</v>
      </c>
      <c r="D279" s="32" t="s">
        <v>59</v>
      </c>
      <c r="E279" s="32" t="s">
        <v>143</v>
      </c>
      <c r="F279" s="32" t="n">
        <v>8059230817</v>
      </c>
      <c r="G279" s="32" t="s">
        <v>144</v>
      </c>
      <c r="H279" s="32" t="s">
        <v>21</v>
      </c>
      <c r="I279" s="32" t="s">
        <v>75</v>
      </c>
      <c r="J279" s="32" t="s">
        <v>76</v>
      </c>
      <c r="K279" s="32" t="s">
        <v>63</v>
      </c>
    </row>
    <row r="280" customFormat="false" ht="13.5" hidden="false" customHeight="true" outlineLevel="0" collapsed="false">
      <c r="A280" s="32" t="n">
        <v>2118</v>
      </c>
      <c r="B280" s="32" t="s">
        <v>378</v>
      </c>
      <c r="C280" s="32" t="s">
        <v>379</v>
      </c>
      <c r="D280" s="32" t="s">
        <v>59</v>
      </c>
      <c r="E280" s="32" t="s">
        <v>143</v>
      </c>
      <c r="F280" s="32" t="n">
        <v>8059230817</v>
      </c>
      <c r="G280" s="32" t="s">
        <v>144</v>
      </c>
      <c r="H280" s="32" t="s">
        <v>21</v>
      </c>
      <c r="I280" s="32" t="s">
        <v>85</v>
      </c>
      <c r="J280" s="32" t="s">
        <v>85</v>
      </c>
      <c r="K280" s="32" t="s">
        <v>63</v>
      </c>
    </row>
    <row r="281" customFormat="false" ht="13.5" hidden="false" customHeight="true" outlineLevel="0" collapsed="false">
      <c r="A281" s="32" t="n">
        <v>2119</v>
      </c>
      <c r="B281" s="32" t="s">
        <v>378</v>
      </c>
      <c r="C281" s="32" t="s">
        <v>380</v>
      </c>
      <c r="D281" s="32" t="s">
        <v>59</v>
      </c>
      <c r="E281" s="32" t="s">
        <v>143</v>
      </c>
      <c r="F281" s="32" t="n">
        <v>8059230817</v>
      </c>
      <c r="G281" s="32" t="s">
        <v>144</v>
      </c>
      <c r="H281" s="32" t="s">
        <v>21</v>
      </c>
      <c r="I281" s="32" t="s">
        <v>156</v>
      </c>
      <c r="J281" s="32" t="s">
        <v>62</v>
      </c>
      <c r="K281" s="32" t="s">
        <v>63</v>
      </c>
    </row>
    <row r="282" customFormat="false" ht="13.5" hidden="false" customHeight="true" outlineLevel="0" collapsed="false">
      <c r="A282" s="32" t="n">
        <v>2120</v>
      </c>
      <c r="B282" s="32" t="s">
        <v>378</v>
      </c>
      <c r="C282" s="32" t="s">
        <v>380</v>
      </c>
      <c r="D282" s="32" t="s">
        <v>59</v>
      </c>
      <c r="E282" s="32" t="s">
        <v>143</v>
      </c>
      <c r="F282" s="32" t="n">
        <v>8059230817</v>
      </c>
      <c r="G282" s="32" t="s">
        <v>144</v>
      </c>
      <c r="H282" s="32" t="s">
        <v>21</v>
      </c>
      <c r="I282" s="32" t="s">
        <v>381</v>
      </c>
      <c r="J282" s="32" t="s">
        <v>66</v>
      </c>
      <c r="K282" s="32" t="s">
        <v>63</v>
      </c>
    </row>
    <row r="283" customFormat="false" ht="13.5" hidden="false" customHeight="true" outlineLevel="0" collapsed="false">
      <c r="A283" s="32" t="n">
        <v>2121</v>
      </c>
      <c r="B283" s="32" t="s">
        <v>378</v>
      </c>
      <c r="C283" s="32" t="s">
        <v>382</v>
      </c>
      <c r="D283" s="32" t="s">
        <v>59</v>
      </c>
      <c r="E283" s="32" t="s">
        <v>143</v>
      </c>
      <c r="F283" s="32" t="n">
        <v>8059230817</v>
      </c>
      <c r="G283" s="32" t="s">
        <v>144</v>
      </c>
      <c r="H283" s="32" t="s">
        <v>21</v>
      </c>
      <c r="I283" s="32" t="s">
        <v>14</v>
      </c>
      <c r="J283" s="32" t="s">
        <v>66</v>
      </c>
      <c r="K283" s="32" t="s">
        <v>63</v>
      </c>
    </row>
    <row r="284" customFormat="false" ht="13.5" hidden="false" customHeight="true" outlineLevel="0" collapsed="false">
      <c r="A284" s="32" t="n">
        <v>2122</v>
      </c>
      <c r="B284" s="32" t="s">
        <v>378</v>
      </c>
      <c r="C284" s="32" t="s">
        <v>382</v>
      </c>
      <c r="D284" s="32" t="s">
        <v>59</v>
      </c>
      <c r="E284" s="32" t="s">
        <v>143</v>
      </c>
      <c r="F284" s="32" t="n">
        <v>8059230817</v>
      </c>
      <c r="G284" s="32" t="s">
        <v>144</v>
      </c>
      <c r="H284" s="32" t="s">
        <v>21</v>
      </c>
      <c r="I284" s="32" t="s">
        <v>29</v>
      </c>
      <c r="J284" s="32" t="s">
        <v>62</v>
      </c>
      <c r="K284" s="32" t="s">
        <v>63</v>
      </c>
    </row>
    <row r="285" customFormat="false" ht="13.5" hidden="false" customHeight="true" outlineLevel="0" collapsed="false">
      <c r="A285" s="32" t="n">
        <v>2123</v>
      </c>
      <c r="B285" s="32" t="s">
        <v>378</v>
      </c>
      <c r="C285" s="32" t="s">
        <v>382</v>
      </c>
      <c r="D285" s="32" t="s">
        <v>59</v>
      </c>
      <c r="E285" s="32" t="s">
        <v>143</v>
      </c>
      <c r="F285" s="32" t="n">
        <v>8059230817</v>
      </c>
      <c r="G285" s="32" t="s">
        <v>144</v>
      </c>
      <c r="H285" s="32" t="s">
        <v>21</v>
      </c>
      <c r="I285" s="32" t="s">
        <v>64</v>
      </c>
      <c r="J285" s="32" t="s">
        <v>62</v>
      </c>
      <c r="K285" s="32" t="s">
        <v>63</v>
      </c>
    </row>
    <row r="286" customFormat="false" ht="13.5" hidden="false" customHeight="true" outlineLevel="0" collapsed="false">
      <c r="A286" s="32" t="n">
        <v>2124</v>
      </c>
      <c r="B286" s="32" t="s">
        <v>378</v>
      </c>
      <c r="C286" s="32" t="s">
        <v>382</v>
      </c>
      <c r="D286" s="32" t="s">
        <v>59</v>
      </c>
      <c r="E286" s="32" t="s">
        <v>143</v>
      </c>
      <c r="F286" s="32" t="n">
        <v>8059230817</v>
      </c>
      <c r="G286" s="32" t="s">
        <v>144</v>
      </c>
      <c r="H286" s="32" t="s">
        <v>21</v>
      </c>
      <c r="I286" s="32" t="s">
        <v>166</v>
      </c>
      <c r="J286" s="32" t="s">
        <v>66</v>
      </c>
      <c r="K286" s="32" t="s">
        <v>63</v>
      </c>
    </row>
    <row r="287" customFormat="false" ht="13.5" hidden="false" customHeight="true" outlineLevel="0" collapsed="false">
      <c r="A287" s="32" t="n">
        <v>2125</v>
      </c>
      <c r="B287" s="32" t="s">
        <v>383</v>
      </c>
      <c r="C287" s="32" t="s">
        <v>384</v>
      </c>
      <c r="D287" s="32" t="s">
        <v>114</v>
      </c>
      <c r="E287" s="32" t="s">
        <v>165</v>
      </c>
      <c r="F287" s="32" t="n">
        <v>0</v>
      </c>
      <c r="G287" s="32" t="s">
        <v>61</v>
      </c>
      <c r="H287" s="32" t="s">
        <v>22</v>
      </c>
      <c r="I287" s="32" t="s">
        <v>385</v>
      </c>
      <c r="J287" s="32" t="s">
        <v>71</v>
      </c>
      <c r="K287" s="32" t="s">
        <v>63</v>
      </c>
    </row>
    <row r="288" customFormat="false" ht="13.5" hidden="false" customHeight="true" outlineLevel="0" collapsed="false">
      <c r="A288" s="32" t="n">
        <v>2126</v>
      </c>
      <c r="B288" s="32" t="s">
        <v>383</v>
      </c>
      <c r="C288" s="32" t="s">
        <v>384</v>
      </c>
      <c r="D288" s="32" t="s">
        <v>114</v>
      </c>
      <c r="E288" s="32" t="s">
        <v>165</v>
      </c>
      <c r="F288" s="32" t="n">
        <v>0</v>
      </c>
      <c r="G288" s="32" t="s">
        <v>181</v>
      </c>
      <c r="H288" s="32" t="s">
        <v>22</v>
      </c>
      <c r="I288" s="32" t="s">
        <v>386</v>
      </c>
      <c r="J288" s="32" t="s">
        <v>132</v>
      </c>
      <c r="K288" s="32" t="s">
        <v>63</v>
      </c>
    </row>
    <row r="289" customFormat="false" ht="13.5" hidden="false" customHeight="true" outlineLevel="0" collapsed="false">
      <c r="A289" s="32" t="n">
        <v>2127</v>
      </c>
      <c r="B289" s="32" t="s">
        <v>383</v>
      </c>
      <c r="C289" s="32" t="s">
        <v>384</v>
      </c>
      <c r="D289" s="32" t="s">
        <v>114</v>
      </c>
      <c r="E289" s="32" t="s">
        <v>165</v>
      </c>
      <c r="F289" s="32" t="n">
        <v>0</v>
      </c>
      <c r="G289" s="32" t="s">
        <v>61</v>
      </c>
      <c r="H289" s="32" t="s">
        <v>22</v>
      </c>
      <c r="I289" s="32" t="s">
        <v>387</v>
      </c>
      <c r="J289" s="32" t="s">
        <v>388</v>
      </c>
      <c r="K289" s="32" t="s">
        <v>63</v>
      </c>
    </row>
    <row r="290" customFormat="false" ht="13.5" hidden="false" customHeight="true" outlineLevel="0" collapsed="false">
      <c r="A290" s="32" t="n">
        <v>2128</v>
      </c>
      <c r="B290" s="32" t="s">
        <v>383</v>
      </c>
      <c r="C290" s="32" t="s">
        <v>384</v>
      </c>
      <c r="D290" s="32" t="s">
        <v>114</v>
      </c>
      <c r="E290" s="32" t="s">
        <v>165</v>
      </c>
      <c r="F290" s="32" t="n">
        <v>0</v>
      </c>
      <c r="G290" s="32" t="s">
        <v>61</v>
      </c>
      <c r="H290" s="32" t="s">
        <v>22</v>
      </c>
      <c r="I290" s="32" t="s">
        <v>389</v>
      </c>
      <c r="J290" s="32" t="s">
        <v>389</v>
      </c>
      <c r="K290" s="32" t="s">
        <v>63</v>
      </c>
    </row>
    <row r="291" customFormat="false" ht="13.5" hidden="false" customHeight="true" outlineLevel="0" collapsed="false">
      <c r="A291" s="32" t="n">
        <v>2129</v>
      </c>
      <c r="B291" s="32" t="s">
        <v>390</v>
      </c>
      <c r="C291" s="32" t="s">
        <v>391</v>
      </c>
      <c r="D291" s="32" t="s">
        <v>114</v>
      </c>
      <c r="E291" s="32" t="s">
        <v>124</v>
      </c>
      <c r="F291" s="33" t="n">
        <v>917022000000</v>
      </c>
      <c r="G291" s="32" t="s">
        <v>80</v>
      </c>
      <c r="H291" s="32" t="s">
        <v>22</v>
      </c>
      <c r="I291" s="32" t="s">
        <v>386</v>
      </c>
      <c r="J291" s="32" t="s">
        <v>132</v>
      </c>
      <c r="K291" s="32" t="s">
        <v>63</v>
      </c>
    </row>
    <row r="292" customFormat="false" ht="13.5" hidden="false" customHeight="true" outlineLevel="0" collapsed="false">
      <c r="A292" s="32" t="n">
        <v>2130</v>
      </c>
      <c r="B292" s="32" t="s">
        <v>390</v>
      </c>
      <c r="C292" s="32" t="s">
        <v>391</v>
      </c>
      <c r="D292" s="32" t="s">
        <v>114</v>
      </c>
      <c r="E292" s="32" t="s">
        <v>124</v>
      </c>
      <c r="F292" s="33" t="n">
        <v>917022000000</v>
      </c>
      <c r="G292" s="32" t="s">
        <v>181</v>
      </c>
      <c r="H292" s="32" t="s">
        <v>22</v>
      </c>
      <c r="I292" s="32" t="s">
        <v>392</v>
      </c>
      <c r="J292" s="32" t="s">
        <v>99</v>
      </c>
      <c r="K292" s="32" t="s">
        <v>63</v>
      </c>
    </row>
    <row r="293" customFormat="false" ht="13.5" hidden="false" customHeight="true" outlineLevel="0" collapsed="false">
      <c r="A293" s="32" t="n">
        <v>2131</v>
      </c>
      <c r="B293" s="32" t="s">
        <v>390</v>
      </c>
      <c r="C293" s="32" t="s">
        <v>391</v>
      </c>
      <c r="D293" s="32" t="s">
        <v>114</v>
      </c>
      <c r="E293" s="32" t="s">
        <v>124</v>
      </c>
      <c r="F293" s="33" t="n">
        <v>917022000000</v>
      </c>
      <c r="G293" s="32" t="s">
        <v>80</v>
      </c>
      <c r="H293" s="32" t="s">
        <v>22</v>
      </c>
      <c r="I293" s="32" t="s">
        <v>98</v>
      </c>
      <c r="J293" s="32" t="s">
        <v>99</v>
      </c>
      <c r="K293" s="32" t="s">
        <v>63</v>
      </c>
    </row>
    <row r="294" customFormat="false" ht="13.5" hidden="false" customHeight="true" outlineLevel="0" collapsed="false">
      <c r="A294" s="32" t="n">
        <v>2132</v>
      </c>
      <c r="B294" s="32" t="s">
        <v>390</v>
      </c>
      <c r="C294" s="32" t="s">
        <v>391</v>
      </c>
      <c r="D294" s="32" t="s">
        <v>114</v>
      </c>
      <c r="E294" s="32" t="s">
        <v>124</v>
      </c>
      <c r="F294" s="33" t="n">
        <v>917022000000</v>
      </c>
      <c r="G294" s="32" t="s">
        <v>61</v>
      </c>
      <c r="H294" s="32" t="s">
        <v>22</v>
      </c>
      <c r="I294" s="32" t="s">
        <v>393</v>
      </c>
      <c r="J294" s="32" t="s">
        <v>73</v>
      </c>
      <c r="K294" s="32" t="s">
        <v>63</v>
      </c>
    </row>
    <row r="295" customFormat="false" ht="13.5" hidden="false" customHeight="true" outlineLevel="0" collapsed="false">
      <c r="A295" s="32" t="n">
        <v>2133</v>
      </c>
      <c r="B295" s="32" t="s">
        <v>390</v>
      </c>
      <c r="C295" s="32" t="s">
        <v>391</v>
      </c>
      <c r="D295" s="32" t="s">
        <v>114</v>
      </c>
      <c r="E295" s="32" t="s">
        <v>124</v>
      </c>
      <c r="F295" s="33" t="n">
        <v>917022000000</v>
      </c>
      <c r="G295" s="32" t="s">
        <v>61</v>
      </c>
      <c r="H295" s="32" t="s">
        <v>22</v>
      </c>
      <c r="I295" s="32" t="s">
        <v>171</v>
      </c>
      <c r="J295" s="32" t="s">
        <v>152</v>
      </c>
      <c r="K295" s="32" t="s">
        <v>63</v>
      </c>
    </row>
    <row r="296" customFormat="false" ht="13.5" hidden="false" customHeight="true" outlineLevel="0" collapsed="false">
      <c r="A296" s="32" t="n">
        <v>2134</v>
      </c>
      <c r="B296" s="32" t="s">
        <v>390</v>
      </c>
      <c r="C296" s="32" t="s">
        <v>391</v>
      </c>
      <c r="D296" s="32" t="s">
        <v>114</v>
      </c>
      <c r="E296" s="32" t="s">
        <v>124</v>
      </c>
      <c r="F296" s="33" t="n">
        <v>917022000000</v>
      </c>
      <c r="G296" s="32" t="s">
        <v>61</v>
      </c>
      <c r="H296" s="32" t="s">
        <v>22</v>
      </c>
      <c r="I296" s="32" t="s">
        <v>131</v>
      </c>
      <c r="J296" s="32" t="s">
        <v>132</v>
      </c>
      <c r="K296" s="32" t="s">
        <v>63</v>
      </c>
    </row>
    <row r="297" customFormat="false" ht="13.5" hidden="false" customHeight="true" outlineLevel="0" collapsed="false">
      <c r="A297" s="32" t="n">
        <v>2135</v>
      </c>
      <c r="B297" s="32" t="s">
        <v>394</v>
      </c>
      <c r="C297" s="32" t="s">
        <v>395</v>
      </c>
      <c r="D297" s="32" t="s">
        <v>59</v>
      </c>
      <c r="E297" s="32" t="s">
        <v>92</v>
      </c>
      <c r="F297" s="32" t="n">
        <v>7439286171</v>
      </c>
      <c r="G297" s="32" t="s">
        <v>140</v>
      </c>
      <c r="H297" s="32" t="s">
        <v>21</v>
      </c>
      <c r="I297" s="32" t="s">
        <v>396</v>
      </c>
      <c r="J297" s="32" t="s">
        <v>132</v>
      </c>
      <c r="K297" s="32" t="s">
        <v>63</v>
      </c>
    </row>
    <row r="298" customFormat="false" ht="13.5" hidden="false" customHeight="true" outlineLevel="0" collapsed="false">
      <c r="A298" s="32" t="n">
        <v>2136</v>
      </c>
      <c r="B298" s="32" t="s">
        <v>394</v>
      </c>
      <c r="C298" s="32" t="s">
        <v>395</v>
      </c>
      <c r="D298" s="32" t="s">
        <v>59</v>
      </c>
      <c r="E298" s="32" t="s">
        <v>92</v>
      </c>
      <c r="F298" s="32" t="n">
        <v>7439286171</v>
      </c>
      <c r="G298" s="32" t="s">
        <v>140</v>
      </c>
      <c r="H298" s="32" t="s">
        <v>21</v>
      </c>
      <c r="I298" s="32" t="s">
        <v>145</v>
      </c>
      <c r="J298" s="32" t="s">
        <v>117</v>
      </c>
      <c r="K298" s="32" t="s">
        <v>63</v>
      </c>
    </row>
    <row r="299" customFormat="false" ht="13.5" hidden="false" customHeight="true" outlineLevel="0" collapsed="false">
      <c r="A299" s="32" t="n">
        <v>2137</v>
      </c>
      <c r="B299" s="32" t="s">
        <v>394</v>
      </c>
      <c r="C299" s="32" t="s">
        <v>395</v>
      </c>
      <c r="D299" s="32" t="s">
        <v>59</v>
      </c>
      <c r="E299" s="32" t="s">
        <v>92</v>
      </c>
      <c r="F299" s="32" t="n">
        <v>7439286171</v>
      </c>
      <c r="G299" s="32" t="s">
        <v>140</v>
      </c>
      <c r="H299" s="32" t="s">
        <v>21</v>
      </c>
      <c r="I299" s="32" t="s">
        <v>226</v>
      </c>
      <c r="J299" s="32" t="s">
        <v>110</v>
      </c>
      <c r="K299" s="32" t="s">
        <v>63</v>
      </c>
    </row>
    <row r="300" customFormat="false" ht="13.5" hidden="false" customHeight="true" outlineLevel="0" collapsed="false">
      <c r="A300" s="32" t="n">
        <v>2138</v>
      </c>
      <c r="B300" s="32" t="s">
        <v>394</v>
      </c>
      <c r="C300" s="32" t="s">
        <v>395</v>
      </c>
      <c r="D300" s="32" t="s">
        <v>59</v>
      </c>
      <c r="E300" s="32" t="s">
        <v>92</v>
      </c>
      <c r="F300" s="32" t="n">
        <v>7439286171</v>
      </c>
      <c r="G300" s="32" t="s">
        <v>140</v>
      </c>
      <c r="H300" s="32" t="s">
        <v>21</v>
      </c>
      <c r="I300" s="32" t="s">
        <v>85</v>
      </c>
      <c r="J300" s="32" t="s">
        <v>85</v>
      </c>
      <c r="K300" s="32" t="s">
        <v>63</v>
      </c>
    </row>
    <row r="301" customFormat="false" ht="13.5" hidden="false" customHeight="true" outlineLevel="0" collapsed="false">
      <c r="A301" s="32" t="n">
        <v>2139</v>
      </c>
      <c r="B301" s="32" t="s">
        <v>394</v>
      </c>
      <c r="C301" s="32" t="s">
        <v>397</v>
      </c>
      <c r="D301" s="32" t="s">
        <v>59</v>
      </c>
      <c r="E301" s="32" t="s">
        <v>92</v>
      </c>
      <c r="F301" s="32" t="n">
        <v>8444877063</v>
      </c>
      <c r="G301" s="32" t="s">
        <v>140</v>
      </c>
      <c r="H301" s="32" t="s">
        <v>21</v>
      </c>
      <c r="I301" s="32" t="s">
        <v>227</v>
      </c>
      <c r="J301" s="32" t="s">
        <v>228</v>
      </c>
      <c r="K301" s="32" t="s">
        <v>63</v>
      </c>
    </row>
    <row r="302" customFormat="false" ht="13.5" hidden="false" customHeight="true" outlineLevel="0" collapsed="false">
      <c r="A302" s="32" t="n">
        <v>2140</v>
      </c>
      <c r="B302" s="32" t="s">
        <v>394</v>
      </c>
      <c r="C302" s="32" t="s">
        <v>397</v>
      </c>
      <c r="D302" s="32" t="s">
        <v>59</v>
      </c>
      <c r="E302" s="32" t="s">
        <v>92</v>
      </c>
      <c r="F302" s="32" t="n">
        <v>8444877063</v>
      </c>
      <c r="G302" s="32" t="s">
        <v>140</v>
      </c>
      <c r="H302" s="32" t="s">
        <v>21</v>
      </c>
      <c r="I302" s="32" t="s">
        <v>398</v>
      </c>
      <c r="J302" s="32" t="s">
        <v>110</v>
      </c>
      <c r="K302" s="32" t="s">
        <v>63</v>
      </c>
    </row>
    <row r="303" customFormat="false" ht="13.5" hidden="false" customHeight="true" outlineLevel="0" collapsed="false">
      <c r="A303" s="32" t="n">
        <v>2141</v>
      </c>
      <c r="B303" s="32" t="s">
        <v>399</v>
      </c>
      <c r="C303" s="32" t="s">
        <v>400</v>
      </c>
      <c r="D303" s="32" t="s">
        <v>114</v>
      </c>
      <c r="E303" s="32" t="s">
        <v>165</v>
      </c>
      <c r="F303" s="32" t="n">
        <v>9163948507</v>
      </c>
      <c r="G303" s="32" t="s">
        <v>80</v>
      </c>
      <c r="H303" s="32" t="s">
        <v>22</v>
      </c>
      <c r="I303" s="32" t="s">
        <v>401</v>
      </c>
      <c r="J303" s="32" t="s">
        <v>82</v>
      </c>
      <c r="K303" s="32" t="s">
        <v>63</v>
      </c>
    </row>
    <row r="304" customFormat="false" ht="13.5" hidden="false" customHeight="true" outlineLevel="0" collapsed="false">
      <c r="A304" s="32" t="n">
        <v>2142</v>
      </c>
      <c r="B304" s="32" t="s">
        <v>399</v>
      </c>
      <c r="C304" s="32" t="s">
        <v>400</v>
      </c>
      <c r="D304" s="32" t="s">
        <v>114</v>
      </c>
      <c r="E304" s="32" t="s">
        <v>165</v>
      </c>
      <c r="F304" s="32" t="n">
        <v>9163948507</v>
      </c>
      <c r="G304" s="32" t="s">
        <v>80</v>
      </c>
      <c r="H304" s="32" t="s">
        <v>22</v>
      </c>
      <c r="I304" s="32" t="s">
        <v>16</v>
      </c>
      <c r="J304" s="32" t="s">
        <v>73</v>
      </c>
      <c r="K304" s="32" t="s">
        <v>63</v>
      </c>
    </row>
    <row r="305" customFormat="false" ht="13.5" hidden="false" customHeight="true" outlineLevel="0" collapsed="false">
      <c r="A305" s="32" t="n">
        <v>2143</v>
      </c>
      <c r="B305" s="32" t="s">
        <v>399</v>
      </c>
      <c r="C305" s="32" t="s">
        <v>400</v>
      </c>
      <c r="D305" s="32" t="s">
        <v>114</v>
      </c>
      <c r="E305" s="32" t="s">
        <v>165</v>
      </c>
      <c r="F305" s="32" t="n">
        <v>9163948507</v>
      </c>
      <c r="G305" s="32" t="s">
        <v>80</v>
      </c>
      <c r="H305" s="32" t="s">
        <v>22</v>
      </c>
      <c r="I305" s="32" t="s">
        <v>81</v>
      </c>
      <c r="J305" s="32" t="s">
        <v>82</v>
      </c>
      <c r="K305" s="32" t="s">
        <v>63</v>
      </c>
    </row>
    <row r="306" customFormat="false" ht="13.5" hidden="false" customHeight="true" outlineLevel="0" collapsed="false">
      <c r="A306" s="32" t="n">
        <v>2144</v>
      </c>
      <c r="B306" s="32" t="s">
        <v>399</v>
      </c>
      <c r="C306" s="32" t="s">
        <v>400</v>
      </c>
      <c r="D306" s="32" t="s">
        <v>114</v>
      </c>
      <c r="E306" s="32" t="s">
        <v>165</v>
      </c>
      <c r="F306" s="32" t="n">
        <v>9163948507</v>
      </c>
      <c r="G306" s="32" t="s">
        <v>80</v>
      </c>
      <c r="H306" s="32" t="s">
        <v>22</v>
      </c>
      <c r="I306" s="32" t="s">
        <v>28</v>
      </c>
      <c r="J306" s="32" t="s">
        <v>82</v>
      </c>
      <c r="K306" s="32" t="s">
        <v>63</v>
      </c>
    </row>
    <row r="307" customFormat="false" ht="13.5" hidden="false" customHeight="true" outlineLevel="0" collapsed="false">
      <c r="A307" s="32" t="n">
        <v>2145</v>
      </c>
      <c r="B307" s="32" t="s">
        <v>399</v>
      </c>
      <c r="C307" s="32" t="s">
        <v>400</v>
      </c>
      <c r="D307" s="32" t="s">
        <v>114</v>
      </c>
      <c r="E307" s="32" t="s">
        <v>165</v>
      </c>
      <c r="F307" s="32" t="n">
        <v>9163948507</v>
      </c>
      <c r="G307" s="32" t="s">
        <v>80</v>
      </c>
      <c r="H307" s="32" t="s">
        <v>22</v>
      </c>
      <c r="I307" s="32" t="s">
        <v>280</v>
      </c>
      <c r="J307" s="32" t="s">
        <v>76</v>
      </c>
      <c r="K307" s="32" t="s">
        <v>63</v>
      </c>
    </row>
    <row r="308" customFormat="false" ht="13.5" hidden="false" customHeight="true" outlineLevel="0" collapsed="false">
      <c r="A308" s="32" t="n">
        <v>2146</v>
      </c>
      <c r="B308" s="32" t="s">
        <v>402</v>
      </c>
      <c r="C308" s="32" t="s">
        <v>403</v>
      </c>
      <c r="D308" s="32" t="s">
        <v>114</v>
      </c>
      <c r="E308" s="32" t="s">
        <v>165</v>
      </c>
      <c r="F308" s="32" t="n">
        <v>9619160350</v>
      </c>
      <c r="G308" s="32" t="s">
        <v>104</v>
      </c>
      <c r="H308" s="32" t="s">
        <v>22</v>
      </c>
      <c r="I308" s="32" t="s">
        <v>151</v>
      </c>
      <c r="J308" s="32" t="s">
        <v>152</v>
      </c>
      <c r="K308" s="32" t="s">
        <v>63</v>
      </c>
    </row>
    <row r="309" customFormat="false" ht="13.5" hidden="false" customHeight="true" outlineLevel="0" collapsed="false">
      <c r="A309" s="32" t="n">
        <v>2147</v>
      </c>
      <c r="B309" s="32" t="s">
        <v>402</v>
      </c>
      <c r="C309" s="32" t="s">
        <v>403</v>
      </c>
      <c r="D309" s="32" t="s">
        <v>114</v>
      </c>
      <c r="E309" s="32" t="s">
        <v>165</v>
      </c>
      <c r="F309" s="32" t="n">
        <v>9619160350</v>
      </c>
      <c r="G309" s="32" t="s">
        <v>104</v>
      </c>
      <c r="H309" s="32" t="s">
        <v>22</v>
      </c>
      <c r="I309" s="32" t="s">
        <v>27</v>
      </c>
      <c r="J309" s="32" t="s">
        <v>13</v>
      </c>
      <c r="K309" s="32" t="s">
        <v>63</v>
      </c>
    </row>
    <row r="310" customFormat="false" ht="13.5" hidden="false" customHeight="true" outlineLevel="0" collapsed="false">
      <c r="A310" s="32" t="n">
        <v>2148</v>
      </c>
      <c r="B310" s="32" t="s">
        <v>402</v>
      </c>
      <c r="C310" s="32" t="s">
        <v>403</v>
      </c>
      <c r="D310" s="32" t="s">
        <v>114</v>
      </c>
      <c r="E310" s="32" t="s">
        <v>165</v>
      </c>
      <c r="F310" s="32" t="n">
        <v>9619160350</v>
      </c>
      <c r="G310" s="32" t="s">
        <v>104</v>
      </c>
      <c r="H310" s="32" t="s">
        <v>22</v>
      </c>
      <c r="I310" s="32" t="s">
        <v>151</v>
      </c>
      <c r="J310" s="32" t="s">
        <v>152</v>
      </c>
      <c r="K310" s="32" t="s">
        <v>63</v>
      </c>
    </row>
    <row r="311" customFormat="false" ht="13.5" hidden="false" customHeight="true" outlineLevel="0" collapsed="false">
      <c r="A311" s="32" t="n">
        <v>2149</v>
      </c>
      <c r="B311" s="32" t="s">
        <v>402</v>
      </c>
      <c r="C311" s="32" t="s">
        <v>403</v>
      </c>
      <c r="D311" s="32" t="s">
        <v>114</v>
      </c>
      <c r="E311" s="32" t="s">
        <v>165</v>
      </c>
      <c r="F311" s="32" t="n">
        <v>9619160350</v>
      </c>
      <c r="G311" s="32" t="s">
        <v>104</v>
      </c>
      <c r="H311" s="32" t="s">
        <v>22</v>
      </c>
      <c r="I311" s="32" t="s">
        <v>172</v>
      </c>
      <c r="J311" s="32" t="s">
        <v>152</v>
      </c>
      <c r="K311" s="32" t="s">
        <v>63</v>
      </c>
    </row>
    <row r="312" customFormat="false" ht="13.5" hidden="false" customHeight="true" outlineLevel="0" collapsed="false">
      <c r="A312" s="32" t="n">
        <v>2150</v>
      </c>
      <c r="B312" s="32" t="s">
        <v>404</v>
      </c>
      <c r="C312" s="32" t="s">
        <v>405</v>
      </c>
      <c r="D312" s="32" t="s">
        <v>59</v>
      </c>
      <c r="E312" s="32" t="s">
        <v>143</v>
      </c>
      <c r="F312" s="32" t="n">
        <v>0</v>
      </c>
      <c r="G312" s="32" t="s">
        <v>144</v>
      </c>
      <c r="H312" s="32" t="s">
        <v>21</v>
      </c>
      <c r="I312" s="32" t="s">
        <v>145</v>
      </c>
      <c r="J312" s="32" t="s">
        <v>117</v>
      </c>
      <c r="K312" s="32" t="s">
        <v>63</v>
      </c>
    </row>
    <row r="313" customFormat="false" ht="13.5" hidden="false" customHeight="true" outlineLevel="0" collapsed="false">
      <c r="A313" s="32" t="n">
        <v>2151</v>
      </c>
      <c r="B313" s="32" t="s">
        <v>404</v>
      </c>
      <c r="C313" s="32" t="s">
        <v>405</v>
      </c>
      <c r="D313" s="32" t="s">
        <v>59</v>
      </c>
      <c r="E313" s="32" t="s">
        <v>143</v>
      </c>
      <c r="F313" s="32" t="n">
        <v>0</v>
      </c>
      <c r="G313" s="32" t="s">
        <v>144</v>
      </c>
      <c r="H313" s="32" t="s">
        <v>21</v>
      </c>
      <c r="I313" s="32" t="s">
        <v>93</v>
      </c>
      <c r="J313" s="32" t="s">
        <v>85</v>
      </c>
      <c r="K313" s="32" t="s">
        <v>63</v>
      </c>
    </row>
    <row r="314" customFormat="false" ht="13.5" hidden="false" customHeight="true" outlineLevel="0" collapsed="false">
      <c r="A314" s="32" t="n">
        <v>2152</v>
      </c>
      <c r="B314" s="32" t="s">
        <v>404</v>
      </c>
      <c r="C314" s="32" t="s">
        <v>405</v>
      </c>
      <c r="D314" s="32" t="s">
        <v>59</v>
      </c>
      <c r="E314" s="32" t="s">
        <v>143</v>
      </c>
      <c r="F314" s="32" t="n">
        <v>0</v>
      </c>
      <c r="G314" s="32" t="s">
        <v>144</v>
      </c>
      <c r="H314" s="32" t="s">
        <v>21</v>
      </c>
      <c r="I314" s="32" t="s">
        <v>280</v>
      </c>
      <c r="J314" s="32" t="s">
        <v>76</v>
      </c>
      <c r="K314" s="32" t="s">
        <v>63</v>
      </c>
    </row>
    <row r="315" customFormat="false" ht="13.5" hidden="false" customHeight="true" outlineLevel="0" collapsed="false">
      <c r="A315" s="32" t="n">
        <v>2153</v>
      </c>
      <c r="B315" s="32" t="s">
        <v>406</v>
      </c>
      <c r="C315" s="32" t="s">
        <v>407</v>
      </c>
      <c r="D315" s="32" t="s">
        <v>59</v>
      </c>
      <c r="E315" s="32" t="s">
        <v>107</v>
      </c>
      <c r="F315" s="32" t="n">
        <v>8884289997</v>
      </c>
      <c r="G315" s="32" t="s">
        <v>61</v>
      </c>
      <c r="H315" s="32" t="s">
        <v>21</v>
      </c>
      <c r="I315" s="32" t="s">
        <v>28</v>
      </c>
      <c r="J315" s="32" t="s">
        <v>82</v>
      </c>
      <c r="K315" s="32" t="s">
        <v>63</v>
      </c>
    </row>
    <row r="316" customFormat="false" ht="13.5" hidden="false" customHeight="true" outlineLevel="0" collapsed="false">
      <c r="A316" s="32" t="n">
        <v>2155</v>
      </c>
      <c r="B316" s="32" t="s">
        <v>406</v>
      </c>
      <c r="C316" s="32" t="s">
        <v>407</v>
      </c>
      <c r="D316" s="32" t="s">
        <v>59</v>
      </c>
      <c r="E316" s="32" t="s">
        <v>107</v>
      </c>
      <c r="F316" s="32" t="n">
        <v>8884289997</v>
      </c>
      <c r="G316" s="32" t="s">
        <v>61</v>
      </c>
      <c r="H316" s="32" t="s">
        <v>21</v>
      </c>
      <c r="I316" s="32" t="s">
        <v>408</v>
      </c>
      <c r="J316" s="32" t="s">
        <v>117</v>
      </c>
      <c r="K316" s="32" t="s">
        <v>63</v>
      </c>
    </row>
    <row r="317" customFormat="false" ht="13.5" hidden="false" customHeight="true" outlineLevel="0" collapsed="false">
      <c r="A317" s="32" t="n">
        <v>2156</v>
      </c>
      <c r="B317" s="32" t="s">
        <v>406</v>
      </c>
      <c r="C317" s="32" t="s">
        <v>407</v>
      </c>
      <c r="D317" s="32" t="s">
        <v>59</v>
      </c>
      <c r="E317" s="32" t="s">
        <v>107</v>
      </c>
      <c r="F317" s="32" t="n">
        <v>8884289997</v>
      </c>
      <c r="G317" s="32" t="s">
        <v>61</v>
      </c>
      <c r="H317" s="32" t="s">
        <v>21</v>
      </c>
      <c r="I317" s="32" t="s">
        <v>409</v>
      </c>
      <c r="J317" s="32" t="s">
        <v>410</v>
      </c>
      <c r="K317" s="32" t="s">
        <v>63</v>
      </c>
    </row>
    <row r="318" customFormat="false" ht="13.5" hidden="false" customHeight="true" outlineLevel="0" collapsed="false">
      <c r="A318" s="32" t="n">
        <v>2157</v>
      </c>
      <c r="B318" s="32" t="s">
        <v>411</v>
      </c>
      <c r="C318" s="32" t="s">
        <v>412</v>
      </c>
      <c r="D318" s="32" t="s">
        <v>59</v>
      </c>
      <c r="E318" s="32" t="s">
        <v>143</v>
      </c>
      <c r="F318" s="32" t="n">
        <v>0</v>
      </c>
      <c r="G318" s="32" t="s">
        <v>80</v>
      </c>
      <c r="H318" s="32" t="s">
        <v>21</v>
      </c>
      <c r="I318" s="32" t="s">
        <v>156</v>
      </c>
      <c r="J318" s="32" t="s">
        <v>62</v>
      </c>
      <c r="K318" s="32" t="s">
        <v>63</v>
      </c>
    </row>
    <row r="319" customFormat="false" ht="13.5" hidden="false" customHeight="true" outlineLevel="0" collapsed="false">
      <c r="A319" s="32" t="n">
        <v>2158</v>
      </c>
      <c r="B319" s="32" t="s">
        <v>411</v>
      </c>
      <c r="C319" s="32" t="s">
        <v>412</v>
      </c>
      <c r="D319" s="32" t="s">
        <v>59</v>
      </c>
      <c r="E319" s="32" t="s">
        <v>143</v>
      </c>
      <c r="F319" s="32" t="n">
        <v>0</v>
      </c>
      <c r="G319" s="32" t="s">
        <v>80</v>
      </c>
      <c r="H319" s="32" t="s">
        <v>21</v>
      </c>
      <c r="I319" s="32" t="s">
        <v>29</v>
      </c>
      <c r="J319" s="32" t="s">
        <v>62</v>
      </c>
      <c r="K319" s="32" t="s">
        <v>63</v>
      </c>
    </row>
    <row r="320" customFormat="false" ht="13.5" hidden="false" customHeight="true" outlineLevel="0" collapsed="false">
      <c r="A320" s="32" t="n">
        <v>2159</v>
      </c>
      <c r="B320" s="32" t="s">
        <v>411</v>
      </c>
      <c r="C320" s="32" t="s">
        <v>412</v>
      </c>
      <c r="D320" s="32" t="s">
        <v>59</v>
      </c>
      <c r="E320" s="32" t="s">
        <v>143</v>
      </c>
      <c r="F320" s="32" t="n">
        <v>0</v>
      </c>
      <c r="G320" s="32" t="s">
        <v>80</v>
      </c>
      <c r="H320" s="32" t="s">
        <v>21</v>
      </c>
      <c r="I320" s="32" t="s">
        <v>14</v>
      </c>
      <c r="J320" s="32" t="s">
        <v>66</v>
      </c>
      <c r="K320" s="32" t="s">
        <v>63</v>
      </c>
    </row>
    <row r="321" customFormat="false" ht="13.5" hidden="false" customHeight="true" outlineLevel="0" collapsed="false">
      <c r="A321" s="32" t="n">
        <v>2160</v>
      </c>
      <c r="B321" s="32" t="s">
        <v>411</v>
      </c>
      <c r="C321" s="32" t="s">
        <v>412</v>
      </c>
      <c r="D321" s="32" t="s">
        <v>59</v>
      </c>
      <c r="E321" s="32" t="s">
        <v>143</v>
      </c>
      <c r="F321" s="32" t="n">
        <v>0</v>
      </c>
      <c r="G321" s="32" t="s">
        <v>80</v>
      </c>
      <c r="H321" s="32" t="s">
        <v>21</v>
      </c>
      <c r="I321" s="32" t="s">
        <v>413</v>
      </c>
      <c r="J321" s="32" t="s">
        <v>66</v>
      </c>
      <c r="K321" s="32" t="s">
        <v>63</v>
      </c>
    </row>
    <row r="322" customFormat="false" ht="13.5" hidden="false" customHeight="true" outlineLevel="0" collapsed="false">
      <c r="A322" s="32" t="n">
        <v>2161</v>
      </c>
      <c r="B322" s="32" t="s">
        <v>411</v>
      </c>
      <c r="C322" s="32" t="s">
        <v>412</v>
      </c>
      <c r="D322" s="32" t="s">
        <v>59</v>
      </c>
      <c r="E322" s="32" t="s">
        <v>143</v>
      </c>
      <c r="F322" s="32" t="n">
        <v>0</v>
      </c>
      <c r="G322" s="32" t="s">
        <v>80</v>
      </c>
      <c r="H322" s="32" t="s">
        <v>21</v>
      </c>
      <c r="I322" s="32" t="s">
        <v>166</v>
      </c>
      <c r="J322" s="32" t="s">
        <v>66</v>
      </c>
      <c r="K322" s="32" t="s">
        <v>63</v>
      </c>
    </row>
    <row r="323" customFormat="false" ht="13.5" hidden="false" customHeight="true" outlineLevel="0" collapsed="false">
      <c r="A323" s="32" t="n">
        <v>2162</v>
      </c>
      <c r="B323" s="32" t="s">
        <v>414</v>
      </c>
      <c r="C323" s="32" t="s">
        <v>415</v>
      </c>
      <c r="D323" s="32" t="s">
        <v>59</v>
      </c>
      <c r="E323" s="32" t="s">
        <v>107</v>
      </c>
      <c r="F323" s="32" t="n">
        <v>8951232607</v>
      </c>
      <c r="G323" s="32" t="s">
        <v>80</v>
      </c>
      <c r="H323" s="32" t="s">
        <v>21</v>
      </c>
      <c r="I323" s="32" t="s">
        <v>108</v>
      </c>
      <c r="J323" s="32" t="s">
        <v>71</v>
      </c>
      <c r="K323" s="32" t="s">
        <v>63</v>
      </c>
    </row>
    <row r="324" customFormat="false" ht="13.5" hidden="false" customHeight="true" outlineLevel="0" collapsed="false">
      <c r="A324" s="32" t="n">
        <v>2163</v>
      </c>
      <c r="B324" s="32" t="s">
        <v>414</v>
      </c>
      <c r="C324" s="32" t="s">
        <v>415</v>
      </c>
      <c r="D324" s="32" t="s">
        <v>59</v>
      </c>
      <c r="E324" s="32" t="s">
        <v>107</v>
      </c>
      <c r="F324" s="32" t="n">
        <v>8951232607</v>
      </c>
      <c r="G324" s="32" t="s">
        <v>80</v>
      </c>
      <c r="H324" s="32" t="s">
        <v>21</v>
      </c>
      <c r="I324" s="32" t="s">
        <v>385</v>
      </c>
      <c r="J324" s="32" t="s">
        <v>71</v>
      </c>
      <c r="K324" s="32" t="s">
        <v>63</v>
      </c>
    </row>
    <row r="325" customFormat="false" ht="13.5" hidden="false" customHeight="true" outlineLevel="0" collapsed="false">
      <c r="A325" s="32" t="n">
        <v>2164</v>
      </c>
      <c r="B325" s="32" t="s">
        <v>414</v>
      </c>
      <c r="C325" s="32" t="s">
        <v>415</v>
      </c>
      <c r="D325" s="32" t="s">
        <v>59</v>
      </c>
      <c r="E325" s="32" t="s">
        <v>107</v>
      </c>
      <c r="F325" s="32" t="n">
        <v>8951232607</v>
      </c>
      <c r="G325" s="32" t="s">
        <v>80</v>
      </c>
      <c r="H325" s="32" t="s">
        <v>21</v>
      </c>
      <c r="I325" s="32" t="s">
        <v>416</v>
      </c>
      <c r="J325" s="32" t="s">
        <v>82</v>
      </c>
      <c r="K325" s="32" t="s">
        <v>63</v>
      </c>
    </row>
    <row r="326" customFormat="false" ht="13.5" hidden="false" customHeight="true" outlineLevel="0" collapsed="false">
      <c r="A326" s="32" t="n">
        <v>2165</v>
      </c>
      <c r="B326" s="32" t="s">
        <v>417</v>
      </c>
      <c r="C326" s="32" t="s">
        <v>418</v>
      </c>
      <c r="D326" s="32" t="s">
        <v>114</v>
      </c>
      <c r="E326" s="32" t="s">
        <v>115</v>
      </c>
      <c r="F326" s="32" t="n">
        <v>9826904484</v>
      </c>
      <c r="G326" s="32" t="s">
        <v>80</v>
      </c>
      <c r="H326" s="32" t="s">
        <v>22</v>
      </c>
      <c r="I326" s="32" t="s">
        <v>108</v>
      </c>
      <c r="J326" s="32" t="s">
        <v>71</v>
      </c>
      <c r="K326" s="32" t="s">
        <v>63</v>
      </c>
    </row>
    <row r="327" customFormat="false" ht="13.5" hidden="false" customHeight="true" outlineLevel="0" collapsed="false">
      <c r="A327" s="32" t="n">
        <v>2166</v>
      </c>
      <c r="B327" s="32" t="s">
        <v>419</v>
      </c>
      <c r="C327" s="32" t="s">
        <v>420</v>
      </c>
      <c r="D327" s="32" t="s">
        <v>59</v>
      </c>
      <c r="E327" s="32" t="s">
        <v>60</v>
      </c>
      <c r="F327" s="32" t="n">
        <v>8817359568</v>
      </c>
      <c r="G327" s="32" t="s">
        <v>61</v>
      </c>
      <c r="H327" s="32" t="s">
        <v>21</v>
      </c>
      <c r="I327" s="32" t="s">
        <v>421</v>
      </c>
      <c r="J327" s="32" t="s">
        <v>235</v>
      </c>
      <c r="K327" s="32" t="s">
        <v>63</v>
      </c>
    </row>
    <row r="328" customFormat="false" ht="13.5" hidden="false" customHeight="true" outlineLevel="0" collapsed="false">
      <c r="A328" s="32" t="n">
        <v>2167</v>
      </c>
      <c r="B328" s="32" t="s">
        <v>419</v>
      </c>
      <c r="C328" s="32" t="s">
        <v>420</v>
      </c>
      <c r="D328" s="32" t="s">
        <v>59</v>
      </c>
      <c r="E328" s="32" t="s">
        <v>60</v>
      </c>
      <c r="F328" s="32" t="n">
        <v>8817359568</v>
      </c>
      <c r="G328" s="32" t="s">
        <v>61</v>
      </c>
      <c r="H328" s="32" t="s">
        <v>21</v>
      </c>
      <c r="I328" s="32" t="s">
        <v>393</v>
      </c>
      <c r="J328" s="32" t="s">
        <v>73</v>
      </c>
      <c r="K328" s="32" t="s">
        <v>63</v>
      </c>
    </row>
    <row r="329" customFormat="false" ht="13.5" hidden="false" customHeight="true" outlineLevel="0" collapsed="false">
      <c r="A329" s="32" t="n">
        <v>2168</v>
      </c>
      <c r="B329" s="32" t="s">
        <v>419</v>
      </c>
      <c r="C329" s="32" t="s">
        <v>420</v>
      </c>
      <c r="D329" s="32" t="s">
        <v>59</v>
      </c>
      <c r="E329" s="32" t="s">
        <v>60</v>
      </c>
      <c r="F329" s="32" t="n">
        <v>8817359568</v>
      </c>
      <c r="G329" s="32" t="s">
        <v>61</v>
      </c>
      <c r="H329" s="32" t="s">
        <v>21</v>
      </c>
      <c r="I329" s="32" t="s">
        <v>333</v>
      </c>
      <c r="J329" s="32" t="s">
        <v>235</v>
      </c>
      <c r="K329" s="32" t="s">
        <v>63</v>
      </c>
    </row>
    <row r="330" customFormat="false" ht="13.5" hidden="false" customHeight="true" outlineLevel="0" collapsed="false">
      <c r="A330" s="32" t="n">
        <v>2170</v>
      </c>
      <c r="B330" s="32" t="s">
        <v>422</v>
      </c>
      <c r="C330" s="32" t="s">
        <v>423</v>
      </c>
      <c r="D330" s="32" t="s">
        <v>114</v>
      </c>
      <c r="E330" s="32" t="s">
        <v>115</v>
      </c>
      <c r="F330" s="32" t="n">
        <v>9031914065</v>
      </c>
      <c r="G330" s="32" t="s">
        <v>140</v>
      </c>
      <c r="H330" s="32" t="s">
        <v>22</v>
      </c>
      <c r="I330" s="32" t="s">
        <v>424</v>
      </c>
      <c r="J330" s="32" t="s">
        <v>73</v>
      </c>
      <c r="K330" s="32" t="s">
        <v>63</v>
      </c>
    </row>
    <row r="331" customFormat="false" ht="13.5" hidden="false" customHeight="true" outlineLevel="0" collapsed="false">
      <c r="A331" s="32" t="n">
        <v>2171</v>
      </c>
      <c r="B331" s="32" t="s">
        <v>422</v>
      </c>
      <c r="C331" s="32" t="s">
        <v>423</v>
      </c>
      <c r="D331" s="32" t="s">
        <v>114</v>
      </c>
      <c r="E331" s="32" t="s">
        <v>115</v>
      </c>
      <c r="F331" s="32" t="n">
        <v>9031914065</v>
      </c>
      <c r="G331" s="32" t="s">
        <v>140</v>
      </c>
      <c r="H331" s="32" t="s">
        <v>22</v>
      </c>
      <c r="I331" s="32" t="s">
        <v>149</v>
      </c>
      <c r="J331" s="32" t="s">
        <v>73</v>
      </c>
      <c r="K331" s="32" t="s">
        <v>63</v>
      </c>
    </row>
    <row r="332" customFormat="false" ht="13.5" hidden="false" customHeight="true" outlineLevel="0" collapsed="false">
      <c r="A332" s="32" t="n">
        <v>2173</v>
      </c>
      <c r="B332" s="32" t="s">
        <v>422</v>
      </c>
      <c r="C332" s="32" t="s">
        <v>423</v>
      </c>
      <c r="D332" s="32" t="s">
        <v>114</v>
      </c>
      <c r="E332" s="32" t="s">
        <v>115</v>
      </c>
      <c r="F332" s="32" t="n">
        <v>9031914065</v>
      </c>
      <c r="G332" s="32" t="s">
        <v>140</v>
      </c>
      <c r="H332" s="32" t="s">
        <v>22</v>
      </c>
      <c r="I332" s="32" t="s">
        <v>409</v>
      </c>
      <c r="J332" s="32" t="s">
        <v>410</v>
      </c>
      <c r="K332" s="32" t="s">
        <v>63</v>
      </c>
    </row>
    <row r="333" customFormat="false" ht="13.5" hidden="false" customHeight="true" outlineLevel="0" collapsed="false">
      <c r="A333" s="32" t="n">
        <v>2174</v>
      </c>
      <c r="B333" s="32" t="s">
        <v>422</v>
      </c>
      <c r="C333" s="32" t="s">
        <v>423</v>
      </c>
      <c r="D333" s="32" t="s">
        <v>114</v>
      </c>
      <c r="E333" s="32" t="s">
        <v>115</v>
      </c>
      <c r="F333" s="32" t="n">
        <v>9031914065</v>
      </c>
      <c r="G333" s="32" t="s">
        <v>140</v>
      </c>
      <c r="H333" s="32" t="s">
        <v>22</v>
      </c>
      <c r="I333" s="32" t="s">
        <v>27</v>
      </c>
      <c r="J333" s="32" t="s">
        <v>13</v>
      </c>
      <c r="K333" s="32" t="s">
        <v>63</v>
      </c>
    </row>
    <row r="334" customFormat="false" ht="13.5" hidden="false" customHeight="true" outlineLevel="0" collapsed="false">
      <c r="A334" s="32" t="n">
        <v>2175</v>
      </c>
      <c r="B334" s="32" t="s">
        <v>422</v>
      </c>
      <c r="C334" s="32" t="s">
        <v>423</v>
      </c>
      <c r="D334" s="32" t="s">
        <v>114</v>
      </c>
      <c r="E334" s="32" t="s">
        <v>115</v>
      </c>
      <c r="F334" s="32" t="n">
        <v>9031914065</v>
      </c>
      <c r="G334" s="32" t="s">
        <v>140</v>
      </c>
      <c r="H334" s="32" t="s">
        <v>22</v>
      </c>
      <c r="I334" s="32" t="s">
        <v>109</v>
      </c>
      <c r="J334" s="32" t="s">
        <v>110</v>
      </c>
      <c r="K334" s="32" t="s">
        <v>63</v>
      </c>
    </row>
    <row r="335" customFormat="false" ht="13.5" hidden="false" customHeight="true" outlineLevel="0" collapsed="false">
      <c r="A335" s="32" t="n">
        <v>2176</v>
      </c>
      <c r="B335" s="32" t="s">
        <v>422</v>
      </c>
      <c r="C335" s="32" t="s">
        <v>423</v>
      </c>
      <c r="D335" s="32" t="s">
        <v>114</v>
      </c>
      <c r="E335" s="32" t="s">
        <v>115</v>
      </c>
      <c r="F335" s="32" t="n">
        <v>9031914065</v>
      </c>
      <c r="G335" s="32" t="s">
        <v>140</v>
      </c>
      <c r="H335" s="32" t="s">
        <v>22</v>
      </c>
      <c r="I335" s="32" t="s">
        <v>93</v>
      </c>
      <c r="J335" s="32" t="s">
        <v>85</v>
      </c>
      <c r="K335" s="32" t="s">
        <v>63</v>
      </c>
    </row>
    <row r="336" customFormat="false" ht="13.5" hidden="false" customHeight="true" outlineLevel="0" collapsed="false">
      <c r="A336" s="32" t="n">
        <v>2177</v>
      </c>
      <c r="B336" s="32" t="s">
        <v>425</v>
      </c>
      <c r="C336" s="32" t="s">
        <v>426</v>
      </c>
      <c r="D336" s="32" t="s">
        <v>114</v>
      </c>
      <c r="E336" s="32" t="s">
        <v>115</v>
      </c>
      <c r="F336" s="32" t="n">
        <v>9004095013</v>
      </c>
      <c r="G336" s="32" t="s">
        <v>61</v>
      </c>
      <c r="H336" s="32" t="s">
        <v>22</v>
      </c>
      <c r="I336" s="32" t="s">
        <v>128</v>
      </c>
      <c r="J336" s="32" t="s">
        <v>89</v>
      </c>
      <c r="K336" s="32" t="s">
        <v>63</v>
      </c>
    </row>
    <row r="337" customFormat="false" ht="13.5" hidden="false" customHeight="true" outlineLevel="0" collapsed="false">
      <c r="A337" s="32" t="n">
        <v>2178</v>
      </c>
      <c r="B337" s="32" t="s">
        <v>425</v>
      </c>
      <c r="C337" s="32" t="s">
        <v>426</v>
      </c>
      <c r="D337" s="32" t="s">
        <v>114</v>
      </c>
      <c r="E337" s="32" t="s">
        <v>115</v>
      </c>
      <c r="F337" s="32" t="n">
        <v>9004095013</v>
      </c>
      <c r="G337" s="32" t="s">
        <v>61</v>
      </c>
      <c r="H337" s="32" t="s">
        <v>22</v>
      </c>
      <c r="I337" s="32" t="s">
        <v>95</v>
      </c>
      <c r="J337" s="32" t="s">
        <v>96</v>
      </c>
      <c r="K337" s="32" t="s">
        <v>63</v>
      </c>
    </row>
    <row r="338" customFormat="false" ht="13.5" hidden="false" customHeight="true" outlineLevel="0" collapsed="false">
      <c r="A338" s="32" t="n">
        <v>2179</v>
      </c>
      <c r="B338" s="32" t="s">
        <v>425</v>
      </c>
      <c r="C338" s="32" t="s">
        <v>426</v>
      </c>
      <c r="D338" s="32" t="s">
        <v>114</v>
      </c>
      <c r="E338" s="32" t="s">
        <v>115</v>
      </c>
      <c r="F338" s="32" t="n">
        <v>9004095013</v>
      </c>
      <c r="G338" s="32" t="s">
        <v>61</v>
      </c>
      <c r="H338" s="32" t="s">
        <v>22</v>
      </c>
      <c r="I338" s="32" t="s">
        <v>109</v>
      </c>
      <c r="J338" s="32" t="s">
        <v>110</v>
      </c>
      <c r="K338" s="32" t="s">
        <v>63</v>
      </c>
    </row>
    <row r="339" customFormat="false" ht="13.5" hidden="false" customHeight="true" outlineLevel="0" collapsed="false">
      <c r="A339" s="32" t="n">
        <v>2180</v>
      </c>
      <c r="B339" s="32" t="s">
        <v>425</v>
      </c>
      <c r="C339" s="32" t="s">
        <v>426</v>
      </c>
      <c r="D339" s="32" t="s">
        <v>114</v>
      </c>
      <c r="E339" s="32" t="s">
        <v>115</v>
      </c>
      <c r="F339" s="32" t="n">
        <v>9004095013</v>
      </c>
      <c r="G339" s="32" t="s">
        <v>61</v>
      </c>
      <c r="H339" s="32" t="s">
        <v>22</v>
      </c>
      <c r="I339" s="32" t="s">
        <v>121</v>
      </c>
      <c r="J339" s="32" t="s">
        <v>110</v>
      </c>
      <c r="K339" s="32" t="s">
        <v>63</v>
      </c>
    </row>
    <row r="340" customFormat="false" ht="13.5" hidden="false" customHeight="true" outlineLevel="0" collapsed="false">
      <c r="A340" s="32" t="n">
        <v>2181</v>
      </c>
      <c r="B340" s="32" t="s">
        <v>425</v>
      </c>
      <c r="C340" s="32" t="s">
        <v>426</v>
      </c>
      <c r="D340" s="32" t="s">
        <v>114</v>
      </c>
      <c r="E340" s="32" t="s">
        <v>115</v>
      </c>
      <c r="F340" s="32" t="n">
        <v>9004095013</v>
      </c>
      <c r="G340" s="32" t="s">
        <v>61</v>
      </c>
      <c r="H340" s="32" t="s">
        <v>22</v>
      </c>
      <c r="I340" s="32" t="s">
        <v>145</v>
      </c>
      <c r="J340" s="32" t="s">
        <v>117</v>
      </c>
      <c r="K340" s="32" t="s">
        <v>63</v>
      </c>
    </row>
    <row r="341" customFormat="false" ht="13.5" hidden="false" customHeight="true" outlineLevel="0" collapsed="false">
      <c r="A341" s="32" t="n">
        <v>2182</v>
      </c>
      <c r="B341" s="32" t="s">
        <v>427</v>
      </c>
      <c r="C341" s="32" t="s">
        <v>428</v>
      </c>
      <c r="D341" s="32" t="s">
        <v>114</v>
      </c>
      <c r="E341" s="32" t="s">
        <v>115</v>
      </c>
      <c r="F341" s="32" t="n">
        <v>8106786028</v>
      </c>
      <c r="G341" s="32" t="s">
        <v>80</v>
      </c>
      <c r="H341" s="32" t="s">
        <v>22</v>
      </c>
      <c r="I341" s="32" t="s">
        <v>284</v>
      </c>
      <c r="J341" s="32" t="s">
        <v>117</v>
      </c>
      <c r="K341" s="32" t="s">
        <v>63</v>
      </c>
    </row>
    <row r="342" customFormat="false" ht="13.5" hidden="false" customHeight="true" outlineLevel="0" collapsed="false">
      <c r="A342" s="32" t="n">
        <v>2183</v>
      </c>
      <c r="B342" s="32" t="s">
        <v>427</v>
      </c>
      <c r="C342" s="32" t="s">
        <v>428</v>
      </c>
      <c r="D342" s="32" t="s">
        <v>114</v>
      </c>
      <c r="E342" s="32" t="s">
        <v>115</v>
      </c>
      <c r="F342" s="32" t="n">
        <v>8106786028</v>
      </c>
      <c r="G342" s="32" t="s">
        <v>80</v>
      </c>
      <c r="H342" s="32" t="s">
        <v>22</v>
      </c>
      <c r="I342" s="32" t="s">
        <v>151</v>
      </c>
      <c r="J342" s="32" t="s">
        <v>152</v>
      </c>
      <c r="K342" s="32" t="s">
        <v>63</v>
      </c>
    </row>
    <row r="343" customFormat="false" ht="13.5" hidden="false" customHeight="true" outlineLevel="0" collapsed="false">
      <c r="A343" s="32" t="n">
        <v>2184</v>
      </c>
      <c r="B343" s="32" t="s">
        <v>429</v>
      </c>
      <c r="C343" s="32" t="s">
        <v>430</v>
      </c>
      <c r="D343" s="32" t="s">
        <v>114</v>
      </c>
      <c r="E343" s="32" t="s">
        <v>165</v>
      </c>
      <c r="F343" s="32" t="n">
        <v>0</v>
      </c>
      <c r="G343" s="32" t="s">
        <v>69</v>
      </c>
      <c r="H343" s="32" t="s">
        <v>22</v>
      </c>
      <c r="I343" s="32" t="s">
        <v>245</v>
      </c>
      <c r="J343" s="32" t="s">
        <v>71</v>
      </c>
      <c r="K343" s="32" t="s">
        <v>63</v>
      </c>
    </row>
    <row r="344" customFormat="false" ht="13.5" hidden="false" customHeight="true" outlineLevel="0" collapsed="false">
      <c r="A344" s="32" t="n">
        <v>2185</v>
      </c>
      <c r="B344" s="32" t="s">
        <v>429</v>
      </c>
      <c r="C344" s="32" t="s">
        <v>430</v>
      </c>
      <c r="D344" s="32" t="s">
        <v>114</v>
      </c>
      <c r="E344" s="32" t="s">
        <v>165</v>
      </c>
      <c r="F344" s="32" t="n">
        <v>0</v>
      </c>
      <c r="G344" s="32" t="s">
        <v>69</v>
      </c>
      <c r="H344" s="32" t="s">
        <v>22</v>
      </c>
      <c r="I344" s="32" t="s">
        <v>108</v>
      </c>
      <c r="J344" s="32" t="s">
        <v>71</v>
      </c>
      <c r="K344" s="32" t="s">
        <v>63</v>
      </c>
    </row>
    <row r="345" customFormat="false" ht="13.5" hidden="false" customHeight="true" outlineLevel="0" collapsed="false">
      <c r="A345" s="32" t="n">
        <v>2186</v>
      </c>
      <c r="B345" s="32" t="s">
        <v>429</v>
      </c>
      <c r="C345" s="32" t="s">
        <v>431</v>
      </c>
      <c r="D345" s="32" t="s">
        <v>114</v>
      </c>
      <c r="E345" s="32" t="s">
        <v>165</v>
      </c>
      <c r="F345" s="32" t="n">
        <v>7522921625</v>
      </c>
      <c r="G345" s="32" t="s">
        <v>69</v>
      </c>
      <c r="H345" s="32" t="s">
        <v>22</v>
      </c>
      <c r="I345" s="32" t="s">
        <v>227</v>
      </c>
      <c r="J345" s="32" t="s">
        <v>228</v>
      </c>
      <c r="K345" s="32" t="s">
        <v>63</v>
      </c>
    </row>
    <row r="346" customFormat="false" ht="13.5" hidden="false" customHeight="true" outlineLevel="0" collapsed="false">
      <c r="A346" s="32" t="n">
        <v>2187</v>
      </c>
      <c r="B346" s="32" t="s">
        <v>429</v>
      </c>
      <c r="C346" s="32" t="s">
        <v>431</v>
      </c>
      <c r="D346" s="32" t="s">
        <v>114</v>
      </c>
      <c r="E346" s="32" t="s">
        <v>165</v>
      </c>
      <c r="F346" s="32" t="n">
        <v>7522921625</v>
      </c>
      <c r="G346" s="32" t="s">
        <v>69</v>
      </c>
      <c r="H346" s="32" t="s">
        <v>22</v>
      </c>
      <c r="I346" s="32" t="s">
        <v>145</v>
      </c>
      <c r="J346" s="32" t="s">
        <v>117</v>
      </c>
      <c r="K346" s="32" t="s">
        <v>63</v>
      </c>
    </row>
    <row r="347" customFormat="false" ht="13.5" hidden="false" customHeight="true" outlineLevel="0" collapsed="false">
      <c r="A347" s="32" t="n">
        <v>2188</v>
      </c>
      <c r="B347" s="32" t="s">
        <v>429</v>
      </c>
      <c r="C347" s="32" t="s">
        <v>430</v>
      </c>
      <c r="D347" s="32" t="s">
        <v>114</v>
      </c>
      <c r="E347" s="32" t="s">
        <v>165</v>
      </c>
      <c r="F347" s="32" t="n">
        <v>0</v>
      </c>
      <c r="G347" s="32" t="s">
        <v>69</v>
      </c>
      <c r="H347" s="32" t="s">
        <v>22</v>
      </c>
      <c r="I347" s="32" t="s">
        <v>120</v>
      </c>
      <c r="J347" s="32" t="s">
        <v>110</v>
      </c>
      <c r="K347" s="32" t="s">
        <v>63</v>
      </c>
    </row>
    <row r="348" customFormat="false" ht="13.5" hidden="false" customHeight="true" outlineLevel="0" collapsed="false">
      <c r="A348" s="32" t="n">
        <v>2189</v>
      </c>
      <c r="B348" s="32" t="s">
        <v>429</v>
      </c>
      <c r="C348" s="32" t="s">
        <v>430</v>
      </c>
      <c r="D348" s="32" t="s">
        <v>114</v>
      </c>
      <c r="E348" s="32" t="s">
        <v>165</v>
      </c>
      <c r="F348" s="32" t="n">
        <v>0</v>
      </c>
      <c r="G348" s="32" t="s">
        <v>69</v>
      </c>
      <c r="H348" s="32" t="s">
        <v>22</v>
      </c>
      <c r="I348" s="32" t="s">
        <v>121</v>
      </c>
      <c r="J348" s="32" t="s">
        <v>110</v>
      </c>
      <c r="K348" s="32" t="s">
        <v>63</v>
      </c>
    </row>
    <row r="349" customFormat="false" ht="13.5" hidden="false" customHeight="true" outlineLevel="0" collapsed="false">
      <c r="A349" s="32" t="n">
        <v>2190</v>
      </c>
      <c r="B349" s="32" t="s">
        <v>429</v>
      </c>
      <c r="C349" s="32" t="s">
        <v>430</v>
      </c>
      <c r="D349" s="32" t="s">
        <v>114</v>
      </c>
      <c r="E349" s="32" t="s">
        <v>165</v>
      </c>
      <c r="F349" s="32" t="n">
        <v>0</v>
      </c>
      <c r="G349" s="32" t="s">
        <v>69</v>
      </c>
      <c r="H349" s="32" t="s">
        <v>22</v>
      </c>
      <c r="I349" s="32" t="s">
        <v>172</v>
      </c>
      <c r="J349" s="32" t="s">
        <v>152</v>
      </c>
      <c r="K349" s="32" t="s">
        <v>63</v>
      </c>
    </row>
    <row r="350" customFormat="false" ht="13.5" hidden="false" customHeight="true" outlineLevel="0" collapsed="false">
      <c r="A350" s="32" t="n">
        <v>2191</v>
      </c>
      <c r="B350" s="32" t="s">
        <v>432</v>
      </c>
      <c r="C350" s="32" t="s">
        <v>433</v>
      </c>
      <c r="D350" s="32" t="s">
        <v>114</v>
      </c>
      <c r="E350" s="32" t="n">
        <v>0</v>
      </c>
      <c r="F350" s="32" t="n">
        <v>0</v>
      </c>
      <c r="G350" s="32" t="s">
        <v>61</v>
      </c>
      <c r="H350" s="32" t="s">
        <v>22</v>
      </c>
      <c r="I350" s="32" t="s">
        <v>245</v>
      </c>
      <c r="J350" s="32" t="s">
        <v>71</v>
      </c>
      <c r="K350" s="32" t="s">
        <v>63</v>
      </c>
    </row>
    <row r="351" customFormat="false" ht="13.5" hidden="false" customHeight="true" outlineLevel="0" collapsed="false">
      <c r="A351" s="32" t="n">
        <v>2192</v>
      </c>
      <c r="B351" s="32" t="s">
        <v>434</v>
      </c>
      <c r="C351" s="32" t="s">
        <v>435</v>
      </c>
      <c r="D351" s="32" t="s">
        <v>114</v>
      </c>
      <c r="E351" s="32" t="s">
        <v>165</v>
      </c>
      <c r="F351" s="32" t="n">
        <v>9004446280</v>
      </c>
      <c r="G351" s="32" t="s">
        <v>61</v>
      </c>
      <c r="H351" s="32" t="s">
        <v>22</v>
      </c>
      <c r="I351" s="32" t="s">
        <v>76</v>
      </c>
      <c r="J351" s="32" t="s">
        <v>76</v>
      </c>
      <c r="K351" s="32" t="s">
        <v>63</v>
      </c>
    </row>
    <row r="352" customFormat="false" ht="13.5" hidden="false" customHeight="true" outlineLevel="0" collapsed="false">
      <c r="A352" s="32" t="n">
        <v>2194</v>
      </c>
      <c r="B352" s="32" t="s">
        <v>434</v>
      </c>
      <c r="C352" s="32" t="s">
        <v>436</v>
      </c>
      <c r="D352" s="32" t="s">
        <v>114</v>
      </c>
      <c r="E352" s="32" t="s">
        <v>165</v>
      </c>
      <c r="F352" s="32" t="n">
        <v>9004446280</v>
      </c>
      <c r="G352" s="32" t="s">
        <v>61</v>
      </c>
      <c r="H352" s="32" t="s">
        <v>22</v>
      </c>
      <c r="I352" s="32" t="s">
        <v>345</v>
      </c>
      <c r="J352" s="32" t="s">
        <v>290</v>
      </c>
      <c r="K352" s="32" t="s">
        <v>63</v>
      </c>
    </row>
    <row r="353" customFormat="false" ht="13.5" hidden="false" customHeight="true" outlineLevel="0" collapsed="false">
      <c r="A353" s="32" t="n">
        <v>2195</v>
      </c>
      <c r="B353" s="32" t="s">
        <v>434</v>
      </c>
      <c r="C353" s="32" t="s">
        <v>436</v>
      </c>
      <c r="D353" s="32" t="s">
        <v>114</v>
      </c>
      <c r="E353" s="32" t="s">
        <v>165</v>
      </c>
      <c r="F353" s="32" t="n">
        <v>9004446280</v>
      </c>
      <c r="G353" s="32" t="s">
        <v>61</v>
      </c>
      <c r="H353" s="32" t="s">
        <v>22</v>
      </c>
      <c r="I353" s="32" t="s">
        <v>437</v>
      </c>
      <c r="J353" s="32" t="s">
        <v>290</v>
      </c>
      <c r="K353" s="32" t="s">
        <v>63</v>
      </c>
    </row>
    <row r="354" customFormat="false" ht="13.5" hidden="false" customHeight="true" outlineLevel="0" collapsed="false">
      <c r="A354" s="32" t="n">
        <v>2196</v>
      </c>
      <c r="B354" s="32" t="s">
        <v>434</v>
      </c>
      <c r="C354" s="32" t="s">
        <v>436</v>
      </c>
      <c r="D354" s="32" t="s">
        <v>114</v>
      </c>
      <c r="E354" s="32" t="s">
        <v>165</v>
      </c>
      <c r="F354" s="32" t="n">
        <v>9004446280</v>
      </c>
      <c r="G354" s="32" t="s">
        <v>61</v>
      </c>
      <c r="H354" s="32" t="s">
        <v>22</v>
      </c>
      <c r="I354" s="32" t="s">
        <v>438</v>
      </c>
      <c r="J354" s="32" t="s">
        <v>290</v>
      </c>
      <c r="K354" s="32" t="s">
        <v>63</v>
      </c>
    </row>
    <row r="355" customFormat="false" ht="13.5" hidden="false" customHeight="true" outlineLevel="0" collapsed="false">
      <c r="A355" s="32" t="n">
        <v>2197</v>
      </c>
      <c r="B355" s="32" t="s">
        <v>434</v>
      </c>
      <c r="C355" s="32" t="s">
        <v>439</v>
      </c>
      <c r="D355" s="32" t="s">
        <v>114</v>
      </c>
      <c r="E355" s="32" t="s">
        <v>165</v>
      </c>
      <c r="F355" s="32" t="n">
        <v>9004446280</v>
      </c>
      <c r="G355" s="32" t="s">
        <v>61</v>
      </c>
      <c r="H355" s="32" t="s">
        <v>22</v>
      </c>
      <c r="I355" s="32" t="s">
        <v>75</v>
      </c>
      <c r="J355" s="32" t="s">
        <v>76</v>
      </c>
      <c r="K355" s="32" t="s">
        <v>63</v>
      </c>
    </row>
    <row r="356" customFormat="false" ht="13.5" hidden="false" customHeight="true" outlineLevel="0" collapsed="false">
      <c r="A356" s="32" t="n">
        <v>2198</v>
      </c>
      <c r="B356" s="32" t="s">
        <v>434</v>
      </c>
      <c r="C356" s="32" t="s">
        <v>436</v>
      </c>
      <c r="D356" s="32" t="s">
        <v>114</v>
      </c>
      <c r="E356" s="32" t="s">
        <v>165</v>
      </c>
      <c r="F356" s="32" t="n">
        <v>9004446280</v>
      </c>
      <c r="G356" s="32" t="s">
        <v>61</v>
      </c>
      <c r="H356" s="32" t="s">
        <v>22</v>
      </c>
      <c r="I356" s="32" t="s">
        <v>289</v>
      </c>
      <c r="J356" s="32" t="s">
        <v>290</v>
      </c>
      <c r="K356" s="32" t="s">
        <v>63</v>
      </c>
    </row>
    <row r="357" customFormat="false" ht="13.5" hidden="false" customHeight="true" outlineLevel="0" collapsed="false">
      <c r="A357" s="32" t="n">
        <v>2199</v>
      </c>
      <c r="B357" s="32" t="s">
        <v>434</v>
      </c>
      <c r="C357" s="32" t="s">
        <v>436</v>
      </c>
      <c r="D357" s="32" t="s">
        <v>114</v>
      </c>
      <c r="E357" s="32" t="s">
        <v>165</v>
      </c>
      <c r="F357" s="32" t="n">
        <v>9004446280</v>
      </c>
      <c r="G357" s="32" t="s">
        <v>61</v>
      </c>
      <c r="H357" s="32" t="s">
        <v>22</v>
      </c>
      <c r="I357" s="32" t="s">
        <v>387</v>
      </c>
      <c r="J357" s="32" t="s">
        <v>388</v>
      </c>
      <c r="K357" s="32" t="s">
        <v>63</v>
      </c>
    </row>
    <row r="358" customFormat="false" ht="13.5" hidden="false" customHeight="true" outlineLevel="0" collapsed="false">
      <c r="A358" s="32" t="n">
        <v>2200</v>
      </c>
      <c r="B358" s="32" t="s">
        <v>434</v>
      </c>
      <c r="C358" s="32" t="s">
        <v>436</v>
      </c>
      <c r="D358" s="32" t="s">
        <v>114</v>
      </c>
      <c r="E358" s="32" t="s">
        <v>165</v>
      </c>
      <c r="F358" s="32" t="n">
        <v>9004446280</v>
      </c>
      <c r="G358" s="32" t="s">
        <v>61</v>
      </c>
      <c r="H358" s="32" t="s">
        <v>22</v>
      </c>
      <c r="I358" s="32" t="s">
        <v>440</v>
      </c>
      <c r="J358" s="32" t="s">
        <v>388</v>
      </c>
      <c r="K358" s="32" t="s">
        <v>63</v>
      </c>
    </row>
    <row r="359" customFormat="false" ht="13.5" hidden="false" customHeight="true" outlineLevel="0" collapsed="false">
      <c r="A359" s="32" t="n">
        <v>2201</v>
      </c>
      <c r="B359" s="32" t="s">
        <v>434</v>
      </c>
      <c r="C359" s="32" t="s">
        <v>436</v>
      </c>
      <c r="D359" s="32" t="s">
        <v>114</v>
      </c>
      <c r="E359" s="32" t="s">
        <v>165</v>
      </c>
      <c r="F359" s="32" t="n">
        <v>9004446280</v>
      </c>
      <c r="G359" s="32" t="s">
        <v>61</v>
      </c>
      <c r="H359" s="32" t="s">
        <v>22</v>
      </c>
      <c r="I359" s="32" t="s">
        <v>280</v>
      </c>
      <c r="J359" s="32" t="s">
        <v>76</v>
      </c>
      <c r="K359" s="32" t="s">
        <v>63</v>
      </c>
    </row>
    <row r="360" customFormat="false" ht="13.5" hidden="false" customHeight="true" outlineLevel="0" collapsed="false">
      <c r="A360" s="32" t="n">
        <v>2202</v>
      </c>
      <c r="B360" s="32" t="s">
        <v>441</v>
      </c>
      <c r="C360" s="32" t="s">
        <v>436</v>
      </c>
      <c r="D360" s="32" t="s">
        <v>59</v>
      </c>
      <c r="E360" s="32" t="s">
        <v>143</v>
      </c>
      <c r="F360" s="33" t="n">
        <v>919394000000</v>
      </c>
      <c r="G360" s="32" t="s">
        <v>80</v>
      </c>
      <c r="H360" s="32" t="s">
        <v>21</v>
      </c>
      <c r="I360" s="32" t="s">
        <v>27</v>
      </c>
      <c r="J360" s="32" t="s">
        <v>13</v>
      </c>
      <c r="K360" s="32" t="s">
        <v>63</v>
      </c>
    </row>
    <row r="361" customFormat="false" ht="13.5" hidden="false" customHeight="true" outlineLevel="0" collapsed="false">
      <c r="A361" s="32" t="n">
        <v>2204</v>
      </c>
      <c r="B361" s="32" t="s">
        <v>441</v>
      </c>
      <c r="C361" s="32" t="s">
        <v>436</v>
      </c>
      <c r="D361" s="32" t="s">
        <v>59</v>
      </c>
      <c r="E361" s="32" t="s">
        <v>143</v>
      </c>
      <c r="F361" s="32" t="n">
        <v>9000927375</v>
      </c>
      <c r="G361" s="32" t="s">
        <v>80</v>
      </c>
      <c r="H361" s="32" t="s">
        <v>21</v>
      </c>
      <c r="I361" s="32" t="s">
        <v>30</v>
      </c>
      <c r="J361" s="32" t="s">
        <v>203</v>
      </c>
      <c r="K361" s="32" t="s">
        <v>63</v>
      </c>
    </row>
    <row r="362" customFormat="false" ht="13.5" hidden="false" customHeight="true" outlineLevel="0" collapsed="false">
      <c r="A362" s="32" t="n">
        <v>2205</v>
      </c>
      <c r="B362" s="32" t="s">
        <v>441</v>
      </c>
      <c r="C362" s="32" t="s">
        <v>436</v>
      </c>
      <c r="D362" s="32" t="s">
        <v>59</v>
      </c>
      <c r="E362" s="32" t="s">
        <v>143</v>
      </c>
      <c r="F362" s="32" t="n">
        <v>9393927375</v>
      </c>
      <c r="G362" s="32" t="s">
        <v>80</v>
      </c>
      <c r="H362" s="32" t="s">
        <v>21</v>
      </c>
      <c r="I362" s="32" t="s">
        <v>133</v>
      </c>
      <c r="J362" s="32" t="s">
        <v>134</v>
      </c>
      <c r="K362" s="32" t="s">
        <v>63</v>
      </c>
    </row>
    <row r="363" customFormat="false" ht="13.5" hidden="false" customHeight="true" outlineLevel="0" collapsed="false">
      <c r="A363" s="32" t="n">
        <v>2206</v>
      </c>
      <c r="B363" s="32" t="s">
        <v>442</v>
      </c>
      <c r="C363" s="32" t="s">
        <v>443</v>
      </c>
      <c r="D363" s="32" t="s">
        <v>114</v>
      </c>
      <c r="E363" s="32" t="s">
        <v>268</v>
      </c>
      <c r="F363" s="32" t="n">
        <v>9953160805</v>
      </c>
      <c r="G363" s="32" t="s">
        <v>144</v>
      </c>
      <c r="H363" s="32" t="s">
        <v>22</v>
      </c>
      <c r="I363" s="32" t="s">
        <v>75</v>
      </c>
      <c r="J363" s="32" t="s">
        <v>76</v>
      </c>
      <c r="K363" s="32" t="s">
        <v>63</v>
      </c>
    </row>
    <row r="364" customFormat="false" ht="13.5" hidden="false" customHeight="true" outlineLevel="0" collapsed="false">
      <c r="A364" s="32" t="n">
        <v>2207</v>
      </c>
      <c r="B364" s="32" t="s">
        <v>442</v>
      </c>
      <c r="C364" s="32" t="s">
        <v>443</v>
      </c>
      <c r="D364" s="32" t="s">
        <v>114</v>
      </c>
      <c r="E364" s="32" t="s">
        <v>268</v>
      </c>
      <c r="F364" s="32" t="n">
        <v>9953160805</v>
      </c>
      <c r="G364" s="32" t="s">
        <v>144</v>
      </c>
      <c r="H364" s="32" t="s">
        <v>22</v>
      </c>
      <c r="I364" s="32" t="s">
        <v>234</v>
      </c>
      <c r="J364" s="32" t="s">
        <v>235</v>
      </c>
      <c r="K364" s="32" t="s">
        <v>63</v>
      </c>
    </row>
    <row r="365" customFormat="false" ht="13.5" hidden="false" customHeight="true" outlineLevel="0" collapsed="false">
      <c r="A365" s="32" t="n">
        <v>2208</v>
      </c>
      <c r="B365" s="32" t="s">
        <v>442</v>
      </c>
      <c r="C365" s="32" t="s">
        <v>444</v>
      </c>
      <c r="D365" s="32" t="s">
        <v>114</v>
      </c>
      <c r="E365" s="32" t="s">
        <v>268</v>
      </c>
      <c r="F365" s="32" t="n">
        <v>9953160805</v>
      </c>
      <c r="G365" s="32" t="s">
        <v>144</v>
      </c>
      <c r="H365" s="32" t="s">
        <v>22</v>
      </c>
      <c r="I365" s="32" t="s">
        <v>14</v>
      </c>
      <c r="J365" s="32" t="s">
        <v>66</v>
      </c>
      <c r="K365" s="32" t="s">
        <v>63</v>
      </c>
    </row>
    <row r="366" customFormat="false" ht="13.5" hidden="false" customHeight="true" outlineLevel="0" collapsed="false">
      <c r="A366" s="32" t="n">
        <v>2209</v>
      </c>
      <c r="B366" s="32" t="s">
        <v>442</v>
      </c>
      <c r="C366" s="32" t="s">
        <v>444</v>
      </c>
      <c r="D366" s="32" t="s">
        <v>114</v>
      </c>
      <c r="E366" s="32" t="s">
        <v>268</v>
      </c>
      <c r="F366" s="32" t="n">
        <v>9953160805</v>
      </c>
      <c r="G366" s="32" t="s">
        <v>144</v>
      </c>
      <c r="H366" s="32" t="s">
        <v>22</v>
      </c>
      <c r="I366" s="32" t="s">
        <v>166</v>
      </c>
      <c r="J366" s="32" t="s">
        <v>66</v>
      </c>
      <c r="K366" s="32" t="s">
        <v>63</v>
      </c>
    </row>
    <row r="367" customFormat="false" ht="13.5" hidden="false" customHeight="true" outlineLevel="0" collapsed="false">
      <c r="A367" s="32" t="n">
        <v>2210</v>
      </c>
      <c r="B367" s="32" t="s">
        <v>445</v>
      </c>
      <c r="C367" s="32" t="s">
        <v>446</v>
      </c>
      <c r="D367" s="32" t="s">
        <v>59</v>
      </c>
      <c r="E367" s="32" t="s">
        <v>107</v>
      </c>
      <c r="F367" s="32" t="n">
        <v>7710085691</v>
      </c>
      <c r="G367" s="32" t="s">
        <v>104</v>
      </c>
      <c r="H367" s="32" t="s">
        <v>21</v>
      </c>
      <c r="I367" s="32" t="s">
        <v>85</v>
      </c>
      <c r="J367" s="32" t="s">
        <v>85</v>
      </c>
      <c r="K367" s="32" t="s">
        <v>63</v>
      </c>
    </row>
    <row r="368" customFormat="false" ht="13.5" hidden="false" customHeight="true" outlineLevel="0" collapsed="false">
      <c r="A368" s="32" t="n">
        <v>2211</v>
      </c>
      <c r="B368" s="32" t="s">
        <v>445</v>
      </c>
      <c r="C368" s="32" t="s">
        <v>447</v>
      </c>
      <c r="D368" s="32" t="s">
        <v>59</v>
      </c>
      <c r="E368" s="32" t="s">
        <v>107</v>
      </c>
      <c r="F368" s="32" t="n">
        <v>7710085691</v>
      </c>
      <c r="G368" s="32" t="s">
        <v>104</v>
      </c>
      <c r="H368" s="32" t="s">
        <v>21</v>
      </c>
      <c r="I368" s="32" t="s">
        <v>28</v>
      </c>
      <c r="J368" s="32" t="s">
        <v>82</v>
      </c>
      <c r="K368" s="32" t="s">
        <v>63</v>
      </c>
    </row>
    <row r="369" customFormat="false" ht="13.5" hidden="false" customHeight="true" outlineLevel="0" collapsed="false">
      <c r="A369" s="32" t="n">
        <v>2212</v>
      </c>
      <c r="B369" s="32" t="s">
        <v>445</v>
      </c>
      <c r="C369" s="32" t="s">
        <v>447</v>
      </c>
      <c r="D369" s="32" t="s">
        <v>59</v>
      </c>
      <c r="E369" s="32" t="s">
        <v>107</v>
      </c>
      <c r="F369" s="32" t="n">
        <v>7710085691</v>
      </c>
      <c r="G369" s="32" t="s">
        <v>104</v>
      </c>
      <c r="H369" s="32" t="s">
        <v>21</v>
      </c>
      <c r="I369" s="32" t="s">
        <v>121</v>
      </c>
      <c r="J369" s="32" t="s">
        <v>110</v>
      </c>
      <c r="K369" s="32" t="s">
        <v>63</v>
      </c>
    </row>
    <row r="370" customFormat="false" ht="13.5" hidden="false" customHeight="true" outlineLevel="0" collapsed="false">
      <c r="A370" s="32" t="n">
        <v>2213</v>
      </c>
      <c r="B370" s="32" t="s">
        <v>445</v>
      </c>
      <c r="C370" s="32" t="s">
        <v>447</v>
      </c>
      <c r="D370" s="32" t="s">
        <v>59</v>
      </c>
      <c r="E370" s="32" t="s">
        <v>107</v>
      </c>
      <c r="F370" s="32" t="n">
        <v>7710085691</v>
      </c>
      <c r="G370" s="32" t="s">
        <v>104</v>
      </c>
      <c r="H370" s="32" t="s">
        <v>21</v>
      </c>
      <c r="I370" s="32" t="s">
        <v>133</v>
      </c>
      <c r="J370" s="32" t="s">
        <v>134</v>
      </c>
      <c r="K370" s="32" t="s">
        <v>63</v>
      </c>
    </row>
    <row r="371" customFormat="false" ht="13.5" hidden="false" customHeight="true" outlineLevel="0" collapsed="false">
      <c r="A371" s="32" t="n">
        <v>2214</v>
      </c>
      <c r="B371" s="32" t="s">
        <v>448</v>
      </c>
      <c r="C371" s="32" t="s">
        <v>449</v>
      </c>
      <c r="D371" s="32" t="s">
        <v>59</v>
      </c>
      <c r="E371" s="32" t="s">
        <v>107</v>
      </c>
      <c r="F371" s="32" t="n">
        <v>8147678502</v>
      </c>
      <c r="G371" s="32" t="s">
        <v>61</v>
      </c>
      <c r="H371" s="32" t="s">
        <v>21</v>
      </c>
      <c r="I371" s="32" t="s">
        <v>133</v>
      </c>
      <c r="J371" s="32" t="s">
        <v>134</v>
      </c>
      <c r="K371" s="32" t="s">
        <v>63</v>
      </c>
    </row>
    <row r="372" customFormat="false" ht="13.5" hidden="false" customHeight="true" outlineLevel="0" collapsed="false">
      <c r="A372" s="32" t="n">
        <v>2215</v>
      </c>
      <c r="B372" s="32" t="s">
        <v>450</v>
      </c>
      <c r="C372" s="32" t="s">
        <v>451</v>
      </c>
      <c r="D372" s="32" t="s">
        <v>114</v>
      </c>
      <c r="E372" s="32" t="s">
        <v>115</v>
      </c>
      <c r="F372" s="32" t="n">
        <v>7981942404</v>
      </c>
      <c r="G372" s="32" t="s">
        <v>80</v>
      </c>
      <c r="H372" s="32" t="s">
        <v>22</v>
      </c>
      <c r="I372" s="32" t="s">
        <v>108</v>
      </c>
      <c r="J372" s="32" t="s">
        <v>71</v>
      </c>
      <c r="K372" s="32" t="s">
        <v>63</v>
      </c>
    </row>
    <row r="373" customFormat="false" ht="13.5" hidden="false" customHeight="true" outlineLevel="0" collapsed="false">
      <c r="A373" s="32" t="n">
        <v>2216</v>
      </c>
      <c r="B373" s="32" t="s">
        <v>450</v>
      </c>
      <c r="C373" s="32" t="s">
        <v>452</v>
      </c>
      <c r="D373" s="32" t="s">
        <v>114</v>
      </c>
      <c r="E373" s="32" t="s">
        <v>115</v>
      </c>
      <c r="F373" s="32" t="n">
        <v>7981942404</v>
      </c>
      <c r="G373" s="32" t="s">
        <v>80</v>
      </c>
      <c r="H373" s="32" t="s">
        <v>22</v>
      </c>
      <c r="I373" s="32" t="s">
        <v>108</v>
      </c>
      <c r="J373" s="32" t="s">
        <v>71</v>
      </c>
      <c r="K373" s="32" t="s">
        <v>63</v>
      </c>
    </row>
    <row r="374" customFormat="false" ht="13.5" hidden="false" customHeight="true" outlineLevel="0" collapsed="false">
      <c r="A374" s="32" t="n">
        <v>2217</v>
      </c>
      <c r="B374" s="32" t="s">
        <v>450</v>
      </c>
      <c r="C374" s="32" t="s">
        <v>452</v>
      </c>
      <c r="D374" s="32" t="s">
        <v>114</v>
      </c>
      <c r="E374" s="32" t="s">
        <v>115</v>
      </c>
      <c r="F374" s="32" t="n">
        <v>7981942404</v>
      </c>
      <c r="G374" s="32" t="s">
        <v>80</v>
      </c>
      <c r="H374" s="32" t="s">
        <v>22</v>
      </c>
      <c r="I374" s="32" t="s">
        <v>27</v>
      </c>
      <c r="J374" s="32" t="s">
        <v>13</v>
      </c>
      <c r="K374" s="32" t="s">
        <v>63</v>
      </c>
    </row>
    <row r="375" customFormat="false" ht="13.5" hidden="false" customHeight="true" outlineLevel="0" collapsed="false">
      <c r="A375" s="32" t="n">
        <v>2218</v>
      </c>
      <c r="B375" s="32" t="s">
        <v>450</v>
      </c>
      <c r="C375" s="32" t="s">
        <v>452</v>
      </c>
      <c r="D375" s="32" t="s">
        <v>114</v>
      </c>
      <c r="E375" s="32" t="s">
        <v>115</v>
      </c>
      <c r="F375" s="32" t="n">
        <v>7981942404</v>
      </c>
      <c r="G375" s="32" t="s">
        <v>80</v>
      </c>
      <c r="H375" s="32" t="s">
        <v>22</v>
      </c>
      <c r="I375" s="32" t="s">
        <v>145</v>
      </c>
      <c r="J375" s="32" t="s">
        <v>117</v>
      </c>
      <c r="K375" s="32" t="s">
        <v>63</v>
      </c>
    </row>
    <row r="376" customFormat="false" ht="13.5" hidden="false" customHeight="true" outlineLevel="0" collapsed="false">
      <c r="A376" s="32" t="n">
        <v>2219</v>
      </c>
      <c r="B376" s="32" t="s">
        <v>453</v>
      </c>
      <c r="C376" s="32" t="s">
        <v>454</v>
      </c>
      <c r="D376" s="32" t="s">
        <v>114</v>
      </c>
      <c r="E376" s="32" t="s">
        <v>124</v>
      </c>
      <c r="F376" s="32" t="n">
        <v>8105430083</v>
      </c>
      <c r="G376" s="32" t="s">
        <v>61</v>
      </c>
      <c r="H376" s="32" t="s">
        <v>22</v>
      </c>
      <c r="I376" s="32" t="s">
        <v>221</v>
      </c>
      <c r="J376" s="32" t="s">
        <v>222</v>
      </c>
      <c r="K376" s="32" t="s">
        <v>63</v>
      </c>
    </row>
    <row r="377" customFormat="false" ht="13.5" hidden="false" customHeight="true" outlineLevel="0" collapsed="false">
      <c r="A377" s="32" t="n">
        <v>2220</v>
      </c>
      <c r="B377" s="32" t="s">
        <v>453</v>
      </c>
      <c r="C377" s="32" t="s">
        <v>455</v>
      </c>
      <c r="D377" s="32" t="s">
        <v>114</v>
      </c>
      <c r="E377" s="32" t="s">
        <v>124</v>
      </c>
      <c r="F377" s="33" t="n">
        <v>918105000000</v>
      </c>
      <c r="G377" s="32" t="s">
        <v>61</v>
      </c>
      <c r="H377" s="32" t="s">
        <v>22</v>
      </c>
      <c r="I377" s="32" t="s">
        <v>456</v>
      </c>
      <c r="J377" s="32" t="s">
        <v>66</v>
      </c>
      <c r="K377" s="32" t="s">
        <v>63</v>
      </c>
    </row>
    <row r="378" customFormat="false" ht="13.5" hidden="false" customHeight="true" outlineLevel="0" collapsed="false">
      <c r="A378" s="32" t="n">
        <v>2221</v>
      </c>
      <c r="B378" s="32" t="s">
        <v>453</v>
      </c>
      <c r="C378" s="32" t="s">
        <v>455</v>
      </c>
      <c r="D378" s="32" t="s">
        <v>114</v>
      </c>
      <c r="E378" s="32" t="s">
        <v>124</v>
      </c>
      <c r="F378" s="32" t="n">
        <v>8105430083</v>
      </c>
      <c r="G378" s="32" t="s">
        <v>61</v>
      </c>
      <c r="H378" s="32" t="s">
        <v>22</v>
      </c>
      <c r="I378" s="32" t="s">
        <v>223</v>
      </c>
      <c r="J378" s="32" t="s">
        <v>224</v>
      </c>
      <c r="K378" s="32" t="s">
        <v>63</v>
      </c>
    </row>
    <row r="379" customFormat="false" ht="13.5" hidden="false" customHeight="true" outlineLevel="0" collapsed="false">
      <c r="A379" s="32" t="n">
        <v>2222</v>
      </c>
      <c r="B379" s="32" t="s">
        <v>453</v>
      </c>
      <c r="C379" s="32" t="s">
        <v>455</v>
      </c>
      <c r="D379" s="32" t="s">
        <v>114</v>
      </c>
      <c r="E379" s="32" t="s">
        <v>124</v>
      </c>
      <c r="F379" s="33" t="n">
        <v>918105000000</v>
      </c>
      <c r="G379" s="32" t="s">
        <v>61</v>
      </c>
      <c r="H379" s="32" t="s">
        <v>22</v>
      </c>
      <c r="I379" s="32" t="s">
        <v>280</v>
      </c>
      <c r="J379" s="32" t="s">
        <v>76</v>
      </c>
      <c r="K379" s="32" t="s">
        <v>63</v>
      </c>
    </row>
    <row r="380" customFormat="false" ht="13.5" hidden="false" customHeight="true" outlineLevel="0" collapsed="false">
      <c r="A380" s="32" t="n">
        <v>2223</v>
      </c>
      <c r="B380" s="32" t="s">
        <v>457</v>
      </c>
      <c r="C380" s="32" t="s">
        <v>458</v>
      </c>
      <c r="D380" s="32" t="s">
        <v>114</v>
      </c>
      <c r="E380" s="32" t="s">
        <v>115</v>
      </c>
      <c r="F380" s="32" t="n">
        <v>9748611750</v>
      </c>
      <c r="G380" s="32" t="s">
        <v>140</v>
      </c>
      <c r="H380" s="32" t="s">
        <v>22</v>
      </c>
      <c r="I380" s="32" t="s">
        <v>185</v>
      </c>
      <c r="J380" s="32" t="s">
        <v>186</v>
      </c>
      <c r="K380" s="32" t="s">
        <v>63</v>
      </c>
    </row>
    <row r="381" customFormat="false" ht="13.5" hidden="false" customHeight="true" outlineLevel="0" collapsed="false">
      <c r="A381" s="32" t="n">
        <v>2225</v>
      </c>
      <c r="B381" s="32" t="s">
        <v>457</v>
      </c>
      <c r="C381" s="32" t="s">
        <v>458</v>
      </c>
      <c r="D381" s="32" t="s">
        <v>114</v>
      </c>
      <c r="E381" s="32" t="s">
        <v>115</v>
      </c>
      <c r="F381" s="32" t="n">
        <v>9748611750</v>
      </c>
      <c r="G381" s="32" t="s">
        <v>140</v>
      </c>
      <c r="H381" s="32" t="s">
        <v>22</v>
      </c>
      <c r="I381" s="32" t="s">
        <v>145</v>
      </c>
      <c r="J381" s="32" t="s">
        <v>117</v>
      </c>
      <c r="K381" s="32" t="s">
        <v>63</v>
      </c>
    </row>
    <row r="382" customFormat="false" ht="13.5" hidden="false" customHeight="true" outlineLevel="0" collapsed="false">
      <c r="A382" s="32" t="n">
        <v>6907</v>
      </c>
      <c r="B382" s="32" t="s">
        <v>459</v>
      </c>
      <c r="C382" s="32" t="s">
        <v>460</v>
      </c>
      <c r="D382" s="32" t="s">
        <v>102</v>
      </c>
      <c r="E382" s="32" t="s">
        <v>103</v>
      </c>
      <c r="F382" s="32" t="n">
        <v>0</v>
      </c>
      <c r="G382" s="32" t="s">
        <v>140</v>
      </c>
      <c r="H382" s="32" t="s">
        <v>21</v>
      </c>
      <c r="I382" s="32" t="s">
        <v>76</v>
      </c>
      <c r="J382" s="32" t="s">
        <v>76</v>
      </c>
      <c r="K382" s="32" t="s">
        <v>63</v>
      </c>
    </row>
    <row r="383" customFormat="false" ht="13.5" hidden="false" customHeight="true" outlineLevel="0" collapsed="false">
      <c r="A383" s="32" t="n">
        <v>6908</v>
      </c>
      <c r="B383" s="32" t="s">
        <v>459</v>
      </c>
      <c r="C383" s="32" t="s">
        <v>460</v>
      </c>
      <c r="D383" s="32" t="s">
        <v>102</v>
      </c>
      <c r="E383" s="32" t="s">
        <v>103</v>
      </c>
      <c r="F383" s="32" t="n">
        <v>0</v>
      </c>
      <c r="G383" s="32" t="s">
        <v>140</v>
      </c>
      <c r="H383" s="32" t="s">
        <v>21</v>
      </c>
      <c r="I383" s="32" t="s">
        <v>27</v>
      </c>
      <c r="J383" s="32" t="s">
        <v>13</v>
      </c>
      <c r="K383" s="32" t="s">
        <v>63</v>
      </c>
    </row>
    <row r="384" customFormat="false" ht="13.5" hidden="false" customHeight="true" outlineLevel="0" collapsed="false">
      <c r="A384" s="32" t="n">
        <v>2228</v>
      </c>
      <c r="B384" s="32" t="s">
        <v>461</v>
      </c>
      <c r="C384" s="32" t="s">
        <v>462</v>
      </c>
      <c r="D384" s="32" t="s">
        <v>114</v>
      </c>
      <c r="E384" s="32" t="s">
        <v>268</v>
      </c>
      <c r="F384" s="32" t="n">
        <v>8897650578</v>
      </c>
      <c r="G384" s="32" t="s">
        <v>80</v>
      </c>
      <c r="H384" s="32" t="s">
        <v>22</v>
      </c>
      <c r="I384" s="32" t="s">
        <v>14</v>
      </c>
      <c r="J384" s="32" t="s">
        <v>66</v>
      </c>
      <c r="K384" s="32" t="s">
        <v>63</v>
      </c>
    </row>
    <row r="385" customFormat="false" ht="13.5" hidden="false" customHeight="true" outlineLevel="0" collapsed="false">
      <c r="A385" s="32" t="n">
        <v>2229</v>
      </c>
      <c r="B385" s="32" t="s">
        <v>461</v>
      </c>
      <c r="C385" s="32" t="s">
        <v>462</v>
      </c>
      <c r="D385" s="32" t="s">
        <v>114</v>
      </c>
      <c r="E385" s="32" t="s">
        <v>268</v>
      </c>
      <c r="F385" s="32" t="n">
        <v>8897650578</v>
      </c>
      <c r="G385" s="32" t="s">
        <v>80</v>
      </c>
      <c r="H385" s="32" t="s">
        <v>22</v>
      </c>
      <c r="I385" s="32" t="s">
        <v>463</v>
      </c>
      <c r="J385" s="32" t="s">
        <v>66</v>
      </c>
      <c r="K385" s="32" t="s">
        <v>63</v>
      </c>
    </row>
    <row r="386" customFormat="false" ht="13.5" hidden="false" customHeight="true" outlineLevel="0" collapsed="false">
      <c r="A386" s="32" t="n">
        <v>2230</v>
      </c>
      <c r="B386" s="32" t="s">
        <v>461</v>
      </c>
      <c r="C386" s="32" t="s">
        <v>464</v>
      </c>
      <c r="D386" s="32" t="s">
        <v>114</v>
      </c>
      <c r="E386" s="32" t="s">
        <v>268</v>
      </c>
      <c r="F386" s="32" t="n">
        <v>8897650578</v>
      </c>
      <c r="G386" s="32" t="s">
        <v>80</v>
      </c>
      <c r="H386" s="32" t="s">
        <v>22</v>
      </c>
      <c r="I386" s="32" t="s">
        <v>156</v>
      </c>
      <c r="J386" s="32" t="s">
        <v>62</v>
      </c>
      <c r="K386" s="32" t="s">
        <v>63</v>
      </c>
    </row>
    <row r="387" customFormat="false" ht="13.5" hidden="false" customHeight="true" outlineLevel="0" collapsed="false">
      <c r="A387" s="32" t="n">
        <v>2231</v>
      </c>
      <c r="B387" s="32" t="s">
        <v>461</v>
      </c>
      <c r="C387" s="32" t="s">
        <v>464</v>
      </c>
      <c r="D387" s="32" t="s">
        <v>114</v>
      </c>
      <c r="E387" s="32" t="s">
        <v>268</v>
      </c>
      <c r="F387" s="32" t="n">
        <v>8897650578</v>
      </c>
      <c r="G387" s="32" t="s">
        <v>80</v>
      </c>
      <c r="H387" s="32" t="s">
        <v>22</v>
      </c>
      <c r="I387" s="32" t="s">
        <v>29</v>
      </c>
      <c r="J387" s="32" t="s">
        <v>62</v>
      </c>
      <c r="K387" s="32" t="s">
        <v>63</v>
      </c>
    </row>
    <row r="388" customFormat="false" ht="13.5" hidden="false" customHeight="true" outlineLevel="0" collapsed="false">
      <c r="A388" s="32" t="n">
        <v>2232</v>
      </c>
      <c r="B388" s="32" t="s">
        <v>465</v>
      </c>
      <c r="C388" s="32" t="s">
        <v>466</v>
      </c>
      <c r="D388" s="32" t="s">
        <v>114</v>
      </c>
      <c r="E388" s="32" t="s">
        <v>165</v>
      </c>
      <c r="F388" s="32" t="n">
        <v>8454947021</v>
      </c>
      <c r="G388" s="32" t="s">
        <v>104</v>
      </c>
      <c r="H388" s="32" t="s">
        <v>22</v>
      </c>
      <c r="I388" s="32" t="s">
        <v>28</v>
      </c>
      <c r="J388" s="32" t="s">
        <v>82</v>
      </c>
      <c r="K388" s="32" t="s">
        <v>63</v>
      </c>
    </row>
    <row r="389" customFormat="false" ht="13.5" hidden="false" customHeight="true" outlineLevel="0" collapsed="false">
      <c r="A389" s="32" t="n">
        <v>2233</v>
      </c>
      <c r="B389" s="32" t="s">
        <v>465</v>
      </c>
      <c r="C389" s="32" t="s">
        <v>467</v>
      </c>
      <c r="D389" s="32" t="s">
        <v>114</v>
      </c>
      <c r="E389" s="32" t="s">
        <v>165</v>
      </c>
      <c r="F389" s="32" t="n">
        <v>8454947021</v>
      </c>
      <c r="G389" s="32" t="s">
        <v>104</v>
      </c>
      <c r="H389" s="32" t="s">
        <v>22</v>
      </c>
      <c r="I389" s="32" t="s">
        <v>81</v>
      </c>
      <c r="J389" s="32" t="s">
        <v>82</v>
      </c>
      <c r="K389" s="32" t="s">
        <v>63</v>
      </c>
    </row>
    <row r="390" customFormat="false" ht="13.5" hidden="false" customHeight="true" outlineLevel="0" collapsed="false">
      <c r="A390" s="32" t="n">
        <v>2234</v>
      </c>
      <c r="B390" s="32" t="s">
        <v>465</v>
      </c>
      <c r="C390" s="32" t="s">
        <v>466</v>
      </c>
      <c r="D390" s="32" t="s">
        <v>114</v>
      </c>
      <c r="E390" s="32" t="s">
        <v>165</v>
      </c>
      <c r="F390" s="32" t="n">
        <v>8454947021</v>
      </c>
      <c r="G390" s="32" t="s">
        <v>104</v>
      </c>
      <c r="H390" s="32" t="s">
        <v>22</v>
      </c>
      <c r="I390" s="32" t="s">
        <v>128</v>
      </c>
      <c r="J390" s="32" t="s">
        <v>89</v>
      </c>
      <c r="K390" s="32" t="s">
        <v>63</v>
      </c>
    </row>
    <row r="391" customFormat="false" ht="13.5" hidden="false" customHeight="true" outlineLevel="0" collapsed="false">
      <c r="A391" s="32" t="n">
        <v>2235</v>
      </c>
      <c r="B391" s="32" t="s">
        <v>465</v>
      </c>
      <c r="C391" s="32" t="s">
        <v>466</v>
      </c>
      <c r="D391" s="32" t="s">
        <v>114</v>
      </c>
      <c r="E391" s="32" t="s">
        <v>165</v>
      </c>
      <c r="F391" s="32" t="n">
        <v>8454947021</v>
      </c>
      <c r="G391" s="32" t="s">
        <v>104</v>
      </c>
      <c r="H391" s="32" t="s">
        <v>22</v>
      </c>
      <c r="I391" s="32" t="s">
        <v>133</v>
      </c>
      <c r="J391" s="32" t="s">
        <v>134</v>
      </c>
      <c r="K391" s="32" t="s">
        <v>63</v>
      </c>
    </row>
    <row r="392" customFormat="false" ht="13.5" hidden="false" customHeight="true" outlineLevel="0" collapsed="false">
      <c r="A392" s="32" t="n">
        <v>2236</v>
      </c>
      <c r="B392" s="32" t="s">
        <v>465</v>
      </c>
      <c r="C392" s="32" t="s">
        <v>467</v>
      </c>
      <c r="D392" s="32" t="s">
        <v>114</v>
      </c>
      <c r="E392" s="32" t="s">
        <v>165</v>
      </c>
      <c r="F392" s="32" t="n">
        <v>8454947021</v>
      </c>
      <c r="G392" s="32" t="s">
        <v>104</v>
      </c>
      <c r="H392" s="32" t="s">
        <v>22</v>
      </c>
      <c r="I392" s="32" t="s">
        <v>468</v>
      </c>
      <c r="J392" s="32" t="s">
        <v>89</v>
      </c>
      <c r="K392" s="32" t="s">
        <v>63</v>
      </c>
    </row>
    <row r="393" customFormat="false" ht="13.5" hidden="false" customHeight="true" outlineLevel="0" collapsed="false">
      <c r="A393" s="32" t="n">
        <v>2237</v>
      </c>
      <c r="B393" s="32" t="s">
        <v>465</v>
      </c>
      <c r="C393" s="32" t="s">
        <v>467</v>
      </c>
      <c r="D393" s="32" t="s">
        <v>114</v>
      </c>
      <c r="E393" s="32" t="s">
        <v>165</v>
      </c>
      <c r="F393" s="32" t="n">
        <v>8454947021</v>
      </c>
      <c r="G393" s="32" t="s">
        <v>104</v>
      </c>
      <c r="H393" s="32" t="s">
        <v>22</v>
      </c>
      <c r="I393" s="32" t="s">
        <v>93</v>
      </c>
      <c r="J393" s="32" t="s">
        <v>85</v>
      </c>
      <c r="K393" s="32" t="s">
        <v>63</v>
      </c>
    </row>
    <row r="394" customFormat="false" ht="13.5" hidden="false" customHeight="true" outlineLevel="0" collapsed="false">
      <c r="A394" s="32" t="n">
        <v>2238</v>
      </c>
      <c r="B394" s="32" t="s">
        <v>469</v>
      </c>
      <c r="C394" s="32" t="s">
        <v>470</v>
      </c>
      <c r="D394" s="32" t="s">
        <v>59</v>
      </c>
      <c r="E394" s="32" t="s">
        <v>107</v>
      </c>
      <c r="F394" s="33" t="n">
        <v>917205000000</v>
      </c>
      <c r="G394" s="32" t="s">
        <v>61</v>
      </c>
      <c r="H394" s="32" t="s">
        <v>21</v>
      </c>
      <c r="I394" s="32" t="s">
        <v>108</v>
      </c>
      <c r="J394" s="32" t="s">
        <v>71</v>
      </c>
      <c r="K394" s="32" t="s">
        <v>63</v>
      </c>
    </row>
    <row r="395" customFormat="false" ht="13.5" hidden="false" customHeight="true" outlineLevel="0" collapsed="false">
      <c r="A395" s="32" t="n">
        <v>2239</v>
      </c>
      <c r="B395" s="32" t="s">
        <v>469</v>
      </c>
      <c r="C395" s="32" t="s">
        <v>470</v>
      </c>
      <c r="D395" s="32" t="s">
        <v>59</v>
      </c>
      <c r="E395" s="32" t="s">
        <v>107</v>
      </c>
      <c r="F395" s="33" t="n">
        <v>917205000000</v>
      </c>
      <c r="G395" s="32" t="s">
        <v>61</v>
      </c>
      <c r="H395" s="32" t="s">
        <v>21</v>
      </c>
      <c r="I395" s="32" t="s">
        <v>146</v>
      </c>
      <c r="J395" s="32" t="s">
        <v>117</v>
      </c>
      <c r="K395" s="32" t="s">
        <v>63</v>
      </c>
    </row>
    <row r="396" customFormat="false" ht="13.5" hidden="false" customHeight="true" outlineLevel="0" collapsed="false">
      <c r="A396" s="32" t="n">
        <v>2240</v>
      </c>
      <c r="B396" s="32" t="s">
        <v>469</v>
      </c>
      <c r="C396" s="32" t="s">
        <v>470</v>
      </c>
      <c r="D396" s="32" t="s">
        <v>59</v>
      </c>
      <c r="E396" s="32" t="s">
        <v>107</v>
      </c>
      <c r="F396" s="33" t="n">
        <v>917205000000</v>
      </c>
      <c r="G396" s="32" t="s">
        <v>61</v>
      </c>
      <c r="H396" s="32" t="s">
        <v>21</v>
      </c>
      <c r="I396" s="32" t="s">
        <v>280</v>
      </c>
      <c r="J396" s="32" t="s">
        <v>76</v>
      </c>
      <c r="K396" s="32" t="s">
        <v>63</v>
      </c>
    </row>
    <row r="397" customFormat="false" ht="13.5" hidden="false" customHeight="true" outlineLevel="0" collapsed="false">
      <c r="A397" s="32" t="n">
        <v>2241</v>
      </c>
      <c r="B397" s="32" t="s">
        <v>469</v>
      </c>
      <c r="C397" s="32" t="s">
        <v>471</v>
      </c>
      <c r="D397" s="32" t="s">
        <v>59</v>
      </c>
      <c r="E397" s="32" t="s">
        <v>107</v>
      </c>
      <c r="F397" s="32" t="n">
        <v>7205289585</v>
      </c>
      <c r="G397" s="32" t="s">
        <v>61</v>
      </c>
      <c r="H397" s="32" t="s">
        <v>21</v>
      </c>
      <c r="I397" s="32" t="s">
        <v>95</v>
      </c>
      <c r="J397" s="32" t="s">
        <v>96</v>
      </c>
      <c r="K397" s="32" t="s">
        <v>63</v>
      </c>
    </row>
    <row r="398" customFormat="false" ht="13.5" hidden="false" customHeight="true" outlineLevel="0" collapsed="false">
      <c r="A398" s="32" t="n">
        <v>2242</v>
      </c>
      <c r="B398" s="32" t="s">
        <v>472</v>
      </c>
      <c r="C398" s="32" t="s">
        <v>473</v>
      </c>
      <c r="D398" s="32" t="s">
        <v>114</v>
      </c>
      <c r="E398" s="32" t="n">
        <v>0</v>
      </c>
      <c r="F398" s="32" t="n">
        <v>9820627577</v>
      </c>
      <c r="G398" s="32" t="s">
        <v>104</v>
      </c>
      <c r="H398" s="32" t="s">
        <v>22</v>
      </c>
      <c r="I398" s="32" t="s">
        <v>217</v>
      </c>
      <c r="J398" s="32" t="s">
        <v>132</v>
      </c>
      <c r="K398" s="32" t="s">
        <v>63</v>
      </c>
    </row>
    <row r="399" customFormat="false" ht="13.5" hidden="false" customHeight="true" outlineLevel="0" collapsed="false">
      <c r="A399" s="32" t="n">
        <v>2246</v>
      </c>
      <c r="B399" s="32" t="s">
        <v>474</v>
      </c>
      <c r="C399" s="32" t="s">
        <v>475</v>
      </c>
      <c r="D399" s="32" t="s">
        <v>114</v>
      </c>
      <c r="E399" s="32" t="s">
        <v>169</v>
      </c>
      <c r="F399" s="32" t="n">
        <v>9550545669</v>
      </c>
      <c r="G399" s="32" t="s">
        <v>80</v>
      </c>
      <c r="H399" s="32" t="s">
        <v>22</v>
      </c>
      <c r="I399" s="32" t="s">
        <v>171</v>
      </c>
      <c r="J399" s="32" t="s">
        <v>152</v>
      </c>
      <c r="K399" s="32" t="s">
        <v>63</v>
      </c>
    </row>
    <row r="400" customFormat="false" ht="13.5" hidden="false" customHeight="true" outlineLevel="0" collapsed="false">
      <c r="A400" s="32" t="n">
        <v>2247</v>
      </c>
      <c r="B400" s="32" t="s">
        <v>476</v>
      </c>
      <c r="C400" s="32" t="s">
        <v>477</v>
      </c>
      <c r="D400" s="32" t="s">
        <v>114</v>
      </c>
      <c r="E400" s="32" t="s">
        <v>377</v>
      </c>
      <c r="F400" s="32" t="n">
        <v>8826336668</v>
      </c>
      <c r="G400" s="32" t="s">
        <v>144</v>
      </c>
      <c r="H400" s="32" t="s">
        <v>22</v>
      </c>
      <c r="I400" s="32" t="s">
        <v>30</v>
      </c>
      <c r="J400" s="32" t="s">
        <v>203</v>
      </c>
      <c r="K400" s="32" t="s">
        <v>63</v>
      </c>
    </row>
    <row r="401" customFormat="false" ht="13.5" hidden="false" customHeight="true" outlineLevel="0" collapsed="false">
      <c r="A401" s="32" t="n">
        <v>2248</v>
      </c>
      <c r="B401" s="32" t="s">
        <v>476</v>
      </c>
      <c r="C401" s="32" t="s">
        <v>477</v>
      </c>
      <c r="D401" s="32" t="s">
        <v>114</v>
      </c>
      <c r="E401" s="32" t="s">
        <v>377</v>
      </c>
      <c r="F401" s="32" t="n">
        <v>8826336668</v>
      </c>
      <c r="G401" s="32" t="s">
        <v>144</v>
      </c>
      <c r="H401" s="32" t="s">
        <v>22</v>
      </c>
      <c r="I401" s="32" t="s">
        <v>128</v>
      </c>
      <c r="J401" s="32" t="s">
        <v>89</v>
      </c>
      <c r="K401" s="32" t="s">
        <v>63</v>
      </c>
    </row>
    <row r="402" customFormat="false" ht="13.5" hidden="false" customHeight="true" outlineLevel="0" collapsed="false">
      <c r="A402" s="32" t="n">
        <v>2249</v>
      </c>
      <c r="B402" s="32" t="s">
        <v>476</v>
      </c>
      <c r="C402" s="32" t="s">
        <v>477</v>
      </c>
      <c r="D402" s="32" t="s">
        <v>114</v>
      </c>
      <c r="E402" s="32" t="s">
        <v>377</v>
      </c>
      <c r="F402" s="32" t="n">
        <v>8826336668</v>
      </c>
      <c r="G402" s="32" t="s">
        <v>144</v>
      </c>
      <c r="H402" s="32" t="s">
        <v>22</v>
      </c>
      <c r="I402" s="32" t="s">
        <v>151</v>
      </c>
      <c r="J402" s="32" t="s">
        <v>152</v>
      </c>
      <c r="K402" s="32" t="s">
        <v>63</v>
      </c>
    </row>
    <row r="403" customFormat="false" ht="13.5" hidden="false" customHeight="true" outlineLevel="0" collapsed="false">
      <c r="A403" s="32" t="n">
        <v>2250</v>
      </c>
      <c r="B403" s="32" t="s">
        <v>476</v>
      </c>
      <c r="C403" s="32" t="s">
        <v>478</v>
      </c>
      <c r="D403" s="32" t="s">
        <v>114</v>
      </c>
      <c r="E403" s="32" t="s">
        <v>377</v>
      </c>
      <c r="F403" s="32" t="n">
        <v>8826336668</v>
      </c>
      <c r="G403" s="32" t="s">
        <v>144</v>
      </c>
      <c r="H403" s="32" t="s">
        <v>22</v>
      </c>
      <c r="I403" s="32" t="s">
        <v>27</v>
      </c>
      <c r="J403" s="32" t="s">
        <v>13</v>
      </c>
      <c r="K403" s="32" t="s">
        <v>63</v>
      </c>
    </row>
    <row r="404" customFormat="false" ht="13.5" hidden="false" customHeight="true" outlineLevel="0" collapsed="false">
      <c r="A404" s="32" t="n">
        <v>2251</v>
      </c>
      <c r="B404" s="32" t="s">
        <v>479</v>
      </c>
      <c r="C404" s="32" t="s">
        <v>480</v>
      </c>
      <c r="D404" s="32" t="s">
        <v>59</v>
      </c>
      <c r="E404" s="32" t="n">
        <v>0</v>
      </c>
      <c r="F404" s="32" t="n">
        <v>0</v>
      </c>
      <c r="G404" s="32" t="s">
        <v>61</v>
      </c>
      <c r="H404" s="32" t="s">
        <v>21</v>
      </c>
      <c r="I404" s="32" t="s">
        <v>171</v>
      </c>
      <c r="J404" s="32" t="s">
        <v>152</v>
      </c>
      <c r="K404" s="32" t="s">
        <v>63</v>
      </c>
    </row>
    <row r="405" customFormat="false" ht="13.5" hidden="false" customHeight="true" outlineLevel="0" collapsed="false">
      <c r="A405" s="32" t="n">
        <v>2252</v>
      </c>
      <c r="B405" s="32" t="s">
        <v>479</v>
      </c>
      <c r="C405" s="32" t="s">
        <v>480</v>
      </c>
      <c r="D405" s="32" t="s">
        <v>59</v>
      </c>
      <c r="E405" s="32" t="n">
        <v>0</v>
      </c>
      <c r="F405" s="32" t="n">
        <v>0</v>
      </c>
      <c r="G405" s="32" t="s">
        <v>61</v>
      </c>
      <c r="H405" s="32" t="s">
        <v>21</v>
      </c>
      <c r="I405" s="32" t="s">
        <v>386</v>
      </c>
      <c r="J405" s="32" t="s">
        <v>132</v>
      </c>
      <c r="K405" s="32" t="s">
        <v>63</v>
      </c>
    </row>
    <row r="406" customFormat="false" ht="13.5" hidden="false" customHeight="true" outlineLevel="0" collapsed="false">
      <c r="A406" s="32" t="n">
        <v>2253</v>
      </c>
      <c r="B406" s="32" t="s">
        <v>479</v>
      </c>
      <c r="C406" s="32" t="s">
        <v>481</v>
      </c>
      <c r="D406" s="32" t="s">
        <v>59</v>
      </c>
      <c r="E406" s="32" t="n">
        <v>0</v>
      </c>
      <c r="F406" s="32" t="n">
        <v>7829171510</v>
      </c>
      <c r="G406" s="32" t="s">
        <v>61</v>
      </c>
      <c r="H406" s="32" t="s">
        <v>21</v>
      </c>
      <c r="I406" s="32" t="s">
        <v>151</v>
      </c>
      <c r="J406" s="32" t="s">
        <v>152</v>
      </c>
      <c r="K406" s="32" t="s">
        <v>63</v>
      </c>
    </row>
    <row r="407" customFormat="false" ht="13.5" hidden="false" customHeight="true" outlineLevel="0" collapsed="false">
      <c r="A407" s="32" t="n">
        <v>2254</v>
      </c>
      <c r="B407" s="32" t="s">
        <v>479</v>
      </c>
      <c r="C407" s="32" t="s">
        <v>481</v>
      </c>
      <c r="D407" s="32" t="s">
        <v>59</v>
      </c>
      <c r="E407" s="32" t="n">
        <v>0</v>
      </c>
      <c r="F407" s="32" t="n">
        <v>0</v>
      </c>
      <c r="G407" s="32" t="s">
        <v>61</v>
      </c>
      <c r="H407" s="32" t="s">
        <v>21</v>
      </c>
      <c r="I407" s="32" t="s">
        <v>151</v>
      </c>
      <c r="J407" s="32" t="s">
        <v>152</v>
      </c>
      <c r="K407" s="32" t="s">
        <v>63</v>
      </c>
    </row>
    <row r="408" customFormat="false" ht="13.5" hidden="false" customHeight="true" outlineLevel="0" collapsed="false">
      <c r="A408" s="32" t="n">
        <v>2255</v>
      </c>
      <c r="B408" s="32" t="s">
        <v>479</v>
      </c>
      <c r="C408" s="32" t="s">
        <v>481</v>
      </c>
      <c r="D408" s="32" t="s">
        <v>59</v>
      </c>
      <c r="E408" s="32" t="n">
        <v>0</v>
      </c>
      <c r="F408" s="32" t="n">
        <v>0</v>
      </c>
      <c r="G408" s="32" t="s">
        <v>61</v>
      </c>
      <c r="H408" s="32" t="s">
        <v>21</v>
      </c>
      <c r="I408" s="32" t="s">
        <v>172</v>
      </c>
      <c r="J408" s="32" t="s">
        <v>152</v>
      </c>
      <c r="K408" s="32" t="s">
        <v>63</v>
      </c>
    </row>
    <row r="409" customFormat="false" ht="13.5" hidden="false" customHeight="true" outlineLevel="0" collapsed="false">
      <c r="A409" s="32" t="n">
        <v>2256</v>
      </c>
      <c r="B409" s="32" t="s">
        <v>482</v>
      </c>
      <c r="C409" s="32" t="s">
        <v>483</v>
      </c>
      <c r="D409" s="32" t="s">
        <v>114</v>
      </c>
      <c r="E409" s="32" t="s">
        <v>165</v>
      </c>
      <c r="F409" s="32" t="n">
        <v>9986918679</v>
      </c>
      <c r="G409" s="32" t="s">
        <v>61</v>
      </c>
      <c r="H409" s="32" t="s">
        <v>22</v>
      </c>
      <c r="I409" s="32" t="s">
        <v>401</v>
      </c>
      <c r="J409" s="32" t="s">
        <v>82</v>
      </c>
      <c r="K409" s="32" t="s">
        <v>63</v>
      </c>
    </row>
    <row r="410" customFormat="false" ht="13.5" hidden="false" customHeight="true" outlineLevel="0" collapsed="false">
      <c r="A410" s="32" t="n">
        <v>2257</v>
      </c>
      <c r="B410" s="32" t="s">
        <v>484</v>
      </c>
      <c r="C410" s="32" t="s">
        <v>485</v>
      </c>
      <c r="D410" s="32" t="s">
        <v>114</v>
      </c>
      <c r="E410" s="32" t="n">
        <v>0</v>
      </c>
      <c r="F410" s="32" t="n">
        <v>9538758691</v>
      </c>
      <c r="G410" s="32" t="s">
        <v>144</v>
      </c>
      <c r="H410" s="32" t="s">
        <v>22</v>
      </c>
      <c r="I410" s="32" t="s">
        <v>156</v>
      </c>
      <c r="J410" s="32" t="s">
        <v>62</v>
      </c>
      <c r="K410" s="32" t="s">
        <v>63</v>
      </c>
    </row>
    <row r="411" customFormat="false" ht="13.5" hidden="false" customHeight="true" outlineLevel="0" collapsed="false">
      <c r="A411" s="32" t="n">
        <v>2258</v>
      </c>
      <c r="B411" s="32" t="s">
        <v>484</v>
      </c>
      <c r="C411" s="32" t="s">
        <v>485</v>
      </c>
      <c r="D411" s="32" t="s">
        <v>114</v>
      </c>
      <c r="E411" s="32" t="n">
        <v>0</v>
      </c>
      <c r="F411" s="32" t="n">
        <v>9538758691</v>
      </c>
      <c r="G411" s="32" t="s">
        <v>144</v>
      </c>
      <c r="H411" s="32" t="s">
        <v>22</v>
      </c>
      <c r="I411" s="32" t="s">
        <v>29</v>
      </c>
      <c r="J411" s="32" t="s">
        <v>62</v>
      </c>
      <c r="K411" s="32" t="s">
        <v>63</v>
      </c>
    </row>
    <row r="412" customFormat="false" ht="13.5" hidden="false" customHeight="true" outlineLevel="0" collapsed="false">
      <c r="A412" s="32" t="n">
        <v>2259</v>
      </c>
      <c r="B412" s="32" t="s">
        <v>484</v>
      </c>
      <c r="C412" s="32" t="s">
        <v>485</v>
      </c>
      <c r="D412" s="32" t="s">
        <v>114</v>
      </c>
      <c r="E412" s="32" t="n">
        <v>0</v>
      </c>
      <c r="F412" s="32" t="n">
        <v>9538758691</v>
      </c>
      <c r="G412" s="32" t="s">
        <v>144</v>
      </c>
      <c r="H412" s="32" t="s">
        <v>22</v>
      </c>
      <c r="I412" s="32" t="s">
        <v>14</v>
      </c>
      <c r="J412" s="32" t="s">
        <v>66</v>
      </c>
      <c r="K412" s="32" t="s">
        <v>63</v>
      </c>
    </row>
    <row r="413" customFormat="false" ht="13.5" hidden="false" customHeight="true" outlineLevel="0" collapsed="false">
      <c r="A413" s="32" t="n">
        <v>2260</v>
      </c>
      <c r="B413" s="32" t="s">
        <v>486</v>
      </c>
      <c r="C413" s="32" t="s">
        <v>487</v>
      </c>
      <c r="D413" s="32" t="s">
        <v>59</v>
      </c>
      <c r="E413" s="32" t="s">
        <v>143</v>
      </c>
      <c r="F413" s="33" t="n">
        <v>918330000000</v>
      </c>
      <c r="G413" s="32" t="s">
        <v>140</v>
      </c>
      <c r="H413" s="32" t="s">
        <v>21</v>
      </c>
      <c r="I413" s="32" t="s">
        <v>488</v>
      </c>
      <c r="J413" s="32" t="s">
        <v>117</v>
      </c>
      <c r="K413" s="32" t="s">
        <v>63</v>
      </c>
    </row>
    <row r="414" customFormat="false" ht="13.5" hidden="false" customHeight="true" outlineLevel="0" collapsed="false">
      <c r="A414" s="32" t="n">
        <v>2262</v>
      </c>
      <c r="B414" s="32" t="s">
        <v>486</v>
      </c>
      <c r="C414" s="32" t="s">
        <v>487</v>
      </c>
      <c r="D414" s="32" t="s">
        <v>59</v>
      </c>
      <c r="E414" s="32" t="s">
        <v>143</v>
      </c>
      <c r="F414" s="33" t="n">
        <v>918330000000</v>
      </c>
      <c r="G414" s="32" t="s">
        <v>140</v>
      </c>
      <c r="H414" s="32" t="s">
        <v>21</v>
      </c>
      <c r="I414" s="32" t="s">
        <v>27</v>
      </c>
      <c r="J414" s="32" t="s">
        <v>13</v>
      </c>
      <c r="K414" s="32" t="s">
        <v>63</v>
      </c>
    </row>
    <row r="415" customFormat="false" ht="13.5" hidden="false" customHeight="true" outlineLevel="0" collapsed="false">
      <c r="A415" s="32" t="n">
        <v>2263</v>
      </c>
      <c r="B415" s="32" t="s">
        <v>486</v>
      </c>
      <c r="C415" s="32" t="s">
        <v>487</v>
      </c>
      <c r="D415" s="32" t="s">
        <v>59</v>
      </c>
      <c r="E415" s="32" t="s">
        <v>143</v>
      </c>
      <c r="F415" s="33" t="n">
        <v>918330000000</v>
      </c>
      <c r="G415" s="32" t="s">
        <v>140</v>
      </c>
      <c r="H415" s="32" t="s">
        <v>21</v>
      </c>
      <c r="I415" s="32" t="s">
        <v>93</v>
      </c>
      <c r="J415" s="32" t="s">
        <v>85</v>
      </c>
      <c r="K415" s="32" t="s">
        <v>63</v>
      </c>
    </row>
    <row r="416" customFormat="false" ht="13.5" hidden="false" customHeight="true" outlineLevel="0" collapsed="false">
      <c r="A416" s="32" t="n">
        <v>2264</v>
      </c>
      <c r="B416" s="32" t="s">
        <v>489</v>
      </c>
      <c r="C416" s="32" t="s">
        <v>490</v>
      </c>
      <c r="D416" s="32" t="s">
        <v>59</v>
      </c>
      <c r="E416" s="32" t="s">
        <v>79</v>
      </c>
      <c r="F416" s="33" t="n">
        <v>919664000000</v>
      </c>
      <c r="G416" s="32" t="s">
        <v>144</v>
      </c>
      <c r="H416" s="32" t="s">
        <v>21</v>
      </c>
      <c r="I416" s="32" t="s">
        <v>151</v>
      </c>
      <c r="J416" s="32" t="s">
        <v>152</v>
      </c>
      <c r="K416" s="32" t="s">
        <v>63</v>
      </c>
    </row>
    <row r="417" customFormat="false" ht="13.5" hidden="false" customHeight="true" outlineLevel="0" collapsed="false">
      <c r="A417" s="32" t="n">
        <v>2265</v>
      </c>
      <c r="B417" s="32" t="s">
        <v>489</v>
      </c>
      <c r="C417" s="32" t="s">
        <v>490</v>
      </c>
      <c r="D417" s="32" t="s">
        <v>59</v>
      </c>
      <c r="E417" s="32" t="s">
        <v>79</v>
      </c>
      <c r="F417" s="33" t="n">
        <v>919664000000</v>
      </c>
      <c r="G417" s="32" t="s">
        <v>144</v>
      </c>
      <c r="H417" s="32" t="s">
        <v>21</v>
      </c>
      <c r="I417" s="32" t="s">
        <v>251</v>
      </c>
      <c r="J417" s="32" t="s">
        <v>152</v>
      </c>
      <c r="K417" s="32" t="s">
        <v>63</v>
      </c>
    </row>
    <row r="418" customFormat="false" ht="13.5" hidden="false" customHeight="true" outlineLevel="0" collapsed="false">
      <c r="A418" s="32" t="n">
        <v>2266</v>
      </c>
      <c r="B418" s="32" t="s">
        <v>489</v>
      </c>
      <c r="C418" s="32" t="s">
        <v>490</v>
      </c>
      <c r="D418" s="32" t="s">
        <v>59</v>
      </c>
      <c r="E418" s="32" t="s">
        <v>79</v>
      </c>
      <c r="F418" s="33" t="n">
        <v>919664000000</v>
      </c>
      <c r="G418" s="32" t="s">
        <v>144</v>
      </c>
      <c r="H418" s="32" t="s">
        <v>21</v>
      </c>
      <c r="I418" s="32" t="s">
        <v>491</v>
      </c>
      <c r="J418" s="32" t="s">
        <v>152</v>
      </c>
      <c r="K418" s="32" t="s">
        <v>63</v>
      </c>
    </row>
    <row r="419" customFormat="false" ht="13.5" hidden="false" customHeight="true" outlineLevel="0" collapsed="false">
      <c r="A419" s="32" t="n">
        <v>2267</v>
      </c>
      <c r="B419" s="32" t="s">
        <v>492</v>
      </c>
      <c r="C419" s="32" t="s">
        <v>493</v>
      </c>
      <c r="D419" s="32" t="s">
        <v>114</v>
      </c>
      <c r="E419" s="32" t="n">
        <v>0</v>
      </c>
      <c r="F419" s="32" t="n">
        <v>0</v>
      </c>
      <c r="G419" s="32" t="s">
        <v>61</v>
      </c>
      <c r="H419" s="32" t="s">
        <v>22</v>
      </c>
      <c r="I419" s="32" t="s">
        <v>494</v>
      </c>
      <c r="J419" s="32" t="s">
        <v>71</v>
      </c>
      <c r="K419" s="32" t="s">
        <v>63</v>
      </c>
    </row>
    <row r="420" customFormat="false" ht="13.5" hidden="false" customHeight="true" outlineLevel="0" collapsed="false">
      <c r="A420" s="32" t="n">
        <v>2268</v>
      </c>
      <c r="B420" s="32" t="s">
        <v>495</v>
      </c>
      <c r="C420" s="32" t="s">
        <v>496</v>
      </c>
      <c r="D420" s="32" t="s">
        <v>114</v>
      </c>
      <c r="E420" s="32" t="n">
        <v>0</v>
      </c>
      <c r="F420" s="32" t="n">
        <v>0</v>
      </c>
      <c r="G420" s="32" t="s">
        <v>61</v>
      </c>
      <c r="H420" s="32" t="s">
        <v>22</v>
      </c>
      <c r="I420" s="32" t="s">
        <v>156</v>
      </c>
      <c r="J420" s="32" t="s">
        <v>62</v>
      </c>
      <c r="K420" s="32" t="s">
        <v>63</v>
      </c>
    </row>
    <row r="421" customFormat="false" ht="13.5" hidden="false" customHeight="true" outlineLevel="0" collapsed="false">
      <c r="A421" s="32" t="n">
        <v>2269</v>
      </c>
      <c r="B421" s="32" t="s">
        <v>495</v>
      </c>
      <c r="C421" s="32" t="s">
        <v>496</v>
      </c>
      <c r="D421" s="32" t="s">
        <v>114</v>
      </c>
      <c r="E421" s="32" t="n">
        <v>0</v>
      </c>
      <c r="F421" s="32" t="n">
        <v>0</v>
      </c>
      <c r="G421" s="32" t="s">
        <v>61</v>
      </c>
      <c r="H421" s="32" t="s">
        <v>22</v>
      </c>
      <c r="I421" s="32" t="s">
        <v>29</v>
      </c>
      <c r="J421" s="32" t="s">
        <v>62</v>
      </c>
      <c r="K421" s="32" t="s">
        <v>63</v>
      </c>
    </row>
    <row r="422" customFormat="false" ht="13.5" hidden="false" customHeight="true" outlineLevel="0" collapsed="false">
      <c r="A422" s="32" t="n">
        <v>2270</v>
      </c>
      <c r="B422" s="32" t="s">
        <v>495</v>
      </c>
      <c r="C422" s="32" t="s">
        <v>496</v>
      </c>
      <c r="D422" s="32" t="s">
        <v>114</v>
      </c>
      <c r="E422" s="32" t="n">
        <v>0</v>
      </c>
      <c r="F422" s="32" t="n">
        <v>0</v>
      </c>
      <c r="G422" s="32" t="s">
        <v>61</v>
      </c>
      <c r="H422" s="32" t="s">
        <v>22</v>
      </c>
      <c r="I422" s="32" t="s">
        <v>14</v>
      </c>
      <c r="J422" s="32" t="s">
        <v>66</v>
      </c>
      <c r="K422" s="32" t="s">
        <v>63</v>
      </c>
    </row>
    <row r="423" customFormat="false" ht="13.5" hidden="false" customHeight="true" outlineLevel="0" collapsed="false">
      <c r="A423" s="32" t="n">
        <v>2271</v>
      </c>
      <c r="B423" s="32" t="s">
        <v>495</v>
      </c>
      <c r="C423" s="32" t="s">
        <v>496</v>
      </c>
      <c r="D423" s="32" t="s">
        <v>114</v>
      </c>
      <c r="E423" s="32" t="n">
        <v>0</v>
      </c>
      <c r="F423" s="32" t="n">
        <v>0</v>
      </c>
      <c r="G423" s="32" t="s">
        <v>61</v>
      </c>
      <c r="H423" s="32" t="s">
        <v>22</v>
      </c>
      <c r="I423" s="32" t="s">
        <v>166</v>
      </c>
      <c r="J423" s="32" t="s">
        <v>66</v>
      </c>
      <c r="K423" s="32" t="s">
        <v>63</v>
      </c>
    </row>
    <row r="424" customFormat="false" ht="13.5" hidden="false" customHeight="true" outlineLevel="0" collapsed="false">
      <c r="A424" s="32" t="n">
        <v>2274</v>
      </c>
      <c r="B424" s="32" t="s">
        <v>497</v>
      </c>
      <c r="C424" s="32" t="s">
        <v>498</v>
      </c>
      <c r="D424" s="32" t="s">
        <v>59</v>
      </c>
      <c r="E424" s="32" t="s">
        <v>143</v>
      </c>
      <c r="F424" s="32" t="n">
        <v>7899911131</v>
      </c>
      <c r="G424" s="32" t="s">
        <v>140</v>
      </c>
      <c r="H424" s="32" t="s">
        <v>21</v>
      </c>
      <c r="I424" s="32" t="s">
        <v>131</v>
      </c>
      <c r="J424" s="32" t="s">
        <v>132</v>
      </c>
      <c r="K424" s="32" t="s">
        <v>63</v>
      </c>
    </row>
    <row r="425" customFormat="false" ht="13.5" hidden="false" customHeight="true" outlineLevel="0" collapsed="false">
      <c r="A425" s="32" t="n">
        <v>2275</v>
      </c>
      <c r="B425" s="32" t="s">
        <v>497</v>
      </c>
      <c r="C425" s="32" t="s">
        <v>498</v>
      </c>
      <c r="D425" s="32" t="s">
        <v>59</v>
      </c>
      <c r="E425" s="32" t="s">
        <v>143</v>
      </c>
      <c r="F425" s="32" t="n">
        <v>7899911131</v>
      </c>
      <c r="G425" s="32" t="s">
        <v>140</v>
      </c>
      <c r="H425" s="32" t="s">
        <v>21</v>
      </c>
      <c r="I425" s="32" t="s">
        <v>76</v>
      </c>
      <c r="J425" s="32" t="s">
        <v>76</v>
      </c>
      <c r="K425" s="32" t="s">
        <v>63</v>
      </c>
    </row>
    <row r="426" customFormat="false" ht="13.5" hidden="false" customHeight="true" outlineLevel="0" collapsed="false">
      <c r="A426" s="32" t="n">
        <v>2276</v>
      </c>
      <c r="B426" s="32" t="s">
        <v>497</v>
      </c>
      <c r="C426" s="32" t="s">
        <v>499</v>
      </c>
      <c r="D426" s="32" t="s">
        <v>59</v>
      </c>
      <c r="E426" s="32" t="s">
        <v>143</v>
      </c>
      <c r="F426" s="32" t="n">
        <v>7899911131</v>
      </c>
      <c r="G426" s="32" t="s">
        <v>140</v>
      </c>
      <c r="H426" s="32" t="s">
        <v>21</v>
      </c>
      <c r="I426" s="32" t="s">
        <v>108</v>
      </c>
      <c r="J426" s="32" t="s">
        <v>71</v>
      </c>
      <c r="K426" s="32" t="s">
        <v>63</v>
      </c>
    </row>
    <row r="427" customFormat="false" ht="13.5" hidden="false" customHeight="true" outlineLevel="0" collapsed="false">
      <c r="A427" s="32" t="n">
        <v>2277</v>
      </c>
      <c r="B427" s="32" t="s">
        <v>497</v>
      </c>
      <c r="C427" s="32" t="s">
        <v>499</v>
      </c>
      <c r="D427" s="32" t="s">
        <v>59</v>
      </c>
      <c r="E427" s="32" t="s">
        <v>143</v>
      </c>
      <c r="F427" s="32" t="n">
        <v>7899911131</v>
      </c>
      <c r="G427" s="32" t="s">
        <v>140</v>
      </c>
      <c r="H427" s="32" t="s">
        <v>21</v>
      </c>
      <c r="I427" s="32" t="s">
        <v>16</v>
      </c>
      <c r="J427" s="32" t="s">
        <v>73</v>
      </c>
      <c r="K427" s="32" t="s">
        <v>63</v>
      </c>
    </row>
    <row r="428" customFormat="false" ht="13.5" hidden="false" customHeight="true" outlineLevel="0" collapsed="false">
      <c r="A428" s="32" t="n">
        <v>2278</v>
      </c>
      <c r="B428" s="32" t="s">
        <v>500</v>
      </c>
      <c r="C428" s="32" t="s">
        <v>501</v>
      </c>
      <c r="D428" s="32" t="s">
        <v>331</v>
      </c>
      <c r="E428" s="32" t="s">
        <v>502</v>
      </c>
      <c r="F428" s="32" t="n">
        <v>7680882092</v>
      </c>
      <c r="G428" s="32" t="s">
        <v>80</v>
      </c>
      <c r="H428" s="32" t="s">
        <v>332</v>
      </c>
      <c r="I428" s="32" t="s">
        <v>350</v>
      </c>
      <c r="J428" s="32" t="s">
        <v>235</v>
      </c>
      <c r="K428" s="32" t="s">
        <v>63</v>
      </c>
    </row>
    <row r="429" customFormat="false" ht="13.5" hidden="false" customHeight="true" outlineLevel="0" collapsed="false">
      <c r="A429" s="32" t="n">
        <v>2279</v>
      </c>
      <c r="B429" s="32" t="s">
        <v>500</v>
      </c>
      <c r="C429" s="32" t="s">
        <v>501</v>
      </c>
      <c r="D429" s="32" t="s">
        <v>331</v>
      </c>
      <c r="E429" s="32" t="s">
        <v>502</v>
      </c>
      <c r="F429" s="32" t="n">
        <v>7680882092</v>
      </c>
      <c r="G429" s="32" t="s">
        <v>80</v>
      </c>
      <c r="H429" s="32" t="s">
        <v>332</v>
      </c>
      <c r="I429" s="32" t="s">
        <v>172</v>
      </c>
      <c r="J429" s="32" t="s">
        <v>152</v>
      </c>
      <c r="K429" s="32" t="s">
        <v>63</v>
      </c>
    </row>
    <row r="430" customFormat="false" ht="13.5" hidden="false" customHeight="true" outlineLevel="0" collapsed="false">
      <c r="A430" s="32" t="n">
        <v>2280</v>
      </c>
      <c r="B430" s="32" t="s">
        <v>500</v>
      </c>
      <c r="C430" s="32" t="s">
        <v>503</v>
      </c>
      <c r="D430" s="32" t="s">
        <v>331</v>
      </c>
      <c r="E430" s="32" t="s">
        <v>502</v>
      </c>
      <c r="F430" s="33" t="n">
        <v>917681000000</v>
      </c>
      <c r="G430" s="32" t="s">
        <v>80</v>
      </c>
      <c r="H430" s="32" t="s">
        <v>332</v>
      </c>
      <c r="I430" s="32" t="s">
        <v>14</v>
      </c>
      <c r="J430" s="32" t="s">
        <v>66</v>
      </c>
      <c r="K430" s="32" t="s">
        <v>63</v>
      </c>
    </row>
    <row r="431" customFormat="false" ht="13.5" hidden="false" customHeight="true" outlineLevel="0" collapsed="false">
      <c r="A431" s="32" t="n">
        <v>2281</v>
      </c>
      <c r="B431" s="32" t="s">
        <v>500</v>
      </c>
      <c r="C431" s="32" t="s">
        <v>503</v>
      </c>
      <c r="D431" s="32" t="s">
        <v>331</v>
      </c>
      <c r="E431" s="32" t="s">
        <v>502</v>
      </c>
      <c r="F431" s="33" t="n">
        <v>917681000000</v>
      </c>
      <c r="G431" s="32" t="s">
        <v>80</v>
      </c>
      <c r="H431" s="32" t="s">
        <v>332</v>
      </c>
      <c r="I431" s="32" t="s">
        <v>504</v>
      </c>
      <c r="J431" s="32" t="s">
        <v>505</v>
      </c>
      <c r="K431" s="32" t="s">
        <v>63</v>
      </c>
    </row>
    <row r="432" customFormat="false" ht="13.5" hidden="false" customHeight="true" outlineLevel="0" collapsed="false">
      <c r="A432" s="32" t="n">
        <v>2282</v>
      </c>
      <c r="B432" s="32" t="s">
        <v>500</v>
      </c>
      <c r="C432" s="32" t="s">
        <v>503</v>
      </c>
      <c r="D432" s="32" t="s">
        <v>331</v>
      </c>
      <c r="E432" s="32" t="s">
        <v>502</v>
      </c>
      <c r="F432" s="33" t="n">
        <v>917681000000</v>
      </c>
      <c r="G432" s="32" t="s">
        <v>80</v>
      </c>
      <c r="H432" s="32" t="s">
        <v>332</v>
      </c>
      <c r="I432" s="32" t="s">
        <v>333</v>
      </c>
      <c r="J432" s="32" t="s">
        <v>235</v>
      </c>
      <c r="K432" s="32" t="s">
        <v>63</v>
      </c>
    </row>
    <row r="433" customFormat="false" ht="13.5" hidden="false" customHeight="true" outlineLevel="0" collapsed="false">
      <c r="A433" s="32" t="n">
        <v>2283</v>
      </c>
      <c r="B433" s="32" t="s">
        <v>506</v>
      </c>
      <c r="C433" s="32" t="s">
        <v>507</v>
      </c>
      <c r="D433" s="32" t="s">
        <v>331</v>
      </c>
      <c r="E433" s="32" t="s">
        <v>502</v>
      </c>
      <c r="F433" s="32" t="n">
        <v>0</v>
      </c>
      <c r="G433" s="32" t="s">
        <v>61</v>
      </c>
      <c r="H433" s="32" t="s">
        <v>332</v>
      </c>
      <c r="I433" s="32" t="s">
        <v>156</v>
      </c>
      <c r="J433" s="32" t="s">
        <v>62</v>
      </c>
      <c r="K433" s="32" t="s">
        <v>63</v>
      </c>
    </row>
    <row r="434" customFormat="false" ht="13.5" hidden="false" customHeight="true" outlineLevel="0" collapsed="false">
      <c r="A434" s="32" t="n">
        <v>2284</v>
      </c>
      <c r="B434" s="32" t="s">
        <v>506</v>
      </c>
      <c r="C434" s="32" t="s">
        <v>507</v>
      </c>
      <c r="D434" s="32" t="s">
        <v>331</v>
      </c>
      <c r="E434" s="32" t="s">
        <v>502</v>
      </c>
      <c r="F434" s="32" t="n">
        <v>0</v>
      </c>
      <c r="G434" s="32" t="s">
        <v>61</v>
      </c>
      <c r="H434" s="32" t="s">
        <v>332</v>
      </c>
      <c r="I434" s="32" t="s">
        <v>29</v>
      </c>
      <c r="J434" s="32" t="s">
        <v>62</v>
      </c>
      <c r="K434" s="32" t="s">
        <v>63</v>
      </c>
    </row>
    <row r="435" customFormat="false" ht="13.5" hidden="false" customHeight="true" outlineLevel="0" collapsed="false">
      <c r="A435" s="32" t="n">
        <v>2285</v>
      </c>
      <c r="B435" s="32" t="s">
        <v>506</v>
      </c>
      <c r="C435" s="32" t="s">
        <v>507</v>
      </c>
      <c r="D435" s="32" t="s">
        <v>331</v>
      </c>
      <c r="E435" s="32" t="s">
        <v>502</v>
      </c>
      <c r="F435" s="32" t="n">
        <v>0</v>
      </c>
      <c r="G435" s="32" t="s">
        <v>61</v>
      </c>
      <c r="H435" s="32" t="s">
        <v>332</v>
      </c>
      <c r="I435" s="32" t="s">
        <v>14</v>
      </c>
      <c r="J435" s="32" t="s">
        <v>66</v>
      </c>
      <c r="K435" s="32" t="s">
        <v>63</v>
      </c>
    </row>
    <row r="436" customFormat="false" ht="13.5" hidden="false" customHeight="true" outlineLevel="0" collapsed="false">
      <c r="A436" s="32" t="n">
        <v>2286</v>
      </c>
      <c r="B436" s="32" t="s">
        <v>508</v>
      </c>
      <c r="C436" s="32" t="s">
        <v>509</v>
      </c>
      <c r="D436" s="32" t="s">
        <v>114</v>
      </c>
      <c r="E436" s="32" t="s">
        <v>124</v>
      </c>
      <c r="F436" s="32" t="n">
        <v>8013472836</v>
      </c>
      <c r="G436" s="32" t="s">
        <v>140</v>
      </c>
      <c r="H436" s="32" t="s">
        <v>22</v>
      </c>
      <c r="I436" s="32" t="s">
        <v>510</v>
      </c>
      <c r="J436" s="32" t="s">
        <v>186</v>
      </c>
      <c r="K436" s="32" t="s">
        <v>63</v>
      </c>
    </row>
    <row r="437" customFormat="false" ht="13.5" hidden="false" customHeight="true" outlineLevel="0" collapsed="false">
      <c r="A437" s="32" t="n">
        <v>2287</v>
      </c>
      <c r="B437" s="32" t="s">
        <v>508</v>
      </c>
      <c r="C437" s="32" t="s">
        <v>509</v>
      </c>
      <c r="D437" s="32" t="s">
        <v>114</v>
      </c>
      <c r="E437" s="32" t="s">
        <v>124</v>
      </c>
      <c r="F437" s="32" t="n">
        <v>8013472836</v>
      </c>
      <c r="G437" s="32" t="s">
        <v>140</v>
      </c>
      <c r="H437" s="32" t="s">
        <v>22</v>
      </c>
      <c r="I437" s="32" t="s">
        <v>325</v>
      </c>
      <c r="J437" s="32" t="s">
        <v>326</v>
      </c>
      <c r="K437" s="32" t="s">
        <v>63</v>
      </c>
    </row>
    <row r="438" customFormat="false" ht="13.5" hidden="false" customHeight="true" outlineLevel="0" collapsed="false">
      <c r="A438" s="32" t="n">
        <v>2288</v>
      </c>
      <c r="B438" s="32" t="s">
        <v>508</v>
      </c>
      <c r="C438" s="32" t="s">
        <v>509</v>
      </c>
      <c r="D438" s="32" t="s">
        <v>114</v>
      </c>
      <c r="E438" s="32" t="s">
        <v>124</v>
      </c>
      <c r="F438" s="32" t="n">
        <v>8013472836</v>
      </c>
      <c r="G438" s="32" t="s">
        <v>140</v>
      </c>
      <c r="H438" s="32" t="s">
        <v>22</v>
      </c>
      <c r="I438" s="32" t="s">
        <v>227</v>
      </c>
      <c r="J438" s="32" t="s">
        <v>228</v>
      </c>
      <c r="K438" s="32" t="s">
        <v>63</v>
      </c>
    </row>
    <row r="439" customFormat="false" ht="13.5" hidden="false" customHeight="true" outlineLevel="0" collapsed="false">
      <c r="A439" s="32" t="n">
        <v>2289</v>
      </c>
      <c r="B439" s="32" t="s">
        <v>508</v>
      </c>
      <c r="C439" s="32" t="s">
        <v>509</v>
      </c>
      <c r="D439" s="32" t="s">
        <v>114</v>
      </c>
      <c r="E439" s="32" t="s">
        <v>124</v>
      </c>
      <c r="F439" s="32" t="n">
        <v>8013472836</v>
      </c>
      <c r="G439" s="32" t="s">
        <v>140</v>
      </c>
      <c r="H439" s="32" t="s">
        <v>22</v>
      </c>
      <c r="I439" s="32" t="s">
        <v>231</v>
      </c>
      <c r="J439" s="32" t="s">
        <v>228</v>
      </c>
      <c r="K439" s="32" t="s">
        <v>63</v>
      </c>
    </row>
    <row r="440" customFormat="false" ht="13.5" hidden="false" customHeight="true" outlineLevel="0" collapsed="false">
      <c r="A440" s="32" t="n">
        <v>2290</v>
      </c>
      <c r="B440" s="32" t="s">
        <v>511</v>
      </c>
      <c r="C440" s="32" t="s">
        <v>512</v>
      </c>
      <c r="D440" s="32" t="s">
        <v>59</v>
      </c>
      <c r="E440" s="32" t="s">
        <v>79</v>
      </c>
      <c r="F440" s="32" t="n">
        <v>9560405983</v>
      </c>
      <c r="G440" s="32" t="s">
        <v>144</v>
      </c>
      <c r="H440" s="32" t="s">
        <v>21</v>
      </c>
      <c r="I440" s="32" t="s">
        <v>171</v>
      </c>
      <c r="J440" s="32" t="s">
        <v>152</v>
      </c>
      <c r="K440" s="32" t="s">
        <v>63</v>
      </c>
    </row>
    <row r="441" customFormat="false" ht="13.5" hidden="false" customHeight="true" outlineLevel="0" collapsed="false">
      <c r="A441" s="32" t="n">
        <v>2291</v>
      </c>
      <c r="B441" s="32" t="s">
        <v>511</v>
      </c>
      <c r="C441" s="32" t="s">
        <v>512</v>
      </c>
      <c r="D441" s="32" t="s">
        <v>59</v>
      </c>
      <c r="E441" s="32" t="s">
        <v>79</v>
      </c>
      <c r="F441" s="32" t="n">
        <v>9560405983</v>
      </c>
      <c r="G441" s="32" t="s">
        <v>144</v>
      </c>
      <c r="H441" s="32" t="s">
        <v>21</v>
      </c>
      <c r="I441" s="32" t="s">
        <v>111</v>
      </c>
      <c r="J441" s="32" t="s">
        <v>73</v>
      </c>
      <c r="K441" s="32" t="s">
        <v>63</v>
      </c>
    </row>
    <row r="442" customFormat="false" ht="13.5" hidden="false" customHeight="true" outlineLevel="0" collapsed="false">
      <c r="A442" s="32" t="n">
        <v>6905</v>
      </c>
      <c r="B442" s="32" t="s">
        <v>511</v>
      </c>
      <c r="C442" s="32" t="s">
        <v>513</v>
      </c>
      <c r="D442" s="32" t="s">
        <v>59</v>
      </c>
      <c r="E442" s="32" t="s">
        <v>79</v>
      </c>
      <c r="F442" s="32" t="n">
        <v>9560405983</v>
      </c>
      <c r="G442" s="32" t="s">
        <v>144</v>
      </c>
      <c r="H442" s="32" t="s">
        <v>21</v>
      </c>
      <c r="I442" s="32" t="s">
        <v>76</v>
      </c>
      <c r="J442" s="32" t="s">
        <v>76</v>
      </c>
      <c r="K442" s="32" t="s">
        <v>63</v>
      </c>
    </row>
    <row r="443" customFormat="false" ht="13.5" hidden="false" customHeight="true" outlineLevel="0" collapsed="false">
      <c r="A443" s="32" t="n">
        <v>6906</v>
      </c>
      <c r="B443" s="32" t="s">
        <v>511</v>
      </c>
      <c r="C443" s="32" t="s">
        <v>513</v>
      </c>
      <c r="D443" s="32" t="s">
        <v>59</v>
      </c>
      <c r="E443" s="32" t="s">
        <v>79</v>
      </c>
      <c r="F443" s="32" t="n">
        <v>9560405983</v>
      </c>
      <c r="G443" s="32" t="s">
        <v>144</v>
      </c>
      <c r="H443" s="32" t="s">
        <v>21</v>
      </c>
      <c r="I443" s="32" t="s">
        <v>27</v>
      </c>
      <c r="J443" s="32" t="s">
        <v>13</v>
      </c>
      <c r="K443" s="32" t="s">
        <v>63</v>
      </c>
    </row>
    <row r="444" customFormat="false" ht="13.5" hidden="false" customHeight="true" outlineLevel="0" collapsed="false">
      <c r="A444" s="32" t="n">
        <v>2294</v>
      </c>
      <c r="B444" s="32" t="s">
        <v>514</v>
      </c>
      <c r="C444" s="32" t="s">
        <v>515</v>
      </c>
      <c r="D444" s="32" t="s">
        <v>114</v>
      </c>
      <c r="E444" s="32" t="s">
        <v>268</v>
      </c>
      <c r="F444" s="32" t="n">
        <v>0</v>
      </c>
      <c r="G444" s="32" t="s">
        <v>144</v>
      </c>
      <c r="H444" s="32" t="s">
        <v>22</v>
      </c>
      <c r="I444" s="32" t="s">
        <v>516</v>
      </c>
      <c r="J444" s="32" t="s">
        <v>66</v>
      </c>
      <c r="K444" s="32" t="s">
        <v>63</v>
      </c>
    </row>
    <row r="445" customFormat="false" ht="13.5" hidden="false" customHeight="true" outlineLevel="0" collapsed="false">
      <c r="A445" s="32" t="n">
        <v>2295</v>
      </c>
      <c r="B445" s="32" t="s">
        <v>514</v>
      </c>
      <c r="C445" s="32" t="s">
        <v>515</v>
      </c>
      <c r="D445" s="32" t="s">
        <v>114</v>
      </c>
      <c r="E445" s="32" t="s">
        <v>268</v>
      </c>
      <c r="F445" s="32" t="n">
        <v>0</v>
      </c>
      <c r="G445" s="32" t="s">
        <v>144</v>
      </c>
      <c r="H445" s="32" t="s">
        <v>22</v>
      </c>
      <c r="I445" s="32" t="s">
        <v>156</v>
      </c>
      <c r="J445" s="32" t="s">
        <v>62</v>
      </c>
      <c r="K445" s="32" t="s">
        <v>63</v>
      </c>
    </row>
    <row r="446" customFormat="false" ht="13.5" hidden="false" customHeight="true" outlineLevel="0" collapsed="false">
      <c r="A446" s="32" t="n">
        <v>2296</v>
      </c>
      <c r="B446" s="32" t="s">
        <v>514</v>
      </c>
      <c r="C446" s="32" t="s">
        <v>515</v>
      </c>
      <c r="D446" s="32" t="s">
        <v>114</v>
      </c>
      <c r="E446" s="32" t="s">
        <v>268</v>
      </c>
      <c r="F446" s="32" t="n">
        <v>0</v>
      </c>
      <c r="G446" s="32" t="s">
        <v>144</v>
      </c>
      <c r="H446" s="32" t="s">
        <v>22</v>
      </c>
      <c r="I446" s="32" t="s">
        <v>14</v>
      </c>
      <c r="J446" s="32" t="s">
        <v>66</v>
      </c>
      <c r="K446" s="32" t="s">
        <v>63</v>
      </c>
    </row>
    <row r="447" customFormat="false" ht="13.5" hidden="false" customHeight="true" outlineLevel="0" collapsed="false">
      <c r="A447" s="32" t="n">
        <v>2297</v>
      </c>
      <c r="B447" s="32" t="s">
        <v>517</v>
      </c>
      <c r="C447" s="32" t="s">
        <v>518</v>
      </c>
      <c r="D447" s="32" t="s">
        <v>59</v>
      </c>
      <c r="E447" s="32" t="s">
        <v>143</v>
      </c>
      <c r="F447" s="33" t="n">
        <v>919440000000</v>
      </c>
      <c r="G447" s="32" t="s">
        <v>80</v>
      </c>
      <c r="H447" s="32" t="s">
        <v>21</v>
      </c>
      <c r="I447" s="32" t="s">
        <v>108</v>
      </c>
      <c r="J447" s="32" t="s">
        <v>71</v>
      </c>
      <c r="K447" s="32" t="s">
        <v>63</v>
      </c>
    </row>
    <row r="448" customFormat="false" ht="13.5" hidden="false" customHeight="true" outlineLevel="0" collapsed="false">
      <c r="A448" s="32" t="n">
        <v>2298</v>
      </c>
      <c r="B448" s="32" t="s">
        <v>517</v>
      </c>
      <c r="C448" s="32" t="s">
        <v>518</v>
      </c>
      <c r="D448" s="32" t="s">
        <v>59</v>
      </c>
      <c r="E448" s="32" t="s">
        <v>143</v>
      </c>
      <c r="F448" s="33" t="n">
        <v>919440000000</v>
      </c>
      <c r="G448" s="32" t="s">
        <v>80</v>
      </c>
      <c r="H448" s="32" t="s">
        <v>21</v>
      </c>
      <c r="I448" s="32" t="s">
        <v>133</v>
      </c>
      <c r="J448" s="32" t="s">
        <v>134</v>
      </c>
      <c r="K448" s="32" t="s">
        <v>63</v>
      </c>
    </row>
    <row r="449" customFormat="false" ht="13.5" hidden="false" customHeight="true" outlineLevel="0" collapsed="false">
      <c r="A449" s="32" t="n">
        <v>2299</v>
      </c>
      <c r="B449" s="32" t="s">
        <v>517</v>
      </c>
      <c r="C449" s="32" t="s">
        <v>518</v>
      </c>
      <c r="D449" s="32" t="s">
        <v>59</v>
      </c>
      <c r="E449" s="32" t="s">
        <v>143</v>
      </c>
      <c r="F449" s="33" t="n">
        <v>919440000000</v>
      </c>
      <c r="G449" s="32" t="s">
        <v>80</v>
      </c>
      <c r="H449" s="32" t="s">
        <v>21</v>
      </c>
      <c r="I449" s="32" t="s">
        <v>116</v>
      </c>
      <c r="J449" s="32" t="s">
        <v>117</v>
      </c>
      <c r="K449" s="32" t="s">
        <v>63</v>
      </c>
    </row>
    <row r="450" customFormat="false" ht="13.5" hidden="false" customHeight="true" outlineLevel="0" collapsed="false">
      <c r="A450" s="32" t="n">
        <v>2300</v>
      </c>
      <c r="B450" s="32" t="s">
        <v>519</v>
      </c>
      <c r="C450" s="32" t="s">
        <v>520</v>
      </c>
      <c r="D450" s="32" t="s">
        <v>114</v>
      </c>
      <c r="E450" s="32" t="s">
        <v>115</v>
      </c>
      <c r="F450" s="33" t="n">
        <v>918150000000</v>
      </c>
      <c r="G450" s="32" t="s">
        <v>61</v>
      </c>
      <c r="H450" s="32" t="s">
        <v>22</v>
      </c>
      <c r="I450" s="32" t="s">
        <v>28</v>
      </c>
      <c r="J450" s="32" t="s">
        <v>82</v>
      </c>
      <c r="K450" s="32" t="s">
        <v>63</v>
      </c>
    </row>
    <row r="451" customFormat="false" ht="13.5" hidden="false" customHeight="true" outlineLevel="0" collapsed="false">
      <c r="A451" s="32" t="n">
        <v>2301</v>
      </c>
      <c r="B451" s="32" t="s">
        <v>519</v>
      </c>
      <c r="C451" s="32" t="s">
        <v>520</v>
      </c>
      <c r="D451" s="32" t="s">
        <v>114</v>
      </c>
      <c r="E451" s="32" t="s">
        <v>115</v>
      </c>
      <c r="F451" s="32" t="n">
        <v>8150013777</v>
      </c>
      <c r="G451" s="32" t="s">
        <v>61</v>
      </c>
      <c r="H451" s="32" t="s">
        <v>22</v>
      </c>
      <c r="I451" s="32" t="s">
        <v>128</v>
      </c>
      <c r="J451" s="32" t="s">
        <v>89</v>
      </c>
      <c r="K451" s="32" t="s">
        <v>63</v>
      </c>
    </row>
    <row r="452" customFormat="false" ht="13.5" hidden="false" customHeight="true" outlineLevel="0" collapsed="false">
      <c r="A452" s="32" t="n">
        <v>2302</v>
      </c>
      <c r="B452" s="32" t="s">
        <v>519</v>
      </c>
      <c r="C452" s="32" t="s">
        <v>520</v>
      </c>
      <c r="D452" s="32" t="s">
        <v>114</v>
      </c>
      <c r="E452" s="32" t="s">
        <v>115</v>
      </c>
      <c r="F452" s="32" t="n">
        <v>8150013777</v>
      </c>
      <c r="G452" s="32" t="s">
        <v>61</v>
      </c>
      <c r="H452" s="32" t="s">
        <v>22</v>
      </c>
      <c r="I452" s="32" t="s">
        <v>185</v>
      </c>
      <c r="J452" s="32" t="s">
        <v>186</v>
      </c>
      <c r="K452" s="32" t="s">
        <v>63</v>
      </c>
    </row>
    <row r="453" customFormat="false" ht="13.5" hidden="false" customHeight="true" outlineLevel="0" collapsed="false">
      <c r="A453" s="32" t="n">
        <v>2303</v>
      </c>
      <c r="B453" s="32" t="s">
        <v>519</v>
      </c>
      <c r="C453" s="32" t="s">
        <v>520</v>
      </c>
      <c r="D453" s="32" t="s">
        <v>114</v>
      </c>
      <c r="E453" s="32" t="s">
        <v>115</v>
      </c>
      <c r="F453" s="32" t="n">
        <v>8150013777</v>
      </c>
      <c r="G453" s="32" t="s">
        <v>61</v>
      </c>
      <c r="H453" s="32" t="s">
        <v>22</v>
      </c>
      <c r="I453" s="32" t="s">
        <v>145</v>
      </c>
      <c r="J453" s="32" t="s">
        <v>117</v>
      </c>
      <c r="K453" s="32" t="s">
        <v>63</v>
      </c>
    </row>
    <row r="454" customFormat="false" ht="13.5" hidden="false" customHeight="true" outlineLevel="0" collapsed="false">
      <c r="A454" s="32" t="n">
        <v>2304</v>
      </c>
      <c r="B454" s="32" t="s">
        <v>519</v>
      </c>
      <c r="C454" s="32" t="s">
        <v>520</v>
      </c>
      <c r="D454" s="32" t="s">
        <v>114</v>
      </c>
      <c r="E454" s="32" t="s">
        <v>115</v>
      </c>
      <c r="F454" s="32" t="n">
        <v>8150013777</v>
      </c>
      <c r="G454" s="32" t="s">
        <v>61</v>
      </c>
      <c r="H454" s="32" t="s">
        <v>22</v>
      </c>
      <c r="I454" s="32" t="s">
        <v>133</v>
      </c>
      <c r="J454" s="32" t="s">
        <v>134</v>
      </c>
      <c r="K454" s="32" t="s">
        <v>63</v>
      </c>
    </row>
    <row r="455" customFormat="false" ht="13.5" hidden="false" customHeight="true" outlineLevel="0" collapsed="false">
      <c r="A455" s="32" t="n">
        <v>2305</v>
      </c>
      <c r="B455" s="32" t="s">
        <v>519</v>
      </c>
      <c r="C455" s="32" t="s">
        <v>520</v>
      </c>
      <c r="D455" s="32" t="s">
        <v>114</v>
      </c>
      <c r="E455" s="32" t="s">
        <v>115</v>
      </c>
      <c r="F455" s="32" t="n">
        <v>8150013777</v>
      </c>
      <c r="G455" s="32" t="s">
        <v>61</v>
      </c>
      <c r="H455" s="32" t="s">
        <v>22</v>
      </c>
      <c r="I455" s="32" t="s">
        <v>126</v>
      </c>
      <c r="J455" s="32" t="s">
        <v>85</v>
      </c>
      <c r="K455" s="32" t="s">
        <v>63</v>
      </c>
    </row>
    <row r="456" customFormat="false" ht="13.5" hidden="false" customHeight="true" outlineLevel="0" collapsed="false">
      <c r="A456" s="32" t="n">
        <v>2306</v>
      </c>
      <c r="B456" s="32" t="s">
        <v>519</v>
      </c>
      <c r="C456" s="32" t="s">
        <v>520</v>
      </c>
      <c r="D456" s="32" t="s">
        <v>114</v>
      </c>
      <c r="E456" s="32" t="s">
        <v>115</v>
      </c>
      <c r="F456" s="33" t="n">
        <v>918150000000</v>
      </c>
      <c r="G456" s="32" t="s">
        <v>61</v>
      </c>
      <c r="H456" s="32" t="s">
        <v>22</v>
      </c>
      <c r="I456" s="32" t="s">
        <v>121</v>
      </c>
      <c r="J456" s="32" t="s">
        <v>110</v>
      </c>
      <c r="K456" s="32" t="s">
        <v>63</v>
      </c>
    </row>
    <row r="457" customFormat="false" ht="13.5" hidden="false" customHeight="true" outlineLevel="0" collapsed="false">
      <c r="A457" s="32" t="n">
        <v>2307</v>
      </c>
      <c r="B457" s="32" t="s">
        <v>519</v>
      </c>
      <c r="C457" s="32" t="s">
        <v>520</v>
      </c>
      <c r="D457" s="32" t="s">
        <v>114</v>
      </c>
      <c r="E457" s="32" t="s">
        <v>115</v>
      </c>
      <c r="F457" s="33" t="n">
        <v>918150000000</v>
      </c>
      <c r="G457" s="32" t="s">
        <v>61</v>
      </c>
      <c r="H457" s="32" t="s">
        <v>22</v>
      </c>
      <c r="I457" s="32" t="s">
        <v>314</v>
      </c>
      <c r="J457" s="32" t="s">
        <v>134</v>
      </c>
      <c r="K457" s="32" t="s">
        <v>63</v>
      </c>
    </row>
    <row r="458" customFormat="false" ht="13.5" hidden="false" customHeight="true" outlineLevel="0" collapsed="false">
      <c r="A458" s="32" t="n">
        <v>2308</v>
      </c>
      <c r="B458" s="32" t="s">
        <v>521</v>
      </c>
      <c r="C458" s="32" t="s">
        <v>522</v>
      </c>
      <c r="D458" s="32" t="s">
        <v>114</v>
      </c>
      <c r="E458" s="32" t="s">
        <v>165</v>
      </c>
      <c r="F458" s="32" t="n">
        <v>9642049900</v>
      </c>
      <c r="G458" s="32" t="s">
        <v>140</v>
      </c>
      <c r="H458" s="32" t="s">
        <v>22</v>
      </c>
      <c r="I458" s="32" t="s">
        <v>149</v>
      </c>
      <c r="J458" s="32" t="s">
        <v>73</v>
      </c>
      <c r="K458" s="32" t="s">
        <v>63</v>
      </c>
    </row>
    <row r="459" customFormat="false" ht="13.5" hidden="false" customHeight="true" outlineLevel="0" collapsed="false">
      <c r="A459" s="32" t="n">
        <v>2310</v>
      </c>
      <c r="B459" s="32" t="s">
        <v>521</v>
      </c>
      <c r="C459" s="32" t="s">
        <v>522</v>
      </c>
      <c r="D459" s="32" t="s">
        <v>114</v>
      </c>
      <c r="E459" s="32" t="s">
        <v>165</v>
      </c>
      <c r="F459" s="32" t="n">
        <v>9642049900</v>
      </c>
      <c r="G459" s="32" t="s">
        <v>140</v>
      </c>
      <c r="H459" s="32" t="s">
        <v>22</v>
      </c>
      <c r="I459" s="32" t="s">
        <v>145</v>
      </c>
      <c r="J459" s="32" t="s">
        <v>117</v>
      </c>
      <c r="K459" s="32" t="s">
        <v>63</v>
      </c>
    </row>
    <row r="460" customFormat="false" ht="13.5" hidden="false" customHeight="true" outlineLevel="0" collapsed="false">
      <c r="A460" s="32" t="n">
        <v>2314</v>
      </c>
      <c r="B460" s="32" t="s">
        <v>521</v>
      </c>
      <c r="C460" s="32" t="s">
        <v>523</v>
      </c>
      <c r="D460" s="32" t="s">
        <v>114</v>
      </c>
      <c r="E460" s="32" t="s">
        <v>165</v>
      </c>
      <c r="F460" s="32" t="n">
        <v>9642049900</v>
      </c>
      <c r="G460" s="32" t="s">
        <v>140</v>
      </c>
      <c r="H460" s="32" t="s">
        <v>22</v>
      </c>
      <c r="I460" s="32" t="s">
        <v>401</v>
      </c>
      <c r="J460" s="32" t="s">
        <v>82</v>
      </c>
      <c r="K460" s="32" t="s">
        <v>63</v>
      </c>
    </row>
    <row r="461" customFormat="false" ht="13.5" hidden="false" customHeight="true" outlineLevel="0" collapsed="false">
      <c r="A461" s="32" t="n">
        <v>2315</v>
      </c>
      <c r="B461" s="32" t="s">
        <v>521</v>
      </c>
      <c r="C461" s="32" t="s">
        <v>523</v>
      </c>
      <c r="D461" s="32" t="s">
        <v>114</v>
      </c>
      <c r="E461" s="32" t="s">
        <v>165</v>
      </c>
      <c r="F461" s="32" t="n">
        <v>9642049900</v>
      </c>
      <c r="G461" s="32" t="s">
        <v>140</v>
      </c>
      <c r="H461" s="32" t="s">
        <v>22</v>
      </c>
      <c r="I461" s="32" t="s">
        <v>28</v>
      </c>
      <c r="J461" s="32" t="s">
        <v>82</v>
      </c>
      <c r="K461" s="32" t="s">
        <v>63</v>
      </c>
    </row>
    <row r="462" customFormat="false" ht="13.5" hidden="false" customHeight="true" outlineLevel="0" collapsed="false">
      <c r="A462" s="32" t="n">
        <v>2317</v>
      </c>
      <c r="B462" s="32" t="s">
        <v>521</v>
      </c>
      <c r="C462" s="32" t="s">
        <v>523</v>
      </c>
      <c r="D462" s="32" t="s">
        <v>114</v>
      </c>
      <c r="E462" s="32" t="s">
        <v>165</v>
      </c>
      <c r="F462" s="32" t="n">
        <v>9642049900</v>
      </c>
      <c r="G462" s="32" t="s">
        <v>140</v>
      </c>
      <c r="H462" s="32" t="s">
        <v>22</v>
      </c>
      <c r="I462" s="32" t="s">
        <v>16</v>
      </c>
      <c r="J462" s="32" t="s">
        <v>73</v>
      </c>
      <c r="K462" s="32" t="s">
        <v>63</v>
      </c>
    </row>
    <row r="463" customFormat="false" ht="13.5" hidden="false" customHeight="true" outlineLevel="0" collapsed="false">
      <c r="A463" s="32" t="n">
        <v>2318</v>
      </c>
      <c r="B463" s="32" t="s">
        <v>521</v>
      </c>
      <c r="C463" s="32" t="s">
        <v>524</v>
      </c>
      <c r="D463" s="32" t="s">
        <v>114</v>
      </c>
      <c r="E463" s="32" t="s">
        <v>165</v>
      </c>
      <c r="F463" s="32" t="n">
        <v>9642049900</v>
      </c>
      <c r="G463" s="32" t="s">
        <v>140</v>
      </c>
      <c r="H463" s="32" t="s">
        <v>22</v>
      </c>
      <c r="I463" s="32" t="s">
        <v>75</v>
      </c>
      <c r="J463" s="32" t="s">
        <v>76</v>
      </c>
      <c r="K463" s="32" t="s">
        <v>63</v>
      </c>
    </row>
    <row r="464" customFormat="false" ht="13.5" hidden="false" customHeight="true" outlineLevel="0" collapsed="false">
      <c r="A464" s="32" t="n">
        <v>2319</v>
      </c>
      <c r="B464" s="32" t="s">
        <v>525</v>
      </c>
      <c r="C464" s="32" t="s">
        <v>526</v>
      </c>
      <c r="D464" s="32" t="s">
        <v>114</v>
      </c>
      <c r="E464" s="32" t="s">
        <v>124</v>
      </c>
      <c r="F464" s="32" t="n">
        <v>9330244875</v>
      </c>
      <c r="G464" s="32" t="s">
        <v>140</v>
      </c>
      <c r="H464" s="32" t="s">
        <v>22</v>
      </c>
      <c r="I464" s="32" t="s">
        <v>70</v>
      </c>
      <c r="J464" s="32" t="s">
        <v>71</v>
      </c>
      <c r="K464" s="32" t="s">
        <v>63</v>
      </c>
    </row>
    <row r="465" customFormat="false" ht="13.5" hidden="false" customHeight="true" outlineLevel="0" collapsed="false">
      <c r="A465" s="32" t="n">
        <v>2320</v>
      </c>
      <c r="B465" s="32" t="s">
        <v>525</v>
      </c>
      <c r="C465" s="32" t="s">
        <v>526</v>
      </c>
      <c r="D465" s="32" t="s">
        <v>114</v>
      </c>
      <c r="E465" s="32" t="s">
        <v>124</v>
      </c>
      <c r="F465" s="32" t="n">
        <v>9330244875</v>
      </c>
      <c r="G465" s="32" t="s">
        <v>140</v>
      </c>
      <c r="H465" s="32" t="s">
        <v>22</v>
      </c>
      <c r="I465" s="32" t="s">
        <v>108</v>
      </c>
      <c r="J465" s="32" t="s">
        <v>71</v>
      </c>
      <c r="K465" s="32" t="s">
        <v>63</v>
      </c>
    </row>
    <row r="466" customFormat="false" ht="13.5" hidden="false" customHeight="true" outlineLevel="0" collapsed="false">
      <c r="A466" s="32" t="n">
        <v>2321</v>
      </c>
      <c r="B466" s="32" t="s">
        <v>525</v>
      </c>
      <c r="C466" s="32" t="s">
        <v>526</v>
      </c>
      <c r="D466" s="32" t="s">
        <v>114</v>
      </c>
      <c r="E466" s="32" t="s">
        <v>124</v>
      </c>
      <c r="F466" s="32" t="n">
        <v>9330244875</v>
      </c>
      <c r="G466" s="32" t="s">
        <v>140</v>
      </c>
      <c r="H466" s="32" t="s">
        <v>22</v>
      </c>
      <c r="I466" s="32" t="s">
        <v>145</v>
      </c>
      <c r="J466" s="32" t="s">
        <v>117</v>
      </c>
      <c r="K466" s="32" t="s">
        <v>63</v>
      </c>
    </row>
    <row r="467" customFormat="false" ht="13.5" hidden="false" customHeight="true" outlineLevel="0" collapsed="false">
      <c r="A467" s="32" t="n">
        <v>2322</v>
      </c>
      <c r="B467" s="32" t="s">
        <v>525</v>
      </c>
      <c r="C467" s="32" t="s">
        <v>526</v>
      </c>
      <c r="D467" s="32" t="s">
        <v>114</v>
      </c>
      <c r="E467" s="32" t="s">
        <v>124</v>
      </c>
      <c r="F467" s="32" t="n">
        <v>9330244875</v>
      </c>
      <c r="G467" s="32" t="s">
        <v>140</v>
      </c>
      <c r="H467" s="32" t="s">
        <v>22</v>
      </c>
      <c r="I467" s="32" t="s">
        <v>93</v>
      </c>
      <c r="J467" s="32" t="s">
        <v>85</v>
      </c>
      <c r="K467" s="32" t="s">
        <v>63</v>
      </c>
    </row>
    <row r="468" customFormat="false" ht="13.5" hidden="false" customHeight="true" outlineLevel="0" collapsed="false">
      <c r="A468" s="32" t="n">
        <v>2323</v>
      </c>
      <c r="B468" s="32" t="s">
        <v>525</v>
      </c>
      <c r="C468" s="32" t="s">
        <v>526</v>
      </c>
      <c r="D468" s="32" t="s">
        <v>114</v>
      </c>
      <c r="E468" s="32" t="s">
        <v>124</v>
      </c>
      <c r="F468" s="32" t="n">
        <v>9330244875</v>
      </c>
      <c r="G468" s="32" t="s">
        <v>140</v>
      </c>
      <c r="H468" s="32" t="s">
        <v>22</v>
      </c>
      <c r="I468" s="32" t="s">
        <v>242</v>
      </c>
      <c r="J468" s="32" t="s">
        <v>241</v>
      </c>
      <c r="K468" s="32" t="s">
        <v>63</v>
      </c>
    </row>
    <row r="469" customFormat="false" ht="13.5" hidden="false" customHeight="true" outlineLevel="0" collapsed="false">
      <c r="A469" s="32" t="n">
        <v>2324</v>
      </c>
      <c r="B469" s="32" t="s">
        <v>527</v>
      </c>
      <c r="C469" s="32" t="s">
        <v>528</v>
      </c>
      <c r="D469" s="32" t="s">
        <v>59</v>
      </c>
      <c r="E469" s="32" t="s">
        <v>107</v>
      </c>
      <c r="F469" s="33" t="n">
        <v>919875000000</v>
      </c>
      <c r="G469" s="32" t="s">
        <v>140</v>
      </c>
      <c r="H469" s="32" t="s">
        <v>21</v>
      </c>
      <c r="I469" s="32" t="s">
        <v>137</v>
      </c>
      <c r="J469" s="32" t="s">
        <v>13</v>
      </c>
      <c r="K469" s="32" t="s">
        <v>63</v>
      </c>
    </row>
    <row r="470" customFormat="false" ht="13.5" hidden="false" customHeight="true" outlineLevel="0" collapsed="false">
      <c r="A470" s="32" t="n">
        <v>2325</v>
      </c>
      <c r="B470" s="32" t="s">
        <v>527</v>
      </c>
      <c r="C470" s="32" t="s">
        <v>528</v>
      </c>
      <c r="D470" s="32" t="s">
        <v>59</v>
      </c>
      <c r="E470" s="32" t="s">
        <v>107</v>
      </c>
      <c r="F470" s="33" t="n">
        <v>919875000000</v>
      </c>
      <c r="G470" s="32" t="s">
        <v>140</v>
      </c>
      <c r="H470" s="32" t="s">
        <v>21</v>
      </c>
      <c r="I470" s="32" t="s">
        <v>27</v>
      </c>
      <c r="J470" s="32" t="s">
        <v>13</v>
      </c>
      <c r="K470" s="32" t="s">
        <v>63</v>
      </c>
    </row>
    <row r="471" customFormat="false" ht="13.5" hidden="false" customHeight="true" outlineLevel="0" collapsed="false">
      <c r="A471" s="32" t="n">
        <v>2326</v>
      </c>
      <c r="B471" s="32" t="s">
        <v>527</v>
      </c>
      <c r="C471" s="32" t="s">
        <v>528</v>
      </c>
      <c r="D471" s="32" t="s">
        <v>59</v>
      </c>
      <c r="E471" s="32" t="s">
        <v>107</v>
      </c>
      <c r="F471" s="33" t="n">
        <v>919875000000</v>
      </c>
      <c r="G471" s="32" t="s">
        <v>140</v>
      </c>
      <c r="H471" s="32" t="s">
        <v>21</v>
      </c>
      <c r="I471" s="32" t="s">
        <v>30</v>
      </c>
      <c r="J471" s="32" t="s">
        <v>203</v>
      </c>
      <c r="K471" s="32" t="s">
        <v>63</v>
      </c>
    </row>
    <row r="472" customFormat="false" ht="13.5" hidden="false" customHeight="true" outlineLevel="0" collapsed="false">
      <c r="A472" s="32" t="n">
        <v>2327</v>
      </c>
      <c r="B472" s="32" t="s">
        <v>529</v>
      </c>
      <c r="C472" s="32" t="s">
        <v>530</v>
      </c>
      <c r="D472" s="32" t="s">
        <v>114</v>
      </c>
      <c r="E472" s="32" t="s">
        <v>165</v>
      </c>
      <c r="F472" s="32" t="n">
        <v>8658592906</v>
      </c>
      <c r="G472" s="32" t="s">
        <v>140</v>
      </c>
      <c r="H472" s="32" t="s">
        <v>22</v>
      </c>
      <c r="I472" s="32" t="s">
        <v>95</v>
      </c>
      <c r="J472" s="32" t="s">
        <v>96</v>
      </c>
      <c r="K472" s="32" t="s">
        <v>63</v>
      </c>
    </row>
    <row r="473" customFormat="false" ht="13.5" hidden="false" customHeight="true" outlineLevel="0" collapsed="false">
      <c r="A473" s="32" t="n">
        <v>2328</v>
      </c>
      <c r="B473" s="32" t="s">
        <v>529</v>
      </c>
      <c r="C473" s="32" t="s">
        <v>530</v>
      </c>
      <c r="D473" s="32" t="s">
        <v>114</v>
      </c>
      <c r="E473" s="32" t="s">
        <v>165</v>
      </c>
      <c r="F473" s="32" t="n">
        <v>8658592906</v>
      </c>
      <c r="G473" s="32" t="s">
        <v>140</v>
      </c>
      <c r="H473" s="32" t="s">
        <v>22</v>
      </c>
      <c r="I473" s="32" t="s">
        <v>145</v>
      </c>
      <c r="J473" s="32" t="s">
        <v>117</v>
      </c>
      <c r="K473" s="32" t="s">
        <v>63</v>
      </c>
    </row>
    <row r="474" customFormat="false" ht="13.5" hidden="false" customHeight="true" outlineLevel="0" collapsed="false">
      <c r="A474" s="32" t="n">
        <v>2329</v>
      </c>
      <c r="B474" s="32" t="s">
        <v>529</v>
      </c>
      <c r="C474" s="32" t="s">
        <v>530</v>
      </c>
      <c r="D474" s="32" t="s">
        <v>114</v>
      </c>
      <c r="E474" s="32" t="s">
        <v>165</v>
      </c>
      <c r="F474" s="32" t="n">
        <v>8658592906</v>
      </c>
      <c r="G474" s="32" t="s">
        <v>140</v>
      </c>
      <c r="H474" s="32" t="s">
        <v>22</v>
      </c>
      <c r="I474" s="32" t="s">
        <v>161</v>
      </c>
      <c r="J474" s="32" t="s">
        <v>117</v>
      </c>
      <c r="K474" s="32" t="s">
        <v>63</v>
      </c>
    </row>
    <row r="475" customFormat="false" ht="13.5" hidden="false" customHeight="true" outlineLevel="0" collapsed="false">
      <c r="A475" s="32" t="n">
        <v>2330</v>
      </c>
      <c r="B475" s="32" t="s">
        <v>529</v>
      </c>
      <c r="C475" s="32" t="s">
        <v>530</v>
      </c>
      <c r="D475" s="32" t="s">
        <v>114</v>
      </c>
      <c r="E475" s="32" t="s">
        <v>165</v>
      </c>
      <c r="F475" s="32" t="n">
        <v>8658592906</v>
      </c>
      <c r="G475" s="32" t="s">
        <v>140</v>
      </c>
      <c r="H475" s="32" t="s">
        <v>22</v>
      </c>
      <c r="I475" s="32" t="s">
        <v>280</v>
      </c>
      <c r="J475" s="32" t="s">
        <v>76</v>
      </c>
      <c r="K475" s="32" t="s">
        <v>63</v>
      </c>
    </row>
    <row r="476" customFormat="false" ht="13.5" hidden="false" customHeight="true" outlineLevel="0" collapsed="false">
      <c r="A476" s="32" t="n">
        <v>2331</v>
      </c>
      <c r="B476" s="32" t="s">
        <v>529</v>
      </c>
      <c r="C476" s="32" t="s">
        <v>530</v>
      </c>
      <c r="D476" s="32" t="s">
        <v>114</v>
      </c>
      <c r="E476" s="32" t="s">
        <v>165</v>
      </c>
      <c r="F476" s="32" t="n">
        <v>8658592906</v>
      </c>
      <c r="G476" s="32" t="s">
        <v>140</v>
      </c>
      <c r="H476" s="32" t="s">
        <v>22</v>
      </c>
      <c r="I476" s="32" t="s">
        <v>133</v>
      </c>
      <c r="J476" s="32" t="s">
        <v>134</v>
      </c>
      <c r="K476" s="32" t="s">
        <v>63</v>
      </c>
    </row>
    <row r="477" customFormat="false" ht="13.5" hidden="false" customHeight="true" outlineLevel="0" collapsed="false">
      <c r="A477" s="32" t="n">
        <v>2332</v>
      </c>
      <c r="B477" s="32" t="s">
        <v>531</v>
      </c>
      <c r="C477" s="32" t="s">
        <v>532</v>
      </c>
      <c r="D477" s="32" t="s">
        <v>114</v>
      </c>
      <c r="E477" s="32" t="s">
        <v>366</v>
      </c>
      <c r="F477" s="32" t="s">
        <v>533</v>
      </c>
      <c r="G477" s="32" t="s">
        <v>80</v>
      </c>
      <c r="H477" s="32" t="s">
        <v>22</v>
      </c>
      <c r="I477" s="32" t="s">
        <v>14</v>
      </c>
      <c r="J477" s="32" t="s">
        <v>66</v>
      </c>
      <c r="K477" s="32" t="s">
        <v>63</v>
      </c>
    </row>
    <row r="478" customFormat="false" ht="13.5" hidden="false" customHeight="true" outlineLevel="0" collapsed="false">
      <c r="A478" s="32" t="n">
        <v>2333</v>
      </c>
      <c r="B478" s="32" t="s">
        <v>534</v>
      </c>
      <c r="C478" s="32" t="s">
        <v>535</v>
      </c>
      <c r="D478" s="32" t="s">
        <v>114</v>
      </c>
      <c r="E478" s="32" t="s">
        <v>169</v>
      </c>
      <c r="F478" s="32" t="n">
        <v>9980239691</v>
      </c>
      <c r="G478" s="32" t="s">
        <v>61</v>
      </c>
      <c r="H478" s="32" t="s">
        <v>22</v>
      </c>
      <c r="I478" s="32" t="s">
        <v>172</v>
      </c>
      <c r="J478" s="32" t="s">
        <v>152</v>
      </c>
      <c r="K478" s="32" t="s">
        <v>63</v>
      </c>
    </row>
    <row r="479" customFormat="false" ht="13.5" hidden="false" customHeight="true" outlineLevel="0" collapsed="false">
      <c r="A479" s="32" t="n">
        <v>2334</v>
      </c>
      <c r="B479" s="32" t="s">
        <v>536</v>
      </c>
      <c r="C479" s="32" t="s">
        <v>537</v>
      </c>
      <c r="D479" s="32" t="s">
        <v>114</v>
      </c>
      <c r="E479" s="32" t="s">
        <v>115</v>
      </c>
      <c r="F479" s="32" t="n">
        <v>8554920673</v>
      </c>
      <c r="G479" s="32" t="s">
        <v>144</v>
      </c>
      <c r="H479" s="32" t="s">
        <v>22</v>
      </c>
      <c r="I479" s="32" t="s">
        <v>16</v>
      </c>
      <c r="J479" s="32" t="s">
        <v>73</v>
      </c>
      <c r="K479" s="32" t="s">
        <v>63</v>
      </c>
    </row>
    <row r="480" customFormat="false" ht="13.5" hidden="false" customHeight="true" outlineLevel="0" collapsed="false">
      <c r="A480" s="32" t="n">
        <v>2335</v>
      </c>
      <c r="B480" s="32" t="s">
        <v>538</v>
      </c>
      <c r="C480" s="32" t="s">
        <v>539</v>
      </c>
      <c r="D480" s="32" t="s">
        <v>114</v>
      </c>
      <c r="E480" s="32" t="s">
        <v>268</v>
      </c>
      <c r="F480" s="32" t="n">
        <v>8884221116</v>
      </c>
      <c r="G480" s="32" t="s">
        <v>61</v>
      </c>
      <c r="H480" s="32" t="s">
        <v>22</v>
      </c>
      <c r="I480" s="32" t="s">
        <v>172</v>
      </c>
      <c r="J480" s="32" t="s">
        <v>152</v>
      </c>
      <c r="K480" s="32" t="s">
        <v>63</v>
      </c>
    </row>
    <row r="481" customFormat="false" ht="13.5" hidden="false" customHeight="true" outlineLevel="0" collapsed="false">
      <c r="A481" s="32" t="n">
        <v>2336</v>
      </c>
      <c r="B481" s="32" t="s">
        <v>538</v>
      </c>
      <c r="C481" s="32" t="s">
        <v>539</v>
      </c>
      <c r="D481" s="32" t="s">
        <v>114</v>
      </c>
      <c r="E481" s="32" t="s">
        <v>268</v>
      </c>
      <c r="F481" s="32" t="n">
        <v>8884221116</v>
      </c>
      <c r="G481" s="32" t="s">
        <v>61</v>
      </c>
      <c r="H481" s="32" t="s">
        <v>22</v>
      </c>
      <c r="I481" s="32" t="s">
        <v>130</v>
      </c>
      <c r="J481" s="32" t="s">
        <v>130</v>
      </c>
      <c r="K481" s="32" t="s">
        <v>63</v>
      </c>
    </row>
    <row r="482" customFormat="false" ht="13.5" hidden="false" customHeight="true" outlineLevel="0" collapsed="false">
      <c r="A482" s="32" t="n">
        <v>2338</v>
      </c>
      <c r="B482" s="32" t="s">
        <v>538</v>
      </c>
      <c r="C482" s="32" t="s">
        <v>540</v>
      </c>
      <c r="D482" s="32" t="s">
        <v>114</v>
      </c>
      <c r="E482" s="32" t="s">
        <v>268</v>
      </c>
      <c r="F482" s="32" t="n">
        <v>8884221116</v>
      </c>
      <c r="G482" s="32" t="s">
        <v>61</v>
      </c>
      <c r="H482" s="32" t="s">
        <v>22</v>
      </c>
      <c r="I482" s="32" t="s">
        <v>14</v>
      </c>
      <c r="J482" s="32" t="s">
        <v>66</v>
      </c>
      <c r="K482" s="32" t="s">
        <v>63</v>
      </c>
    </row>
    <row r="483" customFormat="false" ht="13.5" hidden="false" customHeight="true" outlineLevel="0" collapsed="false">
      <c r="A483" s="32" t="n">
        <v>2339</v>
      </c>
      <c r="B483" s="32" t="s">
        <v>538</v>
      </c>
      <c r="C483" s="32" t="s">
        <v>539</v>
      </c>
      <c r="D483" s="32" t="s">
        <v>114</v>
      </c>
      <c r="E483" s="32" t="s">
        <v>268</v>
      </c>
      <c r="F483" s="32" t="n">
        <v>8884221116</v>
      </c>
      <c r="G483" s="32" t="s">
        <v>61</v>
      </c>
      <c r="H483" s="32" t="s">
        <v>22</v>
      </c>
      <c r="I483" s="32" t="s">
        <v>156</v>
      </c>
      <c r="J483" s="32" t="s">
        <v>62</v>
      </c>
      <c r="K483" s="32" t="s">
        <v>63</v>
      </c>
    </row>
    <row r="484" customFormat="false" ht="13.5" hidden="false" customHeight="true" outlineLevel="0" collapsed="false">
      <c r="A484" s="32" t="n">
        <v>2340</v>
      </c>
      <c r="B484" s="32" t="s">
        <v>538</v>
      </c>
      <c r="C484" s="32" t="s">
        <v>539</v>
      </c>
      <c r="D484" s="32" t="s">
        <v>114</v>
      </c>
      <c r="E484" s="32" t="s">
        <v>268</v>
      </c>
      <c r="F484" s="32" t="n">
        <v>8884221116</v>
      </c>
      <c r="G484" s="32" t="s">
        <v>61</v>
      </c>
      <c r="H484" s="32" t="s">
        <v>22</v>
      </c>
      <c r="I484" s="32" t="s">
        <v>29</v>
      </c>
      <c r="J484" s="32" t="s">
        <v>62</v>
      </c>
      <c r="K484" s="32" t="s">
        <v>63</v>
      </c>
    </row>
    <row r="485" customFormat="false" ht="13.5" hidden="false" customHeight="true" outlineLevel="0" collapsed="false">
      <c r="A485" s="32" t="n">
        <v>2341</v>
      </c>
      <c r="B485" s="32" t="s">
        <v>541</v>
      </c>
      <c r="C485" s="32" t="s">
        <v>542</v>
      </c>
      <c r="D485" s="32" t="s">
        <v>331</v>
      </c>
      <c r="E485" s="32" t="s">
        <v>502</v>
      </c>
      <c r="F485" s="33" t="n">
        <v>917760000000</v>
      </c>
      <c r="G485" s="32" t="s">
        <v>61</v>
      </c>
      <c r="H485" s="32" t="s">
        <v>332</v>
      </c>
      <c r="I485" s="32" t="s">
        <v>350</v>
      </c>
      <c r="J485" s="32" t="s">
        <v>235</v>
      </c>
      <c r="K485" s="32" t="s">
        <v>63</v>
      </c>
    </row>
    <row r="486" customFormat="false" ht="13.5" hidden="false" customHeight="true" outlineLevel="0" collapsed="false">
      <c r="A486" s="32" t="n">
        <v>2342</v>
      </c>
      <c r="B486" s="32" t="s">
        <v>541</v>
      </c>
      <c r="C486" s="32" t="s">
        <v>542</v>
      </c>
      <c r="D486" s="32" t="s">
        <v>331</v>
      </c>
      <c r="E486" s="32" t="s">
        <v>502</v>
      </c>
      <c r="F486" s="33" t="n">
        <v>917760000000</v>
      </c>
      <c r="G486" s="32" t="s">
        <v>61</v>
      </c>
      <c r="H486" s="32" t="s">
        <v>332</v>
      </c>
      <c r="I486" s="32" t="s">
        <v>333</v>
      </c>
      <c r="J486" s="32" t="s">
        <v>235</v>
      </c>
      <c r="K486" s="32" t="s">
        <v>63</v>
      </c>
    </row>
    <row r="487" customFormat="false" ht="13.5" hidden="false" customHeight="true" outlineLevel="0" collapsed="false">
      <c r="A487" s="32" t="n">
        <v>2343</v>
      </c>
      <c r="B487" s="32" t="s">
        <v>541</v>
      </c>
      <c r="C487" s="32" t="s">
        <v>542</v>
      </c>
      <c r="D487" s="32" t="s">
        <v>331</v>
      </c>
      <c r="E487" s="32" t="s">
        <v>502</v>
      </c>
      <c r="F487" s="33" t="n">
        <v>917760000000</v>
      </c>
      <c r="G487" s="32" t="s">
        <v>61</v>
      </c>
      <c r="H487" s="32" t="s">
        <v>332</v>
      </c>
      <c r="I487" s="32" t="s">
        <v>251</v>
      </c>
      <c r="J487" s="32" t="s">
        <v>152</v>
      </c>
      <c r="K487" s="32" t="s">
        <v>63</v>
      </c>
    </row>
    <row r="488" customFormat="false" ht="13.5" hidden="false" customHeight="true" outlineLevel="0" collapsed="false">
      <c r="A488" s="32" t="n">
        <v>2345</v>
      </c>
      <c r="B488" s="32" t="s">
        <v>541</v>
      </c>
      <c r="C488" s="32" t="s">
        <v>542</v>
      </c>
      <c r="D488" s="32" t="s">
        <v>331</v>
      </c>
      <c r="E488" s="32" t="s">
        <v>502</v>
      </c>
      <c r="F488" s="33" t="n">
        <v>917760000000</v>
      </c>
      <c r="G488" s="32" t="s">
        <v>61</v>
      </c>
      <c r="H488" s="32" t="s">
        <v>332</v>
      </c>
      <c r="I488" s="32" t="s">
        <v>156</v>
      </c>
      <c r="J488" s="32" t="s">
        <v>62</v>
      </c>
      <c r="K488" s="32" t="s">
        <v>63</v>
      </c>
    </row>
    <row r="489" customFormat="false" ht="13.5" hidden="false" customHeight="true" outlineLevel="0" collapsed="false">
      <c r="A489" s="32" t="n">
        <v>2346</v>
      </c>
      <c r="B489" s="32" t="s">
        <v>541</v>
      </c>
      <c r="C489" s="32" t="s">
        <v>542</v>
      </c>
      <c r="D489" s="32" t="s">
        <v>331</v>
      </c>
      <c r="E489" s="32" t="s">
        <v>502</v>
      </c>
      <c r="F489" s="33" t="n">
        <v>917760000000</v>
      </c>
      <c r="G489" s="32" t="s">
        <v>61</v>
      </c>
      <c r="H489" s="32" t="s">
        <v>332</v>
      </c>
      <c r="I489" s="32" t="s">
        <v>29</v>
      </c>
      <c r="J489" s="32" t="s">
        <v>62</v>
      </c>
      <c r="K489" s="32" t="s">
        <v>63</v>
      </c>
    </row>
    <row r="490" customFormat="false" ht="13.5" hidden="false" customHeight="true" outlineLevel="0" collapsed="false">
      <c r="A490" s="32" t="n">
        <v>2348</v>
      </c>
      <c r="B490" s="32" t="s">
        <v>541</v>
      </c>
      <c r="C490" s="32" t="s">
        <v>542</v>
      </c>
      <c r="D490" s="32" t="s">
        <v>331</v>
      </c>
      <c r="E490" s="32" t="s">
        <v>502</v>
      </c>
      <c r="F490" s="33" t="n">
        <v>917760000000</v>
      </c>
      <c r="G490" s="32" t="s">
        <v>61</v>
      </c>
      <c r="H490" s="32" t="s">
        <v>332</v>
      </c>
      <c r="I490" s="32" t="s">
        <v>14</v>
      </c>
      <c r="J490" s="32" t="s">
        <v>66</v>
      </c>
      <c r="K490" s="32" t="s">
        <v>63</v>
      </c>
    </row>
    <row r="491" customFormat="false" ht="13.5" hidden="false" customHeight="true" outlineLevel="0" collapsed="false">
      <c r="A491" s="32" t="n">
        <v>2349</v>
      </c>
      <c r="B491" s="32" t="s">
        <v>543</v>
      </c>
      <c r="C491" s="32" t="s">
        <v>544</v>
      </c>
      <c r="D491" s="32" t="s">
        <v>114</v>
      </c>
      <c r="E491" s="32" t="s">
        <v>115</v>
      </c>
      <c r="F491" s="32" t="n">
        <v>8719237678</v>
      </c>
      <c r="G491" s="32" t="s">
        <v>104</v>
      </c>
      <c r="H491" s="32" t="s">
        <v>22</v>
      </c>
      <c r="I491" s="32" t="s">
        <v>133</v>
      </c>
      <c r="J491" s="32" t="s">
        <v>134</v>
      </c>
      <c r="K491" s="32" t="s">
        <v>63</v>
      </c>
    </row>
    <row r="492" customFormat="false" ht="13.5" hidden="false" customHeight="true" outlineLevel="0" collapsed="false">
      <c r="A492" s="32" t="n">
        <v>2350</v>
      </c>
      <c r="B492" s="32" t="s">
        <v>545</v>
      </c>
      <c r="C492" s="32" t="s">
        <v>546</v>
      </c>
      <c r="D492" s="32" t="s">
        <v>59</v>
      </c>
      <c r="E492" s="32" t="s">
        <v>60</v>
      </c>
      <c r="F492" s="32" t="n">
        <v>0</v>
      </c>
      <c r="G492" s="32" t="s">
        <v>61</v>
      </c>
      <c r="H492" s="32" t="s">
        <v>21</v>
      </c>
      <c r="I492" s="32" t="s">
        <v>421</v>
      </c>
      <c r="J492" s="32" t="s">
        <v>235</v>
      </c>
      <c r="K492" s="32" t="s">
        <v>63</v>
      </c>
    </row>
    <row r="493" customFormat="false" ht="13.5" hidden="false" customHeight="true" outlineLevel="0" collapsed="false">
      <c r="A493" s="32" t="n">
        <v>2351</v>
      </c>
      <c r="B493" s="32" t="s">
        <v>545</v>
      </c>
      <c r="C493" s="32" t="s">
        <v>546</v>
      </c>
      <c r="D493" s="32" t="s">
        <v>59</v>
      </c>
      <c r="E493" s="32" t="s">
        <v>60</v>
      </c>
      <c r="F493" s="32" t="n">
        <v>0</v>
      </c>
      <c r="G493" s="32" t="s">
        <v>61</v>
      </c>
      <c r="H493" s="32" t="s">
        <v>21</v>
      </c>
      <c r="I493" s="32" t="s">
        <v>350</v>
      </c>
      <c r="J493" s="32" t="s">
        <v>235</v>
      </c>
      <c r="K493" s="32" t="s">
        <v>63</v>
      </c>
    </row>
    <row r="494" customFormat="false" ht="13.5" hidden="false" customHeight="true" outlineLevel="0" collapsed="false">
      <c r="A494" s="32" t="n">
        <v>2353</v>
      </c>
      <c r="B494" s="32" t="s">
        <v>545</v>
      </c>
      <c r="C494" s="32" t="s">
        <v>546</v>
      </c>
      <c r="D494" s="32" t="s">
        <v>59</v>
      </c>
      <c r="E494" s="32" t="s">
        <v>60</v>
      </c>
      <c r="F494" s="32" t="n">
        <v>0</v>
      </c>
      <c r="G494" s="32" t="s">
        <v>61</v>
      </c>
      <c r="H494" s="32" t="s">
        <v>21</v>
      </c>
      <c r="I494" s="32" t="s">
        <v>333</v>
      </c>
      <c r="J494" s="32" t="s">
        <v>235</v>
      </c>
      <c r="K494" s="32" t="s">
        <v>63</v>
      </c>
    </row>
    <row r="495" customFormat="false" ht="13.5" hidden="false" customHeight="true" outlineLevel="0" collapsed="false">
      <c r="A495" s="32" t="n">
        <v>2354</v>
      </c>
      <c r="B495" s="32" t="s">
        <v>547</v>
      </c>
      <c r="C495" s="32" t="s">
        <v>548</v>
      </c>
      <c r="D495" s="32" t="s">
        <v>59</v>
      </c>
      <c r="E495" s="32" t="s">
        <v>107</v>
      </c>
      <c r="F495" s="32" t="n">
        <v>8050021279</v>
      </c>
      <c r="G495" s="32" t="s">
        <v>61</v>
      </c>
      <c r="H495" s="32" t="s">
        <v>21</v>
      </c>
      <c r="I495" s="32" t="s">
        <v>227</v>
      </c>
      <c r="J495" s="32" t="s">
        <v>228</v>
      </c>
      <c r="K495" s="32" t="s">
        <v>63</v>
      </c>
    </row>
    <row r="496" customFormat="false" ht="13.5" hidden="false" customHeight="true" outlineLevel="0" collapsed="false">
      <c r="A496" s="32" t="n">
        <v>2355</v>
      </c>
      <c r="B496" s="32" t="s">
        <v>547</v>
      </c>
      <c r="C496" s="32" t="s">
        <v>548</v>
      </c>
      <c r="D496" s="32" t="s">
        <v>59</v>
      </c>
      <c r="E496" s="32" t="s">
        <v>107</v>
      </c>
      <c r="F496" s="32" t="n">
        <v>8050021279</v>
      </c>
      <c r="G496" s="32" t="s">
        <v>61</v>
      </c>
      <c r="H496" s="32" t="s">
        <v>21</v>
      </c>
      <c r="I496" s="32" t="s">
        <v>145</v>
      </c>
      <c r="J496" s="32" t="s">
        <v>117</v>
      </c>
      <c r="K496" s="32" t="s">
        <v>63</v>
      </c>
    </row>
    <row r="497" customFormat="false" ht="13.5" hidden="false" customHeight="true" outlineLevel="0" collapsed="false">
      <c r="A497" s="32" t="n">
        <v>2356</v>
      </c>
      <c r="B497" s="32" t="s">
        <v>547</v>
      </c>
      <c r="C497" s="32" t="s">
        <v>548</v>
      </c>
      <c r="D497" s="32" t="s">
        <v>59</v>
      </c>
      <c r="E497" s="32" t="s">
        <v>107</v>
      </c>
      <c r="F497" s="32" t="n">
        <v>8050021279</v>
      </c>
      <c r="G497" s="32" t="s">
        <v>61</v>
      </c>
      <c r="H497" s="32" t="s">
        <v>21</v>
      </c>
      <c r="I497" s="32" t="s">
        <v>231</v>
      </c>
      <c r="J497" s="32" t="s">
        <v>228</v>
      </c>
      <c r="K497" s="32" t="s">
        <v>63</v>
      </c>
    </row>
    <row r="498" customFormat="false" ht="13.5" hidden="false" customHeight="true" outlineLevel="0" collapsed="false">
      <c r="A498" s="32" t="n">
        <v>2357</v>
      </c>
      <c r="B498" s="32" t="s">
        <v>547</v>
      </c>
      <c r="C498" s="32" t="s">
        <v>548</v>
      </c>
      <c r="D498" s="32" t="s">
        <v>59</v>
      </c>
      <c r="E498" s="32" t="s">
        <v>107</v>
      </c>
      <c r="F498" s="32" t="n">
        <v>8050021279</v>
      </c>
      <c r="G498" s="32" t="s">
        <v>61</v>
      </c>
      <c r="H498" s="32" t="s">
        <v>21</v>
      </c>
      <c r="I498" s="32" t="s">
        <v>549</v>
      </c>
      <c r="J498" s="32" t="s">
        <v>110</v>
      </c>
      <c r="K498" s="32" t="s">
        <v>63</v>
      </c>
    </row>
    <row r="499" customFormat="false" ht="13.5" hidden="false" customHeight="true" outlineLevel="0" collapsed="false">
      <c r="A499" s="32" t="n">
        <v>2358</v>
      </c>
      <c r="B499" s="32" t="s">
        <v>547</v>
      </c>
      <c r="C499" s="32" t="s">
        <v>548</v>
      </c>
      <c r="D499" s="32" t="s">
        <v>59</v>
      </c>
      <c r="E499" s="32" t="s">
        <v>107</v>
      </c>
      <c r="F499" s="32" t="n">
        <v>8050021279</v>
      </c>
      <c r="G499" s="32" t="s">
        <v>61</v>
      </c>
      <c r="H499" s="32" t="s">
        <v>21</v>
      </c>
      <c r="I499" s="32" t="s">
        <v>185</v>
      </c>
      <c r="J499" s="32" t="s">
        <v>186</v>
      </c>
      <c r="K499" s="32" t="s">
        <v>63</v>
      </c>
    </row>
    <row r="500" customFormat="false" ht="13.5" hidden="false" customHeight="true" outlineLevel="0" collapsed="false">
      <c r="A500" s="32" t="n">
        <v>2359</v>
      </c>
      <c r="B500" s="32" t="s">
        <v>550</v>
      </c>
      <c r="C500" s="32" t="s">
        <v>551</v>
      </c>
      <c r="D500" s="32" t="s">
        <v>114</v>
      </c>
      <c r="E500" s="32" t="s">
        <v>165</v>
      </c>
      <c r="F500" s="32" t="n">
        <v>9561091331</v>
      </c>
      <c r="G500" s="32" t="s">
        <v>80</v>
      </c>
      <c r="H500" s="32" t="s">
        <v>22</v>
      </c>
      <c r="I500" s="32" t="s">
        <v>212</v>
      </c>
      <c r="J500" s="32" t="s">
        <v>73</v>
      </c>
      <c r="K500" s="32" t="s">
        <v>63</v>
      </c>
    </row>
    <row r="501" customFormat="false" ht="13.5" hidden="false" customHeight="true" outlineLevel="0" collapsed="false">
      <c r="A501" s="32" t="n">
        <v>2360</v>
      </c>
      <c r="B501" s="32" t="s">
        <v>550</v>
      </c>
      <c r="C501" s="32" t="s">
        <v>552</v>
      </c>
      <c r="D501" s="32" t="s">
        <v>114</v>
      </c>
      <c r="E501" s="32" t="s">
        <v>165</v>
      </c>
      <c r="F501" s="32" t="n">
        <v>9561091331</v>
      </c>
      <c r="G501" s="32" t="s">
        <v>80</v>
      </c>
      <c r="H501" s="32" t="s">
        <v>22</v>
      </c>
      <c r="I501" s="32" t="s">
        <v>76</v>
      </c>
      <c r="J501" s="32" t="s">
        <v>76</v>
      </c>
      <c r="K501" s="32" t="s">
        <v>63</v>
      </c>
    </row>
    <row r="502" customFormat="false" ht="13.5" hidden="false" customHeight="true" outlineLevel="0" collapsed="false">
      <c r="A502" s="32" t="n">
        <v>2361</v>
      </c>
      <c r="B502" s="32" t="s">
        <v>550</v>
      </c>
      <c r="C502" s="32" t="s">
        <v>552</v>
      </c>
      <c r="D502" s="32" t="s">
        <v>114</v>
      </c>
      <c r="E502" s="32" t="s">
        <v>165</v>
      </c>
      <c r="F502" s="32" t="n">
        <v>9561091331</v>
      </c>
      <c r="G502" s="32" t="s">
        <v>80</v>
      </c>
      <c r="H502" s="32" t="s">
        <v>22</v>
      </c>
      <c r="I502" s="32" t="s">
        <v>108</v>
      </c>
      <c r="J502" s="32" t="s">
        <v>71</v>
      </c>
      <c r="K502" s="32" t="s">
        <v>63</v>
      </c>
    </row>
    <row r="503" customFormat="false" ht="13.5" hidden="false" customHeight="true" outlineLevel="0" collapsed="false">
      <c r="A503" s="32" t="n">
        <v>2362</v>
      </c>
      <c r="B503" s="32" t="s">
        <v>550</v>
      </c>
      <c r="C503" s="32" t="s">
        <v>552</v>
      </c>
      <c r="D503" s="32" t="s">
        <v>114</v>
      </c>
      <c r="E503" s="32" t="s">
        <v>165</v>
      </c>
      <c r="F503" s="32" t="n">
        <v>9561091331</v>
      </c>
      <c r="G503" s="32" t="s">
        <v>80</v>
      </c>
      <c r="H503" s="32" t="s">
        <v>22</v>
      </c>
      <c r="I503" s="32" t="s">
        <v>16</v>
      </c>
      <c r="J503" s="32" t="s">
        <v>73</v>
      </c>
      <c r="K503" s="32" t="s">
        <v>63</v>
      </c>
    </row>
    <row r="504" customFormat="false" ht="13.5" hidden="false" customHeight="true" outlineLevel="0" collapsed="false">
      <c r="A504" s="32" t="n">
        <v>2364</v>
      </c>
      <c r="B504" s="32" t="s">
        <v>553</v>
      </c>
      <c r="C504" s="32" t="s">
        <v>554</v>
      </c>
      <c r="D504" s="32" t="s">
        <v>59</v>
      </c>
      <c r="E504" s="32" t="s">
        <v>143</v>
      </c>
      <c r="F504" s="32" t="n">
        <v>12243125577</v>
      </c>
      <c r="G504" s="32" t="s">
        <v>200</v>
      </c>
      <c r="H504" s="32" t="s">
        <v>21</v>
      </c>
      <c r="I504" s="32" t="s">
        <v>108</v>
      </c>
      <c r="J504" s="32" t="s">
        <v>71</v>
      </c>
      <c r="K504" s="32" t="s">
        <v>63</v>
      </c>
    </row>
    <row r="505" customFormat="false" ht="13.5" hidden="false" customHeight="true" outlineLevel="0" collapsed="false">
      <c r="A505" s="32" t="n">
        <v>2365</v>
      </c>
      <c r="B505" s="32" t="s">
        <v>553</v>
      </c>
      <c r="C505" s="32" t="s">
        <v>554</v>
      </c>
      <c r="D505" s="32" t="s">
        <v>59</v>
      </c>
      <c r="E505" s="32" t="s">
        <v>143</v>
      </c>
      <c r="F505" s="32" t="n">
        <v>12243125577</v>
      </c>
      <c r="G505" s="32" t="s">
        <v>200</v>
      </c>
      <c r="H505" s="32" t="s">
        <v>21</v>
      </c>
      <c r="I505" s="32" t="s">
        <v>111</v>
      </c>
      <c r="J505" s="32" t="s">
        <v>73</v>
      </c>
      <c r="K505" s="32" t="s">
        <v>63</v>
      </c>
    </row>
    <row r="506" customFormat="false" ht="13.5" hidden="false" customHeight="true" outlineLevel="0" collapsed="false">
      <c r="A506" s="32" t="n">
        <v>2366</v>
      </c>
      <c r="B506" s="32" t="s">
        <v>555</v>
      </c>
      <c r="C506" s="32" t="s">
        <v>556</v>
      </c>
      <c r="D506" s="32" t="s">
        <v>59</v>
      </c>
      <c r="E506" s="32" t="s">
        <v>107</v>
      </c>
      <c r="F506" s="32" t="n">
        <v>8910175867</v>
      </c>
      <c r="G506" s="32" t="s">
        <v>140</v>
      </c>
      <c r="H506" s="32" t="s">
        <v>21</v>
      </c>
      <c r="I506" s="32" t="s">
        <v>16</v>
      </c>
      <c r="J506" s="32" t="s">
        <v>73</v>
      </c>
      <c r="K506" s="32" t="s">
        <v>63</v>
      </c>
    </row>
    <row r="507" customFormat="false" ht="13.5" hidden="false" customHeight="true" outlineLevel="0" collapsed="false">
      <c r="A507" s="32" t="n">
        <v>2367</v>
      </c>
      <c r="B507" s="32" t="s">
        <v>557</v>
      </c>
      <c r="C507" s="32" t="s">
        <v>558</v>
      </c>
      <c r="D507" s="32" t="s">
        <v>59</v>
      </c>
      <c r="E507" s="32" t="s">
        <v>79</v>
      </c>
      <c r="F507" s="32" t="n">
        <v>9823614750</v>
      </c>
      <c r="G507" s="32" t="s">
        <v>80</v>
      </c>
      <c r="H507" s="32" t="s">
        <v>21</v>
      </c>
      <c r="I507" s="32" t="s">
        <v>284</v>
      </c>
      <c r="J507" s="32" t="s">
        <v>117</v>
      </c>
      <c r="K507" s="32" t="s">
        <v>63</v>
      </c>
    </row>
    <row r="508" customFormat="false" ht="13.5" hidden="false" customHeight="true" outlineLevel="0" collapsed="false">
      <c r="A508" s="32" t="n">
        <v>2368</v>
      </c>
      <c r="B508" s="32" t="s">
        <v>557</v>
      </c>
      <c r="C508" s="32" t="s">
        <v>558</v>
      </c>
      <c r="D508" s="32" t="s">
        <v>59</v>
      </c>
      <c r="E508" s="32" t="s">
        <v>79</v>
      </c>
      <c r="F508" s="32" t="n">
        <v>9823614750</v>
      </c>
      <c r="G508" s="32" t="s">
        <v>80</v>
      </c>
      <c r="H508" s="32" t="s">
        <v>21</v>
      </c>
      <c r="I508" s="32" t="s">
        <v>151</v>
      </c>
      <c r="J508" s="32" t="s">
        <v>152</v>
      </c>
      <c r="K508" s="32" t="s">
        <v>63</v>
      </c>
    </row>
    <row r="509" customFormat="false" ht="13.5" hidden="false" customHeight="true" outlineLevel="0" collapsed="false">
      <c r="A509" s="32" t="n">
        <v>2369</v>
      </c>
      <c r="B509" s="32" t="s">
        <v>557</v>
      </c>
      <c r="C509" s="32" t="s">
        <v>558</v>
      </c>
      <c r="D509" s="32" t="s">
        <v>59</v>
      </c>
      <c r="E509" s="32" t="s">
        <v>79</v>
      </c>
      <c r="F509" s="32" t="n">
        <v>9823614750</v>
      </c>
      <c r="G509" s="32" t="s">
        <v>144</v>
      </c>
      <c r="H509" s="32" t="s">
        <v>21</v>
      </c>
      <c r="I509" s="32" t="s">
        <v>226</v>
      </c>
      <c r="J509" s="32" t="s">
        <v>110</v>
      </c>
      <c r="K509" s="32" t="s">
        <v>63</v>
      </c>
    </row>
    <row r="510" customFormat="false" ht="13.5" hidden="false" customHeight="true" outlineLevel="0" collapsed="false">
      <c r="A510" s="32" t="n">
        <v>2370</v>
      </c>
      <c r="B510" s="32" t="s">
        <v>557</v>
      </c>
      <c r="C510" s="32" t="s">
        <v>559</v>
      </c>
      <c r="D510" s="32" t="s">
        <v>59</v>
      </c>
      <c r="E510" s="32" t="s">
        <v>79</v>
      </c>
      <c r="F510" s="32" t="n">
        <v>9823614750</v>
      </c>
      <c r="G510" s="32" t="s">
        <v>80</v>
      </c>
      <c r="H510" s="32" t="s">
        <v>21</v>
      </c>
      <c r="I510" s="32" t="s">
        <v>27</v>
      </c>
      <c r="J510" s="32" t="s">
        <v>13</v>
      </c>
      <c r="K510" s="32" t="s">
        <v>63</v>
      </c>
    </row>
    <row r="511" customFormat="false" ht="13.5" hidden="false" customHeight="true" outlineLevel="0" collapsed="false">
      <c r="A511" s="32" t="n">
        <v>2371</v>
      </c>
      <c r="B511" s="32" t="s">
        <v>560</v>
      </c>
      <c r="C511" s="32" t="s">
        <v>561</v>
      </c>
      <c r="D511" s="32" t="s">
        <v>59</v>
      </c>
      <c r="E511" s="32" t="s">
        <v>92</v>
      </c>
      <c r="F511" s="32" t="n">
        <v>9916413671</v>
      </c>
      <c r="G511" s="32" t="s">
        <v>61</v>
      </c>
      <c r="H511" s="32" t="s">
        <v>21</v>
      </c>
      <c r="I511" s="32" t="s">
        <v>185</v>
      </c>
      <c r="J511" s="32" t="s">
        <v>186</v>
      </c>
      <c r="K511" s="32" t="s">
        <v>63</v>
      </c>
    </row>
    <row r="512" customFormat="false" ht="13.5" hidden="false" customHeight="true" outlineLevel="0" collapsed="false">
      <c r="A512" s="32" t="n">
        <v>2372</v>
      </c>
      <c r="B512" s="32" t="s">
        <v>560</v>
      </c>
      <c r="C512" s="32" t="s">
        <v>561</v>
      </c>
      <c r="D512" s="32" t="s">
        <v>59</v>
      </c>
      <c r="E512" s="32" t="s">
        <v>92</v>
      </c>
      <c r="F512" s="32" t="n">
        <v>9916413671</v>
      </c>
      <c r="G512" s="32" t="s">
        <v>61</v>
      </c>
      <c r="H512" s="32" t="s">
        <v>21</v>
      </c>
      <c r="I512" s="32" t="s">
        <v>227</v>
      </c>
      <c r="J512" s="32" t="s">
        <v>228</v>
      </c>
      <c r="K512" s="32" t="s">
        <v>63</v>
      </c>
    </row>
    <row r="513" customFormat="false" ht="13.5" hidden="false" customHeight="true" outlineLevel="0" collapsed="false">
      <c r="A513" s="32" t="n">
        <v>2373</v>
      </c>
      <c r="B513" s="32" t="s">
        <v>560</v>
      </c>
      <c r="C513" s="32" t="s">
        <v>561</v>
      </c>
      <c r="D513" s="32" t="s">
        <v>59</v>
      </c>
      <c r="E513" s="32" t="s">
        <v>92</v>
      </c>
      <c r="F513" s="32" t="n">
        <v>9916413671</v>
      </c>
      <c r="G513" s="32" t="s">
        <v>61</v>
      </c>
      <c r="H513" s="32" t="s">
        <v>21</v>
      </c>
      <c r="I513" s="32" t="s">
        <v>226</v>
      </c>
      <c r="J513" s="32" t="s">
        <v>110</v>
      </c>
      <c r="K513" s="32" t="s">
        <v>63</v>
      </c>
    </row>
    <row r="514" customFormat="false" ht="13.5" hidden="false" customHeight="true" outlineLevel="0" collapsed="false">
      <c r="A514" s="32" t="n">
        <v>2374</v>
      </c>
      <c r="B514" s="32" t="s">
        <v>562</v>
      </c>
      <c r="C514" s="32" t="s">
        <v>563</v>
      </c>
      <c r="D514" s="32" t="s">
        <v>114</v>
      </c>
      <c r="E514" s="32" t="s">
        <v>165</v>
      </c>
      <c r="F514" s="33" t="n">
        <v>918076000000</v>
      </c>
      <c r="G514" s="32" t="s">
        <v>144</v>
      </c>
      <c r="H514" s="32" t="s">
        <v>22</v>
      </c>
      <c r="I514" s="32" t="s">
        <v>245</v>
      </c>
      <c r="J514" s="32" t="s">
        <v>71</v>
      </c>
      <c r="K514" s="32" t="s">
        <v>63</v>
      </c>
    </row>
    <row r="515" customFormat="false" ht="13.5" hidden="false" customHeight="true" outlineLevel="0" collapsed="false">
      <c r="A515" s="32" t="n">
        <v>2375</v>
      </c>
      <c r="B515" s="32" t="s">
        <v>562</v>
      </c>
      <c r="C515" s="32" t="s">
        <v>563</v>
      </c>
      <c r="D515" s="32" t="s">
        <v>114</v>
      </c>
      <c r="E515" s="32" t="s">
        <v>165</v>
      </c>
      <c r="F515" s="32" t="n">
        <v>8076413154</v>
      </c>
      <c r="G515" s="32" t="s">
        <v>144</v>
      </c>
      <c r="H515" s="32" t="s">
        <v>22</v>
      </c>
      <c r="I515" s="32" t="s">
        <v>108</v>
      </c>
      <c r="J515" s="32" t="s">
        <v>71</v>
      </c>
      <c r="K515" s="32" t="s">
        <v>63</v>
      </c>
    </row>
    <row r="516" customFormat="false" ht="13.5" hidden="false" customHeight="true" outlineLevel="0" collapsed="false">
      <c r="A516" s="32" t="n">
        <v>2376</v>
      </c>
      <c r="B516" s="32" t="s">
        <v>562</v>
      </c>
      <c r="C516" s="32" t="s">
        <v>563</v>
      </c>
      <c r="D516" s="32" t="s">
        <v>114</v>
      </c>
      <c r="E516" s="32" t="s">
        <v>165</v>
      </c>
      <c r="F516" s="32" t="n">
        <v>8076413154</v>
      </c>
      <c r="G516" s="32" t="s">
        <v>144</v>
      </c>
      <c r="H516" s="32" t="s">
        <v>22</v>
      </c>
      <c r="I516" s="32" t="s">
        <v>185</v>
      </c>
      <c r="J516" s="32" t="s">
        <v>186</v>
      </c>
      <c r="K516" s="32" t="s">
        <v>63</v>
      </c>
    </row>
    <row r="517" customFormat="false" ht="13.5" hidden="false" customHeight="true" outlineLevel="0" collapsed="false">
      <c r="A517" s="32" t="n">
        <v>2377</v>
      </c>
      <c r="B517" s="32" t="s">
        <v>562</v>
      </c>
      <c r="C517" s="32" t="s">
        <v>563</v>
      </c>
      <c r="D517" s="32" t="s">
        <v>114</v>
      </c>
      <c r="E517" s="32" t="s">
        <v>165</v>
      </c>
      <c r="F517" s="33" t="n">
        <v>918076000000</v>
      </c>
      <c r="G517" s="32" t="s">
        <v>144</v>
      </c>
      <c r="H517" s="32" t="s">
        <v>22</v>
      </c>
      <c r="I517" s="32" t="s">
        <v>137</v>
      </c>
      <c r="J517" s="32" t="s">
        <v>13</v>
      </c>
      <c r="K517" s="32" t="s">
        <v>63</v>
      </c>
    </row>
    <row r="518" customFormat="false" ht="13.5" hidden="false" customHeight="true" outlineLevel="0" collapsed="false">
      <c r="A518" s="32" t="n">
        <v>2379</v>
      </c>
      <c r="B518" s="32" t="s">
        <v>562</v>
      </c>
      <c r="C518" s="32" t="s">
        <v>563</v>
      </c>
      <c r="D518" s="32" t="s">
        <v>114</v>
      </c>
      <c r="E518" s="32" t="s">
        <v>165</v>
      </c>
      <c r="F518" s="33" t="n">
        <v>918076000000</v>
      </c>
      <c r="G518" s="32" t="s">
        <v>144</v>
      </c>
      <c r="H518" s="32" t="s">
        <v>22</v>
      </c>
      <c r="I518" s="32" t="s">
        <v>27</v>
      </c>
      <c r="J518" s="32" t="s">
        <v>13</v>
      </c>
      <c r="K518" s="32" t="s">
        <v>63</v>
      </c>
    </row>
    <row r="519" customFormat="false" ht="13.5" hidden="false" customHeight="true" outlineLevel="0" collapsed="false">
      <c r="A519" s="32" t="n">
        <v>2380</v>
      </c>
      <c r="B519" s="32" t="s">
        <v>564</v>
      </c>
      <c r="C519" s="32" t="s">
        <v>565</v>
      </c>
      <c r="D519" s="32" t="s">
        <v>114</v>
      </c>
      <c r="E519" s="32" t="s">
        <v>165</v>
      </c>
      <c r="F519" s="32" t="n">
        <v>9668330383</v>
      </c>
      <c r="G519" s="32" t="s">
        <v>144</v>
      </c>
      <c r="H519" s="32" t="s">
        <v>22</v>
      </c>
      <c r="I519" s="32" t="s">
        <v>93</v>
      </c>
      <c r="J519" s="32" t="s">
        <v>85</v>
      </c>
      <c r="K519" s="32" t="s">
        <v>63</v>
      </c>
    </row>
    <row r="520" customFormat="false" ht="13.5" hidden="false" customHeight="true" outlineLevel="0" collapsed="false">
      <c r="A520" s="32" t="n">
        <v>2381</v>
      </c>
      <c r="B520" s="32" t="s">
        <v>564</v>
      </c>
      <c r="C520" s="32" t="s">
        <v>561</v>
      </c>
      <c r="D520" s="32" t="s">
        <v>114</v>
      </c>
      <c r="E520" s="32" t="s">
        <v>165</v>
      </c>
      <c r="F520" s="32" t="n">
        <v>9668330383</v>
      </c>
      <c r="G520" s="32" t="s">
        <v>144</v>
      </c>
      <c r="H520" s="32" t="s">
        <v>22</v>
      </c>
      <c r="I520" s="32" t="s">
        <v>108</v>
      </c>
      <c r="J520" s="32" t="s">
        <v>71</v>
      </c>
      <c r="K520" s="32" t="s">
        <v>63</v>
      </c>
    </row>
    <row r="521" customFormat="false" ht="13.5" hidden="false" customHeight="true" outlineLevel="0" collapsed="false">
      <c r="A521" s="32" t="n">
        <v>2382</v>
      </c>
      <c r="B521" s="32" t="s">
        <v>564</v>
      </c>
      <c r="C521" s="32" t="s">
        <v>561</v>
      </c>
      <c r="D521" s="32" t="s">
        <v>114</v>
      </c>
      <c r="E521" s="32" t="s">
        <v>165</v>
      </c>
      <c r="F521" s="32" t="n">
        <v>9668330383</v>
      </c>
      <c r="G521" s="32" t="s">
        <v>144</v>
      </c>
      <c r="H521" s="32" t="s">
        <v>22</v>
      </c>
      <c r="I521" s="32" t="s">
        <v>111</v>
      </c>
      <c r="J521" s="32" t="s">
        <v>73</v>
      </c>
      <c r="K521" s="32" t="s">
        <v>63</v>
      </c>
    </row>
    <row r="522" customFormat="false" ht="13.5" hidden="false" customHeight="true" outlineLevel="0" collapsed="false">
      <c r="A522" s="32" t="n">
        <v>2383</v>
      </c>
      <c r="B522" s="32" t="s">
        <v>564</v>
      </c>
      <c r="C522" s="32" t="s">
        <v>561</v>
      </c>
      <c r="D522" s="32" t="s">
        <v>114</v>
      </c>
      <c r="E522" s="32" t="s">
        <v>165</v>
      </c>
      <c r="F522" s="32" t="n">
        <v>9668330383</v>
      </c>
      <c r="G522" s="32" t="s">
        <v>144</v>
      </c>
      <c r="H522" s="32" t="s">
        <v>22</v>
      </c>
      <c r="I522" s="32" t="s">
        <v>133</v>
      </c>
      <c r="J522" s="32" t="s">
        <v>134</v>
      </c>
      <c r="K522" s="32" t="s">
        <v>63</v>
      </c>
    </row>
    <row r="523" customFormat="false" ht="13.5" hidden="false" customHeight="true" outlineLevel="0" collapsed="false">
      <c r="A523" s="32" t="n">
        <v>2384</v>
      </c>
      <c r="B523" s="32" t="s">
        <v>566</v>
      </c>
      <c r="C523" s="32" t="s">
        <v>567</v>
      </c>
      <c r="D523" s="32" t="s">
        <v>114</v>
      </c>
      <c r="E523" s="32" t="s">
        <v>165</v>
      </c>
      <c r="F523" s="32" t="n">
        <v>6209858483</v>
      </c>
      <c r="G523" s="32" t="s">
        <v>181</v>
      </c>
      <c r="H523" s="32" t="s">
        <v>22</v>
      </c>
      <c r="I523" s="32" t="s">
        <v>109</v>
      </c>
      <c r="J523" s="32" t="s">
        <v>110</v>
      </c>
      <c r="K523" s="32" t="s">
        <v>63</v>
      </c>
    </row>
    <row r="524" customFormat="false" ht="13.5" hidden="false" customHeight="true" outlineLevel="0" collapsed="false">
      <c r="A524" s="32" t="n">
        <v>2385</v>
      </c>
      <c r="B524" s="32" t="s">
        <v>566</v>
      </c>
      <c r="C524" s="32" t="s">
        <v>567</v>
      </c>
      <c r="D524" s="32" t="s">
        <v>114</v>
      </c>
      <c r="E524" s="32" t="s">
        <v>165</v>
      </c>
      <c r="F524" s="32" t="n">
        <v>6209858483</v>
      </c>
      <c r="G524" s="32" t="s">
        <v>181</v>
      </c>
      <c r="H524" s="32" t="s">
        <v>22</v>
      </c>
      <c r="I524" s="32" t="s">
        <v>145</v>
      </c>
      <c r="J524" s="32" t="s">
        <v>117</v>
      </c>
      <c r="K524" s="32" t="s">
        <v>63</v>
      </c>
    </row>
    <row r="525" customFormat="false" ht="13.5" hidden="false" customHeight="true" outlineLevel="0" collapsed="false">
      <c r="A525" s="32" t="n">
        <v>2386</v>
      </c>
      <c r="B525" s="32" t="s">
        <v>568</v>
      </c>
      <c r="C525" s="32" t="s">
        <v>569</v>
      </c>
      <c r="D525" s="32" t="s">
        <v>59</v>
      </c>
      <c r="E525" s="32" t="s">
        <v>79</v>
      </c>
      <c r="F525" s="32" t="n">
        <v>9886759791</v>
      </c>
      <c r="G525" s="32" t="s">
        <v>61</v>
      </c>
      <c r="H525" s="32" t="s">
        <v>21</v>
      </c>
      <c r="I525" s="32" t="s">
        <v>570</v>
      </c>
      <c r="J525" s="32" t="s">
        <v>99</v>
      </c>
      <c r="K525" s="32" t="s">
        <v>63</v>
      </c>
    </row>
    <row r="526" customFormat="false" ht="13.5" hidden="false" customHeight="true" outlineLevel="0" collapsed="false">
      <c r="A526" s="32" t="n">
        <v>2388</v>
      </c>
      <c r="B526" s="32" t="s">
        <v>568</v>
      </c>
      <c r="C526" s="32" t="s">
        <v>569</v>
      </c>
      <c r="D526" s="32" t="s">
        <v>59</v>
      </c>
      <c r="E526" s="32" t="s">
        <v>79</v>
      </c>
      <c r="F526" s="32" t="n">
        <v>9886759791</v>
      </c>
      <c r="G526" s="32" t="s">
        <v>61</v>
      </c>
      <c r="H526" s="32" t="s">
        <v>21</v>
      </c>
      <c r="I526" s="32" t="s">
        <v>491</v>
      </c>
      <c r="J526" s="32" t="s">
        <v>152</v>
      </c>
      <c r="K526" s="32" t="s">
        <v>63</v>
      </c>
    </row>
    <row r="527" customFormat="false" ht="13.5" hidden="false" customHeight="true" outlineLevel="0" collapsed="false">
      <c r="A527" s="32" t="n">
        <v>2389</v>
      </c>
      <c r="B527" s="32" t="s">
        <v>568</v>
      </c>
      <c r="C527" s="32" t="s">
        <v>569</v>
      </c>
      <c r="D527" s="32" t="s">
        <v>59</v>
      </c>
      <c r="E527" s="32" t="s">
        <v>79</v>
      </c>
      <c r="F527" s="32" t="n">
        <v>9886759791</v>
      </c>
      <c r="G527" s="32" t="s">
        <v>61</v>
      </c>
      <c r="H527" s="32" t="s">
        <v>21</v>
      </c>
      <c r="I527" s="32" t="s">
        <v>133</v>
      </c>
      <c r="J527" s="32" t="s">
        <v>134</v>
      </c>
      <c r="K527" s="32" t="s">
        <v>63</v>
      </c>
    </row>
    <row r="528" customFormat="false" ht="13.5" hidden="false" customHeight="true" outlineLevel="0" collapsed="false">
      <c r="A528" s="32" t="n">
        <v>2390</v>
      </c>
      <c r="B528" s="32" t="s">
        <v>568</v>
      </c>
      <c r="C528" s="32" t="s">
        <v>569</v>
      </c>
      <c r="D528" s="32" t="s">
        <v>59</v>
      </c>
      <c r="E528" s="32" t="s">
        <v>79</v>
      </c>
      <c r="F528" s="32" t="n">
        <v>9886759791</v>
      </c>
      <c r="G528" s="32" t="s">
        <v>61</v>
      </c>
      <c r="H528" s="32" t="s">
        <v>21</v>
      </c>
      <c r="I528" s="32" t="s">
        <v>126</v>
      </c>
      <c r="J528" s="32" t="s">
        <v>85</v>
      </c>
      <c r="K528" s="32" t="s">
        <v>63</v>
      </c>
    </row>
    <row r="529" customFormat="false" ht="13.5" hidden="false" customHeight="true" outlineLevel="0" collapsed="false">
      <c r="A529" s="32" t="n">
        <v>2391</v>
      </c>
      <c r="B529" s="32" t="s">
        <v>571</v>
      </c>
      <c r="C529" s="32" t="s">
        <v>572</v>
      </c>
      <c r="D529" s="32" t="s">
        <v>59</v>
      </c>
      <c r="E529" s="32" t="s">
        <v>60</v>
      </c>
      <c r="F529" s="32" t="n">
        <v>8527468878</v>
      </c>
      <c r="G529" s="32" t="s">
        <v>61</v>
      </c>
      <c r="H529" s="32" t="s">
        <v>21</v>
      </c>
      <c r="I529" s="32" t="s">
        <v>156</v>
      </c>
      <c r="J529" s="32" t="s">
        <v>62</v>
      </c>
      <c r="K529" s="32" t="s">
        <v>63</v>
      </c>
    </row>
    <row r="530" customFormat="false" ht="13.5" hidden="false" customHeight="true" outlineLevel="0" collapsed="false">
      <c r="A530" s="32" t="n">
        <v>2392</v>
      </c>
      <c r="B530" s="32" t="s">
        <v>571</v>
      </c>
      <c r="C530" s="32" t="s">
        <v>572</v>
      </c>
      <c r="D530" s="32" t="s">
        <v>59</v>
      </c>
      <c r="E530" s="32" t="s">
        <v>60</v>
      </c>
      <c r="F530" s="32" t="n">
        <v>8527468878</v>
      </c>
      <c r="G530" s="32" t="s">
        <v>61</v>
      </c>
      <c r="H530" s="32" t="s">
        <v>21</v>
      </c>
      <c r="I530" s="32" t="s">
        <v>29</v>
      </c>
      <c r="J530" s="32" t="s">
        <v>62</v>
      </c>
      <c r="K530" s="32" t="s">
        <v>63</v>
      </c>
    </row>
    <row r="531" customFormat="false" ht="13.5" hidden="false" customHeight="true" outlineLevel="0" collapsed="false">
      <c r="A531" s="32" t="n">
        <v>2393</v>
      </c>
      <c r="B531" s="32" t="s">
        <v>571</v>
      </c>
      <c r="C531" s="32" t="s">
        <v>572</v>
      </c>
      <c r="D531" s="32" t="s">
        <v>59</v>
      </c>
      <c r="E531" s="32" t="s">
        <v>60</v>
      </c>
      <c r="F531" s="32" t="n">
        <v>8527468878</v>
      </c>
      <c r="G531" s="32" t="s">
        <v>61</v>
      </c>
      <c r="H531" s="32" t="s">
        <v>21</v>
      </c>
      <c r="I531" s="32" t="s">
        <v>14</v>
      </c>
      <c r="J531" s="32" t="s">
        <v>66</v>
      </c>
      <c r="K531" s="32" t="s">
        <v>63</v>
      </c>
    </row>
    <row r="532" customFormat="false" ht="13.5" hidden="false" customHeight="true" outlineLevel="0" collapsed="false">
      <c r="A532" s="32" t="n">
        <v>2395</v>
      </c>
      <c r="B532" s="32" t="s">
        <v>573</v>
      </c>
      <c r="C532" s="32" t="s">
        <v>574</v>
      </c>
      <c r="D532" s="32" t="s">
        <v>114</v>
      </c>
      <c r="E532" s="32" t="s">
        <v>115</v>
      </c>
      <c r="F532" s="32" t="n">
        <v>8709181471</v>
      </c>
      <c r="G532" s="32" t="s">
        <v>61</v>
      </c>
      <c r="H532" s="32" t="s">
        <v>22</v>
      </c>
      <c r="I532" s="32" t="s">
        <v>217</v>
      </c>
      <c r="J532" s="32" t="s">
        <v>132</v>
      </c>
      <c r="K532" s="32" t="s">
        <v>63</v>
      </c>
    </row>
    <row r="533" customFormat="false" ht="13.5" hidden="false" customHeight="true" outlineLevel="0" collapsed="false">
      <c r="A533" s="32" t="n">
        <v>2396</v>
      </c>
      <c r="B533" s="32" t="s">
        <v>573</v>
      </c>
      <c r="C533" s="32" t="s">
        <v>574</v>
      </c>
      <c r="D533" s="32" t="s">
        <v>114</v>
      </c>
      <c r="E533" s="32" t="s">
        <v>115</v>
      </c>
      <c r="F533" s="32" t="n">
        <v>8709181471</v>
      </c>
      <c r="G533" s="32" t="s">
        <v>61</v>
      </c>
      <c r="H533" s="32" t="s">
        <v>22</v>
      </c>
      <c r="I533" s="32" t="s">
        <v>386</v>
      </c>
      <c r="J533" s="32" t="s">
        <v>132</v>
      </c>
      <c r="K533" s="32" t="s">
        <v>63</v>
      </c>
    </row>
    <row r="534" customFormat="false" ht="13.5" hidden="false" customHeight="true" outlineLevel="0" collapsed="false">
      <c r="A534" s="32" t="n">
        <v>2397</v>
      </c>
      <c r="B534" s="32" t="s">
        <v>573</v>
      </c>
      <c r="C534" s="32" t="s">
        <v>574</v>
      </c>
      <c r="D534" s="32" t="s">
        <v>114</v>
      </c>
      <c r="E534" s="32" t="s">
        <v>115</v>
      </c>
      <c r="F534" s="32" t="n">
        <v>8709181471</v>
      </c>
      <c r="G534" s="32" t="s">
        <v>61</v>
      </c>
      <c r="H534" s="32" t="s">
        <v>22</v>
      </c>
      <c r="I534" s="32" t="s">
        <v>215</v>
      </c>
      <c r="J534" s="32" t="s">
        <v>132</v>
      </c>
      <c r="K534" s="32" t="s">
        <v>63</v>
      </c>
    </row>
    <row r="535" customFormat="false" ht="13.5" hidden="false" customHeight="true" outlineLevel="0" collapsed="false">
      <c r="A535" s="32" t="n">
        <v>2398</v>
      </c>
      <c r="B535" s="32" t="s">
        <v>575</v>
      </c>
      <c r="C535" s="32" t="s">
        <v>576</v>
      </c>
      <c r="D535" s="32" t="s">
        <v>59</v>
      </c>
      <c r="E535" s="32" t="n">
        <v>0</v>
      </c>
      <c r="F535" s="32" t="n">
        <v>9899845121</v>
      </c>
      <c r="G535" s="32" t="s">
        <v>144</v>
      </c>
      <c r="H535" s="32" t="s">
        <v>21</v>
      </c>
      <c r="I535" s="32" t="s">
        <v>251</v>
      </c>
      <c r="J535" s="32" t="s">
        <v>152</v>
      </c>
      <c r="K535" s="32" t="s">
        <v>63</v>
      </c>
    </row>
    <row r="536" customFormat="false" ht="13.5" hidden="false" customHeight="true" outlineLevel="0" collapsed="false">
      <c r="A536" s="32" t="n">
        <v>2399</v>
      </c>
      <c r="B536" s="32" t="s">
        <v>575</v>
      </c>
      <c r="C536" s="32" t="s">
        <v>576</v>
      </c>
      <c r="D536" s="32" t="s">
        <v>59</v>
      </c>
      <c r="E536" s="32" t="n">
        <v>0</v>
      </c>
      <c r="F536" s="32" t="n">
        <v>9899845121</v>
      </c>
      <c r="G536" s="32" t="s">
        <v>144</v>
      </c>
      <c r="H536" s="32" t="s">
        <v>21</v>
      </c>
      <c r="I536" s="32" t="s">
        <v>172</v>
      </c>
      <c r="J536" s="32" t="s">
        <v>152</v>
      </c>
      <c r="K536" s="32" t="s">
        <v>63</v>
      </c>
    </row>
    <row r="537" customFormat="false" ht="13.5" hidden="false" customHeight="true" outlineLevel="0" collapsed="false">
      <c r="A537" s="32" t="n">
        <v>2400</v>
      </c>
      <c r="B537" s="32" t="s">
        <v>577</v>
      </c>
      <c r="C537" s="32" t="s">
        <v>578</v>
      </c>
      <c r="D537" s="32" t="s">
        <v>114</v>
      </c>
      <c r="E537" s="32" t="s">
        <v>115</v>
      </c>
      <c r="F537" s="32" t="n">
        <v>9663804866</v>
      </c>
      <c r="G537" s="32" t="s">
        <v>144</v>
      </c>
      <c r="H537" s="32" t="s">
        <v>22</v>
      </c>
      <c r="I537" s="32" t="s">
        <v>85</v>
      </c>
      <c r="J537" s="32" t="s">
        <v>85</v>
      </c>
      <c r="K537" s="32" t="s">
        <v>63</v>
      </c>
    </row>
    <row r="538" customFormat="false" ht="13.5" hidden="false" customHeight="true" outlineLevel="0" collapsed="false">
      <c r="A538" s="32" t="n">
        <v>2401</v>
      </c>
      <c r="B538" s="32" t="s">
        <v>577</v>
      </c>
      <c r="C538" s="32" t="s">
        <v>578</v>
      </c>
      <c r="D538" s="32" t="s">
        <v>114</v>
      </c>
      <c r="E538" s="32" t="s">
        <v>115</v>
      </c>
      <c r="F538" s="32" t="n">
        <v>9663804866</v>
      </c>
      <c r="G538" s="32" t="s">
        <v>144</v>
      </c>
      <c r="H538" s="32" t="s">
        <v>22</v>
      </c>
      <c r="I538" s="32" t="s">
        <v>145</v>
      </c>
      <c r="J538" s="32" t="s">
        <v>117</v>
      </c>
      <c r="K538" s="32" t="s">
        <v>63</v>
      </c>
    </row>
    <row r="539" customFormat="false" ht="13.5" hidden="false" customHeight="true" outlineLevel="0" collapsed="false">
      <c r="A539" s="32" t="n">
        <v>2402</v>
      </c>
      <c r="B539" s="32" t="s">
        <v>577</v>
      </c>
      <c r="C539" s="32" t="s">
        <v>578</v>
      </c>
      <c r="D539" s="32" t="s">
        <v>114</v>
      </c>
      <c r="E539" s="32" t="s">
        <v>115</v>
      </c>
      <c r="F539" s="32" t="n">
        <v>9663804866</v>
      </c>
      <c r="G539" s="32" t="s">
        <v>144</v>
      </c>
      <c r="H539" s="32" t="s">
        <v>22</v>
      </c>
      <c r="I539" s="32" t="s">
        <v>408</v>
      </c>
      <c r="J539" s="32" t="s">
        <v>117</v>
      </c>
      <c r="K539" s="32" t="s">
        <v>63</v>
      </c>
    </row>
    <row r="540" customFormat="false" ht="13.5" hidden="false" customHeight="true" outlineLevel="0" collapsed="false">
      <c r="A540" s="32" t="n">
        <v>2404</v>
      </c>
      <c r="B540" s="32" t="s">
        <v>577</v>
      </c>
      <c r="C540" s="32" t="s">
        <v>578</v>
      </c>
      <c r="D540" s="32" t="s">
        <v>114</v>
      </c>
      <c r="E540" s="32" t="s">
        <v>115</v>
      </c>
      <c r="F540" s="32" t="n">
        <v>9663804866</v>
      </c>
      <c r="G540" s="32" t="s">
        <v>144</v>
      </c>
      <c r="H540" s="32" t="s">
        <v>22</v>
      </c>
      <c r="I540" s="32" t="s">
        <v>93</v>
      </c>
      <c r="J540" s="32" t="s">
        <v>85</v>
      </c>
      <c r="K540" s="32" t="s">
        <v>63</v>
      </c>
    </row>
    <row r="541" customFormat="false" ht="13.5" hidden="false" customHeight="true" outlineLevel="0" collapsed="false">
      <c r="A541" s="32" t="n">
        <v>2405</v>
      </c>
      <c r="B541" s="32" t="s">
        <v>579</v>
      </c>
      <c r="C541" s="32" t="s">
        <v>580</v>
      </c>
      <c r="D541" s="32" t="s">
        <v>59</v>
      </c>
      <c r="E541" s="32" t="s">
        <v>107</v>
      </c>
      <c r="F541" s="32" t="n">
        <v>9916449595</v>
      </c>
      <c r="G541" s="32" t="s">
        <v>61</v>
      </c>
      <c r="H541" s="32" t="s">
        <v>21</v>
      </c>
      <c r="I541" s="32" t="s">
        <v>133</v>
      </c>
      <c r="J541" s="32" t="s">
        <v>134</v>
      </c>
      <c r="K541" s="32" t="s">
        <v>63</v>
      </c>
    </row>
    <row r="542" customFormat="false" ht="13.5" hidden="false" customHeight="true" outlineLevel="0" collapsed="false">
      <c r="A542" s="32" t="n">
        <v>2406</v>
      </c>
      <c r="B542" s="32" t="s">
        <v>579</v>
      </c>
      <c r="C542" s="32" t="s">
        <v>580</v>
      </c>
      <c r="D542" s="32" t="s">
        <v>59</v>
      </c>
      <c r="E542" s="32" t="s">
        <v>107</v>
      </c>
      <c r="F542" s="32" t="n">
        <v>9916449595</v>
      </c>
      <c r="G542" s="32" t="s">
        <v>61</v>
      </c>
      <c r="H542" s="32" t="s">
        <v>21</v>
      </c>
      <c r="I542" s="32" t="s">
        <v>126</v>
      </c>
      <c r="J542" s="32" t="s">
        <v>85</v>
      </c>
      <c r="K542" s="32" t="s">
        <v>63</v>
      </c>
    </row>
    <row r="543" customFormat="false" ht="13.5" hidden="false" customHeight="true" outlineLevel="0" collapsed="false">
      <c r="A543" s="32" t="n">
        <v>2407</v>
      </c>
      <c r="B543" s="32" t="s">
        <v>581</v>
      </c>
      <c r="C543" s="32" t="s">
        <v>582</v>
      </c>
      <c r="D543" s="32" t="s">
        <v>114</v>
      </c>
      <c r="E543" s="32" t="s">
        <v>268</v>
      </c>
      <c r="F543" s="32" t="n">
        <v>8374755420</v>
      </c>
      <c r="G543" s="32" t="s">
        <v>80</v>
      </c>
      <c r="H543" s="32" t="s">
        <v>22</v>
      </c>
      <c r="I543" s="32" t="s">
        <v>108</v>
      </c>
      <c r="J543" s="32" t="s">
        <v>71</v>
      </c>
      <c r="K543" s="32" t="s">
        <v>63</v>
      </c>
    </row>
    <row r="544" customFormat="false" ht="13.5" hidden="false" customHeight="true" outlineLevel="0" collapsed="false">
      <c r="A544" s="32" t="n">
        <v>2408</v>
      </c>
      <c r="B544" s="32" t="s">
        <v>581</v>
      </c>
      <c r="C544" s="32" t="s">
        <v>582</v>
      </c>
      <c r="D544" s="32" t="s">
        <v>114</v>
      </c>
      <c r="E544" s="32" t="s">
        <v>268</v>
      </c>
      <c r="F544" s="32" t="n">
        <v>8374755420</v>
      </c>
      <c r="G544" s="32" t="s">
        <v>80</v>
      </c>
      <c r="H544" s="32" t="s">
        <v>22</v>
      </c>
      <c r="I544" s="32" t="s">
        <v>109</v>
      </c>
      <c r="J544" s="32" t="s">
        <v>110</v>
      </c>
      <c r="K544" s="32" t="s">
        <v>63</v>
      </c>
    </row>
    <row r="545" customFormat="false" ht="13.5" hidden="false" customHeight="true" outlineLevel="0" collapsed="false">
      <c r="A545" s="32" t="n">
        <v>2409</v>
      </c>
      <c r="B545" s="32" t="s">
        <v>581</v>
      </c>
      <c r="C545" s="32" t="s">
        <v>582</v>
      </c>
      <c r="D545" s="32" t="s">
        <v>114</v>
      </c>
      <c r="E545" s="32" t="s">
        <v>268</v>
      </c>
      <c r="F545" s="32" t="n">
        <v>8374755420</v>
      </c>
      <c r="G545" s="32" t="s">
        <v>80</v>
      </c>
      <c r="H545" s="32" t="s">
        <v>22</v>
      </c>
      <c r="I545" s="32" t="s">
        <v>121</v>
      </c>
      <c r="J545" s="32" t="s">
        <v>110</v>
      </c>
      <c r="K545" s="32" t="s">
        <v>63</v>
      </c>
    </row>
    <row r="546" customFormat="false" ht="13.5" hidden="false" customHeight="true" outlineLevel="0" collapsed="false">
      <c r="A546" s="32" t="n">
        <v>2410</v>
      </c>
      <c r="B546" s="32" t="s">
        <v>581</v>
      </c>
      <c r="C546" s="32" t="s">
        <v>582</v>
      </c>
      <c r="D546" s="32" t="s">
        <v>114</v>
      </c>
      <c r="E546" s="32" t="s">
        <v>268</v>
      </c>
      <c r="F546" s="32" t="n">
        <v>8374755420</v>
      </c>
      <c r="G546" s="32" t="s">
        <v>80</v>
      </c>
      <c r="H546" s="32" t="s">
        <v>22</v>
      </c>
      <c r="I546" s="32" t="s">
        <v>145</v>
      </c>
      <c r="J546" s="32" t="s">
        <v>117</v>
      </c>
      <c r="K546" s="32" t="s">
        <v>63</v>
      </c>
    </row>
    <row r="547" customFormat="false" ht="13.5" hidden="false" customHeight="true" outlineLevel="0" collapsed="false">
      <c r="A547" s="32" t="n">
        <v>2411</v>
      </c>
      <c r="B547" s="32" t="s">
        <v>583</v>
      </c>
      <c r="C547" s="32" t="s">
        <v>584</v>
      </c>
      <c r="D547" s="32" t="s">
        <v>114</v>
      </c>
      <c r="E547" s="32" t="s">
        <v>268</v>
      </c>
      <c r="F547" s="33" t="n">
        <v>919620000000</v>
      </c>
      <c r="G547" s="32" t="s">
        <v>61</v>
      </c>
      <c r="H547" s="32" t="s">
        <v>22</v>
      </c>
      <c r="I547" s="32" t="s">
        <v>14</v>
      </c>
      <c r="J547" s="32" t="s">
        <v>66</v>
      </c>
      <c r="K547" s="32" t="s">
        <v>63</v>
      </c>
    </row>
    <row r="548" customFormat="false" ht="13.5" hidden="false" customHeight="true" outlineLevel="0" collapsed="false">
      <c r="A548" s="32" t="n">
        <v>2412</v>
      </c>
      <c r="B548" s="32" t="s">
        <v>585</v>
      </c>
      <c r="C548" s="32" t="s">
        <v>586</v>
      </c>
      <c r="D548" s="32" t="s">
        <v>59</v>
      </c>
      <c r="E548" s="32" t="s">
        <v>587</v>
      </c>
      <c r="F548" s="32" t="n">
        <v>9994101299</v>
      </c>
      <c r="G548" s="32" t="s">
        <v>61</v>
      </c>
      <c r="H548" s="32" t="s">
        <v>21</v>
      </c>
      <c r="I548" s="32" t="s">
        <v>95</v>
      </c>
      <c r="J548" s="32" t="s">
        <v>96</v>
      </c>
      <c r="K548" s="32" t="s">
        <v>63</v>
      </c>
    </row>
    <row r="549" customFormat="false" ht="13.5" hidden="false" customHeight="true" outlineLevel="0" collapsed="false">
      <c r="A549" s="32" t="n">
        <v>2413</v>
      </c>
      <c r="B549" s="32" t="s">
        <v>588</v>
      </c>
      <c r="C549" s="32" t="s">
        <v>589</v>
      </c>
      <c r="D549" s="32" t="s">
        <v>114</v>
      </c>
      <c r="E549" s="32" t="s">
        <v>165</v>
      </c>
      <c r="F549" s="33" t="n">
        <v>919560000000</v>
      </c>
      <c r="G549" s="32" t="s">
        <v>144</v>
      </c>
      <c r="H549" s="32" t="s">
        <v>22</v>
      </c>
      <c r="I549" s="32" t="s">
        <v>231</v>
      </c>
      <c r="J549" s="32" t="s">
        <v>228</v>
      </c>
      <c r="K549" s="32" t="s">
        <v>63</v>
      </c>
    </row>
    <row r="550" customFormat="false" ht="13.5" hidden="false" customHeight="true" outlineLevel="0" collapsed="false">
      <c r="A550" s="32" t="n">
        <v>2414</v>
      </c>
      <c r="B550" s="32" t="s">
        <v>590</v>
      </c>
      <c r="C550" s="32" t="s">
        <v>591</v>
      </c>
      <c r="D550" s="32" t="s">
        <v>114</v>
      </c>
      <c r="E550" s="32" t="s">
        <v>115</v>
      </c>
      <c r="F550" s="33" t="n">
        <v>919830000000</v>
      </c>
      <c r="G550" s="32" t="s">
        <v>144</v>
      </c>
      <c r="H550" s="32" t="s">
        <v>22</v>
      </c>
      <c r="I550" s="32" t="s">
        <v>16</v>
      </c>
      <c r="J550" s="32" t="s">
        <v>73</v>
      </c>
      <c r="K550" s="32" t="s">
        <v>63</v>
      </c>
    </row>
    <row r="551" customFormat="false" ht="13.5" hidden="false" customHeight="true" outlineLevel="0" collapsed="false">
      <c r="A551" s="32" t="n">
        <v>2415</v>
      </c>
      <c r="B551" s="32" t="s">
        <v>590</v>
      </c>
      <c r="C551" s="32" t="s">
        <v>591</v>
      </c>
      <c r="D551" s="32" t="s">
        <v>114</v>
      </c>
      <c r="E551" s="32" t="s">
        <v>115</v>
      </c>
      <c r="F551" s="33" t="n">
        <v>919830000000</v>
      </c>
      <c r="G551" s="32" t="s">
        <v>144</v>
      </c>
      <c r="H551" s="32" t="s">
        <v>22</v>
      </c>
      <c r="I551" s="32" t="s">
        <v>108</v>
      </c>
      <c r="J551" s="32" t="s">
        <v>71</v>
      </c>
      <c r="K551" s="32" t="s">
        <v>63</v>
      </c>
    </row>
    <row r="552" customFormat="false" ht="13.5" hidden="false" customHeight="true" outlineLevel="0" collapsed="false">
      <c r="A552" s="32" t="n">
        <v>2416</v>
      </c>
      <c r="B552" s="32" t="s">
        <v>592</v>
      </c>
      <c r="C552" s="32" t="s">
        <v>593</v>
      </c>
      <c r="D552" s="32" t="s">
        <v>114</v>
      </c>
      <c r="E552" s="32" t="s">
        <v>268</v>
      </c>
      <c r="F552" s="32" t="n">
        <v>9958453044</v>
      </c>
      <c r="G552" s="32" t="s">
        <v>144</v>
      </c>
      <c r="H552" s="32" t="s">
        <v>22</v>
      </c>
      <c r="I552" s="32" t="s">
        <v>421</v>
      </c>
      <c r="J552" s="32" t="s">
        <v>235</v>
      </c>
      <c r="K552" s="32" t="s">
        <v>63</v>
      </c>
    </row>
    <row r="553" customFormat="false" ht="13.5" hidden="false" customHeight="true" outlineLevel="0" collapsed="false">
      <c r="A553" s="32" t="n">
        <v>2417</v>
      </c>
      <c r="B553" s="32" t="s">
        <v>592</v>
      </c>
      <c r="C553" s="32" t="s">
        <v>593</v>
      </c>
      <c r="D553" s="32" t="s">
        <v>114</v>
      </c>
      <c r="E553" s="32" t="s">
        <v>268</v>
      </c>
      <c r="F553" s="32" t="n">
        <v>9958453044</v>
      </c>
      <c r="G553" s="32" t="s">
        <v>144</v>
      </c>
      <c r="H553" s="32" t="s">
        <v>22</v>
      </c>
      <c r="I553" s="32" t="s">
        <v>280</v>
      </c>
      <c r="J553" s="32" t="s">
        <v>76</v>
      </c>
      <c r="K553" s="32" t="s">
        <v>63</v>
      </c>
    </row>
    <row r="554" customFormat="false" ht="13.5" hidden="false" customHeight="true" outlineLevel="0" collapsed="false">
      <c r="A554" s="32" t="n">
        <v>2418</v>
      </c>
      <c r="B554" s="32" t="s">
        <v>592</v>
      </c>
      <c r="C554" s="32" t="s">
        <v>593</v>
      </c>
      <c r="D554" s="32" t="s">
        <v>114</v>
      </c>
      <c r="E554" s="32" t="s">
        <v>268</v>
      </c>
      <c r="F554" s="32" t="n">
        <v>9958453044</v>
      </c>
      <c r="G554" s="32" t="s">
        <v>144</v>
      </c>
      <c r="H554" s="32" t="s">
        <v>22</v>
      </c>
      <c r="I554" s="32" t="s">
        <v>333</v>
      </c>
      <c r="J554" s="32" t="s">
        <v>235</v>
      </c>
      <c r="K554" s="32" t="s">
        <v>63</v>
      </c>
    </row>
    <row r="555" customFormat="false" ht="13.5" hidden="false" customHeight="true" outlineLevel="0" collapsed="false">
      <c r="A555" s="32" t="n">
        <v>2419</v>
      </c>
      <c r="B555" s="32" t="s">
        <v>594</v>
      </c>
      <c r="C555" s="32" t="s">
        <v>595</v>
      </c>
      <c r="D555" s="32" t="s">
        <v>114</v>
      </c>
      <c r="E555" s="32" t="s">
        <v>115</v>
      </c>
      <c r="F555" s="32" t="n">
        <v>8247620878</v>
      </c>
      <c r="G555" s="32" t="s">
        <v>80</v>
      </c>
      <c r="H555" s="32" t="s">
        <v>22</v>
      </c>
      <c r="I555" s="32" t="s">
        <v>172</v>
      </c>
      <c r="J555" s="32" t="s">
        <v>152</v>
      </c>
      <c r="K555" s="32" t="s">
        <v>63</v>
      </c>
    </row>
    <row r="556" customFormat="false" ht="13.5" hidden="false" customHeight="true" outlineLevel="0" collapsed="false">
      <c r="A556" s="32" t="n">
        <v>2420</v>
      </c>
      <c r="B556" s="32" t="s">
        <v>596</v>
      </c>
      <c r="C556" s="32" t="s">
        <v>597</v>
      </c>
      <c r="D556" s="32" t="s">
        <v>59</v>
      </c>
      <c r="E556" s="32" t="s">
        <v>143</v>
      </c>
      <c r="F556" s="32" t="n">
        <v>8194893555</v>
      </c>
      <c r="G556" s="32" t="s">
        <v>144</v>
      </c>
      <c r="H556" s="32" t="s">
        <v>21</v>
      </c>
      <c r="I556" s="32" t="s">
        <v>93</v>
      </c>
      <c r="J556" s="32" t="s">
        <v>85</v>
      </c>
      <c r="K556" s="32" t="s">
        <v>63</v>
      </c>
    </row>
    <row r="557" customFormat="false" ht="13.5" hidden="false" customHeight="true" outlineLevel="0" collapsed="false">
      <c r="A557" s="32" t="n">
        <v>2421</v>
      </c>
      <c r="B557" s="32" t="s">
        <v>596</v>
      </c>
      <c r="C557" s="32" t="s">
        <v>598</v>
      </c>
      <c r="D557" s="32" t="s">
        <v>59</v>
      </c>
      <c r="E557" s="32" t="s">
        <v>143</v>
      </c>
      <c r="F557" s="32" t="n">
        <v>8194893555</v>
      </c>
      <c r="G557" s="32" t="s">
        <v>144</v>
      </c>
      <c r="H557" s="32" t="s">
        <v>21</v>
      </c>
      <c r="I557" s="32" t="s">
        <v>121</v>
      </c>
      <c r="J557" s="32" t="s">
        <v>110</v>
      </c>
      <c r="K557" s="32" t="s">
        <v>63</v>
      </c>
    </row>
    <row r="558" customFormat="false" ht="13.5" hidden="false" customHeight="true" outlineLevel="0" collapsed="false">
      <c r="A558" s="32" t="n">
        <v>2422</v>
      </c>
      <c r="B558" s="32" t="s">
        <v>599</v>
      </c>
      <c r="C558" s="32" t="s">
        <v>600</v>
      </c>
      <c r="D558" s="32" t="s">
        <v>114</v>
      </c>
      <c r="E558" s="32" t="s">
        <v>115</v>
      </c>
      <c r="F558" s="32" t="n">
        <v>9967470640</v>
      </c>
      <c r="G558" s="32" t="s">
        <v>69</v>
      </c>
      <c r="H558" s="32" t="s">
        <v>22</v>
      </c>
      <c r="I558" s="32" t="s">
        <v>28</v>
      </c>
      <c r="J558" s="32" t="s">
        <v>82</v>
      </c>
      <c r="K558" s="32" t="s">
        <v>63</v>
      </c>
    </row>
    <row r="559" customFormat="false" ht="13.5" hidden="false" customHeight="true" outlineLevel="0" collapsed="false">
      <c r="A559" s="32" t="n">
        <v>2424</v>
      </c>
      <c r="B559" s="32" t="s">
        <v>596</v>
      </c>
      <c r="C559" s="32" t="s">
        <v>598</v>
      </c>
      <c r="D559" s="32" t="s">
        <v>59</v>
      </c>
      <c r="E559" s="32" t="s">
        <v>143</v>
      </c>
      <c r="F559" s="32" t="n">
        <v>8194893555</v>
      </c>
      <c r="G559" s="32" t="s">
        <v>144</v>
      </c>
      <c r="H559" s="32" t="s">
        <v>21</v>
      </c>
      <c r="I559" s="32" t="s">
        <v>549</v>
      </c>
      <c r="J559" s="32" t="s">
        <v>110</v>
      </c>
      <c r="K559" s="32" t="s">
        <v>63</v>
      </c>
    </row>
    <row r="560" customFormat="false" ht="13.5" hidden="false" customHeight="true" outlineLevel="0" collapsed="false">
      <c r="A560" s="32" t="n">
        <v>2425</v>
      </c>
      <c r="B560" s="32" t="s">
        <v>596</v>
      </c>
      <c r="C560" s="32" t="s">
        <v>598</v>
      </c>
      <c r="D560" s="32" t="s">
        <v>59</v>
      </c>
      <c r="E560" s="32" t="s">
        <v>143</v>
      </c>
      <c r="F560" s="32" t="n">
        <v>8194893555</v>
      </c>
      <c r="G560" s="32" t="s">
        <v>144</v>
      </c>
      <c r="H560" s="32" t="s">
        <v>21</v>
      </c>
      <c r="I560" s="32" t="s">
        <v>133</v>
      </c>
      <c r="J560" s="32" t="s">
        <v>134</v>
      </c>
      <c r="K560" s="32" t="s">
        <v>63</v>
      </c>
    </row>
    <row r="561" customFormat="false" ht="13.5" hidden="false" customHeight="true" outlineLevel="0" collapsed="false">
      <c r="A561" s="32" t="n">
        <v>2426</v>
      </c>
      <c r="B561" s="32" t="s">
        <v>601</v>
      </c>
      <c r="C561" s="32" t="s">
        <v>602</v>
      </c>
      <c r="D561" s="32" t="s">
        <v>114</v>
      </c>
      <c r="E561" s="32" t="s">
        <v>115</v>
      </c>
      <c r="F561" s="32" t="n">
        <v>7799480786</v>
      </c>
      <c r="G561" s="32" t="s">
        <v>80</v>
      </c>
      <c r="H561" s="32" t="s">
        <v>22</v>
      </c>
      <c r="I561" s="32" t="s">
        <v>95</v>
      </c>
      <c r="J561" s="32" t="s">
        <v>96</v>
      </c>
      <c r="K561" s="32" t="s">
        <v>63</v>
      </c>
    </row>
    <row r="562" customFormat="false" ht="13.5" hidden="false" customHeight="true" outlineLevel="0" collapsed="false">
      <c r="A562" s="32" t="n">
        <v>2427</v>
      </c>
      <c r="B562" s="32" t="s">
        <v>601</v>
      </c>
      <c r="C562" s="32" t="s">
        <v>602</v>
      </c>
      <c r="D562" s="32" t="s">
        <v>114</v>
      </c>
      <c r="E562" s="32" t="s">
        <v>115</v>
      </c>
      <c r="F562" s="32" t="n">
        <v>7799480786</v>
      </c>
      <c r="G562" s="32" t="s">
        <v>80</v>
      </c>
      <c r="H562" s="32" t="s">
        <v>22</v>
      </c>
      <c r="I562" s="32" t="s">
        <v>145</v>
      </c>
      <c r="J562" s="32" t="s">
        <v>117</v>
      </c>
      <c r="K562" s="32" t="s">
        <v>63</v>
      </c>
    </row>
    <row r="563" customFormat="false" ht="13.5" hidden="false" customHeight="true" outlineLevel="0" collapsed="false">
      <c r="A563" s="32" t="n">
        <v>2428</v>
      </c>
      <c r="B563" s="32" t="s">
        <v>601</v>
      </c>
      <c r="C563" s="32" t="s">
        <v>602</v>
      </c>
      <c r="D563" s="32" t="s">
        <v>114</v>
      </c>
      <c r="E563" s="32" t="s">
        <v>115</v>
      </c>
      <c r="F563" s="32" t="n">
        <v>7799480786</v>
      </c>
      <c r="G563" s="32" t="s">
        <v>80</v>
      </c>
      <c r="H563" s="32" t="s">
        <v>22</v>
      </c>
      <c r="I563" s="32" t="s">
        <v>126</v>
      </c>
      <c r="J563" s="32" t="s">
        <v>85</v>
      </c>
      <c r="K563" s="32" t="s">
        <v>63</v>
      </c>
    </row>
    <row r="564" customFormat="false" ht="13.5" hidden="false" customHeight="true" outlineLevel="0" collapsed="false">
      <c r="A564" s="32" t="n">
        <v>2429</v>
      </c>
      <c r="B564" s="32" t="s">
        <v>601</v>
      </c>
      <c r="C564" s="32" t="s">
        <v>602</v>
      </c>
      <c r="D564" s="32" t="s">
        <v>114</v>
      </c>
      <c r="E564" s="32" t="s">
        <v>115</v>
      </c>
      <c r="F564" s="32" t="n">
        <v>7799480786</v>
      </c>
      <c r="G564" s="32" t="s">
        <v>80</v>
      </c>
      <c r="H564" s="32" t="s">
        <v>22</v>
      </c>
      <c r="I564" s="32" t="s">
        <v>93</v>
      </c>
      <c r="J564" s="32" t="s">
        <v>85</v>
      </c>
      <c r="K564" s="32" t="s">
        <v>63</v>
      </c>
    </row>
    <row r="565" customFormat="false" ht="13.5" hidden="false" customHeight="true" outlineLevel="0" collapsed="false">
      <c r="A565" s="32" t="n">
        <v>2430</v>
      </c>
      <c r="B565" s="32" t="s">
        <v>601</v>
      </c>
      <c r="C565" s="32" t="s">
        <v>603</v>
      </c>
      <c r="D565" s="32" t="s">
        <v>114</v>
      </c>
      <c r="E565" s="32" t="s">
        <v>115</v>
      </c>
      <c r="F565" s="32" t="n">
        <v>7799480786</v>
      </c>
      <c r="G565" s="32" t="s">
        <v>80</v>
      </c>
      <c r="H565" s="32" t="s">
        <v>22</v>
      </c>
      <c r="I565" s="32" t="s">
        <v>227</v>
      </c>
      <c r="J565" s="32" t="s">
        <v>228</v>
      </c>
      <c r="K565" s="32" t="s">
        <v>63</v>
      </c>
    </row>
    <row r="566" customFormat="false" ht="13.5" hidden="false" customHeight="true" outlineLevel="0" collapsed="false">
      <c r="A566" s="32" t="n">
        <v>2431</v>
      </c>
      <c r="B566" s="32" t="s">
        <v>601</v>
      </c>
      <c r="C566" s="32" t="s">
        <v>603</v>
      </c>
      <c r="D566" s="32" t="s">
        <v>114</v>
      </c>
      <c r="E566" s="32" t="s">
        <v>115</v>
      </c>
      <c r="F566" s="32" t="n">
        <v>7799480786</v>
      </c>
      <c r="G566" s="32" t="s">
        <v>80</v>
      </c>
      <c r="H566" s="32" t="s">
        <v>22</v>
      </c>
      <c r="I566" s="32" t="s">
        <v>398</v>
      </c>
      <c r="J566" s="32" t="s">
        <v>110</v>
      </c>
      <c r="K566" s="32" t="s">
        <v>63</v>
      </c>
    </row>
    <row r="567" customFormat="false" ht="13.5" hidden="false" customHeight="true" outlineLevel="0" collapsed="false">
      <c r="A567" s="32" t="n">
        <v>2432</v>
      </c>
      <c r="B567" s="32" t="s">
        <v>604</v>
      </c>
      <c r="C567" s="32" t="s">
        <v>605</v>
      </c>
      <c r="D567" s="32" t="s">
        <v>59</v>
      </c>
      <c r="E567" s="32" t="s">
        <v>107</v>
      </c>
      <c r="F567" s="32" t="n">
        <v>9743399590</v>
      </c>
      <c r="G567" s="32" t="s">
        <v>61</v>
      </c>
      <c r="H567" s="32" t="s">
        <v>21</v>
      </c>
      <c r="I567" s="32" t="s">
        <v>121</v>
      </c>
      <c r="J567" s="32" t="s">
        <v>110</v>
      </c>
      <c r="K567" s="32" t="s">
        <v>63</v>
      </c>
    </row>
    <row r="568" customFormat="false" ht="13.5" hidden="false" customHeight="true" outlineLevel="0" collapsed="false">
      <c r="A568" s="32" t="n">
        <v>2433</v>
      </c>
      <c r="B568" s="32" t="s">
        <v>604</v>
      </c>
      <c r="C568" s="32" t="s">
        <v>605</v>
      </c>
      <c r="D568" s="32" t="s">
        <v>59</v>
      </c>
      <c r="E568" s="32" t="s">
        <v>107</v>
      </c>
      <c r="F568" s="32" t="n">
        <v>9743399590</v>
      </c>
      <c r="G568" s="32" t="s">
        <v>61</v>
      </c>
      <c r="H568" s="32" t="s">
        <v>21</v>
      </c>
      <c r="I568" s="32" t="s">
        <v>145</v>
      </c>
      <c r="J568" s="32" t="s">
        <v>117</v>
      </c>
      <c r="K568" s="32" t="s">
        <v>63</v>
      </c>
    </row>
    <row r="569" customFormat="false" ht="13.5" hidden="false" customHeight="true" outlineLevel="0" collapsed="false">
      <c r="A569" s="32" t="n">
        <v>2434</v>
      </c>
      <c r="B569" s="32" t="s">
        <v>604</v>
      </c>
      <c r="C569" s="32" t="s">
        <v>605</v>
      </c>
      <c r="D569" s="32" t="s">
        <v>59</v>
      </c>
      <c r="E569" s="32" t="s">
        <v>107</v>
      </c>
      <c r="F569" s="32" t="n">
        <v>9743399590</v>
      </c>
      <c r="G569" s="32" t="s">
        <v>61</v>
      </c>
      <c r="H569" s="32" t="s">
        <v>21</v>
      </c>
      <c r="I569" s="32" t="s">
        <v>133</v>
      </c>
      <c r="J569" s="32" t="s">
        <v>134</v>
      </c>
      <c r="K569" s="32" t="s">
        <v>63</v>
      </c>
    </row>
    <row r="570" customFormat="false" ht="13.5" hidden="false" customHeight="true" outlineLevel="0" collapsed="false">
      <c r="A570" s="32" t="n">
        <v>2435</v>
      </c>
      <c r="B570" s="32" t="s">
        <v>606</v>
      </c>
      <c r="C570" s="32" t="s">
        <v>607</v>
      </c>
      <c r="D570" s="32" t="s">
        <v>59</v>
      </c>
      <c r="E570" s="32" t="s">
        <v>60</v>
      </c>
      <c r="F570" s="32" t="n">
        <v>0</v>
      </c>
      <c r="G570" s="32" t="s">
        <v>140</v>
      </c>
      <c r="H570" s="32" t="s">
        <v>21</v>
      </c>
      <c r="I570" s="32" t="s">
        <v>421</v>
      </c>
      <c r="J570" s="32" t="s">
        <v>235</v>
      </c>
      <c r="K570" s="32" t="s">
        <v>63</v>
      </c>
    </row>
    <row r="571" customFormat="false" ht="13.5" hidden="false" customHeight="true" outlineLevel="0" collapsed="false">
      <c r="A571" s="32" t="n">
        <v>2437</v>
      </c>
      <c r="B571" s="32" t="s">
        <v>606</v>
      </c>
      <c r="C571" s="32" t="s">
        <v>607</v>
      </c>
      <c r="D571" s="32" t="s">
        <v>59</v>
      </c>
      <c r="E571" s="32" t="s">
        <v>60</v>
      </c>
      <c r="F571" s="32" t="n">
        <v>0</v>
      </c>
      <c r="G571" s="32" t="s">
        <v>140</v>
      </c>
      <c r="H571" s="32" t="s">
        <v>21</v>
      </c>
      <c r="I571" s="32" t="s">
        <v>333</v>
      </c>
      <c r="J571" s="32" t="s">
        <v>235</v>
      </c>
      <c r="K571" s="32" t="s">
        <v>63</v>
      </c>
    </row>
    <row r="572" customFormat="false" ht="13.5" hidden="false" customHeight="true" outlineLevel="0" collapsed="false">
      <c r="A572" s="32" t="n">
        <v>2438</v>
      </c>
      <c r="B572" s="32" t="s">
        <v>608</v>
      </c>
      <c r="C572" s="32" t="s">
        <v>609</v>
      </c>
      <c r="D572" s="32" t="s">
        <v>59</v>
      </c>
      <c r="E572" s="32" t="s">
        <v>143</v>
      </c>
      <c r="F572" s="32" t="n">
        <v>7749994792</v>
      </c>
      <c r="G572" s="32" t="s">
        <v>140</v>
      </c>
      <c r="H572" s="32" t="s">
        <v>21</v>
      </c>
      <c r="I572" s="32" t="s">
        <v>401</v>
      </c>
      <c r="J572" s="32" t="s">
        <v>82</v>
      </c>
      <c r="K572" s="32" t="s">
        <v>63</v>
      </c>
    </row>
    <row r="573" customFormat="false" ht="13.5" hidden="false" customHeight="true" outlineLevel="0" collapsed="false">
      <c r="A573" s="32" t="n">
        <v>2439</v>
      </c>
      <c r="B573" s="32" t="s">
        <v>608</v>
      </c>
      <c r="C573" s="32" t="s">
        <v>609</v>
      </c>
      <c r="D573" s="32" t="s">
        <v>59</v>
      </c>
      <c r="E573" s="32" t="s">
        <v>143</v>
      </c>
      <c r="F573" s="32" t="n">
        <v>7749994792</v>
      </c>
      <c r="G573" s="32" t="s">
        <v>80</v>
      </c>
      <c r="H573" s="32" t="s">
        <v>21</v>
      </c>
      <c r="I573" s="32" t="s">
        <v>28</v>
      </c>
      <c r="J573" s="32" t="s">
        <v>82</v>
      </c>
      <c r="K573" s="32" t="s">
        <v>63</v>
      </c>
    </row>
    <row r="574" customFormat="false" ht="13.5" hidden="false" customHeight="true" outlineLevel="0" collapsed="false">
      <c r="A574" s="32" t="n">
        <v>2443</v>
      </c>
      <c r="B574" s="32" t="s">
        <v>608</v>
      </c>
      <c r="C574" s="32" t="s">
        <v>609</v>
      </c>
      <c r="D574" s="32" t="s">
        <v>59</v>
      </c>
      <c r="E574" s="32" t="s">
        <v>143</v>
      </c>
      <c r="F574" s="32" t="n">
        <v>7749994792</v>
      </c>
      <c r="G574" s="32" t="s">
        <v>80</v>
      </c>
      <c r="H574" s="32" t="s">
        <v>21</v>
      </c>
      <c r="I574" s="32" t="s">
        <v>610</v>
      </c>
      <c r="J574" s="32" t="s">
        <v>82</v>
      </c>
      <c r="K574" s="32" t="s">
        <v>63</v>
      </c>
    </row>
    <row r="575" customFormat="false" ht="13.5" hidden="false" customHeight="true" outlineLevel="0" collapsed="false">
      <c r="A575" s="32" t="n">
        <v>2444</v>
      </c>
      <c r="B575" s="32" t="s">
        <v>611</v>
      </c>
      <c r="C575" s="32" t="s">
        <v>612</v>
      </c>
      <c r="D575" s="32" t="s">
        <v>59</v>
      </c>
      <c r="E575" s="32" t="s">
        <v>92</v>
      </c>
      <c r="F575" s="32" t="n">
        <v>9160200985</v>
      </c>
      <c r="G575" s="32" t="s">
        <v>61</v>
      </c>
      <c r="H575" s="32" t="s">
        <v>21</v>
      </c>
      <c r="I575" s="32" t="s">
        <v>131</v>
      </c>
      <c r="J575" s="32" t="s">
        <v>132</v>
      </c>
      <c r="K575" s="32" t="s">
        <v>63</v>
      </c>
    </row>
    <row r="576" customFormat="false" ht="13.5" hidden="false" customHeight="true" outlineLevel="0" collapsed="false">
      <c r="A576" s="32" t="n">
        <v>2445</v>
      </c>
      <c r="B576" s="32" t="s">
        <v>613</v>
      </c>
      <c r="C576" s="32" t="s">
        <v>614</v>
      </c>
      <c r="D576" s="32" t="s">
        <v>59</v>
      </c>
      <c r="E576" s="32" t="s">
        <v>107</v>
      </c>
      <c r="F576" s="32" t="n">
        <v>9000394018</v>
      </c>
      <c r="G576" s="32" t="s">
        <v>80</v>
      </c>
      <c r="H576" s="32" t="s">
        <v>21</v>
      </c>
      <c r="I576" s="32" t="s">
        <v>145</v>
      </c>
      <c r="J576" s="32" t="s">
        <v>117</v>
      </c>
      <c r="K576" s="32" t="s">
        <v>63</v>
      </c>
    </row>
    <row r="577" customFormat="false" ht="13.5" hidden="false" customHeight="true" outlineLevel="0" collapsed="false">
      <c r="A577" s="32" t="n">
        <v>2446</v>
      </c>
      <c r="B577" s="32" t="s">
        <v>613</v>
      </c>
      <c r="C577" s="32" t="s">
        <v>614</v>
      </c>
      <c r="D577" s="32" t="s">
        <v>59</v>
      </c>
      <c r="E577" s="32" t="s">
        <v>107</v>
      </c>
      <c r="F577" s="32" t="n">
        <v>9000394018</v>
      </c>
      <c r="G577" s="32" t="s">
        <v>80</v>
      </c>
      <c r="H577" s="32" t="s">
        <v>21</v>
      </c>
      <c r="I577" s="32" t="s">
        <v>93</v>
      </c>
      <c r="J577" s="32" t="s">
        <v>85</v>
      </c>
      <c r="K577" s="32" t="s">
        <v>63</v>
      </c>
    </row>
    <row r="578" customFormat="false" ht="13.5" hidden="false" customHeight="true" outlineLevel="0" collapsed="false">
      <c r="A578" s="32" t="n">
        <v>2447</v>
      </c>
      <c r="B578" s="32" t="s">
        <v>615</v>
      </c>
      <c r="C578" s="32" t="s">
        <v>616</v>
      </c>
      <c r="D578" s="32" t="s">
        <v>59</v>
      </c>
      <c r="E578" s="32" t="n">
        <v>0</v>
      </c>
      <c r="F578" s="32" t="n">
        <v>0</v>
      </c>
      <c r="G578" s="32" t="s">
        <v>80</v>
      </c>
      <c r="H578" s="32" t="s">
        <v>21</v>
      </c>
      <c r="I578" s="32" t="s">
        <v>386</v>
      </c>
      <c r="J578" s="32" t="s">
        <v>132</v>
      </c>
      <c r="K578" s="32" t="s">
        <v>63</v>
      </c>
    </row>
    <row r="579" customFormat="false" ht="13.5" hidden="false" customHeight="true" outlineLevel="0" collapsed="false">
      <c r="A579" s="32" t="n">
        <v>2448</v>
      </c>
      <c r="B579" s="32" t="s">
        <v>599</v>
      </c>
      <c r="C579" s="32" t="s">
        <v>617</v>
      </c>
      <c r="D579" s="32" t="s">
        <v>114</v>
      </c>
      <c r="E579" s="32" t="s">
        <v>115</v>
      </c>
      <c r="F579" s="33" t="n">
        <v>919967000000</v>
      </c>
      <c r="G579" s="32" t="s">
        <v>69</v>
      </c>
      <c r="H579" s="32" t="s">
        <v>22</v>
      </c>
      <c r="I579" s="32" t="s">
        <v>284</v>
      </c>
      <c r="J579" s="32" t="s">
        <v>117</v>
      </c>
      <c r="K579" s="32" t="s">
        <v>63</v>
      </c>
    </row>
    <row r="580" customFormat="false" ht="13.5" hidden="false" customHeight="true" outlineLevel="0" collapsed="false">
      <c r="A580" s="32" t="n">
        <v>2449</v>
      </c>
      <c r="B580" s="32" t="s">
        <v>599</v>
      </c>
      <c r="C580" s="32" t="s">
        <v>617</v>
      </c>
      <c r="D580" s="32" t="s">
        <v>114</v>
      </c>
      <c r="E580" s="32" t="s">
        <v>115</v>
      </c>
      <c r="F580" s="33" t="n">
        <v>919967000000</v>
      </c>
      <c r="G580" s="32" t="s">
        <v>69</v>
      </c>
      <c r="H580" s="32" t="s">
        <v>22</v>
      </c>
      <c r="I580" s="32" t="s">
        <v>371</v>
      </c>
      <c r="J580" s="32" t="s">
        <v>152</v>
      </c>
      <c r="K580" s="32" t="s">
        <v>63</v>
      </c>
    </row>
    <row r="581" customFormat="false" ht="13.5" hidden="false" customHeight="true" outlineLevel="0" collapsed="false">
      <c r="A581" s="32" t="n">
        <v>2450</v>
      </c>
      <c r="B581" s="32" t="s">
        <v>618</v>
      </c>
      <c r="C581" s="32" t="s">
        <v>619</v>
      </c>
      <c r="D581" s="32" t="s">
        <v>331</v>
      </c>
      <c r="E581" s="32" t="s">
        <v>620</v>
      </c>
      <c r="F581" s="32" t="n">
        <v>0</v>
      </c>
      <c r="G581" s="32" t="s">
        <v>61</v>
      </c>
      <c r="H581" s="32" t="s">
        <v>332</v>
      </c>
      <c r="I581" s="32" t="s">
        <v>386</v>
      </c>
      <c r="J581" s="32" t="s">
        <v>132</v>
      </c>
      <c r="K581" s="32" t="s">
        <v>63</v>
      </c>
    </row>
    <row r="582" customFormat="false" ht="13.5" hidden="false" customHeight="true" outlineLevel="0" collapsed="false">
      <c r="A582" s="32" t="n">
        <v>2451</v>
      </c>
      <c r="B582" s="32" t="s">
        <v>621</v>
      </c>
      <c r="C582" s="32" t="s">
        <v>622</v>
      </c>
      <c r="D582" s="32" t="s">
        <v>114</v>
      </c>
      <c r="E582" s="32" t="s">
        <v>115</v>
      </c>
      <c r="F582" s="33" t="n">
        <v>918589000000</v>
      </c>
      <c r="G582" s="32" t="s">
        <v>144</v>
      </c>
      <c r="H582" s="32" t="s">
        <v>22</v>
      </c>
      <c r="I582" s="32" t="s">
        <v>108</v>
      </c>
      <c r="J582" s="32" t="s">
        <v>71</v>
      </c>
      <c r="K582" s="32" t="s">
        <v>63</v>
      </c>
    </row>
    <row r="583" customFormat="false" ht="13.5" hidden="false" customHeight="true" outlineLevel="0" collapsed="false">
      <c r="A583" s="32" t="n">
        <v>2452</v>
      </c>
      <c r="B583" s="32" t="s">
        <v>621</v>
      </c>
      <c r="C583" s="32" t="s">
        <v>622</v>
      </c>
      <c r="D583" s="32" t="s">
        <v>114</v>
      </c>
      <c r="E583" s="32" t="s">
        <v>115</v>
      </c>
      <c r="F583" s="33" t="n">
        <v>918589000000</v>
      </c>
      <c r="G583" s="32" t="s">
        <v>144</v>
      </c>
      <c r="H583" s="32" t="s">
        <v>22</v>
      </c>
      <c r="I583" s="32" t="s">
        <v>30</v>
      </c>
      <c r="J583" s="32" t="s">
        <v>203</v>
      </c>
      <c r="K583" s="32" t="s">
        <v>63</v>
      </c>
    </row>
    <row r="584" customFormat="false" ht="13.5" hidden="false" customHeight="true" outlineLevel="0" collapsed="false">
      <c r="A584" s="32" t="n">
        <v>2453</v>
      </c>
      <c r="B584" s="32" t="s">
        <v>621</v>
      </c>
      <c r="C584" s="32" t="s">
        <v>622</v>
      </c>
      <c r="D584" s="32" t="s">
        <v>114</v>
      </c>
      <c r="E584" s="32" t="s">
        <v>115</v>
      </c>
      <c r="F584" s="33" t="n">
        <v>918589000000</v>
      </c>
      <c r="G584" s="32" t="s">
        <v>144</v>
      </c>
      <c r="H584" s="32" t="s">
        <v>22</v>
      </c>
      <c r="I584" s="32" t="s">
        <v>14</v>
      </c>
      <c r="J584" s="32" t="s">
        <v>66</v>
      </c>
      <c r="K584" s="32" t="s">
        <v>63</v>
      </c>
    </row>
    <row r="585" customFormat="false" ht="13.5" hidden="false" customHeight="true" outlineLevel="0" collapsed="false">
      <c r="A585" s="32" t="n">
        <v>2454</v>
      </c>
      <c r="B585" s="32" t="s">
        <v>623</v>
      </c>
      <c r="C585" s="32" t="s">
        <v>624</v>
      </c>
      <c r="D585" s="32" t="s">
        <v>114</v>
      </c>
      <c r="E585" s="32" t="s">
        <v>169</v>
      </c>
      <c r="F585" s="33" t="n">
        <v>919561000000</v>
      </c>
      <c r="G585" s="32" t="s">
        <v>144</v>
      </c>
      <c r="H585" s="32" t="s">
        <v>22</v>
      </c>
      <c r="I585" s="32" t="s">
        <v>28</v>
      </c>
      <c r="J585" s="32" t="s">
        <v>82</v>
      </c>
      <c r="K585" s="32" t="s">
        <v>63</v>
      </c>
    </row>
    <row r="586" customFormat="false" ht="13.5" hidden="false" customHeight="true" outlineLevel="0" collapsed="false">
      <c r="A586" s="32" t="n">
        <v>2455</v>
      </c>
      <c r="B586" s="32" t="s">
        <v>623</v>
      </c>
      <c r="C586" s="32" t="s">
        <v>624</v>
      </c>
      <c r="D586" s="32" t="s">
        <v>114</v>
      </c>
      <c r="E586" s="32" t="s">
        <v>169</v>
      </c>
      <c r="F586" s="33" t="n">
        <v>919561000000</v>
      </c>
      <c r="G586" s="32" t="s">
        <v>144</v>
      </c>
      <c r="H586" s="32" t="s">
        <v>22</v>
      </c>
      <c r="I586" s="32" t="s">
        <v>516</v>
      </c>
      <c r="J586" s="32" t="s">
        <v>66</v>
      </c>
      <c r="K586" s="32" t="s">
        <v>63</v>
      </c>
    </row>
    <row r="587" customFormat="false" ht="13.5" hidden="false" customHeight="true" outlineLevel="0" collapsed="false">
      <c r="A587" s="32" t="n">
        <v>2456</v>
      </c>
      <c r="B587" s="32" t="s">
        <v>625</v>
      </c>
      <c r="C587" s="32" t="s">
        <v>626</v>
      </c>
      <c r="D587" s="32" t="s">
        <v>114</v>
      </c>
      <c r="E587" s="32" t="s">
        <v>115</v>
      </c>
      <c r="F587" s="32" t="n">
        <v>9148830874</v>
      </c>
      <c r="G587" s="32" t="s">
        <v>61</v>
      </c>
      <c r="H587" s="32" t="s">
        <v>22</v>
      </c>
      <c r="I587" s="32" t="s">
        <v>95</v>
      </c>
      <c r="J587" s="32" t="s">
        <v>96</v>
      </c>
      <c r="K587" s="32" t="s">
        <v>63</v>
      </c>
    </row>
    <row r="588" customFormat="false" ht="13.5" hidden="false" customHeight="true" outlineLevel="0" collapsed="false">
      <c r="A588" s="32" t="n">
        <v>2457</v>
      </c>
      <c r="B588" s="32" t="s">
        <v>625</v>
      </c>
      <c r="C588" s="32" t="s">
        <v>626</v>
      </c>
      <c r="D588" s="32" t="s">
        <v>114</v>
      </c>
      <c r="E588" s="32" t="s">
        <v>115</v>
      </c>
      <c r="F588" s="32" t="n">
        <v>9148830874</v>
      </c>
      <c r="G588" s="32" t="s">
        <v>61</v>
      </c>
      <c r="H588" s="32" t="s">
        <v>22</v>
      </c>
      <c r="I588" s="32" t="s">
        <v>145</v>
      </c>
      <c r="J588" s="32" t="s">
        <v>117</v>
      </c>
      <c r="K588" s="32" t="s">
        <v>63</v>
      </c>
    </row>
    <row r="589" customFormat="false" ht="13.5" hidden="false" customHeight="true" outlineLevel="0" collapsed="false">
      <c r="A589" s="32" t="n">
        <v>2458</v>
      </c>
      <c r="B589" s="32" t="s">
        <v>625</v>
      </c>
      <c r="C589" s="32" t="s">
        <v>626</v>
      </c>
      <c r="D589" s="32" t="s">
        <v>114</v>
      </c>
      <c r="E589" s="32" t="s">
        <v>115</v>
      </c>
      <c r="F589" s="32" t="n">
        <v>9148830874</v>
      </c>
      <c r="G589" s="32" t="s">
        <v>61</v>
      </c>
      <c r="H589" s="32" t="s">
        <v>22</v>
      </c>
      <c r="I589" s="32" t="s">
        <v>93</v>
      </c>
      <c r="J589" s="32" t="s">
        <v>85</v>
      </c>
      <c r="K589" s="32" t="s">
        <v>63</v>
      </c>
    </row>
    <row r="590" customFormat="false" ht="13.5" hidden="false" customHeight="true" outlineLevel="0" collapsed="false">
      <c r="A590" s="32" t="n">
        <v>2459</v>
      </c>
      <c r="B590" s="32" t="s">
        <v>627</v>
      </c>
      <c r="C590" s="32" t="s">
        <v>628</v>
      </c>
      <c r="D590" s="32" t="s">
        <v>114</v>
      </c>
      <c r="E590" s="32" t="s">
        <v>115</v>
      </c>
      <c r="F590" s="32" t="n">
        <v>9819154658</v>
      </c>
      <c r="G590" s="32" t="s">
        <v>104</v>
      </c>
      <c r="H590" s="32" t="s">
        <v>22</v>
      </c>
      <c r="I590" s="32" t="s">
        <v>629</v>
      </c>
      <c r="J590" s="32" t="s">
        <v>203</v>
      </c>
      <c r="K590" s="32" t="s">
        <v>63</v>
      </c>
    </row>
    <row r="591" customFormat="false" ht="13.5" hidden="false" customHeight="true" outlineLevel="0" collapsed="false">
      <c r="A591" s="32" t="n">
        <v>2460</v>
      </c>
      <c r="B591" s="32" t="s">
        <v>627</v>
      </c>
      <c r="C591" s="32" t="s">
        <v>628</v>
      </c>
      <c r="D591" s="32" t="s">
        <v>114</v>
      </c>
      <c r="E591" s="32" t="s">
        <v>115</v>
      </c>
      <c r="F591" s="32" t="n">
        <v>9819154658</v>
      </c>
      <c r="G591" s="32" t="s">
        <v>104</v>
      </c>
      <c r="H591" s="32" t="s">
        <v>22</v>
      </c>
      <c r="I591" s="32" t="s">
        <v>630</v>
      </c>
      <c r="J591" s="32" t="s">
        <v>71</v>
      </c>
      <c r="K591" s="32" t="s">
        <v>63</v>
      </c>
    </row>
    <row r="592" customFormat="false" ht="13.5" hidden="false" customHeight="true" outlineLevel="0" collapsed="false">
      <c r="A592" s="32" t="n">
        <v>2461</v>
      </c>
      <c r="B592" s="32" t="s">
        <v>627</v>
      </c>
      <c r="C592" s="32" t="s">
        <v>628</v>
      </c>
      <c r="D592" s="32" t="s">
        <v>114</v>
      </c>
      <c r="E592" s="32" t="s">
        <v>115</v>
      </c>
      <c r="F592" s="32" t="n">
        <v>9819154658</v>
      </c>
      <c r="G592" s="32" t="s">
        <v>104</v>
      </c>
      <c r="H592" s="32" t="s">
        <v>22</v>
      </c>
      <c r="I592" s="32" t="s">
        <v>27</v>
      </c>
      <c r="J592" s="32" t="s">
        <v>13</v>
      </c>
      <c r="K592" s="32" t="s">
        <v>63</v>
      </c>
    </row>
    <row r="593" customFormat="false" ht="13.5" hidden="false" customHeight="true" outlineLevel="0" collapsed="false">
      <c r="A593" s="32" t="n">
        <v>2462</v>
      </c>
      <c r="B593" s="32" t="s">
        <v>631</v>
      </c>
      <c r="C593" s="32" t="s">
        <v>632</v>
      </c>
      <c r="D593" s="32" t="s">
        <v>59</v>
      </c>
      <c r="E593" s="32" t="s">
        <v>60</v>
      </c>
      <c r="F593" s="32" t="n">
        <v>8892538868</v>
      </c>
      <c r="G593" s="32" t="s">
        <v>61</v>
      </c>
      <c r="H593" s="32" t="s">
        <v>21</v>
      </c>
      <c r="I593" s="32" t="s">
        <v>633</v>
      </c>
      <c r="J593" s="32" t="s">
        <v>71</v>
      </c>
      <c r="K593" s="32" t="s">
        <v>63</v>
      </c>
    </row>
    <row r="594" customFormat="false" ht="13.5" hidden="false" customHeight="true" outlineLevel="0" collapsed="false">
      <c r="A594" s="32" t="n">
        <v>2463</v>
      </c>
      <c r="B594" s="32" t="s">
        <v>631</v>
      </c>
      <c r="C594" s="32" t="s">
        <v>632</v>
      </c>
      <c r="D594" s="32" t="s">
        <v>59</v>
      </c>
      <c r="E594" s="32" t="s">
        <v>60</v>
      </c>
      <c r="F594" s="32" t="n">
        <v>8892538868</v>
      </c>
      <c r="G594" s="32" t="s">
        <v>61</v>
      </c>
      <c r="H594" s="32" t="s">
        <v>21</v>
      </c>
      <c r="I594" s="32" t="s">
        <v>14</v>
      </c>
      <c r="J594" s="32" t="s">
        <v>66</v>
      </c>
      <c r="K594" s="32" t="s">
        <v>63</v>
      </c>
    </row>
    <row r="595" customFormat="false" ht="13.5" hidden="false" customHeight="true" outlineLevel="0" collapsed="false">
      <c r="A595" s="32" t="n">
        <v>2464</v>
      </c>
      <c r="B595" s="32" t="s">
        <v>631</v>
      </c>
      <c r="C595" s="32" t="s">
        <v>632</v>
      </c>
      <c r="D595" s="32" t="s">
        <v>59</v>
      </c>
      <c r="E595" s="32" t="s">
        <v>60</v>
      </c>
      <c r="F595" s="32" t="n">
        <v>8892538868</v>
      </c>
      <c r="G595" s="32" t="s">
        <v>61</v>
      </c>
      <c r="H595" s="32" t="s">
        <v>21</v>
      </c>
      <c r="I595" s="32" t="s">
        <v>456</v>
      </c>
      <c r="J595" s="32" t="s">
        <v>66</v>
      </c>
      <c r="K595" s="32" t="s">
        <v>63</v>
      </c>
    </row>
    <row r="596" customFormat="false" ht="13.5" hidden="false" customHeight="true" outlineLevel="0" collapsed="false">
      <c r="A596" s="32" t="n">
        <v>2465</v>
      </c>
      <c r="B596" s="32" t="s">
        <v>634</v>
      </c>
      <c r="C596" s="32" t="s">
        <v>635</v>
      </c>
      <c r="D596" s="32" t="s">
        <v>114</v>
      </c>
      <c r="E596" s="32" t="s">
        <v>268</v>
      </c>
      <c r="F596" s="33" t="n">
        <v>919611000000</v>
      </c>
      <c r="G596" s="32" t="s">
        <v>69</v>
      </c>
      <c r="H596" s="32" t="s">
        <v>22</v>
      </c>
      <c r="I596" s="32" t="s">
        <v>166</v>
      </c>
      <c r="J596" s="32" t="s">
        <v>66</v>
      </c>
      <c r="K596" s="32" t="s">
        <v>63</v>
      </c>
    </row>
    <row r="597" customFormat="false" ht="13.5" hidden="false" customHeight="true" outlineLevel="0" collapsed="false">
      <c r="A597" s="32" t="n">
        <v>2466</v>
      </c>
      <c r="B597" s="32" t="s">
        <v>634</v>
      </c>
      <c r="C597" s="32" t="s">
        <v>635</v>
      </c>
      <c r="D597" s="32" t="s">
        <v>114</v>
      </c>
      <c r="E597" s="32" t="s">
        <v>268</v>
      </c>
      <c r="F597" s="33" t="n">
        <v>919611000000</v>
      </c>
      <c r="G597" s="32" t="s">
        <v>69</v>
      </c>
      <c r="H597" s="32" t="s">
        <v>22</v>
      </c>
      <c r="I597" s="32" t="s">
        <v>14</v>
      </c>
      <c r="J597" s="32" t="s">
        <v>66</v>
      </c>
      <c r="K597" s="32" t="s">
        <v>63</v>
      </c>
    </row>
    <row r="598" customFormat="false" ht="13.5" hidden="false" customHeight="true" outlineLevel="0" collapsed="false">
      <c r="A598" s="32" t="n">
        <v>2467</v>
      </c>
      <c r="B598" s="32" t="s">
        <v>636</v>
      </c>
      <c r="C598" s="32" t="s">
        <v>637</v>
      </c>
      <c r="D598" s="32" t="s">
        <v>59</v>
      </c>
      <c r="E598" s="32" t="s">
        <v>107</v>
      </c>
      <c r="F598" s="33" t="n">
        <v>917986000000</v>
      </c>
      <c r="G598" s="32" t="s">
        <v>144</v>
      </c>
      <c r="H598" s="32" t="s">
        <v>21</v>
      </c>
      <c r="I598" s="32" t="s">
        <v>108</v>
      </c>
      <c r="J598" s="32" t="s">
        <v>71</v>
      </c>
      <c r="K598" s="32" t="s">
        <v>63</v>
      </c>
    </row>
    <row r="599" customFormat="false" ht="13.5" hidden="false" customHeight="true" outlineLevel="0" collapsed="false">
      <c r="A599" s="32" t="n">
        <v>2468</v>
      </c>
      <c r="B599" s="32" t="s">
        <v>636</v>
      </c>
      <c r="C599" s="32" t="s">
        <v>637</v>
      </c>
      <c r="D599" s="32" t="s">
        <v>59</v>
      </c>
      <c r="E599" s="32" t="s">
        <v>107</v>
      </c>
      <c r="F599" s="33" t="n">
        <v>917986000000</v>
      </c>
      <c r="G599" s="32" t="s">
        <v>144</v>
      </c>
      <c r="H599" s="32" t="s">
        <v>21</v>
      </c>
      <c r="I599" s="32" t="s">
        <v>145</v>
      </c>
      <c r="J599" s="32" t="s">
        <v>117</v>
      </c>
      <c r="K599" s="32" t="s">
        <v>63</v>
      </c>
    </row>
    <row r="600" customFormat="false" ht="13.5" hidden="false" customHeight="true" outlineLevel="0" collapsed="false">
      <c r="A600" s="32" t="n">
        <v>2469</v>
      </c>
      <c r="B600" s="32" t="s">
        <v>636</v>
      </c>
      <c r="C600" s="32" t="s">
        <v>637</v>
      </c>
      <c r="D600" s="32" t="s">
        <v>59</v>
      </c>
      <c r="E600" s="32" t="s">
        <v>107</v>
      </c>
      <c r="F600" s="33" t="n">
        <v>917986000000</v>
      </c>
      <c r="G600" s="32" t="s">
        <v>144</v>
      </c>
      <c r="H600" s="32" t="s">
        <v>21</v>
      </c>
      <c r="I600" s="32" t="s">
        <v>280</v>
      </c>
      <c r="J600" s="32" t="s">
        <v>76</v>
      </c>
      <c r="K600" s="32" t="s">
        <v>63</v>
      </c>
    </row>
    <row r="601" customFormat="false" ht="13.5" hidden="false" customHeight="true" outlineLevel="0" collapsed="false">
      <c r="A601" s="32" t="n">
        <v>2470</v>
      </c>
      <c r="B601" s="32" t="s">
        <v>638</v>
      </c>
      <c r="C601" s="32" t="s">
        <v>639</v>
      </c>
      <c r="D601" s="32" t="s">
        <v>114</v>
      </c>
      <c r="E601" s="32" t="s">
        <v>115</v>
      </c>
      <c r="F601" s="33" t="n">
        <v>918180000000</v>
      </c>
      <c r="G601" s="32" t="s">
        <v>140</v>
      </c>
      <c r="H601" s="32" t="s">
        <v>22</v>
      </c>
      <c r="I601" s="32" t="s">
        <v>30</v>
      </c>
      <c r="J601" s="32" t="s">
        <v>203</v>
      </c>
      <c r="K601" s="32" t="s">
        <v>63</v>
      </c>
    </row>
    <row r="602" customFormat="false" ht="13.5" hidden="false" customHeight="true" outlineLevel="0" collapsed="false">
      <c r="A602" s="32" t="n">
        <v>2471</v>
      </c>
      <c r="B602" s="32" t="s">
        <v>640</v>
      </c>
      <c r="C602" s="32" t="s">
        <v>641</v>
      </c>
      <c r="D602" s="32" t="s">
        <v>59</v>
      </c>
      <c r="E602" s="32" t="s">
        <v>92</v>
      </c>
      <c r="F602" s="32" t="n">
        <v>8910380132</v>
      </c>
      <c r="G602" s="32" t="s">
        <v>140</v>
      </c>
      <c r="H602" s="32" t="s">
        <v>21</v>
      </c>
      <c r="I602" s="32" t="s">
        <v>128</v>
      </c>
      <c r="J602" s="32" t="s">
        <v>89</v>
      </c>
      <c r="K602" s="32" t="s">
        <v>63</v>
      </c>
    </row>
    <row r="603" customFormat="false" ht="13.5" hidden="false" customHeight="true" outlineLevel="0" collapsed="false">
      <c r="A603" s="32" t="n">
        <v>2472</v>
      </c>
      <c r="B603" s="32" t="s">
        <v>640</v>
      </c>
      <c r="C603" s="32" t="s">
        <v>641</v>
      </c>
      <c r="D603" s="32" t="s">
        <v>59</v>
      </c>
      <c r="E603" s="32" t="s">
        <v>92</v>
      </c>
      <c r="F603" s="32" t="n">
        <v>8910380132</v>
      </c>
      <c r="G603" s="32" t="s">
        <v>140</v>
      </c>
      <c r="H603" s="32" t="s">
        <v>21</v>
      </c>
      <c r="I603" s="32" t="s">
        <v>133</v>
      </c>
      <c r="J603" s="32" t="s">
        <v>134</v>
      </c>
      <c r="K603" s="32" t="s">
        <v>63</v>
      </c>
    </row>
    <row r="604" customFormat="false" ht="13.5" hidden="false" customHeight="true" outlineLevel="0" collapsed="false">
      <c r="A604" s="32" t="n">
        <v>2473</v>
      </c>
      <c r="B604" s="32" t="s">
        <v>640</v>
      </c>
      <c r="C604" s="32" t="s">
        <v>641</v>
      </c>
      <c r="D604" s="32" t="s">
        <v>59</v>
      </c>
      <c r="E604" s="32" t="s">
        <v>92</v>
      </c>
      <c r="F604" s="32" t="n">
        <v>8910380132</v>
      </c>
      <c r="G604" s="32" t="s">
        <v>140</v>
      </c>
      <c r="H604" s="32" t="s">
        <v>21</v>
      </c>
      <c r="I604" s="32" t="s">
        <v>85</v>
      </c>
      <c r="J604" s="32" t="s">
        <v>85</v>
      </c>
      <c r="K604" s="32" t="s">
        <v>63</v>
      </c>
    </row>
    <row r="605" customFormat="false" ht="13.5" hidden="false" customHeight="true" outlineLevel="0" collapsed="false">
      <c r="A605" s="32" t="n">
        <v>2474</v>
      </c>
      <c r="B605" s="32" t="s">
        <v>640</v>
      </c>
      <c r="C605" s="32" t="s">
        <v>641</v>
      </c>
      <c r="D605" s="32" t="s">
        <v>59</v>
      </c>
      <c r="E605" s="32" t="s">
        <v>92</v>
      </c>
      <c r="F605" s="32" t="n">
        <v>8910380132</v>
      </c>
      <c r="G605" s="32" t="s">
        <v>140</v>
      </c>
      <c r="H605" s="32" t="s">
        <v>21</v>
      </c>
      <c r="I605" s="32" t="s">
        <v>227</v>
      </c>
      <c r="J605" s="32" t="s">
        <v>228</v>
      </c>
      <c r="K605" s="32" t="s">
        <v>63</v>
      </c>
    </row>
    <row r="606" customFormat="false" ht="13.5" hidden="false" customHeight="true" outlineLevel="0" collapsed="false">
      <c r="A606" s="32" t="n">
        <v>2475</v>
      </c>
      <c r="B606" s="32" t="s">
        <v>640</v>
      </c>
      <c r="C606" s="32" t="s">
        <v>641</v>
      </c>
      <c r="D606" s="32" t="s">
        <v>59</v>
      </c>
      <c r="E606" s="32" t="s">
        <v>92</v>
      </c>
      <c r="F606" s="32" t="n">
        <v>8910380132</v>
      </c>
      <c r="G606" s="32" t="s">
        <v>140</v>
      </c>
      <c r="H606" s="32" t="s">
        <v>21</v>
      </c>
      <c r="I606" s="32" t="s">
        <v>93</v>
      </c>
      <c r="J606" s="32" t="s">
        <v>85</v>
      </c>
      <c r="K606" s="32" t="s">
        <v>63</v>
      </c>
    </row>
    <row r="607" customFormat="false" ht="13.5" hidden="false" customHeight="true" outlineLevel="0" collapsed="false">
      <c r="A607" s="32" t="n">
        <v>2476</v>
      </c>
      <c r="B607" s="32" t="s">
        <v>640</v>
      </c>
      <c r="C607" s="32" t="s">
        <v>641</v>
      </c>
      <c r="D607" s="32" t="s">
        <v>59</v>
      </c>
      <c r="E607" s="32" t="s">
        <v>92</v>
      </c>
      <c r="F607" s="32" t="n">
        <v>8910380132</v>
      </c>
      <c r="G607" s="32" t="s">
        <v>140</v>
      </c>
      <c r="H607" s="32" t="s">
        <v>21</v>
      </c>
      <c r="I607" s="32" t="s">
        <v>642</v>
      </c>
      <c r="J607" s="32" t="e">
        <f aca="false">#N/A</f>
        <v>#N/A</v>
      </c>
      <c r="K607" s="32" t="s">
        <v>63</v>
      </c>
    </row>
    <row r="608" customFormat="false" ht="13.5" hidden="false" customHeight="true" outlineLevel="0" collapsed="false">
      <c r="A608" s="32" t="n">
        <v>2477</v>
      </c>
      <c r="B608" s="32" t="s">
        <v>643</v>
      </c>
      <c r="C608" s="32" t="s">
        <v>644</v>
      </c>
      <c r="D608" s="32" t="s">
        <v>59</v>
      </c>
      <c r="E608" s="32" t="s">
        <v>143</v>
      </c>
      <c r="F608" s="32" t="n">
        <v>0</v>
      </c>
      <c r="G608" s="32" t="s">
        <v>140</v>
      </c>
      <c r="H608" s="32" t="s">
        <v>21</v>
      </c>
      <c r="I608" s="32" t="s">
        <v>108</v>
      </c>
      <c r="J608" s="32" t="s">
        <v>71</v>
      </c>
      <c r="K608" s="32" t="s">
        <v>63</v>
      </c>
    </row>
    <row r="609" customFormat="false" ht="13.5" hidden="false" customHeight="true" outlineLevel="0" collapsed="false">
      <c r="A609" s="32" t="n">
        <v>2478</v>
      </c>
      <c r="B609" s="32" t="s">
        <v>643</v>
      </c>
      <c r="C609" s="32" t="s">
        <v>644</v>
      </c>
      <c r="D609" s="32" t="s">
        <v>59</v>
      </c>
      <c r="E609" s="32" t="s">
        <v>143</v>
      </c>
      <c r="F609" s="32" t="n">
        <v>0</v>
      </c>
      <c r="G609" s="32" t="s">
        <v>140</v>
      </c>
      <c r="H609" s="32" t="s">
        <v>21</v>
      </c>
      <c r="I609" s="32" t="s">
        <v>27</v>
      </c>
      <c r="J609" s="32" t="s">
        <v>13</v>
      </c>
      <c r="K609" s="32" t="s">
        <v>63</v>
      </c>
    </row>
    <row r="610" customFormat="false" ht="13.5" hidden="false" customHeight="true" outlineLevel="0" collapsed="false">
      <c r="A610" s="32" t="n">
        <v>2479</v>
      </c>
      <c r="B610" s="32" t="s">
        <v>643</v>
      </c>
      <c r="C610" s="32" t="s">
        <v>644</v>
      </c>
      <c r="D610" s="32" t="s">
        <v>59</v>
      </c>
      <c r="E610" s="32" t="s">
        <v>143</v>
      </c>
      <c r="F610" s="32" t="n">
        <v>0</v>
      </c>
      <c r="G610" s="32" t="s">
        <v>140</v>
      </c>
      <c r="H610" s="32" t="s">
        <v>21</v>
      </c>
      <c r="I610" s="32" t="s">
        <v>30</v>
      </c>
      <c r="J610" s="32" t="s">
        <v>203</v>
      </c>
      <c r="K610" s="32" t="s">
        <v>63</v>
      </c>
    </row>
    <row r="611" customFormat="false" ht="13.5" hidden="false" customHeight="true" outlineLevel="0" collapsed="false">
      <c r="A611" s="32" t="n">
        <v>2480</v>
      </c>
      <c r="B611" s="32" t="s">
        <v>645</v>
      </c>
      <c r="C611" s="32" t="s">
        <v>646</v>
      </c>
      <c r="D611" s="32" t="s">
        <v>59</v>
      </c>
      <c r="E611" s="32" t="s">
        <v>60</v>
      </c>
      <c r="F611" s="32" t="n">
        <v>0</v>
      </c>
      <c r="G611" s="32" t="s">
        <v>140</v>
      </c>
      <c r="H611" s="32" t="s">
        <v>21</v>
      </c>
      <c r="I611" s="32" t="s">
        <v>156</v>
      </c>
      <c r="J611" s="32" t="s">
        <v>62</v>
      </c>
      <c r="K611" s="32" t="s">
        <v>63</v>
      </c>
    </row>
    <row r="612" customFormat="false" ht="13.5" hidden="false" customHeight="true" outlineLevel="0" collapsed="false">
      <c r="A612" s="32" t="n">
        <v>2481</v>
      </c>
      <c r="B612" s="32" t="s">
        <v>645</v>
      </c>
      <c r="C612" s="32" t="s">
        <v>646</v>
      </c>
      <c r="D612" s="32" t="s">
        <v>59</v>
      </c>
      <c r="E612" s="32" t="s">
        <v>60</v>
      </c>
      <c r="F612" s="32" t="n">
        <v>0</v>
      </c>
      <c r="G612" s="32" t="s">
        <v>140</v>
      </c>
      <c r="H612" s="32" t="s">
        <v>21</v>
      </c>
      <c r="I612" s="32" t="s">
        <v>93</v>
      </c>
      <c r="J612" s="32" t="s">
        <v>85</v>
      </c>
      <c r="K612" s="32" t="s">
        <v>63</v>
      </c>
    </row>
    <row r="613" customFormat="false" ht="13.5" hidden="false" customHeight="true" outlineLevel="0" collapsed="false">
      <c r="A613" s="32" t="n">
        <v>2482</v>
      </c>
      <c r="B613" s="32" t="s">
        <v>645</v>
      </c>
      <c r="C613" s="32" t="s">
        <v>646</v>
      </c>
      <c r="D613" s="32" t="s">
        <v>59</v>
      </c>
      <c r="E613" s="32" t="s">
        <v>60</v>
      </c>
      <c r="F613" s="32" t="n">
        <v>0</v>
      </c>
      <c r="G613" s="32" t="s">
        <v>140</v>
      </c>
      <c r="H613" s="32" t="s">
        <v>21</v>
      </c>
      <c r="I613" s="32" t="s">
        <v>172</v>
      </c>
      <c r="J613" s="32" t="s">
        <v>152</v>
      </c>
      <c r="K613" s="32" t="s">
        <v>63</v>
      </c>
    </row>
    <row r="614" customFormat="false" ht="13.5" hidden="false" customHeight="true" outlineLevel="0" collapsed="false">
      <c r="A614" s="32" t="n">
        <v>2483</v>
      </c>
      <c r="B614" s="32" t="s">
        <v>647</v>
      </c>
      <c r="C614" s="32" t="s">
        <v>648</v>
      </c>
      <c r="D614" s="32" t="s">
        <v>59</v>
      </c>
      <c r="E614" s="32" t="s">
        <v>107</v>
      </c>
      <c r="F614" s="32" t="n">
        <v>0</v>
      </c>
      <c r="G614" s="32" t="s">
        <v>61</v>
      </c>
      <c r="H614" s="32" t="s">
        <v>21</v>
      </c>
      <c r="I614" s="32" t="s">
        <v>145</v>
      </c>
      <c r="J614" s="32" t="s">
        <v>117</v>
      </c>
      <c r="K614" s="32" t="s">
        <v>63</v>
      </c>
    </row>
    <row r="615" customFormat="false" ht="13.5" hidden="false" customHeight="true" outlineLevel="0" collapsed="false">
      <c r="A615" s="32" t="n">
        <v>2484</v>
      </c>
      <c r="B615" s="32" t="s">
        <v>647</v>
      </c>
      <c r="C615" s="32" t="s">
        <v>648</v>
      </c>
      <c r="D615" s="32" t="s">
        <v>59</v>
      </c>
      <c r="E615" s="32" t="s">
        <v>107</v>
      </c>
      <c r="F615" s="32" t="n">
        <v>0</v>
      </c>
      <c r="G615" s="32" t="s">
        <v>61</v>
      </c>
      <c r="H615" s="32" t="s">
        <v>21</v>
      </c>
      <c r="I615" s="32" t="s">
        <v>396</v>
      </c>
      <c r="J615" s="32" t="s">
        <v>132</v>
      </c>
      <c r="K615" s="32" t="s">
        <v>63</v>
      </c>
    </row>
    <row r="616" customFormat="false" ht="13.5" hidden="false" customHeight="true" outlineLevel="0" collapsed="false">
      <c r="A616" s="32" t="n">
        <v>2493</v>
      </c>
      <c r="B616" s="32" t="s">
        <v>649</v>
      </c>
      <c r="C616" s="32" t="s">
        <v>650</v>
      </c>
      <c r="D616" s="32" t="s">
        <v>59</v>
      </c>
      <c r="E616" s="32" t="s">
        <v>107</v>
      </c>
      <c r="F616" s="33" t="n">
        <v>919582000000</v>
      </c>
      <c r="G616" s="32" t="s">
        <v>144</v>
      </c>
      <c r="H616" s="32" t="s">
        <v>21</v>
      </c>
      <c r="I616" s="32" t="s">
        <v>28</v>
      </c>
      <c r="J616" s="32" t="s">
        <v>82</v>
      </c>
      <c r="K616" s="32" t="s">
        <v>63</v>
      </c>
    </row>
    <row r="617" customFormat="false" ht="13.5" hidden="false" customHeight="true" outlineLevel="0" collapsed="false">
      <c r="A617" s="32" t="n">
        <v>2494</v>
      </c>
      <c r="B617" s="32" t="s">
        <v>651</v>
      </c>
      <c r="C617" s="32" t="s">
        <v>652</v>
      </c>
      <c r="D617" s="32" t="s">
        <v>59</v>
      </c>
      <c r="E617" s="32" t="s">
        <v>60</v>
      </c>
      <c r="F617" s="33" t="n">
        <v>919804000000</v>
      </c>
      <c r="G617" s="32" t="s">
        <v>140</v>
      </c>
      <c r="H617" s="32" t="s">
        <v>21</v>
      </c>
      <c r="I617" s="32" t="s">
        <v>156</v>
      </c>
      <c r="J617" s="32" t="s">
        <v>62</v>
      </c>
      <c r="K617" s="32" t="s">
        <v>63</v>
      </c>
    </row>
    <row r="618" customFormat="false" ht="13.5" hidden="false" customHeight="true" outlineLevel="0" collapsed="false">
      <c r="A618" s="32" t="n">
        <v>2495</v>
      </c>
      <c r="B618" s="32" t="s">
        <v>651</v>
      </c>
      <c r="C618" s="32" t="s">
        <v>652</v>
      </c>
      <c r="D618" s="32" t="s">
        <v>59</v>
      </c>
      <c r="E618" s="32" t="s">
        <v>60</v>
      </c>
      <c r="F618" s="33" t="n">
        <v>919804000000</v>
      </c>
      <c r="G618" s="32" t="s">
        <v>140</v>
      </c>
      <c r="H618" s="32" t="s">
        <v>21</v>
      </c>
      <c r="I618" s="32" t="s">
        <v>29</v>
      </c>
      <c r="J618" s="32" t="s">
        <v>62</v>
      </c>
      <c r="K618" s="32" t="s">
        <v>63</v>
      </c>
    </row>
    <row r="619" customFormat="false" ht="13.5" hidden="false" customHeight="true" outlineLevel="0" collapsed="false">
      <c r="A619" s="32" t="n">
        <v>2496</v>
      </c>
      <c r="B619" s="32" t="s">
        <v>651</v>
      </c>
      <c r="C619" s="32" t="s">
        <v>652</v>
      </c>
      <c r="D619" s="32" t="s">
        <v>59</v>
      </c>
      <c r="E619" s="32" t="s">
        <v>60</v>
      </c>
      <c r="F619" s="33" t="n">
        <v>919804000000</v>
      </c>
      <c r="G619" s="32" t="s">
        <v>140</v>
      </c>
      <c r="H619" s="32" t="s">
        <v>21</v>
      </c>
      <c r="I619" s="32" t="s">
        <v>14</v>
      </c>
      <c r="J619" s="32" t="s">
        <v>66</v>
      </c>
      <c r="K619" s="32" t="s">
        <v>63</v>
      </c>
    </row>
    <row r="620" customFormat="false" ht="13.5" hidden="false" customHeight="true" outlineLevel="0" collapsed="false">
      <c r="A620" s="32" t="n">
        <v>2497</v>
      </c>
      <c r="B620" s="32" t="s">
        <v>653</v>
      </c>
      <c r="C620" s="32" t="s">
        <v>654</v>
      </c>
      <c r="D620" s="32" t="s">
        <v>114</v>
      </c>
      <c r="E620" s="32" t="s">
        <v>377</v>
      </c>
      <c r="F620" s="32" t="n">
        <v>9126663583</v>
      </c>
      <c r="G620" s="32" t="s">
        <v>140</v>
      </c>
      <c r="H620" s="32" t="s">
        <v>22</v>
      </c>
      <c r="I620" s="32" t="s">
        <v>109</v>
      </c>
      <c r="J620" s="32" t="s">
        <v>110</v>
      </c>
      <c r="K620" s="32" t="s">
        <v>63</v>
      </c>
    </row>
    <row r="621" customFormat="false" ht="13.5" hidden="false" customHeight="true" outlineLevel="0" collapsed="false">
      <c r="A621" s="32" t="n">
        <v>2498</v>
      </c>
      <c r="B621" s="32" t="s">
        <v>653</v>
      </c>
      <c r="C621" s="32" t="s">
        <v>654</v>
      </c>
      <c r="D621" s="32" t="s">
        <v>114</v>
      </c>
      <c r="E621" s="32" t="s">
        <v>377</v>
      </c>
      <c r="F621" s="32" t="n">
        <v>9126663583</v>
      </c>
      <c r="G621" s="32" t="s">
        <v>140</v>
      </c>
      <c r="H621" s="32" t="s">
        <v>22</v>
      </c>
      <c r="I621" s="32" t="s">
        <v>251</v>
      </c>
      <c r="J621" s="32" t="s">
        <v>152</v>
      </c>
      <c r="K621" s="32" t="s">
        <v>63</v>
      </c>
    </row>
    <row r="622" customFormat="false" ht="13.5" hidden="false" customHeight="true" outlineLevel="0" collapsed="false">
      <c r="A622" s="32" t="n">
        <v>2499</v>
      </c>
      <c r="B622" s="32" t="s">
        <v>653</v>
      </c>
      <c r="C622" s="32" t="s">
        <v>655</v>
      </c>
      <c r="D622" s="32" t="s">
        <v>114</v>
      </c>
      <c r="E622" s="32" t="s">
        <v>377</v>
      </c>
      <c r="F622" s="32" t="n">
        <v>9126663583</v>
      </c>
      <c r="G622" s="32" t="s">
        <v>140</v>
      </c>
      <c r="H622" s="32" t="s">
        <v>22</v>
      </c>
      <c r="I622" s="32" t="s">
        <v>629</v>
      </c>
      <c r="J622" s="32" t="s">
        <v>203</v>
      </c>
      <c r="K622" s="32" t="s">
        <v>63</v>
      </c>
    </row>
    <row r="623" customFormat="false" ht="13.5" hidden="false" customHeight="true" outlineLevel="0" collapsed="false">
      <c r="A623" s="32" t="n">
        <v>2500</v>
      </c>
      <c r="B623" s="32" t="s">
        <v>653</v>
      </c>
      <c r="C623" s="32" t="s">
        <v>655</v>
      </c>
      <c r="D623" s="32" t="s">
        <v>114</v>
      </c>
      <c r="E623" s="32" t="s">
        <v>377</v>
      </c>
      <c r="F623" s="32" t="n">
        <v>9126663583</v>
      </c>
      <c r="G623" s="32" t="s">
        <v>140</v>
      </c>
      <c r="H623" s="32" t="s">
        <v>22</v>
      </c>
      <c r="I623" s="32" t="s">
        <v>30</v>
      </c>
      <c r="J623" s="32" t="s">
        <v>203</v>
      </c>
      <c r="K623" s="32" t="s">
        <v>63</v>
      </c>
    </row>
    <row r="624" customFormat="false" ht="13.5" hidden="false" customHeight="true" outlineLevel="0" collapsed="false">
      <c r="A624" s="32" t="n">
        <v>2501</v>
      </c>
      <c r="B624" s="32" t="s">
        <v>653</v>
      </c>
      <c r="C624" s="32" t="s">
        <v>656</v>
      </c>
      <c r="D624" s="32" t="s">
        <v>114</v>
      </c>
      <c r="E624" s="32" t="s">
        <v>377</v>
      </c>
      <c r="F624" s="32" t="n">
        <v>9126663583</v>
      </c>
      <c r="G624" s="32" t="s">
        <v>140</v>
      </c>
      <c r="H624" s="32" t="s">
        <v>22</v>
      </c>
      <c r="I624" s="32" t="s">
        <v>16</v>
      </c>
      <c r="J624" s="32" t="s">
        <v>73</v>
      </c>
      <c r="K624" s="32" t="s">
        <v>63</v>
      </c>
    </row>
    <row r="625" customFormat="false" ht="13.5" hidden="false" customHeight="true" outlineLevel="0" collapsed="false">
      <c r="A625" s="32" t="n">
        <v>2502</v>
      </c>
      <c r="B625" s="32" t="s">
        <v>653</v>
      </c>
      <c r="C625" s="32" t="s">
        <v>655</v>
      </c>
      <c r="D625" s="32" t="s">
        <v>114</v>
      </c>
      <c r="E625" s="32" t="s">
        <v>377</v>
      </c>
      <c r="F625" s="32" t="n">
        <v>9126663583</v>
      </c>
      <c r="G625" s="32" t="s">
        <v>140</v>
      </c>
      <c r="H625" s="32" t="s">
        <v>22</v>
      </c>
      <c r="I625" s="32" t="s">
        <v>137</v>
      </c>
      <c r="J625" s="32" t="s">
        <v>13</v>
      </c>
      <c r="K625" s="32" t="s">
        <v>63</v>
      </c>
    </row>
    <row r="626" customFormat="false" ht="13.5" hidden="false" customHeight="true" outlineLevel="0" collapsed="false">
      <c r="A626" s="32" t="n">
        <v>2503</v>
      </c>
      <c r="B626" s="32" t="s">
        <v>657</v>
      </c>
      <c r="C626" s="32" t="s">
        <v>658</v>
      </c>
      <c r="D626" s="32" t="s">
        <v>114</v>
      </c>
      <c r="E626" s="32" t="s">
        <v>115</v>
      </c>
      <c r="F626" s="32" t="n">
        <v>9717339722</v>
      </c>
      <c r="G626" s="32" t="s">
        <v>144</v>
      </c>
      <c r="H626" s="32" t="s">
        <v>22</v>
      </c>
      <c r="I626" s="32" t="s">
        <v>93</v>
      </c>
      <c r="J626" s="32" t="s">
        <v>85</v>
      </c>
      <c r="K626" s="32" t="s">
        <v>63</v>
      </c>
    </row>
    <row r="627" customFormat="false" ht="13.5" hidden="false" customHeight="true" outlineLevel="0" collapsed="false">
      <c r="A627" s="32" t="n">
        <v>2504</v>
      </c>
      <c r="B627" s="32" t="s">
        <v>657</v>
      </c>
      <c r="C627" s="32" t="s">
        <v>658</v>
      </c>
      <c r="D627" s="32" t="s">
        <v>114</v>
      </c>
      <c r="E627" s="32" t="s">
        <v>115</v>
      </c>
      <c r="F627" s="32" t="n">
        <v>9717339722</v>
      </c>
      <c r="G627" s="32" t="s">
        <v>144</v>
      </c>
      <c r="H627" s="32" t="s">
        <v>22</v>
      </c>
      <c r="I627" s="32" t="s">
        <v>227</v>
      </c>
      <c r="J627" s="32" t="s">
        <v>228</v>
      </c>
      <c r="K627" s="32" t="s">
        <v>63</v>
      </c>
    </row>
    <row r="628" customFormat="false" ht="13.5" hidden="false" customHeight="true" outlineLevel="0" collapsed="false">
      <c r="A628" s="32" t="n">
        <v>2505</v>
      </c>
      <c r="B628" s="32" t="s">
        <v>657</v>
      </c>
      <c r="C628" s="32" t="s">
        <v>658</v>
      </c>
      <c r="D628" s="32" t="s">
        <v>114</v>
      </c>
      <c r="E628" s="32" t="s">
        <v>115</v>
      </c>
      <c r="F628" s="32" t="n">
        <v>9717339722</v>
      </c>
      <c r="G628" s="32" t="s">
        <v>144</v>
      </c>
      <c r="H628" s="32" t="s">
        <v>22</v>
      </c>
      <c r="I628" s="32" t="s">
        <v>145</v>
      </c>
      <c r="J628" s="32" t="s">
        <v>117</v>
      </c>
      <c r="K628" s="32" t="s">
        <v>63</v>
      </c>
    </row>
    <row r="629" customFormat="false" ht="13.5" hidden="false" customHeight="true" outlineLevel="0" collapsed="false">
      <c r="A629" s="32" t="n">
        <v>2506</v>
      </c>
      <c r="B629" s="32" t="s">
        <v>657</v>
      </c>
      <c r="C629" s="32" t="s">
        <v>658</v>
      </c>
      <c r="D629" s="32" t="s">
        <v>114</v>
      </c>
      <c r="E629" s="32" t="s">
        <v>115</v>
      </c>
      <c r="F629" s="32" t="n">
        <v>9717339722</v>
      </c>
      <c r="G629" s="32" t="s">
        <v>144</v>
      </c>
      <c r="H629" s="32" t="s">
        <v>22</v>
      </c>
      <c r="I629" s="32" t="s">
        <v>172</v>
      </c>
      <c r="J629" s="32" t="s">
        <v>152</v>
      </c>
      <c r="K629" s="32" t="s">
        <v>63</v>
      </c>
    </row>
    <row r="630" customFormat="false" ht="13.5" hidden="false" customHeight="true" outlineLevel="0" collapsed="false">
      <c r="A630" s="32" t="n">
        <v>2507</v>
      </c>
      <c r="B630" s="32" t="s">
        <v>659</v>
      </c>
      <c r="C630" s="32" t="s">
        <v>660</v>
      </c>
      <c r="D630" s="32" t="s">
        <v>59</v>
      </c>
      <c r="E630" s="32" t="s">
        <v>143</v>
      </c>
      <c r="F630" s="32" t="n">
        <v>9897623343</v>
      </c>
      <c r="G630" s="32" t="s">
        <v>144</v>
      </c>
      <c r="H630" s="32" t="s">
        <v>21</v>
      </c>
      <c r="I630" s="32" t="s">
        <v>93</v>
      </c>
      <c r="J630" s="32" t="s">
        <v>85</v>
      </c>
      <c r="K630" s="32" t="s">
        <v>63</v>
      </c>
    </row>
    <row r="631" customFormat="false" ht="13.5" hidden="false" customHeight="true" outlineLevel="0" collapsed="false">
      <c r="A631" s="32" t="n">
        <v>2508</v>
      </c>
      <c r="B631" s="32" t="s">
        <v>659</v>
      </c>
      <c r="C631" s="32" t="s">
        <v>661</v>
      </c>
      <c r="D631" s="32" t="s">
        <v>59</v>
      </c>
      <c r="E631" s="32" t="s">
        <v>143</v>
      </c>
      <c r="F631" s="32" t="n">
        <v>9897623343</v>
      </c>
      <c r="G631" s="32" t="s">
        <v>144</v>
      </c>
      <c r="H631" s="32" t="s">
        <v>21</v>
      </c>
      <c r="I631" s="32" t="s">
        <v>109</v>
      </c>
      <c r="J631" s="32" t="s">
        <v>110</v>
      </c>
      <c r="K631" s="32" t="s">
        <v>63</v>
      </c>
    </row>
    <row r="632" customFormat="false" ht="13.5" hidden="false" customHeight="true" outlineLevel="0" collapsed="false">
      <c r="A632" s="32" t="n">
        <v>2509</v>
      </c>
      <c r="B632" s="32" t="s">
        <v>659</v>
      </c>
      <c r="C632" s="32" t="s">
        <v>661</v>
      </c>
      <c r="D632" s="32" t="s">
        <v>59</v>
      </c>
      <c r="E632" s="32" t="s">
        <v>143</v>
      </c>
      <c r="F632" s="32" t="n">
        <v>9897623343</v>
      </c>
      <c r="G632" s="32" t="s">
        <v>144</v>
      </c>
      <c r="H632" s="32" t="s">
        <v>21</v>
      </c>
      <c r="I632" s="32" t="s">
        <v>121</v>
      </c>
      <c r="J632" s="32" t="s">
        <v>110</v>
      </c>
      <c r="K632" s="32" t="s">
        <v>63</v>
      </c>
    </row>
    <row r="633" customFormat="false" ht="13.5" hidden="false" customHeight="true" outlineLevel="0" collapsed="false">
      <c r="A633" s="32" t="n">
        <v>2510</v>
      </c>
      <c r="B633" s="32" t="s">
        <v>659</v>
      </c>
      <c r="C633" s="32" t="s">
        <v>661</v>
      </c>
      <c r="D633" s="32" t="s">
        <v>59</v>
      </c>
      <c r="E633" s="32" t="s">
        <v>143</v>
      </c>
      <c r="F633" s="32" t="n">
        <v>9897623343</v>
      </c>
      <c r="G633" s="32" t="s">
        <v>144</v>
      </c>
      <c r="H633" s="32" t="s">
        <v>21</v>
      </c>
      <c r="I633" s="32" t="s">
        <v>145</v>
      </c>
      <c r="J633" s="32" t="s">
        <v>117</v>
      </c>
      <c r="K633" s="32" t="s">
        <v>63</v>
      </c>
    </row>
    <row r="634" customFormat="false" ht="13.5" hidden="false" customHeight="true" outlineLevel="0" collapsed="false">
      <c r="A634" s="32" t="n">
        <v>2511</v>
      </c>
      <c r="B634" s="32" t="s">
        <v>659</v>
      </c>
      <c r="C634" s="32" t="s">
        <v>661</v>
      </c>
      <c r="D634" s="32" t="s">
        <v>59</v>
      </c>
      <c r="E634" s="32" t="s">
        <v>143</v>
      </c>
      <c r="F634" s="32" t="n">
        <v>9897623343</v>
      </c>
      <c r="G634" s="32" t="s">
        <v>144</v>
      </c>
      <c r="H634" s="32" t="s">
        <v>21</v>
      </c>
      <c r="I634" s="32" t="s">
        <v>27</v>
      </c>
      <c r="J634" s="32" t="s">
        <v>13</v>
      </c>
      <c r="K634" s="32" t="s">
        <v>63</v>
      </c>
    </row>
    <row r="635" customFormat="false" ht="13.5" hidden="false" customHeight="true" outlineLevel="0" collapsed="false">
      <c r="A635" s="32" t="n">
        <v>2517</v>
      </c>
      <c r="B635" s="32" t="s">
        <v>659</v>
      </c>
      <c r="C635" s="32" t="s">
        <v>661</v>
      </c>
      <c r="D635" s="32" t="s">
        <v>59</v>
      </c>
      <c r="E635" s="32" t="s">
        <v>143</v>
      </c>
      <c r="F635" s="32" t="n">
        <v>9897623343</v>
      </c>
      <c r="G635" s="32" t="s">
        <v>144</v>
      </c>
      <c r="H635" s="32" t="s">
        <v>21</v>
      </c>
      <c r="I635" s="32" t="s">
        <v>111</v>
      </c>
      <c r="J635" s="32" t="s">
        <v>73</v>
      </c>
      <c r="K635" s="32" t="s">
        <v>63</v>
      </c>
    </row>
    <row r="636" customFormat="false" ht="13.5" hidden="false" customHeight="true" outlineLevel="0" collapsed="false">
      <c r="A636" s="32" t="n">
        <v>2518</v>
      </c>
      <c r="B636" s="32" t="s">
        <v>662</v>
      </c>
      <c r="C636" s="32" t="s">
        <v>663</v>
      </c>
      <c r="D636" s="32" t="s">
        <v>59</v>
      </c>
      <c r="E636" s="32" t="s">
        <v>107</v>
      </c>
      <c r="F636" s="32" t="n">
        <v>0</v>
      </c>
      <c r="G636" s="32" t="s">
        <v>144</v>
      </c>
      <c r="H636" s="32" t="s">
        <v>21</v>
      </c>
      <c r="I636" s="32" t="s">
        <v>16</v>
      </c>
      <c r="J636" s="32" t="s">
        <v>73</v>
      </c>
      <c r="K636" s="32" t="s">
        <v>63</v>
      </c>
    </row>
    <row r="637" customFormat="false" ht="13.5" hidden="false" customHeight="true" outlineLevel="0" collapsed="false">
      <c r="A637" s="32" t="n">
        <v>2519</v>
      </c>
      <c r="B637" s="32" t="s">
        <v>664</v>
      </c>
      <c r="C637" s="32" t="s">
        <v>665</v>
      </c>
      <c r="D637" s="32" t="s">
        <v>114</v>
      </c>
      <c r="E637" s="32" t="s">
        <v>165</v>
      </c>
      <c r="F637" s="32" t="n">
        <v>0</v>
      </c>
      <c r="G637" s="32" t="s">
        <v>0</v>
      </c>
      <c r="H637" s="32" t="s">
        <v>22</v>
      </c>
      <c r="I637" s="32" t="s">
        <v>28</v>
      </c>
      <c r="J637" s="32" t="s">
        <v>82</v>
      </c>
      <c r="K637" s="32" t="s">
        <v>63</v>
      </c>
    </row>
    <row r="638" customFormat="false" ht="13.5" hidden="false" customHeight="true" outlineLevel="0" collapsed="false">
      <c r="A638" s="32" t="n">
        <v>2520</v>
      </c>
      <c r="B638" s="32" t="s">
        <v>664</v>
      </c>
      <c r="C638" s="32" t="s">
        <v>665</v>
      </c>
      <c r="D638" s="32" t="s">
        <v>114</v>
      </c>
      <c r="E638" s="32" t="s">
        <v>165</v>
      </c>
      <c r="F638" s="32" t="n">
        <v>0</v>
      </c>
      <c r="G638" s="32" t="s">
        <v>0</v>
      </c>
      <c r="H638" s="32" t="s">
        <v>22</v>
      </c>
      <c r="I638" s="32" t="s">
        <v>27</v>
      </c>
      <c r="J638" s="32" t="s">
        <v>13</v>
      </c>
      <c r="K638" s="32" t="s">
        <v>63</v>
      </c>
    </row>
    <row r="639" customFormat="false" ht="13.5" hidden="false" customHeight="true" outlineLevel="0" collapsed="false">
      <c r="A639" s="32" t="n">
        <v>2521</v>
      </c>
      <c r="B639" s="32" t="s">
        <v>664</v>
      </c>
      <c r="C639" s="32" t="s">
        <v>665</v>
      </c>
      <c r="D639" s="32" t="s">
        <v>114</v>
      </c>
      <c r="E639" s="32" t="s">
        <v>165</v>
      </c>
      <c r="F639" s="32" t="n">
        <v>0</v>
      </c>
      <c r="G639" s="32" t="s">
        <v>0</v>
      </c>
      <c r="H639" s="32" t="s">
        <v>22</v>
      </c>
      <c r="I639" s="32" t="s">
        <v>248</v>
      </c>
      <c r="J639" s="32" t="s">
        <v>117</v>
      </c>
      <c r="K639" s="32" t="s">
        <v>63</v>
      </c>
    </row>
    <row r="640" customFormat="false" ht="13.5" hidden="false" customHeight="true" outlineLevel="0" collapsed="false">
      <c r="A640" s="32" t="n">
        <v>2522</v>
      </c>
      <c r="B640" s="32" t="s">
        <v>666</v>
      </c>
      <c r="C640" s="32" t="s">
        <v>667</v>
      </c>
      <c r="D640" s="32" t="s">
        <v>59</v>
      </c>
      <c r="E640" s="32" t="s">
        <v>60</v>
      </c>
      <c r="F640" s="32" t="n">
        <v>9874239255</v>
      </c>
      <c r="G640" s="32" t="s">
        <v>668</v>
      </c>
      <c r="H640" s="32" t="s">
        <v>21</v>
      </c>
      <c r="I640" s="32" t="s">
        <v>108</v>
      </c>
      <c r="J640" s="32" t="s">
        <v>71</v>
      </c>
      <c r="K640" s="32" t="s">
        <v>63</v>
      </c>
    </row>
    <row r="641" customFormat="false" ht="13.5" hidden="false" customHeight="true" outlineLevel="0" collapsed="false">
      <c r="A641" s="32" t="n">
        <v>2523</v>
      </c>
      <c r="B641" s="32" t="s">
        <v>666</v>
      </c>
      <c r="C641" s="32" t="s">
        <v>667</v>
      </c>
      <c r="D641" s="32" t="s">
        <v>59</v>
      </c>
      <c r="E641" s="32" t="s">
        <v>60</v>
      </c>
      <c r="F641" s="32" t="n">
        <v>9874239255</v>
      </c>
      <c r="G641" s="32" t="s">
        <v>140</v>
      </c>
      <c r="H641" s="32" t="s">
        <v>21</v>
      </c>
      <c r="I641" s="32" t="s">
        <v>387</v>
      </c>
      <c r="J641" s="32" t="s">
        <v>388</v>
      </c>
      <c r="K641" s="32" t="s">
        <v>63</v>
      </c>
    </row>
    <row r="642" customFormat="false" ht="13.5" hidden="false" customHeight="true" outlineLevel="0" collapsed="false">
      <c r="A642" s="32" t="n">
        <v>2524</v>
      </c>
      <c r="B642" s="32" t="s">
        <v>666</v>
      </c>
      <c r="C642" s="32" t="s">
        <v>667</v>
      </c>
      <c r="D642" s="32" t="s">
        <v>59</v>
      </c>
      <c r="E642" s="32" t="s">
        <v>60</v>
      </c>
      <c r="F642" s="32" t="n">
        <v>9874239255</v>
      </c>
      <c r="G642" s="32" t="s">
        <v>668</v>
      </c>
      <c r="H642" s="32" t="s">
        <v>21</v>
      </c>
      <c r="I642" s="32" t="s">
        <v>669</v>
      </c>
      <c r="J642" s="32" t="s">
        <v>388</v>
      </c>
      <c r="K642" s="32" t="s">
        <v>63</v>
      </c>
    </row>
    <row r="643" customFormat="false" ht="13.5" hidden="false" customHeight="true" outlineLevel="0" collapsed="false">
      <c r="A643" s="32" t="n">
        <v>2525</v>
      </c>
      <c r="B643" s="32" t="s">
        <v>670</v>
      </c>
      <c r="C643" s="32" t="s">
        <v>671</v>
      </c>
      <c r="D643" s="32" t="s">
        <v>114</v>
      </c>
      <c r="E643" s="32" t="s">
        <v>165</v>
      </c>
      <c r="F643" s="32" t="n">
        <v>9344454942</v>
      </c>
      <c r="G643" s="32" t="s">
        <v>0</v>
      </c>
      <c r="H643" s="32" t="s">
        <v>22</v>
      </c>
      <c r="I643" s="32" t="s">
        <v>133</v>
      </c>
      <c r="J643" s="32" t="s">
        <v>134</v>
      </c>
      <c r="K643" s="32" t="s">
        <v>63</v>
      </c>
    </row>
    <row r="644" customFormat="false" ht="13.5" hidden="false" customHeight="true" outlineLevel="0" collapsed="false">
      <c r="A644" s="32" t="n">
        <v>2526</v>
      </c>
      <c r="B644" s="32" t="s">
        <v>670</v>
      </c>
      <c r="C644" s="32" t="s">
        <v>672</v>
      </c>
      <c r="D644" s="32" t="s">
        <v>114</v>
      </c>
      <c r="E644" s="32" t="s">
        <v>165</v>
      </c>
      <c r="F644" s="32" t="n">
        <v>8807464025</v>
      </c>
      <c r="G644" s="32" t="s">
        <v>0</v>
      </c>
      <c r="H644" s="32" t="s">
        <v>22</v>
      </c>
      <c r="I644" s="32" t="s">
        <v>76</v>
      </c>
      <c r="J644" s="32" t="s">
        <v>76</v>
      </c>
      <c r="K644" s="32" t="s">
        <v>63</v>
      </c>
    </row>
    <row r="645" customFormat="false" ht="13.5" hidden="false" customHeight="true" outlineLevel="0" collapsed="false">
      <c r="A645" s="32" t="n">
        <v>2527</v>
      </c>
      <c r="B645" s="32" t="s">
        <v>670</v>
      </c>
      <c r="C645" s="32" t="s">
        <v>673</v>
      </c>
      <c r="D645" s="32" t="s">
        <v>114</v>
      </c>
      <c r="E645" s="32" t="s">
        <v>165</v>
      </c>
      <c r="F645" s="32" t="n">
        <v>9344454942</v>
      </c>
      <c r="G645" s="32" t="s">
        <v>0</v>
      </c>
      <c r="H645" s="32" t="s">
        <v>22</v>
      </c>
      <c r="I645" s="32" t="s">
        <v>28</v>
      </c>
      <c r="J645" s="32" t="s">
        <v>82</v>
      </c>
      <c r="K645" s="32" t="s">
        <v>63</v>
      </c>
    </row>
    <row r="646" customFormat="false" ht="13.5" hidden="false" customHeight="true" outlineLevel="0" collapsed="false">
      <c r="A646" s="32" t="n">
        <v>2528</v>
      </c>
      <c r="B646" s="32" t="s">
        <v>670</v>
      </c>
      <c r="C646" s="32" t="s">
        <v>673</v>
      </c>
      <c r="D646" s="32" t="s">
        <v>114</v>
      </c>
      <c r="E646" s="32" t="s">
        <v>165</v>
      </c>
      <c r="F646" s="32" t="n">
        <v>9344454942</v>
      </c>
      <c r="G646" s="32" t="s">
        <v>0</v>
      </c>
      <c r="H646" s="32" t="s">
        <v>22</v>
      </c>
      <c r="I646" s="32" t="s">
        <v>463</v>
      </c>
      <c r="J646" s="32" t="s">
        <v>66</v>
      </c>
      <c r="K646" s="32" t="s">
        <v>63</v>
      </c>
    </row>
    <row r="647" customFormat="false" ht="13.5" hidden="false" customHeight="true" outlineLevel="0" collapsed="false">
      <c r="A647" s="32" t="n">
        <v>2529</v>
      </c>
      <c r="B647" s="32" t="s">
        <v>670</v>
      </c>
      <c r="C647" s="32" t="s">
        <v>673</v>
      </c>
      <c r="D647" s="32" t="s">
        <v>114</v>
      </c>
      <c r="E647" s="32" t="s">
        <v>165</v>
      </c>
      <c r="F647" s="32" t="n">
        <v>9344454942</v>
      </c>
      <c r="G647" s="32" t="s">
        <v>0</v>
      </c>
      <c r="H647" s="32" t="s">
        <v>22</v>
      </c>
      <c r="I647" s="32" t="s">
        <v>280</v>
      </c>
      <c r="J647" s="32" t="s">
        <v>76</v>
      </c>
      <c r="K647" s="32" t="s">
        <v>63</v>
      </c>
    </row>
    <row r="648" customFormat="false" ht="13.5" hidden="false" customHeight="true" outlineLevel="0" collapsed="false">
      <c r="A648" s="32" t="n">
        <v>2530</v>
      </c>
      <c r="B648" s="32" t="s">
        <v>670</v>
      </c>
      <c r="C648" s="32" t="s">
        <v>673</v>
      </c>
      <c r="D648" s="32" t="s">
        <v>114</v>
      </c>
      <c r="E648" s="32" t="s">
        <v>165</v>
      </c>
      <c r="F648" s="32" t="n">
        <v>9344454942</v>
      </c>
      <c r="G648" s="32" t="s">
        <v>0</v>
      </c>
      <c r="H648" s="32" t="s">
        <v>22</v>
      </c>
      <c r="I648" s="32" t="s">
        <v>314</v>
      </c>
      <c r="J648" s="32" t="s">
        <v>134</v>
      </c>
      <c r="K648" s="32" t="s">
        <v>63</v>
      </c>
    </row>
    <row r="649" customFormat="false" ht="13.5" hidden="false" customHeight="true" outlineLevel="0" collapsed="false">
      <c r="A649" s="32" t="n">
        <v>2531</v>
      </c>
      <c r="B649" s="32" t="s">
        <v>674</v>
      </c>
      <c r="C649" s="32" t="s">
        <v>675</v>
      </c>
      <c r="D649" s="32" t="s">
        <v>59</v>
      </c>
      <c r="E649" s="32" t="s">
        <v>143</v>
      </c>
      <c r="F649" s="32" t="n">
        <v>0</v>
      </c>
      <c r="G649" s="32" t="s">
        <v>104</v>
      </c>
      <c r="H649" s="32" t="s">
        <v>21</v>
      </c>
      <c r="I649" s="32" t="s">
        <v>98</v>
      </c>
      <c r="J649" s="32" t="s">
        <v>99</v>
      </c>
      <c r="K649" s="32" t="s">
        <v>63</v>
      </c>
    </row>
    <row r="650" customFormat="false" ht="13.5" hidden="false" customHeight="true" outlineLevel="0" collapsed="false">
      <c r="A650" s="32" t="n">
        <v>2532</v>
      </c>
      <c r="B650" s="32" t="s">
        <v>676</v>
      </c>
      <c r="C650" s="32" t="s">
        <v>677</v>
      </c>
      <c r="D650" s="32" t="s">
        <v>59</v>
      </c>
      <c r="E650" s="32" t="s">
        <v>107</v>
      </c>
      <c r="F650" s="32" t="n">
        <v>9769791409</v>
      </c>
      <c r="G650" s="32" t="s">
        <v>104</v>
      </c>
      <c r="H650" s="32" t="s">
        <v>21</v>
      </c>
      <c r="I650" s="32" t="s">
        <v>93</v>
      </c>
      <c r="J650" s="32" t="s">
        <v>85</v>
      </c>
      <c r="K650" s="32" t="s">
        <v>63</v>
      </c>
    </row>
    <row r="651" customFormat="false" ht="13.5" hidden="false" customHeight="true" outlineLevel="0" collapsed="false">
      <c r="A651" s="32" t="n">
        <v>2533</v>
      </c>
      <c r="B651" s="32" t="s">
        <v>676</v>
      </c>
      <c r="C651" s="32" t="s">
        <v>677</v>
      </c>
      <c r="D651" s="32" t="s">
        <v>59</v>
      </c>
      <c r="E651" s="32" t="s">
        <v>107</v>
      </c>
      <c r="F651" s="32" t="n">
        <v>9769791409</v>
      </c>
      <c r="G651" s="32" t="s">
        <v>104</v>
      </c>
      <c r="H651" s="32" t="s">
        <v>21</v>
      </c>
      <c r="I651" s="32" t="s">
        <v>98</v>
      </c>
      <c r="J651" s="32" t="s">
        <v>99</v>
      </c>
      <c r="K651" s="32" t="s">
        <v>63</v>
      </c>
    </row>
    <row r="652" customFormat="false" ht="13.5" hidden="false" customHeight="true" outlineLevel="0" collapsed="false">
      <c r="A652" s="32" t="n">
        <v>2534</v>
      </c>
      <c r="B652" s="32" t="s">
        <v>676</v>
      </c>
      <c r="C652" s="32" t="s">
        <v>677</v>
      </c>
      <c r="D652" s="32" t="s">
        <v>59</v>
      </c>
      <c r="E652" s="32" t="s">
        <v>107</v>
      </c>
      <c r="F652" s="32" t="n">
        <v>9769791409</v>
      </c>
      <c r="G652" s="32" t="s">
        <v>104</v>
      </c>
      <c r="H652" s="32" t="s">
        <v>21</v>
      </c>
      <c r="I652" s="32" t="s">
        <v>678</v>
      </c>
      <c r="J652" s="32" t="s">
        <v>152</v>
      </c>
      <c r="K652" s="32" t="s">
        <v>63</v>
      </c>
    </row>
    <row r="653" customFormat="false" ht="13.5" hidden="false" customHeight="true" outlineLevel="0" collapsed="false">
      <c r="A653" s="32" t="n">
        <v>2535</v>
      </c>
      <c r="B653" s="32" t="s">
        <v>676</v>
      </c>
      <c r="C653" s="32" t="s">
        <v>677</v>
      </c>
      <c r="D653" s="32" t="s">
        <v>59</v>
      </c>
      <c r="E653" s="32" t="s">
        <v>107</v>
      </c>
      <c r="F653" s="32" t="n">
        <v>9769791409</v>
      </c>
      <c r="G653" s="32" t="s">
        <v>104</v>
      </c>
      <c r="H653" s="32" t="s">
        <v>21</v>
      </c>
      <c r="I653" s="32" t="s">
        <v>151</v>
      </c>
      <c r="J653" s="32" t="s">
        <v>152</v>
      </c>
      <c r="K653" s="32" t="s">
        <v>63</v>
      </c>
    </row>
    <row r="654" customFormat="false" ht="13.5" hidden="false" customHeight="true" outlineLevel="0" collapsed="false">
      <c r="A654" s="32" t="n">
        <v>2536</v>
      </c>
      <c r="B654" s="32" t="s">
        <v>676</v>
      </c>
      <c r="C654" s="32" t="s">
        <v>677</v>
      </c>
      <c r="D654" s="32" t="s">
        <v>59</v>
      </c>
      <c r="E654" s="32" t="s">
        <v>107</v>
      </c>
      <c r="F654" s="32" t="n">
        <v>9769791409</v>
      </c>
      <c r="G654" s="32" t="s">
        <v>104</v>
      </c>
      <c r="H654" s="32" t="s">
        <v>21</v>
      </c>
      <c r="I654" s="32" t="s">
        <v>371</v>
      </c>
      <c r="J654" s="32" t="s">
        <v>152</v>
      </c>
      <c r="K654" s="32" t="s">
        <v>63</v>
      </c>
    </row>
    <row r="655" customFormat="false" ht="13.5" hidden="false" customHeight="true" outlineLevel="0" collapsed="false">
      <c r="A655" s="32" t="n">
        <v>2537</v>
      </c>
      <c r="B655" s="32" t="s">
        <v>676</v>
      </c>
      <c r="C655" s="32" t="s">
        <v>679</v>
      </c>
      <c r="D655" s="32" t="s">
        <v>59</v>
      </c>
      <c r="E655" s="32" t="s">
        <v>107</v>
      </c>
      <c r="F655" s="32" t="n">
        <v>9769791409</v>
      </c>
      <c r="G655" s="32" t="s">
        <v>104</v>
      </c>
      <c r="H655" s="32" t="s">
        <v>21</v>
      </c>
      <c r="I655" s="32" t="s">
        <v>145</v>
      </c>
      <c r="J655" s="32" t="s">
        <v>117</v>
      </c>
      <c r="K655" s="32" t="s">
        <v>63</v>
      </c>
    </row>
    <row r="656" customFormat="false" ht="13.5" hidden="false" customHeight="true" outlineLevel="0" collapsed="false">
      <c r="A656" s="32" t="n">
        <v>2538</v>
      </c>
      <c r="B656" s="32" t="s">
        <v>676</v>
      </c>
      <c r="C656" s="32" t="s">
        <v>679</v>
      </c>
      <c r="D656" s="32" t="s">
        <v>59</v>
      </c>
      <c r="E656" s="32" t="s">
        <v>107</v>
      </c>
      <c r="F656" s="32" t="n">
        <v>9769791409</v>
      </c>
      <c r="G656" s="32" t="s">
        <v>104</v>
      </c>
      <c r="H656" s="32" t="s">
        <v>21</v>
      </c>
      <c r="I656" s="32" t="s">
        <v>30</v>
      </c>
      <c r="J656" s="32" t="s">
        <v>203</v>
      </c>
      <c r="K656" s="32" t="s">
        <v>63</v>
      </c>
    </row>
    <row r="657" customFormat="false" ht="13.5" hidden="false" customHeight="true" outlineLevel="0" collapsed="false">
      <c r="A657" s="32" t="n">
        <v>2539</v>
      </c>
      <c r="B657" s="32" t="s">
        <v>676</v>
      </c>
      <c r="C657" s="32" t="s">
        <v>679</v>
      </c>
      <c r="D657" s="32" t="s">
        <v>59</v>
      </c>
      <c r="E657" s="32" t="s">
        <v>107</v>
      </c>
      <c r="F657" s="33" t="n">
        <v>919770000000</v>
      </c>
      <c r="G657" s="32" t="s">
        <v>104</v>
      </c>
      <c r="H657" s="32" t="s">
        <v>21</v>
      </c>
      <c r="I657" s="32" t="s">
        <v>146</v>
      </c>
      <c r="J657" s="32" t="s">
        <v>117</v>
      </c>
      <c r="K657" s="32" t="s">
        <v>63</v>
      </c>
    </row>
    <row r="658" customFormat="false" ht="13.5" hidden="false" customHeight="true" outlineLevel="0" collapsed="false">
      <c r="A658" s="32" t="n">
        <v>2540</v>
      </c>
      <c r="B658" s="32" t="s">
        <v>676</v>
      </c>
      <c r="C658" s="32" t="s">
        <v>679</v>
      </c>
      <c r="D658" s="32" t="s">
        <v>59</v>
      </c>
      <c r="E658" s="32" t="s">
        <v>107</v>
      </c>
      <c r="F658" s="32" t="n">
        <v>9769791409</v>
      </c>
      <c r="G658" s="32" t="s">
        <v>104</v>
      </c>
      <c r="H658" s="32" t="s">
        <v>21</v>
      </c>
      <c r="I658" s="32" t="s">
        <v>284</v>
      </c>
      <c r="J658" s="32" t="s">
        <v>117</v>
      </c>
      <c r="K658" s="32" t="s">
        <v>63</v>
      </c>
    </row>
    <row r="659" customFormat="false" ht="13.5" hidden="false" customHeight="true" outlineLevel="0" collapsed="false">
      <c r="A659" s="32" t="n">
        <v>2541</v>
      </c>
      <c r="B659" s="32" t="s">
        <v>680</v>
      </c>
      <c r="C659" s="32" t="s">
        <v>681</v>
      </c>
      <c r="D659" s="32" t="s">
        <v>59</v>
      </c>
      <c r="E659" s="32" t="s">
        <v>107</v>
      </c>
      <c r="F659" s="32" t="n">
        <v>9490219790</v>
      </c>
      <c r="G659" s="32" t="s">
        <v>80</v>
      </c>
      <c r="H659" s="32" t="s">
        <v>21</v>
      </c>
      <c r="I659" s="32" t="s">
        <v>145</v>
      </c>
      <c r="J659" s="32" t="s">
        <v>117</v>
      </c>
      <c r="K659" s="32" t="s">
        <v>63</v>
      </c>
    </row>
    <row r="660" customFormat="false" ht="13.5" hidden="false" customHeight="true" outlineLevel="0" collapsed="false">
      <c r="A660" s="32" t="n">
        <v>2542</v>
      </c>
      <c r="B660" s="32" t="s">
        <v>680</v>
      </c>
      <c r="C660" s="32" t="s">
        <v>681</v>
      </c>
      <c r="D660" s="32" t="s">
        <v>59</v>
      </c>
      <c r="E660" s="32" t="s">
        <v>107</v>
      </c>
      <c r="F660" s="32" t="n">
        <v>9490219790</v>
      </c>
      <c r="G660" s="32" t="s">
        <v>80</v>
      </c>
      <c r="H660" s="32" t="s">
        <v>21</v>
      </c>
      <c r="I660" s="32" t="s">
        <v>409</v>
      </c>
      <c r="J660" s="32" t="s">
        <v>410</v>
      </c>
      <c r="K660" s="32" t="s">
        <v>63</v>
      </c>
    </row>
    <row r="661" customFormat="false" ht="13.5" hidden="false" customHeight="true" outlineLevel="0" collapsed="false">
      <c r="A661" s="32" t="n">
        <v>2543</v>
      </c>
      <c r="B661" s="32" t="s">
        <v>680</v>
      </c>
      <c r="C661" s="32" t="s">
        <v>681</v>
      </c>
      <c r="D661" s="32" t="s">
        <v>59</v>
      </c>
      <c r="E661" s="32" t="s">
        <v>107</v>
      </c>
      <c r="F661" s="32" t="n">
        <v>9490219790</v>
      </c>
      <c r="G661" s="32" t="s">
        <v>80</v>
      </c>
      <c r="H661" s="32" t="s">
        <v>21</v>
      </c>
      <c r="I661" s="32" t="s">
        <v>85</v>
      </c>
      <c r="J661" s="32" t="s">
        <v>85</v>
      </c>
      <c r="K661" s="32" t="s">
        <v>63</v>
      </c>
    </row>
    <row r="662" customFormat="false" ht="13.5" hidden="false" customHeight="true" outlineLevel="0" collapsed="false">
      <c r="A662" s="32" t="n">
        <v>2544</v>
      </c>
      <c r="B662" s="32" t="s">
        <v>680</v>
      </c>
      <c r="C662" s="32" t="s">
        <v>682</v>
      </c>
      <c r="D662" s="32" t="s">
        <v>59</v>
      </c>
      <c r="E662" s="32" t="s">
        <v>107</v>
      </c>
      <c r="F662" s="32" t="n">
        <v>9490219790</v>
      </c>
      <c r="G662" s="32" t="s">
        <v>80</v>
      </c>
      <c r="H662" s="32" t="s">
        <v>21</v>
      </c>
      <c r="I662" s="32" t="s">
        <v>161</v>
      </c>
      <c r="J662" s="32" t="s">
        <v>117</v>
      </c>
      <c r="K662" s="32" t="s">
        <v>63</v>
      </c>
    </row>
    <row r="663" customFormat="false" ht="13.5" hidden="false" customHeight="true" outlineLevel="0" collapsed="false">
      <c r="A663" s="32" t="n">
        <v>2545</v>
      </c>
      <c r="B663" s="32" t="s">
        <v>683</v>
      </c>
      <c r="C663" s="32" t="s">
        <v>684</v>
      </c>
      <c r="D663" s="32" t="s">
        <v>59</v>
      </c>
      <c r="E663" s="32" t="s">
        <v>107</v>
      </c>
      <c r="F663" s="33" t="n">
        <v>918675000000</v>
      </c>
      <c r="G663" s="32" t="s">
        <v>61</v>
      </c>
      <c r="H663" s="32" t="s">
        <v>21</v>
      </c>
      <c r="I663" s="32" t="s">
        <v>108</v>
      </c>
      <c r="J663" s="32" t="s">
        <v>71</v>
      </c>
      <c r="K663" s="32" t="s">
        <v>63</v>
      </c>
    </row>
    <row r="664" customFormat="false" ht="13.5" hidden="false" customHeight="true" outlineLevel="0" collapsed="false">
      <c r="A664" s="32" t="n">
        <v>2546</v>
      </c>
      <c r="B664" s="32" t="s">
        <v>683</v>
      </c>
      <c r="C664" s="32" t="s">
        <v>684</v>
      </c>
      <c r="D664" s="32" t="s">
        <v>59</v>
      </c>
      <c r="E664" s="32" t="s">
        <v>107</v>
      </c>
      <c r="F664" s="33" t="n">
        <v>918675000000</v>
      </c>
      <c r="G664" s="32" t="s">
        <v>61</v>
      </c>
      <c r="H664" s="32" t="s">
        <v>21</v>
      </c>
      <c r="I664" s="32" t="s">
        <v>145</v>
      </c>
      <c r="J664" s="32" t="s">
        <v>117</v>
      </c>
      <c r="K664" s="32" t="s">
        <v>63</v>
      </c>
    </row>
    <row r="665" customFormat="false" ht="13.5" hidden="false" customHeight="true" outlineLevel="0" collapsed="false">
      <c r="A665" s="32" t="n">
        <v>2547</v>
      </c>
      <c r="B665" s="32" t="s">
        <v>685</v>
      </c>
      <c r="C665" s="32" t="s">
        <v>686</v>
      </c>
      <c r="D665" s="32" t="s">
        <v>59</v>
      </c>
      <c r="E665" s="32" t="s">
        <v>79</v>
      </c>
      <c r="F665" s="32" t="n">
        <v>8898127035</v>
      </c>
      <c r="G665" s="32" t="s">
        <v>104</v>
      </c>
      <c r="H665" s="32" t="s">
        <v>21</v>
      </c>
      <c r="I665" s="32" t="s">
        <v>284</v>
      </c>
      <c r="J665" s="32" t="s">
        <v>117</v>
      </c>
      <c r="K665" s="32" t="s">
        <v>63</v>
      </c>
    </row>
    <row r="666" customFormat="false" ht="13.5" hidden="false" customHeight="true" outlineLevel="0" collapsed="false">
      <c r="A666" s="32" t="n">
        <v>2548</v>
      </c>
      <c r="B666" s="32" t="s">
        <v>685</v>
      </c>
      <c r="C666" s="32" t="s">
        <v>686</v>
      </c>
      <c r="D666" s="32" t="s">
        <v>59</v>
      </c>
      <c r="E666" s="32" t="s">
        <v>79</v>
      </c>
      <c r="F666" s="32" t="n">
        <v>8898127035</v>
      </c>
      <c r="G666" s="32" t="s">
        <v>104</v>
      </c>
      <c r="H666" s="32" t="s">
        <v>21</v>
      </c>
      <c r="I666" s="32" t="s">
        <v>151</v>
      </c>
      <c r="J666" s="32" t="s">
        <v>152</v>
      </c>
      <c r="K666" s="32" t="s">
        <v>63</v>
      </c>
    </row>
    <row r="667" customFormat="false" ht="13.5" hidden="false" customHeight="true" outlineLevel="0" collapsed="false">
      <c r="A667" s="32" t="n">
        <v>2549</v>
      </c>
      <c r="B667" s="32" t="s">
        <v>685</v>
      </c>
      <c r="C667" s="32" t="s">
        <v>686</v>
      </c>
      <c r="D667" s="32" t="s">
        <v>59</v>
      </c>
      <c r="E667" s="32" t="s">
        <v>79</v>
      </c>
      <c r="F667" s="32" t="n">
        <v>8898127035</v>
      </c>
      <c r="G667" s="32" t="s">
        <v>104</v>
      </c>
      <c r="H667" s="32" t="s">
        <v>21</v>
      </c>
      <c r="I667" s="32" t="s">
        <v>687</v>
      </c>
      <c r="J667" s="32" t="s">
        <v>85</v>
      </c>
      <c r="K667" s="32" t="s">
        <v>63</v>
      </c>
    </row>
    <row r="668" customFormat="false" ht="13.5" hidden="false" customHeight="true" outlineLevel="0" collapsed="false">
      <c r="A668" s="32" t="n">
        <v>2550</v>
      </c>
      <c r="B668" s="32" t="s">
        <v>688</v>
      </c>
      <c r="C668" s="32" t="s">
        <v>689</v>
      </c>
      <c r="D668" s="32" t="s">
        <v>59</v>
      </c>
      <c r="E668" s="32" t="s">
        <v>107</v>
      </c>
      <c r="F668" s="32" t="n">
        <v>9970136298</v>
      </c>
      <c r="G668" s="32" t="s">
        <v>104</v>
      </c>
      <c r="H668" s="32" t="s">
        <v>21</v>
      </c>
      <c r="I668" s="32" t="s">
        <v>690</v>
      </c>
      <c r="J668" s="32" t="s">
        <v>117</v>
      </c>
      <c r="K668" s="32" t="s">
        <v>63</v>
      </c>
    </row>
    <row r="669" customFormat="false" ht="13.5" hidden="false" customHeight="true" outlineLevel="0" collapsed="false">
      <c r="A669" s="32" t="n">
        <v>2551</v>
      </c>
      <c r="B669" s="32" t="s">
        <v>691</v>
      </c>
      <c r="C669" s="32" t="s">
        <v>692</v>
      </c>
      <c r="D669" s="32" t="s">
        <v>59</v>
      </c>
      <c r="E669" s="32" t="s">
        <v>60</v>
      </c>
      <c r="F669" s="32" t="n">
        <v>0</v>
      </c>
      <c r="G669" s="32" t="s">
        <v>61</v>
      </c>
      <c r="H669" s="32" t="s">
        <v>21</v>
      </c>
      <c r="I669" s="32" t="s">
        <v>156</v>
      </c>
      <c r="J669" s="32" t="s">
        <v>62</v>
      </c>
      <c r="K669" s="32" t="s">
        <v>63</v>
      </c>
    </row>
    <row r="670" customFormat="false" ht="13.5" hidden="false" customHeight="true" outlineLevel="0" collapsed="false">
      <c r="A670" s="32" t="n">
        <v>2552</v>
      </c>
      <c r="B670" s="32" t="s">
        <v>691</v>
      </c>
      <c r="C670" s="32" t="s">
        <v>692</v>
      </c>
      <c r="D670" s="32" t="s">
        <v>59</v>
      </c>
      <c r="E670" s="32" t="s">
        <v>60</v>
      </c>
      <c r="F670" s="32" t="n">
        <v>0</v>
      </c>
      <c r="G670" s="32" t="s">
        <v>61</v>
      </c>
      <c r="H670" s="32" t="s">
        <v>21</v>
      </c>
      <c r="I670" s="32" t="s">
        <v>29</v>
      </c>
      <c r="J670" s="32" t="s">
        <v>62</v>
      </c>
      <c r="K670" s="32" t="s">
        <v>63</v>
      </c>
    </row>
    <row r="671" customFormat="false" ht="13.5" hidden="false" customHeight="true" outlineLevel="0" collapsed="false">
      <c r="A671" s="32" t="n">
        <v>2553</v>
      </c>
      <c r="B671" s="32" t="s">
        <v>691</v>
      </c>
      <c r="C671" s="32" t="s">
        <v>692</v>
      </c>
      <c r="D671" s="32" t="s">
        <v>59</v>
      </c>
      <c r="E671" s="32" t="s">
        <v>60</v>
      </c>
      <c r="F671" s="32" t="n">
        <v>0</v>
      </c>
      <c r="G671" s="32" t="s">
        <v>61</v>
      </c>
      <c r="H671" s="32" t="s">
        <v>21</v>
      </c>
      <c r="I671" s="32" t="s">
        <v>14</v>
      </c>
      <c r="J671" s="32" t="s">
        <v>66</v>
      </c>
      <c r="K671" s="32" t="s">
        <v>63</v>
      </c>
    </row>
    <row r="672" customFormat="false" ht="13.5" hidden="false" customHeight="true" outlineLevel="0" collapsed="false">
      <c r="A672" s="32" t="n">
        <v>2555</v>
      </c>
      <c r="B672" s="32" t="s">
        <v>693</v>
      </c>
      <c r="C672" s="32" t="s">
        <v>694</v>
      </c>
      <c r="D672" s="32" t="s">
        <v>114</v>
      </c>
      <c r="E672" s="32" t="s">
        <v>115</v>
      </c>
      <c r="F672" s="32" t="n">
        <v>8390050970</v>
      </c>
      <c r="G672" s="32" t="s">
        <v>144</v>
      </c>
      <c r="H672" s="32" t="s">
        <v>22</v>
      </c>
      <c r="I672" s="32" t="s">
        <v>145</v>
      </c>
      <c r="J672" s="32" t="s">
        <v>117</v>
      </c>
      <c r="K672" s="32" t="s">
        <v>63</v>
      </c>
    </row>
    <row r="673" customFormat="false" ht="13.5" hidden="false" customHeight="true" outlineLevel="0" collapsed="false">
      <c r="A673" s="32" t="n">
        <v>2556</v>
      </c>
      <c r="B673" s="32" t="s">
        <v>693</v>
      </c>
      <c r="C673" s="32" t="s">
        <v>694</v>
      </c>
      <c r="D673" s="32" t="s">
        <v>114</v>
      </c>
      <c r="E673" s="32" t="s">
        <v>115</v>
      </c>
      <c r="F673" s="32" t="n">
        <v>8390050970</v>
      </c>
      <c r="G673" s="32" t="s">
        <v>144</v>
      </c>
      <c r="H673" s="32" t="s">
        <v>22</v>
      </c>
      <c r="I673" s="32" t="s">
        <v>95</v>
      </c>
      <c r="J673" s="32" t="s">
        <v>96</v>
      </c>
      <c r="K673" s="32" t="s">
        <v>63</v>
      </c>
    </row>
    <row r="674" customFormat="false" ht="13.5" hidden="false" customHeight="true" outlineLevel="0" collapsed="false">
      <c r="A674" s="32" t="n">
        <v>2557</v>
      </c>
      <c r="B674" s="32" t="s">
        <v>693</v>
      </c>
      <c r="C674" s="32" t="s">
        <v>694</v>
      </c>
      <c r="D674" s="32" t="s">
        <v>114</v>
      </c>
      <c r="E674" s="32" t="s">
        <v>115</v>
      </c>
      <c r="F674" s="32" t="n">
        <v>8390050970</v>
      </c>
      <c r="G674" s="32" t="s">
        <v>144</v>
      </c>
      <c r="H674" s="32" t="s">
        <v>22</v>
      </c>
      <c r="I674" s="32" t="s">
        <v>85</v>
      </c>
      <c r="J674" s="32" t="s">
        <v>85</v>
      </c>
      <c r="K674" s="32" t="s">
        <v>63</v>
      </c>
    </row>
    <row r="675" customFormat="false" ht="13.5" hidden="false" customHeight="true" outlineLevel="0" collapsed="false">
      <c r="A675" s="32" t="n">
        <v>2558</v>
      </c>
      <c r="B675" s="32" t="s">
        <v>693</v>
      </c>
      <c r="C675" s="32" t="s">
        <v>694</v>
      </c>
      <c r="D675" s="32" t="s">
        <v>114</v>
      </c>
      <c r="E675" s="32" t="s">
        <v>115</v>
      </c>
      <c r="F675" s="32" t="n">
        <v>8390050970</v>
      </c>
      <c r="G675" s="32" t="s">
        <v>144</v>
      </c>
      <c r="H675" s="32" t="s">
        <v>22</v>
      </c>
      <c r="I675" s="32" t="s">
        <v>695</v>
      </c>
      <c r="J675" s="32" t="s">
        <v>695</v>
      </c>
      <c r="K675" s="32" t="s">
        <v>63</v>
      </c>
    </row>
    <row r="676" customFormat="false" ht="13.5" hidden="false" customHeight="true" outlineLevel="0" collapsed="false">
      <c r="A676" s="32" t="n">
        <v>2559</v>
      </c>
      <c r="B676" s="32" t="s">
        <v>693</v>
      </c>
      <c r="C676" s="32" t="s">
        <v>696</v>
      </c>
      <c r="D676" s="32" t="s">
        <v>114</v>
      </c>
      <c r="E676" s="32" t="s">
        <v>115</v>
      </c>
      <c r="F676" s="32" t="n">
        <v>8390050970</v>
      </c>
      <c r="G676" s="32" t="s">
        <v>144</v>
      </c>
      <c r="H676" s="32" t="s">
        <v>22</v>
      </c>
      <c r="I676" s="32" t="s">
        <v>227</v>
      </c>
      <c r="J676" s="32" t="s">
        <v>228</v>
      </c>
      <c r="K676" s="32" t="s">
        <v>63</v>
      </c>
    </row>
    <row r="677" customFormat="false" ht="13.5" hidden="false" customHeight="true" outlineLevel="0" collapsed="false">
      <c r="A677" s="32" t="n">
        <v>2560</v>
      </c>
      <c r="B677" s="32" t="s">
        <v>697</v>
      </c>
      <c r="C677" s="32" t="s">
        <v>698</v>
      </c>
      <c r="D677" s="32" t="s">
        <v>114</v>
      </c>
      <c r="E677" s="32" t="s">
        <v>115</v>
      </c>
      <c r="F677" s="32" t="n">
        <v>8447587960</v>
      </c>
      <c r="G677" s="32" t="s">
        <v>144</v>
      </c>
      <c r="H677" s="32" t="s">
        <v>22</v>
      </c>
      <c r="I677" s="32" t="s">
        <v>248</v>
      </c>
      <c r="J677" s="32" t="s">
        <v>117</v>
      </c>
      <c r="K677" s="32" t="s">
        <v>63</v>
      </c>
    </row>
    <row r="678" customFormat="false" ht="13.5" hidden="false" customHeight="true" outlineLevel="0" collapsed="false">
      <c r="A678" s="32" t="n">
        <v>2561</v>
      </c>
      <c r="B678" s="32" t="s">
        <v>697</v>
      </c>
      <c r="C678" s="32" t="s">
        <v>698</v>
      </c>
      <c r="D678" s="32" t="s">
        <v>114</v>
      </c>
      <c r="E678" s="32" t="s">
        <v>115</v>
      </c>
      <c r="F678" s="32" t="n">
        <v>8447587960</v>
      </c>
      <c r="G678" s="32" t="s">
        <v>144</v>
      </c>
      <c r="H678" s="32" t="s">
        <v>22</v>
      </c>
      <c r="I678" s="32" t="s">
        <v>93</v>
      </c>
      <c r="J678" s="32" t="s">
        <v>85</v>
      </c>
      <c r="K678" s="32" t="s">
        <v>63</v>
      </c>
    </row>
    <row r="679" customFormat="false" ht="13.5" hidden="false" customHeight="true" outlineLevel="0" collapsed="false">
      <c r="A679" s="32" t="n">
        <v>2562</v>
      </c>
      <c r="B679" s="32" t="s">
        <v>697</v>
      </c>
      <c r="C679" s="32" t="s">
        <v>699</v>
      </c>
      <c r="D679" s="32" t="s">
        <v>114</v>
      </c>
      <c r="E679" s="32" t="s">
        <v>115</v>
      </c>
      <c r="F679" s="32" t="n">
        <v>8447587960</v>
      </c>
      <c r="G679" s="32" t="s">
        <v>144</v>
      </c>
      <c r="H679" s="32" t="s">
        <v>22</v>
      </c>
      <c r="I679" s="32" t="s">
        <v>151</v>
      </c>
      <c r="J679" s="32" t="s">
        <v>152</v>
      </c>
      <c r="K679" s="32" t="s">
        <v>63</v>
      </c>
    </row>
    <row r="680" customFormat="false" ht="13.5" hidden="false" customHeight="true" outlineLevel="0" collapsed="false">
      <c r="A680" s="32" t="n">
        <v>2563</v>
      </c>
      <c r="B680" s="32" t="s">
        <v>697</v>
      </c>
      <c r="C680" s="32" t="s">
        <v>699</v>
      </c>
      <c r="D680" s="32" t="s">
        <v>114</v>
      </c>
      <c r="E680" s="32" t="s">
        <v>115</v>
      </c>
      <c r="F680" s="32" t="n">
        <v>8447587960</v>
      </c>
      <c r="G680" s="32" t="s">
        <v>144</v>
      </c>
      <c r="H680" s="32" t="s">
        <v>22</v>
      </c>
      <c r="I680" s="32" t="s">
        <v>116</v>
      </c>
      <c r="J680" s="32" t="s">
        <v>117</v>
      </c>
      <c r="K680" s="32" t="s">
        <v>63</v>
      </c>
    </row>
    <row r="681" customFormat="false" ht="13.5" hidden="false" customHeight="true" outlineLevel="0" collapsed="false">
      <c r="A681" s="32" t="n">
        <v>2564</v>
      </c>
      <c r="B681" s="32" t="s">
        <v>697</v>
      </c>
      <c r="C681" s="32" t="s">
        <v>699</v>
      </c>
      <c r="D681" s="32" t="s">
        <v>114</v>
      </c>
      <c r="E681" s="32" t="s">
        <v>115</v>
      </c>
      <c r="F681" s="32" t="n">
        <v>8447587960</v>
      </c>
      <c r="G681" s="32" t="s">
        <v>144</v>
      </c>
      <c r="H681" s="32" t="s">
        <v>22</v>
      </c>
      <c r="I681" s="32" t="s">
        <v>30</v>
      </c>
      <c r="J681" s="32" t="s">
        <v>203</v>
      </c>
      <c r="K681" s="32" t="s">
        <v>63</v>
      </c>
    </row>
    <row r="682" customFormat="false" ht="13.5" hidden="false" customHeight="true" outlineLevel="0" collapsed="false">
      <c r="A682" s="32" t="n">
        <v>2565</v>
      </c>
      <c r="B682" s="32" t="s">
        <v>697</v>
      </c>
      <c r="C682" s="32" t="s">
        <v>699</v>
      </c>
      <c r="D682" s="32" t="s">
        <v>114</v>
      </c>
      <c r="E682" s="32" t="s">
        <v>115</v>
      </c>
      <c r="F682" s="32" t="n">
        <v>8447587960</v>
      </c>
      <c r="G682" s="32" t="s">
        <v>144</v>
      </c>
      <c r="H682" s="32" t="s">
        <v>22</v>
      </c>
      <c r="I682" s="32" t="s">
        <v>28</v>
      </c>
      <c r="J682" s="32" t="s">
        <v>82</v>
      </c>
      <c r="K682" s="32" t="s">
        <v>63</v>
      </c>
    </row>
    <row r="683" customFormat="false" ht="13.5" hidden="false" customHeight="true" outlineLevel="0" collapsed="false">
      <c r="A683" s="32" t="n">
        <v>2566</v>
      </c>
      <c r="B683" s="32" t="s">
        <v>697</v>
      </c>
      <c r="C683" s="32" t="s">
        <v>699</v>
      </c>
      <c r="D683" s="32" t="s">
        <v>114</v>
      </c>
      <c r="E683" s="32" t="s">
        <v>115</v>
      </c>
      <c r="F683" s="32" t="n">
        <v>8447587960</v>
      </c>
      <c r="G683" s="32" t="s">
        <v>144</v>
      </c>
      <c r="H683" s="32" t="s">
        <v>22</v>
      </c>
      <c r="I683" s="32" t="s">
        <v>128</v>
      </c>
      <c r="J683" s="32" t="s">
        <v>89</v>
      </c>
      <c r="K683" s="32" t="s">
        <v>63</v>
      </c>
    </row>
    <row r="684" customFormat="false" ht="13.5" hidden="false" customHeight="true" outlineLevel="0" collapsed="false">
      <c r="A684" s="32" t="n">
        <v>2567</v>
      </c>
      <c r="B684" s="32" t="s">
        <v>697</v>
      </c>
      <c r="C684" s="32" t="s">
        <v>699</v>
      </c>
      <c r="D684" s="32" t="s">
        <v>114</v>
      </c>
      <c r="E684" s="32" t="s">
        <v>115</v>
      </c>
      <c r="F684" s="32" t="n">
        <v>8447587960</v>
      </c>
      <c r="G684" s="32" t="s">
        <v>144</v>
      </c>
      <c r="H684" s="32" t="s">
        <v>22</v>
      </c>
      <c r="I684" s="32" t="s">
        <v>172</v>
      </c>
      <c r="J684" s="32" t="s">
        <v>152</v>
      </c>
      <c r="K684" s="32" t="s">
        <v>63</v>
      </c>
    </row>
    <row r="685" customFormat="false" ht="13.5" hidden="false" customHeight="true" outlineLevel="0" collapsed="false">
      <c r="A685" s="32" t="n">
        <v>2568</v>
      </c>
      <c r="B685" s="32" t="s">
        <v>697</v>
      </c>
      <c r="C685" s="32" t="s">
        <v>699</v>
      </c>
      <c r="D685" s="32" t="s">
        <v>114</v>
      </c>
      <c r="E685" s="32" t="s">
        <v>115</v>
      </c>
      <c r="F685" s="32" t="n">
        <v>8447587960</v>
      </c>
      <c r="G685" s="32" t="s">
        <v>144</v>
      </c>
      <c r="H685" s="32" t="s">
        <v>22</v>
      </c>
      <c r="I685" s="32" t="s">
        <v>700</v>
      </c>
      <c r="J685" s="32" t="s">
        <v>388</v>
      </c>
      <c r="K685" s="32" t="s">
        <v>63</v>
      </c>
    </row>
    <row r="686" customFormat="false" ht="13.5" hidden="false" customHeight="true" outlineLevel="0" collapsed="false">
      <c r="A686" s="32" t="n">
        <v>2569</v>
      </c>
      <c r="B686" s="32" t="s">
        <v>701</v>
      </c>
      <c r="C686" s="32" t="s">
        <v>702</v>
      </c>
      <c r="D686" s="32" t="s">
        <v>114</v>
      </c>
      <c r="E686" s="32" t="s">
        <v>169</v>
      </c>
      <c r="F686" s="32" t="n">
        <v>9604823141</v>
      </c>
      <c r="G686" s="32" t="s">
        <v>144</v>
      </c>
      <c r="H686" s="32" t="s">
        <v>22</v>
      </c>
      <c r="I686" s="32" t="s">
        <v>703</v>
      </c>
      <c r="J686" s="32" t="s">
        <v>152</v>
      </c>
      <c r="K686" s="32" t="s">
        <v>63</v>
      </c>
    </row>
    <row r="687" customFormat="false" ht="13.5" hidden="false" customHeight="true" outlineLevel="0" collapsed="false">
      <c r="A687" s="32" t="n">
        <v>2570</v>
      </c>
      <c r="B687" s="32" t="s">
        <v>701</v>
      </c>
      <c r="C687" s="32" t="s">
        <v>702</v>
      </c>
      <c r="D687" s="32" t="s">
        <v>114</v>
      </c>
      <c r="E687" s="32" t="s">
        <v>169</v>
      </c>
      <c r="F687" s="32" t="n">
        <v>9604823141</v>
      </c>
      <c r="G687" s="32" t="s">
        <v>144</v>
      </c>
      <c r="H687" s="32" t="s">
        <v>22</v>
      </c>
      <c r="I687" s="32" t="s">
        <v>151</v>
      </c>
      <c r="J687" s="32" t="s">
        <v>152</v>
      </c>
      <c r="K687" s="32" t="s">
        <v>63</v>
      </c>
    </row>
    <row r="688" customFormat="false" ht="13.5" hidden="false" customHeight="true" outlineLevel="0" collapsed="false">
      <c r="A688" s="32" t="n">
        <v>2571</v>
      </c>
      <c r="B688" s="32" t="s">
        <v>701</v>
      </c>
      <c r="C688" s="32" t="s">
        <v>702</v>
      </c>
      <c r="D688" s="32" t="s">
        <v>114</v>
      </c>
      <c r="E688" s="32" t="s">
        <v>169</v>
      </c>
      <c r="F688" s="32" t="n">
        <v>9604823141</v>
      </c>
      <c r="G688" s="32" t="s">
        <v>144</v>
      </c>
      <c r="H688" s="32" t="s">
        <v>22</v>
      </c>
      <c r="I688" s="32" t="s">
        <v>151</v>
      </c>
      <c r="J688" s="32" t="s">
        <v>152</v>
      </c>
      <c r="K688" s="32" t="s">
        <v>63</v>
      </c>
    </row>
    <row r="689" customFormat="false" ht="13.5" hidden="false" customHeight="true" outlineLevel="0" collapsed="false">
      <c r="A689" s="32" t="n">
        <v>2575</v>
      </c>
      <c r="B689" s="32" t="s">
        <v>701</v>
      </c>
      <c r="C689" s="32" t="s">
        <v>702</v>
      </c>
      <c r="D689" s="32" t="s">
        <v>114</v>
      </c>
      <c r="E689" s="32" t="s">
        <v>169</v>
      </c>
      <c r="F689" s="32" t="n">
        <v>9604823141</v>
      </c>
      <c r="G689" s="32" t="s">
        <v>144</v>
      </c>
      <c r="H689" s="32" t="s">
        <v>22</v>
      </c>
      <c r="I689" s="32" t="s">
        <v>371</v>
      </c>
      <c r="J689" s="32" t="s">
        <v>152</v>
      </c>
      <c r="K689" s="32" t="s">
        <v>63</v>
      </c>
    </row>
    <row r="690" customFormat="false" ht="13.5" hidden="false" customHeight="true" outlineLevel="0" collapsed="false">
      <c r="A690" s="32" t="n">
        <v>2576</v>
      </c>
      <c r="B690" s="32" t="s">
        <v>704</v>
      </c>
      <c r="C690" s="32" t="s">
        <v>705</v>
      </c>
      <c r="D690" s="32" t="s">
        <v>59</v>
      </c>
      <c r="E690" s="32" t="s">
        <v>92</v>
      </c>
      <c r="F690" s="32" t="n">
        <v>9039592163</v>
      </c>
      <c r="G690" s="32" t="s">
        <v>69</v>
      </c>
      <c r="H690" s="32" t="s">
        <v>21</v>
      </c>
      <c r="I690" s="32" t="s">
        <v>27</v>
      </c>
      <c r="J690" s="32" t="s">
        <v>13</v>
      </c>
      <c r="K690" s="32" t="s">
        <v>63</v>
      </c>
    </row>
    <row r="691" customFormat="false" ht="13.5" hidden="false" customHeight="true" outlineLevel="0" collapsed="false">
      <c r="A691" s="32" t="n">
        <v>2577</v>
      </c>
      <c r="B691" s="32" t="s">
        <v>704</v>
      </c>
      <c r="C691" s="32" t="s">
        <v>705</v>
      </c>
      <c r="D691" s="32" t="s">
        <v>59</v>
      </c>
      <c r="E691" s="32" t="s">
        <v>92</v>
      </c>
      <c r="F691" s="32" t="n">
        <v>9039592163</v>
      </c>
      <c r="G691" s="32" t="s">
        <v>69</v>
      </c>
      <c r="H691" s="32" t="s">
        <v>21</v>
      </c>
      <c r="I691" s="32" t="s">
        <v>30</v>
      </c>
      <c r="J691" s="32" t="s">
        <v>203</v>
      </c>
      <c r="K691" s="32" t="s">
        <v>63</v>
      </c>
    </row>
    <row r="692" customFormat="false" ht="13.5" hidden="false" customHeight="true" outlineLevel="0" collapsed="false">
      <c r="A692" s="32" t="n">
        <v>2578</v>
      </c>
      <c r="B692" s="32" t="s">
        <v>704</v>
      </c>
      <c r="C692" s="32" t="s">
        <v>705</v>
      </c>
      <c r="D692" s="32" t="s">
        <v>59</v>
      </c>
      <c r="E692" s="32" t="s">
        <v>92</v>
      </c>
      <c r="F692" s="32" t="n">
        <v>9039592163</v>
      </c>
      <c r="G692" s="32" t="s">
        <v>69</v>
      </c>
      <c r="H692" s="32" t="s">
        <v>21</v>
      </c>
      <c r="I692" s="32" t="s">
        <v>133</v>
      </c>
      <c r="J692" s="32" t="s">
        <v>134</v>
      </c>
      <c r="K692" s="32" t="s">
        <v>63</v>
      </c>
    </row>
    <row r="693" customFormat="false" ht="13.5" hidden="false" customHeight="true" outlineLevel="0" collapsed="false">
      <c r="A693" s="32" t="n">
        <v>2579</v>
      </c>
      <c r="B693" s="32" t="s">
        <v>706</v>
      </c>
      <c r="C693" s="32" t="s">
        <v>707</v>
      </c>
      <c r="D693" s="32" t="s">
        <v>59</v>
      </c>
      <c r="E693" s="32" t="s">
        <v>107</v>
      </c>
      <c r="F693" s="32" t="n">
        <v>9920965401</v>
      </c>
      <c r="G693" s="32" t="s">
        <v>104</v>
      </c>
      <c r="H693" s="32" t="s">
        <v>21</v>
      </c>
      <c r="I693" s="32" t="s">
        <v>121</v>
      </c>
      <c r="J693" s="32" t="s">
        <v>110</v>
      </c>
      <c r="K693" s="32" t="s">
        <v>63</v>
      </c>
    </row>
    <row r="694" customFormat="false" ht="13.5" hidden="false" customHeight="true" outlineLevel="0" collapsed="false">
      <c r="A694" s="32" t="n">
        <v>2584</v>
      </c>
      <c r="B694" s="32" t="s">
        <v>706</v>
      </c>
      <c r="C694" s="32" t="s">
        <v>707</v>
      </c>
      <c r="D694" s="32" t="s">
        <v>59</v>
      </c>
      <c r="E694" s="32" t="s">
        <v>107</v>
      </c>
      <c r="F694" s="32" t="n">
        <v>9920965401</v>
      </c>
      <c r="G694" s="32" t="s">
        <v>104</v>
      </c>
      <c r="H694" s="32" t="s">
        <v>21</v>
      </c>
      <c r="I694" s="32" t="s">
        <v>120</v>
      </c>
      <c r="J694" s="32" t="s">
        <v>110</v>
      </c>
      <c r="K694" s="32" t="s">
        <v>63</v>
      </c>
    </row>
    <row r="695" customFormat="false" ht="13.5" hidden="false" customHeight="true" outlineLevel="0" collapsed="false">
      <c r="A695" s="32" t="n">
        <v>2585</v>
      </c>
      <c r="B695" s="32" t="s">
        <v>706</v>
      </c>
      <c r="C695" s="32" t="s">
        <v>707</v>
      </c>
      <c r="D695" s="32" t="s">
        <v>59</v>
      </c>
      <c r="E695" s="32" t="s">
        <v>107</v>
      </c>
      <c r="F695" s="32" t="n">
        <v>9920965401</v>
      </c>
      <c r="G695" s="32" t="s">
        <v>104</v>
      </c>
      <c r="H695" s="32" t="s">
        <v>21</v>
      </c>
      <c r="I695" s="32" t="s">
        <v>145</v>
      </c>
      <c r="J695" s="32" t="s">
        <v>117</v>
      </c>
      <c r="K695" s="32" t="s">
        <v>63</v>
      </c>
    </row>
    <row r="696" customFormat="false" ht="13.5" hidden="false" customHeight="true" outlineLevel="0" collapsed="false">
      <c r="A696" s="32" t="n">
        <v>2586</v>
      </c>
      <c r="B696" s="32" t="s">
        <v>708</v>
      </c>
      <c r="C696" s="32" t="s">
        <v>709</v>
      </c>
      <c r="D696" s="32" t="s">
        <v>59</v>
      </c>
      <c r="E696" s="32" t="s">
        <v>107</v>
      </c>
      <c r="F696" s="32" t="n">
        <v>7722078020</v>
      </c>
      <c r="G696" s="32" t="s">
        <v>61</v>
      </c>
      <c r="H696" s="32" t="s">
        <v>21</v>
      </c>
      <c r="I696" s="32" t="s">
        <v>116</v>
      </c>
      <c r="J696" s="32" t="s">
        <v>117</v>
      </c>
      <c r="K696" s="32" t="s">
        <v>63</v>
      </c>
    </row>
    <row r="697" customFormat="false" ht="13.5" hidden="false" customHeight="true" outlineLevel="0" collapsed="false">
      <c r="A697" s="32" t="n">
        <v>2587</v>
      </c>
      <c r="B697" s="32" t="s">
        <v>710</v>
      </c>
      <c r="C697" s="32" t="s">
        <v>711</v>
      </c>
      <c r="D697" s="32" t="s">
        <v>102</v>
      </c>
      <c r="E697" s="32" t="s">
        <v>155</v>
      </c>
      <c r="F697" s="32" t="n">
        <v>0</v>
      </c>
      <c r="G697" s="32" t="s">
        <v>69</v>
      </c>
      <c r="H697" s="32" t="s">
        <v>21</v>
      </c>
      <c r="I697" s="32" t="s">
        <v>14</v>
      </c>
      <c r="J697" s="32" t="s">
        <v>66</v>
      </c>
      <c r="K697" s="32" t="s">
        <v>63</v>
      </c>
    </row>
    <row r="698" customFormat="false" ht="13.5" hidden="false" customHeight="true" outlineLevel="0" collapsed="false">
      <c r="A698" s="32" t="n">
        <v>2588</v>
      </c>
      <c r="B698" s="32" t="s">
        <v>712</v>
      </c>
      <c r="C698" s="32" t="s">
        <v>713</v>
      </c>
      <c r="D698" s="32" t="s">
        <v>331</v>
      </c>
      <c r="E698" s="32" t="s">
        <v>278</v>
      </c>
      <c r="F698" s="33" t="n">
        <v>918801000000</v>
      </c>
      <c r="G698" s="32" t="s">
        <v>144</v>
      </c>
      <c r="H698" s="32" t="s">
        <v>332</v>
      </c>
      <c r="I698" s="32" t="s">
        <v>678</v>
      </c>
      <c r="J698" s="32" t="s">
        <v>152</v>
      </c>
      <c r="K698" s="32" t="s">
        <v>63</v>
      </c>
    </row>
    <row r="699" customFormat="false" ht="13.5" hidden="false" customHeight="true" outlineLevel="0" collapsed="false">
      <c r="A699" s="32" t="n">
        <v>2589</v>
      </c>
      <c r="B699" s="32" t="s">
        <v>712</v>
      </c>
      <c r="C699" s="32" t="s">
        <v>713</v>
      </c>
      <c r="D699" s="32" t="s">
        <v>331</v>
      </c>
      <c r="E699" s="32" t="s">
        <v>278</v>
      </c>
      <c r="F699" s="33" t="n">
        <v>918801000000</v>
      </c>
      <c r="G699" s="32" t="s">
        <v>144</v>
      </c>
      <c r="H699" s="32" t="s">
        <v>332</v>
      </c>
      <c r="I699" s="32" t="s">
        <v>108</v>
      </c>
      <c r="J699" s="32" t="s">
        <v>71</v>
      </c>
      <c r="K699" s="32" t="s">
        <v>63</v>
      </c>
    </row>
    <row r="700" customFormat="false" ht="13.5" hidden="false" customHeight="true" outlineLevel="0" collapsed="false">
      <c r="A700" s="32" t="n">
        <v>2590</v>
      </c>
      <c r="B700" s="32" t="s">
        <v>712</v>
      </c>
      <c r="C700" s="32" t="s">
        <v>713</v>
      </c>
      <c r="D700" s="32" t="s">
        <v>331</v>
      </c>
      <c r="E700" s="32" t="s">
        <v>278</v>
      </c>
      <c r="F700" s="33" t="n">
        <v>918801000000</v>
      </c>
      <c r="G700" s="32" t="s">
        <v>144</v>
      </c>
      <c r="H700" s="32" t="s">
        <v>332</v>
      </c>
      <c r="I700" s="32" t="s">
        <v>171</v>
      </c>
      <c r="J700" s="32" t="s">
        <v>152</v>
      </c>
      <c r="K700" s="32" t="s">
        <v>63</v>
      </c>
    </row>
    <row r="701" customFormat="false" ht="13.5" hidden="false" customHeight="true" outlineLevel="0" collapsed="false">
      <c r="A701" s="32" t="n">
        <v>2591</v>
      </c>
      <c r="B701" s="32" t="s">
        <v>712</v>
      </c>
      <c r="C701" s="32" t="s">
        <v>713</v>
      </c>
      <c r="D701" s="32" t="s">
        <v>331</v>
      </c>
      <c r="E701" s="32" t="s">
        <v>278</v>
      </c>
      <c r="F701" s="33" t="n">
        <v>918801000000</v>
      </c>
      <c r="G701" s="32" t="s">
        <v>144</v>
      </c>
      <c r="H701" s="32" t="s">
        <v>332</v>
      </c>
      <c r="I701" s="32" t="s">
        <v>248</v>
      </c>
      <c r="J701" s="32" t="s">
        <v>117</v>
      </c>
      <c r="K701" s="32" t="s">
        <v>63</v>
      </c>
    </row>
    <row r="702" customFormat="false" ht="13.5" hidden="false" customHeight="true" outlineLevel="0" collapsed="false">
      <c r="A702" s="32" t="n">
        <v>2592</v>
      </c>
      <c r="B702" s="32" t="s">
        <v>712</v>
      </c>
      <c r="C702" s="32" t="s">
        <v>713</v>
      </c>
      <c r="D702" s="32" t="s">
        <v>331</v>
      </c>
      <c r="E702" s="32" t="s">
        <v>278</v>
      </c>
      <c r="F702" s="33" t="n">
        <v>918801000000</v>
      </c>
      <c r="G702" s="32" t="s">
        <v>144</v>
      </c>
      <c r="H702" s="32" t="s">
        <v>332</v>
      </c>
      <c r="I702" s="32" t="s">
        <v>145</v>
      </c>
      <c r="J702" s="32" t="s">
        <v>117</v>
      </c>
      <c r="K702" s="32" t="s">
        <v>63</v>
      </c>
    </row>
    <row r="703" customFormat="false" ht="13.5" hidden="false" customHeight="true" outlineLevel="0" collapsed="false">
      <c r="A703" s="32" t="n">
        <v>2593</v>
      </c>
      <c r="B703" s="32" t="s">
        <v>712</v>
      </c>
      <c r="C703" s="32" t="s">
        <v>713</v>
      </c>
      <c r="D703" s="32" t="s">
        <v>331</v>
      </c>
      <c r="E703" s="32" t="s">
        <v>278</v>
      </c>
      <c r="F703" s="33" t="n">
        <v>918801000000</v>
      </c>
      <c r="G703" s="32" t="s">
        <v>144</v>
      </c>
      <c r="H703" s="32" t="s">
        <v>332</v>
      </c>
      <c r="I703" s="32" t="s">
        <v>703</v>
      </c>
      <c r="J703" s="32" t="s">
        <v>152</v>
      </c>
      <c r="K703" s="32" t="s">
        <v>63</v>
      </c>
    </row>
    <row r="704" customFormat="false" ht="13.5" hidden="false" customHeight="true" outlineLevel="0" collapsed="false">
      <c r="A704" s="32" t="n">
        <v>2594</v>
      </c>
      <c r="B704" s="32" t="s">
        <v>712</v>
      </c>
      <c r="C704" s="32" t="s">
        <v>713</v>
      </c>
      <c r="D704" s="32" t="s">
        <v>331</v>
      </c>
      <c r="E704" s="32" t="s">
        <v>278</v>
      </c>
      <c r="F704" s="33" t="n">
        <v>918801000000</v>
      </c>
      <c r="G704" s="32" t="s">
        <v>144</v>
      </c>
      <c r="H704" s="32" t="s">
        <v>332</v>
      </c>
      <c r="I704" s="32" t="s">
        <v>714</v>
      </c>
      <c r="J704" s="32" t="s">
        <v>62</v>
      </c>
      <c r="K704" s="32" t="s">
        <v>63</v>
      </c>
    </row>
    <row r="705" customFormat="false" ht="13.5" hidden="false" customHeight="true" outlineLevel="0" collapsed="false">
      <c r="A705" s="32" t="n">
        <v>2596</v>
      </c>
      <c r="B705" s="32" t="s">
        <v>712</v>
      </c>
      <c r="C705" s="32" t="s">
        <v>713</v>
      </c>
      <c r="D705" s="32" t="s">
        <v>331</v>
      </c>
      <c r="E705" s="32" t="s">
        <v>278</v>
      </c>
      <c r="F705" s="33" t="n">
        <v>918801000000</v>
      </c>
      <c r="G705" s="32" t="s">
        <v>144</v>
      </c>
      <c r="H705" s="32" t="s">
        <v>332</v>
      </c>
      <c r="I705" s="32" t="s">
        <v>93</v>
      </c>
      <c r="J705" s="32" t="s">
        <v>85</v>
      </c>
      <c r="K705" s="32" t="s">
        <v>63</v>
      </c>
    </row>
    <row r="706" customFormat="false" ht="13.5" hidden="false" customHeight="true" outlineLevel="0" collapsed="false">
      <c r="A706" s="32" t="n">
        <v>2597</v>
      </c>
      <c r="B706" s="32" t="s">
        <v>712</v>
      </c>
      <c r="C706" s="32" t="s">
        <v>713</v>
      </c>
      <c r="D706" s="32" t="s">
        <v>331</v>
      </c>
      <c r="E706" s="32" t="s">
        <v>278</v>
      </c>
      <c r="F706" s="33" t="n">
        <v>918801000000</v>
      </c>
      <c r="G706" s="32" t="s">
        <v>144</v>
      </c>
      <c r="H706" s="32" t="s">
        <v>332</v>
      </c>
      <c r="I706" s="32" t="s">
        <v>284</v>
      </c>
      <c r="J706" s="32" t="s">
        <v>117</v>
      </c>
      <c r="K706" s="32" t="s">
        <v>63</v>
      </c>
    </row>
    <row r="707" customFormat="false" ht="13.5" hidden="false" customHeight="true" outlineLevel="0" collapsed="false">
      <c r="A707" s="32" t="n">
        <v>2598</v>
      </c>
      <c r="B707" s="32" t="s">
        <v>712</v>
      </c>
      <c r="C707" s="32" t="s">
        <v>713</v>
      </c>
      <c r="D707" s="32" t="s">
        <v>331</v>
      </c>
      <c r="E707" s="32" t="s">
        <v>278</v>
      </c>
      <c r="F707" s="33" t="n">
        <v>918801000000</v>
      </c>
      <c r="G707" s="32" t="s">
        <v>144</v>
      </c>
      <c r="H707" s="32" t="s">
        <v>332</v>
      </c>
      <c r="I707" s="32" t="s">
        <v>172</v>
      </c>
      <c r="J707" s="32" t="s">
        <v>152</v>
      </c>
      <c r="K707" s="32" t="s">
        <v>63</v>
      </c>
    </row>
    <row r="708" customFormat="false" ht="13.5" hidden="false" customHeight="true" outlineLevel="0" collapsed="false">
      <c r="A708" s="32" t="n">
        <v>2599</v>
      </c>
      <c r="B708" s="32" t="s">
        <v>712</v>
      </c>
      <c r="C708" s="32" t="s">
        <v>713</v>
      </c>
      <c r="D708" s="32" t="s">
        <v>331</v>
      </c>
      <c r="E708" s="32" t="s">
        <v>278</v>
      </c>
      <c r="F708" s="33" t="n">
        <v>918801000000</v>
      </c>
      <c r="G708" s="32" t="s">
        <v>144</v>
      </c>
      <c r="H708" s="32" t="s">
        <v>332</v>
      </c>
      <c r="I708" s="32" t="s">
        <v>371</v>
      </c>
      <c r="J708" s="32" t="s">
        <v>152</v>
      </c>
      <c r="K708" s="32" t="s">
        <v>63</v>
      </c>
    </row>
    <row r="709" customFormat="false" ht="13.5" hidden="false" customHeight="true" outlineLevel="0" collapsed="false">
      <c r="A709" s="32" t="n">
        <v>2601</v>
      </c>
      <c r="B709" s="32" t="s">
        <v>712</v>
      </c>
      <c r="C709" s="32" t="s">
        <v>713</v>
      </c>
      <c r="D709" s="32" t="s">
        <v>331</v>
      </c>
      <c r="E709" s="32" t="s">
        <v>278</v>
      </c>
      <c r="F709" s="33" t="n">
        <v>918801000000</v>
      </c>
      <c r="G709" s="32" t="s">
        <v>144</v>
      </c>
      <c r="H709" s="32" t="s">
        <v>332</v>
      </c>
      <c r="I709" s="32" t="s">
        <v>239</v>
      </c>
      <c r="J709" s="32" t="s">
        <v>132</v>
      </c>
      <c r="K709" s="32" t="s">
        <v>63</v>
      </c>
    </row>
    <row r="710" customFormat="false" ht="13.5" hidden="false" customHeight="true" outlineLevel="0" collapsed="false">
      <c r="A710" s="32" t="n">
        <v>2602</v>
      </c>
      <c r="B710" s="32" t="s">
        <v>715</v>
      </c>
      <c r="C710" s="32" t="s">
        <v>716</v>
      </c>
      <c r="D710" s="32" t="s">
        <v>59</v>
      </c>
      <c r="E710" s="32" t="s">
        <v>107</v>
      </c>
      <c r="F710" s="32" t="n">
        <v>7009346720</v>
      </c>
      <c r="G710" s="32" t="s">
        <v>144</v>
      </c>
      <c r="H710" s="32" t="s">
        <v>21</v>
      </c>
      <c r="I710" s="32" t="s">
        <v>16</v>
      </c>
      <c r="J710" s="32" t="s">
        <v>73</v>
      </c>
      <c r="K710" s="32" t="s">
        <v>63</v>
      </c>
    </row>
    <row r="711" customFormat="false" ht="13.5" hidden="false" customHeight="true" outlineLevel="0" collapsed="false">
      <c r="A711" s="32" t="n">
        <v>2603</v>
      </c>
      <c r="B711" s="32" t="s">
        <v>715</v>
      </c>
      <c r="C711" s="32" t="s">
        <v>716</v>
      </c>
      <c r="D711" s="32" t="s">
        <v>59</v>
      </c>
      <c r="E711" s="32" t="s">
        <v>107</v>
      </c>
      <c r="F711" s="32" t="n">
        <v>7009346720</v>
      </c>
      <c r="G711" s="32" t="s">
        <v>144</v>
      </c>
      <c r="H711" s="32" t="s">
        <v>21</v>
      </c>
      <c r="I711" s="32" t="s">
        <v>150</v>
      </c>
      <c r="J711" s="32" t="s">
        <v>73</v>
      </c>
      <c r="K711" s="32" t="s">
        <v>63</v>
      </c>
    </row>
    <row r="712" customFormat="false" ht="13.5" hidden="false" customHeight="true" outlineLevel="0" collapsed="false">
      <c r="A712" s="32" t="n">
        <v>2604</v>
      </c>
      <c r="B712" s="32" t="s">
        <v>715</v>
      </c>
      <c r="C712" s="32" t="s">
        <v>716</v>
      </c>
      <c r="D712" s="32" t="s">
        <v>59</v>
      </c>
      <c r="E712" s="32" t="s">
        <v>107</v>
      </c>
      <c r="F712" s="32" t="n">
        <v>7009346720</v>
      </c>
      <c r="G712" s="32" t="s">
        <v>144</v>
      </c>
      <c r="H712" s="32" t="s">
        <v>21</v>
      </c>
      <c r="I712" s="32" t="s">
        <v>212</v>
      </c>
      <c r="J712" s="32" t="s">
        <v>73</v>
      </c>
      <c r="K712" s="32" t="s">
        <v>63</v>
      </c>
    </row>
    <row r="713" customFormat="false" ht="13.5" hidden="false" customHeight="true" outlineLevel="0" collapsed="false">
      <c r="A713" s="32" t="n">
        <v>2605</v>
      </c>
      <c r="B713" s="32" t="s">
        <v>715</v>
      </c>
      <c r="C713" s="32" t="s">
        <v>716</v>
      </c>
      <c r="D713" s="32" t="s">
        <v>59</v>
      </c>
      <c r="E713" s="32" t="s">
        <v>107</v>
      </c>
      <c r="F713" s="32" t="n">
        <v>7009346720</v>
      </c>
      <c r="G713" s="32" t="s">
        <v>144</v>
      </c>
      <c r="H713" s="32" t="s">
        <v>21</v>
      </c>
      <c r="I713" s="32" t="s">
        <v>717</v>
      </c>
      <c r="J713" s="32" t="s">
        <v>89</v>
      </c>
      <c r="K713" s="32" t="s">
        <v>63</v>
      </c>
    </row>
    <row r="714" customFormat="false" ht="13.5" hidden="false" customHeight="true" outlineLevel="0" collapsed="false">
      <c r="A714" s="32" t="n">
        <v>2606</v>
      </c>
      <c r="B714" s="32" t="s">
        <v>718</v>
      </c>
      <c r="C714" s="32" t="s">
        <v>719</v>
      </c>
      <c r="D714" s="32" t="s">
        <v>114</v>
      </c>
      <c r="E714" s="32" t="s">
        <v>124</v>
      </c>
      <c r="F714" s="32" t="n">
        <v>9831906635</v>
      </c>
      <c r="G714" s="32" t="s">
        <v>61</v>
      </c>
      <c r="H714" s="32" t="s">
        <v>22</v>
      </c>
      <c r="I714" s="32" t="s">
        <v>468</v>
      </c>
      <c r="J714" s="32" t="s">
        <v>89</v>
      </c>
      <c r="K714" s="32" t="s">
        <v>63</v>
      </c>
    </row>
    <row r="715" customFormat="false" ht="13.5" hidden="false" customHeight="true" outlineLevel="0" collapsed="false">
      <c r="A715" s="32" t="n">
        <v>2607</v>
      </c>
      <c r="B715" s="32" t="s">
        <v>718</v>
      </c>
      <c r="C715" s="32" t="s">
        <v>719</v>
      </c>
      <c r="D715" s="32" t="s">
        <v>114</v>
      </c>
      <c r="E715" s="32" t="s">
        <v>124</v>
      </c>
      <c r="F715" s="32" t="n">
        <v>9831906635</v>
      </c>
      <c r="G715" s="32" t="s">
        <v>61</v>
      </c>
      <c r="H715" s="32" t="s">
        <v>22</v>
      </c>
      <c r="I715" s="32" t="s">
        <v>231</v>
      </c>
      <c r="J715" s="32" t="s">
        <v>228</v>
      </c>
      <c r="K715" s="32" t="s">
        <v>63</v>
      </c>
    </row>
    <row r="716" customFormat="false" ht="13.5" hidden="false" customHeight="true" outlineLevel="0" collapsed="false">
      <c r="A716" s="32" t="n">
        <v>2609</v>
      </c>
      <c r="B716" s="32" t="s">
        <v>720</v>
      </c>
      <c r="C716" s="32" t="s">
        <v>721</v>
      </c>
      <c r="D716" s="32" t="s">
        <v>114</v>
      </c>
      <c r="E716" s="32" t="s">
        <v>268</v>
      </c>
      <c r="F716" s="32" t="n">
        <v>0</v>
      </c>
      <c r="G716" s="32" t="s">
        <v>144</v>
      </c>
      <c r="H716" s="32" t="s">
        <v>22</v>
      </c>
      <c r="I716" s="32" t="s">
        <v>30</v>
      </c>
      <c r="J716" s="32" t="s">
        <v>203</v>
      </c>
      <c r="K716" s="32" t="s">
        <v>63</v>
      </c>
    </row>
    <row r="717" customFormat="false" ht="13.5" hidden="false" customHeight="true" outlineLevel="0" collapsed="false">
      <c r="A717" s="32" t="n">
        <v>2610</v>
      </c>
      <c r="B717" s="32" t="s">
        <v>720</v>
      </c>
      <c r="C717" s="32" t="s">
        <v>722</v>
      </c>
      <c r="D717" s="32" t="s">
        <v>114</v>
      </c>
      <c r="E717" s="32" t="s">
        <v>268</v>
      </c>
      <c r="F717" s="32" t="n">
        <v>0</v>
      </c>
      <c r="G717" s="32" t="s">
        <v>144</v>
      </c>
      <c r="H717" s="32" t="s">
        <v>22</v>
      </c>
      <c r="I717" s="32" t="s">
        <v>156</v>
      </c>
      <c r="J717" s="32" t="s">
        <v>62</v>
      </c>
      <c r="K717" s="32" t="s">
        <v>63</v>
      </c>
    </row>
    <row r="718" customFormat="false" ht="13.5" hidden="false" customHeight="true" outlineLevel="0" collapsed="false">
      <c r="A718" s="32" t="n">
        <v>2611</v>
      </c>
      <c r="B718" s="32" t="s">
        <v>720</v>
      </c>
      <c r="C718" s="32" t="s">
        <v>722</v>
      </c>
      <c r="D718" s="32" t="s">
        <v>114</v>
      </c>
      <c r="E718" s="32" t="s">
        <v>268</v>
      </c>
      <c r="F718" s="32" t="n">
        <v>0</v>
      </c>
      <c r="G718" s="32" t="s">
        <v>144</v>
      </c>
      <c r="H718" s="32" t="s">
        <v>22</v>
      </c>
      <c r="I718" s="32" t="s">
        <v>29</v>
      </c>
      <c r="J718" s="32" t="s">
        <v>62</v>
      </c>
      <c r="K718" s="32" t="s">
        <v>63</v>
      </c>
    </row>
    <row r="719" customFormat="false" ht="13.5" hidden="false" customHeight="true" outlineLevel="0" collapsed="false">
      <c r="A719" s="32" t="n">
        <v>2612</v>
      </c>
      <c r="B719" s="32" t="s">
        <v>723</v>
      </c>
      <c r="C719" s="32" t="s">
        <v>724</v>
      </c>
      <c r="D719" s="32" t="s">
        <v>59</v>
      </c>
      <c r="E719" s="32" t="s">
        <v>92</v>
      </c>
      <c r="F719" s="32" t="n">
        <v>0</v>
      </c>
      <c r="G719" s="32" t="s">
        <v>140</v>
      </c>
      <c r="H719" s="32" t="s">
        <v>21</v>
      </c>
      <c r="I719" s="32" t="s">
        <v>146</v>
      </c>
      <c r="J719" s="32" t="s">
        <v>117</v>
      </c>
      <c r="K719" s="32" t="s">
        <v>63</v>
      </c>
    </row>
    <row r="720" customFormat="false" ht="13.5" hidden="false" customHeight="true" outlineLevel="0" collapsed="false">
      <c r="A720" s="32" t="n">
        <v>2613</v>
      </c>
      <c r="B720" s="32" t="s">
        <v>723</v>
      </c>
      <c r="C720" s="32" t="s">
        <v>724</v>
      </c>
      <c r="D720" s="32" t="s">
        <v>59</v>
      </c>
      <c r="E720" s="32" t="s">
        <v>92</v>
      </c>
      <c r="F720" s="32" t="n">
        <v>0</v>
      </c>
      <c r="G720" s="32" t="s">
        <v>140</v>
      </c>
      <c r="H720" s="32" t="s">
        <v>21</v>
      </c>
      <c r="I720" s="32" t="s">
        <v>371</v>
      </c>
      <c r="J720" s="32" t="s">
        <v>152</v>
      </c>
      <c r="K720" s="32" t="s">
        <v>63</v>
      </c>
    </row>
    <row r="721" customFormat="false" ht="13.5" hidden="false" customHeight="true" outlineLevel="0" collapsed="false">
      <c r="A721" s="32" t="n">
        <v>2614</v>
      </c>
      <c r="B721" s="32" t="s">
        <v>723</v>
      </c>
      <c r="C721" s="32" t="s">
        <v>724</v>
      </c>
      <c r="D721" s="32" t="s">
        <v>59</v>
      </c>
      <c r="E721" s="32" t="s">
        <v>92</v>
      </c>
      <c r="F721" s="32" t="n">
        <v>0</v>
      </c>
      <c r="G721" s="32" t="s">
        <v>140</v>
      </c>
      <c r="H721" s="32" t="s">
        <v>21</v>
      </c>
      <c r="I721" s="32" t="s">
        <v>98</v>
      </c>
      <c r="J721" s="32" t="s">
        <v>99</v>
      </c>
      <c r="K721" s="32" t="s">
        <v>63</v>
      </c>
    </row>
    <row r="722" customFormat="false" ht="13.5" hidden="false" customHeight="true" outlineLevel="0" collapsed="false">
      <c r="A722" s="32" t="n">
        <v>2615</v>
      </c>
      <c r="B722" s="32" t="s">
        <v>725</v>
      </c>
      <c r="C722" s="32" t="s">
        <v>726</v>
      </c>
      <c r="D722" s="32" t="s">
        <v>331</v>
      </c>
      <c r="E722" s="32" t="s">
        <v>278</v>
      </c>
      <c r="F722" s="32" t="n">
        <v>7760011669</v>
      </c>
      <c r="G722" s="32" t="s">
        <v>61</v>
      </c>
      <c r="H722" s="32" t="s">
        <v>332</v>
      </c>
      <c r="I722" s="32" t="s">
        <v>215</v>
      </c>
      <c r="J722" s="32" t="s">
        <v>132</v>
      </c>
      <c r="K722" s="32" t="s">
        <v>63</v>
      </c>
    </row>
    <row r="723" customFormat="false" ht="13.5" hidden="false" customHeight="true" outlineLevel="0" collapsed="false">
      <c r="A723" s="32" t="n">
        <v>2616</v>
      </c>
      <c r="B723" s="32" t="s">
        <v>725</v>
      </c>
      <c r="C723" s="32" t="s">
        <v>726</v>
      </c>
      <c r="D723" s="32" t="s">
        <v>331</v>
      </c>
      <c r="E723" s="32" t="s">
        <v>278</v>
      </c>
      <c r="F723" s="32" t="n">
        <v>7760011669</v>
      </c>
      <c r="G723" s="32" t="s">
        <v>61</v>
      </c>
      <c r="H723" s="32" t="s">
        <v>332</v>
      </c>
      <c r="I723" s="32" t="s">
        <v>386</v>
      </c>
      <c r="J723" s="32" t="s">
        <v>132</v>
      </c>
      <c r="K723" s="32" t="s">
        <v>63</v>
      </c>
    </row>
    <row r="724" customFormat="false" ht="13.5" hidden="false" customHeight="true" outlineLevel="0" collapsed="false">
      <c r="A724" s="32" t="n">
        <v>2617</v>
      </c>
      <c r="B724" s="32" t="s">
        <v>725</v>
      </c>
      <c r="C724" s="32" t="s">
        <v>727</v>
      </c>
      <c r="D724" s="32" t="s">
        <v>331</v>
      </c>
      <c r="E724" s="32" t="s">
        <v>278</v>
      </c>
      <c r="F724" s="32" t="n">
        <v>7760011669</v>
      </c>
      <c r="G724" s="32" t="s">
        <v>61</v>
      </c>
      <c r="H724" s="32" t="s">
        <v>332</v>
      </c>
      <c r="I724" s="32" t="s">
        <v>245</v>
      </c>
      <c r="J724" s="32" t="s">
        <v>71</v>
      </c>
      <c r="K724" s="32" t="s">
        <v>63</v>
      </c>
    </row>
    <row r="725" customFormat="false" ht="13.5" hidden="false" customHeight="true" outlineLevel="0" collapsed="false">
      <c r="A725" s="32" t="n">
        <v>2618</v>
      </c>
      <c r="B725" s="32" t="s">
        <v>725</v>
      </c>
      <c r="C725" s="32" t="s">
        <v>726</v>
      </c>
      <c r="D725" s="32" t="s">
        <v>331</v>
      </c>
      <c r="E725" s="32" t="s">
        <v>278</v>
      </c>
      <c r="F725" s="32" t="n">
        <v>7760011669</v>
      </c>
      <c r="G725" s="32" t="s">
        <v>61</v>
      </c>
      <c r="H725" s="32" t="s">
        <v>332</v>
      </c>
      <c r="I725" s="32" t="s">
        <v>728</v>
      </c>
      <c r="J725" s="32" t="s">
        <v>132</v>
      </c>
      <c r="K725" s="32" t="s">
        <v>63</v>
      </c>
    </row>
    <row r="726" customFormat="false" ht="13.5" hidden="false" customHeight="true" outlineLevel="0" collapsed="false">
      <c r="A726" s="32" t="n">
        <v>2619</v>
      </c>
      <c r="B726" s="32" t="s">
        <v>729</v>
      </c>
      <c r="C726" s="32" t="s">
        <v>730</v>
      </c>
      <c r="D726" s="32" t="s">
        <v>59</v>
      </c>
      <c r="E726" s="32" t="s">
        <v>107</v>
      </c>
      <c r="F726" s="32" t="n">
        <v>0</v>
      </c>
      <c r="G726" s="32" t="s">
        <v>140</v>
      </c>
      <c r="H726" s="32" t="s">
        <v>21</v>
      </c>
      <c r="I726" s="32" t="s">
        <v>93</v>
      </c>
      <c r="J726" s="32" t="s">
        <v>85</v>
      </c>
      <c r="K726" s="32" t="s">
        <v>63</v>
      </c>
    </row>
    <row r="727" customFormat="false" ht="13.5" hidden="false" customHeight="true" outlineLevel="0" collapsed="false">
      <c r="A727" s="32" t="n">
        <v>2620</v>
      </c>
      <c r="B727" s="32" t="s">
        <v>729</v>
      </c>
      <c r="C727" s="32" t="s">
        <v>730</v>
      </c>
      <c r="D727" s="32" t="s">
        <v>59</v>
      </c>
      <c r="E727" s="32" t="s">
        <v>107</v>
      </c>
      <c r="F727" s="32" t="n">
        <v>0</v>
      </c>
      <c r="G727" s="32" t="s">
        <v>140</v>
      </c>
      <c r="H727" s="32" t="s">
        <v>21</v>
      </c>
      <c r="I727" s="32" t="s">
        <v>76</v>
      </c>
      <c r="J727" s="32" t="s">
        <v>76</v>
      </c>
      <c r="K727" s="32" t="s">
        <v>63</v>
      </c>
    </row>
    <row r="728" customFormat="false" ht="13.5" hidden="false" customHeight="true" outlineLevel="0" collapsed="false">
      <c r="A728" s="32" t="n">
        <v>2622</v>
      </c>
      <c r="B728" s="32" t="s">
        <v>729</v>
      </c>
      <c r="C728" s="32" t="s">
        <v>731</v>
      </c>
      <c r="D728" s="32" t="s">
        <v>59</v>
      </c>
      <c r="E728" s="32" t="s">
        <v>107</v>
      </c>
      <c r="F728" s="32" t="n">
        <v>0</v>
      </c>
      <c r="G728" s="32" t="s">
        <v>140</v>
      </c>
      <c r="H728" s="32" t="s">
        <v>21</v>
      </c>
      <c r="I728" s="32" t="s">
        <v>108</v>
      </c>
      <c r="J728" s="32" t="s">
        <v>71</v>
      </c>
      <c r="K728" s="32" t="s">
        <v>63</v>
      </c>
    </row>
    <row r="729" customFormat="false" ht="13.5" hidden="false" customHeight="true" outlineLevel="0" collapsed="false">
      <c r="A729" s="32" t="n">
        <v>2626</v>
      </c>
      <c r="B729" s="32" t="s">
        <v>729</v>
      </c>
      <c r="C729" s="32" t="s">
        <v>731</v>
      </c>
      <c r="D729" s="32" t="s">
        <v>59</v>
      </c>
      <c r="E729" s="32" t="s">
        <v>107</v>
      </c>
      <c r="F729" s="32" t="n">
        <v>0</v>
      </c>
      <c r="G729" s="32" t="s">
        <v>140</v>
      </c>
      <c r="H729" s="32" t="s">
        <v>21</v>
      </c>
      <c r="I729" s="32" t="s">
        <v>27</v>
      </c>
      <c r="J729" s="32" t="s">
        <v>13</v>
      </c>
      <c r="K729" s="32" t="s">
        <v>63</v>
      </c>
    </row>
    <row r="730" customFormat="false" ht="13.5" hidden="false" customHeight="true" outlineLevel="0" collapsed="false">
      <c r="A730" s="32" t="n">
        <v>2628</v>
      </c>
      <c r="B730" s="32" t="s">
        <v>729</v>
      </c>
      <c r="C730" s="32" t="s">
        <v>731</v>
      </c>
      <c r="D730" s="32" t="s">
        <v>59</v>
      </c>
      <c r="E730" s="32" t="s">
        <v>107</v>
      </c>
      <c r="F730" s="32" t="n">
        <v>9874369819</v>
      </c>
      <c r="G730" s="32" t="s">
        <v>140</v>
      </c>
      <c r="H730" s="32" t="s">
        <v>21</v>
      </c>
      <c r="I730" s="32" t="s">
        <v>111</v>
      </c>
      <c r="J730" s="32" t="s">
        <v>73</v>
      </c>
      <c r="K730" s="32" t="s">
        <v>63</v>
      </c>
    </row>
    <row r="731" customFormat="false" ht="13.5" hidden="false" customHeight="true" outlineLevel="0" collapsed="false">
      <c r="A731" s="32" t="n">
        <v>2629</v>
      </c>
      <c r="B731" s="32" t="s">
        <v>729</v>
      </c>
      <c r="C731" s="32" t="s">
        <v>730</v>
      </c>
      <c r="D731" s="32" t="s">
        <v>59</v>
      </c>
      <c r="E731" s="32" t="s">
        <v>107</v>
      </c>
      <c r="F731" s="32" t="n">
        <v>0</v>
      </c>
      <c r="G731" s="32" t="s">
        <v>140</v>
      </c>
      <c r="H731" s="32" t="s">
        <v>21</v>
      </c>
      <c r="I731" s="32" t="s">
        <v>280</v>
      </c>
      <c r="J731" s="32" t="s">
        <v>76</v>
      </c>
      <c r="K731" s="32" t="s">
        <v>63</v>
      </c>
    </row>
    <row r="732" customFormat="false" ht="13.5" hidden="false" customHeight="true" outlineLevel="0" collapsed="false">
      <c r="A732" s="32" t="n">
        <v>2630</v>
      </c>
      <c r="B732" s="32" t="s">
        <v>732</v>
      </c>
      <c r="C732" s="32" t="s">
        <v>733</v>
      </c>
      <c r="D732" s="32" t="s">
        <v>114</v>
      </c>
      <c r="E732" s="32" t="s">
        <v>165</v>
      </c>
      <c r="F732" s="32" t="n">
        <v>8884995588</v>
      </c>
      <c r="G732" s="32" t="s">
        <v>80</v>
      </c>
      <c r="H732" s="32" t="s">
        <v>22</v>
      </c>
      <c r="I732" s="32" t="s">
        <v>629</v>
      </c>
      <c r="J732" s="32" t="s">
        <v>203</v>
      </c>
      <c r="K732" s="32" t="s">
        <v>63</v>
      </c>
    </row>
    <row r="733" customFormat="false" ht="13.5" hidden="false" customHeight="true" outlineLevel="0" collapsed="false">
      <c r="A733" s="32" t="n">
        <v>2631</v>
      </c>
      <c r="B733" s="32" t="s">
        <v>732</v>
      </c>
      <c r="C733" s="32" t="s">
        <v>733</v>
      </c>
      <c r="D733" s="32" t="s">
        <v>114</v>
      </c>
      <c r="E733" s="32" t="s">
        <v>165</v>
      </c>
      <c r="F733" s="32" t="n">
        <v>8884995588</v>
      </c>
      <c r="G733" s="32" t="s">
        <v>80</v>
      </c>
      <c r="H733" s="32" t="s">
        <v>22</v>
      </c>
      <c r="I733" s="32" t="s">
        <v>245</v>
      </c>
      <c r="J733" s="32" t="s">
        <v>71</v>
      </c>
      <c r="K733" s="32" t="s">
        <v>63</v>
      </c>
    </row>
    <row r="734" customFormat="false" ht="13.5" hidden="false" customHeight="true" outlineLevel="0" collapsed="false">
      <c r="A734" s="32" t="n">
        <v>2632</v>
      </c>
      <c r="B734" s="32" t="s">
        <v>732</v>
      </c>
      <c r="C734" s="32" t="s">
        <v>733</v>
      </c>
      <c r="D734" s="32" t="s">
        <v>114</v>
      </c>
      <c r="E734" s="32" t="s">
        <v>165</v>
      </c>
      <c r="F734" s="32" t="n">
        <v>8884995588</v>
      </c>
      <c r="G734" s="32" t="s">
        <v>80</v>
      </c>
      <c r="H734" s="32" t="s">
        <v>22</v>
      </c>
      <c r="I734" s="32" t="s">
        <v>516</v>
      </c>
      <c r="J734" s="32" t="s">
        <v>66</v>
      </c>
      <c r="K734" s="32" t="s">
        <v>63</v>
      </c>
    </row>
    <row r="735" customFormat="false" ht="13.5" hidden="false" customHeight="true" outlineLevel="0" collapsed="false">
      <c r="A735" s="32" t="n">
        <v>2633</v>
      </c>
      <c r="B735" s="32" t="s">
        <v>732</v>
      </c>
      <c r="C735" s="32" t="s">
        <v>733</v>
      </c>
      <c r="D735" s="32" t="s">
        <v>114</v>
      </c>
      <c r="E735" s="32" t="s">
        <v>165</v>
      </c>
      <c r="F735" s="32" t="n">
        <v>8884995588</v>
      </c>
      <c r="G735" s="32" t="s">
        <v>80</v>
      </c>
      <c r="H735" s="32" t="s">
        <v>22</v>
      </c>
      <c r="I735" s="32" t="s">
        <v>314</v>
      </c>
      <c r="J735" s="32" t="s">
        <v>134</v>
      </c>
      <c r="K735" s="32" t="s">
        <v>63</v>
      </c>
    </row>
    <row r="736" customFormat="false" ht="13.5" hidden="false" customHeight="true" outlineLevel="0" collapsed="false">
      <c r="A736" s="32" t="n">
        <v>2634</v>
      </c>
      <c r="B736" s="32" t="s">
        <v>734</v>
      </c>
      <c r="C736" s="32" t="s">
        <v>735</v>
      </c>
      <c r="D736" s="32" t="s">
        <v>114</v>
      </c>
      <c r="E736" s="32" t="s">
        <v>115</v>
      </c>
      <c r="F736" s="33" t="n">
        <v>919867000000</v>
      </c>
      <c r="G736" s="32" t="s">
        <v>80</v>
      </c>
      <c r="H736" s="32" t="s">
        <v>22</v>
      </c>
      <c r="I736" s="32" t="s">
        <v>172</v>
      </c>
      <c r="J736" s="32" t="s">
        <v>152</v>
      </c>
      <c r="K736" s="32" t="s">
        <v>63</v>
      </c>
    </row>
    <row r="737" customFormat="false" ht="13.5" hidden="false" customHeight="true" outlineLevel="0" collapsed="false">
      <c r="A737" s="32" t="n">
        <v>2635</v>
      </c>
      <c r="B737" s="32" t="s">
        <v>734</v>
      </c>
      <c r="C737" s="32" t="s">
        <v>735</v>
      </c>
      <c r="D737" s="32" t="s">
        <v>114</v>
      </c>
      <c r="E737" s="32" t="s">
        <v>115</v>
      </c>
      <c r="F737" s="32" t="n">
        <v>9866655934</v>
      </c>
      <c r="G737" s="32" t="s">
        <v>80</v>
      </c>
      <c r="H737" s="32" t="s">
        <v>22</v>
      </c>
      <c r="I737" s="32" t="s">
        <v>27</v>
      </c>
      <c r="J737" s="32" t="s">
        <v>13</v>
      </c>
      <c r="K737" s="32" t="s">
        <v>63</v>
      </c>
    </row>
    <row r="738" customFormat="false" ht="13.5" hidden="false" customHeight="true" outlineLevel="0" collapsed="false">
      <c r="A738" s="32" t="n">
        <v>2636</v>
      </c>
      <c r="B738" s="32" t="s">
        <v>736</v>
      </c>
      <c r="C738" s="32" t="s">
        <v>737</v>
      </c>
      <c r="D738" s="32" t="s">
        <v>114</v>
      </c>
      <c r="E738" s="32" t="s">
        <v>115</v>
      </c>
      <c r="F738" s="32" t="n">
        <v>9820399277</v>
      </c>
      <c r="G738" s="32" t="s">
        <v>69</v>
      </c>
      <c r="H738" s="32" t="s">
        <v>22</v>
      </c>
      <c r="I738" s="32" t="s">
        <v>108</v>
      </c>
      <c r="J738" s="32" t="s">
        <v>71</v>
      </c>
      <c r="K738" s="32" t="s">
        <v>63</v>
      </c>
    </row>
    <row r="739" customFormat="false" ht="13.5" hidden="false" customHeight="true" outlineLevel="0" collapsed="false">
      <c r="A739" s="32" t="n">
        <v>2637</v>
      </c>
      <c r="B739" s="32" t="s">
        <v>736</v>
      </c>
      <c r="C739" s="32" t="s">
        <v>737</v>
      </c>
      <c r="D739" s="32" t="s">
        <v>114</v>
      </c>
      <c r="E739" s="32" t="s">
        <v>115</v>
      </c>
      <c r="F739" s="32" t="n">
        <v>9820399277</v>
      </c>
      <c r="G739" s="32" t="s">
        <v>69</v>
      </c>
      <c r="H739" s="32" t="s">
        <v>22</v>
      </c>
      <c r="I739" s="32" t="s">
        <v>27</v>
      </c>
      <c r="J739" s="32" t="s">
        <v>13</v>
      </c>
      <c r="K739" s="32" t="s">
        <v>63</v>
      </c>
    </row>
    <row r="740" customFormat="false" ht="13.5" hidden="false" customHeight="true" outlineLevel="0" collapsed="false">
      <c r="A740" s="32" t="n">
        <v>2638</v>
      </c>
      <c r="B740" s="32" t="s">
        <v>738</v>
      </c>
      <c r="C740" s="32" t="s">
        <v>739</v>
      </c>
      <c r="D740" s="32" t="s">
        <v>114</v>
      </c>
      <c r="E740" s="32" t="s">
        <v>124</v>
      </c>
      <c r="F740" s="32" t="n">
        <v>7355320852</v>
      </c>
      <c r="G740" s="32" t="s">
        <v>144</v>
      </c>
      <c r="H740" s="32" t="s">
        <v>22</v>
      </c>
      <c r="I740" s="32" t="s">
        <v>95</v>
      </c>
      <c r="J740" s="32" t="s">
        <v>96</v>
      </c>
      <c r="K740" s="32" t="s">
        <v>63</v>
      </c>
    </row>
    <row r="741" customFormat="false" ht="13.5" hidden="false" customHeight="true" outlineLevel="0" collapsed="false">
      <c r="A741" s="32" t="n">
        <v>2639</v>
      </c>
      <c r="B741" s="32" t="s">
        <v>738</v>
      </c>
      <c r="C741" s="32" t="s">
        <v>739</v>
      </c>
      <c r="D741" s="32" t="s">
        <v>114</v>
      </c>
      <c r="E741" s="32" t="s">
        <v>124</v>
      </c>
      <c r="F741" s="32" t="n">
        <v>7355320852</v>
      </c>
      <c r="G741" s="32" t="s">
        <v>144</v>
      </c>
      <c r="H741" s="32" t="s">
        <v>22</v>
      </c>
      <c r="I741" s="32" t="s">
        <v>121</v>
      </c>
      <c r="J741" s="32" t="s">
        <v>110</v>
      </c>
      <c r="K741" s="32" t="s">
        <v>63</v>
      </c>
    </row>
    <row r="742" customFormat="false" ht="13.5" hidden="false" customHeight="true" outlineLevel="0" collapsed="false">
      <c r="A742" s="32" t="n">
        <v>2640</v>
      </c>
      <c r="B742" s="32" t="s">
        <v>738</v>
      </c>
      <c r="C742" s="32" t="s">
        <v>739</v>
      </c>
      <c r="D742" s="32" t="s">
        <v>114</v>
      </c>
      <c r="E742" s="32" t="s">
        <v>124</v>
      </c>
      <c r="F742" s="32" t="n">
        <v>7355320852</v>
      </c>
      <c r="G742" s="32" t="s">
        <v>144</v>
      </c>
      <c r="H742" s="32" t="s">
        <v>22</v>
      </c>
      <c r="I742" s="32" t="s">
        <v>145</v>
      </c>
      <c r="J742" s="32" t="s">
        <v>117</v>
      </c>
      <c r="K742" s="32" t="s">
        <v>63</v>
      </c>
    </row>
    <row r="743" customFormat="false" ht="13.5" hidden="false" customHeight="true" outlineLevel="0" collapsed="false">
      <c r="A743" s="32" t="n">
        <v>2641</v>
      </c>
      <c r="B743" s="32" t="s">
        <v>738</v>
      </c>
      <c r="C743" s="32" t="s">
        <v>739</v>
      </c>
      <c r="D743" s="32" t="s">
        <v>114</v>
      </c>
      <c r="E743" s="32" t="s">
        <v>124</v>
      </c>
      <c r="F743" s="32" t="n">
        <v>7355320852</v>
      </c>
      <c r="G743" s="32" t="s">
        <v>144</v>
      </c>
      <c r="H743" s="32" t="s">
        <v>22</v>
      </c>
      <c r="I743" s="32" t="s">
        <v>133</v>
      </c>
      <c r="J743" s="32" t="s">
        <v>134</v>
      </c>
      <c r="K743" s="32" t="s">
        <v>63</v>
      </c>
    </row>
    <row r="744" customFormat="false" ht="13.5" hidden="false" customHeight="true" outlineLevel="0" collapsed="false">
      <c r="A744" s="32" t="n">
        <v>2642</v>
      </c>
      <c r="B744" s="32" t="s">
        <v>738</v>
      </c>
      <c r="C744" s="32" t="s">
        <v>739</v>
      </c>
      <c r="D744" s="32" t="s">
        <v>114</v>
      </c>
      <c r="E744" s="32" t="s">
        <v>124</v>
      </c>
      <c r="F744" s="32" t="n">
        <v>7355320852</v>
      </c>
      <c r="G744" s="32" t="s">
        <v>144</v>
      </c>
      <c r="H744" s="32" t="s">
        <v>22</v>
      </c>
      <c r="I744" s="32" t="s">
        <v>128</v>
      </c>
      <c r="J744" s="32" t="s">
        <v>89</v>
      </c>
      <c r="K744" s="32" t="s">
        <v>63</v>
      </c>
    </row>
    <row r="745" customFormat="false" ht="13.5" hidden="false" customHeight="true" outlineLevel="0" collapsed="false">
      <c r="A745" s="32" t="n">
        <v>2643</v>
      </c>
      <c r="B745" s="32" t="s">
        <v>740</v>
      </c>
      <c r="C745" s="32" t="s">
        <v>741</v>
      </c>
      <c r="D745" s="32" t="s">
        <v>59</v>
      </c>
      <c r="E745" s="32" t="s">
        <v>107</v>
      </c>
      <c r="F745" s="32" t="n">
        <v>9206660950</v>
      </c>
      <c r="G745" s="32" t="s">
        <v>61</v>
      </c>
      <c r="H745" s="32" t="s">
        <v>21</v>
      </c>
      <c r="I745" s="32" t="s">
        <v>108</v>
      </c>
      <c r="J745" s="32" t="s">
        <v>71</v>
      </c>
      <c r="K745" s="32" t="s">
        <v>63</v>
      </c>
    </row>
    <row r="746" customFormat="false" ht="13.5" hidden="false" customHeight="true" outlineLevel="0" collapsed="false">
      <c r="A746" s="32" t="n">
        <v>2644</v>
      </c>
      <c r="B746" s="32" t="s">
        <v>740</v>
      </c>
      <c r="C746" s="32" t="s">
        <v>741</v>
      </c>
      <c r="D746" s="32" t="s">
        <v>59</v>
      </c>
      <c r="E746" s="32" t="s">
        <v>107</v>
      </c>
      <c r="F746" s="32" t="n">
        <v>9206660950</v>
      </c>
      <c r="G746" s="32" t="s">
        <v>61</v>
      </c>
      <c r="H746" s="32" t="s">
        <v>21</v>
      </c>
      <c r="I746" s="32" t="s">
        <v>76</v>
      </c>
      <c r="J746" s="32" t="s">
        <v>76</v>
      </c>
      <c r="K746" s="32" t="s">
        <v>63</v>
      </c>
    </row>
    <row r="747" customFormat="false" ht="13.5" hidden="false" customHeight="true" outlineLevel="0" collapsed="false">
      <c r="A747" s="32" t="n">
        <v>2645</v>
      </c>
      <c r="B747" s="32" t="s">
        <v>740</v>
      </c>
      <c r="C747" s="32" t="s">
        <v>741</v>
      </c>
      <c r="D747" s="32" t="s">
        <v>59</v>
      </c>
      <c r="E747" s="32" t="s">
        <v>107</v>
      </c>
      <c r="F747" s="32" t="n">
        <v>9206660950</v>
      </c>
      <c r="G747" s="32" t="s">
        <v>61</v>
      </c>
      <c r="H747" s="32" t="s">
        <v>21</v>
      </c>
      <c r="I747" s="32" t="s">
        <v>85</v>
      </c>
      <c r="J747" s="32" t="s">
        <v>85</v>
      </c>
      <c r="K747" s="32" t="s">
        <v>63</v>
      </c>
    </row>
    <row r="748" customFormat="false" ht="13.5" hidden="false" customHeight="true" outlineLevel="0" collapsed="false">
      <c r="A748" s="32" t="n">
        <v>2646</v>
      </c>
      <c r="B748" s="32" t="s">
        <v>742</v>
      </c>
      <c r="C748" s="32" t="s">
        <v>743</v>
      </c>
      <c r="D748" s="32" t="s">
        <v>59</v>
      </c>
      <c r="E748" s="32" t="s">
        <v>79</v>
      </c>
      <c r="F748" s="33" t="n">
        <v>919379000000</v>
      </c>
      <c r="G748" s="32" t="s">
        <v>61</v>
      </c>
      <c r="H748" s="32" t="s">
        <v>21</v>
      </c>
      <c r="I748" s="32" t="s">
        <v>151</v>
      </c>
      <c r="J748" s="32" t="s">
        <v>152</v>
      </c>
      <c r="K748" s="32" t="s">
        <v>63</v>
      </c>
    </row>
    <row r="749" customFormat="false" ht="13.5" hidden="false" customHeight="true" outlineLevel="0" collapsed="false">
      <c r="A749" s="32" t="n">
        <v>2647</v>
      </c>
      <c r="B749" s="32" t="s">
        <v>742</v>
      </c>
      <c r="C749" s="32" t="s">
        <v>743</v>
      </c>
      <c r="D749" s="32" t="s">
        <v>59</v>
      </c>
      <c r="E749" s="32" t="s">
        <v>79</v>
      </c>
      <c r="F749" s="33" t="n">
        <v>919379000000</v>
      </c>
      <c r="G749" s="32" t="s">
        <v>61</v>
      </c>
      <c r="H749" s="32" t="s">
        <v>21</v>
      </c>
      <c r="I749" s="32" t="s">
        <v>146</v>
      </c>
      <c r="J749" s="32" t="s">
        <v>117</v>
      </c>
      <c r="K749" s="32" t="s">
        <v>63</v>
      </c>
    </row>
    <row r="750" customFormat="false" ht="13.5" hidden="false" customHeight="true" outlineLevel="0" collapsed="false">
      <c r="A750" s="32" t="n">
        <v>2648</v>
      </c>
      <c r="B750" s="32" t="s">
        <v>744</v>
      </c>
      <c r="C750" s="32" t="s">
        <v>745</v>
      </c>
      <c r="D750" s="32" t="s">
        <v>102</v>
      </c>
      <c r="E750" s="32" t="s">
        <v>103</v>
      </c>
      <c r="F750" s="32" t="n">
        <v>0</v>
      </c>
      <c r="G750" s="32" t="s">
        <v>140</v>
      </c>
      <c r="H750" s="32" t="s">
        <v>21</v>
      </c>
      <c r="I750" s="32" t="s">
        <v>27</v>
      </c>
      <c r="J750" s="32" t="s">
        <v>13</v>
      </c>
      <c r="K750" s="32" t="s">
        <v>63</v>
      </c>
    </row>
    <row r="751" customFormat="false" ht="13.5" hidden="false" customHeight="true" outlineLevel="0" collapsed="false">
      <c r="A751" s="32" t="n">
        <v>2649</v>
      </c>
      <c r="B751" s="32" t="s">
        <v>744</v>
      </c>
      <c r="C751" s="32" t="s">
        <v>745</v>
      </c>
      <c r="D751" s="32" t="s">
        <v>102</v>
      </c>
      <c r="E751" s="32" t="s">
        <v>103</v>
      </c>
      <c r="F751" s="32" t="n">
        <v>0</v>
      </c>
      <c r="G751" s="32" t="s">
        <v>140</v>
      </c>
      <c r="H751" s="32" t="s">
        <v>21</v>
      </c>
      <c r="I751" s="32" t="s">
        <v>30</v>
      </c>
      <c r="J751" s="32" t="s">
        <v>203</v>
      </c>
      <c r="K751" s="32" t="s">
        <v>63</v>
      </c>
    </row>
    <row r="752" customFormat="false" ht="13.5" hidden="false" customHeight="true" outlineLevel="0" collapsed="false">
      <c r="A752" s="32" t="n">
        <v>2650</v>
      </c>
      <c r="B752" s="32" t="s">
        <v>746</v>
      </c>
      <c r="C752" s="32" t="s">
        <v>747</v>
      </c>
      <c r="D752" s="32" t="s">
        <v>102</v>
      </c>
      <c r="E752" s="32" t="s">
        <v>107</v>
      </c>
      <c r="F752" s="33" t="n">
        <v>919038000000</v>
      </c>
      <c r="G752" s="32" t="s">
        <v>140</v>
      </c>
      <c r="H752" s="32" t="s">
        <v>21</v>
      </c>
      <c r="I752" s="32" t="s">
        <v>76</v>
      </c>
      <c r="J752" s="32" t="s">
        <v>76</v>
      </c>
      <c r="K752" s="32" t="s">
        <v>63</v>
      </c>
    </row>
    <row r="753" customFormat="false" ht="13.5" hidden="false" customHeight="true" outlineLevel="0" collapsed="false">
      <c r="A753" s="32" t="n">
        <v>2651</v>
      </c>
      <c r="B753" s="32" t="s">
        <v>748</v>
      </c>
      <c r="C753" s="32" t="s">
        <v>749</v>
      </c>
      <c r="D753" s="32" t="s">
        <v>102</v>
      </c>
      <c r="E753" s="32" t="s">
        <v>60</v>
      </c>
      <c r="F753" s="33" t="n">
        <v>918951000000</v>
      </c>
      <c r="G753" s="32" t="s">
        <v>80</v>
      </c>
      <c r="H753" s="32" t="s">
        <v>21</v>
      </c>
      <c r="I753" s="32" t="s">
        <v>29</v>
      </c>
      <c r="J753" s="32" t="s">
        <v>62</v>
      </c>
      <c r="K753" s="32" t="s">
        <v>63</v>
      </c>
    </row>
    <row r="754" customFormat="false" ht="13.5" hidden="false" customHeight="true" outlineLevel="0" collapsed="false">
      <c r="A754" s="32" t="n">
        <v>2652</v>
      </c>
      <c r="B754" s="32" t="s">
        <v>748</v>
      </c>
      <c r="C754" s="32" t="s">
        <v>749</v>
      </c>
      <c r="D754" s="32" t="s">
        <v>102</v>
      </c>
      <c r="E754" s="32" t="s">
        <v>60</v>
      </c>
      <c r="F754" s="33" t="n">
        <v>918951000000</v>
      </c>
      <c r="G754" s="32" t="s">
        <v>80</v>
      </c>
      <c r="H754" s="32" t="s">
        <v>21</v>
      </c>
      <c r="I754" s="32" t="s">
        <v>14</v>
      </c>
      <c r="J754" s="32" t="s">
        <v>66</v>
      </c>
      <c r="K754" s="32" t="s">
        <v>63</v>
      </c>
    </row>
    <row r="755" customFormat="false" ht="13.5" hidden="false" customHeight="true" outlineLevel="0" collapsed="false">
      <c r="A755" s="32" t="n">
        <v>2653</v>
      </c>
      <c r="B755" s="32" t="s">
        <v>750</v>
      </c>
      <c r="C755" s="32" t="s">
        <v>751</v>
      </c>
      <c r="D755" s="32" t="s">
        <v>114</v>
      </c>
      <c r="E755" s="32" t="s">
        <v>165</v>
      </c>
      <c r="F755" s="33" t="n">
        <v>919705000000</v>
      </c>
      <c r="G755" s="32" t="s">
        <v>80</v>
      </c>
      <c r="H755" s="32" t="s">
        <v>22</v>
      </c>
      <c r="I755" s="32" t="s">
        <v>149</v>
      </c>
      <c r="J755" s="32" t="s">
        <v>73</v>
      </c>
      <c r="K755" s="32" t="s">
        <v>63</v>
      </c>
    </row>
    <row r="756" customFormat="false" ht="13.5" hidden="false" customHeight="true" outlineLevel="0" collapsed="false">
      <c r="A756" s="32" t="n">
        <v>2656</v>
      </c>
      <c r="B756" s="32" t="s">
        <v>750</v>
      </c>
      <c r="C756" s="32" t="s">
        <v>751</v>
      </c>
      <c r="D756" s="32" t="s">
        <v>114</v>
      </c>
      <c r="E756" s="32" t="s">
        <v>165</v>
      </c>
      <c r="F756" s="33" t="n">
        <v>919705000000</v>
      </c>
      <c r="G756" s="32" t="s">
        <v>80</v>
      </c>
      <c r="H756" s="32" t="s">
        <v>22</v>
      </c>
      <c r="I756" s="32" t="s">
        <v>16</v>
      </c>
      <c r="J756" s="32" t="s">
        <v>73</v>
      </c>
      <c r="K756" s="32" t="s">
        <v>63</v>
      </c>
    </row>
    <row r="757" customFormat="false" ht="13.5" hidden="false" customHeight="true" outlineLevel="0" collapsed="false">
      <c r="A757" s="32" t="n">
        <v>2657</v>
      </c>
      <c r="B757" s="32" t="s">
        <v>750</v>
      </c>
      <c r="C757" s="32" t="s">
        <v>751</v>
      </c>
      <c r="D757" s="32" t="s">
        <v>114</v>
      </c>
      <c r="E757" s="32" t="s">
        <v>165</v>
      </c>
      <c r="F757" s="33" t="n">
        <v>919705000000</v>
      </c>
      <c r="G757" s="32" t="s">
        <v>80</v>
      </c>
      <c r="H757" s="32" t="s">
        <v>22</v>
      </c>
      <c r="I757" s="32" t="s">
        <v>245</v>
      </c>
      <c r="J757" s="32" t="s">
        <v>71</v>
      </c>
      <c r="K757" s="32" t="s">
        <v>63</v>
      </c>
    </row>
    <row r="758" customFormat="false" ht="13.5" hidden="false" customHeight="true" outlineLevel="0" collapsed="false">
      <c r="A758" s="32" t="n">
        <v>2658</v>
      </c>
      <c r="B758" s="32" t="s">
        <v>752</v>
      </c>
      <c r="C758" s="32" t="s">
        <v>753</v>
      </c>
      <c r="D758" s="32" t="s">
        <v>59</v>
      </c>
      <c r="E758" s="32" t="s">
        <v>107</v>
      </c>
      <c r="F758" s="32" t="n">
        <v>9415114169</v>
      </c>
      <c r="G758" s="32" t="s">
        <v>61</v>
      </c>
      <c r="H758" s="32" t="s">
        <v>21</v>
      </c>
      <c r="I758" s="32" t="s">
        <v>98</v>
      </c>
      <c r="J758" s="32" t="s">
        <v>99</v>
      </c>
      <c r="K758" s="32" t="s">
        <v>63</v>
      </c>
    </row>
    <row r="759" customFormat="false" ht="13.5" hidden="false" customHeight="true" outlineLevel="0" collapsed="false">
      <c r="A759" s="32" t="n">
        <v>2659</v>
      </c>
      <c r="B759" s="32" t="s">
        <v>754</v>
      </c>
      <c r="C759" s="32" t="s">
        <v>755</v>
      </c>
      <c r="D759" s="32" t="s">
        <v>59</v>
      </c>
      <c r="E759" s="32" t="s">
        <v>107</v>
      </c>
      <c r="F759" s="32" t="n">
        <v>9611046826</v>
      </c>
      <c r="G759" s="32" t="s">
        <v>61</v>
      </c>
      <c r="H759" s="32" t="s">
        <v>21</v>
      </c>
      <c r="I759" s="32" t="s">
        <v>27</v>
      </c>
      <c r="J759" s="32" t="s">
        <v>13</v>
      </c>
      <c r="K759" s="32" t="s">
        <v>63</v>
      </c>
    </row>
    <row r="760" customFormat="false" ht="13.5" hidden="false" customHeight="true" outlineLevel="0" collapsed="false">
      <c r="A760" s="32" t="n">
        <v>2660</v>
      </c>
      <c r="B760" s="32" t="s">
        <v>754</v>
      </c>
      <c r="C760" s="32" t="s">
        <v>755</v>
      </c>
      <c r="D760" s="32" t="s">
        <v>59</v>
      </c>
      <c r="E760" s="32" t="s">
        <v>107</v>
      </c>
      <c r="F760" s="32" t="n">
        <v>9611046826</v>
      </c>
      <c r="G760" s="32" t="s">
        <v>61</v>
      </c>
      <c r="H760" s="32" t="s">
        <v>21</v>
      </c>
      <c r="I760" s="32" t="s">
        <v>120</v>
      </c>
      <c r="J760" s="32" t="s">
        <v>110</v>
      </c>
      <c r="K760" s="32" t="s">
        <v>63</v>
      </c>
    </row>
    <row r="761" customFormat="false" ht="13.5" hidden="false" customHeight="true" outlineLevel="0" collapsed="false">
      <c r="A761" s="32" t="n">
        <v>2661</v>
      </c>
      <c r="B761" s="32" t="s">
        <v>754</v>
      </c>
      <c r="C761" s="32" t="s">
        <v>755</v>
      </c>
      <c r="D761" s="32" t="s">
        <v>59</v>
      </c>
      <c r="E761" s="32" t="s">
        <v>107</v>
      </c>
      <c r="F761" s="32" t="n">
        <v>9611046826</v>
      </c>
      <c r="G761" s="32" t="s">
        <v>61</v>
      </c>
      <c r="H761" s="32" t="s">
        <v>21</v>
      </c>
      <c r="I761" s="32" t="s">
        <v>145</v>
      </c>
      <c r="J761" s="32" t="s">
        <v>117</v>
      </c>
      <c r="K761" s="32" t="s">
        <v>63</v>
      </c>
    </row>
    <row r="762" customFormat="false" ht="13.5" hidden="false" customHeight="true" outlineLevel="0" collapsed="false">
      <c r="A762" s="32" t="n">
        <v>2664</v>
      </c>
      <c r="B762" s="32" t="s">
        <v>756</v>
      </c>
      <c r="C762" s="32" t="s">
        <v>757</v>
      </c>
      <c r="D762" s="32" t="s">
        <v>59</v>
      </c>
      <c r="E762" s="32" t="s">
        <v>107</v>
      </c>
      <c r="F762" s="32"/>
      <c r="G762" s="32" t="s">
        <v>104</v>
      </c>
      <c r="H762" s="32" t="s">
        <v>21</v>
      </c>
      <c r="I762" s="32" t="s">
        <v>108</v>
      </c>
      <c r="J762" s="32" t="s">
        <v>71</v>
      </c>
      <c r="K762" s="32" t="s">
        <v>63</v>
      </c>
    </row>
    <row r="763" customFormat="false" ht="13.5" hidden="false" customHeight="true" outlineLevel="0" collapsed="false">
      <c r="A763" s="32" t="n">
        <v>2665</v>
      </c>
      <c r="B763" s="32" t="s">
        <v>756</v>
      </c>
      <c r="C763" s="32" t="s">
        <v>757</v>
      </c>
      <c r="D763" s="32" t="s">
        <v>59</v>
      </c>
      <c r="E763" s="32" t="s">
        <v>107</v>
      </c>
      <c r="F763" s="32"/>
      <c r="G763" s="32" t="s">
        <v>104</v>
      </c>
      <c r="H763" s="32" t="s">
        <v>21</v>
      </c>
      <c r="I763" s="32" t="s">
        <v>758</v>
      </c>
      <c r="J763" s="32" t="s">
        <v>71</v>
      </c>
      <c r="K763" s="32" t="s">
        <v>63</v>
      </c>
    </row>
    <row r="764" customFormat="false" ht="13.5" hidden="false" customHeight="true" outlineLevel="0" collapsed="false">
      <c r="A764" s="32" t="n">
        <v>2666</v>
      </c>
      <c r="B764" s="32" t="s">
        <v>756</v>
      </c>
      <c r="C764" s="32" t="s">
        <v>757</v>
      </c>
      <c r="D764" s="32" t="s">
        <v>59</v>
      </c>
      <c r="E764" s="32" t="s">
        <v>107</v>
      </c>
      <c r="F764" s="32"/>
      <c r="G764" s="32" t="s">
        <v>104</v>
      </c>
      <c r="H764" s="32" t="s">
        <v>21</v>
      </c>
      <c r="I764" s="32" t="s">
        <v>76</v>
      </c>
      <c r="J764" s="32" t="s">
        <v>76</v>
      </c>
      <c r="K764" s="32" t="s">
        <v>63</v>
      </c>
    </row>
    <row r="765" customFormat="false" ht="13.5" hidden="false" customHeight="true" outlineLevel="0" collapsed="false">
      <c r="A765" s="32" t="n">
        <v>2667</v>
      </c>
      <c r="B765" s="32" t="s">
        <v>756</v>
      </c>
      <c r="C765" s="32" t="s">
        <v>757</v>
      </c>
      <c r="D765" s="32" t="s">
        <v>59</v>
      </c>
      <c r="E765" s="32" t="s">
        <v>107</v>
      </c>
      <c r="F765" s="32"/>
      <c r="G765" s="32" t="s">
        <v>104</v>
      </c>
      <c r="H765" s="32" t="s">
        <v>21</v>
      </c>
      <c r="I765" s="32" t="s">
        <v>16</v>
      </c>
      <c r="J765" s="32" t="s">
        <v>73</v>
      </c>
      <c r="K765" s="32" t="s">
        <v>63</v>
      </c>
    </row>
    <row r="766" customFormat="false" ht="13.5" hidden="false" customHeight="true" outlineLevel="0" collapsed="false">
      <c r="A766" s="32" t="n">
        <v>2668</v>
      </c>
      <c r="B766" s="32" t="s">
        <v>759</v>
      </c>
      <c r="C766" s="32" t="s">
        <v>760</v>
      </c>
      <c r="D766" s="32" t="s">
        <v>114</v>
      </c>
      <c r="E766" s="32" t="s">
        <v>165</v>
      </c>
      <c r="F766" s="32" t="n">
        <v>7396797799</v>
      </c>
      <c r="G766" s="32" t="s">
        <v>80</v>
      </c>
      <c r="H766" s="32" t="s">
        <v>22</v>
      </c>
      <c r="I766" s="32" t="s">
        <v>630</v>
      </c>
      <c r="J766" s="32" t="s">
        <v>71</v>
      </c>
      <c r="K766" s="32" t="s">
        <v>63</v>
      </c>
    </row>
    <row r="767" customFormat="false" ht="13.5" hidden="false" customHeight="true" outlineLevel="0" collapsed="false">
      <c r="A767" s="32" t="n">
        <v>2669</v>
      </c>
      <c r="B767" s="32" t="s">
        <v>759</v>
      </c>
      <c r="C767" s="32" t="s">
        <v>761</v>
      </c>
      <c r="D767" s="32" t="s">
        <v>114</v>
      </c>
      <c r="E767" s="32" t="s">
        <v>165</v>
      </c>
      <c r="F767" s="32" t="n">
        <v>7396797799</v>
      </c>
      <c r="G767" s="32" t="s">
        <v>80</v>
      </c>
      <c r="H767" s="32" t="s">
        <v>22</v>
      </c>
      <c r="I767" s="32" t="s">
        <v>27</v>
      </c>
      <c r="J767" s="32" t="s">
        <v>13</v>
      </c>
      <c r="K767" s="32" t="s">
        <v>63</v>
      </c>
    </row>
    <row r="768" customFormat="false" ht="13.5" hidden="false" customHeight="true" outlineLevel="0" collapsed="false">
      <c r="A768" s="32" t="n">
        <v>2670</v>
      </c>
      <c r="B768" s="32" t="s">
        <v>762</v>
      </c>
      <c r="C768" s="32" t="s">
        <v>763</v>
      </c>
      <c r="D768" s="32" t="s">
        <v>114</v>
      </c>
      <c r="E768" s="32" t="s">
        <v>268</v>
      </c>
      <c r="F768" s="32" t="n">
        <v>0</v>
      </c>
      <c r="G768" s="32" t="s">
        <v>61</v>
      </c>
      <c r="H768" s="32" t="s">
        <v>22</v>
      </c>
      <c r="I768" s="32" t="s">
        <v>29</v>
      </c>
      <c r="J768" s="32" t="s">
        <v>62</v>
      </c>
      <c r="K768" s="32" t="s">
        <v>63</v>
      </c>
    </row>
    <row r="769" customFormat="false" ht="13.5" hidden="false" customHeight="true" outlineLevel="0" collapsed="false">
      <c r="A769" s="32" t="n">
        <v>2671</v>
      </c>
      <c r="B769" s="32" t="s">
        <v>762</v>
      </c>
      <c r="C769" s="32" t="s">
        <v>764</v>
      </c>
      <c r="D769" s="32" t="s">
        <v>114</v>
      </c>
      <c r="E769" s="32" t="s">
        <v>268</v>
      </c>
      <c r="F769" s="32" t="n">
        <v>0</v>
      </c>
      <c r="G769" s="32" t="s">
        <v>61</v>
      </c>
      <c r="H769" s="32" t="s">
        <v>22</v>
      </c>
      <c r="I769" s="32" t="s">
        <v>14</v>
      </c>
      <c r="J769" s="32" t="s">
        <v>66</v>
      </c>
      <c r="K769" s="32" t="s">
        <v>63</v>
      </c>
    </row>
    <row r="770" customFormat="false" ht="13.5" hidden="false" customHeight="true" outlineLevel="0" collapsed="false">
      <c r="A770" s="32" t="n">
        <v>2672</v>
      </c>
      <c r="B770" s="32" t="s">
        <v>762</v>
      </c>
      <c r="C770" s="32" t="s">
        <v>764</v>
      </c>
      <c r="D770" s="32" t="s">
        <v>114</v>
      </c>
      <c r="E770" s="32" t="s">
        <v>268</v>
      </c>
      <c r="F770" s="32" t="n">
        <v>0</v>
      </c>
      <c r="G770" s="32" t="s">
        <v>61</v>
      </c>
      <c r="H770" s="32" t="s">
        <v>22</v>
      </c>
      <c r="I770" s="32" t="s">
        <v>166</v>
      </c>
      <c r="J770" s="32" t="s">
        <v>66</v>
      </c>
      <c r="K770" s="32" t="s">
        <v>63</v>
      </c>
    </row>
    <row r="771" customFormat="false" ht="13.5" hidden="false" customHeight="true" outlineLevel="0" collapsed="false">
      <c r="A771" s="32" t="n">
        <v>2673</v>
      </c>
      <c r="B771" s="32" t="s">
        <v>765</v>
      </c>
      <c r="C771" s="32" t="s">
        <v>766</v>
      </c>
      <c r="D771" s="32" t="s">
        <v>102</v>
      </c>
      <c r="E771" s="32" t="s">
        <v>767</v>
      </c>
      <c r="F771" s="33" t="n">
        <v>917979000000</v>
      </c>
      <c r="G771" s="32" t="s">
        <v>80</v>
      </c>
      <c r="H771" s="32" t="s">
        <v>21</v>
      </c>
      <c r="I771" s="32" t="s">
        <v>768</v>
      </c>
      <c r="J771" s="32" t="s">
        <v>326</v>
      </c>
      <c r="K771" s="32" t="s">
        <v>63</v>
      </c>
    </row>
    <row r="772" customFormat="false" ht="13.5" hidden="false" customHeight="true" outlineLevel="0" collapsed="false">
      <c r="A772" s="32" t="n">
        <v>2674</v>
      </c>
      <c r="B772" s="32" t="s">
        <v>765</v>
      </c>
      <c r="C772" s="32" t="s">
        <v>765</v>
      </c>
      <c r="D772" s="32" t="s">
        <v>102</v>
      </c>
      <c r="E772" s="32" t="s">
        <v>767</v>
      </c>
      <c r="F772" s="32" t="n">
        <v>7978636416</v>
      </c>
      <c r="G772" s="32" t="s">
        <v>80</v>
      </c>
      <c r="H772" s="32" t="s">
        <v>21</v>
      </c>
      <c r="I772" s="32" t="s">
        <v>325</v>
      </c>
      <c r="J772" s="32" t="s">
        <v>326</v>
      </c>
      <c r="K772" s="32" t="s">
        <v>63</v>
      </c>
    </row>
    <row r="773" customFormat="false" ht="13.5" hidden="false" customHeight="true" outlineLevel="0" collapsed="false">
      <c r="A773" s="32" t="n">
        <v>2675</v>
      </c>
      <c r="B773" s="32" t="s">
        <v>769</v>
      </c>
      <c r="C773" s="32" t="s">
        <v>770</v>
      </c>
      <c r="D773" s="32" t="s">
        <v>331</v>
      </c>
      <c r="E773" s="32" t="s">
        <v>366</v>
      </c>
      <c r="F773" s="33" t="n">
        <v>919886000000</v>
      </c>
      <c r="G773" s="32" t="s">
        <v>61</v>
      </c>
      <c r="H773" s="32" t="s">
        <v>332</v>
      </c>
      <c r="I773" s="32" t="s">
        <v>185</v>
      </c>
      <c r="J773" s="32" t="s">
        <v>186</v>
      </c>
      <c r="K773" s="32" t="s">
        <v>63</v>
      </c>
    </row>
    <row r="774" customFormat="false" ht="13.5" hidden="false" customHeight="true" outlineLevel="0" collapsed="false">
      <c r="A774" s="32" t="n">
        <v>2676</v>
      </c>
      <c r="B774" s="32" t="s">
        <v>769</v>
      </c>
      <c r="C774" s="32" t="s">
        <v>770</v>
      </c>
      <c r="D774" s="32" t="s">
        <v>331</v>
      </c>
      <c r="E774" s="32" t="s">
        <v>366</v>
      </c>
      <c r="F774" s="33" t="n">
        <v>919886000000</v>
      </c>
      <c r="G774" s="32" t="s">
        <v>61</v>
      </c>
      <c r="H774" s="32" t="s">
        <v>332</v>
      </c>
      <c r="I774" s="32" t="s">
        <v>145</v>
      </c>
      <c r="J774" s="32" t="s">
        <v>117</v>
      </c>
      <c r="K774" s="32" t="s">
        <v>63</v>
      </c>
    </row>
    <row r="775" customFormat="false" ht="13.5" hidden="false" customHeight="true" outlineLevel="0" collapsed="false">
      <c r="A775" s="32" t="n">
        <v>2677</v>
      </c>
      <c r="B775" s="32" t="s">
        <v>769</v>
      </c>
      <c r="C775" s="32" t="s">
        <v>770</v>
      </c>
      <c r="D775" s="32" t="s">
        <v>331</v>
      </c>
      <c r="E775" s="32" t="s">
        <v>366</v>
      </c>
      <c r="F775" s="33" t="n">
        <v>919886000000</v>
      </c>
      <c r="G775" s="32" t="s">
        <v>61</v>
      </c>
      <c r="H775" s="32" t="s">
        <v>332</v>
      </c>
      <c r="I775" s="32" t="s">
        <v>93</v>
      </c>
      <c r="J775" s="32" t="s">
        <v>85</v>
      </c>
      <c r="K775" s="32" t="s">
        <v>63</v>
      </c>
    </row>
    <row r="776" customFormat="false" ht="13.5" hidden="false" customHeight="true" outlineLevel="0" collapsed="false">
      <c r="A776" s="32" t="n">
        <v>2678</v>
      </c>
      <c r="B776" s="32" t="s">
        <v>769</v>
      </c>
      <c r="C776" s="32" t="s">
        <v>770</v>
      </c>
      <c r="D776" s="32" t="s">
        <v>331</v>
      </c>
      <c r="E776" s="32" t="s">
        <v>366</v>
      </c>
      <c r="F776" s="33" t="n">
        <v>919886000000</v>
      </c>
      <c r="G776" s="32" t="s">
        <v>61</v>
      </c>
      <c r="H776" s="32" t="s">
        <v>332</v>
      </c>
      <c r="I776" s="32" t="s">
        <v>108</v>
      </c>
      <c r="J776" s="32" t="s">
        <v>71</v>
      </c>
      <c r="K776" s="32" t="s">
        <v>63</v>
      </c>
    </row>
    <row r="777" customFormat="false" ht="13.5" hidden="false" customHeight="true" outlineLevel="0" collapsed="false">
      <c r="A777" s="32" t="n">
        <v>2679</v>
      </c>
      <c r="B777" s="32" t="s">
        <v>771</v>
      </c>
      <c r="C777" s="32" t="s">
        <v>772</v>
      </c>
      <c r="D777" s="32" t="s">
        <v>59</v>
      </c>
      <c r="E777" s="32" t="s">
        <v>143</v>
      </c>
      <c r="F777" s="33" t="n">
        <v>918297000000</v>
      </c>
      <c r="G777" s="32" t="s">
        <v>80</v>
      </c>
      <c r="H777" s="32" t="s">
        <v>21</v>
      </c>
      <c r="I777" s="32" t="s">
        <v>463</v>
      </c>
      <c r="J777" s="32" t="s">
        <v>66</v>
      </c>
      <c r="K777" s="32" t="s">
        <v>63</v>
      </c>
    </row>
    <row r="778" customFormat="false" ht="13.5" hidden="false" customHeight="true" outlineLevel="0" collapsed="false">
      <c r="A778" s="32" t="n">
        <v>2680</v>
      </c>
      <c r="B778" s="32" t="s">
        <v>771</v>
      </c>
      <c r="C778" s="32" t="s">
        <v>772</v>
      </c>
      <c r="D778" s="32" t="s">
        <v>59</v>
      </c>
      <c r="E778" s="32" t="s">
        <v>143</v>
      </c>
      <c r="F778" s="32" t="n">
        <v>8296655882</v>
      </c>
      <c r="G778" s="32" t="s">
        <v>80</v>
      </c>
      <c r="H778" s="32" t="s">
        <v>21</v>
      </c>
      <c r="I778" s="32" t="s">
        <v>156</v>
      </c>
      <c r="J778" s="32" t="s">
        <v>62</v>
      </c>
      <c r="K778" s="32" t="s">
        <v>63</v>
      </c>
    </row>
    <row r="779" customFormat="false" ht="13.5" hidden="false" customHeight="true" outlineLevel="0" collapsed="false">
      <c r="A779" s="32" t="n">
        <v>2681</v>
      </c>
      <c r="B779" s="32" t="s">
        <v>771</v>
      </c>
      <c r="C779" s="32" t="s">
        <v>772</v>
      </c>
      <c r="D779" s="32" t="s">
        <v>59</v>
      </c>
      <c r="E779" s="32" t="s">
        <v>143</v>
      </c>
      <c r="F779" s="33" t="n">
        <v>918297000000</v>
      </c>
      <c r="G779" s="32" t="s">
        <v>80</v>
      </c>
      <c r="H779" s="32" t="s">
        <v>21</v>
      </c>
      <c r="I779" s="32" t="s">
        <v>29</v>
      </c>
      <c r="J779" s="32" t="s">
        <v>62</v>
      </c>
      <c r="K779" s="32" t="s">
        <v>63</v>
      </c>
    </row>
    <row r="780" customFormat="false" ht="13.5" hidden="false" customHeight="true" outlineLevel="0" collapsed="false">
      <c r="A780" s="32" t="n">
        <v>2682</v>
      </c>
      <c r="B780" s="32" t="s">
        <v>771</v>
      </c>
      <c r="C780" s="32" t="s">
        <v>772</v>
      </c>
      <c r="D780" s="32" t="s">
        <v>59</v>
      </c>
      <c r="E780" s="32" t="s">
        <v>143</v>
      </c>
      <c r="F780" s="33" t="n">
        <v>918297000000</v>
      </c>
      <c r="G780" s="32" t="s">
        <v>80</v>
      </c>
      <c r="H780" s="32" t="s">
        <v>21</v>
      </c>
      <c r="I780" s="32" t="s">
        <v>773</v>
      </c>
      <c r="J780" s="32" t="s">
        <v>66</v>
      </c>
      <c r="K780" s="32" t="s">
        <v>63</v>
      </c>
    </row>
    <row r="781" customFormat="false" ht="13.5" hidden="false" customHeight="true" outlineLevel="0" collapsed="false">
      <c r="A781" s="32" t="n">
        <v>2683</v>
      </c>
      <c r="B781" s="32" t="s">
        <v>774</v>
      </c>
      <c r="C781" s="32" t="s">
        <v>775</v>
      </c>
      <c r="D781" s="32" t="s">
        <v>114</v>
      </c>
      <c r="E781" s="32" t="s">
        <v>115</v>
      </c>
      <c r="F781" s="33" t="n">
        <v>919748000000</v>
      </c>
      <c r="G781" s="32" t="s">
        <v>140</v>
      </c>
      <c r="H781" s="32" t="s">
        <v>22</v>
      </c>
      <c r="I781" s="32" t="s">
        <v>120</v>
      </c>
      <c r="J781" s="32" t="s">
        <v>110</v>
      </c>
      <c r="K781" s="32" t="s">
        <v>63</v>
      </c>
    </row>
    <row r="782" customFormat="false" ht="13.5" hidden="false" customHeight="true" outlineLevel="0" collapsed="false">
      <c r="A782" s="32" t="n">
        <v>2684</v>
      </c>
      <c r="B782" s="32" t="s">
        <v>774</v>
      </c>
      <c r="C782" s="32" t="s">
        <v>775</v>
      </c>
      <c r="D782" s="32" t="s">
        <v>114</v>
      </c>
      <c r="E782" s="32" t="s">
        <v>115</v>
      </c>
      <c r="F782" s="32" t="n">
        <v>9748456990</v>
      </c>
      <c r="G782" s="32" t="s">
        <v>140</v>
      </c>
      <c r="H782" s="32" t="s">
        <v>22</v>
      </c>
      <c r="I782" s="32" t="s">
        <v>145</v>
      </c>
      <c r="J782" s="32" t="s">
        <v>117</v>
      </c>
      <c r="K782" s="32" t="s">
        <v>63</v>
      </c>
    </row>
    <row r="783" customFormat="false" ht="13.5" hidden="false" customHeight="true" outlineLevel="0" collapsed="false">
      <c r="A783" s="32" t="n">
        <v>2685</v>
      </c>
      <c r="B783" s="32" t="s">
        <v>774</v>
      </c>
      <c r="C783" s="32" t="s">
        <v>776</v>
      </c>
      <c r="D783" s="32" t="s">
        <v>114</v>
      </c>
      <c r="E783" s="32" t="s">
        <v>115</v>
      </c>
      <c r="F783" s="32" t="n">
        <v>9748456990</v>
      </c>
      <c r="G783" s="32" t="s">
        <v>140</v>
      </c>
      <c r="H783" s="32" t="s">
        <v>22</v>
      </c>
      <c r="I783" s="32" t="s">
        <v>777</v>
      </c>
      <c r="J783" s="32" t="s">
        <v>110</v>
      </c>
      <c r="K783" s="32" t="s">
        <v>63</v>
      </c>
    </row>
    <row r="784" customFormat="false" ht="13.5" hidden="false" customHeight="true" outlineLevel="0" collapsed="false">
      <c r="A784" s="32" t="n">
        <v>2687</v>
      </c>
      <c r="B784" s="32" t="s">
        <v>778</v>
      </c>
      <c r="C784" s="32" t="s">
        <v>779</v>
      </c>
      <c r="D784" s="32" t="s">
        <v>114</v>
      </c>
      <c r="E784" s="32" t="s">
        <v>169</v>
      </c>
      <c r="F784" s="32" t="n">
        <v>9892990128</v>
      </c>
      <c r="G784" s="32" t="s">
        <v>181</v>
      </c>
      <c r="H784" s="32" t="s">
        <v>22</v>
      </c>
      <c r="I784" s="32" t="s">
        <v>251</v>
      </c>
      <c r="J784" s="32" t="s">
        <v>152</v>
      </c>
      <c r="K784" s="32" t="s">
        <v>63</v>
      </c>
    </row>
    <row r="785" customFormat="false" ht="13.5" hidden="false" customHeight="true" outlineLevel="0" collapsed="false">
      <c r="A785" s="32" t="n">
        <v>2688</v>
      </c>
      <c r="B785" s="32" t="s">
        <v>778</v>
      </c>
      <c r="C785" s="32" t="s">
        <v>779</v>
      </c>
      <c r="D785" s="32" t="s">
        <v>114</v>
      </c>
      <c r="E785" s="32" t="s">
        <v>169</v>
      </c>
      <c r="F785" s="32" t="n">
        <v>9892990128</v>
      </c>
      <c r="G785" s="32" t="s">
        <v>181</v>
      </c>
      <c r="H785" s="32" t="s">
        <v>22</v>
      </c>
      <c r="I785" s="32" t="s">
        <v>93</v>
      </c>
      <c r="J785" s="32" t="s">
        <v>85</v>
      </c>
      <c r="K785" s="32" t="s">
        <v>63</v>
      </c>
    </row>
    <row r="786" customFormat="false" ht="13.5" hidden="false" customHeight="true" outlineLevel="0" collapsed="false">
      <c r="A786" s="32" t="n">
        <v>2689</v>
      </c>
      <c r="B786" s="32" t="s">
        <v>778</v>
      </c>
      <c r="C786" s="32" t="s">
        <v>779</v>
      </c>
      <c r="D786" s="32" t="s">
        <v>114</v>
      </c>
      <c r="E786" s="32" t="s">
        <v>169</v>
      </c>
      <c r="F786" s="32" t="n">
        <v>9892990128</v>
      </c>
      <c r="G786" s="32" t="s">
        <v>780</v>
      </c>
      <c r="H786" s="32" t="s">
        <v>22</v>
      </c>
      <c r="I786" s="32" t="s">
        <v>87</v>
      </c>
      <c r="J786" s="32" t="s">
        <v>84</v>
      </c>
      <c r="K786" s="32" t="s">
        <v>63</v>
      </c>
    </row>
    <row r="787" customFormat="false" ht="13.5" hidden="false" customHeight="true" outlineLevel="0" collapsed="false">
      <c r="A787" s="32" t="n">
        <v>2690</v>
      </c>
      <c r="B787" s="32" t="s">
        <v>778</v>
      </c>
      <c r="C787" s="32" t="s">
        <v>779</v>
      </c>
      <c r="D787" s="32" t="s">
        <v>114</v>
      </c>
      <c r="E787" s="32" t="s">
        <v>169</v>
      </c>
      <c r="F787" s="32" t="n">
        <v>9892990128</v>
      </c>
      <c r="G787" s="32" t="s">
        <v>780</v>
      </c>
      <c r="H787" s="32" t="s">
        <v>22</v>
      </c>
      <c r="I787" s="32" t="s">
        <v>151</v>
      </c>
      <c r="J787" s="32" t="s">
        <v>152</v>
      </c>
      <c r="K787" s="32" t="s">
        <v>63</v>
      </c>
    </row>
    <row r="788" customFormat="false" ht="13.5" hidden="false" customHeight="true" outlineLevel="0" collapsed="false">
      <c r="A788" s="32" t="n">
        <v>2691</v>
      </c>
      <c r="B788" s="32" t="s">
        <v>781</v>
      </c>
      <c r="C788" s="32" t="s">
        <v>782</v>
      </c>
      <c r="D788" s="32" t="s">
        <v>59</v>
      </c>
      <c r="E788" s="32" t="n">
        <v>0</v>
      </c>
      <c r="F788" s="32" t="n">
        <v>9000004197</v>
      </c>
      <c r="G788" s="32" t="s">
        <v>80</v>
      </c>
      <c r="H788" s="32" t="s">
        <v>21</v>
      </c>
      <c r="I788" s="32" t="s">
        <v>16</v>
      </c>
      <c r="J788" s="32" t="s">
        <v>73</v>
      </c>
      <c r="K788" s="32" t="s">
        <v>63</v>
      </c>
    </row>
    <row r="789" customFormat="false" ht="13.5" hidden="false" customHeight="true" outlineLevel="0" collapsed="false">
      <c r="A789" s="32" t="n">
        <v>2692</v>
      </c>
      <c r="B789" s="32" t="s">
        <v>781</v>
      </c>
      <c r="C789" s="32" t="s">
        <v>782</v>
      </c>
      <c r="D789" s="32" t="s">
        <v>59</v>
      </c>
      <c r="E789" s="32" t="n">
        <v>0</v>
      </c>
      <c r="F789" s="32" t="n">
        <v>9000004197</v>
      </c>
      <c r="G789" s="32" t="s">
        <v>80</v>
      </c>
      <c r="H789" s="32" t="s">
        <v>21</v>
      </c>
      <c r="I789" s="32" t="s">
        <v>151</v>
      </c>
      <c r="J789" s="32" t="s">
        <v>152</v>
      </c>
      <c r="K789" s="32" t="s">
        <v>63</v>
      </c>
    </row>
    <row r="790" customFormat="false" ht="13.5" hidden="false" customHeight="true" outlineLevel="0" collapsed="false">
      <c r="A790" s="32" t="n">
        <v>2693</v>
      </c>
      <c r="B790" s="32" t="s">
        <v>781</v>
      </c>
      <c r="C790" s="32" t="s">
        <v>782</v>
      </c>
      <c r="D790" s="32" t="s">
        <v>59</v>
      </c>
      <c r="E790" s="32" t="n">
        <v>0</v>
      </c>
      <c r="F790" s="32" t="n">
        <v>9000004197</v>
      </c>
      <c r="G790" s="32" t="s">
        <v>80</v>
      </c>
      <c r="H790" s="32" t="s">
        <v>21</v>
      </c>
      <c r="I790" s="32" t="s">
        <v>783</v>
      </c>
      <c r="J790" s="32" t="s">
        <v>99</v>
      </c>
      <c r="K790" s="32" t="s">
        <v>63</v>
      </c>
    </row>
    <row r="791" customFormat="false" ht="13.5" hidden="false" customHeight="true" outlineLevel="0" collapsed="false">
      <c r="A791" s="32" t="n">
        <v>2694</v>
      </c>
      <c r="B791" s="32" t="s">
        <v>781</v>
      </c>
      <c r="C791" s="32" t="s">
        <v>782</v>
      </c>
      <c r="D791" s="32" t="s">
        <v>59</v>
      </c>
      <c r="E791" s="32" t="n">
        <v>0</v>
      </c>
      <c r="F791" s="32" t="n">
        <v>9000004197</v>
      </c>
      <c r="G791" s="32" t="s">
        <v>80</v>
      </c>
      <c r="H791" s="32" t="s">
        <v>21</v>
      </c>
      <c r="I791" s="32" t="s">
        <v>98</v>
      </c>
      <c r="J791" s="32" t="s">
        <v>99</v>
      </c>
      <c r="K791" s="32" t="s">
        <v>63</v>
      </c>
    </row>
    <row r="792" customFormat="false" ht="13.5" hidden="false" customHeight="true" outlineLevel="0" collapsed="false">
      <c r="A792" s="32" t="n">
        <v>2695</v>
      </c>
      <c r="B792" s="32" t="s">
        <v>781</v>
      </c>
      <c r="C792" s="32" t="s">
        <v>782</v>
      </c>
      <c r="D792" s="32" t="s">
        <v>59</v>
      </c>
      <c r="E792" s="32" t="n">
        <v>0</v>
      </c>
      <c r="F792" s="32" t="n">
        <v>9000004197</v>
      </c>
      <c r="G792" s="32" t="s">
        <v>80</v>
      </c>
      <c r="H792" s="32" t="s">
        <v>21</v>
      </c>
      <c r="I792" s="32" t="s">
        <v>146</v>
      </c>
      <c r="J792" s="32" t="s">
        <v>117</v>
      </c>
      <c r="K792" s="32" t="s">
        <v>63</v>
      </c>
    </row>
    <row r="793" customFormat="false" ht="13.5" hidden="false" customHeight="true" outlineLevel="0" collapsed="false">
      <c r="A793" s="32" t="n">
        <v>2696</v>
      </c>
      <c r="B793" s="32" t="s">
        <v>781</v>
      </c>
      <c r="C793" s="32" t="s">
        <v>782</v>
      </c>
      <c r="D793" s="32" t="s">
        <v>59</v>
      </c>
      <c r="E793" s="32" t="n">
        <v>0</v>
      </c>
      <c r="F793" s="32" t="n">
        <v>9000004197</v>
      </c>
      <c r="G793" s="32" t="s">
        <v>80</v>
      </c>
      <c r="H793" s="32" t="s">
        <v>21</v>
      </c>
      <c r="I793" s="32" t="s">
        <v>784</v>
      </c>
      <c r="J793" s="32" t="s">
        <v>203</v>
      </c>
      <c r="K793" s="32" t="s">
        <v>63</v>
      </c>
    </row>
    <row r="794" customFormat="false" ht="13.5" hidden="false" customHeight="true" outlineLevel="0" collapsed="false">
      <c r="A794" s="32" t="n">
        <v>2697</v>
      </c>
      <c r="B794" s="32" t="s">
        <v>785</v>
      </c>
      <c r="C794" s="32" t="s">
        <v>786</v>
      </c>
      <c r="D794" s="32" t="s">
        <v>59</v>
      </c>
      <c r="E794" s="32" t="s">
        <v>107</v>
      </c>
      <c r="F794" s="32" t="n">
        <v>8125607822</v>
      </c>
      <c r="G794" s="32" t="s">
        <v>80</v>
      </c>
      <c r="H794" s="32" t="s">
        <v>21</v>
      </c>
      <c r="I794" s="32" t="s">
        <v>108</v>
      </c>
      <c r="J794" s="32" t="s">
        <v>71</v>
      </c>
      <c r="K794" s="32" t="s">
        <v>63</v>
      </c>
    </row>
    <row r="795" customFormat="false" ht="13.5" hidden="false" customHeight="true" outlineLevel="0" collapsed="false">
      <c r="A795" s="32" t="n">
        <v>2698</v>
      </c>
      <c r="B795" s="32" t="s">
        <v>785</v>
      </c>
      <c r="C795" s="32" t="s">
        <v>786</v>
      </c>
      <c r="D795" s="32" t="s">
        <v>59</v>
      </c>
      <c r="E795" s="32" t="s">
        <v>107</v>
      </c>
      <c r="F795" s="32" t="n">
        <v>8125607822</v>
      </c>
      <c r="G795" s="32" t="s">
        <v>80</v>
      </c>
      <c r="H795" s="32" t="s">
        <v>21</v>
      </c>
      <c r="I795" s="32" t="s">
        <v>145</v>
      </c>
      <c r="J795" s="32" t="s">
        <v>117</v>
      </c>
      <c r="K795" s="32" t="s">
        <v>63</v>
      </c>
    </row>
    <row r="796" customFormat="false" ht="13.5" hidden="false" customHeight="true" outlineLevel="0" collapsed="false">
      <c r="A796" s="32" t="n">
        <v>2700</v>
      </c>
      <c r="B796" s="32" t="s">
        <v>785</v>
      </c>
      <c r="C796" s="32" t="s">
        <v>786</v>
      </c>
      <c r="D796" s="32" t="s">
        <v>59</v>
      </c>
      <c r="E796" s="32" t="s">
        <v>107</v>
      </c>
      <c r="F796" s="32" t="n">
        <v>8125607822</v>
      </c>
      <c r="G796" s="32" t="s">
        <v>80</v>
      </c>
      <c r="H796" s="32" t="s">
        <v>21</v>
      </c>
      <c r="I796" s="32" t="s">
        <v>133</v>
      </c>
      <c r="J796" s="32" t="s">
        <v>134</v>
      </c>
      <c r="K796" s="32" t="s">
        <v>63</v>
      </c>
    </row>
    <row r="797" customFormat="false" ht="13.5" hidden="false" customHeight="true" outlineLevel="0" collapsed="false">
      <c r="A797" s="32" t="n">
        <v>2701</v>
      </c>
      <c r="B797" s="32" t="s">
        <v>787</v>
      </c>
      <c r="C797" s="32" t="s">
        <v>788</v>
      </c>
      <c r="D797" s="32" t="s">
        <v>114</v>
      </c>
      <c r="E797" s="32" t="s">
        <v>115</v>
      </c>
      <c r="F797" s="32" t="n">
        <v>0</v>
      </c>
      <c r="G797" s="32" t="s">
        <v>104</v>
      </c>
      <c r="H797" s="32" t="s">
        <v>22</v>
      </c>
      <c r="I797" s="32" t="s">
        <v>16</v>
      </c>
      <c r="J797" s="32" t="s">
        <v>73</v>
      </c>
      <c r="K797" s="32" t="s">
        <v>63</v>
      </c>
    </row>
    <row r="798" customFormat="false" ht="13.5" hidden="false" customHeight="true" outlineLevel="0" collapsed="false">
      <c r="A798" s="32" t="n">
        <v>2702</v>
      </c>
      <c r="B798" s="32" t="s">
        <v>789</v>
      </c>
      <c r="C798" s="32" t="s">
        <v>790</v>
      </c>
      <c r="D798" s="32" t="s">
        <v>59</v>
      </c>
      <c r="E798" s="32" t="s">
        <v>143</v>
      </c>
      <c r="F798" s="33" t="n">
        <v>918589000000</v>
      </c>
      <c r="G798" s="32" t="s">
        <v>144</v>
      </c>
      <c r="H798" s="32" t="s">
        <v>21</v>
      </c>
      <c r="I798" s="32" t="s">
        <v>28</v>
      </c>
      <c r="J798" s="32" t="s">
        <v>82</v>
      </c>
      <c r="K798" s="32" t="s">
        <v>63</v>
      </c>
    </row>
    <row r="799" customFormat="false" ht="13.5" hidden="false" customHeight="true" outlineLevel="0" collapsed="false">
      <c r="A799" s="32" t="n">
        <v>2703</v>
      </c>
      <c r="B799" s="32" t="s">
        <v>789</v>
      </c>
      <c r="C799" s="32" t="s">
        <v>791</v>
      </c>
      <c r="D799" s="32" t="s">
        <v>59</v>
      </c>
      <c r="E799" s="32" t="s">
        <v>143</v>
      </c>
      <c r="F799" s="33" t="n">
        <v>918589000000</v>
      </c>
      <c r="G799" s="32" t="s">
        <v>144</v>
      </c>
      <c r="H799" s="32" t="s">
        <v>21</v>
      </c>
      <c r="I799" s="32" t="s">
        <v>145</v>
      </c>
      <c r="J799" s="32" t="s">
        <v>117</v>
      </c>
      <c r="K799" s="32" t="s">
        <v>63</v>
      </c>
    </row>
    <row r="800" customFormat="false" ht="13.5" hidden="false" customHeight="true" outlineLevel="0" collapsed="false">
      <c r="A800" s="32" t="n">
        <v>2704</v>
      </c>
      <c r="B800" s="32" t="s">
        <v>789</v>
      </c>
      <c r="C800" s="32" t="s">
        <v>791</v>
      </c>
      <c r="D800" s="32" t="s">
        <v>59</v>
      </c>
      <c r="E800" s="32" t="s">
        <v>143</v>
      </c>
      <c r="F800" s="33" t="n">
        <v>918589000000</v>
      </c>
      <c r="G800" s="32" t="s">
        <v>144</v>
      </c>
      <c r="H800" s="32" t="s">
        <v>21</v>
      </c>
      <c r="I800" s="32" t="s">
        <v>93</v>
      </c>
      <c r="J800" s="32" t="s">
        <v>85</v>
      </c>
      <c r="K800" s="32" t="s">
        <v>63</v>
      </c>
    </row>
    <row r="801" customFormat="false" ht="13.5" hidden="false" customHeight="true" outlineLevel="0" collapsed="false">
      <c r="A801" s="32" t="n">
        <v>2705</v>
      </c>
      <c r="B801" s="32" t="s">
        <v>789</v>
      </c>
      <c r="C801" s="32" t="s">
        <v>791</v>
      </c>
      <c r="D801" s="32" t="s">
        <v>59</v>
      </c>
      <c r="E801" s="32" t="s">
        <v>143</v>
      </c>
      <c r="F801" s="33" t="n">
        <v>918589000000</v>
      </c>
      <c r="G801" s="32" t="s">
        <v>144</v>
      </c>
      <c r="H801" s="32" t="s">
        <v>21</v>
      </c>
      <c r="I801" s="32" t="s">
        <v>491</v>
      </c>
      <c r="J801" s="32" t="s">
        <v>152</v>
      </c>
      <c r="K801" s="32" t="s">
        <v>63</v>
      </c>
    </row>
    <row r="802" customFormat="false" ht="13.5" hidden="false" customHeight="true" outlineLevel="0" collapsed="false">
      <c r="A802" s="32" t="n">
        <v>2706</v>
      </c>
      <c r="B802" s="32" t="s">
        <v>792</v>
      </c>
      <c r="C802" s="32" t="s">
        <v>793</v>
      </c>
      <c r="D802" s="32" t="s">
        <v>114</v>
      </c>
      <c r="E802" s="32" t="s">
        <v>165</v>
      </c>
      <c r="F802" s="32" t="n">
        <v>9994480329</v>
      </c>
      <c r="G802" s="32" t="s">
        <v>794</v>
      </c>
      <c r="H802" s="32" t="s">
        <v>22</v>
      </c>
      <c r="I802" s="32" t="s">
        <v>75</v>
      </c>
      <c r="J802" s="32" t="s">
        <v>76</v>
      </c>
      <c r="K802" s="32" t="s">
        <v>63</v>
      </c>
    </row>
    <row r="803" customFormat="false" ht="13.5" hidden="false" customHeight="true" outlineLevel="0" collapsed="false">
      <c r="A803" s="32" t="n">
        <v>2707</v>
      </c>
      <c r="B803" s="32" t="s">
        <v>792</v>
      </c>
      <c r="C803" s="32" t="s">
        <v>795</v>
      </c>
      <c r="D803" s="32" t="s">
        <v>114</v>
      </c>
      <c r="E803" s="32" t="s">
        <v>165</v>
      </c>
      <c r="F803" s="32" t="n">
        <v>4704345616</v>
      </c>
      <c r="G803" s="32" t="s">
        <v>61</v>
      </c>
      <c r="H803" s="32" t="s">
        <v>22</v>
      </c>
      <c r="I803" s="32" t="s">
        <v>248</v>
      </c>
      <c r="J803" s="32" t="s">
        <v>117</v>
      </c>
      <c r="K803" s="32" t="s">
        <v>63</v>
      </c>
    </row>
    <row r="804" customFormat="false" ht="13.5" hidden="false" customHeight="true" outlineLevel="0" collapsed="false">
      <c r="A804" s="32" t="n">
        <v>2709</v>
      </c>
      <c r="B804" s="32" t="s">
        <v>792</v>
      </c>
      <c r="C804" s="32" t="s">
        <v>795</v>
      </c>
      <c r="D804" s="32" t="s">
        <v>114</v>
      </c>
      <c r="E804" s="32" t="s">
        <v>165</v>
      </c>
      <c r="F804" s="32" t="n">
        <v>4704345616</v>
      </c>
      <c r="G804" s="32" t="s">
        <v>61</v>
      </c>
      <c r="H804" s="32" t="s">
        <v>22</v>
      </c>
      <c r="I804" s="32" t="s">
        <v>796</v>
      </c>
      <c r="J804" s="32" t="s">
        <v>186</v>
      </c>
      <c r="K804" s="32" t="s">
        <v>63</v>
      </c>
    </row>
    <row r="805" customFormat="false" ht="13.5" hidden="false" customHeight="true" outlineLevel="0" collapsed="false">
      <c r="A805" s="32" t="n">
        <v>2710</v>
      </c>
      <c r="B805" s="32" t="s">
        <v>792</v>
      </c>
      <c r="C805" s="32" t="s">
        <v>795</v>
      </c>
      <c r="D805" s="32" t="s">
        <v>114</v>
      </c>
      <c r="E805" s="32" t="s">
        <v>165</v>
      </c>
      <c r="F805" s="32" t="n">
        <v>9994480329</v>
      </c>
      <c r="G805" s="32" t="s">
        <v>797</v>
      </c>
      <c r="H805" s="32" t="s">
        <v>22</v>
      </c>
      <c r="I805" s="32" t="s">
        <v>314</v>
      </c>
      <c r="J805" s="32" t="s">
        <v>134</v>
      </c>
      <c r="K805" s="32" t="s">
        <v>63</v>
      </c>
    </row>
    <row r="806" customFormat="false" ht="13.5" hidden="false" customHeight="true" outlineLevel="0" collapsed="false">
      <c r="A806" s="32" t="n">
        <v>2711</v>
      </c>
      <c r="B806" s="32" t="s">
        <v>798</v>
      </c>
      <c r="C806" s="32" t="s">
        <v>799</v>
      </c>
      <c r="D806" s="32" t="s">
        <v>59</v>
      </c>
      <c r="E806" s="32" t="s">
        <v>79</v>
      </c>
      <c r="F806" s="32" t="n">
        <v>949135622</v>
      </c>
      <c r="G806" s="32" t="s">
        <v>80</v>
      </c>
      <c r="H806" s="32" t="s">
        <v>21</v>
      </c>
      <c r="I806" s="32" t="s">
        <v>251</v>
      </c>
      <c r="J806" s="32" t="s">
        <v>152</v>
      </c>
      <c r="K806" s="32" t="s">
        <v>63</v>
      </c>
    </row>
    <row r="807" customFormat="false" ht="13.5" hidden="false" customHeight="true" outlineLevel="0" collapsed="false">
      <c r="A807" s="32" t="n">
        <v>2712</v>
      </c>
      <c r="B807" s="32" t="s">
        <v>798</v>
      </c>
      <c r="C807" s="32" t="s">
        <v>800</v>
      </c>
      <c r="D807" s="32" t="s">
        <v>59</v>
      </c>
      <c r="E807" s="32" t="s">
        <v>79</v>
      </c>
      <c r="F807" s="32" t="n">
        <v>949135622</v>
      </c>
      <c r="G807" s="32" t="s">
        <v>80</v>
      </c>
      <c r="H807" s="32" t="s">
        <v>21</v>
      </c>
      <c r="I807" s="32" t="s">
        <v>151</v>
      </c>
      <c r="J807" s="32" t="s">
        <v>152</v>
      </c>
      <c r="K807" s="32" t="s">
        <v>63</v>
      </c>
    </row>
    <row r="808" customFormat="false" ht="13.5" hidden="false" customHeight="true" outlineLevel="0" collapsed="false">
      <c r="A808" s="32" t="n">
        <v>2713</v>
      </c>
      <c r="B808" s="32" t="s">
        <v>798</v>
      </c>
      <c r="C808" s="32" t="s">
        <v>800</v>
      </c>
      <c r="D808" s="32" t="s">
        <v>59</v>
      </c>
      <c r="E808" s="32" t="s">
        <v>79</v>
      </c>
      <c r="F808" s="32" t="n">
        <v>949135622</v>
      </c>
      <c r="G808" s="32" t="s">
        <v>80</v>
      </c>
      <c r="H808" s="32" t="s">
        <v>21</v>
      </c>
      <c r="I808" s="32" t="s">
        <v>251</v>
      </c>
      <c r="J808" s="32" t="s">
        <v>152</v>
      </c>
      <c r="K808" s="32" t="s">
        <v>63</v>
      </c>
    </row>
    <row r="809" customFormat="false" ht="13.5" hidden="false" customHeight="true" outlineLevel="0" collapsed="false">
      <c r="A809" s="32" t="n">
        <v>2714</v>
      </c>
      <c r="B809" s="32" t="s">
        <v>798</v>
      </c>
      <c r="C809" s="32" t="s">
        <v>800</v>
      </c>
      <c r="D809" s="32" t="s">
        <v>59</v>
      </c>
      <c r="E809" s="32" t="s">
        <v>79</v>
      </c>
      <c r="F809" s="32" t="n">
        <v>949135622</v>
      </c>
      <c r="G809" s="32" t="s">
        <v>80</v>
      </c>
      <c r="H809" s="32" t="s">
        <v>21</v>
      </c>
      <c r="I809" s="32" t="s">
        <v>251</v>
      </c>
      <c r="J809" s="32" t="s">
        <v>152</v>
      </c>
      <c r="K809" s="32" t="s">
        <v>63</v>
      </c>
    </row>
    <row r="810" customFormat="false" ht="13.5" hidden="false" customHeight="true" outlineLevel="0" collapsed="false">
      <c r="A810" s="32" t="n">
        <v>2715</v>
      </c>
      <c r="B810" s="32" t="s">
        <v>801</v>
      </c>
      <c r="C810" s="32" t="s">
        <v>802</v>
      </c>
      <c r="D810" s="32" t="s">
        <v>102</v>
      </c>
      <c r="E810" s="32" t="s">
        <v>60</v>
      </c>
      <c r="F810" s="32" t="n">
        <v>8124488506</v>
      </c>
      <c r="G810" s="32" t="s">
        <v>80</v>
      </c>
      <c r="H810" s="32" t="s">
        <v>21</v>
      </c>
      <c r="I810" s="32" t="s">
        <v>14</v>
      </c>
      <c r="J810" s="32" t="s">
        <v>66</v>
      </c>
      <c r="K810" s="32" t="s">
        <v>63</v>
      </c>
    </row>
    <row r="811" customFormat="false" ht="13.5" hidden="false" customHeight="true" outlineLevel="0" collapsed="false">
      <c r="A811" s="32" t="n">
        <v>2716</v>
      </c>
      <c r="B811" s="32" t="s">
        <v>801</v>
      </c>
      <c r="C811" s="32" t="s">
        <v>803</v>
      </c>
      <c r="D811" s="32" t="s">
        <v>102</v>
      </c>
      <c r="E811" s="32" t="s">
        <v>60</v>
      </c>
      <c r="F811" s="32" t="n">
        <v>8124488506</v>
      </c>
      <c r="G811" s="32" t="s">
        <v>80</v>
      </c>
      <c r="H811" s="32" t="s">
        <v>21</v>
      </c>
      <c r="I811" s="32" t="s">
        <v>156</v>
      </c>
      <c r="J811" s="32" t="s">
        <v>62</v>
      </c>
      <c r="K811" s="32" t="s">
        <v>63</v>
      </c>
    </row>
    <row r="812" customFormat="false" ht="13.5" hidden="false" customHeight="true" outlineLevel="0" collapsed="false">
      <c r="A812" s="32" t="n">
        <v>2717</v>
      </c>
      <c r="B812" s="32" t="s">
        <v>801</v>
      </c>
      <c r="C812" s="32" t="s">
        <v>802</v>
      </c>
      <c r="D812" s="32" t="s">
        <v>102</v>
      </c>
      <c r="E812" s="32" t="s">
        <v>60</v>
      </c>
      <c r="F812" s="32" t="n">
        <v>8124488506</v>
      </c>
      <c r="G812" s="32" t="s">
        <v>80</v>
      </c>
      <c r="H812" s="32" t="s">
        <v>21</v>
      </c>
      <c r="I812" s="32" t="s">
        <v>29</v>
      </c>
      <c r="J812" s="32" t="s">
        <v>62</v>
      </c>
      <c r="K812" s="32" t="s">
        <v>63</v>
      </c>
    </row>
    <row r="813" customFormat="false" ht="13.5" hidden="false" customHeight="true" outlineLevel="0" collapsed="false">
      <c r="A813" s="32" t="n">
        <v>2718</v>
      </c>
      <c r="B813" s="32" t="s">
        <v>804</v>
      </c>
      <c r="C813" s="32" t="s">
        <v>805</v>
      </c>
      <c r="D813" s="32" t="s">
        <v>114</v>
      </c>
      <c r="E813" s="32" t="s">
        <v>115</v>
      </c>
      <c r="F813" s="33" t="n">
        <v>919973000000</v>
      </c>
      <c r="G813" s="32" t="s">
        <v>61</v>
      </c>
      <c r="H813" s="32" t="s">
        <v>22</v>
      </c>
      <c r="I813" s="32" t="s">
        <v>149</v>
      </c>
      <c r="J813" s="32" t="s">
        <v>73</v>
      </c>
      <c r="K813" s="32" t="s">
        <v>63</v>
      </c>
    </row>
    <row r="814" customFormat="false" ht="13.5" hidden="false" customHeight="true" outlineLevel="0" collapsed="false">
      <c r="A814" s="32" t="n">
        <v>2719</v>
      </c>
      <c r="B814" s="32" t="s">
        <v>804</v>
      </c>
      <c r="C814" s="32" t="s">
        <v>806</v>
      </c>
      <c r="D814" s="32" t="s">
        <v>114</v>
      </c>
      <c r="E814" s="32" t="s">
        <v>115</v>
      </c>
      <c r="F814" s="32" t="n">
        <v>9972555912</v>
      </c>
      <c r="G814" s="32" t="s">
        <v>61</v>
      </c>
      <c r="H814" s="32" t="s">
        <v>22</v>
      </c>
      <c r="I814" s="32" t="s">
        <v>128</v>
      </c>
      <c r="J814" s="32" t="s">
        <v>89</v>
      </c>
      <c r="K814" s="32" t="s">
        <v>63</v>
      </c>
    </row>
    <row r="815" customFormat="false" ht="13.5" hidden="false" customHeight="true" outlineLevel="0" collapsed="false">
      <c r="A815" s="32" t="n">
        <v>2720</v>
      </c>
      <c r="B815" s="32" t="s">
        <v>804</v>
      </c>
      <c r="C815" s="32" t="s">
        <v>806</v>
      </c>
      <c r="D815" s="32" t="s">
        <v>114</v>
      </c>
      <c r="E815" s="32" t="s">
        <v>115</v>
      </c>
      <c r="F815" s="33" t="n">
        <v>919973000000</v>
      </c>
      <c r="G815" s="32" t="s">
        <v>61</v>
      </c>
      <c r="H815" s="32" t="s">
        <v>22</v>
      </c>
      <c r="I815" s="32" t="s">
        <v>807</v>
      </c>
      <c r="J815" s="32" t="s">
        <v>808</v>
      </c>
      <c r="K815" s="32" t="s">
        <v>63</v>
      </c>
    </row>
    <row r="816" customFormat="false" ht="13.5" hidden="false" customHeight="true" outlineLevel="0" collapsed="false">
      <c r="A816" s="32" t="n">
        <v>2721</v>
      </c>
      <c r="B816" s="32" t="s">
        <v>804</v>
      </c>
      <c r="C816" s="32" t="s">
        <v>806</v>
      </c>
      <c r="D816" s="32" t="s">
        <v>114</v>
      </c>
      <c r="E816" s="32" t="s">
        <v>115</v>
      </c>
      <c r="F816" s="33" t="n">
        <v>919973000000</v>
      </c>
      <c r="G816" s="32" t="s">
        <v>61</v>
      </c>
      <c r="H816" s="32" t="s">
        <v>22</v>
      </c>
      <c r="I816" s="32" t="s">
        <v>393</v>
      </c>
      <c r="J816" s="32" t="s">
        <v>73</v>
      </c>
      <c r="K816" s="32" t="s">
        <v>63</v>
      </c>
    </row>
    <row r="817" customFormat="false" ht="13.5" hidden="false" customHeight="true" outlineLevel="0" collapsed="false">
      <c r="A817" s="32" t="n">
        <v>2722</v>
      </c>
      <c r="B817" s="32" t="s">
        <v>804</v>
      </c>
      <c r="C817" s="32" t="s">
        <v>806</v>
      </c>
      <c r="D817" s="32" t="s">
        <v>114</v>
      </c>
      <c r="E817" s="32" t="s">
        <v>115</v>
      </c>
      <c r="F817" s="32" t="n">
        <v>9972555912</v>
      </c>
      <c r="G817" s="32" t="s">
        <v>61</v>
      </c>
      <c r="H817" s="32" t="s">
        <v>22</v>
      </c>
      <c r="I817" s="32" t="s">
        <v>217</v>
      </c>
      <c r="J817" s="32" t="s">
        <v>132</v>
      </c>
      <c r="K817" s="32" t="s">
        <v>63</v>
      </c>
    </row>
    <row r="818" customFormat="false" ht="13.5" hidden="false" customHeight="true" outlineLevel="0" collapsed="false">
      <c r="A818" s="32" t="n">
        <v>2723</v>
      </c>
      <c r="B818" s="32" t="s">
        <v>809</v>
      </c>
      <c r="C818" s="32" t="s">
        <v>810</v>
      </c>
      <c r="D818" s="32" t="s">
        <v>59</v>
      </c>
      <c r="E818" s="32" t="s">
        <v>92</v>
      </c>
      <c r="F818" s="32" t="n">
        <v>7022224974</v>
      </c>
      <c r="G818" s="32" t="s">
        <v>0</v>
      </c>
      <c r="H818" s="32" t="s">
        <v>21</v>
      </c>
      <c r="I818" s="32" t="s">
        <v>151</v>
      </c>
      <c r="J818" s="32" t="s">
        <v>152</v>
      </c>
      <c r="K818" s="32" t="s">
        <v>63</v>
      </c>
    </row>
    <row r="819" customFormat="false" ht="13.5" hidden="false" customHeight="true" outlineLevel="0" collapsed="false">
      <c r="A819" s="32" t="n">
        <v>2724</v>
      </c>
      <c r="B819" s="32" t="s">
        <v>811</v>
      </c>
      <c r="C819" s="32" t="s">
        <v>812</v>
      </c>
      <c r="D819" s="32" t="s">
        <v>114</v>
      </c>
      <c r="E819" s="32" t="s">
        <v>115</v>
      </c>
      <c r="F819" s="33" t="n">
        <v>919966000000</v>
      </c>
      <c r="G819" s="32" t="s">
        <v>80</v>
      </c>
      <c r="H819" s="32" t="s">
        <v>22</v>
      </c>
      <c r="I819" s="32" t="s">
        <v>121</v>
      </c>
      <c r="J819" s="32" t="s">
        <v>110</v>
      </c>
      <c r="K819" s="32" t="s">
        <v>63</v>
      </c>
    </row>
    <row r="820" customFormat="false" ht="13.5" hidden="false" customHeight="true" outlineLevel="0" collapsed="false">
      <c r="A820" s="32" t="n">
        <v>2725</v>
      </c>
      <c r="B820" s="32" t="s">
        <v>811</v>
      </c>
      <c r="C820" s="32" t="s">
        <v>812</v>
      </c>
      <c r="D820" s="32" t="s">
        <v>114</v>
      </c>
      <c r="E820" s="32" t="s">
        <v>115</v>
      </c>
      <c r="F820" s="33" t="n">
        <v>919966000000</v>
      </c>
      <c r="G820" s="32" t="s">
        <v>80</v>
      </c>
      <c r="H820" s="32" t="s">
        <v>22</v>
      </c>
      <c r="I820" s="32" t="s">
        <v>93</v>
      </c>
      <c r="J820" s="32" t="s">
        <v>85</v>
      </c>
      <c r="K820" s="32" t="s">
        <v>63</v>
      </c>
    </row>
    <row r="821" customFormat="false" ht="13.5" hidden="false" customHeight="true" outlineLevel="0" collapsed="false">
      <c r="A821" s="32" t="n">
        <v>2726</v>
      </c>
      <c r="B821" s="32" t="s">
        <v>811</v>
      </c>
      <c r="C821" s="32" t="s">
        <v>812</v>
      </c>
      <c r="D821" s="32" t="s">
        <v>114</v>
      </c>
      <c r="E821" s="32" t="s">
        <v>115</v>
      </c>
      <c r="F821" s="33" t="n">
        <v>919966000000</v>
      </c>
      <c r="G821" s="32" t="s">
        <v>80</v>
      </c>
      <c r="H821" s="32" t="s">
        <v>22</v>
      </c>
      <c r="I821" s="32" t="s">
        <v>133</v>
      </c>
      <c r="J821" s="32" t="s">
        <v>134</v>
      </c>
      <c r="K821" s="32" t="s">
        <v>63</v>
      </c>
    </row>
    <row r="822" customFormat="false" ht="13.5" hidden="false" customHeight="true" outlineLevel="0" collapsed="false">
      <c r="A822" s="32" t="n">
        <v>2730</v>
      </c>
      <c r="B822" s="32" t="s">
        <v>813</v>
      </c>
      <c r="C822" s="32" t="s">
        <v>814</v>
      </c>
      <c r="D822" s="32" t="s">
        <v>59</v>
      </c>
      <c r="E822" s="32" t="s">
        <v>107</v>
      </c>
      <c r="F822" s="33" t="n">
        <v>918640000000</v>
      </c>
      <c r="G822" s="32" t="s">
        <v>61</v>
      </c>
      <c r="H822" s="32" t="s">
        <v>21</v>
      </c>
      <c r="I822" s="32" t="s">
        <v>108</v>
      </c>
      <c r="J822" s="32" t="s">
        <v>71</v>
      </c>
      <c r="K822" s="32" t="s">
        <v>63</v>
      </c>
    </row>
    <row r="823" customFormat="false" ht="13.5" hidden="false" customHeight="true" outlineLevel="0" collapsed="false">
      <c r="A823" s="32" t="n">
        <v>2731</v>
      </c>
      <c r="B823" s="32" t="s">
        <v>813</v>
      </c>
      <c r="C823" s="32" t="s">
        <v>814</v>
      </c>
      <c r="D823" s="32" t="s">
        <v>59</v>
      </c>
      <c r="E823" s="32" t="s">
        <v>107</v>
      </c>
      <c r="F823" s="33" t="n">
        <v>918640000000</v>
      </c>
      <c r="G823" s="32" t="s">
        <v>61</v>
      </c>
      <c r="H823" s="32" t="s">
        <v>21</v>
      </c>
      <c r="I823" s="32" t="s">
        <v>27</v>
      </c>
      <c r="J823" s="32" t="s">
        <v>13</v>
      </c>
      <c r="K823" s="32" t="s">
        <v>63</v>
      </c>
    </row>
    <row r="824" customFormat="false" ht="13.5" hidden="false" customHeight="true" outlineLevel="0" collapsed="false">
      <c r="A824" s="32" t="n">
        <v>2733</v>
      </c>
      <c r="B824" s="32" t="s">
        <v>813</v>
      </c>
      <c r="C824" s="32" t="s">
        <v>814</v>
      </c>
      <c r="D824" s="32" t="s">
        <v>59</v>
      </c>
      <c r="E824" s="32" t="s">
        <v>107</v>
      </c>
      <c r="F824" s="33" t="n">
        <v>918640000000</v>
      </c>
      <c r="G824" s="32" t="s">
        <v>61</v>
      </c>
      <c r="H824" s="32" t="s">
        <v>21</v>
      </c>
      <c r="I824" s="32" t="s">
        <v>111</v>
      </c>
      <c r="J824" s="32" t="s">
        <v>73</v>
      </c>
      <c r="K824" s="32" t="s">
        <v>63</v>
      </c>
    </row>
    <row r="825" customFormat="false" ht="13.5" hidden="false" customHeight="true" outlineLevel="0" collapsed="false">
      <c r="A825" s="32" t="n">
        <v>2734</v>
      </c>
      <c r="B825" s="32" t="s">
        <v>815</v>
      </c>
      <c r="C825" s="32" t="s">
        <v>816</v>
      </c>
      <c r="D825" s="32" t="s">
        <v>59</v>
      </c>
      <c r="E825" s="32" t="s">
        <v>107</v>
      </c>
      <c r="F825" s="32" t="n">
        <v>9911834394</v>
      </c>
      <c r="G825" s="32" t="s">
        <v>144</v>
      </c>
      <c r="H825" s="32" t="s">
        <v>21</v>
      </c>
      <c r="I825" s="32" t="s">
        <v>16</v>
      </c>
      <c r="J825" s="32" t="s">
        <v>73</v>
      </c>
      <c r="K825" s="32" t="s">
        <v>63</v>
      </c>
    </row>
    <row r="826" customFormat="false" ht="13.5" hidden="false" customHeight="true" outlineLevel="0" collapsed="false">
      <c r="A826" s="32" t="n">
        <v>2735</v>
      </c>
      <c r="B826" s="32" t="s">
        <v>815</v>
      </c>
      <c r="C826" s="32" t="s">
        <v>816</v>
      </c>
      <c r="D826" s="32" t="s">
        <v>59</v>
      </c>
      <c r="E826" s="32" t="s">
        <v>107</v>
      </c>
      <c r="F826" s="32" t="n">
        <v>9911834394</v>
      </c>
      <c r="G826" s="32" t="s">
        <v>144</v>
      </c>
      <c r="H826" s="32" t="s">
        <v>21</v>
      </c>
      <c r="I826" s="32" t="s">
        <v>108</v>
      </c>
      <c r="J826" s="32" t="s">
        <v>71</v>
      </c>
      <c r="K826" s="32" t="s">
        <v>63</v>
      </c>
    </row>
    <row r="827" customFormat="false" ht="13.5" hidden="false" customHeight="true" outlineLevel="0" collapsed="false">
      <c r="A827" s="32" t="n">
        <v>2736</v>
      </c>
      <c r="B827" s="32" t="s">
        <v>815</v>
      </c>
      <c r="C827" s="32" t="s">
        <v>816</v>
      </c>
      <c r="D827" s="32" t="s">
        <v>59</v>
      </c>
      <c r="E827" s="32" t="s">
        <v>107</v>
      </c>
      <c r="F827" s="32" t="n">
        <v>9911834394</v>
      </c>
      <c r="G827" s="32" t="s">
        <v>144</v>
      </c>
      <c r="H827" s="32" t="s">
        <v>21</v>
      </c>
      <c r="I827" s="32" t="s">
        <v>27</v>
      </c>
      <c r="J827" s="32" t="s">
        <v>13</v>
      </c>
      <c r="K827" s="32" t="s">
        <v>63</v>
      </c>
    </row>
    <row r="828" customFormat="false" ht="13.5" hidden="false" customHeight="true" outlineLevel="0" collapsed="false">
      <c r="A828" s="32" t="n">
        <v>2738</v>
      </c>
      <c r="B828" s="32" t="s">
        <v>815</v>
      </c>
      <c r="C828" s="32" t="s">
        <v>816</v>
      </c>
      <c r="D828" s="32" t="s">
        <v>59</v>
      </c>
      <c r="E828" s="32" t="s">
        <v>107</v>
      </c>
      <c r="F828" s="32" t="n">
        <v>9911834394</v>
      </c>
      <c r="G828" s="32" t="s">
        <v>144</v>
      </c>
      <c r="H828" s="32" t="s">
        <v>21</v>
      </c>
      <c r="I828" s="32" t="s">
        <v>280</v>
      </c>
      <c r="J828" s="32" t="s">
        <v>76</v>
      </c>
      <c r="K828" s="32" t="s">
        <v>63</v>
      </c>
    </row>
    <row r="829" customFormat="false" ht="13.5" hidden="false" customHeight="true" outlineLevel="0" collapsed="false">
      <c r="A829" s="32" t="n">
        <v>2739</v>
      </c>
      <c r="B829" s="32" t="s">
        <v>817</v>
      </c>
      <c r="C829" s="32" t="s">
        <v>818</v>
      </c>
      <c r="D829" s="32" t="s">
        <v>59</v>
      </c>
      <c r="E829" s="32" t="s">
        <v>107</v>
      </c>
      <c r="F829" s="32" t="n">
        <v>9776458516</v>
      </c>
      <c r="G829" s="32" t="s">
        <v>61</v>
      </c>
      <c r="H829" s="32" t="s">
        <v>21</v>
      </c>
      <c r="I829" s="32" t="s">
        <v>145</v>
      </c>
      <c r="J829" s="32" t="s">
        <v>117</v>
      </c>
      <c r="K829" s="32" t="s">
        <v>63</v>
      </c>
    </row>
    <row r="830" customFormat="false" ht="13.5" hidden="false" customHeight="true" outlineLevel="0" collapsed="false">
      <c r="A830" s="32" t="n">
        <v>2740</v>
      </c>
      <c r="B830" s="32" t="s">
        <v>817</v>
      </c>
      <c r="C830" s="32" t="s">
        <v>818</v>
      </c>
      <c r="D830" s="32" t="s">
        <v>59</v>
      </c>
      <c r="E830" s="32" t="s">
        <v>107</v>
      </c>
      <c r="F830" s="32" t="n">
        <v>9776458516</v>
      </c>
      <c r="G830" s="32" t="s">
        <v>61</v>
      </c>
      <c r="H830" s="32" t="s">
        <v>21</v>
      </c>
      <c r="I830" s="32" t="s">
        <v>133</v>
      </c>
      <c r="J830" s="32" t="s">
        <v>134</v>
      </c>
      <c r="K830" s="32" t="s">
        <v>63</v>
      </c>
    </row>
    <row r="831" customFormat="false" ht="13.5" hidden="false" customHeight="true" outlineLevel="0" collapsed="false">
      <c r="A831" s="32" t="n">
        <v>2741</v>
      </c>
      <c r="B831" s="32" t="s">
        <v>819</v>
      </c>
      <c r="C831" s="32" t="s">
        <v>820</v>
      </c>
      <c r="D831" s="32" t="s">
        <v>59</v>
      </c>
      <c r="E831" s="32" t="s">
        <v>143</v>
      </c>
      <c r="F831" s="32" t="n">
        <v>9431313613</v>
      </c>
      <c r="G831" s="32" t="s">
        <v>69</v>
      </c>
      <c r="H831" s="32" t="s">
        <v>21</v>
      </c>
      <c r="I831" s="32" t="s">
        <v>128</v>
      </c>
      <c r="J831" s="32" t="s">
        <v>89</v>
      </c>
      <c r="K831" s="32" t="s">
        <v>63</v>
      </c>
    </row>
    <row r="832" customFormat="false" ht="13.5" hidden="false" customHeight="true" outlineLevel="0" collapsed="false">
      <c r="A832" s="32" t="n">
        <v>2742</v>
      </c>
      <c r="B832" s="32" t="s">
        <v>819</v>
      </c>
      <c r="C832" s="32" t="s">
        <v>820</v>
      </c>
      <c r="D832" s="32" t="s">
        <v>59</v>
      </c>
      <c r="E832" s="32" t="s">
        <v>143</v>
      </c>
      <c r="F832" s="32" t="n">
        <v>9431313613</v>
      </c>
      <c r="G832" s="32" t="s">
        <v>69</v>
      </c>
      <c r="H832" s="32" t="s">
        <v>21</v>
      </c>
      <c r="I832" s="32" t="s">
        <v>16</v>
      </c>
      <c r="J832" s="32" t="s">
        <v>73</v>
      </c>
      <c r="K832" s="32" t="s">
        <v>63</v>
      </c>
    </row>
    <row r="833" customFormat="false" ht="13.5" hidden="false" customHeight="true" outlineLevel="0" collapsed="false">
      <c r="A833" s="32" t="n">
        <v>2743</v>
      </c>
      <c r="B833" s="32" t="s">
        <v>819</v>
      </c>
      <c r="C833" s="32" t="s">
        <v>820</v>
      </c>
      <c r="D833" s="32" t="s">
        <v>59</v>
      </c>
      <c r="E833" s="32" t="s">
        <v>143</v>
      </c>
      <c r="F833" s="33" t="n">
        <v>919431000000</v>
      </c>
      <c r="G833" s="32" t="s">
        <v>69</v>
      </c>
      <c r="H833" s="32" t="s">
        <v>21</v>
      </c>
      <c r="I833" s="32" t="s">
        <v>108</v>
      </c>
      <c r="J833" s="32" t="s">
        <v>71</v>
      </c>
      <c r="K833" s="32" t="s">
        <v>63</v>
      </c>
    </row>
    <row r="834" customFormat="false" ht="13.5" hidden="false" customHeight="true" outlineLevel="0" collapsed="false">
      <c r="A834" s="32" t="n">
        <v>2744</v>
      </c>
      <c r="B834" s="32" t="s">
        <v>819</v>
      </c>
      <c r="C834" s="32" t="s">
        <v>820</v>
      </c>
      <c r="D834" s="32" t="s">
        <v>59</v>
      </c>
      <c r="E834" s="32" t="s">
        <v>143</v>
      </c>
      <c r="F834" s="33" t="n">
        <v>919431000000</v>
      </c>
      <c r="G834" s="32" t="s">
        <v>69</v>
      </c>
      <c r="H834" s="32" t="s">
        <v>21</v>
      </c>
      <c r="I834" s="32" t="s">
        <v>145</v>
      </c>
      <c r="J834" s="32" t="s">
        <v>117</v>
      </c>
      <c r="K834" s="32" t="s">
        <v>63</v>
      </c>
    </row>
    <row r="835" customFormat="false" ht="13.5" hidden="false" customHeight="true" outlineLevel="0" collapsed="false">
      <c r="A835" s="32" t="n">
        <v>2745</v>
      </c>
      <c r="B835" s="32" t="s">
        <v>821</v>
      </c>
      <c r="C835" s="32" t="s">
        <v>822</v>
      </c>
      <c r="D835" s="32" t="s">
        <v>114</v>
      </c>
      <c r="E835" s="32" t="s">
        <v>115</v>
      </c>
      <c r="F835" s="33" t="n">
        <v>918008000000</v>
      </c>
      <c r="G835" s="32" t="s">
        <v>104</v>
      </c>
      <c r="H835" s="32" t="s">
        <v>22</v>
      </c>
      <c r="I835" s="32" t="s">
        <v>245</v>
      </c>
      <c r="J835" s="32" t="s">
        <v>71</v>
      </c>
      <c r="K835" s="32" t="s">
        <v>63</v>
      </c>
    </row>
    <row r="836" customFormat="false" ht="13.5" hidden="false" customHeight="true" outlineLevel="0" collapsed="false">
      <c r="A836" s="32" t="n">
        <v>2746</v>
      </c>
      <c r="B836" s="32" t="s">
        <v>821</v>
      </c>
      <c r="C836" s="32" t="s">
        <v>822</v>
      </c>
      <c r="D836" s="32" t="s">
        <v>114</v>
      </c>
      <c r="E836" s="32" t="s">
        <v>115</v>
      </c>
      <c r="F836" s="33" t="n">
        <v>918008000000</v>
      </c>
      <c r="G836" s="32" t="s">
        <v>104</v>
      </c>
      <c r="H836" s="32" t="s">
        <v>22</v>
      </c>
      <c r="I836" s="32" t="s">
        <v>27</v>
      </c>
      <c r="J836" s="32" t="s">
        <v>13</v>
      </c>
      <c r="K836" s="32" t="s">
        <v>63</v>
      </c>
    </row>
    <row r="837" customFormat="false" ht="13.5" hidden="false" customHeight="true" outlineLevel="0" collapsed="false">
      <c r="A837" s="32" t="n">
        <v>2748</v>
      </c>
      <c r="B837" s="32" t="s">
        <v>821</v>
      </c>
      <c r="C837" s="32" t="s">
        <v>822</v>
      </c>
      <c r="D837" s="32" t="s">
        <v>114</v>
      </c>
      <c r="E837" s="32" t="s">
        <v>115</v>
      </c>
      <c r="F837" s="33" t="n">
        <v>918008000000</v>
      </c>
      <c r="G837" s="32" t="s">
        <v>104</v>
      </c>
      <c r="H837" s="32" t="s">
        <v>22</v>
      </c>
      <c r="I837" s="32" t="s">
        <v>111</v>
      </c>
      <c r="J837" s="32" t="s">
        <v>73</v>
      </c>
      <c r="K837" s="32" t="s">
        <v>63</v>
      </c>
    </row>
    <row r="838" customFormat="false" ht="13.5" hidden="false" customHeight="true" outlineLevel="0" collapsed="false">
      <c r="A838" s="32" t="n">
        <v>2749</v>
      </c>
      <c r="B838" s="32" t="s">
        <v>823</v>
      </c>
      <c r="C838" s="32" t="s">
        <v>824</v>
      </c>
      <c r="D838" s="32" t="s">
        <v>59</v>
      </c>
      <c r="E838" s="32" t="s">
        <v>107</v>
      </c>
      <c r="F838" s="32" t="n">
        <v>9916529367</v>
      </c>
      <c r="G838" s="32" t="s">
        <v>61</v>
      </c>
      <c r="H838" s="32" t="s">
        <v>21</v>
      </c>
      <c r="I838" s="32" t="s">
        <v>145</v>
      </c>
      <c r="J838" s="32" t="s">
        <v>117</v>
      </c>
      <c r="K838" s="32" t="s">
        <v>63</v>
      </c>
    </row>
    <row r="839" customFormat="false" ht="13.5" hidden="false" customHeight="true" outlineLevel="0" collapsed="false">
      <c r="A839" s="32" t="n">
        <v>2750</v>
      </c>
      <c r="B839" s="32" t="s">
        <v>823</v>
      </c>
      <c r="C839" s="32" t="s">
        <v>824</v>
      </c>
      <c r="D839" s="32" t="s">
        <v>59</v>
      </c>
      <c r="E839" s="32" t="s">
        <v>107</v>
      </c>
      <c r="F839" s="32" t="n">
        <v>9916529367</v>
      </c>
      <c r="G839" s="32" t="s">
        <v>61</v>
      </c>
      <c r="H839" s="32" t="s">
        <v>21</v>
      </c>
      <c r="I839" s="32" t="s">
        <v>825</v>
      </c>
      <c r="J839" s="32" t="s">
        <v>132</v>
      </c>
      <c r="K839" s="32" t="s">
        <v>63</v>
      </c>
    </row>
    <row r="840" customFormat="false" ht="13.5" hidden="false" customHeight="true" outlineLevel="0" collapsed="false">
      <c r="A840" s="32" t="n">
        <v>2751</v>
      </c>
      <c r="B840" s="32" t="s">
        <v>823</v>
      </c>
      <c r="C840" s="32" t="s">
        <v>824</v>
      </c>
      <c r="D840" s="32" t="s">
        <v>59</v>
      </c>
      <c r="E840" s="32" t="s">
        <v>107</v>
      </c>
      <c r="F840" s="32" t="n">
        <v>9916529367</v>
      </c>
      <c r="G840" s="32" t="s">
        <v>61</v>
      </c>
      <c r="H840" s="32" t="s">
        <v>21</v>
      </c>
      <c r="I840" s="32" t="s">
        <v>826</v>
      </c>
      <c r="J840" s="32" t="s">
        <v>84</v>
      </c>
      <c r="K840" s="32" t="s">
        <v>63</v>
      </c>
    </row>
    <row r="841" customFormat="false" ht="13.5" hidden="false" customHeight="true" outlineLevel="0" collapsed="false">
      <c r="A841" s="32" t="n">
        <v>2752</v>
      </c>
      <c r="B841" s="32" t="s">
        <v>827</v>
      </c>
      <c r="C841" s="32" t="s">
        <v>828</v>
      </c>
      <c r="D841" s="32" t="s">
        <v>114</v>
      </c>
      <c r="E841" s="32" t="s">
        <v>165</v>
      </c>
      <c r="F841" s="33" t="n">
        <v>919849000000</v>
      </c>
      <c r="G841" s="32" t="s">
        <v>80</v>
      </c>
      <c r="H841" s="32" t="s">
        <v>22</v>
      </c>
      <c r="I841" s="32" t="s">
        <v>146</v>
      </c>
      <c r="J841" s="32" t="s">
        <v>117</v>
      </c>
      <c r="K841" s="32" t="s">
        <v>63</v>
      </c>
    </row>
    <row r="842" customFormat="false" ht="13.5" hidden="false" customHeight="true" outlineLevel="0" collapsed="false">
      <c r="A842" s="32" t="n">
        <v>2753</v>
      </c>
      <c r="B842" s="32" t="s">
        <v>827</v>
      </c>
      <c r="C842" s="32" t="s">
        <v>828</v>
      </c>
      <c r="D842" s="32" t="s">
        <v>114</v>
      </c>
      <c r="E842" s="32" t="s">
        <v>165</v>
      </c>
      <c r="F842" s="33" t="n">
        <v>919849000000</v>
      </c>
      <c r="G842" s="32" t="s">
        <v>80</v>
      </c>
      <c r="H842" s="32" t="s">
        <v>22</v>
      </c>
      <c r="I842" s="32" t="s">
        <v>829</v>
      </c>
      <c r="J842" s="32" t="s">
        <v>134</v>
      </c>
      <c r="K842" s="32" t="s">
        <v>63</v>
      </c>
    </row>
    <row r="843" customFormat="false" ht="13.5" hidden="false" customHeight="true" outlineLevel="0" collapsed="false">
      <c r="A843" s="32" t="n">
        <v>2754</v>
      </c>
      <c r="B843" s="32" t="s">
        <v>827</v>
      </c>
      <c r="C843" s="32" t="s">
        <v>828</v>
      </c>
      <c r="D843" s="32" t="s">
        <v>114</v>
      </c>
      <c r="E843" s="32" t="s">
        <v>165</v>
      </c>
      <c r="F843" s="33" t="n">
        <v>919849000000</v>
      </c>
      <c r="G843" s="32" t="s">
        <v>80</v>
      </c>
      <c r="H843" s="32" t="s">
        <v>22</v>
      </c>
      <c r="I843" s="32" t="s">
        <v>172</v>
      </c>
      <c r="J843" s="32" t="s">
        <v>152</v>
      </c>
      <c r="K843" s="32" t="s">
        <v>63</v>
      </c>
    </row>
    <row r="844" customFormat="false" ht="13.5" hidden="false" customHeight="true" outlineLevel="0" collapsed="false">
      <c r="A844" s="32" t="n">
        <v>2755</v>
      </c>
      <c r="B844" s="32" t="s">
        <v>827</v>
      </c>
      <c r="C844" s="32" t="s">
        <v>830</v>
      </c>
      <c r="D844" s="32" t="s">
        <v>114</v>
      </c>
      <c r="E844" s="32" t="s">
        <v>165</v>
      </c>
      <c r="F844" s="32" t="n">
        <v>9848908898</v>
      </c>
      <c r="G844" s="32" t="s">
        <v>80</v>
      </c>
      <c r="H844" s="32" t="s">
        <v>22</v>
      </c>
      <c r="I844" s="32" t="s">
        <v>137</v>
      </c>
      <c r="J844" s="32" t="s">
        <v>13</v>
      </c>
      <c r="K844" s="32" t="s">
        <v>63</v>
      </c>
    </row>
    <row r="845" customFormat="false" ht="13.5" hidden="false" customHeight="true" outlineLevel="0" collapsed="false">
      <c r="A845" s="32" t="n">
        <v>2756</v>
      </c>
      <c r="B845" s="32" t="s">
        <v>831</v>
      </c>
      <c r="C845" s="32" t="s">
        <v>832</v>
      </c>
      <c r="D845" s="32" t="s">
        <v>59</v>
      </c>
      <c r="E845" s="32" t="s">
        <v>107</v>
      </c>
      <c r="F845" s="32" t="n">
        <v>7978780475</v>
      </c>
      <c r="G845" s="32" t="s">
        <v>80</v>
      </c>
      <c r="H845" s="32" t="s">
        <v>21</v>
      </c>
      <c r="I845" s="32" t="s">
        <v>833</v>
      </c>
      <c r="J845" s="32" t="s">
        <v>203</v>
      </c>
      <c r="K845" s="32" t="s">
        <v>63</v>
      </c>
    </row>
    <row r="846" customFormat="false" ht="13.5" hidden="false" customHeight="true" outlineLevel="0" collapsed="false">
      <c r="A846" s="32" t="n">
        <v>2757</v>
      </c>
      <c r="B846" s="32" t="s">
        <v>831</v>
      </c>
      <c r="C846" s="32" t="s">
        <v>832</v>
      </c>
      <c r="D846" s="32" t="s">
        <v>59</v>
      </c>
      <c r="E846" s="32" t="s">
        <v>107</v>
      </c>
      <c r="F846" s="32" t="n">
        <v>7978780475</v>
      </c>
      <c r="G846" s="32" t="s">
        <v>80</v>
      </c>
      <c r="H846" s="32" t="s">
        <v>21</v>
      </c>
      <c r="I846" s="32" t="s">
        <v>108</v>
      </c>
      <c r="J846" s="32" t="s">
        <v>71</v>
      </c>
      <c r="K846" s="32" t="s">
        <v>63</v>
      </c>
    </row>
    <row r="847" customFormat="false" ht="13.5" hidden="false" customHeight="true" outlineLevel="0" collapsed="false">
      <c r="A847" s="32" t="n">
        <v>2758</v>
      </c>
      <c r="B847" s="32" t="s">
        <v>831</v>
      </c>
      <c r="C847" s="32" t="s">
        <v>832</v>
      </c>
      <c r="D847" s="32" t="s">
        <v>59</v>
      </c>
      <c r="E847" s="32" t="s">
        <v>107</v>
      </c>
      <c r="F847" s="32" t="n">
        <v>7978780475</v>
      </c>
      <c r="G847" s="32" t="s">
        <v>80</v>
      </c>
      <c r="H847" s="32" t="s">
        <v>21</v>
      </c>
      <c r="I847" s="32" t="s">
        <v>307</v>
      </c>
      <c r="J847" s="32" t="s">
        <v>307</v>
      </c>
      <c r="K847" s="32" t="s">
        <v>63</v>
      </c>
    </row>
    <row r="848" customFormat="false" ht="13.5" hidden="false" customHeight="true" outlineLevel="0" collapsed="false">
      <c r="A848" s="32" t="n">
        <v>2760</v>
      </c>
      <c r="B848" s="32" t="s">
        <v>831</v>
      </c>
      <c r="C848" s="32" t="s">
        <v>832</v>
      </c>
      <c r="D848" s="32" t="s">
        <v>59</v>
      </c>
      <c r="E848" s="32" t="s">
        <v>107</v>
      </c>
      <c r="F848" s="32" t="n">
        <v>7978780475</v>
      </c>
      <c r="G848" s="32" t="s">
        <v>80</v>
      </c>
      <c r="H848" s="32" t="s">
        <v>21</v>
      </c>
      <c r="I848" s="32" t="s">
        <v>81</v>
      </c>
      <c r="J848" s="32" t="s">
        <v>82</v>
      </c>
      <c r="K848" s="32" t="s">
        <v>63</v>
      </c>
    </row>
    <row r="849" customFormat="false" ht="13.5" hidden="false" customHeight="true" outlineLevel="0" collapsed="false">
      <c r="A849" s="32" t="n">
        <v>2761</v>
      </c>
      <c r="B849" s="32" t="s">
        <v>831</v>
      </c>
      <c r="C849" s="32" t="s">
        <v>832</v>
      </c>
      <c r="D849" s="32" t="s">
        <v>59</v>
      </c>
      <c r="E849" s="32" t="s">
        <v>107</v>
      </c>
      <c r="F849" s="32" t="n">
        <v>7978780475</v>
      </c>
      <c r="G849" s="32" t="s">
        <v>80</v>
      </c>
      <c r="H849" s="32" t="s">
        <v>21</v>
      </c>
      <c r="I849" s="32" t="s">
        <v>28</v>
      </c>
      <c r="J849" s="32" t="s">
        <v>82</v>
      </c>
      <c r="K849" s="32" t="s">
        <v>63</v>
      </c>
    </row>
    <row r="850" customFormat="false" ht="13.5" hidden="false" customHeight="true" outlineLevel="0" collapsed="false">
      <c r="A850" s="32" t="n">
        <v>2762</v>
      </c>
      <c r="B850" s="32" t="s">
        <v>831</v>
      </c>
      <c r="C850" s="32" t="s">
        <v>832</v>
      </c>
      <c r="D850" s="32" t="s">
        <v>59</v>
      </c>
      <c r="E850" s="32" t="s">
        <v>107</v>
      </c>
      <c r="F850" s="32" t="n">
        <v>7978780475</v>
      </c>
      <c r="G850" s="32" t="s">
        <v>80</v>
      </c>
      <c r="H850" s="32" t="s">
        <v>21</v>
      </c>
      <c r="I850" s="32" t="s">
        <v>463</v>
      </c>
      <c r="J850" s="32" t="s">
        <v>66</v>
      </c>
      <c r="K850" s="32" t="s">
        <v>63</v>
      </c>
    </row>
    <row r="851" customFormat="false" ht="13.5" hidden="false" customHeight="true" outlineLevel="0" collapsed="false">
      <c r="A851" s="32" t="n">
        <v>2763</v>
      </c>
      <c r="B851" s="32" t="s">
        <v>834</v>
      </c>
      <c r="C851" s="32" t="s">
        <v>835</v>
      </c>
      <c r="D851" s="32" t="s">
        <v>114</v>
      </c>
      <c r="E851" s="32" t="s">
        <v>268</v>
      </c>
      <c r="F851" s="32" t="n">
        <v>9949861408</v>
      </c>
      <c r="G851" s="32" t="s">
        <v>80</v>
      </c>
      <c r="H851" s="32" t="s">
        <v>22</v>
      </c>
      <c r="I851" s="32" t="s">
        <v>350</v>
      </c>
      <c r="J851" s="32" t="s">
        <v>235</v>
      </c>
      <c r="K851" s="32" t="s">
        <v>63</v>
      </c>
    </row>
    <row r="852" customFormat="false" ht="13.5" hidden="false" customHeight="true" outlineLevel="0" collapsed="false">
      <c r="A852" s="32" t="n">
        <v>2764</v>
      </c>
      <c r="B852" s="32" t="s">
        <v>834</v>
      </c>
      <c r="C852" s="32" t="s">
        <v>835</v>
      </c>
      <c r="D852" s="32" t="s">
        <v>114</v>
      </c>
      <c r="E852" s="32" t="s">
        <v>268</v>
      </c>
      <c r="F852" s="32" t="n">
        <v>9949861408</v>
      </c>
      <c r="G852" s="32" t="s">
        <v>80</v>
      </c>
      <c r="H852" s="32" t="s">
        <v>22</v>
      </c>
      <c r="I852" s="32" t="s">
        <v>333</v>
      </c>
      <c r="J852" s="32" t="s">
        <v>235</v>
      </c>
      <c r="K852" s="32" t="s">
        <v>63</v>
      </c>
    </row>
    <row r="853" customFormat="false" ht="13.5" hidden="false" customHeight="true" outlineLevel="0" collapsed="false">
      <c r="A853" s="32" t="n">
        <v>2765</v>
      </c>
      <c r="B853" s="32" t="s">
        <v>836</v>
      </c>
      <c r="C853" s="32" t="s">
        <v>837</v>
      </c>
      <c r="D853" s="32" t="s">
        <v>59</v>
      </c>
      <c r="E853" s="32" t="s">
        <v>92</v>
      </c>
      <c r="F853" s="32" t="n">
        <v>0</v>
      </c>
      <c r="G853" s="32" t="s">
        <v>80</v>
      </c>
      <c r="H853" s="32" t="s">
        <v>21</v>
      </c>
      <c r="I853" s="32" t="s">
        <v>120</v>
      </c>
      <c r="J853" s="32" t="s">
        <v>110</v>
      </c>
      <c r="K853" s="32" t="s">
        <v>63</v>
      </c>
    </row>
    <row r="854" customFormat="false" ht="13.5" hidden="false" customHeight="true" outlineLevel="0" collapsed="false">
      <c r="A854" s="32" t="n">
        <v>2766</v>
      </c>
      <c r="B854" s="32" t="s">
        <v>836</v>
      </c>
      <c r="C854" s="32" t="s">
        <v>837</v>
      </c>
      <c r="D854" s="32" t="s">
        <v>59</v>
      </c>
      <c r="E854" s="32" t="s">
        <v>92</v>
      </c>
      <c r="F854" s="32" t="n">
        <v>8106457841</v>
      </c>
      <c r="G854" s="32" t="s">
        <v>80</v>
      </c>
      <c r="H854" s="32" t="s">
        <v>21</v>
      </c>
      <c r="I854" s="32" t="s">
        <v>227</v>
      </c>
      <c r="J854" s="32" t="s">
        <v>228</v>
      </c>
      <c r="K854" s="32" t="s">
        <v>63</v>
      </c>
    </row>
    <row r="855" customFormat="false" ht="13.5" hidden="false" customHeight="true" outlineLevel="0" collapsed="false">
      <c r="A855" s="32" t="n">
        <v>2767</v>
      </c>
      <c r="B855" s="32" t="s">
        <v>836</v>
      </c>
      <c r="C855" s="32" t="s">
        <v>837</v>
      </c>
      <c r="D855" s="32" t="s">
        <v>59</v>
      </c>
      <c r="E855" s="32" t="s">
        <v>92</v>
      </c>
      <c r="F855" s="32" t="n">
        <v>0</v>
      </c>
      <c r="G855" s="32" t="s">
        <v>80</v>
      </c>
      <c r="H855" s="32" t="s">
        <v>21</v>
      </c>
      <c r="I855" s="32" t="s">
        <v>669</v>
      </c>
      <c r="J855" s="32" t="s">
        <v>388</v>
      </c>
      <c r="K855" s="32" t="s">
        <v>63</v>
      </c>
    </row>
    <row r="856" customFormat="false" ht="13.5" hidden="false" customHeight="true" outlineLevel="0" collapsed="false">
      <c r="A856" s="32" t="n">
        <v>2768</v>
      </c>
      <c r="B856" s="32" t="s">
        <v>838</v>
      </c>
      <c r="C856" s="32" t="s">
        <v>839</v>
      </c>
      <c r="D856" s="32" t="s">
        <v>114</v>
      </c>
      <c r="E856" s="32" t="s">
        <v>165</v>
      </c>
      <c r="F856" s="32" t="n">
        <v>9886334482</v>
      </c>
      <c r="G856" s="32" t="s">
        <v>80</v>
      </c>
      <c r="H856" s="32" t="s">
        <v>22</v>
      </c>
      <c r="I856" s="32" t="s">
        <v>840</v>
      </c>
      <c r="J856" s="32" t="s">
        <v>89</v>
      </c>
      <c r="K856" s="32" t="s">
        <v>63</v>
      </c>
    </row>
    <row r="857" customFormat="false" ht="13.5" hidden="false" customHeight="true" outlineLevel="0" collapsed="false">
      <c r="A857" s="32" t="n">
        <v>2769</v>
      </c>
      <c r="B857" s="32" t="s">
        <v>838</v>
      </c>
      <c r="C857" s="32" t="s">
        <v>839</v>
      </c>
      <c r="D857" s="32" t="s">
        <v>114</v>
      </c>
      <c r="E857" s="32" t="s">
        <v>165</v>
      </c>
      <c r="F857" s="32" t="n">
        <v>9886334482</v>
      </c>
      <c r="G857" s="32" t="s">
        <v>80</v>
      </c>
      <c r="H857" s="32" t="s">
        <v>22</v>
      </c>
      <c r="I857" s="32" t="s">
        <v>829</v>
      </c>
      <c r="J857" s="32" t="s">
        <v>134</v>
      </c>
      <c r="K857" s="32" t="s">
        <v>63</v>
      </c>
    </row>
    <row r="858" customFormat="false" ht="13.5" hidden="false" customHeight="true" outlineLevel="0" collapsed="false">
      <c r="A858" s="32" t="n">
        <v>2770</v>
      </c>
      <c r="B858" s="32" t="s">
        <v>841</v>
      </c>
      <c r="C858" s="32" t="s">
        <v>842</v>
      </c>
      <c r="D858" s="32" t="s">
        <v>331</v>
      </c>
      <c r="E858" s="32" t="s">
        <v>620</v>
      </c>
      <c r="F858" s="33" t="n">
        <v>917260000000</v>
      </c>
      <c r="G858" s="32" t="s">
        <v>61</v>
      </c>
      <c r="H858" s="32" t="s">
        <v>332</v>
      </c>
      <c r="I858" s="32" t="s">
        <v>145</v>
      </c>
      <c r="J858" s="32" t="s">
        <v>117</v>
      </c>
      <c r="K858" s="32" t="s">
        <v>63</v>
      </c>
    </row>
    <row r="859" customFormat="false" ht="13.5" hidden="false" customHeight="true" outlineLevel="0" collapsed="false">
      <c r="A859" s="32" t="n">
        <v>2771</v>
      </c>
      <c r="B859" s="32" t="s">
        <v>843</v>
      </c>
      <c r="C859" s="32" t="s">
        <v>844</v>
      </c>
      <c r="D859" s="32" t="s">
        <v>59</v>
      </c>
      <c r="E859" s="32" t="s">
        <v>107</v>
      </c>
      <c r="F859" s="32" t="n">
        <v>0</v>
      </c>
      <c r="G859" s="32" t="s">
        <v>144</v>
      </c>
      <c r="H859" s="32" t="s">
        <v>21</v>
      </c>
      <c r="I859" s="32" t="s">
        <v>120</v>
      </c>
      <c r="J859" s="32" t="s">
        <v>110</v>
      </c>
      <c r="K859" s="32" t="s">
        <v>63</v>
      </c>
    </row>
    <row r="860" customFormat="false" ht="13.5" hidden="false" customHeight="true" outlineLevel="0" collapsed="false">
      <c r="A860" s="32" t="n">
        <v>2772</v>
      </c>
      <c r="B860" s="32" t="s">
        <v>843</v>
      </c>
      <c r="C860" s="32" t="s">
        <v>844</v>
      </c>
      <c r="D860" s="32" t="s">
        <v>59</v>
      </c>
      <c r="E860" s="32" t="s">
        <v>107</v>
      </c>
      <c r="F860" s="32" t="n">
        <v>0</v>
      </c>
      <c r="G860" s="32" t="s">
        <v>144</v>
      </c>
      <c r="H860" s="32" t="s">
        <v>21</v>
      </c>
      <c r="I860" s="32" t="s">
        <v>121</v>
      </c>
      <c r="J860" s="32" t="s">
        <v>110</v>
      </c>
      <c r="K860" s="32" t="s">
        <v>63</v>
      </c>
    </row>
    <row r="861" customFormat="false" ht="13.5" hidden="false" customHeight="true" outlineLevel="0" collapsed="false">
      <c r="A861" s="32" t="n">
        <v>2773</v>
      </c>
      <c r="B861" s="32" t="s">
        <v>843</v>
      </c>
      <c r="C861" s="32" t="s">
        <v>844</v>
      </c>
      <c r="D861" s="32" t="s">
        <v>59</v>
      </c>
      <c r="E861" s="32" t="s">
        <v>107</v>
      </c>
      <c r="F861" s="32" t="n">
        <v>0</v>
      </c>
      <c r="G861" s="32" t="s">
        <v>144</v>
      </c>
      <c r="H861" s="32" t="s">
        <v>21</v>
      </c>
      <c r="I861" s="32" t="s">
        <v>231</v>
      </c>
      <c r="J861" s="32" t="s">
        <v>228</v>
      </c>
      <c r="K861" s="32" t="s">
        <v>63</v>
      </c>
    </row>
    <row r="862" customFormat="false" ht="13.5" hidden="false" customHeight="true" outlineLevel="0" collapsed="false">
      <c r="A862" s="32" t="n">
        <v>2774</v>
      </c>
      <c r="B862" s="32" t="s">
        <v>845</v>
      </c>
      <c r="C862" s="32" t="s">
        <v>846</v>
      </c>
      <c r="D862" s="32" t="s">
        <v>114</v>
      </c>
      <c r="E862" s="32" t="s">
        <v>165</v>
      </c>
      <c r="F862" s="32" t="n">
        <v>9010058555</v>
      </c>
      <c r="G862" s="32" t="s">
        <v>80</v>
      </c>
      <c r="H862" s="32" t="s">
        <v>22</v>
      </c>
      <c r="I862" s="32" t="s">
        <v>108</v>
      </c>
      <c r="J862" s="32" t="s">
        <v>71</v>
      </c>
      <c r="K862" s="32" t="s">
        <v>63</v>
      </c>
    </row>
    <row r="863" customFormat="false" ht="13.5" hidden="false" customHeight="true" outlineLevel="0" collapsed="false">
      <c r="A863" s="32" t="n">
        <v>2775</v>
      </c>
      <c r="B863" s="32" t="s">
        <v>845</v>
      </c>
      <c r="C863" s="32" t="s">
        <v>847</v>
      </c>
      <c r="D863" s="32" t="s">
        <v>114</v>
      </c>
      <c r="E863" s="32" t="s">
        <v>165</v>
      </c>
      <c r="F863" s="32" t="n">
        <v>9538089638</v>
      </c>
      <c r="G863" s="32" t="s">
        <v>80</v>
      </c>
      <c r="H863" s="32" t="s">
        <v>22</v>
      </c>
      <c r="I863" s="32" t="s">
        <v>245</v>
      </c>
      <c r="J863" s="32" t="s">
        <v>71</v>
      </c>
      <c r="K863" s="32" t="s">
        <v>63</v>
      </c>
    </row>
    <row r="864" customFormat="false" ht="13.5" hidden="false" customHeight="true" outlineLevel="0" collapsed="false">
      <c r="A864" s="32" t="n">
        <v>2776</v>
      </c>
      <c r="B864" s="32" t="s">
        <v>845</v>
      </c>
      <c r="C864" s="32" t="s">
        <v>847</v>
      </c>
      <c r="D864" s="32" t="s">
        <v>114</v>
      </c>
      <c r="E864" s="32" t="s">
        <v>165</v>
      </c>
      <c r="F864" s="32" t="n">
        <v>9538089638</v>
      </c>
      <c r="G864" s="32" t="s">
        <v>80</v>
      </c>
      <c r="H864" s="32" t="s">
        <v>22</v>
      </c>
      <c r="I864" s="32" t="s">
        <v>307</v>
      </c>
      <c r="J864" s="32" t="s">
        <v>307</v>
      </c>
      <c r="K864" s="32" t="s">
        <v>63</v>
      </c>
    </row>
    <row r="865" customFormat="false" ht="13.5" hidden="false" customHeight="true" outlineLevel="0" collapsed="false">
      <c r="A865" s="32" t="n">
        <v>2777</v>
      </c>
      <c r="B865" s="32" t="s">
        <v>845</v>
      </c>
      <c r="C865" s="32" t="s">
        <v>847</v>
      </c>
      <c r="D865" s="32" t="s">
        <v>114</v>
      </c>
      <c r="E865" s="32" t="s">
        <v>165</v>
      </c>
      <c r="F865" s="32" t="n">
        <v>9538089638</v>
      </c>
      <c r="G865" s="32" t="s">
        <v>80</v>
      </c>
      <c r="H865" s="32" t="s">
        <v>22</v>
      </c>
      <c r="I865" s="32" t="s">
        <v>848</v>
      </c>
      <c r="J865" s="32" t="s">
        <v>319</v>
      </c>
      <c r="K865" s="32" t="s">
        <v>63</v>
      </c>
    </row>
    <row r="866" customFormat="false" ht="13.5" hidden="false" customHeight="true" outlineLevel="0" collapsed="false">
      <c r="A866" s="32" t="n">
        <v>2778</v>
      </c>
      <c r="B866" s="32" t="s">
        <v>849</v>
      </c>
      <c r="C866" s="32" t="s">
        <v>850</v>
      </c>
      <c r="D866" s="32" t="s">
        <v>114</v>
      </c>
      <c r="E866" s="32" t="n">
        <v>0</v>
      </c>
      <c r="F866" s="32" t="n">
        <v>0</v>
      </c>
      <c r="G866" s="32" t="s">
        <v>61</v>
      </c>
      <c r="H866" s="32" t="s">
        <v>22</v>
      </c>
      <c r="I866" s="32" t="s">
        <v>149</v>
      </c>
      <c r="J866" s="32" t="s">
        <v>73</v>
      </c>
      <c r="K866" s="32" t="s">
        <v>63</v>
      </c>
    </row>
    <row r="867" customFormat="false" ht="13.5" hidden="false" customHeight="true" outlineLevel="0" collapsed="false">
      <c r="A867" s="32" t="n">
        <v>2779</v>
      </c>
      <c r="B867" s="32" t="s">
        <v>849</v>
      </c>
      <c r="C867" s="32" t="s">
        <v>851</v>
      </c>
      <c r="D867" s="32" t="s">
        <v>114</v>
      </c>
      <c r="E867" s="32" t="n">
        <v>0</v>
      </c>
      <c r="F867" s="32" t="n">
        <v>9611049179</v>
      </c>
      <c r="G867" s="32" t="s">
        <v>61</v>
      </c>
      <c r="H867" s="32" t="s">
        <v>22</v>
      </c>
      <c r="I867" s="32" t="s">
        <v>108</v>
      </c>
      <c r="J867" s="32" t="s">
        <v>71</v>
      </c>
      <c r="K867" s="32" t="s">
        <v>63</v>
      </c>
    </row>
    <row r="868" customFormat="false" ht="13.5" hidden="false" customHeight="true" outlineLevel="0" collapsed="false">
      <c r="A868" s="32" t="n">
        <v>2780</v>
      </c>
      <c r="B868" s="32" t="s">
        <v>849</v>
      </c>
      <c r="C868" s="32" t="s">
        <v>851</v>
      </c>
      <c r="D868" s="32" t="s">
        <v>114</v>
      </c>
      <c r="E868" s="32" t="n">
        <v>0</v>
      </c>
      <c r="F868" s="32" t="n">
        <v>0</v>
      </c>
      <c r="G868" s="32" t="s">
        <v>61</v>
      </c>
      <c r="H868" s="32" t="s">
        <v>22</v>
      </c>
      <c r="I868" s="32" t="s">
        <v>30</v>
      </c>
      <c r="J868" s="32" t="s">
        <v>203</v>
      </c>
      <c r="K868" s="32" t="s">
        <v>63</v>
      </c>
    </row>
    <row r="869" customFormat="false" ht="13.5" hidden="false" customHeight="true" outlineLevel="0" collapsed="false">
      <c r="A869" s="32" t="n">
        <v>2781</v>
      </c>
      <c r="B869" s="32" t="s">
        <v>849</v>
      </c>
      <c r="C869" s="32" t="s">
        <v>851</v>
      </c>
      <c r="D869" s="32" t="s">
        <v>114</v>
      </c>
      <c r="E869" s="32" t="n">
        <v>0</v>
      </c>
      <c r="F869" s="32" t="n">
        <v>9611049179</v>
      </c>
      <c r="G869" s="32" t="s">
        <v>61</v>
      </c>
      <c r="H869" s="32" t="s">
        <v>22</v>
      </c>
      <c r="I869" s="32" t="s">
        <v>95</v>
      </c>
      <c r="J869" s="32" t="s">
        <v>96</v>
      </c>
      <c r="K869" s="32" t="s">
        <v>63</v>
      </c>
    </row>
    <row r="870" customFormat="false" ht="13.5" hidden="false" customHeight="true" outlineLevel="0" collapsed="false">
      <c r="A870" s="32" t="n">
        <v>2782</v>
      </c>
      <c r="B870" s="32" t="s">
        <v>849</v>
      </c>
      <c r="C870" s="32" t="s">
        <v>851</v>
      </c>
      <c r="D870" s="32" t="s">
        <v>114</v>
      </c>
      <c r="E870" s="32" t="n">
        <v>0</v>
      </c>
      <c r="F870" s="32" t="n">
        <v>9611049179</v>
      </c>
      <c r="G870" s="32" t="s">
        <v>61</v>
      </c>
      <c r="H870" s="32" t="s">
        <v>22</v>
      </c>
      <c r="I870" s="32" t="s">
        <v>145</v>
      </c>
      <c r="J870" s="32" t="s">
        <v>117</v>
      </c>
      <c r="K870" s="32" t="s">
        <v>63</v>
      </c>
    </row>
    <row r="871" customFormat="false" ht="13.5" hidden="false" customHeight="true" outlineLevel="0" collapsed="false">
      <c r="A871" s="32" t="n">
        <v>2783</v>
      </c>
      <c r="B871" s="32" t="s">
        <v>849</v>
      </c>
      <c r="C871" s="32" t="s">
        <v>851</v>
      </c>
      <c r="D871" s="32" t="s">
        <v>114</v>
      </c>
      <c r="E871" s="32" t="n">
        <v>0</v>
      </c>
      <c r="F871" s="32" t="n">
        <v>9611049179</v>
      </c>
      <c r="G871" s="32" t="s">
        <v>61</v>
      </c>
      <c r="H871" s="32" t="s">
        <v>22</v>
      </c>
      <c r="I871" s="32" t="s">
        <v>172</v>
      </c>
      <c r="J871" s="32" t="s">
        <v>152</v>
      </c>
      <c r="K871" s="32" t="s">
        <v>63</v>
      </c>
    </row>
    <row r="872" customFormat="false" ht="13.5" hidden="false" customHeight="true" outlineLevel="0" collapsed="false">
      <c r="A872" s="32" t="n">
        <v>2784</v>
      </c>
      <c r="B872" s="32" t="s">
        <v>849</v>
      </c>
      <c r="C872" s="32" t="s">
        <v>851</v>
      </c>
      <c r="D872" s="32" t="s">
        <v>114</v>
      </c>
      <c r="E872" s="32" t="n">
        <v>0</v>
      </c>
      <c r="F872" s="32" t="n">
        <v>0</v>
      </c>
      <c r="G872" s="32" t="s">
        <v>61</v>
      </c>
      <c r="H872" s="32" t="s">
        <v>22</v>
      </c>
      <c r="I872" s="32" t="s">
        <v>14</v>
      </c>
      <c r="J872" s="32" t="s">
        <v>66</v>
      </c>
      <c r="K872" s="32" t="s">
        <v>63</v>
      </c>
    </row>
    <row r="873" customFormat="false" ht="13.5" hidden="false" customHeight="true" outlineLevel="0" collapsed="false">
      <c r="A873" s="32" t="n">
        <v>2785</v>
      </c>
      <c r="B873" s="32" t="s">
        <v>852</v>
      </c>
      <c r="C873" s="32" t="s">
        <v>853</v>
      </c>
      <c r="D873" s="32" t="s">
        <v>59</v>
      </c>
      <c r="E873" s="32" t="s">
        <v>143</v>
      </c>
      <c r="F873" s="32" t="n">
        <v>9830529883</v>
      </c>
      <c r="G873" s="32" t="s">
        <v>144</v>
      </c>
      <c r="H873" s="32" t="s">
        <v>21</v>
      </c>
      <c r="I873" s="32" t="s">
        <v>149</v>
      </c>
      <c r="J873" s="32" t="s">
        <v>73</v>
      </c>
      <c r="K873" s="32" t="s">
        <v>63</v>
      </c>
    </row>
    <row r="874" customFormat="false" ht="13.5" hidden="false" customHeight="true" outlineLevel="0" collapsed="false">
      <c r="A874" s="32" t="n">
        <v>2786</v>
      </c>
      <c r="B874" s="32" t="s">
        <v>852</v>
      </c>
      <c r="C874" s="32" t="s">
        <v>854</v>
      </c>
      <c r="D874" s="32" t="s">
        <v>59</v>
      </c>
      <c r="E874" s="32" t="s">
        <v>143</v>
      </c>
      <c r="F874" s="32" t="n">
        <v>9830529883</v>
      </c>
      <c r="G874" s="32" t="s">
        <v>144</v>
      </c>
      <c r="H874" s="32" t="s">
        <v>21</v>
      </c>
      <c r="I874" s="32" t="s">
        <v>150</v>
      </c>
      <c r="J874" s="32" t="s">
        <v>73</v>
      </c>
      <c r="K874" s="32" t="s">
        <v>63</v>
      </c>
    </row>
    <row r="875" customFormat="false" ht="13.5" hidden="false" customHeight="true" outlineLevel="0" collapsed="false">
      <c r="A875" s="32" t="n">
        <v>2787</v>
      </c>
      <c r="B875" s="32" t="s">
        <v>852</v>
      </c>
      <c r="C875" s="32" t="s">
        <v>854</v>
      </c>
      <c r="D875" s="32" t="s">
        <v>59</v>
      </c>
      <c r="E875" s="32" t="s">
        <v>143</v>
      </c>
      <c r="F875" s="32" t="n">
        <v>9830529883</v>
      </c>
      <c r="G875" s="32" t="s">
        <v>144</v>
      </c>
      <c r="H875" s="32" t="s">
        <v>21</v>
      </c>
      <c r="I875" s="32" t="s">
        <v>76</v>
      </c>
      <c r="J875" s="32" t="s">
        <v>76</v>
      </c>
      <c r="K875" s="32" t="s">
        <v>63</v>
      </c>
    </row>
    <row r="876" customFormat="false" ht="13.5" hidden="false" customHeight="true" outlineLevel="0" collapsed="false">
      <c r="A876" s="32" t="n">
        <v>2788</v>
      </c>
      <c r="B876" s="32" t="s">
        <v>852</v>
      </c>
      <c r="C876" s="32" t="s">
        <v>854</v>
      </c>
      <c r="D876" s="32" t="s">
        <v>59</v>
      </c>
      <c r="E876" s="32" t="s">
        <v>143</v>
      </c>
      <c r="F876" s="32" t="n">
        <v>9830529883</v>
      </c>
      <c r="G876" s="32" t="s">
        <v>144</v>
      </c>
      <c r="H876" s="32" t="s">
        <v>21</v>
      </c>
      <c r="I876" s="32" t="s">
        <v>111</v>
      </c>
      <c r="J876" s="32" t="s">
        <v>73</v>
      </c>
      <c r="K876" s="32" t="s">
        <v>63</v>
      </c>
    </row>
    <row r="877" customFormat="false" ht="13.5" hidden="false" customHeight="true" outlineLevel="0" collapsed="false">
      <c r="A877" s="32" t="n">
        <v>2789</v>
      </c>
      <c r="B877" s="32" t="s">
        <v>852</v>
      </c>
      <c r="C877" s="32" t="s">
        <v>854</v>
      </c>
      <c r="D877" s="32" t="s">
        <v>59</v>
      </c>
      <c r="E877" s="32" t="s">
        <v>143</v>
      </c>
      <c r="F877" s="32" t="n">
        <v>9830529883</v>
      </c>
      <c r="G877" s="32" t="s">
        <v>144</v>
      </c>
      <c r="H877" s="32" t="s">
        <v>21</v>
      </c>
      <c r="I877" s="32" t="s">
        <v>280</v>
      </c>
      <c r="J877" s="32" t="s">
        <v>76</v>
      </c>
      <c r="K877" s="32" t="s">
        <v>63</v>
      </c>
    </row>
    <row r="878" customFormat="false" ht="13.5" hidden="false" customHeight="true" outlineLevel="0" collapsed="false">
      <c r="A878" s="32" t="n">
        <v>2790</v>
      </c>
      <c r="B878" s="32" t="s">
        <v>852</v>
      </c>
      <c r="C878" s="32" t="s">
        <v>854</v>
      </c>
      <c r="D878" s="32" t="s">
        <v>59</v>
      </c>
      <c r="E878" s="32" t="s">
        <v>143</v>
      </c>
      <c r="F878" s="32" t="n">
        <v>9830529883</v>
      </c>
      <c r="G878" s="32" t="s">
        <v>144</v>
      </c>
      <c r="H878" s="32" t="s">
        <v>21</v>
      </c>
      <c r="I878" s="32" t="s">
        <v>133</v>
      </c>
      <c r="J878" s="32" t="s">
        <v>134</v>
      </c>
      <c r="K878" s="32" t="s">
        <v>63</v>
      </c>
    </row>
    <row r="879" customFormat="false" ht="13.5" hidden="false" customHeight="true" outlineLevel="0" collapsed="false">
      <c r="A879" s="32" t="n">
        <v>2791</v>
      </c>
      <c r="B879" s="32" t="s">
        <v>855</v>
      </c>
      <c r="C879" s="32" t="s">
        <v>856</v>
      </c>
      <c r="D879" s="32" t="s">
        <v>59</v>
      </c>
      <c r="E879" s="32" t="s">
        <v>92</v>
      </c>
      <c r="F879" s="33" t="n">
        <v>918082000000</v>
      </c>
      <c r="G879" s="32" t="s">
        <v>104</v>
      </c>
      <c r="H879" s="32" t="s">
        <v>21</v>
      </c>
      <c r="I879" s="32" t="s">
        <v>120</v>
      </c>
      <c r="J879" s="32" t="s">
        <v>110</v>
      </c>
      <c r="K879" s="32" t="s">
        <v>63</v>
      </c>
    </row>
    <row r="880" customFormat="false" ht="13.5" hidden="false" customHeight="true" outlineLevel="0" collapsed="false">
      <c r="A880" s="32" t="n">
        <v>2792</v>
      </c>
      <c r="B880" s="32" t="s">
        <v>855</v>
      </c>
      <c r="C880" s="32" t="s">
        <v>856</v>
      </c>
      <c r="D880" s="32" t="s">
        <v>59</v>
      </c>
      <c r="E880" s="32" t="s">
        <v>92</v>
      </c>
      <c r="F880" s="33" t="n">
        <v>918082000000</v>
      </c>
      <c r="G880" s="32" t="s">
        <v>104</v>
      </c>
      <c r="H880" s="32" t="s">
        <v>21</v>
      </c>
      <c r="I880" s="32" t="s">
        <v>226</v>
      </c>
      <c r="J880" s="32" t="s">
        <v>110</v>
      </c>
      <c r="K880" s="32" t="s">
        <v>63</v>
      </c>
    </row>
    <row r="881" customFormat="false" ht="13.5" hidden="false" customHeight="true" outlineLevel="0" collapsed="false">
      <c r="A881" s="32" t="n">
        <v>2794</v>
      </c>
      <c r="B881" s="32" t="s">
        <v>855</v>
      </c>
      <c r="C881" s="32" t="s">
        <v>856</v>
      </c>
      <c r="D881" s="32" t="s">
        <v>59</v>
      </c>
      <c r="E881" s="32" t="s">
        <v>92</v>
      </c>
      <c r="F881" s="33" t="n">
        <v>918082000000</v>
      </c>
      <c r="G881" s="32" t="s">
        <v>104</v>
      </c>
      <c r="H881" s="32" t="s">
        <v>21</v>
      </c>
      <c r="I881" s="32" t="s">
        <v>227</v>
      </c>
      <c r="J881" s="32" t="s">
        <v>228</v>
      </c>
      <c r="K881" s="32" t="s">
        <v>63</v>
      </c>
    </row>
    <row r="882" customFormat="false" ht="13.5" hidden="false" customHeight="true" outlineLevel="0" collapsed="false">
      <c r="A882" s="32" t="n">
        <v>2795</v>
      </c>
      <c r="B882" s="32" t="s">
        <v>857</v>
      </c>
      <c r="C882" s="32" t="s">
        <v>858</v>
      </c>
      <c r="D882" s="32" t="s">
        <v>59</v>
      </c>
      <c r="E882" s="32" t="s">
        <v>107</v>
      </c>
      <c r="F882" s="32" t="n">
        <v>9095161672</v>
      </c>
      <c r="G882" s="32" t="s">
        <v>61</v>
      </c>
      <c r="H882" s="32" t="s">
        <v>21</v>
      </c>
      <c r="I882" s="32" t="s">
        <v>98</v>
      </c>
      <c r="J882" s="32" t="s">
        <v>99</v>
      </c>
      <c r="K882" s="32" t="s">
        <v>63</v>
      </c>
    </row>
    <row r="883" customFormat="false" ht="13.5" hidden="false" customHeight="true" outlineLevel="0" collapsed="false">
      <c r="A883" s="32" t="n">
        <v>2796</v>
      </c>
      <c r="B883" s="32" t="s">
        <v>859</v>
      </c>
      <c r="C883" s="32" t="s">
        <v>860</v>
      </c>
      <c r="D883" s="32" t="s">
        <v>59</v>
      </c>
      <c r="E883" s="32" t="s">
        <v>143</v>
      </c>
      <c r="F883" s="33" t="n">
        <v>918881000000</v>
      </c>
      <c r="G883" s="32" t="s">
        <v>140</v>
      </c>
      <c r="H883" s="32" t="s">
        <v>21</v>
      </c>
      <c r="I883" s="32" t="s">
        <v>27</v>
      </c>
      <c r="J883" s="32" t="s">
        <v>13</v>
      </c>
      <c r="K883" s="32" t="s">
        <v>63</v>
      </c>
    </row>
    <row r="884" customFormat="false" ht="13.5" hidden="false" customHeight="true" outlineLevel="0" collapsed="false">
      <c r="A884" s="32" t="n">
        <v>2798</v>
      </c>
      <c r="B884" s="32" t="s">
        <v>859</v>
      </c>
      <c r="C884" s="32" t="s">
        <v>861</v>
      </c>
      <c r="D884" s="32" t="s">
        <v>59</v>
      </c>
      <c r="E884" s="32" t="s">
        <v>143</v>
      </c>
      <c r="F884" s="32" t="n">
        <v>8880697232</v>
      </c>
      <c r="G884" s="32" t="s">
        <v>140</v>
      </c>
      <c r="H884" s="32" t="s">
        <v>21</v>
      </c>
      <c r="I884" s="32" t="s">
        <v>30</v>
      </c>
      <c r="J884" s="32" t="s">
        <v>203</v>
      </c>
      <c r="K884" s="32" t="s">
        <v>63</v>
      </c>
    </row>
    <row r="885" customFormat="false" ht="13.5" hidden="false" customHeight="true" outlineLevel="0" collapsed="false">
      <c r="A885" s="32" t="n">
        <v>2799</v>
      </c>
      <c r="B885" s="32" t="s">
        <v>859</v>
      </c>
      <c r="C885" s="32" t="s">
        <v>860</v>
      </c>
      <c r="D885" s="32" t="s">
        <v>59</v>
      </c>
      <c r="E885" s="32" t="s">
        <v>143</v>
      </c>
      <c r="F885" s="33" t="n">
        <v>918881000000</v>
      </c>
      <c r="G885" s="32" t="s">
        <v>140</v>
      </c>
      <c r="H885" s="32" t="s">
        <v>21</v>
      </c>
      <c r="I885" s="32" t="s">
        <v>146</v>
      </c>
      <c r="J885" s="32" t="s">
        <v>117</v>
      </c>
      <c r="K885" s="32" t="s">
        <v>63</v>
      </c>
    </row>
    <row r="886" customFormat="false" ht="13.5" hidden="false" customHeight="true" outlineLevel="0" collapsed="false">
      <c r="A886" s="32" t="n">
        <v>2800</v>
      </c>
      <c r="B886" s="32" t="s">
        <v>862</v>
      </c>
      <c r="C886" s="32" t="s">
        <v>863</v>
      </c>
      <c r="D886" s="32" t="s">
        <v>59</v>
      </c>
      <c r="E886" s="32" t="s">
        <v>107</v>
      </c>
      <c r="F886" s="32" t="n">
        <v>9444631790</v>
      </c>
      <c r="G886" s="32" t="s">
        <v>0</v>
      </c>
      <c r="H886" s="32" t="s">
        <v>21</v>
      </c>
      <c r="I886" s="32" t="s">
        <v>16</v>
      </c>
      <c r="J886" s="32" t="s">
        <v>73</v>
      </c>
      <c r="K886" s="32" t="s">
        <v>63</v>
      </c>
    </row>
    <row r="887" customFormat="false" ht="13.5" hidden="false" customHeight="true" outlineLevel="0" collapsed="false">
      <c r="A887" s="32" t="n">
        <v>2801</v>
      </c>
      <c r="B887" s="32" t="s">
        <v>862</v>
      </c>
      <c r="C887" s="32" t="s">
        <v>863</v>
      </c>
      <c r="D887" s="32" t="s">
        <v>59</v>
      </c>
      <c r="E887" s="32" t="s">
        <v>107</v>
      </c>
      <c r="F887" s="32" t="n">
        <v>9444631790</v>
      </c>
      <c r="G887" s="32" t="s">
        <v>0</v>
      </c>
      <c r="H887" s="32" t="s">
        <v>21</v>
      </c>
      <c r="I887" s="32" t="s">
        <v>27</v>
      </c>
      <c r="J887" s="32" t="s">
        <v>13</v>
      </c>
      <c r="K887" s="32" t="s">
        <v>63</v>
      </c>
    </row>
    <row r="888" customFormat="false" ht="13.5" hidden="false" customHeight="true" outlineLevel="0" collapsed="false">
      <c r="A888" s="32" t="n">
        <v>2802</v>
      </c>
      <c r="B888" s="32" t="s">
        <v>862</v>
      </c>
      <c r="C888" s="32" t="s">
        <v>863</v>
      </c>
      <c r="D888" s="32" t="s">
        <v>59</v>
      </c>
      <c r="E888" s="32" t="s">
        <v>107</v>
      </c>
      <c r="F888" s="32" t="n">
        <v>9444631790</v>
      </c>
      <c r="G888" s="32" t="s">
        <v>0</v>
      </c>
      <c r="H888" s="32" t="s">
        <v>21</v>
      </c>
      <c r="I888" s="32" t="s">
        <v>30</v>
      </c>
      <c r="J888" s="32" t="s">
        <v>203</v>
      </c>
      <c r="K888" s="32" t="s">
        <v>63</v>
      </c>
    </row>
    <row r="889" customFormat="false" ht="13.5" hidden="false" customHeight="true" outlineLevel="0" collapsed="false">
      <c r="A889" s="32" t="n">
        <v>2803</v>
      </c>
      <c r="B889" s="32" t="s">
        <v>864</v>
      </c>
      <c r="C889" s="32" t="s">
        <v>865</v>
      </c>
      <c r="D889" s="32" t="s">
        <v>114</v>
      </c>
      <c r="E889" s="32" t="s">
        <v>165</v>
      </c>
      <c r="F889" s="32" t="n">
        <v>9148936034</v>
      </c>
      <c r="G889" s="32" t="s">
        <v>61</v>
      </c>
      <c r="H889" s="32" t="s">
        <v>22</v>
      </c>
      <c r="I889" s="32" t="s">
        <v>76</v>
      </c>
      <c r="J889" s="32" t="s">
        <v>76</v>
      </c>
      <c r="K889" s="32" t="s">
        <v>63</v>
      </c>
    </row>
    <row r="890" customFormat="false" ht="13.5" hidden="false" customHeight="true" outlineLevel="0" collapsed="false">
      <c r="A890" s="32" t="n">
        <v>2804</v>
      </c>
      <c r="B890" s="32" t="s">
        <v>864</v>
      </c>
      <c r="C890" s="32" t="s">
        <v>866</v>
      </c>
      <c r="D890" s="32" t="s">
        <v>114</v>
      </c>
      <c r="E890" s="32" t="s">
        <v>165</v>
      </c>
      <c r="F890" s="32" t="n">
        <v>9739178654</v>
      </c>
      <c r="G890" s="32" t="s">
        <v>61</v>
      </c>
      <c r="H890" s="32" t="s">
        <v>22</v>
      </c>
      <c r="I890" s="32" t="s">
        <v>867</v>
      </c>
      <c r="J890" s="32" t="s">
        <v>66</v>
      </c>
      <c r="K890" s="32" t="s">
        <v>63</v>
      </c>
    </row>
    <row r="891" customFormat="false" ht="13.5" hidden="false" customHeight="true" outlineLevel="0" collapsed="false">
      <c r="A891" s="32" t="n">
        <v>2805</v>
      </c>
      <c r="B891" s="32" t="s">
        <v>864</v>
      </c>
      <c r="C891" s="32" t="s">
        <v>866</v>
      </c>
      <c r="D891" s="32" t="s">
        <v>114</v>
      </c>
      <c r="E891" s="32" t="s">
        <v>165</v>
      </c>
      <c r="F891" s="32" t="n">
        <v>9739178654</v>
      </c>
      <c r="G891" s="32" t="s">
        <v>61</v>
      </c>
      <c r="H891" s="32" t="s">
        <v>22</v>
      </c>
      <c r="I891" s="32" t="s">
        <v>14</v>
      </c>
      <c r="J891" s="32" t="s">
        <v>66</v>
      </c>
      <c r="K891" s="32" t="s">
        <v>63</v>
      </c>
    </row>
    <row r="892" customFormat="false" ht="13.5" hidden="false" customHeight="true" outlineLevel="0" collapsed="false">
      <c r="A892" s="32" t="n">
        <v>2806</v>
      </c>
      <c r="B892" s="32" t="s">
        <v>864</v>
      </c>
      <c r="C892" s="32" t="s">
        <v>868</v>
      </c>
      <c r="D892" s="32" t="s">
        <v>114</v>
      </c>
      <c r="E892" s="32" t="s">
        <v>165</v>
      </c>
      <c r="F892" s="32" t="n">
        <v>9739178654</v>
      </c>
      <c r="G892" s="32" t="s">
        <v>61</v>
      </c>
      <c r="H892" s="32" t="s">
        <v>22</v>
      </c>
      <c r="I892" s="32" t="s">
        <v>156</v>
      </c>
      <c r="J892" s="32" t="s">
        <v>62</v>
      </c>
      <c r="K892" s="32" t="s">
        <v>63</v>
      </c>
    </row>
    <row r="893" customFormat="false" ht="13.5" hidden="false" customHeight="true" outlineLevel="0" collapsed="false">
      <c r="A893" s="32" t="n">
        <v>2807</v>
      </c>
      <c r="B893" s="32" t="s">
        <v>864</v>
      </c>
      <c r="C893" s="32" t="s">
        <v>868</v>
      </c>
      <c r="D893" s="32" t="s">
        <v>114</v>
      </c>
      <c r="E893" s="32" t="s">
        <v>165</v>
      </c>
      <c r="F893" s="32" t="n">
        <v>9148936034</v>
      </c>
      <c r="G893" s="32" t="s">
        <v>61</v>
      </c>
      <c r="H893" s="32" t="s">
        <v>22</v>
      </c>
      <c r="I893" s="32" t="s">
        <v>29</v>
      </c>
      <c r="J893" s="32" t="s">
        <v>62</v>
      </c>
      <c r="K893" s="32" t="s">
        <v>63</v>
      </c>
    </row>
    <row r="894" customFormat="false" ht="13.5" hidden="false" customHeight="true" outlineLevel="0" collapsed="false">
      <c r="A894" s="32" t="n">
        <v>2809</v>
      </c>
      <c r="B894" s="32" t="s">
        <v>864</v>
      </c>
      <c r="C894" s="32" t="s">
        <v>868</v>
      </c>
      <c r="D894" s="32" t="s">
        <v>114</v>
      </c>
      <c r="E894" s="32" t="s">
        <v>165</v>
      </c>
      <c r="F894" s="32" t="n">
        <v>9148936034</v>
      </c>
      <c r="G894" s="32" t="s">
        <v>61</v>
      </c>
      <c r="H894" s="32" t="s">
        <v>22</v>
      </c>
      <c r="I894" s="32" t="s">
        <v>14</v>
      </c>
      <c r="J894" s="32" t="s">
        <v>66</v>
      </c>
      <c r="K894" s="32" t="s">
        <v>63</v>
      </c>
    </row>
    <row r="895" customFormat="false" ht="13.5" hidden="false" customHeight="true" outlineLevel="0" collapsed="false">
      <c r="A895" s="32" t="n">
        <v>2810</v>
      </c>
      <c r="B895" s="32" t="s">
        <v>864</v>
      </c>
      <c r="C895" s="32" t="s">
        <v>868</v>
      </c>
      <c r="D895" s="32" t="s">
        <v>114</v>
      </c>
      <c r="E895" s="32" t="s">
        <v>165</v>
      </c>
      <c r="F895" s="32" t="n">
        <v>9148936034</v>
      </c>
      <c r="G895" s="32" t="s">
        <v>61</v>
      </c>
      <c r="H895" s="32" t="s">
        <v>22</v>
      </c>
      <c r="I895" s="32" t="s">
        <v>166</v>
      </c>
      <c r="J895" s="32" t="s">
        <v>66</v>
      </c>
      <c r="K895" s="32" t="s">
        <v>63</v>
      </c>
    </row>
    <row r="896" customFormat="false" ht="13.5" hidden="false" customHeight="true" outlineLevel="0" collapsed="false">
      <c r="A896" s="32" t="n">
        <v>2811</v>
      </c>
      <c r="B896" s="32" t="s">
        <v>864</v>
      </c>
      <c r="C896" s="32" t="s">
        <v>868</v>
      </c>
      <c r="D896" s="32" t="s">
        <v>114</v>
      </c>
      <c r="E896" s="32" t="s">
        <v>165</v>
      </c>
      <c r="F896" s="32" t="n">
        <v>0</v>
      </c>
      <c r="G896" s="32" t="s">
        <v>61</v>
      </c>
      <c r="H896" s="32" t="s">
        <v>22</v>
      </c>
      <c r="I896" s="32" t="s">
        <v>156</v>
      </c>
      <c r="J896" s="32" t="s">
        <v>62</v>
      </c>
      <c r="K896" s="32" t="s">
        <v>63</v>
      </c>
    </row>
    <row r="897" customFormat="false" ht="13.5" hidden="false" customHeight="true" outlineLevel="0" collapsed="false">
      <c r="A897" s="32" t="n">
        <v>2812</v>
      </c>
      <c r="B897" s="32" t="s">
        <v>864</v>
      </c>
      <c r="C897" s="32" t="s">
        <v>868</v>
      </c>
      <c r="D897" s="32" t="s">
        <v>114</v>
      </c>
      <c r="E897" s="32" t="s">
        <v>165</v>
      </c>
      <c r="F897" s="32" t="n">
        <v>0</v>
      </c>
      <c r="G897" s="32" t="s">
        <v>61</v>
      </c>
      <c r="H897" s="32" t="s">
        <v>22</v>
      </c>
      <c r="I897" s="32" t="s">
        <v>14</v>
      </c>
      <c r="J897" s="32" t="s">
        <v>66</v>
      </c>
      <c r="K897" s="32" t="s">
        <v>63</v>
      </c>
    </row>
    <row r="898" customFormat="false" ht="13.5" hidden="false" customHeight="true" outlineLevel="0" collapsed="false">
      <c r="A898" s="32" t="n">
        <v>2813</v>
      </c>
      <c r="B898" s="32" t="s">
        <v>864</v>
      </c>
      <c r="C898" s="32" t="s">
        <v>868</v>
      </c>
      <c r="D898" s="32" t="s">
        <v>114</v>
      </c>
      <c r="E898" s="32" t="s">
        <v>165</v>
      </c>
      <c r="F898" s="32" t="n">
        <v>0</v>
      </c>
      <c r="G898" s="32" t="s">
        <v>61</v>
      </c>
      <c r="H898" s="32" t="s">
        <v>22</v>
      </c>
      <c r="I898" s="32" t="s">
        <v>166</v>
      </c>
      <c r="J898" s="32" t="s">
        <v>66</v>
      </c>
      <c r="K898" s="32" t="s">
        <v>63</v>
      </c>
    </row>
    <row r="899" customFormat="false" ht="13.5" hidden="false" customHeight="true" outlineLevel="0" collapsed="false">
      <c r="A899" s="32" t="n">
        <v>2814</v>
      </c>
      <c r="B899" s="32" t="s">
        <v>864</v>
      </c>
      <c r="C899" s="32" t="s">
        <v>868</v>
      </c>
      <c r="D899" s="32" t="s">
        <v>114</v>
      </c>
      <c r="E899" s="32" t="s">
        <v>165</v>
      </c>
      <c r="F899" s="32" t="n">
        <v>0</v>
      </c>
      <c r="G899" s="32" t="s">
        <v>61</v>
      </c>
      <c r="H899" s="32" t="s">
        <v>22</v>
      </c>
      <c r="I899" s="32" t="s">
        <v>29</v>
      </c>
      <c r="J899" s="32" t="s">
        <v>62</v>
      </c>
      <c r="K899" s="32" t="s">
        <v>63</v>
      </c>
    </row>
    <row r="900" customFormat="false" ht="13.5" hidden="false" customHeight="true" outlineLevel="0" collapsed="false">
      <c r="A900" s="32" t="n">
        <v>2815</v>
      </c>
      <c r="B900" s="32" t="s">
        <v>869</v>
      </c>
      <c r="C900" s="32" t="s">
        <v>870</v>
      </c>
      <c r="D900" s="32" t="s">
        <v>59</v>
      </c>
      <c r="E900" s="32" t="s">
        <v>107</v>
      </c>
      <c r="F900" s="32" t="n">
        <v>7507347060</v>
      </c>
      <c r="G900" s="32" t="s">
        <v>80</v>
      </c>
      <c r="H900" s="32" t="s">
        <v>21</v>
      </c>
      <c r="I900" s="32" t="s">
        <v>386</v>
      </c>
      <c r="J900" s="32" t="s">
        <v>132</v>
      </c>
      <c r="K900" s="32" t="s">
        <v>63</v>
      </c>
    </row>
    <row r="901" customFormat="false" ht="13.5" hidden="false" customHeight="true" outlineLevel="0" collapsed="false">
      <c r="A901" s="32" t="n">
        <v>2816</v>
      </c>
      <c r="B901" s="32" t="s">
        <v>869</v>
      </c>
      <c r="C901" s="32" t="s">
        <v>871</v>
      </c>
      <c r="D901" s="32" t="s">
        <v>59</v>
      </c>
      <c r="E901" s="32" t="s">
        <v>107</v>
      </c>
      <c r="F901" s="32" t="n">
        <v>7507347060</v>
      </c>
      <c r="G901" s="32" t="s">
        <v>80</v>
      </c>
      <c r="H901" s="32" t="s">
        <v>21</v>
      </c>
      <c r="I901" s="32" t="s">
        <v>217</v>
      </c>
      <c r="J901" s="32" t="s">
        <v>132</v>
      </c>
      <c r="K901" s="32" t="s">
        <v>63</v>
      </c>
    </row>
    <row r="902" customFormat="false" ht="13.5" hidden="false" customHeight="true" outlineLevel="0" collapsed="false">
      <c r="A902" s="32" t="n">
        <v>2817</v>
      </c>
      <c r="B902" s="32" t="s">
        <v>869</v>
      </c>
      <c r="C902" s="32" t="s">
        <v>871</v>
      </c>
      <c r="D902" s="32" t="s">
        <v>59</v>
      </c>
      <c r="E902" s="32" t="s">
        <v>107</v>
      </c>
      <c r="F902" s="32" t="n">
        <v>7507347060</v>
      </c>
      <c r="G902" s="32" t="s">
        <v>80</v>
      </c>
      <c r="H902" s="32" t="s">
        <v>21</v>
      </c>
      <c r="I902" s="32" t="s">
        <v>728</v>
      </c>
      <c r="J902" s="32" t="s">
        <v>132</v>
      </c>
      <c r="K902" s="32" t="s">
        <v>63</v>
      </c>
    </row>
    <row r="903" customFormat="false" ht="13.5" hidden="false" customHeight="true" outlineLevel="0" collapsed="false">
      <c r="A903" s="32" t="n">
        <v>2818</v>
      </c>
      <c r="B903" s="32" t="s">
        <v>872</v>
      </c>
      <c r="C903" s="32" t="s">
        <v>873</v>
      </c>
      <c r="D903" s="32" t="s">
        <v>59</v>
      </c>
      <c r="E903" s="32" t="s">
        <v>107</v>
      </c>
      <c r="F903" s="32" t="n">
        <v>7794857988</v>
      </c>
      <c r="G903" s="32" t="s">
        <v>80</v>
      </c>
      <c r="H903" s="32" t="s">
        <v>21</v>
      </c>
      <c r="I903" s="32" t="s">
        <v>217</v>
      </c>
      <c r="J903" s="32" t="s">
        <v>132</v>
      </c>
      <c r="K903" s="32" t="s">
        <v>63</v>
      </c>
    </row>
    <row r="904" customFormat="false" ht="13.5" hidden="false" customHeight="true" outlineLevel="0" collapsed="false">
      <c r="A904" s="32" t="n">
        <v>2819</v>
      </c>
      <c r="B904" s="32" t="s">
        <v>872</v>
      </c>
      <c r="C904" s="32" t="s">
        <v>873</v>
      </c>
      <c r="D904" s="32" t="s">
        <v>59</v>
      </c>
      <c r="E904" s="32" t="s">
        <v>107</v>
      </c>
      <c r="F904" s="32" t="n">
        <v>7794857988</v>
      </c>
      <c r="G904" s="32" t="s">
        <v>80</v>
      </c>
      <c r="H904" s="32" t="s">
        <v>21</v>
      </c>
      <c r="I904" s="32" t="s">
        <v>728</v>
      </c>
      <c r="J904" s="32" t="s">
        <v>132</v>
      </c>
      <c r="K904" s="32" t="s">
        <v>63</v>
      </c>
    </row>
    <row r="905" customFormat="false" ht="13.5" hidden="false" customHeight="true" outlineLevel="0" collapsed="false">
      <c r="A905" s="32" t="n">
        <v>2820</v>
      </c>
      <c r="B905" s="32" t="s">
        <v>874</v>
      </c>
      <c r="C905" s="32" t="s">
        <v>875</v>
      </c>
      <c r="D905" s="32" t="s">
        <v>59</v>
      </c>
      <c r="E905" s="32" t="s">
        <v>60</v>
      </c>
      <c r="F905" s="32" t="n">
        <v>8308907358</v>
      </c>
      <c r="G905" s="32" t="s">
        <v>69</v>
      </c>
      <c r="H905" s="32" t="s">
        <v>21</v>
      </c>
      <c r="I905" s="32" t="s">
        <v>350</v>
      </c>
      <c r="J905" s="32" t="s">
        <v>235</v>
      </c>
      <c r="K905" s="32" t="s">
        <v>63</v>
      </c>
    </row>
    <row r="906" customFormat="false" ht="13.5" hidden="false" customHeight="true" outlineLevel="0" collapsed="false">
      <c r="A906" s="32" t="n">
        <v>2821</v>
      </c>
      <c r="B906" s="32" t="s">
        <v>874</v>
      </c>
      <c r="C906" s="32" t="s">
        <v>876</v>
      </c>
      <c r="D906" s="32" t="s">
        <v>59</v>
      </c>
      <c r="E906" s="32" t="s">
        <v>60</v>
      </c>
      <c r="F906" s="32" t="n">
        <v>8308907358</v>
      </c>
      <c r="G906" s="32" t="s">
        <v>69</v>
      </c>
      <c r="H906" s="32" t="s">
        <v>21</v>
      </c>
      <c r="I906" s="32" t="s">
        <v>421</v>
      </c>
      <c r="J906" s="32" t="s">
        <v>235</v>
      </c>
      <c r="K906" s="32" t="s">
        <v>63</v>
      </c>
    </row>
    <row r="907" customFormat="false" ht="13.5" hidden="false" customHeight="true" outlineLevel="0" collapsed="false">
      <c r="A907" s="32" t="n">
        <v>2822</v>
      </c>
      <c r="B907" s="32" t="s">
        <v>874</v>
      </c>
      <c r="C907" s="32" t="s">
        <v>876</v>
      </c>
      <c r="D907" s="32" t="s">
        <v>59</v>
      </c>
      <c r="E907" s="32" t="s">
        <v>60</v>
      </c>
      <c r="F907" s="32" t="n">
        <v>8308907358</v>
      </c>
      <c r="G907" s="32" t="s">
        <v>69</v>
      </c>
      <c r="H907" s="32" t="s">
        <v>21</v>
      </c>
      <c r="I907" s="32" t="s">
        <v>14</v>
      </c>
      <c r="J907" s="32" t="s">
        <v>66</v>
      </c>
      <c r="K907" s="32" t="s">
        <v>63</v>
      </c>
    </row>
    <row r="908" customFormat="false" ht="13.5" hidden="false" customHeight="true" outlineLevel="0" collapsed="false">
      <c r="A908" s="32" t="n">
        <v>2823</v>
      </c>
      <c r="B908" s="32" t="s">
        <v>874</v>
      </c>
      <c r="C908" s="32" t="s">
        <v>876</v>
      </c>
      <c r="D908" s="32" t="s">
        <v>59</v>
      </c>
      <c r="E908" s="32" t="s">
        <v>60</v>
      </c>
      <c r="F908" s="32" t="n">
        <v>8308907358</v>
      </c>
      <c r="G908" s="32" t="s">
        <v>69</v>
      </c>
      <c r="H908" s="32" t="s">
        <v>21</v>
      </c>
      <c r="I908" s="32" t="s">
        <v>463</v>
      </c>
      <c r="J908" s="32" t="s">
        <v>66</v>
      </c>
      <c r="K908" s="32" t="s">
        <v>63</v>
      </c>
    </row>
    <row r="909" customFormat="false" ht="13.5" hidden="false" customHeight="true" outlineLevel="0" collapsed="false">
      <c r="A909" s="32" t="n">
        <v>2824</v>
      </c>
      <c r="B909" s="32" t="s">
        <v>874</v>
      </c>
      <c r="C909" s="32" t="s">
        <v>875</v>
      </c>
      <c r="D909" s="32" t="s">
        <v>59</v>
      </c>
      <c r="E909" s="32" t="s">
        <v>60</v>
      </c>
      <c r="F909" s="32" t="n">
        <v>8308907358</v>
      </c>
      <c r="G909" s="32" t="s">
        <v>69</v>
      </c>
      <c r="H909" s="32" t="s">
        <v>21</v>
      </c>
      <c r="I909" s="32" t="s">
        <v>333</v>
      </c>
      <c r="J909" s="32" t="s">
        <v>235</v>
      </c>
      <c r="K909" s="32" t="s">
        <v>63</v>
      </c>
    </row>
    <row r="910" customFormat="false" ht="13.5" hidden="false" customHeight="true" outlineLevel="0" collapsed="false">
      <c r="A910" s="32" t="n">
        <v>2825</v>
      </c>
      <c r="B910" s="32" t="s">
        <v>877</v>
      </c>
      <c r="C910" s="32" t="s">
        <v>878</v>
      </c>
      <c r="D910" s="32" t="s">
        <v>59</v>
      </c>
      <c r="E910" s="32" t="s">
        <v>79</v>
      </c>
      <c r="F910" s="32" t="n">
        <v>8122463433</v>
      </c>
      <c r="G910" s="32" t="s">
        <v>0</v>
      </c>
      <c r="H910" s="32" t="s">
        <v>21</v>
      </c>
      <c r="I910" s="32" t="s">
        <v>386</v>
      </c>
      <c r="J910" s="32" t="s">
        <v>132</v>
      </c>
      <c r="K910" s="32" t="s">
        <v>63</v>
      </c>
    </row>
    <row r="911" customFormat="false" ht="13.5" hidden="false" customHeight="true" outlineLevel="0" collapsed="false">
      <c r="A911" s="32" t="n">
        <v>2826</v>
      </c>
      <c r="B911" s="32" t="s">
        <v>877</v>
      </c>
      <c r="C911" s="32" t="s">
        <v>878</v>
      </c>
      <c r="D911" s="32" t="s">
        <v>59</v>
      </c>
      <c r="E911" s="32" t="s">
        <v>79</v>
      </c>
      <c r="F911" s="32" t="n">
        <v>8122463433</v>
      </c>
      <c r="G911" s="32" t="s">
        <v>0</v>
      </c>
      <c r="H911" s="32" t="s">
        <v>21</v>
      </c>
      <c r="I911" s="32" t="s">
        <v>215</v>
      </c>
      <c r="J911" s="32" t="s">
        <v>132</v>
      </c>
      <c r="K911" s="32" t="s">
        <v>63</v>
      </c>
    </row>
    <row r="912" customFormat="false" ht="13.5" hidden="false" customHeight="true" outlineLevel="0" collapsed="false">
      <c r="A912" s="32" t="n">
        <v>2827</v>
      </c>
      <c r="B912" s="32" t="s">
        <v>877</v>
      </c>
      <c r="C912" s="32" t="s">
        <v>878</v>
      </c>
      <c r="D912" s="32" t="s">
        <v>59</v>
      </c>
      <c r="E912" s="32" t="s">
        <v>79</v>
      </c>
      <c r="F912" s="32" t="n">
        <v>8122463433</v>
      </c>
      <c r="G912" s="32" t="s">
        <v>0</v>
      </c>
      <c r="H912" s="32" t="s">
        <v>21</v>
      </c>
      <c r="I912" s="32" t="s">
        <v>825</v>
      </c>
      <c r="J912" s="32" t="s">
        <v>132</v>
      </c>
      <c r="K912" s="32" t="s">
        <v>63</v>
      </c>
    </row>
    <row r="913" customFormat="false" ht="13.5" hidden="false" customHeight="true" outlineLevel="0" collapsed="false">
      <c r="A913" s="32" t="n">
        <v>2831</v>
      </c>
      <c r="B913" s="32" t="s">
        <v>879</v>
      </c>
      <c r="C913" s="32" t="s">
        <v>880</v>
      </c>
      <c r="D913" s="32" t="s">
        <v>59</v>
      </c>
      <c r="E913" s="32" t="s">
        <v>107</v>
      </c>
      <c r="F913" s="32" t="n">
        <v>8237305256</v>
      </c>
      <c r="G913" s="32" t="s">
        <v>69</v>
      </c>
      <c r="H913" s="32" t="s">
        <v>21</v>
      </c>
      <c r="I913" s="32" t="s">
        <v>28</v>
      </c>
      <c r="J913" s="32" t="s">
        <v>82</v>
      </c>
      <c r="K913" s="32" t="s">
        <v>63</v>
      </c>
    </row>
    <row r="914" customFormat="false" ht="13.5" hidden="false" customHeight="true" outlineLevel="0" collapsed="false">
      <c r="A914" s="32" t="n">
        <v>2832</v>
      </c>
      <c r="B914" s="32" t="s">
        <v>879</v>
      </c>
      <c r="C914" s="32" t="s">
        <v>880</v>
      </c>
      <c r="D914" s="32" t="s">
        <v>59</v>
      </c>
      <c r="E914" s="32" t="s">
        <v>107</v>
      </c>
      <c r="F914" s="32" t="n">
        <v>8237305256</v>
      </c>
      <c r="G914" s="32" t="s">
        <v>69</v>
      </c>
      <c r="H914" s="32" t="s">
        <v>21</v>
      </c>
      <c r="I914" s="32" t="s">
        <v>145</v>
      </c>
      <c r="J914" s="32" t="s">
        <v>117</v>
      </c>
      <c r="K914" s="32" t="s">
        <v>63</v>
      </c>
    </row>
    <row r="915" customFormat="false" ht="13.5" hidden="false" customHeight="true" outlineLevel="0" collapsed="false">
      <c r="A915" s="32" t="n">
        <v>2833</v>
      </c>
      <c r="B915" s="32" t="s">
        <v>879</v>
      </c>
      <c r="C915" s="32" t="s">
        <v>880</v>
      </c>
      <c r="D915" s="32" t="s">
        <v>59</v>
      </c>
      <c r="E915" s="32" t="s">
        <v>107</v>
      </c>
      <c r="F915" s="32" t="n">
        <v>8237305256</v>
      </c>
      <c r="G915" s="32" t="s">
        <v>69</v>
      </c>
      <c r="H915" s="32" t="s">
        <v>21</v>
      </c>
      <c r="I915" s="32" t="s">
        <v>172</v>
      </c>
      <c r="J915" s="32" t="s">
        <v>152</v>
      </c>
      <c r="K915" s="32" t="s">
        <v>63</v>
      </c>
    </row>
    <row r="916" customFormat="false" ht="13.5" hidden="false" customHeight="true" outlineLevel="0" collapsed="false">
      <c r="A916" s="32" t="n">
        <v>2834</v>
      </c>
      <c r="B916" s="32" t="s">
        <v>881</v>
      </c>
      <c r="C916" s="32" t="s">
        <v>882</v>
      </c>
      <c r="D916" s="32" t="s">
        <v>59</v>
      </c>
      <c r="E916" s="32" t="s">
        <v>107</v>
      </c>
      <c r="F916" s="32" t="n">
        <v>9036218997</v>
      </c>
      <c r="G916" s="32" t="s">
        <v>61</v>
      </c>
      <c r="H916" s="32" t="s">
        <v>21</v>
      </c>
      <c r="I916" s="32" t="s">
        <v>95</v>
      </c>
      <c r="J916" s="32" t="s">
        <v>96</v>
      </c>
      <c r="K916" s="32" t="s">
        <v>63</v>
      </c>
    </row>
    <row r="917" customFormat="false" ht="13.5" hidden="false" customHeight="true" outlineLevel="0" collapsed="false">
      <c r="A917" s="32" t="n">
        <v>2835</v>
      </c>
      <c r="B917" s="32" t="s">
        <v>881</v>
      </c>
      <c r="C917" s="32" t="s">
        <v>882</v>
      </c>
      <c r="D917" s="32" t="s">
        <v>59</v>
      </c>
      <c r="E917" s="32" t="s">
        <v>107</v>
      </c>
      <c r="F917" s="32" t="n">
        <v>9036218997</v>
      </c>
      <c r="G917" s="32" t="s">
        <v>61</v>
      </c>
      <c r="H917" s="32" t="s">
        <v>21</v>
      </c>
      <c r="I917" s="32" t="s">
        <v>145</v>
      </c>
      <c r="J917" s="32" t="s">
        <v>117</v>
      </c>
      <c r="K917" s="32" t="s">
        <v>63</v>
      </c>
    </row>
    <row r="918" customFormat="false" ht="13.5" hidden="false" customHeight="true" outlineLevel="0" collapsed="false">
      <c r="A918" s="32" t="n">
        <v>2836</v>
      </c>
      <c r="B918" s="32" t="s">
        <v>881</v>
      </c>
      <c r="C918" s="32" t="s">
        <v>882</v>
      </c>
      <c r="D918" s="32" t="s">
        <v>59</v>
      </c>
      <c r="E918" s="32" t="s">
        <v>107</v>
      </c>
      <c r="F918" s="32" t="n">
        <v>9036218997</v>
      </c>
      <c r="G918" s="32" t="s">
        <v>61</v>
      </c>
      <c r="H918" s="32" t="s">
        <v>21</v>
      </c>
      <c r="I918" s="32" t="s">
        <v>409</v>
      </c>
      <c r="J918" s="32" t="s">
        <v>410</v>
      </c>
      <c r="K918" s="32" t="s">
        <v>63</v>
      </c>
    </row>
    <row r="919" customFormat="false" ht="13.5" hidden="false" customHeight="true" outlineLevel="0" collapsed="false">
      <c r="A919" s="32" t="n">
        <v>2837</v>
      </c>
      <c r="B919" s="32" t="s">
        <v>881</v>
      </c>
      <c r="C919" s="32" t="s">
        <v>882</v>
      </c>
      <c r="D919" s="32" t="s">
        <v>59</v>
      </c>
      <c r="E919" s="32" t="s">
        <v>107</v>
      </c>
      <c r="F919" s="32" t="n">
        <v>9036218997</v>
      </c>
      <c r="G919" s="32" t="s">
        <v>61</v>
      </c>
      <c r="H919" s="32" t="s">
        <v>21</v>
      </c>
      <c r="I919" s="32" t="s">
        <v>76</v>
      </c>
      <c r="J919" s="32" t="s">
        <v>76</v>
      </c>
      <c r="K919" s="32" t="s">
        <v>63</v>
      </c>
    </row>
    <row r="920" customFormat="false" ht="13.5" hidden="false" customHeight="true" outlineLevel="0" collapsed="false">
      <c r="A920" s="32" t="n">
        <v>2838</v>
      </c>
      <c r="B920" s="32" t="s">
        <v>883</v>
      </c>
      <c r="C920" s="32" t="s">
        <v>884</v>
      </c>
      <c r="D920" s="32" t="s">
        <v>102</v>
      </c>
      <c r="E920" s="32" t="s">
        <v>155</v>
      </c>
      <c r="F920" s="33" t="n">
        <v>919439000000</v>
      </c>
      <c r="G920" s="32" t="s">
        <v>61</v>
      </c>
      <c r="H920" s="32" t="s">
        <v>21</v>
      </c>
      <c r="I920" s="32" t="s">
        <v>156</v>
      </c>
      <c r="J920" s="32" t="s">
        <v>62</v>
      </c>
      <c r="K920" s="32" t="s">
        <v>63</v>
      </c>
    </row>
    <row r="921" customFormat="false" ht="13.5" hidden="false" customHeight="true" outlineLevel="0" collapsed="false">
      <c r="A921" s="32" t="n">
        <v>2839</v>
      </c>
      <c r="B921" s="32" t="s">
        <v>883</v>
      </c>
      <c r="C921" s="32" t="s">
        <v>884</v>
      </c>
      <c r="D921" s="32" t="s">
        <v>102</v>
      </c>
      <c r="E921" s="32" t="s">
        <v>155</v>
      </c>
      <c r="F921" s="33" t="n">
        <v>919439000000</v>
      </c>
      <c r="G921" s="32" t="s">
        <v>61</v>
      </c>
      <c r="H921" s="32" t="s">
        <v>21</v>
      </c>
      <c r="I921" s="32" t="s">
        <v>29</v>
      </c>
      <c r="J921" s="32" t="s">
        <v>62</v>
      </c>
      <c r="K921" s="32" t="s">
        <v>63</v>
      </c>
    </row>
    <row r="922" customFormat="false" ht="13.5" hidden="false" customHeight="true" outlineLevel="0" collapsed="false">
      <c r="A922" s="32" t="n">
        <v>2840</v>
      </c>
      <c r="B922" s="32" t="s">
        <v>883</v>
      </c>
      <c r="C922" s="32" t="s">
        <v>884</v>
      </c>
      <c r="D922" s="32" t="s">
        <v>102</v>
      </c>
      <c r="E922" s="32" t="s">
        <v>155</v>
      </c>
      <c r="F922" s="33" t="n">
        <v>919439000000</v>
      </c>
      <c r="G922" s="32" t="s">
        <v>61</v>
      </c>
      <c r="H922" s="32" t="s">
        <v>21</v>
      </c>
      <c r="I922" s="32" t="s">
        <v>14</v>
      </c>
      <c r="J922" s="32" t="s">
        <v>66</v>
      </c>
      <c r="K922" s="32" t="s">
        <v>63</v>
      </c>
    </row>
    <row r="923" customFormat="false" ht="13.5" hidden="false" customHeight="true" outlineLevel="0" collapsed="false">
      <c r="A923" s="32" t="n">
        <v>2841</v>
      </c>
      <c r="B923" s="32" t="s">
        <v>885</v>
      </c>
      <c r="C923" s="32" t="s">
        <v>886</v>
      </c>
      <c r="D923" s="32" t="s">
        <v>114</v>
      </c>
      <c r="E923" s="32" t="s">
        <v>115</v>
      </c>
      <c r="F923" s="32" t="n">
        <v>8886478689</v>
      </c>
      <c r="G923" s="32" t="s">
        <v>80</v>
      </c>
      <c r="H923" s="32" t="s">
        <v>22</v>
      </c>
      <c r="I923" s="32" t="s">
        <v>16</v>
      </c>
      <c r="J923" s="32" t="s">
        <v>73</v>
      </c>
      <c r="K923" s="32" t="s">
        <v>63</v>
      </c>
    </row>
    <row r="924" customFormat="false" ht="13.5" hidden="false" customHeight="true" outlineLevel="0" collapsed="false">
      <c r="A924" s="32" t="n">
        <v>2842</v>
      </c>
      <c r="B924" s="32" t="s">
        <v>885</v>
      </c>
      <c r="C924" s="32" t="s">
        <v>887</v>
      </c>
      <c r="D924" s="32" t="s">
        <v>114</v>
      </c>
      <c r="E924" s="32" t="s">
        <v>115</v>
      </c>
      <c r="F924" s="32" t="n">
        <v>8886478689</v>
      </c>
      <c r="G924" s="32" t="s">
        <v>80</v>
      </c>
      <c r="H924" s="32" t="s">
        <v>22</v>
      </c>
      <c r="I924" s="32" t="s">
        <v>108</v>
      </c>
      <c r="J924" s="32" t="s">
        <v>71</v>
      </c>
      <c r="K924" s="32" t="s">
        <v>63</v>
      </c>
    </row>
    <row r="925" customFormat="false" ht="13.5" hidden="false" customHeight="true" outlineLevel="0" collapsed="false">
      <c r="A925" s="32" t="n">
        <v>2843</v>
      </c>
      <c r="B925" s="32" t="s">
        <v>885</v>
      </c>
      <c r="C925" s="32" t="s">
        <v>886</v>
      </c>
      <c r="D925" s="32" t="s">
        <v>114</v>
      </c>
      <c r="E925" s="32" t="s">
        <v>115</v>
      </c>
      <c r="F925" s="32" t="n">
        <v>8886478689</v>
      </c>
      <c r="G925" s="32" t="s">
        <v>80</v>
      </c>
      <c r="H925" s="32" t="s">
        <v>22</v>
      </c>
      <c r="I925" s="32" t="s">
        <v>109</v>
      </c>
      <c r="J925" s="32" t="s">
        <v>110</v>
      </c>
      <c r="K925" s="32" t="s">
        <v>63</v>
      </c>
    </row>
    <row r="926" customFormat="false" ht="13.5" hidden="false" customHeight="true" outlineLevel="0" collapsed="false">
      <c r="A926" s="32" t="n">
        <v>2844</v>
      </c>
      <c r="B926" s="32" t="s">
        <v>885</v>
      </c>
      <c r="C926" s="32" t="s">
        <v>886</v>
      </c>
      <c r="D926" s="32" t="s">
        <v>114</v>
      </c>
      <c r="E926" s="32" t="s">
        <v>115</v>
      </c>
      <c r="F926" s="32" t="n">
        <v>8886478689</v>
      </c>
      <c r="G926" s="32" t="s">
        <v>80</v>
      </c>
      <c r="H926" s="32" t="s">
        <v>22</v>
      </c>
      <c r="I926" s="32" t="s">
        <v>145</v>
      </c>
      <c r="J926" s="32" t="s">
        <v>117</v>
      </c>
      <c r="K926" s="32" t="s">
        <v>63</v>
      </c>
    </row>
    <row r="927" customFormat="false" ht="13.5" hidden="false" customHeight="true" outlineLevel="0" collapsed="false">
      <c r="A927" s="32" t="n">
        <v>2845</v>
      </c>
      <c r="B927" s="32" t="s">
        <v>888</v>
      </c>
      <c r="C927" s="32" t="s">
        <v>889</v>
      </c>
      <c r="D927" s="32" t="s">
        <v>114</v>
      </c>
      <c r="E927" s="32" t="s">
        <v>165</v>
      </c>
      <c r="F927" s="32" t="n">
        <v>7358411480</v>
      </c>
      <c r="G927" s="32" t="s">
        <v>80</v>
      </c>
      <c r="H927" s="32" t="s">
        <v>22</v>
      </c>
      <c r="I927" s="32" t="s">
        <v>85</v>
      </c>
      <c r="J927" s="32" t="s">
        <v>85</v>
      </c>
      <c r="K927" s="32" t="s">
        <v>63</v>
      </c>
    </row>
    <row r="928" customFormat="false" ht="13.5" hidden="false" customHeight="true" outlineLevel="0" collapsed="false">
      <c r="A928" s="32" t="n">
        <v>2846</v>
      </c>
      <c r="B928" s="32" t="s">
        <v>888</v>
      </c>
      <c r="C928" s="32" t="s">
        <v>890</v>
      </c>
      <c r="D928" s="32" t="s">
        <v>114</v>
      </c>
      <c r="E928" s="32" t="s">
        <v>165</v>
      </c>
      <c r="F928" s="32" t="n">
        <v>7358411480</v>
      </c>
      <c r="G928" s="32" t="s">
        <v>80</v>
      </c>
      <c r="H928" s="32" t="s">
        <v>22</v>
      </c>
      <c r="I928" s="32" t="s">
        <v>16</v>
      </c>
      <c r="J928" s="32" t="s">
        <v>73</v>
      </c>
      <c r="K928" s="32" t="s">
        <v>63</v>
      </c>
    </row>
    <row r="929" customFormat="false" ht="13.5" hidden="false" customHeight="true" outlineLevel="0" collapsed="false">
      <c r="A929" s="32" t="n">
        <v>2847</v>
      </c>
      <c r="B929" s="32" t="s">
        <v>888</v>
      </c>
      <c r="C929" s="32" t="s">
        <v>889</v>
      </c>
      <c r="D929" s="32" t="s">
        <v>114</v>
      </c>
      <c r="E929" s="32" t="s">
        <v>165</v>
      </c>
      <c r="F929" s="32" t="n">
        <v>7358411480</v>
      </c>
      <c r="G929" s="32" t="s">
        <v>80</v>
      </c>
      <c r="H929" s="32" t="s">
        <v>22</v>
      </c>
      <c r="I929" s="32" t="s">
        <v>75</v>
      </c>
      <c r="J929" s="32" t="s">
        <v>76</v>
      </c>
      <c r="K929" s="32" t="s">
        <v>63</v>
      </c>
    </row>
    <row r="930" customFormat="false" ht="13.5" hidden="false" customHeight="true" outlineLevel="0" collapsed="false">
      <c r="A930" s="32" t="n">
        <v>2848</v>
      </c>
      <c r="B930" s="32" t="s">
        <v>888</v>
      </c>
      <c r="C930" s="32" t="s">
        <v>890</v>
      </c>
      <c r="D930" s="32" t="s">
        <v>114</v>
      </c>
      <c r="E930" s="32" t="s">
        <v>165</v>
      </c>
      <c r="F930" s="32" t="n">
        <v>7358411480</v>
      </c>
      <c r="G930" s="32" t="s">
        <v>80</v>
      </c>
      <c r="H930" s="32" t="s">
        <v>22</v>
      </c>
      <c r="I930" s="32" t="s">
        <v>27</v>
      </c>
      <c r="J930" s="32" t="s">
        <v>13</v>
      </c>
      <c r="K930" s="32" t="s">
        <v>63</v>
      </c>
    </row>
    <row r="931" customFormat="false" ht="13.5" hidden="false" customHeight="true" outlineLevel="0" collapsed="false">
      <c r="A931" s="32" t="n">
        <v>2849</v>
      </c>
      <c r="B931" s="32" t="s">
        <v>888</v>
      </c>
      <c r="C931" s="32" t="s">
        <v>890</v>
      </c>
      <c r="D931" s="32" t="s">
        <v>114</v>
      </c>
      <c r="E931" s="32" t="s">
        <v>165</v>
      </c>
      <c r="F931" s="32" t="n">
        <v>7358411480</v>
      </c>
      <c r="G931" s="32" t="s">
        <v>80</v>
      </c>
      <c r="H931" s="32" t="s">
        <v>22</v>
      </c>
      <c r="I931" s="32" t="s">
        <v>14</v>
      </c>
      <c r="J931" s="32" t="s">
        <v>66</v>
      </c>
      <c r="K931" s="32" t="s">
        <v>63</v>
      </c>
    </row>
    <row r="932" customFormat="false" ht="13.5" hidden="false" customHeight="true" outlineLevel="0" collapsed="false">
      <c r="A932" s="32" t="n">
        <v>2850</v>
      </c>
      <c r="B932" s="32" t="s">
        <v>888</v>
      </c>
      <c r="C932" s="32" t="s">
        <v>890</v>
      </c>
      <c r="D932" s="32" t="s">
        <v>114</v>
      </c>
      <c r="E932" s="32" t="s">
        <v>165</v>
      </c>
      <c r="F932" s="32" t="n">
        <v>7358411480</v>
      </c>
      <c r="G932" s="32" t="s">
        <v>80</v>
      </c>
      <c r="H932" s="32" t="s">
        <v>22</v>
      </c>
      <c r="I932" s="32" t="s">
        <v>145</v>
      </c>
      <c r="J932" s="32" t="s">
        <v>117</v>
      </c>
      <c r="K932" s="32" t="s">
        <v>63</v>
      </c>
    </row>
    <row r="933" customFormat="false" ht="13.5" hidden="false" customHeight="true" outlineLevel="0" collapsed="false">
      <c r="A933" s="32" t="n">
        <v>2851</v>
      </c>
      <c r="B933" s="32" t="s">
        <v>891</v>
      </c>
      <c r="C933" s="32" t="s">
        <v>892</v>
      </c>
      <c r="D933" s="32" t="s">
        <v>59</v>
      </c>
      <c r="E933" s="32" t="s">
        <v>143</v>
      </c>
      <c r="F933" s="32" t="n">
        <v>8586880412</v>
      </c>
      <c r="G933" s="32" t="s">
        <v>144</v>
      </c>
      <c r="H933" s="32" t="s">
        <v>21</v>
      </c>
      <c r="I933" s="32" t="s">
        <v>30</v>
      </c>
      <c r="J933" s="32" t="s">
        <v>203</v>
      </c>
      <c r="K933" s="32" t="s">
        <v>63</v>
      </c>
    </row>
    <row r="934" customFormat="false" ht="13.5" hidden="false" customHeight="true" outlineLevel="0" collapsed="false">
      <c r="A934" s="32" t="n">
        <v>2852</v>
      </c>
      <c r="B934" s="32" t="s">
        <v>891</v>
      </c>
      <c r="C934" s="32" t="s">
        <v>892</v>
      </c>
      <c r="D934" s="32" t="s">
        <v>59</v>
      </c>
      <c r="E934" s="32" t="s">
        <v>143</v>
      </c>
      <c r="F934" s="32" t="n">
        <v>8586880412</v>
      </c>
      <c r="G934" s="32" t="s">
        <v>144</v>
      </c>
      <c r="H934" s="32" t="s">
        <v>21</v>
      </c>
      <c r="I934" s="32" t="s">
        <v>151</v>
      </c>
      <c r="J934" s="32" t="s">
        <v>152</v>
      </c>
      <c r="K934" s="32" t="s">
        <v>63</v>
      </c>
    </row>
    <row r="935" customFormat="false" ht="13.5" hidden="false" customHeight="true" outlineLevel="0" collapsed="false">
      <c r="A935" s="32" t="n">
        <v>2854</v>
      </c>
      <c r="B935" s="32" t="s">
        <v>891</v>
      </c>
      <c r="C935" s="32" t="s">
        <v>892</v>
      </c>
      <c r="D935" s="32" t="s">
        <v>59</v>
      </c>
      <c r="E935" s="32" t="s">
        <v>143</v>
      </c>
      <c r="F935" s="32" t="n">
        <v>8586880412</v>
      </c>
      <c r="G935" s="32" t="s">
        <v>144</v>
      </c>
      <c r="H935" s="32" t="s">
        <v>21</v>
      </c>
      <c r="I935" s="32" t="s">
        <v>85</v>
      </c>
      <c r="J935" s="32" t="s">
        <v>85</v>
      </c>
      <c r="K935" s="32" t="s">
        <v>63</v>
      </c>
    </row>
    <row r="936" customFormat="false" ht="13.5" hidden="false" customHeight="true" outlineLevel="0" collapsed="false">
      <c r="A936" s="32" t="n">
        <v>2855</v>
      </c>
      <c r="B936" s="32" t="s">
        <v>893</v>
      </c>
      <c r="C936" s="32" t="s">
        <v>894</v>
      </c>
      <c r="D936" s="32" t="s">
        <v>114</v>
      </c>
      <c r="E936" s="32" t="s">
        <v>165</v>
      </c>
      <c r="F936" s="32" t="n">
        <v>8903322442</v>
      </c>
      <c r="G936" s="32" t="s">
        <v>0</v>
      </c>
      <c r="H936" s="32" t="s">
        <v>22</v>
      </c>
      <c r="I936" s="32" t="s">
        <v>245</v>
      </c>
      <c r="J936" s="32" t="s">
        <v>71</v>
      </c>
      <c r="K936" s="32" t="s">
        <v>63</v>
      </c>
    </row>
    <row r="937" customFormat="false" ht="13.5" hidden="false" customHeight="true" outlineLevel="0" collapsed="false">
      <c r="A937" s="32" t="n">
        <v>2856</v>
      </c>
      <c r="B937" s="32" t="s">
        <v>893</v>
      </c>
      <c r="C937" s="32" t="s">
        <v>894</v>
      </c>
      <c r="D937" s="32" t="s">
        <v>114</v>
      </c>
      <c r="E937" s="32" t="s">
        <v>165</v>
      </c>
      <c r="F937" s="32" t="n">
        <v>8903322442</v>
      </c>
      <c r="G937" s="32" t="s">
        <v>0</v>
      </c>
      <c r="H937" s="32" t="s">
        <v>22</v>
      </c>
      <c r="I937" s="32" t="s">
        <v>108</v>
      </c>
      <c r="J937" s="32" t="s">
        <v>71</v>
      </c>
      <c r="K937" s="32" t="s">
        <v>63</v>
      </c>
    </row>
    <row r="938" customFormat="false" ht="13.5" hidden="false" customHeight="true" outlineLevel="0" collapsed="false">
      <c r="A938" s="32" t="n">
        <v>2857</v>
      </c>
      <c r="B938" s="32" t="s">
        <v>893</v>
      </c>
      <c r="C938" s="32" t="s">
        <v>894</v>
      </c>
      <c r="D938" s="32" t="s">
        <v>114</v>
      </c>
      <c r="E938" s="32" t="s">
        <v>165</v>
      </c>
      <c r="F938" s="32" t="n">
        <v>8903322442</v>
      </c>
      <c r="G938" s="32" t="s">
        <v>0</v>
      </c>
      <c r="H938" s="32" t="s">
        <v>22</v>
      </c>
      <c r="I938" s="32" t="s">
        <v>133</v>
      </c>
      <c r="J938" s="32" t="s">
        <v>134</v>
      </c>
      <c r="K938" s="32" t="s">
        <v>63</v>
      </c>
    </row>
    <row r="939" customFormat="false" ht="13.5" hidden="false" customHeight="true" outlineLevel="0" collapsed="false">
      <c r="A939" s="32" t="n">
        <v>2858</v>
      </c>
      <c r="B939" s="32" t="s">
        <v>895</v>
      </c>
      <c r="C939" s="32" t="s">
        <v>896</v>
      </c>
      <c r="D939" s="32" t="s">
        <v>114</v>
      </c>
      <c r="E939" s="32" t="s">
        <v>165</v>
      </c>
      <c r="F939" s="32" t="n">
        <v>8688290459</v>
      </c>
      <c r="G939" s="32" t="s">
        <v>80</v>
      </c>
      <c r="H939" s="32" t="s">
        <v>22</v>
      </c>
      <c r="I939" s="32" t="s">
        <v>149</v>
      </c>
      <c r="J939" s="32" t="s">
        <v>73</v>
      </c>
      <c r="K939" s="32" t="s">
        <v>63</v>
      </c>
    </row>
    <row r="940" customFormat="false" ht="13.5" hidden="false" customHeight="true" outlineLevel="0" collapsed="false">
      <c r="A940" s="32" t="n">
        <v>2859</v>
      </c>
      <c r="B940" s="32" t="s">
        <v>895</v>
      </c>
      <c r="C940" s="32" t="s">
        <v>897</v>
      </c>
      <c r="D940" s="32" t="s">
        <v>114</v>
      </c>
      <c r="E940" s="32" t="s">
        <v>165</v>
      </c>
      <c r="F940" s="32" t="n">
        <v>8688290459</v>
      </c>
      <c r="G940" s="32" t="s">
        <v>80</v>
      </c>
      <c r="H940" s="32" t="s">
        <v>22</v>
      </c>
      <c r="I940" s="32" t="s">
        <v>217</v>
      </c>
      <c r="J940" s="32" t="s">
        <v>132</v>
      </c>
      <c r="K940" s="32" t="s">
        <v>63</v>
      </c>
    </row>
    <row r="941" customFormat="false" ht="13.5" hidden="false" customHeight="true" outlineLevel="0" collapsed="false">
      <c r="A941" s="32" t="n">
        <v>2860</v>
      </c>
      <c r="B941" s="32" t="s">
        <v>895</v>
      </c>
      <c r="C941" s="32" t="s">
        <v>897</v>
      </c>
      <c r="D941" s="32" t="s">
        <v>114</v>
      </c>
      <c r="E941" s="32" t="s">
        <v>165</v>
      </c>
      <c r="F941" s="32" t="n">
        <v>8688290459</v>
      </c>
      <c r="G941" s="32" t="s">
        <v>80</v>
      </c>
      <c r="H941" s="32" t="s">
        <v>22</v>
      </c>
      <c r="I941" s="32" t="s">
        <v>150</v>
      </c>
      <c r="J941" s="32" t="s">
        <v>73</v>
      </c>
      <c r="K941" s="32" t="s">
        <v>63</v>
      </c>
    </row>
    <row r="942" customFormat="false" ht="13.5" hidden="false" customHeight="true" outlineLevel="0" collapsed="false">
      <c r="A942" s="32" t="n">
        <v>2861</v>
      </c>
      <c r="B942" s="32" t="s">
        <v>895</v>
      </c>
      <c r="C942" s="32" t="s">
        <v>898</v>
      </c>
      <c r="D942" s="32" t="s">
        <v>114</v>
      </c>
      <c r="E942" s="32" t="s">
        <v>165</v>
      </c>
      <c r="F942" s="32" t="n">
        <v>8688290459</v>
      </c>
      <c r="G942" s="32" t="s">
        <v>80</v>
      </c>
      <c r="H942" s="32" t="s">
        <v>22</v>
      </c>
      <c r="I942" s="32" t="s">
        <v>149</v>
      </c>
      <c r="J942" s="32" t="s">
        <v>73</v>
      </c>
      <c r="K942" s="32" t="s">
        <v>63</v>
      </c>
    </row>
    <row r="943" customFormat="false" ht="13.5" hidden="false" customHeight="true" outlineLevel="0" collapsed="false">
      <c r="A943" s="32" t="n">
        <v>2862</v>
      </c>
      <c r="B943" s="32" t="s">
        <v>895</v>
      </c>
      <c r="C943" s="32" t="s">
        <v>898</v>
      </c>
      <c r="D943" s="32" t="s">
        <v>114</v>
      </c>
      <c r="E943" s="32" t="s">
        <v>165</v>
      </c>
      <c r="F943" s="32" t="n">
        <v>8688290459</v>
      </c>
      <c r="G943" s="32" t="s">
        <v>80</v>
      </c>
      <c r="H943" s="32" t="s">
        <v>22</v>
      </c>
      <c r="I943" s="32" t="s">
        <v>27</v>
      </c>
      <c r="J943" s="32" t="s">
        <v>13</v>
      </c>
      <c r="K943" s="32" t="s">
        <v>63</v>
      </c>
    </row>
    <row r="944" customFormat="false" ht="13.5" hidden="false" customHeight="true" outlineLevel="0" collapsed="false">
      <c r="A944" s="32" t="n">
        <v>2863</v>
      </c>
      <c r="B944" s="32" t="s">
        <v>895</v>
      </c>
      <c r="C944" s="32" t="s">
        <v>898</v>
      </c>
      <c r="D944" s="32" t="s">
        <v>114</v>
      </c>
      <c r="E944" s="32" t="s">
        <v>165</v>
      </c>
      <c r="F944" s="32" t="n">
        <v>8688290459</v>
      </c>
      <c r="G944" s="32" t="s">
        <v>80</v>
      </c>
      <c r="H944" s="32" t="s">
        <v>22</v>
      </c>
      <c r="I944" s="32" t="s">
        <v>30</v>
      </c>
      <c r="J944" s="32" t="s">
        <v>203</v>
      </c>
      <c r="K944" s="32" t="s">
        <v>63</v>
      </c>
    </row>
    <row r="945" customFormat="false" ht="13.5" hidden="false" customHeight="true" outlineLevel="0" collapsed="false">
      <c r="A945" s="32" t="n">
        <v>2864</v>
      </c>
      <c r="B945" s="32" t="s">
        <v>899</v>
      </c>
      <c r="C945" s="32" t="s">
        <v>900</v>
      </c>
      <c r="D945" s="32" t="s">
        <v>59</v>
      </c>
      <c r="E945" s="32" t="n">
        <v>0</v>
      </c>
      <c r="F945" s="32" t="n">
        <v>0</v>
      </c>
      <c r="G945" s="32" t="s">
        <v>80</v>
      </c>
      <c r="H945" s="32" t="s">
        <v>21</v>
      </c>
      <c r="I945" s="32" t="s">
        <v>87</v>
      </c>
      <c r="J945" s="32" t="s">
        <v>84</v>
      </c>
      <c r="K945" s="32" t="s">
        <v>63</v>
      </c>
    </row>
    <row r="946" customFormat="false" ht="13.5" hidden="false" customHeight="true" outlineLevel="0" collapsed="false">
      <c r="A946" s="32" t="n">
        <v>2866</v>
      </c>
      <c r="B946" s="32" t="s">
        <v>899</v>
      </c>
      <c r="C946" s="32" t="s">
        <v>900</v>
      </c>
      <c r="D946" s="32" t="s">
        <v>59</v>
      </c>
      <c r="E946" s="32" t="n">
        <v>0</v>
      </c>
      <c r="F946" s="32" t="n">
        <v>0</v>
      </c>
      <c r="G946" s="32" t="s">
        <v>80</v>
      </c>
      <c r="H946" s="32" t="s">
        <v>21</v>
      </c>
      <c r="I946" s="32" t="s">
        <v>93</v>
      </c>
      <c r="J946" s="32" t="s">
        <v>85</v>
      </c>
      <c r="K946" s="32" t="s">
        <v>63</v>
      </c>
    </row>
    <row r="947" customFormat="false" ht="13.5" hidden="false" customHeight="true" outlineLevel="0" collapsed="false">
      <c r="A947" s="32" t="n">
        <v>2867</v>
      </c>
      <c r="B947" s="32" t="s">
        <v>901</v>
      </c>
      <c r="C947" s="32" t="s">
        <v>902</v>
      </c>
      <c r="D947" s="32" t="s">
        <v>59</v>
      </c>
      <c r="E947" s="32" t="s">
        <v>107</v>
      </c>
      <c r="F947" s="32" t="n">
        <v>9004179181</v>
      </c>
      <c r="G947" s="32" t="s">
        <v>69</v>
      </c>
      <c r="H947" s="32" t="s">
        <v>21</v>
      </c>
      <c r="I947" s="32" t="s">
        <v>690</v>
      </c>
      <c r="J947" s="32" t="s">
        <v>117</v>
      </c>
      <c r="K947" s="32" t="s">
        <v>63</v>
      </c>
    </row>
    <row r="948" customFormat="false" ht="13.5" hidden="false" customHeight="true" outlineLevel="0" collapsed="false">
      <c r="A948" s="32" t="n">
        <v>2868</v>
      </c>
      <c r="B948" s="32" t="s">
        <v>903</v>
      </c>
      <c r="C948" s="32" t="s">
        <v>904</v>
      </c>
      <c r="D948" s="32" t="s">
        <v>114</v>
      </c>
      <c r="E948" s="32" t="s">
        <v>124</v>
      </c>
      <c r="F948" s="33" t="n">
        <v>919632000000</v>
      </c>
      <c r="G948" s="32" t="s">
        <v>61</v>
      </c>
      <c r="H948" s="32" t="s">
        <v>22</v>
      </c>
      <c r="I948" s="32" t="s">
        <v>381</v>
      </c>
      <c r="J948" s="32" t="s">
        <v>66</v>
      </c>
      <c r="K948" s="32" t="s">
        <v>63</v>
      </c>
    </row>
    <row r="949" customFormat="false" ht="13.5" hidden="false" customHeight="true" outlineLevel="0" collapsed="false">
      <c r="A949" s="32" t="n">
        <v>2869</v>
      </c>
      <c r="B949" s="32" t="s">
        <v>903</v>
      </c>
      <c r="C949" s="32" t="s">
        <v>904</v>
      </c>
      <c r="D949" s="32" t="s">
        <v>114</v>
      </c>
      <c r="E949" s="32" t="s">
        <v>124</v>
      </c>
      <c r="F949" s="33" t="n">
        <v>919632000000</v>
      </c>
      <c r="G949" s="32" t="s">
        <v>61</v>
      </c>
      <c r="H949" s="32" t="s">
        <v>22</v>
      </c>
      <c r="I949" s="32" t="s">
        <v>121</v>
      </c>
      <c r="J949" s="32" t="s">
        <v>110</v>
      </c>
      <c r="K949" s="32" t="s">
        <v>63</v>
      </c>
    </row>
    <row r="950" customFormat="false" ht="13.5" hidden="false" customHeight="true" outlineLevel="0" collapsed="false">
      <c r="A950" s="32" t="n">
        <v>2871</v>
      </c>
      <c r="B950" s="32" t="s">
        <v>903</v>
      </c>
      <c r="C950" s="32" t="s">
        <v>904</v>
      </c>
      <c r="D950" s="32" t="s">
        <v>114</v>
      </c>
      <c r="E950" s="32" t="s">
        <v>124</v>
      </c>
      <c r="F950" s="33" t="n">
        <v>919632000000</v>
      </c>
      <c r="G950" s="32" t="s">
        <v>61</v>
      </c>
      <c r="H950" s="32" t="s">
        <v>22</v>
      </c>
      <c r="I950" s="32" t="s">
        <v>314</v>
      </c>
      <c r="J950" s="32" t="s">
        <v>134</v>
      </c>
      <c r="K950" s="32" t="s">
        <v>63</v>
      </c>
    </row>
    <row r="951" customFormat="false" ht="13.5" hidden="false" customHeight="true" outlineLevel="0" collapsed="false">
      <c r="A951" s="32" t="n">
        <v>2872</v>
      </c>
      <c r="B951" s="32" t="s">
        <v>903</v>
      </c>
      <c r="C951" s="32" t="s">
        <v>905</v>
      </c>
      <c r="D951" s="32" t="s">
        <v>114</v>
      </c>
      <c r="E951" s="32" t="s">
        <v>124</v>
      </c>
      <c r="F951" s="33" t="n">
        <v>919632000000</v>
      </c>
      <c r="G951" s="32" t="s">
        <v>61</v>
      </c>
      <c r="H951" s="32" t="s">
        <v>22</v>
      </c>
      <c r="I951" s="32" t="s">
        <v>133</v>
      </c>
      <c r="J951" s="32" t="s">
        <v>134</v>
      </c>
      <c r="K951" s="32" t="s">
        <v>63</v>
      </c>
    </row>
    <row r="952" customFormat="false" ht="13.5" hidden="false" customHeight="true" outlineLevel="0" collapsed="false">
      <c r="A952" s="32" t="n">
        <v>2873</v>
      </c>
      <c r="B952" s="32" t="s">
        <v>906</v>
      </c>
      <c r="C952" s="32" t="s">
        <v>907</v>
      </c>
      <c r="D952" s="32" t="s">
        <v>331</v>
      </c>
      <c r="E952" s="32" t="n">
        <v>0</v>
      </c>
      <c r="F952" s="32" t="n">
        <v>0</v>
      </c>
      <c r="G952" s="32" t="s">
        <v>61</v>
      </c>
      <c r="H952" s="32" t="s">
        <v>332</v>
      </c>
      <c r="I952" s="32" t="s">
        <v>248</v>
      </c>
      <c r="J952" s="32" t="s">
        <v>117</v>
      </c>
      <c r="K952" s="32" t="s">
        <v>63</v>
      </c>
    </row>
    <row r="953" customFormat="false" ht="13.5" hidden="false" customHeight="true" outlineLevel="0" collapsed="false">
      <c r="A953" s="32" t="n">
        <v>2875</v>
      </c>
      <c r="B953" s="32" t="s">
        <v>908</v>
      </c>
      <c r="C953" s="32" t="s">
        <v>909</v>
      </c>
      <c r="D953" s="32" t="s">
        <v>114</v>
      </c>
      <c r="E953" s="32" t="s">
        <v>115</v>
      </c>
      <c r="F953" s="33" t="n">
        <v>919664000000</v>
      </c>
      <c r="G953" s="32" t="s">
        <v>61</v>
      </c>
      <c r="H953" s="32" t="s">
        <v>22</v>
      </c>
      <c r="I953" s="32" t="s">
        <v>108</v>
      </c>
      <c r="J953" s="32" t="s">
        <v>71</v>
      </c>
      <c r="K953" s="32" t="s">
        <v>63</v>
      </c>
    </row>
    <row r="954" customFormat="false" ht="13.5" hidden="false" customHeight="true" outlineLevel="0" collapsed="false">
      <c r="A954" s="32" t="n">
        <v>2876</v>
      </c>
      <c r="B954" s="32" t="s">
        <v>908</v>
      </c>
      <c r="C954" s="32" t="s">
        <v>909</v>
      </c>
      <c r="D954" s="32" t="s">
        <v>114</v>
      </c>
      <c r="E954" s="32" t="s">
        <v>115</v>
      </c>
      <c r="F954" s="33" t="n">
        <v>919664000000</v>
      </c>
      <c r="G954" s="32" t="s">
        <v>61</v>
      </c>
      <c r="H954" s="32" t="s">
        <v>22</v>
      </c>
      <c r="I954" s="32" t="s">
        <v>145</v>
      </c>
      <c r="J954" s="32" t="s">
        <v>117</v>
      </c>
      <c r="K954" s="32" t="s">
        <v>63</v>
      </c>
    </row>
    <row r="955" customFormat="false" ht="13.5" hidden="false" customHeight="true" outlineLevel="0" collapsed="false">
      <c r="A955" s="32" t="n">
        <v>2877</v>
      </c>
      <c r="B955" s="32" t="s">
        <v>910</v>
      </c>
      <c r="C955" s="32" t="s">
        <v>911</v>
      </c>
      <c r="D955" s="32" t="s">
        <v>331</v>
      </c>
      <c r="E955" s="32" t="s">
        <v>912</v>
      </c>
      <c r="F955" s="32" t="n">
        <v>9769099208</v>
      </c>
      <c r="G955" s="32" t="s">
        <v>104</v>
      </c>
      <c r="H955" s="32" t="s">
        <v>332</v>
      </c>
      <c r="I955" s="32" t="s">
        <v>30</v>
      </c>
      <c r="J955" s="32" t="s">
        <v>203</v>
      </c>
      <c r="K955" s="32" t="s">
        <v>63</v>
      </c>
    </row>
    <row r="956" customFormat="false" ht="13.5" hidden="false" customHeight="true" outlineLevel="0" collapsed="false">
      <c r="A956" s="32" t="n">
        <v>2878</v>
      </c>
      <c r="B956" s="32" t="s">
        <v>910</v>
      </c>
      <c r="C956" s="32" t="s">
        <v>911</v>
      </c>
      <c r="D956" s="32" t="s">
        <v>331</v>
      </c>
      <c r="E956" s="32" t="s">
        <v>912</v>
      </c>
      <c r="F956" s="32" t="n">
        <v>9769099208</v>
      </c>
      <c r="G956" s="32" t="s">
        <v>104</v>
      </c>
      <c r="H956" s="32" t="s">
        <v>332</v>
      </c>
      <c r="I956" s="32" t="s">
        <v>703</v>
      </c>
      <c r="J956" s="32" t="s">
        <v>152</v>
      </c>
      <c r="K956" s="32" t="s">
        <v>63</v>
      </c>
    </row>
    <row r="957" customFormat="false" ht="13.5" hidden="false" customHeight="true" outlineLevel="0" collapsed="false">
      <c r="A957" s="32" t="n">
        <v>2879</v>
      </c>
      <c r="B957" s="32" t="s">
        <v>910</v>
      </c>
      <c r="C957" s="32" t="s">
        <v>911</v>
      </c>
      <c r="D957" s="32" t="s">
        <v>331</v>
      </c>
      <c r="E957" s="32" t="s">
        <v>912</v>
      </c>
      <c r="F957" s="32" t="n">
        <v>9769099208</v>
      </c>
      <c r="G957" s="32" t="s">
        <v>104</v>
      </c>
      <c r="H957" s="32" t="s">
        <v>332</v>
      </c>
      <c r="I957" s="32" t="s">
        <v>234</v>
      </c>
      <c r="J957" s="32" t="s">
        <v>235</v>
      </c>
      <c r="K957" s="32" t="s">
        <v>63</v>
      </c>
    </row>
    <row r="958" customFormat="false" ht="13.5" hidden="false" customHeight="true" outlineLevel="0" collapsed="false">
      <c r="A958" s="32" t="n">
        <v>2880</v>
      </c>
      <c r="B958" s="32" t="s">
        <v>910</v>
      </c>
      <c r="C958" s="32" t="s">
        <v>911</v>
      </c>
      <c r="D958" s="32" t="s">
        <v>331</v>
      </c>
      <c r="E958" s="32" t="s">
        <v>912</v>
      </c>
      <c r="F958" s="32" t="n">
        <v>9769099208</v>
      </c>
      <c r="G958" s="32" t="s">
        <v>104</v>
      </c>
      <c r="H958" s="32" t="s">
        <v>332</v>
      </c>
      <c r="I958" s="32" t="s">
        <v>151</v>
      </c>
      <c r="J958" s="32" t="s">
        <v>152</v>
      </c>
      <c r="K958" s="32" t="s">
        <v>63</v>
      </c>
    </row>
    <row r="959" customFormat="false" ht="13.5" hidden="false" customHeight="true" outlineLevel="0" collapsed="false">
      <c r="A959" s="32" t="n">
        <v>2881</v>
      </c>
      <c r="B959" s="32" t="s">
        <v>910</v>
      </c>
      <c r="C959" s="32" t="s">
        <v>911</v>
      </c>
      <c r="D959" s="32" t="s">
        <v>331</v>
      </c>
      <c r="E959" s="32" t="s">
        <v>912</v>
      </c>
      <c r="F959" s="32" t="n">
        <v>9769099208</v>
      </c>
      <c r="G959" s="32" t="s">
        <v>104</v>
      </c>
      <c r="H959" s="32" t="s">
        <v>332</v>
      </c>
      <c r="I959" s="32" t="s">
        <v>172</v>
      </c>
      <c r="J959" s="32" t="s">
        <v>152</v>
      </c>
      <c r="K959" s="32" t="s">
        <v>63</v>
      </c>
    </row>
    <row r="960" customFormat="false" ht="13.5" hidden="false" customHeight="true" outlineLevel="0" collapsed="false">
      <c r="A960" s="32" t="n">
        <v>2882</v>
      </c>
      <c r="B960" s="32" t="s">
        <v>910</v>
      </c>
      <c r="C960" s="32" t="s">
        <v>911</v>
      </c>
      <c r="D960" s="32" t="s">
        <v>331</v>
      </c>
      <c r="E960" s="32" t="s">
        <v>912</v>
      </c>
      <c r="F960" s="32" t="n">
        <v>9769099208</v>
      </c>
      <c r="G960" s="32" t="s">
        <v>104</v>
      </c>
      <c r="H960" s="32" t="s">
        <v>332</v>
      </c>
      <c r="I960" s="32" t="s">
        <v>27</v>
      </c>
      <c r="J960" s="32" t="s">
        <v>13</v>
      </c>
      <c r="K960" s="32" t="s">
        <v>63</v>
      </c>
    </row>
    <row r="961" customFormat="false" ht="13.5" hidden="false" customHeight="true" outlineLevel="0" collapsed="false">
      <c r="A961" s="32" t="n">
        <v>2883</v>
      </c>
      <c r="B961" s="32" t="s">
        <v>910</v>
      </c>
      <c r="C961" s="32" t="s">
        <v>911</v>
      </c>
      <c r="D961" s="32" t="s">
        <v>331</v>
      </c>
      <c r="E961" s="32" t="s">
        <v>912</v>
      </c>
      <c r="F961" s="32" t="n">
        <v>9769099208</v>
      </c>
      <c r="G961" s="32" t="s">
        <v>104</v>
      </c>
      <c r="H961" s="32" t="s">
        <v>332</v>
      </c>
      <c r="I961" s="32" t="s">
        <v>151</v>
      </c>
      <c r="J961" s="32" t="s">
        <v>152</v>
      </c>
      <c r="K961" s="32" t="s">
        <v>63</v>
      </c>
    </row>
    <row r="962" customFormat="false" ht="13.5" hidden="false" customHeight="true" outlineLevel="0" collapsed="false">
      <c r="A962" s="32" t="n">
        <v>2884</v>
      </c>
      <c r="B962" s="32" t="s">
        <v>913</v>
      </c>
      <c r="C962" s="32" t="s">
        <v>914</v>
      </c>
      <c r="D962" s="32" t="s">
        <v>59</v>
      </c>
      <c r="E962" s="32" t="s">
        <v>143</v>
      </c>
      <c r="F962" s="32" t="n">
        <v>7208226079</v>
      </c>
      <c r="G962" s="32" t="s">
        <v>104</v>
      </c>
      <c r="H962" s="32" t="s">
        <v>21</v>
      </c>
      <c r="I962" s="32" t="s">
        <v>185</v>
      </c>
      <c r="J962" s="32" t="s">
        <v>186</v>
      </c>
      <c r="K962" s="32" t="s">
        <v>63</v>
      </c>
    </row>
    <row r="963" customFormat="false" ht="13.5" hidden="false" customHeight="true" outlineLevel="0" collapsed="false">
      <c r="A963" s="32" t="n">
        <v>2885</v>
      </c>
      <c r="B963" s="32" t="s">
        <v>913</v>
      </c>
      <c r="C963" s="32" t="s">
        <v>914</v>
      </c>
      <c r="D963" s="32" t="s">
        <v>59</v>
      </c>
      <c r="E963" s="32" t="s">
        <v>143</v>
      </c>
      <c r="F963" s="32" t="n">
        <v>7208226079</v>
      </c>
      <c r="G963" s="32" t="s">
        <v>104</v>
      </c>
      <c r="H963" s="32" t="s">
        <v>21</v>
      </c>
      <c r="I963" s="32" t="s">
        <v>314</v>
      </c>
      <c r="J963" s="32" t="s">
        <v>134</v>
      </c>
      <c r="K963" s="32" t="s">
        <v>63</v>
      </c>
    </row>
    <row r="964" customFormat="false" ht="13.5" hidden="false" customHeight="true" outlineLevel="0" collapsed="false">
      <c r="A964" s="32" t="n">
        <v>2886</v>
      </c>
      <c r="B964" s="32" t="s">
        <v>913</v>
      </c>
      <c r="C964" s="32" t="s">
        <v>914</v>
      </c>
      <c r="D964" s="32" t="s">
        <v>59</v>
      </c>
      <c r="E964" s="32" t="s">
        <v>143</v>
      </c>
      <c r="F964" s="32" t="n">
        <v>7208226079</v>
      </c>
      <c r="G964" s="32" t="s">
        <v>104</v>
      </c>
      <c r="H964" s="32" t="s">
        <v>21</v>
      </c>
      <c r="I964" s="32" t="s">
        <v>109</v>
      </c>
      <c r="J964" s="32" t="s">
        <v>110</v>
      </c>
      <c r="K964" s="32" t="s">
        <v>63</v>
      </c>
    </row>
    <row r="965" customFormat="false" ht="13.5" hidden="false" customHeight="true" outlineLevel="0" collapsed="false">
      <c r="A965" s="32" t="n">
        <v>2887</v>
      </c>
      <c r="B965" s="32" t="s">
        <v>913</v>
      </c>
      <c r="C965" s="32" t="s">
        <v>914</v>
      </c>
      <c r="D965" s="32" t="s">
        <v>59</v>
      </c>
      <c r="E965" s="32" t="s">
        <v>143</v>
      </c>
      <c r="F965" s="32" t="n">
        <v>7208226079</v>
      </c>
      <c r="G965" s="32" t="s">
        <v>104</v>
      </c>
      <c r="H965" s="32" t="s">
        <v>21</v>
      </c>
      <c r="I965" s="32" t="s">
        <v>121</v>
      </c>
      <c r="J965" s="32" t="s">
        <v>110</v>
      </c>
      <c r="K965" s="32" t="s">
        <v>63</v>
      </c>
    </row>
    <row r="966" customFormat="false" ht="13.5" hidden="false" customHeight="true" outlineLevel="0" collapsed="false">
      <c r="A966" s="32" t="n">
        <v>2888</v>
      </c>
      <c r="B966" s="32" t="s">
        <v>913</v>
      </c>
      <c r="C966" s="32" t="s">
        <v>914</v>
      </c>
      <c r="D966" s="32" t="s">
        <v>59</v>
      </c>
      <c r="E966" s="32" t="s">
        <v>143</v>
      </c>
      <c r="F966" s="32" t="n">
        <v>7208226079</v>
      </c>
      <c r="G966" s="32" t="s">
        <v>104</v>
      </c>
      <c r="H966" s="32" t="s">
        <v>21</v>
      </c>
      <c r="I966" s="32" t="s">
        <v>133</v>
      </c>
      <c r="J966" s="32" t="s">
        <v>134</v>
      </c>
      <c r="K966" s="32" t="s">
        <v>63</v>
      </c>
    </row>
    <row r="967" customFormat="false" ht="13.5" hidden="false" customHeight="true" outlineLevel="0" collapsed="false">
      <c r="A967" s="32" t="n">
        <v>2889</v>
      </c>
      <c r="B967" s="32" t="s">
        <v>915</v>
      </c>
      <c r="C967" s="32" t="s">
        <v>916</v>
      </c>
      <c r="D967" s="32" t="s">
        <v>114</v>
      </c>
      <c r="E967" s="32" t="s">
        <v>165</v>
      </c>
      <c r="F967" s="32" t="n">
        <v>9948204711</v>
      </c>
      <c r="G967" s="32" t="s">
        <v>61</v>
      </c>
      <c r="H967" s="32" t="s">
        <v>22</v>
      </c>
      <c r="I967" s="32" t="s">
        <v>151</v>
      </c>
      <c r="J967" s="32" t="s">
        <v>152</v>
      </c>
      <c r="K967" s="32" t="s">
        <v>63</v>
      </c>
    </row>
    <row r="968" customFormat="false" ht="13.5" hidden="false" customHeight="true" outlineLevel="0" collapsed="false">
      <c r="A968" s="32" t="n">
        <v>2890</v>
      </c>
      <c r="B968" s="32" t="s">
        <v>915</v>
      </c>
      <c r="C968" s="32" t="s">
        <v>916</v>
      </c>
      <c r="D968" s="32" t="s">
        <v>114</v>
      </c>
      <c r="E968" s="32" t="s">
        <v>165</v>
      </c>
      <c r="F968" s="32" t="n">
        <v>9948204711</v>
      </c>
      <c r="G968" s="32" t="s">
        <v>61</v>
      </c>
      <c r="H968" s="32" t="s">
        <v>22</v>
      </c>
      <c r="I968" s="32" t="s">
        <v>172</v>
      </c>
      <c r="J968" s="32" t="s">
        <v>152</v>
      </c>
      <c r="K968" s="32" t="s">
        <v>63</v>
      </c>
    </row>
    <row r="969" customFormat="false" ht="13.5" hidden="false" customHeight="true" outlineLevel="0" collapsed="false">
      <c r="A969" s="32" t="n">
        <v>2891</v>
      </c>
      <c r="B969" s="32" t="s">
        <v>915</v>
      </c>
      <c r="C969" s="32" t="s">
        <v>917</v>
      </c>
      <c r="D969" s="32" t="s">
        <v>114</v>
      </c>
      <c r="E969" s="32" t="s">
        <v>165</v>
      </c>
      <c r="F969" s="32" t="n">
        <v>9948204711</v>
      </c>
      <c r="G969" s="32" t="s">
        <v>80</v>
      </c>
      <c r="H969" s="32" t="s">
        <v>22</v>
      </c>
      <c r="I969" s="32" t="s">
        <v>27</v>
      </c>
      <c r="J969" s="32" t="s">
        <v>13</v>
      </c>
      <c r="K969" s="32" t="s">
        <v>63</v>
      </c>
    </row>
    <row r="970" customFormat="false" ht="13.5" hidden="false" customHeight="true" outlineLevel="0" collapsed="false">
      <c r="A970" s="32" t="n">
        <v>2892</v>
      </c>
      <c r="B970" s="32" t="s">
        <v>915</v>
      </c>
      <c r="C970" s="32" t="s">
        <v>917</v>
      </c>
      <c r="D970" s="32" t="s">
        <v>114</v>
      </c>
      <c r="E970" s="32" t="s">
        <v>165</v>
      </c>
      <c r="F970" s="32" t="n">
        <v>9948204711</v>
      </c>
      <c r="G970" s="32" t="s">
        <v>61</v>
      </c>
      <c r="H970" s="32" t="s">
        <v>22</v>
      </c>
      <c r="I970" s="32" t="s">
        <v>30</v>
      </c>
      <c r="J970" s="32" t="s">
        <v>203</v>
      </c>
      <c r="K970" s="32" t="s">
        <v>63</v>
      </c>
    </row>
    <row r="971" customFormat="false" ht="13.5" hidden="false" customHeight="true" outlineLevel="0" collapsed="false">
      <c r="A971" s="32" t="n">
        <v>2893</v>
      </c>
      <c r="B971" s="32" t="s">
        <v>915</v>
      </c>
      <c r="C971" s="32" t="s">
        <v>917</v>
      </c>
      <c r="D971" s="32" t="s">
        <v>114</v>
      </c>
      <c r="E971" s="32" t="s">
        <v>165</v>
      </c>
      <c r="F971" s="32" t="n">
        <v>9948204711</v>
      </c>
      <c r="G971" s="32" t="s">
        <v>80</v>
      </c>
      <c r="H971" s="32" t="s">
        <v>22</v>
      </c>
      <c r="I971" s="32" t="s">
        <v>151</v>
      </c>
      <c r="J971" s="32" t="s">
        <v>152</v>
      </c>
      <c r="K971" s="32" t="s">
        <v>63</v>
      </c>
    </row>
    <row r="972" customFormat="false" ht="13.5" hidden="false" customHeight="true" outlineLevel="0" collapsed="false">
      <c r="A972" s="32" t="n">
        <v>2894</v>
      </c>
      <c r="B972" s="32" t="s">
        <v>918</v>
      </c>
      <c r="C972" s="32" t="s">
        <v>919</v>
      </c>
      <c r="D972" s="32" t="s">
        <v>59</v>
      </c>
      <c r="E972" s="32" t="s">
        <v>107</v>
      </c>
      <c r="F972" s="32" t="n">
        <v>0</v>
      </c>
      <c r="G972" s="32" t="s">
        <v>0</v>
      </c>
      <c r="H972" s="32" t="s">
        <v>21</v>
      </c>
      <c r="I972" s="32" t="s">
        <v>807</v>
      </c>
      <c r="J972" s="32" t="s">
        <v>808</v>
      </c>
      <c r="K972" s="32" t="s">
        <v>63</v>
      </c>
    </row>
    <row r="973" customFormat="false" ht="13.5" hidden="false" customHeight="true" outlineLevel="0" collapsed="false">
      <c r="A973" s="32" t="n">
        <v>2895</v>
      </c>
      <c r="B973" s="32" t="s">
        <v>918</v>
      </c>
      <c r="C973" s="32" t="s">
        <v>919</v>
      </c>
      <c r="D973" s="32" t="s">
        <v>59</v>
      </c>
      <c r="E973" s="32" t="s">
        <v>107</v>
      </c>
      <c r="F973" s="32" t="n">
        <v>0</v>
      </c>
      <c r="G973" s="32" t="s">
        <v>61</v>
      </c>
      <c r="H973" s="32" t="s">
        <v>21</v>
      </c>
      <c r="I973" s="32" t="s">
        <v>393</v>
      </c>
      <c r="J973" s="32" t="s">
        <v>73</v>
      </c>
      <c r="K973" s="32" t="s">
        <v>63</v>
      </c>
    </row>
    <row r="974" customFormat="false" ht="13.5" hidden="false" customHeight="true" outlineLevel="0" collapsed="false">
      <c r="A974" s="32" t="n">
        <v>2896</v>
      </c>
      <c r="B974" s="32" t="s">
        <v>918</v>
      </c>
      <c r="C974" s="32" t="s">
        <v>920</v>
      </c>
      <c r="D974" s="32" t="s">
        <v>59</v>
      </c>
      <c r="E974" s="32" t="s">
        <v>107</v>
      </c>
      <c r="F974" s="32" t="n">
        <v>9940191083</v>
      </c>
      <c r="G974" s="32" t="s">
        <v>0</v>
      </c>
      <c r="H974" s="32" t="s">
        <v>21</v>
      </c>
      <c r="I974" s="32" t="s">
        <v>76</v>
      </c>
      <c r="J974" s="32" t="s">
        <v>76</v>
      </c>
      <c r="K974" s="32" t="s">
        <v>63</v>
      </c>
    </row>
    <row r="975" customFormat="false" ht="13.5" hidden="false" customHeight="true" outlineLevel="0" collapsed="false">
      <c r="A975" s="32" t="n">
        <v>2899</v>
      </c>
      <c r="B975" s="32" t="s">
        <v>921</v>
      </c>
      <c r="C975" s="32" t="s">
        <v>922</v>
      </c>
      <c r="D975" s="32" t="s">
        <v>114</v>
      </c>
      <c r="E975" s="32" t="s">
        <v>115</v>
      </c>
      <c r="F975" s="33" t="n">
        <v>919582000000</v>
      </c>
      <c r="G975" s="32" t="s">
        <v>80</v>
      </c>
      <c r="H975" s="32" t="s">
        <v>22</v>
      </c>
      <c r="I975" s="32" t="s">
        <v>108</v>
      </c>
      <c r="J975" s="32" t="s">
        <v>71</v>
      </c>
      <c r="K975" s="32" t="s">
        <v>63</v>
      </c>
    </row>
    <row r="976" customFormat="false" ht="13.5" hidden="false" customHeight="true" outlineLevel="0" collapsed="false">
      <c r="A976" s="32" t="n">
        <v>2900</v>
      </c>
      <c r="B976" s="32" t="s">
        <v>921</v>
      </c>
      <c r="C976" s="32" t="s">
        <v>922</v>
      </c>
      <c r="D976" s="32" t="s">
        <v>114</v>
      </c>
      <c r="E976" s="32" t="s">
        <v>115</v>
      </c>
      <c r="F976" s="33" t="n">
        <v>919582000000</v>
      </c>
      <c r="G976" s="32" t="s">
        <v>80</v>
      </c>
      <c r="H976" s="32" t="s">
        <v>22</v>
      </c>
      <c r="I976" s="32" t="s">
        <v>145</v>
      </c>
      <c r="J976" s="32" t="s">
        <v>117</v>
      </c>
      <c r="K976" s="32" t="s">
        <v>63</v>
      </c>
    </row>
    <row r="977" customFormat="false" ht="13.5" hidden="false" customHeight="true" outlineLevel="0" collapsed="false">
      <c r="A977" s="32" t="n">
        <v>2901</v>
      </c>
      <c r="B977" s="32" t="s">
        <v>921</v>
      </c>
      <c r="C977" s="32" t="s">
        <v>922</v>
      </c>
      <c r="D977" s="32" t="s">
        <v>114</v>
      </c>
      <c r="E977" s="32" t="s">
        <v>115</v>
      </c>
      <c r="F977" s="33" t="n">
        <v>919582000000</v>
      </c>
      <c r="G977" s="32" t="s">
        <v>80</v>
      </c>
      <c r="H977" s="32" t="s">
        <v>22</v>
      </c>
      <c r="I977" s="32" t="s">
        <v>93</v>
      </c>
      <c r="J977" s="32" t="s">
        <v>85</v>
      </c>
      <c r="K977" s="32" t="s">
        <v>63</v>
      </c>
    </row>
    <row r="978" customFormat="false" ht="13.5" hidden="false" customHeight="true" outlineLevel="0" collapsed="false">
      <c r="A978" s="32" t="n">
        <v>2902</v>
      </c>
      <c r="B978" s="32" t="s">
        <v>923</v>
      </c>
      <c r="C978" s="32" t="s">
        <v>924</v>
      </c>
      <c r="D978" s="32" t="s">
        <v>59</v>
      </c>
      <c r="E978" s="32" t="s">
        <v>107</v>
      </c>
      <c r="F978" s="32" t="n">
        <v>0</v>
      </c>
      <c r="G978" s="32" t="s">
        <v>140</v>
      </c>
      <c r="H978" s="32" t="s">
        <v>21</v>
      </c>
      <c r="I978" s="32" t="s">
        <v>108</v>
      </c>
      <c r="J978" s="32" t="s">
        <v>71</v>
      </c>
      <c r="K978" s="32" t="s">
        <v>63</v>
      </c>
    </row>
    <row r="979" customFormat="false" ht="13.5" hidden="false" customHeight="true" outlineLevel="0" collapsed="false">
      <c r="A979" s="32" t="n">
        <v>2903</v>
      </c>
      <c r="B979" s="32" t="s">
        <v>923</v>
      </c>
      <c r="C979" s="32" t="s">
        <v>924</v>
      </c>
      <c r="D979" s="32" t="s">
        <v>59</v>
      </c>
      <c r="E979" s="32" t="s">
        <v>107</v>
      </c>
      <c r="F979" s="32" t="n">
        <v>0</v>
      </c>
      <c r="G979" s="32" t="s">
        <v>140</v>
      </c>
      <c r="H979" s="32" t="s">
        <v>21</v>
      </c>
      <c r="I979" s="32" t="s">
        <v>145</v>
      </c>
      <c r="J979" s="32" t="s">
        <v>117</v>
      </c>
      <c r="K979" s="32" t="s">
        <v>63</v>
      </c>
    </row>
    <row r="980" customFormat="false" ht="13.5" hidden="false" customHeight="true" outlineLevel="0" collapsed="false">
      <c r="A980" s="32" t="n">
        <v>2904</v>
      </c>
      <c r="B980" s="32" t="s">
        <v>925</v>
      </c>
      <c r="C980" s="32" t="s">
        <v>926</v>
      </c>
      <c r="D980" s="32" t="s">
        <v>114</v>
      </c>
      <c r="E980" s="32" t="s">
        <v>165</v>
      </c>
      <c r="F980" s="32" t="s">
        <v>927</v>
      </c>
      <c r="G980" s="32" t="s">
        <v>104</v>
      </c>
      <c r="H980" s="32" t="s">
        <v>22</v>
      </c>
      <c r="I980" s="32" t="s">
        <v>149</v>
      </c>
      <c r="J980" s="32" t="s">
        <v>73</v>
      </c>
      <c r="K980" s="32" t="s">
        <v>63</v>
      </c>
    </row>
    <row r="981" customFormat="false" ht="13.5" hidden="false" customHeight="true" outlineLevel="0" collapsed="false">
      <c r="A981" s="32" t="n">
        <v>2905</v>
      </c>
      <c r="B981" s="32" t="s">
        <v>925</v>
      </c>
      <c r="C981" s="32" t="s">
        <v>926</v>
      </c>
      <c r="D981" s="32" t="s">
        <v>114</v>
      </c>
      <c r="E981" s="32" t="s">
        <v>165</v>
      </c>
      <c r="F981" s="32" t="s">
        <v>927</v>
      </c>
      <c r="G981" s="32" t="s">
        <v>104</v>
      </c>
      <c r="H981" s="32" t="s">
        <v>22</v>
      </c>
      <c r="I981" s="32" t="s">
        <v>386</v>
      </c>
      <c r="J981" s="32" t="s">
        <v>132</v>
      </c>
      <c r="K981" s="32" t="s">
        <v>63</v>
      </c>
    </row>
    <row r="982" customFormat="false" ht="13.5" hidden="false" customHeight="true" outlineLevel="0" collapsed="false">
      <c r="A982" s="32" t="n">
        <v>2906</v>
      </c>
      <c r="B982" s="32" t="s">
        <v>925</v>
      </c>
      <c r="C982" s="32" t="s">
        <v>926</v>
      </c>
      <c r="D982" s="32" t="s">
        <v>114</v>
      </c>
      <c r="E982" s="32" t="s">
        <v>165</v>
      </c>
      <c r="F982" s="32" t="s">
        <v>927</v>
      </c>
      <c r="G982" s="32" t="s">
        <v>104</v>
      </c>
      <c r="H982" s="32" t="s">
        <v>22</v>
      </c>
      <c r="I982" s="32" t="s">
        <v>30</v>
      </c>
      <c r="J982" s="32" t="s">
        <v>203</v>
      </c>
      <c r="K982" s="32" t="s">
        <v>63</v>
      </c>
    </row>
    <row r="983" customFormat="false" ht="13.5" hidden="false" customHeight="true" outlineLevel="0" collapsed="false">
      <c r="A983" s="32" t="n">
        <v>2907</v>
      </c>
      <c r="B983" s="32" t="s">
        <v>925</v>
      </c>
      <c r="C983" s="32" t="s">
        <v>928</v>
      </c>
      <c r="D983" s="32" t="s">
        <v>114</v>
      </c>
      <c r="E983" s="32" t="s">
        <v>165</v>
      </c>
      <c r="F983" s="33" t="n">
        <v>919868000000</v>
      </c>
      <c r="G983" s="32" t="s">
        <v>104</v>
      </c>
      <c r="H983" s="32" t="s">
        <v>22</v>
      </c>
      <c r="I983" s="32" t="s">
        <v>27</v>
      </c>
      <c r="J983" s="32" t="s">
        <v>13</v>
      </c>
      <c r="K983" s="32" t="s">
        <v>63</v>
      </c>
    </row>
    <row r="984" customFormat="false" ht="13.5" hidden="false" customHeight="true" outlineLevel="0" collapsed="false">
      <c r="A984" s="32" t="n">
        <v>2908</v>
      </c>
      <c r="B984" s="32" t="s">
        <v>925</v>
      </c>
      <c r="C984" s="32" t="s">
        <v>928</v>
      </c>
      <c r="D984" s="32" t="s">
        <v>114</v>
      </c>
      <c r="E984" s="32" t="s">
        <v>165</v>
      </c>
      <c r="F984" s="33" t="n">
        <v>919868000000</v>
      </c>
      <c r="G984" s="32" t="s">
        <v>104</v>
      </c>
      <c r="H984" s="32" t="s">
        <v>22</v>
      </c>
      <c r="I984" s="32" t="s">
        <v>171</v>
      </c>
      <c r="J984" s="32" t="s">
        <v>152</v>
      </c>
      <c r="K984" s="32" t="s">
        <v>63</v>
      </c>
    </row>
    <row r="985" customFormat="false" ht="13.5" hidden="false" customHeight="true" outlineLevel="0" collapsed="false">
      <c r="A985" s="32" t="n">
        <v>2909</v>
      </c>
      <c r="B985" s="32" t="s">
        <v>925</v>
      </c>
      <c r="C985" s="32" t="s">
        <v>928</v>
      </c>
      <c r="D985" s="32" t="s">
        <v>114</v>
      </c>
      <c r="E985" s="32" t="s">
        <v>165</v>
      </c>
      <c r="F985" s="33" t="n">
        <v>919868000000</v>
      </c>
      <c r="G985" s="32" t="s">
        <v>104</v>
      </c>
      <c r="H985" s="32" t="s">
        <v>22</v>
      </c>
      <c r="I985" s="32" t="s">
        <v>93</v>
      </c>
      <c r="J985" s="32" t="s">
        <v>85</v>
      </c>
      <c r="K985" s="32" t="s">
        <v>63</v>
      </c>
    </row>
    <row r="986" customFormat="false" ht="13.5" hidden="false" customHeight="true" outlineLevel="0" collapsed="false">
      <c r="A986" s="32" t="n">
        <v>2910</v>
      </c>
      <c r="B986" s="32" t="s">
        <v>929</v>
      </c>
      <c r="C986" s="32" t="s">
        <v>930</v>
      </c>
      <c r="D986" s="32" t="s">
        <v>114</v>
      </c>
      <c r="E986" s="32" t="s">
        <v>165</v>
      </c>
      <c r="F986" s="32" t="n">
        <v>0</v>
      </c>
      <c r="G986" s="32" t="s">
        <v>61</v>
      </c>
      <c r="H986" s="32" t="s">
        <v>22</v>
      </c>
      <c r="I986" s="32" t="s">
        <v>245</v>
      </c>
      <c r="J986" s="32" t="s">
        <v>71</v>
      </c>
      <c r="K986" s="32" t="s">
        <v>63</v>
      </c>
    </row>
    <row r="987" customFormat="false" ht="13.5" hidden="false" customHeight="true" outlineLevel="0" collapsed="false">
      <c r="A987" s="32" t="n">
        <v>2911</v>
      </c>
      <c r="B987" s="32" t="s">
        <v>931</v>
      </c>
      <c r="C987" s="32" t="s">
        <v>932</v>
      </c>
      <c r="D987" s="32" t="s">
        <v>102</v>
      </c>
      <c r="E987" s="32" t="s">
        <v>155</v>
      </c>
      <c r="F987" s="33" t="n">
        <v>918661000000</v>
      </c>
      <c r="G987" s="32" t="s">
        <v>61</v>
      </c>
      <c r="H987" s="32" t="s">
        <v>21</v>
      </c>
      <c r="I987" s="32" t="s">
        <v>156</v>
      </c>
      <c r="J987" s="32" t="s">
        <v>62</v>
      </c>
      <c r="K987" s="32" t="s">
        <v>63</v>
      </c>
    </row>
    <row r="988" customFormat="false" ht="13.5" hidden="false" customHeight="true" outlineLevel="0" collapsed="false">
      <c r="A988" s="32" t="n">
        <v>2912</v>
      </c>
      <c r="B988" s="32" t="s">
        <v>931</v>
      </c>
      <c r="C988" s="32" t="s">
        <v>932</v>
      </c>
      <c r="D988" s="32" t="s">
        <v>102</v>
      </c>
      <c r="E988" s="32" t="s">
        <v>155</v>
      </c>
      <c r="F988" s="33" t="n">
        <v>918661000000</v>
      </c>
      <c r="G988" s="32" t="s">
        <v>61</v>
      </c>
      <c r="H988" s="32" t="s">
        <v>21</v>
      </c>
      <c r="I988" s="32" t="s">
        <v>29</v>
      </c>
      <c r="J988" s="32" t="s">
        <v>62</v>
      </c>
      <c r="K988" s="32" t="s">
        <v>63</v>
      </c>
    </row>
    <row r="989" customFormat="false" ht="13.5" hidden="false" customHeight="true" outlineLevel="0" collapsed="false">
      <c r="A989" s="32" t="n">
        <v>2913</v>
      </c>
      <c r="B989" s="32" t="s">
        <v>931</v>
      </c>
      <c r="C989" s="32" t="s">
        <v>932</v>
      </c>
      <c r="D989" s="32" t="s">
        <v>102</v>
      </c>
      <c r="E989" s="32" t="s">
        <v>155</v>
      </c>
      <c r="F989" s="33" t="n">
        <v>918661000000</v>
      </c>
      <c r="G989" s="32" t="s">
        <v>61</v>
      </c>
      <c r="H989" s="32" t="s">
        <v>21</v>
      </c>
      <c r="I989" s="32" t="s">
        <v>14</v>
      </c>
      <c r="J989" s="32" t="s">
        <v>66</v>
      </c>
      <c r="K989" s="32" t="s">
        <v>63</v>
      </c>
    </row>
    <row r="990" customFormat="false" ht="13.5" hidden="false" customHeight="true" outlineLevel="0" collapsed="false">
      <c r="A990" s="32" t="n">
        <v>2914</v>
      </c>
      <c r="B990" s="32" t="s">
        <v>931</v>
      </c>
      <c r="C990" s="32" t="s">
        <v>932</v>
      </c>
      <c r="D990" s="32" t="s">
        <v>102</v>
      </c>
      <c r="E990" s="32" t="s">
        <v>155</v>
      </c>
      <c r="F990" s="32" t="n">
        <v>8660527870</v>
      </c>
      <c r="G990" s="32" t="s">
        <v>61</v>
      </c>
      <c r="H990" s="32" t="s">
        <v>21</v>
      </c>
      <c r="I990" s="32" t="s">
        <v>166</v>
      </c>
      <c r="J990" s="32" t="s">
        <v>66</v>
      </c>
      <c r="K990" s="32" t="s">
        <v>63</v>
      </c>
    </row>
    <row r="991" customFormat="false" ht="13.5" hidden="false" customHeight="true" outlineLevel="0" collapsed="false">
      <c r="A991" s="32" t="n">
        <v>2915</v>
      </c>
      <c r="B991" s="32" t="s">
        <v>933</v>
      </c>
      <c r="C991" s="32" t="s">
        <v>934</v>
      </c>
      <c r="D991" s="32" t="s">
        <v>59</v>
      </c>
      <c r="E991" s="32" t="s">
        <v>143</v>
      </c>
      <c r="F991" s="32" t="n">
        <v>7760067270</v>
      </c>
      <c r="G991" s="32" t="s">
        <v>61</v>
      </c>
      <c r="H991" s="32" t="s">
        <v>21</v>
      </c>
      <c r="I991" s="32" t="s">
        <v>516</v>
      </c>
      <c r="J991" s="32" t="s">
        <v>66</v>
      </c>
      <c r="K991" s="32" t="s">
        <v>63</v>
      </c>
    </row>
    <row r="992" customFormat="false" ht="13.5" hidden="false" customHeight="true" outlineLevel="0" collapsed="false">
      <c r="A992" s="32" t="n">
        <v>2916</v>
      </c>
      <c r="B992" s="32" t="s">
        <v>933</v>
      </c>
      <c r="C992" s="32" t="s">
        <v>934</v>
      </c>
      <c r="D992" s="32" t="s">
        <v>59</v>
      </c>
      <c r="E992" s="32" t="s">
        <v>143</v>
      </c>
      <c r="F992" s="32" t="n">
        <v>7760067270</v>
      </c>
      <c r="G992" s="32" t="s">
        <v>61</v>
      </c>
      <c r="H992" s="32" t="s">
        <v>21</v>
      </c>
      <c r="I992" s="32" t="s">
        <v>421</v>
      </c>
      <c r="J992" s="32" t="s">
        <v>235</v>
      </c>
      <c r="K992" s="32" t="s">
        <v>63</v>
      </c>
    </row>
    <row r="993" customFormat="false" ht="13.5" hidden="false" customHeight="true" outlineLevel="0" collapsed="false">
      <c r="A993" s="32" t="n">
        <v>2918</v>
      </c>
      <c r="B993" s="32" t="s">
        <v>933</v>
      </c>
      <c r="C993" s="32" t="s">
        <v>934</v>
      </c>
      <c r="D993" s="32" t="s">
        <v>59</v>
      </c>
      <c r="E993" s="32" t="s">
        <v>143</v>
      </c>
      <c r="F993" s="32" t="n">
        <v>7760067270</v>
      </c>
      <c r="G993" s="32" t="s">
        <v>61</v>
      </c>
      <c r="H993" s="32" t="s">
        <v>21</v>
      </c>
      <c r="I993" s="32" t="s">
        <v>333</v>
      </c>
      <c r="J993" s="32" t="s">
        <v>235</v>
      </c>
      <c r="K993" s="32" t="s">
        <v>63</v>
      </c>
    </row>
    <row r="994" customFormat="false" ht="13.5" hidden="false" customHeight="true" outlineLevel="0" collapsed="false">
      <c r="A994" s="32" t="n">
        <v>2919</v>
      </c>
      <c r="B994" s="32" t="s">
        <v>935</v>
      </c>
      <c r="C994" s="32" t="s">
        <v>936</v>
      </c>
      <c r="D994" s="32" t="s">
        <v>59</v>
      </c>
      <c r="E994" s="32" t="s">
        <v>60</v>
      </c>
      <c r="F994" s="33" t="n">
        <v>919817000000</v>
      </c>
      <c r="G994" s="32" t="s">
        <v>144</v>
      </c>
      <c r="H994" s="32" t="s">
        <v>21</v>
      </c>
      <c r="I994" s="32" t="s">
        <v>14</v>
      </c>
      <c r="J994" s="32" t="s">
        <v>66</v>
      </c>
      <c r="K994" s="32" t="s">
        <v>63</v>
      </c>
    </row>
    <row r="995" customFormat="false" ht="13.5" hidden="false" customHeight="true" outlineLevel="0" collapsed="false">
      <c r="A995" s="32" t="n">
        <v>2920</v>
      </c>
      <c r="B995" s="32" t="s">
        <v>935</v>
      </c>
      <c r="C995" s="32" t="s">
        <v>936</v>
      </c>
      <c r="D995" s="32" t="s">
        <v>59</v>
      </c>
      <c r="E995" s="32" t="s">
        <v>60</v>
      </c>
      <c r="F995" s="33" t="n">
        <v>919817000000</v>
      </c>
      <c r="G995" s="32" t="s">
        <v>144</v>
      </c>
      <c r="H995" s="32" t="s">
        <v>21</v>
      </c>
      <c r="I995" s="32" t="s">
        <v>463</v>
      </c>
      <c r="J995" s="32" t="s">
        <v>66</v>
      </c>
      <c r="K995" s="32" t="s">
        <v>63</v>
      </c>
    </row>
    <row r="996" customFormat="false" ht="13.5" hidden="false" customHeight="true" outlineLevel="0" collapsed="false">
      <c r="A996" s="32" t="n">
        <v>2921</v>
      </c>
      <c r="B996" s="32" t="s">
        <v>935</v>
      </c>
      <c r="C996" s="32" t="s">
        <v>937</v>
      </c>
      <c r="D996" s="32" t="s">
        <v>59</v>
      </c>
      <c r="E996" s="32" t="s">
        <v>60</v>
      </c>
      <c r="F996" s="33" t="n">
        <v>919817000000</v>
      </c>
      <c r="G996" s="32" t="s">
        <v>144</v>
      </c>
      <c r="H996" s="32" t="s">
        <v>21</v>
      </c>
      <c r="I996" s="32" t="s">
        <v>156</v>
      </c>
      <c r="J996" s="32" t="s">
        <v>62</v>
      </c>
      <c r="K996" s="32" t="s">
        <v>63</v>
      </c>
    </row>
    <row r="997" customFormat="false" ht="13.5" hidden="false" customHeight="true" outlineLevel="0" collapsed="false">
      <c r="A997" s="32" t="n">
        <v>2922</v>
      </c>
      <c r="B997" s="32" t="s">
        <v>935</v>
      </c>
      <c r="C997" s="32" t="s">
        <v>937</v>
      </c>
      <c r="D997" s="32" t="s">
        <v>59</v>
      </c>
      <c r="E997" s="32" t="s">
        <v>60</v>
      </c>
      <c r="F997" s="33" t="n">
        <v>919817000000</v>
      </c>
      <c r="G997" s="32" t="s">
        <v>144</v>
      </c>
      <c r="H997" s="32" t="s">
        <v>21</v>
      </c>
      <c r="I997" s="32" t="s">
        <v>29</v>
      </c>
      <c r="J997" s="32" t="s">
        <v>62</v>
      </c>
      <c r="K997" s="32" t="s">
        <v>63</v>
      </c>
    </row>
    <row r="998" customFormat="false" ht="13.5" hidden="false" customHeight="true" outlineLevel="0" collapsed="false">
      <c r="A998" s="32" t="n">
        <v>2923</v>
      </c>
      <c r="B998" s="32" t="s">
        <v>938</v>
      </c>
      <c r="C998" s="32" t="s">
        <v>939</v>
      </c>
      <c r="D998" s="32" t="s">
        <v>114</v>
      </c>
      <c r="E998" s="32" t="s">
        <v>268</v>
      </c>
      <c r="F998" s="32" t="n">
        <v>0</v>
      </c>
      <c r="G998" s="32" t="s">
        <v>61</v>
      </c>
      <c r="H998" s="32" t="s">
        <v>22</v>
      </c>
      <c r="I998" s="32" t="s">
        <v>940</v>
      </c>
      <c r="J998" s="32" t="s">
        <v>235</v>
      </c>
      <c r="K998" s="32" t="s">
        <v>63</v>
      </c>
    </row>
    <row r="999" customFormat="false" ht="13.5" hidden="false" customHeight="true" outlineLevel="0" collapsed="false">
      <c r="A999" s="32" t="n">
        <v>2926</v>
      </c>
      <c r="B999" s="32" t="s">
        <v>938</v>
      </c>
      <c r="C999" s="32" t="s">
        <v>939</v>
      </c>
      <c r="D999" s="32" t="s">
        <v>114</v>
      </c>
      <c r="E999" s="32" t="s">
        <v>268</v>
      </c>
      <c r="F999" s="32" t="n">
        <v>0</v>
      </c>
      <c r="G999" s="32" t="s">
        <v>61</v>
      </c>
      <c r="H999" s="32" t="s">
        <v>22</v>
      </c>
      <c r="I999" s="32" t="s">
        <v>146</v>
      </c>
      <c r="J999" s="32" t="s">
        <v>117</v>
      </c>
      <c r="K999" s="32" t="s">
        <v>63</v>
      </c>
    </row>
    <row r="1000" customFormat="false" ht="13.5" hidden="false" customHeight="true" outlineLevel="0" collapsed="false">
      <c r="A1000" s="32" t="n">
        <v>2932</v>
      </c>
      <c r="B1000" s="32" t="s">
        <v>938</v>
      </c>
      <c r="C1000" s="32" t="s">
        <v>939</v>
      </c>
      <c r="D1000" s="32" t="s">
        <v>114</v>
      </c>
      <c r="E1000" s="32" t="s">
        <v>268</v>
      </c>
      <c r="F1000" s="32" t="n">
        <v>0</v>
      </c>
      <c r="G1000" s="32" t="s">
        <v>61</v>
      </c>
      <c r="H1000" s="32" t="s">
        <v>22</v>
      </c>
      <c r="I1000" s="32" t="s">
        <v>93</v>
      </c>
      <c r="J1000" s="32" t="s">
        <v>85</v>
      </c>
      <c r="K1000" s="32" t="s">
        <v>63</v>
      </c>
    </row>
    <row r="1001" customFormat="false" ht="13.5" hidden="false" customHeight="true" outlineLevel="0" collapsed="false">
      <c r="A1001" s="32" t="n">
        <v>2933</v>
      </c>
      <c r="B1001" s="32" t="s">
        <v>941</v>
      </c>
      <c r="C1001" s="32" t="s">
        <v>942</v>
      </c>
      <c r="D1001" s="32" t="s">
        <v>102</v>
      </c>
      <c r="E1001" s="32" t="s">
        <v>103</v>
      </c>
      <c r="F1001" s="33" t="n">
        <v>918397000000</v>
      </c>
      <c r="G1001" s="32" t="s">
        <v>144</v>
      </c>
      <c r="H1001" s="32" t="s">
        <v>21</v>
      </c>
      <c r="I1001" s="32" t="s">
        <v>76</v>
      </c>
      <c r="J1001" s="32" t="s">
        <v>76</v>
      </c>
      <c r="K1001" s="32" t="s">
        <v>63</v>
      </c>
    </row>
    <row r="1002" customFormat="false" ht="13.5" hidden="false" customHeight="true" outlineLevel="0" collapsed="false">
      <c r="A1002" s="32" t="n">
        <v>2934</v>
      </c>
      <c r="B1002" s="32" t="s">
        <v>941</v>
      </c>
      <c r="C1002" s="32" t="s">
        <v>942</v>
      </c>
      <c r="D1002" s="32" t="s">
        <v>102</v>
      </c>
      <c r="E1002" s="32" t="s">
        <v>103</v>
      </c>
      <c r="F1002" s="32" t="n">
        <v>8396837254</v>
      </c>
      <c r="G1002" s="32" t="s">
        <v>144</v>
      </c>
      <c r="H1002" s="32" t="s">
        <v>21</v>
      </c>
      <c r="I1002" s="32" t="s">
        <v>16</v>
      </c>
      <c r="J1002" s="32" t="s">
        <v>73</v>
      </c>
      <c r="K1002" s="32" t="s">
        <v>63</v>
      </c>
    </row>
    <row r="1003" customFormat="false" ht="13.5" hidden="false" customHeight="true" outlineLevel="0" collapsed="false">
      <c r="A1003" s="32" t="n">
        <v>2935</v>
      </c>
      <c r="B1003" s="32" t="s">
        <v>943</v>
      </c>
      <c r="C1003" s="32" t="s">
        <v>944</v>
      </c>
      <c r="D1003" s="32" t="s">
        <v>59</v>
      </c>
      <c r="E1003" s="32" t="s">
        <v>107</v>
      </c>
      <c r="F1003" s="33" t="n">
        <v>918893000000</v>
      </c>
      <c r="G1003" s="32" t="s">
        <v>61</v>
      </c>
      <c r="H1003" s="32" t="s">
        <v>21</v>
      </c>
      <c r="I1003" s="32" t="s">
        <v>108</v>
      </c>
      <c r="J1003" s="32" t="s">
        <v>71</v>
      </c>
      <c r="K1003" s="32" t="s">
        <v>63</v>
      </c>
    </row>
    <row r="1004" customFormat="false" ht="13.5" hidden="false" customHeight="true" outlineLevel="0" collapsed="false">
      <c r="A1004" s="32" t="n">
        <v>2936</v>
      </c>
      <c r="B1004" s="32" t="s">
        <v>943</v>
      </c>
      <c r="C1004" s="32" t="s">
        <v>944</v>
      </c>
      <c r="D1004" s="32" t="s">
        <v>59</v>
      </c>
      <c r="E1004" s="32" t="s">
        <v>107</v>
      </c>
      <c r="F1004" s="33" t="n">
        <v>918893000000</v>
      </c>
      <c r="G1004" s="32" t="s">
        <v>61</v>
      </c>
      <c r="H1004" s="32" t="s">
        <v>21</v>
      </c>
      <c r="I1004" s="32" t="s">
        <v>393</v>
      </c>
      <c r="J1004" s="32" t="s">
        <v>73</v>
      </c>
      <c r="K1004" s="32" t="s">
        <v>63</v>
      </c>
    </row>
    <row r="1005" customFormat="false" ht="13.5" hidden="false" customHeight="true" outlineLevel="0" collapsed="false">
      <c r="A1005" s="32" t="n">
        <v>2937</v>
      </c>
      <c r="B1005" s="32" t="s">
        <v>943</v>
      </c>
      <c r="C1005" s="32" t="s">
        <v>944</v>
      </c>
      <c r="D1005" s="32" t="s">
        <v>59</v>
      </c>
      <c r="E1005" s="32" t="s">
        <v>107</v>
      </c>
      <c r="F1005" s="33" t="n">
        <v>918893000000</v>
      </c>
      <c r="G1005" s="32" t="s">
        <v>61</v>
      </c>
      <c r="H1005" s="32" t="s">
        <v>21</v>
      </c>
      <c r="I1005" s="32" t="s">
        <v>111</v>
      </c>
      <c r="J1005" s="32" t="s">
        <v>73</v>
      </c>
      <c r="K1005" s="32" t="s">
        <v>63</v>
      </c>
    </row>
    <row r="1006" customFormat="false" ht="13.5" hidden="false" customHeight="true" outlineLevel="0" collapsed="false">
      <c r="A1006" s="32" t="n">
        <v>2938</v>
      </c>
      <c r="B1006" s="32" t="s">
        <v>945</v>
      </c>
      <c r="C1006" s="32" t="s">
        <v>946</v>
      </c>
      <c r="D1006" s="32" t="s">
        <v>59</v>
      </c>
      <c r="E1006" s="32" t="n">
        <v>0</v>
      </c>
      <c r="F1006" s="32" t="n">
        <v>9004851088</v>
      </c>
      <c r="G1006" s="32" t="s">
        <v>69</v>
      </c>
      <c r="H1006" s="32" t="s">
        <v>21</v>
      </c>
      <c r="I1006" s="32" t="s">
        <v>133</v>
      </c>
      <c r="J1006" s="32" t="s">
        <v>134</v>
      </c>
      <c r="K1006" s="32" t="s">
        <v>63</v>
      </c>
    </row>
    <row r="1007" customFormat="false" ht="13.5" hidden="false" customHeight="true" outlineLevel="0" collapsed="false">
      <c r="A1007" s="32" t="n">
        <v>2939</v>
      </c>
      <c r="B1007" s="32" t="s">
        <v>945</v>
      </c>
      <c r="C1007" s="32" t="s">
        <v>947</v>
      </c>
      <c r="D1007" s="32" t="s">
        <v>59</v>
      </c>
      <c r="E1007" s="32" t="n">
        <v>0</v>
      </c>
      <c r="F1007" s="32" t="n">
        <v>9004851088</v>
      </c>
      <c r="G1007" s="32" t="s">
        <v>69</v>
      </c>
      <c r="H1007" s="32" t="s">
        <v>21</v>
      </c>
      <c r="I1007" s="32" t="s">
        <v>121</v>
      </c>
      <c r="J1007" s="32" t="s">
        <v>110</v>
      </c>
      <c r="K1007" s="32" t="s">
        <v>63</v>
      </c>
    </row>
    <row r="1008" customFormat="false" ht="13.5" hidden="false" customHeight="true" outlineLevel="0" collapsed="false">
      <c r="A1008" s="32" t="n">
        <v>2940</v>
      </c>
      <c r="B1008" s="32" t="s">
        <v>945</v>
      </c>
      <c r="C1008" s="32" t="s">
        <v>947</v>
      </c>
      <c r="D1008" s="32" t="s">
        <v>59</v>
      </c>
      <c r="E1008" s="32" t="n">
        <v>0</v>
      </c>
      <c r="F1008" s="32" t="n">
        <v>9004851088</v>
      </c>
      <c r="G1008" s="32" t="s">
        <v>69</v>
      </c>
      <c r="H1008" s="32" t="s">
        <v>21</v>
      </c>
      <c r="I1008" s="32" t="s">
        <v>314</v>
      </c>
      <c r="J1008" s="32" t="s">
        <v>134</v>
      </c>
      <c r="K1008" s="32" t="s">
        <v>63</v>
      </c>
    </row>
    <row r="1009" customFormat="false" ht="13.5" hidden="false" customHeight="true" outlineLevel="0" collapsed="false">
      <c r="A1009" s="32" t="n">
        <v>2941</v>
      </c>
      <c r="B1009" s="32" t="s">
        <v>948</v>
      </c>
      <c r="C1009" s="32" t="s">
        <v>949</v>
      </c>
      <c r="D1009" s="32" t="s">
        <v>59</v>
      </c>
      <c r="E1009" s="32" t="s">
        <v>107</v>
      </c>
      <c r="F1009" s="32" t="n">
        <v>9502516922</v>
      </c>
      <c r="G1009" s="32" t="s">
        <v>61</v>
      </c>
      <c r="H1009" s="32" t="s">
        <v>21</v>
      </c>
      <c r="I1009" s="32" t="s">
        <v>690</v>
      </c>
      <c r="J1009" s="32" t="s">
        <v>117</v>
      </c>
      <c r="K1009" s="32" t="s">
        <v>63</v>
      </c>
    </row>
    <row r="1010" customFormat="false" ht="13.5" hidden="false" customHeight="true" outlineLevel="0" collapsed="false">
      <c r="A1010" s="32" t="n">
        <v>2942</v>
      </c>
      <c r="B1010" s="32" t="s">
        <v>950</v>
      </c>
      <c r="C1010" s="32" t="s">
        <v>951</v>
      </c>
      <c r="D1010" s="32" t="s">
        <v>114</v>
      </c>
      <c r="E1010" s="32" t="s">
        <v>165</v>
      </c>
      <c r="F1010" s="32" t="n">
        <v>8983480063</v>
      </c>
      <c r="G1010" s="32" t="s">
        <v>104</v>
      </c>
      <c r="H1010" s="32" t="s">
        <v>22</v>
      </c>
      <c r="I1010" s="32" t="s">
        <v>108</v>
      </c>
      <c r="J1010" s="32" t="s">
        <v>71</v>
      </c>
      <c r="K1010" s="32" t="s">
        <v>63</v>
      </c>
    </row>
    <row r="1011" customFormat="false" ht="13.5" hidden="false" customHeight="true" outlineLevel="0" collapsed="false">
      <c r="A1011" s="32" t="n">
        <v>2944</v>
      </c>
      <c r="B1011" s="32" t="s">
        <v>950</v>
      </c>
      <c r="C1011" s="32" t="s">
        <v>951</v>
      </c>
      <c r="D1011" s="32" t="s">
        <v>114</v>
      </c>
      <c r="E1011" s="32" t="s">
        <v>165</v>
      </c>
      <c r="F1011" s="32" t="n">
        <v>8983480063</v>
      </c>
      <c r="G1011" s="32" t="s">
        <v>104</v>
      </c>
      <c r="H1011" s="32" t="s">
        <v>22</v>
      </c>
      <c r="I1011" s="32" t="s">
        <v>128</v>
      </c>
      <c r="J1011" s="32" t="s">
        <v>89</v>
      </c>
      <c r="K1011" s="32" t="s">
        <v>63</v>
      </c>
    </row>
    <row r="1012" customFormat="false" ht="13.5" hidden="false" customHeight="true" outlineLevel="0" collapsed="false">
      <c r="A1012" s="32" t="n">
        <v>2945</v>
      </c>
      <c r="B1012" s="32" t="s">
        <v>950</v>
      </c>
      <c r="C1012" s="32" t="s">
        <v>951</v>
      </c>
      <c r="D1012" s="32" t="s">
        <v>114</v>
      </c>
      <c r="E1012" s="32" t="s">
        <v>165</v>
      </c>
      <c r="F1012" s="32" t="n">
        <v>8983480063</v>
      </c>
      <c r="G1012" s="32" t="s">
        <v>104</v>
      </c>
      <c r="H1012" s="32" t="s">
        <v>22</v>
      </c>
      <c r="I1012" s="32" t="s">
        <v>16</v>
      </c>
      <c r="J1012" s="32" t="s">
        <v>73</v>
      </c>
      <c r="K1012" s="32" t="s">
        <v>63</v>
      </c>
    </row>
    <row r="1013" customFormat="false" ht="13.5" hidden="false" customHeight="true" outlineLevel="0" collapsed="false">
      <c r="A1013" s="32" t="n">
        <v>2946</v>
      </c>
      <c r="B1013" s="32" t="s">
        <v>950</v>
      </c>
      <c r="C1013" s="32" t="s">
        <v>951</v>
      </c>
      <c r="D1013" s="32" t="s">
        <v>114</v>
      </c>
      <c r="E1013" s="32" t="s">
        <v>165</v>
      </c>
      <c r="F1013" s="32" t="n">
        <v>8983480063</v>
      </c>
      <c r="G1013" s="32" t="s">
        <v>104</v>
      </c>
      <c r="H1013" s="32" t="s">
        <v>22</v>
      </c>
      <c r="I1013" s="32" t="s">
        <v>76</v>
      </c>
      <c r="J1013" s="32" t="s">
        <v>76</v>
      </c>
      <c r="K1013" s="32" t="s">
        <v>63</v>
      </c>
    </row>
    <row r="1014" customFormat="false" ht="13.5" hidden="false" customHeight="true" outlineLevel="0" collapsed="false">
      <c r="A1014" s="32" t="n">
        <v>2947</v>
      </c>
      <c r="B1014" s="32" t="s">
        <v>952</v>
      </c>
      <c r="C1014" s="32" t="s">
        <v>953</v>
      </c>
      <c r="D1014" s="32" t="s">
        <v>114</v>
      </c>
      <c r="E1014" s="32" t="s">
        <v>268</v>
      </c>
      <c r="F1014" s="32" t="n">
        <v>9740433436</v>
      </c>
      <c r="G1014" s="32" t="s">
        <v>61</v>
      </c>
      <c r="H1014" s="32" t="s">
        <v>22</v>
      </c>
      <c r="I1014" s="32" t="s">
        <v>28</v>
      </c>
      <c r="J1014" s="32" t="s">
        <v>82</v>
      </c>
      <c r="K1014" s="32" t="s">
        <v>63</v>
      </c>
    </row>
    <row r="1015" customFormat="false" ht="13.5" hidden="false" customHeight="true" outlineLevel="0" collapsed="false">
      <c r="A1015" s="32" t="n">
        <v>2948</v>
      </c>
      <c r="B1015" s="32" t="s">
        <v>952</v>
      </c>
      <c r="C1015" s="32" t="s">
        <v>954</v>
      </c>
      <c r="D1015" s="32" t="s">
        <v>114</v>
      </c>
      <c r="E1015" s="32" t="s">
        <v>268</v>
      </c>
      <c r="F1015" s="32" t="n">
        <v>9740433436</v>
      </c>
      <c r="G1015" s="32" t="s">
        <v>61</v>
      </c>
      <c r="H1015" s="32" t="s">
        <v>22</v>
      </c>
      <c r="I1015" s="32" t="s">
        <v>81</v>
      </c>
      <c r="J1015" s="32" t="s">
        <v>82</v>
      </c>
      <c r="K1015" s="32" t="s">
        <v>63</v>
      </c>
    </row>
    <row r="1016" customFormat="false" ht="13.5" hidden="false" customHeight="true" outlineLevel="0" collapsed="false">
      <c r="A1016" s="32" t="n">
        <v>2949</v>
      </c>
      <c r="B1016" s="32" t="s">
        <v>952</v>
      </c>
      <c r="C1016" s="32" t="s">
        <v>954</v>
      </c>
      <c r="D1016" s="32" t="s">
        <v>114</v>
      </c>
      <c r="E1016" s="32" t="s">
        <v>268</v>
      </c>
      <c r="F1016" s="32" t="n">
        <v>9740433436</v>
      </c>
      <c r="G1016" s="32" t="s">
        <v>61</v>
      </c>
      <c r="H1016" s="32" t="s">
        <v>22</v>
      </c>
      <c r="I1016" s="32" t="s">
        <v>156</v>
      </c>
      <c r="J1016" s="32" t="s">
        <v>62</v>
      </c>
      <c r="K1016" s="32" t="s">
        <v>63</v>
      </c>
    </row>
    <row r="1017" customFormat="false" ht="13.5" hidden="false" customHeight="true" outlineLevel="0" collapsed="false">
      <c r="A1017" s="32" t="n">
        <v>2950</v>
      </c>
      <c r="B1017" s="32" t="s">
        <v>952</v>
      </c>
      <c r="C1017" s="32" t="s">
        <v>954</v>
      </c>
      <c r="D1017" s="32" t="s">
        <v>114</v>
      </c>
      <c r="E1017" s="32" t="s">
        <v>268</v>
      </c>
      <c r="F1017" s="32" t="n">
        <v>9740433436</v>
      </c>
      <c r="G1017" s="32" t="s">
        <v>61</v>
      </c>
      <c r="H1017" s="32" t="s">
        <v>22</v>
      </c>
      <c r="I1017" s="32" t="s">
        <v>166</v>
      </c>
      <c r="J1017" s="32" t="s">
        <v>66</v>
      </c>
      <c r="K1017" s="32" t="s">
        <v>63</v>
      </c>
    </row>
    <row r="1018" customFormat="false" ht="13.5" hidden="false" customHeight="true" outlineLevel="0" collapsed="false">
      <c r="A1018" s="32" t="n">
        <v>2951</v>
      </c>
      <c r="B1018" s="32" t="s">
        <v>952</v>
      </c>
      <c r="C1018" s="32" t="s">
        <v>955</v>
      </c>
      <c r="D1018" s="32" t="s">
        <v>114</v>
      </c>
      <c r="E1018" s="32" t="s">
        <v>268</v>
      </c>
      <c r="F1018" s="32" t="n">
        <v>9740433436</v>
      </c>
      <c r="G1018" s="32" t="s">
        <v>61</v>
      </c>
      <c r="H1018" s="32" t="s">
        <v>22</v>
      </c>
      <c r="I1018" s="32" t="s">
        <v>29</v>
      </c>
      <c r="J1018" s="32" t="s">
        <v>62</v>
      </c>
      <c r="K1018" s="32" t="s">
        <v>63</v>
      </c>
    </row>
    <row r="1019" customFormat="false" ht="13.5" hidden="false" customHeight="true" outlineLevel="0" collapsed="false">
      <c r="A1019" s="32" t="n">
        <v>2952</v>
      </c>
      <c r="B1019" s="32" t="s">
        <v>952</v>
      </c>
      <c r="C1019" s="32" t="s">
        <v>955</v>
      </c>
      <c r="D1019" s="32" t="s">
        <v>114</v>
      </c>
      <c r="E1019" s="32" t="s">
        <v>268</v>
      </c>
      <c r="F1019" s="32" t="n">
        <v>9740433436</v>
      </c>
      <c r="G1019" s="32" t="s">
        <v>61</v>
      </c>
      <c r="H1019" s="32" t="s">
        <v>22</v>
      </c>
      <c r="I1019" s="32" t="s">
        <v>14</v>
      </c>
      <c r="J1019" s="32" t="s">
        <v>66</v>
      </c>
      <c r="K1019" s="32" t="s">
        <v>63</v>
      </c>
    </row>
    <row r="1020" customFormat="false" ht="13.5" hidden="false" customHeight="true" outlineLevel="0" collapsed="false">
      <c r="A1020" s="32" t="n">
        <v>2953</v>
      </c>
      <c r="B1020" s="32" t="s">
        <v>952</v>
      </c>
      <c r="C1020" s="32" t="s">
        <v>955</v>
      </c>
      <c r="D1020" s="32" t="s">
        <v>114</v>
      </c>
      <c r="E1020" s="32" t="s">
        <v>268</v>
      </c>
      <c r="F1020" s="32" t="n">
        <v>9740433436</v>
      </c>
      <c r="G1020" s="32" t="s">
        <v>61</v>
      </c>
      <c r="H1020" s="32" t="s">
        <v>22</v>
      </c>
      <c r="I1020" s="32" t="s">
        <v>956</v>
      </c>
      <c r="J1020" s="32" t="s">
        <v>62</v>
      </c>
      <c r="K1020" s="32" t="s">
        <v>63</v>
      </c>
    </row>
    <row r="1021" customFormat="false" ht="13.5" hidden="false" customHeight="true" outlineLevel="0" collapsed="false">
      <c r="A1021" s="32" t="n">
        <v>2954</v>
      </c>
      <c r="B1021" s="32" t="s">
        <v>957</v>
      </c>
      <c r="C1021" s="32" t="s">
        <v>958</v>
      </c>
      <c r="D1021" s="32" t="s">
        <v>331</v>
      </c>
      <c r="E1021" s="32" t="n">
        <v>0</v>
      </c>
      <c r="F1021" s="32" t="n">
        <v>0</v>
      </c>
      <c r="G1021" s="32" t="s">
        <v>104</v>
      </c>
      <c r="H1021" s="32" t="s">
        <v>332</v>
      </c>
      <c r="I1021" s="32" t="s">
        <v>149</v>
      </c>
      <c r="J1021" s="32" t="s">
        <v>73</v>
      </c>
      <c r="K1021" s="32" t="s">
        <v>63</v>
      </c>
    </row>
    <row r="1022" customFormat="false" ht="13.5" hidden="false" customHeight="true" outlineLevel="0" collapsed="false">
      <c r="A1022" s="32" t="n">
        <v>2955</v>
      </c>
      <c r="B1022" s="32" t="s">
        <v>957</v>
      </c>
      <c r="C1022" s="32" t="s">
        <v>958</v>
      </c>
      <c r="D1022" s="32" t="s">
        <v>331</v>
      </c>
      <c r="E1022" s="32" t="n">
        <v>0</v>
      </c>
      <c r="F1022" s="32" t="n">
        <v>0</v>
      </c>
      <c r="G1022" s="32" t="s">
        <v>104</v>
      </c>
      <c r="H1022" s="32" t="s">
        <v>332</v>
      </c>
      <c r="I1022" s="32" t="s">
        <v>145</v>
      </c>
      <c r="J1022" s="32" t="s">
        <v>117</v>
      </c>
      <c r="K1022" s="32" t="s">
        <v>63</v>
      </c>
    </row>
    <row r="1023" customFormat="false" ht="13.5" hidden="false" customHeight="true" outlineLevel="0" collapsed="false">
      <c r="A1023" s="32" t="n">
        <v>2956</v>
      </c>
      <c r="B1023" s="32" t="s">
        <v>957</v>
      </c>
      <c r="C1023" s="32" t="s">
        <v>958</v>
      </c>
      <c r="D1023" s="32" t="s">
        <v>331</v>
      </c>
      <c r="E1023" s="32" t="n">
        <v>0</v>
      </c>
      <c r="F1023" s="32" t="n">
        <v>0</v>
      </c>
      <c r="G1023" s="32" t="s">
        <v>104</v>
      </c>
      <c r="H1023" s="32" t="s">
        <v>332</v>
      </c>
      <c r="I1023" s="32" t="s">
        <v>116</v>
      </c>
      <c r="J1023" s="32" t="s">
        <v>117</v>
      </c>
      <c r="K1023" s="32" t="s">
        <v>63</v>
      </c>
    </row>
    <row r="1024" customFormat="false" ht="13.5" hidden="false" customHeight="true" outlineLevel="0" collapsed="false">
      <c r="A1024" s="32" t="n">
        <v>2957</v>
      </c>
      <c r="B1024" s="32" t="s">
        <v>957</v>
      </c>
      <c r="C1024" s="32" t="s">
        <v>958</v>
      </c>
      <c r="D1024" s="32" t="s">
        <v>331</v>
      </c>
      <c r="E1024" s="32" t="n">
        <v>0</v>
      </c>
      <c r="F1024" s="32" t="n">
        <v>0</v>
      </c>
      <c r="G1024" s="32" t="s">
        <v>104</v>
      </c>
      <c r="H1024" s="32" t="s">
        <v>332</v>
      </c>
      <c r="I1024" s="32" t="s">
        <v>108</v>
      </c>
      <c r="J1024" s="32" t="s">
        <v>71</v>
      </c>
      <c r="K1024" s="32" t="s">
        <v>63</v>
      </c>
    </row>
    <row r="1025" customFormat="false" ht="13.5" hidden="false" customHeight="true" outlineLevel="0" collapsed="false">
      <c r="A1025" s="32" t="n">
        <v>2958</v>
      </c>
      <c r="B1025" s="32" t="s">
        <v>959</v>
      </c>
      <c r="C1025" s="32" t="s">
        <v>960</v>
      </c>
      <c r="D1025" s="32" t="s">
        <v>59</v>
      </c>
      <c r="E1025" s="32" t="s">
        <v>143</v>
      </c>
      <c r="F1025" s="33" t="n">
        <v>918240000000</v>
      </c>
      <c r="G1025" s="32" t="s">
        <v>144</v>
      </c>
      <c r="H1025" s="32" t="s">
        <v>21</v>
      </c>
      <c r="I1025" s="32" t="s">
        <v>30</v>
      </c>
      <c r="J1025" s="32" t="s">
        <v>203</v>
      </c>
      <c r="K1025" s="32" t="s">
        <v>63</v>
      </c>
    </row>
    <row r="1026" customFormat="false" ht="13.5" hidden="false" customHeight="true" outlineLevel="0" collapsed="false">
      <c r="A1026" s="32" t="n">
        <v>2959</v>
      </c>
      <c r="B1026" s="32" t="s">
        <v>961</v>
      </c>
      <c r="C1026" s="32" t="s">
        <v>962</v>
      </c>
      <c r="D1026" s="32" t="s">
        <v>59</v>
      </c>
      <c r="E1026" s="32" t="s">
        <v>107</v>
      </c>
      <c r="F1026" s="32" t="n">
        <v>9880421932</v>
      </c>
      <c r="G1026" s="32" t="s">
        <v>61</v>
      </c>
      <c r="H1026" s="32" t="s">
        <v>21</v>
      </c>
      <c r="I1026" s="32" t="s">
        <v>116</v>
      </c>
      <c r="J1026" s="32" t="s">
        <v>117</v>
      </c>
      <c r="K1026" s="32" t="s">
        <v>63</v>
      </c>
    </row>
    <row r="1027" customFormat="false" ht="13.5" hidden="false" customHeight="true" outlineLevel="0" collapsed="false">
      <c r="A1027" s="32" t="n">
        <v>2960</v>
      </c>
      <c r="B1027" s="32" t="s">
        <v>961</v>
      </c>
      <c r="C1027" s="32" t="s">
        <v>963</v>
      </c>
      <c r="D1027" s="32" t="s">
        <v>59</v>
      </c>
      <c r="E1027" s="32" t="s">
        <v>107</v>
      </c>
      <c r="F1027" s="32" t="n">
        <v>9880421932</v>
      </c>
      <c r="G1027" s="32" t="s">
        <v>61</v>
      </c>
      <c r="H1027" s="32" t="s">
        <v>21</v>
      </c>
      <c r="I1027" s="32" t="s">
        <v>95</v>
      </c>
      <c r="J1027" s="32" t="s">
        <v>96</v>
      </c>
      <c r="K1027" s="32" t="s">
        <v>63</v>
      </c>
    </row>
    <row r="1028" customFormat="false" ht="13.5" hidden="false" customHeight="true" outlineLevel="0" collapsed="false">
      <c r="A1028" s="32" t="n">
        <v>2961</v>
      </c>
      <c r="B1028" s="32" t="s">
        <v>961</v>
      </c>
      <c r="C1028" s="32" t="s">
        <v>963</v>
      </c>
      <c r="D1028" s="32" t="s">
        <v>59</v>
      </c>
      <c r="E1028" s="32" t="s">
        <v>107</v>
      </c>
      <c r="F1028" s="32" t="n">
        <v>9880421932</v>
      </c>
      <c r="G1028" s="32" t="s">
        <v>61</v>
      </c>
      <c r="H1028" s="32" t="s">
        <v>21</v>
      </c>
      <c r="I1028" s="32" t="s">
        <v>109</v>
      </c>
      <c r="J1028" s="32" t="s">
        <v>110</v>
      </c>
      <c r="K1028" s="32" t="s">
        <v>63</v>
      </c>
    </row>
    <row r="1029" customFormat="false" ht="13.5" hidden="false" customHeight="true" outlineLevel="0" collapsed="false">
      <c r="A1029" s="32" t="n">
        <v>2962</v>
      </c>
      <c r="B1029" s="32" t="s">
        <v>961</v>
      </c>
      <c r="C1029" s="32" t="s">
        <v>963</v>
      </c>
      <c r="D1029" s="32" t="s">
        <v>59</v>
      </c>
      <c r="E1029" s="32" t="s">
        <v>107</v>
      </c>
      <c r="F1029" s="32" t="n">
        <v>9880421932</v>
      </c>
      <c r="G1029" s="32" t="s">
        <v>61</v>
      </c>
      <c r="H1029" s="32" t="s">
        <v>21</v>
      </c>
      <c r="I1029" s="32" t="s">
        <v>217</v>
      </c>
      <c r="J1029" s="32" t="s">
        <v>132</v>
      </c>
      <c r="K1029" s="32" t="s">
        <v>63</v>
      </c>
    </row>
    <row r="1030" customFormat="false" ht="13.5" hidden="false" customHeight="true" outlineLevel="0" collapsed="false">
      <c r="A1030" s="32" t="n">
        <v>2964</v>
      </c>
      <c r="B1030" s="32" t="s">
        <v>964</v>
      </c>
      <c r="C1030" s="32" t="s">
        <v>965</v>
      </c>
      <c r="D1030" s="32" t="s">
        <v>114</v>
      </c>
      <c r="E1030" s="32" t="s">
        <v>115</v>
      </c>
      <c r="F1030" s="33" t="n">
        <v>919973000000</v>
      </c>
      <c r="G1030" s="32" t="s">
        <v>61</v>
      </c>
      <c r="H1030" s="32" t="s">
        <v>22</v>
      </c>
      <c r="I1030" s="32" t="s">
        <v>145</v>
      </c>
      <c r="J1030" s="32" t="s">
        <v>117</v>
      </c>
      <c r="K1030" s="32" t="s">
        <v>63</v>
      </c>
    </row>
    <row r="1031" customFormat="false" ht="13.5" hidden="false" customHeight="true" outlineLevel="0" collapsed="false">
      <c r="A1031" s="32" t="n">
        <v>2965</v>
      </c>
      <c r="B1031" s="32" t="s">
        <v>964</v>
      </c>
      <c r="C1031" s="32" t="s">
        <v>965</v>
      </c>
      <c r="D1031" s="32" t="s">
        <v>114</v>
      </c>
      <c r="E1031" s="32" t="s">
        <v>115</v>
      </c>
      <c r="F1031" s="33" t="n">
        <v>919973000000</v>
      </c>
      <c r="G1031" s="32" t="s">
        <v>61</v>
      </c>
      <c r="H1031" s="32" t="s">
        <v>22</v>
      </c>
      <c r="I1031" s="32" t="s">
        <v>284</v>
      </c>
      <c r="J1031" s="32" t="s">
        <v>117</v>
      </c>
      <c r="K1031" s="32" t="s">
        <v>63</v>
      </c>
    </row>
    <row r="1032" customFormat="false" ht="13.5" hidden="false" customHeight="true" outlineLevel="0" collapsed="false">
      <c r="A1032" s="32" t="n">
        <v>2966</v>
      </c>
      <c r="B1032" s="32" t="s">
        <v>964</v>
      </c>
      <c r="C1032" s="32" t="s">
        <v>965</v>
      </c>
      <c r="D1032" s="32" t="s">
        <v>114</v>
      </c>
      <c r="E1032" s="32" t="s">
        <v>115</v>
      </c>
      <c r="F1032" s="33" t="n">
        <v>919973000000</v>
      </c>
      <c r="G1032" s="32" t="s">
        <v>61</v>
      </c>
      <c r="H1032" s="32" t="s">
        <v>22</v>
      </c>
      <c r="I1032" s="32" t="s">
        <v>133</v>
      </c>
      <c r="J1032" s="32" t="s">
        <v>134</v>
      </c>
      <c r="K1032" s="32" t="s">
        <v>63</v>
      </c>
    </row>
    <row r="1033" customFormat="false" ht="13.5" hidden="false" customHeight="true" outlineLevel="0" collapsed="false">
      <c r="A1033" s="32" t="n">
        <v>2968</v>
      </c>
      <c r="B1033" s="32" t="s">
        <v>966</v>
      </c>
      <c r="C1033" s="32" t="s">
        <v>967</v>
      </c>
      <c r="D1033" s="32" t="s">
        <v>59</v>
      </c>
      <c r="E1033" s="32" t="n">
        <v>0</v>
      </c>
      <c r="F1033" s="33" t="n">
        <v>919880000000</v>
      </c>
      <c r="G1033" s="32" t="s">
        <v>61</v>
      </c>
      <c r="H1033" s="32" t="s">
        <v>21</v>
      </c>
      <c r="I1033" s="32" t="s">
        <v>172</v>
      </c>
      <c r="J1033" s="32" t="s">
        <v>152</v>
      </c>
      <c r="K1033" s="32" t="s">
        <v>63</v>
      </c>
    </row>
    <row r="1034" customFormat="false" ht="13.5" hidden="false" customHeight="true" outlineLevel="0" collapsed="false">
      <c r="A1034" s="32" t="n">
        <v>2969</v>
      </c>
      <c r="B1034" s="32" t="s">
        <v>966</v>
      </c>
      <c r="C1034" s="32" t="s">
        <v>967</v>
      </c>
      <c r="D1034" s="32" t="s">
        <v>59</v>
      </c>
      <c r="E1034" s="32" t="n">
        <v>0</v>
      </c>
      <c r="F1034" s="33" t="n">
        <v>919880000000</v>
      </c>
      <c r="G1034" s="32" t="s">
        <v>61</v>
      </c>
      <c r="H1034" s="32" t="s">
        <v>21</v>
      </c>
      <c r="I1034" s="32" t="s">
        <v>245</v>
      </c>
      <c r="J1034" s="32" t="s">
        <v>71</v>
      </c>
      <c r="K1034" s="32" t="s">
        <v>63</v>
      </c>
    </row>
    <row r="1035" customFormat="false" ht="13.5" hidden="false" customHeight="true" outlineLevel="0" collapsed="false">
      <c r="A1035" s="32" t="n">
        <v>2971</v>
      </c>
      <c r="B1035" s="32" t="s">
        <v>966</v>
      </c>
      <c r="C1035" s="32" t="s">
        <v>967</v>
      </c>
      <c r="D1035" s="32" t="s">
        <v>59</v>
      </c>
      <c r="E1035" s="32" t="n">
        <v>0</v>
      </c>
      <c r="F1035" s="33" t="n">
        <v>919880000000</v>
      </c>
      <c r="G1035" s="32" t="s">
        <v>61</v>
      </c>
      <c r="H1035" s="32" t="s">
        <v>21</v>
      </c>
      <c r="I1035" s="32" t="s">
        <v>385</v>
      </c>
      <c r="J1035" s="32" t="s">
        <v>71</v>
      </c>
      <c r="K1035" s="32" t="s">
        <v>63</v>
      </c>
    </row>
    <row r="1036" customFormat="false" ht="13.5" hidden="false" customHeight="true" outlineLevel="0" collapsed="false">
      <c r="A1036" s="32" t="n">
        <v>2972</v>
      </c>
      <c r="B1036" s="32" t="s">
        <v>968</v>
      </c>
      <c r="C1036" s="32" t="s">
        <v>969</v>
      </c>
      <c r="D1036" s="32" t="s">
        <v>102</v>
      </c>
      <c r="E1036" s="32" t="s">
        <v>60</v>
      </c>
      <c r="F1036" s="33" t="n">
        <v>917831000000</v>
      </c>
      <c r="G1036" s="32" t="s">
        <v>144</v>
      </c>
      <c r="H1036" s="32" t="s">
        <v>21</v>
      </c>
      <c r="I1036" s="32" t="s">
        <v>29</v>
      </c>
      <c r="J1036" s="32" t="s">
        <v>62</v>
      </c>
      <c r="K1036" s="32" t="s">
        <v>63</v>
      </c>
    </row>
    <row r="1037" customFormat="false" ht="13.5" hidden="false" customHeight="true" outlineLevel="0" collapsed="false">
      <c r="A1037" s="32" t="n">
        <v>2973</v>
      </c>
      <c r="B1037" s="32" t="s">
        <v>968</v>
      </c>
      <c r="C1037" s="32" t="s">
        <v>969</v>
      </c>
      <c r="D1037" s="32" t="s">
        <v>102</v>
      </c>
      <c r="E1037" s="32" t="s">
        <v>60</v>
      </c>
      <c r="F1037" s="33" t="n">
        <v>917831000000</v>
      </c>
      <c r="G1037" s="32" t="s">
        <v>144</v>
      </c>
      <c r="H1037" s="32" t="s">
        <v>21</v>
      </c>
      <c r="I1037" s="32" t="s">
        <v>14</v>
      </c>
      <c r="J1037" s="32" t="s">
        <v>66</v>
      </c>
      <c r="K1037" s="32" t="s">
        <v>63</v>
      </c>
    </row>
    <row r="1038" customFormat="false" ht="13.5" hidden="false" customHeight="true" outlineLevel="0" collapsed="false">
      <c r="A1038" s="32" t="n">
        <v>2974</v>
      </c>
      <c r="B1038" s="32" t="s">
        <v>968</v>
      </c>
      <c r="C1038" s="32" t="s">
        <v>969</v>
      </c>
      <c r="D1038" s="32" t="s">
        <v>102</v>
      </c>
      <c r="E1038" s="32" t="s">
        <v>60</v>
      </c>
      <c r="F1038" s="33" t="n">
        <v>917831000000</v>
      </c>
      <c r="G1038" s="32" t="s">
        <v>144</v>
      </c>
      <c r="H1038" s="32" t="s">
        <v>21</v>
      </c>
      <c r="I1038" s="32" t="s">
        <v>64</v>
      </c>
      <c r="J1038" s="32" t="s">
        <v>62</v>
      </c>
      <c r="K1038" s="32" t="s">
        <v>63</v>
      </c>
    </row>
    <row r="1039" customFormat="false" ht="13.5" hidden="false" customHeight="true" outlineLevel="0" collapsed="false">
      <c r="A1039" s="32" t="n">
        <v>2978</v>
      </c>
      <c r="B1039" s="32" t="s">
        <v>970</v>
      </c>
      <c r="C1039" s="32" t="s">
        <v>971</v>
      </c>
      <c r="D1039" s="32" t="s">
        <v>114</v>
      </c>
      <c r="E1039" s="32" t="n">
        <v>0</v>
      </c>
      <c r="F1039" s="32" t="n">
        <v>0</v>
      </c>
      <c r="G1039" s="32" t="s">
        <v>61</v>
      </c>
      <c r="H1039" s="32" t="s">
        <v>22</v>
      </c>
      <c r="I1039" s="32" t="s">
        <v>185</v>
      </c>
      <c r="J1039" s="32" t="s">
        <v>186</v>
      </c>
      <c r="K1039" s="32" t="s">
        <v>63</v>
      </c>
    </row>
    <row r="1040" customFormat="false" ht="13.5" hidden="false" customHeight="true" outlineLevel="0" collapsed="false">
      <c r="A1040" s="32" t="n">
        <v>2979</v>
      </c>
      <c r="B1040" s="32" t="s">
        <v>972</v>
      </c>
      <c r="C1040" s="32" t="s">
        <v>973</v>
      </c>
      <c r="D1040" s="32" t="s">
        <v>114</v>
      </c>
      <c r="E1040" s="32" t="s">
        <v>124</v>
      </c>
      <c r="F1040" s="32" t="n">
        <v>9686415489</v>
      </c>
      <c r="G1040" s="32" t="s">
        <v>144</v>
      </c>
      <c r="H1040" s="32" t="s">
        <v>22</v>
      </c>
      <c r="I1040" s="32" t="s">
        <v>121</v>
      </c>
      <c r="J1040" s="32" t="s">
        <v>110</v>
      </c>
      <c r="K1040" s="32" t="s">
        <v>63</v>
      </c>
    </row>
    <row r="1041" customFormat="false" ht="13.5" hidden="false" customHeight="true" outlineLevel="0" collapsed="false">
      <c r="A1041" s="32" t="n">
        <v>2980</v>
      </c>
      <c r="B1041" s="32" t="s">
        <v>972</v>
      </c>
      <c r="C1041" s="32" t="s">
        <v>973</v>
      </c>
      <c r="D1041" s="32" t="s">
        <v>114</v>
      </c>
      <c r="E1041" s="32" t="s">
        <v>124</v>
      </c>
      <c r="F1041" s="32" t="n">
        <v>9686415489</v>
      </c>
      <c r="G1041" s="32" t="s">
        <v>144</v>
      </c>
      <c r="H1041" s="32" t="s">
        <v>22</v>
      </c>
      <c r="I1041" s="32" t="s">
        <v>227</v>
      </c>
      <c r="J1041" s="32" t="s">
        <v>228</v>
      </c>
      <c r="K1041" s="32" t="s">
        <v>63</v>
      </c>
    </row>
    <row r="1042" customFormat="false" ht="13.5" hidden="false" customHeight="true" outlineLevel="0" collapsed="false">
      <c r="A1042" s="32" t="n">
        <v>2986</v>
      </c>
      <c r="B1042" s="32" t="s">
        <v>972</v>
      </c>
      <c r="C1042" s="32" t="s">
        <v>973</v>
      </c>
      <c r="D1042" s="32" t="s">
        <v>114</v>
      </c>
      <c r="E1042" s="32" t="s">
        <v>124</v>
      </c>
      <c r="F1042" s="32" t="n">
        <v>9686415489</v>
      </c>
      <c r="G1042" s="32" t="s">
        <v>144</v>
      </c>
      <c r="H1042" s="32" t="s">
        <v>22</v>
      </c>
      <c r="I1042" s="32" t="s">
        <v>145</v>
      </c>
      <c r="J1042" s="32" t="s">
        <v>117</v>
      </c>
      <c r="K1042" s="32" t="s">
        <v>63</v>
      </c>
    </row>
    <row r="1043" customFormat="false" ht="13.5" hidden="false" customHeight="true" outlineLevel="0" collapsed="false">
      <c r="A1043" s="32" t="n">
        <v>2987</v>
      </c>
      <c r="B1043" s="32" t="s">
        <v>974</v>
      </c>
      <c r="C1043" s="32" t="s">
        <v>975</v>
      </c>
      <c r="D1043" s="32" t="s">
        <v>114</v>
      </c>
      <c r="E1043" s="32" t="s">
        <v>165</v>
      </c>
      <c r="F1043" s="33" t="n">
        <v>919908000000</v>
      </c>
      <c r="G1043" s="32" t="s">
        <v>80</v>
      </c>
      <c r="H1043" s="32" t="s">
        <v>22</v>
      </c>
      <c r="I1043" s="32" t="s">
        <v>30</v>
      </c>
      <c r="J1043" s="32" t="s">
        <v>203</v>
      </c>
      <c r="K1043" s="32" t="s">
        <v>63</v>
      </c>
    </row>
    <row r="1044" customFormat="false" ht="13.5" hidden="false" customHeight="true" outlineLevel="0" collapsed="false">
      <c r="A1044" s="32" t="n">
        <v>2988</v>
      </c>
      <c r="B1044" s="32" t="s">
        <v>974</v>
      </c>
      <c r="C1044" s="32" t="s">
        <v>975</v>
      </c>
      <c r="D1044" s="32" t="s">
        <v>114</v>
      </c>
      <c r="E1044" s="32" t="s">
        <v>165</v>
      </c>
      <c r="F1044" s="33" t="n">
        <v>919908000000</v>
      </c>
      <c r="G1044" s="32" t="s">
        <v>80</v>
      </c>
      <c r="H1044" s="32" t="s">
        <v>22</v>
      </c>
      <c r="I1044" s="32" t="s">
        <v>151</v>
      </c>
      <c r="J1044" s="32" t="s">
        <v>152</v>
      </c>
      <c r="K1044" s="32" t="s">
        <v>63</v>
      </c>
    </row>
    <row r="1045" customFormat="false" ht="13.5" hidden="false" customHeight="true" outlineLevel="0" collapsed="false">
      <c r="A1045" s="32" t="n">
        <v>2989</v>
      </c>
      <c r="B1045" s="32" t="s">
        <v>976</v>
      </c>
      <c r="C1045" s="32" t="s">
        <v>977</v>
      </c>
      <c r="D1045" s="32" t="s">
        <v>114</v>
      </c>
      <c r="E1045" s="32" t="s">
        <v>165</v>
      </c>
      <c r="F1045" s="32" t="n">
        <v>9130054450</v>
      </c>
      <c r="G1045" s="32" t="s">
        <v>69</v>
      </c>
      <c r="H1045" s="32" t="s">
        <v>22</v>
      </c>
      <c r="I1045" s="32" t="s">
        <v>150</v>
      </c>
      <c r="J1045" s="32" t="s">
        <v>73</v>
      </c>
      <c r="K1045" s="32" t="s">
        <v>63</v>
      </c>
    </row>
    <row r="1046" customFormat="false" ht="13.5" hidden="false" customHeight="true" outlineLevel="0" collapsed="false">
      <c r="A1046" s="32" t="n">
        <v>2990</v>
      </c>
      <c r="B1046" s="32" t="s">
        <v>976</v>
      </c>
      <c r="C1046" s="32" t="s">
        <v>977</v>
      </c>
      <c r="D1046" s="32" t="s">
        <v>114</v>
      </c>
      <c r="E1046" s="32" t="s">
        <v>165</v>
      </c>
      <c r="F1046" s="32" t="n">
        <v>9130054450</v>
      </c>
      <c r="G1046" s="32" t="s">
        <v>69</v>
      </c>
      <c r="H1046" s="32" t="s">
        <v>22</v>
      </c>
      <c r="I1046" s="32" t="s">
        <v>212</v>
      </c>
      <c r="J1046" s="32" t="s">
        <v>73</v>
      </c>
      <c r="K1046" s="32" t="s">
        <v>63</v>
      </c>
    </row>
    <row r="1047" customFormat="false" ht="13.5" hidden="false" customHeight="true" outlineLevel="0" collapsed="false">
      <c r="A1047" s="32" t="n">
        <v>2991</v>
      </c>
      <c r="B1047" s="32" t="s">
        <v>976</v>
      </c>
      <c r="C1047" s="32" t="s">
        <v>978</v>
      </c>
      <c r="D1047" s="32" t="s">
        <v>114</v>
      </c>
      <c r="E1047" s="32" t="s">
        <v>165</v>
      </c>
      <c r="F1047" s="32" t="n">
        <v>9130054450</v>
      </c>
      <c r="G1047" s="32" t="s">
        <v>69</v>
      </c>
      <c r="H1047" s="32" t="s">
        <v>22</v>
      </c>
      <c r="I1047" s="32" t="s">
        <v>75</v>
      </c>
      <c r="J1047" s="32" t="s">
        <v>76</v>
      </c>
      <c r="K1047" s="32" t="s">
        <v>63</v>
      </c>
    </row>
    <row r="1048" customFormat="false" ht="13.5" hidden="false" customHeight="true" outlineLevel="0" collapsed="false">
      <c r="A1048" s="32" t="n">
        <v>2993</v>
      </c>
      <c r="B1048" s="32" t="s">
        <v>976</v>
      </c>
      <c r="C1048" s="32" t="s">
        <v>979</v>
      </c>
      <c r="D1048" s="32" t="s">
        <v>114</v>
      </c>
      <c r="E1048" s="32" t="s">
        <v>165</v>
      </c>
      <c r="F1048" s="32" t="n">
        <v>9130054450</v>
      </c>
      <c r="G1048" s="32" t="s">
        <v>69</v>
      </c>
      <c r="H1048" s="32" t="s">
        <v>22</v>
      </c>
      <c r="I1048" s="32" t="s">
        <v>27</v>
      </c>
      <c r="J1048" s="32" t="s">
        <v>13</v>
      </c>
      <c r="K1048" s="32" t="s">
        <v>63</v>
      </c>
    </row>
    <row r="1049" customFormat="false" ht="13.5" hidden="false" customHeight="true" outlineLevel="0" collapsed="false">
      <c r="A1049" s="32" t="n">
        <v>2994</v>
      </c>
      <c r="B1049" s="32" t="s">
        <v>976</v>
      </c>
      <c r="C1049" s="32" t="s">
        <v>979</v>
      </c>
      <c r="D1049" s="32" t="s">
        <v>114</v>
      </c>
      <c r="E1049" s="32" t="s">
        <v>165</v>
      </c>
      <c r="F1049" s="32" t="n">
        <v>9130054450</v>
      </c>
      <c r="G1049" s="32" t="s">
        <v>69</v>
      </c>
      <c r="H1049" s="32" t="s">
        <v>22</v>
      </c>
      <c r="I1049" s="32" t="s">
        <v>111</v>
      </c>
      <c r="J1049" s="32" t="s">
        <v>73</v>
      </c>
      <c r="K1049" s="32" t="s">
        <v>63</v>
      </c>
    </row>
    <row r="1050" customFormat="false" ht="13.5" hidden="false" customHeight="true" outlineLevel="0" collapsed="false">
      <c r="A1050" s="32" t="n">
        <v>2995</v>
      </c>
      <c r="B1050" s="32" t="s">
        <v>980</v>
      </c>
      <c r="C1050" s="32" t="s">
        <v>981</v>
      </c>
      <c r="D1050" s="32" t="s">
        <v>59</v>
      </c>
      <c r="E1050" s="32" t="s">
        <v>107</v>
      </c>
      <c r="F1050" s="32" t="n">
        <v>8800437900</v>
      </c>
      <c r="G1050" s="32" t="s">
        <v>144</v>
      </c>
      <c r="H1050" s="32" t="s">
        <v>21</v>
      </c>
      <c r="I1050" s="32" t="s">
        <v>248</v>
      </c>
      <c r="J1050" s="32" t="s">
        <v>117</v>
      </c>
      <c r="K1050" s="32" t="s">
        <v>63</v>
      </c>
    </row>
    <row r="1051" customFormat="false" ht="13.5" hidden="false" customHeight="true" outlineLevel="0" collapsed="false">
      <c r="A1051" s="32" t="n">
        <v>2996</v>
      </c>
      <c r="B1051" s="32" t="s">
        <v>980</v>
      </c>
      <c r="C1051" s="32" t="s">
        <v>981</v>
      </c>
      <c r="D1051" s="32" t="s">
        <v>59</v>
      </c>
      <c r="E1051" s="32" t="s">
        <v>107</v>
      </c>
      <c r="F1051" s="32" t="n">
        <v>8800437900</v>
      </c>
      <c r="G1051" s="32" t="s">
        <v>144</v>
      </c>
      <c r="H1051" s="32" t="s">
        <v>21</v>
      </c>
      <c r="I1051" s="32" t="s">
        <v>120</v>
      </c>
      <c r="J1051" s="32" t="s">
        <v>110</v>
      </c>
      <c r="K1051" s="32" t="s">
        <v>63</v>
      </c>
    </row>
    <row r="1052" customFormat="false" ht="13.5" hidden="false" customHeight="true" outlineLevel="0" collapsed="false">
      <c r="A1052" s="32" t="n">
        <v>2997</v>
      </c>
      <c r="B1052" s="32" t="s">
        <v>982</v>
      </c>
      <c r="C1052" s="32" t="s">
        <v>983</v>
      </c>
      <c r="D1052" s="32" t="s">
        <v>114</v>
      </c>
      <c r="E1052" s="32" t="n">
        <v>0</v>
      </c>
      <c r="F1052" s="32" t="n">
        <v>9861430414</v>
      </c>
      <c r="G1052" s="32" t="s">
        <v>61</v>
      </c>
      <c r="H1052" s="32" t="s">
        <v>22</v>
      </c>
      <c r="I1052" s="32" t="s">
        <v>95</v>
      </c>
      <c r="J1052" s="32" t="s">
        <v>96</v>
      </c>
      <c r="K1052" s="32" t="s">
        <v>63</v>
      </c>
    </row>
    <row r="1053" customFormat="false" ht="13.5" hidden="false" customHeight="true" outlineLevel="0" collapsed="false">
      <c r="A1053" s="32" t="n">
        <v>2998</v>
      </c>
      <c r="B1053" s="32" t="s">
        <v>982</v>
      </c>
      <c r="C1053" s="32" t="s">
        <v>983</v>
      </c>
      <c r="D1053" s="32" t="s">
        <v>114</v>
      </c>
      <c r="E1053" s="32" t="n">
        <v>0</v>
      </c>
      <c r="F1053" s="32" t="n">
        <v>9861430414</v>
      </c>
      <c r="G1053" s="32" t="s">
        <v>61</v>
      </c>
      <c r="H1053" s="32" t="s">
        <v>22</v>
      </c>
      <c r="I1053" s="32" t="s">
        <v>185</v>
      </c>
      <c r="J1053" s="32" t="s">
        <v>186</v>
      </c>
      <c r="K1053" s="32" t="s">
        <v>63</v>
      </c>
    </row>
    <row r="1054" customFormat="false" ht="13.5" hidden="false" customHeight="true" outlineLevel="0" collapsed="false">
      <c r="A1054" s="32" t="n">
        <v>2999</v>
      </c>
      <c r="B1054" s="32" t="s">
        <v>984</v>
      </c>
      <c r="C1054" s="32" t="s">
        <v>985</v>
      </c>
      <c r="D1054" s="32" t="s">
        <v>114</v>
      </c>
      <c r="E1054" s="32" t="n">
        <v>0</v>
      </c>
      <c r="F1054" s="32" t="n">
        <v>9861430414</v>
      </c>
      <c r="G1054" s="32" t="s">
        <v>140</v>
      </c>
      <c r="H1054" s="32" t="s">
        <v>22</v>
      </c>
      <c r="I1054" s="32" t="s">
        <v>777</v>
      </c>
      <c r="J1054" s="32" t="s">
        <v>110</v>
      </c>
      <c r="K1054" s="32" t="s">
        <v>63</v>
      </c>
    </row>
    <row r="1055" customFormat="false" ht="13.5" hidden="false" customHeight="true" outlineLevel="0" collapsed="false">
      <c r="A1055" s="32" t="n">
        <v>3000</v>
      </c>
      <c r="B1055" s="32" t="s">
        <v>986</v>
      </c>
      <c r="C1055" s="32" t="s">
        <v>987</v>
      </c>
      <c r="D1055" s="32" t="s">
        <v>59</v>
      </c>
      <c r="E1055" s="32" t="s">
        <v>107</v>
      </c>
      <c r="F1055" s="33" t="n">
        <v>919688000000</v>
      </c>
      <c r="G1055" s="32" t="s">
        <v>69</v>
      </c>
      <c r="H1055" s="32" t="s">
        <v>21</v>
      </c>
      <c r="I1055" s="32" t="s">
        <v>27</v>
      </c>
      <c r="J1055" s="32" t="s">
        <v>13</v>
      </c>
      <c r="K1055" s="32" t="s">
        <v>63</v>
      </c>
    </row>
    <row r="1056" customFormat="false" ht="13.5" hidden="false" customHeight="true" outlineLevel="0" collapsed="false">
      <c r="A1056" s="32" t="n">
        <v>3001</v>
      </c>
      <c r="B1056" s="32" t="s">
        <v>986</v>
      </c>
      <c r="C1056" s="32" t="s">
        <v>987</v>
      </c>
      <c r="D1056" s="32" t="s">
        <v>59</v>
      </c>
      <c r="E1056" s="32" t="s">
        <v>107</v>
      </c>
      <c r="F1056" s="33" t="n">
        <v>919688000000</v>
      </c>
      <c r="G1056" s="32" t="s">
        <v>69</v>
      </c>
      <c r="H1056" s="32" t="s">
        <v>21</v>
      </c>
      <c r="I1056" s="32" t="s">
        <v>109</v>
      </c>
      <c r="J1056" s="32" t="s">
        <v>110</v>
      </c>
      <c r="K1056" s="32" t="s">
        <v>63</v>
      </c>
    </row>
    <row r="1057" customFormat="false" ht="13.5" hidden="false" customHeight="true" outlineLevel="0" collapsed="false">
      <c r="A1057" s="32" t="n">
        <v>3002</v>
      </c>
      <c r="B1057" s="32" t="s">
        <v>986</v>
      </c>
      <c r="C1057" s="32" t="s">
        <v>987</v>
      </c>
      <c r="D1057" s="32" t="s">
        <v>59</v>
      </c>
      <c r="E1057" s="32" t="s">
        <v>107</v>
      </c>
      <c r="F1057" s="33" t="n">
        <v>919688000000</v>
      </c>
      <c r="G1057" s="32" t="s">
        <v>69</v>
      </c>
      <c r="H1057" s="32" t="s">
        <v>21</v>
      </c>
      <c r="I1057" s="32" t="s">
        <v>146</v>
      </c>
      <c r="J1057" s="32" t="s">
        <v>117</v>
      </c>
      <c r="K1057" s="32" t="s">
        <v>63</v>
      </c>
    </row>
    <row r="1058" customFormat="false" ht="13.5" hidden="false" customHeight="true" outlineLevel="0" collapsed="false">
      <c r="A1058" s="32" t="n">
        <v>3003</v>
      </c>
      <c r="B1058" s="32" t="s">
        <v>986</v>
      </c>
      <c r="C1058" s="32" t="s">
        <v>987</v>
      </c>
      <c r="D1058" s="32" t="s">
        <v>59</v>
      </c>
      <c r="E1058" s="32" t="s">
        <v>107</v>
      </c>
      <c r="F1058" s="33" t="n">
        <v>919688000000</v>
      </c>
      <c r="G1058" s="32" t="s">
        <v>69</v>
      </c>
      <c r="H1058" s="32" t="s">
        <v>21</v>
      </c>
      <c r="I1058" s="32" t="s">
        <v>784</v>
      </c>
      <c r="J1058" s="32" t="s">
        <v>203</v>
      </c>
      <c r="K1058" s="32" t="s">
        <v>63</v>
      </c>
    </row>
    <row r="1059" customFormat="false" ht="13.5" hidden="false" customHeight="true" outlineLevel="0" collapsed="false">
      <c r="A1059" s="32" t="n">
        <v>3004</v>
      </c>
      <c r="B1059" s="32" t="s">
        <v>986</v>
      </c>
      <c r="C1059" s="32" t="s">
        <v>987</v>
      </c>
      <c r="D1059" s="32" t="s">
        <v>59</v>
      </c>
      <c r="E1059" s="32" t="s">
        <v>107</v>
      </c>
      <c r="F1059" s="33" t="n">
        <v>919688000000</v>
      </c>
      <c r="G1059" s="32" t="s">
        <v>69</v>
      </c>
      <c r="H1059" s="32" t="s">
        <v>21</v>
      </c>
      <c r="I1059" s="32" t="s">
        <v>76</v>
      </c>
      <c r="J1059" s="32" t="s">
        <v>76</v>
      </c>
      <c r="K1059" s="32" t="s">
        <v>63</v>
      </c>
    </row>
    <row r="1060" customFormat="false" ht="13.5" hidden="false" customHeight="true" outlineLevel="0" collapsed="false">
      <c r="A1060" s="32" t="n">
        <v>3005</v>
      </c>
      <c r="B1060" s="32" t="s">
        <v>986</v>
      </c>
      <c r="C1060" s="32" t="s">
        <v>987</v>
      </c>
      <c r="D1060" s="32" t="s">
        <v>59</v>
      </c>
      <c r="E1060" s="32" t="s">
        <v>107</v>
      </c>
      <c r="F1060" s="33" t="n">
        <v>919688000000</v>
      </c>
      <c r="G1060" s="32" t="s">
        <v>69</v>
      </c>
      <c r="H1060" s="32" t="s">
        <v>21</v>
      </c>
      <c r="I1060" s="32" t="s">
        <v>111</v>
      </c>
      <c r="J1060" s="32" t="s">
        <v>73</v>
      </c>
      <c r="K1060" s="32" t="s">
        <v>63</v>
      </c>
    </row>
    <row r="1061" customFormat="false" ht="13.5" hidden="false" customHeight="true" outlineLevel="0" collapsed="false">
      <c r="A1061" s="32" t="n">
        <v>3006</v>
      </c>
      <c r="B1061" s="32" t="s">
        <v>988</v>
      </c>
      <c r="C1061" s="32" t="s">
        <v>989</v>
      </c>
      <c r="D1061" s="32" t="s">
        <v>59</v>
      </c>
      <c r="E1061" s="32" t="s">
        <v>60</v>
      </c>
      <c r="F1061" s="32" t="n">
        <v>8056059126</v>
      </c>
      <c r="G1061" s="32" t="s">
        <v>61</v>
      </c>
      <c r="H1061" s="32" t="s">
        <v>21</v>
      </c>
      <c r="I1061" s="32" t="s">
        <v>234</v>
      </c>
      <c r="J1061" s="32" t="s">
        <v>235</v>
      </c>
      <c r="K1061" s="32" t="s">
        <v>63</v>
      </c>
    </row>
    <row r="1062" customFormat="false" ht="13.5" hidden="false" customHeight="true" outlineLevel="0" collapsed="false">
      <c r="A1062" s="32" t="n">
        <v>3010</v>
      </c>
      <c r="B1062" s="32" t="s">
        <v>988</v>
      </c>
      <c r="C1062" s="32" t="s">
        <v>990</v>
      </c>
      <c r="D1062" s="32" t="s">
        <v>59</v>
      </c>
      <c r="E1062" s="32" t="s">
        <v>60</v>
      </c>
      <c r="F1062" s="32" t="n">
        <v>8056059126</v>
      </c>
      <c r="G1062" s="32" t="s">
        <v>144</v>
      </c>
      <c r="H1062" s="32" t="s">
        <v>21</v>
      </c>
      <c r="I1062" s="32" t="s">
        <v>991</v>
      </c>
      <c r="J1062" s="32" t="s">
        <v>505</v>
      </c>
      <c r="K1062" s="32" t="s">
        <v>63</v>
      </c>
    </row>
    <row r="1063" customFormat="false" ht="13.5" hidden="false" customHeight="true" outlineLevel="0" collapsed="false">
      <c r="A1063" s="32" t="n">
        <v>3011</v>
      </c>
      <c r="B1063" s="32" t="s">
        <v>992</v>
      </c>
      <c r="C1063" s="32" t="s">
        <v>993</v>
      </c>
      <c r="D1063" s="32" t="s">
        <v>59</v>
      </c>
      <c r="E1063" s="32" t="s">
        <v>107</v>
      </c>
      <c r="F1063" s="32" t="n">
        <v>0</v>
      </c>
      <c r="G1063" s="32" t="s">
        <v>61</v>
      </c>
      <c r="H1063" s="32" t="s">
        <v>21</v>
      </c>
      <c r="I1063" s="32" t="s">
        <v>149</v>
      </c>
      <c r="J1063" s="32" t="s">
        <v>73</v>
      </c>
      <c r="K1063" s="32" t="s">
        <v>63</v>
      </c>
    </row>
    <row r="1064" customFormat="false" ht="13.5" hidden="false" customHeight="true" outlineLevel="0" collapsed="false">
      <c r="A1064" s="32" t="n">
        <v>3012</v>
      </c>
      <c r="B1064" s="32" t="s">
        <v>992</v>
      </c>
      <c r="C1064" s="32" t="s">
        <v>993</v>
      </c>
      <c r="D1064" s="32" t="s">
        <v>59</v>
      </c>
      <c r="E1064" s="32" t="s">
        <v>107</v>
      </c>
      <c r="F1064" s="32" t="n">
        <v>0</v>
      </c>
      <c r="G1064" s="32" t="s">
        <v>61</v>
      </c>
      <c r="H1064" s="32" t="s">
        <v>21</v>
      </c>
      <c r="I1064" s="32" t="s">
        <v>133</v>
      </c>
      <c r="J1064" s="32" t="s">
        <v>134</v>
      </c>
      <c r="K1064" s="32" t="s">
        <v>63</v>
      </c>
    </row>
    <row r="1065" customFormat="false" ht="13.5" hidden="false" customHeight="true" outlineLevel="0" collapsed="false">
      <c r="A1065" s="32" t="n">
        <v>3013</v>
      </c>
      <c r="B1065" s="32" t="s">
        <v>992</v>
      </c>
      <c r="C1065" s="32" t="s">
        <v>993</v>
      </c>
      <c r="D1065" s="32" t="s">
        <v>59</v>
      </c>
      <c r="E1065" s="32" t="s">
        <v>107</v>
      </c>
      <c r="F1065" s="32" t="n">
        <v>0</v>
      </c>
      <c r="G1065" s="32" t="s">
        <v>61</v>
      </c>
      <c r="H1065" s="32" t="s">
        <v>21</v>
      </c>
      <c r="I1065" s="32" t="s">
        <v>150</v>
      </c>
      <c r="J1065" s="32" t="s">
        <v>73</v>
      </c>
      <c r="K1065" s="32" t="s">
        <v>63</v>
      </c>
    </row>
    <row r="1066" customFormat="false" ht="13.5" hidden="false" customHeight="true" outlineLevel="0" collapsed="false">
      <c r="A1066" s="32" t="n">
        <v>3014</v>
      </c>
      <c r="B1066" s="32" t="s">
        <v>992</v>
      </c>
      <c r="C1066" s="32" t="s">
        <v>993</v>
      </c>
      <c r="D1066" s="32" t="s">
        <v>59</v>
      </c>
      <c r="E1066" s="32" t="s">
        <v>107</v>
      </c>
      <c r="F1066" s="32" t="n">
        <v>0</v>
      </c>
      <c r="G1066" s="32" t="s">
        <v>61</v>
      </c>
      <c r="H1066" s="32" t="s">
        <v>21</v>
      </c>
      <c r="I1066" s="32" t="s">
        <v>212</v>
      </c>
      <c r="J1066" s="32" t="s">
        <v>73</v>
      </c>
      <c r="K1066" s="32" t="s">
        <v>63</v>
      </c>
    </row>
    <row r="1067" customFormat="false" ht="13.5" hidden="false" customHeight="true" outlineLevel="0" collapsed="false">
      <c r="A1067" s="32" t="n">
        <v>3015</v>
      </c>
      <c r="B1067" s="32" t="s">
        <v>994</v>
      </c>
      <c r="C1067" s="32" t="s">
        <v>995</v>
      </c>
      <c r="D1067" s="32" t="s">
        <v>114</v>
      </c>
      <c r="E1067" s="32" t="s">
        <v>115</v>
      </c>
      <c r="F1067" s="32" t="n">
        <v>0</v>
      </c>
      <c r="G1067" s="32" t="s">
        <v>61</v>
      </c>
      <c r="H1067" s="32" t="s">
        <v>22</v>
      </c>
      <c r="I1067" s="32" t="s">
        <v>16</v>
      </c>
      <c r="J1067" s="32" t="s">
        <v>73</v>
      </c>
      <c r="K1067" s="32" t="s">
        <v>63</v>
      </c>
    </row>
    <row r="1068" customFormat="false" ht="13.5" hidden="false" customHeight="true" outlineLevel="0" collapsed="false">
      <c r="A1068" s="32" t="n">
        <v>3016</v>
      </c>
      <c r="B1068" s="32" t="s">
        <v>996</v>
      </c>
      <c r="C1068" s="32" t="s">
        <v>997</v>
      </c>
      <c r="D1068" s="32" t="s">
        <v>59</v>
      </c>
      <c r="E1068" s="32" t="s">
        <v>92</v>
      </c>
      <c r="F1068" s="32" t="n">
        <v>8754402203</v>
      </c>
      <c r="G1068" s="32" t="s">
        <v>104</v>
      </c>
      <c r="H1068" s="32" t="s">
        <v>21</v>
      </c>
      <c r="I1068" s="32" t="s">
        <v>826</v>
      </c>
      <c r="J1068" s="32" t="s">
        <v>84</v>
      </c>
      <c r="K1068" s="32" t="s">
        <v>63</v>
      </c>
    </row>
    <row r="1069" customFormat="false" ht="13.5" hidden="false" customHeight="true" outlineLevel="0" collapsed="false">
      <c r="A1069" s="32" t="n">
        <v>3017</v>
      </c>
      <c r="B1069" s="32" t="s">
        <v>996</v>
      </c>
      <c r="C1069" s="32" t="s">
        <v>997</v>
      </c>
      <c r="D1069" s="32" t="s">
        <v>59</v>
      </c>
      <c r="E1069" s="32" t="s">
        <v>92</v>
      </c>
      <c r="F1069" s="32" t="n">
        <v>8754402203</v>
      </c>
      <c r="G1069" s="32" t="s">
        <v>104</v>
      </c>
      <c r="H1069" s="32" t="s">
        <v>21</v>
      </c>
      <c r="I1069" s="32" t="s">
        <v>998</v>
      </c>
      <c r="J1069" s="32" t="s">
        <v>84</v>
      </c>
      <c r="K1069" s="32" t="s">
        <v>63</v>
      </c>
    </row>
    <row r="1070" customFormat="false" ht="13.5" hidden="false" customHeight="true" outlineLevel="0" collapsed="false">
      <c r="A1070" s="32" t="n">
        <v>3020</v>
      </c>
      <c r="B1070" s="32" t="s">
        <v>996</v>
      </c>
      <c r="C1070" s="32" t="s">
        <v>999</v>
      </c>
      <c r="D1070" s="32" t="s">
        <v>59</v>
      </c>
      <c r="E1070" s="32" t="s">
        <v>92</v>
      </c>
      <c r="F1070" s="32" t="n">
        <v>8754402203</v>
      </c>
      <c r="G1070" s="32" t="s">
        <v>104</v>
      </c>
      <c r="H1070" s="32" t="s">
        <v>21</v>
      </c>
      <c r="I1070" s="32" t="s">
        <v>156</v>
      </c>
      <c r="J1070" s="32" t="s">
        <v>62</v>
      </c>
      <c r="K1070" s="32" t="s">
        <v>63</v>
      </c>
    </row>
    <row r="1071" customFormat="false" ht="13.5" hidden="false" customHeight="true" outlineLevel="0" collapsed="false">
      <c r="A1071" s="32" t="n">
        <v>3021</v>
      </c>
      <c r="B1071" s="32" t="s">
        <v>996</v>
      </c>
      <c r="C1071" s="32" t="s">
        <v>999</v>
      </c>
      <c r="D1071" s="32" t="s">
        <v>59</v>
      </c>
      <c r="E1071" s="32" t="s">
        <v>92</v>
      </c>
      <c r="F1071" s="32" t="n">
        <v>8754402203</v>
      </c>
      <c r="G1071" s="32" t="s">
        <v>104</v>
      </c>
      <c r="H1071" s="32" t="s">
        <v>21</v>
      </c>
      <c r="I1071" s="32" t="s">
        <v>14</v>
      </c>
      <c r="J1071" s="32" t="s">
        <v>66</v>
      </c>
      <c r="K1071" s="32" t="s">
        <v>63</v>
      </c>
    </row>
    <row r="1072" customFormat="false" ht="13.5" hidden="false" customHeight="true" outlineLevel="0" collapsed="false">
      <c r="A1072" s="32" t="n">
        <v>3022</v>
      </c>
      <c r="B1072" s="32" t="s">
        <v>996</v>
      </c>
      <c r="C1072" s="32" t="s">
        <v>999</v>
      </c>
      <c r="D1072" s="32" t="s">
        <v>59</v>
      </c>
      <c r="E1072" s="32" t="s">
        <v>92</v>
      </c>
      <c r="F1072" s="32" t="n">
        <v>8754402203</v>
      </c>
      <c r="G1072" s="32" t="s">
        <v>104</v>
      </c>
      <c r="H1072" s="32" t="s">
        <v>21</v>
      </c>
      <c r="I1072" s="32" t="s">
        <v>83</v>
      </c>
      <c r="J1072" s="32" t="s">
        <v>84</v>
      </c>
      <c r="K1072" s="32" t="s">
        <v>63</v>
      </c>
    </row>
    <row r="1073" customFormat="false" ht="13.5" hidden="false" customHeight="true" outlineLevel="0" collapsed="false">
      <c r="A1073" s="32" t="n">
        <v>3023</v>
      </c>
      <c r="B1073" s="32" t="s">
        <v>996</v>
      </c>
      <c r="C1073" s="32" t="s">
        <v>999</v>
      </c>
      <c r="D1073" s="32" t="s">
        <v>59</v>
      </c>
      <c r="E1073" s="32" t="s">
        <v>92</v>
      </c>
      <c r="F1073" s="32" t="n">
        <v>8754402203</v>
      </c>
      <c r="G1073" s="32" t="s">
        <v>104</v>
      </c>
      <c r="H1073" s="32" t="s">
        <v>21</v>
      </c>
      <c r="I1073" s="32" t="s">
        <v>826</v>
      </c>
      <c r="J1073" s="32" t="s">
        <v>84</v>
      </c>
      <c r="K1073" s="32" t="s">
        <v>63</v>
      </c>
    </row>
    <row r="1074" customFormat="false" ht="13.5" hidden="false" customHeight="true" outlineLevel="0" collapsed="false">
      <c r="A1074" s="32" t="n">
        <v>3024</v>
      </c>
      <c r="B1074" s="32" t="s">
        <v>996</v>
      </c>
      <c r="C1074" s="32" t="s">
        <v>1000</v>
      </c>
      <c r="D1074" s="32" t="s">
        <v>59</v>
      </c>
      <c r="E1074" s="32" t="s">
        <v>92</v>
      </c>
      <c r="F1074" s="32" t="n">
        <v>8754402203</v>
      </c>
      <c r="G1074" s="32" t="s">
        <v>104</v>
      </c>
      <c r="H1074" s="32" t="s">
        <v>21</v>
      </c>
      <c r="I1074" s="32" t="s">
        <v>14</v>
      </c>
      <c r="J1074" s="32" t="s">
        <v>66</v>
      </c>
      <c r="K1074" s="32" t="s">
        <v>63</v>
      </c>
    </row>
    <row r="1075" customFormat="false" ht="13.5" hidden="false" customHeight="true" outlineLevel="0" collapsed="false">
      <c r="A1075" s="32" t="n">
        <v>3025</v>
      </c>
      <c r="B1075" s="32" t="s">
        <v>1001</v>
      </c>
      <c r="C1075" s="32" t="s">
        <v>1002</v>
      </c>
      <c r="D1075" s="32" t="s">
        <v>114</v>
      </c>
      <c r="E1075" s="32" t="s">
        <v>165</v>
      </c>
      <c r="F1075" s="32" t="n">
        <v>9535617308</v>
      </c>
      <c r="G1075" s="32" t="s">
        <v>61</v>
      </c>
      <c r="H1075" s="32" t="s">
        <v>22</v>
      </c>
      <c r="I1075" s="32" t="s">
        <v>93</v>
      </c>
      <c r="J1075" s="32" t="s">
        <v>85</v>
      </c>
      <c r="K1075" s="32" t="s">
        <v>63</v>
      </c>
    </row>
    <row r="1076" customFormat="false" ht="13.5" hidden="false" customHeight="true" outlineLevel="0" collapsed="false">
      <c r="A1076" s="32" t="n">
        <v>3026</v>
      </c>
      <c r="B1076" s="32" t="s">
        <v>1001</v>
      </c>
      <c r="C1076" s="32" t="s">
        <v>1001</v>
      </c>
      <c r="D1076" s="32" t="s">
        <v>114</v>
      </c>
      <c r="E1076" s="32" t="s">
        <v>165</v>
      </c>
      <c r="F1076" s="32" t="n">
        <v>9535617308</v>
      </c>
      <c r="G1076" s="32" t="s">
        <v>61</v>
      </c>
      <c r="H1076" s="32" t="s">
        <v>22</v>
      </c>
      <c r="I1076" s="32" t="s">
        <v>133</v>
      </c>
      <c r="J1076" s="32" t="s">
        <v>134</v>
      </c>
      <c r="K1076" s="32" t="s">
        <v>63</v>
      </c>
    </row>
    <row r="1077" customFormat="false" ht="13.5" hidden="false" customHeight="true" outlineLevel="0" collapsed="false">
      <c r="A1077" s="32" t="n">
        <v>3027</v>
      </c>
      <c r="B1077" s="32" t="s">
        <v>1001</v>
      </c>
      <c r="C1077" s="32" t="s">
        <v>1003</v>
      </c>
      <c r="D1077" s="32" t="s">
        <v>114</v>
      </c>
      <c r="E1077" s="32" t="s">
        <v>165</v>
      </c>
      <c r="F1077" s="32" t="n">
        <v>9535617308</v>
      </c>
      <c r="G1077" s="32" t="s">
        <v>61</v>
      </c>
      <c r="H1077" s="32" t="s">
        <v>22</v>
      </c>
      <c r="I1077" s="32" t="s">
        <v>108</v>
      </c>
      <c r="J1077" s="32" t="s">
        <v>71</v>
      </c>
      <c r="K1077" s="32" t="s">
        <v>63</v>
      </c>
    </row>
    <row r="1078" customFormat="false" ht="13.5" hidden="false" customHeight="true" outlineLevel="0" collapsed="false">
      <c r="A1078" s="32" t="n">
        <v>3028</v>
      </c>
      <c r="B1078" s="32" t="s">
        <v>1004</v>
      </c>
      <c r="C1078" s="32" t="s">
        <v>1005</v>
      </c>
      <c r="D1078" s="32" t="s">
        <v>331</v>
      </c>
      <c r="E1078" s="32" t="s">
        <v>366</v>
      </c>
      <c r="F1078" s="33" t="n">
        <v>919885000000</v>
      </c>
      <c r="G1078" s="32" t="s">
        <v>80</v>
      </c>
      <c r="H1078" s="32" t="s">
        <v>332</v>
      </c>
      <c r="I1078" s="32" t="s">
        <v>386</v>
      </c>
      <c r="J1078" s="32" t="s">
        <v>132</v>
      </c>
      <c r="K1078" s="32" t="s">
        <v>63</v>
      </c>
    </row>
    <row r="1079" customFormat="false" ht="13.5" hidden="false" customHeight="true" outlineLevel="0" collapsed="false">
      <c r="A1079" s="32" t="n">
        <v>3029</v>
      </c>
      <c r="B1079" s="32" t="s">
        <v>1006</v>
      </c>
      <c r="C1079" s="32" t="s">
        <v>1007</v>
      </c>
      <c r="D1079" s="32" t="s">
        <v>114</v>
      </c>
      <c r="E1079" s="32" t="s">
        <v>115</v>
      </c>
      <c r="F1079" s="32" t="n">
        <v>7893077720</v>
      </c>
      <c r="G1079" s="32" t="s">
        <v>80</v>
      </c>
      <c r="H1079" s="32" t="s">
        <v>22</v>
      </c>
      <c r="I1079" s="32" t="s">
        <v>108</v>
      </c>
      <c r="J1079" s="32" t="s">
        <v>71</v>
      </c>
      <c r="K1079" s="32" t="s">
        <v>63</v>
      </c>
    </row>
    <row r="1080" customFormat="false" ht="13.5" hidden="false" customHeight="true" outlineLevel="0" collapsed="false">
      <c r="A1080" s="32" t="n">
        <v>3031</v>
      </c>
      <c r="B1080" s="32" t="s">
        <v>1006</v>
      </c>
      <c r="C1080" s="32" t="s">
        <v>1007</v>
      </c>
      <c r="D1080" s="32" t="s">
        <v>114</v>
      </c>
      <c r="E1080" s="32" t="s">
        <v>115</v>
      </c>
      <c r="F1080" s="32" t="n">
        <v>7893077720</v>
      </c>
      <c r="G1080" s="32" t="s">
        <v>80</v>
      </c>
      <c r="H1080" s="32" t="s">
        <v>22</v>
      </c>
      <c r="I1080" s="32" t="s">
        <v>128</v>
      </c>
      <c r="J1080" s="32" t="s">
        <v>89</v>
      </c>
      <c r="K1080" s="32" t="s">
        <v>63</v>
      </c>
    </row>
    <row r="1081" customFormat="false" ht="13.5" hidden="false" customHeight="true" outlineLevel="0" collapsed="false">
      <c r="A1081" s="32" t="n">
        <v>3032</v>
      </c>
      <c r="B1081" s="32" t="s">
        <v>1006</v>
      </c>
      <c r="C1081" s="32" t="s">
        <v>1007</v>
      </c>
      <c r="D1081" s="32" t="s">
        <v>114</v>
      </c>
      <c r="E1081" s="32" t="s">
        <v>115</v>
      </c>
      <c r="F1081" s="32" t="n">
        <v>7893077720</v>
      </c>
      <c r="G1081" s="32" t="s">
        <v>80</v>
      </c>
      <c r="H1081" s="32" t="s">
        <v>22</v>
      </c>
      <c r="I1081" s="32" t="s">
        <v>121</v>
      </c>
      <c r="J1081" s="32" t="s">
        <v>110</v>
      </c>
      <c r="K1081" s="32" t="s">
        <v>63</v>
      </c>
    </row>
    <row r="1082" customFormat="false" ht="13.5" hidden="false" customHeight="true" outlineLevel="0" collapsed="false">
      <c r="A1082" s="32" t="n">
        <v>3033</v>
      </c>
      <c r="B1082" s="32" t="s">
        <v>1006</v>
      </c>
      <c r="C1082" s="32" t="s">
        <v>1007</v>
      </c>
      <c r="D1082" s="32" t="s">
        <v>114</v>
      </c>
      <c r="E1082" s="32" t="s">
        <v>115</v>
      </c>
      <c r="F1082" s="32" t="n">
        <v>7893077720</v>
      </c>
      <c r="G1082" s="32" t="s">
        <v>80</v>
      </c>
      <c r="H1082" s="32" t="s">
        <v>22</v>
      </c>
      <c r="I1082" s="32" t="s">
        <v>145</v>
      </c>
      <c r="J1082" s="32" t="s">
        <v>117</v>
      </c>
      <c r="K1082" s="32" t="s">
        <v>63</v>
      </c>
    </row>
    <row r="1083" customFormat="false" ht="13.5" hidden="false" customHeight="true" outlineLevel="0" collapsed="false">
      <c r="A1083" s="32" t="n">
        <v>3034</v>
      </c>
      <c r="B1083" s="32" t="s">
        <v>1006</v>
      </c>
      <c r="C1083" s="32" t="s">
        <v>1007</v>
      </c>
      <c r="D1083" s="32" t="s">
        <v>114</v>
      </c>
      <c r="E1083" s="32" t="s">
        <v>115</v>
      </c>
      <c r="F1083" s="32" t="n">
        <v>7893077720</v>
      </c>
      <c r="G1083" s="32" t="s">
        <v>80</v>
      </c>
      <c r="H1083" s="32" t="s">
        <v>22</v>
      </c>
      <c r="I1083" s="32" t="s">
        <v>111</v>
      </c>
      <c r="J1083" s="32" t="s">
        <v>73</v>
      </c>
      <c r="K1083" s="32" t="s">
        <v>63</v>
      </c>
    </row>
    <row r="1084" customFormat="false" ht="13.5" hidden="false" customHeight="true" outlineLevel="0" collapsed="false">
      <c r="A1084" s="32" t="n">
        <v>3035</v>
      </c>
      <c r="B1084" s="32" t="s">
        <v>1006</v>
      </c>
      <c r="C1084" s="32" t="s">
        <v>1008</v>
      </c>
      <c r="D1084" s="32" t="s">
        <v>114</v>
      </c>
      <c r="E1084" s="32" t="s">
        <v>115</v>
      </c>
      <c r="F1084" s="32" t="n">
        <v>7893077720</v>
      </c>
      <c r="G1084" s="32" t="s">
        <v>140</v>
      </c>
      <c r="H1084" s="32" t="s">
        <v>22</v>
      </c>
      <c r="I1084" s="32" t="s">
        <v>95</v>
      </c>
      <c r="J1084" s="32" t="s">
        <v>96</v>
      </c>
      <c r="K1084" s="32" t="s">
        <v>63</v>
      </c>
    </row>
    <row r="1085" customFormat="false" ht="13.5" hidden="false" customHeight="true" outlineLevel="0" collapsed="false">
      <c r="A1085" s="32" t="n">
        <v>3036</v>
      </c>
      <c r="B1085" s="32" t="s">
        <v>1009</v>
      </c>
      <c r="C1085" s="32" t="s">
        <v>1010</v>
      </c>
      <c r="D1085" s="32" t="s">
        <v>114</v>
      </c>
      <c r="E1085" s="32" t="s">
        <v>115</v>
      </c>
      <c r="F1085" s="32" t="n">
        <v>8762016050</v>
      </c>
      <c r="G1085" s="32" t="s">
        <v>104</v>
      </c>
      <c r="H1085" s="32" t="s">
        <v>22</v>
      </c>
      <c r="I1085" s="32" t="s">
        <v>93</v>
      </c>
      <c r="J1085" s="32" t="s">
        <v>85</v>
      </c>
      <c r="K1085" s="32" t="s">
        <v>63</v>
      </c>
    </row>
    <row r="1086" customFormat="false" ht="13.5" hidden="false" customHeight="true" outlineLevel="0" collapsed="false">
      <c r="A1086" s="32" t="n">
        <v>3037</v>
      </c>
      <c r="B1086" s="32" t="s">
        <v>1009</v>
      </c>
      <c r="C1086" s="32" t="s">
        <v>1011</v>
      </c>
      <c r="D1086" s="32" t="s">
        <v>114</v>
      </c>
      <c r="E1086" s="32" t="s">
        <v>115</v>
      </c>
      <c r="F1086" s="32" t="n">
        <v>8762016050</v>
      </c>
      <c r="G1086" s="32" t="s">
        <v>104</v>
      </c>
      <c r="H1086" s="32" t="s">
        <v>22</v>
      </c>
      <c r="I1086" s="32" t="s">
        <v>98</v>
      </c>
      <c r="J1086" s="32" t="s">
        <v>99</v>
      </c>
      <c r="K1086" s="32" t="s">
        <v>63</v>
      </c>
    </row>
    <row r="1087" customFormat="false" ht="13.5" hidden="false" customHeight="true" outlineLevel="0" collapsed="false">
      <c r="A1087" s="32" t="n">
        <v>3038</v>
      </c>
      <c r="B1087" s="32" t="s">
        <v>1009</v>
      </c>
      <c r="C1087" s="32" t="s">
        <v>1011</v>
      </c>
      <c r="D1087" s="32" t="s">
        <v>114</v>
      </c>
      <c r="E1087" s="32" t="s">
        <v>115</v>
      </c>
      <c r="F1087" s="32" t="n">
        <v>8762016050</v>
      </c>
      <c r="G1087" s="32" t="s">
        <v>104</v>
      </c>
      <c r="H1087" s="32" t="s">
        <v>22</v>
      </c>
      <c r="I1087" s="32" t="s">
        <v>172</v>
      </c>
      <c r="J1087" s="32" t="s">
        <v>152</v>
      </c>
      <c r="K1087" s="32" t="s">
        <v>63</v>
      </c>
    </row>
    <row r="1088" customFormat="false" ht="13.5" hidden="false" customHeight="true" outlineLevel="0" collapsed="false">
      <c r="A1088" s="32" t="n">
        <v>3039</v>
      </c>
      <c r="B1088" s="32" t="s">
        <v>1012</v>
      </c>
      <c r="C1088" s="32" t="s">
        <v>1013</v>
      </c>
      <c r="D1088" s="32" t="s">
        <v>114</v>
      </c>
      <c r="E1088" s="32" t="s">
        <v>912</v>
      </c>
      <c r="F1088" s="32" t="n">
        <v>8971466133</v>
      </c>
      <c r="G1088" s="32" t="s">
        <v>61</v>
      </c>
      <c r="H1088" s="32" t="s">
        <v>22</v>
      </c>
      <c r="I1088" s="32" t="s">
        <v>248</v>
      </c>
      <c r="J1088" s="32" t="s">
        <v>117</v>
      </c>
      <c r="K1088" s="32" t="s">
        <v>63</v>
      </c>
    </row>
    <row r="1089" customFormat="false" ht="13.5" hidden="false" customHeight="true" outlineLevel="0" collapsed="false">
      <c r="A1089" s="32" t="n">
        <v>3040</v>
      </c>
      <c r="B1089" s="32" t="s">
        <v>1014</v>
      </c>
      <c r="C1089" s="32" t="s">
        <v>1015</v>
      </c>
      <c r="D1089" s="32" t="s">
        <v>59</v>
      </c>
      <c r="E1089" s="32" t="s">
        <v>79</v>
      </c>
      <c r="F1089" s="32" t="n">
        <v>8142002266</v>
      </c>
      <c r="G1089" s="32" t="s">
        <v>80</v>
      </c>
      <c r="H1089" s="32" t="s">
        <v>21</v>
      </c>
      <c r="I1089" s="32" t="s">
        <v>172</v>
      </c>
      <c r="J1089" s="32" t="s">
        <v>152</v>
      </c>
      <c r="K1089" s="32" t="s">
        <v>63</v>
      </c>
    </row>
    <row r="1090" customFormat="false" ht="13.5" hidden="false" customHeight="true" outlineLevel="0" collapsed="false">
      <c r="A1090" s="32" t="n">
        <v>3043</v>
      </c>
      <c r="B1090" s="32" t="s">
        <v>1014</v>
      </c>
      <c r="C1090" s="32" t="s">
        <v>1015</v>
      </c>
      <c r="D1090" s="32" t="s">
        <v>59</v>
      </c>
      <c r="E1090" s="32" t="s">
        <v>79</v>
      </c>
      <c r="F1090" s="32" t="n">
        <v>8142002266</v>
      </c>
      <c r="G1090" s="32" t="s">
        <v>80</v>
      </c>
      <c r="H1090" s="32" t="s">
        <v>21</v>
      </c>
      <c r="I1090" s="32" t="s">
        <v>151</v>
      </c>
      <c r="J1090" s="32" t="s">
        <v>152</v>
      </c>
      <c r="K1090" s="32" t="s">
        <v>63</v>
      </c>
    </row>
    <row r="1091" customFormat="false" ht="13.5" hidden="false" customHeight="true" outlineLevel="0" collapsed="false">
      <c r="A1091" s="32" t="n">
        <v>3044</v>
      </c>
      <c r="B1091" s="32" t="s">
        <v>1016</v>
      </c>
      <c r="C1091" s="32" t="s">
        <v>1017</v>
      </c>
      <c r="D1091" s="32" t="s">
        <v>59</v>
      </c>
      <c r="E1091" s="32" t="s">
        <v>143</v>
      </c>
      <c r="F1091" s="32" t="n">
        <v>7338978912</v>
      </c>
      <c r="G1091" s="32" t="s">
        <v>104</v>
      </c>
      <c r="H1091" s="32" t="s">
        <v>21</v>
      </c>
      <c r="I1091" s="32" t="s">
        <v>150</v>
      </c>
      <c r="J1091" s="32" t="s">
        <v>73</v>
      </c>
      <c r="K1091" s="32" t="s">
        <v>63</v>
      </c>
    </row>
    <row r="1092" customFormat="false" ht="13.5" hidden="false" customHeight="true" outlineLevel="0" collapsed="false">
      <c r="A1092" s="32" t="n">
        <v>3045</v>
      </c>
      <c r="B1092" s="32" t="s">
        <v>1016</v>
      </c>
      <c r="C1092" s="32" t="s">
        <v>1017</v>
      </c>
      <c r="D1092" s="32" t="s">
        <v>59</v>
      </c>
      <c r="E1092" s="32" t="s">
        <v>143</v>
      </c>
      <c r="F1092" s="32" t="n">
        <v>7338978912</v>
      </c>
      <c r="G1092" s="32" t="s">
        <v>104</v>
      </c>
      <c r="H1092" s="32" t="s">
        <v>21</v>
      </c>
      <c r="I1092" s="32" t="s">
        <v>387</v>
      </c>
      <c r="J1092" s="32" t="s">
        <v>388</v>
      </c>
      <c r="K1092" s="32" t="s">
        <v>63</v>
      </c>
    </row>
    <row r="1093" customFormat="false" ht="13.5" hidden="false" customHeight="true" outlineLevel="0" collapsed="false">
      <c r="A1093" s="32" t="n">
        <v>3046</v>
      </c>
      <c r="B1093" s="32" t="s">
        <v>1016</v>
      </c>
      <c r="C1093" s="32" t="s">
        <v>1017</v>
      </c>
      <c r="D1093" s="32" t="s">
        <v>59</v>
      </c>
      <c r="E1093" s="32" t="s">
        <v>143</v>
      </c>
      <c r="F1093" s="32" t="n">
        <v>7338978912</v>
      </c>
      <c r="G1093" s="32" t="s">
        <v>104</v>
      </c>
      <c r="H1093" s="32" t="s">
        <v>21</v>
      </c>
      <c r="I1093" s="32" t="s">
        <v>108</v>
      </c>
      <c r="J1093" s="32" t="s">
        <v>71</v>
      </c>
      <c r="K1093" s="32" t="s">
        <v>63</v>
      </c>
    </row>
    <row r="1094" customFormat="false" ht="13.5" hidden="false" customHeight="true" outlineLevel="0" collapsed="false">
      <c r="A1094" s="32" t="n">
        <v>3047</v>
      </c>
      <c r="B1094" s="32" t="s">
        <v>1016</v>
      </c>
      <c r="C1094" s="32" t="s">
        <v>1017</v>
      </c>
      <c r="D1094" s="32" t="s">
        <v>59</v>
      </c>
      <c r="E1094" s="32" t="s">
        <v>143</v>
      </c>
      <c r="F1094" s="32" t="n">
        <v>7338978912</v>
      </c>
      <c r="G1094" s="32" t="s">
        <v>104</v>
      </c>
      <c r="H1094" s="32" t="s">
        <v>21</v>
      </c>
      <c r="I1094" s="32" t="s">
        <v>111</v>
      </c>
      <c r="J1094" s="32" t="s">
        <v>73</v>
      </c>
      <c r="K1094" s="32" t="s">
        <v>63</v>
      </c>
    </row>
    <row r="1095" customFormat="false" ht="13.5" hidden="false" customHeight="true" outlineLevel="0" collapsed="false">
      <c r="A1095" s="32" t="n">
        <v>3048</v>
      </c>
      <c r="B1095" s="32" t="s">
        <v>1016</v>
      </c>
      <c r="C1095" s="32" t="s">
        <v>1017</v>
      </c>
      <c r="D1095" s="32" t="s">
        <v>59</v>
      </c>
      <c r="E1095" s="32" t="s">
        <v>143</v>
      </c>
      <c r="F1095" s="32" t="n">
        <v>7338978912</v>
      </c>
      <c r="G1095" s="32" t="s">
        <v>104</v>
      </c>
      <c r="H1095" s="32" t="s">
        <v>21</v>
      </c>
      <c r="I1095" s="32" t="s">
        <v>150</v>
      </c>
      <c r="J1095" s="32" t="s">
        <v>73</v>
      </c>
      <c r="K1095" s="32" t="s">
        <v>63</v>
      </c>
    </row>
    <row r="1096" customFormat="false" ht="13.5" hidden="false" customHeight="true" outlineLevel="0" collapsed="false">
      <c r="A1096" s="32" t="n">
        <v>3049</v>
      </c>
      <c r="B1096" s="32" t="s">
        <v>1016</v>
      </c>
      <c r="C1096" s="32" t="s">
        <v>1017</v>
      </c>
      <c r="D1096" s="32" t="s">
        <v>59</v>
      </c>
      <c r="E1096" s="32" t="s">
        <v>143</v>
      </c>
      <c r="F1096" s="32" t="n">
        <v>7338978912</v>
      </c>
      <c r="G1096" s="32" t="s">
        <v>104</v>
      </c>
      <c r="H1096" s="32" t="s">
        <v>21</v>
      </c>
      <c r="I1096" s="32" t="s">
        <v>212</v>
      </c>
      <c r="J1096" s="32" t="s">
        <v>73</v>
      </c>
      <c r="K1096" s="32" t="s">
        <v>63</v>
      </c>
    </row>
    <row r="1097" customFormat="false" ht="13.5" hidden="false" customHeight="true" outlineLevel="0" collapsed="false">
      <c r="A1097" s="32" t="n">
        <v>3050</v>
      </c>
      <c r="B1097" s="32" t="s">
        <v>1018</v>
      </c>
      <c r="C1097" s="32" t="s">
        <v>1019</v>
      </c>
      <c r="D1097" s="32" t="s">
        <v>59</v>
      </c>
      <c r="E1097" s="32" t="s">
        <v>107</v>
      </c>
      <c r="F1097" s="32" t="n">
        <v>9985660663</v>
      </c>
      <c r="G1097" s="32" t="s">
        <v>80</v>
      </c>
      <c r="H1097" s="32" t="s">
        <v>21</v>
      </c>
      <c r="I1097" s="32" t="s">
        <v>151</v>
      </c>
      <c r="J1097" s="32" t="s">
        <v>152</v>
      </c>
      <c r="K1097" s="32" t="s">
        <v>63</v>
      </c>
    </row>
    <row r="1098" customFormat="false" ht="13.5" hidden="false" customHeight="true" outlineLevel="0" collapsed="false">
      <c r="A1098" s="32" t="n">
        <v>3051</v>
      </c>
      <c r="B1098" s="32" t="s">
        <v>1018</v>
      </c>
      <c r="C1098" s="32" t="s">
        <v>1019</v>
      </c>
      <c r="D1098" s="32" t="s">
        <v>59</v>
      </c>
      <c r="E1098" s="32" t="s">
        <v>107</v>
      </c>
      <c r="F1098" s="32" t="n">
        <v>9985660663</v>
      </c>
      <c r="G1098" s="32" t="s">
        <v>80</v>
      </c>
      <c r="H1098" s="32" t="s">
        <v>21</v>
      </c>
      <c r="I1098" s="32" t="s">
        <v>284</v>
      </c>
      <c r="J1098" s="32" t="s">
        <v>117</v>
      </c>
      <c r="K1098" s="32" t="s">
        <v>63</v>
      </c>
    </row>
    <row r="1099" customFormat="false" ht="13.5" hidden="false" customHeight="true" outlineLevel="0" collapsed="false">
      <c r="A1099" s="32" t="n">
        <v>3052</v>
      </c>
      <c r="B1099" s="32" t="s">
        <v>1018</v>
      </c>
      <c r="C1099" s="32" t="s">
        <v>1019</v>
      </c>
      <c r="D1099" s="32" t="s">
        <v>59</v>
      </c>
      <c r="E1099" s="32" t="s">
        <v>107</v>
      </c>
      <c r="F1099" s="32" t="n">
        <v>9985660663</v>
      </c>
      <c r="G1099" s="32" t="s">
        <v>80</v>
      </c>
      <c r="H1099" s="32" t="s">
        <v>21</v>
      </c>
      <c r="I1099" s="32" t="s">
        <v>172</v>
      </c>
      <c r="J1099" s="32" t="s">
        <v>152</v>
      </c>
      <c r="K1099" s="32" t="s">
        <v>63</v>
      </c>
    </row>
    <row r="1100" customFormat="false" ht="13.5" hidden="false" customHeight="true" outlineLevel="0" collapsed="false">
      <c r="A1100" s="32" t="n">
        <v>3053</v>
      </c>
      <c r="B1100" s="32" t="s">
        <v>1020</v>
      </c>
      <c r="C1100" s="32" t="s">
        <v>1021</v>
      </c>
      <c r="D1100" s="32" t="s">
        <v>59</v>
      </c>
      <c r="E1100" s="32" t="s">
        <v>143</v>
      </c>
      <c r="F1100" s="32" t="n">
        <v>9003560385</v>
      </c>
      <c r="G1100" s="32" t="s">
        <v>61</v>
      </c>
      <c r="H1100" s="32" t="s">
        <v>21</v>
      </c>
      <c r="I1100" s="32" t="s">
        <v>829</v>
      </c>
      <c r="J1100" s="32" t="s">
        <v>134</v>
      </c>
      <c r="K1100" s="32" t="s">
        <v>63</v>
      </c>
    </row>
    <row r="1101" customFormat="false" ht="13.5" hidden="false" customHeight="true" outlineLevel="0" collapsed="false">
      <c r="A1101" s="32" t="n">
        <v>3054</v>
      </c>
      <c r="B1101" s="32" t="s">
        <v>1020</v>
      </c>
      <c r="C1101" s="32" t="s">
        <v>1022</v>
      </c>
      <c r="D1101" s="32" t="s">
        <v>59</v>
      </c>
      <c r="E1101" s="32" t="s">
        <v>143</v>
      </c>
      <c r="F1101" s="32" t="n">
        <v>9003560385</v>
      </c>
      <c r="G1101" s="32" t="s">
        <v>61</v>
      </c>
      <c r="H1101" s="32" t="s">
        <v>21</v>
      </c>
      <c r="I1101" s="32" t="s">
        <v>280</v>
      </c>
      <c r="J1101" s="32" t="s">
        <v>76</v>
      </c>
      <c r="K1101" s="32" t="s">
        <v>63</v>
      </c>
    </row>
    <row r="1102" customFormat="false" ht="13.5" hidden="false" customHeight="true" outlineLevel="0" collapsed="false">
      <c r="A1102" s="32" t="n">
        <v>3055</v>
      </c>
      <c r="B1102" s="32" t="s">
        <v>1020</v>
      </c>
      <c r="C1102" s="32" t="s">
        <v>1022</v>
      </c>
      <c r="D1102" s="32" t="s">
        <v>59</v>
      </c>
      <c r="E1102" s="32" t="s">
        <v>143</v>
      </c>
      <c r="F1102" s="32" t="n">
        <v>9003560385</v>
      </c>
      <c r="G1102" s="32" t="s">
        <v>61</v>
      </c>
      <c r="H1102" s="32" t="s">
        <v>21</v>
      </c>
      <c r="I1102" s="32" t="s">
        <v>133</v>
      </c>
      <c r="J1102" s="32" t="s">
        <v>134</v>
      </c>
      <c r="K1102" s="32" t="s">
        <v>63</v>
      </c>
    </row>
    <row r="1103" customFormat="false" ht="13.5" hidden="false" customHeight="true" outlineLevel="0" collapsed="false">
      <c r="A1103" s="32" t="n">
        <v>3056</v>
      </c>
      <c r="B1103" s="32" t="s">
        <v>1020</v>
      </c>
      <c r="C1103" s="32" t="s">
        <v>1022</v>
      </c>
      <c r="D1103" s="32" t="s">
        <v>59</v>
      </c>
      <c r="E1103" s="32" t="s">
        <v>143</v>
      </c>
      <c r="F1103" s="32" t="n">
        <v>9003560385</v>
      </c>
      <c r="G1103" s="32" t="s">
        <v>61</v>
      </c>
      <c r="H1103" s="32" t="s">
        <v>21</v>
      </c>
      <c r="I1103" s="32" t="s">
        <v>314</v>
      </c>
      <c r="J1103" s="32" t="s">
        <v>134</v>
      </c>
      <c r="K1103" s="32" t="s">
        <v>63</v>
      </c>
    </row>
    <row r="1104" customFormat="false" ht="13.5" hidden="false" customHeight="true" outlineLevel="0" collapsed="false">
      <c r="A1104" s="32" t="n">
        <v>3057</v>
      </c>
      <c r="B1104" s="32" t="s">
        <v>1023</v>
      </c>
      <c r="C1104" s="32" t="s">
        <v>1024</v>
      </c>
      <c r="D1104" s="32" t="s">
        <v>114</v>
      </c>
      <c r="E1104" s="32" t="s">
        <v>124</v>
      </c>
      <c r="F1104" s="33" t="n">
        <v>917976000000</v>
      </c>
      <c r="G1104" s="32" t="s">
        <v>61</v>
      </c>
      <c r="H1104" s="32" t="s">
        <v>22</v>
      </c>
      <c r="I1104" s="32" t="s">
        <v>87</v>
      </c>
      <c r="J1104" s="32" t="s">
        <v>84</v>
      </c>
      <c r="K1104" s="32" t="s">
        <v>63</v>
      </c>
    </row>
    <row r="1105" customFormat="false" ht="13.5" hidden="false" customHeight="true" outlineLevel="0" collapsed="false">
      <c r="A1105" s="32" t="n">
        <v>3058</v>
      </c>
      <c r="B1105" s="32" t="s">
        <v>1023</v>
      </c>
      <c r="C1105" s="32" t="s">
        <v>1024</v>
      </c>
      <c r="D1105" s="32" t="s">
        <v>114</v>
      </c>
      <c r="E1105" s="32" t="s">
        <v>124</v>
      </c>
      <c r="F1105" s="33" t="n">
        <v>917976000000</v>
      </c>
      <c r="G1105" s="32" t="s">
        <v>61</v>
      </c>
      <c r="H1105" s="32" t="s">
        <v>22</v>
      </c>
      <c r="I1105" s="32" t="s">
        <v>1025</v>
      </c>
      <c r="J1105" s="32" t="s">
        <v>326</v>
      </c>
      <c r="K1105" s="32" t="s">
        <v>63</v>
      </c>
    </row>
    <row r="1106" customFormat="false" ht="13.5" hidden="false" customHeight="true" outlineLevel="0" collapsed="false">
      <c r="A1106" s="32" t="n">
        <v>3059</v>
      </c>
      <c r="B1106" s="32" t="s">
        <v>1023</v>
      </c>
      <c r="C1106" s="32" t="s">
        <v>1024</v>
      </c>
      <c r="D1106" s="32" t="s">
        <v>114</v>
      </c>
      <c r="E1106" s="32" t="s">
        <v>124</v>
      </c>
      <c r="F1106" s="33" t="n">
        <v>917976000000</v>
      </c>
      <c r="G1106" s="32" t="s">
        <v>61</v>
      </c>
      <c r="H1106" s="32" t="s">
        <v>22</v>
      </c>
      <c r="I1106" s="32" t="s">
        <v>826</v>
      </c>
      <c r="J1106" s="32" t="s">
        <v>84</v>
      </c>
      <c r="K1106" s="32" t="s">
        <v>63</v>
      </c>
    </row>
    <row r="1107" customFormat="false" ht="13.5" hidden="false" customHeight="true" outlineLevel="0" collapsed="false">
      <c r="A1107" s="32" t="n">
        <v>3060</v>
      </c>
      <c r="B1107" s="32" t="s">
        <v>1026</v>
      </c>
      <c r="C1107" s="32" t="s">
        <v>1027</v>
      </c>
      <c r="D1107" s="32" t="s">
        <v>114</v>
      </c>
      <c r="E1107" s="32" t="s">
        <v>115</v>
      </c>
      <c r="F1107" s="33" t="n">
        <v>918801000000</v>
      </c>
      <c r="G1107" s="32" t="s">
        <v>144</v>
      </c>
      <c r="H1107" s="32" t="s">
        <v>22</v>
      </c>
      <c r="I1107" s="32" t="s">
        <v>121</v>
      </c>
      <c r="J1107" s="32" t="s">
        <v>110</v>
      </c>
      <c r="K1107" s="32" t="s">
        <v>63</v>
      </c>
    </row>
    <row r="1108" customFormat="false" ht="13.5" hidden="false" customHeight="true" outlineLevel="0" collapsed="false">
      <c r="A1108" s="32" t="n">
        <v>3061</v>
      </c>
      <c r="B1108" s="32" t="s">
        <v>1028</v>
      </c>
      <c r="C1108" s="32" t="s">
        <v>1029</v>
      </c>
      <c r="D1108" s="32" t="s">
        <v>114</v>
      </c>
      <c r="E1108" s="32" t="s">
        <v>115</v>
      </c>
      <c r="F1108" s="32" t="n">
        <v>0</v>
      </c>
      <c r="G1108" s="32" t="s">
        <v>61</v>
      </c>
      <c r="H1108" s="32" t="s">
        <v>22</v>
      </c>
      <c r="I1108" s="32" t="s">
        <v>248</v>
      </c>
      <c r="J1108" s="32" t="s">
        <v>117</v>
      </c>
      <c r="K1108" s="32" t="s">
        <v>63</v>
      </c>
    </row>
    <row r="1109" customFormat="false" ht="13.5" hidden="false" customHeight="true" outlineLevel="0" collapsed="false">
      <c r="A1109" s="32" t="n">
        <v>3062</v>
      </c>
      <c r="B1109" s="32" t="s">
        <v>1028</v>
      </c>
      <c r="C1109" s="32" t="s">
        <v>1029</v>
      </c>
      <c r="D1109" s="32" t="s">
        <v>114</v>
      </c>
      <c r="E1109" s="32" t="s">
        <v>115</v>
      </c>
      <c r="F1109" s="32" t="n">
        <v>0</v>
      </c>
      <c r="G1109" s="32" t="s">
        <v>61</v>
      </c>
      <c r="H1109" s="32" t="s">
        <v>22</v>
      </c>
      <c r="I1109" s="32" t="s">
        <v>93</v>
      </c>
      <c r="J1109" s="32" t="s">
        <v>85</v>
      </c>
      <c r="K1109" s="32" t="s">
        <v>63</v>
      </c>
    </row>
    <row r="1110" customFormat="false" ht="13.5" hidden="false" customHeight="true" outlineLevel="0" collapsed="false">
      <c r="A1110" s="32" t="n">
        <v>3063</v>
      </c>
      <c r="B1110" s="32" t="s">
        <v>1028</v>
      </c>
      <c r="C1110" s="32" t="s">
        <v>1029</v>
      </c>
      <c r="D1110" s="32" t="s">
        <v>114</v>
      </c>
      <c r="E1110" s="32" t="s">
        <v>115</v>
      </c>
      <c r="F1110" s="32" t="n">
        <v>0</v>
      </c>
      <c r="G1110" s="32" t="s">
        <v>61</v>
      </c>
      <c r="H1110" s="32" t="s">
        <v>22</v>
      </c>
      <c r="I1110" s="32" t="s">
        <v>126</v>
      </c>
      <c r="J1110" s="32" t="s">
        <v>85</v>
      </c>
      <c r="K1110" s="32" t="s">
        <v>63</v>
      </c>
    </row>
    <row r="1111" customFormat="false" ht="13.5" hidden="false" customHeight="true" outlineLevel="0" collapsed="false">
      <c r="A1111" s="32" t="n">
        <v>3064</v>
      </c>
      <c r="B1111" s="32" t="s">
        <v>1030</v>
      </c>
      <c r="C1111" s="32" t="s">
        <v>1031</v>
      </c>
      <c r="D1111" s="32" t="s">
        <v>114</v>
      </c>
      <c r="E1111" s="32" t="s">
        <v>165</v>
      </c>
      <c r="F1111" s="32" t="n">
        <v>9553005757</v>
      </c>
      <c r="G1111" s="32" t="s">
        <v>80</v>
      </c>
      <c r="H1111" s="32" t="s">
        <v>22</v>
      </c>
      <c r="I1111" s="32" t="s">
        <v>121</v>
      </c>
      <c r="J1111" s="32" t="s">
        <v>110</v>
      </c>
      <c r="K1111" s="32" t="s">
        <v>63</v>
      </c>
    </row>
    <row r="1112" customFormat="false" ht="13.5" hidden="false" customHeight="true" outlineLevel="0" collapsed="false">
      <c r="A1112" s="32" t="n">
        <v>3065</v>
      </c>
      <c r="B1112" s="32" t="s">
        <v>1030</v>
      </c>
      <c r="C1112" s="32" t="s">
        <v>1031</v>
      </c>
      <c r="D1112" s="32" t="s">
        <v>114</v>
      </c>
      <c r="E1112" s="32" t="s">
        <v>165</v>
      </c>
      <c r="F1112" s="32" t="n">
        <v>9553005757</v>
      </c>
      <c r="G1112" s="32" t="s">
        <v>80</v>
      </c>
      <c r="H1112" s="32" t="s">
        <v>22</v>
      </c>
      <c r="I1112" s="32" t="s">
        <v>145</v>
      </c>
      <c r="J1112" s="32" t="s">
        <v>117</v>
      </c>
      <c r="K1112" s="32" t="s">
        <v>63</v>
      </c>
    </row>
    <row r="1113" customFormat="false" ht="13.5" hidden="false" customHeight="true" outlineLevel="0" collapsed="false">
      <c r="A1113" s="32" t="n">
        <v>3066</v>
      </c>
      <c r="B1113" s="32" t="s">
        <v>1030</v>
      </c>
      <c r="C1113" s="32" t="s">
        <v>1031</v>
      </c>
      <c r="D1113" s="32" t="s">
        <v>114</v>
      </c>
      <c r="E1113" s="32" t="s">
        <v>165</v>
      </c>
      <c r="F1113" s="32" t="n">
        <v>9553005757</v>
      </c>
      <c r="G1113" s="32" t="s">
        <v>80</v>
      </c>
      <c r="H1113" s="32" t="s">
        <v>22</v>
      </c>
      <c r="I1113" s="32" t="s">
        <v>133</v>
      </c>
      <c r="J1113" s="32" t="s">
        <v>134</v>
      </c>
      <c r="K1113" s="32" t="s">
        <v>63</v>
      </c>
    </row>
    <row r="1114" customFormat="false" ht="13.5" hidden="false" customHeight="true" outlineLevel="0" collapsed="false">
      <c r="A1114" s="32" t="n">
        <v>3068</v>
      </c>
      <c r="B1114" s="32" t="s">
        <v>1032</v>
      </c>
      <c r="C1114" s="32" t="s">
        <v>1033</v>
      </c>
      <c r="D1114" s="32" t="s">
        <v>59</v>
      </c>
      <c r="E1114" s="32" t="s">
        <v>60</v>
      </c>
      <c r="F1114" s="32" t="n">
        <v>0</v>
      </c>
      <c r="G1114" s="32" t="s">
        <v>61</v>
      </c>
      <c r="H1114" s="32" t="s">
        <v>21</v>
      </c>
      <c r="I1114" s="32" t="s">
        <v>1034</v>
      </c>
      <c r="J1114" s="32" t="s">
        <v>62</v>
      </c>
      <c r="K1114" s="32" t="s">
        <v>63</v>
      </c>
    </row>
    <row r="1115" customFormat="false" ht="13.5" hidden="false" customHeight="true" outlineLevel="0" collapsed="false">
      <c r="A1115" s="32" t="n">
        <v>3069</v>
      </c>
      <c r="B1115" s="32" t="s">
        <v>1032</v>
      </c>
      <c r="C1115" s="32" t="s">
        <v>1035</v>
      </c>
      <c r="D1115" s="32" t="s">
        <v>59</v>
      </c>
      <c r="E1115" s="32" t="s">
        <v>60</v>
      </c>
      <c r="F1115" s="32" t="n">
        <v>0</v>
      </c>
      <c r="G1115" s="32" t="s">
        <v>61</v>
      </c>
      <c r="H1115" s="32" t="s">
        <v>21</v>
      </c>
      <c r="I1115" s="32" t="s">
        <v>14</v>
      </c>
      <c r="J1115" s="32" t="s">
        <v>66</v>
      </c>
      <c r="K1115" s="32" t="s">
        <v>63</v>
      </c>
    </row>
    <row r="1116" customFormat="false" ht="13.5" hidden="false" customHeight="true" outlineLevel="0" collapsed="false">
      <c r="A1116" s="32" t="n">
        <v>3072</v>
      </c>
      <c r="B1116" s="32" t="s">
        <v>1032</v>
      </c>
      <c r="C1116" s="32" t="s">
        <v>1035</v>
      </c>
      <c r="D1116" s="32" t="s">
        <v>59</v>
      </c>
      <c r="E1116" s="32" t="s">
        <v>60</v>
      </c>
      <c r="F1116" s="32" t="n">
        <v>6366364455</v>
      </c>
      <c r="G1116" s="32" t="s">
        <v>61</v>
      </c>
      <c r="H1116" s="32" t="s">
        <v>21</v>
      </c>
      <c r="I1116" s="32" t="s">
        <v>156</v>
      </c>
      <c r="J1116" s="32" t="s">
        <v>62</v>
      </c>
      <c r="K1116" s="32" t="s">
        <v>63</v>
      </c>
    </row>
    <row r="1117" customFormat="false" ht="13.5" hidden="false" customHeight="true" outlineLevel="0" collapsed="false">
      <c r="A1117" s="32" t="n">
        <v>3073</v>
      </c>
      <c r="B1117" s="32" t="s">
        <v>1032</v>
      </c>
      <c r="C1117" s="32" t="s">
        <v>1035</v>
      </c>
      <c r="D1117" s="32" t="s">
        <v>59</v>
      </c>
      <c r="E1117" s="32" t="s">
        <v>60</v>
      </c>
      <c r="F1117" s="32" t="n">
        <v>0</v>
      </c>
      <c r="G1117" s="32" t="s">
        <v>61</v>
      </c>
      <c r="H1117" s="32" t="s">
        <v>21</v>
      </c>
      <c r="I1117" s="32" t="s">
        <v>1036</v>
      </c>
      <c r="J1117" s="32" t="s">
        <v>62</v>
      </c>
      <c r="K1117" s="32" t="s">
        <v>63</v>
      </c>
    </row>
    <row r="1118" customFormat="false" ht="13.5" hidden="false" customHeight="true" outlineLevel="0" collapsed="false">
      <c r="A1118" s="32" t="n">
        <v>3074</v>
      </c>
      <c r="B1118" s="32" t="s">
        <v>1037</v>
      </c>
      <c r="C1118" s="32" t="s">
        <v>1038</v>
      </c>
      <c r="D1118" s="32" t="s">
        <v>59</v>
      </c>
      <c r="E1118" s="32" t="n">
        <v>0</v>
      </c>
      <c r="F1118" s="32" t="n">
        <v>9573389519</v>
      </c>
      <c r="G1118" s="32" t="s">
        <v>80</v>
      </c>
      <c r="H1118" s="32" t="s">
        <v>21</v>
      </c>
      <c r="I1118" s="32" t="s">
        <v>75</v>
      </c>
      <c r="J1118" s="32" t="s">
        <v>76</v>
      </c>
      <c r="K1118" s="32" t="s">
        <v>63</v>
      </c>
    </row>
    <row r="1119" customFormat="false" ht="13.5" hidden="false" customHeight="true" outlineLevel="0" collapsed="false">
      <c r="A1119" s="32" t="n">
        <v>3075</v>
      </c>
      <c r="B1119" s="32" t="s">
        <v>1037</v>
      </c>
      <c r="C1119" s="32" t="s">
        <v>1039</v>
      </c>
      <c r="D1119" s="32" t="s">
        <v>59</v>
      </c>
      <c r="E1119" s="32" t="n">
        <v>0</v>
      </c>
      <c r="F1119" s="33" t="n">
        <v>919573000000</v>
      </c>
      <c r="G1119" s="32" t="s">
        <v>80</v>
      </c>
      <c r="H1119" s="32" t="s">
        <v>21</v>
      </c>
      <c r="I1119" s="32" t="s">
        <v>307</v>
      </c>
      <c r="J1119" s="32" t="s">
        <v>307</v>
      </c>
      <c r="K1119" s="32" t="s">
        <v>63</v>
      </c>
    </row>
    <row r="1120" customFormat="false" ht="13.5" hidden="false" customHeight="true" outlineLevel="0" collapsed="false">
      <c r="A1120" s="32" t="n">
        <v>3076</v>
      </c>
      <c r="B1120" s="32" t="s">
        <v>1037</v>
      </c>
      <c r="C1120" s="32" t="s">
        <v>1039</v>
      </c>
      <c r="D1120" s="32" t="s">
        <v>59</v>
      </c>
      <c r="E1120" s="32" t="n">
        <v>0</v>
      </c>
      <c r="F1120" s="32" t="n">
        <v>9573389519</v>
      </c>
      <c r="G1120" s="32" t="s">
        <v>80</v>
      </c>
      <c r="H1120" s="32" t="s">
        <v>21</v>
      </c>
      <c r="I1120" s="32" t="s">
        <v>833</v>
      </c>
      <c r="J1120" s="32" t="s">
        <v>203</v>
      </c>
      <c r="K1120" s="32" t="s">
        <v>63</v>
      </c>
    </row>
    <row r="1121" customFormat="false" ht="13.5" hidden="false" customHeight="true" outlineLevel="0" collapsed="false">
      <c r="A1121" s="32" t="n">
        <v>3077</v>
      </c>
      <c r="B1121" s="32" t="s">
        <v>1040</v>
      </c>
      <c r="C1121" s="32" t="s">
        <v>1041</v>
      </c>
      <c r="D1121" s="32" t="s">
        <v>59</v>
      </c>
      <c r="E1121" s="32" t="s">
        <v>79</v>
      </c>
      <c r="F1121" s="32" t="n">
        <v>9642702477</v>
      </c>
      <c r="G1121" s="32" t="s">
        <v>80</v>
      </c>
      <c r="H1121" s="32" t="s">
        <v>21</v>
      </c>
      <c r="I1121" s="32" t="s">
        <v>284</v>
      </c>
      <c r="J1121" s="32" t="s">
        <v>117</v>
      </c>
      <c r="K1121" s="32" t="s">
        <v>63</v>
      </c>
    </row>
    <row r="1122" customFormat="false" ht="13.5" hidden="false" customHeight="true" outlineLevel="0" collapsed="false">
      <c r="A1122" s="32" t="n">
        <v>3078</v>
      </c>
      <c r="B1122" s="32" t="s">
        <v>1040</v>
      </c>
      <c r="C1122" s="32" t="s">
        <v>1041</v>
      </c>
      <c r="D1122" s="32" t="s">
        <v>59</v>
      </c>
      <c r="E1122" s="32" t="s">
        <v>79</v>
      </c>
      <c r="F1122" s="32" t="n">
        <v>9642702477</v>
      </c>
      <c r="G1122" s="32" t="s">
        <v>80</v>
      </c>
      <c r="H1122" s="32" t="s">
        <v>21</v>
      </c>
      <c r="I1122" s="32" t="s">
        <v>151</v>
      </c>
      <c r="J1122" s="32" t="s">
        <v>152</v>
      </c>
      <c r="K1122" s="32" t="s">
        <v>63</v>
      </c>
    </row>
    <row r="1123" customFormat="false" ht="13.5" hidden="false" customHeight="true" outlineLevel="0" collapsed="false">
      <c r="A1123" s="32" t="n">
        <v>3079</v>
      </c>
      <c r="B1123" s="32" t="s">
        <v>1040</v>
      </c>
      <c r="C1123" s="32" t="s">
        <v>1041</v>
      </c>
      <c r="D1123" s="32" t="s">
        <v>59</v>
      </c>
      <c r="E1123" s="32" t="s">
        <v>79</v>
      </c>
      <c r="F1123" s="32" t="n">
        <v>9642702477</v>
      </c>
      <c r="G1123" s="32" t="s">
        <v>80</v>
      </c>
      <c r="H1123" s="32" t="s">
        <v>21</v>
      </c>
      <c r="I1123" s="32" t="s">
        <v>371</v>
      </c>
      <c r="J1123" s="32" t="s">
        <v>152</v>
      </c>
      <c r="K1123" s="32" t="s">
        <v>63</v>
      </c>
    </row>
    <row r="1124" customFormat="false" ht="13.5" hidden="false" customHeight="true" outlineLevel="0" collapsed="false">
      <c r="A1124" s="32" t="n">
        <v>3080</v>
      </c>
      <c r="B1124" s="32" t="s">
        <v>1040</v>
      </c>
      <c r="C1124" s="32" t="s">
        <v>1041</v>
      </c>
      <c r="D1124" s="32" t="s">
        <v>59</v>
      </c>
      <c r="E1124" s="32" t="s">
        <v>79</v>
      </c>
      <c r="F1124" s="32" t="n">
        <v>9642702477</v>
      </c>
      <c r="G1124" s="32" t="s">
        <v>80</v>
      </c>
      <c r="H1124" s="32" t="s">
        <v>21</v>
      </c>
      <c r="I1124" s="32" t="s">
        <v>151</v>
      </c>
      <c r="J1124" s="32" t="s">
        <v>152</v>
      </c>
      <c r="K1124" s="32" t="s">
        <v>63</v>
      </c>
    </row>
    <row r="1125" customFormat="false" ht="13.5" hidden="false" customHeight="true" outlineLevel="0" collapsed="false">
      <c r="A1125" s="32" t="n">
        <v>3081</v>
      </c>
      <c r="B1125" s="32" t="s">
        <v>1042</v>
      </c>
      <c r="C1125" s="32" t="s">
        <v>1043</v>
      </c>
      <c r="D1125" s="32" t="s">
        <v>114</v>
      </c>
      <c r="E1125" s="32" t="s">
        <v>165</v>
      </c>
      <c r="F1125" s="32" t="n">
        <v>9963788555</v>
      </c>
      <c r="G1125" s="32" t="s">
        <v>80</v>
      </c>
      <c r="H1125" s="32" t="s">
        <v>22</v>
      </c>
      <c r="I1125" s="32" t="s">
        <v>128</v>
      </c>
      <c r="J1125" s="32" t="s">
        <v>89</v>
      </c>
      <c r="K1125" s="32" t="s">
        <v>63</v>
      </c>
    </row>
    <row r="1126" customFormat="false" ht="13.5" hidden="false" customHeight="true" outlineLevel="0" collapsed="false">
      <c r="A1126" s="32" t="n">
        <v>3083</v>
      </c>
      <c r="B1126" s="32" t="s">
        <v>1042</v>
      </c>
      <c r="C1126" s="32" t="s">
        <v>1043</v>
      </c>
      <c r="D1126" s="32" t="s">
        <v>114</v>
      </c>
      <c r="E1126" s="32" t="s">
        <v>165</v>
      </c>
      <c r="F1126" s="32" t="n">
        <v>9963788555</v>
      </c>
      <c r="G1126" s="32" t="s">
        <v>80</v>
      </c>
      <c r="H1126" s="32" t="s">
        <v>22</v>
      </c>
      <c r="I1126" s="32" t="s">
        <v>185</v>
      </c>
      <c r="J1126" s="32" t="s">
        <v>186</v>
      </c>
      <c r="K1126" s="32" t="s">
        <v>63</v>
      </c>
    </row>
    <row r="1127" customFormat="false" ht="13.5" hidden="false" customHeight="true" outlineLevel="0" collapsed="false">
      <c r="A1127" s="32" t="n">
        <v>3086</v>
      </c>
      <c r="B1127" s="32" t="s">
        <v>1042</v>
      </c>
      <c r="C1127" s="32" t="s">
        <v>1043</v>
      </c>
      <c r="D1127" s="32" t="s">
        <v>114</v>
      </c>
      <c r="E1127" s="32" t="s">
        <v>165</v>
      </c>
      <c r="F1127" s="32" t="n">
        <v>9963788555</v>
      </c>
      <c r="G1127" s="32" t="s">
        <v>80</v>
      </c>
      <c r="H1127" s="32" t="s">
        <v>22</v>
      </c>
      <c r="I1127" s="32" t="s">
        <v>145</v>
      </c>
      <c r="J1127" s="32" t="s">
        <v>117</v>
      </c>
      <c r="K1127" s="32" t="s">
        <v>63</v>
      </c>
    </row>
    <row r="1128" customFormat="false" ht="13.5" hidden="false" customHeight="true" outlineLevel="0" collapsed="false">
      <c r="A1128" s="32" t="n">
        <v>3087</v>
      </c>
      <c r="B1128" s="32" t="s">
        <v>1042</v>
      </c>
      <c r="C1128" s="32" t="s">
        <v>1043</v>
      </c>
      <c r="D1128" s="32" t="s">
        <v>114</v>
      </c>
      <c r="E1128" s="32" t="s">
        <v>165</v>
      </c>
      <c r="F1128" s="32" t="n">
        <v>9963788555</v>
      </c>
      <c r="G1128" s="32" t="s">
        <v>80</v>
      </c>
      <c r="H1128" s="32" t="s">
        <v>22</v>
      </c>
      <c r="I1128" s="32" t="s">
        <v>116</v>
      </c>
      <c r="J1128" s="32" t="s">
        <v>117</v>
      </c>
      <c r="K1128" s="32" t="s">
        <v>63</v>
      </c>
    </row>
    <row r="1129" customFormat="false" ht="13.5" hidden="false" customHeight="true" outlineLevel="0" collapsed="false">
      <c r="A1129" s="32" t="n">
        <v>3088</v>
      </c>
      <c r="B1129" s="32" t="s">
        <v>1044</v>
      </c>
      <c r="C1129" s="32" t="s">
        <v>1045</v>
      </c>
      <c r="D1129" s="32" t="s">
        <v>114</v>
      </c>
      <c r="E1129" s="32" t="s">
        <v>165</v>
      </c>
      <c r="F1129" s="32" t="n">
        <v>9790421700</v>
      </c>
      <c r="G1129" s="32" t="s">
        <v>0</v>
      </c>
      <c r="H1129" s="32" t="s">
        <v>22</v>
      </c>
      <c r="I1129" s="32" t="s">
        <v>93</v>
      </c>
      <c r="J1129" s="32" t="s">
        <v>85</v>
      </c>
      <c r="K1129" s="32" t="s">
        <v>63</v>
      </c>
    </row>
    <row r="1130" customFormat="false" ht="13.5" hidden="false" customHeight="true" outlineLevel="0" collapsed="false">
      <c r="A1130" s="32" t="n">
        <v>3089</v>
      </c>
      <c r="B1130" s="32" t="s">
        <v>1044</v>
      </c>
      <c r="C1130" s="32" t="s">
        <v>1046</v>
      </c>
      <c r="D1130" s="32" t="s">
        <v>114</v>
      </c>
      <c r="E1130" s="32" t="s">
        <v>165</v>
      </c>
      <c r="F1130" s="32" t="n">
        <v>9790421700</v>
      </c>
      <c r="G1130" s="32" t="s">
        <v>0</v>
      </c>
      <c r="H1130" s="32" t="s">
        <v>22</v>
      </c>
      <c r="I1130" s="32" t="s">
        <v>120</v>
      </c>
      <c r="J1130" s="32" t="s">
        <v>110</v>
      </c>
      <c r="K1130" s="32" t="s">
        <v>63</v>
      </c>
    </row>
    <row r="1131" customFormat="false" ht="13.5" hidden="false" customHeight="true" outlineLevel="0" collapsed="false">
      <c r="A1131" s="32" t="n">
        <v>3090</v>
      </c>
      <c r="B1131" s="32" t="s">
        <v>1044</v>
      </c>
      <c r="C1131" s="32" t="s">
        <v>1046</v>
      </c>
      <c r="D1131" s="32" t="s">
        <v>114</v>
      </c>
      <c r="E1131" s="32" t="s">
        <v>165</v>
      </c>
      <c r="F1131" s="32" t="n">
        <v>9790421700</v>
      </c>
      <c r="G1131" s="32" t="s">
        <v>0</v>
      </c>
      <c r="H1131" s="32" t="s">
        <v>22</v>
      </c>
      <c r="I1131" s="32" t="s">
        <v>121</v>
      </c>
      <c r="J1131" s="32" t="s">
        <v>110</v>
      </c>
      <c r="K1131" s="32" t="s">
        <v>63</v>
      </c>
    </row>
    <row r="1132" customFormat="false" ht="13.5" hidden="false" customHeight="true" outlineLevel="0" collapsed="false">
      <c r="A1132" s="32" t="n">
        <v>3091</v>
      </c>
      <c r="B1132" s="32" t="s">
        <v>1044</v>
      </c>
      <c r="C1132" s="32" t="s">
        <v>1046</v>
      </c>
      <c r="D1132" s="32" t="s">
        <v>114</v>
      </c>
      <c r="E1132" s="32" t="s">
        <v>165</v>
      </c>
      <c r="F1132" s="32" t="n">
        <v>9790421700</v>
      </c>
      <c r="G1132" s="32" t="s">
        <v>0</v>
      </c>
      <c r="H1132" s="32" t="s">
        <v>22</v>
      </c>
      <c r="I1132" s="32" t="s">
        <v>145</v>
      </c>
      <c r="J1132" s="32" t="s">
        <v>117</v>
      </c>
      <c r="K1132" s="32" t="s">
        <v>63</v>
      </c>
    </row>
    <row r="1133" customFormat="false" ht="13.5" hidden="false" customHeight="true" outlineLevel="0" collapsed="false">
      <c r="A1133" s="32" t="n">
        <v>3092</v>
      </c>
      <c r="B1133" s="32" t="s">
        <v>1044</v>
      </c>
      <c r="C1133" s="32" t="s">
        <v>1046</v>
      </c>
      <c r="D1133" s="32" t="s">
        <v>114</v>
      </c>
      <c r="E1133" s="32" t="s">
        <v>165</v>
      </c>
      <c r="F1133" s="32" t="n">
        <v>9790421700</v>
      </c>
      <c r="G1133" s="32" t="s">
        <v>0</v>
      </c>
      <c r="H1133" s="32" t="s">
        <v>22</v>
      </c>
      <c r="I1133" s="32" t="s">
        <v>30</v>
      </c>
      <c r="J1133" s="32" t="s">
        <v>203</v>
      </c>
      <c r="K1133" s="32" t="s">
        <v>63</v>
      </c>
    </row>
    <row r="1134" customFormat="false" ht="13.5" hidden="false" customHeight="true" outlineLevel="0" collapsed="false">
      <c r="A1134" s="32" t="n">
        <v>3093</v>
      </c>
      <c r="B1134" s="32" t="s">
        <v>1044</v>
      </c>
      <c r="C1134" s="32" t="s">
        <v>1045</v>
      </c>
      <c r="D1134" s="32" t="s">
        <v>114</v>
      </c>
      <c r="E1134" s="32" t="s">
        <v>165</v>
      </c>
      <c r="F1134" s="32" t="n">
        <v>9790421700</v>
      </c>
      <c r="G1134" s="32" t="s">
        <v>0</v>
      </c>
      <c r="H1134" s="32" t="s">
        <v>22</v>
      </c>
      <c r="I1134" s="32" t="s">
        <v>27</v>
      </c>
      <c r="J1134" s="32" t="s">
        <v>13</v>
      </c>
      <c r="K1134" s="32" t="s">
        <v>63</v>
      </c>
    </row>
    <row r="1135" customFormat="false" ht="13.5" hidden="false" customHeight="true" outlineLevel="0" collapsed="false">
      <c r="A1135" s="32" t="n">
        <v>3094</v>
      </c>
      <c r="B1135" s="32" t="s">
        <v>1047</v>
      </c>
      <c r="C1135" s="32" t="s">
        <v>1048</v>
      </c>
      <c r="D1135" s="32" t="s">
        <v>114</v>
      </c>
      <c r="E1135" s="32" t="s">
        <v>115</v>
      </c>
      <c r="F1135" s="32" t="n">
        <v>9870838180</v>
      </c>
      <c r="G1135" s="32" t="s">
        <v>104</v>
      </c>
      <c r="H1135" s="32" t="s">
        <v>22</v>
      </c>
      <c r="I1135" s="32" t="s">
        <v>145</v>
      </c>
      <c r="J1135" s="32" t="s">
        <v>117</v>
      </c>
      <c r="K1135" s="32" t="s">
        <v>63</v>
      </c>
    </row>
    <row r="1136" customFormat="false" ht="13.5" hidden="false" customHeight="true" outlineLevel="0" collapsed="false">
      <c r="A1136" s="32" t="n">
        <v>3095</v>
      </c>
      <c r="B1136" s="32" t="s">
        <v>1047</v>
      </c>
      <c r="C1136" s="32" t="s">
        <v>1048</v>
      </c>
      <c r="D1136" s="32" t="s">
        <v>114</v>
      </c>
      <c r="E1136" s="32" t="s">
        <v>115</v>
      </c>
      <c r="F1136" s="32" t="n">
        <v>9870838180</v>
      </c>
      <c r="G1136" s="32" t="s">
        <v>104</v>
      </c>
      <c r="H1136" s="32" t="s">
        <v>22</v>
      </c>
      <c r="I1136" s="32" t="s">
        <v>120</v>
      </c>
      <c r="J1136" s="32" t="s">
        <v>110</v>
      </c>
      <c r="K1136" s="32" t="s">
        <v>63</v>
      </c>
    </row>
    <row r="1137" customFormat="false" ht="13.5" hidden="false" customHeight="true" outlineLevel="0" collapsed="false">
      <c r="A1137" s="32" t="n">
        <v>3096</v>
      </c>
      <c r="B1137" s="32" t="s">
        <v>1047</v>
      </c>
      <c r="C1137" s="32" t="s">
        <v>1048</v>
      </c>
      <c r="D1137" s="32" t="s">
        <v>114</v>
      </c>
      <c r="E1137" s="32" t="s">
        <v>115</v>
      </c>
      <c r="F1137" s="32" t="n">
        <v>9870838180</v>
      </c>
      <c r="G1137" s="32" t="s">
        <v>104</v>
      </c>
      <c r="H1137" s="32" t="s">
        <v>22</v>
      </c>
      <c r="I1137" s="32" t="s">
        <v>121</v>
      </c>
      <c r="J1137" s="32" t="s">
        <v>110</v>
      </c>
      <c r="K1137" s="32" t="s">
        <v>63</v>
      </c>
    </row>
    <row r="1138" customFormat="false" ht="13.5" hidden="false" customHeight="true" outlineLevel="0" collapsed="false">
      <c r="A1138" s="32" t="n">
        <v>3097</v>
      </c>
      <c r="B1138" s="32" t="s">
        <v>1049</v>
      </c>
      <c r="C1138" s="32" t="s">
        <v>1050</v>
      </c>
      <c r="D1138" s="32" t="s">
        <v>59</v>
      </c>
      <c r="E1138" s="32" t="s">
        <v>107</v>
      </c>
      <c r="F1138" s="32" t="n">
        <v>9960771189</v>
      </c>
      <c r="G1138" s="32" t="s">
        <v>144</v>
      </c>
      <c r="H1138" s="32" t="s">
        <v>21</v>
      </c>
      <c r="I1138" s="32" t="s">
        <v>30</v>
      </c>
      <c r="J1138" s="32" t="s">
        <v>203</v>
      </c>
      <c r="K1138" s="32" t="s">
        <v>63</v>
      </c>
    </row>
    <row r="1139" customFormat="false" ht="13.5" hidden="false" customHeight="true" outlineLevel="0" collapsed="false">
      <c r="A1139" s="32" t="n">
        <v>3098</v>
      </c>
      <c r="B1139" s="32" t="s">
        <v>1051</v>
      </c>
      <c r="C1139" s="32" t="s">
        <v>1052</v>
      </c>
      <c r="D1139" s="32" t="s">
        <v>114</v>
      </c>
      <c r="E1139" s="32" t="s">
        <v>169</v>
      </c>
      <c r="F1139" s="33" t="n">
        <v>919167000000</v>
      </c>
      <c r="G1139" s="32" t="s">
        <v>104</v>
      </c>
      <c r="H1139" s="32" t="s">
        <v>22</v>
      </c>
      <c r="I1139" s="32" t="s">
        <v>151</v>
      </c>
      <c r="J1139" s="32" t="s">
        <v>152</v>
      </c>
      <c r="K1139" s="32" t="s">
        <v>63</v>
      </c>
    </row>
    <row r="1140" customFormat="false" ht="13.5" hidden="false" customHeight="true" outlineLevel="0" collapsed="false">
      <c r="A1140" s="32" t="n">
        <v>3099</v>
      </c>
      <c r="B1140" s="32" t="s">
        <v>1051</v>
      </c>
      <c r="C1140" s="32" t="s">
        <v>1052</v>
      </c>
      <c r="D1140" s="32" t="s">
        <v>114</v>
      </c>
      <c r="E1140" s="32" t="s">
        <v>169</v>
      </c>
      <c r="F1140" s="33" t="n">
        <v>919167000000</v>
      </c>
      <c r="G1140" s="32" t="s">
        <v>104</v>
      </c>
      <c r="H1140" s="32" t="s">
        <v>22</v>
      </c>
      <c r="I1140" s="32" t="s">
        <v>172</v>
      </c>
      <c r="J1140" s="32" t="s">
        <v>152</v>
      </c>
      <c r="K1140" s="32" t="s">
        <v>63</v>
      </c>
    </row>
    <row r="1141" customFormat="false" ht="13.5" hidden="false" customHeight="true" outlineLevel="0" collapsed="false">
      <c r="A1141" s="32" t="n">
        <v>3103</v>
      </c>
      <c r="B1141" s="32" t="s">
        <v>1051</v>
      </c>
      <c r="C1141" s="32" t="s">
        <v>1053</v>
      </c>
      <c r="D1141" s="32" t="s">
        <v>114</v>
      </c>
      <c r="E1141" s="32" t="s">
        <v>169</v>
      </c>
      <c r="F1141" s="33" t="n">
        <v>919167000000</v>
      </c>
      <c r="G1141" s="32" t="s">
        <v>104</v>
      </c>
      <c r="H1141" s="32" t="s">
        <v>22</v>
      </c>
      <c r="I1141" s="32" t="s">
        <v>629</v>
      </c>
      <c r="J1141" s="32" t="s">
        <v>203</v>
      </c>
      <c r="K1141" s="32" t="s">
        <v>63</v>
      </c>
    </row>
    <row r="1142" customFormat="false" ht="13.5" hidden="false" customHeight="true" outlineLevel="0" collapsed="false">
      <c r="A1142" s="32" t="n">
        <v>3104</v>
      </c>
      <c r="B1142" s="32" t="s">
        <v>1051</v>
      </c>
      <c r="C1142" s="32" t="s">
        <v>1053</v>
      </c>
      <c r="D1142" s="32" t="s">
        <v>114</v>
      </c>
      <c r="E1142" s="32" t="s">
        <v>169</v>
      </c>
      <c r="F1142" s="33" t="n">
        <v>919167000000</v>
      </c>
      <c r="G1142" s="32" t="s">
        <v>104</v>
      </c>
      <c r="H1142" s="32" t="s">
        <v>22</v>
      </c>
      <c r="I1142" s="32" t="s">
        <v>151</v>
      </c>
      <c r="J1142" s="32" t="s">
        <v>152</v>
      </c>
      <c r="K1142" s="32" t="s">
        <v>63</v>
      </c>
    </row>
    <row r="1143" customFormat="false" ht="13.5" hidden="false" customHeight="true" outlineLevel="0" collapsed="false">
      <c r="A1143" s="32" t="n">
        <v>3105</v>
      </c>
      <c r="B1143" s="32" t="s">
        <v>1051</v>
      </c>
      <c r="C1143" s="32" t="s">
        <v>1053</v>
      </c>
      <c r="D1143" s="32" t="s">
        <v>114</v>
      </c>
      <c r="E1143" s="32" t="s">
        <v>169</v>
      </c>
      <c r="F1143" s="33" t="n">
        <v>919167000000</v>
      </c>
      <c r="G1143" s="32" t="s">
        <v>104</v>
      </c>
      <c r="H1143" s="32" t="s">
        <v>22</v>
      </c>
      <c r="I1143" s="32" t="s">
        <v>825</v>
      </c>
      <c r="J1143" s="32" t="s">
        <v>132</v>
      </c>
      <c r="K1143" s="32" t="s">
        <v>63</v>
      </c>
    </row>
    <row r="1144" customFormat="false" ht="13.5" hidden="false" customHeight="true" outlineLevel="0" collapsed="false">
      <c r="A1144" s="32" t="n">
        <v>3106</v>
      </c>
      <c r="B1144" s="32" t="s">
        <v>1054</v>
      </c>
      <c r="C1144" s="32" t="s">
        <v>1055</v>
      </c>
      <c r="D1144" s="32" t="s">
        <v>114</v>
      </c>
      <c r="E1144" s="32" t="s">
        <v>115</v>
      </c>
      <c r="F1144" s="33" t="n">
        <v>919860000000</v>
      </c>
      <c r="G1144" s="32" t="s">
        <v>104</v>
      </c>
      <c r="H1144" s="32" t="s">
        <v>22</v>
      </c>
      <c r="I1144" s="32" t="s">
        <v>239</v>
      </c>
      <c r="J1144" s="32" t="s">
        <v>132</v>
      </c>
      <c r="K1144" s="32" t="s">
        <v>63</v>
      </c>
    </row>
    <row r="1145" customFormat="false" ht="13.5" hidden="false" customHeight="true" outlineLevel="0" collapsed="false">
      <c r="A1145" s="32" t="n">
        <v>3107</v>
      </c>
      <c r="B1145" s="32" t="s">
        <v>1054</v>
      </c>
      <c r="C1145" s="32" t="s">
        <v>1055</v>
      </c>
      <c r="D1145" s="32" t="s">
        <v>114</v>
      </c>
      <c r="E1145" s="32" t="s">
        <v>115</v>
      </c>
      <c r="F1145" s="33" t="n">
        <v>919860000000</v>
      </c>
      <c r="G1145" s="32" t="s">
        <v>104</v>
      </c>
      <c r="H1145" s="32" t="s">
        <v>22</v>
      </c>
      <c r="I1145" s="32" t="s">
        <v>171</v>
      </c>
      <c r="J1145" s="32" t="s">
        <v>152</v>
      </c>
      <c r="K1145" s="32" t="s">
        <v>63</v>
      </c>
    </row>
    <row r="1146" customFormat="false" ht="13.5" hidden="false" customHeight="true" outlineLevel="0" collapsed="false">
      <c r="A1146" s="32" t="n">
        <v>3118</v>
      </c>
      <c r="B1146" s="32" t="s">
        <v>1054</v>
      </c>
      <c r="C1146" s="32" t="s">
        <v>1055</v>
      </c>
      <c r="D1146" s="32" t="s">
        <v>114</v>
      </c>
      <c r="E1146" s="32" t="s">
        <v>115</v>
      </c>
      <c r="F1146" s="33" t="n">
        <v>919860000000</v>
      </c>
      <c r="G1146" s="32" t="s">
        <v>104</v>
      </c>
      <c r="H1146" s="32" t="s">
        <v>22</v>
      </c>
      <c r="I1146" s="32" t="s">
        <v>284</v>
      </c>
      <c r="J1146" s="32" t="s">
        <v>117</v>
      </c>
      <c r="K1146" s="32" t="s">
        <v>63</v>
      </c>
    </row>
    <row r="1147" customFormat="false" ht="13.5" hidden="false" customHeight="true" outlineLevel="0" collapsed="false">
      <c r="A1147" s="32" t="n">
        <v>3119</v>
      </c>
      <c r="B1147" s="32" t="s">
        <v>1054</v>
      </c>
      <c r="C1147" s="32" t="s">
        <v>1056</v>
      </c>
      <c r="D1147" s="32" t="s">
        <v>114</v>
      </c>
      <c r="E1147" s="32" t="s">
        <v>115</v>
      </c>
      <c r="F1147" s="32" t="n">
        <v>9860215090</v>
      </c>
      <c r="G1147" s="32" t="s">
        <v>104</v>
      </c>
      <c r="H1147" s="32" t="s">
        <v>22</v>
      </c>
      <c r="I1147" s="32" t="s">
        <v>128</v>
      </c>
      <c r="J1147" s="32" t="s">
        <v>89</v>
      </c>
      <c r="K1147" s="32" t="s">
        <v>63</v>
      </c>
    </row>
    <row r="1148" customFormat="false" ht="13.5" hidden="false" customHeight="true" outlineLevel="0" collapsed="false">
      <c r="A1148" s="32" t="n">
        <v>3120</v>
      </c>
      <c r="B1148" s="32" t="s">
        <v>1054</v>
      </c>
      <c r="C1148" s="32" t="s">
        <v>1057</v>
      </c>
      <c r="D1148" s="32" t="s">
        <v>114</v>
      </c>
      <c r="E1148" s="32" t="s">
        <v>115</v>
      </c>
      <c r="F1148" s="33" t="n">
        <v>919860000000</v>
      </c>
      <c r="G1148" s="32" t="s">
        <v>104</v>
      </c>
      <c r="H1148" s="32" t="s">
        <v>22</v>
      </c>
      <c r="I1148" s="32" t="s">
        <v>121</v>
      </c>
      <c r="J1148" s="32" t="s">
        <v>110</v>
      </c>
      <c r="K1148" s="32" t="s">
        <v>63</v>
      </c>
    </row>
    <row r="1149" customFormat="false" ht="13.5" hidden="false" customHeight="true" outlineLevel="0" collapsed="false">
      <c r="A1149" s="32" t="n">
        <v>3121</v>
      </c>
      <c r="B1149" s="32" t="s">
        <v>1054</v>
      </c>
      <c r="C1149" s="32" t="s">
        <v>1057</v>
      </c>
      <c r="D1149" s="32" t="s">
        <v>114</v>
      </c>
      <c r="E1149" s="32" t="s">
        <v>115</v>
      </c>
      <c r="F1149" s="33" t="n">
        <v>919860000000</v>
      </c>
      <c r="G1149" s="32" t="s">
        <v>104</v>
      </c>
      <c r="H1149" s="32" t="s">
        <v>22</v>
      </c>
      <c r="I1149" s="32" t="s">
        <v>151</v>
      </c>
      <c r="J1149" s="32" t="s">
        <v>152</v>
      </c>
      <c r="K1149" s="32" t="s">
        <v>63</v>
      </c>
    </row>
    <row r="1150" customFormat="false" ht="13.5" hidden="false" customHeight="true" outlineLevel="0" collapsed="false">
      <c r="A1150" s="32" t="n">
        <v>3122</v>
      </c>
      <c r="B1150" s="32" t="s">
        <v>1054</v>
      </c>
      <c r="C1150" s="32" t="s">
        <v>1057</v>
      </c>
      <c r="D1150" s="32" t="s">
        <v>114</v>
      </c>
      <c r="E1150" s="32" t="s">
        <v>115</v>
      </c>
      <c r="F1150" s="32" t="n">
        <v>9860215090</v>
      </c>
      <c r="G1150" s="32" t="s">
        <v>104</v>
      </c>
      <c r="H1150" s="32" t="s">
        <v>22</v>
      </c>
      <c r="I1150" s="32" t="s">
        <v>172</v>
      </c>
      <c r="J1150" s="32" t="s">
        <v>152</v>
      </c>
      <c r="K1150" s="32" t="s">
        <v>63</v>
      </c>
    </row>
    <row r="1151" customFormat="false" ht="13.5" hidden="false" customHeight="true" outlineLevel="0" collapsed="false">
      <c r="A1151" s="32" t="n">
        <v>3127</v>
      </c>
      <c r="B1151" s="32" t="s">
        <v>1058</v>
      </c>
      <c r="C1151" s="32" t="s">
        <v>1059</v>
      </c>
      <c r="D1151" s="32" t="s">
        <v>59</v>
      </c>
      <c r="E1151" s="32" t="s">
        <v>107</v>
      </c>
      <c r="F1151" s="33" t="n">
        <v>919968000000</v>
      </c>
      <c r="G1151" s="32" t="s">
        <v>104</v>
      </c>
      <c r="H1151" s="32" t="s">
        <v>21</v>
      </c>
      <c r="I1151" s="32" t="s">
        <v>121</v>
      </c>
      <c r="J1151" s="32" t="s">
        <v>110</v>
      </c>
      <c r="K1151" s="32" t="s">
        <v>63</v>
      </c>
    </row>
    <row r="1152" customFormat="false" ht="13.5" hidden="false" customHeight="true" outlineLevel="0" collapsed="false">
      <c r="A1152" s="32" t="n">
        <v>3128</v>
      </c>
      <c r="B1152" s="32" t="s">
        <v>1058</v>
      </c>
      <c r="C1152" s="32" t="s">
        <v>1059</v>
      </c>
      <c r="D1152" s="32" t="s">
        <v>59</v>
      </c>
      <c r="E1152" s="32" t="s">
        <v>107</v>
      </c>
      <c r="F1152" s="33" t="n">
        <v>919968000000</v>
      </c>
      <c r="G1152" s="32" t="s">
        <v>104</v>
      </c>
      <c r="H1152" s="32" t="s">
        <v>21</v>
      </c>
      <c r="I1152" s="32" t="s">
        <v>280</v>
      </c>
      <c r="J1152" s="32" t="s">
        <v>76</v>
      </c>
      <c r="K1152" s="32" t="s">
        <v>63</v>
      </c>
    </row>
    <row r="1153" customFormat="false" ht="13.5" hidden="false" customHeight="true" outlineLevel="0" collapsed="false">
      <c r="A1153" s="32" t="n">
        <v>3129</v>
      </c>
      <c r="B1153" s="32" t="s">
        <v>1058</v>
      </c>
      <c r="C1153" s="32" t="s">
        <v>1059</v>
      </c>
      <c r="D1153" s="32" t="s">
        <v>59</v>
      </c>
      <c r="E1153" s="32" t="s">
        <v>107</v>
      </c>
      <c r="F1153" s="33" t="n">
        <v>919968000000</v>
      </c>
      <c r="G1153" s="32" t="s">
        <v>104</v>
      </c>
      <c r="H1153" s="32" t="s">
        <v>21</v>
      </c>
      <c r="I1153" s="32" t="s">
        <v>133</v>
      </c>
      <c r="J1153" s="32" t="s">
        <v>134</v>
      </c>
      <c r="K1153" s="32" t="s">
        <v>63</v>
      </c>
    </row>
    <row r="1154" customFormat="false" ht="13.5" hidden="false" customHeight="true" outlineLevel="0" collapsed="false">
      <c r="A1154" s="32" t="n">
        <v>3130</v>
      </c>
      <c r="B1154" s="32" t="s">
        <v>1060</v>
      </c>
      <c r="C1154" s="32" t="s">
        <v>1061</v>
      </c>
      <c r="D1154" s="32" t="s">
        <v>331</v>
      </c>
      <c r="E1154" s="32" t="s">
        <v>278</v>
      </c>
      <c r="F1154" s="33" t="n">
        <v>919871000000</v>
      </c>
      <c r="G1154" s="32" t="s">
        <v>144</v>
      </c>
      <c r="H1154" s="32" t="s">
        <v>332</v>
      </c>
      <c r="I1154" s="32" t="s">
        <v>248</v>
      </c>
      <c r="J1154" s="32" t="s">
        <v>117</v>
      </c>
      <c r="K1154" s="32" t="s">
        <v>63</v>
      </c>
    </row>
    <row r="1155" customFormat="false" ht="13.5" hidden="false" customHeight="true" outlineLevel="0" collapsed="false">
      <c r="A1155" s="32" t="n">
        <v>3132</v>
      </c>
      <c r="B1155" s="32" t="s">
        <v>1060</v>
      </c>
      <c r="C1155" s="32" t="s">
        <v>1061</v>
      </c>
      <c r="D1155" s="32" t="s">
        <v>331</v>
      </c>
      <c r="E1155" s="32" t="s">
        <v>278</v>
      </c>
      <c r="F1155" s="33" t="n">
        <v>919871000000</v>
      </c>
      <c r="G1155" s="32" t="s">
        <v>144</v>
      </c>
      <c r="H1155" s="32" t="s">
        <v>332</v>
      </c>
      <c r="I1155" s="32" t="s">
        <v>185</v>
      </c>
      <c r="J1155" s="32" t="s">
        <v>186</v>
      </c>
      <c r="K1155" s="32" t="s">
        <v>63</v>
      </c>
    </row>
    <row r="1156" customFormat="false" ht="13.5" hidden="false" customHeight="true" outlineLevel="0" collapsed="false">
      <c r="A1156" s="32" t="n">
        <v>3133</v>
      </c>
      <c r="B1156" s="32" t="s">
        <v>1060</v>
      </c>
      <c r="C1156" s="32" t="s">
        <v>1061</v>
      </c>
      <c r="D1156" s="32" t="s">
        <v>331</v>
      </c>
      <c r="E1156" s="32" t="s">
        <v>278</v>
      </c>
      <c r="F1156" s="33" t="n">
        <v>919871000000</v>
      </c>
      <c r="G1156" s="32" t="s">
        <v>144</v>
      </c>
      <c r="H1156" s="32" t="s">
        <v>332</v>
      </c>
      <c r="I1156" s="32" t="s">
        <v>227</v>
      </c>
      <c r="J1156" s="32" t="s">
        <v>228</v>
      </c>
      <c r="K1156" s="32" t="s">
        <v>63</v>
      </c>
    </row>
    <row r="1157" customFormat="false" ht="13.5" hidden="false" customHeight="true" outlineLevel="0" collapsed="false">
      <c r="A1157" s="32" t="n">
        <v>3134</v>
      </c>
      <c r="B1157" s="32" t="s">
        <v>1060</v>
      </c>
      <c r="C1157" s="32" t="s">
        <v>1061</v>
      </c>
      <c r="D1157" s="32" t="s">
        <v>331</v>
      </c>
      <c r="E1157" s="32" t="s">
        <v>278</v>
      </c>
      <c r="F1157" s="33" t="n">
        <v>919871000000</v>
      </c>
      <c r="G1157" s="32" t="s">
        <v>144</v>
      </c>
      <c r="H1157" s="32" t="s">
        <v>332</v>
      </c>
      <c r="I1157" s="32" t="s">
        <v>145</v>
      </c>
      <c r="J1157" s="32" t="s">
        <v>117</v>
      </c>
      <c r="K1157" s="32" t="s">
        <v>63</v>
      </c>
    </row>
    <row r="1158" customFormat="false" ht="13.5" hidden="false" customHeight="true" outlineLevel="0" collapsed="false">
      <c r="A1158" s="32" t="n">
        <v>3135</v>
      </c>
      <c r="B1158" s="32" t="s">
        <v>1060</v>
      </c>
      <c r="C1158" s="32" t="s">
        <v>1061</v>
      </c>
      <c r="D1158" s="32" t="s">
        <v>331</v>
      </c>
      <c r="E1158" s="32" t="s">
        <v>278</v>
      </c>
      <c r="F1158" s="33" t="n">
        <v>919871000000</v>
      </c>
      <c r="G1158" s="32" t="s">
        <v>144</v>
      </c>
      <c r="H1158" s="32" t="s">
        <v>332</v>
      </c>
      <c r="I1158" s="32" t="s">
        <v>93</v>
      </c>
      <c r="J1158" s="32" t="s">
        <v>85</v>
      </c>
      <c r="K1158" s="32" t="s">
        <v>63</v>
      </c>
    </row>
    <row r="1159" customFormat="false" ht="13.5" hidden="false" customHeight="true" outlineLevel="0" collapsed="false">
      <c r="A1159" s="32" t="n">
        <v>3136</v>
      </c>
      <c r="B1159" s="32" t="s">
        <v>1060</v>
      </c>
      <c r="C1159" s="32" t="s">
        <v>1061</v>
      </c>
      <c r="D1159" s="32" t="s">
        <v>331</v>
      </c>
      <c r="E1159" s="32" t="s">
        <v>278</v>
      </c>
      <c r="F1159" s="33" t="n">
        <v>919871000000</v>
      </c>
      <c r="G1159" s="32" t="s">
        <v>144</v>
      </c>
      <c r="H1159" s="32" t="s">
        <v>332</v>
      </c>
      <c r="I1159" s="32" t="s">
        <v>392</v>
      </c>
      <c r="J1159" s="32" t="s">
        <v>99</v>
      </c>
      <c r="K1159" s="32" t="s">
        <v>63</v>
      </c>
    </row>
    <row r="1160" customFormat="false" ht="13.5" hidden="false" customHeight="true" outlineLevel="0" collapsed="false">
      <c r="A1160" s="32" t="n">
        <v>3137</v>
      </c>
      <c r="B1160" s="32" t="s">
        <v>1060</v>
      </c>
      <c r="C1160" s="32" t="s">
        <v>1061</v>
      </c>
      <c r="D1160" s="32" t="s">
        <v>331</v>
      </c>
      <c r="E1160" s="32" t="s">
        <v>278</v>
      </c>
      <c r="F1160" s="33" t="n">
        <v>919871000000</v>
      </c>
      <c r="G1160" s="32" t="s">
        <v>144</v>
      </c>
      <c r="H1160" s="32" t="s">
        <v>332</v>
      </c>
      <c r="I1160" s="32" t="s">
        <v>98</v>
      </c>
      <c r="J1160" s="32" t="s">
        <v>99</v>
      </c>
      <c r="K1160" s="32" t="s">
        <v>63</v>
      </c>
    </row>
    <row r="1161" customFormat="false" ht="13.5" hidden="false" customHeight="true" outlineLevel="0" collapsed="false">
      <c r="A1161" s="32" t="n">
        <v>3138</v>
      </c>
      <c r="B1161" s="32" t="s">
        <v>1060</v>
      </c>
      <c r="C1161" s="32" t="s">
        <v>1061</v>
      </c>
      <c r="D1161" s="32" t="s">
        <v>331</v>
      </c>
      <c r="E1161" s="32" t="s">
        <v>278</v>
      </c>
      <c r="F1161" s="33" t="n">
        <v>919871000000</v>
      </c>
      <c r="G1161" s="32" t="s">
        <v>144</v>
      </c>
      <c r="H1161" s="32" t="s">
        <v>332</v>
      </c>
      <c r="I1161" s="32" t="s">
        <v>783</v>
      </c>
      <c r="J1161" s="32" t="s">
        <v>99</v>
      </c>
      <c r="K1161" s="32" t="s">
        <v>63</v>
      </c>
    </row>
    <row r="1162" customFormat="false" ht="13.5" hidden="false" customHeight="true" outlineLevel="0" collapsed="false">
      <c r="A1162" s="32" t="n">
        <v>3139</v>
      </c>
      <c r="B1162" s="32" t="s">
        <v>1060</v>
      </c>
      <c r="C1162" s="32" t="s">
        <v>1061</v>
      </c>
      <c r="D1162" s="32" t="s">
        <v>331</v>
      </c>
      <c r="E1162" s="32" t="s">
        <v>278</v>
      </c>
      <c r="F1162" s="33" t="n">
        <v>919871000000</v>
      </c>
      <c r="G1162" s="32" t="s">
        <v>144</v>
      </c>
      <c r="H1162" s="32" t="s">
        <v>332</v>
      </c>
      <c r="I1162" s="32" t="s">
        <v>126</v>
      </c>
      <c r="J1162" s="32" t="s">
        <v>85</v>
      </c>
      <c r="K1162" s="32" t="s">
        <v>63</v>
      </c>
    </row>
    <row r="1163" customFormat="false" ht="13.5" hidden="false" customHeight="true" outlineLevel="0" collapsed="false">
      <c r="A1163" s="32" t="n">
        <v>3140</v>
      </c>
      <c r="B1163" s="32" t="s">
        <v>1060</v>
      </c>
      <c r="C1163" s="32" t="s">
        <v>1061</v>
      </c>
      <c r="D1163" s="32" t="s">
        <v>331</v>
      </c>
      <c r="E1163" s="32" t="s">
        <v>278</v>
      </c>
      <c r="F1163" s="33" t="n">
        <v>919871000000</v>
      </c>
      <c r="G1163" s="32" t="s">
        <v>144</v>
      </c>
      <c r="H1163" s="32" t="s">
        <v>332</v>
      </c>
      <c r="I1163" s="32" t="s">
        <v>409</v>
      </c>
      <c r="J1163" s="32" t="s">
        <v>410</v>
      </c>
      <c r="K1163" s="32" t="s">
        <v>63</v>
      </c>
    </row>
    <row r="1164" customFormat="false" ht="13.5" hidden="false" customHeight="true" outlineLevel="0" collapsed="false">
      <c r="A1164" s="32" t="n">
        <v>3141</v>
      </c>
      <c r="B1164" s="32" t="s">
        <v>1062</v>
      </c>
      <c r="C1164" s="32" t="s">
        <v>1063</v>
      </c>
      <c r="D1164" s="32" t="s">
        <v>114</v>
      </c>
      <c r="E1164" s="32" t="s">
        <v>115</v>
      </c>
      <c r="F1164" s="32" t="n">
        <v>0</v>
      </c>
      <c r="G1164" s="32" t="s">
        <v>80</v>
      </c>
      <c r="H1164" s="32" t="s">
        <v>22</v>
      </c>
      <c r="I1164" s="32" t="s">
        <v>284</v>
      </c>
      <c r="J1164" s="32" t="s">
        <v>117</v>
      </c>
      <c r="K1164" s="32" t="s">
        <v>63</v>
      </c>
    </row>
    <row r="1165" customFormat="false" ht="13.5" hidden="false" customHeight="true" outlineLevel="0" collapsed="false">
      <c r="A1165" s="32" t="n">
        <v>3142</v>
      </c>
      <c r="B1165" s="32" t="s">
        <v>1062</v>
      </c>
      <c r="C1165" s="32" t="s">
        <v>1064</v>
      </c>
      <c r="D1165" s="32" t="s">
        <v>114</v>
      </c>
      <c r="E1165" s="32" t="s">
        <v>115</v>
      </c>
      <c r="F1165" s="32" t="n">
        <v>9970446496</v>
      </c>
      <c r="G1165" s="32" t="s">
        <v>80</v>
      </c>
      <c r="H1165" s="32" t="s">
        <v>22</v>
      </c>
      <c r="I1165" s="32" t="s">
        <v>121</v>
      </c>
      <c r="J1165" s="32" t="s">
        <v>110</v>
      </c>
      <c r="K1165" s="32" t="s">
        <v>63</v>
      </c>
    </row>
    <row r="1166" customFormat="false" ht="13.5" hidden="false" customHeight="true" outlineLevel="0" collapsed="false">
      <c r="A1166" s="32" t="n">
        <v>3143</v>
      </c>
      <c r="B1166" s="32" t="s">
        <v>1062</v>
      </c>
      <c r="C1166" s="32" t="s">
        <v>1064</v>
      </c>
      <c r="D1166" s="32" t="s">
        <v>114</v>
      </c>
      <c r="E1166" s="32" t="s">
        <v>115</v>
      </c>
      <c r="F1166" s="32" t="n">
        <v>9970446496</v>
      </c>
      <c r="G1166" s="32" t="s">
        <v>80</v>
      </c>
      <c r="H1166" s="32" t="s">
        <v>22</v>
      </c>
      <c r="I1166" s="32" t="s">
        <v>227</v>
      </c>
      <c r="J1166" s="32" t="s">
        <v>228</v>
      </c>
      <c r="K1166" s="32" t="s">
        <v>63</v>
      </c>
    </row>
    <row r="1167" customFormat="false" ht="13.5" hidden="false" customHeight="true" outlineLevel="0" collapsed="false">
      <c r="A1167" s="32" t="n">
        <v>3144</v>
      </c>
      <c r="B1167" s="32" t="s">
        <v>1062</v>
      </c>
      <c r="C1167" s="32" t="s">
        <v>1064</v>
      </c>
      <c r="D1167" s="32" t="s">
        <v>114</v>
      </c>
      <c r="E1167" s="32" t="s">
        <v>115</v>
      </c>
      <c r="F1167" s="32" t="n">
        <v>9970446496</v>
      </c>
      <c r="G1167" s="32" t="s">
        <v>80</v>
      </c>
      <c r="H1167" s="32" t="s">
        <v>22</v>
      </c>
      <c r="I1167" s="32" t="s">
        <v>145</v>
      </c>
      <c r="J1167" s="32" t="s">
        <v>117</v>
      </c>
      <c r="K1167" s="32" t="s">
        <v>63</v>
      </c>
    </row>
    <row r="1168" customFormat="false" ht="13.5" hidden="false" customHeight="true" outlineLevel="0" collapsed="false">
      <c r="A1168" s="32" t="n">
        <v>3145</v>
      </c>
      <c r="B1168" s="32" t="s">
        <v>1065</v>
      </c>
      <c r="C1168" s="32" t="s">
        <v>1066</v>
      </c>
      <c r="D1168" s="32" t="s">
        <v>114</v>
      </c>
      <c r="E1168" s="32" t="s">
        <v>165</v>
      </c>
      <c r="F1168" s="32" t="n">
        <v>9633721139</v>
      </c>
      <c r="G1168" s="32" t="s">
        <v>80</v>
      </c>
      <c r="H1168" s="32" t="s">
        <v>22</v>
      </c>
      <c r="I1168" s="32" t="s">
        <v>95</v>
      </c>
      <c r="J1168" s="32" t="s">
        <v>96</v>
      </c>
      <c r="K1168" s="32" t="s">
        <v>63</v>
      </c>
    </row>
    <row r="1169" customFormat="false" ht="13.5" hidden="false" customHeight="true" outlineLevel="0" collapsed="false">
      <c r="A1169" s="32" t="n">
        <v>3146</v>
      </c>
      <c r="B1169" s="32" t="s">
        <v>1065</v>
      </c>
      <c r="C1169" s="32" t="s">
        <v>1067</v>
      </c>
      <c r="D1169" s="32" t="s">
        <v>114</v>
      </c>
      <c r="E1169" s="32" t="s">
        <v>165</v>
      </c>
      <c r="F1169" s="32" t="n">
        <v>9633721139</v>
      </c>
      <c r="G1169" s="32" t="s">
        <v>80</v>
      </c>
      <c r="H1169" s="32" t="s">
        <v>22</v>
      </c>
      <c r="I1169" s="32" t="s">
        <v>108</v>
      </c>
      <c r="J1169" s="32" t="s">
        <v>71</v>
      </c>
      <c r="K1169" s="32" t="s">
        <v>63</v>
      </c>
    </row>
    <row r="1170" customFormat="false" ht="13.5" hidden="false" customHeight="true" outlineLevel="0" collapsed="false">
      <c r="A1170" s="32" t="n">
        <v>3147</v>
      </c>
      <c r="B1170" s="32" t="s">
        <v>1065</v>
      </c>
      <c r="C1170" s="32" t="s">
        <v>1066</v>
      </c>
      <c r="D1170" s="32" t="s">
        <v>114</v>
      </c>
      <c r="E1170" s="32" t="s">
        <v>165</v>
      </c>
      <c r="F1170" s="32" t="n">
        <v>9633721139</v>
      </c>
      <c r="G1170" s="32" t="s">
        <v>80</v>
      </c>
      <c r="H1170" s="32" t="s">
        <v>22</v>
      </c>
      <c r="I1170" s="32" t="s">
        <v>28</v>
      </c>
      <c r="J1170" s="32" t="s">
        <v>82</v>
      </c>
      <c r="K1170" s="32" t="s">
        <v>63</v>
      </c>
    </row>
    <row r="1171" customFormat="false" ht="13.5" hidden="false" customHeight="true" outlineLevel="0" collapsed="false">
      <c r="A1171" s="32" t="n">
        <v>3148</v>
      </c>
      <c r="B1171" s="32" t="s">
        <v>1065</v>
      </c>
      <c r="C1171" s="32" t="s">
        <v>1067</v>
      </c>
      <c r="D1171" s="32" t="s">
        <v>114</v>
      </c>
      <c r="E1171" s="32" t="s">
        <v>165</v>
      </c>
      <c r="F1171" s="32" t="n">
        <v>9633721139</v>
      </c>
      <c r="G1171" s="32" t="s">
        <v>80</v>
      </c>
      <c r="H1171" s="32" t="s">
        <v>22</v>
      </c>
      <c r="I1171" s="32" t="s">
        <v>133</v>
      </c>
      <c r="J1171" s="32" t="s">
        <v>134</v>
      </c>
      <c r="K1171" s="32" t="s">
        <v>63</v>
      </c>
    </row>
    <row r="1172" customFormat="false" ht="13.5" hidden="false" customHeight="true" outlineLevel="0" collapsed="false">
      <c r="A1172" s="32" t="n">
        <v>3149</v>
      </c>
      <c r="B1172" s="32" t="s">
        <v>1068</v>
      </c>
      <c r="C1172" s="32" t="s">
        <v>1069</v>
      </c>
      <c r="D1172" s="32" t="s">
        <v>59</v>
      </c>
      <c r="E1172" s="32" t="s">
        <v>60</v>
      </c>
      <c r="F1172" s="33" t="n">
        <v>919952000000</v>
      </c>
      <c r="G1172" s="32" t="s">
        <v>61</v>
      </c>
      <c r="H1172" s="32" t="s">
        <v>21</v>
      </c>
      <c r="I1172" s="32" t="s">
        <v>156</v>
      </c>
      <c r="J1172" s="32" t="s">
        <v>62</v>
      </c>
      <c r="K1172" s="32" t="s">
        <v>63</v>
      </c>
    </row>
    <row r="1173" customFormat="false" ht="13.5" hidden="false" customHeight="true" outlineLevel="0" collapsed="false">
      <c r="A1173" s="32" t="n">
        <v>3150</v>
      </c>
      <c r="B1173" s="32" t="s">
        <v>1068</v>
      </c>
      <c r="C1173" s="32" t="s">
        <v>1070</v>
      </c>
      <c r="D1173" s="32" t="s">
        <v>59</v>
      </c>
      <c r="E1173" s="32" t="s">
        <v>60</v>
      </c>
      <c r="F1173" s="33" t="n">
        <v>919952000000</v>
      </c>
      <c r="G1173" s="32" t="s">
        <v>61</v>
      </c>
      <c r="H1173" s="32" t="s">
        <v>21</v>
      </c>
      <c r="I1173" s="32" t="s">
        <v>14</v>
      </c>
      <c r="J1173" s="32" t="s">
        <v>66</v>
      </c>
      <c r="K1173" s="32" t="s">
        <v>63</v>
      </c>
    </row>
    <row r="1174" customFormat="false" ht="13.5" hidden="false" customHeight="true" outlineLevel="0" collapsed="false">
      <c r="A1174" s="32" t="n">
        <v>3151</v>
      </c>
      <c r="B1174" s="32" t="s">
        <v>1068</v>
      </c>
      <c r="C1174" s="32" t="s">
        <v>1070</v>
      </c>
      <c r="D1174" s="32" t="s">
        <v>59</v>
      </c>
      <c r="E1174" s="32" t="s">
        <v>60</v>
      </c>
      <c r="F1174" s="33" t="n">
        <v>919952000000</v>
      </c>
      <c r="G1174" s="32" t="s">
        <v>61</v>
      </c>
      <c r="H1174" s="32" t="s">
        <v>21</v>
      </c>
      <c r="I1174" s="32" t="s">
        <v>29</v>
      </c>
      <c r="J1174" s="32" t="s">
        <v>62</v>
      </c>
      <c r="K1174" s="32" t="s">
        <v>63</v>
      </c>
    </row>
    <row r="1175" customFormat="false" ht="13.5" hidden="false" customHeight="true" outlineLevel="0" collapsed="false">
      <c r="A1175" s="32" t="n">
        <v>3153</v>
      </c>
      <c r="B1175" s="32" t="s">
        <v>1071</v>
      </c>
      <c r="C1175" s="32" t="s">
        <v>1072</v>
      </c>
      <c r="D1175" s="32" t="s">
        <v>114</v>
      </c>
      <c r="E1175" s="32" t="s">
        <v>165</v>
      </c>
      <c r="F1175" s="33" t="n">
        <v>919844000000</v>
      </c>
      <c r="G1175" s="32" t="s">
        <v>61</v>
      </c>
      <c r="H1175" s="32" t="s">
        <v>22</v>
      </c>
      <c r="I1175" s="32" t="s">
        <v>126</v>
      </c>
      <c r="J1175" s="32" t="s">
        <v>85</v>
      </c>
      <c r="K1175" s="32" t="s">
        <v>63</v>
      </c>
    </row>
    <row r="1176" customFormat="false" ht="13.5" hidden="false" customHeight="true" outlineLevel="0" collapsed="false">
      <c r="A1176" s="32" t="n">
        <v>3154</v>
      </c>
      <c r="B1176" s="32" t="s">
        <v>1071</v>
      </c>
      <c r="C1176" s="32" t="s">
        <v>1072</v>
      </c>
      <c r="D1176" s="32" t="s">
        <v>114</v>
      </c>
      <c r="E1176" s="32" t="s">
        <v>165</v>
      </c>
      <c r="F1176" s="33" t="n">
        <v>919844000000</v>
      </c>
      <c r="G1176" s="32" t="s">
        <v>61</v>
      </c>
      <c r="H1176" s="32" t="s">
        <v>22</v>
      </c>
      <c r="I1176" s="32" t="s">
        <v>108</v>
      </c>
      <c r="J1176" s="32" t="s">
        <v>71</v>
      </c>
      <c r="K1176" s="32" t="s">
        <v>63</v>
      </c>
    </row>
    <row r="1177" customFormat="false" ht="13.5" hidden="false" customHeight="true" outlineLevel="0" collapsed="false">
      <c r="A1177" s="32" t="n">
        <v>3155</v>
      </c>
      <c r="B1177" s="32" t="s">
        <v>1071</v>
      </c>
      <c r="C1177" s="32" t="s">
        <v>1073</v>
      </c>
      <c r="D1177" s="32" t="s">
        <v>114</v>
      </c>
      <c r="E1177" s="32" t="s">
        <v>165</v>
      </c>
      <c r="F1177" s="33" t="n">
        <v>919844000000</v>
      </c>
      <c r="G1177" s="32" t="s">
        <v>61</v>
      </c>
      <c r="H1177" s="32" t="s">
        <v>22</v>
      </c>
      <c r="I1177" s="32" t="s">
        <v>245</v>
      </c>
      <c r="J1177" s="32" t="s">
        <v>71</v>
      </c>
      <c r="K1177" s="32" t="s">
        <v>63</v>
      </c>
    </row>
    <row r="1178" customFormat="false" ht="13.5" hidden="false" customHeight="true" outlineLevel="0" collapsed="false">
      <c r="A1178" s="32" t="n">
        <v>3156</v>
      </c>
      <c r="B1178" s="32" t="s">
        <v>1071</v>
      </c>
      <c r="C1178" s="32" t="s">
        <v>1073</v>
      </c>
      <c r="D1178" s="32" t="s">
        <v>114</v>
      </c>
      <c r="E1178" s="32" t="s">
        <v>165</v>
      </c>
      <c r="F1178" s="32" t="n">
        <v>9844125845</v>
      </c>
      <c r="G1178" s="32" t="s">
        <v>61</v>
      </c>
      <c r="H1178" s="32" t="s">
        <v>22</v>
      </c>
      <c r="I1178" s="32" t="s">
        <v>108</v>
      </c>
      <c r="J1178" s="32" t="s">
        <v>71</v>
      </c>
      <c r="K1178" s="32" t="s">
        <v>63</v>
      </c>
    </row>
    <row r="1179" customFormat="false" ht="13.5" hidden="false" customHeight="true" outlineLevel="0" collapsed="false">
      <c r="A1179" s="32" t="n">
        <v>3157</v>
      </c>
      <c r="B1179" s="32" t="s">
        <v>1071</v>
      </c>
      <c r="C1179" s="32" t="s">
        <v>1073</v>
      </c>
      <c r="D1179" s="32" t="s">
        <v>114</v>
      </c>
      <c r="E1179" s="32" t="s">
        <v>165</v>
      </c>
      <c r="F1179" s="33" t="n">
        <v>919844000000</v>
      </c>
      <c r="G1179" s="32" t="s">
        <v>61</v>
      </c>
      <c r="H1179" s="32" t="s">
        <v>22</v>
      </c>
      <c r="I1179" s="32" t="s">
        <v>27</v>
      </c>
      <c r="J1179" s="32" t="s">
        <v>13</v>
      </c>
      <c r="K1179" s="32" t="s">
        <v>63</v>
      </c>
    </row>
    <row r="1180" customFormat="false" ht="13.5" hidden="false" customHeight="true" outlineLevel="0" collapsed="false">
      <c r="A1180" s="32" t="n">
        <v>3158</v>
      </c>
      <c r="B1180" s="32" t="s">
        <v>1071</v>
      </c>
      <c r="C1180" s="32" t="s">
        <v>1072</v>
      </c>
      <c r="D1180" s="32" t="s">
        <v>114</v>
      </c>
      <c r="E1180" s="32" t="s">
        <v>165</v>
      </c>
      <c r="F1180" s="32" t="n">
        <v>9844125845</v>
      </c>
      <c r="G1180" s="32" t="s">
        <v>61</v>
      </c>
      <c r="H1180" s="32" t="s">
        <v>22</v>
      </c>
      <c r="I1180" s="32" t="s">
        <v>137</v>
      </c>
      <c r="J1180" s="32" t="s">
        <v>13</v>
      </c>
      <c r="K1180" s="32" t="s">
        <v>63</v>
      </c>
    </row>
    <row r="1181" customFormat="false" ht="13.5" hidden="false" customHeight="true" outlineLevel="0" collapsed="false">
      <c r="A1181" s="32" t="n">
        <v>3159</v>
      </c>
      <c r="B1181" s="32" t="s">
        <v>1074</v>
      </c>
      <c r="C1181" s="32" t="s">
        <v>1075</v>
      </c>
      <c r="D1181" s="32" t="s">
        <v>114</v>
      </c>
      <c r="E1181" s="32" t="n">
        <v>0</v>
      </c>
      <c r="F1181" s="32" t="n">
        <v>8861533551</v>
      </c>
      <c r="G1181" s="32" t="s">
        <v>61</v>
      </c>
      <c r="H1181" s="32" t="s">
        <v>22</v>
      </c>
      <c r="I1181" s="32" t="s">
        <v>128</v>
      </c>
      <c r="J1181" s="32" t="s">
        <v>89</v>
      </c>
      <c r="K1181" s="32" t="s">
        <v>63</v>
      </c>
    </row>
    <row r="1182" customFormat="false" ht="13.5" hidden="false" customHeight="true" outlineLevel="0" collapsed="false">
      <c r="A1182" s="32" t="n">
        <v>3160</v>
      </c>
      <c r="B1182" s="32" t="s">
        <v>1074</v>
      </c>
      <c r="C1182" s="32" t="s">
        <v>1075</v>
      </c>
      <c r="D1182" s="32" t="s">
        <v>114</v>
      </c>
      <c r="E1182" s="32" t="n">
        <v>0</v>
      </c>
      <c r="F1182" s="32" t="n">
        <v>8861533551</v>
      </c>
      <c r="G1182" s="32" t="s">
        <v>61</v>
      </c>
      <c r="H1182" s="32" t="s">
        <v>22</v>
      </c>
      <c r="I1182" s="32" t="s">
        <v>95</v>
      </c>
      <c r="J1182" s="32" t="s">
        <v>96</v>
      </c>
      <c r="K1182" s="32" t="s">
        <v>63</v>
      </c>
    </row>
    <row r="1183" customFormat="false" ht="13.5" hidden="false" customHeight="true" outlineLevel="0" collapsed="false">
      <c r="A1183" s="32" t="n">
        <v>3161</v>
      </c>
      <c r="B1183" s="32" t="s">
        <v>1074</v>
      </c>
      <c r="C1183" s="32" t="s">
        <v>1075</v>
      </c>
      <c r="D1183" s="32" t="s">
        <v>114</v>
      </c>
      <c r="E1183" s="32" t="n">
        <v>0</v>
      </c>
      <c r="F1183" s="32" t="n">
        <v>8861533551</v>
      </c>
      <c r="G1183" s="32" t="s">
        <v>61</v>
      </c>
      <c r="H1183" s="32" t="s">
        <v>22</v>
      </c>
      <c r="I1183" s="32" t="s">
        <v>28</v>
      </c>
      <c r="J1183" s="32" t="s">
        <v>82</v>
      </c>
      <c r="K1183" s="32" t="s">
        <v>63</v>
      </c>
    </row>
    <row r="1184" customFormat="false" ht="13.5" hidden="false" customHeight="true" outlineLevel="0" collapsed="false">
      <c r="A1184" s="32" t="n">
        <v>3162</v>
      </c>
      <c r="B1184" s="32" t="s">
        <v>1074</v>
      </c>
      <c r="C1184" s="32" t="s">
        <v>1076</v>
      </c>
      <c r="D1184" s="32" t="s">
        <v>114</v>
      </c>
      <c r="E1184" s="32" t="n">
        <v>0</v>
      </c>
      <c r="F1184" s="32" t="n">
        <v>8861533551</v>
      </c>
      <c r="G1184" s="32" t="s">
        <v>61</v>
      </c>
      <c r="H1184" s="32" t="s">
        <v>22</v>
      </c>
      <c r="I1184" s="32" t="s">
        <v>185</v>
      </c>
      <c r="J1184" s="32" t="s">
        <v>186</v>
      </c>
      <c r="K1184" s="32" t="s">
        <v>63</v>
      </c>
    </row>
    <row r="1185" customFormat="false" ht="13.5" hidden="false" customHeight="true" outlineLevel="0" collapsed="false">
      <c r="A1185" s="32" t="n">
        <v>3163</v>
      </c>
      <c r="B1185" s="32" t="s">
        <v>1074</v>
      </c>
      <c r="C1185" s="32" t="s">
        <v>1075</v>
      </c>
      <c r="D1185" s="32" t="s">
        <v>114</v>
      </c>
      <c r="E1185" s="32" t="n">
        <v>0</v>
      </c>
      <c r="F1185" s="32" t="n">
        <v>8861533551</v>
      </c>
      <c r="G1185" s="32" t="s">
        <v>61</v>
      </c>
      <c r="H1185" s="32" t="s">
        <v>22</v>
      </c>
      <c r="I1185" s="32" t="s">
        <v>145</v>
      </c>
      <c r="J1185" s="32" t="s">
        <v>117</v>
      </c>
      <c r="K1185" s="32" t="s">
        <v>63</v>
      </c>
    </row>
    <row r="1186" customFormat="false" ht="13.5" hidden="false" customHeight="true" outlineLevel="0" collapsed="false">
      <c r="A1186" s="32" t="n">
        <v>3164</v>
      </c>
      <c r="B1186" s="32" t="s">
        <v>1074</v>
      </c>
      <c r="C1186" s="32" t="s">
        <v>1076</v>
      </c>
      <c r="D1186" s="32" t="s">
        <v>114</v>
      </c>
      <c r="E1186" s="32" t="n">
        <v>0</v>
      </c>
      <c r="F1186" s="32" t="n">
        <v>8861533551</v>
      </c>
      <c r="G1186" s="32" t="s">
        <v>61</v>
      </c>
      <c r="H1186" s="32" t="s">
        <v>22</v>
      </c>
      <c r="I1186" s="32" t="s">
        <v>98</v>
      </c>
      <c r="J1186" s="32" t="s">
        <v>99</v>
      </c>
      <c r="K1186" s="32" t="s">
        <v>63</v>
      </c>
    </row>
    <row r="1187" customFormat="false" ht="13.5" hidden="false" customHeight="true" outlineLevel="0" collapsed="false">
      <c r="A1187" s="32" t="n">
        <v>3165</v>
      </c>
      <c r="B1187" s="32" t="s">
        <v>1077</v>
      </c>
      <c r="C1187" s="32" t="s">
        <v>1078</v>
      </c>
      <c r="D1187" s="32" t="s">
        <v>114</v>
      </c>
      <c r="E1187" s="32" t="s">
        <v>169</v>
      </c>
      <c r="F1187" s="32" t="n">
        <v>9619424462</v>
      </c>
      <c r="G1187" s="32" t="s">
        <v>104</v>
      </c>
      <c r="H1187" s="32" t="s">
        <v>22</v>
      </c>
      <c r="I1187" s="32" t="s">
        <v>171</v>
      </c>
      <c r="J1187" s="32" t="s">
        <v>152</v>
      </c>
      <c r="K1187" s="32" t="s">
        <v>63</v>
      </c>
    </row>
    <row r="1188" customFormat="false" ht="13.5" hidden="false" customHeight="true" outlineLevel="0" collapsed="false">
      <c r="A1188" s="32" t="n">
        <v>3166</v>
      </c>
      <c r="B1188" s="32" t="s">
        <v>1077</v>
      </c>
      <c r="C1188" s="32" t="s">
        <v>1078</v>
      </c>
      <c r="D1188" s="32" t="s">
        <v>114</v>
      </c>
      <c r="E1188" s="32" t="s">
        <v>169</v>
      </c>
      <c r="F1188" s="32" t="n">
        <v>9619424462</v>
      </c>
      <c r="G1188" s="32" t="s">
        <v>104</v>
      </c>
      <c r="H1188" s="32" t="s">
        <v>22</v>
      </c>
      <c r="I1188" s="32" t="s">
        <v>151</v>
      </c>
      <c r="J1188" s="32" t="s">
        <v>152</v>
      </c>
      <c r="K1188" s="32" t="s">
        <v>63</v>
      </c>
    </row>
    <row r="1189" customFormat="false" ht="13.5" hidden="false" customHeight="true" outlineLevel="0" collapsed="false">
      <c r="A1189" s="32" t="n">
        <v>3167</v>
      </c>
      <c r="B1189" s="32" t="s">
        <v>1077</v>
      </c>
      <c r="C1189" s="32" t="s">
        <v>1078</v>
      </c>
      <c r="D1189" s="32" t="s">
        <v>114</v>
      </c>
      <c r="E1189" s="32" t="s">
        <v>169</v>
      </c>
      <c r="F1189" s="32" t="n">
        <v>9619424462</v>
      </c>
      <c r="G1189" s="32" t="s">
        <v>104</v>
      </c>
      <c r="H1189" s="32" t="s">
        <v>22</v>
      </c>
      <c r="I1189" s="32" t="s">
        <v>85</v>
      </c>
      <c r="J1189" s="32" t="s">
        <v>85</v>
      </c>
      <c r="K1189" s="32" t="s">
        <v>63</v>
      </c>
    </row>
    <row r="1190" customFormat="false" ht="13.5" hidden="false" customHeight="true" outlineLevel="0" collapsed="false">
      <c r="A1190" s="32" t="n">
        <v>3168</v>
      </c>
      <c r="B1190" s="32" t="s">
        <v>1079</v>
      </c>
      <c r="C1190" s="32" t="s">
        <v>1080</v>
      </c>
      <c r="D1190" s="32" t="s">
        <v>114</v>
      </c>
      <c r="E1190" s="32" t="s">
        <v>115</v>
      </c>
      <c r="F1190" s="33" t="n">
        <v>919593000000</v>
      </c>
      <c r="G1190" s="32" t="s">
        <v>144</v>
      </c>
      <c r="H1190" s="32" t="s">
        <v>22</v>
      </c>
      <c r="I1190" s="32" t="s">
        <v>95</v>
      </c>
      <c r="J1190" s="32" t="s">
        <v>96</v>
      </c>
      <c r="K1190" s="32" t="s">
        <v>63</v>
      </c>
    </row>
    <row r="1191" customFormat="false" ht="13.5" hidden="false" customHeight="true" outlineLevel="0" collapsed="false">
      <c r="A1191" s="32" t="n">
        <v>3169</v>
      </c>
      <c r="B1191" s="32" t="s">
        <v>1079</v>
      </c>
      <c r="C1191" s="32" t="s">
        <v>1080</v>
      </c>
      <c r="D1191" s="32" t="s">
        <v>114</v>
      </c>
      <c r="E1191" s="32" t="s">
        <v>115</v>
      </c>
      <c r="F1191" s="33" t="n">
        <v>919593000000</v>
      </c>
      <c r="G1191" s="32" t="s">
        <v>144</v>
      </c>
      <c r="H1191" s="32" t="s">
        <v>22</v>
      </c>
      <c r="I1191" s="32" t="s">
        <v>116</v>
      </c>
      <c r="J1191" s="32" t="s">
        <v>117</v>
      </c>
      <c r="K1191" s="32" t="s">
        <v>63</v>
      </c>
    </row>
    <row r="1192" customFormat="false" ht="13.5" hidden="false" customHeight="true" outlineLevel="0" collapsed="false">
      <c r="A1192" s="32" t="n">
        <v>3170</v>
      </c>
      <c r="B1192" s="32" t="s">
        <v>1079</v>
      </c>
      <c r="C1192" s="32" t="s">
        <v>1080</v>
      </c>
      <c r="D1192" s="32" t="s">
        <v>114</v>
      </c>
      <c r="E1192" s="32" t="s">
        <v>115</v>
      </c>
      <c r="F1192" s="33" t="n">
        <v>919593000000</v>
      </c>
      <c r="G1192" s="32" t="s">
        <v>144</v>
      </c>
      <c r="H1192" s="32" t="s">
        <v>22</v>
      </c>
      <c r="I1192" s="32" t="s">
        <v>172</v>
      </c>
      <c r="J1192" s="32" t="s">
        <v>152</v>
      </c>
      <c r="K1192" s="32" t="s">
        <v>63</v>
      </c>
    </row>
    <row r="1193" customFormat="false" ht="13.5" hidden="false" customHeight="true" outlineLevel="0" collapsed="false">
      <c r="A1193" s="32" t="n">
        <v>3171</v>
      </c>
      <c r="B1193" s="32" t="s">
        <v>1079</v>
      </c>
      <c r="C1193" s="32" t="s">
        <v>1080</v>
      </c>
      <c r="D1193" s="32" t="s">
        <v>114</v>
      </c>
      <c r="E1193" s="32" t="s">
        <v>115</v>
      </c>
      <c r="F1193" s="33" t="n">
        <v>919593000000</v>
      </c>
      <c r="G1193" s="32" t="s">
        <v>144</v>
      </c>
      <c r="H1193" s="32" t="s">
        <v>22</v>
      </c>
      <c r="I1193" s="32" t="s">
        <v>133</v>
      </c>
      <c r="J1193" s="32" t="s">
        <v>134</v>
      </c>
      <c r="K1193" s="32" t="s">
        <v>63</v>
      </c>
    </row>
    <row r="1194" customFormat="false" ht="13.5" hidden="false" customHeight="true" outlineLevel="0" collapsed="false">
      <c r="A1194" s="32" t="n">
        <v>3172</v>
      </c>
      <c r="B1194" s="32" t="s">
        <v>1079</v>
      </c>
      <c r="C1194" s="32" t="s">
        <v>1080</v>
      </c>
      <c r="D1194" s="32" t="s">
        <v>114</v>
      </c>
      <c r="E1194" s="32" t="s">
        <v>115</v>
      </c>
      <c r="F1194" s="33" t="n">
        <v>919593000000</v>
      </c>
      <c r="G1194" s="32" t="s">
        <v>144</v>
      </c>
      <c r="H1194" s="32" t="s">
        <v>22</v>
      </c>
      <c r="I1194" s="32" t="s">
        <v>28</v>
      </c>
      <c r="J1194" s="32" t="s">
        <v>82</v>
      </c>
      <c r="K1194" s="32" t="s">
        <v>63</v>
      </c>
    </row>
    <row r="1195" customFormat="false" ht="13.5" hidden="false" customHeight="true" outlineLevel="0" collapsed="false">
      <c r="A1195" s="32" t="n">
        <v>3173</v>
      </c>
      <c r="B1195" s="32" t="s">
        <v>1081</v>
      </c>
      <c r="C1195" s="32" t="s">
        <v>1082</v>
      </c>
      <c r="D1195" s="32" t="s">
        <v>59</v>
      </c>
      <c r="E1195" s="32" t="s">
        <v>92</v>
      </c>
      <c r="F1195" s="32" t="n">
        <v>8523891160</v>
      </c>
      <c r="G1195" s="32" t="s">
        <v>1083</v>
      </c>
      <c r="H1195" s="32" t="s">
        <v>21</v>
      </c>
      <c r="I1195" s="32" t="s">
        <v>95</v>
      </c>
      <c r="J1195" s="32" t="s">
        <v>96</v>
      </c>
      <c r="K1195" s="32" t="s">
        <v>63</v>
      </c>
    </row>
    <row r="1196" customFormat="false" ht="13.5" hidden="false" customHeight="true" outlineLevel="0" collapsed="false">
      <c r="A1196" s="32" t="n">
        <v>3174</v>
      </c>
      <c r="B1196" s="32" t="s">
        <v>1081</v>
      </c>
      <c r="C1196" s="32" t="s">
        <v>1082</v>
      </c>
      <c r="D1196" s="32" t="s">
        <v>59</v>
      </c>
      <c r="E1196" s="32" t="s">
        <v>92</v>
      </c>
      <c r="F1196" s="32" t="n">
        <v>8523891160</v>
      </c>
      <c r="G1196" s="32" t="s">
        <v>80</v>
      </c>
      <c r="H1196" s="32" t="s">
        <v>21</v>
      </c>
      <c r="I1196" s="32" t="s">
        <v>108</v>
      </c>
      <c r="J1196" s="32" t="s">
        <v>71</v>
      </c>
      <c r="K1196" s="32" t="s">
        <v>63</v>
      </c>
    </row>
    <row r="1197" customFormat="false" ht="13.5" hidden="false" customHeight="true" outlineLevel="0" collapsed="false">
      <c r="A1197" s="32" t="n">
        <v>3175</v>
      </c>
      <c r="B1197" s="32" t="s">
        <v>1084</v>
      </c>
      <c r="C1197" s="32" t="s">
        <v>1085</v>
      </c>
      <c r="D1197" s="32" t="s">
        <v>59</v>
      </c>
      <c r="E1197" s="32" t="s">
        <v>1086</v>
      </c>
      <c r="F1197" s="32" t="n">
        <v>9990210135</v>
      </c>
      <c r="G1197" s="32" t="s">
        <v>144</v>
      </c>
      <c r="H1197" s="32" t="s">
        <v>21</v>
      </c>
      <c r="I1197" s="32" t="s">
        <v>156</v>
      </c>
      <c r="J1197" s="32" t="s">
        <v>62</v>
      </c>
      <c r="K1197" s="32" t="s">
        <v>63</v>
      </c>
    </row>
    <row r="1198" customFormat="false" ht="13.5" hidden="false" customHeight="true" outlineLevel="0" collapsed="false">
      <c r="A1198" s="32" t="n">
        <v>3176</v>
      </c>
      <c r="B1198" s="32" t="s">
        <v>1084</v>
      </c>
      <c r="C1198" s="32" t="s">
        <v>1085</v>
      </c>
      <c r="D1198" s="32" t="s">
        <v>59</v>
      </c>
      <c r="E1198" s="32" t="s">
        <v>1086</v>
      </c>
      <c r="F1198" s="32" t="n">
        <v>9990210135</v>
      </c>
      <c r="G1198" s="32" t="s">
        <v>144</v>
      </c>
      <c r="H1198" s="32" t="s">
        <v>21</v>
      </c>
      <c r="I1198" s="32" t="s">
        <v>227</v>
      </c>
      <c r="J1198" s="32" t="s">
        <v>228</v>
      </c>
      <c r="K1198" s="32" t="s">
        <v>63</v>
      </c>
    </row>
    <row r="1199" customFormat="false" ht="13.5" hidden="false" customHeight="true" outlineLevel="0" collapsed="false">
      <c r="A1199" s="32" t="n">
        <v>3177</v>
      </c>
      <c r="B1199" s="32" t="s">
        <v>1084</v>
      </c>
      <c r="C1199" s="32" t="s">
        <v>1085</v>
      </c>
      <c r="D1199" s="32" t="s">
        <v>59</v>
      </c>
      <c r="E1199" s="32" t="s">
        <v>1086</v>
      </c>
      <c r="F1199" s="32" t="n">
        <v>9990210135</v>
      </c>
      <c r="G1199" s="32" t="s">
        <v>144</v>
      </c>
      <c r="H1199" s="32" t="s">
        <v>21</v>
      </c>
      <c r="I1199" s="32" t="s">
        <v>1087</v>
      </c>
      <c r="J1199" s="32" t="s">
        <v>1087</v>
      </c>
      <c r="K1199" s="32" t="s">
        <v>63</v>
      </c>
    </row>
    <row r="1200" customFormat="false" ht="13.5" hidden="false" customHeight="true" outlineLevel="0" collapsed="false">
      <c r="A1200" s="32" t="n">
        <v>3178</v>
      </c>
      <c r="B1200" s="32" t="s">
        <v>1084</v>
      </c>
      <c r="C1200" s="32" t="s">
        <v>1085</v>
      </c>
      <c r="D1200" s="32" t="s">
        <v>59</v>
      </c>
      <c r="E1200" s="32" t="s">
        <v>1086</v>
      </c>
      <c r="F1200" s="32" t="n">
        <v>9990210135</v>
      </c>
      <c r="G1200" s="32" t="s">
        <v>144</v>
      </c>
      <c r="H1200" s="32" t="s">
        <v>21</v>
      </c>
      <c r="I1200" s="32" t="s">
        <v>130</v>
      </c>
      <c r="J1200" s="32" t="s">
        <v>130</v>
      </c>
      <c r="K1200" s="32" t="s">
        <v>63</v>
      </c>
    </row>
    <row r="1201" customFormat="false" ht="13.5" hidden="false" customHeight="true" outlineLevel="0" collapsed="false">
      <c r="A1201" s="32" t="n">
        <v>3179</v>
      </c>
      <c r="B1201" s="32" t="s">
        <v>1088</v>
      </c>
      <c r="C1201" s="32" t="s">
        <v>1089</v>
      </c>
      <c r="D1201" s="32" t="s">
        <v>114</v>
      </c>
      <c r="E1201" s="32" t="s">
        <v>268</v>
      </c>
      <c r="F1201" s="32" t="s">
        <v>1090</v>
      </c>
      <c r="G1201" s="32" t="s">
        <v>61</v>
      </c>
      <c r="H1201" s="32" t="s">
        <v>22</v>
      </c>
      <c r="I1201" s="32" t="s">
        <v>150</v>
      </c>
      <c r="J1201" s="32" t="s">
        <v>73</v>
      </c>
      <c r="K1201" s="32" t="s">
        <v>63</v>
      </c>
    </row>
    <row r="1202" customFormat="false" ht="13.5" hidden="false" customHeight="true" outlineLevel="0" collapsed="false">
      <c r="A1202" s="32" t="n">
        <v>3180</v>
      </c>
      <c r="B1202" s="32" t="s">
        <v>1088</v>
      </c>
      <c r="C1202" s="32" t="s">
        <v>1091</v>
      </c>
      <c r="D1202" s="32" t="s">
        <v>114</v>
      </c>
      <c r="E1202" s="32" t="s">
        <v>268</v>
      </c>
      <c r="F1202" s="32" t="s">
        <v>1090</v>
      </c>
      <c r="G1202" s="32" t="s">
        <v>61</v>
      </c>
      <c r="H1202" s="32" t="s">
        <v>22</v>
      </c>
      <c r="I1202" s="32" t="s">
        <v>245</v>
      </c>
      <c r="J1202" s="32" t="s">
        <v>71</v>
      </c>
      <c r="K1202" s="32" t="s">
        <v>63</v>
      </c>
    </row>
    <row r="1203" customFormat="false" ht="13.5" hidden="false" customHeight="true" outlineLevel="0" collapsed="false">
      <c r="A1203" s="32" t="n">
        <v>3181</v>
      </c>
      <c r="B1203" s="32" t="s">
        <v>1088</v>
      </c>
      <c r="C1203" s="32" t="s">
        <v>1091</v>
      </c>
      <c r="D1203" s="32" t="s">
        <v>114</v>
      </c>
      <c r="E1203" s="32" t="s">
        <v>268</v>
      </c>
      <c r="F1203" s="32" t="s">
        <v>1090</v>
      </c>
      <c r="G1203" s="32" t="s">
        <v>61</v>
      </c>
      <c r="H1203" s="32" t="s">
        <v>22</v>
      </c>
      <c r="I1203" s="32" t="s">
        <v>633</v>
      </c>
      <c r="J1203" s="32" t="s">
        <v>71</v>
      </c>
      <c r="K1203" s="32" t="s">
        <v>63</v>
      </c>
    </row>
    <row r="1204" customFormat="false" ht="13.5" hidden="false" customHeight="true" outlineLevel="0" collapsed="false">
      <c r="A1204" s="32" t="n">
        <v>3182</v>
      </c>
      <c r="B1204" s="32" t="s">
        <v>1088</v>
      </c>
      <c r="C1204" s="32" t="s">
        <v>1092</v>
      </c>
      <c r="D1204" s="32" t="s">
        <v>114</v>
      </c>
      <c r="E1204" s="32" t="s">
        <v>268</v>
      </c>
      <c r="F1204" s="32" t="s">
        <v>1090</v>
      </c>
      <c r="G1204" s="32" t="s">
        <v>61</v>
      </c>
      <c r="H1204" s="32" t="s">
        <v>22</v>
      </c>
      <c r="I1204" s="32" t="s">
        <v>245</v>
      </c>
      <c r="J1204" s="32" t="s">
        <v>71</v>
      </c>
      <c r="K1204" s="32" t="s">
        <v>63</v>
      </c>
    </row>
    <row r="1205" customFormat="false" ht="13.5" hidden="false" customHeight="true" outlineLevel="0" collapsed="false">
      <c r="A1205" s="32" t="n">
        <v>3183</v>
      </c>
      <c r="B1205" s="32" t="s">
        <v>1088</v>
      </c>
      <c r="C1205" s="32" t="s">
        <v>1089</v>
      </c>
      <c r="D1205" s="32" t="s">
        <v>114</v>
      </c>
      <c r="E1205" s="32" t="s">
        <v>268</v>
      </c>
      <c r="F1205" s="32" t="s">
        <v>1090</v>
      </c>
      <c r="G1205" s="32" t="s">
        <v>61</v>
      </c>
      <c r="H1205" s="32" t="s">
        <v>22</v>
      </c>
      <c r="I1205" s="32" t="s">
        <v>14</v>
      </c>
      <c r="J1205" s="32" t="s">
        <v>66</v>
      </c>
      <c r="K1205" s="32" t="s">
        <v>63</v>
      </c>
    </row>
    <row r="1206" customFormat="false" ht="13.5" hidden="false" customHeight="true" outlineLevel="0" collapsed="false">
      <c r="A1206" s="32" t="n">
        <v>3184</v>
      </c>
      <c r="B1206" s="32" t="s">
        <v>1088</v>
      </c>
      <c r="C1206" s="32" t="s">
        <v>1089</v>
      </c>
      <c r="D1206" s="32" t="s">
        <v>114</v>
      </c>
      <c r="E1206" s="32" t="s">
        <v>268</v>
      </c>
      <c r="F1206" s="32" t="s">
        <v>1090</v>
      </c>
      <c r="G1206" s="32" t="s">
        <v>61</v>
      </c>
      <c r="H1206" s="32" t="s">
        <v>22</v>
      </c>
      <c r="I1206" s="32" t="s">
        <v>212</v>
      </c>
      <c r="J1206" s="32" t="s">
        <v>73</v>
      </c>
      <c r="K1206" s="32" t="s">
        <v>63</v>
      </c>
    </row>
    <row r="1207" customFormat="false" ht="13.5" hidden="false" customHeight="true" outlineLevel="0" collapsed="false">
      <c r="A1207" s="32" t="n">
        <v>3185</v>
      </c>
      <c r="B1207" s="32" t="s">
        <v>1093</v>
      </c>
      <c r="C1207" s="32" t="s">
        <v>1094</v>
      </c>
      <c r="D1207" s="32" t="s">
        <v>102</v>
      </c>
      <c r="E1207" s="32" t="s">
        <v>155</v>
      </c>
      <c r="F1207" s="32" t="n">
        <v>7045862553</v>
      </c>
      <c r="G1207" s="32" t="s">
        <v>104</v>
      </c>
      <c r="H1207" s="32" t="s">
        <v>21</v>
      </c>
      <c r="I1207" s="32" t="s">
        <v>29</v>
      </c>
      <c r="J1207" s="32" t="s">
        <v>62</v>
      </c>
      <c r="K1207" s="32" t="s">
        <v>63</v>
      </c>
    </row>
    <row r="1208" customFormat="false" ht="13.5" hidden="false" customHeight="true" outlineLevel="0" collapsed="false">
      <c r="A1208" s="32" t="n">
        <v>3186</v>
      </c>
      <c r="B1208" s="32" t="s">
        <v>1093</v>
      </c>
      <c r="C1208" s="32" t="s">
        <v>1094</v>
      </c>
      <c r="D1208" s="32" t="s">
        <v>102</v>
      </c>
      <c r="E1208" s="32" t="s">
        <v>155</v>
      </c>
      <c r="F1208" s="32" t="n">
        <v>7045862553</v>
      </c>
      <c r="G1208" s="32" t="s">
        <v>104</v>
      </c>
      <c r="H1208" s="32" t="s">
        <v>21</v>
      </c>
      <c r="I1208" s="32" t="s">
        <v>14</v>
      </c>
      <c r="J1208" s="32" t="s">
        <v>66</v>
      </c>
      <c r="K1208" s="32" t="s">
        <v>63</v>
      </c>
    </row>
    <row r="1209" customFormat="false" ht="13.5" hidden="false" customHeight="true" outlineLevel="0" collapsed="false">
      <c r="A1209" s="32" t="n">
        <v>3187</v>
      </c>
      <c r="B1209" s="32" t="s">
        <v>1095</v>
      </c>
      <c r="C1209" s="32" t="s">
        <v>1096</v>
      </c>
      <c r="D1209" s="32" t="s">
        <v>114</v>
      </c>
      <c r="E1209" s="32" t="s">
        <v>165</v>
      </c>
      <c r="F1209" s="32" t="n">
        <v>0</v>
      </c>
      <c r="G1209" s="32" t="s">
        <v>61</v>
      </c>
      <c r="H1209" s="32" t="s">
        <v>22</v>
      </c>
      <c r="I1209" s="32" t="s">
        <v>149</v>
      </c>
      <c r="J1209" s="32" t="s">
        <v>73</v>
      </c>
      <c r="K1209" s="32" t="s">
        <v>63</v>
      </c>
    </row>
    <row r="1210" customFormat="false" ht="13.5" hidden="false" customHeight="true" outlineLevel="0" collapsed="false">
      <c r="A1210" s="32" t="n">
        <v>3188</v>
      </c>
      <c r="B1210" s="32" t="s">
        <v>1095</v>
      </c>
      <c r="C1210" s="32" t="s">
        <v>1097</v>
      </c>
      <c r="D1210" s="32" t="s">
        <v>114</v>
      </c>
      <c r="E1210" s="32" t="s">
        <v>165</v>
      </c>
      <c r="F1210" s="32" t="n">
        <v>9740453495</v>
      </c>
      <c r="G1210" s="32" t="s">
        <v>61</v>
      </c>
      <c r="H1210" s="32" t="s">
        <v>22</v>
      </c>
      <c r="I1210" s="32" t="s">
        <v>108</v>
      </c>
      <c r="J1210" s="32" t="s">
        <v>71</v>
      </c>
      <c r="K1210" s="32" t="s">
        <v>63</v>
      </c>
    </row>
    <row r="1211" customFormat="false" ht="13.5" hidden="false" customHeight="true" outlineLevel="0" collapsed="false">
      <c r="A1211" s="32" t="n">
        <v>3189</v>
      </c>
      <c r="B1211" s="32" t="s">
        <v>1095</v>
      </c>
      <c r="C1211" s="32" t="s">
        <v>1097</v>
      </c>
      <c r="D1211" s="32" t="s">
        <v>114</v>
      </c>
      <c r="E1211" s="32" t="s">
        <v>165</v>
      </c>
      <c r="F1211" s="32" t="n">
        <v>9740453495</v>
      </c>
      <c r="G1211" s="32" t="s">
        <v>61</v>
      </c>
      <c r="H1211" s="32" t="s">
        <v>22</v>
      </c>
      <c r="I1211" s="32" t="s">
        <v>16</v>
      </c>
      <c r="J1211" s="32" t="s">
        <v>73</v>
      </c>
      <c r="K1211" s="32" t="s">
        <v>63</v>
      </c>
    </row>
    <row r="1212" customFormat="false" ht="13.5" hidden="false" customHeight="true" outlineLevel="0" collapsed="false">
      <c r="A1212" s="32" t="n">
        <v>3190</v>
      </c>
      <c r="B1212" s="32" t="s">
        <v>1095</v>
      </c>
      <c r="C1212" s="32" t="s">
        <v>1097</v>
      </c>
      <c r="D1212" s="32" t="s">
        <v>114</v>
      </c>
      <c r="E1212" s="32" t="s">
        <v>165</v>
      </c>
      <c r="F1212" s="32" t="n">
        <v>9740453495</v>
      </c>
      <c r="G1212" s="32" t="s">
        <v>61</v>
      </c>
      <c r="H1212" s="32" t="s">
        <v>22</v>
      </c>
      <c r="I1212" s="32" t="s">
        <v>150</v>
      </c>
      <c r="J1212" s="32" t="s">
        <v>73</v>
      </c>
      <c r="K1212" s="32" t="s">
        <v>63</v>
      </c>
    </row>
    <row r="1213" customFormat="false" ht="13.5" hidden="false" customHeight="true" outlineLevel="0" collapsed="false">
      <c r="A1213" s="32" t="n">
        <v>3191</v>
      </c>
      <c r="B1213" s="32" t="s">
        <v>1098</v>
      </c>
      <c r="C1213" s="32" t="s">
        <v>1099</v>
      </c>
      <c r="D1213" s="32" t="s">
        <v>59</v>
      </c>
      <c r="E1213" s="32" t="s">
        <v>107</v>
      </c>
      <c r="F1213" s="32" t="n">
        <v>9035815233</v>
      </c>
      <c r="G1213" s="32" t="s">
        <v>61</v>
      </c>
      <c r="H1213" s="32" t="s">
        <v>21</v>
      </c>
      <c r="I1213" s="32" t="s">
        <v>109</v>
      </c>
      <c r="J1213" s="32" t="s">
        <v>110</v>
      </c>
      <c r="K1213" s="32" t="s">
        <v>63</v>
      </c>
    </row>
    <row r="1214" customFormat="false" ht="13.5" hidden="false" customHeight="true" outlineLevel="0" collapsed="false">
      <c r="A1214" s="32" t="n">
        <v>3192</v>
      </c>
      <c r="B1214" s="32" t="s">
        <v>1098</v>
      </c>
      <c r="C1214" s="32" t="s">
        <v>1100</v>
      </c>
      <c r="D1214" s="32" t="s">
        <v>59</v>
      </c>
      <c r="E1214" s="32" t="s">
        <v>107</v>
      </c>
      <c r="F1214" s="32" t="n">
        <v>9035815233</v>
      </c>
      <c r="G1214" s="32" t="s">
        <v>61</v>
      </c>
      <c r="H1214" s="32" t="s">
        <v>21</v>
      </c>
      <c r="I1214" s="32" t="s">
        <v>840</v>
      </c>
      <c r="J1214" s="32" t="s">
        <v>89</v>
      </c>
      <c r="K1214" s="32" t="s">
        <v>63</v>
      </c>
    </row>
    <row r="1215" customFormat="false" ht="13.5" hidden="false" customHeight="true" outlineLevel="0" collapsed="false">
      <c r="A1215" s="32" t="n">
        <v>3193</v>
      </c>
      <c r="B1215" s="32" t="s">
        <v>1098</v>
      </c>
      <c r="C1215" s="32" t="s">
        <v>1100</v>
      </c>
      <c r="D1215" s="32" t="s">
        <v>59</v>
      </c>
      <c r="E1215" s="32" t="s">
        <v>107</v>
      </c>
      <c r="F1215" s="32" t="n">
        <v>9035815233</v>
      </c>
      <c r="G1215" s="32" t="s">
        <v>61</v>
      </c>
      <c r="H1215" s="32" t="s">
        <v>21</v>
      </c>
      <c r="I1215" s="32" t="s">
        <v>145</v>
      </c>
      <c r="J1215" s="32" t="s">
        <v>117</v>
      </c>
      <c r="K1215" s="32" t="s">
        <v>63</v>
      </c>
    </row>
    <row r="1216" customFormat="false" ht="13.5" hidden="false" customHeight="true" outlineLevel="0" collapsed="false">
      <c r="A1216" s="32" t="n">
        <v>3194</v>
      </c>
      <c r="B1216" s="32" t="s">
        <v>1098</v>
      </c>
      <c r="C1216" s="32" t="s">
        <v>1100</v>
      </c>
      <c r="D1216" s="32" t="s">
        <v>59</v>
      </c>
      <c r="E1216" s="32" t="s">
        <v>107</v>
      </c>
      <c r="F1216" s="32" t="n">
        <v>9035815233</v>
      </c>
      <c r="G1216" s="32" t="s">
        <v>61</v>
      </c>
      <c r="H1216" s="32" t="s">
        <v>21</v>
      </c>
      <c r="I1216" s="32" t="s">
        <v>133</v>
      </c>
      <c r="J1216" s="32" t="s">
        <v>134</v>
      </c>
      <c r="K1216" s="32" t="s">
        <v>63</v>
      </c>
    </row>
    <row r="1217" customFormat="false" ht="13.5" hidden="false" customHeight="true" outlineLevel="0" collapsed="false">
      <c r="A1217" s="32" t="n">
        <v>3195</v>
      </c>
      <c r="B1217" s="32" t="s">
        <v>1101</v>
      </c>
      <c r="C1217" s="32" t="s">
        <v>1102</v>
      </c>
      <c r="D1217" s="32" t="s">
        <v>114</v>
      </c>
      <c r="E1217" s="32" t="s">
        <v>124</v>
      </c>
      <c r="F1217" s="32" t="n">
        <v>9741737106</v>
      </c>
      <c r="G1217" s="32" t="s">
        <v>61</v>
      </c>
      <c r="H1217" s="32" t="s">
        <v>22</v>
      </c>
      <c r="I1217" s="32" t="s">
        <v>227</v>
      </c>
      <c r="J1217" s="32" t="s">
        <v>228</v>
      </c>
      <c r="K1217" s="32" t="s">
        <v>63</v>
      </c>
    </row>
    <row r="1218" customFormat="false" ht="13.5" hidden="false" customHeight="true" outlineLevel="0" collapsed="false">
      <c r="A1218" s="32" t="n">
        <v>3196</v>
      </c>
      <c r="B1218" s="32" t="s">
        <v>1101</v>
      </c>
      <c r="C1218" s="32" t="s">
        <v>1103</v>
      </c>
      <c r="D1218" s="32" t="s">
        <v>114</v>
      </c>
      <c r="E1218" s="32" t="s">
        <v>124</v>
      </c>
      <c r="F1218" s="32" t="n">
        <v>9741737106</v>
      </c>
      <c r="G1218" s="32" t="s">
        <v>61</v>
      </c>
      <c r="H1218" s="32" t="s">
        <v>22</v>
      </c>
      <c r="I1218" s="32" t="s">
        <v>185</v>
      </c>
      <c r="J1218" s="32" t="s">
        <v>186</v>
      </c>
      <c r="K1218" s="32" t="s">
        <v>63</v>
      </c>
    </row>
    <row r="1219" customFormat="false" ht="13.5" hidden="false" customHeight="true" outlineLevel="0" collapsed="false">
      <c r="A1219" s="32" t="n">
        <v>3197</v>
      </c>
      <c r="B1219" s="32" t="s">
        <v>1101</v>
      </c>
      <c r="C1219" s="32" t="s">
        <v>1103</v>
      </c>
      <c r="D1219" s="32" t="s">
        <v>114</v>
      </c>
      <c r="E1219" s="32" t="s">
        <v>124</v>
      </c>
      <c r="F1219" s="32" t="n">
        <v>9741737106</v>
      </c>
      <c r="G1219" s="32" t="s">
        <v>61</v>
      </c>
      <c r="H1219" s="32" t="s">
        <v>22</v>
      </c>
      <c r="I1219" s="32" t="s">
        <v>226</v>
      </c>
      <c r="J1219" s="32" t="s">
        <v>110</v>
      </c>
      <c r="K1219" s="32" t="s">
        <v>63</v>
      </c>
    </row>
    <row r="1220" customFormat="false" ht="13.5" hidden="false" customHeight="true" outlineLevel="0" collapsed="false">
      <c r="A1220" s="32" t="n">
        <v>3198</v>
      </c>
      <c r="B1220" s="32" t="s">
        <v>1104</v>
      </c>
      <c r="C1220" s="32" t="s">
        <v>1105</v>
      </c>
      <c r="D1220" s="32" t="s">
        <v>59</v>
      </c>
      <c r="E1220" s="32" t="s">
        <v>107</v>
      </c>
      <c r="F1220" s="32" t="n">
        <v>9989229682</v>
      </c>
      <c r="G1220" s="32" t="s">
        <v>80</v>
      </c>
      <c r="H1220" s="32" t="s">
        <v>21</v>
      </c>
      <c r="I1220" s="32" t="s">
        <v>145</v>
      </c>
      <c r="J1220" s="32" t="s">
        <v>117</v>
      </c>
      <c r="K1220" s="32" t="s">
        <v>63</v>
      </c>
    </row>
    <row r="1221" customFormat="false" ht="13.5" hidden="false" customHeight="true" outlineLevel="0" collapsed="false">
      <c r="A1221" s="32" t="n">
        <v>3199</v>
      </c>
      <c r="B1221" s="32" t="s">
        <v>1106</v>
      </c>
      <c r="C1221" s="32" t="s">
        <v>1107</v>
      </c>
      <c r="D1221" s="32" t="s">
        <v>114</v>
      </c>
      <c r="E1221" s="32" t="s">
        <v>268</v>
      </c>
      <c r="F1221" s="32" t="n">
        <v>9980027646</v>
      </c>
      <c r="G1221" s="32" t="s">
        <v>144</v>
      </c>
      <c r="H1221" s="32" t="s">
        <v>22</v>
      </c>
      <c r="I1221" s="32" t="s">
        <v>1108</v>
      </c>
      <c r="J1221" s="32" t="s">
        <v>66</v>
      </c>
      <c r="K1221" s="32" t="s">
        <v>63</v>
      </c>
    </row>
    <row r="1222" customFormat="false" ht="13.5" hidden="false" customHeight="true" outlineLevel="0" collapsed="false">
      <c r="A1222" s="32" t="n">
        <v>3200</v>
      </c>
      <c r="B1222" s="32" t="s">
        <v>1106</v>
      </c>
      <c r="C1222" s="32" t="s">
        <v>1107</v>
      </c>
      <c r="D1222" s="32" t="s">
        <v>114</v>
      </c>
      <c r="E1222" s="32" t="s">
        <v>268</v>
      </c>
      <c r="F1222" s="32" t="n">
        <v>9980027646</v>
      </c>
      <c r="G1222" s="32" t="s">
        <v>144</v>
      </c>
      <c r="H1222" s="32" t="s">
        <v>22</v>
      </c>
      <c r="I1222" s="32" t="s">
        <v>166</v>
      </c>
      <c r="J1222" s="32" t="s">
        <v>66</v>
      </c>
      <c r="K1222" s="32" t="s">
        <v>63</v>
      </c>
    </row>
    <row r="1223" customFormat="false" ht="13.5" hidden="false" customHeight="true" outlineLevel="0" collapsed="false">
      <c r="A1223" s="32" t="n">
        <v>3201</v>
      </c>
      <c r="B1223" s="32" t="s">
        <v>1106</v>
      </c>
      <c r="C1223" s="32" t="s">
        <v>1107</v>
      </c>
      <c r="D1223" s="32" t="s">
        <v>114</v>
      </c>
      <c r="E1223" s="32" t="s">
        <v>268</v>
      </c>
      <c r="F1223" s="32" t="n">
        <v>9980027646</v>
      </c>
      <c r="G1223" s="32" t="s">
        <v>144</v>
      </c>
      <c r="H1223" s="32" t="s">
        <v>22</v>
      </c>
      <c r="I1223" s="32" t="s">
        <v>14</v>
      </c>
      <c r="J1223" s="32" t="s">
        <v>66</v>
      </c>
      <c r="K1223" s="32" t="s">
        <v>63</v>
      </c>
    </row>
    <row r="1224" customFormat="false" ht="13.5" hidden="false" customHeight="true" outlineLevel="0" collapsed="false">
      <c r="A1224" s="32" t="n">
        <v>3202</v>
      </c>
      <c r="B1224" s="32" t="s">
        <v>1106</v>
      </c>
      <c r="C1224" s="32" t="s">
        <v>1107</v>
      </c>
      <c r="D1224" s="32" t="s">
        <v>114</v>
      </c>
      <c r="E1224" s="32" t="s">
        <v>268</v>
      </c>
      <c r="F1224" s="32" t="n">
        <v>9980027646</v>
      </c>
      <c r="G1224" s="32" t="s">
        <v>144</v>
      </c>
      <c r="H1224" s="32" t="s">
        <v>22</v>
      </c>
      <c r="I1224" s="32" t="s">
        <v>156</v>
      </c>
      <c r="J1224" s="32" t="s">
        <v>62</v>
      </c>
      <c r="K1224" s="32" t="s">
        <v>63</v>
      </c>
    </row>
    <row r="1225" customFormat="false" ht="13.5" hidden="false" customHeight="true" outlineLevel="0" collapsed="false">
      <c r="A1225" s="32" t="n">
        <v>3203</v>
      </c>
      <c r="B1225" s="32" t="s">
        <v>1106</v>
      </c>
      <c r="C1225" s="32" t="s">
        <v>1107</v>
      </c>
      <c r="D1225" s="32" t="s">
        <v>114</v>
      </c>
      <c r="E1225" s="32" t="s">
        <v>268</v>
      </c>
      <c r="F1225" s="32" t="n">
        <v>9980027646</v>
      </c>
      <c r="G1225" s="32" t="s">
        <v>144</v>
      </c>
      <c r="H1225" s="32" t="s">
        <v>22</v>
      </c>
      <c r="I1225" s="32" t="s">
        <v>29</v>
      </c>
      <c r="J1225" s="32" t="s">
        <v>62</v>
      </c>
      <c r="K1225" s="32" t="s">
        <v>63</v>
      </c>
    </row>
    <row r="1226" customFormat="false" ht="13.5" hidden="false" customHeight="true" outlineLevel="0" collapsed="false">
      <c r="A1226" s="32" t="n">
        <v>3204</v>
      </c>
      <c r="B1226" s="32" t="s">
        <v>1109</v>
      </c>
      <c r="C1226" s="32" t="s">
        <v>1110</v>
      </c>
      <c r="D1226" s="32" t="s">
        <v>331</v>
      </c>
      <c r="E1226" s="32" t="s">
        <v>278</v>
      </c>
      <c r="F1226" s="33" t="n">
        <v>919705000000</v>
      </c>
      <c r="G1226" s="32" t="s">
        <v>80</v>
      </c>
      <c r="H1226" s="32" t="s">
        <v>332</v>
      </c>
      <c r="I1226" s="32" t="s">
        <v>126</v>
      </c>
      <c r="J1226" s="32" t="s">
        <v>85</v>
      </c>
      <c r="K1226" s="32" t="s">
        <v>63</v>
      </c>
    </row>
    <row r="1227" customFormat="false" ht="13.5" hidden="false" customHeight="true" outlineLevel="0" collapsed="false">
      <c r="A1227" s="32" t="n">
        <v>3205</v>
      </c>
      <c r="B1227" s="32" t="s">
        <v>1111</v>
      </c>
      <c r="C1227" s="32" t="s">
        <v>1112</v>
      </c>
      <c r="D1227" s="32" t="s">
        <v>59</v>
      </c>
      <c r="E1227" s="32" t="s">
        <v>60</v>
      </c>
      <c r="F1227" s="32" t="n">
        <v>9000882979</v>
      </c>
      <c r="G1227" s="32" t="s">
        <v>80</v>
      </c>
      <c r="H1227" s="32" t="s">
        <v>21</v>
      </c>
      <c r="I1227" s="32" t="s">
        <v>14</v>
      </c>
      <c r="J1227" s="32" t="s">
        <v>66</v>
      </c>
      <c r="K1227" s="32" t="s">
        <v>63</v>
      </c>
    </row>
    <row r="1228" customFormat="false" ht="13.5" hidden="false" customHeight="true" outlineLevel="0" collapsed="false">
      <c r="A1228" s="32" t="n">
        <v>3206</v>
      </c>
      <c r="B1228" s="32" t="s">
        <v>1111</v>
      </c>
      <c r="C1228" s="32" t="s">
        <v>1112</v>
      </c>
      <c r="D1228" s="32" t="s">
        <v>59</v>
      </c>
      <c r="E1228" s="32" t="s">
        <v>60</v>
      </c>
      <c r="F1228" s="32" t="n">
        <v>9000882979</v>
      </c>
      <c r="G1228" s="32" t="s">
        <v>80</v>
      </c>
      <c r="H1228" s="32" t="s">
        <v>21</v>
      </c>
      <c r="I1228" s="32" t="s">
        <v>234</v>
      </c>
      <c r="J1228" s="32" t="s">
        <v>235</v>
      </c>
      <c r="K1228" s="32" t="s">
        <v>63</v>
      </c>
    </row>
    <row r="1229" customFormat="false" ht="13.5" hidden="false" customHeight="true" outlineLevel="0" collapsed="false">
      <c r="A1229" s="32" t="n">
        <v>3207</v>
      </c>
      <c r="B1229" s="32" t="s">
        <v>1111</v>
      </c>
      <c r="C1229" s="32" t="s">
        <v>1112</v>
      </c>
      <c r="D1229" s="32" t="s">
        <v>59</v>
      </c>
      <c r="E1229" s="32" t="s">
        <v>60</v>
      </c>
      <c r="F1229" s="32" t="n">
        <v>9000882979</v>
      </c>
      <c r="G1229" s="32" t="s">
        <v>80</v>
      </c>
      <c r="H1229" s="32" t="s">
        <v>21</v>
      </c>
      <c r="I1229" s="32" t="s">
        <v>333</v>
      </c>
      <c r="J1229" s="32" t="s">
        <v>235</v>
      </c>
      <c r="K1229" s="32" t="s">
        <v>63</v>
      </c>
    </row>
    <row r="1230" customFormat="false" ht="13.5" hidden="false" customHeight="true" outlineLevel="0" collapsed="false">
      <c r="A1230" s="32" t="n">
        <v>3208</v>
      </c>
      <c r="B1230" s="32" t="s">
        <v>1113</v>
      </c>
      <c r="C1230" s="32" t="s">
        <v>1114</v>
      </c>
      <c r="D1230" s="32" t="s">
        <v>59</v>
      </c>
      <c r="E1230" s="32" t="s">
        <v>92</v>
      </c>
      <c r="F1230" s="32" t="n">
        <v>0</v>
      </c>
      <c r="G1230" s="32" t="s">
        <v>80</v>
      </c>
      <c r="H1230" s="32" t="s">
        <v>21</v>
      </c>
      <c r="I1230" s="32" t="s">
        <v>226</v>
      </c>
      <c r="J1230" s="32" t="s">
        <v>110</v>
      </c>
      <c r="K1230" s="32" t="s">
        <v>63</v>
      </c>
    </row>
    <row r="1231" customFormat="false" ht="13.5" hidden="false" customHeight="true" outlineLevel="0" collapsed="false">
      <c r="A1231" s="32" t="n">
        <v>3209</v>
      </c>
      <c r="B1231" s="32" t="s">
        <v>1113</v>
      </c>
      <c r="C1231" s="32" t="s">
        <v>1114</v>
      </c>
      <c r="D1231" s="32" t="s">
        <v>59</v>
      </c>
      <c r="E1231" s="32" t="s">
        <v>92</v>
      </c>
      <c r="F1231" s="32" t="n">
        <v>6281999476</v>
      </c>
      <c r="G1231" s="32" t="s">
        <v>80</v>
      </c>
      <c r="H1231" s="32" t="s">
        <v>21</v>
      </c>
      <c r="I1231" s="32" t="s">
        <v>185</v>
      </c>
      <c r="J1231" s="32" t="s">
        <v>186</v>
      </c>
      <c r="K1231" s="32" t="s">
        <v>63</v>
      </c>
    </row>
    <row r="1232" customFormat="false" ht="13.5" hidden="false" customHeight="true" outlineLevel="0" collapsed="false">
      <c r="A1232" s="32" t="n">
        <v>3210</v>
      </c>
      <c r="B1232" s="32" t="s">
        <v>1113</v>
      </c>
      <c r="C1232" s="32" t="s">
        <v>1114</v>
      </c>
      <c r="D1232" s="32" t="s">
        <v>59</v>
      </c>
      <c r="E1232" s="32" t="s">
        <v>92</v>
      </c>
      <c r="F1232" s="32" t="n">
        <v>6281999476</v>
      </c>
      <c r="G1232" s="32" t="s">
        <v>80</v>
      </c>
      <c r="H1232" s="32" t="s">
        <v>21</v>
      </c>
      <c r="I1232" s="32" t="s">
        <v>145</v>
      </c>
      <c r="J1232" s="32" t="s">
        <v>117</v>
      </c>
      <c r="K1232" s="32" t="s">
        <v>63</v>
      </c>
    </row>
    <row r="1233" customFormat="false" ht="13.5" hidden="false" customHeight="true" outlineLevel="0" collapsed="false">
      <c r="A1233" s="32" t="n">
        <v>3211</v>
      </c>
      <c r="B1233" s="32" t="s">
        <v>1115</v>
      </c>
      <c r="C1233" s="32" t="s">
        <v>1116</v>
      </c>
      <c r="D1233" s="32" t="s">
        <v>114</v>
      </c>
      <c r="E1233" s="32" t="s">
        <v>165</v>
      </c>
      <c r="F1233" s="32" t="n">
        <v>8527008046</v>
      </c>
      <c r="G1233" s="32" t="s">
        <v>144</v>
      </c>
      <c r="H1233" s="32" t="s">
        <v>22</v>
      </c>
      <c r="I1233" s="32" t="s">
        <v>93</v>
      </c>
      <c r="J1233" s="32" t="s">
        <v>85</v>
      </c>
      <c r="K1233" s="32" t="s">
        <v>63</v>
      </c>
    </row>
    <row r="1234" customFormat="false" ht="13.5" hidden="false" customHeight="true" outlineLevel="0" collapsed="false">
      <c r="A1234" s="32" t="n">
        <v>3214</v>
      </c>
      <c r="B1234" s="32" t="s">
        <v>1115</v>
      </c>
      <c r="C1234" s="32" t="s">
        <v>1117</v>
      </c>
      <c r="D1234" s="32" t="s">
        <v>114</v>
      </c>
      <c r="E1234" s="32" t="s">
        <v>165</v>
      </c>
      <c r="F1234" s="32" t="n">
        <v>8527008046</v>
      </c>
      <c r="G1234" s="32" t="s">
        <v>144</v>
      </c>
      <c r="H1234" s="32" t="s">
        <v>22</v>
      </c>
      <c r="I1234" s="32" t="s">
        <v>30</v>
      </c>
      <c r="J1234" s="32" t="s">
        <v>203</v>
      </c>
      <c r="K1234" s="32" t="s">
        <v>63</v>
      </c>
    </row>
    <row r="1235" customFormat="false" ht="13.5" hidden="false" customHeight="true" outlineLevel="0" collapsed="false">
      <c r="A1235" s="32" t="n">
        <v>3215</v>
      </c>
      <c r="B1235" s="32" t="s">
        <v>1115</v>
      </c>
      <c r="C1235" s="32" t="s">
        <v>1117</v>
      </c>
      <c r="D1235" s="32" t="s">
        <v>114</v>
      </c>
      <c r="E1235" s="32" t="s">
        <v>165</v>
      </c>
      <c r="F1235" s="32" t="n">
        <v>8527008046</v>
      </c>
      <c r="G1235" s="32" t="s">
        <v>144</v>
      </c>
      <c r="H1235" s="32" t="s">
        <v>22</v>
      </c>
      <c r="I1235" s="32" t="s">
        <v>27</v>
      </c>
      <c r="J1235" s="32" t="s">
        <v>13</v>
      </c>
      <c r="K1235" s="32" t="s">
        <v>63</v>
      </c>
    </row>
    <row r="1236" customFormat="false" ht="13.5" hidden="false" customHeight="true" outlineLevel="0" collapsed="false">
      <c r="A1236" s="32" t="n">
        <v>3216</v>
      </c>
      <c r="B1236" s="32" t="s">
        <v>1115</v>
      </c>
      <c r="C1236" s="32" t="s">
        <v>1117</v>
      </c>
      <c r="D1236" s="32" t="s">
        <v>114</v>
      </c>
      <c r="E1236" s="32" t="s">
        <v>165</v>
      </c>
      <c r="F1236" s="32" t="n">
        <v>8527008046</v>
      </c>
      <c r="G1236" s="32" t="s">
        <v>144</v>
      </c>
      <c r="H1236" s="32" t="s">
        <v>22</v>
      </c>
      <c r="I1236" s="32" t="s">
        <v>146</v>
      </c>
      <c r="J1236" s="32" t="s">
        <v>117</v>
      </c>
      <c r="K1236" s="32" t="s">
        <v>63</v>
      </c>
    </row>
    <row r="1237" customFormat="false" ht="13.5" hidden="false" customHeight="true" outlineLevel="0" collapsed="false">
      <c r="A1237" s="32" t="n">
        <v>3217</v>
      </c>
      <c r="B1237" s="32" t="s">
        <v>1118</v>
      </c>
      <c r="C1237" s="32" t="s">
        <v>1119</v>
      </c>
      <c r="D1237" s="32" t="s">
        <v>114</v>
      </c>
      <c r="E1237" s="32" t="s">
        <v>124</v>
      </c>
      <c r="F1237" s="33" t="n">
        <v>917023000000</v>
      </c>
      <c r="G1237" s="32" t="s">
        <v>61</v>
      </c>
      <c r="H1237" s="32" t="s">
        <v>22</v>
      </c>
      <c r="I1237" s="32" t="s">
        <v>131</v>
      </c>
      <c r="J1237" s="32" t="s">
        <v>132</v>
      </c>
      <c r="K1237" s="32" t="s">
        <v>63</v>
      </c>
    </row>
    <row r="1238" customFormat="false" ht="13.5" hidden="false" customHeight="true" outlineLevel="0" collapsed="false">
      <c r="A1238" s="32" t="n">
        <v>3219</v>
      </c>
      <c r="B1238" s="32" t="s">
        <v>1118</v>
      </c>
      <c r="C1238" s="32" t="s">
        <v>1120</v>
      </c>
      <c r="D1238" s="32" t="s">
        <v>114</v>
      </c>
      <c r="E1238" s="32" t="s">
        <v>124</v>
      </c>
      <c r="F1238" s="32" t="n">
        <v>7022960666</v>
      </c>
      <c r="G1238" s="32" t="s">
        <v>61</v>
      </c>
      <c r="H1238" s="32" t="s">
        <v>22</v>
      </c>
      <c r="I1238" s="32" t="s">
        <v>221</v>
      </c>
      <c r="J1238" s="32" t="s">
        <v>222</v>
      </c>
      <c r="K1238" s="32" t="s">
        <v>63</v>
      </c>
    </row>
    <row r="1239" customFormat="false" ht="13.5" hidden="false" customHeight="true" outlineLevel="0" collapsed="false">
      <c r="A1239" s="32" t="n">
        <v>3220</v>
      </c>
      <c r="B1239" s="32" t="s">
        <v>1118</v>
      </c>
      <c r="C1239" s="32" t="s">
        <v>1120</v>
      </c>
      <c r="D1239" s="32" t="s">
        <v>114</v>
      </c>
      <c r="E1239" s="32" t="s">
        <v>124</v>
      </c>
      <c r="F1239" s="32" t="n">
        <v>7022960666</v>
      </c>
      <c r="G1239" s="32" t="s">
        <v>61</v>
      </c>
      <c r="H1239" s="32" t="s">
        <v>22</v>
      </c>
      <c r="I1239" s="32" t="s">
        <v>185</v>
      </c>
      <c r="J1239" s="32" t="s">
        <v>186</v>
      </c>
      <c r="K1239" s="32" t="s">
        <v>63</v>
      </c>
    </row>
    <row r="1240" customFormat="false" ht="13.5" hidden="false" customHeight="true" outlineLevel="0" collapsed="false">
      <c r="A1240" s="32" t="n">
        <v>3221</v>
      </c>
      <c r="B1240" s="32" t="s">
        <v>1118</v>
      </c>
      <c r="C1240" s="32" t="s">
        <v>1120</v>
      </c>
      <c r="D1240" s="32" t="s">
        <v>114</v>
      </c>
      <c r="E1240" s="32" t="s">
        <v>124</v>
      </c>
      <c r="F1240" s="32" t="n">
        <v>7022960666</v>
      </c>
      <c r="G1240" s="32" t="s">
        <v>61</v>
      </c>
      <c r="H1240" s="32" t="s">
        <v>22</v>
      </c>
      <c r="I1240" s="32" t="s">
        <v>284</v>
      </c>
      <c r="J1240" s="32" t="s">
        <v>117</v>
      </c>
      <c r="K1240" s="32" t="s">
        <v>63</v>
      </c>
    </row>
    <row r="1241" customFormat="false" ht="13.5" hidden="false" customHeight="true" outlineLevel="0" collapsed="false">
      <c r="A1241" s="32" t="n">
        <v>3225</v>
      </c>
      <c r="B1241" s="32" t="s">
        <v>1118</v>
      </c>
      <c r="C1241" s="32" t="s">
        <v>1120</v>
      </c>
      <c r="D1241" s="32" t="s">
        <v>114</v>
      </c>
      <c r="E1241" s="32" t="s">
        <v>124</v>
      </c>
      <c r="F1241" s="32" t="n">
        <v>7022960666</v>
      </c>
      <c r="G1241" s="32" t="s">
        <v>61</v>
      </c>
      <c r="H1241" s="32" t="s">
        <v>22</v>
      </c>
      <c r="I1241" s="32" t="s">
        <v>151</v>
      </c>
      <c r="J1241" s="32" t="s">
        <v>152</v>
      </c>
      <c r="K1241" s="32" t="s">
        <v>63</v>
      </c>
    </row>
    <row r="1242" customFormat="false" ht="13.5" hidden="false" customHeight="true" outlineLevel="0" collapsed="false">
      <c r="A1242" s="32" t="n">
        <v>3226</v>
      </c>
      <c r="B1242" s="32" t="s">
        <v>1118</v>
      </c>
      <c r="C1242" s="32" t="s">
        <v>1120</v>
      </c>
      <c r="D1242" s="32" t="s">
        <v>114</v>
      </c>
      <c r="E1242" s="32" t="s">
        <v>124</v>
      </c>
      <c r="F1242" s="32" t="n">
        <v>7022960666</v>
      </c>
      <c r="G1242" s="32" t="s">
        <v>61</v>
      </c>
      <c r="H1242" s="32" t="s">
        <v>22</v>
      </c>
      <c r="I1242" s="32" t="s">
        <v>371</v>
      </c>
      <c r="J1242" s="32" t="s">
        <v>152</v>
      </c>
      <c r="K1242" s="32" t="s">
        <v>63</v>
      </c>
    </row>
    <row r="1243" customFormat="false" ht="13.5" hidden="false" customHeight="true" outlineLevel="0" collapsed="false">
      <c r="A1243" s="32" t="n">
        <v>3227</v>
      </c>
      <c r="B1243" s="32" t="s">
        <v>1118</v>
      </c>
      <c r="C1243" s="32" t="s">
        <v>1119</v>
      </c>
      <c r="D1243" s="32" t="s">
        <v>114</v>
      </c>
      <c r="E1243" s="32" t="s">
        <v>124</v>
      </c>
      <c r="F1243" s="33" t="n">
        <v>917023000000</v>
      </c>
      <c r="G1243" s="32" t="s">
        <v>61</v>
      </c>
      <c r="H1243" s="32" t="s">
        <v>22</v>
      </c>
      <c r="I1243" s="32" t="s">
        <v>30</v>
      </c>
      <c r="J1243" s="32" t="s">
        <v>203</v>
      </c>
      <c r="K1243" s="32" t="s">
        <v>63</v>
      </c>
    </row>
    <row r="1244" customFormat="false" ht="13.5" hidden="false" customHeight="true" outlineLevel="0" collapsed="false">
      <c r="A1244" s="32" t="n">
        <v>3228</v>
      </c>
      <c r="B1244" s="32" t="s">
        <v>1118</v>
      </c>
      <c r="C1244" s="32" t="s">
        <v>1119</v>
      </c>
      <c r="D1244" s="32" t="s">
        <v>114</v>
      </c>
      <c r="E1244" s="32" t="s">
        <v>124</v>
      </c>
      <c r="F1244" s="33" t="n">
        <v>917023000000</v>
      </c>
      <c r="G1244" s="32" t="s">
        <v>61</v>
      </c>
      <c r="H1244" s="32" t="s">
        <v>22</v>
      </c>
      <c r="I1244" s="32" t="s">
        <v>133</v>
      </c>
      <c r="J1244" s="32" t="s">
        <v>134</v>
      </c>
      <c r="K1244" s="32" t="s">
        <v>63</v>
      </c>
    </row>
    <row r="1245" customFormat="false" ht="13.5" hidden="false" customHeight="true" outlineLevel="0" collapsed="false">
      <c r="A1245" s="32" t="n">
        <v>3229</v>
      </c>
      <c r="B1245" s="32" t="s">
        <v>1118</v>
      </c>
      <c r="C1245" s="32" t="s">
        <v>1119</v>
      </c>
      <c r="D1245" s="32" t="s">
        <v>114</v>
      </c>
      <c r="E1245" s="32" t="s">
        <v>124</v>
      </c>
      <c r="F1245" s="33" t="n">
        <v>917023000000</v>
      </c>
      <c r="G1245" s="32" t="s">
        <v>61</v>
      </c>
      <c r="H1245" s="32" t="s">
        <v>22</v>
      </c>
      <c r="I1245" s="32" t="s">
        <v>1121</v>
      </c>
      <c r="J1245" s="32" t="s">
        <v>89</v>
      </c>
      <c r="K1245" s="32" t="s">
        <v>63</v>
      </c>
    </row>
    <row r="1246" customFormat="false" ht="13.5" hidden="false" customHeight="true" outlineLevel="0" collapsed="false">
      <c r="A1246" s="32" t="n">
        <v>3230</v>
      </c>
      <c r="B1246" s="32" t="s">
        <v>1118</v>
      </c>
      <c r="C1246" s="32" t="s">
        <v>1119</v>
      </c>
      <c r="D1246" s="32" t="s">
        <v>114</v>
      </c>
      <c r="E1246" s="32" t="s">
        <v>124</v>
      </c>
      <c r="F1246" s="33" t="n">
        <v>917023000000</v>
      </c>
      <c r="G1246" s="32" t="s">
        <v>61</v>
      </c>
      <c r="H1246" s="32" t="s">
        <v>22</v>
      </c>
      <c r="I1246" s="32" t="s">
        <v>87</v>
      </c>
      <c r="J1246" s="32" t="s">
        <v>84</v>
      </c>
      <c r="K1246" s="32" t="s">
        <v>63</v>
      </c>
    </row>
    <row r="1247" customFormat="false" ht="13.5" hidden="false" customHeight="true" outlineLevel="0" collapsed="false">
      <c r="A1247" s="32" t="n">
        <v>3231</v>
      </c>
      <c r="B1247" s="32" t="s">
        <v>1118</v>
      </c>
      <c r="C1247" s="32" t="s">
        <v>1119</v>
      </c>
      <c r="D1247" s="32" t="s">
        <v>114</v>
      </c>
      <c r="E1247" s="32" t="s">
        <v>124</v>
      </c>
      <c r="F1247" s="33" t="n">
        <v>917023000000</v>
      </c>
      <c r="G1247" s="32" t="s">
        <v>61</v>
      </c>
      <c r="H1247" s="32" t="s">
        <v>22</v>
      </c>
      <c r="I1247" s="32" t="s">
        <v>146</v>
      </c>
      <c r="J1247" s="32" t="s">
        <v>117</v>
      </c>
      <c r="K1247" s="32" t="s">
        <v>63</v>
      </c>
    </row>
    <row r="1248" customFormat="false" ht="13.5" hidden="false" customHeight="true" outlineLevel="0" collapsed="false">
      <c r="A1248" s="32" t="n">
        <v>3232</v>
      </c>
      <c r="B1248" s="32" t="s">
        <v>1118</v>
      </c>
      <c r="C1248" s="32" t="s">
        <v>1119</v>
      </c>
      <c r="D1248" s="32" t="s">
        <v>114</v>
      </c>
      <c r="E1248" s="32" t="s">
        <v>124</v>
      </c>
      <c r="F1248" s="33" t="n">
        <v>917023000000</v>
      </c>
      <c r="G1248" s="32" t="s">
        <v>61</v>
      </c>
      <c r="H1248" s="32" t="s">
        <v>22</v>
      </c>
      <c r="I1248" s="32" t="s">
        <v>76</v>
      </c>
      <c r="J1248" s="32" t="s">
        <v>76</v>
      </c>
      <c r="K1248" s="32" t="s">
        <v>63</v>
      </c>
    </row>
    <row r="1249" customFormat="false" ht="13.5" hidden="false" customHeight="true" outlineLevel="0" collapsed="false">
      <c r="A1249" s="32" t="n">
        <v>3233</v>
      </c>
      <c r="B1249" s="32" t="s">
        <v>1122</v>
      </c>
      <c r="C1249" s="32" t="s">
        <v>1123</v>
      </c>
      <c r="D1249" s="32" t="s">
        <v>59</v>
      </c>
      <c r="E1249" s="32" t="s">
        <v>60</v>
      </c>
      <c r="F1249" s="32" t="n">
        <v>0</v>
      </c>
      <c r="G1249" s="32" t="s">
        <v>104</v>
      </c>
      <c r="H1249" s="32" t="s">
        <v>21</v>
      </c>
      <c r="I1249" s="32" t="s">
        <v>333</v>
      </c>
      <c r="J1249" s="32" t="s">
        <v>235</v>
      </c>
      <c r="K1249" s="32" t="s">
        <v>63</v>
      </c>
    </row>
    <row r="1250" customFormat="false" ht="13.5" hidden="false" customHeight="true" outlineLevel="0" collapsed="false">
      <c r="A1250" s="32" t="n">
        <v>3234</v>
      </c>
      <c r="B1250" s="32" t="s">
        <v>1124</v>
      </c>
      <c r="C1250" s="32" t="s">
        <v>1125</v>
      </c>
      <c r="D1250" s="32" t="s">
        <v>59</v>
      </c>
      <c r="E1250" s="32" t="s">
        <v>60</v>
      </c>
      <c r="F1250" s="33" t="n">
        <v>919560000000</v>
      </c>
      <c r="G1250" s="32" t="s">
        <v>144</v>
      </c>
      <c r="H1250" s="32" t="s">
        <v>21</v>
      </c>
      <c r="I1250" s="32" t="s">
        <v>156</v>
      </c>
      <c r="J1250" s="32" t="s">
        <v>62</v>
      </c>
      <c r="K1250" s="32" t="s">
        <v>63</v>
      </c>
    </row>
    <row r="1251" customFormat="false" ht="13.5" hidden="false" customHeight="true" outlineLevel="0" collapsed="false">
      <c r="A1251" s="32" t="n">
        <v>3235</v>
      </c>
      <c r="B1251" s="32" t="s">
        <v>1124</v>
      </c>
      <c r="C1251" s="32" t="s">
        <v>1125</v>
      </c>
      <c r="D1251" s="32" t="s">
        <v>59</v>
      </c>
      <c r="E1251" s="32" t="s">
        <v>60</v>
      </c>
      <c r="F1251" s="33" t="n">
        <v>919560000000</v>
      </c>
      <c r="G1251" s="32" t="s">
        <v>144</v>
      </c>
      <c r="H1251" s="32" t="s">
        <v>21</v>
      </c>
      <c r="I1251" s="32" t="s">
        <v>29</v>
      </c>
      <c r="J1251" s="32" t="s">
        <v>62</v>
      </c>
      <c r="K1251" s="32" t="s">
        <v>63</v>
      </c>
    </row>
    <row r="1252" customFormat="false" ht="13.5" hidden="false" customHeight="true" outlineLevel="0" collapsed="false">
      <c r="A1252" s="32" t="n">
        <v>3236</v>
      </c>
      <c r="B1252" s="32" t="s">
        <v>1124</v>
      </c>
      <c r="C1252" s="32" t="s">
        <v>1125</v>
      </c>
      <c r="D1252" s="32" t="s">
        <v>59</v>
      </c>
      <c r="E1252" s="32" t="s">
        <v>60</v>
      </c>
      <c r="F1252" s="33" t="n">
        <v>919560000000</v>
      </c>
      <c r="G1252" s="32" t="s">
        <v>144</v>
      </c>
      <c r="H1252" s="32" t="s">
        <v>21</v>
      </c>
      <c r="I1252" s="32" t="s">
        <v>14</v>
      </c>
      <c r="J1252" s="32" t="s">
        <v>66</v>
      </c>
      <c r="K1252" s="32" t="s">
        <v>63</v>
      </c>
    </row>
    <row r="1253" customFormat="false" ht="13.5" hidden="false" customHeight="true" outlineLevel="0" collapsed="false">
      <c r="A1253" s="32" t="n">
        <v>3237</v>
      </c>
      <c r="B1253" s="32" t="s">
        <v>1126</v>
      </c>
      <c r="C1253" s="32" t="s">
        <v>1127</v>
      </c>
      <c r="D1253" s="32" t="s">
        <v>59</v>
      </c>
      <c r="E1253" s="32" t="s">
        <v>60</v>
      </c>
      <c r="F1253" s="32" t="n">
        <v>9567227047</v>
      </c>
      <c r="G1253" s="32" t="s">
        <v>61</v>
      </c>
      <c r="H1253" s="32" t="s">
        <v>21</v>
      </c>
      <c r="I1253" s="32" t="s">
        <v>16</v>
      </c>
      <c r="J1253" s="32" t="s">
        <v>73</v>
      </c>
      <c r="K1253" s="32" t="s">
        <v>63</v>
      </c>
    </row>
    <row r="1254" customFormat="false" ht="13.5" hidden="false" customHeight="true" outlineLevel="0" collapsed="false">
      <c r="A1254" s="32" t="n">
        <v>3238</v>
      </c>
      <c r="B1254" s="32" t="s">
        <v>1126</v>
      </c>
      <c r="C1254" s="32" t="s">
        <v>1128</v>
      </c>
      <c r="D1254" s="32" t="s">
        <v>59</v>
      </c>
      <c r="E1254" s="32" t="s">
        <v>60</v>
      </c>
      <c r="F1254" s="32" t="n">
        <v>9567227047</v>
      </c>
      <c r="G1254" s="32" t="s">
        <v>61</v>
      </c>
      <c r="H1254" s="32" t="s">
        <v>21</v>
      </c>
      <c r="I1254" s="32" t="s">
        <v>156</v>
      </c>
      <c r="J1254" s="32" t="s">
        <v>62</v>
      </c>
      <c r="K1254" s="32" t="s">
        <v>63</v>
      </c>
    </row>
    <row r="1255" customFormat="false" ht="13.5" hidden="false" customHeight="true" outlineLevel="0" collapsed="false">
      <c r="A1255" s="32" t="n">
        <v>3239</v>
      </c>
      <c r="B1255" s="32" t="s">
        <v>1126</v>
      </c>
      <c r="C1255" s="32" t="s">
        <v>1128</v>
      </c>
      <c r="D1255" s="32" t="s">
        <v>59</v>
      </c>
      <c r="E1255" s="32" t="s">
        <v>60</v>
      </c>
      <c r="F1255" s="32" t="n">
        <v>9567227047</v>
      </c>
      <c r="G1255" s="32" t="s">
        <v>61</v>
      </c>
      <c r="H1255" s="32" t="s">
        <v>21</v>
      </c>
      <c r="I1255" s="32" t="s">
        <v>29</v>
      </c>
      <c r="J1255" s="32" t="s">
        <v>62</v>
      </c>
      <c r="K1255" s="32" t="s">
        <v>63</v>
      </c>
    </row>
    <row r="1256" customFormat="false" ht="13.5" hidden="false" customHeight="true" outlineLevel="0" collapsed="false">
      <c r="A1256" s="32" t="n">
        <v>3240</v>
      </c>
      <c r="B1256" s="32" t="s">
        <v>1126</v>
      </c>
      <c r="C1256" s="32" t="s">
        <v>1128</v>
      </c>
      <c r="D1256" s="32" t="s">
        <v>59</v>
      </c>
      <c r="E1256" s="32" t="s">
        <v>60</v>
      </c>
      <c r="F1256" s="32" t="n">
        <v>9567227047</v>
      </c>
      <c r="G1256" s="32" t="s">
        <v>61</v>
      </c>
      <c r="H1256" s="32" t="s">
        <v>21</v>
      </c>
      <c r="I1256" s="32" t="s">
        <v>14</v>
      </c>
      <c r="J1256" s="32" t="s">
        <v>66</v>
      </c>
      <c r="K1256" s="32" t="s">
        <v>63</v>
      </c>
    </row>
    <row r="1257" customFormat="false" ht="13.5" hidden="false" customHeight="true" outlineLevel="0" collapsed="false">
      <c r="A1257" s="32" t="n">
        <v>3241</v>
      </c>
      <c r="B1257" s="32" t="s">
        <v>1129</v>
      </c>
      <c r="C1257" s="32" t="s">
        <v>1130</v>
      </c>
      <c r="D1257" s="32" t="s">
        <v>59</v>
      </c>
      <c r="E1257" s="32" t="n">
        <v>0</v>
      </c>
      <c r="F1257" s="32" t="n">
        <v>0</v>
      </c>
      <c r="G1257" s="32" t="s">
        <v>61</v>
      </c>
      <c r="H1257" s="32" t="s">
        <v>21</v>
      </c>
      <c r="I1257" s="32" t="s">
        <v>29</v>
      </c>
      <c r="J1257" s="32" t="s">
        <v>62</v>
      </c>
      <c r="K1257" s="32" t="s">
        <v>63</v>
      </c>
    </row>
    <row r="1258" customFormat="false" ht="13.5" hidden="false" customHeight="true" outlineLevel="0" collapsed="false">
      <c r="A1258" s="32" t="n">
        <v>3242</v>
      </c>
      <c r="B1258" s="32" t="s">
        <v>1129</v>
      </c>
      <c r="C1258" s="32" t="s">
        <v>1130</v>
      </c>
      <c r="D1258" s="32" t="s">
        <v>59</v>
      </c>
      <c r="E1258" s="32" t="n">
        <v>0</v>
      </c>
      <c r="F1258" s="32" t="n">
        <v>0</v>
      </c>
      <c r="G1258" s="32" t="s">
        <v>61</v>
      </c>
      <c r="H1258" s="32" t="s">
        <v>21</v>
      </c>
      <c r="I1258" s="32" t="s">
        <v>14</v>
      </c>
      <c r="J1258" s="32" t="s">
        <v>66</v>
      </c>
      <c r="K1258" s="32" t="s">
        <v>63</v>
      </c>
    </row>
    <row r="1259" customFormat="false" ht="13.5" hidden="false" customHeight="true" outlineLevel="0" collapsed="false">
      <c r="A1259" s="32" t="n">
        <v>3243</v>
      </c>
      <c r="B1259" s="32" t="s">
        <v>1131</v>
      </c>
      <c r="C1259" s="32" t="s">
        <v>1132</v>
      </c>
      <c r="D1259" s="32" t="s">
        <v>114</v>
      </c>
      <c r="E1259" s="32" t="s">
        <v>165</v>
      </c>
      <c r="F1259" s="32" t="n">
        <v>9920525820</v>
      </c>
      <c r="G1259" s="32" t="s">
        <v>80</v>
      </c>
      <c r="H1259" s="32" t="s">
        <v>22</v>
      </c>
      <c r="I1259" s="32" t="s">
        <v>128</v>
      </c>
      <c r="J1259" s="32" t="s">
        <v>89</v>
      </c>
      <c r="K1259" s="32" t="s">
        <v>63</v>
      </c>
    </row>
    <row r="1260" customFormat="false" ht="13.5" hidden="false" customHeight="true" outlineLevel="0" collapsed="false">
      <c r="A1260" s="32" t="n">
        <v>3244</v>
      </c>
      <c r="B1260" s="32" t="s">
        <v>1131</v>
      </c>
      <c r="C1260" s="32" t="s">
        <v>1133</v>
      </c>
      <c r="D1260" s="32" t="s">
        <v>114</v>
      </c>
      <c r="E1260" s="32" t="s">
        <v>165</v>
      </c>
      <c r="F1260" s="32" t="n">
        <v>9920525820</v>
      </c>
      <c r="G1260" s="32" t="s">
        <v>80</v>
      </c>
      <c r="H1260" s="32" t="s">
        <v>22</v>
      </c>
      <c r="I1260" s="32" t="s">
        <v>121</v>
      </c>
      <c r="J1260" s="32" t="s">
        <v>110</v>
      </c>
      <c r="K1260" s="32" t="s">
        <v>63</v>
      </c>
    </row>
    <row r="1261" customFormat="false" ht="13.5" hidden="false" customHeight="true" outlineLevel="0" collapsed="false">
      <c r="A1261" s="32" t="n">
        <v>3245</v>
      </c>
      <c r="B1261" s="32" t="s">
        <v>1131</v>
      </c>
      <c r="C1261" s="32" t="s">
        <v>1133</v>
      </c>
      <c r="D1261" s="32" t="s">
        <v>114</v>
      </c>
      <c r="E1261" s="32" t="s">
        <v>165</v>
      </c>
      <c r="F1261" s="32" t="n">
        <v>9920525820</v>
      </c>
      <c r="G1261" s="32" t="s">
        <v>80</v>
      </c>
      <c r="H1261" s="32" t="s">
        <v>22</v>
      </c>
      <c r="I1261" s="32" t="s">
        <v>133</v>
      </c>
      <c r="J1261" s="32" t="s">
        <v>134</v>
      </c>
      <c r="K1261" s="32" t="s">
        <v>63</v>
      </c>
    </row>
    <row r="1262" customFormat="false" ht="13.5" hidden="false" customHeight="true" outlineLevel="0" collapsed="false">
      <c r="A1262" s="32" t="n">
        <v>3246</v>
      </c>
      <c r="B1262" s="32" t="s">
        <v>1134</v>
      </c>
      <c r="C1262" s="32" t="s">
        <v>1135</v>
      </c>
      <c r="D1262" s="32" t="s">
        <v>114</v>
      </c>
      <c r="E1262" s="32" t="s">
        <v>268</v>
      </c>
      <c r="F1262" s="33" t="n">
        <v>919035000000</v>
      </c>
      <c r="G1262" s="32" t="s">
        <v>61</v>
      </c>
      <c r="H1262" s="32" t="s">
        <v>22</v>
      </c>
      <c r="I1262" s="32" t="s">
        <v>156</v>
      </c>
      <c r="J1262" s="32" t="s">
        <v>62</v>
      </c>
      <c r="K1262" s="32" t="s">
        <v>63</v>
      </c>
    </row>
    <row r="1263" customFormat="false" ht="13.5" hidden="false" customHeight="true" outlineLevel="0" collapsed="false">
      <c r="A1263" s="32" t="n">
        <v>3247</v>
      </c>
      <c r="B1263" s="32" t="s">
        <v>1134</v>
      </c>
      <c r="C1263" s="32" t="s">
        <v>1135</v>
      </c>
      <c r="D1263" s="32" t="s">
        <v>114</v>
      </c>
      <c r="E1263" s="32" t="s">
        <v>268</v>
      </c>
      <c r="F1263" s="33" t="n">
        <v>919035000000</v>
      </c>
      <c r="G1263" s="32" t="s">
        <v>61</v>
      </c>
      <c r="H1263" s="32" t="s">
        <v>22</v>
      </c>
      <c r="I1263" s="32" t="s">
        <v>29</v>
      </c>
      <c r="J1263" s="32" t="s">
        <v>62</v>
      </c>
      <c r="K1263" s="32" t="s">
        <v>63</v>
      </c>
    </row>
    <row r="1264" customFormat="false" ht="13.5" hidden="false" customHeight="true" outlineLevel="0" collapsed="false">
      <c r="A1264" s="32" t="n">
        <v>3248</v>
      </c>
      <c r="B1264" s="32" t="s">
        <v>1134</v>
      </c>
      <c r="C1264" s="32" t="s">
        <v>1136</v>
      </c>
      <c r="D1264" s="32" t="s">
        <v>114</v>
      </c>
      <c r="E1264" s="32" t="s">
        <v>268</v>
      </c>
      <c r="F1264" s="33" t="n">
        <v>919035000000</v>
      </c>
      <c r="G1264" s="32" t="s">
        <v>61</v>
      </c>
      <c r="H1264" s="32" t="s">
        <v>22</v>
      </c>
      <c r="I1264" s="32" t="s">
        <v>14</v>
      </c>
      <c r="J1264" s="32" t="s">
        <v>66</v>
      </c>
      <c r="K1264" s="32" t="s">
        <v>63</v>
      </c>
    </row>
    <row r="1265" customFormat="false" ht="13.5" hidden="false" customHeight="true" outlineLevel="0" collapsed="false">
      <c r="A1265" s="32" t="n">
        <v>3249</v>
      </c>
      <c r="B1265" s="32" t="s">
        <v>1137</v>
      </c>
      <c r="C1265" s="32" t="s">
        <v>1138</v>
      </c>
      <c r="D1265" s="32" t="s">
        <v>114</v>
      </c>
      <c r="E1265" s="32" t="s">
        <v>165</v>
      </c>
      <c r="F1265" s="32" t="n">
        <v>9789962027</v>
      </c>
      <c r="G1265" s="32" t="s">
        <v>0</v>
      </c>
      <c r="H1265" s="32" t="s">
        <v>22</v>
      </c>
      <c r="I1265" s="32" t="s">
        <v>145</v>
      </c>
      <c r="J1265" s="32" t="s">
        <v>117</v>
      </c>
      <c r="K1265" s="32" t="s">
        <v>63</v>
      </c>
    </row>
    <row r="1266" customFormat="false" ht="13.5" hidden="false" customHeight="true" outlineLevel="0" collapsed="false">
      <c r="A1266" s="32" t="n">
        <v>3250</v>
      </c>
      <c r="B1266" s="32" t="s">
        <v>1137</v>
      </c>
      <c r="C1266" s="32" t="s">
        <v>1138</v>
      </c>
      <c r="D1266" s="32" t="s">
        <v>114</v>
      </c>
      <c r="E1266" s="32" t="s">
        <v>165</v>
      </c>
      <c r="F1266" s="32" t="n">
        <v>9789962027</v>
      </c>
      <c r="G1266" s="32" t="s">
        <v>0</v>
      </c>
      <c r="H1266" s="32" t="s">
        <v>22</v>
      </c>
      <c r="I1266" s="32" t="s">
        <v>16</v>
      </c>
      <c r="J1266" s="32" t="s">
        <v>73</v>
      </c>
      <c r="K1266" s="32" t="s">
        <v>63</v>
      </c>
    </row>
    <row r="1267" customFormat="false" ht="13.5" hidden="false" customHeight="true" outlineLevel="0" collapsed="false">
      <c r="A1267" s="32" t="n">
        <v>3251</v>
      </c>
      <c r="B1267" s="32" t="s">
        <v>1137</v>
      </c>
      <c r="C1267" s="32" t="s">
        <v>1138</v>
      </c>
      <c r="D1267" s="32" t="s">
        <v>114</v>
      </c>
      <c r="E1267" s="32" t="s">
        <v>165</v>
      </c>
      <c r="F1267" s="32" t="n">
        <v>9789962027</v>
      </c>
      <c r="G1267" s="32" t="s">
        <v>0</v>
      </c>
      <c r="H1267" s="32" t="s">
        <v>22</v>
      </c>
      <c r="I1267" s="32" t="s">
        <v>133</v>
      </c>
      <c r="J1267" s="32" t="s">
        <v>134</v>
      </c>
      <c r="K1267" s="32" t="s">
        <v>63</v>
      </c>
    </row>
    <row r="1268" customFormat="false" ht="13.5" hidden="false" customHeight="true" outlineLevel="0" collapsed="false">
      <c r="A1268" s="32" t="n">
        <v>3252</v>
      </c>
      <c r="B1268" s="32" t="s">
        <v>1137</v>
      </c>
      <c r="C1268" s="32" t="s">
        <v>1138</v>
      </c>
      <c r="D1268" s="32" t="s">
        <v>114</v>
      </c>
      <c r="E1268" s="32" t="s">
        <v>165</v>
      </c>
      <c r="F1268" s="32" t="n">
        <v>9789962027</v>
      </c>
      <c r="G1268" s="32" t="s">
        <v>0</v>
      </c>
      <c r="H1268" s="32" t="s">
        <v>22</v>
      </c>
      <c r="I1268" s="32" t="s">
        <v>126</v>
      </c>
      <c r="J1268" s="32" t="s">
        <v>85</v>
      </c>
      <c r="K1268" s="32" t="s">
        <v>63</v>
      </c>
    </row>
    <row r="1269" customFormat="false" ht="13.5" hidden="false" customHeight="true" outlineLevel="0" collapsed="false">
      <c r="A1269" s="32" t="n">
        <v>3253</v>
      </c>
      <c r="B1269" s="32" t="s">
        <v>1137</v>
      </c>
      <c r="C1269" s="32" t="s">
        <v>1138</v>
      </c>
      <c r="D1269" s="32" t="s">
        <v>114</v>
      </c>
      <c r="E1269" s="32" t="s">
        <v>165</v>
      </c>
      <c r="F1269" s="32" t="n">
        <v>9789962027</v>
      </c>
      <c r="G1269" s="32" t="s">
        <v>0</v>
      </c>
      <c r="H1269" s="32" t="s">
        <v>22</v>
      </c>
      <c r="I1269" s="32" t="s">
        <v>108</v>
      </c>
      <c r="J1269" s="32" t="s">
        <v>71</v>
      </c>
      <c r="K1269" s="32" t="s">
        <v>63</v>
      </c>
    </row>
    <row r="1270" customFormat="false" ht="13.5" hidden="false" customHeight="true" outlineLevel="0" collapsed="false">
      <c r="A1270" s="32" t="n">
        <v>3254</v>
      </c>
      <c r="B1270" s="32" t="s">
        <v>1139</v>
      </c>
      <c r="C1270" s="32" t="s">
        <v>1140</v>
      </c>
      <c r="D1270" s="32" t="s">
        <v>59</v>
      </c>
      <c r="E1270" s="32" t="s">
        <v>107</v>
      </c>
      <c r="F1270" s="33" t="n">
        <v>919773000000</v>
      </c>
      <c r="G1270" s="32" t="s">
        <v>104</v>
      </c>
      <c r="H1270" s="32" t="s">
        <v>21</v>
      </c>
      <c r="I1270" s="32" t="s">
        <v>629</v>
      </c>
      <c r="J1270" s="32" t="s">
        <v>203</v>
      </c>
      <c r="K1270" s="32" t="s">
        <v>63</v>
      </c>
    </row>
    <row r="1271" customFormat="false" ht="13.5" hidden="false" customHeight="true" outlineLevel="0" collapsed="false">
      <c r="A1271" s="32" t="n">
        <v>3255</v>
      </c>
      <c r="B1271" s="32" t="s">
        <v>1139</v>
      </c>
      <c r="C1271" s="32" t="s">
        <v>1140</v>
      </c>
      <c r="D1271" s="32" t="s">
        <v>59</v>
      </c>
      <c r="E1271" s="32" t="s">
        <v>107</v>
      </c>
      <c r="F1271" s="33" t="n">
        <v>919773000000</v>
      </c>
      <c r="G1271" s="32" t="s">
        <v>104</v>
      </c>
      <c r="H1271" s="32" t="s">
        <v>21</v>
      </c>
      <c r="I1271" s="32" t="s">
        <v>30</v>
      </c>
      <c r="J1271" s="32" t="s">
        <v>203</v>
      </c>
      <c r="K1271" s="32" t="s">
        <v>63</v>
      </c>
    </row>
    <row r="1272" customFormat="false" ht="13.5" hidden="false" customHeight="true" outlineLevel="0" collapsed="false">
      <c r="A1272" s="32" t="n">
        <v>3256</v>
      </c>
      <c r="B1272" s="32" t="s">
        <v>1139</v>
      </c>
      <c r="C1272" s="32" t="s">
        <v>1140</v>
      </c>
      <c r="D1272" s="32" t="s">
        <v>59</v>
      </c>
      <c r="E1272" s="32" t="s">
        <v>107</v>
      </c>
      <c r="F1272" s="33" t="n">
        <v>919773000000</v>
      </c>
      <c r="G1272" s="32" t="s">
        <v>104</v>
      </c>
      <c r="H1272" s="32" t="s">
        <v>21</v>
      </c>
      <c r="I1272" s="32" t="s">
        <v>833</v>
      </c>
      <c r="J1272" s="32" t="s">
        <v>203</v>
      </c>
      <c r="K1272" s="32" t="s">
        <v>63</v>
      </c>
    </row>
    <row r="1273" customFormat="false" ht="13.5" hidden="false" customHeight="true" outlineLevel="0" collapsed="false">
      <c r="A1273" s="32" t="n">
        <v>3257</v>
      </c>
      <c r="B1273" s="32" t="s">
        <v>1141</v>
      </c>
      <c r="C1273" s="32" t="s">
        <v>1142</v>
      </c>
      <c r="D1273" s="32" t="s">
        <v>114</v>
      </c>
      <c r="E1273" s="32" t="s">
        <v>165</v>
      </c>
      <c r="F1273" s="33" t="n">
        <v>918328000000</v>
      </c>
      <c r="G1273" s="32" t="s">
        <v>80</v>
      </c>
      <c r="H1273" s="32" t="s">
        <v>22</v>
      </c>
      <c r="I1273" s="32" t="s">
        <v>149</v>
      </c>
      <c r="J1273" s="32" t="s">
        <v>73</v>
      </c>
      <c r="K1273" s="32" t="s">
        <v>63</v>
      </c>
    </row>
    <row r="1274" customFormat="false" ht="13.5" hidden="false" customHeight="true" outlineLevel="0" collapsed="false">
      <c r="A1274" s="32" t="n">
        <v>3258</v>
      </c>
      <c r="B1274" s="32" t="s">
        <v>1141</v>
      </c>
      <c r="C1274" s="32" t="s">
        <v>1143</v>
      </c>
      <c r="D1274" s="32" t="s">
        <v>114</v>
      </c>
      <c r="E1274" s="32" t="s">
        <v>165</v>
      </c>
      <c r="F1274" s="33" t="n">
        <v>918328000000</v>
      </c>
      <c r="G1274" s="32" t="s">
        <v>80</v>
      </c>
      <c r="H1274" s="32" t="s">
        <v>22</v>
      </c>
      <c r="I1274" s="32" t="s">
        <v>108</v>
      </c>
      <c r="J1274" s="32" t="s">
        <v>71</v>
      </c>
      <c r="K1274" s="32" t="s">
        <v>63</v>
      </c>
    </row>
    <row r="1275" customFormat="false" ht="13.5" hidden="false" customHeight="true" outlineLevel="0" collapsed="false">
      <c r="A1275" s="32" t="n">
        <v>3260</v>
      </c>
      <c r="B1275" s="32" t="s">
        <v>1141</v>
      </c>
      <c r="C1275" s="32" t="s">
        <v>1143</v>
      </c>
      <c r="D1275" s="32" t="s">
        <v>114</v>
      </c>
      <c r="E1275" s="32" t="s">
        <v>165</v>
      </c>
      <c r="F1275" s="33" t="n">
        <v>918328000000</v>
      </c>
      <c r="G1275" s="32" t="s">
        <v>80</v>
      </c>
      <c r="H1275" s="32" t="s">
        <v>22</v>
      </c>
      <c r="I1275" s="32" t="s">
        <v>95</v>
      </c>
      <c r="J1275" s="32" t="s">
        <v>96</v>
      </c>
      <c r="K1275" s="32" t="s">
        <v>63</v>
      </c>
    </row>
    <row r="1276" customFormat="false" ht="13.5" hidden="false" customHeight="true" outlineLevel="0" collapsed="false">
      <c r="A1276" s="32" t="n">
        <v>3261</v>
      </c>
      <c r="B1276" s="32" t="s">
        <v>1141</v>
      </c>
      <c r="C1276" s="32" t="s">
        <v>1143</v>
      </c>
      <c r="D1276" s="32" t="s">
        <v>114</v>
      </c>
      <c r="E1276" s="32" t="s">
        <v>165</v>
      </c>
      <c r="F1276" s="32" t="n">
        <v>8328417726</v>
      </c>
      <c r="G1276" s="32" t="s">
        <v>80</v>
      </c>
      <c r="H1276" s="32" t="s">
        <v>22</v>
      </c>
      <c r="I1276" s="32" t="s">
        <v>93</v>
      </c>
      <c r="J1276" s="32" t="s">
        <v>85</v>
      </c>
      <c r="K1276" s="32" t="s">
        <v>63</v>
      </c>
    </row>
    <row r="1277" customFormat="false" ht="13.5" hidden="false" customHeight="true" outlineLevel="0" collapsed="false">
      <c r="A1277" s="32" t="n">
        <v>3262</v>
      </c>
      <c r="B1277" s="32" t="s">
        <v>1144</v>
      </c>
      <c r="C1277" s="32" t="s">
        <v>1145</v>
      </c>
      <c r="D1277" s="32" t="s">
        <v>59</v>
      </c>
      <c r="E1277" s="32" t="n">
        <v>0</v>
      </c>
      <c r="F1277" s="32" t="n">
        <v>7842353659</v>
      </c>
      <c r="G1277" s="32" t="s">
        <v>80</v>
      </c>
      <c r="H1277" s="32" t="s">
        <v>21</v>
      </c>
      <c r="I1277" s="32" t="s">
        <v>151</v>
      </c>
      <c r="J1277" s="32" t="s">
        <v>152</v>
      </c>
      <c r="K1277" s="32" t="s">
        <v>63</v>
      </c>
    </row>
    <row r="1278" customFormat="false" ht="13.5" hidden="false" customHeight="true" outlineLevel="0" collapsed="false">
      <c r="A1278" s="32" t="n">
        <v>3263</v>
      </c>
      <c r="B1278" s="32" t="s">
        <v>1144</v>
      </c>
      <c r="C1278" s="32" t="s">
        <v>1145</v>
      </c>
      <c r="D1278" s="32" t="s">
        <v>59</v>
      </c>
      <c r="E1278" s="32" t="n">
        <v>0</v>
      </c>
      <c r="F1278" s="32" t="n">
        <v>7842353659</v>
      </c>
      <c r="G1278" s="32" t="s">
        <v>80</v>
      </c>
      <c r="H1278" s="32" t="s">
        <v>21</v>
      </c>
      <c r="I1278" s="32" t="s">
        <v>172</v>
      </c>
      <c r="J1278" s="32" t="s">
        <v>152</v>
      </c>
      <c r="K1278" s="32" t="s">
        <v>63</v>
      </c>
    </row>
    <row r="1279" customFormat="false" ht="13.5" hidden="false" customHeight="true" outlineLevel="0" collapsed="false">
      <c r="A1279" s="32" t="n">
        <v>3264</v>
      </c>
      <c r="B1279" s="32" t="s">
        <v>1146</v>
      </c>
      <c r="C1279" s="32" t="s">
        <v>1147</v>
      </c>
      <c r="D1279" s="32" t="s">
        <v>114</v>
      </c>
      <c r="E1279" s="32" t="s">
        <v>165</v>
      </c>
      <c r="F1279" s="32" t="n">
        <v>9816703844</v>
      </c>
      <c r="G1279" s="32" t="s">
        <v>144</v>
      </c>
      <c r="H1279" s="32" t="s">
        <v>22</v>
      </c>
      <c r="I1279" s="32" t="s">
        <v>416</v>
      </c>
      <c r="J1279" s="32" t="s">
        <v>82</v>
      </c>
      <c r="K1279" s="32" t="s">
        <v>63</v>
      </c>
    </row>
    <row r="1280" customFormat="false" ht="13.5" hidden="false" customHeight="true" outlineLevel="0" collapsed="false">
      <c r="A1280" s="32" t="n">
        <v>3265</v>
      </c>
      <c r="B1280" s="32" t="s">
        <v>1146</v>
      </c>
      <c r="C1280" s="32" t="s">
        <v>1147</v>
      </c>
      <c r="D1280" s="32" t="s">
        <v>114</v>
      </c>
      <c r="E1280" s="32" t="s">
        <v>165</v>
      </c>
      <c r="F1280" s="32" t="n">
        <v>9816703844</v>
      </c>
      <c r="G1280" s="32" t="s">
        <v>144</v>
      </c>
      <c r="H1280" s="32" t="s">
        <v>22</v>
      </c>
      <c r="I1280" s="32" t="s">
        <v>610</v>
      </c>
      <c r="J1280" s="32" t="s">
        <v>82</v>
      </c>
      <c r="K1280" s="32" t="s">
        <v>63</v>
      </c>
    </row>
    <row r="1281" customFormat="false" ht="13.5" hidden="false" customHeight="true" outlineLevel="0" collapsed="false">
      <c r="A1281" s="32" t="n">
        <v>3266</v>
      </c>
      <c r="B1281" s="32" t="s">
        <v>1146</v>
      </c>
      <c r="C1281" s="32" t="s">
        <v>1148</v>
      </c>
      <c r="D1281" s="32" t="s">
        <v>114</v>
      </c>
      <c r="E1281" s="32" t="s">
        <v>165</v>
      </c>
      <c r="F1281" s="32" t="n">
        <v>9816703844</v>
      </c>
      <c r="G1281" s="32" t="s">
        <v>144</v>
      </c>
      <c r="H1281" s="32" t="s">
        <v>22</v>
      </c>
      <c r="I1281" s="32" t="s">
        <v>75</v>
      </c>
      <c r="J1281" s="32" t="s">
        <v>76</v>
      </c>
      <c r="K1281" s="32" t="s">
        <v>63</v>
      </c>
    </row>
    <row r="1282" customFormat="false" ht="13.5" hidden="false" customHeight="true" outlineLevel="0" collapsed="false">
      <c r="A1282" s="32" t="n">
        <v>3267</v>
      </c>
      <c r="B1282" s="32" t="s">
        <v>1146</v>
      </c>
      <c r="C1282" s="32" t="s">
        <v>1147</v>
      </c>
      <c r="D1282" s="32" t="s">
        <v>114</v>
      </c>
      <c r="E1282" s="32" t="s">
        <v>165</v>
      </c>
      <c r="F1282" s="32" t="n">
        <v>9816703844</v>
      </c>
      <c r="G1282" s="32" t="s">
        <v>144</v>
      </c>
      <c r="H1282" s="32" t="s">
        <v>22</v>
      </c>
      <c r="I1282" s="32" t="s">
        <v>81</v>
      </c>
      <c r="J1282" s="32" t="s">
        <v>82</v>
      </c>
      <c r="K1282" s="32" t="s">
        <v>63</v>
      </c>
    </row>
    <row r="1283" customFormat="false" ht="13.5" hidden="false" customHeight="true" outlineLevel="0" collapsed="false">
      <c r="A1283" s="32" t="n">
        <v>3268</v>
      </c>
      <c r="B1283" s="32" t="s">
        <v>1146</v>
      </c>
      <c r="C1283" s="32" t="s">
        <v>1147</v>
      </c>
      <c r="D1283" s="32" t="s">
        <v>114</v>
      </c>
      <c r="E1283" s="32" t="s">
        <v>165</v>
      </c>
      <c r="F1283" s="32" t="n">
        <v>9816703844</v>
      </c>
      <c r="G1283" s="32" t="s">
        <v>144</v>
      </c>
      <c r="H1283" s="32" t="s">
        <v>22</v>
      </c>
      <c r="I1283" s="32" t="s">
        <v>28</v>
      </c>
      <c r="J1283" s="32" t="s">
        <v>82</v>
      </c>
      <c r="K1283" s="32" t="s">
        <v>63</v>
      </c>
    </row>
    <row r="1284" customFormat="false" ht="13.5" hidden="false" customHeight="true" outlineLevel="0" collapsed="false">
      <c r="A1284" s="32" t="n">
        <v>3269</v>
      </c>
      <c r="B1284" s="32" t="s">
        <v>1146</v>
      </c>
      <c r="C1284" s="32" t="s">
        <v>1147</v>
      </c>
      <c r="D1284" s="32" t="s">
        <v>114</v>
      </c>
      <c r="E1284" s="32" t="s">
        <v>165</v>
      </c>
      <c r="F1284" s="32" t="n">
        <v>9816703844</v>
      </c>
      <c r="G1284" s="32" t="s">
        <v>144</v>
      </c>
      <c r="H1284" s="32" t="s">
        <v>22</v>
      </c>
      <c r="I1284" s="32" t="s">
        <v>629</v>
      </c>
      <c r="J1284" s="32" t="s">
        <v>203</v>
      </c>
      <c r="K1284" s="32" t="s">
        <v>63</v>
      </c>
    </row>
    <row r="1285" customFormat="false" ht="13.5" hidden="false" customHeight="true" outlineLevel="0" collapsed="false">
      <c r="A1285" s="32" t="n">
        <v>3270</v>
      </c>
      <c r="B1285" s="32" t="s">
        <v>1149</v>
      </c>
      <c r="C1285" s="32" t="s">
        <v>1150</v>
      </c>
      <c r="D1285" s="32" t="s">
        <v>114</v>
      </c>
      <c r="E1285" s="32" t="s">
        <v>115</v>
      </c>
      <c r="F1285" s="32" t="n">
        <v>9038967291</v>
      </c>
      <c r="G1285" s="32" t="s">
        <v>80</v>
      </c>
      <c r="H1285" s="32" t="s">
        <v>22</v>
      </c>
      <c r="I1285" s="32" t="s">
        <v>217</v>
      </c>
      <c r="J1285" s="32" t="s">
        <v>132</v>
      </c>
      <c r="K1285" s="32" t="s">
        <v>63</v>
      </c>
    </row>
    <row r="1286" customFormat="false" ht="13.5" hidden="false" customHeight="true" outlineLevel="0" collapsed="false">
      <c r="A1286" s="32" t="n">
        <v>3271</v>
      </c>
      <c r="B1286" s="32" t="s">
        <v>1149</v>
      </c>
      <c r="C1286" s="32" t="s">
        <v>1150</v>
      </c>
      <c r="D1286" s="32" t="s">
        <v>114</v>
      </c>
      <c r="E1286" s="32" t="s">
        <v>115</v>
      </c>
      <c r="F1286" s="32" t="n">
        <v>9038967291</v>
      </c>
      <c r="G1286" s="32" t="s">
        <v>80</v>
      </c>
      <c r="H1286" s="32" t="s">
        <v>22</v>
      </c>
      <c r="I1286" s="32" t="s">
        <v>728</v>
      </c>
      <c r="J1286" s="32" t="s">
        <v>132</v>
      </c>
      <c r="K1286" s="32" t="s">
        <v>63</v>
      </c>
    </row>
    <row r="1287" customFormat="false" ht="13.5" hidden="false" customHeight="true" outlineLevel="0" collapsed="false">
      <c r="A1287" s="32" t="n">
        <v>3272</v>
      </c>
      <c r="B1287" s="32" t="s">
        <v>1151</v>
      </c>
      <c r="C1287" s="32" t="s">
        <v>1152</v>
      </c>
      <c r="D1287" s="32" t="s">
        <v>59</v>
      </c>
      <c r="E1287" s="32" t="s">
        <v>143</v>
      </c>
      <c r="F1287" s="32" t="n">
        <v>9949469092</v>
      </c>
      <c r="G1287" s="32" t="s">
        <v>80</v>
      </c>
      <c r="H1287" s="32" t="s">
        <v>21</v>
      </c>
      <c r="I1287" s="32" t="s">
        <v>30</v>
      </c>
      <c r="J1287" s="32" t="s">
        <v>203</v>
      </c>
      <c r="K1287" s="32" t="s">
        <v>63</v>
      </c>
    </row>
    <row r="1288" customFormat="false" ht="13.5" hidden="false" customHeight="true" outlineLevel="0" collapsed="false">
      <c r="A1288" s="32" t="n">
        <v>3273</v>
      </c>
      <c r="B1288" s="32" t="s">
        <v>1153</v>
      </c>
      <c r="C1288" s="32" t="s">
        <v>1154</v>
      </c>
      <c r="D1288" s="32" t="s">
        <v>59</v>
      </c>
      <c r="E1288" s="32" t="s">
        <v>107</v>
      </c>
      <c r="F1288" s="33" t="n">
        <v>919867000000</v>
      </c>
      <c r="G1288" s="32" t="s">
        <v>80</v>
      </c>
      <c r="H1288" s="32" t="s">
        <v>21</v>
      </c>
      <c r="I1288" s="32" t="s">
        <v>248</v>
      </c>
      <c r="J1288" s="32" t="s">
        <v>117</v>
      </c>
      <c r="K1288" s="32" t="s">
        <v>63</v>
      </c>
    </row>
    <row r="1289" customFormat="false" ht="13.5" hidden="false" customHeight="true" outlineLevel="0" collapsed="false">
      <c r="A1289" s="32" t="n">
        <v>3277</v>
      </c>
      <c r="B1289" s="32" t="s">
        <v>1153</v>
      </c>
      <c r="C1289" s="32" t="s">
        <v>1154</v>
      </c>
      <c r="D1289" s="32" t="s">
        <v>59</v>
      </c>
      <c r="E1289" s="32" t="s">
        <v>107</v>
      </c>
      <c r="F1289" s="33" t="n">
        <v>919867000000</v>
      </c>
      <c r="G1289" s="32" t="s">
        <v>80</v>
      </c>
      <c r="H1289" s="32" t="s">
        <v>21</v>
      </c>
      <c r="I1289" s="32" t="s">
        <v>93</v>
      </c>
      <c r="J1289" s="32" t="s">
        <v>85</v>
      </c>
      <c r="K1289" s="32" t="s">
        <v>63</v>
      </c>
    </row>
    <row r="1290" customFormat="false" ht="13.5" hidden="false" customHeight="true" outlineLevel="0" collapsed="false">
      <c r="A1290" s="32" t="n">
        <v>3278</v>
      </c>
      <c r="B1290" s="32" t="s">
        <v>1153</v>
      </c>
      <c r="C1290" s="32" t="s">
        <v>1154</v>
      </c>
      <c r="D1290" s="32" t="s">
        <v>59</v>
      </c>
      <c r="E1290" s="32" t="s">
        <v>107</v>
      </c>
      <c r="F1290" s="33" t="n">
        <v>919867000000</v>
      </c>
      <c r="G1290" s="32" t="s">
        <v>80</v>
      </c>
      <c r="H1290" s="32" t="s">
        <v>21</v>
      </c>
      <c r="I1290" s="32" t="s">
        <v>409</v>
      </c>
      <c r="J1290" s="32" t="s">
        <v>410</v>
      </c>
      <c r="K1290" s="32" t="s">
        <v>63</v>
      </c>
    </row>
    <row r="1291" customFormat="false" ht="13.5" hidden="false" customHeight="true" outlineLevel="0" collapsed="false">
      <c r="A1291" s="32" t="n">
        <v>3279</v>
      </c>
      <c r="B1291" s="32" t="s">
        <v>1155</v>
      </c>
      <c r="C1291" s="32" t="s">
        <v>1156</v>
      </c>
      <c r="D1291" s="32" t="s">
        <v>59</v>
      </c>
      <c r="E1291" s="32" t="s">
        <v>92</v>
      </c>
      <c r="F1291" s="33" t="n">
        <v>917990000000</v>
      </c>
      <c r="G1291" s="32" t="s">
        <v>61</v>
      </c>
      <c r="H1291" s="32" t="s">
        <v>21</v>
      </c>
      <c r="I1291" s="32" t="s">
        <v>108</v>
      </c>
      <c r="J1291" s="32" t="s">
        <v>71</v>
      </c>
      <c r="K1291" s="32" t="s">
        <v>63</v>
      </c>
    </row>
    <row r="1292" customFormat="false" ht="13.5" hidden="false" customHeight="true" outlineLevel="0" collapsed="false">
      <c r="A1292" s="32" t="n">
        <v>3280</v>
      </c>
      <c r="B1292" s="32" t="s">
        <v>1155</v>
      </c>
      <c r="C1292" s="32" t="s">
        <v>1156</v>
      </c>
      <c r="D1292" s="32" t="s">
        <v>59</v>
      </c>
      <c r="E1292" s="32" t="s">
        <v>92</v>
      </c>
      <c r="F1292" s="33" t="n">
        <v>917990000000</v>
      </c>
      <c r="G1292" s="32" t="s">
        <v>61</v>
      </c>
      <c r="H1292" s="32" t="s">
        <v>21</v>
      </c>
      <c r="I1292" s="32" t="s">
        <v>248</v>
      </c>
      <c r="J1292" s="32" t="s">
        <v>117</v>
      </c>
      <c r="K1292" s="32" t="s">
        <v>63</v>
      </c>
    </row>
    <row r="1293" customFormat="false" ht="13.5" hidden="false" customHeight="true" outlineLevel="0" collapsed="false">
      <c r="A1293" s="32" t="n">
        <v>3281</v>
      </c>
      <c r="B1293" s="32" t="s">
        <v>1155</v>
      </c>
      <c r="C1293" s="32" t="s">
        <v>1156</v>
      </c>
      <c r="D1293" s="32" t="s">
        <v>59</v>
      </c>
      <c r="E1293" s="32" t="s">
        <v>92</v>
      </c>
      <c r="F1293" s="33" t="n">
        <v>917990000000</v>
      </c>
      <c r="G1293" s="32" t="s">
        <v>61</v>
      </c>
      <c r="H1293" s="32" t="s">
        <v>21</v>
      </c>
      <c r="I1293" s="32" t="s">
        <v>146</v>
      </c>
      <c r="J1293" s="32" t="s">
        <v>117</v>
      </c>
      <c r="K1293" s="32" t="s">
        <v>63</v>
      </c>
    </row>
    <row r="1294" customFormat="false" ht="13.5" hidden="false" customHeight="true" outlineLevel="0" collapsed="false">
      <c r="A1294" s="32" t="n">
        <v>3282</v>
      </c>
      <c r="B1294" s="32" t="s">
        <v>1157</v>
      </c>
      <c r="C1294" s="32" t="s">
        <v>1158</v>
      </c>
      <c r="D1294" s="32" t="s">
        <v>59</v>
      </c>
      <c r="E1294" s="32" t="s">
        <v>107</v>
      </c>
      <c r="F1294" s="33" t="n">
        <v>917030000000</v>
      </c>
      <c r="G1294" s="32" t="s">
        <v>104</v>
      </c>
      <c r="H1294" s="32" t="s">
        <v>21</v>
      </c>
      <c r="I1294" s="32" t="s">
        <v>108</v>
      </c>
      <c r="J1294" s="32" t="s">
        <v>71</v>
      </c>
      <c r="K1294" s="32" t="s">
        <v>63</v>
      </c>
    </row>
    <row r="1295" customFormat="false" ht="13.5" hidden="false" customHeight="true" outlineLevel="0" collapsed="false">
      <c r="A1295" s="32" t="n">
        <v>3283</v>
      </c>
      <c r="B1295" s="32" t="s">
        <v>1157</v>
      </c>
      <c r="C1295" s="32" t="s">
        <v>1158</v>
      </c>
      <c r="D1295" s="32" t="s">
        <v>59</v>
      </c>
      <c r="E1295" s="32" t="s">
        <v>107</v>
      </c>
      <c r="F1295" s="33" t="n">
        <v>917030000000</v>
      </c>
      <c r="G1295" s="32" t="s">
        <v>104</v>
      </c>
      <c r="H1295" s="32" t="s">
        <v>21</v>
      </c>
      <c r="I1295" s="32" t="s">
        <v>16</v>
      </c>
      <c r="J1295" s="32" t="s">
        <v>73</v>
      </c>
      <c r="K1295" s="32" t="s">
        <v>63</v>
      </c>
    </row>
    <row r="1296" customFormat="false" ht="13.5" hidden="false" customHeight="true" outlineLevel="0" collapsed="false">
      <c r="A1296" s="32" t="n">
        <v>3284</v>
      </c>
      <c r="B1296" s="32" t="s">
        <v>1159</v>
      </c>
      <c r="C1296" s="32" t="s">
        <v>1160</v>
      </c>
      <c r="D1296" s="32" t="s">
        <v>59</v>
      </c>
      <c r="E1296" s="32" t="s">
        <v>60</v>
      </c>
      <c r="F1296" s="32" t="n">
        <v>0</v>
      </c>
      <c r="G1296" s="32" t="s">
        <v>144</v>
      </c>
      <c r="H1296" s="32" t="s">
        <v>21</v>
      </c>
      <c r="I1296" s="32" t="s">
        <v>29</v>
      </c>
      <c r="J1296" s="32" t="s">
        <v>62</v>
      </c>
      <c r="K1296" s="32" t="s">
        <v>63</v>
      </c>
    </row>
    <row r="1297" customFormat="false" ht="13.5" hidden="false" customHeight="true" outlineLevel="0" collapsed="false">
      <c r="A1297" s="32" t="n">
        <v>3285</v>
      </c>
      <c r="B1297" s="32" t="s">
        <v>1159</v>
      </c>
      <c r="C1297" s="32" t="s">
        <v>1160</v>
      </c>
      <c r="D1297" s="32" t="s">
        <v>59</v>
      </c>
      <c r="E1297" s="32" t="s">
        <v>60</v>
      </c>
      <c r="F1297" s="32" t="n">
        <v>0</v>
      </c>
      <c r="G1297" s="32" t="s">
        <v>144</v>
      </c>
      <c r="H1297" s="32" t="s">
        <v>21</v>
      </c>
      <c r="I1297" s="32" t="s">
        <v>14</v>
      </c>
      <c r="J1297" s="32" t="s">
        <v>66</v>
      </c>
      <c r="K1297" s="32" t="s">
        <v>63</v>
      </c>
    </row>
    <row r="1298" customFormat="false" ht="13.5" hidden="false" customHeight="true" outlineLevel="0" collapsed="false">
      <c r="A1298" s="32" t="n">
        <v>3286</v>
      </c>
      <c r="B1298" s="32" t="s">
        <v>1161</v>
      </c>
      <c r="C1298" s="32" t="s">
        <v>1162</v>
      </c>
      <c r="D1298" s="32" t="s">
        <v>114</v>
      </c>
      <c r="E1298" s="32" t="s">
        <v>165</v>
      </c>
      <c r="F1298" s="32" t="n">
        <v>9988230699</v>
      </c>
      <c r="G1298" s="32" t="s">
        <v>0</v>
      </c>
      <c r="H1298" s="32" t="s">
        <v>22</v>
      </c>
      <c r="I1298" s="32" t="s">
        <v>93</v>
      </c>
      <c r="J1298" s="32" t="s">
        <v>85</v>
      </c>
      <c r="K1298" s="32" t="s">
        <v>63</v>
      </c>
    </row>
    <row r="1299" customFormat="false" ht="13.5" hidden="false" customHeight="true" outlineLevel="0" collapsed="false">
      <c r="A1299" s="32" t="n">
        <v>3287</v>
      </c>
      <c r="B1299" s="32" t="s">
        <v>1161</v>
      </c>
      <c r="C1299" s="32" t="s">
        <v>1163</v>
      </c>
      <c r="D1299" s="32" t="s">
        <v>114</v>
      </c>
      <c r="E1299" s="32" t="s">
        <v>165</v>
      </c>
      <c r="F1299" s="32" t="n">
        <v>9988230699</v>
      </c>
      <c r="G1299" s="32" t="s">
        <v>0</v>
      </c>
      <c r="H1299" s="32" t="s">
        <v>22</v>
      </c>
      <c r="I1299" s="32" t="s">
        <v>145</v>
      </c>
      <c r="J1299" s="32" t="s">
        <v>117</v>
      </c>
      <c r="K1299" s="32" t="s">
        <v>63</v>
      </c>
    </row>
    <row r="1300" customFormat="false" ht="13.5" hidden="false" customHeight="true" outlineLevel="0" collapsed="false">
      <c r="A1300" s="32" t="n">
        <v>3288</v>
      </c>
      <c r="B1300" s="32" t="s">
        <v>1161</v>
      </c>
      <c r="C1300" s="32" t="s">
        <v>1163</v>
      </c>
      <c r="D1300" s="32" t="s">
        <v>114</v>
      </c>
      <c r="E1300" s="32" t="s">
        <v>165</v>
      </c>
      <c r="F1300" s="32" t="n">
        <v>9988230699</v>
      </c>
      <c r="G1300" s="32" t="s">
        <v>0</v>
      </c>
      <c r="H1300" s="32" t="s">
        <v>22</v>
      </c>
      <c r="I1300" s="32" t="s">
        <v>151</v>
      </c>
      <c r="J1300" s="32" t="s">
        <v>152</v>
      </c>
      <c r="K1300" s="32" t="s">
        <v>63</v>
      </c>
    </row>
    <row r="1301" customFormat="false" ht="13.5" hidden="false" customHeight="true" outlineLevel="0" collapsed="false">
      <c r="A1301" s="32" t="n">
        <v>3289</v>
      </c>
      <c r="B1301" s="32" t="s">
        <v>1161</v>
      </c>
      <c r="C1301" s="32" t="s">
        <v>1163</v>
      </c>
      <c r="D1301" s="32" t="s">
        <v>114</v>
      </c>
      <c r="E1301" s="32" t="s">
        <v>165</v>
      </c>
      <c r="F1301" s="32" t="n">
        <v>9988230699</v>
      </c>
      <c r="G1301" s="32" t="s">
        <v>0</v>
      </c>
      <c r="H1301" s="32" t="s">
        <v>22</v>
      </c>
      <c r="I1301" s="32" t="s">
        <v>133</v>
      </c>
      <c r="J1301" s="32" t="s">
        <v>134</v>
      </c>
      <c r="K1301" s="32" t="s">
        <v>63</v>
      </c>
    </row>
    <row r="1302" customFormat="false" ht="13.5" hidden="false" customHeight="true" outlineLevel="0" collapsed="false">
      <c r="A1302" s="32" t="n">
        <v>3290</v>
      </c>
      <c r="B1302" s="32" t="s">
        <v>1161</v>
      </c>
      <c r="C1302" s="32" t="s">
        <v>1163</v>
      </c>
      <c r="D1302" s="32" t="s">
        <v>114</v>
      </c>
      <c r="E1302" s="32" t="s">
        <v>165</v>
      </c>
      <c r="F1302" s="32" t="n">
        <v>9988230699</v>
      </c>
      <c r="G1302" s="32" t="s">
        <v>0</v>
      </c>
      <c r="H1302" s="32" t="s">
        <v>22</v>
      </c>
      <c r="I1302" s="32" t="s">
        <v>27</v>
      </c>
      <c r="J1302" s="32" t="s">
        <v>13</v>
      </c>
      <c r="K1302" s="32" t="s">
        <v>63</v>
      </c>
    </row>
    <row r="1303" customFormat="false" ht="13.5" hidden="false" customHeight="true" outlineLevel="0" collapsed="false">
      <c r="A1303" s="32" t="n">
        <v>3291</v>
      </c>
      <c r="B1303" s="32" t="s">
        <v>1164</v>
      </c>
      <c r="C1303" s="32" t="s">
        <v>1165</v>
      </c>
      <c r="D1303" s="32" t="s">
        <v>114</v>
      </c>
      <c r="E1303" s="32" t="s">
        <v>165</v>
      </c>
      <c r="F1303" s="32" t="n">
        <v>7483865936</v>
      </c>
      <c r="G1303" s="32" t="s">
        <v>61</v>
      </c>
      <c r="H1303" s="32" t="s">
        <v>22</v>
      </c>
      <c r="I1303" s="32" t="s">
        <v>72</v>
      </c>
      <c r="J1303" s="32" t="s">
        <v>73</v>
      </c>
      <c r="K1303" s="32" t="s">
        <v>63</v>
      </c>
    </row>
    <row r="1304" customFormat="false" ht="13.5" hidden="false" customHeight="true" outlineLevel="0" collapsed="false">
      <c r="A1304" s="32" t="n">
        <v>3292</v>
      </c>
      <c r="B1304" s="32" t="s">
        <v>1164</v>
      </c>
      <c r="C1304" s="32" t="s">
        <v>1165</v>
      </c>
      <c r="D1304" s="32" t="s">
        <v>114</v>
      </c>
      <c r="E1304" s="32" t="s">
        <v>165</v>
      </c>
      <c r="F1304" s="32" t="n">
        <v>7483865936</v>
      </c>
      <c r="G1304" s="32" t="s">
        <v>61</v>
      </c>
      <c r="H1304" s="32" t="s">
        <v>22</v>
      </c>
      <c r="I1304" s="32" t="s">
        <v>95</v>
      </c>
      <c r="J1304" s="32" t="s">
        <v>96</v>
      </c>
      <c r="K1304" s="32" t="s">
        <v>63</v>
      </c>
    </row>
    <row r="1305" customFormat="false" ht="13.5" hidden="false" customHeight="true" outlineLevel="0" collapsed="false">
      <c r="A1305" s="32" t="n">
        <v>3293</v>
      </c>
      <c r="B1305" s="32" t="s">
        <v>1164</v>
      </c>
      <c r="C1305" s="32" t="s">
        <v>1165</v>
      </c>
      <c r="D1305" s="32" t="s">
        <v>114</v>
      </c>
      <c r="E1305" s="32" t="s">
        <v>165</v>
      </c>
      <c r="F1305" s="32" t="n">
        <v>7483865936</v>
      </c>
      <c r="G1305" s="32" t="s">
        <v>61</v>
      </c>
      <c r="H1305" s="32" t="s">
        <v>22</v>
      </c>
      <c r="I1305" s="32" t="s">
        <v>145</v>
      </c>
      <c r="J1305" s="32" t="s">
        <v>117</v>
      </c>
      <c r="K1305" s="32" t="s">
        <v>63</v>
      </c>
    </row>
    <row r="1306" customFormat="false" ht="13.5" hidden="false" customHeight="true" outlineLevel="0" collapsed="false">
      <c r="A1306" s="32" t="n">
        <v>3294</v>
      </c>
      <c r="B1306" s="32" t="s">
        <v>1164</v>
      </c>
      <c r="C1306" s="32" t="s">
        <v>1165</v>
      </c>
      <c r="D1306" s="32" t="s">
        <v>114</v>
      </c>
      <c r="E1306" s="32" t="s">
        <v>165</v>
      </c>
      <c r="F1306" s="32" t="n">
        <v>7483865936</v>
      </c>
      <c r="G1306" s="32" t="s">
        <v>61</v>
      </c>
      <c r="H1306" s="32" t="s">
        <v>22</v>
      </c>
      <c r="I1306" s="32" t="s">
        <v>150</v>
      </c>
      <c r="J1306" s="32" t="s">
        <v>73</v>
      </c>
      <c r="K1306" s="32" t="s">
        <v>63</v>
      </c>
    </row>
    <row r="1307" customFormat="false" ht="13.5" hidden="false" customHeight="true" outlineLevel="0" collapsed="false">
      <c r="A1307" s="32" t="n">
        <v>3295</v>
      </c>
      <c r="B1307" s="32" t="s">
        <v>1164</v>
      </c>
      <c r="C1307" s="32" t="s">
        <v>1165</v>
      </c>
      <c r="D1307" s="32" t="s">
        <v>114</v>
      </c>
      <c r="E1307" s="32" t="s">
        <v>165</v>
      </c>
      <c r="F1307" s="32" t="n">
        <v>7483865936</v>
      </c>
      <c r="G1307" s="32" t="s">
        <v>61</v>
      </c>
      <c r="H1307" s="32" t="s">
        <v>22</v>
      </c>
      <c r="I1307" s="32" t="s">
        <v>212</v>
      </c>
      <c r="J1307" s="32" t="s">
        <v>73</v>
      </c>
      <c r="K1307" s="32" t="s">
        <v>63</v>
      </c>
    </row>
    <row r="1308" customFormat="false" ht="13.5" hidden="false" customHeight="true" outlineLevel="0" collapsed="false">
      <c r="A1308" s="32" t="n">
        <v>3296</v>
      </c>
      <c r="B1308" s="32" t="s">
        <v>1164</v>
      </c>
      <c r="C1308" s="32" t="s">
        <v>1166</v>
      </c>
      <c r="D1308" s="32" t="s">
        <v>114</v>
      </c>
      <c r="E1308" s="32" t="s">
        <v>165</v>
      </c>
      <c r="F1308" s="32" t="n">
        <v>7483865936</v>
      </c>
      <c r="G1308" s="32" t="s">
        <v>61</v>
      </c>
      <c r="H1308" s="32" t="s">
        <v>22</v>
      </c>
      <c r="I1308" s="32" t="s">
        <v>70</v>
      </c>
      <c r="J1308" s="32" t="s">
        <v>71</v>
      </c>
      <c r="K1308" s="32" t="s">
        <v>63</v>
      </c>
    </row>
    <row r="1309" customFormat="false" ht="13.5" hidden="false" customHeight="true" outlineLevel="0" collapsed="false">
      <c r="A1309" s="32" t="n">
        <v>3297</v>
      </c>
      <c r="B1309" s="32" t="s">
        <v>1164</v>
      </c>
      <c r="C1309" s="32" t="s">
        <v>1165</v>
      </c>
      <c r="D1309" s="32" t="s">
        <v>114</v>
      </c>
      <c r="E1309" s="32" t="s">
        <v>165</v>
      </c>
      <c r="F1309" s="32" t="n">
        <v>7483865936</v>
      </c>
      <c r="G1309" s="32" t="s">
        <v>61</v>
      </c>
      <c r="H1309" s="32" t="s">
        <v>22</v>
      </c>
      <c r="I1309" s="32" t="s">
        <v>108</v>
      </c>
      <c r="J1309" s="32" t="s">
        <v>71</v>
      </c>
      <c r="K1309" s="32" t="s">
        <v>63</v>
      </c>
    </row>
    <row r="1310" customFormat="false" ht="13.5" hidden="false" customHeight="true" outlineLevel="0" collapsed="false">
      <c r="A1310" s="32" t="n">
        <v>3298</v>
      </c>
      <c r="B1310" s="32" t="s">
        <v>1164</v>
      </c>
      <c r="C1310" s="32" t="s">
        <v>1165</v>
      </c>
      <c r="D1310" s="32" t="s">
        <v>114</v>
      </c>
      <c r="E1310" s="32" t="s">
        <v>165</v>
      </c>
      <c r="F1310" s="32" t="n">
        <v>7483865936</v>
      </c>
      <c r="G1310" s="32" t="s">
        <v>61</v>
      </c>
      <c r="H1310" s="32" t="s">
        <v>22</v>
      </c>
      <c r="I1310" s="32" t="s">
        <v>393</v>
      </c>
      <c r="J1310" s="32" t="s">
        <v>73</v>
      </c>
      <c r="K1310" s="32" t="s">
        <v>63</v>
      </c>
    </row>
    <row r="1311" customFormat="false" ht="13.5" hidden="false" customHeight="true" outlineLevel="0" collapsed="false">
      <c r="A1311" s="32" t="n">
        <v>3299</v>
      </c>
      <c r="B1311" s="32" t="s">
        <v>1164</v>
      </c>
      <c r="C1311" s="32" t="s">
        <v>1165</v>
      </c>
      <c r="D1311" s="32" t="s">
        <v>114</v>
      </c>
      <c r="E1311" s="32" t="s">
        <v>165</v>
      </c>
      <c r="F1311" s="32" t="n">
        <v>7483865936</v>
      </c>
      <c r="G1311" s="32" t="s">
        <v>61</v>
      </c>
      <c r="H1311" s="32" t="s">
        <v>22</v>
      </c>
      <c r="I1311" s="32" t="s">
        <v>150</v>
      </c>
      <c r="J1311" s="32" t="s">
        <v>73</v>
      </c>
      <c r="K1311" s="32" t="s">
        <v>63</v>
      </c>
    </row>
    <row r="1312" customFormat="false" ht="13.5" hidden="false" customHeight="true" outlineLevel="0" collapsed="false">
      <c r="A1312" s="32" t="n">
        <v>3300</v>
      </c>
      <c r="B1312" s="32" t="s">
        <v>1164</v>
      </c>
      <c r="C1312" s="32" t="s">
        <v>1165</v>
      </c>
      <c r="D1312" s="32" t="s">
        <v>114</v>
      </c>
      <c r="E1312" s="32" t="s">
        <v>165</v>
      </c>
      <c r="F1312" s="32" t="n">
        <v>7483865936</v>
      </c>
      <c r="G1312" s="32" t="s">
        <v>61</v>
      </c>
      <c r="H1312" s="32" t="s">
        <v>22</v>
      </c>
      <c r="I1312" s="32" t="s">
        <v>212</v>
      </c>
      <c r="J1312" s="32" t="s">
        <v>73</v>
      </c>
      <c r="K1312" s="32" t="s">
        <v>63</v>
      </c>
    </row>
    <row r="1313" customFormat="false" ht="13.5" hidden="false" customHeight="true" outlineLevel="0" collapsed="false">
      <c r="A1313" s="32" t="n">
        <v>3301</v>
      </c>
      <c r="B1313" s="32" t="s">
        <v>1167</v>
      </c>
      <c r="C1313" s="32" t="s">
        <v>1168</v>
      </c>
      <c r="D1313" s="32" t="s">
        <v>59</v>
      </c>
      <c r="E1313" s="32" t="s">
        <v>107</v>
      </c>
      <c r="F1313" s="32" t="n">
        <v>7702207585</v>
      </c>
      <c r="G1313" s="32" t="s">
        <v>80</v>
      </c>
      <c r="H1313" s="32" t="s">
        <v>21</v>
      </c>
      <c r="I1313" s="32" t="s">
        <v>145</v>
      </c>
      <c r="J1313" s="32" t="s">
        <v>117</v>
      </c>
      <c r="K1313" s="32" t="s">
        <v>63</v>
      </c>
    </row>
    <row r="1314" customFormat="false" ht="13.5" hidden="false" customHeight="true" outlineLevel="0" collapsed="false">
      <c r="A1314" s="32" t="n">
        <v>3302</v>
      </c>
      <c r="B1314" s="32" t="s">
        <v>1167</v>
      </c>
      <c r="C1314" s="32" t="s">
        <v>1168</v>
      </c>
      <c r="D1314" s="32" t="s">
        <v>59</v>
      </c>
      <c r="E1314" s="32" t="s">
        <v>107</v>
      </c>
      <c r="F1314" s="32" t="n">
        <v>7702207585</v>
      </c>
      <c r="G1314" s="32" t="s">
        <v>80</v>
      </c>
      <c r="H1314" s="32" t="s">
        <v>21</v>
      </c>
      <c r="I1314" s="32" t="s">
        <v>93</v>
      </c>
      <c r="J1314" s="32" t="s">
        <v>85</v>
      </c>
      <c r="K1314" s="32" t="s">
        <v>63</v>
      </c>
    </row>
    <row r="1315" customFormat="false" ht="13.5" hidden="false" customHeight="true" outlineLevel="0" collapsed="false">
      <c r="A1315" s="32" t="n">
        <v>3303</v>
      </c>
      <c r="B1315" s="32" t="s">
        <v>1167</v>
      </c>
      <c r="C1315" s="32" t="s">
        <v>1168</v>
      </c>
      <c r="D1315" s="32" t="s">
        <v>59</v>
      </c>
      <c r="E1315" s="32" t="s">
        <v>107</v>
      </c>
      <c r="F1315" s="32" t="n">
        <v>7702207585</v>
      </c>
      <c r="G1315" s="32" t="s">
        <v>80</v>
      </c>
      <c r="H1315" s="32" t="s">
        <v>21</v>
      </c>
      <c r="I1315" s="32" t="s">
        <v>409</v>
      </c>
      <c r="J1315" s="32" t="s">
        <v>410</v>
      </c>
      <c r="K1315" s="32" t="s">
        <v>63</v>
      </c>
    </row>
    <row r="1316" customFormat="false" ht="13.5" hidden="false" customHeight="true" outlineLevel="0" collapsed="false">
      <c r="A1316" s="32" t="n">
        <v>3304</v>
      </c>
      <c r="B1316" s="32" t="s">
        <v>1169</v>
      </c>
      <c r="C1316" s="32" t="s">
        <v>1170</v>
      </c>
      <c r="D1316" s="32" t="s">
        <v>114</v>
      </c>
      <c r="E1316" s="32" t="s">
        <v>115</v>
      </c>
      <c r="F1316" s="32" t="n">
        <v>9899090508</v>
      </c>
      <c r="G1316" s="32" t="s">
        <v>144</v>
      </c>
      <c r="H1316" s="32" t="s">
        <v>22</v>
      </c>
      <c r="I1316" s="32" t="s">
        <v>248</v>
      </c>
      <c r="J1316" s="32" t="s">
        <v>117</v>
      </c>
      <c r="K1316" s="32" t="s">
        <v>63</v>
      </c>
    </row>
    <row r="1317" customFormat="false" ht="13.5" hidden="false" customHeight="true" outlineLevel="0" collapsed="false">
      <c r="A1317" s="32" t="n">
        <v>3305</v>
      </c>
      <c r="B1317" s="32" t="s">
        <v>1169</v>
      </c>
      <c r="C1317" s="32" t="s">
        <v>1171</v>
      </c>
      <c r="D1317" s="32" t="s">
        <v>114</v>
      </c>
      <c r="E1317" s="32" t="s">
        <v>115</v>
      </c>
      <c r="F1317" s="32" t="n">
        <v>9899090508</v>
      </c>
      <c r="G1317" s="32" t="s">
        <v>144</v>
      </c>
      <c r="H1317" s="32" t="s">
        <v>22</v>
      </c>
      <c r="I1317" s="32" t="s">
        <v>27</v>
      </c>
      <c r="J1317" s="32" t="s">
        <v>13</v>
      </c>
      <c r="K1317" s="32" t="s">
        <v>63</v>
      </c>
    </row>
    <row r="1318" customFormat="false" ht="13.5" hidden="false" customHeight="true" outlineLevel="0" collapsed="false">
      <c r="A1318" s="32" t="n">
        <v>3306</v>
      </c>
      <c r="B1318" s="32" t="s">
        <v>1169</v>
      </c>
      <c r="C1318" s="32" t="s">
        <v>1171</v>
      </c>
      <c r="D1318" s="32" t="s">
        <v>114</v>
      </c>
      <c r="E1318" s="32" t="s">
        <v>115</v>
      </c>
      <c r="F1318" s="32" t="n">
        <v>9899090508</v>
      </c>
      <c r="G1318" s="32" t="s">
        <v>144</v>
      </c>
      <c r="H1318" s="32" t="s">
        <v>22</v>
      </c>
      <c r="I1318" s="32" t="s">
        <v>109</v>
      </c>
      <c r="J1318" s="32" t="s">
        <v>110</v>
      </c>
      <c r="K1318" s="32" t="s">
        <v>63</v>
      </c>
    </row>
    <row r="1319" customFormat="false" ht="13.5" hidden="false" customHeight="true" outlineLevel="0" collapsed="false">
      <c r="A1319" s="32" t="n">
        <v>3307</v>
      </c>
      <c r="B1319" s="32" t="s">
        <v>1169</v>
      </c>
      <c r="C1319" s="32" t="s">
        <v>1171</v>
      </c>
      <c r="D1319" s="32" t="s">
        <v>114</v>
      </c>
      <c r="E1319" s="32" t="s">
        <v>115</v>
      </c>
      <c r="F1319" s="32" t="n">
        <v>9899090508</v>
      </c>
      <c r="G1319" s="32" t="s">
        <v>144</v>
      </c>
      <c r="H1319" s="32" t="s">
        <v>22</v>
      </c>
      <c r="I1319" s="32" t="s">
        <v>145</v>
      </c>
      <c r="J1319" s="32" t="s">
        <v>117</v>
      </c>
      <c r="K1319" s="32" t="s">
        <v>63</v>
      </c>
    </row>
    <row r="1320" customFormat="false" ht="13.5" hidden="false" customHeight="true" outlineLevel="0" collapsed="false">
      <c r="A1320" s="32" t="n">
        <v>3308</v>
      </c>
      <c r="B1320" s="32" t="s">
        <v>1169</v>
      </c>
      <c r="C1320" s="32" t="s">
        <v>1171</v>
      </c>
      <c r="D1320" s="32" t="s">
        <v>114</v>
      </c>
      <c r="E1320" s="32" t="s">
        <v>115</v>
      </c>
      <c r="F1320" s="32" t="n">
        <v>9899090508</v>
      </c>
      <c r="G1320" s="32" t="s">
        <v>144</v>
      </c>
      <c r="H1320" s="32" t="s">
        <v>22</v>
      </c>
      <c r="I1320" s="32" t="s">
        <v>151</v>
      </c>
      <c r="J1320" s="32" t="s">
        <v>152</v>
      </c>
      <c r="K1320" s="32" t="s">
        <v>63</v>
      </c>
    </row>
    <row r="1321" customFormat="false" ht="13.5" hidden="false" customHeight="true" outlineLevel="0" collapsed="false">
      <c r="A1321" s="32" t="n">
        <v>3309</v>
      </c>
      <c r="B1321" s="32" t="s">
        <v>1169</v>
      </c>
      <c r="C1321" s="32" t="s">
        <v>1171</v>
      </c>
      <c r="D1321" s="32" t="s">
        <v>114</v>
      </c>
      <c r="E1321" s="32" t="s">
        <v>115</v>
      </c>
      <c r="F1321" s="32" t="n">
        <v>9899090508</v>
      </c>
      <c r="G1321" s="32" t="s">
        <v>144</v>
      </c>
      <c r="H1321" s="32" t="s">
        <v>22</v>
      </c>
      <c r="I1321" s="32" t="s">
        <v>16</v>
      </c>
      <c r="J1321" s="32" t="s">
        <v>73</v>
      </c>
      <c r="K1321" s="32" t="s">
        <v>63</v>
      </c>
    </row>
    <row r="1322" customFormat="false" ht="13.5" hidden="false" customHeight="true" outlineLevel="0" collapsed="false">
      <c r="A1322" s="32" t="n">
        <v>3310</v>
      </c>
      <c r="B1322" s="32" t="s">
        <v>1172</v>
      </c>
      <c r="C1322" s="32" t="s">
        <v>1173</v>
      </c>
      <c r="D1322" s="32" t="s">
        <v>59</v>
      </c>
      <c r="E1322" s="32" t="s">
        <v>60</v>
      </c>
      <c r="F1322" s="32" t="n">
        <v>0</v>
      </c>
      <c r="G1322" s="32" t="s">
        <v>61</v>
      </c>
      <c r="H1322" s="32" t="s">
        <v>21</v>
      </c>
      <c r="I1322" s="32" t="s">
        <v>350</v>
      </c>
      <c r="J1322" s="32" t="s">
        <v>235</v>
      </c>
      <c r="K1322" s="32" t="s">
        <v>63</v>
      </c>
    </row>
    <row r="1323" customFormat="false" ht="13.5" hidden="false" customHeight="true" outlineLevel="0" collapsed="false">
      <c r="A1323" s="32" t="n">
        <v>3311</v>
      </c>
      <c r="B1323" s="32" t="s">
        <v>1172</v>
      </c>
      <c r="C1323" s="32" t="s">
        <v>1173</v>
      </c>
      <c r="D1323" s="32" t="s">
        <v>59</v>
      </c>
      <c r="E1323" s="32" t="s">
        <v>60</v>
      </c>
      <c r="F1323" s="32" t="n">
        <v>0</v>
      </c>
      <c r="G1323" s="32" t="s">
        <v>61</v>
      </c>
      <c r="H1323" s="32" t="s">
        <v>21</v>
      </c>
      <c r="I1323" s="32" t="s">
        <v>14</v>
      </c>
      <c r="J1323" s="32" t="s">
        <v>66</v>
      </c>
      <c r="K1323" s="32" t="s">
        <v>63</v>
      </c>
    </row>
    <row r="1324" customFormat="false" ht="13.5" hidden="false" customHeight="true" outlineLevel="0" collapsed="false">
      <c r="A1324" s="32" t="n">
        <v>3312</v>
      </c>
      <c r="B1324" s="32" t="s">
        <v>1172</v>
      </c>
      <c r="C1324" s="32" t="s">
        <v>1173</v>
      </c>
      <c r="D1324" s="32" t="s">
        <v>59</v>
      </c>
      <c r="E1324" s="32" t="s">
        <v>60</v>
      </c>
      <c r="F1324" s="32" t="n">
        <v>0</v>
      </c>
      <c r="G1324" s="32" t="s">
        <v>61</v>
      </c>
      <c r="H1324" s="32" t="s">
        <v>21</v>
      </c>
      <c r="I1324" s="32" t="s">
        <v>463</v>
      </c>
      <c r="J1324" s="32" t="s">
        <v>66</v>
      </c>
      <c r="K1324" s="32" t="s">
        <v>63</v>
      </c>
    </row>
    <row r="1325" customFormat="false" ht="13.5" hidden="false" customHeight="true" outlineLevel="0" collapsed="false">
      <c r="A1325" s="32" t="n">
        <v>3313</v>
      </c>
      <c r="B1325" s="32" t="s">
        <v>1174</v>
      </c>
      <c r="C1325" s="32" t="s">
        <v>1175</v>
      </c>
      <c r="D1325" s="32" t="s">
        <v>59</v>
      </c>
      <c r="E1325" s="32" t="s">
        <v>107</v>
      </c>
      <c r="F1325" s="33" t="n">
        <v>918570000000</v>
      </c>
      <c r="G1325" s="32" t="s">
        <v>144</v>
      </c>
      <c r="H1325" s="32" t="s">
        <v>21</v>
      </c>
      <c r="I1325" s="32" t="s">
        <v>30</v>
      </c>
      <c r="J1325" s="32" t="s">
        <v>203</v>
      </c>
      <c r="K1325" s="32" t="s">
        <v>63</v>
      </c>
    </row>
    <row r="1326" customFormat="false" ht="13.5" hidden="false" customHeight="true" outlineLevel="0" collapsed="false">
      <c r="A1326" s="32" t="n">
        <v>3314</v>
      </c>
      <c r="B1326" s="32" t="s">
        <v>1176</v>
      </c>
      <c r="C1326" s="32" t="s">
        <v>1177</v>
      </c>
      <c r="D1326" s="32" t="s">
        <v>59</v>
      </c>
      <c r="E1326" s="32" t="s">
        <v>107</v>
      </c>
      <c r="F1326" s="32" t="n">
        <v>9687912068</v>
      </c>
      <c r="G1326" s="32" t="s">
        <v>104</v>
      </c>
      <c r="H1326" s="32" t="s">
        <v>21</v>
      </c>
      <c r="I1326" s="32" t="s">
        <v>121</v>
      </c>
      <c r="J1326" s="32" t="s">
        <v>110</v>
      </c>
      <c r="K1326" s="32" t="s">
        <v>63</v>
      </c>
    </row>
    <row r="1327" customFormat="false" ht="13.5" hidden="false" customHeight="true" outlineLevel="0" collapsed="false">
      <c r="A1327" s="32" t="n">
        <v>3315</v>
      </c>
      <c r="B1327" s="32" t="s">
        <v>1176</v>
      </c>
      <c r="C1327" s="32" t="s">
        <v>1177</v>
      </c>
      <c r="D1327" s="32" t="s">
        <v>59</v>
      </c>
      <c r="E1327" s="32" t="s">
        <v>107</v>
      </c>
      <c r="F1327" s="32" t="n">
        <v>9687912068</v>
      </c>
      <c r="G1327" s="32" t="s">
        <v>104</v>
      </c>
      <c r="H1327" s="32" t="s">
        <v>21</v>
      </c>
      <c r="I1327" s="32" t="s">
        <v>145</v>
      </c>
      <c r="J1327" s="32" t="s">
        <v>117</v>
      </c>
      <c r="K1327" s="32" t="s">
        <v>63</v>
      </c>
    </row>
    <row r="1328" customFormat="false" ht="13.5" hidden="false" customHeight="true" outlineLevel="0" collapsed="false">
      <c r="A1328" s="32" t="n">
        <v>3316</v>
      </c>
      <c r="B1328" s="32" t="s">
        <v>1176</v>
      </c>
      <c r="C1328" s="32" t="s">
        <v>1177</v>
      </c>
      <c r="D1328" s="32" t="s">
        <v>59</v>
      </c>
      <c r="E1328" s="32" t="s">
        <v>107</v>
      </c>
      <c r="F1328" s="32" t="n">
        <v>9687912068</v>
      </c>
      <c r="G1328" s="32" t="s">
        <v>104</v>
      </c>
      <c r="H1328" s="32" t="s">
        <v>21</v>
      </c>
      <c r="I1328" s="32" t="s">
        <v>1178</v>
      </c>
      <c r="J1328" s="32" t="s">
        <v>110</v>
      </c>
      <c r="K1328" s="32" t="s">
        <v>63</v>
      </c>
    </row>
    <row r="1329" customFormat="false" ht="13.5" hidden="false" customHeight="true" outlineLevel="0" collapsed="false">
      <c r="A1329" s="32" t="n">
        <v>3317</v>
      </c>
      <c r="B1329" s="32" t="s">
        <v>1179</v>
      </c>
      <c r="C1329" s="32" t="s">
        <v>1180</v>
      </c>
      <c r="D1329" s="32" t="s">
        <v>114</v>
      </c>
      <c r="E1329" s="32" t="s">
        <v>165</v>
      </c>
      <c r="F1329" s="33" t="n">
        <v>919044000000</v>
      </c>
      <c r="G1329" s="32" t="s">
        <v>144</v>
      </c>
      <c r="H1329" s="32" t="s">
        <v>22</v>
      </c>
      <c r="I1329" s="32" t="s">
        <v>30</v>
      </c>
      <c r="J1329" s="32" t="s">
        <v>203</v>
      </c>
      <c r="K1329" s="32" t="s">
        <v>63</v>
      </c>
    </row>
    <row r="1330" customFormat="false" ht="13.5" hidden="false" customHeight="true" outlineLevel="0" collapsed="false">
      <c r="A1330" s="32" t="n">
        <v>3318</v>
      </c>
      <c r="B1330" s="32" t="s">
        <v>1179</v>
      </c>
      <c r="C1330" s="32" t="s">
        <v>1180</v>
      </c>
      <c r="D1330" s="32" t="s">
        <v>114</v>
      </c>
      <c r="E1330" s="32" t="s">
        <v>165</v>
      </c>
      <c r="F1330" s="33" t="n">
        <v>919044000000</v>
      </c>
      <c r="G1330" s="32" t="s">
        <v>144</v>
      </c>
      <c r="H1330" s="32" t="s">
        <v>22</v>
      </c>
      <c r="I1330" s="32" t="s">
        <v>27</v>
      </c>
      <c r="J1330" s="32" t="s">
        <v>13</v>
      </c>
      <c r="K1330" s="32" t="s">
        <v>63</v>
      </c>
    </row>
    <row r="1331" customFormat="false" ht="13.5" hidden="false" customHeight="true" outlineLevel="0" collapsed="false">
      <c r="A1331" s="32" t="n">
        <v>3319</v>
      </c>
      <c r="B1331" s="32" t="s">
        <v>1181</v>
      </c>
      <c r="C1331" s="32" t="s">
        <v>1182</v>
      </c>
      <c r="D1331" s="32" t="s">
        <v>114</v>
      </c>
      <c r="E1331" s="32" t="s">
        <v>169</v>
      </c>
      <c r="F1331" s="32" t="n">
        <v>9966579400</v>
      </c>
      <c r="G1331" s="32" t="s">
        <v>61</v>
      </c>
      <c r="H1331" s="32" t="s">
        <v>22</v>
      </c>
      <c r="I1331" s="32" t="s">
        <v>95</v>
      </c>
      <c r="J1331" s="32" t="s">
        <v>96</v>
      </c>
      <c r="K1331" s="32" t="s">
        <v>63</v>
      </c>
    </row>
    <row r="1332" customFormat="false" ht="13.5" hidden="false" customHeight="true" outlineLevel="0" collapsed="false">
      <c r="A1332" s="32" t="n">
        <v>3321</v>
      </c>
      <c r="B1332" s="32" t="s">
        <v>1181</v>
      </c>
      <c r="C1332" s="32" t="s">
        <v>1182</v>
      </c>
      <c r="D1332" s="32" t="s">
        <v>114</v>
      </c>
      <c r="E1332" s="32" t="s">
        <v>169</v>
      </c>
      <c r="F1332" s="32" t="n">
        <v>9966579400</v>
      </c>
      <c r="G1332" s="32" t="s">
        <v>61</v>
      </c>
      <c r="H1332" s="32" t="s">
        <v>22</v>
      </c>
      <c r="I1332" s="32" t="s">
        <v>151</v>
      </c>
      <c r="J1332" s="32" t="s">
        <v>152</v>
      </c>
      <c r="K1332" s="32" t="s">
        <v>63</v>
      </c>
    </row>
    <row r="1333" customFormat="false" ht="13.5" hidden="false" customHeight="true" outlineLevel="0" collapsed="false">
      <c r="A1333" s="32" t="n">
        <v>3322</v>
      </c>
      <c r="B1333" s="32" t="s">
        <v>1181</v>
      </c>
      <c r="C1333" s="32" t="s">
        <v>1182</v>
      </c>
      <c r="D1333" s="32" t="s">
        <v>114</v>
      </c>
      <c r="E1333" s="32" t="s">
        <v>169</v>
      </c>
      <c r="F1333" s="32" t="n">
        <v>9966579400</v>
      </c>
      <c r="G1333" s="32" t="s">
        <v>61</v>
      </c>
      <c r="H1333" s="32" t="s">
        <v>22</v>
      </c>
      <c r="I1333" s="32" t="s">
        <v>27</v>
      </c>
      <c r="J1333" s="32" t="s">
        <v>13</v>
      </c>
      <c r="K1333" s="32" t="s">
        <v>63</v>
      </c>
    </row>
    <row r="1334" customFormat="false" ht="13.5" hidden="false" customHeight="true" outlineLevel="0" collapsed="false">
      <c r="A1334" s="32" t="n">
        <v>3323</v>
      </c>
      <c r="B1334" s="32" t="s">
        <v>1181</v>
      </c>
      <c r="C1334" s="32" t="s">
        <v>1182</v>
      </c>
      <c r="D1334" s="32" t="s">
        <v>114</v>
      </c>
      <c r="E1334" s="32" t="s">
        <v>169</v>
      </c>
      <c r="F1334" s="32" t="n">
        <v>9966579400</v>
      </c>
      <c r="G1334" s="32" t="s">
        <v>61</v>
      </c>
      <c r="H1334" s="32" t="s">
        <v>22</v>
      </c>
      <c r="I1334" s="32" t="s">
        <v>145</v>
      </c>
      <c r="J1334" s="32" t="s">
        <v>117</v>
      </c>
      <c r="K1334" s="32" t="s">
        <v>63</v>
      </c>
    </row>
    <row r="1335" customFormat="false" ht="13.5" hidden="false" customHeight="true" outlineLevel="0" collapsed="false">
      <c r="A1335" s="32" t="n">
        <v>3324</v>
      </c>
      <c r="B1335" s="32" t="s">
        <v>1181</v>
      </c>
      <c r="C1335" s="32" t="s">
        <v>1182</v>
      </c>
      <c r="D1335" s="32" t="s">
        <v>114</v>
      </c>
      <c r="E1335" s="32" t="s">
        <v>169</v>
      </c>
      <c r="F1335" s="32" t="n">
        <v>9966579400</v>
      </c>
      <c r="G1335" s="32" t="s">
        <v>61</v>
      </c>
      <c r="H1335" s="32" t="s">
        <v>22</v>
      </c>
      <c r="I1335" s="32" t="s">
        <v>151</v>
      </c>
      <c r="J1335" s="32" t="s">
        <v>152</v>
      </c>
      <c r="K1335" s="32" t="s">
        <v>63</v>
      </c>
    </row>
    <row r="1336" customFormat="false" ht="13.5" hidden="false" customHeight="true" outlineLevel="0" collapsed="false">
      <c r="A1336" s="32" t="n">
        <v>3325</v>
      </c>
      <c r="B1336" s="32" t="s">
        <v>1181</v>
      </c>
      <c r="C1336" s="32" t="s">
        <v>1182</v>
      </c>
      <c r="D1336" s="32" t="s">
        <v>114</v>
      </c>
      <c r="E1336" s="32" t="s">
        <v>169</v>
      </c>
      <c r="F1336" s="32" t="n">
        <v>9966579400</v>
      </c>
      <c r="G1336" s="32" t="s">
        <v>61</v>
      </c>
      <c r="H1336" s="32" t="s">
        <v>22</v>
      </c>
      <c r="I1336" s="32" t="s">
        <v>146</v>
      </c>
      <c r="J1336" s="32" t="s">
        <v>117</v>
      </c>
      <c r="K1336" s="32" t="s">
        <v>63</v>
      </c>
    </row>
    <row r="1337" customFormat="false" ht="13.5" hidden="false" customHeight="true" outlineLevel="0" collapsed="false">
      <c r="A1337" s="32" t="n">
        <v>3326</v>
      </c>
      <c r="B1337" s="32" t="s">
        <v>1183</v>
      </c>
      <c r="C1337" s="32" t="s">
        <v>1184</v>
      </c>
      <c r="D1337" s="32" t="s">
        <v>59</v>
      </c>
      <c r="E1337" s="32" t="s">
        <v>107</v>
      </c>
      <c r="F1337" s="32" t="n">
        <v>7899941432</v>
      </c>
      <c r="G1337" s="32" t="s">
        <v>144</v>
      </c>
      <c r="H1337" s="32" t="s">
        <v>21</v>
      </c>
      <c r="I1337" s="32" t="s">
        <v>30</v>
      </c>
      <c r="J1337" s="32" t="s">
        <v>203</v>
      </c>
      <c r="K1337" s="32" t="s">
        <v>63</v>
      </c>
    </row>
    <row r="1338" customFormat="false" ht="13.5" hidden="false" customHeight="true" outlineLevel="0" collapsed="false">
      <c r="A1338" s="32" t="n">
        <v>3327</v>
      </c>
      <c r="B1338" s="32" t="s">
        <v>1185</v>
      </c>
      <c r="C1338" s="32" t="s">
        <v>1186</v>
      </c>
      <c r="D1338" s="32" t="s">
        <v>102</v>
      </c>
      <c r="E1338" s="32" t="s">
        <v>767</v>
      </c>
      <c r="F1338" s="32" t="n">
        <v>9831774272</v>
      </c>
      <c r="G1338" s="32" t="s">
        <v>80</v>
      </c>
      <c r="H1338" s="32" t="s">
        <v>21</v>
      </c>
      <c r="I1338" s="32" t="s">
        <v>85</v>
      </c>
      <c r="J1338" s="32" t="s">
        <v>85</v>
      </c>
      <c r="K1338" s="32" t="s">
        <v>63</v>
      </c>
    </row>
    <row r="1339" customFormat="false" ht="13.5" hidden="false" customHeight="true" outlineLevel="0" collapsed="false">
      <c r="A1339" s="32" t="n">
        <v>3328</v>
      </c>
      <c r="B1339" s="32" t="s">
        <v>1185</v>
      </c>
      <c r="C1339" s="32" t="s">
        <v>1186</v>
      </c>
      <c r="D1339" s="32" t="s">
        <v>102</v>
      </c>
      <c r="E1339" s="32" t="s">
        <v>767</v>
      </c>
      <c r="F1339" s="32" t="n">
        <v>9831774272</v>
      </c>
      <c r="G1339" s="32" t="s">
        <v>80</v>
      </c>
      <c r="H1339" s="32" t="s">
        <v>21</v>
      </c>
      <c r="I1339" s="32" t="s">
        <v>87</v>
      </c>
      <c r="J1339" s="32" t="s">
        <v>84</v>
      </c>
      <c r="K1339" s="32" t="s">
        <v>63</v>
      </c>
    </row>
    <row r="1340" customFormat="false" ht="13.5" hidden="false" customHeight="true" outlineLevel="0" collapsed="false">
      <c r="A1340" s="32" t="n">
        <v>3329</v>
      </c>
      <c r="B1340" s="32" t="s">
        <v>1185</v>
      </c>
      <c r="C1340" s="32" t="s">
        <v>1186</v>
      </c>
      <c r="D1340" s="32" t="s">
        <v>102</v>
      </c>
      <c r="E1340" s="32" t="s">
        <v>767</v>
      </c>
      <c r="F1340" s="32" t="n">
        <v>9831774272</v>
      </c>
      <c r="G1340" s="32" t="s">
        <v>80</v>
      </c>
      <c r="H1340" s="32" t="s">
        <v>21</v>
      </c>
      <c r="I1340" s="32" t="s">
        <v>172</v>
      </c>
      <c r="J1340" s="32" t="s">
        <v>152</v>
      </c>
      <c r="K1340" s="32" t="s">
        <v>63</v>
      </c>
    </row>
    <row r="1341" customFormat="false" ht="13.5" hidden="false" customHeight="true" outlineLevel="0" collapsed="false">
      <c r="A1341" s="32" t="n">
        <v>3330</v>
      </c>
      <c r="B1341" s="32" t="s">
        <v>1185</v>
      </c>
      <c r="C1341" s="32" t="s">
        <v>1186</v>
      </c>
      <c r="D1341" s="32" t="s">
        <v>102</v>
      </c>
      <c r="E1341" s="32" t="s">
        <v>767</v>
      </c>
      <c r="F1341" s="32" t="n">
        <v>9831774272</v>
      </c>
      <c r="G1341" s="32" t="s">
        <v>80</v>
      </c>
      <c r="H1341" s="32" t="s">
        <v>21</v>
      </c>
      <c r="I1341" s="32" t="s">
        <v>265</v>
      </c>
      <c r="J1341" s="32" t="s">
        <v>152</v>
      </c>
      <c r="K1341" s="32" t="s">
        <v>63</v>
      </c>
    </row>
    <row r="1342" customFormat="false" ht="13.5" hidden="false" customHeight="true" outlineLevel="0" collapsed="false">
      <c r="A1342" s="32" t="n">
        <v>3332</v>
      </c>
      <c r="B1342" s="32" t="s">
        <v>1185</v>
      </c>
      <c r="C1342" s="32" t="s">
        <v>1186</v>
      </c>
      <c r="D1342" s="32" t="s">
        <v>102</v>
      </c>
      <c r="E1342" s="32" t="s">
        <v>767</v>
      </c>
      <c r="F1342" s="32" t="n">
        <v>9831774272</v>
      </c>
      <c r="G1342" s="32" t="s">
        <v>80</v>
      </c>
      <c r="H1342" s="32" t="s">
        <v>21</v>
      </c>
      <c r="I1342" s="32" t="s">
        <v>1187</v>
      </c>
      <c r="J1342" s="32" t="s">
        <v>71</v>
      </c>
      <c r="K1342" s="32" t="s">
        <v>63</v>
      </c>
    </row>
    <row r="1343" customFormat="false" ht="13.5" hidden="false" customHeight="true" outlineLevel="0" collapsed="false">
      <c r="A1343" s="32" t="n">
        <v>3334</v>
      </c>
      <c r="B1343" s="32" t="s">
        <v>1185</v>
      </c>
      <c r="C1343" s="32" t="s">
        <v>1186</v>
      </c>
      <c r="D1343" s="32" t="s">
        <v>102</v>
      </c>
      <c r="E1343" s="32" t="s">
        <v>767</v>
      </c>
      <c r="F1343" s="32" t="n">
        <v>9831774272</v>
      </c>
      <c r="G1343" s="32" t="s">
        <v>80</v>
      </c>
      <c r="H1343" s="32" t="s">
        <v>21</v>
      </c>
      <c r="I1343" s="32" t="s">
        <v>1188</v>
      </c>
      <c r="J1343" s="32" t="s">
        <v>84</v>
      </c>
      <c r="K1343" s="32" t="s">
        <v>63</v>
      </c>
    </row>
    <row r="1344" customFormat="false" ht="13.5" hidden="false" customHeight="true" outlineLevel="0" collapsed="false">
      <c r="A1344" s="32" t="n">
        <v>3335</v>
      </c>
      <c r="B1344" s="32" t="s">
        <v>1185</v>
      </c>
      <c r="C1344" s="32" t="s">
        <v>1186</v>
      </c>
      <c r="D1344" s="32" t="s">
        <v>102</v>
      </c>
      <c r="E1344" s="32" t="s">
        <v>767</v>
      </c>
      <c r="F1344" s="32" t="n">
        <v>9831774272</v>
      </c>
      <c r="G1344" s="32" t="s">
        <v>80</v>
      </c>
      <c r="H1344" s="32" t="s">
        <v>21</v>
      </c>
      <c r="I1344" s="32" t="s">
        <v>76</v>
      </c>
      <c r="J1344" s="32" t="s">
        <v>76</v>
      </c>
      <c r="K1344" s="32" t="s">
        <v>63</v>
      </c>
    </row>
    <row r="1345" customFormat="false" ht="13.5" hidden="false" customHeight="true" outlineLevel="0" collapsed="false">
      <c r="A1345" s="32" t="n">
        <v>3336</v>
      </c>
      <c r="B1345" s="32" t="s">
        <v>1189</v>
      </c>
      <c r="C1345" s="32" t="s">
        <v>1190</v>
      </c>
      <c r="D1345" s="32" t="s">
        <v>331</v>
      </c>
      <c r="E1345" s="32" t="s">
        <v>278</v>
      </c>
      <c r="F1345" s="33" t="n">
        <v>917681000000</v>
      </c>
      <c r="G1345" s="32" t="s">
        <v>80</v>
      </c>
      <c r="H1345" s="32" t="s">
        <v>332</v>
      </c>
      <c r="I1345" s="32" t="s">
        <v>145</v>
      </c>
      <c r="J1345" s="32" t="s">
        <v>117</v>
      </c>
      <c r="K1345" s="32" t="s">
        <v>63</v>
      </c>
    </row>
    <row r="1346" customFormat="false" ht="13.5" hidden="false" customHeight="true" outlineLevel="0" collapsed="false">
      <c r="A1346" s="32" t="n">
        <v>3337</v>
      </c>
      <c r="B1346" s="32" t="s">
        <v>1191</v>
      </c>
      <c r="C1346" s="32" t="s">
        <v>1192</v>
      </c>
      <c r="D1346" s="32" t="s">
        <v>59</v>
      </c>
      <c r="E1346" s="32" t="s">
        <v>107</v>
      </c>
      <c r="F1346" s="32" t="n">
        <v>9971040368</v>
      </c>
      <c r="G1346" s="32" t="s">
        <v>144</v>
      </c>
      <c r="H1346" s="32" t="s">
        <v>21</v>
      </c>
      <c r="I1346" s="32" t="s">
        <v>27</v>
      </c>
      <c r="J1346" s="32" t="s">
        <v>13</v>
      </c>
      <c r="K1346" s="32" t="s">
        <v>63</v>
      </c>
    </row>
    <row r="1347" customFormat="false" ht="13.5" hidden="false" customHeight="true" outlineLevel="0" collapsed="false">
      <c r="A1347" s="32" t="n">
        <v>3338</v>
      </c>
      <c r="B1347" s="32" t="s">
        <v>1191</v>
      </c>
      <c r="C1347" s="32" t="s">
        <v>1192</v>
      </c>
      <c r="D1347" s="32" t="s">
        <v>59</v>
      </c>
      <c r="E1347" s="32" t="s">
        <v>107</v>
      </c>
      <c r="F1347" s="32" t="n">
        <v>9971040368</v>
      </c>
      <c r="G1347" s="32" t="s">
        <v>144</v>
      </c>
      <c r="H1347" s="32" t="s">
        <v>21</v>
      </c>
      <c r="I1347" s="32" t="s">
        <v>16</v>
      </c>
      <c r="J1347" s="32" t="s">
        <v>73</v>
      </c>
      <c r="K1347" s="32" t="s">
        <v>63</v>
      </c>
    </row>
    <row r="1348" customFormat="false" ht="13.5" hidden="false" customHeight="true" outlineLevel="0" collapsed="false">
      <c r="A1348" s="32" t="n">
        <v>3339</v>
      </c>
      <c r="B1348" s="32" t="s">
        <v>1191</v>
      </c>
      <c r="C1348" s="32" t="s">
        <v>1192</v>
      </c>
      <c r="D1348" s="32" t="s">
        <v>59</v>
      </c>
      <c r="E1348" s="32" t="s">
        <v>107</v>
      </c>
      <c r="F1348" s="32" t="n">
        <v>9971040368</v>
      </c>
      <c r="G1348" s="32" t="s">
        <v>144</v>
      </c>
      <c r="H1348" s="32" t="s">
        <v>21</v>
      </c>
      <c r="I1348" s="32" t="s">
        <v>371</v>
      </c>
      <c r="J1348" s="32" t="s">
        <v>152</v>
      </c>
      <c r="K1348" s="32" t="s">
        <v>63</v>
      </c>
    </row>
    <row r="1349" customFormat="false" ht="13.5" hidden="false" customHeight="true" outlineLevel="0" collapsed="false">
      <c r="A1349" s="32" t="n">
        <v>3340</v>
      </c>
      <c r="B1349" s="32" t="s">
        <v>1193</v>
      </c>
      <c r="C1349" s="32" t="s">
        <v>1194</v>
      </c>
      <c r="D1349" s="32" t="s">
        <v>59</v>
      </c>
      <c r="E1349" s="32" t="s">
        <v>107</v>
      </c>
      <c r="F1349" s="32" t="n">
        <v>8125831577</v>
      </c>
      <c r="G1349" s="32" t="s">
        <v>80</v>
      </c>
      <c r="H1349" s="32" t="s">
        <v>21</v>
      </c>
      <c r="I1349" s="32" t="s">
        <v>76</v>
      </c>
      <c r="J1349" s="32" t="s">
        <v>76</v>
      </c>
      <c r="K1349" s="32" t="s">
        <v>63</v>
      </c>
    </row>
    <row r="1350" customFormat="false" ht="13.5" hidden="false" customHeight="true" outlineLevel="0" collapsed="false">
      <c r="A1350" s="32" t="n">
        <v>3341</v>
      </c>
      <c r="B1350" s="32" t="s">
        <v>1193</v>
      </c>
      <c r="C1350" s="32" t="s">
        <v>1195</v>
      </c>
      <c r="D1350" s="32" t="s">
        <v>59</v>
      </c>
      <c r="E1350" s="32" t="s">
        <v>107</v>
      </c>
      <c r="F1350" s="32" t="n">
        <v>8125831577</v>
      </c>
      <c r="G1350" s="32" t="s">
        <v>80</v>
      </c>
      <c r="H1350" s="32" t="s">
        <v>21</v>
      </c>
      <c r="I1350" s="32" t="s">
        <v>27</v>
      </c>
      <c r="J1350" s="32" t="s">
        <v>13</v>
      </c>
      <c r="K1350" s="32" t="s">
        <v>63</v>
      </c>
    </row>
    <row r="1351" customFormat="false" ht="13.5" hidden="false" customHeight="true" outlineLevel="0" collapsed="false">
      <c r="A1351" s="32" t="n">
        <v>3344</v>
      </c>
      <c r="B1351" s="32" t="s">
        <v>1193</v>
      </c>
      <c r="C1351" s="32" t="s">
        <v>1195</v>
      </c>
      <c r="D1351" s="32" t="s">
        <v>59</v>
      </c>
      <c r="E1351" s="32" t="s">
        <v>107</v>
      </c>
      <c r="F1351" s="32" t="n">
        <v>8125831577</v>
      </c>
      <c r="G1351" s="32" t="s">
        <v>80</v>
      </c>
      <c r="H1351" s="32" t="s">
        <v>21</v>
      </c>
      <c r="I1351" s="32" t="s">
        <v>111</v>
      </c>
      <c r="J1351" s="32" t="s">
        <v>73</v>
      </c>
      <c r="K1351" s="32" t="s">
        <v>63</v>
      </c>
    </row>
    <row r="1352" customFormat="false" ht="13.5" hidden="false" customHeight="true" outlineLevel="0" collapsed="false">
      <c r="A1352" s="32" t="n">
        <v>3346</v>
      </c>
      <c r="B1352" s="32" t="s">
        <v>1193</v>
      </c>
      <c r="C1352" s="32" t="s">
        <v>1195</v>
      </c>
      <c r="D1352" s="32" t="s">
        <v>59</v>
      </c>
      <c r="E1352" s="32" t="s">
        <v>107</v>
      </c>
      <c r="F1352" s="32" t="n">
        <v>8125831577</v>
      </c>
      <c r="G1352" s="32" t="s">
        <v>80</v>
      </c>
      <c r="H1352" s="32" t="s">
        <v>21</v>
      </c>
      <c r="I1352" s="32" t="s">
        <v>280</v>
      </c>
      <c r="J1352" s="32" t="s">
        <v>76</v>
      </c>
      <c r="K1352" s="32" t="s">
        <v>63</v>
      </c>
    </row>
    <row r="1353" customFormat="false" ht="13.5" hidden="false" customHeight="true" outlineLevel="0" collapsed="false">
      <c r="A1353" s="32" t="n">
        <v>3347</v>
      </c>
      <c r="B1353" s="32" t="s">
        <v>1196</v>
      </c>
      <c r="C1353" s="32" t="s">
        <v>1197</v>
      </c>
      <c r="D1353" s="32" t="s">
        <v>331</v>
      </c>
      <c r="E1353" s="32" t="s">
        <v>366</v>
      </c>
      <c r="F1353" s="33" t="n">
        <v>919969000000</v>
      </c>
      <c r="G1353" s="32" t="s">
        <v>104</v>
      </c>
      <c r="H1353" s="32" t="s">
        <v>332</v>
      </c>
      <c r="I1353" s="32" t="s">
        <v>30</v>
      </c>
      <c r="J1353" s="32" t="s">
        <v>203</v>
      </c>
      <c r="K1353" s="32" t="s">
        <v>63</v>
      </c>
    </row>
    <row r="1354" customFormat="false" ht="13.5" hidden="false" customHeight="true" outlineLevel="0" collapsed="false">
      <c r="A1354" s="32" t="n">
        <v>3348</v>
      </c>
      <c r="B1354" s="32" t="s">
        <v>1196</v>
      </c>
      <c r="C1354" s="32" t="s">
        <v>1197</v>
      </c>
      <c r="D1354" s="32" t="s">
        <v>331</v>
      </c>
      <c r="E1354" s="32" t="s">
        <v>366</v>
      </c>
      <c r="F1354" s="33" t="n">
        <v>919969000000</v>
      </c>
      <c r="G1354" s="32" t="s">
        <v>104</v>
      </c>
      <c r="H1354" s="32" t="s">
        <v>332</v>
      </c>
      <c r="I1354" s="32" t="s">
        <v>151</v>
      </c>
      <c r="J1354" s="32" t="s">
        <v>152</v>
      </c>
      <c r="K1354" s="32" t="s">
        <v>63</v>
      </c>
    </row>
    <row r="1355" customFormat="false" ht="13.5" hidden="false" customHeight="true" outlineLevel="0" collapsed="false">
      <c r="A1355" s="32" t="n">
        <v>3349</v>
      </c>
      <c r="B1355" s="32" t="s">
        <v>1198</v>
      </c>
      <c r="C1355" s="32" t="s">
        <v>1199</v>
      </c>
      <c r="D1355" s="32" t="s">
        <v>114</v>
      </c>
      <c r="E1355" s="32" t="s">
        <v>124</v>
      </c>
      <c r="F1355" s="33" t="n">
        <v>920000000000</v>
      </c>
      <c r="G1355" s="32" t="s">
        <v>144</v>
      </c>
      <c r="H1355" s="32" t="s">
        <v>22</v>
      </c>
      <c r="I1355" s="32" t="s">
        <v>185</v>
      </c>
      <c r="J1355" s="32" t="s">
        <v>186</v>
      </c>
      <c r="K1355" s="32" t="s">
        <v>63</v>
      </c>
    </row>
    <row r="1356" customFormat="false" ht="13.5" hidden="false" customHeight="true" outlineLevel="0" collapsed="false">
      <c r="A1356" s="32" t="n">
        <v>3350</v>
      </c>
      <c r="B1356" s="32" t="s">
        <v>1198</v>
      </c>
      <c r="C1356" s="32" t="s">
        <v>1199</v>
      </c>
      <c r="D1356" s="32" t="s">
        <v>114</v>
      </c>
      <c r="E1356" s="32" t="s">
        <v>124</v>
      </c>
      <c r="F1356" s="33" t="n">
        <v>920000000000</v>
      </c>
      <c r="G1356" s="32" t="s">
        <v>144</v>
      </c>
      <c r="H1356" s="32" t="s">
        <v>22</v>
      </c>
      <c r="I1356" s="32" t="s">
        <v>226</v>
      </c>
      <c r="J1356" s="32" t="s">
        <v>110</v>
      </c>
      <c r="K1356" s="32" t="s">
        <v>63</v>
      </c>
    </row>
    <row r="1357" customFormat="false" ht="13.5" hidden="false" customHeight="true" outlineLevel="0" collapsed="false">
      <c r="A1357" s="32" t="n">
        <v>3352</v>
      </c>
      <c r="B1357" s="32" t="s">
        <v>1198</v>
      </c>
      <c r="C1357" s="32" t="s">
        <v>1199</v>
      </c>
      <c r="D1357" s="32" t="s">
        <v>114</v>
      </c>
      <c r="E1357" s="32" t="s">
        <v>124</v>
      </c>
      <c r="F1357" s="33" t="n">
        <v>920000000000</v>
      </c>
      <c r="G1357" s="32" t="s">
        <v>144</v>
      </c>
      <c r="H1357" s="32" t="s">
        <v>22</v>
      </c>
      <c r="I1357" s="32" t="s">
        <v>120</v>
      </c>
      <c r="J1357" s="32" t="s">
        <v>110</v>
      </c>
      <c r="K1357" s="32" t="s">
        <v>63</v>
      </c>
    </row>
    <row r="1358" customFormat="false" ht="13.5" hidden="false" customHeight="true" outlineLevel="0" collapsed="false">
      <c r="A1358" s="32" t="n">
        <v>3353</v>
      </c>
      <c r="B1358" s="32" t="s">
        <v>1198</v>
      </c>
      <c r="C1358" s="32" t="s">
        <v>1199</v>
      </c>
      <c r="D1358" s="32" t="s">
        <v>114</v>
      </c>
      <c r="E1358" s="32" t="s">
        <v>124</v>
      </c>
      <c r="F1358" s="33" t="n">
        <v>920000000000</v>
      </c>
      <c r="G1358" s="32" t="s">
        <v>144</v>
      </c>
      <c r="H1358" s="32" t="s">
        <v>22</v>
      </c>
      <c r="I1358" s="32" t="s">
        <v>549</v>
      </c>
      <c r="J1358" s="32" t="s">
        <v>110</v>
      </c>
      <c r="K1358" s="32" t="s">
        <v>63</v>
      </c>
    </row>
    <row r="1359" customFormat="false" ht="13.5" hidden="false" customHeight="true" outlineLevel="0" collapsed="false">
      <c r="A1359" s="32" t="n">
        <v>3354</v>
      </c>
      <c r="B1359" s="32" t="s">
        <v>1198</v>
      </c>
      <c r="C1359" s="32" t="s">
        <v>1199</v>
      </c>
      <c r="D1359" s="32" t="s">
        <v>114</v>
      </c>
      <c r="E1359" s="32" t="s">
        <v>124</v>
      </c>
      <c r="F1359" s="32" t="n">
        <v>9999577078</v>
      </c>
      <c r="G1359" s="32" t="s">
        <v>144</v>
      </c>
      <c r="H1359" s="32" t="s">
        <v>22</v>
      </c>
      <c r="I1359" s="32" t="s">
        <v>227</v>
      </c>
      <c r="J1359" s="32" t="s">
        <v>228</v>
      </c>
      <c r="K1359" s="32" t="s">
        <v>63</v>
      </c>
    </row>
    <row r="1360" customFormat="false" ht="13.5" hidden="false" customHeight="true" outlineLevel="0" collapsed="false">
      <c r="A1360" s="32" t="n">
        <v>3355</v>
      </c>
      <c r="B1360" s="32" t="s">
        <v>1200</v>
      </c>
      <c r="C1360" s="32" t="s">
        <v>1201</v>
      </c>
      <c r="D1360" s="32" t="s">
        <v>331</v>
      </c>
      <c r="E1360" s="32" t="s">
        <v>278</v>
      </c>
      <c r="F1360" s="33" t="n">
        <v>919920000000</v>
      </c>
      <c r="G1360" s="32" t="s">
        <v>104</v>
      </c>
      <c r="H1360" s="32" t="s">
        <v>332</v>
      </c>
      <c r="I1360" s="32" t="s">
        <v>149</v>
      </c>
      <c r="J1360" s="32" t="s">
        <v>73</v>
      </c>
      <c r="K1360" s="32" t="s">
        <v>63</v>
      </c>
    </row>
    <row r="1361" customFormat="false" ht="13.5" hidden="false" customHeight="true" outlineLevel="0" collapsed="false">
      <c r="A1361" s="32" t="n">
        <v>3356</v>
      </c>
      <c r="B1361" s="32" t="s">
        <v>1200</v>
      </c>
      <c r="C1361" s="32" t="s">
        <v>1201</v>
      </c>
      <c r="D1361" s="32" t="s">
        <v>331</v>
      </c>
      <c r="E1361" s="32" t="s">
        <v>278</v>
      </c>
      <c r="F1361" s="33" t="n">
        <v>919920000000</v>
      </c>
      <c r="G1361" s="32" t="s">
        <v>104</v>
      </c>
      <c r="H1361" s="32" t="s">
        <v>332</v>
      </c>
      <c r="I1361" s="32" t="s">
        <v>145</v>
      </c>
      <c r="J1361" s="32" t="s">
        <v>117</v>
      </c>
      <c r="K1361" s="32" t="s">
        <v>63</v>
      </c>
    </row>
    <row r="1362" customFormat="false" ht="13.5" hidden="false" customHeight="true" outlineLevel="0" collapsed="false">
      <c r="A1362" s="32" t="n">
        <v>3357</v>
      </c>
      <c r="B1362" s="32" t="s">
        <v>1200</v>
      </c>
      <c r="C1362" s="32" t="s">
        <v>1201</v>
      </c>
      <c r="D1362" s="32" t="s">
        <v>331</v>
      </c>
      <c r="E1362" s="32" t="s">
        <v>278</v>
      </c>
      <c r="F1362" s="33" t="n">
        <v>919920000000</v>
      </c>
      <c r="G1362" s="32" t="s">
        <v>104</v>
      </c>
      <c r="H1362" s="32" t="s">
        <v>332</v>
      </c>
      <c r="I1362" s="32" t="s">
        <v>98</v>
      </c>
      <c r="J1362" s="32" t="s">
        <v>99</v>
      </c>
      <c r="K1362" s="32" t="s">
        <v>63</v>
      </c>
    </row>
    <row r="1363" customFormat="false" ht="13.5" hidden="false" customHeight="true" outlineLevel="0" collapsed="false">
      <c r="A1363" s="32" t="n">
        <v>3358</v>
      </c>
      <c r="B1363" s="32" t="s">
        <v>1200</v>
      </c>
      <c r="C1363" s="32" t="s">
        <v>1201</v>
      </c>
      <c r="D1363" s="32" t="s">
        <v>331</v>
      </c>
      <c r="E1363" s="32" t="s">
        <v>278</v>
      </c>
      <c r="F1363" s="33" t="n">
        <v>919920000000</v>
      </c>
      <c r="G1363" s="32" t="s">
        <v>104</v>
      </c>
      <c r="H1363" s="32" t="s">
        <v>332</v>
      </c>
      <c r="I1363" s="32" t="s">
        <v>251</v>
      </c>
      <c r="J1363" s="32" t="s">
        <v>152</v>
      </c>
      <c r="K1363" s="32" t="s">
        <v>63</v>
      </c>
    </row>
    <row r="1364" customFormat="false" ht="13.5" hidden="false" customHeight="true" outlineLevel="0" collapsed="false">
      <c r="A1364" s="32" t="n">
        <v>3359</v>
      </c>
      <c r="B1364" s="32" t="s">
        <v>1200</v>
      </c>
      <c r="C1364" s="32" t="s">
        <v>1201</v>
      </c>
      <c r="D1364" s="32" t="s">
        <v>331</v>
      </c>
      <c r="E1364" s="32" t="s">
        <v>278</v>
      </c>
      <c r="F1364" s="33" t="n">
        <v>919920000000</v>
      </c>
      <c r="G1364" s="32" t="s">
        <v>104</v>
      </c>
      <c r="H1364" s="32" t="s">
        <v>332</v>
      </c>
      <c r="I1364" s="32" t="s">
        <v>172</v>
      </c>
      <c r="J1364" s="32" t="s">
        <v>152</v>
      </c>
      <c r="K1364" s="32" t="s">
        <v>63</v>
      </c>
    </row>
    <row r="1365" customFormat="false" ht="13.5" hidden="false" customHeight="true" outlineLevel="0" collapsed="false">
      <c r="A1365" s="32" t="n">
        <v>3360</v>
      </c>
      <c r="B1365" s="32" t="s">
        <v>1202</v>
      </c>
      <c r="C1365" s="32" t="s">
        <v>1203</v>
      </c>
      <c r="D1365" s="32" t="s">
        <v>59</v>
      </c>
      <c r="E1365" s="32" t="s">
        <v>107</v>
      </c>
      <c r="F1365" s="32" t="n">
        <v>8553759234</v>
      </c>
      <c r="G1365" s="32" t="s">
        <v>144</v>
      </c>
      <c r="H1365" s="32" t="s">
        <v>21</v>
      </c>
      <c r="I1365" s="32" t="s">
        <v>76</v>
      </c>
      <c r="J1365" s="32" t="s">
        <v>76</v>
      </c>
      <c r="K1365" s="32" t="s">
        <v>63</v>
      </c>
    </row>
    <row r="1366" customFormat="false" ht="13.5" hidden="false" customHeight="true" outlineLevel="0" collapsed="false">
      <c r="A1366" s="32" t="n">
        <v>3361</v>
      </c>
      <c r="B1366" s="32" t="s">
        <v>1204</v>
      </c>
      <c r="C1366" s="32" t="s">
        <v>1205</v>
      </c>
      <c r="D1366" s="32" t="s">
        <v>102</v>
      </c>
      <c r="E1366" s="32" t="s">
        <v>60</v>
      </c>
      <c r="F1366" s="32" t="n">
        <v>9044798331</v>
      </c>
      <c r="G1366" s="32" t="s">
        <v>69</v>
      </c>
      <c r="H1366" s="32" t="s">
        <v>21</v>
      </c>
      <c r="I1366" s="32" t="s">
        <v>421</v>
      </c>
      <c r="J1366" s="32" t="s">
        <v>235</v>
      </c>
      <c r="K1366" s="32" t="s">
        <v>63</v>
      </c>
    </row>
    <row r="1367" customFormat="false" ht="13.5" hidden="false" customHeight="true" outlineLevel="0" collapsed="false">
      <c r="A1367" s="32" t="n">
        <v>3362</v>
      </c>
      <c r="B1367" s="32" t="s">
        <v>1206</v>
      </c>
      <c r="C1367" s="32" t="s">
        <v>1207</v>
      </c>
      <c r="D1367" s="32" t="s">
        <v>114</v>
      </c>
      <c r="E1367" s="32" t="s">
        <v>165</v>
      </c>
      <c r="F1367" s="32" t="n">
        <v>8802290189</v>
      </c>
      <c r="G1367" s="32" t="s">
        <v>80</v>
      </c>
      <c r="H1367" s="32" t="s">
        <v>22</v>
      </c>
      <c r="I1367" s="32" t="s">
        <v>150</v>
      </c>
      <c r="J1367" s="32" t="s">
        <v>73</v>
      </c>
      <c r="K1367" s="32" t="s">
        <v>63</v>
      </c>
    </row>
    <row r="1368" customFormat="false" ht="13.5" hidden="false" customHeight="true" outlineLevel="0" collapsed="false">
      <c r="A1368" s="32" t="n">
        <v>3364</v>
      </c>
      <c r="B1368" s="32" t="s">
        <v>1206</v>
      </c>
      <c r="C1368" s="32" t="s">
        <v>1208</v>
      </c>
      <c r="D1368" s="32" t="s">
        <v>114</v>
      </c>
      <c r="E1368" s="32" t="s">
        <v>165</v>
      </c>
      <c r="F1368" s="32" t="n">
        <v>8802290189</v>
      </c>
      <c r="G1368" s="32" t="s">
        <v>80</v>
      </c>
      <c r="H1368" s="32" t="s">
        <v>22</v>
      </c>
      <c r="I1368" s="32" t="s">
        <v>108</v>
      </c>
      <c r="J1368" s="32" t="s">
        <v>71</v>
      </c>
      <c r="K1368" s="32" t="s">
        <v>63</v>
      </c>
    </row>
    <row r="1369" customFormat="false" ht="13.5" hidden="false" customHeight="true" outlineLevel="0" collapsed="false">
      <c r="A1369" s="32" t="n">
        <v>3365</v>
      </c>
      <c r="B1369" s="32" t="s">
        <v>1206</v>
      </c>
      <c r="C1369" s="32" t="s">
        <v>1208</v>
      </c>
      <c r="D1369" s="32" t="s">
        <v>114</v>
      </c>
      <c r="E1369" s="32" t="s">
        <v>165</v>
      </c>
      <c r="F1369" s="32" t="n">
        <v>8802290189</v>
      </c>
      <c r="G1369" s="32" t="s">
        <v>80</v>
      </c>
      <c r="H1369" s="32" t="s">
        <v>22</v>
      </c>
      <c r="I1369" s="32" t="s">
        <v>393</v>
      </c>
      <c r="J1369" s="32" t="s">
        <v>73</v>
      </c>
      <c r="K1369" s="32" t="s">
        <v>63</v>
      </c>
    </row>
    <row r="1370" customFormat="false" ht="13.5" hidden="false" customHeight="true" outlineLevel="0" collapsed="false">
      <c r="A1370" s="32" t="n">
        <v>3366</v>
      </c>
      <c r="B1370" s="32" t="s">
        <v>1206</v>
      </c>
      <c r="C1370" s="32" t="s">
        <v>1208</v>
      </c>
      <c r="D1370" s="32" t="s">
        <v>114</v>
      </c>
      <c r="E1370" s="32" t="s">
        <v>165</v>
      </c>
      <c r="F1370" s="32" t="n">
        <v>8802290189</v>
      </c>
      <c r="G1370" s="32" t="s">
        <v>80</v>
      </c>
      <c r="H1370" s="32" t="s">
        <v>22</v>
      </c>
      <c r="I1370" s="32" t="s">
        <v>111</v>
      </c>
      <c r="J1370" s="32" t="s">
        <v>73</v>
      </c>
      <c r="K1370" s="32" t="s">
        <v>63</v>
      </c>
    </row>
    <row r="1371" customFormat="false" ht="13.5" hidden="false" customHeight="true" outlineLevel="0" collapsed="false">
      <c r="A1371" s="32" t="n">
        <v>3367</v>
      </c>
      <c r="B1371" s="32" t="s">
        <v>1209</v>
      </c>
      <c r="C1371" s="32" t="s">
        <v>1210</v>
      </c>
      <c r="D1371" s="32" t="s">
        <v>102</v>
      </c>
      <c r="E1371" s="32" t="s">
        <v>155</v>
      </c>
      <c r="F1371" s="33" t="n">
        <v>917072000000</v>
      </c>
      <c r="G1371" s="32" t="s">
        <v>61</v>
      </c>
      <c r="H1371" s="32" t="s">
        <v>21</v>
      </c>
      <c r="I1371" s="32" t="s">
        <v>156</v>
      </c>
      <c r="J1371" s="32" t="s">
        <v>62</v>
      </c>
      <c r="K1371" s="32" t="s">
        <v>63</v>
      </c>
    </row>
    <row r="1372" customFormat="false" ht="13.5" hidden="false" customHeight="true" outlineLevel="0" collapsed="false">
      <c r="A1372" s="32" t="n">
        <v>3368</v>
      </c>
      <c r="B1372" s="32" t="s">
        <v>1209</v>
      </c>
      <c r="C1372" s="32" t="s">
        <v>1210</v>
      </c>
      <c r="D1372" s="32" t="s">
        <v>102</v>
      </c>
      <c r="E1372" s="32" t="s">
        <v>155</v>
      </c>
      <c r="F1372" s="33" t="n">
        <v>917072000000</v>
      </c>
      <c r="G1372" s="32" t="s">
        <v>61</v>
      </c>
      <c r="H1372" s="32" t="s">
        <v>21</v>
      </c>
      <c r="I1372" s="32" t="s">
        <v>29</v>
      </c>
      <c r="J1372" s="32" t="s">
        <v>62</v>
      </c>
      <c r="K1372" s="32" t="s">
        <v>63</v>
      </c>
    </row>
    <row r="1373" customFormat="false" ht="13.5" hidden="false" customHeight="true" outlineLevel="0" collapsed="false">
      <c r="A1373" s="32" t="n">
        <v>3369</v>
      </c>
      <c r="B1373" s="32" t="s">
        <v>1209</v>
      </c>
      <c r="C1373" s="32" t="s">
        <v>1210</v>
      </c>
      <c r="D1373" s="32" t="s">
        <v>102</v>
      </c>
      <c r="E1373" s="32" t="s">
        <v>155</v>
      </c>
      <c r="F1373" s="33" t="n">
        <v>917072000000</v>
      </c>
      <c r="G1373" s="32" t="s">
        <v>61</v>
      </c>
      <c r="H1373" s="32" t="s">
        <v>21</v>
      </c>
      <c r="I1373" s="32" t="s">
        <v>14</v>
      </c>
      <c r="J1373" s="32" t="s">
        <v>66</v>
      </c>
      <c r="K1373" s="32" t="s">
        <v>63</v>
      </c>
    </row>
    <row r="1374" customFormat="false" ht="13.5" hidden="false" customHeight="true" outlineLevel="0" collapsed="false">
      <c r="A1374" s="32" t="n">
        <v>3370</v>
      </c>
      <c r="B1374" s="32" t="s">
        <v>1211</v>
      </c>
      <c r="C1374" s="32" t="s">
        <v>1212</v>
      </c>
      <c r="D1374" s="32" t="s">
        <v>114</v>
      </c>
      <c r="E1374" s="32" t="s">
        <v>124</v>
      </c>
      <c r="F1374" s="33" t="n">
        <v>919959000000</v>
      </c>
      <c r="G1374" s="32" t="s">
        <v>144</v>
      </c>
      <c r="H1374" s="32" t="s">
        <v>22</v>
      </c>
      <c r="I1374" s="32" t="s">
        <v>227</v>
      </c>
      <c r="J1374" s="32" t="s">
        <v>228</v>
      </c>
      <c r="K1374" s="32" t="s">
        <v>63</v>
      </c>
    </row>
    <row r="1375" customFormat="false" ht="13.5" hidden="false" customHeight="true" outlineLevel="0" collapsed="false">
      <c r="A1375" s="32" t="n">
        <v>3371</v>
      </c>
      <c r="B1375" s="32" t="s">
        <v>1211</v>
      </c>
      <c r="C1375" s="32" t="s">
        <v>1213</v>
      </c>
      <c r="D1375" s="32" t="s">
        <v>114</v>
      </c>
      <c r="E1375" s="32" t="s">
        <v>124</v>
      </c>
      <c r="F1375" s="33" t="n">
        <v>919959000000</v>
      </c>
      <c r="G1375" s="32" t="s">
        <v>144</v>
      </c>
      <c r="H1375" s="32" t="s">
        <v>22</v>
      </c>
      <c r="I1375" s="32" t="s">
        <v>231</v>
      </c>
      <c r="J1375" s="32" t="s">
        <v>228</v>
      </c>
      <c r="K1375" s="32" t="s">
        <v>63</v>
      </c>
    </row>
    <row r="1376" customFormat="false" ht="13.5" hidden="false" customHeight="true" outlineLevel="0" collapsed="false">
      <c r="A1376" s="32" t="n">
        <v>3373</v>
      </c>
      <c r="B1376" s="32" t="s">
        <v>1211</v>
      </c>
      <c r="C1376" s="32" t="s">
        <v>1213</v>
      </c>
      <c r="D1376" s="32" t="s">
        <v>114</v>
      </c>
      <c r="E1376" s="32" t="s">
        <v>124</v>
      </c>
      <c r="F1376" s="33" t="n">
        <v>919959000000</v>
      </c>
      <c r="G1376" s="32" t="s">
        <v>144</v>
      </c>
      <c r="H1376" s="32" t="s">
        <v>22</v>
      </c>
      <c r="I1376" s="32" t="s">
        <v>185</v>
      </c>
      <c r="J1376" s="32" t="s">
        <v>186</v>
      </c>
      <c r="K1376" s="32" t="s">
        <v>63</v>
      </c>
    </row>
    <row r="1377" customFormat="false" ht="13.5" hidden="false" customHeight="true" outlineLevel="0" collapsed="false">
      <c r="A1377" s="32" t="n">
        <v>3374</v>
      </c>
      <c r="B1377" s="32" t="s">
        <v>1211</v>
      </c>
      <c r="C1377" s="32" t="s">
        <v>1213</v>
      </c>
      <c r="D1377" s="32" t="s">
        <v>114</v>
      </c>
      <c r="E1377" s="32" t="s">
        <v>124</v>
      </c>
      <c r="F1377" s="33" t="n">
        <v>919959000000</v>
      </c>
      <c r="G1377" s="32" t="s">
        <v>144</v>
      </c>
      <c r="H1377" s="32" t="s">
        <v>22</v>
      </c>
      <c r="I1377" s="32" t="s">
        <v>226</v>
      </c>
      <c r="J1377" s="32" t="s">
        <v>110</v>
      </c>
      <c r="K1377" s="32" t="s">
        <v>63</v>
      </c>
    </row>
    <row r="1378" customFormat="false" ht="13.5" hidden="false" customHeight="true" outlineLevel="0" collapsed="false">
      <c r="A1378" s="32" t="n">
        <v>3375</v>
      </c>
      <c r="B1378" s="32" t="s">
        <v>1214</v>
      </c>
      <c r="C1378" s="32" t="s">
        <v>1215</v>
      </c>
      <c r="D1378" s="32" t="s">
        <v>59</v>
      </c>
      <c r="E1378" s="32" t="s">
        <v>107</v>
      </c>
      <c r="F1378" s="32" t="n">
        <v>0</v>
      </c>
      <c r="G1378" s="32" t="s">
        <v>80</v>
      </c>
      <c r="H1378" s="32" t="s">
        <v>21</v>
      </c>
      <c r="I1378" s="32" t="s">
        <v>27</v>
      </c>
      <c r="J1378" s="32" t="s">
        <v>13</v>
      </c>
      <c r="K1378" s="32" t="s">
        <v>63</v>
      </c>
    </row>
    <row r="1379" customFormat="false" ht="13.5" hidden="false" customHeight="true" outlineLevel="0" collapsed="false">
      <c r="A1379" s="32" t="n">
        <v>3376</v>
      </c>
      <c r="B1379" s="32" t="s">
        <v>1214</v>
      </c>
      <c r="C1379" s="32" t="s">
        <v>1215</v>
      </c>
      <c r="D1379" s="32" t="s">
        <v>59</v>
      </c>
      <c r="E1379" s="32" t="s">
        <v>107</v>
      </c>
      <c r="F1379" s="32" t="n">
        <v>0</v>
      </c>
      <c r="G1379" s="32" t="s">
        <v>80</v>
      </c>
      <c r="H1379" s="32" t="s">
        <v>21</v>
      </c>
      <c r="I1379" s="32" t="s">
        <v>109</v>
      </c>
      <c r="J1379" s="32" t="s">
        <v>110</v>
      </c>
      <c r="K1379" s="32" t="s">
        <v>63</v>
      </c>
    </row>
    <row r="1380" customFormat="false" ht="13.5" hidden="false" customHeight="true" outlineLevel="0" collapsed="false">
      <c r="A1380" s="32" t="n">
        <v>3378</v>
      </c>
      <c r="B1380" s="32" t="s">
        <v>1214</v>
      </c>
      <c r="C1380" s="32" t="s">
        <v>1215</v>
      </c>
      <c r="D1380" s="32" t="s">
        <v>59</v>
      </c>
      <c r="E1380" s="32" t="s">
        <v>107</v>
      </c>
      <c r="F1380" s="32" t="n">
        <v>0</v>
      </c>
      <c r="G1380" s="32" t="s">
        <v>80</v>
      </c>
      <c r="H1380" s="32" t="s">
        <v>21</v>
      </c>
      <c r="I1380" s="32" t="s">
        <v>146</v>
      </c>
      <c r="J1380" s="32" t="s">
        <v>117</v>
      </c>
      <c r="K1380" s="32" t="s">
        <v>63</v>
      </c>
    </row>
    <row r="1381" customFormat="false" ht="13.5" hidden="false" customHeight="true" outlineLevel="0" collapsed="false">
      <c r="A1381" s="32" t="n">
        <v>3379</v>
      </c>
      <c r="B1381" s="32" t="s">
        <v>1216</v>
      </c>
      <c r="C1381" s="32" t="s">
        <v>1217</v>
      </c>
      <c r="D1381" s="32" t="s">
        <v>59</v>
      </c>
      <c r="E1381" s="32" t="n">
        <v>0</v>
      </c>
      <c r="F1381" s="32" t="n">
        <v>0</v>
      </c>
      <c r="G1381" s="32" t="s">
        <v>104</v>
      </c>
      <c r="H1381" s="32" t="s">
        <v>21</v>
      </c>
      <c r="I1381" s="32" t="s">
        <v>149</v>
      </c>
      <c r="J1381" s="32" t="s">
        <v>73</v>
      </c>
      <c r="K1381" s="32" t="s">
        <v>63</v>
      </c>
    </row>
    <row r="1382" customFormat="false" ht="13.5" hidden="false" customHeight="true" outlineLevel="0" collapsed="false">
      <c r="A1382" s="32" t="n">
        <v>3380</v>
      </c>
      <c r="B1382" s="32" t="s">
        <v>1216</v>
      </c>
      <c r="C1382" s="32" t="s">
        <v>1217</v>
      </c>
      <c r="D1382" s="32" t="s">
        <v>59</v>
      </c>
      <c r="E1382" s="32" t="n">
        <v>0</v>
      </c>
      <c r="F1382" s="32" t="n">
        <v>0</v>
      </c>
      <c r="G1382" s="32" t="s">
        <v>104</v>
      </c>
      <c r="H1382" s="32" t="s">
        <v>21</v>
      </c>
      <c r="I1382" s="32" t="s">
        <v>1218</v>
      </c>
      <c r="J1382" s="32" t="s">
        <v>808</v>
      </c>
      <c r="K1382" s="32" t="s">
        <v>63</v>
      </c>
    </row>
    <row r="1383" customFormat="false" ht="13.5" hidden="false" customHeight="true" outlineLevel="0" collapsed="false">
      <c r="A1383" s="32" t="n">
        <v>3381</v>
      </c>
      <c r="B1383" s="32" t="s">
        <v>1216</v>
      </c>
      <c r="C1383" s="32" t="s">
        <v>1217</v>
      </c>
      <c r="D1383" s="32" t="s">
        <v>59</v>
      </c>
      <c r="E1383" s="32" t="n">
        <v>0</v>
      </c>
      <c r="F1383" s="32" t="n">
        <v>0</v>
      </c>
      <c r="G1383" s="32" t="s">
        <v>104</v>
      </c>
      <c r="H1383" s="32" t="s">
        <v>21</v>
      </c>
      <c r="I1383" s="32" t="s">
        <v>93</v>
      </c>
      <c r="J1383" s="32" t="s">
        <v>85</v>
      </c>
      <c r="K1383" s="32" t="s">
        <v>63</v>
      </c>
    </row>
    <row r="1384" customFormat="false" ht="13.5" hidden="false" customHeight="true" outlineLevel="0" collapsed="false">
      <c r="A1384" s="32" t="n">
        <v>3382</v>
      </c>
      <c r="B1384" s="32" t="s">
        <v>1219</v>
      </c>
      <c r="C1384" s="32" t="s">
        <v>1220</v>
      </c>
      <c r="D1384" s="32" t="s">
        <v>114</v>
      </c>
      <c r="E1384" s="32" t="s">
        <v>165</v>
      </c>
      <c r="F1384" s="32" t="n">
        <v>0</v>
      </c>
      <c r="G1384" s="32" t="s">
        <v>104</v>
      </c>
      <c r="H1384" s="32" t="s">
        <v>22</v>
      </c>
      <c r="I1384" s="32" t="s">
        <v>30</v>
      </c>
      <c r="J1384" s="32" t="s">
        <v>203</v>
      </c>
      <c r="K1384" s="32" t="s">
        <v>63</v>
      </c>
    </row>
    <row r="1385" customFormat="false" ht="13.5" hidden="false" customHeight="true" outlineLevel="0" collapsed="false">
      <c r="A1385" s="32" t="n">
        <v>3383</v>
      </c>
      <c r="B1385" s="32" t="s">
        <v>1219</v>
      </c>
      <c r="C1385" s="32" t="s">
        <v>1221</v>
      </c>
      <c r="D1385" s="32" t="s">
        <v>114</v>
      </c>
      <c r="E1385" s="32" t="s">
        <v>165</v>
      </c>
      <c r="F1385" s="32" t="n">
        <v>0</v>
      </c>
      <c r="G1385" s="32" t="s">
        <v>104</v>
      </c>
      <c r="H1385" s="32" t="s">
        <v>22</v>
      </c>
      <c r="I1385" s="32" t="s">
        <v>629</v>
      </c>
      <c r="J1385" s="32" t="s">
        <v>203</v>
      </c>
      <c r="K1385" s="32" t="s">
        <v>63</v>
      </c>
    </row>
    <row r="1386" customFormat="false" ht="13.5" hidden="false" customHeight="true" outlineLevel="0" collapsed="false">
      <c r="A1386" s="32" t="n">
        <v>3384</v>
      </c>
      <c r="B1386" s="32" t="s">
        <v>1219</v>
      </c>
      <c r="C1386" s="32" t="s">
        <v>1222</v>
      </c>
      <c r="D1386" s="32" t="s">
        <v>114</v>
      </c>
      <c r="E1386" s="32" t="s">
        <v>165</v>
      </c>
      <c r="F1386" s="32" t="n">
        <v>0</v>
      </c>
      <c r="G1386" s="32" t="s">
        <v>104</v>
      </c>
      <c r="H1386" s="32" t="s">
        <v>22</v>
      </c>
      <c r="I1386" s="32" t="s">
        <v>245</v>
      </c>
      <c r="J1386" s="32" t="s">
        <v>71</v>
      </c>
      <c r="K1386" s="32" t="s">
        <v>63</v>
      </c>
    </row>
    <row r="1387" customFormat="false" ht="13.5" hidden="false" customHeight="true" outlineLevel="0" collapsed="false">
      <c r="A1387" s="32" t="n">
        <v>3385</v>
      </c>
      <c r="B1387" s="32" t="s">
        <v>1219</v>
      </c>
      <c r="C1387" s="32" t="s">
        <v>1221</v>
      </c>
      <c r="D1387" s="32" t="s">
        <v>114</v>
      </c>
      <c r="E1387" s="32" t="s">
        <v>165</v>
      </c>
      <c r="F1387" s="32" t="n">
        <v>0</v>
      </c>
      <c r="G1387" s="32" t="s">
        <v>104</v>
      </c>
      <c r="H1387" s="32" t="s">
        <v>22</v>
      </c>
      <c r="I1387" s="32" t="s">
        <v>27</v>
      </c>
      <c r="J1387" s="32" t="s">
        <v>13</v>
      </c>
      <c r="K1387" s="32" t="s">
        <v>63</v>
      </c>
    </row>
    <row r="1388" customFormat="false" ht="13.5" hidden="false" customHeight="true" outlineLevel="0" collapsed="false">
      <c r="A1388" s="32" t="n">
        <v>3386</v>
      </c>
      <c r="B1388" s="32" t="s">
        <v>1219</v>
      </c>
      <c r="C1388" s="32" t="s">
        <v>1221</v>
      </c>
      <c r="D1388" s="32" t="s">
        <v>114</v>
      </c>
      <c r="E1388" s="32" t="s">
        <v>165</v>
      </c>
      <c r="F1388" s="32" t="n">
        <v>0</v>
      </c>
      <c r="G1388" s="32" t="s">
        <v>104</v>
      </c>
      <c r="H1388" s="32" t="s">
        <v>22</v>
      </c>
      <c r="I1388" s="32" t="s">
        <v>151</v>
      </c>
      <c r="J1388" s="32" t="s">
        <v>152</v>
      </c>
      <c r="K1388" s="32" t="s">
        <v>63</v>
      </c>
    </row>
    <row r="1389" customFormat="false" ht="13.5" hidden="false" customHeight="true" outlineLevel="0" collapsed="false">
      <c r="A1389" s="32" t="n">
        <v>3387</v>
      </c>
      <c r="B1389" s="32" t="s">
        <v>1223</v>
      </c>
      <c r="C1389" s="32" t="s">
        <v>1224</v>
      </c>
      <c r="D1389" s="32" t="s">
        <v>114</v>
      </c>
      <c r="E1389" s="32" t="s">
        <v>115</v>
      </c>
      <c r="F1389" s="32" t="n">
        <v>6782997905</v>
      </c>
      <c r="G1389" s="32" t="s">
        <v>104</v>
      </c>
      <c r="H1389" s="32" t="s">
        <v>22</v>
      </c>
      <c r="I1389" s="32" t="s">
        <v>630</v>
      </c>
      <c r="J1389" s="32" t="s">
        <v>71</v>
      </c>
      <c r="K1389" s="32" t="s">
        <v>63</v>
      </c>
    </row>
    <row r="1390" customFormat="false" ht="13.5" hidden="false" customHeight="true" outlineLevel="0" collapsed="false">
      <c r="A1390" s="32" t="n">
        <v>3388</v>
      </c>
      <c r="B1390" s="32" t="s">
        <v>1223</v>
      </c>
      <c r="C1390" s="32" t="s">
        <v>1224</v>
      </c>
      <c r="D1390" s="32" t="s">
        <v>114</v>
      </c>
      <c r="E1390" s="32" t="s">
        <v>115</v>
      </c>
      <c r="F1390" s="32" t="n">
        <v>6782997905</v>
      </c>
      <c r="G1390" s="32" t="s">
        <v>104</v>
      </c>
      <c r="H1390" s="32" t="s">
        <v>22</v>
      </c>
      <c r="I1390" s="32" t="s">
        <v>16</v>
      </c>
      <c r="J1390" s="32" t="s">
        <v>73</v>
      </c>
      <c r="K1390" s="32" t="s">
        <v>63</v>
      </c>
    </row>
    <row r="1391" customFormat="false" ht="13.5" hidden="false" customHeight="true" outlineLevel="0" collapsed="false">
      <c r="A1391" s="32" t="n">
        <v>3389</v>
      </c>
      <c r="B1391" s="32" t="s">
        <v>1223</v>
      </c>
      <c r="C1391" s="32" t="s">
        <v>1224</v>
      </c>
      <c r="D1391" s="32" t="s">
        <v>114</v>
      </c>
      <c r="E1391" s="32" t="s">
        <v>115</v>
      </c>
      <c r="F1391" s="32" t="n">
        <v>6782997905</v>
      </c>
      <c r="G1391" s="32" t="s">
        <v>104</v>
      </c>
      <c r="H1391" s="32" t="s">
        <v>22</v>
      </c>
      <c r="I1391" s="32" t="s">
        <v>76</v>
      </c>
      <c r="J1391" s="32" t="s">
        <v>76</v>
      </c>
      <c r="K1391" s="32" t="s">
        <v>63</v>
      </c>
    </row>
    <row r="1392" customFormat="false" ht="13.5" hidden="false" customHeight="true" outlineLevel="0" collapsed="false">
      <c r="A1392" s="32" t="n">
        <v>3390</v>
      </c>
      <c r="B1392" s="32" t="s">
        <v>1223</v>
      </c>
      <c r="C1392" s="32" t="s">
        <v>1224</v>
      </c>
      <c r="D1392" s="32" t="s">
        <v>114</v>
      </c>
      <c r="E1392" s="32" t="s">
        <v>115</v>
      </c>
      <c r="F1392" s="32" t="n">
        <v>6782997905</v>
      </c>
      <c r="G1392" s="32" t="s">
        <v>104</v>
      </c>
      <c r="H1392" s="32" t="s">
        <v>22</v>
      </c>
      <c r="I1392" s="32" t="s">
        <v>95</v>
      </c>
      <c r="J1392" s="32" t="s">
        <v>96</v>
      </c>
      <c r="K1392" s="32" t="s">
        <v>63</v>
      </c>
    </row>
    <row r="1393" customFormat="false" ht="13.5" hidden="false" customHeight="true" outlineLevel="0" collapsed="false">
      <c r="A1393" s="32" t="n">
        <v>3391</v>
      </c>
      <c r="B1393" s="32" t="s">
        <v>1223</v>
      </c>
      <c r="C1393" s="32" t="s">
        <v>1224</v>
      </c>
      <c r="D1393" s="32" t="s">
        <v>114</v>
      </c>
      <c r="E1393" s="32" t="s">
        <v>115</v>
      </c>
      <c r="F1393" s="32" t="n">
        <v>6782997905</v>
      </c>
      <c r="G1393" s="32" t="s">
        <v>104</v>
      </c>
      <c r="H1393" s="32" t="s">
        <v>22</v>
      </c>
      <c r="I1393" s="32" t="s">
        <v>468</v>
      </c>
      <c r="J1393" s="32" t="s">
        <v>89</v>
      </c>
      <c r="K1393" s="32" t="s">
        <v>63</v>
      </c>
    </row>
    <row r="1394" customFormat="false" ht="13.5" hidden="false" customHeight="true" outlineLevel="0" collapsed="false">
      <c r="A1394" s="32" t="n">
        <v>3392</v>
      </c>
      <c r="B1394" s="32" t="s">
        <v>1225</v>
      </c>
      <c r="C1394" s="32" t="s">
        <v>1226</v>
      </c>
      <c r="D1394" s="32" t="s">
        <v>59</v>
      </c>
      <c r="E1394" s="32" t="s">
        <v>60</v>
      </c>
      <c r="F1394" s="32" t="n">
        <v>8077305042</v>
      </c>
      <c r="G1394" s="32" t="s">
        <v>61</v>
      </c>
      <c r="H1394" s="32" t="s">
        <v>21</v>
      </c>
      <c r="I1394" s="32" t="s">
        <v>16</v>
      </c>
      <c r="J1394" s="32" t="s">
        <v>73</v>
      </c>
      <c r="K1394" s="32" t="s">
        <v>63</v>
      </c>
    </row>
    <row r="1395" customFormat="false" ht="13.5" hidden="false" customHeight="true" outlineLevel="0" collapsed="false">
      <c r="A1395" s="32" t="n">
        <v>3393</v>
      </c>
      <c r="B1395" s="32" t="s">
        <v>1225</v>
      </c>
      <c r="C1395" s="32" t="s">
        <v>1226</v>
      </c>
      <c r="D1395" s="32" t="s">
        <v>59</v>
      </c>
      <c r="E1395" s="32" t="s">
        <v>60</v>
      </c>
      <c r="F1395" s="32" t="n">
        <v>8077305042</v>
      </c>
      <c r="G1395" s="32" t="s">
        <v>61</v>
      </c>
      <c r="H1395" s="32" t="s">
        <v>21</v>
      </c>
      <c r="I1395" s="32" t="s">
        <v>150</v>
      </c>
      <c r="J1395" s="32" t="s">
        <v>73</v>
      </c>
      <c r="K1395" s="32" t="s">
        <v>63</v>
      </c>
    </row>
    <row r="1396" customFormat="false" ht="13.5" hidden="false" customHeight="true" outlineLevel="0" collapsed="false">
      <c r="A1396" s="32" t="n">
        <v>3394</v>
      </c>
      <c r="B1396" s="32" t="s">
        <v>1227</v>
      </c>
      <c r="C1396" s="32" t="s">
        <v>1226</v>
      </c>
      <c r="D1396" s="32" t="s">
        <v>114</v>
      </c>
      <c r="E1396" s="32" t="n">
        <v>0</v>
      </c>
      <c r="F1396" s="32" t="n">
        <v>8077305042</v>
      </c>
      <c r="G1396" s="32" t="s">
        <v>61</v>
      </c>
      <c r="H1396" s="32" t="s">
        <v>22</v>
      </c>
      <c r="I1396" s="32" t="s">
        <v>108</v>
      </c>
      <c r="J1396" s="32" t="s">
        <v>71</v>
      </c>
      <c r="K1396" s="32" t="s">
        <v>63</v>
      </c>
    </row>
    <row r="1397" customFormat="false" ht="13.5" hidden="false" customHeight="true" outlineLevel="0" collapsed="false">
      <c r="A1397" s="32" t="n">
        <v>3395</v>
      </c>
      <c r="B1397" s="32" t="s">
        <v>1228</v>
      </c>
      <c r="C1397" s="32" t="s">
        <v>1229</v>
      </c>
      <c r="D1397" s="32" t="s">
        <v>59</v>
      </c>
      <c r="E1397" s="32" t="s">
        <v>79</v>
      </c>
      <c r="F1397" s="32" t="n">
        <v>9619449998</v>
      </c>
      <c r="G1397" s="32" t="s">
        <v>104</v>
      </c>
      <c r="H1397" s="32" t="s">
        <v>21</v>
      </c>
      <c r="I1397" s="32" t="s">
        <v>251</v>
      </c>
      <c r="J1397" s="32" t="s">
        <v>152</v>
      </c>
      <c r="K1397" s="32" t="s">
        <v>63</v>
      </c>
    </row>
    <row r="1398" customFormat="false" ht="13.5" hidden="false" customHeight="true" outlineLevel="0" collapsed="false">
      <c r="A1398" s="32" t="n">
        <v>3396</v>
      </c>
      <c r="B1398" s="32" t="s">
        <v>1228</v>
      </c>
      <c r="C1398" s="32" t="s">
        <v>1229</v>
      </c>
      <c r="D1398" s="32" t="s">
        <v>59</v>
      </c>
      <c r="E1398" s="32" t="s">
        <v>79</v>
      </c>
      <c r="F1398" s="32" t="n">
        <v>9619449998</v>
      </c>
      <c r="G1398" s="32" t="s">
        <v>104</v>
      </c>
      <c r="H1398" s="32" t="s">
        <v>21</v>
      </c>
      <c r="I1398" s="32" t="s">
        <v>371</v>
      </c>
      <c r="J1398" s="32" t="s">
        <v>152</v>
      </c>
      <c r="K1398" s="32" t="s">
        <v>63</v>
      </c>
    </row>
    <row r="1399" customFormat="false" ht="13.5" hidden="false" customHeight="true" outlineLevel="0" collapsed="false">
      <c r="A1399" s="32" t="n">
        <v>3397</v>
      </c>
      <c r="B1399" s="32" t="s">
        <v>1228</v>
      </c>
      <c r="C1399" s="32" t="s">
        <v>1229</v>
      </c>
      <c r="D1399" s="32" t="s">
        <v>59</v>
      </c>
      <c r="E1399" s="32" t="s">
        <v>79</v>
      </c>
      <c r="F1399" s="32" t="n">
        <v>9619449998</v>
      </c>
      <c r="G1399" s="32" t="s">
        <v>104</v>
      </c>
      <c r="H1399" s="32" t="s">
        <v>21</v>
      </c>
      <c r="I1399" s="32" t="s">
        <v>151</v>
      </c>
      <c r="J1399" s="32" t="s">
        <v>152</v>
      </c>
      <c r="K1399" s="32" t="s">
        <v>63</v>
      </c>
    </row>
    <row r="1400" customFormat="false" ht="13.5" hidden="false" customHeight="true" outlineLevel="0" collapsed="false">
      <c r="A1400" s="32" t="n">
        <v>3398</v>
      </c>
      <c r="B1400" s="32" t="s">
        <v>1228</v>
      </c>
      <c r="C1400" s="32" t="s">
        <v>1229</v>
      </c>
      <c r="D1400" s="32" t="s">
        <v>59</v>
      </c>
      <c r="E1400" s="32" t="s">
        <v>79</v>
      </c>
      <c r="F1400" s="32" t="n">
        <v>9619449998</v>
      </c>
      <c r="G1400" s="32" t="s">
        <v>104</v>
      </c>
      <c r="H1400" s="32" t="s">
        <v>21</v>
      </c>
      <c r="I1400" s="32" t="s">
        <v>251</v>
      </c>
      <c r="J1400" s="32" t="s">
        <v>152</v>
      </c>
      <c r="K1400" s="32" t="s">
        <v>63</v>
      </c>
    </row>
    <row r="1401" customFormat="false" ht="13.5" hidden="false" customHeight="true" outlineLevel="0" collapsed="false">
      <c r="A1401" s="32" t="n">
        <v>3399</v>
      </c>
      <c r="B1401" s="32" t="s">
        <v>1228</v>
      </c>
      <c r="C1401" s="32" t="s">
        <v>1229</v>
      </c>
      <c r="D1401" s="32" t="s">
        <v>59</v>
      </c>
      <c r="E1401" s="32" t="s">
        <v>79</v>
      </c>
      <c r="F1401" s="32" t="n">
        <v>9619449998</v>
      </c>
      <c r="G1401" s="32" t="s">
        <v>104</v>
      </c>
      <c r="H1401" s="32" t="s">
        <v>21</v>
      </c>
      <c r="I1401" s="32" t="s">
        <v>172</v>
      </c>
      <c r="J1401" s="32" t="s">
        <v>152</v>
      </c>
      <c r="K1401" s="32" t="s">
        <v>63</v>
      </c>
    </row>
    <row r="1402" customFormat="false" ht="13.5" hidden="false" customHeight="true" outlineLevel="0" collapsed="false">
      <c r="A1402" s="32" t="n">
        <v>3400</v>
      </c>
      <c r="B1402" s="32" t="s">
        <v>1230</v>
      </c>
      <c r="C1402" s="32" t="s">
        <v>1231</v>
      </c>
      <c r="D1402" s="32" t="s">
        <v>114</v>
      </c>
      <c r="E1402" s="32" t="s">
        <v>124</v>
      </c>
      <c r="F1402" s="33" t="n">
        <v>919986000000</v>
      </c>
      <c r="G1402" s="32" t="s">
        <v>80</v>
      </c>
      <c r="H1402" s="32" t="s">
        <v>22</v>
      </c>
      <c r="I1402" s="32" t="s">
        <v>185</v>
      </c>
      <c r="J1402" s="32" t="s">
        <v>186</v>
      </c>
      <c r="K1402" s="32" t="s">
        <v>63</v>
      </c>
    </row>
    <row r="1403" customFormat="false" ht="13.5" hidden="false" customHeight="true" outlineLevel="0" collapsed="false">
      <c r="A1403" s="32" t="n">
        <v>3401</v>
      </c>
      <c r="B1403" s="32" t="s">
        <v>1230</v>
      </c>
      <c r="C1403" s="32" t="s">
        <v>1231</v>
      </c>
      <c r="D1403" s="32" t="s">
        <v>114</v>
      </c>
      <c r="E1403" s="32" t="s">
        <v>124</v>
      </c>
      <c r="F1403" s="33" t="n">
        <v>919986000000</v>
      </c>
      <c r="G1403" s="32" t="s">
        <v>80</v>
      </c>
      <c r="H1403" s="32" t="s">
        <v>22</v>
      </c>
      <c r="I1403" s="32" t="s">
        <v>227</v>
      </c>
      <c r="J1403" s="32" t="s">
        <v>228</v>
      </c>
      <c r="K1403" s="32" t="s">
        <v>63</v>
      </c>
    </row>
    <row r="1404" customFormat="false" ht="13.5" hidden="false" customHeight="true" outlineLevel="0" collapsed="false">
      <c r="A1404" s="32" t="n">
        <v>3402</v>
      </c>
      <c r="B1404" s="32" t="s">
        <v>1230</v>
      </c>
      <c r="C1404" s="32" t="s">
        <v>1232</v>
      </c>
      <c r="D1404" s="32" t="s">
        <v>114</v>
      </c>
      <c r="E1404" s="32" t="s">
        <v>124</v>
      </c>
      <c r="F1404" s="33" t="n">
        <v>919986000000</v>
      </c>
      <c r="G1404" s="32" t="s">
        <v>80</v>
      </c>
      <c r="H1404" s="32" t="s">
        <v>22</v>
      </c>
      <c r="I1404" s="32" t="s">
        <v>226</v>
      </c>
      <c r="J1404" s="32" t="s">
        <v>110</v>
      </c>
      <c r="K1404" s="32" t="s">
        <v>63</v>
      </c>
    </row>
    <row r="1405" customFormat="false" ht="13.5" hidden="false" customHeight="true" outlineLevel="0" collapsed="false">
      <c r="A1405" s="32" t="n">
        <v>3403</v>
      </c>
      <c r="B1405" s="32" t="s">
        <v>1233</v>
      </c>
      <c r="C1405" s="32" t="s">
        <v>1234</v>
      </c>
      <c r="D1405" s="32" t="s">
        <v>59</v>
      </c>
      <c r="E1405" s="32" t="s">
        <v>107</v>
      </c>
      <c r="F1405" s="32" t="n">
        <v>8639225449</v>
      </c>
      <c r="G1405" s="32" t="s">
        <v>80</v>
      </c>
      <c r="H1405" s="32" t="s">
        <v>21</v>
      </c>
      <c r="I1405" s="32" t="s">
        <v>27</v>
      </c>
      <c r="J1405" s="32" t="s">
        <v>13</v>
      </c>
      <c r="K1405" s="32" t="s">
        <v>63</v>
      </c>
    </row>
    <row r="1406" customFormat="false" ht="13.5" hidden="false" customHeight="true" outlineLevel="0" collapsed="false">
      <c r="A1406" s="32" t="n">
        <v>3404</v>
      </c>
      <c r="B1406" s="32" t="s">
        <v>1235</v>
      </c>
      <c r="C1406" s="32" t="s">
        <v>1236</v>
      </c>
      <c r="D1406" s="32" t="s">
        <v>59</v>
      </c>
      <c r="E1406" s="32" t="s">
        <v>107</v>
      </c>
      <c r="F1406" s="32" t="n">
        <v>9769019552</v>
      </c>
      <c r="G1406" s="32" t="s">
        <v>104</v>
      </c>
      <c r="H1406" s="32" t="s">
        <v>21</v>
      </c>
      <c r="I1406" s="32" t="s">
        <v>133</v>
      </c>
      <c r="J1406" s="32" t="s">
        <v>134</v>
      </c>
      <c r="K1406" s="32" t="s">
        <v>63</v>
      </c>
    </row>
    <row r="1407" customFormat="false" ht="13.5" hidden="false" customHeight="true" outlineLevel="0" collapsed="false">
      <c r="A1407" s="32" t="n">
        <v>3405</v>
      </c>
      <c r="B1407" s="32" t="s">
        <v>1235</v>
      </c>
      <c r="C1407" s="32" t="s">
        <v>1236</v>
      </c>
      <c r="D1407" s="32" t="s">
        <v>59</v>
      </c>
      <c r="E1407" s="32" t="s">
        <v>107</v>
      </c>
      <c r="F1407" s="32" t="n">
        <v>9769019552</v>
      </c>
      <c r="G1407" s="32" t="s">
        <v>104</v>
      </c>
      <c r="H1407" s="32" t="s">
        <v>21</v>
      </c>
      <c r="I1407" s="32" t="s">
        <v>76</v>
      </c>
      <c r="J1407" s="32" t="s">
        <v>76</v>
      </c>
      <c r="K1407" s="32" t="s">
        <v>63</v>
      </c>
    </row>
    <row r="1408" customFormat="false" ht="13.5" hidden="false" customHeight="true" outlineLevel="0" collapsed="false">
      <c r="A1408" s="32" t="n">
        <v>3406</v>
      </c>
      <c r="B1408" s="32" t="s">
        <v>1235</v>
      </c>
      <c r="C1408" s="32" t="s">
        <v>1236</v>
      </c>
      <c r="D1408" s="32" t="s">
        <v>59</v>
      </c>
      <c r="E1408" s="32" t="s">
        <v>107</v>
      </c>
      <c r="F1408" s="32" t="n">
        <v>9769019552</v>
      </c>
      <c r="G1408" s="32" t="s">
        <v>104</v>
      </c>
      <c r="H1408" s="32" t="s">
        <v>21</v>
      </c>
      <c r="I1408" s="32" t="s">
        <v>27</v>
      </c>
      <c r="J1408" s="32" t="s">
        <v>13</v>
      </c>
      <c r="K1408" s="32" t="s">
        <v>63</v>
      </c>
    </row>
    <row r="1409" customFormat="false" ht="13.5" hidden="false" customHeight="true" outlineLevel="0" collapsed="false">
      <c r="A1409" s="32" t="n">
        <v>3408</v>
      </c>
      <c r="B1409" s="32" t="s">
        <v>1235</v>
      </c>
      <c r="C1409" s="32" t="s">
        <v>1236</v>
      </c>
      <c r="D1409" s="32" t="s">
        <v>59</v>
      </c>
      <c r="E1409" s="32" t="s">
        <v>107</v>
      </c>
      <c r="F1409" s="32" t="n">
        <v>9769019552</v>
      </c>
      <c r="G1409" s="32" t="s">
        <v>104</v>
      </c>
      <c r="H1409" s="32" t="s">
        <v>21</v>
      </c>
      <c r="I1409" s="32" t="s">
        <v>1237</v>
      </c>
      <c r="J1409" s="32" t="s">
        <v>89</v>
      </c>
      <c r="K1409" s="32" t="s">
        <v>63</v>
      </c>
    </row>
    <row r="1410" customFormat="false" ht="13.5" hidden="false" customHeight="true" outlineLevel="0" collapsed="false">
      <c r="A1410" s="32" t="n">
        <v>3409</v>
      </c>
      <c r="B1410" s="32" t="s">
        <v>1235</v>
      </c>
      <c r="C1410" s="32" t="s">
        <v>1236</v>
      </c>
      <c r="D1410" s="32" t="s">
        <v>59</v>
      </c>
      <c r="E1410" s="32" t="s">
        <v>107</v>
      </c>
      <c r="F1410" s="32" t="n">
        <v>9769019552</v>
      </c>
      <c r="G1410" s="32" t="s">
        <v>104</v>
      </c>
      <c r="H1410" s="32" t="s">
        <v>21</v>
      </c>
      <c r="I1410" s="32" t="s">
        <v>717</v>
      </c>
      <c r="J1410" s="32" t="s">
        <v>89</v>
      </c>
      <c r="K1410" s="32" t="s">
        <v>63</v>
      </c>
    </row>
    <row r="1411" customFormat="false" ht="13.5" hidden="false" customHeight="true" outlineLevel="0" collapsed="false">
      <c r="A1411" s="32" t="n">
        <v>3411</v>
      </c>
      <c r="B1411" s="32" t="s">
        <v>1235</v>
      </c>
      <c r="C1411" s="32" t="s">
        <v>1236</v>
      </c>
      <c r="D1411" s="32" t="s">
        <v>59</v>
      </c>
      <c r="E1411" s="32" t="s">
        <v>107</v>
      </c>
      <c r="F1411" s="32" t="n">
        <v>9769019552</v>
      </c>
      <c r="G1411" s="32" t="s">
        <v>104</v>
      </c>
      <c r="H1411" s="32" t="s">
        <v>21</v>
      </c>
      <c r="I1411" s="32" t="s">
        <v>146</v>
      </c>
      <c r="J1411" s="32" t="s">
        <v>117</v>
      </c>
      <c r="K1411" s="32" t="s">
        <v>63</v>
      </c>
    </row>
    <row r="1412" customFormat="false" ht="13.5" hidden="false" customHeight="true" outlineLevel="0" collapsed="false">
      <c r="A1412" s="32" t="n">
        <v>3412</v>
      </c>
      <c r="B1412" s="32" t="s">
        <v>1235</v>
      </c>
      <c r="C1412" s="32" t="s">
        <v>1236</v>
      </c>
      <c r="D1412" s="32" t="s">
        <v>59</v>
      </c>
      <c r="E1412" s="32" t="s">
        <v>107</v>
      </c>
      <c r="F1412" s="32" t="n">
        <v>9769019552</v>
      </c>
      <c r="G1412" s="32" t="s">
        <v>104</v>
      </c>
      <c r="H1412" s="32" t="s">
        <v>21</v>
      </c>
      <c r="I1412" s="32" t="s">
        <v>145</v>
      </c>
      <c r="J1412" s="32" t="s">
        <v>117</v>
      </c>
      <c r="K1412" s="32" t="s">
        <v>63</v>
      </c>
    </row>
    <row r="1413" customFormat="false" ht="13.5" hidden="false" customHeight="true" outlineLevel="0" collapsed="false">
      <c r="A1413" s="32" t="n">
        <v>3413</v>
      </c>
      <c r="B1413" s="32" t="s">
        <v>1238</v>
      </c>
      <c r="C1413" s="32" t="s">
        <v>1239</v>
      </c>
      <c r="D1413" s="32" t="s">
        <v>114</v>
      </c>
      <c r="E1413" s="32" t="s">
        <v>165</v>
      </c>
      <c r="F1413" s="32" t="n">
        <v>9840514064</v>
      </c>
      <c r="G1413" s="32" t="s">
        <v>61</v>
      </c>
      <c r="H1413" s="32" t="s">
        <v>22</v>
      </c>
      <c r="I1413" s="32" t="s">
        <v>156</v>
      </c>
      <c r="J1413" s="32" t="s">
        <v>62</v>
      </c>
      <c r="K1413" s="32" t="s">
        <v>63</v>
      </c>
    </row>
    <row r="1414" customFormat="false" ht="13.5" hidden="false" customHeight="true" outlineLevel="0" collapsed="false">
      <c r="A1414" s="32" t="n">
        <v>3414</v>
      </c>
      <c r="B1414" s="32" t="s">
        <v>1240</v>
      </c>
      <c r="C1414" s="32" t="s">
        <v>1241</v>
      </c>
      <c r="D1414" s="32" t="s">
        <v>59</v>
      </c>
      <c r="E1414" s="32" t="s">
        <v>60</v>
      </c>
      <c r="F1414" s="32" t="n">
        <v>9873328854</v>
      </c>
      <c r="G1414" s="32" t="s">
        <v>144</v>
      </c>
      <c r="H1414" s="32" t="s">
        <v>21</v>
      </c>
      <c r="I1414" s="32" t="s">
        <v>1242</v>
      </c>
      <c r="J1414" s="32" t="s">
        <v>62</v>
      </c>
      <c r="K1414" s="32" t="s">
        <v>63</v>
      </c>
    </row>
    <row r="1415" customFormat="false" ht="13.5" hidden="false" customHeight="true" outlineLevel="0" collapsed="false">
      <c r="A1415" s="32" t="n">
        <v>3415</v>
      </c>
      <c r="B1415" s="32" t="s">
        <v>1240</v>
      </c>
      <c r="C1415" s="32" t="s">
        <v>1241</v>
      </c>
      <c r="D1415" s="32" t="s">
        <v>59</v>
      </c>
      <c r="E1415" s="32" t="s">
        <v>60</v>
      </c>
      <c r="F1415" s="32" t="n">
        <v>9873328854</v>
      </c>
      <c r="G1415" s="32" t="s">
        <v>144</v>
      </c>
      <c r="H1415" s="32" t="s">
        <v>21</v>
      </c>
      <c r="I1415" s="32" t="s">
        <v>156</v>
      </c>
      <c r="J1415" s="32" t="s">
        <v>62</v>
      </c>
      <c r="K1415" s="32" t="s">
        <v>63</v>
      </c>
    </row>
    <row r="1416" customFormat="false" ht="13.5" hidden="false" customHeight="true" outlineLevel="0" collapsed="false">
      <c r="A1416" s="32" t="n">
        <v>3419</v>
      </c>
      <c r="B1416" s="32" t="s">
        <v>1240</v>
      </c>
      <c r="C1416" s="32" t="s">
        <v>1241</v>
      </c>
      <c r="D1416" s="32" t="s">
        <v>59</v>
      </c>
      <c r="E1416" s="32" t="s">
        <v>60</v>
      </c>
      <c r="F1416" s="32" t="n">
        <v>9873328854</v>
      </c>
      <c r="G1416" s="32" t="s">
        <v>144</v>
      </c>
      <c r="H1416" s="32" t="s">
        <v>21</v>
      </c>
      <c r="I1416" s="32" t="s">
        <v>14</v>
      </c>
      <c r="J1416" s="32" t="s">
        <v>66</v>
      </c>
      <c r="K1416" s="32" t="s">
        <v>63</v>
      </c>
    </row>
    <row r="1417" customFormat="false" ht="13.5" hidden="false" customHeight="true" outlineLevel="0" collapsed="false">
      <c r="A1417" s="32" t="n">
        <v>3420</v>
      </c>
      <c r="B1417" s="32" t="s">
        <v>1240</v>
      </c>
      <c r="C1417" s="32" t="s">
        <v>1241</v>
      </c>
      <c r="D1417" s="32" t="s">
        <v>59</v>
      </c>
      <c r="E1417" s="32" t="s">
        <v>60</v>
      </c>
      <c r="F1417" s="32" t="n">
        <v>9873328854</v>
      </c>
      <c r="G1417" s="32" t="s">
        <v>144</v>
      </c>
      <c r="H1417" s="32" t="s">
        <v>21</v>
      </c>
      <c r="I1417" s="32" t="s">
        <v>29</v>
      </c>
      <c r="J1417" s="32" t="s">
        <v>62</v>
      </c>
      <c r="K1417" s="32" t="s">
        <v>63</v>
      </c>
    </row>
    <row r="1418" customFormat="false" ht="13.5" hidden="false" customHeight="true" outlineLevel="0" collapsed="false">
      <c r="A1418" s="32" t="n">
        <v>3421</v>
      </c>
      <c r="B1418" s="32" t="s">
        <v>1243</v>
      </c>
      <c r="C1418" s="32" t="s">
        <v>1244</v>
      </c>
      <c r="D1418" s="32" t="s">
        <v>114</v>
      </c>
      <c r="E1418" s="32" t="s">
        <v>165</v>
      </c>
      <c r="F1418" s="33" t="n">
        <v>919950000000</v>
      </c>
      <c r="G1418" s="32" t="s">
        <v>80</v>
      </c>
      <c r="H1418" s="32" t="s">
        <v>22</v>
      </c>
      <c r="I1418" s="32" t="s">
        <v>98</v>
      </c>
      <c r="J1418" s="32" t="s">
        <v>99</v>
      </c>
      <c r="K1418" s="32" t="s">
        <v>63</v>
      </c>
    </row>
    <row r="1419" customFormat="false" ht="13.5" hidden="false" customHeight="true" outlineLevel="0" collapsed="false">
      <c r="A1419" s="32" t="n">
        <v>3422</v>
      </c>
      <c r="B1419" s="32" t="s">
        <v>1243</v>
      </c>
      <c r="C1419" s="32" t="s">
        <v>1245</v>
      </c>
      <c r="D1419" s="32" t="s">
        <v>114</v>
      </c>
      <c r="E1419" s="32" t="s">
        <v>165</v>
      </c>
      <c r="F1419" s="33" t="n">
        <v>919950000000</v>
      </c>
      <c r="G1419" s="32" t="s">
        <v>80</v>
      </c>
      <c r="H1419" s="32" t="s">
        <v>22</v>
      </c>
      <c r="I1419" s="32" t="s">
        <v>227</v>
      </c>
      <c r="J1419" s="32" t="s">
        <v>228</v>
      </c>
      <c r="K1419" s="32" t="s">
        <v>63</v>
      </c>
    </row>
    <row r="1420" customFormat="false" ht="13.5" hidden="false" customHeight="true" outlineLevel="0" collapsed="false">
      <c r="A1420" s="32" t="n">
        <v>3423</v>
      </c>
      <c r="B1420" s="32" t="s">
        <v>1243</v>
      </c>
      <c r="C1420" s="32" t="s">
        <v>1245</v>
      </c>
      <c r="D1420" s="32" t="s">
        <v>114</v>
      </c>
      <c r="E1420" s="32" t="s">
        <v>165</v>
      </c>
      <c r="F1420" s="33" t="n">
        <v>919950000000</v>
      </c>
      <c r="G1420" s="32" t="s">
        <v>80</v>
      </c>
      <c r="H1420" s="32" t="s">
        <v>22</v>
      </c>
      <c r="I1420" s="32" t="s">
        <v>284</v>
      </c>
      <c r="J1420" s="32" t="s">
        <v>117</v>
      </c>
      <c r="K1420" s="32" t="s">
        <v>63</v>
      </c>
    </row>
    <row r="1421" customFormat="false" ht="13.5" hidden="false" customHeight="true" outlineLevel="0" collapsed="false">
      <c r="A1421" s="32" t="n">
        <v>3424</v>
      </c>
      <c r="B1421" s="32" t="s">
        <v>1243</v>
      </c>
      <c r="C1421" s="32" t="s">
        <v>1245</v>
      </c>
      <c r="D1421" s="32" t="s">
        <v>114</v>
      </c>
      <c r="E1421" s="32" t="s">
        <v>165</v>
      </c>
      <c r="F1421" s="33" t="n">
        <v>919950000000</v>
      </c>
      <c r="G1421" s="32" t="s">
        <v>80</v>
      </c>
      <c r="H1421" s="32" t="s">
        <v>22</v>
      </c>
      <c r="I1421" s="32" t="s">
        <v>172</v>
      </c>
      <c r="J1421" s="32" t="s">
        <v>152</v>
      </c>
      <c r="K1421" s="32" t="s">
        <v>63</v>
      </c>
    </row>
    <row r="1422" customFormat="false" ht="13.5" hidden="false" customHeight="true" outlineLevel="0" collapsed="false">
      <c r="A1422" s="32" t="n">
        <v>3427</v>
      </c>
      <c r="B1422" s="32" t="s">
        <v>1243</v>
      </c>
      <c r="C1422" s="32" t="s">
        <v>1245</v>
      </c>
      <c r="D1422" s="32" t="s">
        <v>114</v>
      </c>
      <c r="E1422" s="32" t="s">
        <v>165</v>
      </c>
      <c r="F1422" s="33" t="n">
        <v>919950000000</v>
      </c>
      <c r="G1422" s="32" t="s">
        <v>80</v>
      </c>
      <c r="H1422" s="32" t="s">
        <v>22</v>
      </c>
      <c r="I1422" s="32" t="s">
        <v>151</v>
      </c>
      <c r="J1422" s="32" t="s">
        <v>152</v>
      </c>
      <c r="K1422" s="32" t="s">
        <v>63</v>
      </c>
    </row>
    <row r="1423" customFormat="false" ht="13.5" hidden="false" customHeight="true" outlineLevel="0" collapsed="false">
      <c r="A1423" s="32" t="n">
        <v>3428</v>
      </c>
      <c r="B1423" s="32" t="s">
        <v>1243</v>
      </c>
      <c r="C1423" s="32" t="s">
        <v>1245</v>
      </c>
      <c r="D1423" s="32" t="s">
        <v>114</v>
      </c>
      <c r="E1423" s="32" t="s">
        <v>165</v>
      </c>
      <c r="F1423" s="33" t="n">
        <v>919950000000</v>
      </c>
      <c r="G1423" s="32" t="s">
        <v>80</v>
      </c>
      <c r="H1423" s="32" t="s">
        <v>22</v>
      </c>
      <c r="I1423" s="32" t="s">
        <v>133</v>
      </c>
      <c r="J1423" s="32" t="s">
        <v>134</v>
      </c>
      <c r="K1423" s="32" t="s">
        <v>63</v>
      </c>
    </row>
    <row r="1424" customFormat="false" ht="13.5" hidden="false" customHeight="true" outlineLevel="0" collapsed="false">
      <c r="A1424" s="32" t="n">
        <v>3429</v>
      </c>
      <c r="B1424" s="32" t="s">
        <v>1243</v>
      </c>
      <c r="C1424" s="32" t="s">
        <v>1245</v>
      </c>
      <c r="D1424" s="32" t="s">
        <v>114</v>
      </c>
      <c r="E1424" s="32" t="s">
        <v>165</v>
      </c>
      <c r="F1424" s="33" t="n">
        <v>919950000000</v>
      </c>
      <c r="G1424" s="32" t="s">
        <v>80</v>
      </c>
      <c r="H1424" s="32" t="s">
        <v>22</v>
      </c>
      <c r="I1424" s="32" t="s">
        <v>570</v>
      </c>
      <c r="J1424" s="32" t="s">
        <v>99</v>
      </c>
      <c r="K1424" s="32" t="s">
        <v>63</v>
      </c>
    </row>
    <row r="1425" customFormat="false" ht="13.5" hidden="false" customHeight="true" outlineLevel="0" collapsed="false">
      <c r="A1425" s="32" t="n">
        <v>3430</v>
      </c>
      <c r="B1425" s="32" t="s">
        <v>1246</v>
      </c>
      <c r="C1425" s="32" t="s">
        <v>1247</v>
      </c>
      <c r="D1425" s="32" t="s">
        <v>114</v>
      </c>
      <c r="E1425" s="32" t="s">
        <v>165</v>
      </c>
      <c r="F1425" s="32" t="n">
        <v>9975287624</v>
      </c>
      <c r="G1425" s="32" t="s">
        <v>104</v>
      </c>
      <c r="H1425" s="32" t="s">
        <v>22</v>
      </c>
      <c r="I1425" s="32" t="s">
        <v>16</v>
      </c>
      <c r="J1425" s="32" t="s">
        <v>73</v>
      </c>
      <c r="K1425" s="32" t="s">
        <v>63</v>
      </c>
    </row>
    <row r="1426" customFormat="false" ht="13.5" hidden="false" customHeight="true" outlineLevel="0" collapsed="false">
      <c r="A1426" s="32" t="n">
        <v>3431</v>
      </c>
      <c r="B1426" s="32" t="s">
        <v>1246</v>
      </c>
      <c r="C1426" s="32" t="s">
        <v>1248</v>
      </c>
      <c r="D1426" s="32" t="s">
        <v>114</v>
      </c>
      <c r="E1426" s="32" t="s">
        <v>165</v>
      </c>
      <c r="F1426" s="32" t="n">
        <v>9975287624</v>
      </c>
      <c r="G1426" s="32" t="s">
        <v>104</v>
      </c>
      <c r="H1426" s="32" t="s">
        <v>22</v>
      </c>
      <c r="I1426" s="32" t="s">
        <v>75</v>
      </c>
      <c r="J1426" s="32" t="s">
        <v>76</v>
      </c>
      <c r="K1426" s="32" t="s">
        <v>63</v>
      </c>
    </row>
    <row r="1427" customFormat="false" ht="13.5" hidden="false" customHeight="true" outlineLevel="0" collapsed="false">
      <c r="A1427" s="32" t="n">
        <v>3432</v>
      </c>
      <c r="B1427" s="32" t="s">
        <v>1246</v>
      </c>
      <c r="C1427" s="32" t="s">
        <v>1247</v>
      </c>
      <c r="D1427" s="32" t="s">
        <v>114</v>
      </c>
      <c r="E1427" s="32" t="s">
        <v>165</v>
      </c>
      <c r="F1427" s="32" t="n">
        <v>9975287624</v>
      </c>
      <c r="G1427" s="32" t="s">
        <v>104</v>
      </c>
      <c r="H1427" s="32" t="s">
        <v>22</v>
      </c>
      <c r="I1427" s="32" t="s">
        <v>137</v>
      </c>
      <c r="J1427" s="32" t="s">
        <v>13</v>
      </c>
      <c r="K1427" s="32" t="s">
        <v>63</v>
      </c>
    </row>
    <row r="1428" customFormat="false" ht="13.5" hidden="false" customHeight="true" outlineLevel="0" collapsed="false">
      <c r="A1428" s="32" t="n">
        <v>3433</v>
      </c>
      <c r="B1428" s="32" t="s">
        <v>1246</v>
      </c>
      <c r="C1428" s="32" t="s">
        <v>1247</v>
      </c>
      <c r="D1428" s="32" t="s">
        <v>114</v>
      </c>
      <c r="E1428" s="32" t="s">
        <v>165</v>
      </c>
      <c r="F1428" s="32" t="n">
        <v>9975287624</v>
      </c>
      <c r="G1428" s="32" t="s">
        <v>104</v>
      </c>
      <c r="H1428" s="32" t="s">
        <v>22</v>
      </c>
      <c r="I1428" s="32" t="s">
        <v>27</v>
      </c>
      <c r="J1428" s="32" t="s">
        <v>13</v>
      </c>
      <c r="K1428" s="32" t="s">
        <v>63</v>
      </c>
    </row>
    <row r="1429" customFormat="false" ht="13.5" hidden="false" customHeight="true" outlineLevel="0" collapsed="false">
      <c r="A1429" s="32" t="n">
        <v>3434</v>
      </c>
      <c r="B1429" s="32" t="s">
        <v>1246</v>
      </c>
      <c r="C1429" s="32" t="s">
        <v>1247</v>
      </c>
      <c r="D1429" s="32" t="s">
        <v>114</v>
      </c>
      <c r="E1429" s="32" t="s">
        <v>165</v>
      </c>
      <c r="F1429" s="32" t="n">
        <v>9975287624</v>
      </c>
      <c r="G1429" s="32" t="s">
        <v>104</v>
      </c>
      <c r="H1429" s="32" t="s">
        <v>22</v>
      </c>
      <c r="I1429" s="32" t="s">
        <v>30</v>
      </c>
      <c r="J1429" s="32" t="s">
        <v>203</v>
      </c>
      <c r="K1429" s="32" t="s">
        <v>63</v>
      </c>
    </row>
    <row r="1430" customFormat="false" ht="13.5" hidden="false" customHeight="true" outlineLevel="0" collapsed="false">
      <c r="A1430" s="32" t="n">
        <v>3435</v>
      </c>
      <c r="B1430" s="32" t="s">
        <v>1249</v>
      </c>
      <c r="C1430" s="32" t="s">
        <v>1250</v>
      </c>
      <c r="D1430" s="32" t="s">
        <v>59</v>
      </c>
      <c r="E1430" s="32" t="s">
        <v>60</v>
      </c>
      <c r="F1430" s="33" t="n">
        <v>917506000000</v>
      </c>
      <c r="G1430" s="32" t="s">
        <v>104</v>
      </c>
      <c r="H1430" s="32" t="s">
        <v>21</v>
      </c>
      <c r="I1430" s="32" t="s">
        <v>156</v>
      </c>
      <c r="J1430" s="32" t="s">
        <v>62</v>
      </c>
      <c r="K1430" s="32" t="s">
        <v>63</v>
      </c>
    </row>
    <row r="1431" customFormat="false" ht="13.5" hidden="false" customHeight="true" outlineLevel="0" collapsed="false">
      <c r="A1431" s="32" t="n">
        <v>3436</v>
      </c>
      <c r="B1431" s="32" t="s">
        <v>1249</v>
      </c>
      <c r="C1431" s="32" t="s">
        <v>1250</v>
      </c>
      <c r="D1431" s="32" t="s">
        <v>59</v>
      </c>
      <c r="E1431" s="32" t="s">
        <v>60</v>
      </c>
      <c r="F1431" s="33" t="n">
        <v>917506000000</v>
      </c>
      <c r="G1431" s="32" t="s">
        <v>104</v>
      </c>
      <c r="H1431" s="32" t="s">
        <v>21</v>
      </c>
      <c r="I1431" s="32" t="s">
        <v>14</v>
      </c>
      <c r="J1431" s="32" t="s">
        <v>66</v>
      </c>
      <c r="K1431" s="32" t="s">
        <v>63</v>
      </c>
    </row>
    <row r="1432" customFormat="false" ht="13.5" hidden="false" customHeight="true" outlineLevel="0" collapsed="false">
      <c r="A1432" s="32" t="n">
        <v>3437</v>
      </c>
      <c r="B1432" s="32" t="s">
        <v>1249</v>
      </c>
      <c r="C1432" s="32" t="s">
        <v>1250</v>
      </c>
      <c r="D1432" s="32" t="s">
        <v>59</v>
      </c>
      <c r="E1432" s="32" t="s">
        <v>60</v>
      </c>
      <c r="F1432" s="33" t="n">
        <v>917506000000</v>
      </c>
      <c r="G1432" s="32" t="s">
        <v>104</v>
      </c>
      <c r="H1432" s="32" t="s">
        <v>21</v>
      </c>
      <c r="I1432" s="32" t="s">
        <v>610</v>
      </c>
      <c r="J1432" s="32" t="s">
        <v>82</v>
      </c>
      <c r="K1432" s="32" t="s">
        <v>63</v>
      </c>
    </row>
    <row r="1433" customFormat="false" ht="13.5" hidden="false" customHeight="true" outlineLevel="0" collapsed="false">
      <c r="A1433" s="32" t="n">
        <v>3438</v>
      </c>
      <c r="B1433" s="32" t="s">
        <v>1251</v>
      </c>
      <c r="C1433" s="32" t="s">
        <v>1252</v>
      </c>
      <c r="D1433" s="32" t="s">
        <v>114</v>
      </c>
      <c r="E1433" s="32" t="s">
        <v>366</v>
      </c>
      <c r="F1433" s="32" t="n">
        <v>9962299660</v>
      </c>
      <c r="G1433" s="32" t="s">
        <v>61</v>
      </c>
      <c r="H1433" s="32" t="s">
        <v>22</v>
      </c>
      <c r="I1433" s="32" t="s">
        <v>95</v>
      </c>
      <c r="J1433" s="32" t="s">
        <v>96</v>
      </c>
      <c r="K1433" s="32" t="s">
        <v>63</v>
      </c>
    </row>
    <row r="1434" customFormat="false" ht="13.5" hidden="false" customHeight="true" outlineLevel="0" collapsed="false">
      <c r="A1434" s="32" t="n">
        <v>3439</v>
      </c>
      <c r="B1434" s="32" t="s">
        <v>1251</v>
      </c>
      <c r="C1434" s="32" t="s">
        <v>1253</v>
      </c>
      <c r="D1434" s="32" t="s">
        <v>114</v>
      </c>
      <c r="E1434" s="32" t="s">
        <v>366</v>
      </c>
      <c r="F1434" s="33" t="n">
        <v>919962000000</v>
      </c>
      <c r="G1434" s="32" t="s">
        <v>61</v>
      </c>
      <c r="H1434" s="32" t="s">
        <v>22</v>
      </c>
      <c r="I1434" s="32" t="s">
        <v>81</v>
      </c>
      <c r="J1434" s="32" t="s">
        <v>82</v>
      </c>
      <c r="K1434" s="32" t="s">
        <v>63</v>
      </c>
    </row>
    <row r="1435" customFormat="false" ht="13.5" hidden="false" customHeight="true" outlineLevel="0" collapsed="false">
      <c r="A1435" s="32" t="n">
        <v>3440</v>
      </c>
      <c r="B1435" s="32" t="s">
        <v>1251</v>
      </c>
      <c r="C1435" s="32" t="s">
        <v>1252</v>
      </c>
      <c r="D1435" s="32" t="s">
        <v>114</v>
      </c>
      <c r="E1435" s="32" t="s">
        <v>366</v>
      </c>
      <c r="F1435" s="32" t="n">
        <v>9962299660</v>
      </c>
      <c r="G1435" s="32" t="s">
        <v>61</v>
      </c>
      <c r="H1435" s="32" t="s">
        <v>22</v>
      </c>
      <c r="I1435" s="32" t="s">
        <v>28</v>
      </c>
      <c r="J1435" s="32" t="s">
        <v>82</v>
      </c>
      <c r="K1435" s="32" t="s">
        <v>63</v>
      </c>
    </row>
    <row r="1436" customFormat="false" ht="13.5" hidden="false" customHeight="true" outlineLevel="0" collapsed="false">
      <c r="A1436" s="32" t="n">
        <v>3441</v>
      </c>
      <c r="B1436" s="32" t="s">
        <v>1251</v>
      </c>
      <c r="C1436" s="32" t="s">
        <v>1254</v>
      </c>
      <c r="D1436" s="32" t="s">
        <v>114</v>
      </c>
      <c r="E1436" s="32" t="s">
        <v>366</v>
      </c>
      <c r="F1436" s="32" t="n">
        <v>9962299660</v>
      </c>
      <c r="G1436" s="32" t="s">
        <v>61</v>
      </c>
      <c r="H1436" s="32" t="s">
        <v>22</v>
      </c>
      <c r="I1436" s="32" t="s">
        <v>1255</v>
      </c>
      <c r="J1436" s="32" t="s">
        <v>66</v>
      </c>
      <c r="K1436" s="32" t="s">
        <v>63</v>
      </c>
    </row>
    <row r="1437" customFormat="false" ht="13.5" hidden="false" customHeight="true" outlineLevel="0" collapsed="false">
      <c r="A1437" s="32" t="n">
        <v>3442</v>
      </c>
      <c r="B1437" s="32" t="s">
        <v>1251</v>
      </c>
      <c r="C1437" s="32" t="s">
        <v>1253</v>
      </c>
      <c r="D1437" s="32" t="s">
        <v>114</v>
      </c>
      <c r="E1437" s="32" t="s">
        <v>366</v>
      </c>
      <c r="F1437" s="32" t="n">
        <v>9962299660</v>
      </c>
      <c r="G1437" s="32" t="s">
        <v>61</v>
      </c>
      <c r="H1437" s="32" t="s">
        <v>22</v>
      </c>
      <c r="I1437" s="32" t="s">
        <v>111</v>
      </c>
      <c r="J1437" s="32" t="s">
        <v>73</v>
      </c>
      <c r="K1437" s="32" t="s">
        <v>63</v>
      </c>
    </row>
    <row r="1438" customFormat="false" ht="13.5" hidden="false" customHeight="true" outlineLevel="0" collapsed="false">
      <c r="A1438" s="32" t="n">
        <v>3443</v>
      </c>
      <c r="B1438" s="32" t="s">
        <v>1251</v>
      </c>
      <c r="C1438" s="32" t="s">
        <v>1253</v>
      </c>
      <c r="D1438" s="32" t="s">
        <v>114</v>
      </c>
      <c r="E1438" s="32" t="s">
        <v>366</v>
      </c>
      <c r="F1438" s="33" t="n">
        <v>919962000000</v>
      </c>
      <c r="G1438" s="32" t="s">
        <v>61</v>
      </c>
      <c r="H1438" s="32" t="s">
        <v>22</v>
      </c>
      <c r="I1438" s="32" t="s">
        <v>126</v>
      </c>
      <c r="J1438" s="32" t="s">
        <v>85</v>
      </c>
      <c r="K1438" s="32" t="s">
        <v>63</v>
      </c>
    </row>
    <row r="1439" customFormat="false" ht="13.5" hidden="false" customHeight="true" outlineLevel="0" collapsed="false">
      <c r="A1439" s="32" t="n">
        <v>3444</v>
      </c>
      <c r="B1439" s="32" t="s">
        <v>1256</v>
      </c>
      <c r="C1439" s="32" t="s">
        <v>1257</v>
      </c>
      <c r="D1439" s="32" t="s">
        <v>59</v>
      </c>
      <c r="E1439" s="32" t="s">
        <v>107</v>
      </c>
      <c r="F1439" s="32" t="n">
        <v>8008526206</v>
      </c>
      <c r="G1439" s="32" t="s">
        <v>80</v>
      </c>
      <c r="H1439" s="32" t="s">
        <v>21</v>
      </c>
      <c r="I1439" s="32" t="s">
        <v>93</v>
      </c>
      <c r="J1439" s="32" t="s">
        <v>85</v>
      </c>
      <c r="K1439" s="32" t="s">
        <v>63</v>
      </c>
    </row>
    <row r="1440" customFormat="false" ht="13.5" hidden="false" customHeight="true" outlineLevel="0" collapsed="false">
      <c r="A1440" s="32" t="n">
        <v>3445</v>
      </c>
      <c r="B1440" s="32" t="s">
        <v>1256</v>
      </c>
      <c r="C1440" s="32" t="s">
        <v>1257</v>
      </c>
      <c r="D1440" s="32" t="s">
        <v>59</v>
      </c>
      <c r="E1440" s="32" t="s">
        <v>107</v>
      </c>
      <c r="F1440" s="32" t="n">
        <v>8008526206</v>
      </c>
      <c r="G1440" s="32" t="s">
        <v>80</v>
      </c>
      <c r="H1440" s="32" t="s">
        <v>21</v>
      </c>
      <c r="I1440" s="32" t="s">
        <v>76</v>
      </c>
      <c r="J1440" s="32" t="s">
        <v>76</v>
      </c>
      <c r="K1440" s="32" t="s">
        <v>63</v>
      </c>
    </row>
    <row r="1441" customFormat="false" ht="13.5" hidden="false" customHeight="true" outlineLevel="0" collapsed="false">
      <c r="A1441" s="32" t="n">
        <v>3449</v>
      </c>
      <c r="B1441" s="32" t="s">
        <v>1258</v>
      </c>
      <c r="C1441" s="32" t="s">
        <v>1259</v>
      </c>
      <c r="D1441" s="32" t="s">
        <v>114</v>
      </c>
      <c r="E1441" s="32" t="s">
        <v>115</v>
      </c>
      <c r="F1441" s="33" t="n">
        <v>919921000000</v>
      </c>
      <c r="G1441" s="32" t="s">
        <v>104</v>
      </c>
      <c r="H1441" s="32" t="s">
        <v>22</v>
      </c>
      <c r="I1441" s="32" t="s">
        <v>121</v>
      </c>
      <c r="J1441" s="32" t="s">
        <v>110</v>
      </c>
      <c r="K1441" s="32" t="s">
        <v>63</v>
      </c>
    </row>
    <row r="1442" customFormat="false" ht="13.5" hidden="false" customHeight="true" outlineLevel="0" collapsed="false">
      <c r="A1442" s="32" t="n">
        <v>3450</v>
      </c>
      <c r="B1442" s="32" t="s">
        <v>1258</v>
      </c>
      <c r="C1442" s="32" t="s">
        <v>1259</v>
      </c>
      <c r="D1442" s="32" t="s">
        <v>114</v>
      </c>
      <c r="E1442" s="32" t="s">
        <v>115</v>
      </c>
      <c r="F1442" s="33" t="n">
        <v>919921000000</v>
      </c>
      <c r="G1442" s="32" t="s">
        <v>104</v>
      </c>
      <c r="H1442" s="32" t="s">
        <v>22</v>
      </c>
      <c r="I1442" s="32" t="s">
        <v>280</v>
      </c>
      <c r="J1442" s="32" t="s">
        <v>76</v>
      </c>
      <c r="K1442" s="32" t="s">
        <v>63</v>
      </c>
    </row>
    <row r="1443" customFormat="false" ht="13.5" hidden="false" customHeight="true" outlineLevel="0" collapsed="false">
      <c r="A1443" s="32" t="n">
        <v>3451</v>
      </c>
      <c r="B1443" s="32" t="s">
        <v>1258</v>
      </c>
      <c r="C1443" s="32" t="s">
        <v>1259</v>
      </c>
      <c r="D1443" s="32" t="s">
        <v>114</v>
      </c>
      <c r="E1443" s="32" t="s">
        <v>115</v>
      </c>
      <c r="F1443" s="33" t="n">
        <v>919921000000</v>
      </c>
      <c r="G1443" s="32" t="s">
        <v>104</v>
      </c>
      <c r="H1443" s="32" t="s">
        <v>22</v>
      </c>
      <c r="I1443" s="32" t="s">
        <v>314</v>
      </c>
      <c r="J1443" s="32" t="s">
        <v>134</v>
      </c>
      <c r="K1443" s="32" t="s">
        <v>63</v>
      </c>
    </row>
    <row r="1444" customFormat="false" ht="13.5" hidden="false" customHeight="true" outlineLevel="0" collapsed="false">
      <c r="A1444" s="32" t="n">
        <v>3452</v>
      </c>
      <c r="B1444" s="32" t="s">
        <v>1260</v>
      </c>
      <c r="C1444" s="32" t="s">
        <v>1261</v>
      </c>
      <c r="D1444" s="32" t="s">
        <v>59</v>
      </c>
      <c r="E1444" s="32" t="s">
        <v>767</v>
      </c>
      <c r="F1444" s="32" t="n">
        <v>9618842418</v>
      </c>
      <c r="G1444" s="32" t="s">
        <v>80</v>
      </c>
      <c r="H1444" s="32" t="s">
        <v>21</v>
      </c>
      <c r="I1444" s="32" t="s">
        <v>291</v>
      </c>
      <c r="J1444" s="32" t="s">
        <v>132</v>
      </c>
      <c r="K1444" s="32" t="s">
        <v>63</v>
      </c>
    </row>
    <row r="1445" customFormat="false" ht="13.5" hidden="false" customHeight="true" outlineLevel="0" collapsed="false">
      <c r="A1445" s="32" t="n">
        <v>3453</v>
      </c>
      <c r="B1445" s="32" t="s">
        <v>1262</v>
      </c>
      <c r="C1445" s="32" t="s">
        <v>1263</v>
      </c>
      <c r="D1445" s="32" t="s">
        <v>114</v>
      </c>
      <c r="E1445" s="32" t="s">
        <v>115</v>
      </c>
      <c r="F1445" s="32" t="n">
        <v>9491868689</v>
      </c>
      <c r="G1445" s="32" t="s">
        <v>80</v>
      </c>
      <c r="H1445" s="32" t="s">
        <v>22</v>
      </c>
      <c r="I1445" s="32" t="s">
        <v>217</v>
      </c>
      <c r="J1445" s="32" t="s">
        <v>132</v>
      </c>
      <c r="K1445" s="32" t="s">
        <v>63</v>
      </c>
    </row>
    <row r="1446" customFormat="false" ht="13.5" hidden="false" customHeight="true" outlineLevel="0" collapsed="false">
      <c r="A1446" s="32" t="n">
        <v>3454</v>
      </c>
      <c r="B1446" s="32" t="s">
        <v>1264</v>
      </c>
      <c r="C1446" s="32" t="s">
        <v>1265</v>
      </c>
      <c r="D1446" s="32" t="s">
        <v>59</v>
      </c>
      <c r="E1446" s="32" t="s">
        <v>107</v>
      </c>
      <c r="F1446" s="32" t="n">
        <v>9133504488</v>
      </c>
      <c r="G1446" s="32" t="s">
        <v>80</v>
      </c>
      <c r="H1446" s="32" t="s">
        <v>21</v>
      </c>
      <c r="I1446" s="32" t="s">
        <v>829</v>
      </c>
      <c r="J1446" s="32" t="s">
        <v>134</v>
      </c>
      <c r="K1446" s="32" t="s">
        <v>63</v>
      </c>
    </row>
    <row r="1447" customFormat="false" ht="13.5" hidden="false" customHeight="true" outlineLevel="0" collapsed="false">
      <c r="A1447" s="32" t="n">
        <v>3455</v>
      </c>
      <c r="B1447" s="32" t="s">
        <v>1264</v>
      </c>
      <c r="C1447" s="32" t="s">
        <v>1265</v>
      </c>
      <c r="D1447" s="32" t="s">
        <v>59</v>
      </c>
      <c r="E1447" s="32" t="s">
        <v>107</v>
      </c>
      <c r="F1447" s="32" t="n">
        <v>9133504488</v>
      </c>
      <c r="G1447" s="32" t="s">
        <v>80</v>
      </c>
      <c r="H1447" s="32" t="s">
        <v>21</v>
      </c>
      <c r="I1447" s="32" t="s">
        <v>133</v>
      </c>
      <c r="J1447" s="32" t="s">
        <v>134</v>
      </c>
      <c r="K1447" s="32" t="s">
        <v>63</v>
      </c>
    </row>
    <row r="1448" customFormat="false" ht="13.5" hidden="false" customHeight="true" outlineLevel="0" collapsed="false">
      <c r="A1448" s="32" t="n">
        <v>3456</v>
      </c>
      <c r="B1448" s="32" t="s">
        <v>1264</v>
      </c>
      <c r="C1448" s="32" t="s">
        <v>1266</v>
      </c>
      <c r="D1448" s="32" t="s">
        <v>59</v>
      </c>
      <c r="E1448" s="32" t="s">
        <v>107</v>
      </c>
      <c r="F1448" s="32" t="n">
        <v>9133504488</v>
      </c>
      <c r="G1448" s="32" t="s">
        <v>80</v>
      </c>
      <c r="H1448" s="32" t="s">
        <v>21</v>
      </c>
      <c r="I1448" s="32" t="s">
        <v>248</v>
      </c>
      <c r="J1448" s="32" t="s">
        <v>117</v>
      </c>
      <c r="K1448" s="32" t="s">
        <v>63</v>
      </c>
    </row>
    <row r="1449" customFormat="false" ht="13.5" hidden="false" customHeight="true" outlineLevel="0" collapsed="false">
      <c r="A1449" s="32" t="n">
        <v>3457</v>
      </c>
      <c r="B1449" s="32" t="s">
        <v>1264</v>
      </c>
      <c r="C1449" s="32" t="s">
        <v>1266</v>
      </c>
      <c r="D1449" s="32" t="s">
        <v>59</v>
      </c>
      <c r="E1449" s="32" t="s">
        <v>107</v>
      </c>
      <c r="F1449" s="32" t="n">
        <v>9133504488</v>
      </c>
      <c r="G1449" s="32" t="s">
        <v>80</v>
      </c>
      <c r="H1449" s="32" t="s">
        <v>21</v>
      </c>
      <c r="I1449" s="32" t="s">
        <v>314</v>
      </c>
      <c r="J1449" s="32" t="s">
        <v>134</v>
      </c>
      <c r="K1449" s="32" t="s">
        <v>63</v>
      </c>
    </row>
    <row r="1450" customFormat="false" ht="13.5" hidden="false" customHeight="true" outlineLevel="0" collapsed="false">
      <c r="A1450" s="32" t="n">
        <v>3458</v>
      </c>
      <c r="B1450" s="32" t="s">
        <v>1264</v>
      </c>
      <c r="C1450" s="32" t="s">
        <v>1267</v>
      </c>
      <c r="D1450" s="32" t="s">
        <v>59</v>
      </c>
      <c r="E1450" s="32" t="s">
        <v>107</v>
      </c>
      <c r="F1450" s="32" t="n">
        <v>9133504488</v>
      </c>
      <c r="G1450" s="32" t="s">
        <v>80</v>
      </c>
      <c r="H1450" s="32" t="s">
        <v>21</v>
      </c>
      <c r="I1450" s="32" t="s">
        <v>161</v>
      </c>
      <c r="J1450" s="32" t="s">
        <v>117</v>
      </c>
      <c r="K1450" s="32" t="s">
        <v>63</v>
      </c>
    </row>
    <row r="1451" customFormat="false" ht="13.5" hidden="false" customHeight="true" outlineLevel="0" collapsed="false">
      <c r="A1451" s="32" t="n">
        <v>3459</v>
      </c>
      <c r="B1451" s="32" t="s">
        <v>1268</v>
      </c>
      <c r="C1451" s="32" t="s">
        <v>1269</v>
      </c>
      <c r="D1451" s="32" t="s">
        <v>331</v>
      </c>
      <c r="E1451" s="32" t="s">
        <v>278</v>
      </c>
      <c r="F1451" s="32" t="n">
        <v>9711992781</v>
      </c>
      <c r="G1451" s="32" t="s">
        <v>144</v>
      </c>
      <c r="H1451" s="32" t="s">
        <v>332</v>
      </c>
      <c r="I1451" s="32" t="s">
        <v>145</v>
      </c>
      <c r="J1451" s="32" t="s">
        <v>117</v>
      </c>
      <c r="K1451" s="32" t="s">
        <v>63</v>
      </c>
    </row>
    <row r="1452" customFormat="false" ht="13.5" hidden="false" customHeight="true" outlineLevel="0" collapsed="false">
      <c r="A1452" s="32" t="n">
        <v>3460</v>
      </c>
      <c r="B1452" s="32" t="s">
        <v>1270</v>
      </c>
      <c r="C1452" s="32" t="s">
        <v>1271</v>
      </c>
      <c r="D1452" s="32" t="s">
        <v>102</v>
      </c>
      <c r="E1452" s="32" t="s">
        <v>60</v>
      </c>
      <c r="F1452" s="33" t="n">
        <v>919029000000</v>
      </c>
      <c r="G1452" s="32" t="s">
        <v>104</v>
      </c>
      <c r="H1452" s="32" t="s">
        <v>21</v>
      </c>
      <c r="I1452" s="32" t="s">
        <v>14</v>
      </c>
      <c r="J1452" s="32" t="s">
        <v>66</v>
      </c>
      <c r="K1452" s="32" t="s">
        <v>63</v>
      </c>
    </row>
    <row r="1453" customFormat="false" ht="13.5" hidden="false" customHeight="true" outlineLevel="0" collapsed="false">
      <c r="A1453" s="32" t="n">
        <v>3461</v>
      </c>
      <c r="B1453" s="32" t="s">
        <v>1270</v>
      </c>
      <c r="C1453" s="32" t="s">
        <v>1272</v>
      </c>
      <c r="D1453" s="32" t="s">
        <v>102</v>
      </c>
      <c r="E1453" s="32" t="s">
        <v>60</v>
      </c>
      <c r="F1453" s="33" t="n">
        <v>919029000000</v>
      </c>
      <c r="G1453" s="32" t="s">
        <v>104</v>
      </c>
      <c r="H1453" s="32" t="s">
        <v>21</v>
      </c>
      <c r="I1453" s="32" t="s">
        <v>29</v>
      </c>
      <c r="J1453" s="32" t="s">
        <v>62</v>
      </c>
      <c r="K1453" s="32" t="s">
        <v>63</v>
      </c>
    </row>
    <row r="1454" customFormat="false" ht="13.5" hidden="false" customHeight="true" outlineLevel="0" collapsed="false">
      <c r="A1454" s="32" t="n">
        <v>3462</v>
      </c>
      <c r="B1454" s="32" t="s">
        <v>1270</v>
      </c>
      <c r="C1454" s="32" t="s">
        <v>1272</v>
      </c>
      <c r="D1454" s="32" t="s">
        <v>102</v>
      </c>
      <c r="E1454" s="32" t="s">
        <v>60</v>
      </c>
      <c r="F1454" s="33" t="n">
        <v>919029000000</v>
      </c>
      <c r="G1454" s="32" t="s">
        <v>104</v>
      </c>
      <c r="H1454" s="32" t="s">
        <v>21</v>
      </c>
      <c r="I1454" s="32" t="s">
        <v>156</v>
      </c>
      <c r="J1454" s="32" t="s">
        <v>62</v>
      </c>
      <c r="K1454" s="32" t="s">
        <v>63</v>
      </c>
    </row>
    <row r="1455" customFormat="false" ht="13.5" hidden="false" customHeight="true" outlineLevel="0" collapsed="false">
      <c r="A1455" s="32" t="n">
        <v>3463</v>
      </c>
      <c r="B1455" s="32" t="s">
        <v>1273</v>
      </c>
      <c r="C1455" s="32" t="s">
        <v>1274</v>
      </c>
      <c r="D1455" s="32" t="s">
        <v>59</v>
      </c>
      <c r="E1455" s="32" t="s">
        <v>60</v>
      </c>
      <c r="F1455" s="33" t="n">
        <v>918447000000</v>
      </c>
      <c r="G1455" s="32" t="s">
        <v>69</v>
      </c>
      <c r="H1455" s="32" t="s">
        <v>21</v>
      </c>
      <c r="I1455" s="32" t="s">
        <v>248</v>
      </c>
      <c r="J1455" s="32" t="s">
        <v>117</v>
      </c>
      <c r="K1455" s="32" t="s">
        <v>63</v>
      </c>
    </row>
    <row r="1456" customFormat="false" ht="13.5" hidden="false" customHeight="true" outlineLevel="0" collapsed="false">
      <c r="A1456" s="32" t="n">
        <v>3464</v>
      </c>
      <c r="B1456" s="32" t="s">
        <v>1273</v>
      </c>
      <c r="C1456" s="32" t="s">
        <v>1274</v>
      </c>
      <c r="D1456" s="32" t="s">
        <v>59</v>
      </c>
      <c r="E1456" s="32" t="s">
        <v>60</v>
      </c>
      <c r="F1456" s="33" t="n">
        <v>918447000000</v>
      </c>
      <c r="G1456" s="32" t="s">
        <v>69</v>
      </c>
      <c r="H1456" s="32" t="s">
        <v>21</v>
      </c>
      <c r="I1456" s="32" t="s">
        <v>146</v>
      </c>
      <c r="J1456" s="32" t="s">
        <v>117</v>
      </c>
      <c r="K1456" s="32" t="s">
        <v>63</v>
      </c>
    </row>
    <row r="1457" customFormat="false" ht="13.5" hidden="false" customHeight="true" outlineLevel="0" collapsed="false">
      <c r="A1457" s="32" t="n">
        <v>3465</v>
      </c>
      <c r="B1457" s="32" t="s">
        <v>1273</v>
      </c>
      <c r="C1457" s="32" t="s">
        <v>1274</v>
      </c>
      <c r="D1457" s="32" t="s">
        <v>59</v>
      </c>
      <c r="E1457" s="32" t="s">
        <v>60</v>
      </c>
      <c r="F1457" s="33" t="n">
        <v>918447000000</v>
      </c>
      <c r="G1457" s="32" t="s">
        <v>69</v>
      </c>
      <c r="H1457" s="32" t="s">
        <v>21</v>
      </c>
      <c r="I1457" s="32" t="s">
        <v>284</v>
      </c>
      <c r="J1457" s="32" t="s">
        <v>117</v>
      </c>
      <c r="K1457" s="32" t="s">
        <v>63</v>
      </c>
    </row>
    <row r="1458" customFormat="false" ht="13.5" hidden="false" customHeight="true" outlineLevel="0" collapsed="false">
      <c r="A1458" s="32" t="n">
        <v>3466</v>
      </c>
      <c r="B1458" s="32" t="s">
        <v>1275</v>
      </c>
      <c r="C1458" s="32" t="s">
        <v>1276</v>
      </c>
      <c r="D1458" s="32" t="s">
        <v>59</v>
      </c>
      <c r="E1458" s="32" t="s">
        <v>107</v>
      </c>
      <c r="F1458" s="32" t="n">
        <v>9766495986</v>
      </c>
      <c r="G1458" s="32" t="s">
        <v>69</v>
      </c>
      <c r="H1458" s="32" t="s">
        <v>21</v>
      </c>
      <c r="I1458" s="32" t="s">
        <v>145</v>
      </c>
      <c r="J1458" s="32" t="s">
        <v>117</v>
      </c>
      <c r="K1458" s="32" t="s">
        <v>63</v>
      </c>
    </row>
    <row r="1459" customFormat="false" ht="13.5" hidden="false" customHeight="true" outlineLevel="0" collapsed="false">
      <c r="A1459" s="32" t="n">
        <v>3467</v>
      </c>
      <c r="B1459" s="32" t="s">
        <v>1275</v>
      </c>
      <c r="C1459" s="32" t="s">
        <v>1277</v>
      </c>
      <c r="D1459" s="32" t="s">
        <v>59</v>
      </c>
      <c r="E1459" s="32" t="s">
        <v>107</v>
      </c>
      <c r="F1459" s="32" t="n">
        <v>9766495986</v>
      </c>
      <c r="G1459" s="32" t="s">
        <v>69</v>
      </c>
      <c r="H1459" s="32" t="s">
        <v>21</v>
      </c>
      <c r="I1459" s="32" t="s">
        <v>121</v>
      </c>
      <c r="J1459" s="32" t="s">
        <v>110</v>
      </c>
      <c r="K1459" s="32" t="s">
        <v>63</v>
      </c>
    </row>
    <row r="1460" customFormat="false" ht="13.5" hidden="false" customHeight="true" outlineLevel="0" collapsed="false">
      <c r="A1460" s="32" t="n">
        <v>3468</v>
      </c>
      <c r="B1460" s="32" t="s">
        <v>1275</v>
      </c>
      <c r="C1460" s="32" t="s">
        <v>1277</v>
      </c>
      <c r="D1460" s="32" t="s">
        <v>59</v>
      </c>
      <c r="E1460" s="32" t="s">
        <v>107</v>
      </c>
      <c r="F1460" s="32" t="n">
        <v>9766495986</v>
      </c>
      <c r="G1460" s="32" t="s">
        <v>69</v>
      </c>
      <c r="H1460" s="32" t="s">
        <v>21</v>
      </c>
      <c r="I1460" s="32" t="s">
        <v>133</v>
      </c>
      <c r="J1460" s="32" t="s">
        <v>134</v>
      </c>
      <c r="K1460" s="32" t="s">
        <v>63</v>
      </c>
    </row>
    <row r="1461" customFormat="false" ht="13.5" hidden="false" customHeight="true" outlineLevel="0" collapsed="false">
      <c r="A1461" s="32" t="n">
        <v>3469</v>
      </c>
      <c r="B1461" s="32" t="s">
        <v>1278</v>
      </c>
      <c r="C1461" s="32" t="s">
        <v>1279</v>
      </c>
      <c r="D1461" s="32" t="s">
        <v>114</v>
      </c>
      <c r="E1461" s="32" t="s">
        <v>268</v>
      </c>
      <c r="F1461" s="32" t="n">
        <v>0</v>
      </c>
      <c r="G1461" s="32" t="s">
        <v>140</v>
      </c>
      <c r="H1461" s="32" t="s">
        <v>22</v>
      </c>
      <c r="I1461" s="32" t="s">
        <v>29</v>
      </c>
      <c r="J1461" s="32" t="s">
        <v>62</v>
      </c>
      <c r="K1461" s="32" t="s">
        <v>63</v>
      </c>
    </row>
    <row r="1462" customFormat="false" ht="13.5" hidden="false" customHeight="true" outlineLevel="0" collapsed="false">
      <c r="A1462" s="32" t="n">
        <v>3470</v>
      </c>
      <c r="B1462" s="32" t="s">
        <v>1278</v>
      </c>
      <c r="C1462" s="32" t="s">
        <v>1280</v>
      </c>
      <c r="D1462" s="32" t="s">
        <v>114</v>
      </c>
      <c r="E1462" s="32" t="s">
        <v>268</v>
      </c>
      <c r="F1462" s="32" t="n">
        <v>0</v>
      </c>
      <c r="G1462" s="32" t="s">
        <v>140</v>
      </c>
      <c r="H1462" s="32" t="s">
        <v>22</v>
      </c>
      <c r="I1462" s="32" t="s">
        <v>14</v>
      </c>
      <c r="J1462" s="32" t="s">
        <v>66</v>
      </c>
      <c r="K1462" s="32" t="s">
        <v>63</v>
      </c>
    </row>
    <row r="1463" customFormat="false" ht="13.5" hidden="false" customHeight="true" outlineLevel="0" collapsed="false">
      <c r="A1463" s="32" t="n">
        <v>3471</v>
      </c>
      <c r="B1463" s="32" t="s">
        <v>1278</v>
      </c>
      <c r="C1463" s="32" t="s">
        <v>1280</v>
      </c>
      <c r="D1463" s="32" t="s">
        <v>114</v>
      </c>
      <c r="E1463" s="32" t="s">
        <v>268</v>
      </c>
      <c r="F1463" s="32" t="n">
        <v>0</v>
      </c>
      <c r="G1463" s="32" t="s">
        <v>140</v>
      </c>
      <c r="H1463" s="32" t="s">
        <v>22</v>
      </c>
      <c r="I1463" s="32" t="s">
        <v>166</v>
      </c>
      <c r="J1463" s="32" t="s">
        <v>66</v>
      </c>
      <c r="K1463" s="32" t="s">
        <v>63</v>
      </c>
    </row>
    <row r="1464" customFormat="false" ht="13.5" hidden="false" customHeight="true" outlineLevel="0" collapsed="false">
      <c r="A1464" s="32" t="n">
        <v>3472</v>
      </c>
      <c r="B1464" s="32" t="s">
        <v>1281</v>
      </c>
      <c r="C1464" s="32" t="s">
        <v>1282</v>
      </c>
      <c r="D1464" s="32" t="s">
        <v>114</v>
      </c>
      <c r="E1464" s="32" t="s">
        <v>115</v>
      </c>
      <c r="F1464" s="32" t="n">
        <v>7768870346</v>
      </c>
      <c r="G1464" s="32" t="s">
        <v>80</v>
      </c>
      <c r="H1464" s="32" t="s">
        <v>22</v>
      </c>
      <c r="I1464" s="32" t="s">
        <v>150</v>
      </c>
      <c r="J1464" s="32" t="s">
        <v>73</v>
      </c>
      <c r="K1464" s="32" t="s">
        <v>63</v>
      </c>
    </row>
    <row r="1465" customFormat="false" ht="13.5" hidden="false" customHeight="true" outlineLevel="0" collapsed="false">
      <c r="A1465" s="32" t="n">
        <v>3473</v>
      </c>
      <c r="B1465" s="32" t="s">
        <v>1281</v>
      </c>
      <c r="C1465" s="32" t="s">
        <v>1282</v>
      </c>
      <c r="D1465" s="32" t="s">
        <v>114</v>
      </c>
      <c r="E1465" s="32" t="s">
        <v>115</v>
      </c>
      <c r="F1465" s="32" t="n">
        <v>7768870346</v>
      </c>
      <c r="G1465" s="32" t="s">
        <v>80</v>
      </c>
      <c r="H1465" s="32" t="s">
        <v>22</v>
      </c>
      <c r="I1465" s="32" t="s">
        <v>149</v>
      </c>
      <c r="J1465" s="32" t="s">
        <v>73</v>
      </c>
      <c r="K1465" s="32" t="s">
        <v>63</v>
      </c>
    </row>
    <row r="1466" customFormat="false" ht="13.5" hidden="false" customHeight="true" outlineLevel="0" collapsed="false">
      <c r="A1466" s="32" t="n">
        <v>3474</v>
      </c>
      <c r="B1466" s="32" t="s">
        <v>1281</v>
      </c>
      <c r="C1466" s="32" t="s">
        <v>1282</v>
      </c>
      <c r="D1466" s="32" t="s">
        <v>114</v>
      </c>
      <c r="E1466" s="32" t="s">
        <v>115</v>
      </c>
      <c r="F1466" s="32" t="n">
        <v>7768870346</v>
      </c>
      <c r="G1466" s="32" t="s">
        <v>80</v>
      </c>
      <c r="H1466" s="32" t="s">
        <v>22</v>
      </c>
      <c r="I1466" s="32" t="s">
        <v>156</v>
      </c>
      <c r="J1466" s="32" t="s">
        <v>62</v>
      </c>
      <c r="K1466" s="32" t="s">
        <v>63</v>
      </c>
    </row>
    <row r="1467" customFormat="false" ht="13.5" hidden="false" customHeight="true" outlineLevel="0" collapsed="false">
      <c r="A1467" s="32" t="n">
        <v>3475</v>
      </c>
      <c r="B1467" s="32" t="s">
        <v>1281</v>
      </c>
      <c r="C1467" s="32" t="s">
        <v>1282</v>
      </c>
      <c r="D1467" s="32" t="s">
        <v>114</v>
      </c>
      <c r="E1467" s="32" t="s">
        <v>115</v>
      </c>
      <c r="F1467" s="32" t="n">
        <v>7768870346</v>
      </c>
      <c r="G1467" s="32" t="s">
        <v>80</v>
      </c>
      <c r="H1467" s="32" t="s">
        <v>22</v>
      </c>
      <c r="I1467" s="32" t="s">
        <v>111</v>
      </c>
      <c r="J1467" s="32" t="s">
        <v>73</v>
      </c>
      <c r="K1467" s="32" t="s">
        <v>63</v>
      </c>
    </row>
    <row r="1468" customFormat="false" ht="13.5" hidden="false" customHeight="true" outlineLevel="0" collapsed="false">
      <c r="A1468" s="32" t="n">
        <v>3476</v>
      </c>
      <c r="B1468" s="32" t="s">
        <v>1283</v>
      </c>
      <c r="C1468" s="32" t="s">
        <v>1284</v>
      </c>
      <c r="D1468" s="32" t="s">
        <v>102</v>
      </c>
      <c r="E1468" s="32" t="s">
        <v>103</v>
      </c>
      <c r="F1468" s="32" t="n">
        <v>0</v>
      </c>
      <c r="G1468" s="32" t="s">
        <v>144</v>
      </c>
      <c r="H1468" s="32" t="s">
        <v>21</v>
      </c>
      <c r="I1468" s="32" t="s">
        <v>829</v>
      </c>
      <c r="J1468" s="32" t="s">
        <v>134</v>
      </c>
      <c r="K1468" s="32" t="s">
        <v>63</v>
      </c>
    </row>
    <row r="1469" customFormat="false" ht="13.5" hidden="false" customHeight="true" outlineLevel="0" collapsed="false">
      <c r="A1469" s="32" t="n">
        <v>3477</v>
      </c>
      <c r="B1469" s="32" t="s">
        <v>1283</v>
      </c>
      <c r="C1469" s="32" t="s">
        <v>1284</v>
      </c>
      <c r="D1469" s="32" t="s">
        <v>102</v>
      </c>
      <c r="E1469" s="32" t="s">
        <v>103</v>
      </c>
      <c r="F1469" s="32" t="n">
        <v>0</v>
      </c>
      <c r="G1469" s="32" t="s">
        <v>144</v>
      </c>
      <c r="H1469" s="32" t="s">
        <v>21</v>
      </c>
      <c r="I1469" s="32" t="s">
        <v>30</v>
      </c>
      <c r="J1469" s="32" t="s">
        <v>203</v>
      </c>
      <c r="K1469" s="32" t="s">
        <v>63</v>
      </c>
    </row>
    <row r="1470" customFormat="false" ht="13.5" hidden="false" customHeight="true" outlineLevel="0" collapsed="false">
      <c r="A1470" s="32" t="n">
        <v>3478</v>
      </c>
      <c r="B1470" s="32" t="s">
        <v>1283</v>
      </c>
      <c r="C1470" s="32" t="s">
        <v>1284</v>
      </c>
      <c r="D1470" s="32" t="s">
        <v>102</v>
      </c>
      <c r="E1470" s="32" t="s">
        <v>103</v>
      </c>
      <c r="F1470" s="32" t="n">
        <v>0</v>
      </c>
      <c r="G1470" s="32" t="s">
        <v>144</v>
      </c>
      <c r="H1470" s="32" t="s">
        <v>21</v>
      </c>
      <c r="I1470" s="32" t="s">
        <v>27</v>
      </c>
      <c r="J1470" s="32" t="s">
        <v>13</v>
      </c>
      <c r="K1470" s="32" t="s">
        <v>63</v>
      </c>
    </row>
    <row r="1471" customFormat="false" ht="13.5" hidden="false" customHeight="true" outlineLevel="0" collapsed="false">
      <c r="A1471" s="32" t="n">
        <v>3479</v>
      </c>
      <c r="B1471" s="32" t="s">
        <v>1283</v>
      </c>
      <c r="C1471" s="32" t="s">
        <v>1284</v>
      </c>
      <c r="D1471" s="32" t="s">
        <v>102</v>
      </c>
      <c r="E1471" s="32" t="s">
        <v>103</v>
      </c>
      <c r="F1471" s="32" t="n">
        <v>0</v>
      </c>
      <c r="G1471" s="32" t="s">
        <v>144</v>
      </c>
      <c r="H1471" s="32" t="s">
        <v>21</v>
      </c>
      <c r="I1471" s="32" t="s">
        <v>85</v>
      </c>
      <c r="J1471" s="32" t="s">
        <v>85</v>
      </c>
      <c r="K1471" s="32" t="s">
        <v>63</v>
      </c>
    </row>
    <row r="1472" customFormat="false" ht="13.5" hidden="false" customHeight="true" outlineLevel="0" collapsed="false">
      <c r="A1472" s="32" t="n">
        <v>3480</v>
      </c>
      <c r="B1472" s="32" t="s">
        <v>1285</v>
      </c>
      <c r="C1472" s="32" t="s">
        <v>1286</v>
      </c>
      <c r="D1472" s="32" t="s">
        <v>114</v>
      </c>
      <c r="E1472" s="32" t="s">
        <v>165</v>
      </c>
      <c r="F1472" s="32" t="n">
        <v>8142602597</v>
      </c>
      <c r="G1472" s="32" t="s">
        <v>80</v>
      </c>
      <c r="H1472" s="32" t="s">
        <v>22</v>
      </c>
      <c r="I1472" s="32" t="s">
        <v>284</v>
      </c>
      <c r="J1472" s="32" t="s">
        <v>117</v>
      </c>
      <c r="K1472" s="32" t="s">
        <v>63</v>
      </c>
    </row>
    <row r="1473" customFormat="false" ht="13.5" hidden="false" customHeight="true" outlineLevel="0" collapsed="false">
      <c r="A1473" s="32" t="n">
        <v>3481</v>
      </c>
      <c r="B1473" s="32" t="s">
        <v>1285</v>
      </c>
      <c r="C1473" s="32" t="s">
        <v>1286</v>
      </c>
      <c r="D1473" s="32" t="s">
        <v>114</v>
      </c>
      <c r="E1473" s="32" t="s">
        <v>165</v>
      </c>
      <c r="F1473" s="32" t="n">
        <v>8142602597</v>
      </c>
      <c r="G1473" s="32" t="s">
        <v>80</v>
      </c>
      <c r="H1473" s="32" t="s">
        <v>22</v>
      </c>
      <c r="I1473" s="32" t="s">
        <v>151</v>
      </c>
      <c r="J1473" s="32" t="s">
        <v>152</v>
      </c>
      <c r="K1473" s="32" t="s">
        <v>63</v>
      </c>
    </row>
    <row r="1474" customFormat="false" ht="13.5" hidden="false" customHeight="true" outlineLevel="0" collapsed="false">
      <c r="A1474" s="32" t="n">
        <v>3482</v>
      </c>
      <c r="B1474" s="32" t="s">
        <v>1285</v>
      </c>
      <c r="C1474" s="32" t="s">
        <v>1287</v>
      </c>
      <c r="D1474" s="32" t="s">
        <v>114</v>
      </c>
      <c r="E1474" s="32" t="s">
        <v>165</v>
      </c>
      <c r="F1474" s="32" t="n">
        <v>8142602597</v>
      </c>
      <c r="G1474" s="32" t="s">
        <v>80</v>
      </c>
      <c r="H1474" s="32" t="s">
        <v>22</v>
      </c>
      <c r="I1474" s="32" t="s">
        <v>156</v>
      </c>
      <c r="J1474" s="32" t="s">
        <v>62</v>
      </c>
      <c r="K1474" s="32" t="s">
        <v>63</v>
      </c>
    </row>
    <row r="1475" customFormat="false" ht="13.5" hidden="false" customHeight="true" outlineLevel="0" collapsed="false">
      <c r="A1475" s="32" t="n">
        <v>3483</v>
      </c>
      <c r="B1475" s="32" t="s">
        <v>1285</v>
      </c>
      <c r="C1475" s="32" t="s">
        <v>1288</v>
      </c>
      <c r="D1475" s="32" t="s">
        <v>114</v>
      </c>
      <c r="E1475" s="32" t="s">
        <v>165</v>
      </c>
      <c r="F1475" s="32" t="n">
        <v>8142602597</v>
      </c>
      <c r="G1475" s="32" t="s">
        <v>80</v>
      </c>
      <c r="H1475" s="32" t="s">
        <v>22</v>
      </c>
      <c r="I1475" s="32" t="s">
        <v>14</v>
      </c>
      <c r="J1475" s="32" t="s">
        <v>66</v>
      </c>
      <c r="K1475" s="32" t="s">
        <v>63</v>
      </c>
    </row>
    <row r="1476" customFormat="false" ht="13.5" hidden="false" customHeight="true" outlineLevel="0" collapsed="false">
      <c r="A1476" s="32" t="n">
        <v>3484</v>
      </c>
      <c r="B1476" s="32" t="s">
        <v>1289</v>
      </c>
      <c r="C1476" s="32" t="s">
        <v>1290</v>
      </c>
      <c r="D1476" s="32" t="s">
        <v>114</v>
      </c>
      <c r="E1476" s="32" t="s">
        <v>115</v>
      </c>
      <c r="F1476" s="32" t="n">
        <v>7275090868</v>
      </c>
      <c r="G1476" s="32" t="s">
        <v>144</v>
      </c>
      <c r="H1476" s="32" t="s">
        <v>22</v>
      </c>
      <c r="I1476" s="32" t="s">
        <v>98</v>
      </c>
      <c r="J1476" s="32" t="s">
        <v>99</v>
      </c>
      <c r="K1476" s="32" t="s">
        <v>63</v>
      </c>
    </row>
    <row r="1477" customFormat="false" ht="13.5" hidden="false" customHeight="true" outlineLevel="0" collapsed="false">
      <c r="A1477" s="32" t="n">
        <v>3485</v>
      </c>
      <c r="B1477" s="32" t="s">
        <v>1289</v>
      </c>
      <c r="C1477" s="32" t="s">
        <v>1290</v>
      </c>
      <c r="D1477" s="32" t="s">
        <v>114</v>
      </c>
      <c r="E1477" s="32" t="s">
        <v>115</v>
      </c>
      <c r="F1477" s="32" t="n">
        <v>7275090868</v>
      </c>
      <c r="G1477" s="32" t="s">
        <v>144</v>
      </c>
      <c r="H1477" s="32" t="s">
        <v>22</v>
      </c>
      <c r="I1477" s="32" t="s">
        <v>133</v>
      </c>
      <c r="J1477" s="32" t="s">
        <v>134</v>
      </c>
      <c r="K1477" s="32" t="s">
        <v>63</v>
      </c>
    </row>
    <row r="1478" customFormat="false" ht="13.5" hidden="false" customHeight="true" outlineLevel="0" collapsed="false">
      <c r="A1478" s="32" t="n">
        <v>3486</v>
      </c>
      <c r="B1478" s="32" t="s">
        <v>1291</v>
      </c>
      <c r="C1478" s="32" t="s">
        <v>1292</v>
      </c>
      <c r="D1478" s="32" t="s">
        <v>59</v>
      </c>
      <c r="E1478" s="32" t="s">
        <v>107</v>
      </c>
      <c r="F1478" s="32" t="n">
        <v>0</v>
      </c>
      <c r="G1478" s="32" t="s">
        <v>80</v>
      </c>
      <c r="H1478" s="32" t="s">
        <v>21</v>
      </c>
      <c r="I1478" s="32" t="s">
        <v>108</v>
      </c>
      <c r="J1478" s="32" t="s">
        <v>71</v>
      </c>
      <c r="K1478" s="32" t="s">
        <v>63</v>
      </c>
    </row>
    <row r="1479" customFormat="false" ht="13.5" hidden="false" customHeight="true" outlineLevel="0" collapsed="false">
      <c r="A1479" s="32" t="n">
        <v>3487</v>
      </c>
      <c r="B1479" s="32" t="s">
        <v>1291</v>
      </c>
      <c r="C1479" s="32" t="s">
        <v>1292</v>
      </c>
      <c r="D1479" s="32" t="s">
        <v>59</v>
      </c>
      <c r="E1479" s="32" t="s">
        <v>107</v>
      </c>
      <c r="F1479" s="32" t="n">
        <v>0</v>
      </c>
      <c r="G1479" s="32" t="s">
        <v>61</v>
      </c>
      <c r="H1479" s="32" t="s">
        <v>21</v>
      </c>
      <c r="I1479" s="32" t="s">
        <v>16</v>
      </c>
      <c r="J1479" s="32" t="s">
        <v>73</v>
      </c>
      <c r="K1479" s="32" t="s">
        <v>63</v>
      </c>
    </row>
    <row r="1480" customFormat="false" ht="13.5" hidden="false" customHeight="true" outlineLevel="0" collapsed="false">
      <c r="A1480" s="32" t="n">
        <v>3488</v>
      </c>
      <c r="B1480" s="32" t="s">
        <v>1291</v>
      </c>
      <c r="C1480" s="32" t="s">
        <v>1292</v>
      </c>
      <c r="D1480" s="32" t="s">
        <v>59</v>
      </c>
      <c r="E1480" s="32" t="s">
        <v>107</v>
      </c>
      <c r="F1480" s="32" t="n">
        <v>0</v>
      </c>
      <c r="G1480" s="32" t="s">
        <v>61</v>
      </c>
      <c r="H1480" s="32" t="s">
        <v>21</v>
      </c>
      <c r="I1480" s="32" t="s">
        <v>133</v>
      </c>
      <c r="J1480" s="32" t="s">
        <v>134</v>
      </c>
      <c r="K1480" s="32" t="s">
        <v>63</v>
      </c>
    </row>
    <row r="1481" customFormat="false" ht="13.5" hidden="false" customHeight="true" outlineLevel="0" collapsed="false">
      <c r="A1481" s="32" t="n">
        <v>3489</v>
      </c>
      <c r="B1481" s="32" t="s">
        <v>1293</v>
      </c>
      <c r="C1481" s="32" t="s">
        <v>1294</v>
      </c>
      <c r="D1481" s="32" t="s">
        <v>114</v>
      </c>
      <c r="E1481" s="32" t="s">
        <v>268</v>
      </c>
      <c r="F1481" s="32" t="n">
        <v>9538156950</v>
      </c>
      <c r="G1481" s="32" t="s">
        <v>80</v>
      </c>
      <c r="H1481" s="32" t="s">
        <v>22</v>
      </c>
      <c r="I1481" s="32" t="s">
        <v>156</v>
      </c>
      <c r="J1481" s="32" t="s">
        <v>62</v>
      </c>
      <c r="K1481" s="32" t="s">
        <v>63</v>
      </c>
    </row>
    <row r="1482" customFormat="false" ht="13.5" hidden="false" customHeight="true" outlineLevel="0" collapsed="false">
      <c r="A1482" s="32" t="n">
        <v>3490</v>
      </c>
      <c r="B1482" s="32" t="s">
        <v>1293</v>
      </c>
      <c r="C1482" s="32" t="s">
        <v>1294</v>
      </c>
      <c r="D1482" s="32" t="s">
        <v>114</v>
      </c>
      <c r="E1482" s="32" t="s">
        <v>268</v>
      </c>
      <c r="F1482" s="32" t="n">
        <v>9538156950</v>
      </c>
      <c r="G1482" s="32" t="s">
        <v>80</v>
      </c>
      <c r="H1482" s="32" t="s">
        <v>22</v>
      </c>
      <c r="I1482" s="32" t="s">
        <v>75</v>
      </c>
      <c r="J1482" s="32" t="s">
        <v>76</v>
      </c>
      <c r="K1482" s="32" t="s">
        <v>63</v>
      </c>
    </row>
    <row r="1483" customFormat="false" ht="13.5" hidden="false" customHeight="true" outlineLevel="0" collapsed="false">
      <c r="A1483" s="32" t="n">
        <v>3491</v>
      </c>
      <c r="B1483" s="32" t="s">
        <v>1293</v>
      </c>
      <c r="C1483" s="32" t="s">
        <v>1294</v>
      </c>
      <c r="D1483" s="32" t="s">
        <v>114</v>
      </c>
      <c r="E1483" s="32" t="s">
        <v>268</v>
      </c>
      <c r="F1483" s="32" t="n">
        <v>9538156950</v>
      </c>
      <c r="G1483" s="32" t="s">
        <v>80</v>
      </c>
      <c r="H1483" s="32" t="s">
        <v>22</v>
      </c>
      <c r="I1483" s="32" t="s">
        <v>133</v>
      </c>
      <c r="J1483" s="32" t="s">
        <v>134</v>
      </c>
      <c r="K1483" s="32" t="s">
        <v>63</v>
      </c>
    </row>
    <row r="1484" customFormat="false" ht="13.5" hidden="false" customHeight="true" outlineLevel="0" collapsed="false">
      <c r="A1484" s="32" t="n">
        <v>3492</v>
      </c>
      <c r="B1484" s="32" t="s">
        <v>1293</v>
      </c>
      <c r="C1484" s="32" t="s">
        <v>1295</v>
      </c>
      <c r="D1484" s="32" t="s">
        <v>114</v>
      </c>
      <c r="E1484" s="32" t="s">
        <v>268</v>
      </c>
      <c r="F1484" s="32" t="n">
        <v>9538156950</v>
      </c>
      <c r="G1484" s="32" t="s">
        <v>80</v>
      </c>
      <c r="H1484" s="32" t="s">
        <v>22</v>
      </c>
      <c r="I1484" s="32" t="s">
        <v>14</v>
      </c>
      <c r="J1484" s="32" t="s">
        <v>66</v>
      </c>
      <c r="K1484" s="32" t="s">
        <v>63</v>
      </c>
    </row>
    <row r="1485" customFormat="false" ht="13.5" hidden="false" customHeight="true" outlineLevel="0" collapsed="false">
      <c r="A1485" s="32" t="n">
        <v>3493</v>
      </c>
      <c r="B1485" s="32" t="s">
        <v>1296</v>
      </c>
      <c r="C1485" s="32" t="s">
        <v>1297</v>
      </c>
      <c r="D1485" s="32" t="s">
        <v>114</v>
      </c>
      <c r="E1485" s="32" t="s">
        <v>115</v>
      </c>
      <c r="F1485" s="32" t="n">
        <v>7506660218</v>
      </c>
      <c r="G1485" s="32" t="s">
        <v>104</v>
      </c>
      <c r="H1485" s="32" t="s">
        <v>22</v>
      </c>
      <c r="I1485" s="32" t="s">
        <v>145</v>
      </c>
      <c r="J1485" s="32" t="s">
        <v>117</v>
      </c>
      <c r="K1485" s="32" t="s">
        <v>63</v>
      </c>
    </row>
    <row r="1486" customFormat="false" ht="13.5" hidden="false" customHeight="true" outlineLevel="0" collapsed="false">
      <c r="A1486" s="32" t="n">
        <v>3494</v>
      </c>
      <c r="B1486" s="32" t="s">
        <v>1296</v>
      </c>
      <c r="C1486" s="32" t="s">
        <v>1297</v>
      </c>
      <c r="D1486" s="32" t="s">
        <v>114</v>
      </c>
      <c r="E1486" s="32" t="s">
        <v>115</v>
      </c>
      <c r="F1486" s="32" t="n">
        <v>7506660218</v>
      </c>
      <c r="G1486" s="32" t="s">
        <v>104</v>
      </c>
      <c r="H1486" s="32" t="s">
        <v>22</v>
      </c>
      <c r="I1486" s="32" t="s">
        <v>28</v>
      </c>
      <c r="J1486" s="32" t="s">
        <v>82</v>
      </c>
      <c r="K1486" s="32" t="s">
        <v>63</v>
      </c>
    </row>
    <row r="1487" customFormat="false" ht="13.5" hidden="false" customHeight="true" outlineLevel="0" collapsed="false">
      <c r="A1487" s="32" t="n">
        <v>3495</v>
      </c>
      <c r="B1487" s="32" t="s">
        <v>1298</v>
      </c>
      <c r="C1487" s="32" t="s">
        <v>1299</v>
      </c>
      <c r="D1487" s="32" t="s">
        <v>114</v>
      </c>
      <c r="E1487" s="32" t="s">
        <v>268</v>
      </c>
      <c r="F1487" s="32" t="n">
        <v>9742633909</v>
      </c>
      <c r="G1487" s="32" t="s">
        <v>61</v>
      </c>
      <c r="H1487" s="32" t="s">
        <v>22</v>
      </c>
      <c r="I1487" s="32" t="s">
        <v>156</v>
      </c>
      <c r="J1487" s="32" t="s">
        <v>62</v>
      </c>
      <c r="K1487" s="32" t="s">
        <v>63</v>
      </c>
    </row>
    <row r="1488" customFormat="false" ht="13.5" hidden="false" customHeight="true" outlineLevel="0" collapsed="false">
      <c r="A1488" s="32" t="n">
        <v>3496</v>
      </c>
      <c r="B1488" s="32" t="s">
        <v>1298</v>
      </c>
      <c r="C1488" s="32" t="s">
        <v>1299</v>
      </c>
      <c r="D1488" s="32" t="s">
        <v>114</v>
      </c>
      <c r="E1488" s="32" t="s">
        <v>268</v>
      </c>
      <c r="F1488" s="32" t="n">
        <v>9742633909</v>
      </c>
      <c r="G1488" s="32" t="s">
        <v>61</v>
      </c>
      <c r="H1488" s="32" t="s">
        <v>22</v>
      </c>
      <c r="I1488" s="32" t="s">
        <v>29</v>
      </c>
      <c r="J1488" s="32" t="s">
        <v>62</v>
      </c>
      <c r="K1488" s="32" t="s">
        <v>63</v>
      </c>
    </row>
    <row r="1489" customFormat="false" ht="13.5" hidden="false" customHeight="true" outlineLevel="0" collapsed="false">
      <c r="A1489" s="32" t="n">
        <v>3498</v>
      </c>
      <c r="B1489" s="32" t="s">
        <v>1298</v>
      </c>
      <c r="C1489" s="32" t="s">
        <v>1299</v>
      </c>
      <c r="D1489" s="32" t="s">
        <v>114</v>
      </c>
      <c r="E1489" s="32" t="s">
        <v>268</v>
      </c>
      <c r="F1489" s="32" t="n">
        <v>9742633909</v>
      </c>
      <c r="G1489" s="32" t="s">
        <v>61</v>
      </c>
      <c r="H1489" s="32" t="s">
        <v>22</v>
      </c>
      <c r="I1489" s="32" t="s">
        <v>14</v>
      </c>
      <c r="J1489" s="32" t="s">
        <v>66</v>
      </c>
      <c r="K1489" s="32" t="s">
        <v>63</v>
      </c>
    </row>
    <row r="1490" customFormat="false" ht="13.5" hidden="false" customHeight="true" outlineLevel="0" collapsed="false">
      <c r="A1490" s="32" t="n">
        <v>3499</v>
      </c>
      <c r="B1490" s="32" t="s">
        <v>1300</v>
      </c>
      <c r="C1490" s="32" t="s">
        <v>1301</v>
      </c>
      <c r="D1490" s="32" t="s">
        <v>59</v>
      </c>
      <c r="E1490" s="32" t="s">
        <v>143</v>
      </c>
      <c r="F1490" s="32" t="n">
        <v>9959125566</v>
      </c>
      <c r="G1490" s="32" t="s">
        <v>80</v>
      </c>
      <c r="H1490" s="32" t="s">
        <v>21</v>
      </c>
      <c r="I1490" s="32" t="s">
        <v>93</v>
      </c>
      <c r="J1490" s="32" t="s">
        <v>85</v>
      </c>
      <c r="K1490" s="32" t="s">
        <v>63</v>
      </c>
    </row>
    <row r="1491" customFormat="false" ht="13.5" hidden="false" customHeight="true" outlineLevel="0" collapsed="false">
      <c r="A1491" s="32" t="n">
        <v>3500</v>
      </c>
      <c r="B1491" s="32" t="s">
        <v>1300</v>
      </c>
      <c r="C1491" s="32" t="s">
        <v>1302</v>
      </c>
      <c r="D1491" s="32" t="s">
        <v>59</v>
      </c>
      <c r="E1491" s="32" t="s">
        <v>143</v>
      </c>
      <c r="F1491" s="32" t="n">
        <v>9959125566</v>
      </c>
      <c r="G1491" s="32" t="s">
        <v>80</v>
      </c>
      <c r="H1491" s="32" t="s">
        <v>21</v>
      </c>
      <c r="I1491" s="32" t="s">
        <v>145</v>
      </c>
      <c r="J1491" s="32" t="s">
        <v>117</v>
      </c>
      <c r="K1491" s="32" t="s">
        <v>63</v>
      </c>
    </row>
    <row r="1492" customFormat="false" ht="13.5" hidden="false" customHeight="true" outlineLevel="0" collapsed="false">
      <c r="A1492" s="32" t="n">
        <v>3501</v>
      </c>
      <c r="B1492" s="32" t="s">
        <v>1303</v>
      </c>
      <c r="C1492" s="32" t="s">
        <v>1304</v>
      </c>
      <c r="D1492" s="32" t="s">
        <v>59</v>
      </c>
      <c r="E1492" s="32" t="s">
        <v>107</v>
      </c>
      <c r="F1492" s="32" t="n">
        <v>8500933921</v>
      </c>
      <c r="G1492" s="32" t="s">
        <v>80</v>
      </c>
      <c r="H1492" s="32" t="s">
        <v>21</v>
      </c>
      <c r="I1492" s="32" t="s">
        <v>108</v>
      </c>
      <c r="J1492" s="32" t="s">
        <v>71</v>
      </c>
      <c r="K1492" s="32" t="s">
        <v>63</v>
      </c>
    </row>
    <row r="1493" customFormat="false" ht="13.5" hidden="false" customHeight="true" outlineLevel="0" collapsed="false">
      <c r="A1493" s="32" t="n">
        <v>6896</v>
      </c>
      <c r="B1493" s="32" t="s">
        <v>1303</v>
      </c>
      <c r="C1493" s="32" t="s">
        <v>1304</v>
      </c>
      <c r="D1493" s="32" t="s">
        <v>59</v>
      </c>
      <c r="E1493" s="32" t="s">
        <v>107</v>
      </c>
      <c r="F1493" s="32" t="n">
        <v>8500933921</v>
      </c>
      <c r="G1493" s="32" t="s">
        <v>80</v>
      </c>
      <c r="H1493" s="32" t="s">
        <v>21</v>
      </c>
      <c r="I1493" s="32" t="s">
        <v>76</v>
      </c>
      <c r="J1493" s="32" t="s">
        <v>76</v>
      </c>
      <c r="K1493" s="32" t="s">
        <v>63</v>
      </c>
    </row>
    <row r="1494" customFormat="false" ht="13.5" hidden="false" customHeight="true" outlineLevel="0" collapsed="false">
      <c r="A1494" s="32" t="n">
        <v>3503</v>
      </c>
      <c r="B1494" s="32" t="s">
        <v>1305</v>
      </c>
      <c r="C1494" s="32" t="s">
        <v>1306</v>
      </c>
      <c r="D1494" s="32" t="s">
        <v>114</v>
      </c>
      <c r="E1494" s="32" t="s">
        <v>124</v>
      </c>
      <c r="F1494" s="32" t="n">
        <v>8097459124</v>
      </c>
      <c r="G1494" s="32" t="s">
        <v>104</v>
      </c>
      <c r="H1494" s="32" t="s">
        <v>22</v>
      </c>
      <c r="I1494" s="32" t="s">
        <v>227</v>
      </c>
      <c r="J1494" s="32" t="s">
        <v>228</v>
      </c>
      <c r="K1494" s="32" t="s">
        <v>63</v>
      </c>
    </row>
    <row r="1495" customFormat="false" ht="13.5" hidden="false" customHeight="true" outlineLevel="0" collapsed="false">
      <c r="A1495" s="32" t="n">
        <v>3504</v>
      </c>
      <c r="B1495" s="32" t="s">
        <v>1307</v>
      </c>
      <c r="C1495" s="32" t="s">
        <v>1308</v>
      </c>
      <c r="D1495" s="32" t="s">
        <v>59</v>
      </c>
      <c r="E1495" s="32" t="s">
        <v>60</v>
      </c>
      <c r="F1495" s="32" t="n">
        <v>0</v>
      </c>
      <c r="G1495" s="32" t="s">
        <v>140</v>
      </c>
      <c r="H1495" s="32" t="s">
        <v>21</v>
      </c>
      <c r="I1495" s="32" t="s">
        <v>156</v>
      </c>
      <c r="J1495" s="32" t="s">
        <v>62</v>
      </c>
      <c r="K1495" s="32" t="s">
        <v>63</v>
      </c>
    </row>
    <row r="1496" customFormat="false" ht="13.5" hidden="false" customHeight="true" outlineLevel="0" collapsed="false">
      <c r="A1496" s="32" t="n">
        <v>3506</v>
      </c>
      <c r="B1496" s="32" t="s">
        <v>1307</v>
      </c>
      <c r="C1496" s="32" t="s">
        <v>1308</v>
      </c>
      <c r="D1496" s="32" t="s">
        <v>59</v>
      </c>
      <c r="E1496" s="32" t="s">
        <v>60</v>
      </c>
      <c r="F1496" s="32" t="n">
        <v>0</v>
      </c>
      <c r="G1496" s="32" t="s">
        <v>140</v>
      </c>
      <c r="H1496" s="32" t="s">
        <v>21</v>
      </c>
      <c r="I1496" s="32" t="s">
        <v>29</v>
      </c>
      <c r="J1496" s="32" t="s">
        <v>62</v>
      </c>
      <c r="K1496" s="32" t="s">
        <v>63</v>
      </c>
    </row>
    <row r="1497" customFormat="false" ht="13.5" hidden="false" customHeight="true" outlineLevel="0" collapsed="false">
      <c r="A1497" s="32" t="n">
        <v>3507</v>
      </c>
      <c r="B1497" s="32" t="s">
        <v>1307</v>
      </c>
      <c r="C1497" s="32" t="s">
        <v>1308</v>
      </c>
      <c r="D1497" s="32" t="s">
        <v>59</v>
      </c>
      <c r="E1497" s="32" t="s">
        <v>60</v>
      </c>
      <c r="F1497" s="32" t="n">
        <v>0</v>
      </c>
      <c r="G1497" s="32" t="s">
        <v>140</v>
      </c>
      <c r="H1497" s="32" t="s">
        <v>21</v>
      </c>
      <c r="I1497" s="32" t="s">
        <v>14</v>
      </c>
      <c r="J1497" s="32" t="s">
        <v>66</v>
      </c>
      <c r="K1497" s="32" t="s">
        <v>63</v>
      </c>
    </row>
    <row r="1498" customFormat="false" ht="13.5" hidden="false" customHeight="true" outlineLevel="0" collapsed="false">
      <c r="A1498" s="32" t="n">
        <v>3508</v>
      </c>
      <c r="B1498" s="32" t="s">
        <v>1307</v>
      </c>
      <c r="C1498" s="32" t="s">
        <v>1308</v>
      </c>
      <c r="D1498" s="32" t="s">
        <v>59</v>
      </c>
      <c r="E1498" s="32" t="s">
        <v>60</v>
      </c>
      <c r="F1498" s="32" t="n">
        <v>0</v>
      </c>
      <c r="G1498" s="32" t="s">
        <v>140</v>
      </c>
      <c r="H1498" s="32" t="s">
        <v>21</v>
      </c>
      <c r="I1498" s="32" t="s">
        <v>1309</v>
      </c>
      <c r="J1498" s="32" t="s">
        <v>66</v>
      </c>
      <c r="K1498" s="32" t="s">
        <v>63</v>
      </c>
    </row>
    <row r="1499" customFormat="false" ht="13.5" hidden="false" customHeight="true" outlineLevel="0" collapsed="false">
      <c r="A1499" s="32" t="n">
        <v>3509</v>
      </c>
      <c r="B1499" s="32" t="s">
        <v>1310</v>
      </c>
      <c r="C1499" s="32" t="s">
        <v>1311</v>
      </c>
      <c r="D1499" s="32" t="s">
        <v>114</v>
      </c>
      <c r="E1499" s="32" t="s">
        <v>124</v>
      </c>
      <c r="F1499" s="32" t="n">
        <v>0</v>
      </c>
      <c r="G1499" s="32" t="s">
        <v>104</v>
      </c>
      <c r="H1499" s="32" t="s">
        <v>22</v>
      </c>
      <c r="I1499" s="32" t="s">
        <v>151</v>
      </c>
      <c r="J1499" s="32" t="s">
        <v>152</v>
      </c>
      <c r="K1499" s="32" t="s">
        <v>63</v>
      </c>
    </row>
    <row r="1500" customFormat="false" ht="13.5" hidden="false" customHeight="true" outlineLevel="0" collapsed="false">
      <c r="A1500" s="32" t="n">
        <v>3510</v>
      </c>
      <c r="B1500" s="32" t="s">
        <v>1310</v>
      </c>
      <c r="C1500" s="32" t="s">
        <v>1311</v>
      </c>
      <c r="D1500" s="32" t="s">
        <v>114</v>
      </c>
      <c r="E1500" s="32" t="s">
        <v>124</v>
      </c>
      <c r="F1500" s="32" t="n">
        <v>0</v>
      </c>
      <c r="G1500" s="32" t="s">
        <v>104</v>
      </c>
      <c r="H1500" s="32" t="s">
        <v>22</v>
      </c>
      <c r="I1500" s="32" t="s">
        <v>491</v>
      </c>
      <c r="J1500" s="32" t="s">
        <v>152</v>
      </c>
      <c r="K1500" s="32" t="s">
        <v>63</v>
      </c>
    </row>
    <row r="1501" customFormat="false" ht="13.5" hidden="false" customHeight="true" outlineLevel="0" collapsed="false">
      <c r="A1501" s="32" t="n">
        <v>3511</v>
      </c>
      <c r="B1501" s="32" t="s">
        <v>1310</v>
      </c>
      <c r="C1501" s="32" t="s">
        <v>1311</v>
      </c>
      <c r="D1501" s="32" t="s">
        <v>114</v>
      </c>
      <c r="E1501" s="32" t="s">
        <v>124</v>
      </c>
      <c r="F1501" s="32" t="n">
        <v>0</v>
      </c>
      <c r="G1501" s="32" t="s">
        <v>104</v>
      </c>
      <c r="H1501" s="32" t="s">
        <v>22</v>
      </c>
      <c r="I1501" s="32" t="s">
        <v>826</v>
      </c>
      <c r="J1501" s="32" t="s">
        <v>84</v>
      </c>
      <c r="K1501" s="32" t="s">
        <v>63</v>
      </c>
    </row>
    <row r="1502" customFormat="false" ht="13.5" hidden="false" customHeight="true" outlineLevel="0" collapsed="false">
      <c r="A1502" s="32" t="n">
        <v>3516</v>
      </c>
      <c r="B1502" s="32" t="s">
        <v>1310</v>
      </c>
      <c r="C1502" s="32" t="s">
        <v>1312</v>
      </c>
      <c r="D1502" s="32" t="s">
        <v>114</v>
      </c>
      <c r="E1502" s="32" t="s">
        <v>124</v>
      </c>
      <c r="F1502" s="32" t="n">
        <v>9821309477</v>
      </c>
      <c r="G1502" s="32" t="s">
        <v>104</v>
      </c>
      <c r="H1502" s="32" t="s">
        <v>22</v>
      </c>
      <c r="I1502" s="32" t="s">
        <v>151</v>
      </c>
      <c r="J1502" s="32" t="s">
        <v>152</v>
      </c>
      <c r="K1502" s="32" t="s">
        <v>63</v>
      </c>
    </row>
    <row r="1503" customFormat="false" ht="13.5" hidden="false" customHeight="true" outlineLevel="0" collapsed="false">
      <c r="A1503" s="32" t="n">
        <v>3517</v>
      </c>
      <c r="B1503" s="32" t="s">
        <v>1310</v>
      </c>
      <c r="C1503" s="32" t="s">
        <v>1312</v>
      </c>
      <c r="D1503" s="32" t="s">
        <v>114</v>
      </c>
      <c r="E1503" s="32" t="s">
        <v>124</v>
      </c>
      <c r="F1503" s="32" t="n">
        <v>0</v>
      </c>
      <c r="G1503" s="32" t="s">
        <v>104</v>
      </c>
      <c r="H1503" s="32" t="s">
        <v>22</v>
      </c>
      <c r="I1503" s="32" t="s">
        <v>128</v>
      </c>
      <c r="J1503" s="32" t="s">
        <v>89</v>
      </c>
      <c r="K1503" s="32" t="s">
        <v>63</v>
      </c>
    </row>
    <row r="1504" customFormat="false" ht="13.5" hidden="false" customHeight="true" outlineLevel="0" collapsed="false">
      <c r="A1504" s="32" t="n">
        <v>3518</v>
      </c>
      <c r="B1504" s="32" t="s">
        <v>1313</v>
      </c>
      <c r="C1504" s="32" t="s">
        <v>1314</v>
      </c>
      <c r="D1504" s="32" t="s">
        <v>59</v>
      </c>
      <c r="E1504" s="32" t="s">
        <v>79</v>
      </c>
      <c r="F1504" s="32" t="n">
        <v>0</v>
      </c>
      <c r="G1504" s="32" t="s">
        <v>144</v>
      </c>
      <c r="H1504" s="32" t="s">
        <v>21</v>
      </c>
      <c r="I1504" s="32" t="s">
        <v>108</v>
      </c>
      <c r="J1504" s="32" t="s">
        <v>71</v>
      </c>
      <c r="K1504" s="32" t="s">
        <v>63</v>
      </c>
    </row>
    <row r="1505" customFormat="false" ht="13.5" hidden="false" customHeight="true" outlineLevel="0" collapsed="false">
      <c r="A1505" s="32" t="n">
        <v>3519</v>
      </c>
      <c r="B1505" s="32" t="s">
        <v>1313</v>
      </c>
      <c r="C1505" s="32" t="s">
        <v>1314</v>
      </c>
      <c r="D1505" s="32" t="s">
        <v>59</v>
      </c>
      <c r="E1505" s="32" t="s">
        <v>79</v>
      </c>
      <c r="F1505" s="32" t="n">
        <v>0</v>
      </c>
      <c r="G1505" s="32" t="s">
        <v>144</v>
      </c>
      <c r="H1505" s="32" t="s">
        <v>21</v>
      </c>
      <c r="I1505" s="32" t="s">
        <v>468</v>
      </c>
      <c r="J1505" s="32" t="s">
        <v>89</v>
      </c>
      <c r="K1505" s="32" t="s">
        <v>63</v>
      </c>
    </row>
    <row r="1506" customFormat="false" ht="13.5" hidden="false" customHeight="true" outlineLevel="0" collapsed="false">
      <c r="A1506" s="32" t="n">
        <v>3520</v>
      </c>
      <c r="B1506" s="32" t="s">
        <v>1315</v>
      </c>
      <c r="C1506" s="32" t="s">
        <v>1316</v>
      </c>
      <c r="D1506" s="32" t="s">
        <v>59</v>
      </c>
      <c r="E1506" s="32" t="n">
        <v>0</v>
      </c>
      <c r="F1506" s="32" t="n">
        <v>0</v>
      </c>
      <c r="G1506" s="32" t="s">
        <v>80</v>
      </c>
      <c r="H1506" s="32" t="s">
        <v>21</v>
      </c>
      <c r="I1506" s="32" t="s">
        <v>325</v>
      </c>
      <c r="J1506" s="32" t="s">
        <v>326</v>
      </c>
      <c r="K1506" s="32" t="s">
        <v>63</v>
      </c>
    </row>
    <row r="1507" customFormat="false" ht="13.5" hidden="false" customHeight="true" outlineLevel="0" collapsed="false">
      <c r="A1507" s="32" t="n">
        <v>3521</v>
      </c>
      <c r="B1507" s="32" t="s">
        <v>1317</v>
      </c>
      <c r="C1507" s="32" t="s">
        <v>1318</v>
      </c>
      <c r="D1507" s="32" t="s">
        <v>59</v>
      </c>
      <c r="E1507" s="32" t="s">
        <v>143</v>
      </c>
      <c r="F1507" s="33" t="n">
        <v>917763000000</v>
      </c>
      <c r="G1507" s="32" t="s">
        <v>80</v>
      </c>
      <c r="H1507" s="32" t="s">
        <v>21</v>
      </c>
      <c r="I1507" s="32" t="s">
        <v>516</v>
      </c>
      <c r="J1507" s="32" t="s">
        <v>66</v>
      </c>
      <c r="K1507" s="32" t="s">
        <v>63</v>
      </c>
    </row>
    <row r="1508" customFormat="false" ht="13.5" hidden="false" customHeight="true" outlineLevel="0" collapsed="false">
      <c r="A1508" s="32" t="n">
        <v>3522</v>
      </c>
      <c r="B1508" s="32" t="s">
        <v>1317</v>
      </c>
      <c r="C1508" s="32" t="s">
        <v>1318</v>
      </c>
      <c r="D1508" s="32" t="s">
        <v>59</v>
      </c>
      <c r="E1508" s="32" t="s">
        <v>143</v>
      </c>
      <c r="F1508" s="33" t="n">
        <v>917763000000</v>
      </c>
      <c r="G1508" s="32" t="s">
        <v>80</v>
      </c>
      <c r="H1508" s="32" t="s">
        <v>21</v>
      </c>
      <c r="I1508" s="32" t="s">
        <v>14</v>
      </c>
      <c r="J1508" s="32" t="s">
        <v>66</v>
      </c>
      <c r="K1508" s="32" t="s">
        <v>63</v>
      </c>
    </row>
    <row r="1509" customFormat="false" ht="13.5" hidden="false" customHeight="true" outlineLevel="0" collapsed="false">
      <c r="A1509" s="32" t="n">
        <v>3523</v>
      </c>
      <c r="B1509" s="32" t="s">
        <v>1317</v>
      </c>
      <c r="C1509" s="32" t="s">
        <v>1319</v>
      </c>
      <c r="D1509" s="32" t="s">
        <v>59</v>
      </c>
      <c r="E1509" s="32" t="s">
        <v>143</v>
      </c>
      <c r="F1509" s="33" t="n">
        <v>917763000000</v>
      </c>
      <c r="G1509" s="32" t="s">
        <v>80</v>
      </c>
      <c r="H1509" s="32" t="s">
        <v>21</v>
      </c>
      <c r="I1509" s="32" t="s">
        <v>14</v>
      </c>
      <c r="J1509" s="32" t="s">
        <v>66</v>
      </c>
      <c r="K1509" s="32" t="s">
        <v>63</v>
      </c>
    </row>
    <row r="1510" customFormat="false" ht="13.5" hidden="false" customHeight="true" outlineLevel="0" collapsed="false">
      <c r="A1510" s="32" t="n">
        <v>3524</v>
      </c>
      <c r="B1510" s="32" t="s">
        <v>1317</v>
      </c>
      <c r="C1510" s="32" t="s">
        <v>1320</v>
      </c>
      <c r="D1510" s="32" t="s">
        <v>59</v>
      </c>
      <c r="E1510" s="32" t="s">
        <v>143</v>
      </c>
      <c r="F1510" s="33" t="n">
        <v>917763000000</v>
      </c>
      <c r="G1510" s="32" t="s">
        <v>61</v>
      </c>
      <c r="H1510" s="32" t="s">
        <v>21</v>
      </c>
      <c r="I1510" s="32" t="s">
        <v>64</v>
      </c>
      <c r="J1510" s="32" t="s">
        <v>62</v>
      </c>
      <c r="K1510" s="32" t="s">
        <v>63</v>
      </c>
    </row>
    <row r="1511" customFormat="false" ht="13.5" hidden="false" customHeight="true" outlineLevel="0" collapsed="false">
      <c r="A1511" s="32" t="n">
        <v>3525</v>
      </c>
      <c r="B1511" s="32" t="s">
        <v>1317</v>
      </c>
      <c r="C1511" s="32" t="s">
        <v>1320</v>
      </c>
      <c r="D1511" s="32" t="s">
        <v>59</v>
      </c>
      <c r="E1511" s="32" t="s">
        <v>143</v>
      </c>
      <c r="F1511" s="33" t="n">
        <v>917763000000</v>
      </c>
      <c r="G1511" s="32" t="s">
        <v>61</v>
      </c>
      <c r="H1511" s="32" t="s">
        <v>21</v>
      </c>
      <c r="I1511" s="32" t="s">
        <v>156</v>
      </c>
      <c r="J1511" s="32" t="s">
        <v>62</v>
      </c>
      <c r="K1511" s="32" t="s">
        <v>63</v>
      </c>
    </row>
    <row r="1512" customFormat="false" ht="13.5" hidden="false" customHeight="true" outlineLevel="0" collapsed="false">
      <c r="A1512" s="32" t="n">
        <v>3526</v>
      </c>
      <c r="B1512" s="32" t="s">
        <v>1317</v>
      </c>
      <c r="C1512" s="32" t="s">
        <v>1320</v>
      </c>
      <c r="D1512" s="32" t="s">
        <v>59</v>
      </c>
      <c r="E1512" s="32" t="s">
        <v>143</v>
      </c>
      <c r="F1512" s="33" t="n">
        <v>917763000000</v>
      </c>
      <c r="G1512" s="32" t="s">
        <v>61</v>
      </c>
      <c r="H1512" s="32" t="s">
        <v>21</v>
      </c>
      <c r="I1512" s="32" t="s">
        <v>29</v>
      </c>
      <c r="J1512" s="32" t="s">
        <v>62</v>
      </c>
      <c r="K1512" s="32" t="s">
        <v>63</v>
      </c>
    </row>
    <row r="1513" customFormat="false" ht="13.5" hidden="false" customHeight="true" outlineLevel="0" collapsed="false">
      <c r="A1513" s="32" t="n">
        <v>3527</v>
      </c>
      <c r="B1513" s="32" t="s">
        <v>1321</v>
      </c>
      <c r="C1513" s="32" t="s">
        <v>1322</v>
      </c>
      <c r="D1513" s="32" t="s">
        <v>59</v>
      </c>
      <c r="E1513" s="32" t="s">
        <v>92</v>
      </c>
      <c r="F1513" s="32" t="n">
        <v>0</v>
      </c>
      <c r="G1513" s="32" t="s">
        <v>104</v>
      </c>
      <c r="H1513" s="32" t="s">
        <v>21</v>
      </c>
      <c r="I1513" s="32" t="s">
        <v>185</v>
      </c>
      <c r="J1513" s="32" t="s">
        <v>186</v>
      </c>
      <c r="K1513" s="32" t="s">
        <v>63</v>
      </c>
    </row>
    <row r="1514" customFormat="false" ht="13.5" hidden="false" customHeight="true" outlineLevel="0" collapsed="false">
      <c r="A1514" s="32" t="n">
        <v>3528</v>
      </c>
      <c r="B1514" s="32" t="s">
        <v>1321</v>
      </c>
      <c r="C1514" s="32" t="s">
        <v>1322</v>
      </c>
      <c r="D1514" s="32" t="s">
        <v>59</v>
      </c>
      <c r="E1514" s="32" t="s">
        <v>92</v>
      </c>
      <c r="F1514" s="32" t="n">
        <v>0</v>
      </c>
      <c r="G1514" s="32" t="s">
        <v>104</v>
      </c>
      <c r="H1514" s="32" t="s">
        <v>21</v>
      </c>
      <c r="I1514" s="32" t="s">
        <v>121</v>
      </c>
      <c r="J1514" s="32" t="s">
        <v>110</v>
      </c>
      <c r="K1514" s="32" t="s">
        <v>63</v>
      </c>
    </row>
    <row r="1515" customFormat="false" ht="13.5" hidden="false" customHeight="true" outlineLevel="0" collapsed="false">
      <c r="A1515" s="32" t="n">
        <v>3532</v>
      </c>
      <c r="B1515" s="32" t="s">
        <v>1321</v>
      </c>
      <c r="C1515" s="32" t="s">
        <v>1322</v>
      </c>
      <c r="D1515" s="32" t="s">
        <v>59</v>
      </c>
      <c r="E1515" s="32" t="s">
        <v>92</v>
      </c>
      <c r="F1515" s="32" t="n">
        <v>0</v>
      </c>
      <c r="G1515" s="32" t="s">
        <v>104</v>
      </c>
      <c r="H1515" s="32" t="s">
        <v>21</v>
      </c>
      <c r="I1515" s="32" t="s">
        <v>227</v>
      </c>
      <c r="J1515" s="32" t="s">
        <v>228</v>
      </c>
      <c r="K1515" s="32" t="s">
        <v>63</v>
      </c>
    </row>
    <row r="1516" customFormat="false" ht="13.5" hidden="false" customHeight="true" outlineLevel="0" collapsed="false">
      <c r="A1516" s="32" t="n">
        <v>3533</v>
      </c>
      <c r="B1516" s="32" t="s">
        <v>1323</v>
      </c>
      <c r="C1516" s="32" t="s">
        <v>1324</v>
      </c>
      <c r="D1516" s="32" t="s">
        <v>114</v>
      </c>
      <c r="E1516" s="32" t="s">
        <v>165</v>
      </c>
      <c r="F1516" s="32" t="n">
        <v>7206214020</v>
      </c>
      <c r="G1516" s="32" t="s">
        <v>144</v>
      </c>
      <c r="H1516" s="32" t="s">
        <v>22</v>
      </c>
      <c r="I1516" s="32" t="s">
        <v>408</v>
      </c>
      <c r="J1516" s="32" t="s">
        <v>117</v>
      </c>
      <c r="K1516" s="32" t="s">
        <v>63</v>
      </c>
    </row>
    <row r="1517" customFormat="false" ht="13.5" hidden="false" customHeight="true" outlineLevel="0" collapsed="false">
      <c r="A1517" s="32" t="n">
        <v>3534</v>
      </c>
      <c r="B1517" s="32" t="s">
        <v>1323</v>
      </c>
      <c r="C1517" s="32" t="s">
        <v>1324</v>
      </c>
      <c r="D1517" s="32" t="s">
        <v>114</v>
      </c>
      <c r="E1517" s="32" t="s">
        <v>165</v>
      </c>
      <c r="F1517" s="32" t="n">
        <v>7206214020</v>
      </c>
      <c r="G1517" s="32" t="s">
        <v>144</v>
      </c>
      <c r="H1517" s="32" t="s">
        <v>22</v>
      </c>
      <c r="I1517" s="32" t="s">
        <v>93</v>
      </c>
      <c r="J1517" s="32" t="s">
        <v>85</v>
      </c>
      <c r="K1517" s="32" t="s">
        <v>63</v>
      </c>
    </row>
    <row r="1518" customFormat="false" ht="13.5" hidden="false" customHeight="true" outlineLevel="0" collapsed="false">
      <c r="A1518" s="32" t="n">
        <v>3535</v>
      </c>
      <c r="B1518" s="32" t="s">
        <v>1323</v>
      </c>
      <c r="C1518" s="32" t="s">
        <v>1324</v>
      </c>
      <c r="D1518" s="32" t="s">
        <v>114</v>
      </c>
      <c r="E1518" s="32" t="s">
        <v>165</v>
      </c>
      <c r="F1518" s="32" t="n">
        <v>7206214020</v>
      </c>
      <c r="G1518" s="32" t="s">
        <v>144</v>
      </c>
      <c r="H1518" s="32" t="s">
        <v>22</v>
      </c>
      <c r="I1518" s="32" t="s">
        <v>610</v>
      </c>
      <c r="J1518" s="32" t="s">
        <v>82</v>
      </c>
      <c r="K1518" s="32" t="s">
        <v>63</v>
      </c>
    </row>
    <row r="1519" customFormat="false" ht="13.5" hidden="false" customHeight="true" outlineLevel="0" collapsed="false">
      <c r="A1519" s="32" t="n">
        <v>3539</v>
      </c>
      <c r="B1519" s="32" t="s">
        <v>1323</v>
      </c>
      <c r="C1519" s="32" t="s">
        <v>1325</v>
      </c>
      <c r="D1519" s="32" t="s">
        <v>114</v>
      </c>
      <c r="E1519" s="32" t="s">
        <v>165</v>
      </c>
      <c r="F1519" s="32" t="n">
        <v>7206214020</v>
      </c>
      <c r="G1519" s="32" t="s">
        <v>144</v>
      </c>
      <c r="H1519" s="32" t="s">
        <v>22</v>
      </c>
      <c r="I1519" s="32" t="s">
        <v>28</v>
      </c>
      <c r="J1519" s="32" t="s">
        <v>82</v>
      </c>
      <c r="K1519" s="32" t="s">
        <v>63</v>
      </c>
    </row>
    <row r="1520" customFormat="false" ht="13.5" hidden="false" customHeight="true" outlineLevel="0" collapsed="false">
      <c r="A1520" s="32" t="n">
        <v>3540</v>
      </c>
      <c r="B1520" s="32" t="s">
        <v>1323</v>
      </c>
      <c r="C1520" s="32" t="s">
        <v>1325</v>
      </c>
      <c r="D1520" s="32" t="s">
        <v>114</v>
      </c>
      <c r="E1520" s="32" t="s">
        <v>165</v>
      </c>
      <c r="F1520" s="32" t="n">
        <v>7206214020</v>
      </c>
      <c r="G1520" s="32" t="s">
        <v>144</v>
      </c>
      <c r="H1520" s="32" t="s">
        <v>22</v>
      </c>
      <c r="I1520" s="32" t="s">
        <v>121</v>
      </c>
      <c r="J1520" s="32" t="s">
        <v>110</v>
      </c>
      <c r="K1520" s="32" t="s">
        <v>63</v>
      </c>
    </row>
    <row r="1521" customFormat="false" ht="13.5" hidden="false" customHeight="true" outlineLevel="0" collapsed="false">
      <c r="A1521" s="32" t="n">
        <v>3541</v>
      </c>
      <c r="B1521" s="32" t="s">
        <v>1323</v>
      </c>
      <c r="C1521" s="32" t="s">
        <v>1325</v>
      </c>
      <c r="D1521" s="32" t="s">
        <v>114</v>
      </c>
      <c r="E1521" s="32" t="s">
        <v>165</v>
      </c>
      <c r="F1521" s="32" t="n">
        <v>7206214020</v>
      </c>
      <c r="G1521" s="32" t="s">
        <v>144</v>
      </c>
      <c r="H1521" s="32" t="s">
        <v>22</v>
      </c>
      <c r="I1521" s="32" t="s">
        <v>145</v>
      </c>
      <c r="J1521" s="32" t="s">
        <v>117</v>
      </c>
      <c r="K1521" s="32" t="s">
        <v>63</v>
      </c>
    </row>
    <row r="1522" customFormat="false" ht="13.5" hidden="false" customHeight="true" outlineLevel="0" collapsed="false">
      <c r="A1522" s="32" t="n">
        <v>3546</v>
      </c>
      <c r="B1522" s="32" t="s">
        <v>1326</v>
      </c>
      <c r="C1522" s="32" t="s">
        <v>1327</v>
      </c>
      <c r="D1522" s="32" t="s">
        <v>331</v>
      </c>
      <c r="E1522" s="32" t="s">
        <v>278</v>
      </c>
      <c r="F1522" s="33" t="n">
        <v>918297000000</v>
      </c>
      <c r="G1522" s="32" t="s">
        <v>80</v>
      </c>
      <c r="H1522" s="32" t="s">
        <v>332</v>
      </c>
      <c r="I1522" s="32" t="s">
        <v>284</v>
      </c>
      <c r="J1522" s="32" t="s">
        <v>117</v>
      </c>
      <c r="K1522" s="32" t="s">
        <v>63</v>
      </c>
    </row>
    <row r="1523" customFormat="false" ht="13.5" hidden="false" customHeight="true" outlineLevel="0" collapsed="false">
      <c r="A1523" s="32" t="n">
        <v>3547</v>
      </c>
      <c r="B1523" s="32" t="s">
        <v>1326</v>
      </c>
      <c r="C1523" s="32" t="s">
        <v>1327</v>
      </c>
      <c r="D1523" s="32" t="s">
        <v>331</v>
      </c>
      <c r="E1523" s="32" t="s">
        <v>278</v>
      </c>
      <c r="F1523" s="33" t="n">
        <v>918297000000</v>
      </c>
      <c r="G1523" s="32" t="s">
        <v>80</v>
      </c>
      <c r="H1523" s="32" t="s">
        <v>332</v>
      </c>
      <c r="I1523" s="32" t="s">
        <v>145</v>
      </c>
      <c r="J1523" s="32" t="s">
        <v>117</v>
      </c>
      <c r="K1523" s="32" t="s">
        <v>63</v>
      </c>
    </row>
    <row r="1524" customFormat="false" ht="13.5" hidden="false" customHeight="true" outlineLevel="0" collapsed="false">
      <c r="A1524" s="32" t="n">
        <v>3548</v>
      </c>
      <c r="B1524" s="32" t="s">
        <v>1326</v>
      </c>
      <c r="C1524" s="32" t="s">
        <v>1327</v>
      </c>
      <c r="D1524" s="32" t="s">
        <v>331</v>
      </c>
      <c r="E1524" s="32" t="s">
        <v>278</v>
      </c>
      <c r="F1524" s="33" t="n">
        <v>918297000000</v>
      </c>
      <c r="G1524" s="32" t="s">
        <v>80</v>
      </c>
      <c r="H1524" s="32" t="s">
        <v>332</v>
      </c>
      <c r="I1524" s="32" t="s">
        <v>30</v>
      </c>
      <c r="J1524" s="32" t="s">
        <v>203</v>
      </c>
      <c r="K1524" s="32" t="s">
        <v>63</v>
      </c>
    </row>
    <row r="1525" customFormat="false" ht="13.5" hidden="false" customHeight="true" outlineLevel="0" collapsed="false">
      <c r="A1525" s="32" t="n">
        <v>3549</v>
      </c>
      <c r="B1525" s="32" t="s">
        <v>1326</v>
      </c>
      <c r="C1525" s="32" t="s">
        <v>1328</v>
      </c>
      <c r="D1525" s="32" t="s">
        <v>331</v>
      </c>
      <c r="E1525" s="32" t="s">
        <v>278</v>
      </c>
      <c r="F1525" s="32" t="n">
        <v>8297226060</v>
      </c>
      <c r="G1525" s="32" t="s">
        <v>80</v>
      </c>
      <c r="H1525" s="32" t="s">
        <v>332</v>
      </c>
      <c r="I1525" s="32" t="s">
        <v>133</v>
      </c>
      <c r="J1525" s="32" t="s">
        <v>134</v>
      </c>
      <c r="K1525" s="32" t="s">
        <v>63</v>
      </c>
    </row>
    <row r="1526" customFormat="false" ht="13.5" hidden="false" customHeight="true" outlineLevel="0" collapsed="false">
      <c r="A1526" s="32" t="n">
        <v>3550</v>
      </c>
      <c r="B1526" s="32" t="s">
        <v>1329</v>
      </c>
      <c r="C1526" s="32" t="s">
        <v>1330</v>
      </c>
      <c r="D1526" s="32" t="s">
        <v>114</v>
      </c>
      <c r="E1526" s="32" t="s">
        <v>115</v>
      </c>
      <c r="F1526" s="32" t="n">
        <v>9000058882</v>
      </c>
      <c r="G1526" s="32" t="s">
        <v>80</v>
      </c>
      <c r="H1526" s="32" t="s">
        <v>22</v>
      </c>
      <c r="I1526" s="32" t="s">
        <v>248</v>
      </c>
      <c r="J1526" s="32" t="s">
        <v>117</v>
      </c>
      <c r="K1526" s="32" t="s">
        <v>63</v>
      </c>
    </row>
    <row r="1527" customFormat="false" ht="13.5" hidden="false" customHeight="true" outlineLevel="0" collapsed="false">
      <c r="A1527" s="32" t="n">
        <v>3551</v>
      </c>
      <c r="B1527" s="32" t="s">
        <v>1329</v>
      </c>
      <c r="C1527" s="32" t="s">
        <v>1330</v>
      </c>
      <c r="D1527" s="32" t="s">
        <v>114</v>
      </c>
      <c r="E1527" s="32" t="s">
        <v>115</v>
      </c>
      <c r="F1527" s="32" t="n">
        <v>9000058882</v>
      </c>
      <c r="G1527" s="32" t="s">
        <v>80</v>
      </c>
      <c r="H1527" s="32" t="s">
        <v>22</v>
      </c>
      <c r="I1527" s="32" t="s">
        <v>30</v>
      </c>
      <c r="J1527" s="32" t="s">
        <v>203</v>
      </c>
      <c r="K1527" s="32" t="s">
        <v>63</v>
      </c>
    </row>
    <row r="1528" customFormat="false" ht="13.5" hidden="false" customHeight="true" outlineLevel="0" collapsed="false">
      <c r="A1528" s="32" t="n">
        <v>3553</v>
      </c>
      <c r="B1528" s="32" t="s">
        <v>1329</v>
      </c>
      <c r="C1528" s="32" t="s">
        <v>1330</v>
      </c>
      <c r="D1528" s="32" t="s">
        <v>114</v>
      </c>
      <c r="E1528" s="32" t="s">
        <v>115</v>
      </c>
      <c r="F1528" s="32" t="n">
        <v>9000058882</v>
      </c>
      <c r="G1528" s="32" t="s">
        <v>80</v>
      </c>
      <c r="H1528" s="32" t="s">
        <v>22</v>
      </c>
      <c r="I1528" s="32" t="s">
        <v>284</v>
      </c>
      <c r="J1528" s="32" t="s">
        <v>117</v>
      </c>
      <c r="K1528" s="32" t="s">
        <v>63</v>
      </c>
    </row>
    <row r="1529" customFormat="false" ht="13.5" hidden="false" customHeight="true" outlineLevel="0" collapsed="false">
      <c r="A1529" s="32" t="n">
        <v>3554</v>
      </c>
      <c r="B1529" s="32" t="s">
        <v>1329</v>
      </c>
      <c r="C1529" s="32" t="s">
        <v>1330</v>
      </c>
      <c r="D1529" s="32" t="s">
        <v>114</v>
      </c>
      <c r="E1529" s="32" t="s">
        <v>115</v>
      </c>
      <c r="F1529" s="32" t="n">
        <v>9000058882</v>
      </c>
      <c r="G1529" s="32" t="s">
        <v>80</v>
      </c>
      <c r="H1529" s="32" t="s">
        <v>22</v>
      </c>
      <c r="I1529" s="32" t="s">
        <v>93</v>
      </c>
      <c r="J1529" s="32" t="s">
        <v>85</v>
      </c>
      <c r="K1529" s="32" t="s">
        <v>63</v>
      </c>
    </row>
    <row r="1530" customFormat="false" ht="13.5" hidden="false" customHeight="true" outlineLevel="0" collapsed="false">
      <c r="A1530" s="32" t="n">
        <v>3555</v>
      </c>
      <c r="B1530" s="32" t="s">
        <v>1331</v>
      </c>
      <c r="C1530" s="32" t="s">
        <v>1332</v>
      </c>
      <c r="D1530" s="32" t="s">
        <v>59</v>
      </c>
      <c r="E1530" s="32" t="s">
        <v>107</v>
      </c>
      <c r="F1530" s="32" t="n">
        <v>7906563121</v>
      </c>
      <c r="G1530" s="32" t="s">
        <v>144</v>
      </c>
      <c r="H1530" s="32" t="s">
        <v>21</v>
      </c>
      <c r="I1530" s="32" t="s">
        <v>108</v>
      </c>
      <c r="J1530" s="32" t="s">
        <v>71</v>
      </c>
      <c r="K1530" s="32" t="s">
        <v>63</v>
      </c>
    </row>
    <row r="1531" customFormat="false" ht="13.5" hidden="false" customHeight="true" outlineLevel="0" collapsed="false">
      <c r="A1531" s="32" t="n">
        <v>3556</v>
      </c>
      <c r="B1531" s="32" t="s">
        <v>1331</v>
      </c>
      <c r="C1531" s="32" t="s">
        <v>1333</v>
      </c>
      <c r="D1531" s="32" t="s">
        <v>59</v>
      </c>
      <c r="E1531" s="32" t="s">
        <v>107</v>
      </c>
      <c r="F1531" s="32" t="n">
        <v>7906563121</v>
      </c>
      <c r="G1531" s="32" t="s">
        <v>144</v>
      </c>
      <c r="H1531" s="32" t="s">
        <v>21</v>
      </c>
      <c r="I1531" s="32" t="s">
        <v>16</v>
      </c>
      <c r="J1531" s="32" t="s">
        <v>73</v>
      </c>
      <c r="K1531" s="32" t="s">
        <v>63</v>
      </c>
    </row>
    <row r="1532" customFormat="false" ht="13.5" hidden="false" customHeight="true" outlineLevel="0" collapsed="false">
      <c r="A1532" s="32" t="n">
        <v>3557</v>
      </c>
      <c r="B1532" s="32" t="s">
        <v>1334</v>
      </c>
      <c r="C1532" s="32" t="s">
        <v>1335</v>
      </c>
      <c r="D1532" s="32" t="s">
        <v>59</v>
      </c>
      <c r="E1532" s="32" t="s">
        <v>60</v>
      </c>
      <c r="F1532" s="32" t="n">
        <v>0</v>
      </c>
      <c r="G1532" s="32" t="s">
        <v>61</v>
      </c>
      <c r="H1532" s="32" t="s">
        <v>21</v>
      </c>
      <c r="I1532" s="32" t="s">
        <v>156</v>
      </c>
      <c r="J1532" s="32" t="s">
        <v>62</v>
      </c>
      <c r="K1532" s="32" t="s">
        <v>63</v>
      </c>
    </row>
    <row r="1533" customFormat="false" ht="13.5" hidden="false" customHeight="true" outlineLevel="0" collapsed="false">
      <c r="A1533" s="32" t="n">
        <v>3558</v>
      </c>
      <c r="B1533" s="32" t="s">
        <v>1334</v>
      </c>
      <c r="C1533" s="32" t="s">
        <v>1335</v>
      </c>
      <c r="D1533" s="32" t="s">
        <v>59</v>
      </c>
      <c r="E1533" s="32" t="s">
        <v>60</v>
      </c>
      <c r="F1533" s="32" t="n">
        <v>0</v>
      </c>
      <c r="G1533" s="32" t="s">
        <v>61</v>
      </c>
      <c r="H1533" s="32" t="s">
        <v>21</v>
      </c>
      <c r="I1533" s="32" t="s">
        <v>64</v>
      </c>
      <c r="J1533" s="32" t="s">
        <v>62</v>
      </c>
      <c r="K1533" s="32" t="s">
        <v>63</v>
      </c>
    </row>
    <row r="1534" customFormat="false" ht="13.5" hidden="false" customHeight="true" outlineLevel="0" collapsed="false">
      <c r="A1534" s="32" t="n">
        <v>3559</v>
      </c>
      <c r="B1534" s="32" t="s">
        <v>1334</v>
      </c>
      <c r="C1534" s="32" t="s">
        <v>1335</v>
      </c>
      <c r="D1534" s="32" t="s">
        <v>59</v>
      </c>
      <c r="E1534" s="32" t="s">
        <v>60</v>
      </c>
      <c r="F1534" s="32" t="n">
        <v>0</v>
      </c>
      <c r="G1534" s="32" t="s">
        <v>61</v>
      </c>
      <c r="H1534" s="32" t="s">
        <v>21</v>
      </c>
      <c r="I1534" s="32" t="s">
        <v>29</v>
      </c>
      <c r="J1534" s="32" t="s">
        <v>62</v>
      </c>
      <c r="K1534" s="32" t="s">
        <v>63</v>
      </c>
    </row>
    <row r="1535" customFormat="false" ht="13.5" hidden="false" customHeight="true" outlineLevel="0" collapsed="false">
      <c r="A1535" s="32" t="n">
        <v>3560</v>
      </c>
      <c r="B1535" s="32" t="s">
        <v>1336</v>
      </c>
      <c r="C1535" s="32" t="s">
        <v>1337</v>
      </c>
      <c r="D1535" s="32" t="s">
        <v>59</v>
      </c>
      <c r="E1535" s="32" t="s">
        <v>143</v>
      </c>
      <c r="F1535" s="32" t="n">
        <v>9032511894</v>
      </c>
      <c r="G1535" s="32" t="s">
        <v>80</v>
      </c>
      <c r="H1535" s="32" t="s">
        <v>21</v>
      </c>
      <c r="I1535" s="32" t="s">
        <v>284</v>
      </c>
      <c r="J1535" s="32" t="s">
        <v>117</v>
      </c>
      <c r="K1535" s="32" t="s">
        <v>63</v>
      </c>
    </row>
    <row r="1536" customFormat="false" ht="13.5" hidden="false" customHeight="true" outlineLevel="0" collapsed="false">
      <c r="A1536" s="32" t="n">
        <v>3561</v>
      </c>
      <c r="B1536" s="32" t="s">
        <v>1336</v>
      </c>
      <c r="C1536" s="32" t="s">
        <v>1338</v>
      </c>
      <c r="D1536" s="32" t="s">
        <v>59</v>
      </c>
      <c r="E1536" s="32" t="s">
        <v>143</v>
      </c>
      <c r="F1536" s="32" t="n">
        <v>9032511894</v>
      </c>
      <c r="G1536" s="32" t="s">
        <v>80</v>
      </c>
      <c r="H1536" s="32" t="s">
        <v>21</v>
      </c>
      <c r="I1536" s="32" t="s">
        <v>75</v>
      </c>
      <c r="J1536" s="32" t="s">
        <v>76</v>
      </c>
      <c r="K1536" s="32" t="s">
        <v>63</v>
      </c>
    </row>
    <row r="1537" customFormat="false" ht="13.5" hidden="false" customHeight="true" outlineLevel="0" collapsed="false">
      <c r="A1537" s="32" t="n">
        <v>3562</v>
      </c>
      <c r="B1537" s="32" t="s">
        <v>1336</v>
      </c>
      <c r="C1537" s="32" t="s">
        <v>1339</v>
      </c>
      <c r="D1537" s="32" t="s">
        <v>59</v>
      </c>
      <c r="E1537" s="32" t="s">
        <v>143</v>
      </c>
      <c r="F1537" s="32" t="n">
        <v>9032511894</v>
      </c>
      <c r="G1537" s="32" t="s">
        <v>80</v>
      </c>
      <c r="H1537" s="32" t="s">
        <v>21</v>
      </c>
      <c r="I1537" s="32" t="s">
        <v>27</v>
      </c>
      <c r="J1537" s="32" t="s">
        <v>13</v>
      </c>
      <c r="K1537" s="32" t="s">
        <v>63</v>
      </c>
    </row>
    <row r="1538" customFormat="false" ht="13.5" hidden="false" customHeight="true" outlineLevel="0" collapsed="false">
      <c r="A1538" s="32" t="n">
        <v>3563</v>
      </c>
      <c r="B1538" s="32" t="s">
        <v>1336</v>
      </c>
      <c r="C1538" s="32" t="s">
        <v>1339</v>
      </c>
      <c r="D1538" s="32" t="s">
        <v>59</v>
      </c>
      <c r="E1538" s="32" t="s">
        <v>143</v>
      </c>
      <c r="F1538" s="32" t="n">
        <v>9032511894</v>
      </c>
      <c r="G1538" s="32" t="s">
        <v>80</v>
      </c>
      <c r="H1538" s="32" t="s">
        <v>21</v>
      </c>
      <c r="I1538" s="32" t="s">
        <v>30</v>
      </c>
      <c r="J1538" s="32" t="s">
        <v>203</v>
      </c>
      <c r="K1538" s="32" t="s">
        <v>63</v>
      </c>
    </row>
    <row r="1539" customFormat="false" ht="13.5" hidden="false" customHeight="true" outlineLevel="0" collapsed="false">
      <c r="A1539" s="32" t="n">
        <v>3564</v>
      </c>
      <c r="B1539" s="32" t="s">
        <v>1336</v>
      </c>
      <c r="C1539" s="32" t="s">
        <v>1339</v>
      </c>
      <c r="D1539" s="32" t="s">
        <v>59</v>
      </c>
      <c r="E1539" s="32" t="s">
        <v>143</v>
      </c>
      <c r="F1539" s="32" t="n">
        <v>9032511894</v>
      </c>
      <c r="G1539" s="32" t="s">
        <v>80</v>
      </c>
      <c r="H1539" s="32" t="s">
        <v>21</v>
      </c>
      <c r="I1539" s="32" t="s">
        <v>116</v>
      </c>
      <c r="J1539" s="32" t="s">
        <v>117</v>
      </c>
      <c r="K1539" s="32" t="s">
        <v>63</v>
      </c>
    </row>
    <row r="1540" customFormat="false" ht="13.5" hidden="false" customHeight="true" outlineLevel="0" collapsed="false">
      <c r="A1540" s="32" t="n">
        <v>3565</v>
      </c>
      <c r="B1540" s="32" t="s">
        <v>1340</v>
      </c>
      <c r="C1540" s="32" t="s">
        <v>1341</v>
      </c>
      <c r="D1540" s="32" t="s">
        <v>59</v>
      </c>
      <c r="E1540" s="32" t="s">
        <v>107</v>
      </c>
      <c r="F1540" s="32" t="n">
        <v>9603710157</v>
      </c>
      <c r="G1540" s="32" t="s">
        <v>80</v>
      </c>
      <c r="H1540" s="32" t="s">
        <v>21</v>
      </c>
      <c r="I1540" s="32" t="s">
        <v>95</v>
      </c>
      <c r="J1540" s="32" t="s">
        <v>96</v>
      </c>
      <c r="K1540" s="32" t="s">
        <v>63</v>
      </c>
    </row>
    <row r="1541" customFormat="false" ht="13.5" hidden="false" customHeight="true" outlineLevel="0" collapsed="false">
      <c r="A1541" s="32" t="n">
        <v>3566</v>
      </c>
      <c r="B1541" s="32" t="s">
        <v>1340</v>
      </c>
      <c r="C1541" s="32" t="s">
        <v>1342</v>
      </c>
      <c r="D1541" s="32" t="s">
        <v>59</v>
      </c>
      <c r="E1541" s="32" t="s">
        <v>107</v>
      </c>
      <c r="F1541" s="32" t="n">
        <v>9603710157</v>
      </c>
      <c r="G1541" s="32" t="s">
        <v>80</v>
      </c>
      <c r="H1541" s="32" t="s">
        <v>21</v>
      </c>
      <c r="I1541" s="32" t="s">
        <v>1343</v>
      </c>
      <c r="J1541" s="32" t="s">
        <v>117</v>
      </c>
      <c r="K1541" s="32" t="s">
        <v>63</v>
      </c>
    </row>
    <row r="1542" customFormat="false" ht="13.5" hidden="false" customHeight="true" outlineLevel="0" collapsed="false">
      <c r="A1542" s="32" t="n">
        <v>3567</v>
      </c>
      <c r="B1542" s="32" t="s">
        <v>1340</v>
      </c>
      <c r="C1542" s="32" t="s">
        <v>1341</v>
      </c>
      <c r="D1542" s="32" t="s">
        <v>59</v>
      </c>
      <c r="E1542" s="32" t="s">
        <v>107</v>
      </c>
      <c r="F1542" s="32" t="n">
        <v>9603710157</v>
      </c>
      <c r="G1542" s="32" t="s">
        <v>80</v>
      </c>
      <c r="H1542" s="32" t="s">
        <v>21</v>
      </c>
      <c r="I1542" s="32" t="s">
        <v>27</v>
      </c>
      <c r="J1542" s="32" t="s">
        <v>13</v>
      </c>
      <c r="K1542" s="32" t="s">
        <v>63</v>
      </c>
    </row>
    <row r="1543" customFormat="false" ht="13.5" hidden="false" customHeight="true" outlineLevel="0" collapsed="false">
      <c r="A1543" s="32" t="n">
        <v>3568</v>
      </c>
      <c r="B1543" s="32" t="s">
        <v>1344</v>
      </c>
      <c r="C1543" s="32" t="s">
        <v>1345</v>
      </c>
      <c r="D1543" s="32" t="s">
        <v>114</v>
      </c>
      <c r="E1543" s="32" t="s">
        <v>124</v>
      </c>
      <c r="F1543" s="33" t="n">
        <v>919916000000</v>
      </c>
      <c r="G1543" s="32" t="s">
        <v>61</v>
      </c>
      <c r="H1543" s="32" t="s">
        <v>22</v>
      </c>
      <c r="I1543" s="32" t="s">
        <v>1346</v>
      </c>
      <c r="J1543" s="32" t="s">
        <v>132</v>
      </c>
      <c r="K1543" s="32" t="s">
        <v>63</v>
      </c>
    </row>
    <row r="1544" customFormat="false" ht="13.5" hidden="false" customHeight="true" outlineLevel="0" collapsed="false">
      <c r="A1544" s="32" t="n">
        <v>3569</v>
      </c>
      <c r="B1544" s="32" t="s">
        <v>1344</v>
      </c>
      <c r="C1544" s="32" t="s">
        <v>1347</v>
      </c>
      <c r="D1544" s="32" t="s">
        <v>114</v>
      </c>
      <c r="E1544" s="32" t="s">
        <v>124</v>
      </c>
      <c r="F1544" s="32" t="n">
        <v>9916429374</v>
      </c>
      <c r="G1544" s="32" t="s">
        <v>61</v>
      </c>
      <c r="H1544" s="32" t="s">
        <v>22</v>
      </c>
      <c r="I1544" s="32" t="s">
        <v>185</v>
      </c>
      <c r="J1544" s="32" t="s">
        <v>186</v>
      </c>
      <c r="K1544" s="32" t="s">
        <v>63</v>
      </c>
    </row>
    <row r="1545" customFormat="false" ht="13.5" hidden="false" customHeight="true" outlineLevel="0" collapsed="false">
      <c r="A1545" s="32" t="n">
        <v>3570</v>
      </c>
      <c r="B1545" s="32" t="s">
        <v>1344</v>
      </c>
      <c r="C1545" s="32" t="s">
        <v>1347</v>
      </c>
      <c r="D1545" s="32" t="s">
        <v>114</v>
      </c>
      <c r="E1545" s="32" t="s">
        <v>124</v>
      </c>
      <c r="F1545" s="32" t="n">
        <v>9916429374</v>
      </c>
      <c r="G1545" s="32" t="s">
        <v>61</v>
      </c>
      <c r="H1545" s="32" t="s">
        <v>22</v>
      </c>
      <c r="I1545" s="32" t="s">
        <v>227</v>
      </c>
      <c r="J1545" s="32" t="s">
        <v>228</v>
      </c>
      <c r="K1545" s="32" t="s">
        <v>63</v>
      </c>
    </row>
    <row r="1546" customFormat="false" ht="13.5" hidden="false" customHeight="true" outlineLevel="0" collapsed="false">
      <c r="A1546" s="32" t="n">
        <v>3571</v>
      </c>
      <c r="B1546" s="32" t="s">
        <v>1344</v>
      </c>
      <c r="C1546" s="32" t="s">
        <v>1347</v>
      </c>
      <c r="D1546" s="32" t="s">
        <v>114</v>
      </c>
      <c r="E1546" s="32" t="s">
        <v>124</v>
      </c>
      <c r="F1546" s="33" t="n">
        <v>919916000000</v>
      </c>
      <c r="G1546" s="32" t="s">
        <v>61</v>
      </c>
      <c r="H1546" s="32" t="s">
        <v>22</v>
      </c>
      <c r="I1546" s="32" t="s">
        <v>226</v>
      </c>
      <c r="J1546" s="32" t="s">
        <v>110</v>
      </c>
      <c r="K1546" s="32" t="s">
        <v>63</v>
      </c>
    </row>
    <row r="1547" customFormat="false" ht="13.5" hidden="false" customHeight="true" outlineLevel="0" collapsed="false">
      <c r="A1547" s="32" t="n">
        <v>3572</v>
      </c>
      <c r="B1547" s="32" t="s">
        <v>1348</v>
      </c>
      <c r="C1547" s="32" t="s">
        <v>1349</v>
      </c>
      <c r="D1547" s="32" t="s">
        <v>114</v>
      </c>
      <c r="E1547" s="32" t="s">
        <v>115</v>
      </c>
      <c r="F1547" s="32" t="n">
        <v>9533973400</v>
      </c>
      <c r="G1547" s="32" t="s">
        <v>80</v>
      </c>
      <c r="H1547" s="32" t="s">
        <v>22</v>
      </c>
      <c r="I1547" s="32" t="s">
        <v>16</v>
      </c>
      <c r="J1547" s="32" t="s">
        <v>73</v>
      </c>
      <c r="K1547" s="32" t="s">
        <v>63</v>
      </c>
    </row>
    <row r="1548" customFormat="false" ht="13.5" hidden="false" customHeight="true" outlineLevel="0" collapsed="false">
      <c r="A1548" s="32" t="n">
        <v>3573</v>
      </c>
      <c r="B1548" s="32" t="s">
        <v>1348</v>
      </c>
      <c r="C1548" s="32" t="s">
        <v>1349</v>
      </c>
      <c r="D1548" s="32" t="s">
        <v>114</v>
      </c>
      <c r="E1548" s="32" t="s">
        <v>115</v>
      </c>
      <c r="F1548" s="32" t="n">
        <v>9533973400</v>
      </c>
      <c r="G1548" s="32" t="s">
        <v>80</v>
      </c>
      <c r="H1548" s="32" t="s">
        <v>22</v>
      </c>
      <c r="I1548" s="32" t="s">
        <v>149</v>
      </c>
      <c r="J1548" s="32" t="s">
        <v>73</v>
      </c>
      <c r="K1548" s="32" t="s">
        <v>63</v>
      </c>
    </row>
    <row r="1549" customFormat="false" ht="13.5" hidden="false" customHeight="true" outlineLevel="0" collapsed="false">
      <c r="A1549" s="32" t="n">
        <v>3577</v>
      </c>
      <c r="B1549" s="32" t="s">
        <v>1350</v>
      </c>
      <c r="C1549" s="32" t="s">
        <v>1351</v>
      </c>
      <c r="D1549" s="32" t="s">
        <v>59</v>
      </c>
      <c r="E1549" s="32" t="n">
        <v>0</v>
      </c>
      <c r="F1549" s="33" t="n">
        <v>917043000000</v>
      </c>
      <c r="G1549" s="32" t="s">
        <v>69</v>
      </c>
      <c r="H1549" s="32" t="s">
        <v>21</v>
      </c>
      <c r="I1549" s="32" t="s">
        <v>156</v>
      </c>
      <c r="J1549" s="32" t="s">
        <v>62</v>
      </c>
      <c r="K1549" s="32" t="s">
        <v>63</v>
      </c>
    </row>
    <row r="1550" customFormat="false" ht="13.5" hidden="false" customHeight="true" outlineLevel="0" collapsed="false">
      <c r="A1550" s="32" t="n">
        <v>3578</v>
      </c>
      <c r="B1550" s="32" t="s">
        <v>1350</v>
      </c>
      <c r="C1550" s="32" t="s">
        <v>1351</v>
      </c>
      <c r="D1550" s="32" t="s">
        <v>59</v>
      </c>
      <c r="E1550" s="32" t="n">
        <v>0</v>
      </c>
      <c r="F1550" s="33" t="n">
        <v>917043000000</v>
      </c>
      <c r="G1550" s="32" t="s">
        <v>69</v>
      </c>
      <c r="H1550" s="32" t="s">
        <v>21</v>
      </c>
      <c r="I1550" s="32" t="s">
        <v>29</v>
      </c>
      <c r="J1550" s="32" t="s">
        <v>62</v>
      </c>
      <c r="K1550" s="32" t="s">
        <v>63</v>
      </c>
    </row>
    <row r="1551" customFormat="false" ht="13.5" hidden="false" customHeight="true" outlineLevel="0" collapsed="false">
      <c r="A1551" s="32" t="n">
        <v>3579</v>
      </c>
      <c r="B1551" s="32" t="s">
        <v>1352</v>
      </c>
      <c r="C1551" s="32" t="s">
        <v>1353</v>
      </c>
      <c r="D1551" s="32" t="s">
        <v>59</v>
      </c>
      <c r="E1551" s="32" t="s">
        <v>107</v>
      </c>
      <c r="F1551" s="32" t="n">
        <v>0</v>
      </c>
      <c r="G1551" s="32" t="s">
        <v>104</v>
      </c>
      <c r="H1551" s="32" t="s">
        <v>21</v>
      </c>
      <c r="I1551" s="32" t="s">
        <v>30</v>
      </c>
      <c r="J1551" s="32" t="s">
        <v>203</v>
      </c>
      <c r="K1551" s="32" t="s">
        <v>63</v>
      </c>
    </row>
    <row r="1552" customFormat="false" ht="13.5" hidden="false" customHeight="true" outlineLevel="0" collapsed="false">
      <c r="A1552" s="32" t="n">
        <v>3580</v>
      </c>
      <c r="B1552" s="32" t="s">
        <v>1352</v>
      </c>
      <c r="C1552" s="32" t="s">
        <v>1353</v>
      </c>
      <c r="D1552" s="32" t="s">
        <v>59</v>
      </c>
      <c r="E1552" s="32" t="s">
        <v>107</v>
      </c>
      <c r="F1552" s="32" t="n">
        <v>0</v>
      </c>
      <c r="G1552" s="32" t="s">
        <v>104</v>
      </c>
      <c r="H1552" s="32" t="s">
        <v>21</v>
      </c>
      <c r="I1552" s="32" t="s">
        <v>408</v>
      </c>
      <c r="J1552" s="32" t="s">
        <v>117</v>
      </c>
      <c r="K1552" s="32" t="s">
        <v>63</v>
      </c>
    </row>
    <row r="1553" customFormat="false" ht="13.5" hidden="false" customHeight="true" outlineLevel="0" collapsed="false">
      <c r="A1553" s="32" t="n">
        <v>3581</v>
      </c>
      <c r="B1553" s="32" t="s">
        <v>1352</v>
      </c>
      <c r="C1553" s="32" t="s">
        <v>1353</v>
      </c>
      <c r="D1553" s="32" t="s">
        <v>59</v>
      </c>
      <c r="E1553" s="32" t="s">
        <v>107</v>
      </c>
      <c r="F1553" s="32" t="n">
        <v>8879204259</v>
      </c>
      <c r="G1553" s="32" t="s">
        <v>104</v>
      </c>
      <c r="H1553" s="32" t="s">
        <v>21</v>
      </c>
      <c r="I1553" s="32" t="s">
        <v>116</v>
      </c>
      <c r="J1553" s="32" t="s">
        <v>117</v>
      </c>
      <c r="K1553" s="32" t="s">
        <v>63</v>
      </c>
    </row>
    <row r="1554" customFormat="false" ht="13.5" hidden="false" customHeight="true" outlineLevel="0" collapsed="false">
      <c r="A1554" s="32" t="n">
        <v>3582</v>
      </c>
      <c r="B1554" s="32" t="s">
        <v>1354</v>
      </c>
      <c r="C1554" s="32" t="s">
        <v>1355</v>
      </c>
      <c r="D1554" s="32" t="s">
        <v>114</v>
      </c>
      <c r="E1554" s="32" t="s">
        <v>165</v>
      </c>
      <c r="F1554" s="32" t="n">
        <v>9885089581</v>
      </c>
      <c r="G1554" s="32" t="s">
        <v>80</v>
      </c>
      <c r="H1554" s="32" t="s">
        <v>22</v>
      </c>
      <c r="I1554" s="32" t="s">
        <v>149</v>
      </c>
      <c r="J1554" s="32" t="s">
        <v>73</v>
      </c>
      <c r="K1554" s="32" t="s">
        <v>63</v>
      </c>
    </row>
    <row r="1555" customFormat="false" ht="13.5" hidden="false" customHeight="true" outlineLevel="0" collapsed="false">
      <c r="A1555" s="32" t="n">
        <v>3583</v>
      </c>
      <c r="B1555" s="32" t="s">
        <v>1354</v>
      </c>
      <c r="C1555" s="32" t="s">
        <v>1356</v>
      </c>
      <c r="D1555" s="32" t="s">
        <v>114</v>
      </c>
      <c r="E1555" s="32" t="s">
        <v>165</v>
      </c>
      <c r="F1555" s="32" t="n">
        <v>9885089581</v>
      </c>
      <c r="G1555" s="32" t="s">
        <v>80</v>
      </c>
      <c r="H1555" s="32" t="s">
        <v>22</v>
      </c>
      <c r="I1555" s="32" t="s">
        <v>27</v>
      </c>
      <c r="J1555" s="32" t="s">
        <v>13</v>
      </c>
      <c r="K1555" s="32" t="s">
        <v>63</v>
      </c>
    </row>
    <row r="1556" customFormat="false" ht="13.5" hidden="false" customHeight="true" outlineLevel="0" collapsed="false">
      <c r="A1556" s="32" t="n">
        <v>3585</v>
      </c>
      <c r="B1556" s="32" t="s">
        <v>1354</v>
      </c>
      <c r="C1556" s="32" t="s">
        <v>1356</v>
      </c>
      <c r="D1556" s="32" t="s">
        <v>114</v>
      </c>
      <c r="E1556" s="32" t="s">
        <v>165</v>
      </c>
      <c r="F1556" s="32" t="n">
        <v>9885089581</v>
      </c>
      <c r="G1556" s="32" t="s">
        <v>80</v>
      </c>
      <c r="H1556" s="32" t="s">
        <v>22</v>
      </c>
      <c r="I1556" s="32" t="s">
        <v>16</v>
      </c>
      <c r="J1556" s="32" t="s">
        <v>73</v>
      </c>
      <c r="K1556" s="32" t="s">
        <v>63</v>
      </c>
    </row>
    <row r="1557" customFormat="false" ht="13.5" hidden="false" customHeight="true" outlineLevel="0" collapsed="false">
      <c r="A1557" s="32" t="n">
        <v>3586</v>
      </c>
      <c r="B1557" s="32" t="s">
        <v>1354</v>
      </c>
      <c r="C1557" s="32" t="s">
        <v>1356</v>
      </c>
      <c r="D1557" s="32" t="s">
        <v>114</v>
      </c>
      <c r="E1557" s="32" t="s">
        <v>165</v>
      </c>
      <c r="F1557" s="32" t="n">
        <v>9885089581</v>
      </c>
      <c r="G1557" s="32" t="s">
        <v>80</v>
      </c>
      <c r="H1557" s="32" t="s">
        <v>22</v>
      </c>
      <c r="I1557" s="32" t="s">
        <v>116</v>
      </c>
      <c r="J1557" s="32" t="s">
        <v>117</v>
      </c>
      <c r="K1557" s="32" t="s">
        <v>63</v>
      </c>
    </row>
    <row r="1558" customFormat="false" ht="13.5" hidden="false" customHeight="true" outlineLevel="0" collapsed="false">
      <c r="A1558" s="32" t="n">
        <v>3587</v>
      </c>
      <c r="B1558" s="32" t="s">
        <v>1354</v>
      </c>
      <c r="C1558" s="32" t="s">
        <v>1356</v>
      </c>
      <c r="D1558" s="32" t="s">
        <v>114</v>
      </c>
      <c r="E1558" s="32" t="s">
        <v>165</v>
      </c>
      <c r="F1558" s="32" t="n">
        <v>9885089581</v>
      </c>
      <c r="G1558" s="32" t="s">
        <v>80</v>
      </c>
      <c r="H1558" s="32" t="s">
        <v>22</v>
      </c>
      <c r="I1558" s="32" t="s">
        <v>1357</v>
      </c>
      <c r="J1558" s="32" t="s">
        <v>1358</v>
      </c>
      <c r="K1558" s="32" t="s">
        <v>63</v>
      </c>
    </row>
    <row r="1559" customFormat="false" ht="13.5" hidden="false" customHeight="true" outlineLevel="0" collapsed="false">
      <c r="A1559" s="32" t="n">
        <v>3588</v>
      </c>
      <c r="B1559" s="32" t="s">
        <v>1354</v>
      </c>
      <c r="C1559" s="32" t="s">
        <v>1356</v>
      </c>
      <c r="D1559" s="32" t="s">
        <v>114</v>
      </c>
      <c r="E1559" s="32" t="s">
        <v>165</v>
      </c>
      <c r="F1559" s="32" t="n">
        <v>9885089581</v>
      </c>
      <c r="G1559" s="32" t="s">
        <v>80</v>
      </c>
      <c r="H1559" s="32" t="s">
        <v>22</v>
      </c>
      <c r="I1559" s="32" t="s">
        <v>1359</v>
      </c>
      <c r="J1559" s="32" t="s">
        <v>1358</v>
      </c>
      <c r="K1559" s="32" t="s">
        <v>63</v>
      </c>
    </row>
    <row r="1560" customFormat="false" ht="13.5" hidden="false" customHeight="true" outlineLevel="0" collapsed="false">
      <c r="A1560" s="32" t="n">
        <v>3589</v>
      </c>
      <c r="B1560" s="32" t="s">
        <v>1354</v>
      </c>
      <c r="C1560" s="32" t="s">
        <v>1356</v>
      </c>
      <c r="D1560" s="32" t="s">
        <v>114</v>
      </c>
      <c r="E1560" s="32" t="s">
        <v>165</v>
      </c>
      <c r="F1560" s="32" t="n">
        <v>9885089581</v>
      </c>
      <c r="G1560" s="32" t="s">
        <v>80</v>
      </c>
      <c r="H1560" s="32" t="s">
        <v>22</v>
      </c>
      <c r="I1560" s="32" t="s">
        <v>30</v>
      </c>
      <c r="J1560" s="32" t="s">
        <v>203</v>
      </c>
      <c r="K1560" s="32" t="s">
        <v>63</v>
      </c>
    </row>
    <row r="1561" customFormat="false" ht="13.5" hidden="false" customHeight="true" outlineLevel="0" collapsed="false">
      <c r="A1561" s="32" t="n">
        <v>3590</v>
      </c>
      <c r="B1561" s="32" t="s">
        <v>1354</v>
      </c>
      <c r="C1561" s="32" t="s">
        <v>1356</v>
      </c>
      <c r="D1561" s="32" t="s">
        <v>114</v>
      </c>
      <c r="E1561" s="32" t="s">
        <v>165</v>
      </c>
      <c r="F1561" s="32" t="n">
        <v>9885089581</v>
      </c>
      <c r="G1561" s="32" t="s">
        <v>181</v>
      </c>
      <c r="H1561" s="32" t="s">
        <v>22</v>
      </c>
      <c r="I1561" s="32" t="s">
        <v>629</v>
      </c>
      <c r="J1561" s="32" t="s">
        <v>203</v>
      </c>
      <c r="K1561" s="32" t="s">
        <v>63</v>
      </c>
    </row>
    <row r="1562" customFormat="false" ht="13.5" hidden="false" customHeight="true" outlineLevel="0" collapsed="false">
      <c r="A1562" s="32" t="n">
        <v>3591</v>
      </c>
      <c r="B1562" s="32" t="s">
        <v>1354</v>
      </c>
      <c r="C1562" s="32" t="s">
        <v>1356</v>
      </c>
      <c r="D1562" s="32" t="s">
        <v>114</v>
      </c>
      <c r="E1562" s="32" t="s">
        <v>165</v>
      </c>
      <c r="F1562" s="32" t="n">
        <v>9885089581</v>
      </c>
      <c r="G1562" s="32" t="s">
        <v>181</v>
      </c>
      <c r="H1562" s="32" t="s">
        <v>22</v>
      </c>
      <c r="I1562" s="32" t="s">
        <v>393</v>
      </c>
      <c r="J1562" s="32" t="s">
        <v>73</v>
      </c>
      <c r="K1562" s="32" t="s">
        <v>63</v>
      </c>
    </row>
    <row r="1563" customFormat="false" ht="13.5" hidden="false" customHeight="true" outlineLevel="0" collapsed="false">
      <c r="A1563" s="32" t="n">
        <v>3592</v>
      </c>
      <c r="B1563" s="32" t="s">
        <v>1354</v>
      </c>
      <c r="C1563" s="32" t="s">
        <v>1356</v>
      </c>
      <c r="D1563" s="32" t="s">
        <v>114</v>
      </c>
      <c r="E1563" s="32" t="s">
        <v>165</v>
      </c>
      <c r="F1563" s="32" t="n">
        <v>9885089581</v>
      </c>
      <c r="G1563" s="32" t="s">
        <v>181</v>
      </c>
      <c r="H1563" s="32" t="s">
        <v>22</v>
      </c>
      <c r="I1563" s="32" t="s">
        <v>137</v>
      </c>
      <c r="J1563" s="32" t="s">
        <v>13</v>
      </c>
      <c r="K1563" s="32" t="s">
        <v>63</v>
      </c>
    </row>
    <row r="1564" customFormat="false" ht="13.5" hidden="false" customHeight="true" outlineLevel="0" collapsed="false">
      <c r="A1564" s="32" t="n">
        <v>3593</v>
      </c>
      <c r="B1564" s="32" t="s">
        <v>1360</v>
      </c>
      <c r="C1564" s="32" t="s">
        <v>1361</v>
      </c>
      <c r="D1564" s="32" t="s">
        <v>59</v>
      </c>
      <c r="E1564" s="32" t="s">
        <v>143</v>
      </c>
      <c r="F1564" s="32" t="n">
        <v>6265064297</v>
      </c>
      <c r="G1564" s="32" t="s">
        <v>69</v>
      </c>
      <c r="H1564" s="32" t="s">
        <v>21</v>
      </c>
      <c r="I1564" s="32" t="s">
        <v>75</v>
      </c>
      <c r="J1564" s="32" t="s">
        <v>76</v>
      </c>
      <c r="K1564" s="32" t="s">
        <v>63</v>
      </c>
    </row>
    <row r="1565" customFormat="false" ht="13.5" hidden="false" customHeight="true" outlineLevel="0" collapsed="false">
      <c r="A1565" s="32" t="n">
        <v>3594</v>
      </c>
      <c r="B1565" s="32" t="s">
        <v>1362</v>
      </c>
      <c r="C1565" s="32" t="s">
        <v>1363</v>
      </c>
      <c r="D1565" s="32" t="s">
        <v>59</v>
      </c>
      <c r="E1565" s="32" t="s">
        <v>60</v>
      </c>
      <c r="F1565" s="32" t="n">
        <v>0</v>
      </c>
      <c r="G1565" s="32" t="s">
        <v>80</v>
      </c>
      <c r="H1565" s="32" t="s">
        <v>21</v>
      </c>
      <c r="I1565" s="32" t="s">
        <v>156</v>
      </c>
      <c r="J1565" s="32" t="s">
        <v>62</v>
      </c>
      <c r="K1565" s="32" t="s">
        <v>63</v>
      </c>
    </row>
    <row r="1566" customFormat="false" ht="13.5" hidden="false" customHeight="true" outlineLevel="0" collapsed="false">
      <c r="A1566" s="32" t="n">
        <v>3595</v>
      </c>
      <c r="B1566" s="32" t="s">
        <v>1362</v>
      </c>
      <c r="C1566" s="32" t="s">
        <v>1363</v>
      </c>
      <c r="D1566" s="32" t="s">
        <v>59</v>
      </c>
      <c r="E1566" s="32" t="s">
        <v>60</v>
      </c>
      <c r="F1566" s="32" t="n">
        <v>0</v>
      </c>
      <c r="G1566" s="32" t="s">
        <v>80</v>
      </c>
      <c r="H1566" s="32" t="s">
        <v>21</v>
      </c>
      <c r="I1566" s="32" t="s">
        <v>773</v>
      </c>
      <c r="J1566" s="32" t="s">
        <v>66</v>
      </c>
      <c r="K1566" s="32" t="s">
        <v>63</v>
      </c>
    </row>
    <row r="1567" customFormat="false" ht="13.5" hidden="false" customHeight="true" outlineLevel="0" collapsed="false">
      <c r="A1567" s="32" t="n">
        <v>3596</v>
      </c>
      <c r="B1567" s="32" t="s">
        <v>1362</v>
      </c>
      <c r="C1567" s="32" t="s">
        <v>1363</v>
      </c>
      <c r="D1567" s="32" t="s">
        <v>59</v>
      </c>
      <c r="E1567" s="32" t="s">
        <v>60</v>
      </c>
      <c r="F1567" s="32" t="n">
        <v>0</v>
      </c>
      <c r="G1567" s="32" t="s">
        <v>80</v>
      </c>
      <c r="H1567" s="32" t="s">
        <v>21</v>
      </c>
      <c r="I1567" s="32" t="s">
        <v>29</v>
      </c>
      <c r="J1567" s="32" t="s">
        <v>62</v>
      </c>
      <c r="K1567" s="32" t="s">
        <v>63</v>
      </c>
    </row>
    <row r="1568" customFormat="false" ht="13.5" hidden="false" customHeight="true" outlineLevel="0" collapsed="false">
      <c r="A1568" s="32" t="n">
        <v>3597</v>
      </c>
      <c r="B1568" s="32" t="s">
        <v>1364</v>
      </c>
      <c r="C1568" s="32" t="s">
        <v>1365</v>
      </c>
      <c r="D1568" s="32" t="s">
        <v>114</v>
      </c>
      <c r="E1568" s="32" t="s">
        <v>115</v>
      </c>
      <c r="F1568" s="32" t="n">
        <v>9967715116</v>
      </c>
      <c r="G1568" s="32" t="s">
        <v>104</v>
      </c>
      <c r="H1568" s="32" t="s">
        <v>22</v>
      </c>
      <c r="I1568" s="32" t="s">
        <v>549</v>
      </c>
      <c r="J1568" s="32" t="s">
        <v>110</v>
      </c>
      <c r="K1568" s="32" t="s">
        <v>63</v>
      </c>
    </row>
    <row r="1569" customFormat="false" ht="13.5" hidden="false" customHeight="true" outlineLevel="0" collapsed="false">
      <c r="A1569" s="32" t="n">
        <v>3598</v>
      </c>
      <c r="B1569" s="32" t="s">
        <v>1364</v>
      </c>
      <c r="C1569" s="32" t="s">
        <v>1365</v>
      </c>
      <c r="D1569" s="32" t="s">
        <v>114</v>
      </c>
      <c r="E1569" s="32" t="s">
        <v>115</v>
      </c>
      <c r="F1569" s="32" t="n">
        <v>9967715116</v>
      </c>
      <c r="G1569" s="32" t="s">
        <v>104</v>
      </c>
      <c r="H1569" s="32" t="s">
        <v>22</v>
      </c>
      <c r="I1569" s="32" t="s">
        <v>145</v>
      </c>
      <c r="J1569" s="32" t="s">
        <v>117</v>
      </c>
      <c r="K1569" s="32" t="s">
        <v>63</v>
      </c>
    </row>
    <row r="1570" customFormat="false" ht="13.5" hidden="false" customHeight="true" outlineLevel="0" collapsed="false">
      <c r="A1570" s="32" t="n">
        <v>3599</v>
      </c>
      <c r="B1570" s="32" t="s">
        <v>1366</v>
      </c>
      <c r="C1570" s="32" t="s">
        <v>1367</v>
      </c>
      <c r="D1570" s="32" t="s">
        <v>59</v>
      </c>
      <c r="E1570" s="32" t="s">
        <v>92</v>
      </c>
      <c r="F1570" s="32" t="n">
        <v>9176028458</v>
      </c>
      <c r="G1570" s="32" t="s">
        <v>144</v>
      </c>
      <c r="H1570" s="32" t="s">
        <v>21</v>
      </c>
      <c r="I1570" s="32" t="s">
        <v>76</v>
      </c>
      <c r="J1570" s="32" t="s">
        <v>76</v>
      </c>
      <c r="K1570" s="32" t="s">
        <v>63</v>
      </c>
    </row>
    <row r="1571" customFormat="false" ht="13.5" hidden="false" customHeight="true" outlineLevel="0" collapsed="false">
      <c r="A1571" s="32" t="n">
        <v>3601</v>
      </c>
      <c r="B1571" s="32" t="s">
        <v>1368</v>
      </c>
      <c r="C1571" s="32" t="s">
        <v>1369</v>
      </c>
      <c r="D1571" s="32" t="s">
        <v>114</v>
      </c>
      <c r="E1571" s="32" t="s">
        <v>169</v>
      </c>
      <c r="F1571" s="32" t="n">
        <v>9985399524</v>
      </c>
      <c r="G1571" s="32" t="s">
        <v>80</v>
      </c>
      <c r="H1571" s="32" t="s">
        <v>22</v>
      </c>
      <c r="I1571" s="32" t="s">
        <v>108</v>
      </c>
      <c r="J1571" s="32" t="s">
        <v>71</v>
      </c>
      <c r="K1571" s="32" t="s">
        <v>63</v>
      </c>
    </row>
    <row r="1572" customFormat="false" ht="13.5" hidden="false" customHeight="true" outlineLevel="0" collapsed="false">
      <c r="A1572" s="32" t="n">
        <v>3602</v>
      </c>
      <c r="B1572" s="32" t="s">
        <v>1368</v>
      </c>
      <c r="C1572" s="32" t="s">
        <v>1370</v>
      </c>
      <c r="D1572" s="32" t="s">
        <v>114</v>
      </c>
      <c r="E1572" s="32" t="s">
        <v>169</v>
      </c>
      <c r="F1572" s="32" t="n">
        <v>9985399524</v>
      </c>
      <c r="G1572" s="32" t="s">
        <v>80</v>
      </c>
      <c r="H1572" s="32" t="s">
        <v>22</v>
      </c>
      <c r="I1572" s="32" t="s">
        <v>76</v>
      </c>
      <c r="J1572" s="32" t="s">
        <v>76</v>
      </c>
      <c r="K1572" s="32" t="s">
        <v>63</v>
      </c>
    </row>
    <row r="1573" customFormat="false" ht="13.5" hidden="false" customHeight="true" outlineLevel="0" collapsed="false">
      <c r="A1573" s="32" t="n">
        <v>3603</v>
      </c>
      <c r="B1573" s="32" t="s">
        <v>1368</v>
      </c>
      <c r="C1573" s="32" t="s">
        <v>1369</v>
      </c>
      <c r="D1573" s="32" t="s">
        <v>114</v>
      </c>
      <c r="E1573" s="32" t="s">
        <v>169</v>
      </c>
      <c r="F1573" s="32" t="n">
        <v>9985399524</v>
      </c>
      <c r="G1573" s="32" t="s">
        <v>80</v>
      </c>
      <c r="H1573" s="32" t="s">
        <v>22</v>
      </c>
      <c r="I1573" s="32" t="s">
        <v>151</v>
      </c>
      <c r="J1573" s="32" t="s">
        <v>152</v>
      </c>
      <c r="K1573" s="32" t="s">
        <v>63</v>
      </c>
    </row>
    <row r="1574" customFormat="false" ht="13.5" hidden="false" customHeight="true" outlineLevel="0" collapsed="false">
      <c r="A1574" s="32" t="n">
        <v>3605</v>
      </c>
      <c r="B1574" s="32" t="s">
        <v>1368</v>
      </c>
      <c r="C1574" s="32" t="s">
        <v>1369</v>
      </c>
      <c r="D1574" s="32" t="s">
        <v>114</v>
      </c>
      <c r="E1574" s="32" t="s">
        <v>169</v>
      </c>
      <c r="F1574" s="32" t="n">
        <v>9985399524</v>
      </c>
      <c r="G1574" s="32" t="s">
        <v>80</v>
      </c>
      <c r="H1574" s="32" t="s">
        <v>22</v>
      </c>
      <c r="I1574" s="32" t="s">
        <v>172</v>
      </c>
      <c r="J1574" s="32" t="s">
        <v>152</v>
      </c>
      <c r="K1574" s="32" t="s">
        <v>63</v>
      </c>
    </row>
    <row r="1575" customFormat="false" ht="13.5" hidden="false" customHeight="true" outlineLevel="0" collapsed="false">
      <c r="A1575" s="32" t="n">
        <v>3606</v>
      </c>
      <c r="B1575" s="32" t="s">
        <v>1371</v>
      </c>
      <c r="C1575" s="32" t="s">
        <v>1372</v>
      </c>
      <c r="D1575" s="32" t="s">
        <v>59</v>
      </c>
      <c r="E1575" s="32" t="s">
        <v>60</v>
      </c>
      <c r="F1575" s="33" t="n">
        <v>918803000000</v>
      </c>
      <c r="G1575" s="32" t="s">
        <v>144</v>
      </c>
      <c r="H1575" s="32" t="s">
        <v>21</v>
      </c>
      <c r="I1575" s="32" t="s">
        <v>156</v>
      </c>
      <c r="J1575" s="32" t="s">
        <v>62</v>
      </c>
      <c r="K1575" s="32" t="s">
        <v>63</v>
      </c>
    </row>
    <row r="1576" customFormat="false" ht="13.5" hidden="false" customHeight="true" outlineLevel="0" collapsed="false">
      <c r="A1576" s="32" t="n">
        <v>3607</v>
      </c>
      <c r="B1576" s="32" t="s">
        <v>1371</v>
      </c>
      <c r="C1576" s="32" t="s">
        <v>1372</v>
      </c>
      <c r="D1576" s="32" t="s">
        <v>59</v>
      </c>
      <c r="E1576" s="32" t="s">
        <v>60</v>
      </c>
      <c r="F1576" s="33" t="n">
        <v>918803000000</v>
      </c>
      <c r="G1576" s="32" t="s">
        <v>144</v>
      </c>
      <c r="H1576" s="32" t="s">
        <v>21</v>
      </c>
      <c r="I1576" s="32" t="s">
        <v>29</v>
      </c>
      <c r="J1576" s="32" t="s">
        <v>62</v>
      </c>
      <c r="K1576" s="32" t="s">
        <v>63</v>
      </c>
    </row>
    <row r="1577" customFormat="false" ht="13.5" hidden="false" customHeight="true" outlineLevel="0" collapsed="false">
      <c r="A1577" s="32" t="n">
        <v>3608</v>
      </c>
      <c r="B1577" s="32" t="s">
        <v>1371</v>
      </c>
      <c r="C1577" s="32" t="s">
        <v>1372</v>
      </c>
      <c r="D1577" s="32" t="s">
        <v>59</v>
      </c>
      <c r="E1577" s="32" t="s">
        <v>60</v>
      </c>
      <c r="F1577" s="33" t="n">
        <v>918803000000</v>
      </c>
      <c r="G1577" s="32" t="s">
        <v>144</v>
      </c>
      <c r="H1577" s="32" t="s">
        <v>21</v>
      </c>
      <c r="I1577" s="32" t="s">
        <v>14</v>
      </c>
      <c r="J1577" s="32" t="s">
        <v>66</v>
      </c>
      <c r="K1577" s="32" t="s">
        <v>63</v>
      </c>
    </row>
    <row r="1578" customFormat="false" ht="13.5" hidden="false" customHeight="true" outlineLevel="0" collapsed="false">
      <c r="A1578" s="32" t="n">
        <v>3609</v>
      </c>
      <c r="B1578" s="32" t="s">
        <v>1371</v>
      </c>
      <c r="C1578" s="32" t="s">
        <v>1372</v>
      </c>
      <c r="D1578" s="32" t="s">
        <v>59</v>
      </c>
      <c r="E1578" s="32" t="s">
        <v>60</v>
      </c>
      <c r="F1578" s="33" t="n">
        <v>918803000000</v>
      </c>
      <c r="G1578" s="32" t="s">
        <v>144</v>
      </c>
      <c r="H1578" s="32" t="s">
        <v>21</v>
      </c>
      <c r="I1578" s="32" t="s">
        <v>1373</v>
      </c>
      <c r="J1578" s="32" t="s">
        <v>66</v>
      </c>
      <c r="K1578" s="32" t="s">
        <v>63</v>
      </c>
    </row>
    <row r="1579" customFormat="false" ht="13.5" hidden="false" customHeight="true" outlineLevel="0" collapsed="false">
      <c r="A1579" s="32" t="n">
        <v>3610</v>
      </c>
      <c r="B1579" s="32" t="s">
        <v>1374</v>
      </c>
      <c r="C1579" s="32" t="s">
        <v>1375</v>
      </c>
      <c r="D1579" s="32" t="s">
        <v>59</v>
      </c>
      <c r="E1579" s="32" t="n">
        <v>0</v>
      </c>
      <c r="F1579" s="32" t="n">
        <v>9643084262</v>
      </c>
      <c r="G1579" s="32" t="s">
        <v>61</v>
      </c>
      <c r="H1579" s="32" t="s">
        <v>21</v>
      </c>
      <c r="I1579" s="32" t="s">
        <v>350</v>
      </c>
      <c r="J1579" s="32" t="s">
        <v>235</v>
      </c>
      <c r="K1579" s="32" t="s">
        <v>63</v>
      </c>
    </row>
    <row r="1580" customFormat="false" ht="13.5" hidden="false" customHeight="true" outlineLevel="0" collapsed="false">
      <c r="A1580" s="32" t="n">
        <v>3612</v>
      </c>
      <c r="B1580" s="32" t="s">
        <v>1374</v>
      </c>
      <c r="C1580" s="32" t="s">
        <v>1375</v>
      </c>
      <c r="D1580" s="32" t="s">
        <v>59</v>
      </c>
      <c r="E1580" s="32" t="n">
        <v>0</v>
      </c>
      <c r="F1580" s="32" t="n">
        <v>9643084262</v>
      </c>
      <c r="G1580" s="32" t="s">
        <v>61</v>
      </c>
      <c r="H1580" s="32" t="s">
        <v>21</v>
      </c>
      <c r="I1580" s="32" t="s">
        <v>456</v>
      </c>
      <c r="J1580" s="32" t="s">
        <v>66</v>
      </c>
      <c r="K1580" s="32" t="s">
        <v>63</v>
      </c>
    </row>
    <row r="1581" customFormat="false" ht="13.5" hidden="false" customHeight="true" outlineLevel="0" collapsed="false">
      <c r="A1581" s="32" t="n">
        <v>3613</v>
      </c>
      <c r="B1581" s="32" t="s">
        <v>1376</v>
      </c>
      <c r="C1581" s="32" t="s">
        <v>1377</v>
      </c>
      <c r="D1581" s="32" t="s">
        <v>59</v>
      </c>
      <c r="E1581" s="32" t="s">
        <v>107</v>
      </c>
      <c r="F1581" s="32" t="n">
        <v>7757973763</v>
      </c>
      <c r="G1581" s="32" t="s">
        <v>144</v>
      </c>
      <c r="H1581" s="32" t="s">
        <v>21</v>
      </c>
      <c r="I1581" s="32" t="s">
        <v>145</v>
      </c>
      <c r="J1581" s="32" t="s">
        <v>117</v>
      </c>
      <c r="K1581" s="32" t="s">
        <v>63</v>
      </c>
    </row>
    <row r="1582" customFormat="false" ht="13.5" hidden="false" customHeight="true" outlineLevel="0" collapsed="false">
      <c r="A1582" s="32" t="n">
        <v>3614</v>
      </c>
      <c r="B1582" s="32" t="s">
        <v>1376</v>
      </c>
      <c r="C1582" s="32" t="s">
        <v>1377</v>
      </c>
      <c r="D1582" s="32" t="s">
        <v>59</v>
      </c>
      <c r="E1582" s="32" t="s">
        <v>107</v>
      </c>
      <c r="F1582" s="32" t="n">
        <v>7757973763</v>
      </c>
      <c r="G1582" s="32" t="s">
        <v>144</v>
      </c>
      <c r="H1582" s="32" t="s">
        <v>21</v>
      </c>
      <c r="I1582" s="32" t="s">
        <v>98</v>
      </c>
      <c r="J1582" s="32" t="s">
        <v>99</v>
      </c>
      <c r="K1582" s="32" t="s">
        <v>63</v>
      </c>
    </row>
    <row r="1583" customFormat="false" ht="13.5" hidden="false" customHeight="true" outlineLevel="0" collapsed="false">
      <c r="A1583" s="32" t="n">
        <v>3615</v>
      </c>
      <c r="B1583" s="32" t="s">
        <v>1376</v>
      </c>
      <c r="C1583" s="32" t="s">
        <v>1377</v>
      </c>
      <c r="D1583" s="32" t="s">
        <v>59</v>
      </c>
      <c r="E1583" s="32" t="s">
        <v>107</v>
      </c>
      <c r="F1583" s="32" t="n">
        <v>7757973763</v>
      </c>
      <c r="G1583" s="32" t="s">
        <v>144</v>
      </c>
      <c r="H1583" s="32" t="s">
        <v>21</v>
      </c>
      <c r="I1583" s="32" t="s">
        <v>116</v>
      </c>
      <c r="J1583" s="32" t="s">
        <v>117</v>
      </c>
      <c r="K1583" s="32" t="s">
        <v>63</v>
      </c>
    </row>
    <row r="1584" customFormat="false" ht="13.5" hidden="false" customHeight="true" outlineLevel="0" collapsed="false">
      <c r="A1584" s="32" t="n">
        <v>3616</v>
      </c>
      <c r="B1584" s="32" t="s">
        <v>1376</v>
      </c>
      <c r="C1584" s="32" t="s">
        <v>1378</v>
      </c>
      <c r="D1584" s="32" t="s">
        <v>59</v>
      </c>
      <c r="E1584" s="32" t="s">
        <v>107</v>
      </c>
      <c r="F1584" s="32" t="n">
        <v>7757973763</v>
      </c>
      <c r="G1584" s="32" t="s">
        <v>144</v>
      </c>
      <c r="H1584" s="32" t="s">
        <v>21</v>
      </c>
      <c r="I1584" s="32" t="s">
        <v>95</v>
      </c>
      <c r="J1584" s="32" t="s">
        <v>96</v>
      </c>
      <c r="K1584" s="32" t="s">
        <v>63</v>
      </c>
    </row>
    <row r="1585" customFormat="false" ht="13.5" hidden="false" customHeight="true" outlineLevel="0" collapsed="false">
      <c r="A1585" s="32" t="n">
        <v>3617</v>
      </c>
      <c r="B1585" s="32" t="s">
        <v>1376</v>
      </c>
      <c r="C1585" s="32" t="s">
        <v>1378</v>
      </c>
      <c r="D1585" s="32" t="s">
        <v>59</v>
      </c>
      <c r="E1585" s="32" t="s">
        <v>107</v>
      </c>
      <c r="F1585" s="32" t="n">
        <v>7757973763</v>
      </c>
      <c r="G1585" s="32" t="s">
        <v>144</v>
      </c>
      <c r="H1585" s="32" t="s">
        <v>21</v>
      </c>
      <c r="I1585" s="32" t="s">
        <v>108</v>
      </c>
      <c r="J1585" s="32" t="s">
        <v>71</v>
      </c>
      <c r="K1585" s="32" t="s">
        <v>63</v>
      </c>
    </row>
    <row r="1586" customFormat="false" ht="13.5" hidden="false" customHeight="true" outlineLevel="0" collapsed="false">
      <c r="A1586" s="32" t="n">
        <v>3618</v>
      </c>
      <c r="B1586" s="32" t="s">
        <v>1379</v>
      </c>
      <c r="C1586" s="32" t="s">
        <v>1380</v>
      </c>
      <c r="D1586" s="32" t="s">
        <v>59</v>
      </c>
      <c r="E1586" s="32" t="n">
        <v>0</v>
      </c>
      <c r="F1586" s="32" t="n">
        <v>9560979709</v>
      </c>
      <c r="G1586" s="32" t="s">
        <v>144</v>
      </c>
      <c r="H1586" s="32" t="s">
        <v>21</v>
      </c>
      <c r="I1586" s="32" t="s">
        <v>151</v>
      </c>
      <c r="J1586" s="32" t="s">
        <v>152</v>
      </c>
      <c r="K1586" s="32" t="s">
        <v>63</v>
      </c>
    </row>
    <row r="1587" customFormat="false" ht="13.5" hidden="false" customHeight="true" outlineLevel="0" collapsed="false">
      <c r="A1587" s="32" t="n">
        <v>3619</v>
      </c>
      <c r="B1587" s="32" t="s">
        <v>1381</v>
      </c>
      <c r="C1587" s="32" t="s">
        <v>1382</v>
      </c>
      <c r="D1587" s="32" t="s">
        <v>59</v>
      </c>
      <c r="E1587" s="32" t="s">
        <v>143</v>
      </c>
      <c r="F1587" s="32" t="n">
        <v>0</v>
      </c>
      <c r="G1587" s="32" t="s">
        <v>144</v>
      </c>
      <c r="H1587" s="32" t="s">
        <v>21</v>
      </c>
      <c r="I1587" s="32" t="s">
        <v>215</v>
      </c>
      <c r="J1587" s="32" t="s">
        <v>132</v>
      </c>
      <c r="K1587" s="32" t="s">
        <v>63</v>
      </c>
    </row>
    <row r="1588" customFormat="false" ht="13.5" hidden="false" customHeight="true" outlineLevel="0" collapsed="false">
      <c r="A1588" s="32" t="n">
        <v>3620</v>
      </c>
      <c r="B1588" s="32" t="s">
        <v>1381</v>
      </c>
      <c r="C1588" s="32" t="s">
        <v>1382</v>
      </c>
      <c r="D1588" s="32" t="s">
        <v>59</v>
      </c>
      <c r="E1588" s="32" t="s">
        <v>143</v>
      </c>
      <c r="F1588" s="32" t="n">
        <v>0</v>
      </c>
      <c r="G1588" s="32" t="s">
        <v>144</v>
      </c>
      <c r="H1588" s="32" t="s">
        <v>21</v>
      </c>
      <c r="I1588" s="32" t="s">
        <v>93</v>
      </c>
      <c r="J1588" s="32" t="s">
        <v>85</v>
      </c>
      <c r="K1588" s="32" t="s">
        <v>63</v>
      </c>
    </row>
    <row r="1589" customFormat="false" ht="13.5" hidden="false" customHeight="true" outlineLevel="0" collapsed="false">
      <c r="A1589" s="32" t="n">
        <v>3621</v>
      </c>
      <c r="B1589" s="32" t="s">
        <v>1383</v>
      </c>
      <c r="C1589" s="32" t="s">
        <v>1384</v>
      </c>
      <c r="D1589" s="32" t="s">
        <v>114</v>
      </c>
      <c r="E1589" s="32" t="s">
        <v>115</v>
      </c>
      <c r="F1589" s="32" t="s">
        <v>1385</v>
      </c>
      <c r="G1589" s="32" t="s">
        <v>61</v>
      </c>
      <c r="H1589" s="32" t="s">
        <v>22</v>
      </c>
      <c r="I1589" s="32" t="s">
        <v>108</v>
      </c>
      <c r="J1589" s="32" t="s">
        <v>71</v>
      </c>
      <c r="K1589" s="32" t="s">
        <v>63</v>
      </c>
    </row>
    <row r="1590" customFormat="false" ht="13.5" hidden="false" customHeight="true" outlineLevel="0" collapsed="false">
      <c r="A1590" s="32" t="n">
        <v>3622</v>
      </c>
      <c r="B1590" s="32" t="s">
        <v>1383</v>
      </c>
      <c r="C1590" s="32" t="s">
        <v>1384</v>
      </c>
      <c r="D1590" s="32" t="s">
        <v>114</v>
      </c>
      <c r="E1590" s="32" t="s">
        <v>115</v>
      </c>
      <c r="F1590" s="32" t="s">
        <v>1385</v>
      </c>
      <c r="G1590" s="32" t="s">
        <v>61</v>
      </c>
      <c r="H1590" s="32" t="s">
        <v>22</v>
      </c>
      <c r="I1590" s="32" t="s">
        <v>145</v>
      </c>
      <c r="J1590" s="32" t="s">
        <v>117</v>
      </c>
      <c r="K1590" s="32" t="s">
        <v>63</v>
      </c>
    </row>
    <row r="1591" customFormat="false" ht="13.5" hidden="false" customHeight="true" outlineLevel="0" collapsed="false">
      <c r="A1591" s="32" t="n">
        <v>3623</v>
      </c>
      <c r="B1591" s="32" t="s">
        <v>1383</v>
      </c>
      <c r="C1591" s="32" t="s">
        <v>1384</v>
      </c>
      <c r="D1591" s="32" t="s">
        <v>114</v>
      </c>
      <c r="E1591" s="32" t="s">
        <v>115</v>
      </c>
      <c r="F1591" s="32" t="n">
        <v>9738413752</v>
      </c>
      <c r="G1591" s="32" t="s">
        <v>61</v>
      </c>
      <c r="H1591" s="32" t="s">
        <v>22</v>
      </c>
      <c r="I1591" s="32" t="s">
        <v>111</v>
      </c>
      <c r="J1591" s="32" t="s">
        <v>73</v>
      </c>
      <c r="K1591" s="32" t="s">
        <v>63</v>
      </c>
    </row>
    <row r="1592" customFormat="false" ht="13.5" hidden="false" customHeight="true" outlineLevel="0" collapsed="false">
      <c r="A1592" s="32" t="n">
        <v>3624</v>
      </c>
      <c r="B1592" s="32" t="s">
        <v>1386</v>
      </c>
      <c r="C1592" s="32" t="s">
        <v>1387</v>
      </c>
      <c r="D1592" s="32" t="s">
        <v>114</v>
      </c>
      <c r="E1592" s="32" t="s">
        <v>165</v>
      </c>
      <c r="F1592" s="33" t="n">
        <v>919650000000</v>
      </c>
      <c r="G1592" s="32" t="s">
        <v>144</v>
      </c>
      <c r="H1592" s="32" t="s">
        <v>22</v>
      </c>
      <c r="I1592" s="32" t="s">
        <v>146</v>
      </c>
      <c r="J1592" s="32" t="s">
        <v>117</v>
      </c>
      <c r="K1592" s="32" t="s">
        <v>63</v>
      </c>
    </row>
    <row r="1593" customFormat="false" ht="13.5" hidden="false" customHeight="true" outlineLevel="0" collapsed="false">
      <c r="A1593" s="32" t="n">
        <v>3625</v>
      </c>
      <c r="B1593" s="32" t="s">
        <v>1386</v>
      </c>
      <c r="C1593" s="32" t="s">
        <v>1387</v>
      </c>
      <c r="D1593" s="32" t="s">
        <v>114</v>
      </c>
      <c r="E1593" s="32" t="s">
        <v>165</v>
      </c>
      <c r="F1593" s="33" t="n">
        <v>919650000000</v>
      </c>
      <c r="G1593" s="32" t="s">
        <v>144</v>
      </c>
      <c r="H1593" s="32" t="s">
        <v>22</v>
      </c>
      <c r="I1593" s="32" t="s">
        <v>1388</v>
      </c>
      <c r="J1593" s="32" t="s">
        <v>695</v>
      </c>
      <c r="K1593" s="32" t="s">
        <v>63</v>
      </c>
    </row>
    <row r="1594" customFormat="false" ht="13.5" hidden="false" customHeight="true" outlineLevel="0" collapsed="false">
      <c r="A1594" s="32" t="n">
        <v>3626</v>
      </c>
      <c r="B1594" s="32" t="s">
        <v>1386</v>
      </c>
      <c r="C1594" s="32" t="s">
        <v>1387</v>
      </c>
      <c r="D1594" s="32" t="s">
        <v>114</v>
      </c>
      <c r="E1594" s="32" t="s">
        <v>165</v>
      </c>
      <c r="F1594" s="32" t="n">
        <v>9650033441</v>
      </c>
      <c r="G1594" s="32" t="s">
        <v>144</v>
      </c>
      <c r="H1594" s="32" t="s">
        <v>22</v>
      </c>
      <c r="I1594" s="32" t="s">
        <v>172</v>
      </c>
      <c r="J1594" s="32" t="s">
        <v>152</v>
      </c>
      <c r="K1594" s="32" t="s">
        <v>63</v>
      </c>
    </row>
    <row r="1595" customFormat="false" ht="13.5" hidden="false" customHeight="true" outlineLevel="0" collapsed="false">
      <c r="A1595" s="32" t="n">
        <v>3627</v>
      </c>
      <c r="B1595" s="32" t="s">
        <v>1389</v>
      </c>
      <c r="C1595" s="32" t="s">
        <v>1390</v>
      </c>
      <c r="D1595" s="32" t="s">
        <v>59</v>
      </c>
      <c r="E1595" s="32" t="s">
        <v>60</v>
      </c>
      <c r="F1595" s="32" t="n">
        <v>0</v>
      </c>
      <c r="G1595" s="32" t="s">
        <v>80</v>
      </c>
      <c r="H1595" s="32" t="s">
        <v>21</v>
      </c>
      <c r="I1595" s="32" t="s">
        <v>27</v>
      </c>
      <c r="J1595" s="32" t="s">
        <v>13</v>
      </c>
      <c r="K1595" s="32" t="s">
        <v>63</v>
      </c>
    </row>
    <row r="1596" customFormat="false" ht="13.5" hidden="false" customHeight="true" outlineLevel="0" collapsed="false">
      <c r="A1596" s="32" t="n">
        <v>3628</v>
      </c>
      <c r="B1596" s="32" t="s">
        <v>1389</v>
      </c>
      <c r="C1596" s="32" t="s">
        <v>1391</v>
      </c>
      <c r="D1596" s="32" t="s">
        <v>59</v>
      </c>
      <c r="E1596" s="32" t="s">
        <v>60</v>
      </c>
      <c r="F1596" s="32" t="n">
        <v>0</v>
      </c>
      <c r="G1596" s="32" t="s">
        <v>80</v>
      </c>
      <c r="H1596" s="32" t="s">
        <v>21</v>
      </c>
      <c r="I1596" s="32" t="s">
        <v>64</v>
      </c>
      <c r="J1596" s="32" t="s">
        <v>62</v>
      </c>
      <c r="K1596" s="32" t="s">
        <v>63</v>
      </c>
    </row>
    <row r="1597" customFormat="false" ht="13.5" hidden="false" customHeight="true" outlineLevel="0" collapsed="false">
      <c r="A1597" s="32" t="n">
        <v>3629</v>
      </c>
      <c r="B1597" s="32" t="s">
        <v>1392</v>
      </c>
      <c r="C1597" s="32" t="s">
        <v>1393</v>
      </c>
      <c r="D1597" s="32" t="s">
        <v>59</v>
      </c>
      <c r="E1597" s="32" t="s">
        <v>143</v>
      </c>
      <c r="F1597" s="33" t="n">
        <v>919962000000</v>
      </c>
      <c r="G1597" s="32" t="s">
        <v>80</v>
      </c>
      <c r="H1597" s="32" t="s">
        <v>21</v>
      </c>
      <c r="I1597" s="32" t="s">
        <v>27</v>
      </c>
      <c r="J1597" s="32" t="s">
        <v>13</v>
      </c>
      <c r="K1597" s="32" t="s">
        <v>63</v>
      </c>
    </row>
    <row r="1598" customFormat="false" ht="13.5" hidden="false" customHeight="true" outlineLevel="0" collapsed="false">
      <c r="A1598" s="32" t="n">
        <v>3630</v>
      </c>
      <c r="B1598" s="32" t="s">
        <v>1392</v>
      </c>
      <c r="C1598" s="32" t="s">
        <v>1393</v>
      </c>
      <c r="D1598" s="32" t="s">
        <v>59</v>
      </c>
      <c r="E1598" s="32" t="s">
        <v>143</v>
      </c>
      <c r="F1598" s="33" t="n">
        <v>919962000000</v>
      </c>
      <c r="G1598" s="32" t="s">
        <v>80</v>
      </c>
      <c r="H1598" s="32" t="s">
        <v>21</v>
      </c>
      <c r="I1598" s="32" t="s">
        <v>30</v>
      </c>
      <c r="J1598" s="32" t="s">
        <v>203</v>
      </c>
      <c r="K1598" s="32" t="s">
        <v>63</v>
      </c>
    </row>
    <row r="1599" customFormat="false" ht="13.5" hidden="false" customHeight="true" outlineLevel="0" collapsed="false">
      <c r="A1599" s="32" t="n">
        <v>3631</v>
      </c>
      <c r="B1599" s="32" t="s">
        <v>1392</v>
      </c>
      <c r="C1599" s="32" t="s">
        <v>1393</v>
      </c>
      <c r="D1599" s="32" t="s">
        <v>59</v>
      </c>
      <c r="E1599" s="32" t="s">
        <v>143</v>
      </c>
      <c r="F1599" s="32" t="n">
        <v>9962280201</v>
      </c>
      <c r="G1599" s="32" t="s">
        <v>80</v>
      </c>
      <c r="H1599" s="32" t="s">
        <v>21</v>
      </c>
      <c r="I1599" s="32" t="s">
        <v>172</v>
      </c>
      <c r="J1599" s="32" t="s">
        <v>152</v>
      </c>
      <c r="K1599" s="32" t="s">
        <v>63</v>
      </c>
    </row>
    <row r="1600" customFormat="false" ht="13.5" hidden="false" customHeight="true" outlineLevel="0" collapsed="false">
      <c r="A1600" s="32" t="n">
        <v>3632</v>
      </c>
      <c r="B1600" s="32" t="s">
        <v>1394</v>
      </c>
      <c r="C1600" s="32" t="s">
        <v>1395</v>
      </c>
      <c r="D1600" s="32" t="s">
        <v>59</v>
      </c>
      <c r="E1600" s="32" t="s">
        <v>92</v>
      </c>
      <c r="F1600" s="32" t="n">
        <v>0</v>
      </c>
      <c r="G1600" s="32" t="s">
        <v>61</v>
      </c>
      <c r="H1600" s="32" t="s">
        <v>21</v>
      </c>
      <c r="I1600" s="32" t="s">
        <v>28</v>
      </c>
      <c r="J1600" s="32" t="s">
        <v>82</v>
      </c>
      <c r="K1600" s="32" t="s">
        <v>63</v>
      </c>
    </row>
    <row r="1601" customFormat="false" ht="13.5" hidden="false" customHeight="true" outlineLevel="0" collapsed="false">
      <c r="A1601" s="32" t="n">
        <v>3633</v>
      </c>
      <c r="B1601" s="32" t="s">
        <v>1394</v>
      </c>
      <c r="C1601" s="32" t="s">
        <v>1395</v>
      </c>
      <c r="D1601" s="32" t="s">
        <v>59</v>
      </c>
      <c r="E1601" s="32" t="s">
        <v>92</v>
      </c>
      <c r="F1601" s="32" t="n">
        <v>0</v>
      </c>
      <c r="G1601" s="32" t="s">
        <v>61</v>
      </c>
      <c r="H1601" s="32" t="s">
        <v>21</v>
      </c>
      <c r="I1601" s="32" t="s">
        <v>93</v>
      </c>
      <c r="J1601" s="32" t="s">
        <v>85</v>
      </c>
      <c r="K1601" s="32" t="s">
        <v>63</v>
      </c>
    </row>
    <row r="1602" customFormat="false" ht="13.5" hidden="false" customHeight="true" outlineLevel="0" collapsed="false">
      <c r="A1602" s="32" t="n">
        <v>3634</v>
      </c>
      <c r="B1602" s="32" t="s">
        <v>1394</v>
      </c>
      <c r="C1602" s="32" t="s">
        <v>1395</v>
      </c>
      <c r="D1602" s="32" t="s">
        <v>59</v>
      </c>
      <c r="E1602" s="32" t="s">
        <v>92</v>
      </c>
      <c r="F1602" s="32" t="n">
        <v>0</v>
      </c>
      <c r="G1602" s="32" t="s">
        <v>61</v>
      </c>
      <c r="H1602" s="32" t="s">
        <v>21</v>
      </c>
      <c r="I1602" s="32" t="s">
        <v>1188</v>
      </c>
      <c r="J1602" s="32" t="s">
        <v>84</v>
      </c>
      <c r="K1602" s="32" t="s">
        <v>63</v>
      </c>
    </row>
    <row r="1603" customFormat="false" ht="13.5" hidden="false" customHeight="true" outlineLevel="0" collapsed="false">
      <c r="A1603" s="32" t="n">
        <v>3635</v>
      </c>
      <c r="B1603" s="32" t="s">
        <v>1396</v>
      </c>
      <c r="C1603" s="32" t="s">
        <v>1397</v>
      </c>
      <c r="D1603" s="32" t="s">
        <v>59</v>
      </c>
      <c r="E1603" s="32" t="s">
        <v>107</v>
      </c>
      <c r="F1603" s="33" t="n">
        <v>919014000000</v>
      </c>
      <c r="G1603" s="32" t="s">
        <v>80</v>
      </c>
      <c r="H1603" s="32" t="s">
        <v>21</v>
      </c>
      <c r="I1603" s="32" t="s">
        <v>161</v>
      </c>
      <c r="J1603" s="32" t="s">
        <v>117</v>
      </c>
      <c r="K1603" s="32" t="s">
        <v>63</v>
      </c>
    </row>
    <row r="1604" customFormat="false" ht="13.5" hidden="false" customHeight="true" outlineLevel="0" collapsed="false">
      <c r="A1604" s="32" t="n">
        <v>3636</v>
      </c>
      <c r="B1604" s="32" t="s">
        <v>1398</v>
      </c>
      <c r="C1604" s="32" t="s">
        <v>1399</v>
      </c>
      <c r="D1604" s="32" t="s">
        <v>102</v>
      </c>
      <c r="E1604" s="32" t="s">
        <v>155</v>
      </c>
      <c r="F1604" s="32" t="n">
        <v>0</v>
      </c>
      <c r="G1604" s="32" t="s">
        <v>104</v>
      </c>
      <c r="H1604" s="32" t="s">
        <v>21</v>
      </c>
      <c r="I1604" s="32" t="s">
        <v>166</v>
      </c>
      <c r="J1604" s="32" t="s">
        <v>66</v>
      </c>
      <c r="K1604" s="32" t="s">
        <v>63</v>
      </c>
    </row>
    <row r="1605" customFormat="false" ht="13.5" hidden="false" customHeight="true" outlineLevel="0" collapsed="false">
      <c r="A1605" s="32" t="n">
        <v>3637</v>
      </c>
      <c r="B1605" s="32" t="s">
        <v>1398</v>
      </c>
      <c r="C1605" s="32" t="s">
        <v>1399</v>
      </c>
      <c r="D1605" s="32" t="s">
        <v>102</v>
      </c>
      <c r="E1605" s="32" t="s">
        <v>155</v>
      </c>
      <c r="F1605" s="32" t="n">
        <v>0</v>
      </c>
      <c r="G1605" s="32" t="s">
        <v>104</v>
      </c>
      <c r="H1605" s="32" t="s">
        <v>21</v>
      </c>
      <c r="I1605" s="32" t="s">
        <v>1400</v>
      </c>
      <c r="J1605" s="32" t="s">
        <v>66</v>
      </c>
      <c r="K1605" s="32" t="s">
        <v>63</v>
      </c>
    </row>
    <row r="1606" customFormat="false" ht="13.5" hidden="false" customHeight="true" outlineLevel="0" collapsed="false">
      <c r="A1606" s="32" t="n">
        <v>3638</v>
      </c>
      <c r="B1606" s="32" t="s">
        <v>1398</v>
      </c>
      <c r="C1606" s="32" t="s">
        <v>1399</v>
      </c>
      <c r="D1606" s="32" t="s">
        <v>102</v>
      </c>
      <c r="E1606" s="32" t="s">
        <v>155</v>
      </c>
      <c r="F1606" s="32" t="n">
        <v>0</v>
      </c>
      <c r="G1606" s="32" t="s">
        <v>104</v>
      </c>
      <c r="H1606" s="32" t="s">
        <v>21</v>
      </c>
      <c r="I1606" s="32" t="s">
        <v>14</v>
      </c>
      <c r="J1606" s="32" t="s">
        <v>66</v>
      </c>
      <c r="K1606" s="32" t="s">
        <v>63</v>
      </c>
    </row>
    <row r="1607" customFormat="false" ht="13.5" hidden="false" customHeight="true" outlineLevel="0" collapsed="false">
      <c r="A1607" s="32" t="n">
        <v>3640</v>
      </c>
      <c r="B1607" s="32" t="s">
        <v>1398</v>
      </c>
      <c r="C1607" s="32" t="s">
        <v>1399</v>
      </c>
      <c r="D1607" s="32" t="s">
        <v>102</v>
      </c>
      <c r="E1607" s="32" t="s">
        <v>155</v>
      </c>
      <c r="F1607" s="32" t="n">
        <v>0</v>
      </c>
      <c r="G1607" s="32" t="s">
        <v>104</v>
      </c>
      <c r="H1607" s="32" t="s">
        <v>21</v>
      </c>
      <c r="I1607" s="32" t="s">
        <v>29</v>
      </c>
      <c r="J1607" s="32" t="s">
        <v>62</v>
      </c>
      <c r="K1607" s="32" t="s">
        <v>63</v>
      </c>
    </row>
    <row r="1608" customFormat="false" ht="13.5" hidden="false" customHeight="true" outlineLevel="0" collapsed="false">
      <c r="A1608" s="32" t="n">
        <v>3641</v>
      </c>
      <c r="B1608" s="32" t="s">
        <v>1401</v>
      </c>
      <c r="C1608" s="32" t="s">
        <v>1402</v>
      </c>
      <c r="D1608" s="32" t="s">
        <v>114</v>
      </c>
      <c r="E1608" s="32" t="s">
        <v>165</v>
      </c>
      <c r="F1608" s="32" t="n">
        <v>9885906690</v>
      </c>
      <c r="G1608" s="32" t="s">
        <v>80</v>
      </c>
      <c r="H1608" s="32" t="s">
        <v>22</v>
      </c>
      <c r="I1608" s="32" t="s">
        <v>145</v>
      </c>
      <c r="J1608" s="32" t="s">
        <v>117</v>
      </c>
      <c r="K1608" s="32" t="s">
        <v>63</v>
      </c>
    </row>
    <row r="1609" customFormat="false" ht="13.5" hidden="false" customHeight="true" outlineLevel="0" collapsed="false">
      <c r="A1609" s="32" t="n">
        <v>3642</v>
      </c>
      <c r="B1609" s="32" t="s">
        <v>1403</v>
      </c>
      <c r="C1609" s="32" t="s">
        <v>1403</v>
      </c>
      <c r="D1609" s="32" t="s">
        <v>59</v>
      </c>
      <c r="E1609" s="32" t="s">
        <v>79</v>
      </c>
      <c r="F1609" s="32" t="n">
        <v>9966617257</v>
      </c>
      <c r="G1609" s="32" t="s">
        <v>80</v>
      </c>
      <c r="H1609" s="32" t="s">
        <v>21</v>
      </c>
      <c r="I1609" s="32" t="s">
        <v>215</v>
      </c>
      <c r="J1609" s="32" t="s">
        <v>132</v>
      </c>
      <c r="K1609" s="32" t="s">
        <v>63</v>
      </c>
    </row>
    <row r="1610" customFormat="false" ht="13.5" hidden="false" customHeight="true" outlineLevel="0" collapsed="false">
      <c r="A1610" s="32" t="n">
        <v>3643</v>
      </c>
      <c r="B1610" s="32" t="s">
        <v>1404</v>
      </c>
      <c r="C1610" s="32" t="s">
        <v>1405</v>
      </c>
      <c r="D1610" s="32" t="s">
        <v>331</v>
      </c>
      <c r="E1610" s="32" t="s">
        <v>278</v>
      </c>
      <c r="F1610" s="33" t="n">
        <v>919834000000</v>
      </c>
      <c r="G1610" s="32" t="s">
        <v>69</v>
      </c>
      <c r="H1610" s="32" t="s">
        <v>332</v>
      </c>
      <c r="I1610" s="32" t="s">
        <v>678</v>
      </c>
      <c r="J1610" s="32" t="s">
        <v>152</v>
      </c>
      <c r="K1610" s="32" t="s">
        <v>63</v>
      </c>
    </row>
    <row r="1611" customFormat="false" ht="13.5" hidden="false" customHeight="true" outlineLevel="0" collapsed="false">
      <c r="A1611" s="32" t="n">
        <v>3644</v>
      </c>
      <c r="B1611" s="32" t="s">
        <v>1404</v>
      </c>
      <c r="C1611" s="32" t="s">
        <v>1405</v>
      </c>
      <c r="D1611" s="32" t="s">
        <v>331</v>
      </c>
      <c r="E1611" s="32" t="s">
        <v>278</v>
      </c>
      <c r="F1611" s="33" t="n">
        <v>919834000000</v>
      </c>
      <c r="G1611" s="32" t="s">
        <v>69</v>
      </c>
      <c r="H1611" s="32" t="s">
        <v>332</v>
      </c>
      <c r="I1611" s="32" t="s">
        <v>108</v>
      </c>
      <c r="J1611" s="32" t="s">
        <v>71</v>
      </c>
      <c r="K1611" s="32" t="s">
        <v>63</v>
      </c>
    </row>
    <row r="1612" customFormat="false" ht="13.5" hidden="false" customHeight="true" outlineLevel="0" collapsed="false">
      <c r="A1612" s="32" t="n">
        <v>3645</v>
      </c>
      <c r="B1612" s="32" t="s">
        <v>1404</v>
      </c>
      <c r="C1612" s="32" t="s">
        <v>1405</v>
      </c>
      <c r="D1612" s="32" t="s">
        <v>331</v>
      </c>
      <c r="E1612" s="32" t="s">
        <v>278</v>
      </c>
      <c r="F1612" s="33" t="n">
        <v>919834000000</v>
      </c>
      <c r="G1612" s="32" t="s">
        <v>69</v>
      </c>
      <c r="H1612" s="32" t="s">
        <v>332</v>
      </c>
      <c r="I1612" s="32" t="s">
        <v>149</v>
      </c>
      <c r="J1612" s="32" t="s">
        <v>73</v>
      </c>
      <c r="K1612" s="32" t="s">
        <v>63</v>
      </c>
    </row>
    <row r="1613" customFormat="false" ht="13.5" hidden="false" customHeight="true" outlineLevel="0" collapsed="false">
      <c r="A1613" s="32" t="n">
        <v>3646</v>
      </c>
      <c r="B1613" s="32" t="s">
        <v>1404</v>
      </c>
      <c r="C1613" s="32" t="s">
        <v>1405</v>
      </c>
      <c r="D1613" s="32" t="s">
        <v>331</v>
      </c>
      <c r="E1613" s="32" t="s">
        <v>278</v>
      </c>
      <c r="F1613" s="33" t="n">
        <v>919834000000</v>
      </c>
      <c r="G1613" s="32" t="s">
        <v>69</v>
      </c>
      <c r="H1613" s="32" t="s">
        <v>332</v>
      </c>
      <c r="I1613" s="32" t="s">
        <v>284</v>
      </c>
      <c r="J1613" s="32" t="s">
        <v>117</v>
      </c>
      <c r="K1613" s="32" t="s">
        <v>63</v>
      </c>
    </row>
    <row r="1614" customFormat="false" ht="13.5" hidden="false" customHeight="true" outlineLevel="0" collapsed="false">
      <c r="A1614" s="32" t="n">
        <v>3647</v>
      </c>
      <c r="B1614" s="32" t="s">
        <v>1404</v>
      </c>
      <c r="C1614" s="32" t="s">
        <v>1405</v>
      </c>
      <c r="D1614" s="32" t="s">
        <v>331</v>
      </c>
      <c r="E1614" s="32" t="s">
        <v>278</v>
      </c>
      <c r="F1614" s="33" t="n">
        <v>919834000000</v>
      </c>
      <c r="G1614" s="32" t="s">
        <v>69</v>
      </c>
      <c r="H1614" s="32" t="s">
        <v>332</v>
      </c>
      <c r="I1614" s="32" t="s">
        <v>371</v>
      </c>
      <c r="J1614" s="32" t="s">
        <v>152</v>
      </c>
      <c r="K1614" s="32" t="s">
        <v>63</v>
      </c>
    </row>
    <row r="1615" customFormat="false" ht="13.5" hidden="false" customHeight="true" outlineLevel="0" collapsed="false">
      <c r="A1615" s="32" t="n">
        <v>3648</v>
      </c>
      <c r="B1615" s="32" t="s">
        <v>1406</v>
      </c>
      <c r="C1615" s="32" t="s">
        <v>1407</v>
      </c>
      <c r="D1615" s="32" t="s">
        <v>59</v>
      </c>
      <c r="E1615" s="32" t="s">
        <v>107</v>
      </c>
      <c r="F1615" s="32" t="n">
        <v>9860131719</v>
      </c>
      <c r="G1615" s="32" t="s">
        <v>80</v>
      </c>
      <c r="H1615" s="32" t="s">
        <v>21</v>
      </c>
      <c r="I1615" s="32" t="s">
        <v>108</v>
      </c>
      <c r="J1615" s="32" t="s">
        <v>71</v>
      </c>
      <c r="K1615" s="32" t="s">
        <v>63</v>
      </c>
    </row>
    <row r="1616" customFormat="false" ht="13.5" hidden="false" customHeight="true" outlineLevel="0" collapsed="false">
      <c r="A1616" s="32" t="n">
        <v>3649</v>
      </c>
      <c r="B1616" s="32" t="s">
        <v>1406</v>
      </c>
      <c r="C1616" s="32" t="s">
        <v>1407</v>
      </c>
      <c r="D1616" s="32" t="s">
        <v>59</v>
      </c>
      <c r="E1616" s="32" t="s">
        <v>107</v>
      </c>
      <c r="F1616" s="32" t="n">
        <v>9860131719</v>
      </c>
      <c r="G1616" s="32" t="s">
        <v>80</v>
      </c>
      <c r="H1616" s="32" t="s">
        <v>21</v>
      </c>
      <c r="I1616" s="32" t="s">
        <v>111</v>
      </c>
      <c r="J1616" s="32" t="s">
        <v>73</v>
      </c>
      <c r="K1616" s="32" t="s">
        <v>63</v>
      </c>
    </row>
    <row r="1617" customFormat="false" ht="13.5" hidden="false" customHeight="true" outlineLevel="0" collapsed="false">
      <c r="A1617" s="32" t="n">
        <v>3650</v>
      </c>
      <c r="B1617" s="32" t="s">
        <v>1406</v>
      </c>
      <c r="C1617" s="32" t="s">
        <v>1407</v>
      </c>
      <c r="D1617" s="32" t="s">
        <v>59</v>
      </c>
      <c r="E1617" s="32" t="s">
        <v>107</v>
      </c>
      <c r="F1617" s="32" t="n">
        <v>9860131719</v>
      </c>
      <c r="G1617" s="32" t="s">
        <v>80</v>
      </c>
      <c r="H1617" s="32" t="s">
        <v>21</v>
      </c>
      <c r="I1617" s="32" t="s">
        <v>85</v>
      </c>
      <c r="J1617" s="32" t="s">
        <v>85</v>
      </c>
      <c r="K1617" s="32" t="s">
        <v>63</v>
      </c>
    </row>
    <row r="1618" customFormat="false" ht="13.5" hidden="false" customHeight="true" outlineLevel="0" collapsed="false">
      <c r="A1618" s="32" t="n">
        <v>3651</v>
      </c>
      <c r="B1618" s="32" t="s">
        <v>1408</v>
      </c>
      <c r="C1618" s="32" t="s">
        <v>1409</v>
      </c>
      <c r="D1618" s="32" t="s">
        <v>114</v>
      </c>
      <c r="E1618" s="32" t="s">
        <v>165</v>
      </c>
      <c r="F1618" s="32" t="n">
        <v>8008999389</v>
      </c>
      <c r="G1618" s="32" t="s">
        <v>80</v>
      </c>
      <c r="H1618" s="32" t="s">
        <v>22</v>
      </c>
      <c r="I1618" s="32" t="s">
        <v>1410</v>
      </c>
      <c r="J1618" s="32" t="s">
        <v>13</v>
      </c>
      <c r="K1618" s="32" t="s">
        <v>63</v>
      </c>
    </row>
    <row r="1619" customFormat="false" ht="13.5" hidden="false" customHeight="true" outlineLevel="0" collapsed="false">
      <c r="A1619" s="32" t="n">
        <v>3652</v>
      </c>
      <c r="B1619" s="32" t="s">
        <v>1408</v>
      </c>
      <c r="C1619" s="32" t="s">
        <v>1409</v>
      </c>
      <c r="D1619" s="32" t="s">
        <v>114</v>
      </c>
      <c r="E1619" s="32" t="s">
        <v>165</v>
      </c>
      <c r="F1619" s="32" t="n">
        <v>8008999389</v>
      </c>
      <c r="G1619" s="32" t="s">
        <v>80</v>
      </c>
      <c r="H1619" s="32" t="s">
        <v>22</v>
      </c>
      <c r="I1619" s="32" t="s">
        <v>27</v>
      </c>
      <c r="J1619" s="32" t="s">
        <v>13</v>
      </c>
      <c r="K1619" s="32" t="s">
        <v>63</v>
      </c>
    </row>
    <row r="1620" customFormat="false" ht="13.5" hidden="false" customHeight="true" outlineLevel="0" collapsed="false">
      <c r="A1620" s="32" t="n">
        <v>3653</v>
      </c>
      <c r="B1620" s="32" t="s">
        <v>1408</v>
      </c>
      <c r="C1620" s="32" t="s">
        <v>1409</v>
      </c>
      <c r="D1620" s="32" t="s">
        <v>114</v>
      </c>
      <c r="E1620" s="32" t="s">
        <v>165</v>
      </c>
      <c r="F1620" s="32" t="n">
        <v>8008999389</v>
      </c>
      <c r="G1620" s="32" t="s">
        <v>80</v>
      </c>
      <c r="H1620" s="32" t="s">
        <v>22</v>
      </c>
      <c r="I1620" s="32" t="s">
        <v>829</v>
      </c>
      <c r="J1620" s="32" t="s">
        <v>134</v>
      </c>
      <c r="K1620" s="32" t="s">
        <v>63</v>
      </c>
    </row>
    <row r="1621" customFormat="false" ht="13.5" hidden="false" customHeight="true" outlineLevel="0" collapsed="false">
      <c r="A1621" s="32" t="n">
        <v>3654</v>
      </c>
      <c r="B1621" s="32" t="s">
        <v>1408</v>
      </c>
      <c r="C1621" s="32" t="s">
        <v>1409</v>
      </c>
      <c r="D1621" s="32" t="s">
        <v>114</v>
      </c>
      <c r="E1621" s="32" t="s">
        <v>165</v>
      </c>
      <c r="F1621" s="32" t="n">
        <v>8008999389</v>
      </c>
      <c r="G1621" s="32" t="s">
        <v>80</v>
      </c>
      <c r="H1621" s="32" t="s">
        <v>22</v>
      </c>
      <c r="I1621" s="32" t="s">
        <v>133</v>
      </c>
      <c r="J1621" s="32" t="s">
        <v>134</v>
      </c>
      <c r="K1621" s="32" t="s">
        <v>63</v>
      </c>
    </row>
    <row r="1622" customFormat="false" ht="13.5" hidden="false" customHeight="true" outlineLevel="0" collapsed="false">
      <c r="A1622" s="32" t="n">
        <v>3655</v>
      </c>
      <c r="B1622" s="32" t="s">
        <v>1408</v>
      </c>
      <c r="C1622" s="32" t="s">
        <v>1409</v>
      </c>
      <c r="D1622" s="32" t="s">
        <v>114</v>
      </c>
      <c r="E1622" s="32" t="s">
        <v>165</v>
      </c>
      <c r="F1622" s="32" t="n">
        <v>8008999389</v>
      </c>
      <c r="G1622" s="32" t="s">
        <v>80</v>
      </c>
      <c r="H1622" s="32" t="s">
        <v>22</v>
      </c>
      <c r="I1622" s="32" t="s">
        <v>137</v>
      </c>
      <c r="J1622" s="32" t="s">
        <v>13</v>
      </c>
      <c r="K1622" s="32" t="s">
        <v>63</v>
      </c>
    </row>
    <row r="1623" customFormat="false" ht="13.5" hidden="false" customHeight="true" outlineLevel="0" collapsed="false">
      <c r="A1623" s="32" t="n">
        <v>3658</v>
      </c>
      <c r="B1623" s="32" t="s">
        <v>1408</v>
      </c>
      <c r="C1623" s="32" t="s">
        <v>1409</v>
      </c>
      <c r="D1623" s="32" t="s">
        <v>114</v>
      </c>
      <c r="E1623" s="32" t="s">
        <v>165</v>
      </c>
      <c r="F1623" s="32" t="n">
        <v>8008999389</v>
      </c>
      <c r="G1623" s="32" t="s">
        <v>80</v>
      </c>
      <c r="H1623" s="32" t="s">
        <v>22</v>
      </c>
      <c r="I1623" s="32" t="s">
        <v>145</v>
      </c>
      <c r="J1623" s="32" t="s">
        <v>117</v>
      </c>
      <c r="K1623" s="32" t="s">
        <v>63</v>
      </c>
    </row>
    <row r="1624" customFormat="false" ht="13.5" hidden="false" customHeight="true" outlineLevel="0" collapsed="false">
      <c r="A1624" s="32" t="n">
        <v>3659</v>
      </c>
      <c r="B1624" s="32" t="s">
        <v>1408</v>
      </c>
      <c r="C1624" s="32" t="s">
        <v>1409</v>
      </c>
      <c r="D1624" s="32" t="s">
        <v>114</v>
      </c>
      <c r="E1624" s="32" t="s">
        <v>165</v>
      </c>
      <c r="F1624" s="32" t="n">
        <v>8008999389</v>
      </c>
      <c r="G1624" s="32" t="s">
        <v>80</v>
      </c>
      <c r="H1624" s="32" t="s">
        <v>22</v>
      </c>
      <c r="I1624" s="32" t="s">
        <v>314</v>
      </c>
      <c r="J1624" s="32" t="s">
        <v>134</v>
      </c>
      <c r="K1624" s="32" t="s">
        <v>63</v>
      </c>
    </row>
    <row r="1625" customFormat="false" ht="13.5" hidden="false" customHeight="true" outlineLevel="0" collapsed="false">
      <c r="A1625" s="32" t="n">
        <v>3660</v>
      </c>
      <c r="B1625" s="32" t="s">
        <v>1411</v>
      </c>
      <c r="C1625" s="32" t="s">
        <v>1412</v>
      </c>
      <c r="D1625" s="32" t="s">
        <v>114</v>
      </c>
      <c r="E1625" s="32" t="s">
        <v>115</v>
      </c>
      <c r="F1625" s="32" t="n">
        <v>9902695852</v>
      </c>
      <c r="G1625" s="32" t="s">
        <v>61</v>
      </c>
      <c r="H1625" s="32" t="s">
        <v>22</v>
      </c>
      <c r="I1625" s="32" t="s">
        <v>284</v>
      </c>
      <c r="J1625" s="32" t="s">
        <v>117</v>
      </c>
      <c r="K1625" s="32" t="s">
        <v>63</v>
      </c>
    </row>
    <row r="1626" customFormat="false" ht="13.5" hidden="false" customHeight="true" outlineLevel="0" collapsed="false">
      <c r="A1626" s="32" t="n">
        <v>3661</v>
      </c>
      <c r="B1626" s="32" t="s">
        <v>1411</v>
      </c>
      <c r="C1626" s="32" t="s">
        <v>1413</v>
      </c>
      <c r="D1626" s="32" t="s">
        <v>114</v>
      </c>
      <c r="E1626" s="32" t="s">
        <v>115</v>
      </c>
      <c r="F1626" s="32" t="n">
        <v>9902695852</v>
      </c>
      <c r="G1626" s="32" t="s">
        <v>61</v>
      </c>
      <c r="H1626" s="32" t="s">
        <v>22</v>
      </c>
      <c r="I1626" s="32" t="s">
        <v>111</v>
      </c>
      <c r="J1626" s="32" t="s">
        <v>73</v>
      </c>
      <c r="K1626" s="32" t="s">
        <v>63</v>
      </c>
    </row>
    <row r="1627" customFormat="false" ht="13.5" hidden="false" customHeight="true" outlineLevel="0" collapsed="false">
      <c r="A1627" s="32" t="n">
        <v>3662</v>
      </c>
      <c r="B1627" s="32" t="s">
        <v>1414</v>
      </c>
      <c r="C1627" s="32" t="s">
        <v>1415</v>
      </c>
      <c r="D1627" s="32" t="s">
        <v>59</v>
      </c>
      <c r="E1627" s="32" t="s">
        <v>92</v>
      </c>
      <c r="F1627" s="32" t="n">
        <v>9703301210</v>
      </c>
      <c r="G1627" s="32" t="s">
        <v>80</v>
      </c>
      <c r="H1627" s="32" t="s">
        <v>21</v>
      </c>
      <c r="I1627" s="32" t="s">
        <v>284</v>
      </c>
      <c r="J1627" s="32" t="s">
        <v>117</v>
      </c>
      <c r="K1627" s="32" t="s">
        <v>63</v>
      </c>
    </row>
    <row r="1628" customFormat="false" ht="13.5" hidden="false" customHeight="true" outlineLevel="0" collapsed="false">
      <c r="A1628" s="32" t="n">
        <v>3663</v>
      </c>
      <c r="B1628" s="32" t="s">
        <v>1414</v>
      </c>
      <c r="C1628" s="32" t="s">
        <v>1415</v>
      </c>
      <c r="D1628" s="32" t="s">
        <v>59</v>
      </c>
      <c r="E1628" s="32" t="s">
        <v>92</v>
      </c>
      <c r="F1628" s="32" t="n">
        <v>9703301210</v>
      </c>
      <c r="G1628" s="32" t="s">
        <v>80</v>
      </c>
      <c r="H1628" s="32" t="s">
        <v>21</v>
      </c>
      <c r="I1628" s="32" t="s">
        <v>371</v>
      </c>
      <c r="J1628" s="32" t="s">
        <v>152</v>
      </c>
      <c r="K1628" s="32" t="s">
        <v>63</v>
      </c>
    </row>
    <row r="1629" customFormat="false" ht="13.5" hidden="false" customHeight="true" outlineLevel="0" collapsed="false">
      <c r="A1629" s="32" t="n">
        <v>3664</v>
      </c>
      <c r="B1629" s="32" t="s">
        <v>1414</v>
      </c>
      <c r="C1629" s="32" t="s">
        <v>1415</v>
      </c>
      <c r="D1629" s="32" t="s">
        <v>59</v>
      </c>
      <c r="E1629" s="32" t="s">
        <v>92</v>
      </c>
      <c r="F1629" s="32" t="n">
        <v>9703301210</v>
      </c>
      <c r="G1629" s="32" t="s">
        <v>80</v>
      </c>
      <c r="H1629" s="32" t="s">
        <v>21</v>
      </c>
      <c r="I1629" s="32" t="s">
        <v>226</v>
      </c>
      <c r="J1629" s="32" t="s">
        <v>110</v>
      </c>
      <c r="K1629" s="32" t="s">
        <v>63</v>
      </c>
    </row>
    <row r="1630" customFormat="false" ht="13.5" hidden="false" customHeight="true" outlineLevel="0" collapsed="false">
      <c r="A1630" s="32" t="n">
        <v>3665</v>
      </c>
      <c r="B1630" s="32" t="s">
        <v>1414</v>
      </c>
      <c r="C1630" s="32" t="s">
        <v>1415</v>
      </c>
      <c r="D1630" s="32" t="s">
        <v>59</v>
      </c>
      <c r="E1630" s="32" t="s">
        <v>92</v>
      </c>
      <c r="F1630" s="32" t="n">
        <v>9703301210</v>
      </c>
      <c r="G1630" s="32" t="s">
        <v>80</v>
      </c>
      <c r="H1630" s="32" t="s">
        <v>21</v>
      </c>
      <c r="I1630" s="32" t="s">
        <v>185</v>
      </c>
      <c r="J1630" s="32" t="s">
        <v>186</v>
      </c>
      <c r="K1630" s="32" t="s">
        <v>63</v>
      </c>
    </row>
    <row r="1631" customFormat="false" ht="13.5" hidden="false" customHeight="true" outlineLevel="0" collapsed="false">
      <c r="A1631" s="32" t="n">
        <v>3666</v>
      </c>
      <c r="B1631" s="32" t="s">
        <v>1414</v>
      </c>
      <c r="C1631" s="32" t="s">
        <v>1415</v>
      </c>
      <c r="D1631" s="32" t="s">
        <v>59</v>
      </c>
      <c r="E1631" s="32" t="s">
        <v>92</v>
      </c>
      <c r="F1631" s="32" t="n">
        <v>9703301210</v>
      </c>
      <c r="G1631" s="32" t="s">
        <v>80</v>
      </c>
      <c r="H1631" s="32" t="s">
        <v>21</v>
      </c>
      <c r="I1631" s="32" t="s">
        <v>151</v>
      </c>
      <c r="J1631" s="32" t="s">
        <v>152</v>
      </c>
      <c r="K1631" s="32" t="s">
        <v>63</v>
      </c>
    </row>
    <row r="1632" customFormat="false" ht="13.5" hidden="false" customHeight="true" outlineLevel="0" collapsed="false">
      <c r="A1632" s="32" t="n">
        <v>3667</v>
      </c>
      <c r="B1632" s="32" t="s">
        <v>1416</v>
      </c>
      <c r="C1632" s="32" t="s">
        <v>1417</v>
      </c>
      <c r="D1632" s="32" t="s">
        <v>59</v>
      </c>
      <c r="E1632" s="32" t="s">
        <v>107</v>
      </c>
      <c r="F1632" s="32" t="n">
        <v>9620823904</v>
      </c>
      <c r="G1632" s="32" t="s">
        <v>80</v>
      </c>
      <c r="H1632" s="32" t="s">
        <v>21</v>
      </c>
      <c r="I1632" s="32" t="s">
        <v>145</v>
      </c>
      <c r="J1632" s="32" t="s">
        <v>117</v>
      </c>
      <c r="K1632" s="32" t="s">
        <v>63</v>
      </c>
    </row>
    <row r="1633" customFormat="false" ht="13.5" hidden="false" customHeight="true" outlineLevel="0" collapsed="false">
      <c r="A1633" s="32" t="n">
        <v>3668</v>
      </c>
      <c r="B1633" s="32" t="s">
        <v>1416</v>
      </c>
      <c r="C1633" s="32" t="s">
        <v>1417</v>
      </c>
      <c r="D1633" s="32" t="s">
        <v>59</v>
      </c>
      <c r="E1633" s="32" t="s">
        <v>107</v>
      </c>
      <c r="F1633" s="32" t="n">
        <v>9620823904</v>
      </c>
      <c r="G1633" s="32" t="s">
        <v>80</v>
      </c>
      <c r="H1633" s="32" t="s">
        <v>21</v>
      </c>
      <c r="I1633" s="32" t="s">
        <v>146</v>
      </c>
      <c r="J1633" s="32" t="s">
        <v>117</v>
      </c>
      <c r="K1633" s="32" t="s">
        <v>63</v>
      </c>
    </row>
    <row r="1634" customFormat="false" ht="13.5" hidden="false" customHeight="true" outlineLevel="0" collapsed="false">
      <c r="A1634" s="32" t="n">
        <v>3669</v>
      </c>
      <c r="B1634" s="32" t="s">
        <v>1416</v>
      </c>
      <c r="C1634" s="32" t="s">
        <v>1417</v>
      </c>
      <c r="D1634" s="32" t="s">
        <v>59</v>
      </c>
      <c r="E1634" s="32" t="s">
        <v>107</v>
      </c>
      <c r="F1634" s="32" t="n">
        <v>9620823904</v>
      </c>
      <c r="G1634" s="32" t="s">
        <v>80</v>
      </c>
      <c r="H1634" s="32" t="s">
        <v>21</v>
      </c>
      <c r="I1634" s="32" t="s">
        <v>284</v>
      </c>
      <c r="J1634" s="32" t="s">
        <v>117</v>
      </c>
      <c r="K1634" s="32" t="s">
        <v>63</v>
      </c>
    </row>
    <row r="1635" customFormat="false" ht="13.5" hidden="false" customHeight="true" outlineLevel="0" collapsed="false">
      <c r="A1635" s="32" t="n">
        <v>3670</v>
      </c>
      <c r="B1635" s="32" t="s">
        <v>1416</v>
      </c>
      <c r="C1635" s="32" t="s">
        <v>1418</v>
      </c>
      <c r="D1635" s="32" t="s">
        <v>59</v>
      </c>
      <c r="E1635" s="32" t="s">
        <v>107</v>
      </c>
      <c r="F1635" s="32" t="n">
        <v>9620823904</v>
      </c>
      <c r="G1635" s="32" t="s">
        <v>80</v>
      </c>
      <c r="H1635" s="32" t="s">
        <v>21</v>
      </c>
      <c r="I1635" s="32" t="s">
        <v>172</v>
      </c>
      <c r="J1635" s="32" t="s">
        <v>152</v>
      </c>
      <c r="K1635" s="32" t="s">
        <v>63</v>
      </c>
    </row>
    <row r="1636" customFormat="false" ht="13.5" hidden="false" customHeight="true" outlineLevel="0" collapsed="false">
      <c r="A1636" s="32" t="n">
        <v>3671</v>
      </c>
      <c r="B1636" s="32" t="s">
        <v>1419</v>
      </c>
      <c r="C1636" s="32" t="s">
        <v>1420</v>
      </c>
      <c r="D1636" s="32" t="s">
        <v>102</v>
      </c>
      <c r="E1636" s="32" t="s">
        <v>79</v>
      </c>
      <c r="F1636" s="32" t="n">
        <v>0</v>
      </c>
      <c r="G1636" s="32" t="s">
        <v>80</v>
      </c>
      <c r="H1636" s="32" t="s">
        <v>21</v>
      </c>
      <c r="I1636" s="32" t="s">
        <v>215</v>
      </c>
      <c r="J1636" s="32" t="s">
        <v>132</v>
      </c>
      <c r="K1636" s="32" t="s">
        <v>63</v>
      </c>
    </row>
    <row r="1637" customFormat="false" ht="13.5" hidden="false" customHeight="true" outlineLevel="0" collapsed="false">
      <c r="A1637" s="32" t="n">
        <v>3672</v>
      </c>
      <c r="B1637" s="32" t="s">
        <v>1421</v>
      </c>
      <c r="C1637" s="32" t="s">
        <v>1422</v>
      </c>
      <c r="D1637" s="32" t="s">
        <v>114</v>
      </c>
      <c r="E1637" s="32" t="s">
        <v>115</v>
      </c>
      <c r="F1637" s="32" t="n">
        <v>9182844695</v>
      </c>
      <c r="G1637" s="32" t="s">
        <v>80</v>
      </c>
      <c r="H1637" s="32" t="s">
        <v>22</v>
      </c>
      <c r="I1637" s="32" t="s">
        <v>121</v>
      </c>
      <c r="J1637" s="32" t="s">
        <v>110</v>
      </c>
      <c r="K1637" s="32" t="s">
        <v>63</v>
      </c>
    </row>
    <row r="1638" customFormat="false" ht="13.5" hidden="false" customHeight="true" outlineLevel="0" collapsed="false">
      <c r="A1638" s="32" t="n">
        <v>3673</v>
      </c>
      <c r="B1638" s="32" t="s">
        <v>1421</v>
      </c>
      <c r="C1638" s="32" t="s">
        <v>1422</v>
      </c>
      <c r="D1638" s="32" t="s">
        <v>114</v>
      </c>
      <c r="E1638" s="32" t="s">
        <v>115</v>
      </c>
      <c r="F1638" s="32" t="n">
        <v>9182844695</v>
      </c>
      <c r="G1638" s="32" t="s">
        <v>80</v>
      </c>
      <c r="H1638" s="32" t="s">
        <v>22</v>
      </c>
      <c r="I1638" s="32" t="s">
        <v>145</v>
      </c>
      <c r="J1638" s="32" t="s">
        <v>117</v>
      </c>
      <c r="K1638" s="32" t="s">
        <v>63</v>
      </c>
    </row>
    <row r="1639" customFormat="false" ht="13.5" hidden="false" customHeight="true" outlineLevel="0" collapsed="false">
      <c r="A1639" s="32" t="n">
        <v>3674</v>
      </c>
      <c r="B1639" s="32" t="s">
        <v>1421</v>
      </c>
      <c r="C1639" s="32" t="s">
        <v>1422</v>
      </c>
      <c r="D1639" s="32" t="s">
        <v>114</v>
      </c>
      <c r="E1639" s="32" t="s">
        <v>115</v>
      </c>
      <c r="F1639" s="32" t="n">
        <v>9182844695</v>
      </c>
      <c r="G1639" s="32" t="s">
        <v>80</v>
      </c>
      <c r="H1639" s="32" t="s">
        <v>22</v>
      </c>
      <c r="I1639" s="32" t="s">
        <v>93</v>
      </c>
      <c r="J1639" s="32" t="s">
        <v>85</v>
      </c>
      <c r="K1639" s="32" t="s">
        <v>63</v>
      </c>
    </row>
    <row r="1640" customFormat="false" ht="13.5" hidden="false" customHeight="true" outlineLevel="0" collapsed="false">
      <c r="A1640" s="32" t="n">
        <v>3675</v>
      </c>
      <c r="B1640" s="32" t="s">
        <v>1423</v>
      </c>
      <c r="C1640" s="32" t="s">
        <v>1424</v>
      </c>
      <c r="D1640" s="32" t="s">
        <v>114</v>
      </c>
      <c r="E1640" s="32" t="n">
        <v>0</v>
      </c>
      <c r="F1640" s="32" t="n">
        <v>0</v>
      </c>
      <c r="G1640" s="32" t="s">
        <v>61</v>
      </c>
      <c r="H1640" s="32" t="s">
        <v>22</v>
      </c>
      <c r="I1640" s="32" t="s">
        <v>95</v>
      </c>
      <c r="J1640" s="32" t="s">
        <v>96</v>
      </c>
      <c r="K1640" s="32" t="s">
        <v>63</v>
      </c>
    </row>
    <row r="1641" customFormat="false" ht="13.5" hidden="false" customHeight="true" outlineLevel="0" collapsed="false">
      <c r="A1641" s="32" t="n">
        <v>3676</v>
      </c>
      <c r="B1641" s="32" t="s">
        <v>1425</v>
      </c>
      <c r="C1641" s="32" t="s">
        <v>1426</v>
      </c>
      <c r="D1641" s="32" t="s">
        <v>331</v>
      </c>
      <c r="E1641" s="32" t="s">
        <v>366</v>
      </c>
      <c r="F1641" s="32" t="n">
        <v>0</v>
      </c>
      <c r="G1641" s="32" t="s">
        <v>80</v>
      </c>
      <c r="H1641" s="32" t="s">
        <v>332</v>
      </c>
      <c r="I1641" s="32" t="s">
        <v>145</v>
      </c>
      <c r="J1641" s="32" t="s">
        <v>117</v>
      </c>
      <c r="K1641" s="32" t="s">
        <v>63</v>
      </c>
    </row>
    <row r="1642" customFormat="false" ht="13.5" hidden="false" customHeight="true" outlineLevel="0" collapsed="false">
      <c r="A1642" s="32" t="n">
        <v>3677</v>
      </c>
      <c r="B1642" s="32" t="s">
        <v>1425</v>
      </c>
      <c r="C1642" s="32" t="s">
        <v>1426</v>
      </c>
      <c r="D1642" s="32" t="s">
        <v>331</v>
      </c>
      <c r="E1642" s="32" t="s">
        <v>366</v>
      </c>
      <c r="F1642" s="32" t="n">
        <v>0</v>
      </c>
      <c r="G1642" s="32" t="s">
        <v>80</v>
      </c>
      <c r="H1642" s="32" t="s">
        <v>332</v>
      </c>
      <c r="I1642" s="32" t="s">
        <v>133</v>
      </c>
      <c r="J1642" s="32" t="s">
        <v>134</v>
      </c>
      <c r="K1642" s="32" t="s">
        <v>63</v>
      </c>
    </row>
    <row r="1643" customFormat="false" ht="13.5" hidden="false" customHeight="true" outlineLevel="0" collapsed="false">
      <c r="A1643" s="32" t="n">
        <v>3678</v>
      </c>
      <c r="B1643" s="32" t="s">
        <v>1427</v>
      </c>
      <c r="C1643" s="32" t="s">
        <v>1428</v>
      </c>
      <c r="D1643" s="32" t="s">
        <v>114</v>
      </c>
      <c r="E1643" s="32" t="s">
        <v>115</v>
      </c>
      <c r="F1643" s="33" t="n">
        <v>919816000000</v>
      </c>
      <c r="G1643" s="32" t="s">
        <v>144</v>
      </c>
      <c r="H1643" s="32" t="s">
        <v>22</v>
      </c>
      <c r="I1643" s="32" t="s">
        <v>126</v>
      </c>
      <c r="J1643" s="32" t="s">
        <v>85</v>
      </c>
      <c r="K1643" s="32" t="s">
        <v>63</v>
      </c>
    </row>
    <row r="1644" customFormat="false" ht="13.5" hidden="false" customHeight="true" outlineLevel="0" collapsed="false">
      <c r="A1644" s="32" t="n">
        <v>3679</v>
      </c>
      <c r="B1644" s="32" t="s">
        <v>1427</v>
      </c>
      <c r="C1644" s="32" t="s">
        <v>1429</v>
      </c>
      <c r="D1644" s="32" t="s">
        <v>114</v>
      </c>
      <c r="E1644" s="32" t="s">
        <v>115</v>
      </c>
      <c r="F1644" s="33" t="n">
        <v>919816000000</v>
      </c>
      <c r="G1644" s="32" t="s">
        <v>144</v>
      </c>
      <c r="H1644" s="32" t="s">
        <v>22</v>
      </c>
      <c r="I1644" s="32" t="s">
        <v>245</v>
      </c>
      <c r="J1644" s="32" t="s">
        <v>71</v>
      </c>
      <c r="K1644" s="32" t="s">
        <v>63</v>
      </c>
    </row>
    <row r="1645" customFormat="false" ht="13.5" hidden="false" customHeight="true" outlineLevel="0" collapsed="false">
      <c r="A1645" s="32" t="n">
        <v>3680</v>
      </c>
      <c r="B1645" s="32" t="s">
        <v>1427</v>
      </c>
      <c r="C1645" s="32" t="s">
        <v>1429</v>
      </c>
      <c r="D1645" s="32" t="s">
        <v>114</v>
      </c>
      <c r="E1645" s="32" t="s">
        <v>115</v>
      </c>
      <c r="F1645" s="33" t="n">
        <v>919816000000</v>
      </c>
      <c r="G1645" s="32" t="s">
        <v>144</v>
      </c>
      <c r="H1645" s="32" t="s">
        <v>22</v>
      </c>
      <c r="I1645" s="32" t="s">
        <v>128</v>
      </c>
      <c r="J1645" s="32" t="s">
        <v>89</v>
      </c>
      <c r="K1645" s="32" t="s">
        <v>63</v>
      </c>
    </row>
    <row r="1646" customFormat="false" ht="13.5" hidden="false" customHeight="true" outlineLevel="0" collapsed="false">
      <c r="A1646" s="32" t="n">
        <v>3681</v>
      </c>
      <c r="B1646" s="32" t="s">
        <v>1427</v>
      </c>
      <c r="C1646" s="32" t="s">
        <v>1429</v>
      </c>
      <c r="D1646" s="32" t="s">
        <v>114</v>
      </c>
      <c r="E1646" s="32" t="s">
        <v>115</v>
      </c>
      <c r="F1646" s="33" t="n">
        <v>919816000000</v>
      </c>
      <c r="G1646" s="32" t="s">
        <v>144</v>
      </c>
      <c r="H1646" s="32" t="s">
        <v>22</v>
      </c>
      <c r="I1646" s="32" t="s">
        <v>314</v>
      </c>
      <c r="J1646" s="32" t="s">
        <v>134</v>
      </c>
      <c r="K1646" s="32" t="s">
        <v>63</v>
      </c>
    </row>
    <row r="1647" customFormat="false" ht="13.5" hidden="false" customHeight="true" outlineLevel="0" collapsed="false">
      <c r="A1647" s="32" t="n">
        <v>3682</v>
      </c>
      <c r="B1647" s="32" t="s">
        <v>1430</v>
      </c>
      <c r="C1647" s="32" t="s">
        <v>1431</v>
      </c>
      <c r="D1647" s="32" t="s">
        <v>59</v>
      </c>
      <c r="E1647" s="32" t="s">
        <v>107</v>
      </c>
      <c r="F1647" s="32" t="n">
        <v>8130120054</v>
      </c>
      <c r="G1647" s="32" t="s">
        <v>144</v>
      </c>
      <c r="H1647" s="32" t="s">
        <v>21</v>
      </c>
      <c r="I1647" s="32" t="s">
        <v>145</v>
      </c>
      <c r="J1647" s="32" t="s">
        <v>117</v>
      </c>
      <c r="K1647" s="32" t="s">
        <v>63</v>
      </c>
    </row>
    <row r="1648" customFormat="false" ht="13.5" hidden="false" customHeight="true" outlineLevel="0" collapsed="false">
      <c r="A1648" s="32" t="n">
        <v>3683</v>
      </c>
      <c r="B1648" s="32" t="s">
        <v>1430</v>
      </c>
      <c r="C1648" s="32" t="s">
        <v>1431</v>
      </c>
      <c r="D1648" s="32" t="s">
        <v>59</v>
      </c>
      <c r="E1648" s="32" t="s">
        <v>107</v>
      </c>
      <c r="F1648" s="32" t="n">
        <v>8130120054</v>
      </c>
      <c r="G1648" s="32" t="s">
        <v>144</v>
      </c>
      <c r="H1648" s="32" t="s">
        <v>21</v>
      </c>
      <c r="I1648" s="32" t="s">
        <v>133</v>
      </c>
      <c r="J1648" s="32" t="s">
        <v>134</v>
      </c>
      <c r="K1648" s="32" t="s">
        <v>63</v>
      </c>
    </row>
    <row r="1649" customFormat="false" ht="13.5" hidden="false" customHeight="true" outlineLevel="0" collapsed="false">
      <c r="A1649" s="32" t="n">
        <v>3684</v>
      </c>
      <c r="B1649" s="32" t="s">
        <v>1432</v>
      </c>
      <c r="C1649" s="32" t="s">
        <v>1433</v>
      </c>
      <c r="D1649" s="32" t="s">
        <v>59</v>
      </c>
      <c r="E1649" s="32" t="s">
        <v>59</v>
      </c>
      <c r="F1649" s="32" t="n">
        <v>9618231050</v>
      </c>
      <c r="G1649" s="32" t="s">
        <v>80</v>
      </c>
      <c r="H1649" s="32" t="s">
        <v>21</v>
      </c>
      <c r="I1649" s="32" t="s">
        <v>98</v>
      </c>
      <c r="J1649" s="32" t="s">
        <v>99</v>
      </c>
      <c r="K1649" s="32" t="s">
        <v>63</v>
      </c>
    </row>
    <row r="1650" customFormat="false" ht="13.5" hidden="false" customHeight="true" outlineLevel="0" collapsed="false">
      <c r="A1650" s="32" t="n">
        <v>3685</v>
      </c>
      <c r="B1650" s="32" t="s">
        <v>1432</v>
      </c>
      <c r="C1650" s="32" t="s">
        <v>1433</v>
      </c>
      <c r="D1650" s="32" t="s">
        <v>59</v>
      </c>
      <c r="E1650" s="32" t="s">
        <v>59</v>
      </c>
      <c r="F1650" s="32" t="n">
        <v>9618231050</v>
      </c>
      <c r="G1650" s="32" t="s">
        <v>80</v>
      </c>
      <c r="H1650" s="32" t="s">
        <v>21</v>
      </c>
      <c r="I1650" s="32" t="s">
        <v>93</v>
      </c>
      <c r="J1650" s="32" t="s">
        <v>85</v>
      </c>
      <c r="K1650" s="32" t="s">
        <v>63</v>
      </c>
    </row>
    <row r="1651" customFormat="false" ht="13.5" hidden="false" customHeight="true" outlineLevel="0" collapsed="false">
      <c r="A1651" s="32" t="n">
        <v>3686</v>
      </c>
      <c r="B1651" s="32" t="s">
        <v>1434</v>
      </c>
      <c r="C1651" s="32" t="s">
        <v>1435</v>
      </c>
      <c r="D1651" s="32" t="s">
        <v>59</v>
      </c>
      <c r="E1651" s="32" t="s">
        <v>60</v>
      </c>
      <c r="F1651" s="32" t="s">
        <v>1436</v>
      </c>
      <c r="G1651" s="32" t="s">
        <v>61</v>
      </c>
      <c r="H1651" s="32" t="s">
        <v>21</v>
      </c>
      <c r="I1651" s="32" t="s">
        <v>350</v>
      </c>
      <c r="J1651" s="32" t="s">
        <v>235</v>
      </c>
      <c r="K1651" s="32" t="s">
        <v>63</v>
      </c>
    </row>
    <row r="1652" customFormat="false" ht="13.5" hidden="false" customHeight="true" outlineLevel="0" collapsed="false">
      <c r="A1652" s="32" t="n">
        <v>3687</v>
      </c>
      <c r="B1652" s="32" t="s">
        <v>1434</v>
      </c>
      <c r="C1652" s="32" t="s">
        <v>1435</v>
      </c>
      <c r="D1652" s="32" t="s">
        <v>59</v>
      </c>
      <c r="E1652" s="32" t="s">
        <v>60</v>
      </c>
      <c r="F1652" s="32" t="s">
        <v>1436</v>
      </c>
      <c r="G1652" s="32" t="s">
        <v>61</v>
      </c>
      <c r="H1652" s="32" t="s">
        <v>21</v>
      </c>
      <c r="I1652" s="32" t="s">
        <v>504</v>
      </c>
      <c r="J1652" s="32" t="s">
        <v>505</v>
      </c>
      <c r="K1652" s="32" t="s">
        <v>63</v>
      </c>
    </row>
    <row r="1653" customFormat="false" ht="13.5" hidden="false" customHeight="true" outlineLevel="0" collapsed="false">
      <c r="A1653" s="32" t="n">
        <v>3689</v>
      </c>
      <c r="B1653" s="32" t="s">
        <v>1434</v>
      </c>
      <c r="C1653" s="32" t="s">
        <v>1435</v>
      </c>
      <c r="D1653" s="32" t="s">
        <v>59</v>
      </c>
      <c r="E1653" s="32" t="s">
        <v>60</v>
      </c>
      <c r="F1653" s="32" t="n">
        <v>8296485024</v>
      </c>
      <c r="G1653" s="32" t="s">
        <v>61</v>
      </c>
      <c r="H1653" s="32" t="s">
        <v>21</v>
      </c>
      <c r="I1653" s="32" t="s">
        <v>333</v>
      </c>
      <c r="J1653" s="32" t="s">
        <v>235</v>
      </c>
      <c r="K1653" s="32" t="s">
        <v>63</v>
      </c>
    </row>
    <row r="1654" customFormat="false" ht="13.5" hidden="false" customHeight="true" outlineLevel="0" collapsed="false">
      <c r="A1654" s="32" t="n">
        <v>3690</v>
      </c>
      <c r="B1654" s="32" t="s">
        <v>1437</v>
      </c>
      <c r="C1654" s="32" t="s">
        <v>1438</v>
      </c>
      <c r="D1654" s="32" t="s">
        <v>59</v>
      </c>
      <c r="E1654" s="32" t="s">
        <v>107</v>
      </c>
      <c r="F1654" s="32" t="n">
        <v>0</v>
      </c>
      <c r="G1654" s="32" t="s">
        <v>80</v>
      </c>
      <c r="H1654" s="32" t="s">
        <v>21</v>
      </c>
      <c r="I1654" s="32" t="s">
        <v>248</v>
      </c>
      <c r="J1654" s="32" t="s">
        <v>117</v>
      </c>
      <c r="K1654" s="32" t="s">
        <v>63</v>
      </c>
    </row>
    <row r="1655" customFormat="false" ht="13.5" hidden="false" customHeight="true" outlineLevel="0" collapsed="false">
      <c r="A1655" s="32" t="n">
        <v>3691</v>
      </c>
      <c r="B1655" s="32" t="s">
        <v>1437</v>
      </c>
      <c r="C1655" s="32" t="s">
        <v>1438</v>
      </c>
      <c r="D1655" s="32" t="s">
        <v>59</v>
      </c>
      <c r="E1655" s="32" t="s">
        <v>107</v>
      </c>
      <c r="F1655" s="32" t="n">
        <v>0</v>
      </c>
      <c r="G1655" s="32" t="s">
        <v>80</v>
      </c>
      <c r="H1655" s="32" t="s">
        <v>21</v>
      </c>
      <c r="I1655" s="32" t="s">
        <v>146</v>
      </c>
      <c r="J1655" s="32" t="s">
        <v>117</v>
      </c>
      <c r="K1655" s="32" t="s">
        <v>63</v>
      </c>
    </row>
    <row r="1656" customFormat="false" ht="13.5" hidden="false" customHeight="true" outlineLevel="0" collapsed="false">
      <c r="A1656" s="32" t="n">
        <v>3692</v>
      </c>
      <c r="B1656" s="32" t="s">
        <v>1437</v>
      </c>
      <c r="C1656" s="32" t="s">
        <v>1438</v>
      </c>
      <c r="D1656" s="32" t="s">
        <v>59</v>
      </c>
      <c r="E1656" s="32" t="s">
        <v>107</v>
      </c>
      <c r="F1656" s="32" t="n">
        <v>0</v>
      </c>
      <c r="G1656" s="32" t="s">
        <v>80</v>
      </c>
      <c r="H1656" s="32" t="s">
        <v>21</v>
      </c>
      <c r="I1656" s="32" t="s">
        <v>284</v>
      </c>
      <c r="J1656" s="32" t="s">
        <v>117</v>
      </c>
      <c r="K1656" s="32" t="s">
        <v>63</v>
      </c>
    </row>
    <row r="1657" customFormat="false" ht="13.5" hidden="false" customHeight="true" outlineLevel="0" collapsed="false">
      <c r="A1657" s="32" t="n">
        <v>3693</v>
      </c>
      <c r="B1657" s="32" t="s">
        <v>1439</v>
      </c>
      <c r="C1657" s="32" t="s">
        <v>1440</v>
      </c>
      <c r="D1657" s="32" t="s">
        <v>114</v>
      </c>
      <c r="E1657" s="32" t="s">
        <v>620</v>
      </c>
      <c r="F1657" s="32" t="n">
        <v>0</v>
      </c>
      <c r="G1657" s="32" t="s">
        <v>80</v>
      </c>
      <c r="H1657" s="32" t="s">
        <v>22</v>
      </c>
      <c r="I1657" s="32" t="s">
        <v>185</v>
      </c>
      <c r="J1657" s="32" t="s">
        <v>186</v>
      </c>
      <c r="K1657" s="32" t="s">
        <v>63</v>
      </c>
    </row>
    <row r="1658" customFormat="false" ht="13.5" hidden="false" customHeight="true" outlineLevel="0" collapsed="false">
      <c r="A1658" s="32" t="n">
        <v>3694</v>
      </c>
      <c r="B1658" s="32" t="s">
        <v>1439</v>
      </c>
      <c r="C1658" s="32" t="s">
        <v>1440</v>
      </c>
      <c r="D1658" s="32" t="s">
        <v>114</v>
      </c>
      <c r="E1658" s="32" t="s">
        <v>620</v>
      </c>
      <c r="F1658" s="32" t="n">
        <v>0</v>
      </c>
      <c r="G1658" s="32" t="s">
        <v>80</v>
      </c>
      <c r="H1658" s="32" t="s">
        <v>22</v>
      </c>
      <c r="I1658" s="32" t="s">
        <v>226</v>
      </c>
      <c r="J1658" s="32" t="s">
        <v>110</v>
      </c>
      <c r="K1658" s="32" t="s">
        <v>63</v>
      </c>
    </row>
    <row r="1659" customFormat="false" ht="13.5" hidden="false" customHeight="true" outlineLevel="0" collapsed="false">
      <c r="A1659" s="32" t="n">
        <v>3695</v>
      </c>
      <c r="B1659" s="32" t="s">
        <v>1439</v>
      </c>
      <c r="C1659" s="32" t="s">
        <v>1441</v>
      </c>
      <c r="D1659" s="32" t="s">
        <v>114</v>
      </c>
      <c r="E1659" s="32" t="s">
        <v>620</v>
      </c>
      <c r="F1659" s="32" t="n">
        <v>0</v>
      </c>
      <c r="G1659" s="32" t="s">
        <v>80</v>
      </c>
      <c r="H1659" s="32" t="s">
        <v>22</v>
      </c>
      <c r="I1659" s="32" t="s">
        <v>120</v>
      </c>
      <c r="J1659" s="32" t="s">
        <v>110</v>
      </c>
      <c r="K1659" s="32" t="s">
        <v>63</v>
      </c>
    </row>
    <row r="1660" customFormat="false" ht="13.5" hidden="false" customHeight="true" outlineLevel="0" collapsed="false">
      <c r="A1660" s="32" t="n">
        <v>3696</v>
      </c>
      <c r="B1660" s="32" t="s">
        <v>1439</v>
      </c>
      <c r="C1660" s="32" t="s">
        <v>1441</v>
      </c>
      <c r="D1660" s="32" t="s">
        <v>114</v>
      </c>
      <c r="E1660" s="32" t="s">
        <v>620</v>
      </c>
      <c r="F1660" s="32" t="n">
        <v>0</v>
      </c>
      <c r="G1660" s="32" t="s">
        <v>80</v>
      </c>
      <c r="H1660" s="32" t="s">
        <v>22</v>
      </c>
      <c r="I1660" s="32" t="s">
        <v>226</v>
      </c>
      <c r="J1660" s="32" t="s">
        <v>110</v>
      </c>
      <c r="K1660" s="32" t="s">
        <v>63</v>
      </c>
    </row>
    <row r="1661" customFormat="false" ht="13.5" hidden="false" customHeight="true" outlineLevel="0" collapsed="false">
      <c r="A1661" s="32" t="n">
        <v>3697</v>
      </c>
      <c r="B1661" s="32" t="s">
        <v>1439</v>
      </c>
      <c r="C1661" s="32" t="s">
        <v>1441</v>
      </c>
      <c r="D1661" s="32" t="s">
        <v>114</v>
      </c>
      <c r="E1661" s="32" t="s">
        <v>620</v>
      </c>
      <c r="F1661" s="32" t="n">
        <v>8008101631</v>
      </c>
      <c r="G1661" s="32" t="s">
        <v>80</v>
      </c>
      <c r="H1661" s="32" t="s">
        <v>22</v>
      </c>
      <c r="I1661" s="32" t="s">
        <v>227</v>
      </c>
      <c r="J1661" s="32" t="s">
        <v>228</v>
      </c>
      <c r="K1661" s="32" t="s">
        <v>63</v>
      </c>
    </row>
    <row r="1662" customFormat="false" ht="13.5" hidden="false" customHeight="true" outlineLevel="0" collapsed="false">
      <c r="A1662" s="32" t="n">
        <v>3698</v>
      </c>
      <c r="B1662" s="32" t="s">
        <v>1442</v>
      </c>
      <c r="C1662" s="32" t="s">
        <v>1443</v>
      </c>
      <c r="D1662" s="32" t="s">
        <v>59</v>
      </c>
      <c r="E1662" s="32" t="s">
        <v>107</v>
      </c>
      <c r="F1662" s="33" t="n">
        <v>918121000000</v>
      </c>
      <c r="G1662" s="32" t="s">
        <v>80</v>
      </c>
      <c r="H1662" s="32" t="s">
        <v>21</v>
      </c>
      <c r="I1662" s="32" t="s">
        <v>1444</v>
      </c>
      <c r="J1662" s="32" t="s">
        <v>89</v>
      </c>
      <c r="K1662" s="32" t="s">
        <v>63</v>
      </c>
    </row>
    <row r="1663" customFormat="false" ht="13.5" hidden="false" customHeight="true" outlineLevel="0" collapsed="false">
      <c r="A1663" s="32" t="n">
        <v>3699</v>
      </c>
      <c r="B1663" s="32" t="s">
        <v>1442</v>
      </c>
      <c r="C1663" s="32" t="s">
        <v>1443</v>
      </c>
      <c r="D1663" s="32" t="s">
        <v>59</v>
      </c>
      <c r="E1663" s="32" t="s">
        <v>107</v>
      </c>
      <c r="F1663" s="33" t="n">
        <v>918121000000</v>
      </c>
      <c r="G1663" s="32" t="s">
        <v>80</v>
      </c>
      <c r="H1663" s="32" t="s">
        <v>21</v>
      </c>
      <c r="I1663" s="32" t="s">
        <v>126</v>
      </c>
      <c r="J1663" s="32" t="s">
        <v>85</v>
      </c>
      <c r="K1663" s="32" t="s">
        <v>63</v>
      </c>
    </row>
    <row r="1664" customFormat="false" ht="13.5" hidden="false" customHeight="true" outlineLevel="0" collapsed="false">
      <c r="A1664" s="32" t="n">
        <v>3700</v>
      </c>
      <c r="B1664" s="32" t="s">
        <v>1445</v>
      </c>
      <c r="C1664" s="32" t="s">
        <v>1446</v>
      </c>
      <c r="D1664" s="32" t="s">
        <v>59</v>
      </c>
      <c r="E1664" s="32" t="s">
        <v>107</v>
      </c>
      <c r="F1664" s="33" t="n">
        <v>917675000000</v>
      </c>
      <c r="G1664" s="32" t="s">
        <v>80</v>
      </c>
      <c r="H1664" s="32" t="s">
        <v>21</v>
      </c>
      <c r="I1664" s="32" t="s">
        <v>30</v>
      </c>
      <c r="J1664" s="32" t="s">
        <v>203</v>
      </c>
      <c r="K1664" s="32" t="s">
        <v>63</v>
      </c>
    </row>
    <row r="1665" customFormat="false" ht="13.5" hidden="false" customHeight="true" outlineLevel="0" collapsed="false">
      <c r="A1665" s="32" t="n">
        <v>3701</v>
      </c>
      <c r="B1665" s="32" t="s">
        <v>1445</v>
      </c>
      <c r="C1665" s="32" t="s">
        <v>1446</v>
      </c>
      <c r="D1665" s="32" t="s">
        <v>59</v>
      </c>
      <c r="E1665" s="32" t="s">
        <v>107</v>
      </c>
      <c r="F1665" s="32" t="n">
        <v>7675018392</v>
      </c>
      <c r="G1665" s="32" t="s">
        <v>80</v>
      </c>
      <c r="H1665" s="32" t="s">
        <v>21</v>
      </c>
      <c r="I1665" s="32" t="s">
        <v>217</v>
      </c>
      <c r="J1665" s="32" t="s">
        <v>132</v>
      </c>
      <c r="K1665" s="32" t="s">
        <v>63</v>
      </c>
    </row>
    <row r="1666" customFormat="false" ht="13.5" hidden="false" customHeight="true" outlineLevel="0" collapsed="false">
      <c r="A1666" s="32" t="n">
        <v>3702</v>
      </c>
      <c r="B1666" s="32" t="s">
        <v>1445</v>
      </c>
      <c r="C1666" s="32" t="s">
        <v>1446</v>
      </c>
      <c r="D1666" s="32" t="s">
        <v>59</v>
      </c>
      <c r="E1666" s="32" t="s">
        <v>107</v>
      </c>
      <c r="F1666" s="32" t="n">
        <v>7675018392</v>
      </c>
      <c r="G1666" s="32" t="s">
        <v>80</v>
      </c>
      <c r="H1666" s="32" t="s">
        <v>21</v>
      </c>
      <c r="I1666" s="32" t="s">
        <v>728</v>
      </c>
      <c r="J1666" s="32" t="s">
        <v>132</v>
      </c>
      <c r="K1666" s="32" t="s">
        <v>63</v>
      </c>
    </row>
    <row r="1667" customFormat="false" ht="13.5" hidden="false" customHeight="true" outlineLevel="0" collapsed="false">
      <c r="A1667" s="32" t="n">
        <v>3703</v>
      </c>
      <c r="B1667" s="32" t="s">
        <v>1447</v>
      </c>
      <c r="C1667" s="32" t="s">
        <v>1448</v>
      </c>
      <c r="D1667" s="32" t="s">
        <v>59</v>
      </c>
      <c r="E1667" s="32" t="s">
        <v>107</v>
      </c>
      <c r="F1667" s="33" t="n">
        <v>917303000000</v>
      </c>
      <c r="G1667" s="32" t="s">
        <v>104</v>
      </c>
      <c r="H1667" s="32" t="s">
        <v>21</v>
      </c>
      <c r="I1667" s="32" t="s">
        <v>248</v>
      </c>
      <c r="J1667" s="32" t="s">
        <v>117</v>
      </c>
      <c r="K1667" s="32" t="s">
        <v>63</v>
      </c>
    </row>
    <row r="1668" customFormat="false" ht="13.5" hidden="false" customHeight="true" outlineLevel="0" collapsed="false">
      <c r="A1668" s="32" t="n">
        <v>3704</v>
      </c>
      <c r="B1668" s="32" t="s">
        <v>1447</v>
      </c>
      <c r="C1668" s="32" t="s">
        <v>1448</v>
      </c>
      <c r="D1668" s="32" t="s">
        <v>59</v>
      </c>
      <c r="E1668" s="32" t="s">
        <v>107</v>
      </c>
      <c r="F1668" s="33" t="n">
        <v>917303000000</v>
      </c>
      <c r="G1668" s="32" t="s">
        <v>104</v>
      </c>
      <c r="H1668" s="32" t="s">
        <v>21</v>
      </c>
      <c r="I1668" s="32" t="s">
        <v>93</v>
      </c>
      <c r="J1668" s="32" t="s">
        <v>85</v>
      </c>
      <c r="K1668" s="32" t="s">
        <v>63</v>
      </c>
    </row>
    <row r="1669" customFormat="false" ht="13.5" hidden="false" customHeight="true" outlineLevel="0" collapsed="false">
      <c r="A1669" s="32" t="n">
        <v>3705</v>
      </c>
      <c r="B1669" s="32" t="s">
        <v>1449</v>
      </c>
      <c r="C1669" s="32" t="s">
        <v>1450</v>
      </c>
      <c r="D1669" s="32" t="s">
        <v>59</v>
      </c>
      <c r="E1669" s="32" t="s">
        <v>107</v>
      </c>
      <c r="F1669" s="33" t="n">
        <v>919952000000</v>
      </c>
      <c r="G1669" s="32" t="s">
        <v>80</v>
      </c>
      <c r="H1669" s="32" t="s">
        <v>21</v>
      </c>
      <c r="I1669" s="32" t="s">
        <v>145</v>
      </c>
      <c r="J1669" s="32" t="s">
        <v>117</v>
      </c>
      <c r="K1669" s="32" t="s">
        <v>63</v>
      </c>
    </row>
    <row r="1670" customFormat="false" ht="13.5" hidden="false" customHeight="true" outlineLevel="0" collapsed="false">
      <c r="A1670" s="32" t="n">
        <v>3706</v>
      </c>
      <c r="B1670" s="32" t="s">
        <v>1449</v>
      </c>
      <c r="C1670" s="32" t="s">
        <v>1450</v>
      </c>
      <c r="D1670" s="32" t="s">
        <v>59</v>
      </c>
      <c r="E1670" s="32" t="s">
        <v>107</v>
      </c>
      <c r="F1670" s="33" t="n">
        <v>919952000000</v>
      </c>
      <c r="G1670" s="32" t="s">
        <v>80</v>
      </c>
      <c r="H1670" s="32" t="s">
        <v>21</v>
      </c>
      <c r="I1670" s="32" t="s">
        <v>93</v>
      </c>
      <c r="J1670" s="32" t="s">
        <v>85</v>
      </c>
      <c r="K1670" s="32" t="s">
        <v>63</v>
      </c>
    </row>
    <row r="1671" customFormat="false" ht="13.5" hidden="false" customHeight="true" outlineLevel="0" collapsed="false">
      <c r="A1671" s="32" t="n">
        <v>3707</v>
      </c>
      <c r="B1671" s="32" t="s">
        <v>1451</v>
      </c>
      <c r="C1671" s="32" t="s">
        <v>1452</v>
      </c>
      <c r="D1671" s="32" t="s">
        <v>59</v>
      </c>
      <c r="E1671" s="32" t="s">
        <v>107</v>
      </c>
      <c r="F1671" s="32" t="n">
        <v>9652555080</v>
      </c>
      <c r="G1671" s="32" t="s">
        <v>80</v>
      </c>
      <c r="H1671" s="32" t="s">
        <v>21</v>
      </c>
      <c r="I1671" s="32" t="s">
        <v>108</v>
      </c>
      <c r="J1671" s="32" t="s">
        <v>71</v>
      </c>
      <c r="K1671" s="32" t="s">
        <v>63</v>
      </c>
    </row>
    <row r="1672" customFormat="false" ht="13.5" hidden="false" customHeight="true" outlineLevel="0" collapsed="false">
      <c r="A1672" s="32" t="n">
        <v>3708</v>
      </c>
      <c r="B1672" s="32" t="s">
        <v>1451</v>
      </c>
      <c r="C1672" s="32" t="s">
        <v>1452</v>
      </c>
      <c r="D1672" s="32" t="s">
        <v>59</v>
      </c>
      <c r="E1672" s="32" t="s">
        <v>107</v>
      </c>
      <c r="F1672" s="32" t="n">
        <v>9652555080</v>
      </c>
      <c r="G1672" s="32" t="s">
        <v>80</v>
      </c>
      <c r="H1672" s="32" t="s">
        <v>21</v>
      </c>
      <c r="I1672" s="32" t="s">
        <v>133</v>
      </c>
      <c r="J1672" s="32" t="s">
        <v>134</v>
      </c>
      <c r="K1672" s="32" t="s">
        <v>63</v>
      </c>
    </row>
    <row r="1673" customFormat="false" ht="13.5" hidden="false" customHeight="true" outlineLevel="0" collapsed="false">
      <c r="A1673" s="32" t="n">
        <v>3709</v>
      </c>
      <c r="B1673" s="32" t="s">
        <v>1453</v>
      </c>
      <c r="C1673" s="32" t="s">
        <v>1454</v>
      </c>
      <c r="D1673" s="32" t="s">
        <v>59</v>
      </c>
      <c r="E1673" s="32" t="s">
        <v>143</v>
      </c>
      <c r="F1673" s="32" t="n">
        <v>0</v>
      </c>
      <c r="G1673" s="32" t="s">
        <v>80</v>
      </c>
      <c r="H1673" s="32" t="s">
        <v>21</v>
      </c>
      <c r="I1673" s="32" t="s">
        <v>156</v>
      </c>
      <c r="J1673" s="32" t="s">
        <v>62</v>
      </c>
      <c r="K1673" s="32" t="s">
        <v>63</v>
      </c>
    </row>
    <row r="1674" customFormat="false" ht="13.5" hidden="false" customHeight="true" outlineLevel="0" collapsed="false">
      <c r="A1674" s="32" t="n">
        <v>3710</v>
      </c>
      <c r="B1674" s="32" t="s">
        <v>1453</v>
      </c>
      <c r="C1674" s="32" t="s">
        <v>1454</v>
      </c>
      <c r="D1674" s="32" t="s">
        <v>59</v>
      </c>
      <c r="E1674" s="32" t="s">
        <v>143</v>
      </c>
      <c r="F1674" s="32" t="n">
        <v>0</v>
      </c>
      <c r="G1674" s="32" t="s">
        <v>80</v>
      </c>
      <c r="H1674" s="32" t="s">
        <v>21</v>
      </c>
      <c r="I1674" s="32" t="s">
        <v>29</v>
      </c>
      <c r="J1674" s="32" t="s">
        <v>62</v>
      </c>
      <c r="K1674" s="32" t="s">
        <v>63</v>
      </c>
    </row>
    <row r="1675" customFormat="false" ht="13.5" hidden="false" customHeight="true" outlineLevel="0" collapsed="false">
      <c r="A1675" s="32" t="n">
        <v>3711</v>
      </c>
      <c r="B1675" s="32" t="s">
        <v>1453</v>
      </c>
      <c r="C1675" s="32" t="s">
        <v>1454</v>
      </c>
      <c r="D1675" s="32" t="s">
        <v>59</v>
      </c>
      <c r="E1675" s="32" t="s">
        <v>143</v>
      </c>
      <c r="F1675" s="32" t="n">
        <v>0</v>
      </c>
      <c r="G1675" s="32" t="s">
        <v>80</v>
      </c>
      <c r="H1675" s="32" t="s">
        <v>21</v>
      </c>
      <c r="I1675" s="32" t="s">
        <v>773</v>
      </c>
      <c r="J1675" s="32" t="s">
        <v>66</v>
      </c>
      <c r="K1675" s="32" t="s">
        <v>63</v>
      </c>
    </row>
    <row r="1676" customFormat="false" ht="13.5" hidden="false" customHeight="true" outlineLevel="0" collapsed="false">
      <c r="A1676" s="32" t="n">
        <v>3712</v>
      </c>
      <c r="B1676" s="32" t="s">
        <v>1455</v>
      </c>
      <c r="C1676" s="32" t="s">
        <v>1456</v>
      </c>
      <c r="D1676" s="32" t="s">
        <v>59</v>
      </c>
      <c r="E1676" s="32" t="s">
        <v>60</v>
      </c>
      <c r="F1676" s="33" t="n">
        <v>917207000000</v>
      </c>
      <c r="G1676" s="32" t="s">
        <v>80</v>
      </c>
      <c r="H1676" s="32" t="s">
        <v>21</v>
      </c>
      <c r="I1676" s="32" t="s">
        <v>1108</v>
      </c>
      <c r="J1676" s="32" t="s">
        <v>66</v>
      </c>
      <c r="K1676" s="32" t="s">
        <v>63</v>
      </c>
    </row>
    <row r="1677" customFormat="false" ht="13.5" hidden="false" customHeight="true" outlineLevel="0" collapsed="false">
      <c r="A1677" s="32" t="n">
        <v>3713</v>
      </c>
      <c r="B1677" s="32" t="s">
        <v>1455</v>
      </c>
      <c r="C1677" s="32" t="s">
        <v>1456</v>
      </c>
      <c r="D1677" s="32" t="s">
        <v>59</v>
      </c>
      <c r="E1677" s="32" t="s">
        <v>60</v>
      </c>
      <c r="F1677" s="33" t="n">
        <v>917207000000</v>
      </c>
      <c r="G1677" s="32" t="s">
        <v>80</v>
      </c>
      <c r="H1677" s="32" t="s">
        <v>21</v>
      </c>
      <c r="I1677" s="32" t="s">
        <v>1034</v>
      </c>
      <c r="J1677" s="32" t="s">
        <v>62</v>
      </c>
      <c r="K1677" s="32" t="s">
        <v>63</v>
      </c>
    </row>
    <row r="1678" customFormat="false" ht="13.5" hidden="false" customHeight="true" outlineLevel="0" collapsed="false">
      <c r="A1678" s="32" t="n">
        <v>3715</v>
      </c>
      <c r="B1678" s="32" t="s">
        <v>1455</v>
      </c>
      <c r="C1678" s="32" t="s">
        <v>1457</v>
      </c>
      <c r="D1678" s="32" t="s">
        <v>59</v>
      </c>
      <c r="E1678" s="32" t="s">
        <v>60</v>
      </c>
      <c r="F1678" s="33" t="n">
        <v>917207000000</v>
      </c>
      <c r="G1678" s="32" t="s">
        <v>80</v>
      </c>
      <c r="H1678" s="32" t="s">
        <v>21</v>
      </c>
      <c r="I1678" s="32" t="s">
        <v>156</v>
      </c>
      <c r="J1678" s="32" t="s">
        <v>62</v>
      </c>
      <c r="K1678" s="32" t="s">
        <v>63</v>
      </c>
    </row>
    <row r="1679" customFormat="false" ht="13.5" hidden="false" customHeight="true" outlineLevel="0" collapsed="false">
      <c r="A1679" s="32" t="n">
        <v>3716</v>
      </c>
      <c r="B1679" s="32" t="s">
        <v>1455</v>
      </c>
      <c r="C1679" s="32" t="s">
        <v>1457</v>
      </c>
      <c r="D1679" s="32" t="s">
        <v>59</v>
      </c>
      <c r="E1679" s="32" t="s">
        <v>60</v>
      </c>
      <c r="F1679" s="33" t="n">
        <v>917207000000</v>
      </c>
      <c r="G1679" s="32" t="s">
        <v>80</v>
      </c>
      <c r="H1679" s="32" t="s">
        <v>21</v>
      </c>
      <c r="I1679" s="32" t="s">
        <v>29</v>
      </c>
      <c r="J1679" s="32" t="s">
        <v>62</v>
      </c>
      <c r="K1679" s="32" t="s">
        <v>63</v>
      </c>
    </row>
    <row r="1680" customFormat="false" ht="13.5" hidden="false" customHeight="true" outlineLevel="0" collapsed="false">
      <c r="A1680" s="32" t="n">
        <v>3717</v>
      </c>
      <c r="B1680" s="32" t="s">
        <v>1458</v>
      </c>
      <c r="C1680" s="32" t="s">
        <v>1459</v>
      </c>
      <c r="D1680" s="32" t="s">
        <v>114</v>
      </c>
      <c r="E1680" s="32" t="n">
        <v>0</v>
      </c>
      <c r="F1680" s="32" t="n">
        <v>8826806888</v>
      </c>
      <c r="G1680" s="32" t="s">
        <v>144</v>
      </c>
      <c r="H1680" s="32" t="s">
        <v>22</v>
      </c>
      <c r="I1680" s="32" t="s">
        <v>145</v>
      </c>
      <c r="J1680" s="32" t="s">
        <v>117</v>
      </c>
      <c r="K1680" s="32" t="s">
        <v>63</v>
      </c>
    </row>
    <row r="1681" customFormat="false" ht="13.5" hidden="false" customHeight="true" outlineLevel="0" collapsed="false">
      <c r="A1681" s="32" t="n">
        <v>3719</v>
      </c>
      <c r="B1681" s="32" t="s">
        <v>1458</v>
      </c>
      <c r="C1681" s="32" t="s">
        <v>1459</v>
      </c>
      <c r="D1681" s="32" t="s">
        <v>114</v>
      </c>
      <c r="E1681" s="32" t="n">
        <v>0</v>
      </c>
      <c r="F1681" s="32" t="n">
        <v>8826806888</v>
      </c>
      <c r="G1681" s="32" t="s">
        <v>144</v>
      </c>
      <c r="H1681" s="32" t="s">
        <v>22</v>
      </c>
      <c r="I1681" s="32" t="s">
        <v>226</v>
      </c>
      <c r="J1681" s="32" t="s">
        <v>110</v>
      </c>
      <c r="K1681" s="32" t="s">
        <v>63</v>
      </c>
    </row>
    <row r="1682" customFormat="false" ht="13.5" hidden="false" customHeight="true" outlineLevel="0" collapsed="false">
      <c r="A1682" s="32" t="n">
        <v>3720</v>
      </c>
      <c r="B1682" s="32" t="s">
        <v>1458</v>
      </c>
      <c r="C1682" s="32" t="s">
        <v>1459</v>
      </c>
      <c r="D1682" s="32" t="s">
        <v>114</v>
      </c>
      <c r="E1682" s="32" t="n">
        <v>0</v>
      </c>
      <c r="F1682" s="32" t="n">
        <v>8826806888</v>
      </c>
      <c r="G1682" s="32" t="s">
        <v>144</v>
      </c>
      <c r="H1682" s="32" t="s">
        <v>22</v>
      </c>
      <c r="I1682" s="32" t="s">
        <v>121</v>
      </c>
      <c r="J1682" s="32" t="s">
        <v>110</v>
      </c>
      <c r="K1682" s="32" t="s">
        <v>63</v>
      </c>
    </row>
    <row r="1683" customFormat="false" ht="13.5" hidden="false" customHeight="true" outlineLevel="0" collapsed="false">
      <c r="A1683" s="32" t="n">
        <v>3721</v>
      </c>
      <c r="B1683" s="32" t="s">
        <v>1458</v>
      </c>
      <c r="C1683" s="32" t="s">
        <v>1459</v>
      </c>
      <c r="D1683" s="32" t="s">
        <v>114</v>
      </c>
      <c r="E1683" s="32" t="n">
        <v>0</v>
      </c>
      <c r="F1683" s="32" t="n">
        <v>8826806888</v>
      </c>
      <c r="G1683" s="32" t="s">
        <v>144</v>
      </c>
      <c r="H1683" s="32" t="s">
        <v>22</v>
      </c>
      <c r="I1683" s="32" t="s">
        <v>227</v>
      </c>
      <c r="J1683" s="32" t="s">
        <v>228</v>
      </c>
      <c r="K1683" s="32" t="s">
        <v>63</v>
      </c>
    </row>
    <row r="1684" customFormat="false" ht="13.5" hidden="false" customHeight="true" outlineLevel="0" collapsed="false">
      <c r="A1684" s="32" t="n">
        <v>3722</v>
      </c>
      <c r="B1684" s="32" t="s">
        <v>1460</v>
      </c>
      <c r="C1684" s="32" t="s">
        <v>1461</v>
      </c>
      <c r="D1684" s="32" t="s">
        <v>59</v>
      </c>
      <c r="E1684" s="32" t="s">
        <v>92</v>
      </c>
      <c r="F1684" s="32" t="n">
        <v>0</v>
      </c>
      <c r="G1684" s="32" t="s">
        <v>80</v>
      </c>
      <c r="H1684" s="32" t="s">
        <v>21</v>
      </c>
      <c r="I1684" s="32" t="s">
        <v>1462</v>
      </c>
      <c r="J1684" s="32" t="s">
        <v>110</v>
      </c>
      <c r="K1684" s="32" t="s">
        <v>63</v>
      </c>
    </row>
    <row r="1685" customFormat="false" ht="13.5" hidden="false" customHeight="true" outlineLevel="0" collapsed="false">
      <c r="A1685" s="32" t="n">
        <v>3723</v>
      </c>
      <c r="B1685" s="32" t="s">
        <v>1460</v>
      </c>
      <c r="C1685" s="32" t="s">
        <v>1461</v>
      </c>
      <c r="D1685" s="32" t="s">
        <v>59</v>
      </c>
      <c r="E1685" s="32" t="s">
        <v>92</v>
      </c>
      <c r="F1685" s="32" t="n">
        <v>0</v>
      </c>
      <c r="G1685" s="32" t="s">
        <v>80</v>
      </c>
      <c r="H1685" s="32" t="s">
        <v>21</v>
      </c>
      <c r="I1685" s="32" t="s">
        <v>227</v>
      </c>
      <c r="J1685" s="32" t="s">
        <v>228</v>
      </c>
      <c r="K1685" s="32" t="s">
        <v>63</v>
      </c>
    </row>
    <row r="1686" customFormat="false" ht="13.5" hidden="false" customHeight="true" outlineLevel="0" collapsed="false">
      <c r="A1686" s="32" t="n">
        <v>3724</v>
      </c>
      <c r="B1686" s="32" t="s">
        <v>1463</v>
      </c>
      <c r="C1686" s="32" t="s">
        <v>1464</v>
      </c>
      <c r="D1686" s="32" t="s">
        <v>114</v>
      </c>
      <c r="E1686" s="32" t="s">
        <v>115</v>
      </c>
      <c r="F1686" s="32" t="n">
        <v>9620161161</v>
      </c>
      <c r="G1686" s="32" t="s">
        <v>144</v>
      </c>
      <c r="H1686" s="32" t="s">
        <v>22</v>
      </c>
      <c r="I1686" s="32" t="s">
        <v>95</v>
      </c>
      <c r="J1686" s="32" t="s">
        <v>96</v>
      </c>
      <c r="K1686" s="32" t="s">
        <v>63</v>
      </c>
    </row>
    <row r="1687" customFormat="false" ht="13.5" hidden="false" customHeight="true" outlineLevel="0" collapsed="false">
      <c r="A1687" s="32" t="n">
        <v>3725</v>
      </c>
      <c r="B1687" s="32" t="s">
        <v>1463</v>
      </c>
      <c r="C1687" s="32" t="s">
        <v>1464</v>
      </c>
      <c r="D1687" s="32" t="s">
        <v>114</v>
      </c>
      <c r="E1687" s="32" t="s">
        <v>115</v>
      </c>
      <c r="F1687" s="32" t="n">
        <v>9620161161</v>
      </c>
      <c r="G1687" s="32" t="s">
        <v>144</v>
      </c>
      <c r="H1687" s="32" t="s">
        <v>22</v>
      </c>
      <c r="I1687" s="32" t="s">
        <v>145</v>
      </c>
      <c r="J1687" s="32" t="s">
        <v>117</v>
      </c>
      <c r="K1687" s="32" t="s">
        <v>63</v>
      </c>
    </row>
    <row r="1688" customFormat="false" ht="13.5" hidden="false" customHeight="true" outlineLevel="0" collapsed="false">
      <c r="A1688" s="32" t="n">
        <v>3726</v>
      </c>
      <c r="B1688" s="32" t="s">
        <v>1463</v>
      </c>
      <c r="C1688" s="32" t="s">
        <v>1464</v>
      </c>
      <c r="D1688" s="32" t="s">
        <v>114</v>
      </c>
      <c r="E1688" s="32" t="s">
        <v>115</v>
      </c>
      <c r="F1688" s="32" t="n">
        <v>9620161161</v>
      </c>
      <c r="G1688" s="32" t="s">
        <v>144</v>
      </c>
      <c r="H1688" s="32" t="s">
        <v>22</v>
      </c>
      <c r="I1688" s="32" t="s">
        <v>133</v>
      </c>
      <c r="J1688" s="32" t="s">
        <v>134</v>
      </c>
      <c r="K1688" s="32" t="s">
        <v>63</v>
      </c>
    </row>
    <row r="1689" customFormat="false" ht="13.5" hidden="false" customHeight="true" outlineLevel="0" collapsed="false">
      <c r="A1689" s="32" t="n">
        <v>3727</v>
      </c>
      <c r="B1689" s="32" t="s">
        <v>1463</v>
      </c>
      <c r="C1689" s="32" t="s">
        <v>1464</v>
      </c>
      <c r="D1689" s="32" t="s">
        <v>114</v>
      </c>
      <c r="E1689" s="32" t="s">
        <v>115</v>
      </c>
      <c r="F1689" s="32" t="n">
        <v>9620161161</v>
      </c>
      <c r="G1689" s="32" t="s">
        <v>144</v>
      </c>
      <c r="H1689" s="32" t="s">
        <v>22</v>
      </c>
      <c r="I1689" s="32" t="s">
        <v>126</v>
      </c>
      <c r="J1689" s="32" t="s">
        <v>85</v>
      </c>
      <c r="K1689" s="32" t="s">
        <v>63</v>
      </c>
    </row>
    <row r="1690" customFormat="false" ht="13.5" hidden="false" customHeight="true" outlineLevel="0" collapsed="false">
      <c r="A1690" s="32" t="n">
        <v>3728</v>
      </c>
      <c r="B1690" s="32" t="s">
        <v>1465</v>
      </c>
      <c r="C1690" s="32" t="s">
        <v>1466</v>
      </c>
      <c r="D1690" s="32" t="s">
        <v>59</v>
      </c>
      <c r="E1690" s="32" t="s">
        <v>60</v>
      </c>
      <c r="F1690" s="33" t="n">
        <v>919533000000</v>
      </c>
      <c r="G1690" s="32" t="s">
        <v>80</v>
      </c>
      <c r="H1690" s="32" t="s">
        <v>21</v>
      </c>
      <c r="I1690" s="32" t="s">
        <v>234</v>
      </c>
      <c r="J1690" s="32" t="s">
        <v>235</v>
      </c>
      <c r="K1690" s="32" t="s">
        <v>63</v>
      </c>
    </row>
    <row r="1691" customFormat="false" ht="13.5" hidden="false" customHeight="true" outlineLevel="0" collapsed="false">
      <c r="A1691" s="32" t="n">
        <v>3729</v>
      </c>
      <c r="B1691" s="32" t="s">
        <v>1465</v>
      </c>
      <c r="C1691" s="32" t="s">
        <v>1466</v>
      </c>
      <c r="D1691" s="32" t="s">
        <v>59</v>
      </c>
      <c r="E1691" s="32" t="s">
        <v>60</v>
      </c>
      <c r="F1691" s="32" t="n">
        <v>9533058007</v>
      </c>
      <c r="G1691" s="32" t="s">
        <v>80</v>
      </c>
      <c r="H1691" s="32" t="s">
        <v>21</v>
      </c>
      <c r="I1691" s="32" t="s">
        <v>333</v>
      </c>
      <c r="J1691" s="32" t="s">
        <v>235</v>
      </c>
      <c r="K1691" s="32" t="s">
        <v>63</v>
      </c>
    </row>
    <row r="1692" customFormat="false" ht="13.5" hidden="false" customHeight="true" outlineLevel="0" collapsed="false">
      <c r="A1692" s="32" t="n">
        <v>3730</v>
      </c>
      <c r="B1692" s="32" t="s">
        <v>1467</v>
      </c>
      <c r="C1692" s="32" t="s">
        <v>1468</v>
      </c>
      <c r="D1692" s="32" t="s">
        <v>59</v>
      </c>
      <c r="E1692" s="32" t="s">
        <v>79</v>
      </c>
      <c r="F1692" s="32" t="n">
        <v>7760868321</v>
      </c>
      <c r="G1692" s="32" t="s">
        <v>61</v>
      </c>
      <c r="H1692" s="32" t="s">
        <v>21</v>
      </c>
      <c r="I1692" s="32" t="s">
        <v>151</v>
      </c>
      <c r="J1692" s="32" t="s">
        <v>152</v>
      </c>
      <c r="K1692" s="32" t="s">
        <v>63</v>
      </c>
    </row>
    <row r="1693" customFormat="false" ht="13.5" hidden="false" customHeight="true" outlineLevel="0" collapsed="false">
      <c r="A1693" s="32" t="n">
        <v>3731</v>
      </c>
      <c r="B1693" s="32" t="s">
        <v>1467</v>
      </c>
      <c r="C1693" s="32" t="s">
        <v>1468</v>
      </c>
      <c r="D1693" s="32" t="s">
        <v>59</v>
      </c>
      <c r="E1693" s="32" t="s">
        <v>79</v>
      </c>
      <c r="F1693" s="32" t="n">
        <v>7760868321</v>
      </c>
      <c r="G1693" s="32" t="s">
        <v>61</v>
      </c>
      <c r="H1693" s="32" t="s">
        <v>21</v>
      </c>
      <c r="I1693" s="32" t="s">
        <v>251</v>
      </c>
      <c r="J1693" s="32" t="s">
        <v>152</v>
      </c>
      <c r="K1693" s="32" t="s">
        <v>63</v>
      </c>
    </row>
    <row r="1694" customFormat="false" ht="13.5" hidden="false" customHeight="true" outlineLevel="0" collapsed="false">
      <c r="A1694" s="32" t="n">
        <v>3732</v>
      </c>
      <c r="B1694" s="32" t="s">
        <v>1467</v>
      </c>
      <c r="C1694" s="32" t="s">
        <v>1468</v>
      </c>
      <c r="D1694" s="32" t="s">
        <v>59</v>
      </c>
      <c r="E1694" s="32" t="s">
        <v>79</v>
      </c>
      <c r="F1694" s="32" t="n">
        <v>7760868321</v>
      </c>
      <c r="G1694" s="32" t="s">
        <v>61</v>
      </c>
      <c r="H1694" s="32" t="s">
        <v>21</v>
      </c>
      <c r="I1694" s="32" t="s">
        <v>172</v>
      </c>
      <c r="J1694" s="32" t="s">
        <v>152</v>
      </c>
      <c r="K1694" s="32" t="s">
        <v>63</v>
      </c>
    </row>
    <row r="1695" customFormat="false" ht="13.5" hidden="false" customHeight="true" outlineLevel="0" collapsed="false">
      <c r="A1695" s="32" t="n">
        <v>3733</v>
      </c>
      <c r="B1695" s="32" t="s">
        <v>1469</v>
      </c>
      <c r="C1695" s="32" t="s">
        <v>1470</v>
      </c>
      <c r="D1695" s="32" t="s">
        <v>59</v>
      </c>
      <c r="E1695" s="32" t="s">
        <v>107</v>
      </c>
      <c r="F1695" s="32" t="n">
        <v>9880306569</v>
      </c>
      <c r="G1695" s="32" t="s">
        <v>61</v>
      </c>
      <c r="H1695" s="32" t="s">
        <v>21</v>
      </c>
      <c r="I1695" s="32" t="s">
        <v>95</v>
      </c>
      <c r="J1695" s="32" t="s">
        <v>96</v>
      </c>
      <c r="K1695" s="32" t="s">
        <v>63</v>
      </c>
    </row>
    <row r="1696" customFormat="false" ht="13.5" hidden="false" customHeight="true" outlineLevel="0" collapsed="false">
      <c r="A1696" s="32" t="n">
        <v>3734</v>
      </c>
      <c r="B1696" s="32" t="s">
        <v>1469</v>
      </c>
      <c r="C1696" s="32" t="s">
        <v>1470</v>
      </c>
      <c r="D1696" s="32" t="s">
        <v>59</v>
      </c>
      <c r="E1696" s="32" t="s">
        <v>107</v>
      </c>
      <c r="F1696" s="32" t="n">
        <v>9880306569</v>
      </c>
      <c r="G1696" s="32" t="s">
        <v>61</v>
      </c>
      <c r="H1696" s="32" t="s">
        <v>21</v>
      </c>
      <c r="I1696" s="32" t="s">
        <v>1471</v>
      </c>
      <c r="J1696" s="32" t="s">
        <v>117</v>
      </c>
      <c r="K1696" s="32" t="s">
        <v>63</v>
      </c>
    </row>
    <row r="1697" customFormat="false" ht="13.5" hidden="false" customHeight="true" outlineLevel="0" collapsed="false">
      <c r="A1697" s="32" t="n">
        <v>3735</v>
      </c>
      <c r="B1697" s="32" t="s">
        <v>1469</v>
      </c>
      <c r="C1697" s="32" t="s">
        <v>1470</v>
      </c>
      <c r="D1697" s="32" t="s">
        <v>59</v>
      </c>
      <c r="E1697" s="32" t="s">
        <v>107</v>
      </c>
      <c r="F1697" s="32" t="n">
        <v>9880306569</v>
      </c>
      <c r="G1697" s="32" t="s">
        <v>61</v>
      </c>
      <c r="H1697" s="32" t="s">
        <v>21</v>
      </c>
      <c r="I1697" s="32" t="s">
        <v>98</v>
      </c>
      <c r="J1697" s="32" t="s">
        <v>99</v>
      </c>
      <c r="K1697" s="32" t="s">
        <v>63</v>
      </c>
    </row>
    <row r="1698" customFormat="false" ht="13.5" hidden="false" customHeight="true" outlineLevel="0" collapsed="false">
      <c r="A1698" s="32" t="n">
        <v>3736</v>
      </c>
      <c r="B1698" s="32" t="s">
        <v>1472</v>
      </c>
      <c r="C1698" s="32" t="s">
        <v>1473</v>
      </c>
      <c r="D1698" s="32" t="s">
        <v>59</v>
      </c>
      <c r="E1698" s="32" t="s">
        <v>107</v>
      </c>
      <c r="F1698" s="33" t="n">
        <v>917383000000</v>
      </c>
      <c r="G1698" s="32" t="s">
        <v>80</v>
      </c>
      <c r="H1698" s="32" t="s">
        <v>21</v>
      </c>
      <c r="I1698" s="32" t="s">
        <v>85</v>
      </c>
      <c r="J1698" s="32" t="s">
        <v>85</v>
      </c>
      <c r="K1698" s="32" t="s">
        <v>63</v>
      </c>
    </row>
    <row r="1699" customFormat="false" ht="13.5" hidden="false" customHeight="true" outlineLevel="0" collapsed="false">
      <c r="A1699" s="32" t="n">
        <v>3737</v>
      </c>
      <c r="B1699" s="32" t="s">
        <v>1472</v>
      </c>
      <c r="C1699" s="32" t="s">
        <v>1473</v>
      </c>
      <c r="D1699" s="32" t="s">
        <v>59</v>
      </c>
      <c r="E1699" s="32" t="s">
        <v>107</v>
      </c>
      <c r="F1699" s="33" t="n">
        <v>917383000000</v>
      </c>
      <c r="G1699" s="32" t="s">
        <v>80</v>
      </c>
      <c r="H1699" s="32" t="s">
        <v>21</v>
      </c>
      <c r="I1699" s="32" t="s">
        <v>76</v>
      </c>
      <c r="J1699" s="32" t="s">
        <v>76</v>
      </c>
      <c r="K1699" s="32" t="s">
        <v>63</v>
      </c>
    </row>
    <row r="1700" customFormat="false" ht="13.5" hidden="false" customHeight="true" outlineLevel="0" collapsed="false">
      <c r="A1700" s="32" t="n">
        <v>3739</v>
      </c>
      <c r="B1700" s="32" t="s">
        <v>1472</v>
      </c>
      <c r="C1700" s="32" t="s">
        <v>1473</v>
      </c>
      <c r="D1700" s="32" t="s">
        <v>59</v>
      </c>
      <c r="E1700" s="32" t="s">
        <v>107</v>
      </c>
      <c r="F1700" s="33" t="n">
        <v>917383000000</v>
      </c>
      <c r="G1700" s="32" t="s">
        <v>80</v>
      </c>
      <c r="H1700" s="32" t="s">
        <v>21</v>
      </c>
      <c r="I1700" s="32" t="s">
        <v>121</v>
      </c>
      <c r="J1700" s="32" t="s">
        <v>110</v>
      </c>
      <c r="K1700" s="32" t="s">
        <v>63</v>
      </c>
    </row>
    <row r="1701" customFormat="false" ht="13.5" hidden="false" customHeight="true" outlineLevel="0" collapsed="false">
      <c r="A1701" s="32" t="n">
        <v>3740</v>
      </c>
      <c r="B1701" s="32" t="s">
        <v>1472</v>
      </c>
      <c r="C1701" s="32" t="s">
        <v>1473</v>
      </c>
      <c r="D1701" s="32" t="s">
        <v>59</v>
      </c>
      <c r="E1701" s="32" t="s">
        <v>107</v>
      </c>
      <c r="F1701" s="33" t="n">
        <v>917383000000</v>
      </c>
      <c r="G1701" s="32" t="s">
        <v>80</v>
      </c>
      <c r="H1701" s="32" t="s">
        <v>21</v>
      </c>
      <c r="I1701" s="32" t="s">
        <v>133</v>
      </c>
      <c r="J1701" s="32" t="s">
        <v>134</v>
      </c>
      <c r="K1701" s="32" t="s">
        <v>63</v>
      </c>
    </row>
    <row r="1702" customFormat="false" ht="13.5" hidden="false" customHeight="true" outlineLevel="0" collapsed="false">
      <c r="A1702" s="32" t="n">
        <v>3741</v>
      </c>
      <c r="B1702" s="32" t="s">
        <v>1474</v>
      </c>
      <c r="C1702" s="32" t="s">
        <v>1475</v>
      </c>
      <c r="D1702" s="32" t="s">
        <v>59</v>
      </c>
      <c r="E1702" s="32" t="s">
        <v>143</v>
      </c>
      <c r="F1702" s="32" t="n">
        <v>0</v>
      </c>
      <c r="G1702" s="32" t="s">
        <v>80</v>
      </c>
      <c r="H1702" s="32" t="s">
        <v>21</v>
      </c>
      <c r="I1702" s="32" t="s">
        <v>108</v>
      </c>
      <c r="J1702" s="32" t="s">
        <v>71</v>
      </c>
      <c r="K1702" s="32" t="s">
        <v>63</v>
      </c>
    </row>
    <row r="1703" customFormat="false" ht="13.5" hidden="false" customHeight="true" outlineLevel="0" collapsed="false">
      <c r="A1703" s="32" t="n">
        <v>3742</v>
      </c>
      <c r="B1703" s="32" t="s">
        <v>1474</v>
      </c>
      <c r="C1703" s="32" t="s">
        <v>1475</v>
      </c>
      <c r="D1703" s="32" t="s">
        <v>59</v>
      </c>
      <c r="E1703" s="32" t="s">
        <v>143</v>
      </c>
      <c r="F1703" s="32" t="n">
        <v>0</v>
      </c>
      <c r="G1703" s="32" t="s">
        <v>80</v>
      </c>
      <c r="H1703" s="32" t="s">
        <v>21</v>
      </c>
      <c r="I1703" s="32" t="s">
        <v>27</v>
      </c>
      <c r="J1703" s="32" t="s">
        <v>13</v>
      </c>
      <c r="K1703" s="32" t="s">
        <v>63</v>
      </c>
    </row>
    <row r="1704" customFormat="false" ht="13.5" hidden="false" customHeight="true" outlineLevel="0" collapsed="false">
      <c r="A1704" s="32" t="n">
        <v>3744</v>
      </c>
      <c r="B1704" s="32" t="s">
        <v>1474</v>
      </c>
      <c r="C1704" s="32" t="s">
        <v>1475</v>
      </c>
      <c r="D1704" s="32" t="s">
        <v>59</v>
      </c>
      <c r="E1704" s="32" t="s">
        <v>143</v>
      </c>
      <c r="F1704" s="32" t="n">
        <v>0</v>
      </c>
      <c r="G1704" s="32" t="s">
        <v>80</v>
      </c>
      <c r="H1704" s="32" t="s">
        <v>21</v>
      </c>
      <c r="I1704" s="32" t="s">
        <v>30</v>
      </c>
      <c r="J1704" s="32" t="s">
        <v>203</v>
      </c>
      <c r="K1704" s="32" t="s">
        <v>63</v>
      </c>
    </row>
    <row r="1705" customFormat="false" ht="13.5" hidden="false" customHeight="true" outlineLevel="0" collapsed="false">
      <c r="A1705" s="32" t="n">
        <v>3745</v>
      </c>
      <c r="B1705" s="32" t="s">
        <v>1474</v>
      </c>
      <c r="C1705" s="32" t="s">
        <v>1475</v>
      </c>
      <c r="D1705" s="32" t="s">
        <v>59</v>
      </c>
      <c r="E1705" s="32" t="s">
        <v>143</v>
      </c>
      <c r="F1705" s="32" t="n">
        <v>0</v>
      </c>
      <c r="G1705" s="32" t="s">
        <v>80</v>
      </c>
      <c r="H1705" s="32" t="s">
        <v>21</v>
      </c>
      <c r="I1705" s="32" t="s">
        <v>280</v>
      </c>
      <c r="J1705" s="32" t="s">
        <v>76</v>
      </c>
      <c r="K1705" s="32" t="s">
        <v>63</v>
      </c>
    </row>
    <row r="1706" customFormat="false" ht="13.5" hidden="false" customHeight="true" outlineLevel="0" collapsed="false">
      <c r="A1706" s="32" t="n">
        <v>3746</v>
      </c>
      <c r="B1706" s="32" t="s">
        <v>1476</v>
      </c>
      <c r="C1706" s="32" t="s">
        <v>1477</v>
      </c>
      <c r="D1706" s="32" t="s">
        <v>59</v>
      </c>
      <c r="E1706" s="32" t="s">
        <v>60</v>
      </c>
      <c r="F1706" s="32" t="n">
        <v>9849177551</v>
      </c>
      <c r="G1706" s="32" t="s">
        <v>80</v>
      </c>
      <c r="H1706" s="32" t="s">
        <v>21</v>
      </c>
      <c r="I1706" s="32" t="s">
        <v>345</v>
      </c>
      <c r="J1706" s="32" t="s">
        <v>290</v>
      </c>
      <c r="K1706" s="32" t="s">
        <v>63</v>
      </c>
    </row>
    <row r="1707" customFormat="false" ht="13.5" hidden="false" customHeight="true" outlineLevel="0" collapsed="false">
      <c r="A1707" s="32" t="n">
        <v>3747</v>
      </c>
      <c r="B1707" s="32" t="s">
        <v>1476</v>
      </c>
      <c r="C1707" s="32" t="s">
        <v>1478</v>
      </c>
      <c r="D1707" s="32" t="s">
        <v>59</v>
      </c>
      <c r="E1707" s="32" t="s">
        <v>60</v>
      </c>
      <c r="F1707" s="32" t="n">
        <v>9849177551</v>
      </c>
      <c r="G1707" s="32" t="s">
        <v>80</v>
      </c>
      <c r="H1707" s="32" t="s">
        <v>21</v>
      </c>
      <c r="I1707" s="32" t="s">
        <v>75</v>
      </c>
      <c r="J1707" s="32" t="s">
        <v>76</v>
      </c>
      <c r="K1707" s="32" t="s">
        <v>63</v>
      </c>
    </row>
    <row r="1708" customFormat="false" ht="13.5" hidden="false" customHeight="true" outlineLevel="0" collapsed="false">
      <c r="A1708" s="32" t="n">
        <v>3748</v>
      </c>
      <c r="B1708" s="32" t="s">
        <v>1476</v>
      </c>
      <c r="C1708" s="32" t="s">
        <v>1478</v>
      </c>
      <c r="D1708" s="32" t="s">
        <v>59</v>
      </c>
      <c r="E1708" s="32" t="s">
        <v>60</v>
      </c>
      <c r="F1708" s="32" t="n">
        <v>9849177551</v>
      </c>
      <c r="G1708" s="32" t="s">
        <v>80</v>
      </c>
      <c r="H1708" s="32" t="s">
        <v>21</v>
      </c>
      <c r="I1708" s="32" t="s">
        <v>387</v>
      </c>
      <c r="J1708" s="32" t="s">
        <v>388</v>
      </c>
      <c r="K1708" s="32" t="s">
        <v>63</v>
      </c>
    </row>
    <row r="1709" customFormat="false" ht="13.5" hidden="false" customHeight="true" outlineLevel="0" collapsed="false">
      <c r="A1709" s="32" t="n">
        <v>3756</v>
      </c>
      <c r="B1709" s="32" t="s">
        <v>1476</v>
      </c>
      <c r="C1709" s="32" t="s">
        <v>1478</v>
      </c>
      <c r="D1709" s="32" t="s">
        <v>59</v>
      </c>
      <c r="E1709" s="32" t="s">
        <v>60</v>
      </c>
      <c r="F1709" s="32" t="n">
        <v>9849177551</v>
      </c>
      <c r="G1709" s="32" t="s">
        <v>80</v>
      </c>
      <c r="H1709" s="32" t="s">
        <v>21</v>
      </c>
      <c r="I1709" s="32" t="s">
        <v>1479</v>
      </c>
      <c r="J1709" s="32" t="s">
        <v>388</v>
      </c>
      <c r="K1709" s="32" t="s">
        <v>63</v>
      </c>
    </row>
    <row r="1710" customFormat="false" ht="13.5" hidden="false" customHeight="true" outlineLevel="0" collapsed="false">
      <c r="A1710" s="32" t="n">
        <v>3757</v>
      </c>
      <c r="B1710" s="32" t="s">
        <v>1480</v>
      </c>
      <c r="C1710" s="32" t="s">
        <v>1481</v>
      </c>
      <c r="D1710" s="32" t="s">
        <v>59</v>
      </c>
      <c r="E1710" s="32" t="s">
        <v>143</v>
      </c>
      <c r="F1710" s="33" t="n">
        <v>918095000000</v>
      </c>
      <c r="G1710" s="32" t="s">
        <v>61</v>
      </c>
      <c r="H1710" s="32" t="s">
        <v>21</v>
      </c>
      <c r="I1710" s="32" t="s">
        <v>27</v>
      </c>
      <c r="J1710" s="32" t="s">
        <v>13</v>
      </c>
      <c r="K1710" s="32" t="s">
        <v>63</v>
      </c>
    </row>
    <row r="1711" customFormat="false" ht="13.5" hidden="false" customHeight="true" outlineLevel="0" collapsed="false">
      <c r="A1711" s="32" t="n">
        <v>3758</v>
      </c>
      <c r="B1711" s="32" t="s">
        <v>1480</v>
      </c>
      <c r="C1711" s="32" t="s">
        <v>1481</v>
      </c>
      <c r="D1711" s="32" t="s">
        <v>59</v>
      </c>
      <c r="E1711" s="32" t="s">
        <v>143</v>
      </c>
      <c r="F1711" s="32" t="n">
        <v>8095143484</v>
      </c>
      <c r="G1711" s="32" t="s">
        <v>61</v>
      </c>
      <c r="H1711" s="32" t="s">
        <v>21</v>
      </c>
      <c r="I1711" s="32" t="s">
        <v>217</v>
      </c>
      <c r="J1711" s="32" t="s">
        <v>132</v>
      </c>
      <c r="K1711" s="32" t="s">
        <v>63</v>
      </c>
    </row>
    <row r="1712" customFormat="false" ht="13.5" hidden="false" customHeight="true" outlineLevel="0" collapsed="false">
      <c r="A1712" s="32" t="n">
        <v>3759</v>
      </c>
      <c r="B1712" s="32" t="s">
        <v>1482</v>
      </c>
      <c r="C1712" s="32" t="s">
        <v>1483</v>
      </c>
      <c r="D1712" s="32" t="s">
        <v>59</v>
      </c>
      <c r="E1712" s="32" t="s">
        <v>107</v>
      </c>
      <c r="F1712" s="32" t="n">
        <v>9840013893</v>
      </c>
      <c r="G1712" s="32" t="s">
        <v>0</v>
      </c>
      <c r="H1712" s="32" t="s">
        <v>21</v>
      </c>
      <c r="I1712" s="32" t="s">
        <v>145</v>
      </c>
      <c r="J1712" s="32" t="s">
        <v>117</v>
      </c>
      <c r="K1712" s="32" t="s">
        <v>63</v>
      </c>
    </row>
    <row r="1713" customFormat="false" ht="13.5" hidden="false" customHeight="true" outlineLevel="0" collapsed="false">
      <c r="A1713" s="32" t="n">
        <v>3760</v>
      </c>
      <c r="B1713" s="32" t="s">
        <v>1484</v>
      </c>
      <c r="C1713" s="32" t="s">
        <v>1485</v>
      </c>
      <c r="D1713" s="32" t="s">
        <v>114</v>
      </c>
      <c r="E1713" s="32" t="s">
        <v>115</v>
      </c>
      <c r="F1713" s="32" t="n">
        <v>7893000365</v>
      </c>
      <c r="G1713" s="32" t="s">
        <v>80</v>
      </c>
      <c r="H1713" s="32" t="s">
        <v>22</v>
      </c>
      <c r="I1713" s="32" t="s">
        <v>109</v>
      </c>
      <c r="J1713" s="32" t="s">
        <v>110</v>
      </c>
      <c r="K1713" s="32" t="s">
        <v>63</v>
      </c>
    </row>
    <row r="1714" customFormat="false" ht="13.5" hidden="false" customHeight="true" outlineLevel="0" collapsed="false">
      <c r="A1714" s="32" t="n">
        <v>3761</v>
      </c>
      <c r="B1714" s="32" t="s">
        <v>1484</v>
      </c>
      <c r="C1714" s="32" t="s">
        <v>1485</v>
      </c>
      <c r="D1714" s="32" t="s">
        <v>114</v>
      </c>
      <c r="E1714" s="32" t="s">
        <v>115</v>
      </c>
      <c r="F1714" s="32" t="n">
        <v>7893000365</v>
      </c>
      <c r="G1714" s="32" t="s">
        <v>80</v>
      </c>
      <c r="H1714" s="32" t="s">
        <v>22</v>
      </c>
      <c r="I1714" s="32" t="s">
        <v>145</v>
      </c>
      <c r="J1714" s="32" t="s">
        <v>117</v>
      </c>
      <c r="K1714" s="32" t="s">
        <v>63</v>
      </c>
    </row>
    <row r="1715" customFormat="false" ht="13.5" hidden="false" customHeight="true" outlineLevel="0" collapsed="false">
      <c r="A1715" s="32" t="n">
        <v>3762</v>
      </c>
      <c r="B1715" s="32" t="s">
        <v>1486</v>
      </c>
      <c r="C1715" s="32" t="s">
        <v>1487</v>
      </c>
      <c r="D1715" s="32" t="s">
        <v>114</v>
      </c>
      <c r="E1715" s="32" t="s">
        <v>115</v>
      </c>
      <c r="F1715" s="33" t="n">
        <v>918500000000</v>
      </c>
      <c r="G1715" s="32" t="s">
        <v>80</v>
      </c>
      <c r="H1715" s="32" t="s">
        <v>22</v>
      </c>
      <c r="I1715" s="32" t="s">
        <v>95</v>
      </c>
      <c r="J1715" s="32" t="s">
        <v>96</v>
      </c>
      <c r="K1715" s="32" t="s">
        <v>63</v>
      </c>
    </row>
    <row r="1716" customFormat="false" ht="13.5" hidden="false" customHeight="true" outlineLevel="0" collapsed="false">
      <c r="A1716" s="32" t="n">
        <v>3763</v>
      </c>
      <c r="B1716" s="32" t="s">
        <v>1486</v>
      </c>
      <c r="C1716" s="32" t="s">
        <v>1487</v>
      </c>
      <c r="D1716" s="32" t="s">
        <v>114</v>
      </c>
      <c r="E1716" s="32" t="s">
        <v>115</v>
      </c>
      <c r="F1716" s="33" t="n">
        <v>918500000000</v>
      </c>
      <c r="G1716" s="32" t="s">
        <v>80</v>
      </c>
      <c r="H1716" s="32" t="s">
        <v>22</v>
      </c>
      <c r="I1716" s="32" t="s">
        <v>29</v>
      </c>
      <c r="J1716" s="32" t="s">
        <v>62</v>
      </c>
      <c r="K1716" s="32" t="s">
        <v>63</v>
      </c>
    </row>
    <row r="1717" customFormat="false" ht="13.5" hidden="false" customHeight="true" outlineLevel="0" collapsed="false">
      <c r="A1717" s="32" t="n">
        <v>3764</v>
      </c>
      <c r="B1717" s="32" t="s">
        <v>1486</v>
      </c>
      <c r="C1717" s="32" t="s">
        <v>1487</v>
      </c>
      <c r="D1717" s="32" t="s">
        <v>114</v>
      </c>
      <c r="E1717" s="32" t="s">
        <v>115</v>
      </c>
      <c r="F1717" s="33" t="n">
        <v>918500000000</v>
      </c>
      <c r="G1717" s="32" t="s">
        <v>80</v>
      </c>
      <c r="H1717" s="32" t="s">
        <v>22</v>
      </c>
      <c r="I1717" s="32" t="s">
        <v>280</v>
      </c>
      <c r="J1717" s="32" t="s">
        <v>76</v>
      </c>
      <c r="K1717" s="32" t="s">
        <v>63</v>
      </c>
    </row>
    <row r="1718" customFormat="false" ht="13.5" hidden="false" customHeight="true" outlineLevel="0" collapsed="false">
      <c r="A1718" s="32" t="n">
        <v>3765</v>
      </c>
      <c r="B1718" s="32" t="s">
        <v>1488</v>
      </c>
      <c r="C1718" s="32" t="s">
        <v>1489</v>
      </c>
      <c r="D1718" s="32" t="s">
        <v>114</v>
      </c>
      <c r="E1718" s="32" t="s">
        <v>268</v>
      </c>
      <c r="F1718" s="32" t="n">
        <v>8897291316</v>
      </c>
      <c r="G1718" s="32" t="s">
        <v>80</v>
      </c>
      <c r="H1718" s="32" t="s">
        <v>22</v>
      </c>
      <c r="I1718" s="32" t="s">
        <v>387</v>
      </c>
      <c r="J1718" s="32" t="s">
        <v>388</v>
      </c>
      <c r="K1718" s="32" t="s">
        <v>63</v>
      </c>
    </row>
    <row r="1719" customFormat="false" ht="13.5" hidden="false" customHeight="true" outlineLevel="0" collapsed="false">
      <c r="A1719" s="32" t="n">
        <v>3766</v>
      </c>
      <c r="B1719" s="32" t="s">
        <v>1488</v>
      </c>
      <c r="C1719" s="32" t="s">
        <v>1490</v>
      </c>
      <c r="D1719" s="32" t="s">
        <v>114</v>
      </c>
      <c r="E1719" s="32" t="s">
        <v>268</v>
      </c>
      <c r="F1719" s="32" t="n">
        <v>8897291316</v>
      </c>
      <c r="G1719" s="32" t="s">
        <v>80</v>
      </c>
      <c r="H1719" s="32" t="s">
        <v>22</v>
      </c>
      <c r="I1719" s="32" t="s">
        <v>350</v>
      </c>
      <c r="J1719" s="32" t="s">
        <v>235</v>
      </c>
      <c r="K1719" s="32" t="s">
        <v>63</v>
      </c>
    </row>
    <row r="1720" customFormat="false" ht="13.5" hidden="false" customHeight="true" outlineLevel="0" collapsed="false">
      <c r="A1720" s="32" t="n">
        <v>3767</v>
      </c>
      <c r="B1720" s="32" t="s">
        <v>1488</v>
      </c>
      <c r="C1720" s="32" t="s">
        <v>1490</v>
      </c>
      <c r="D1720" s="32" t="s">
        <v>114</v>
      </c>
      <c r="E1720" s="32" t="s">
        <v>268</v>
      </c>
      <c r="F1720" s="32" t="n">
        <v>8897291316</v>
      </c>
      <c r="G1720" s="32" t="s">
        <v>80</v>
      </c>
      <c r="H1720" s="32" t="s">
        <v>22</v>
      </c>
      <c r="I1720" s="32" t="s">
        <v>669</v>
      </c>
      <c r="J1720" s="32" t="s">
        <v>388</v>
      </c>
      <c r="K1720" s="32" t="s">
        <v>63</v>
      </c>
    </row>
    <row r="1721" customFormat="false" ht="13.5" hidden="false" customHeight="true" outlineLevel="0" collapsed="false">
      <c r="A1721" s="32" t="n">
        <v>3768</v>
      </c>
      <c r="B1721" s="32" t="s">
        <v>1488</v>
      </c>
      <c r="C1721" s="32" t="s">
        <v>1490</v>
      </c>
      <c r="D1721" s="32" t="s">
        <v>114</v>
      </c>
      <c r="E1721" s="32" t="s">
        <v>268</v>
      </c>
      <c r="F1721" s="32" t="n">
        <v>8897291316</v>
      </c>
      <c r="G1721" s="32" t="s">
        <v>80</v>
      </c>
      <c r="H1721" s="32" t="s">
        <v>22</v>
      </c>
      <c r="I1721" s="32" t="s">
        <v>333</v>
      </c>
      <c r="J1721" s="32" t="s">
        <v>235</v>
      </c>
      <c r="K1721" s="32" t="s">
        <v>63</v>
      </c>
    </row>
    <row r="1722" customFormat="false" ht="13.5" hidden="false" customHeight="true" outlineLevel="0" collapsed="false">
      <c r="A1722" s="32" t="n">
        <v>3769</v>
      </c>
      <c r="B1722" s="32" t="s">
        <v>1491</v>
      </c>
      <c r="C1722" s="32" t="s">
        <v>1492</v>
      </c>
      <c r="D1722" s="32" t="s">
        <v>114</v>
      </c>
      <c r="E1722" s="32" t="s">
        <v>115</v>
      </c>
      <c r="F1722" s="32" t="n">
        <v>0</v>
      </c>
      <c r="G1722" s="32" t="s">
        <v>104</v>
      </c>
      <c r="H1722" s="32" t="s">
        <v>22</v>
      </c>
      <c r="I1722" s="32" t="s">
        <v>387</v>
      </c>
      <c r="J1722" s="32" t="s">
        <v>388</v>
      </c>
      <c r="K1722" s="32" t="s">
        <v>63</v>
      </c>
    </row>
    <row r="1723" customFormat="false" ht="13.5" hidden="false" customHeight="true" outlineLevel="0" collapsed="false">
      <c r="A1723" s="32" t="n">
        <v>3770</v>
      </c>
      <c r="B1723" s="32" t="s">
        <v>1493</v>
      </c>
      <c r="C1723" s="32" t="s">
        <v>1494</v>
      </c>
      <c r="D1723" s="32" t="s">
        <v>59</v>
      </c>
      <c r="E1723" s="32" t="s">
        <v>60</v>
      </c>
      <c r="F1723" s="33" t="n">
        <v>917973000000</v>
      </c>
      <c r="G1723" s="32" t="s">
        <v>69</v>
      </c>
      <c r="H1723" s="32" t="s">
        <v>21</v>
      </c>
      <c r="I1723" s="32" t="s">
        <v>991</v>
      </c>
      <c r="J1723" s="32" t="s">
        <v>505</v>
      </c>
      <c r="K1723" s="32" t="s">
        <v>63</v>
      </c>
    </row>
    <row r="1724" customFormat="false" ht="13.5" hidden="false" customHeight="true" outlineLevel="0" collapsed="false">
      <c r="A1724" s="32" t="n">
        <v>3771</v>
      </c>
      <c r="B1724" s="32" t="s">
        <v>1493</v>
      </c>
      <c r="C1724" s="32" t="s">
        <v>1495</v>
      </c>
      <c r="D1724" s="32" t="s">
        <v>59</v>
      </c>
      <c r="E1724" s="32" t="s">
        <v>60</v>
      </c>
      <c r="F1724" s="33" t="n">
        <v>917973000000</v>
      </c>
      <c r="G1724" s="32" t="s">
        <v>61</v>
      </c>
      <c r="H1724" s="32" t="s">
        <v>21</v>
      </c>
      <c r="I1724" s="32" t="s">
        <v>991</v>
      </c>
      <c r="J1724" s="32" t="s">
        <v>505</v>
      </c>
      <c r="K1724" s="32" t="s">
        <v>63</v>
      </c>
    </row>
    <row r="1725" customFormat="false" ht="13.5" hidden="false" customHeight="true" outlineLevel="0" collapsed="false">
      <c r="A1725" s="32" t="n">
        <v>3772</v>
      </c>
      <c r="B1725" s="32" t="s">
        <v>1493</v>
      </c>
      <c r="C1725" s="32" t="s">
        <v>1495</v>
      </c>
      <c r="D1725" s="32" t="s">
        <v>59</v>
      </c>
      <c r="E1725" s="32" t="s">
        <v>60</v>
      </c>
      <c r="F1725" s="33" t="n">
        <v>917973000000</v>
      </c>
      <c r="G1725" s="32" t="s">
        <v>61</v>
      </c>
      <c r="H1725" s="32" t="s">
        <v>21</v>
      </c>
      <c r="I1725" s="32" t="s">
        <v>333</v>
      </c>
      <c r="J1725" s="32" t="s">
        <v>235</v>
      </c>
      <c r="K1725" s="32" t="s">
        <v>63</v>
      </c>
    </row>
    <row r="1726" customFormat="false" ht="13.5" hidden="false" customHeight="true" outlineLevel="0" collapsed="false">
      <c r="A1726" s="32" t="n">
        <v>3773</v>
      </c>
      <c r="B1726" s="32" t="s">
        <v>1493</v>
      </c>
      <c r="C1726" s="32" t="s">
        <v>1495</v>
      </c>
      <c r="D1726" s="32" t="s">
        <v>59</v>
      </c>
      <c r="E1726" s="32" t="s">
        <v>60</v>
      </c>
      <c r="F1726" s="33" t="n">
        <v>917973000000</v>
      </c>
      <c r="G1726" s="32" t="s">
        <v>61</v>
      </c>
      <c r="H1726" s="32" t="s">
        <v>21</v>
      </c>
      <c r="I1726" s="32" t="s">
        <v>333</v>
      </c>
      <c r="J1726" s="32" t="s">
        <v>235</v>
      </c>
      <c r="K1726" s="32" t="s">
        <v>63</v>
      </c>
    </row>
    <row r="1727" customFormat="false" ht="13.5" hidden="false" customHeight="true" outlineLevel="0" collapsed="false">
      <c r="A1727" s="32" t="n">
        <v>3774</v>
      </c>
      <c r="B1727" s="32" t="s">
        <v>1496</v>
      </c>
      <c r="C1727" s="32" t="s">
        <v>1497</v>
      </c>
      <c r="D1727" s="32" t="s">
        <v>102</v>
      </c>
      <c r="E1727" s="32" t="n">
        <v>0</v>
      </c>
      <c r="F1727" s="32" t="n">
        <v>7233052801</v>
      </c>
      <c r="G1727" s="32" t="s">
        <v>205</v>
      </c>
      <c r="H1727" s="32" t="s">
        <v>21</v>
      </c>
      <c r="I1727" s="32" t="s">
        <v>416</v>
      </c>
      <c r="J1727" s="32" t="s">
        <v>82</v>
      </c>
      <c r="K1727" s="32" t="s">
        <v>63</v>
      </c>
    </row>
    <row r="1728" customFormat="false" ht="13.5" hidden="false" customHeight="true" outlineLevel="0" collapsed="false">
      <c r="A1728" s="32" t="n">
        <v>3775</v>
      </c>
      <c r="B1728" s="32" t="s">
        <v>1496</v>
      </c>
      <c r="C1728" s="32" t="s">
        <v>1497</v>
      </c>
      <c r="D1728" s="32" t="s">
        <v>102</v>
      </c>
      <c r="E1728" s="32" t="n">
        <v>0</v>
      </c>
      <c r="F1728" s="32" t="n">
        <v>7233052801</v>
      </c>
      <c r="G1728" s="32" t="s">
        <v>205</v>
      </c>
      <c r="H1728" s="32" t="s">
        <v>21</v>
      </c>
      <c r="I1728" s="32" t="s">
        <v>28</v>
      </c>
      <c r="J1728" s="32" t="s">
        <v>82</v>
      </c>
      <c r="K1728" s="32" t="s">
        <v>63</v>
      </c>
    </row>
    <row r="1729" customFormat="false" ht="13.5" hidden="false" customHeight="true" outlineLevel="0" collapsed="false">
      <c r="A1729" s="32" t="n">
        <v>3776</v>
      </c>
      <c r="B1729" s="32" t="s">
        <v>1498</v>
      </c>
      <c r="C1729" s="32" t="s">
        <v>1499</v>
      </c>
      <c r="D1729" s="32" t="s">
        <v>59</v>
      </c>
      <c r="E1729" s="32" t="s">
        <v>107</v>
      </c>
      <c r="F1729" s="33" t="n">
        <v>919036000000</v>
      </c>
      <c r="G1729" s="32" t="s">
        <v>61</v>
      </c>
      <c r="H1729" s="32" t="s">
        <v>21</v>
      </c>
      <c r="I1729" s="32" t="s">
        <v>108</v>
      </c>
      <c r="J1729" s="32" t="s">
        <v>71</v>
      </c>
      <c r="K1729" s="32" t="s">
        <v>63</v>
      </c>
    </row>
    <row r="1730" customFormat="false" ht="13.5" hidden="false" customHeight="true" outlineLevel="0" collapsed="false">
      <c r="A1730" s="32" t="n">
        <v>3777</v>
      </c>
      <c r="B1730" s="32" t="s">
        <v>1498</v>
      </c>
      <c r="C1730" s="32" t="s">
        <v>1499</v>
      </c>
      <c r="D1730" s="32" t="s">
        <v>59</v>
      </c>
      <c r="E1730" s="32" t="s">
        <v>107</v>
      </c>
      <c r="F1730" s="32" t="n">
        <v>9035747093</v>
      </c>
      <c r="G1730" s="32" t="s">
        <v>61</v>
      </c>
      <c r="H1730" s="32" t="s">
        <v>21</v>
      </c>
      <c r="I1730" s="32" t="s">
        <v>121</v>
      </c>
      <c r="J1730" s="32" t="s">
        <v>110</v>
      </c>
      <c r="K1730" s="32" t="s">
        <v>63</v>
      </c>
    </row>
    <row r="1731" customFormat="false" ht="13.5" hidden="false" customHeight="true" outlineLevel="0" collapsed="false">
      <c r="A1731" s="32" t="n">
        <v>3778</v>
      </c>
      <c r="B1731" s="32" t="s">
        <v>1498</v>
      </c>
      <c r="C1731" s="32" t="s">
        <v>1499</v>
      </c>
      <c r="D1731" s="32" t="s">
        <v>59</v>
      </c>
      <c r="E1731" s="32" t="s">
        <v>107</v>
      </c>
      <c r="F1731" s="32" t="n">
        <v>9035747093</v>
      </c>
      <c r="G1731" s="32" t="s">
        <v>61</v>
      </c>
      <c r="H1731" s="32" t="s">
        <v>21</v>
      </c>
      <c r="I1731" s="32" t="s">
        <v>145</v>
      </c>
      <c r="J1731" s="32" t="s">
        <v>117</v>
      </c>
      <c r="K1731" s="32" t="s">
        <v>63</v>
      </c>
    </row>
    <row r="1732" customFormat="false" ht="13.5" hidden="false" customHeight="true" outlineLevel="0" collapsed="false">
      <c r="A1732" s="32" t="n">
        <v>3779</v>
      </c>
      <c r="B1732" s="32" t="s">
        <v>1500</v>
      </c>
      <c r="C1732" s="32" t="s">
        <v>1501</v>
      </c>
      <c r="D1732" s="32" t="s">
        <v>114</v>
      </c>
      <c r="E1732" s="32" t="s">
        <v>115</v>
      </c>
      <c r="F1732" s="32" t="n">
        <v>8884756073</v>
      </c>
      <c r="G1732" s="32" t="s">
        <v>69</v>
      </c>
      <c r="H1732" s="32" t="s">
        <v>22</v>
      </c>
      <c r="I1732" s="32" t="s">
        <v>128</v>
      </c>
      <c r="J1732" s="32" t="s">
        <v>89</v>
      </c>
      <c r="K1732" s="32" t="s">
        <v>63</v>
      </c>
    </row>
    <row r="1733" customFormat="false" ht="13.5" hidden="false" customHeight="true" outlineLevel="0" collapsed="false">
      <c r="A1733" s="32" t="n">
        <v>3780</v>
      </c>
      <c r="B1733" s="32" t="s">
        <v>1500</v>
      </c>
      <c r="C1733" s="32" t="s">
        <v>1501</v>
      </c>
      <c r="D1733" s="32" t="s">
        <v>114</v>
      </c>
      <c r="E1733" s="32" t="s">
        <v>115</v>
      </c>
      <c r="F1733" s="32" t="n">
        <v>8884756073</v>
      </c>
      <c r="G1733" s="32" t="s">
        <v>69</v>
      </c>
      <c r="H1733" s="32" t="s">
        <v>22</v>
      </c>
      <c r="I1733" s="32" t="s">
        <v>95</v>
      </c>
      <c r="J1733" s="32" t="s">
        <v>96</v>
      </c>
      <c r="K1733" s="32" t="s">
        <v>63</v>
      </c>
    </row>
    <row r="1734" customFormat="false" ht="13.5" hidden="false" customHeight="true" outlineLevel="0" collapsed="false">
      <c r="A1734" s="32" t="n">
        <v>3781</v>
      </c>
      <c r="B1734" s="32" t="s">
        <v>1500</v>
      </c>
      <c r="C1734" s="32" t="s">
        <v>1501</v>
      </c>
      <c r="D1734" s="32" t="s">
        <v>114</v>
      </c>
      <c r="E1734" s="32" t="s">
        <v>115</v>
      </c>
      <c r="F1734" s="32" t="n">
        <v>8884756073</v>
      </c>
      <c r="G1734" s="32" t="s">
        <v>69</v>
      </c>
      <c r="H1734" s="32" t="s">
        <v>22</v>
      </c>
      <c r="I1734" s="32" t="s">
        <v>28</v>
      </c>
      <c r="J1734" s="32" t="s">
        <v>82</v>
      </c>
      <c r="K1734" s="32" t="s">
        <v>63</v>
      </c>
    </row>
    <row r="1735" customFormat="false" ht="13.5" hidden="false" customHeight="true" outlineLevel="0" collapsed="false">
      <c r="A1735" s="32" t="n">
        <v>3782</v>
      </c>
      <c r="B1735" s="32" t="s">
        <v>1500</v>
      </c>
      <c r="C1735" s="32" t="s">
        <v>1501</v>
      </c>
      <c r="D1735" s="32" t="s">
        <v>114</v>
      </c>
      <c r="E1735" s="32" t="s">
        <v>115</v>
      </c>
      <c r="F1735" s="32" t="n">
        <v>8884756073</v>
      </c>
      <c r="G1735" s="32" t="s">
        <v>69</v>
      </c>
      <c r="H1735" s="32" t="s">
        <v>22</v>
      </c>
      <c r="I1735" s="32" t="s">
        <v>393</v>
      </c>
      <c r="J1735" s="32" t="s">
        <v>73</v>
      </c>
      <c r="K1735" s="32" t="s">
        <v>63</v>
      </c>
    </row>
    <row r="1736" customFormat="false" ht="13.5" hidden="false" customHeight="true" outlineLevel="0" collapsed="false">
      <c r="A1736" s="32" t="n">
        <v>3783</v>
      </c>
      <c r="B1736" s="32" t="s">
        <v>1500</v>
      </c>
      <c r="C1736" s="32" t="s">
        <v>1501</v>
      </c>
      <c r="D1736" s="32" t="s">
        <v>114</v>
      </c>
      <c r="E1736" s="32" t="s">
        <v>115</v>
      </c>
      <c r="F1736" s="32" t="n">
        <v>8884756073</v>
      </c>
      <c r="G1736" s="32" t="s">
        <v>69</v>
      </c>
      <c r="H1736" s="32" t="s">
        <v>22</v>
      </c>
      <c r="I1736" s="32" t="s">
        <v>265</v>
      </c>
      <c r="J1736" s="32" t="s">
        <v>152</v>
      </c>
      <c r="K1736" s="32" t="s">
        <v>63</v>
      </c>
    </row>
    <row r="1737" customFormat="false" ht="13.5" hidden="false" customHeight="true" outlineLevel="0" collapsed="false">
      <c r="A1737" s="32" t="n">
        <v>3784</v>
      </c>
      <c r="B1737" s="32" t="s">
        <v>1502</v>
      </c>
      <c r="C1737" s="32" t="s">
        <v>1503</v>
      </c>
      <c r="D1737" s="32" t="s">
        <v>114</v>
      </c>
      <c r="E1737" s="32" t="s">
        <v>115</v>
      </c>
      <c r="F1737" s="32" t="n">
        <v>9779830505</v>
      </c>
      <c r="G1737" s="32" t="s">
        <v>144</v>
      </c>
      <c r="H1737" s="32" t="s">
        <v>22</v>
      </c>
      <c r="I1737" s="32" t="s">
        <v>30</v>
      </c>
      <c r="J1737" s="32" t="s">
        <v>203</v>
      </c>
      <c r="K1737" s="32" t="s">
        <v>63</v>
      </c>
    </row>
    <row r="1738" customFormat="false" ht="13.5" hidden="false" customHeight="true" outlineLevel="0" collapsed="false">
      <c r="A1738" s="32" t="n">
        <v>3785</v>
      </c>
      <c r="B1738" s="32" t="s">
        <v>1502</v>
      </c>
      <c r="C1738" s="32" t="s">
        <v>1503</v>
      </c>
      <c r="D1738" s="32" t="s">
        <v>114</v>
      </c>
      <c r="E1738" s="32" t="s">
        <v>115</v>
      </c>
      <c r="F1738" s="32" t="n">
        <v>9779830505</v>
      </c>
      <c r="G1738" s="32" t="s">
        <v>144</v>
      </c>
      <c r="H1738" s="32" t="s">
        <v>22</v>
      </c>
      <c r="I1738" s="32" t="s">
        <v>1242</v>
      </c>
      <c r="J1738" s="32" t="s">
        <v>62</v>
      </c>
      <c r="K1738" s="32" t="s">
        <v>63</v>
      </c>
    </row>
    <row r="1739" customFormat="false" ht="13.5" hidden="false" customHeight="true" outlineLevel="0" collapsed="false">
      <c r="A1739" s="32" t="n">
        <v>3786</v>
      </c>
      <c r="B1739" s="32" t="s">
        <v>1504</v>
      </c>
      <c r="C1739" s="32" t="s">
        <v>1505</v>
      </c>
      <c r="D1739" s="32" t="s">
        <v>114</v>
      </c>
      <c r="E1739" s="32" t="s">
        <v>165</v>
      </c>
      <c r="F1739" s="32" t="n">
        <v>7736638897</v>
      </c>
      <c r="G1739" s="32" t="s">
        <v>80</v>
      </c>
      <c r="H1739" s="32" t="s">
        <v>22</v>
      </c>
      <c r="I1739" s="32" t="s">
        <v>108</v>
      </c>
      <c r="J1739" s="32" t="s">
        <v>71</v>
      </c>
      <c r="K1739" s="32" t="s">
        <v>63</v>
      </c>
    </row>
    <row r="1740" customFormat="false" ht="13.5" hidden="false" customHeight="true" outlineLevel="0" collapsed="false">
      <c r="A1740" s="32" t="n">
        <v>3787</v>
      </c>
      <c r="B1740" s="32" t="s">
        <v>1504</v>
      </c>
      <c r="C1740" s="32" t="s">
        <v>1505</v>
      </c>
      <c r="D1740" s="32" t="s">
        <v>114</v>
      </c>
      <c r="E1740" s="32" t="s">
        <v>165</v>
      </c>
      <c r="F1740" s="32" t="n">
        <v>7736638897</v>
      </c>
      <c r="G1740" s="32" t="s">
        <v>80</v>
      </c>
      <c r="H1740" s="32" t="s">
        <v>22</v>
      </c>
      <c r="I1740" s="32" t="s">
        <v>248</v>
      </c>
      <c r="J1740" s="32" t="s">
        <v>117</v>
      </c>
      <c r="K1740" s="32" t="s">
        <v>63</v>
      </c>
    </row>
    <row r="1741" customFormat="false" ht="13.5" hidden="false" customHeight="true" outlineLevel="0" collapsed="false">
      <c r="A1741" s="32" t="n">
        <v>3788</v>
      </c>
      <c r="B1741" s="32" t="s">
        <v>1504</v>
      </c>
      <c r="C1741" s="32" t="s">
        <v>1505</v>
      </c>
      <c r="D1741" s="32" t="s">
        <v>114</v>
      </c>
      <c r="E1741" s="32" t="s">
        <v>165</v>
      </c>
      <c r="F1741" s="32" t="n">
        <v>7736638897</v>
      </c>
      <c r="G1741" s="32" t="s">
        <v>80</v>
      </c>
      <c r="H1741" s="32" t="s">
        <v>22</v>
      </c>
      <c r="I1741" s="32" t="s">
        <v>133</v>
      </c>
      <c r="J1741" s="32" t="s">
        <v>134</v>
      </c>
      <c r="K1741" s="32" t="s">
        <v>63</v>
      </c>
    </row>
    <row r="1742" customFormat="false" ht="13.5" hidden="false" customHeight="true" outlineLevel="0" collapsed="false">
      <c r="A1742" s="32" t="n">
        <v>3789</v>
      </c>
      <c r="B1742" s="32" t="s">
        <v>1506</v>
      </c>
      <c r="C1742" s="32" t="s">
        <v>1507</v>
      </c>
      <c r="D1742" s="32" t="s">
        <v>59</v>
      </c>
      <c r="E1742" s="32" t="s">
        <v>143</v>
      </c>
      <c r="F1742" s="32" t="n">
        <v>0</v>
      </c>
      <c r="G1742" s="32" t="s">
        <v>61</v>
      </c>
      <c r="H1742" s="32" t="s">
        <v>21</v>
      </c>
      <c r="I1742" s="32" t="s">
        <v>16</v>
      </c>
      <c r="J1742" s="32" t="s">
        <v>73</v>
      </c>
      <c r="K1742" s="32" t="s">
        <v>63</v>
      </c>
    </row>
    <row r="1743" customFormat="false" ht="13.5" hidden="false" customHeight="true" outlineLevel="0" collapsed="false">
      <c r="A1743" s="32" t="n">
        <v>3790</v>
      </c>
      <c r="B1743" s="32" t="s">
        <v>1508</v>
      </c>
      <c r="C1743" s="32" t="s">
        <v>1509</v>
      </c>
      <c r="D1743" s="32" t="s">
        <v>114</v>
      </c>
      <c r="E1743" s="32" t="s">
        <v>115</v>
      </c>
      <c r="F1743" s="33" t="n">
        <v>919644000000</v>
      </c>
      <c r="G1743" s="32" t="s">
        <v>61</v>
      </c>
      <c r="H1743" s="32" t="s">
        <v>22</v>
      </c>
      <c r="I1743" s="32" t="s">
        <v>494</v>
      </c>
      <c r="J1743" s="32" t="s">
        <v>71</v>
      </c>
      <c r="K1743" s="32" t="s">
        <v>63</v>
      </c>
    </row>
    <row r="1744" customFormat="false" ht="13.5" hidden="false" customHeight="true" outlineLevel="0" collapsed="false">
      <c r="A1744" s="32" t="n">
        <v>3791</v>
      </c>
      <c r="B1744" s="32" t="s">
        <v>1508</v>
      </c>
      <c r="C1744" s="32" t="s">
        <v>1509</v>
      </c>
      <c r="D1744" s="32" t="s">
        <v>114</v>
      </c>
      <c r="E1744" s="32" t="s">
        <v>115</v>
      </c>
      <c r="F1744" s="33" t="n">
        <v>919644000000</v>
      </c>
      <c r="G1744" s="32" t="s">
        <v>61</v>
      </c>
      <c r="H1744" s="32" t="s">
        <v>22</v>
      </c>
      <c r="I1744" s="32" t="s">
        <v>121</v>
      </c>
      <c r="J1744" s="32" t="s">
        <v>110</v>
      </c>
      <c r="K1744" s="32" t="s">
        <v>63</v>
      </c>
    </row>
    <row r="1745" customFormat="false" ht="13.5" hidden="false" customHeight="true" outlineLevel="0" collapsed="false">
      <c r="A1745" s="32" t="n">
        <v>3792</v>
      </c>
      <c r="B1745" s="32" t="s">
        <v>1508</v>
      </c>
      <c r="C1745" s="32" t="s">
        <v>1509</v>
      </c>
      <c r="D1745" s="32" t="s">
        <v>114</v>
      </c>
      <c r="E1745" s="32" t="s">
        <v>115</v>
      </c>
      <c r="F1745" s="33" t="n">
        <v>919644000000</v>
      </c>
      <c r="G1745" s="32" t="s">
        <v>61</v>
      </c>
      <c r="H1745" s="32" t="s">
        <v>22</v>
      </c>
      <c r="I1745" s="32" t="s">
        <v>227</v>
      </c>
      <c r="J1745" s="32" t="s">
        <v>228</v>
      </c>
      <c r="K1745" s="32" t="s">
        <v>63</v>
      </c>
    </row>
    <row r="1746" customFormat="false" ht="13.5" hidden="false" customHeight="true" outlineLevel="0" collapsed="false">
      <c r="A1746" s="32" t="n">
        <v>3793</v>
      </c>
      <c r="B1746" s="32" t="s">
        <v>1510</v>
      </c>
      <c r="C1746" s="32" t="s">
        <v>1511</v>
      </c>
      <c r="D1746" s="32" t="s">
        <v>59</v>
      </c>
      <c r="E1746" s="32" t="s">
        <v>107</v>
      </c>
      <c r="F1746" s="33" t="n">
        <v>919515000000</v>
      </c>
      <c r="G1746" s="32" t="s">
        <v>61</v>
      </c>
      <c r="H1746" s="32" t="s">
        <v>21</v>
      </c>
      <c r="I1746" s="32" t="s">
        <v>284</v>
      </c>
      <c r="J1746" s="32" t="s">
        <v>117</v>
      </c>
      <c r="K1746" s="32" t="s">
        <v>63</v>
      </c>
    </row>
    <row r="1747" customFormat="false" ht="13.5" hidden="false" customHeight="true" outlineLevel="0" collapsed="false">
      <c r="A1747" s="32" t="n">
        <v>3794</v>
      </c>
      <c r="B1747" s="32" t="s">
        <v>1510</v>
      </c>
      <c r="C1747" s="32" t="s">
        <v>1512</v>
      </c>
      <c r="D1747" s="32" t="s">
        <v>59</v>
      </c>
      <c r="E1747" s="32" t="s">
        <v>107</v>
      </c>
      <c r="F1747" s="33" t="n">
        <v>919515000000</v>
      </c>
      <c r="G1747" s="32" t="s">
        <v>61</v>
      </c>
      <c r="H1747" s="32" t="s">
        <v>21</v>
      </c>
      <c r="I1747" s="32" t="s">
        <v>108</v>
      </c>
      <c r="J1747" s="32" t="s">
        <v>71</v>
      </c>
      <c r="K1747" s="32" t="s">
        <v>63</v>
      </c>
    </row>
    <row r="1748" customFormat="false" ht="13.5" hidden="false" customHeight="true" outlineLevel="0" collapsed="false">
      <c r="A1748" s="32" t="n">
        <v>3795</v>
      </c>
      <c r="B1748" s="32" t="s">
        <v>1510</v>
      </c>
      <c r="C1748" s="32" t="s">
        <v>1512</v>
      </c>
      <c r="D1748" s="32" t="s">
        <v>59</v>
      </c>
      <c r="E1748" s="32" t="s">
        <v>107</v>
      </c>
      <c r="F1748" s="33" t="n">
        <v>919515000000</v>
      </c>
      <c r="G1748" s="32" t="s">
        <v>61</v>
      </c>
      <c r="H1748" s="32" t="s">
        <v>21</v>
      </c>
      <c r="I1748" s="32" t="s">
        <v>27</v>
      </c>
      <c r="J1748" s="32" t="s">
        <v>13</v>
      </c>
      <c r="K1748" s="32" t="s">
        <v>63</v>
      </c>
    </row>
    <row r="1749" customFormat="false" ht="13.5" hidden="false" customHeight="true" outlineLevel="0" collapsed="false">
      <c r="A1749" s="32" t="n">
        <v>3796</v>
      </c>
      <c r="B1749" s="32" t="s">
        <v>1510</v>
      </c>
      <c r="C1749" s="32" t="s">
        <v>1512</v>
      </c>
      <c r="D1749" s="32" t="s">
        <v>59</v>
      </c>
      <c r="E1749" s="32" t="s">
        <v>107</v>
      </c>
      <c r="F1749" s="33" t="n">
        <v>919515000000</v>
      </c>
      <c r="G1749" s="32" t="s">
        <v>61</v>
      </c>
      <c r="H1749" s="32" t="s">
        <v>21</v>
      </c>
      <c r="I1749" s="32" t="s">
        <v>133</v>
      </c>
      <c r="J1749" s="32" t="s">
        <v>134</v>
      </c>
      <c r="K1749" s="32" t="s">
        <v>63</v>
      </c>
    </row>
    <row r="1750" customFormat="false" ht="13.5" hidden="false" customHeight="true" outlineLevel="0" collapsed="false">
      <c r="A1750" s="32" t="n">
        <v>3797</v>
      </c>
      <c r="B1750" s="32" t="s">
        <v>1513</v>
      </c>
      <c r="C1750" s="32" t="s">
        <v>1514</v>
      </c>
      <c r="D1750" s="32" t="s">
        <v>59</v>
      </c>
      <c r="E1750" s="32" t="s">
        <v>143</v>
      </c>
      <c r="F1750" s="32" t="n">
        <v>9530383516</v>
      </c>
      <c r="G1750" s="32" t="s">
        <v>144</v>
      </c>
      <c r="H1750" s="32" t="s">
        <v>21</v>
      </c>
      <c r="I1750" s="32" t="s">
        <v>215</v>
      </c>
      <c r="J1750" s="32" t="s">
        <v>132</v>
      </c>
      <c r="K1750" s="32" t="s">
        <v>63</v>
      </c>
    </row>
    <row r="1751" customFormat="false" ht="13.5" hidden="false" customHeight="true" outlineLevel="0" collapsed="false">
      <c r="A1751" s="32" t="n">
        <v>3798</v>
      </c>
      <c r="B1751" s="32" t="s">
        <v>1513</v>
      </c>
      <c r="C1751" s="32" t="s">
        <v>1514</v>
      </c>
      <c r="D1751" s="32" t="s">
        <v>59</v>
      </c>
      <c r="E1751" s="32" t="s">
        <v>143</v>
      </c>
      <c r="F1751" s="32" t="n">
        <v>9530383516</v>
      </c>
      <c r="G1751" s="32" t="s">
        <v>144</v>
      </c>
      <c r="H1751" s="32" t="s">
        <v>21</v>
      </c>
      <c r="I1751" s="32" t="s">
        <v>728</v>
      </c>
      <c r="J1751" s="32" t="s">
        <v>132</v>
      </c>
      <c r="K1751" s="32" t="s">
        <v>63</v>
      </c>
    </row>
    <row r="1752" customFormat="false" ht="13.5" hidden="false" customHeight="true" outlineLevel="0" collapsed="false">
      <c r="A1752" s="32" t="n">
        <v>3799</v>
      </c>
      <c r="B1752" s="32" t="s">
        <v>1513</v>
      </c>
      <c r="C1752" s="32" t="s">
        <v>1515</v>
      </c>
      <c r="D1752" s="32" t="s">
        <v>59</v>
      </c>
      <c r="E1752" s="32" t="s">
        <v>143</v>
      </c>
      <c r="F1752" s="32" t="n">
        <v>9530383516</v>
      </c>
      <c r="G1752" s="32" t="s">
        <v>144</v>
      </c>
      <c r="H1752" s="32" t="s">
        <v>21</v>
      </c>
      <c r="I1752" s="32" t="s">
        <v>217</v>
      </c>
      <c r="J1752" s="32" t="s">
        <v>132</v>
      </c>
      <c r="K1752" s="32" t="s">
        <v>63</v>
      </c>
    </row>
    <row r="1753" customFormat="false" ht="13.5" hidden="false" customHeight="true" outlineLevel="0" collapsed="false">
      <c r="A1753" s="32" t="n">
        <v>3800</v>
      </c>
      <c r="B1753" s="32" t="s">
        <v>1516</v>
      </c>
      <c r="C1753" s="32" t="s">
        <v>1517</v>
      </c>
      <c r="D1753" s="32" t="s">
        <v>102</v>
      </c>
      <c r="E1753" s="32" t="s">
        <v>155</v>
      </c>
      <c r="F1753" s="33" t="n">
        <v>917727000000</v>
      </c>
      <c r="G1753" s="32" t="s">
        <v>69</v>
      </c>
      <c r="H1753" s="32" t="s">
        <v>21</v>
      </c>
      <c r="I1753" s="32" t="s">
        <v>14</v>
      </c>
      <c r="J1753" s="32" t="s">
        <v>66</v>
      </c>
      <c r="K1753" s="32" t="s">
        <v>63</v>
      </c>
    </row>
    <row r="1754" customFormat="false" ht="13.5" hidden="false" customHeight="true" outlineLevel="0" collapsed="false">
      <c r="A1754" s="32" t="n">
        <v>3801</v>
      </c>
      <c r="B1754" s="32" t="s">
        <v>1518</v>
      </c>
      <c r="C1754" s="32" t="s">
        <v>1519</v>
      </c>
      <c r="D1754" s="32" t="s">
        <v>59</v>
      </c>
      <c r="E1754" s="32" t="s">
        <v>143</v>
      </c>
      <c r="F1754" s="33" t="n">
        <v>917893000000</v>
      </c>
      <c r="G1754" s="32" t="s">
        <v>61</v>
      </c>
      <c r="H1754" s="32" t="s">
        <v>21</v>
      </c>
      <c r="I1754" s="32" t="s">
        <v>156</v>
      </c>
      <c r="J1754" s="32" t="s">
        <v>62</v>
      </c>
      <c r="K1754" s="32" t="s">
        <v>63</v>
      </c>
    </row>
    <row r="1755" customFormat="false" ht="13.5" hidden="false" customHeight="true" outlineLevel="0" collapsed="false">
      <c r="A1755" s="32" t="n">
        <v>3802</v>
      </c>
      <c r="B1755" s="32" t="s">
        <v>1518</v>
      </c>
      <c r="C1755" s="32" t="s">
        <v>1519</v>
      </c>
      <c r="D1755" s="32" t="s">
        <v>59</v>
      </c>
      <c r="E1755" s="32" t="s">
        <v>143</v>
      </c>
      <c r="F1755" s="33" t="n">
        <v>917893000000</v>
      </c>
      <c r="G1755" s="32" t="s">
        <v>61</v>
      </c>
      <c r="H1755" s="32" t="s">
        <v>21</v>
      </c>
      <c r="I1755" s="32" t="s">
        <v>64</v>
      </c>
      <c r="J1755" s="32" t="s">
        <v>62</v>
      </c>
      <c r="K1755" s="32" t="s">
        <v>63</v>
      </c>
    </row>
    <row r="1756" customFormat="false" ht="13.5" hidden="false" customHeight="true" outlineLevel="0" collapsed="false">
      <c r="A1756" s="32" t="n">
        <v>3803</v>
      </c>
      <c r="B1756" s="32" t="s">
        <v>1518</v>
      </c>
      <c r="C1756" s="32" t="s">
        <v>1519</v>
      </c>
      <c r="D1756" s="32" t="s">
        <v>59</v>
      </c>
      <c r="E1756" s="32" t="s">
        <v>143</v>
      </c>
      <c r="F1756" s="33" t="n">
        <v>917893000000</v>
      </c>
      <c r="G1756" s="32" t="s">
        <v>61</v>
      </c>
      <c r="H1756" s="32" t="s">
        <v>21</v>
      </c>
      <c r="I1756" s="32" t="s">
        <v>111</v>
      </c>
      <c r="J1756" s="32" t="s">
        <v>73</v>
      </c>
      <c r="K1756" s="32" t="s">
        <v>63</v>
      </c>
    </row>
    <row r="1757" customFormat="false" ht="13.5" hidden="false" customHeight="true" outlineLevel="0" collapsed="false">
      <c r="A1757" s="32" t="n">
        <v>3804</v>
      </c>
      <c r="B1757" s="32" t="s">
        <v>1520</v>
      </c>
      <c r="C1757" s="32" t="s">
        <v>1521</v>
      </c>
      <c r="D1757" s="32" t="s">
        <v>59</v>
      </c>
      <c r="E1757" s="32" t="s">
        <v>79</v>
      </c>
      <c r="F1757" s="32" t="n">
        <v>0</v>
      </c>
      <c r="G1757" s="32" t="s">
        <v>144</v>
      </c>
      <c r="H1757" s="32" t="s">
        <v>21</v>
      </c>
      <c r="I1757" s="32" t="s">
        <v>151</v>
      </c>
      <c r="J1757" s="32" t="s">
        <v>152</v>
      </c>
      <c r="K1757" s="32" t="s">
        <v>63</v>
      </c>
    </row>
    <row r="1758" customFormat="false" ht="13.5" hidden="false" customHeight="true" outlineLevel="0" collapsed="false">
      <c r="A1758" s="32" t="n">
        <v>3805</v>
      </c>
      <c r="B1758" s="32" t="s">
        <v>1522</v>
      </c>
      <c r="C1758" s="32" t="s">
        <v>1523</v>
      </c>
      <c r="D1758" s="32" t="s">
        <v>59</v>
      </c>
      <c r="E1758" s="32" t="s">
        <v>107</v>
      </c>
      <c r="F1758" s="32" t="n">
        <v>8778947699</v>
      </c>
      <c r="G1758" s="32" t="s">
        <v>61</v>
      </c>
      <c r="H1758" s="32" t="s">
        <v>21</v>
      </c>
      <c r="I1758" s="32" t="s">
        <v>145</v>
      </c>
      <c r="J1758" s="32" t="s">
        <v>117</v>
      </c>
      <c r="K1758" s="32" t="s">
        <v>63</v>
      </c>
    </row>
    <row r="1759" customFormat="false" ht="13.5" hidden="false" customHeight="true" outlineLevel="0" collapsed="false">
      <c r="A1759" s="32" t="n">
        <v>3806</v>
      </c>
      <c r="B1759" s="32" t="s">
        <v>1522</v>
      </c>
      <c r="C1759" s="32" t="s">
        <v>1524</v>
      </c>
      <c r="D1759" s="32" t="s">
        <v>59</v>
      </c>
      <c r="E1759" s="32" t="s">
        <v>107</v>
      </c>
      <c r="F1759" s="32" t="n">
        <v>8778947699</v>
      </c>
      <c r="G1759" s="32" t="s">
        <v>61</v>
      </c>
      <c r="H1759" s="32" t="s">
        <v>21</v>
      </c>
      <c r="I1759" s="32" t="s">
        <v>1462</v>
      </c>
      <c r="J1759" s="32" t="s">
        <v>110</v>
      </c>
      <c r="K1759" s="32" t="s">
        <v>63</v>
      </c>
    </row>
    <row r="1760" customFormat="false" ht="13.5" hidden="false" customHeight="true" outlineLevel="0" collapsed="false">
      <c r="A1760" s="32" t="n">
        <v>3807</v>
      </c>
      <c r="B1760" s="32" t="s">
        <v>1522</v>
      </c>
      <c r="C1760" s="32" t="s">
        <v>1524</v>
      </c>
      <c r="D1760" s="32" t="s">
        <v>59</v>
      </c>
      <c r="E1760" s="32" t="s">
        <v>107</v>
      </c>
      <c r="F1760" s="32" t="n">
        <v>8778947699</v>
      </c>
      <c r="G1760" s="32" t="s">
        <v>61</v>
      </c>
      <c r="H1760" s="32" t="s">
        <v>21</v>
      </c>
      <c r="I1760" s="32" t="s">
        <v>121</v>
      </c>
      <c r="J1760" s="32" t="s">
        <v>110</v>
      </c>
      <c r="K1760" s="32" t="s">
        <v>63</v>
      </c>
    </row>
    <row r="1761" customFormat="false" ht="13.5" hidden="false" customHeight="true" outlineLevel="0" collapsed="false">
      <c r="A1761" s="32" t="n">
        <v>3808</v>
      </c>
      <c r="B1761" s="32" t="s">
        <v>1522</v>
      </c>
      <c r="C1761" s="32" t="s">
        <v>1524</v>
      </c>
      <c r="D1761" s="32" t="s">
        <v>59</v>
      </c>
      <c r="E1761" s="32" t="s">
        <v>107</v>
      </c>
      <c r="F1761" s="32" t="n">
        <v>8778947699</v>
      </c>
      <c r="G1761" s="32" t="s">
        <v>61</v>
      </c>
      <c r="H1761" s="32" t="s">
        <v>21</v>
      </c>
      <c r="I1761" s="32" t="s">
        <v>1178</v>
      </c>
      <c r="J1761" s="32" t="s">
        <v>110</v>
      </c>
      <c r="K1761" s="32" t="s">
        <v>63</v>
      </c>
    </row>
    <row r="1762" customFormat="false" ht="13.5" hidden="false" customHeight="true" outlineLevel="0" collapsed="false">
      <c r="A1762" s="32" t="n">
        <v>3809</v>
      </c>
      <c r="B1762" s="32" t="s">
        <v>1525</v>
      </c>
      <c r="C1762" s="32" t="s">
        <v>1526</v>
      </c>
      <c r="D1762" s="32" t="s">
        <v>59</v>
      </c>
      <c r="E1762" s="32" t="s">
        <v>107</v>
      </c>
      <c r="F1762" s="33" t="n">
        <v>919766000000</v>
      </c>
      <c r="G1762" s="32" t="s">
        <v>69</v>
      </c>
      <c r="H1762" s="32" t="s">
        <v>21</v>
      </c>
      <c r="I1762" s="32" t="s">
        <v>28</v>
      </c>
      <c r="J1762" s="32" t="s">
        <v>82</v>
      </c>
      <c r="K1762" s="32" t="s">
        <v>63</v>
      </c>
    </row>
    <row r="1763" customFormat="false" ht="13.5" hidden="false" customHeight="true" outlineLevel="0" collapsed="false">
      <c r="A1763" s="32" t="n">
        <v>3810</v>
      </c>
      <c r="B1763" s="32" t="s">
        <v>1525</v>
      </c>
      <c r="C1763" s="32" t="s">
        <v>1526</v>
      </c>
      <c r="D1763" s="32" t="s">
        <v>59</v>
      </c>
      <c r="E1763" s="32" t="s">
        <v>107</v>
      </c>
      <c r="F1763" s="33" t="n">
        <v>919766000000</v>
      </c>
      <c r="G1763" s="32" t="s">
        <v>69</v>
      </c>
      <c r="H1763" s="32" t="s">
        <v>21</v>
      </c>
      <c r="I1763" s="32" t="s">
        <v>145</v>
      </c>
      <c r="J1763" s="32" t="s">
        <v>117</v>
      </c>
      <c r="K1763" s="32" t="s">
        <v>63</v>
      </c>
    </row>
    <row r="1764" customFormat="false" ht="13.5" hidden="false" customHeight="true" outlineLevel="0" collapsed="false">
      <c r="A1764" s="32" t="n">
        <v>3811</v>
      </c>
      <c r="B1764" s="32" t="s">
        <v>1525</v>
      </c>
      <c r="C1764" s="32" t="s">
        <v>1526</v>
      </c>
      <c r="D1764" s="32" t="s">
        <v>59</v>
      </c>
      <c r="E1764" s="32" t="s">
        <v>107</v>
      </c>
      <c r="F1764" s="33" t="n">
        <v>919766000000</v>
      </c>
      <c r="G1764" s="32" t="s">
        <v>69</v>
      </c>
      <c r="H1764" s="32" t="s">
        <v>21</v>
      </c>
      <c r="I1764" s="32" t="s">
        <v>150</v>
      </c>
      <c r="J1764" s="32" t="s">
        <v>73</v>
      </c>
      <c r="K1764" s="32" t="s">
        <v>63</v>
      </c>
    </row>
    <row r="1765" customFormat="false" ht="13.5" hidden="false" customHeight="true" outlineLevel="0" collapsed="false">
      <c r="A1765" s="32" t="n">
        <v>3812</v>
      </c>
      <c r="B1765" s="32" t="s">
        <v>1525</v>
      </c>
      <c r="C1765" s="32" t="s">
        <v>1526</v>
      </c>
      <c r="D1765" s="32" t="s">
        <v>59</v>
      </c>
      <c r="E1765" s="32" t="s">
        <v>107</v>
      </c>
      <c r="F1765" s="33" t="n">
        <v>919766000000</v>
      </c>
      <c r="G1765" s="32" t="s">
        <v>69</v>
      </c>
      <c r="H1765" s="32" t="s">
        <v>21</v>
      </c>
      <c r="I1765" s="32" t="s">
        <v>212</v>
      </c>
      <c r="J1765" s="32" t="s">
        <v>73</v>
      </c>
      <c r="K1765" s="32" t="s">
        <v>63</v>
      </c>
    </row>
    <row r="1766" customFormat="false" ht="13.5" hidden="false" customHeight="true" outlineLevel="0" collapsed="false">
      <c r="A1766" s="32" t="n">
        <v>3813</v>
      </c>
      <c r="B1766" s="32" t="s">
        <v>1527</v>
      </c>
      <c r="C1766" s="32" t="s">
        <v>1528</v>
      </c>
      <c r="D1766" s="32" t="s">
        <v>102</v>
      </c>
      <c r="E1766" s="32" t="s">
        <v>103</v>
      </c>
      <c r="F1766" s="32" t="n">
        <v>9348998619</v>
      </c>
      <c r="G1766" s="32" t="s">
        <v>61</v>
      </c>
      <c r="H1766" s="32" t="s">
        <v>21</v>
      </c>
      <c r="I1766" s="32" t="s">
        <v>95</v>
      </c>
      <c r="J1766" s="32" t="s">
        <v>96</v>
      </c>
      <c r="K1766" s="32" t="s">
        <v>63</v>
      </c>
    </row>
    <row r="1767" customFormat="false" ht="13.5" hidden="false" customHeight="true" outlineLevel="0" collapsed="false">
      <c r="A1767" s="32" t="n">
        <v>3815</v>
      </c>
      <c r="B1767" s="32" t="s">
        <v>1529</v>
      </c>
      <c r="C1767" s="32" t="s">
        <v>1530</v>
      </c>
      <c r="D1767" s="32" t="s">
        <v>59</v>
      </c>
      <c r="E1767" s="32" t="s">
        <v>60</v>
      </c>
      <c r="F1767" s="32" t="n">
        <v>0</v>
      </c>
      <c r="G1767" s="32" t="s">
        <v>140</v>
      </c>
      <c r="H1767" s="32" t="s">
        <v>21</v>
      </c>
      <c r="I1767" s="32" t="s">
        <v>421</v>
      </c>
      <c r="J1767" s="32" t="s">
        <v>235</v>
      </c>
      <c r="K1767" s="32" t="s">
        <v>63</v>
      </c>
    </row>
    <row r="1768" customFormat="false" ht="13.5" hidden="false" customHeight="true" outlineLevel="0" collapsed="false">
      <c r="A1768" s="32" t="n">
        <v>3816</v>
      </c>
      <c r="B1768" s="32" t="s">
        <v>1529</v>
      </c>
      <c r="C1768" s="32" t="s">
        <v>1530</v>
      </c>
      <c r="D1768" s="32" t="s">
        <v>59</v>
      </c>
      <c r="E1768" s="32" t="s">
        <v>60</v>
      </c>
      <c r="F1768" s="32" t="n">
        <v>0</v>
      </c>
      <c r="G1768" s="32" t="s">
        <v>140</v>
      </c>
      <c r="H1768" s="32" t="s">
        <v>21</v>
      </c>
      <c r="I1768" s="32" t="s">
        <v>826</v>
      </c>
      <c r="J1768" s="32" t="s">
        <v>84</v>
      </c>
      <c r="K1768" s="32" t="s">
        <v>63</v>
      </c>
    </row>
    <row r="1769" customFormat="false" ht="13.5" hidden="false" customHeight="true" outlineLevel="0" collapsed="false">
      <c r="A1769" s="32" t="n">
        <v>3817</v>
      </c>
      <c r="B1769" s="32" t="s">
        <v>1529</v>
      </c>
      <c r="C1769" s="32" t="s">
        <v>1530</v>
      </c>
      <c r="D1769" s="32" t="s">
        <v>59</v>
      </c>
      <c r="E1769" s="32" t="s">
        <v>60</v>
      </c>
      <c r="F1769" s="32" t="n">
        <v>0</v>
      </c>
      <c r="G1769" s="32" t="s">
        <v>140</v>
      </c>
      <c r="H1769" s="32" t="s">
        <v>21</v>
      </c>
      <c r="I1769" s="32" t="s">
        <v>333</v>
      </c>
      <c r="J1769" s="32" t="s">
        <v>235</v>
      </c>
      <c r="K1769" s="32" t="s">
        <v>63</v>
      </c>
    </row>
    <row r="1770" customFormat="false" ht="13.5" hidden="false" customHeight="true" outlineLevel="0" collapsed="false">
      <c r="A1770" s="32" t="n">
        <v>3818</v>
      </c>
      <c r="B1770" s="32" t="s">
        <v>1529</v>
      </c>
      <c r="C1770" s="32" t="s">
        <v>1530</v>
      </c>
      <c r="D1770" s="32" t="s">
        <v>59</v>
      </c>
      <c r="E1770" s="32" t="s">
        <v>60</v>
      </c>
      <c r="F1770" s="32" t="n">
        <v>0</v>
      </c>
      <c r="G1770" s="32" t="s">
        <v>140</v>
      </c>
      <c r="H1770" s="32" t="s">
        <v>21</v>
      </c>
      <c r="I1770" s="32" t="s">
        <v>350</v>
      </c>
      <c r="J1770" s="32" t="s">
        <v>235</v>
      </c>
      <c r="K1770" s="32" t="s">
        <v>63</v>
      </c>
    </row>
    <row r="1771" customFormat="false" ht="13.5" hidden="false" customHeight="true" outlineLevel="0" collapsed="false">
      <c r="A1771" s="32" t="n">
        <v>3820</v>
      </c>
      <c r="B1771" s="32" t="s">
        <v>1529</v>
      </c>
      <c r="C1771" s="32" t="s">
        <v>1530</v>
      </c>
      <c r="D1771" s="32" t="s">
        <v>59</v>
      </c>
      <c r="E1771" s="32" t="s">
        <v>60</v>
      </c>
      <c r="F1771" s="32" t="n">
        <v>0</v>
      </c>
      <c r="G1771" s="32" t="s">
        <v>140</v>
      </c>
      <c r="H1771" s="32" t="s">
        <v>21</v>
      </c>
      <c r="I1771" s="32" t="s">
        <v>333</v>
      </c>
      <c r="J1771" s="32" t="s">
        <v>235</v>
      </c>
      <c r="K1771" s="32" t="s">
        <v>63</v>
      </c>
    </row>
    <row r="1772" customFormat="false" ht="13.5" hidden="false" customHeight="true" outlineLevel="0" collapsed="false">
      <c r="A1772" s="32" t="n">
        <v>3821</v>
      </c>
      <c r="B1772" s="32" t="s">
        <v>1531</v>
      </c>
      <c r="C1772" s="32" t="s">
        <v>1532</v>
      </c>
      <c r="D1772" s="32" t="s">
        <v>114</v>
      </c>
      <c r="E1772" s="32" t="n">
        <v>0</v>
      </c>
      <c r="F1772" s="32" t="n">
        <v>9248486803</v>
      </c>
      <c r="G1772" s="32" t="s">
        <v>80</v>
      </c>
      <c r="H1772" s="32" t="s">
        <v>22</v>
      </c>
      <c r="I1772" s="32" t="s">
        <v>76</v>
      </c>
      <c r="J1772" s="32" t="s">
        <v>76</v>
      </c>
      <c r="K1772" s="32" t="s">
        <v>63</v>
      </c>
    </row>
    <row r="1773" customFormat="false" ht="13.5" hidden="false" customHeight="true" outlineLevel="0" collapsed="false">
      <c r="A1773" s="32" t="n">
        <v>3822</v>
      </c>
      <c r="B1773" s="32" t="s">
        <v>1531</v>
      </c>
      <c r="C1773" s="32" t="s">
        <v>1533</v>
      </c>
      <c r="D1773" s="32" t="s">
        <v>114</v>
      </c>
      <c r="E1773" s="32" t="n">
        <v>0</v>
      </c>
      <c r="F1773" s="32" t="n">
        <v>9248486803</v>
      </c>
      <c r="G1773" s="32" t="s">
        <v>80</v>
      </c>
      <c r="H1773" s="32" t="s">
        <v>22</v>
      </c>
      <c r="I1773" s="32" t="s">
        <v>108</v>
      </c>
      <c r="J1773" s="32" t="s">
        <v>71</v>
      </c>
      <c r="K1773" s="32" t="s">
        <v>63</v>
      </c>
    </row>
    <row r="1774" customFormat="false" ht="13.5" hidden="false" customHeight="true" outlineLevel="0" collapsed="false">
      <c r="A1774" s="32" t="n">
        <v>3823</v>
      </c>
      <c r="B1774" s="32" t="s">
        <v>1531</v>
      </c>
      <c r="C1774" s="32" t="s">
        <v>1533</v>
      </c>
      <c r="D1774" s="32" t="s">
        <v>114</v>
      </c>
      <c r="E1774" s="32" t="n">
        <v>0</v>
      </c>
      <c r="F1774" s="32" t="n">
        <v>9248486803</v>
      </c>
      <c r="G1774" s="32" t="s">
        <v>80</v>
      </c>
      <c r="H1774" s="32" t="s">
        <v>22</v>
      </c>
      <c r="I1774" s="32" t="s">
        <v>1534</v>
      </c>
      <c r="J1774" s="32" t="s">
        <v>110</v>
      </c>
      <c r="K1774" s="32" t="s">
        <v>63</v>
      </c>
    </row>
    <row r="1775" customFormat="false" ht="13.5" hidden="false" customHeight="true" outlineLevel="0" collapsed="false">
      <c r="A1775" s="32" t="n">
        <v>3824</v>
      </c>
      <c r="B1775" s="32" t="s">
        <v>1531</v>
      </c>
      <c r="C1775" s="32" t="s">
        <v>1533</v>
      </c>
      <c r="D1775" s="32" t="s">
        <v>114</v>
      </c>
      <c r="E1775" s="32" t="n">
        <v>0</v>
      </c>
      <c r="F1775" s="32" t="n">
        <v>9248486803</v>
      </c>
      <c r="G1775" s="32" t="s">
        <v>80</v>
      </c>
      <c r="H1775" s="32" t="s">
        <v>22</v>
      </c>
      <c r="I1775" s="32" t="s">
        <v>121</v>
      </c>
      <c r="J1775" s="32" t="s">
        <v>110</v>
      </c>
      <c r="K1775" s="32" t="s">
        <v>63</v>
      </c>
    </row>
    <row r="1776" customFormat="false" ht="13.5" hidden="false" customHeight="true" outlineLevel="0" collapsed="false">
      <c r="A1776" s="32" t="n">
        <v>3825</v>
      </c>
      <c r="B1776" s="32" t="s">
        <v>1535</v>
      </c>
      <c r="C1776" s="32" t="s">
        <v>1536</v>
      </c>
      <c r="D1776" s="32" t="s">
        <v>114</v>
      </c>
      <c r="E1776" s="32" t="n">
        <v>0</v>
      </c>
      <c r="F1776" s="32" t="n">
        <v>9248486803</v>
      </c>
      <c r="G1776" s="32" t="s">
        <v>80</v>
      </c>
      <c r="H1776" s="32" t="s">
        <v>22</v>
      </c>
      <c r="I1776" s="32" t="s">
        <v>137</v>
      </c>
      <c r="J1776" s="32" t="s">
        <v>13</v>
      </c>
      <c r="K1776" s="32" t="s">
        <v>63</v>
      </c>
    </row>
    <row r="1777" customFormat="false" ht="13.5" hidden="false" customHeight="true" outlineLevel="0" collapsed="false">
      <c r="A1777" s="32" t="n">
        <v>3826</v>
      </c>
      <c r="B1777" s="32" t="s">
        <v>1537</v>
      </c>
      <c r="C1777" s="32" t="s">
        <v>1538</v>
      </c>
      <c r="D1777" s="32" t="s">
        <v>59</v>
      </c>
      <c r="E1777" s="32" t="s">
        <v>107</v>
      </c>
      <c r="F1777" s="33" t="n">
        <v>919699000000</v>
      </c>
      <c r="G1777" s="32" t="s">
        <v>0</v>
      </c>
      <c r="H1777" s="32" t="s">
        <v>21</v>
      </c>
      <c r="I1777" s="32" t="s">
        <v>393</v>
      </c>
      <c r="J1777" s="32" t="s">
        <v>73</v>
      </c>
      <c r="K1777" s="32" t="s">
        <v>63</v>
      </c>
    </row>
    <row r="1778" customFormat="false" ht="13.5" hidden="false" customHeight="true" outlineLevel="0" collapsed="false">
      <c r="A1778" s="32" t="n">
        <v>3827</v>
      </c>
      <c r="B1778" s="32" t="s">
        <v>1537</v>
      </c>
      <c r="C1778" s="32" t="s">
        <v>1538</v>
      </c>
      <c r="D1778" s="32" t="s">
        <v>59</v>
      </c>
      <c r="E1778" s="32" t="s">
        <v>107</v>
      </c>
      <c r="F1778" s="33" t="n">
        <v>919699000000</v>
      </c>
      <c r="G1778" s="32" t="s">
        <v>0</v>
      </c>
      <c r="H1778" s="32" t="s">
        <v>21</v>
      </c>
      <c r="I1778" s="32" t="s">
        <v>111</v>
      </c>
      <c r="J1778" s="32" t="s">
        <v>73</v>
      </c>
      <c r="K1778" s="32" t="s">
        <v>63</v>
      </c>
    </row>
    <row r="1779" customFormat="false" ht="13.5" hidden="false" customHeight="true" outlineLevel="0" collapsed="false">
      <c r="A1779" s="32" t="n">
        <v>3828</v>
      </c>
      <c r="B1779" s="32" t="s">
        <v>1539</v>
      </c>
      <c r="C1779" s="32" t="s">
        <v>1540</v>
      </c>
      <c r="D1779" s="32" t="s">
        <v>114</v>
      </c>
      <c r="E1779" s="32" t="s">
        <v>115</v>
      </c>
      <c r="F1779" s="32" t="n">
        <v>7010973568</v>
      </c>
      <c r="G1779" s="32" t="s">
        <v>61</v>
      </c>
      <c r="H1779" s="32" t="s">
        <v>22</v>
      </c>
      <c r="I1779" s="32" t="s">
        <v>121</v>
      </c>
      <c r="J1779" s="32" t="s">
        <v>110</v>
      </c>
      <c r="K1779" s="32" t="s">
        <v>63</v>
      </c>
    </row>
    <row r="1780" customFormat="false" ht="13.5" hidden="false" customHeight="true" outlineLevel="0" collapsed="false">
      <c r="A1780" s="32" t="n">
        <v>3832</v>
      </c>
      <c r="B1780" s="32" t="s">
        <v>1539</v>
      </c>
      <c r="C1780" s="32" t="s">
        <v>1540</v>
      </c>
      <c r="D1780" s="32" t="s">
        <v>114</v>
      </c>
      <c r="E1780" s="32" t="s">
        <v>115</v>
      </c>
      <c r="F1780" s="32" t="n">
        <v>7010973568</v>
      </c>
      <c r="G1780" s="32" t="s">
        <v>61</v>
      </c>
      <c r="H1780" s="32" t="s">
        <v>22</v>
      </c>
      <c r="I1780" s="32" t="s">
        <v>145</v>
      </c>
      <c r="J1780" s="32" t="s">
        <v>117</v>
      </c>
      <c r="K1780" s="32" t="s">
        <v>63</v>
      </c>
    </row>
    <row r="1781" customFormat="false" ht="13.5" hidden="false" customHeight="true" outlineLevel="0" collapsed="false">
      <c r="A1781" s="32" t="n">
        <v>3833</v>
      </c>
      <c r="B1781" s="32" t="s">
        <v>1539</v>
      </c>
      <c r="C1781" s="32" t="s">
        <v>1540</v>
      </c>
      <c r="D1781" s="32" t="s">
        <v>114</v>
      </c>
      <c r="E1781" s="32" t="s">
        <v>115</v>
      </c>
      <c r="F1781" s="32" t="n">
        <v>7010973568</v>
      </c>
      <c r="G1781" s="32" t="s">
        <v>61</v>
      </c>
      <c r="H1781" s="32" t="s">
        <v>22</v>
      </c>
      <c r="I1781" s="32" t="s">
        <v>1541</v>
      </c>
      <c r="J1781" s="32" t="s">
        <v>117</v>
      </c>
      <c r="K1781" s="32" t="s">
        <v>63</v>
      </c>
    </row>
    <row r="1782" customFormat="false" ht="13.5" hidden="false" customHeight="true" outlineLevel="0" collapsed="false">
      <c r="A1782" s="32" t="n">
        <v>3834</v>
      </c>
      <c r="B1782" s="32" t="s">
        <v>1542</v>
      </c>
      <c r="C1782" s="32" t="s">
        <v>1543</v>
      </c>
      <c r="D1782" s="32" t="s">
        <v>59</v>
      </c>
      <c r="E1782" s="32" t="s">
        <v>143</v>
      </c>
      <c r="F1782" s="32" t="n">
        <v>9666688387</v>
      </c>
      <c r="G1782" s="32" t="s">
        <v>80</v>
      </c>
      <c r="H1782" s="32" t="s">
        <v>21</v>
      </c>
      <c r="I1782" s="32" t="s">
        <v>28</v>
      </c>
      <c r="J1782" s="32" t="s">
        <v>82</v>
      </c>
      <c r="K1782" s="32" t="s">
        <v>63</v>
      </c>
    </row>
    <row r="1783" customFormat="false" ht="13.5" hidden="false" customHeight="true" outlineLevel="0" collapsed="false">
      <c r="A1783" s="32" t="n">
        <v>3835</v>
      </c>
      <c r="B1783" s="32" t="s">
        <v>1542</v>
      </c>
      <c r="C1783" s="32" t="s">
        <v>1543</v>
      </c>
      <c r="D1783" s="32" t="s">
        <v>59</v>
      </c>
      <c r="E1783" s="32" t="s">
        <v>143</v>
      </c>
      <c r="F1783" s="32" t="n">
        <v>9666688387</v>
      </c>
      <c r="G1783" s="32" t="s">
        <v>80</v>
      </c>
      <c r="H1783" s="32" t="s">
        <v>21</v>
      </c>
      <c r="I1783" s="32" t="s">
        <v>111</v>
      </c>
      <c r="J1783" s="32" t="s">
        <v>73</v>
      </c>
      <c r="K1783" s="32" t="s">
        <v>63</v>
      </c>
    </row>
    <row r="1784" customFormat="false" ht="13.5" hidden="false" customHeight="true" outlineLevel="0" collapsed="false">
      <c r="A1784" s="32" t="n">
        <v>3836</v>
      </c>
      <c r="B1784" s="32" t="s">
        <v>1542</v>
      </c>
      <c r="C1784" s="32" t="s">
        <v>1543</v>
      </c>
      <c r="D1784" s="32" t="s">
        <v>59</v>
      </c>
      <c r="E1784" s="32" t="s">
        <v>143</v>
      </c>
      <c r="F1784" s="32" t="n">
        <v>9666688387</v>
      </c>
      <c r="G1784" s="32" t="s">
        <v>80</v>
      </c>
      <c r="H1784" s="32" t="s">
        <v>21</v>
      </c>
      <c r="I1784" s="32" t="s">
        <v>116</v>
      </c>
      <c r="J1784" s="32" t="s">
        <v>117</v>
      </c>
      <c r="K1784" s="32" t="s">
        <v>63</v>
      </c>
    </row>
    <row r="1785" customFormat="false" ht="13.5" hidden="false" customHeight="true" outlineLevel="0" collapsed="false">
      <c r="A1785" s="32" t="n">
        <v>3837</v>
      </c>
      <c r="B1785" s="32" t="s">
        <v>1544</v>
      </c>
      <c r="C1785" s="32" t="s">
        <v>1545</v>
      </c>
      <c r="D1785" s="32" t="s">
        <v>114</v>
      </c>
      <c r="E1785" s="32" t="s">
        <v>115</v>
      </c>
      <c r="F1785" s="32" t="n">
        <v>9493823710</v>
      </c>
      <c r="G1785" s="32" t="s">
        <v>61</v>
      </c>
      <c r="H1785" s="32" t="s">
        <v>22</v>
      </c>
      <c r="I1785" s="32" t="s">
        <v>93</v>
      </c>
      <c r="J1785" s="32" t="s">
        <v>85</v>
      </c>
      <c r="K1785" s="32" t="s">
        <v>63</v>
      </c>
    </row>
    <row r="1786" customFormat="false" ht="13.5" hidden="false" customHeight="true" outlineLevel="0" collapsed="false">
      <c r="A1786" s="32" t="n">
        <v>3838</v>
      </c>
      <c r="B1786" s="32" t="s">
        <v>1544</v>
      </c>
      <c r="C1786" s="32" t="s">
        <v>1546</v>
      </c>
      <c r="D1786" s="32" t="s">
        <v>114</v>
      </c>
      <c r="E1786" s="32" t="s">
        <v>115</v>
      </c>
      <c r="F1786" s="32" t="n">
        <v>9493823710</v>
      </c>
      <c r="G1786" s="32" t="s">
        <v>61</v>
      </c>
      <c r="H1786" s="32" t="s">
        <v>22</v>
      </c>
      <c r="I1786" s="32" t="s">
        <v>151</v>
      </c>
      <c r="J1786" s="32" t="s">
        <v>152</v>
      </c>
      <c r="K1786" s="32" t="s">
        <v>63</v>
      </c>
    </row>
    <row r="1787" customFormat="false" ht="13.5" hidden="false" customHeight="true" outlineLevel="0" collapsed="false">
      <c r="A1787" s="32" t="n">
        <v>3839</v>
      </c>
      <c r="B1787" s="32" t="s">
        <v>1544</v>
      </c>
      <c r="C1787" s="32" t="s">
        <v>1546</v>
      </c>
      <c r="D1787" s="32" t="s">
        <v>114</v>
      </c>
      <c r="E1787" s="32" t="s">
        <v>115</v>
      </c>
      <c r="F1787" s="32" t="n">
        <v>9493823710</v>
      </c>
      <c r="G1787" s="32" t="s">
        <v>61</v>
      </c>
      <c r="H1787" s="32" t="s">
        <v>22</v>
      </c>
      <c r="I1787" s="32" t="s">
        <v>146</v>
      </c>
      <c r="J1787" s="32" t="s">
        <v>117</v>
      </c>
      <c r="K1787" s="32" t="s">
        <v>63</v>
      </c>
    </row>
    <row r="1788" customFormat="false" ht="13.5" hidden="false" customHeight="true" outlineLevel="0" collapsed="false">
      <c r="A1788" s="32" t="n">
        <v>3841</v>
      </c>
      <c r="B1788" s="32" t="s">
        <v>1544</v>
      </c>
      <c r="C1788" s="32" t="s">
        <v>1546</v>
      </c>
      <c r="D1788" s="32" t="s">
        <v>114</v>
      </c>
      <c r="E1788" s="32" t="s">
        <v>115</v>
      </c>
      <c r="F1788" s="32" t="n">
        <v>9493823710</v>
      </c>
      <c r="G1788" s="32" t="s">
        <v>61</v>
      </c>
      <c r="H1788" s="32" t="s">
        <v>22</v>
      </c>
      <c r="I1788" s="32" t="s">
        <v>98</v>
      </c>
      <c r="J1788" s="32" t="s">
        <v>99</v>
      </c>
      <c r="K1788" s="32" t="s">
        <v>63</v>
      </c>
    </row>
    <row r="1789" customFormat="false" ht="13.5" hidden="false" customHeight="true" outlineLevel="0" collapsed="false">
      <c r="A1789" s="32" t="n">
        <v>3842</v>
      </c>
      <c r="B1789" s="32" t="s">
        <v>1547</v>
      </c>
      <c r="C1789" s="32" t="s">
        <v>1548</v>
      </c>
      <c r="D1789" s="32" t="s">
        <v>59</v>
      </c>
      <c r="E1789" s="32" t="s">
        <v>143</v>
      </c>
      <c r="F1789" s="33" t="n">
        <v>916382000000</v>
      </c>
      <c r="G1789" s="32" t="s">
        <v>0</v>
      </c>
      <c r="H1789" s="32" t="s">
        <v>21</v>
      </c>
      <c r="I1789" s="32" t="s">
        <v>161</v>
      </c>
      <c r="J1789" s="32" t="s">
        <v>117</v>
      </c>
      <c r="K1789" s="32" t="s">
        <v>63</v>
      </c>
    </row>
    <row r="1790" customFormat="false" ht="13.5" hidden="false" customHeight="true" outlineLevel="0" collapsed="false">
      <c r="A1790" s="32" t="n">
        <v>3843</v>
      </c>
      <c r="B1790" s="32" t="s">
        <v>1547</v>
      </c>
      <c r="C1790" s="32" t="s">
        <v>1548</v>
      </c>
      <c r="D1790" s="32" t="s">
        <v>59</v>
      </c>
      <c r="E1790" s="32" t="s">
        <v>143</v>
      </c>
      <c r="F1790" s="33" t="n">
        <v>916382000000</v>
      </c>
      <c r="G1790" s="32" t="s">
        <v>0</v>
      </c>
      <c r="H1790" s="32" t="s">
        <v>21</v>
      </c>
      <c r="I1790" s="32" t="s">
        <v>30</v>
      </c>
      <c r="J1790" s="32" t="s">
        <v>203</v>
      </c>
      <c r="K1790" s="32" t="s">
        <v>63</v>
      </c>
    </row>
    <row r="1791" customFormat="false" ht="13.5" hidden="false" customHeight="true" outlineLevel="0" collapsed="false">
      <c r="A1791" s="32" t="n">
        <v>3844</v>
      </c>
      <c r="B1791" s="32" t="s">
        <v>1547</v>
      </c>
      <c r="C1791" s="32" t="s">
        <v>1548</v>
      </c>
      <c r="D1791" s="32" t="s">
        <v>59</v>
      </c>
      <c r="E1791" s="32" t="s">
        <v>143</v>
      </c>
      <c r="F1791" s="33" t="n">
        <v>916382000000</v>
      </c>
      <c r="G1791" s="32" t="s">
        <v>0</v>
      </c>
      <c r="H1791" s="32" t="s">
        <v>21</v>
      </c>
      <c r="I1791" s="32" t="s">
        <v>314</v>
      </c>
      <c r="J1791" s="32" t="s">
        <v>134</v>
      </c>
      <c r="K1791" s="32" t="s">
        <v>63</v>
      </c>
    </row>
    <row r="1792" customFormat="false" ht="13.5" hidden="false" customHeight="true" outlineLevel="0" collapsed="false">
      <c r="A1792" s="32" t="n">
        <v>3845</v>
      </c>
      <c r="B1792" s="32" t="s">
        <v>1549</v>
      </c>
      <c r="C1792" s="32" t="s">
        <v>1550</v>
      </c>
      <c r="D1792" s="32" t="s">
        <v>114</v>
      </c>
      <c r="E1792" s="32" t="s">
        <v>115</v>
      </c>
      <c r="F1792" s="33" t="n">
        <v>919995000000</v>
      </c>
      <c r="G1792" s="32" t="s">
        <v>61</v>
      </c>
      <c r="H1792" s="32" t="s">
        <v>22</v>
      </c>
      <c r="I1792" s="32" t="s">
        <v>121</v>
      </c>
      <c r="J1792" s="32" t="s">
        <v>110</v>
      </c>
      <c r="K1792" s="32" t="s">
        <v>63</v>
      </c>
    </row>
    <row r="1793" customFormat="false" ht="13.5" hidden="false" customHeight="true" outlineLevel="0" collapsed="false">
      <c r="A1793" s="32" t="n">
        <v>3846</v>
      </c>
      <c r="B1793" s="32" t="s">
        <v>1549</v>
      </c>
      <c r="C1793" s="32" t="s">
        <v>1550</v>
      </c>
      <c r="D1793" s="32" t="s">
        <v>114</v>
      </c>
      <c r="E1793" s="32" t="s">
        <v>115</v>
      </c>
      <c r="F1793" s="33" t="n">
        <v>919995000000</v>
      </c>
      <c r="G1793" s="32" t="s">
        <v>61</v>
      </c>
      <c r="H1793" s="32" t="s">
        <v>22</v>
      </c>
      <c r="I1793" s="32" t="s">
        <v>109</v>
      </c>
      <c r="J1793" s="32" t="s">
        <v>110</v>
      </c>
      <c r="K1793" s="32" t="s">
        <v>63</v>
      </c>
    </row>
    <row r="1794" customFormat="false" ht="13.5" hidden="false" customHeight="true" outlineLevel="0" collapsed="false">
      <c r="A1794" s="32" t="n">
        <v>3847</v>
      </c>
      <c r="B1794" s="32" t="s">
        <v>1549</v>
      </c>
      <c r="C1794" s="32" t="s">
        <v>1551</v>
      </c>
      <c r="D1794" s="32" t="s">
        <v>114</v>
      </c>
      <c r="E1794" s="32" t="s">
        <v>115</v>
      </c>
      <c r="F1794" s="32" t="n">
        <v>9995365656</v>
      </c>
      <c r="G1794" s="32" t="s">
        <v>61</v>
      </c>
      <c r="H1794" s="32" t="s">
        <v>22</v>
      </c>
      <c r="I1794" s="32" t="s">
        <v>254</v>
      </c>
      <c r="J1794" s="32" t="s">
        <v>110</v>
      </c>
      <c r="K1794" s="32" t="s">
        <v>63</v>
      </c>
    </row>
    <row r="1795" customFormat="false" ht="13.5" hidden="false" customHeight="true" outlineLevel="0" collapsed="false">
      <c r="A1795" s="32" t="n">
        <v>3848</v>
      </c>
      <c r="B1795" s="32" t="s">
        <v>1552</v>
      </c>
      <c r="C1795" s="32" t="s">
        <v>1553</v>
      </c>
      <c r="D1795" s="32" t="s">
        <v>59</v>
      </c>
      <c r="E1795" s="32" t="s">
        <v>107</v>
      </c>
      <c r="F1795" s="32" t="n">
        <v>7299789272</v>
      </c>
      <c r="G1795" s="32" t="s">
        <v>0</v>
      </c>
      <c r="H1795" s="32" t="s">
        <v>21</v>
      </c>
      <c r="I1795" s="32" t="s">
        <v>215</v>
      </c>
      <c r="J1795" s="32" t="s">
        <v>132</v>
      </c>
      <c r="K1795" s="32" t="s">
        <v>63</v>
      </c>
    </row>
    <row r="1796" customFormat="false" ht="13.5" hidden="false" customHeight="true" outlineLevel="0" collapsed="false">
      <c r="A1796" s="32" t="n">
        <v>3849</v>
      </c>
      <c r="B1796" s="32" t="s">
        <v>1552</v>
      </c>
      <c r="C1796" s="32" t="s">
        <v>1553</v>
      </c>
      <c r="D1796" s="32" t="s">
        <v>59</v>
      </c>
      <c r="E1796" s="32" t="s">
        <v>107</v>
      </c>
      <c r="F1796" s="32" t="n">
        <v>7299789272</v>
      </c>
      <c r="G1796" s="32" t="s">
        <v>0</v>
      </c>
      <c r="H1796" s="32" t="s">
        <v>21</v>
      </c>
      <c r="I1796" s="32" t="s">
        <v>217</v>
      </c>
      <c r="J1796" s="32" t="s">
        <v>132</v>
      </c>
      <c r="K1796" s="32" t="s">
        <v>63</v>
      </c>
    </row>
    <row r="1797" customFormat="false" ht="13.5" hidden="false" customHeight="true" outlineLevel="0" collapsed="false">
      <c r="A1797" s="32" t="n">
        <v>3850</v>
      </c>
      <c r="B1797" s="32" t="s">
        <v>1554</v>
      </c>
      <c r="C1797" s="32" t="s">
        <v>1555</v>
      </c>
      <c r="D1797" s="32" t="s">
        <v>59</v>
      </c>
      <c r="E1797" s="32" t="s">
        <v>60</v>
      </c>
      <c r="F1797" s="33" t="n">
        <v>917032000000</v>
      </c>
      <c r="G1797" s="32" t="s">
        <v>80</v>
      </c>
      <c r="H1797" s="32" t="s">
        <v>21</v>
      </c>
      <c r="I1797" s="32" t="s">
        <v>29</v>
      </c>
      <c r="J1797" s="32" t="s">
        <v>62</v>
      </c>
      <c r="K1797" s="32" t="s">
        <v>63</v>
      </c>
    </row>
    <row r="1798" customFormat="false" ht="13.5" hidden="false" customHeight="true" outlineLevel="0" collapsed="false">
      <c r="A1798" s="32" t="n">
        <v>3851</v>
      </c>
      <c r="B1798" s="32" t="s">
        <v>1554</v>
      </c>
      <c r="C1798" s="32" t="s">
        <v>1556</v>
      </c>
      <c r="D1798" s="32" t="s">
        <v>59</v>
      </c>
      <c r="E1798" s="32" t="s">
        <v>60</v>
      </c>
      <c r="F1798" s="33" t="n">
        <v>917032000000</v>
      </c>
      <c r="G1798" s="32" t="s">
        <v>80</v>
      </c>
      <c r="H1798" s="32" t="s">
        <v>21</v>
      </c>
      <c r="I1798" s="32" t="s">
        <v>156</v>
      </c>
      <c r="J1798" s="32" t="s">
        <v>62</v>
      </c>
      <c r="K1798" s="32" t="s">
        <v>63</v>
      </c>
    </row>
    <row r="1799" customFormat="false" ht="13.5" hidden="false" customHeight="true" outlineLevel="0" collapsed="false">
      <c r="A1799" s="32" t="n">
        <v>3852</v>
      </c>
      <c r="B1799" s="32" t="s">
        <v>1554</v>
      </c>
      <c r="C1799" s="32" t="s">
        <v>1556</v>
      </c>
      <c r="D1799" s="32" t="s">
        <v>59</v>
      </c>
      <c r="E1799" s="32" t="s">
        <v>60</v>
      </c>
      <c r="F1799" s="33" t="n">
        <v>917032000000</v>
      </c>
      <c r="G1799" s="32" t="s">
        <v>80</v>
      </c>
      <c r="H1799" s="32" t="s">
        <v>21</v>
      </c>
      <c r="I1799" s="32" t="s">
        <v>64</v>
      </c>
      <c r="J1799" s="32" t="s">
        <v>62</v>
      </c>
      <c r="K1799" s="32" t="s">
        <v>63</v>
      </c>
    </row>
    <row r="1800" customFormat="false" ht="13.5" hidden="false" customHeight="true" outlineLevel="0" collapsed="false">
      <c r="A1800" s="32" t="n">
        <v>3857</v>
      </c>
      <c r="B1800" s="32" t="s">
        <v>1554</v>
      </c>
      <c r="C1800" s="32" t="s">
        <v>1556</v>
      </c>
      <c r="D1800" s="32" t="s">
        <v>59</v>
      </c>
      <c r="E1800" s="32" t="s">
        <v>60</v>
      </c>
      <c r="F1800" s="33" t="n">
        <v>917032000000</v>
      </c>
      <c r="G1800" s="32" t="s">
        <v>80</v>
      </c>
      <c r="H1800" s="32" t="s">
        <v>21</v>
      </c>
      <c r="I1800" s="32" t="s">
        <v>14</v>
      </c>
      <c r="J1800" s="32" t="s">
        <v>66</v>
      </c>
      <c r="K1800" s="32" t="s">
        <v>63</v>
      </c>
    </row>
    <row r="1801" customFormat="false" ht="13.5" hidden="false" customHeight="true" outlineLevel="0" collapsed="false">
      <c r="A1801" s="32" t="n">
        <v>3858</v>
      </c>
      <c r="B1801" s="32" t="s">
        <v>1557</v>
      </c>
      <c r="C1801" s="32" t="s">
        <v>1558</v>
      </c>
      <c r="D1801" s="32" t="s">
        <v>59</v>
      </c>
      <c r="E1801" s="32" t="s">
        <v>107</v>
      </c>
      <c r="F1801" s="32" t="n">
        <v>8586063035</v>
      </c>
      <c r="G1801" s="32" t="s">
        <v>144</v>
      </c>
      <c r="H1801" s="32" t="s">
        <v>21</v>
      </c>
      <c r="I1801" s="32" t="s">
        <v>95</v>
      </c>
      <c r="J1801" s="32" t="s">
        <v>96</v>
      </c>
      <c r="K1801" s="32" t="s">
        <v>63</v>
      </c>
    </row>
    <row r="1802" customFormat="false" ht="13.5" hidden="false" customHeight="true" outlineLevel="0" collapsed="false">
      <c r="A1802" s="32" t="n">
        <v>3859</v>
      </c>
      <c r="B1802" s="32" t="s">
        <v>1557</v>
      </c>
      <c r="C1802" s="32" t="s">
        <v>1558</v>
      </c>
      <c r="D1802" s="32" t="s">
        <v>59</v>
      </c>
      <c r="E1802" s="32" t="s">
        <v>107</v>
      </c>
      <c r="F1802" s="32" t="n">
        <v>8586063035</v>
      </c>
      <c r="G1802" s="32" t="s">
        <v>144</v>
      </c>
      <c r="H1802" s="32" t="s">
        <v>21</v>
      </c>
      <c r="I1802" s="32" t="s">
        <v>133</v>
      </c>
      <c r="J1802" s="32" t="s">
        <v>134</v>
      </c>
      <c r="K1802" s="32" t="s">
        <v>63</v>
      </c>
    </row>
    <row r="1803" customFormat="false" ht="13.5" hidden="false" customHeight="true" outlineLevel="0" collapsed="false">
      <c r="A1803" s="32" t="n">
        <v>3860</v>
      </c>
      <c r="B1803" s="32" t="s">
        <v>1557</v>
      </c>
      <c r="C1803" s="32" t="s">
        <v>1558</v>
      </c>
      <c r="D1803" s="32" t="s">
        <v>59</v>
      </c>
      <c r="E1803" s="32" t="s">
        <v>107</v>
      </c>
      <c r="F1803" s="32" t="n">
        <v>8586063035</v>
      </c>
      <c r="G1803" s="32" t="s">
        <v>144</v>
      </c>
      <c r="H1803" s="32" t="s">
        <v>21</v>
      </c>
      <c r="I1803" s="32" t="s">
        <v>116</v>
      </c>
      <c r="J1803" s="32" t="s">
        <v>117</v>
      </c>
      <c r="K1803" s="32" t="s">
        <v>63</v>
      </c>
    </row>
    <row r="1804" customFormat="false" ht="13.5" hidden="false" customHeight="true" outlineLevel="0" collapsed="false">
      <c r="A1804" s="32" t="n">
        <v>3861</v>
      </c>
      <c r="B1804" s="32" t="s">
        <v>1559</v>
      </c>
      <c r="C1804" s="32" t="s">
        <v>1560</v>
      </c>
      <c r="D1804" s="32" t="s">
        <v>114</v>
      </c>
      <c r="E1804" s="32" t="s">
        <v>115</v>
      </c>
      <c r="F1804" s="32" t="n">
        <v>8985394365</v>
      </c>
      <c r="G1804" s="32" t="s">
        <v>80</v>
      </c>
      <c r="H1804" s="32" t="s">
        <v>22</v>
      </c>
      <c r="I1804" s="32" t="s">
        <v>145</v>
      </c>
      <c r="J1804" s="32" t="s">
        <v>117</v>
      </c>
      <c r="K1804" s="32" t="s">
        <v>63</v>
      </c>
    </row>
    <row r="1805" customFormat="false" ht="13.5" hidden="false" customHeight="true" outlineLevel="0" collapsed="false">
      <c r="A1805" s="32" t="n">
        <v>3862</v>
      </c>
      <c r="B1805" s="32" t="s">
        <v>1559</v>
      </c>
      <c r="C1805" s="32" t="s">
        <v>1560</v>
      </c>
      <c r="D1805" s="32" t="s">
        <v>114</v>
      </c>
      <c r="E1805" s="32" t="s">
        <v>115</v>
      </c>
      <c r="F1805" s="32" t="n">
        <v>8985394365</v>
      </c>
      <c r="G1805" s="32" t="s">
        <v>80</v>
      </c>
      <c r="H1805" s="32" t="s">
        <v>22</v>
      </c>
      <c r="I1805" s="32" t="s">
        <v>126</v>
      </c>
      <c r="J1805" s="32" t="s">
        <v>85</v>
      </c>
      <c r="K1805" s="32" t="s">
        <v>63</v>
      </c>
    </row>
    <row r="1806" customFormat="false" ht="13.5" hidden="false" customHeight="true" outlineLevel="0" collapsed="false">
      <c r="A1806" s="32" t="n">
        <v>3863</v>
      </c>
      <c r="B1806" s="32" t="s">
        <v>1561</v>
      </c>
      <c r="C1806" s="32" t="s">
        <v>1562</v>
      </c>
      <c r="D1806" s="32" t="s">
        <v>114</v>
      </c>
      <c r="E1806" s="32" t="s">
        <v>165</v>
      </c>
      <c r="F1806" s="32" t="n">
        <v>9075729220</v>
      </c>
      <c r="G1806" s="32" t="s">
        <v>80</v>
      </c>
      <c r="H1806" s="32" t="s">
        <v>22</v>
      </c>
      <c r="I1806" s="32" t="s">
        <v>145</v>
      </c>
      <c r="J1806" s="32" t="s">
        <v>117</v>
      </c>
      <c r="K1806" s="32" t="s">
        <v>63</v>
      </c>
    </row>
    <row r="1807" customFormat="false" ht="13.5" hidden="false" customHeight="true" outlineLevel="0" collapsed="false">
      <c r="A1807" s="32" t="n">
        <v>3864</v>
      </c>
      <c r="B1807" s="32" t="s">
        <v>1561</v>
      </c>
      <c r="C1807" s="32" t="s">
        <v>1562</v>
      </c>
      <c r="D1807" s="32" t="s">
        <v>114</v>
      </c>
      <c r="E1807" s="32" t="s">
        <v>165</v>
      </c>
      <c r="F1807" s="32" t="n">
        <v>9075729220</v>
      </c>
      <c r="G1807" s="32" t="s">
        <v>80</v>
      </c>
      <c r="H1807" s="32" t="s">
        <v>22</v>
      </c>
      <c r="I1807" s="32" t="s">
        <v>172</v>
      </c>
      <c r="J1807" s="32" t="s">
        <v>152</v>
      </c>
      <c r="K1807" s="32" t="s">
        <v>63</v>
      </c>
    </row>
    <row r="1808" customFormat="false" ht="13.5" hidden="false" customHeight="true" outlineLevel="0" collapsed="false">
      <c r="A1808" s="32" t="n">
        <v>3865</v>
      </c>
      <c r="B1808" s="32" t="s">
        <v>1561</v>
      </c>
      <c r="C1808" s="32" t="s">
        <v>1563</v>
      </c>
      <c r="D1808" s="32" t="s">
        <v>114</v>
      </c>
      <c r="E1808" s="32" t="s">
        <v>165</v>
      </c>
      <c r="F1808" s="32" t="n">
        <v>9075729220</v>
      </c>
      <c r="G1808" s="32" t="s">
        <v>80</v>
      </c>
      <c r="H1808" s="32" t="s">
        <v>22</v>
      </c>
      <c r="I1808" s="32" t="s">
        <v>27</v>
      </c>
      <c r="J1808" s="32" t="s">
        <v>13</v>
      </c>
      <c r="K1808" s="32" t="s">
        <v>63</v>
      </c>
    </row>
    <row r="1809" customFormat="false" ht="13.5" hidden="false" customHeight="true" outlineLevel="0" collapsed="false">
      <c r="A1809" s="32" t="n">
        <v>3866</v>
      </c>
      <c r="B1809" s="32" t="s">
        <v>1561</v>
      </c>
      <c r="C1809" s="32" t="s">
        <v>1563</v>
      </c>
      <c r="D1809" s="32" t="s">
        <v>114</v>
      </c>
      <c r="E1809" s="32" t="s">
        <v>165</v>
      </c>
      <c r="F1809" s="32" t="n">
        <v>9075729220</v>
      </c>
      <c r="G1809" s="32" t="s">
        <v>80</v>
      </c>
      <c r="H1809" s="32" t="s">
        <v>22</v>
      </c>
      <c r="I1809" s="32" t="s">
        <v>111</v>
      </c>
      <c r="J1809" s="32" t="s">
        <v>73</v>
      </c>
      <c r="K1809" s="32" t="s">
        <v>63</v>
      </c>
    </row>
    <row r="1810" customFormat="false" ht="13.5" hidden="false" customHeight="true" outlineLevel="0" collapsed="false">
      <c r="A1810" s="32" t="n">
        <v>3867</v>
      </c>
      <c r="B1810" s="32" t="s">
        <v>1564</v>
      </c>
      <c r="C1810" s="32" t="s">
        <v>1565</v>
      </c>
      <c r="D1810" s="32" t="s">
        <v>59</v>
      </c>
      <c r="E1810" s="32" t="s">
        <v>143</v>
      </c>
      <c r="F1810" s="32" t="n">
        <v>9977583600</v>
      </c>
      <c r="G1810" s="32" t="s">
        <v>80</v>
      </c>
      <c r="H1810" s="32" t="s">
        <v>21</v>
      </c>
      <c r="I1810" s="32" t="s">
        <v>221</v>
      </c>
      <c r="J1810" s="32" t="s">
        <v>222</v>
      </c>
      <c r="K1810" s="32" t="s">
        <v>63</v>
      </c>
    </row>
    <row r="1811" customFormat="false" ht="13.5" hidden="false" customHeight="true" outlineLevel="0" collapsed="false">
      <c r="A1811" s="32" t="n">
        <v>3868</v>
      </c>
      <c r="B1811" s="32" t="s">
        <v>1564</v>
      </c>
      <c r="C1811" s="32" t="s">
        <v>1565</v>
      </c>
      <c r="D1811" s="32" t="s">
        <v>59</v>
      </c>
      <c r="E1811" s="32" t="s">
        <v>143</v>
      </c>
      <c r="F1811" s="32" t="n">
        <v>9977583600</v>
      </c>
      <c r="G1811" s="32" t="s">
        <v>80</v>
      </c>
      <c r="H1811" s="32" t="s">
        <v>21</v>
      </c>
      <c r="I1811" s="32" t="s">
        <v>108</v>
      </c>
      <c r="J1811" s="32" t="s">
        <v>71</v>
      </c>
      <c r="K1811" s="32" t="s">
        <v>63</v>
      </c>
    </row>
    <row r="1812" customFormat="false" ht="13.5" hidden="false" customHeight="true" outlineLevel="0" collapsed="false">
      <c r="A1812" s="32" t="n">
        <v>3869</v>
      </c>
      <c r="B1812" s="32" t="s">
        <v>1564</v>
      </c>
      <c r="C1812" s="32" t="s">
        <v>1565</v>
      </c>
      <c r="D1812" s="32" t="s">
        <v>59</v>
      </c>
      <c r="E1812" s="32" t="s">
        <v>143</v>
      </c>
      <c r="F1812" s="32" t="n">
        <v>9977583600</v>
      </c>
      <c r="G1812" s="32" t="s">
        <v>80</v>
      </c>
      <c r="H1812" s="32" t="s">
        <v>21</v>
      </c>
      <c r="I1812" s="32" t="s">
        <v>145</v>
      </c>
      <c r="J1812" s="32" t="s">
        <v>117</v>
      </c>
      <c r="K1812" s="32" t="s">
        <v>63</v>
      </c>
    </row>
    <row r="1813" customFormat="false" ht="13.5" hidden="false" customHeight="true" outlineLevel="0" collapsed="false">
      <c r="A1813" s="32" t="n">
        <v>3875</v>
      </c>
      <c r="B1813" s="32" t="s">
        <v>1564</v>
      </c>
      <c r="C1813" s="32" t="s">
        <v>1565</v>
      </c>
      <c r="D1813" s="32" t="s">
        <v>59</v>
      </c>
      <c r="E1813" s="32" t="s">
        <v>143</v>
      </c>
      <c r="F1813" s="32" t="n">
        <v>9977583600</v>
      </c>
      <c r="G1813" s="32" t="s">
        <v>80</v>
      </c>
      <c r="H1813" s="32" t="s">
        <v>21</v>
      </c>
      <c r="I1813" s="32" t="s">
        <v>280</v>
      </c>
      <c r="J1813" s="32" t="s">
        <v>76</v>
      </c>
      <c r="K1813" s="32" t="s">
        <v>63</v>
      </c>
    </row>
    <row r="1814" customFormat="false" ht="13.5" hidden="false" customHeight="true" outlineLevel="0" collapsed="false">
      <c r="A1814" s="32" t="n">
        <v>3876</v>
      </c>
      <c r="B1814" s="32" t="s">
        <v>1566</v>
      </c>
      <c r="C1814" s="32" t="s">
        <v>1567</v>
      </c>
      <c r="D1814" s="32" t="s">
        <v>59</v>
      </c>
      <c r="E1814" s="32" t="s">
        <v>1568</v>
      </c>
      <c r="F1814" s="32" t="n">
        <v>8280080338</v>
      </c>
      <c r="G1814" s="32" t="s">
        <v>61</v>
      </c>
      <c r="H1814" s="32" t="s">
        <v>21</v>
      </c>
      <c r="I1814" s="32" t="s">
        <v>1569</v>
      </c>
      <c r="J1814" s="32" t="s">
        <v>235</v>
      </c>
      <c r="K1814" s="32" t="s">
        <v>63</v>
      </c>
    </row>
    <row r="1815" customFormat="false" ht="13.5" hidden="false" customHeight="true" outlineLevel="0" collapsed="false">
      <c r="A1815" s="32" t="n">
        <v>3877</v>
      </c>
      <c r="B1815" s="32" t="s">
        <v>1566</v>
      </c>
      <c r="C1815" s="32" t="s">
        <v>1567</v>
      </c>
      <c r="D1815" s="32" t="s">
        <v>59</v>
      </c>
      <c r="E1815" s="32" t="s">
        <v>1568</v>
      </c>
      <c r="F1815" s="32" t="n">
        <v>8280080338</v>
      </c>
      <c r="G1815" s="32" t="s">
        <v>61</v>
      </c>
      <c r="H1815" s="32" t="s">
        <v>21</v>
      </c>
      <c r="I1815" s="32" t="s">
        <v>1570</v>
      </c>
      <c r="J1815" s="32" t="s">
        <v>1571</v>
      </c>
      <c r="K1815" s="32" t="s">
        <v>63</v>
      </c>
    </row>
    <row r="1816" customFormat="false" ht="13.5" hidden="false" customHeight="true" outlineLevel="0" collapsed="false">
      <c r="A1816" s="32" t="n">
        <v>3879</v>
      </c>
      <c r="B1816" s="32" t="s">
        <v>1572</v>
      </c>
      <c r="C1816" s="32" t="s">
        <v>1573</v>
      </c>
      <c r="D1816" s="32" t="s">
        <v>59</v>
      </c>
      <c r="E1816" s="32" t="s">
        <v>60</v>
      </c>
      <c r="F1816" s="33" t="n">
        <v>917875000000</v>
      </c>
      <c r="G1816" s="32" t="s">
        <v>61</v>
      </c>
      <c r="H1816" s="32" t="s">
        <v>21</v>
      </c>
      <c r="I1816" s="32" t="s">
        <v>456</v>
      </c>
      <c r="J1816" s="32" t="s">
        <v>66</v>
      </c>
      <c r="K1816" s="32" t="s">
        <v>63</v>
      </c>
    </row>
    <row r="1817" customFormat="false" ht="13.5" hidden="false" customHeight="true" outlineLevel="0" collapsed="false">
      <c r="A1817" s="32" t="n">
        <v>3880</v>
      </c>
      <c r="B1817" s="32" t="s">
        <v>1572</v>
      </c>
      <c r="C1817" s="32" t="s">
        <v>1573</v>
      </c>
      <c r="D1817" s="32" t="s">
        <v>59</v>
      </c>
      <c r="E1817" s="32" t="s">
        <v>60</v>
      </c>
      <c r="F1817" s="32" t="n">
        <v>7874885040</v>
      </c>
      <c r="G1817" s="32" t="s">
        <v>61</v>
      </c>
      <c r="H1817" s="32" t="s">
        <v>21</v>
      </c>
      <c r="I1817" s="32" t="s">
        <v>333</v>
      </c>
      <c r="J1817" s="32" t="s">
        <v>235</v>
      </c>
      <c r="K1817" s="32" t="s">
        <v>63</v>
      </c>
    </row>
    <row r="1818" customFormat="false" ht="13.5" hidden="false" customHeight="true" outlineLevel="0" collapsed="false">
      <c r="A1818" s="32" t="n">
        <v>3881</v>
      </c>
      <c r="B1818" s="32" t="s">
        <v>1574</v>
      </c>
      <c r="C1818" s="32" t="s">
        <v>1575</v>
      </c>
      <c r="D1818" s="32" t="s">
        <v>59</v>
      </c>
      <c r="E1818" s="32" t="s">
        <v>143</v>
      </c>
      <c r="F1818" s="32" t="n">
        <v>9871423796</v>
      </c>
      <c r="G1818" s="32" t="s">
        <v>144</v>
      </c>
      <c r="H1818" s="32" t="s">
        <v>21</v>
      </c>
      <c r="I1818" s="32" t="s">
        <v>386</v>
      </c>
      <c r="J1818" s="32" t="s">
        <v>132</v>
      </c>
      <c r="K1818" s="32" t="s">
        <v>63</v>
      </c>
    </row>
    <row r="1819" customFormat="false" ht="13.5" hidden="false" customHeight="true" outlineLevel="0" collapsed="false">
      <c r="A1819" s="32" t="n">
        <v>3882</v>
      </c>
      <c r="B1819" s="32" t="s">
        <v>1574</v>
      </c>
      <c r="C1819" s="32" t="s">
        <v>1576</v>
      </c>
      <c r="D1819" s="32" t="s">
        <v>59</v>
      </c>
      <c r="E1819" s="32" t="s">
        <v>143</v>
      </c>
      <c r="F1819" s="32" t="n">
        <v>9871423796</v>
      </c>
      <c r="G1819" s="32" t="s">
        <v>144</v>
      </c>
      <c r="H1819" s="32" t="s">
        <v>21</v>
      </c>
      <c r="I1819" s="32" t="s">
        <v>825</v>
      </c>
      <c r="J1819" s="32" t="s">
        <v>132</v>
      </c>
      <c r="K1819" s="32" t="s">
        <v>63</v>
      </c>
    </row>
    <row r="1820" customFormat="false" ht="13.5" hidden="false" customHeight="true" outlineLevel="0" collapsed="false">
      <c r="A1820" s="32" t="n">
        <v>3883</v>
      </c>
      <c r="B1820" s="32" t="s">
        <v>1574</v>
      </c>
      <c r="C1820" s="32" t="s">
        <v>1576</v>
      </c>
      <c r="D1820" s="32" t="s">
        <v>59</v>
      </c>
      <c r="E1820" s="32" t="s">
        <v>143</v>
      </c>
      <c r="F1820" s="32" t="n">
        <v>9871423796</v>
      </c>
      <c r="G1820" s="32" t="s">
        <v>144</v>
      </c>
      <c r="H1820" s="32" t="s">
        <v>21</v>
      </c>
      <c r="I1820" s="32" t="s">
        <v>172</v>
      </c>
      <c r="J1820" s="32" t="s">
        <v>152</v>
      </c>
      <c r="K1820" s="32" t="s">
        <v>63</v>
      </c>
    </row>
    <row r="1821" customFormat="false" ht="13.5" hidden="false" customHeight="true" outlineLevel="0" collapsed="false">
      <c r="A1821" s="32" t="n">
        <v>3884</v>
      </c>
      <c r="B1821" s="32" t="s">
        <v>1577</v>
      </c>
      <c r="C1821" s="32" t="s">
        <v>1578</v>
      </c>
      <c r="D1821" s="32" t="s">
        <v>59</v>
      </c>
      <c r="E1821" s="32" t="s">
        <v>60</v>
      </c>
      <c r="F1821" s="33" t="n">
        <v>917889000000</v>
      </c>
      <c r="G1821" s="32" t="s">
        <v>61</v>
      </c>
      <c r="H1821" s="32" t="s">
        <v>21</v>
      </c>
      <c r="I1821" s="32" t="s">
        <v>75</v>
      </c>
      <c r="J1821" s="32" t="s">
        <v>76</v>
      </c>
      <c r="K1821" s="32" t="s">
        <v>63</v>
      </c>
    </row>
    <row r="1822" customFormat="false" ht="13.5" hidden="false" customHeight="true" outlineLevel="0" collapsed="false">
      <c r="A1822" s="32" t="n">
        <v>3885</v>
      </c>
      <c r="B1822" s="32" t="s">
        <v>1579</v>
      </c>
      <c r="C1822" s="32" t="s">
        <v>1580</v>
      </c>
      <c r="D1822" s="32" t="s">
        <v>114</v>
      </c>
      <c r="E1822" s="32" t="s">
        <v>165</v>
      </c>
      <c r="F1822" s="32" t="n">
        <v>9916111132</v>
      </c>
      <c r="G1822" s="32" t="s">
        <v>140</v>
      </c>
      <c r="H1822" s="32" t="s">
        <v>22</v>
      </c>
      <c r="I1822" s="32" t="s">
        <v>248</v>
      </c>
      <c r="J1822" s="32" t="s">
        <v>117</v>
      </c>
      <c r="K1822" s="32" t="s">
        <v>63</v>
      </c>
    </row>
    <row r="1823" customFormat="false" ht="13.5" hidden="false" customHeight="true" outlineLevel="0" collapsed="false">
      <c r="A1823" s="32" t="n">
        <v>3886</v>
      </c>
      <c r="B1823" s="32" t="s">
        <v>1579</v>
      </c>
      <c r="C1823" s="32" t="s">
        <v>1580</v>
      </c>
      <c r="D1823" s="32" t="s">
        <v>114</v>
      </c>
      <c r="E1823" s="32" t="s">
        <v>165</v>
      </c>
      <c r="F1823" s="32" t="n">
        <v>9916111132</v>
      </c>
      <c r="G1823" s="32" t="s">
        <v>140</v>
      </c>
      <c r="H1823" s="32" t="s">
        <v>22</v>
      </c>
      <c r="I1823" s="32" t="s">
        <v>30</v>
      </c>
      <c r="J1823" s="32" t="s">
        <v>203</v>
      </c>
      <c r="K1823" s="32" t="s">
        <v>63</v>
      </c>
    </row>
    <row r="1824" customFormat="false" ht="13.5" hidden="false" customHeight="true" outlineLevel="0" collapsed="false">
      <c r="A1824" s="32" t="n">
        <v>3887</v>
      </c>
      <c r="B1824" s="32" t="s">
        <v>1579</v>
      </c>
      <c r="C1824" s="32" t="s">
        <v>1580</v>
      </c>
      <c r="D1824" s="32" t="s">
        <v>114</v>
      </c>
      <c r="E1824" s="32" t="s">
        <v>165</v>
      </c>
      <c r="F1824" s="32" t="n">
        <v>9916111132</v>
      </c>
      <c r="G1824" s="32" t="s">
        <v>140</v>
      </c>
      <c r="H1824" s="32" t="s">
        <v>22</v>
      </c>
      <c r="I1824" s="32" t="s">
        <v>93</v>
      </c>
      <c r="J1824" s="32" t="s">
        <v>85</v>
      </c>
      <c r="K1824" s="32" t="s">
        <v>63</v>
      </c>
    </row>
    <row r="1825" customFormat="false" ht="13.5" hidden="false" customHeight="true" outlineLevel="0" collapsed="false">
      <c r="A1825" s="32" t="n">
        <v>3888</v>
      </c>
      <c r="B1825" s="32" t="s">
        <v>1581</v>
      </c>
      <c r="C1825" s="32" t="s">
        <v>1582</v>
      </c>
      <c r="D1825" s="32" t="s">
        <v>114</v>
      </c>
      <c r="E1825" s="32" t="s">
        <v>1583</v>
      </c>
      <c r="F1825" s="32" t="n">
        <v>0</v>
      </c>
      <c r="G1825" s="32" t="s">
        <v>61</v>
      </c>
      <c r="H1825" s="32" t="s">
        <v>22</v>
      </c>
      <c r="I1825" s="32" t="s">
        <v>1584</v>
      </c>
      <c r="J1825" s="32" t="s">
        <v>84</v>
      </c>
      <c r="K1825" s="32" t="s">
        <v>63</v>
      </c>
    </row>
    <row r="1826" customFormat="false" ht="13.5" hidden="false" customHeight="true" outlineLevel="0" collapsed="false">
      <c r="A1826" s="32" t="n">
        <v>3889</v>
      </c>
      <c r="B1826" s="32" t="s">
        <v>1581</v>
      </c>
      <c r="C1826" s="32" t="s">
        <v>1582</v>
      </c>
      <c r="D1826" s="32" t="s">
        <v>114</v>
      </c>
      <c r="E1826" s="32" t="s">
        <v>1583</v>
      </c>
      <c r="F1826" s="32" t="n">
        <v>0</v>
      </c>
      <c r="G1826" s="32" t="s">
        <v>61</v>
      </c>
      <c r="H1826" s="32" t="s">
        <v>22</v>
      </c>
      <c r="I1826" s="32" t="s">
        <v>826</v>
      </c>
      <c r="J1826" s="32" t="s">
        <v>84</v>
      </c>
      <c r="K1826" s="32" t="s">
        <v>63</v>
      </c>
    </row>
    <row r="1827" customFormat="false" ht="13.5" hidden="false" customHeight="true" outlineLevel="0" collapsed="false">
      <c r="A1827" s="32" t="n">
        <v>3890</v>
      </c>
      <c r="B1827" s="32" t="s">
        <v>1585</v>
      </c>
      <c r="C1827" s="32" t="s">
        <v>1586</v>
      </c>
      <c r="D1827" s="32" t="s">
        <v>114</v>
      </c>
      <c r="E1827" s="32" t="s">
        <v>124</v>
      </c>
      <c r="F1827" s="33" t="n">
        <v>918699000000</v>
      </c>
      <c r="G1827" s="32" t="s">
        <v>144</v>
      </c>
      <c r="H1827" s="32" t="s">
        <v>22</v>
      </c>
      <c r="I1827" s="32" t="s">
        <v>239</v>
      </c>
      <c r="J1827" s="32" t="s">
        <v>132</v>
      </c>
      <c r="K1827" s="32" t="s">
        <v>63</v>
      </c>
    </row>
    <row r="1828" customFormat="false" ht="13.5" hidden="false" customHeight="true" outlineLevel="0" collapsed="false">
      <c r="A1828" s="32" t="n">
        <v>3891</v>
      </c>
      <c r="B1828" s="32" t="s">
        <v>1585</v>
      </c>
      <c r="C1828" s="32" t="s">
        <v>1587</v>
      </c>
      <c r="D1828" s="32" t="s">
        <v>114</v>
      </c>
      <c r="E1828" s="32" t="s">
        <v>124</v>
      </c>
      <c r="F1828" s="32" t="n">
        <v>8698887813</v>
      </c>
      <c r="G1828" s="32" t="s">
        <v>144</v>
      </c>
      <c r="H1828" s="32" t="s">
        <v>22</v>
      </c>
      <c r="I1828" s="32" t="s">
        <v>242</v>
      </c>
      <c r="J1828" s="32" t="s">
        <v>241</v>
      </c>
      <c r="K1828" s="32" t="s">
        <v>63</v>
      </c>
    </row>
    <row r="1829" customFormat="false" ht="13.5" hidden="false" customHeight="true" outlineLevel="0" collapsed="false">
      <c r="A1829" s="32" t="n">
        <v>3892</v>
      </c>
      <c r="B1829" s="32" t="s">
        <v>1585</v>
      </c>
      <c r="C1829" s="32" t="s">
        <v>1587</v>
      </c>
      <c r="D1829" s="32" t="s">
        <v>114</v>
      </c>
      <c r="E1829" s="32" t="s">
        <v>124</v>
      </c>
      <c r="F1829" s="32" t="n">
        <v>8698887813</v>
      </c>
      <c r="G1829" s="32" t="s">
        <v>144</v>
      </c>
      <c r="H1829" s="32" t="s">
        <v>22</v>
      </c>
      <c r="I1829" s="32" t="s">
        <v>133</v>
      </c>
      <c r="J1829" s="32" t="s">
        <v>134</v>
      </c>
      <c r="K1829" s="32" t="s">
        <v>63</v>
      </c>
    </row>
    <row r="1830" customFormat="false" ht="13.5" hidden="false" customHeight="true" outlineLevel="0" collapsed="false">
      <c r="A1830" s="32" t="n">
        <v>3893</v>
      </c>
      <c r="B1830" s="32" t="s">
        <v>1588</v>
      </c>
      <c r="C1830" s="32" t="s">
        <v>1589</v>
      </c>
      <c r="D1830" s="32" t="s">
        <v>59</v>
      </c>
      <c r="E1830" s="32" t="s">
        <v>143</v>
      </c>
      <c r="F1830" s="32" t="n">
        <v>7059307239</v>
      </c>
      <c r="G1830" s="32" t="s">
        <v>140</v>
      </c>
      <c r="H1830" s="32" t="s">
        <v>21</v>
      </c>
      <c r="I1830" s="32" t="s">
        <v>27</v>
      </c>
      <c r="J1830" s="32" t="s">
        <v>13</v>
      </c>
      <c r="K1830" s="32" t="s">
        <v>63</v>
      </c>
    </row>
    <row r="1831" customFormat="false" ht="13.5" hidden="false" customHeight="true" outlineLevel="0" collapsed="false">
      <c r="A1831" s="32" t="n">
        <v>3894</v>
      </c>
      <c r="B1831" s="32" t="s">
        <v>1590</v>
      </c>
      <c r="C1831" s="32" t="s">
        <v>1591</v>
      </c>
      <c r="D1831" s="32" t="s">
        <v>114</v>
      </c>
      <c r="E1831" s="32" t="s">
        <v>115</v>
      </c>
      <c r="F1831" s="32" t="n">
        <v>8147644827</v>
      </c>
      <c r="G1831" s="32" t="s">
        <v>61</v>
      </c>
      <c r="H1831" s="32" t="s">
        <v>22</v>
      </c>
      <c r="I1831" s="32" t="s">
        <v>93</v>
      </c>
      <c r="J1831" s="32" t="s">
        <v>85</v>
      </c>
      <c r="K1831" s="32" t="s">
        <v>63</v>
      </c>
    </row>
    <row r="1832" customFormat="false" ht="13.5" hidden="false" customHeight="true" outlineLevel="0" collapsed="false">
      <c r="A1832" s="32" t="n">
        <v>3895</v>
      </c>
      <c r="B1832" s="32" t="s">
        <v>1590</v>
      </c>
      <c r="C1832" s="32" t="s">
        <v>1591</v>
      </c>
      <c r="D1832" s="32" t="s">
        <v>114</v>
      </c>
      <c r="E1832" s="32" t="s">
        <v>115</v>
      </c>
      <c r="F1832" s="32" t="n">
        <v>8147644827</v>
      </c>
      <c r="G1832" s="32" t="s">
        <v>61</v>
      </c>
      <c r="H1832" s="32" t="s">
        <v>22</v>
      </c>
      <c r="I1832" s="32" t="s">
        <v>126</v>
      </c>
      <c r="J1832" s="32" t="s">
        <v>85</v>
      </c>
      <c r="K1832" s="32" t="s">
        <v>63</v>
      </c>
    </row>
    <row r="1833" customFormat="false" ht="13.5" hidden="false" customHeight="true" outlineLevel="0" collapsed="false">
      <c r="A1833" s="32" t="n">
        <v>3896</v>
      </c>
      <c r="B1833" s="32" t="s">
        <v>1590</v>
      </c>
      <c r="C1833" s="32" t="s">
        <v>1591</v>
      </c>
      <c r="D1833" s="32" t="s">
        <v>114</v>
      </c>
      <c r="E1833" s="32" t="s">
        <v>115</v>
      </c>
      <c r="F1833" s="32" t="n">
        <v>8147644827</v>
      </c>
      <c r="G1833" s="32" t="s">
        <v>61</v>
      </c>
      <c r="H1833" s="32" t="s">
        <v>22</v>
      </c>
      <c r="I1833" s="32" t="s">
        <v>149</v>
      </c>
      <c r="J1833" s="32" t="s">
        <v>73</v>
      </c>
      <c r="K1833" s="32" t="s">
        <v>63</v>
      </c>
    </row>
    <row r="1834" customFormat="false" ht="13.5" hidden="false" customHeight="true" outlineLevel="0" collapsed="false">
      <c r="A1834" s="32" t="n">
        <v>3897</v>
      </c>
      <c r="B1834" s="32" t="s">
        <v>1592</v>
      </c>
      <c r="C1834" s="32" t="s">
        <v>1593</v>
      </c>
      <c r="D1834" s="32" t="s">
        <v>114</v>
      </c>
      <c r="E1834" s="32" t="s">
        <v>124</v>
      </c>
      <c r="F1834" s="32" t="n">
        <v>9299990219</v>
      </c>
      <c r="G1834" s="32" t="s">
        <v>80</v>
      </c>
      <c r="H1834" s="32" t="s">
        <v>22</v>
      </c>
      <c r="I1834" s="32" t="s">
        <v>108</v>
      </c>
      <c r="J1834" s="32" t="s">
        <v>71</v>
      </c>
      <c r="K1834" s="32" t="s">
        <v>63</v>
      </c>
    </row>
    <row r="1835" customFormat="false" ht="13.5" hidden="false" customHeight="true" outlineLevel="0" collapsed="false">
      <c r="A1835" s="32" t="n">
        <v>3898</v>
      </c>
      <c r="B1835" s="32" t="s">
        <v>1592</v>
      </c>
      <c r="C1835" s="32" t="s">
        <v>1594</v>
      </c>
      <c r="D1835" s="32" t="s">
        <v>114</v>
      </c>
      <c r="E1835" s="32" t="s">
        <v>124</v>
      </c>
      <c r="F1835" s="32" t="n">
        <v>9299990219</v>
      </c>
      <c r="G1835" s="32" t="s">
        <v>80</v>
      </c>
      <c r="H1835" s="32" t="s">
        <v>22</v>
      </c>
      <c r="I1835" s="32" t="s">
        <v>185</v>
      </c>
      <c r="J1835" s="32" t="s">
        <v>186</v>
      </c>
      <c r="K1835" s="32" t="s">
        <v>63</v>
      </c>
    </row>
    <row r="1836" customFormat="false" ht="13.5" hidden="false" customHeight="true" outlineLevel="0" collapsed="false">
      <c r="A1836" s="32" t="n">
        <v>3899</v>
      </c>
      <c r="B1836" s="32" t="s">
        <v>1592</v>
      </c>
      <c r="C1836" s="32" t="s">
        <v>1593</v>
      </c>
      <c r="D1836" s="32" t="s">
        <v>114</v>
      </c>
      <c r="E1836" s="32" t="s">
        <v>124</v>
      </c>
      <c r="F1836" s="32" t="n">
        <v>9299990219</v>
      </c>
      <c r="G1836" s="32" t="s">
        <v>80</v>
      </c>
      <c r="H1836" s="32" t="s">
        <v>22</v>
      </c>
      <c r="I1836" s="32" t="s">
        <v>227</v>
      </c>
      <c r="J1836" s="32" t="s">
        <v>228</v>
      </c>
      <c r="K1836" s="32" t="s">
        <v>63</v>
      </c>
    </row>
    <row r="1837" customFormat="false" ht="13.5" hidden="false" customHeight="true" outlineLevel="0" collapsed="false">
      <c r="A1837" s="32" t="n">
        <v>3900</v>
      </c>
      <c r="B1837" s="32" t="s">
        <v>1595</v>
      </c>
      <c r="C1837" s="32" t="s">
        <v>1596</v>
      </c>
      <c r="D1837" s="32" t="s">
        <v>59</v>
      </c>
      <c r="E1837" s="32" t="s">
        <v>143</v>
      </c>
      <c r="F1837" s="32" t="n">
        <v>9848686006</v>
      </c>
      <c r="G1837" s="32" t="s">
        <v>80</v>
      </c>
      <c r="H1837" s="32" t="s">
        <v>21</v>
      </c>
      <c r="I1837" s="32" t="s">
        <v>27</v>
      </c>
      <c r="J1837" s="32" t="s">
        <v>13</v>
      </c>
      <c r="K1837" s="32" t="s">
        <v>63</v>
      </c>
    </row>
    <row r="1838" customFormat="false" ht="13.5" hidden="false" customHeight="true" outlineLevel="0" collapsed="false">
      <c r="A1838" s="32" t="n">
        <v>3901</v>
      </c>
      <c r="B1838" s="32" t="s">
        <v>1595</v>
      </c>
      <c r="C1838" s="32" t="s">
        <v>1596</v>
      </c>
      <c r="D1838" s="32" t="s">
        <v>59</v>
      </c>
      <c r="E1838" s="32" t="s">
        <v>143</v>
      </c>
      <c r="F1838" s="32" t="n">
        <v>9848686006</v>
      </c>
      <c r="G1838" s="32" t="s">
        <v>80</v>
      </c>
      <c r="H1838" s="32" t="s">
        <v>21</v>
      </c>
      <c r="I1838" s="32" t="s">
        <v>111</v>
      </c>
      <c r="J1838" s="32" t="s">
        <v>73</v>
      </c>
      <c r="K1838" s="32" t="s">
        <v>63</v>
      </c>
    </row>
    <row r="1839" customFormat="false" ht="13.5" hidden="false" customHeight="true" outlineLevel="0" collapsed="false">
      <c r="A1839" s="32" t="n">
        <v>3902</v>
      </c>
      <c r="B1839" s="32" t="s">
        <v>1597</v>
      </c>
      <c r="C1839" s="32" t="s">
        <v>1598</v>
      </c>
      <c r="D1839" s="32" t="s">
        <v>59</v>
      </c>
      <c r="E1839" s="32" t="s">
        <v>107</v>
      </c>
      <c r="F1839" s="32" t="n">
        <v>9008818846</v>
      </c>
      <c r="G1839" s="32" t="s">
        <v>61</v>
      </c>
      <c r="H1839" s="32" t="s">
        <v>21</v>
      </c>
      <c r="I1839" s="32" t="s">
        <v>93</v>
      </c>
      <c r="J1839" s="32" t="s">
        <v>85</v>
      </c>
      <c r="K1839" s="32" t="s">
        <v>63</v>
      </c>
    </row>
    <row r="1840" customFormat="false" ht="13.5" hidden="false" customHeight="true" outlineLevel="0" collapsed="false">
      <c r="A1840" s="32" t="n">
        <v>3903</v>
      </c>
      <c r="B1840" s="32" t="s">
        <v>1597</v>
      </c>
      <c r="C1840" s="32" t="s">
        <v>1598</v>
      </c>
      <c r="D1840" s="32" t="s">
        <v>59</v>
      </c>
      <c r="E1840" s="32" t="s">
        <v>107</v>
      </c>
      <c r="F1840" s="32" t="n">
        <v>9008818846</v>
      </c>
      <c r="G1840" s="32" t="s">
        <v>61</v>
      </c>
      <c r="H1840" s="32" t="s">
        <v>21</v>
      </c>
      <c r="I1840" s="32" t="s">
        <v>95</v>
      </c>
      <c r="J1840" s="32" t="s">
        <v>96</v>
      </c>
      <c r="K1840" s="32" t="s">
        <v>63</v>
      </c>
    </row>
    <row r="1841" customFormat="false" ht="13.5" hidden="false" customHeight="true" outlineLevel="0" collapsed="false">
      <c r="A1841" s="32" t="n">
        <v>3904</v>
      </c>
      <c r="B1841" s="32" t="s">
        <v>1599</v>
      </c>
      <c r="C1841" s="32" t="s">
        <v>1600</v>
      </c>
      <c r="D1841" s="32" t="s">
        <v>59</v>
      </c>
      <c r="E1841" s="32" t="s">
        <v>107</v>
      </c>
      <c r="F1841" s="33" t="n">
        <v>919591000000</v>
      </c>
      <c r="G1841" s="32" t="s">
        <v>61</v>
      </c>
      <c r="H1841" s="32" t="s">
        <v>21</v>
      </c>
      <c r="I1841" s="32" t="s">
        <v>393</v>
      </c>
      <c r="J1841" s="32" t="s">
        <v>73</v>
      </c>
      <c r="K1841" s="32" t="s">
        <v>63</v>
      </c>
    </row>
    <row r="1842" customFormat="false" ht="13.5" hidden="false" customHeight="true" outlineLevel="0" collapsed="false">
      <c r="A1842" s="32" t="n">
        <v>3905</v>
      </c>
      <c r="B1842" s="32" t="s">
        <v>1599</v>
      </c>
      <c r="C1842" s="32" t="s">
        <v>1600</v>
      </c>
      <c r="D1842" s="32" t="s">
        <v>59</v>
      </c>
      <c r="E1842" s="32" t="s">
        <v>107</v>
      </c>
      <c r="F1842" s="33" t="n">
        <v>919591000000</v>
      </c>
      <c r="G1842" s="32" t="s">
        <v>61</v>
      </c>
      <c r="H1842" s="32" t="s">
        <v>21</v>
      </c>
      <c r="I1842" s="32" t="s">
        <v>28</v>
      </c>
      <c r="J1842" s="32" t="s">
        <v>82</v>
      </c>
      <c r="K1842" s="32" t="s">
        <v>63</v>
      </c>
    </row>
    <row r="1843" customFormat="false" ht="13.5" hidden="false" customHeight="true" outlineLevel="0" collapsed="false">
      <c r="A1843" s="32" t="n">
        <v>3906</v>
      </c>
      <c r="B1843" s="32" t="s">
        <v>1599</v>
      </c>
      <c r="C1843" s="32" t="s">
        <v>1600</v>
      </c>
      <c r="D1843" s="32" t="s">
        <v>59</v>
      </c>
      <c r="E1843" s="32" t="s">
        <v>107</v>
      </c>
      <c r="F1843" s="33" t="n">
        <v>919591000000</v>
      </c>
      <c r="G1843" s="32" t="s">
        <v>61</v>
      </c>
      <c r="H1843" s="32" t="s">
        <v>21</v>
      </c>
      <c r="I1843" s="32" t="s">
        <v>234</v>
      </c>
      <c r="J1843" s="32" t="s">
        <v>235</v>
      </c>
      <c r="K1843" s="32" t="s">
        <v>63</v>
      </c>
    </row>
    <row r="1844" customFormat="false" ht="13.5" hidden="false" customHeight="true" outlineLevel="0" collapsed="false">
      <c r="A1844" s="32" t="n">
        <v>3907</v>
      </c>
      <c r="B1844" s="32" t="s">
        <v>1601</v>
      </c>
      <c r="C1844" s="32" t="s">
        <v>1602</v>
      </c>
      <c r="D1844" s="32" t="s">
        <v>114</v>
      </c>
      <c r="E1844" s="32" t="s">
        <v>366</v>
      </c>
      <c r="F1844" s="33" t="n">
        <v>919893000000</v>
      </c>
      <c r="G1844" s="32" t="s">
        <v>104</v>
      </c>
      <c r="H1844" s="32" t="s">
        <v>22</v>
      </c>
      <c r="I1844" s="32" t="s">
        <v>251</v>
      </c>
      <c r="J1844" s="32" t="s">
        <v>152</v>
      </c>
      <c r="K1844" s="32" t="s">
        <v>63</v>
      </c>
    </row>
    <row r="1845" customFormat="false" ht="13.5" hidden="false" customHeight="true" outlineLevel="0" collapsed="false">
      <c r="A1845" s="32" t="n">
        <v>3908</v>
      </c>
      <c r="B1845" s="32" t="s">
        <v>1601</v>
      </c>
      <c r="C1845" s="32" t="s">
        <v>1603</v>
      </c>
      <c r="D1845" s="32" t="s">
        <v>114</v>
      </c>
      <c r="E1845" s="32" t="s">
        <v>366</v>
      </c>
      <c r="F1845" s="32" t="n">
        <v>9892978974</v>
      </c>
      <c r="G1845" s="32" t="s">
        <v>104</v>
      </c>
      <c r="H1845" s="32" t="s">
        <v>22</v>
      </c>
      <c r="I1845" s="32" t="s">
        <v>212</v>
      </c>
      <c r="J1845" s="32" t="s">
        <v>73</v>
      </c>
      <c r="K1845" s="32" t="s">
        <v>63</v>
      </c>
    </row>
    <row r="1846" customFormat="false" ht="13.5" hidden="false" customHeight="true" outlineLevel="0" collapsed="false">
      <c r="A1846" s="32" t="n">
        <v>3910</v>
      </c>
      <c r="B1846" s="32" t="s">
        <v>1601</v>
      </c>
      <c r="C1846" s="32" t="s">
        <v>1603</v>
      </c>
      <c r="D1846" s="32" t="s">
        <v>114</v>
      </c>
      <c r="E1846" s="32" t="s">
        <v>366</v>
      </c>
      <c r="F1846" s="32" t="n">
        <v>9892978974</v>
      </c>
      <c r="G1846" s="32" t="s">
        <v>104</v>
      </c>
      <c r="H1846" s="32" t="s">
        <v>22</v>
      </c>
      <c r="I1846" s="32" t="s">
        <v>150</v>
      </c>
      <c r="J1846" s="32" t="s">
        <v>73</v>
      </c>
      <c r="K1846" s="32" t="s">
        <v>63</v>
      </c>
    </row>
    <row r="1847" customFormat="false" ht="13.5" hidden="false" customHeight="true" outlineLevel="0" collapsed="false">
      <c r="A1847" s="32" t="n">
        <v>3912</v>
      </c>
      <c r="B1847" s="32" t="s">
        <v>1601</v>
      </c>
      <c r="C1847" s="32" t="s">
        <v>1603</v>
      </c>
      <c r="D1847" s="32" t="s">
        <v>114</v>
      </c>
      <c r="E1847" s="32" t="s">
        <v>366</v>
      </c>
      <c r="F1847" s="32" t="n">
        <v>9892978974</v>
      </c>
      <c r="G1847" s="32" t="s">
        <v>104</v>
      </c>
      <c r="H1847" s="32" t="s">
        <v>22</v>
      </c>
      <c r="I1847" s="32" t="s">
        <v>108</v>
      </c>
      <c r="J1847" s="32" t="s">
        <v>71</v>
      </c>
      <c r="K1847" s="32" t="s">
        <v>63</v>
      </c>
    </row>
    <row r="1848" customFormat="false" ht="13.5" hidden="false" customHeight="true" outlineLevel="0" collapsed="false">
      <c r="A1848" s="32" t="n">
        <v>3913</v>
      </c>
      <c r="B1848" s="32" t="s">
        <v>1601</v>
      </c>
      <c r="C1848" s="32" t="s">
        <v>1603</v>
      </c>
      <c r="D1848" s="32" t="s">
        <v>114</v>
      </c>
      <c r="E1848" s="32" t="s">
        <v>366</v>
      </c>
      <c r="F1848" s="33" t="n">
        <v>919893000000</v>
      </c>
      <c r="G1848" s="32" t="s">
        <v>104</v>
      </c>
      <c r="H1848" s="32" t="s">
        <v>22</v>
      </c>
      <c r="I1848" s="32" t="s">
        <v>245</v>
      </c>
      <c r="J1848" s="32" t="s">
        <v>71</v>
      </c>
      <c r="K1848" s="32" t="s">
        <v>63</v>
      </c>
    </row>
    <row r="1849" customFormat="false" ht="13.5" hidden="false" customHeight="true" outlineLevel="0" collapsed="false">
      <c r="A1849" s="32" t="n">
        <v>3914</v>
      </c>
      <c r="B1849" s="32" t="s">
        <v>1601</v>
      </c>
      <c r="C1849" s="32" t="s">
        <v>1603</v>
      </c>
      <c r="D1849" s="32" t="s">
        <v>114</v>
      </c>
      <c r="E1849" s="32" t="s">
        <v>366</v>
      </c>
      <c r="F1849" s="33" t="n">
        <v>919893000000</v>
      </c>
      <c r="G1849" s="32" t="s">
        <v>104</v>
      </c>
      <c r="H1849" s="32" t="s">
        <v>22</v>
      </c>
      <c r="I1849" s="32" t="s">
        <v>629</v>
      </c>
      <c r="J1849" s="32" t="s">
        <v>203</v>
      </c>
      <c r="K1849" s="32" t="s">
        <v>63</v>
      </c>
    </row>
    <row r="1850" customFormat="false" ht="13.5" hidden="false" customHeight="true" outlineLevel="0" collapsed="false">
      <c r="A1850" s="32" t="n">
        <v>3915</v>
      </c>
      <c r="B1850" s="32" t="s">
        <v>1601</v>
      </c>
      <c r="C1850" s="32" t="s">
        <v>1603</v>
      </c>
      <c r="D1850" s="32" t="s">
        <v>114</v>
      </c>
      <c r="E1850" s="32" t="s">
        <v>366</v>
      </c>
      <c r="F1850" s="33" t="n">
        <v>919893000000</v>
      </c>
      <c r="G1850" s="32" t="s">
        <v>104</v>
      </c>
      <c r="H1850" s="32" t="s">
        <v>22</v>
      </c>
      <c r="I1850" s="32" t="s">
        <v>30</v>
      </c>
      <c r="J1850" s="32" t="s">
        <v>203</v>
      </c>
      <c r="K1850" s="32" t="s">
        <v>63</v>
      </c>
    </row>
    <row r="1851" customFormat="false" ht="13.5" hidden="false" customHeight="true" outlineLevel="0" collapsed="false">
      <c r="A1851" s="32" t="n">
        <v>3916</v>
      </c>
      <c r="B1851" s="32" t="s">
        <v>1604</v>
      </c>
      <c r="C1851" s="32" t="s">
        <v>1605</v>
      </c>
      <c r="D1851" s="32" t="s">
        <v>114</v>
      </c>
      <c r="E1851" s="32" t="s">
        <v>115</v>
      </c>
      <c r="F1851" s="32" t="n">
        <v>0</v>
      </c>
      <c r="G1851" s="32" t="s">
        <v>61</v>
      </c>
      <c r="H1851" s="32" t="s">
        <v>22</v>
      </c>
      <c r="I1851" s="32" t="s">
        <v>150</v>
      </c>
      <c r="J1851" s="32" t="s">
        <v>73</v>
      </c>
      <c r="K1851" s="32" t="s">
        <v>63</v>
      </c>
    </row>
    <row r="1852" customFormat="false" ht="13.5" hidden="false" customHeight="true" outlineLevel="0" collapsed="false">
      <c r="A1852" s="32" t="n">
        <v>3917</v>
      </c>
      <c r="B1852" s="32" t="s">
        <v>1604</v>
      </c>
      <c r="C1852" s="32" t="s">
        <v>1605</v>
      </c>
      <c r="D1852" s="32" t="s">
        <v>114</v>
      </c>
      <c r="E1852" s="32" t="s">
        <v>115</v>
      </c>
      <c r="F1852" s="32" t="n">
        <v>0</v>
      </c>
      <c r="G1852" s="32" t="s">
        <v>61</v>
      </c>
      <c r="H1852" s="32" t="s">
        <v>22</v>
      </c>
      <c r="I1852" s="32" t="s">
        <v>16</v>
      </c>
      <c r="J1852" s="32" t="s">
        <v>73</v>
      </c>
      <c r="K1852" s="32" t="s">
        <v>63</v>
      </c>
    </row>
    <row r="1853" customFormat="false" ht="13.5" hidden="false" customHeight="true" outlineLevel="0" collapsed="false">
      <c r="A1853" s="32" t="n">
        <v>3918</v>
      </c>
      <c r="B1853" s="32" t="s">
        <v>1604</v>
      </c>
      <c r="C1853" s="32" t="s">
        <v>1605</v>
      </c>
      <c r="D1853" s="32" t="s">
        <v>114</v>
      </c>
      <c r="E1853" s="32" t="s">
        <v>115</v>
      </c>
      <c r="F1853" s="32" t="n">
        <v>0</v>
      </c>
      <c r="G1853" s="32" t="s">
        <v>61</v>
      </c>
      <c r="H1853" s="32" t="s">
        <v>22</v>
      </c>
      <c r="I1853" s="32" t="s">
        <v>76</v>
      </c>
      <c r="J1853" s="32" t="s">
        <v>76</v>
      </c>
      <c r="K1853" s="32" t="s">
        <v>63</v>
      </c>
    </row>
    <row r="1854" customFormat="false" ht="13.5" hidden="false" customHeight="true" outlineLevel="0" collapsed="false">
      <c r="A1854" s="32" t="n">
        <v>3919</v>
      </c>
      <c r="B1854" s="32" t="s">
        <v>1604</v>
      </c>
      <c r="C1854" s="32" t="s">
        <v>1606</v>
      </c>
      <c r="D1854" s="32" t="s">
        <v>114</v>
      </c>
      <c r="E1854" s="32" t="s">
        <v>115</v>
      </c>
      <c r="F1854" s="32" t="n">
        <v>0</v>
      </c>
      <c r="G1854" s="32" t="s">
        <v>61</v>
      </c>
      <c r="H1854" s="32" t="s">
        <v>22</v>
      </c>
      <c r="I1854" s="32" t="s">
        <v>111</v>
      </c>
      <c r="J1854" s="32" t="s">
        <v>73</v>
      </c>
      <c r="K1854" s="32" t="s">
        <v>63</v>
      </c>
    </row>
    <row r="1855" customFormat="false" ht="13.5" hidden="false" customHeight="true" outlineLevel="0" collapsed="false">
      <c r="A1855" s="32" t="n">
        <v>3920</v>
      </c>
      <c r="B1855" s="32" t="s">
        <v>1604</v>
      </c>
      <c r="C1855" s="32" t="s">
        <v>1606</v>
      </c>
      <c r="D1855" s="32" t="s">
        <v>114</v>
      </c>
      <c r="E1855" s="32" t="s">
        <v>115</v>
      </c>
      <c r="F1855" s="32" t="n">
        <v>0</v>
      </c>
      <c r="G1855" s="32" t="s">
        <v>61</v>
      </c>
      <c r="H1855" s="32" t="s">
        <v>22</v>
      </c>
      <c r="I1855" s="32" t="s">
        <v>280</v>
      </c>
      <c r="J1855" s="32" t="s">
        <v>76</v>
      </c>
      <c r="K1855" s="32" t="s">
        <v>63</v>
      </c>
    </row>
    <row r="1856" customFormat="false" ht="13.5" hidden="false" customHeight="true" outlineLevel="0" collapsed="false">
      <c r="A1856" s="32" t="n">
        <v>3922</v>
      </c>
      <c r="B1856" s="32" t="s">
        <v>1604</v>
      </c>
      <c r="C1856" s="32" t="s">
        <v>1606</v>
      </c>
      <c r="D1856" s="32" t="s">
        <v>114</v>
      </c>
      <c r="E1856" s="32" t="s">
        <v>115</v>
      </c>
      <c r="F1856" s="32" t="n">
        <v>0</v>
      </c>
      <c r="G1856" s="32" t="s">
        <v>61</v>
      </c>
      <c r="H1856" s="32" t="s">
        <v>22</v>
      </c>
      <c r="I1856" s="32" t="s">
        <v>98</v>
      </c>
      <c r="J1856" s="32" t="s">
        <v>99</v>
      </c>
      <c r="K1856" s="32" t="s">
        <v>63</v>
      </c>
    </row>
    <row r="1857" customFormat="false" ht="13.5" hidden="false" customHeight="true" outlineLevel="0" collapsed="false">
      <c r="A1857" s="32" t="n">
        <v>3923</v>
      </c>
      <c r="B1857" s="32" t="s">
        <v>1607</v>
      </c>
      <c r="C1857" s="32" t="s">
        <v>1608</v>
      </c>
      <c r="D1857" s="32" t="s">
        <v>114</v>
      </c>
      <c r="E1857" s="32" t="s">
        <v>115</v>
      </c>
      <c r="F1857" s="32" t="n">
        <v>6361682957</v>
      </c>
      <c r="G1857" s="32" t="s">
        <v>61</v>
      </c>
      <c r="H1857" s="32" t="s">
        <v>22</v>
      </c>
      <c r="I1857" s="32" t="s">
        <v>145</v>
      </c>
      <c r="J1857" s="32" t="s">
        <v>117</v>
      </c>
      <c r="K1857" s="32" t="s">
        <v>63</v>
      </c>
    </row>
    <row r="1858" customFormat="false" ht="13.5" hidden="false" customHeight="true" outlineLevel="0" collapsed="false">
      <c r="A1858" s="32" t="n">
        <v>3924</v>
      </c>
      <c r="B1858" s="32" t="s">
        <v>1607</v>
      </c>
      <c r="C1858" s="32" t="s">
        <v>1608</v>
      </c>
      <c r="D1858" s="32" t="s">
        <v>114</v>
      </c>
      <c r="E1858" s="32" t="s">
        <v>115</v>
      </c>
      <c r="F1858" s="32" t="n">
        <v>6361682957</v>
      </c>
      <c r="G1858" s="32" t="s">
        <v>61</v>
      </c>
      <c r="H1858" s="32" t="s">
        <v>22</v>
      </c>
      <c r="I1858" s="32" t="s">
        <v>133</v>
      </c>
      <c r="J1858" s="32" t="s">
        <v>134</v>
      </c>
      <c r="K1858" s="32" t="s">
        <v>63</v>
      </c>
    </row>
    <row r="1859" customFormat="false" ht="13.5" hidden="false" customHeight="true" outlineLevel="0" collapsed="false">
      <c r="A1859" s="32" t="n">
        <v>3925</v>
      </c>
      <c r="B1859" s="32" t="s">
        <v>1607</v>
      </c>
      <c r="C1859" s="32" t="s">
        <v>1609</v>
      </c>
      <c r="D1859" s="32" t="s">
        <v>114</v>
      </c>
      <c r="E1859" s="32" t="s">
        <v>115</v>
      </c>
      <c r="F1859" s="32" t="n">
        <v>6361682957</v>
      </c>
      <c r="G1859" s="32" t="s">
        <v>61</v>
      </c>
      <c r="H1859" s="32" t="s">
        <v>22</v>
      </c>
      <c r="I1859" s="32" t="s">
        <v>27</v>
      </c>
      <c r="J1859" s="32" t="s">
        <v>13</v>
      </c>
      <c r="K1859" s="32" t="s">
        <v>63</v>
      </c>
    </row>
    <row r="1860" customFormat="false" ht="13.5" hidden="false" customHeight="true" outlineLevel="0" collapsed="false">
      <c r="A1860" s="32" t="n">
        <v>3930</v>
      </c>
      <c r="B1860" s="32" t="s">
        <v>1607</v>
      </c>
      <c r="C1860" s="32" t="s">
        <v>1609</v>
      </c>
      <c r="D1860" s="32" t="s">
        <v>114</v>
      </c>
      <c r="E1860" s="32" t="s">
        <v>115</v>
      </c>
      <c r="F1860" s="32" t="n">
        <v>6361682957</v>
      </c>
      <c r="G1860" s="32" t="s">
        <v>61</v>
      </c>
      <c r="H1860" s="32" t="s">
        <v>22</v>
      </c>
      <c r="I1860" s="32" t="s">
        <v>314</v>
      </c>
      <c r="J1860" s="32" t="s">
        <v>134</v>
      </c>
      <c r="K1860" s="32" t="s">
        <v>63</v>
      </c>
    </row>
    <row r="1861" customFormat="false" ht="13.5" hidden="false" customHeight="true" outlineLevel="0" collapsed="false">
      <c r="A1861" s="32" t="n">
        <v>3931</v>
      </c>
      <c r="B1861" s="32" t="s">
        <v>1610</v>
      </c>
      <c r="C1861" s="32" t="s">
        <v>1611</v>
      </c>
      <c r="D1861" s="32" t="s">
        <v>114</v>
      </c>
      <c r="E1861" s="32" t="s">
        <v>165</v>
      </c>
      <c r="F1861" s="32" t="n">
        <v>9000666148</v>
      </c>
      <c r="G1861" s="32" t="s">
        <v>80</v>
      </c>
      <c r="H1861" s="32" t="s">
        <v>22</v>
      </c>
      <c r="I1861" s="32" t="s">
        <v>128</v>
      </c>
      <c r="J1861" s="32" t="s">
        <v>89</v>
      </c>
      <c r="K1861" s="32" t="s">
        <v>63</v>
      </c>
    </row>
    <row r="1862" customFormat="false" ht="13.5" hidden="false" customHeight="true" outlineLevel="0" collapsed="false">
      <c r="A1862" s="32" t="n">
        <v>3932</v>
      </c>
      <c r="B1862" s="32" t="s">
        <v>1610</v>
      </c>
      <c r="C1862" s="32" t="s">
        <v>1611</v>
      </c>
      <c r="D1862" s="32" t="s">
        <v>114</v>
      </c>
      <c r="E1862" s="32" t="s">
        <v>165</v>
      </c>
      <c r="F1862" s="32" t="n">
        <v>9000666148</v>
      </c>
      <c r="G1862" s="32" t="s">
        <v>80</v>
      </c>
      <c r="H1862" s="32" t="s">
        <v>22</v>
      </c>
      <c r="I1862" s="32" t="s">
        <v>151</v>
      </c>
      <c r="J1862" s="32" t="s">
        <v>152</v>
      </c>
      <c r="K1862" s="32" t="s">
        <v>63</v>
      </c>
    </row>
    <row r="1863" customFormat="false" ht="13.5" hidden="false" customHeight="true" outlineLevel="0" collapsed="false">
      <c r="A1863" s="32" t="n">
        <v>3933</v>
      </c>
      <c r="B1863" s="32" t="s">
        <v>1610</v>
      </c>
      <c r="C1863" s="32" t="s">
        <v>1611</v>
      </c>
      <c r="D1863" s="32" t="s">
        <v>114</v>
      </c>
      <c r="E1863" s="32" t="s">
        <v>165</v>
      </c>
      <c r="F1863" s="32" t="n">
        <v>9000666148</v>
      </c>
      <c r="G1863" s="32" t="s">
        <v>80</v>
      </c>
      <c r="H1863" s="32" t="s">
        <v>22</v>
      </c>
      <c r="I1863" s="32" t="s">
        <v>172</v>
      </c>
      <c r="J1863" s="32" t="s">
        <v>152</v>
      </c>
      <c r="K1863" s="32" t="s">
        <v>63</v>
      </c>
    </row>
    <row r="1864" customFormat="false" ht="13.5" hidden="false" customHeight="true" outlineLevel="0" collapsed="false">
      <c r="A1864" s="32" t="n">
        <v>3934</v>
      </c>
      <c r="B1864" s="32" t="s">
        <v>1610</v>
      </c>
      <c r="C1864" s="32" t="s">
        <v>1611</v>
      </c>
      <c r="D1864" s="32" t="s">
        <v>114</v>
      </c>
      <c r="E1864" s="32" t="s">
        <v>165</v>
      </c>
      <c r="F1864" s="32" t="n">
        <v>9000666148</v>
      </c>
      <c r="G1864" s="32" t="s">
        <v>80</v>
      </c>
      <c r="H1864" s="32" t="s">
        <v>22</v>
      </c>
      <c r="I1864" s="32" t="s">
        <v>145</v>
      </c>
      <c r="J1864" s="32" t="s">
        <v>117</v>
      </c>
      <c r="K1864" s="32" t="s">
        <v>63</v>
      </c>
    </row>
    <row r="1865" customFormat="false" ht="13.5" hidden="false" customHeight="true" outlineLevel="0" collapsed="false">
      <c r="A1865" s="32" t="n">
        <v>3935</v>
      </c>
      <c r="B1865" s="32" t="s">
        <v>1610</v>
      </c>
      <c r="C1865" s="32" t="s">
        <v>1612</v>
      </c>
      <c r="D1865" s="32" t="s">
        <v>114</v>
      </c>
      <c r="E1865" s="32" t="s">
        <v>165</v>
      </c>
      <c r="F1865" s="32" t="n">
        <v>9000666148</v>
      </c>
      <c r="G1865" s="32" t="s">
        <v>80</v>
      </c>
      <c r="H1865" s="32" t="s">
        <v>22</v>
      </c>
      <c r="I1865" s="32" t="s">
        <v>227</v>
      </c>
      <c r="J1865" s="32" t="s">
        <v>228</v>
      </c>
      <c r="K1865" s="32" t="s">
        <v>63</v>
      </c>
    </row>
    <row r="1866" customFormat="false" ht="13.5" hidden="false" customHeight="true" outlineLevel="0" collapsed="false">
      <c r="A1866" s="32" t="n">
        <v>3939</v>
      </c>
      <c r="B1866" s="32" t="s">
        <v>1610</v>
      </c>
      <c r="C1866" s="32" t="s">
        <v>1612</v>
      </c>
      <c r="D1866" s="32" t="s">
        <v>114</v>
      </c>
      <c r="E1866" s="32" t="s">
        <v>165</v>
      </c>
      <c r="F1866" s="32" t="n">
        <v>9000666148</v>
      </c>
      <c r="G1866" s="32" t="s">
        <v>80</v>
      </c>
      <c r="H1866" s="32" t="s">
        <v>22</v>
      </c>
      <c r="I1866" s="32" t="s">
        <v>151</v>
      </c>
      <c r="J1866" s="32" t="s">
        <v>152</v>
      </c>
      <c r="K1866" s="32" t="s">
        <v>63</v>
      </c>
    </row>
    <row r="1867" customFormat="false" ht="13.5" hidden="false" customHeight="true" outlineLevel="0" collapsed="false">
      <c r="A1867" s="32" t="n">
        <v>3940</v>
      </c>
      <c r="B1867" s="32" t="s">
        <v>1610</v>
      </c>
      <c r="C1867" s="32" t="s">
        <v>1612</v>
      </c>
      <c r="D1867" s="32" t="s">
        <v>114</v>
      </c>
      <c r="E1867" s="32" t="s">
        <v>165</v>
      </c>
      <c r="F1867" s="32" t="n">
        <v>9000666148</v>
      </c>
      <c r="G1867" s="32" t="s">
        <v>80</v>
      </c>
      <c r="H1867" s="32" t="s">
        <v>22</v>
      </c>
      <c r="I1867" s="32" t="s">
        <v>491</v>
      </c>
      <c r="J1867" s="32" t="s">
        <v>152</v>
      </c>
      <c r="K1867" s="32" t="s">
        <v>63</v>
      </c>
    </row>
    <row r="1868" customFormat="false" ht="13.5" hidden="false" customHeight="true" outlineLevel="0" collapsed="false">
      <c r="A1868" s="32" t="n">
        <v>3941</v>
      </c>
      <c r="B1868" s="32" t="s">
        <v>1613</v>
      </c>
      <c r="C1868" s="32" t="s">
        <v>1614</v>
      </c>
      <c r="D1868" s="32" t="s">
        <v>114</v>
      </c>
      <c r="E1868" s="32" t="s">
        <v>115</v>
      </c>
      <c r="F1868" s="32" t="n">
        <v>9711178642</v>
      </c>
      <c r="G1868" s="32" t="s">
        <v>144</v>
      </c>
      <c r="H1868" s="32" t="s">
        <v>22</v>
      </c>
      <c r="I1868" s="32" t="s">
        <v>109</v>
      </c>
      <c r="J1868" s="32" t="s">
        <v>110</v>
      </c>
      <c r="K1868" s="32" t="s">
        <v>63</v>
      </c>
    </row>
    <row r="1869" customFormat="false" ht="13.5" hidden="false" customHeight="true" outlineLevel="0" collapsed="false">
      <c r="A1869" s="32" t="n">
        <v>3942</v>
      </c>
      <c r="B1869" s="32" t="s">
        <v>1613</v>
      </c>
      <c r="C1869" s="32" t="s">
        <v>1614</v>
      </c>
      <c r="D1869" s="32" t="s">
        <v>114</v>
      </c>
      <c r="E1869" s="32" t="s">
        <v>115</v>
      </c>
      <c r="F1869" s="32" t="n">
        <v>9711178642</v>
      </c>
      <c r="G1869" s="32" t="s">
        <v>144</v>
      </c>
      <c r="H1869" s="32" t="s">
        <v>22</v>
      </c>
      <c r="I1869" s="32" t="s">
        <v>145</v>
      </c>
      <c r="J1869" s="32" t="s">
        <v>117</v>
      </c>
      <c r="K1869" s="32" t="s">
        <v>63</v>
      </c>
    </row>
    <row r="1870" customFormat="false" ht="13.5" hidden="false" customHeight="true" outlineLevel="0" collapsed="false">
      <c r="A1870" s="32" t="n">
        <v>3943</v>
      </c>
      <c r="B1870" s="32" t="s">
        <v>1613</v>
      </c>
      <c r="C1870" s="32" t="s">
        <v>1614</v>
      </c>
      <c r="D1870" s="32" t="s">
        <v>114</v>
      </c>
      <c r="E1870" s="32" t="s">
        <v>115</v>
      </c>
      <c r="F1870" s="32" t="n">
        <v>9711178642</v>
      </c>
      <c r="G1870" s="32" t="s">
        <v>144</v>
      </c>
      <c r="H1870" s="32" t="s">
        <v>22</v>
      </c>
      <c r="I1870" s="32" t="s">
        <v>494</v>
      </c>
      <c r="J1870" s="32" t="s">
        <v>71</v>
      </c>
      <c r="K1870" s="32" t="s">
        <v>63</v>
      </c>
    </row>
    <row r="1871" customFormat="false" ht="13.5" hidden="false" customHeight="true" outlineLevel="0" collapsed="false">
      <c r="A1871" s="32" t="n">
        <v>3944</v>
      </c>
      <c r="B1871" s="32" t="s">
        <v>1613</v>
      </c>
      <c r="C1871" s="32" t="s">
        <v>1614</v>
      </c>
      <c r="D1871" s="32" t="s">
        <v>114</v>
      </c>
      <c r="E1871" s="32" t="s">
        <v>115</v>
      </c>
      <c r="F1871" s="32" t="n">
        <v>9711178642</v>
      </c>
      <c r="G1871" s="32" t="s">
        <v>144</v>
      </c>
      <c r="H1871" s="32" t="s">
        <v>22</v>
      </c>
      <c r="I1871" s="32" t="s">
        <v>120</v>
      </c>
      <c r="J1871" s="32" t="s">
        <v>110</v>
      </c>
      <c r="K1871" s="32" t="s">
        <v>63</v>
      </c>
    </row>
    <row r="1872" customFormat="false" ht="13.5" hidden="false" customHeight="true" outlineLevel="0" collapsed="false">
      <c r="A1872" s="32" t="n">
        <v>3950</v>
      </c>
      <c r="B1872" s="32" t="s">
        <v>1613</v>
      </c>
      <c r="C1872" s="32" t="s">
        <v>1614</v>
      </c>
      <c r="D1872" s="32" t="s">
        <v>114</v>
      </c>
      <c r="E1872" s="32" t="s">
        <v>115</v>
      </c>
      <c r="F1872" s="32" t="n">
        <v>9711178642</v>
      </c>
      <c r="G1872" s="32" t="s">
        <v>144</v>
      </c>
      <c r="H1872" s="32" t="s">
        <v>22</v>
      </c>
      <c r="I1872" s="32" t="s">
        <v>121</v>
      </c>
      <c r="J1872" s="32" t="s">
        <v>110</v>
      </c>
      <c r="K1872" s="32" t="s">
        <v>63</v>
      </c>
    </row>
    <row r="1873" customFormat="false" ht="13.5" hidden="false" customHeight="true" outlineLevel="0" collapsed="false">
      <c r="A1873" s="32" t="n">
        <v>3951</v>
      </c>
      <c r="B1873" s="32" t="s">
        <v>1615</v>
      </c>
      <c r="C1873" s="32" t="s">
        <v>1616</v>
      </c>
      <c r="D1873" s="32" t="s">
        <v>114</v>
      </c>
      <c r="E1873" s="32" t="s">
        <v>1617</v>
      </c>
      <c r="F1873" s="32" t="n">
        <v>9599049300</v>
      </c>
      <c r="G1873" s="32" t="s">
        <v>144</v>
      </c>
      <c r="H1873" s="32" t="s">
        <v>22</v>
      </c>
      <c r="I1873" s="32" t="s">
        <v>27</v>
      </c>
      <c r="J1873" s="32" t="s">
        <v>13</v>
      </c>
      <c r="K1873" s="32" t="s">
        <v>63</v>
      </c>
    </row>
    <row r="1874" customFormat="false" ht="13.5" hidden="false" customHeight="true" outlineLevel="0" collapsed="false">
      <c r="A1874" s="32" t="n">
        <v>3952</v>
      </c>
      <c r="B1874" s="32" t="s">
        <v>1615</v>
      </c>
      <c r="C1874" s="32" t="s">
        <v>1616</v>
      </c>
      <c r="D1874" s="32" t="s">
        <v>114</v>
      </c>
      <c r="E1874" s="32" t="s">
        <v>1617</v>
      </c>
      <c r="F1874" s="32" t="n">
        <v>9599049300</v>
      </c>
      <c r="G1874" s="32" t="s">
        <v>144</v>
      </c>
      <c r="H1874" s="32" t="s">
        <v>22</v>
      </c>
      <c r="I1874" s="32" t="s">
        <v>93</v>
      </c>
      <c r="J1874" s="32" t="s">
        <v>85</v>
      </c>
      <c r="K1874" s="32" t="s">
        <v>63</v>
      </c>
    </row>
    <row r="1875" customFormat="false" ht="13.5" hidden="false" customHeight="true" outlineLevel="0" collapsed="false">
      <c r="A1875" s="32" t="n">
        <v>3953</v>
      </c>
      <c r="B1875" s="32" t="s">
        <v>1615</v>
      </c>
      <c r="C1875" s="32" t="s">
        <v>1616</v>
      </c>
      <c r="D1875" s="32" t="s">
        <v>114</v>
      </c>
      <c r="E1875" s="32" t="s">
        <v>1617</v>
      </c>
      <c r="F1875" s="32" t="n">
        <v>9599049300</v>
      </c>
      <c r="G1875" s="32" t="s">
        <v>144</v>
      </c>
      <c r="H1875" s="32" t="s">
        <v>22</v>
      </c>
      <c r="I1875" s="32" t="s">
        <v>116</v>
      </c>
      <c r="J1875" s="32" t="s">
        <v>117</v>
      </c>
      <c r="K1875" s="32" t="s">
        <v>63</v>
      </c>
    </row>
    <row r="1876" customFormat="false" ht="13.5" hidden="false" customHeight="true" outlineLevel="0" collapsed="false">
      <c r="A1876" s="32" t="n">
        <v>3954</v>
      </c>
      <c r="B1876" s="32" t="s">
        <v>1618</v>
      </c>
      <c r="C1876" s="32" t="s">
        <v>1619</v>
      </c>
      <c r="D1876" s="32" t="s">
        <v>331</v>
      </c>
      <c r="E1876" s="32" t="s">
        <v>278</v>
      </c>
      <c r="F1876" s="33" t="n">
        <v>919834000000</v>
      </c>
      <c r="G1876" s="32" t="s">
        <v>104</v>
      </c>
      <c r="H1876" s="32" t="s">
        <v>332</v>
      </c>
      <c r="I1876" s="32" t="s">
        <v>145</v>
      </c>
      <c r="J1876" s="32" t="s">
        <v>117</v>
      </c>
      <c r="K1876" s="32" t="s">
        <v>63</v>
      </c>
    </row>
    <row r="1877" customFormat="false" ht="13.5" hidden="false" customHeight="true" outlineLevel="0" collapsed="false">
      <c r="A1877" s="32" t="n">
        <v>3955</v>
      </c>
      <c r="B1877" s="32" t="s">
        <v>1618</v>
      </c>
      <c r="C1877" s="32" t="s">
        <v>1619</v>
      </c>
      <c r="D1877" s="32" t="s">
        <v>331</v>
      </c>
      <c r="E1877" s="32" t="s">
        <v>278</v>
      </c>
      <c r="F1877" s="33" t="n">
        <v>919834000000</v>
      </c>
      <c r="G1877" s="32" t="s">
        <v>104</v>
      </c>
      <c r="H1877" s="32" t="s">
        <v>332</v>
      </c>
      <c r="I1877" s="32" t="s">
        <v>16</v>
      </c>
      <c r="J1877" s="32" t="s">
        <v>73</v>
      </c>
      <c r="K1877" s="32" t="s">
        <v>63</v>
      </c>
    </row>
    <row r="1878" customFormat="false" ht="13.5" hidden="false" customHeight="true" outlineLevel="0" collapsed="false">
      <c r="A1878" s="32" t="n">
        <v>3956</v>
      </c>
      <c r="B1878" s="32" t="s">
        <v>1620</v>
      </c>
      <c r="C1878" s="32" t="s">
        <v>1621</v>
      </c>
      <c r="D1878" s="32" t="s">
        <v>59</v>
      </c>
      <c r="E1878" s="32" t="s">
        <v>107</v>
      </c>
      <c r="F1878" s="33" t="n">
        <v>919972000000</v>
      </c>
      <c r="G1878" s="32" t="s">
        <v>80</v>
      </c>
      <c r="H1878" s="32" t="s">
        <v>21</v>
      </c>
      <c r="I1878" s="32" t="s">
        <v>156</v>
      </c>
      <c r="J1878" s="32" t="s">
        <v>62</v>
      </c>
      <c r="K1878" s="32" t="s">
        <v>63</v>
      </c>
    </row>
    <row r="1879" customFormat="false" ht="13.5" hidden="false" customHeight="true" outlineLevel="0" collapsed="false">
      <c r="A1879" s="32" t="n">
        <v>3957</v>
      </c>
      <c r="B1879" s="32" t="s">
        <v>1620</v>
      </c>
      <c r="C1879" s="32" t="s">
        <v>1621</v>
      </c>
      <c r="D1879" s="32" t="s">
        <v>59</v>
      </c>
      <c r="E1879" s="32" t="s">
        <v>107</v>
      </c>
      <c r="F1879" s="33" t="n">
        <v>919972000000</v>
      </c>
      <c r="G1879" s="32" t="s">
        <v>80</v>
      </c>
      <c r="H1879" s="32" t="s">
        <v>21</v>
      </c>
      <c r="I1879" s="32" t="s">
        <v>1541</v>
      </c>
      <c r="J1879" s="32" t="s">
        <v>117</v>
      </c>
      <c r="K1879" s="32" t="s">
        <v>63</v>
      </c>
    </row>
    <row r="1880" customFormat="false" ht="13.5" hidden="false" customHeight="true" outlineLevel="0" collapsed="false">
      <c r="A1880" s="32" t="n">
        <v>3958</v>
      </c>
      <c r="B1880" s="32" t="s">
        <v>1620</v>
      </c>
      <c r="C1880" s="32" t="s">
        <v>1621</v>
      </c>
      <c r="D1880" s="32" t="s">
        <v>59</v>
      </c>
      <c r="E1880" s="32" t="s">
        <v>107</v>
      </c>
      <c r="F1880" s="33" t="n">
        <v>919972000000</v>
      </c>
      <c r="G1880" s="32" t="s">
        <v>80</v>
      </c>
      <c r="H1880" s="32" t="s">
        <v>21</v>
      </c>
      <c r="I1880" s="32" t="s">
        <v>93</v>
      </c>
      <c r="J1880" s="32" t="s">
        <v>85</v>
      </c>
      <c r="K1880" s="32" t="s">
        <v>63</v>
      </c>
    </row>
    <row r="1881" customFormat="false" ht="13.5" hidden="false" customHeight="true" outlineLevel="0" collapsed="false">
      <c r="A1881" s="32" t="n">
        <v>3959</v>
      </c>
      <c r="B1881" s="32" t="s">
        <v>1622</v>
      </c>
      <c r="C1881" s="32" t="s">
        <v>1623</v>
      </c>
      <c r="D1881" s="32" t="s">
        <v>59</v>
      </c>
      <c r="E1881" s="32" t="s">
        <v>79</v>
      </c>
      <c r="F1881" s="32" t="n">
        <v>6238540014</v>
      </c>
      <c r="G1881" s="32" t="s">
        <v>61</v>
      </c>
      <c r="H1881" s="32" t="s">
        <v>21</v>
      </c>
      <c r="I1881" s="32" t="s">
        <v>151</v>
      </c>
      <c r="J1881" s="32" t="s">
        <v>152</v>
      </c>
      <c r="K1881" s="32" t="s">
        <v>63</v>
      </c>
    </row>
    <row r="1882" customFormat="false" ht="13.5" hidden="false" customHeight="true" outlineLevel="0" collapsed="false">
      <c r="A1882" s="32" t="n">
        <v>3960</v>
      </c>
      <c r="B1882" s="32" t="s">
        <v>1622</v>
      </c>
      <c r="C1882" s="32" t="s">
        <v>1624</v>
      </c>
      <c r="D1882" s="32" t="s">
        <v>59</v>
      </c>
      <c r="E1882" s="32" t="s">
        <v>79</v>
      </c>
      <c r="F1882" s="32" t="n">
        <v>6238540014</v>
      </c>
      <c r="G1882" s="32" t="s">
        <v>61</v>
      </c>
      <c r="H1882" s="32" t="s">
        <v>21</v>
      </c>
      <c r="I1882" s="32" t="s">
        <v>151</v>
      </c>
      <c r="J1882" s="32" t="s">
        <v>152</v>
      </c>
      <c r="K1882" s="32" t="s">
        <v>63</v>
      </c>
    </row>
    <row r="1883" customFormat="false" ht="13.5" hidden="false" customHeight="true" outlineLevel="0" collapsed="false">
      <c r="A1883" s="32" t="n">
        <v>3962</v>
      </c>
      <c r="B1883" s="32" t="s">
        <v>1622</v>
      </c>
      <c r="C1883" s="32" t="s">
        <v>1624</v>
      </c>
      <c r="D1883" s="32" t="s">
        <v>59</v>
      </c>
      <c r="E1883" s="32" t="s">
        <v>79</v>
      </c>
      <c r="F1883" s="32" t="n">
        <v>6238540014</v>
      </c>
      <c r="G1883" s="32" t="s">
        <v>61</v>
      </c>
      <c r="H1883" s="32" t="s">
        <v>21</v>
      </c>
      <c r="I1883" s="32" t="s">
        <v>146</v>
      </c>
      <c r="J1883" s="32" t="s">
        <v>117</v>
      </c>
      <c r="K1883" s="32" t="s">
        <v>63</v>
      </c>
    </row>
    <row r="1884" customFormat="false" ht="13.5" hidden="false" customHeight="true" outlineLevel="0" collapsed="false">
      <c r="A1884" s="32" t="n">
        <v>3965</v>
      </c>
      <c r="B1884" s="32" t="s">
        <v>1625</v>
      </c>
      <c r="C1884" s="32" t="s">
        <v>1626</v>
      </c>
      <c r="D1884" s="32" t="s">
        <v>59</v>
      </c>
      <c r="E1884" s="32" t="s">
        <v>60</v>
      </c>
      <c r="F1884" s="32" t="n">
        <v>0</v>
      </c>
      <c r="G1884" s="32" t="s">
        <v>61</v>
      </c>
      <c r="H1884" s="32" t="s">
        <v>21</v>
      </c>
      <c r="I1884" s="32" t="s">
        <v>456</v>
      </c>
      <c r="J1884" s="32" t="s">
        <v>66</v>
      </c>
      <c r="K1884" s="32" t="s">
        <v>63</v>
      </c>
    </row>
    <row r="1885" customFormat="false" ht="13.5" hidden="false" customHeight="true" outlineLevel="0" collapsed="false">
      <c r="A1885" s="32" t="n">
        <v>3966</v>
      </c>
      <c r="B1885" s="32" t="s">
        <v>1625</v>
      </c>
      <c r="C1885" s="32" t="s">
        <v>1626</v>
      </c>
      <c r="D1885" s="32" t="s">
        <v>59</v>
      </c>
      <c r="E1885" s="32" t="s">
        <v>60</v>
      </c>
      <c r="F1885" s="32" t="n">
        <v>0</v>
      </c>
      <c r="G1885" s="32" t="s">
        <v>61</v>
      </c>
      <c r="H1885" s="32" t="s">
        <v>21</v>
      </c>
      <c r="I1885" s="32" t="s">
        <v>333</v>
      </c>
      <c r="J1885" s="32" t="s">
        <v>235</v>
      </c>
      <c r="K1885" s="32" t="s">
        <v>63</v>
      </c>
    </row>
    <row r="1886" customFormat="false" ht="13.5" hidden="false" customHeight="true" outlineLevel="0" collapsed="false">
      <c r="A1886" s="32" t="n">
        <v>3967</v>
      </c>
      <c r="B1886" s="32" t="s">
        <v>1627</v>
      </c>
      <c r="C1886" s="32" t="s">
        <v>1628</v>
      </c>
      <c r="D1886" s="32" t="s">
        <v>114</v>
      </c>
      <c r="E1886" s="32" t="n">
        <v>0</v>
      </c>
      <c r="F1886" s="32" t="n">
        <v>9731844486</v>
      </c>
      <c r="G1886" s="32" t="s">
        <v>61</v>
      </c>
      <c r="H1886" s="32" t="s">
        <v>22</v>
      </c>
      <c r="I1886" s="32" t="s">
        <v>151</v>
      </c>
      <c r="J1886" s="32" t="s">
        <v>152</v>
      </c>
      <c r="K1886" s="32" t="s">
        <v>63</v>
      </c>
    </row>
    <row r="1887" customFormat="false" ht="13.5" hidden="false" customHeight="true" outlineLevel="0" collapsed="false">
      <c r="A1887" s="32" t="n">
        <v>3968</v>
      </c>
      <c r="B1887" s="32" t="s">
        <v>1627</v>
      </c>
      <c r="C1887" s="32" t="s">
        <v>1628</v>
      </c>
      <c r="D1887" s="32" t="s">
        <v>114</v>
      </c>
      <c r="E1887" s="32" t="n">
        <v>0</v>
      </c>
      <c r="F1887" s="32" t="n">
        <v>9731844486</v>
      </c>
      <c r="G1887" s="32" t="s">
        <v>61</v>
      </c>
      <c r="H1887" s="32" t="s">
        <v>22</v>
      </c>
      <c r="I1887" s="32" t="s">
        <v>145</v>
      </c>
      <c r="J1887" s="32" t="s">
        <v>117</v>
      </c>
      <c r="K1887" s="32" t="s">
        <v>63</v>
      </c>
    </row>
    <row r="1888" customFormat="false" ht="13.5" hidden="false" customHeight="true" outlineLevel="0" collapsed="false">
      <c r="A1888" s="32" t="n">
        <v>3969</v>
      </c>
      <c r="B1888" s="32" t="s">
        <v>1629</v>
      </c>
      <c r="C1888" s="32" t="s">
        <v>1630</v>
      </c>
      <c r="D1888" s="32" t="s">
        <v>59</v>
      </c>
      <c r="E1888" s="32" t="s">
        <v>143</v>
      </c>
      <c r="F1888" s="32" t="s">
        <v>1631</v>
      </c>
      <c r="G1888" s="32" t="s">
        <v>61</v>
      </c>
      <c r="H1888" s="32" t="s">
        <v>21</v>
      </c>
      <c r="I1888" s="32" t="s">
        <v>1632</v>
      </c>
      <c r="J1888" s="32" t="s">
        <v>388</v>
      </c>
      <c r="K1888" s="32" t="s">
        <v>63</v>
      </c>
    </row>
    <row r="1889" customFormat="false" ht="13.5" hidden="false" customHeight="true" outlineLevel="0" collapsed="false">
      <c r="A1889" s="32" t="n">
        <v>3970</v>
      </c>
      <c r="B1889" s="32" t="s">
        <v>1629</v>
      </c>
      <c r="C1889" s="32" t="s">
        <v>1633</v>
      </c>
      <c r="D1889" s="32" t="s">
        <v>59</v>
      </c>
      <c r="E1889" s="32" t="s">
        <v>143</v>
      </c>
      <c r="F1889" s="32" t="n">
        <v>9773256359</v>
      </c>
      <c r="G1889" s="32" t="s">
        <v>61</v>
      </c>
      <c r="H1889" s="32" t="s">
        <v>21</v>
      </c>
      <c r="I1889" s="32" t="s">
        <v>307</v>
      </c>
      <c r="J1889" s="32" t="s">
        <v>307</v>
      </c>
      <c r="K1889" s="32" t="s">
        <v>63</v>
      </c>
    </row>
    <row r="1890" customFormat="false" ht="13.5" hidden="false" customHeight="true" outlineLevel="0" collapsed="false">
      <c r="A1890" s="32" t="n">
        <v>3971</v>
      </c>
      <c r="B1890" s="32" t="s">
        <v>1629</v>
      </c>
      <c r="C1890" s="32" t="s">
        <v>1633</v>
      </c>
      <c r="D1890" s="32" t="s">
        <v>59</v>
      </c>
      <c r="E1890" s="32" t="s">
        <v>143</v>
      </c>
      <c r="F1890" s="32" t="s">
        <v>1631</v>
      </c>
      <c r="G1890" s="32" t="s">
        <v>69</v>
      </c>
      <c r="H1890" s="32" t="s">
        <v>21</v>
      </c>
      <c r="I1890" s="32" t="s">
        <v>387</v>
      </c>
      <c r="J1890" s="32" t="s">
        <v>388</v>
      </c>
      <c r="K1890" s="32" t="s">
        <v>63</v>
      </c>
    </row>
    <row r="1891" customFormat="false" ht="13.5" hidden="false" customHeight="true" outlineLevel="0" collapsed="false">
      <c r="A1891" s="32" t="n">
        <v>3972</v>
      </c>
      <c r="B1891" s="32" t="s">
        <v>1634</v>
      </c>
      <c r="C1891" s="32" t="s">
        <v>1635</v>
      </c>
      <c r="D1891" s="32" t="s">
        <v>59</v>
      </c>
      <c r="E1891" s="32" t="s">
        <v>92</v>
      </c>
      <c r="F1891" s="33" t="n">
        <v>918298000000</v>
      </c>
      <c r="G1891" s="32" t="s">
        <v>61</v>
      </c>
      <c r="H1891" s="32" t="s">
        <v>21</v>
      </c>
      <c r="I1891" s="32" t="s">
        <v>87</v>
      </c>
      <c r="J1891" s="32" t="s">
        <v>84</v>
      </c>
      <c r="K1891" s="32" t="s">
        <v>63</v>
      </c>
    </row>
    <row r="1892" customFormat="false" ht="13.5" hidden="false" customHeight="true" outlineLevel="0" collapsed="false">
      <c r="A1892" s="32" t="n">
        <v>3973</v>
      </c>
      <c r="B1892" s="32" t="s">
        <v>1634</v>
      </c>
      <c r="C1892" s="32" t="s">
        <v>1635</v>
      </c>
      <c r="D1892" s="32" t="s">
        <v>59</v>
      </c>
      <c r="E1892" s="32" t="s">
        <v>92</v>
      </c>
      <c r="F1892" s="33" t="n">
        <v>918298000000</v>
      </c>
      <c r="G1892" s="32" t="s">
        <v>61</v>
      </c>
      <c r="H1892" s="32" t="s">
        <v>21</v>
      </c>
      <c r="I1892" s="32" t="s">
        <v>1636</v>
      </c>
      <c r="J1892" s="32" t="s">
        <v>66</v>
      </c>
      <c r="K1892" s="32" t="s">
        <v>63</v>
      </c>
    </row>
    <row r="1893" customFormat="false" ht="13.5" hidden="false" customHeight="true" outlineLevel="0" collapsed="false">
      <c r="A1893" s="32" t="n">
        <v>3974</v>
      </c>
      <c r="B1893" s="32" t="s">
        <v>1634</v>
      </c>
      <c r="C1893" s="32" t="s">
        <v>1635</v>
      </c>
      <c r="D1893" s="32" t="s">
        <v>59</v>
      </c>
      <c r="E1893" s="32" t="s">
        <v>92</v>
      </c>
      <c r="F1893" s="33" t="n">
        <v>918298000000</v>
      </c>
      <c r="G1893" s="32" t="s">
        <v>61</v>
      </c>
      <c r="H1893" s="32" t="s">
        <v>21</v>
      </c>
      <c r="I1893" s="32" t="s">
        <v>421</v>
      </c>
      <c r="J1893" s="32" t="s">
        <v>235</v>
      </c>
      <c r="K1893" s="32" t="s">
        <v>63</v>
      </c>
    </row>
    <row r="1894" customFormat="false" ht="13.5" hidden="false" customHeight="true" outlineLevel="0" collapsed="false">
      <c r="A1894" s="32" t="n">
        <v>3975</v>
      </c>
      <c r="B1894" s="32" t="s">
        <v>1634</v>
      </c>
      <c r="C1894" s="32" t="s">
        <v>1635</v>
      </c>
      <c r="D1894" s="32" t="s">
        <v>59</v>
      </c>
      <c r="E1894" s="32" t="s">
        <v>92</v>
      </c>
      <c r="F1894" s="33" t="n">
        <v>918298000000</v>
      </c>
      <c r="G1894" s="32" t="s">
        <v>61</v>
      </c>
      <c r="H1894" s="32" t="s">
        <v>21</v>
      </c>
      <c r="I1894" s="32" t="s">
        <v>350</v>
      </c>
      <c r="J1894" s="32" t="s">
        <v>235</v>
      </c>
      <c r="K1894" s="32" t="s">
        <v>63</v>
      </c>
    </row>
    <row r="1895" customFormat="false" ht="13.5" hidden="false" customHeight="true" outlineLevel="0" collapsed="false">
      <c r="A1895" s="32" t="n">
        <v>3976</v>
      </c>
      <c r="B1895" s="32" t="s">
        <v>1634</v>
      </c>
      <c r="C1895" s="32" t="s">
        <v>1635</v>
      </c>
      <c r="D1895" s="32" t="s">
        <v>59</v>
      </c>
      <c r="E1895" s="32" t="s">
        <v>92</v>
      </c>
      <c r="F1895" s="33" t="n">
        <v>918298000000</v>
      </c>
      <c r="G1895" s="32" t="s">
        <v>61</v>
      </c>
      <c r="H1895" s="32" t="s">
        <v>21</v>
      </c>
      <c r="I1895" s="32" t="s">
        <v>333</v>
      </c>
      <c r="J1895" s="32" t="s">
        <v>235</v>
      </c>
      <c r="K1895" s="32" t="s">
        <v>63</v>
      </c>
    </row>
    <row r="1896" customFormat="false" ht="13.5" hidden="false" customHeight="true" outlineLevel="0" collapsed="false">
      <c r="A1896" s="32" t="n">
        <v>3977</v>
      </c>
      <c r="B1896" s="32" t="s">
        <v>1637</v>
      </c>
      <c r="C1896" s="32" t="s">
        <v>1638</v>
      </c>
      <c r="D1896" s="32" t="s">
        <v>59</v>
      </c>
      <c r="E1896" s="32" t="s">
        <v>60</v>
      </c>
      <c r="F1896" s="33" t="n">
        <v>917075000000</v>
      </c>
      <c r="G1896" s="32" t="s">
        <v>80</v>
      </c>
      <c r="H1896" s="32" t="s">
        <v>21</v>
      </c>
      <c r="I1896" s="32" t="s">
        <v>463</v>
      </c>
      <c r="J1896" s="32" t="s">
        <v>66</v>
      </c>
      <c r="K1896" s="32" t="s">
        <v>63</v>
      </c>
    </row>
    <row r="1897" customFormat="false" ht="13.5" hidden="false" customHeight="true" outlineLevel="0" collapsed="false">
      <c r="A1897" s="32" t="n">
        <v>3978</v>
      </c>
      <c r="B1897" s="32" t="s">
        <v>1637</v>
      </c>
      <c r="C1897" s="32" t="s">
        <v>1639</v>
      </c>
      <c r="D1897" s="32" t="s">
        <v>59</v>
      </c>
      <c r="E1897" s="32" t="s">
        <v>60</v>
      </c>
      <c r="F1897" s="33" t="n">
        <v>917075000000</v>
      </c>
      <c r="G1897" s="32" t="s">
        <v>80</v>
      </c>
      <c r="H1897" s="32" t="s">
        <v>21</v>
      </c>
      <c r="I1897" s="32" t="s">
        <v>14</v>
      </c>
      <c r="J1897" s="32" t="s">
        <v>66</v>
      </c>
      <c r="K1897" s="32" t="s">
        <v>63</v>
      </c>
    </row>
    <row r="1898" customFormat="false" ht="13.5" hidden="false" customHeight="true" outlineLevel="0" collapsed="false">
      <c r="A1898" s="32" t="n">
        <v>3979</v>
      </c>
      <c r="B1898" s="32" t="s">
        <v>1637</v>
      </c>
      <c r="C1898" s="32" t="s">
        <v>1639</v>
      </c>
      <c r="D1898" s="32" t="s">
        <v>59</v>
      </c>
      <c r="E1898" s="32" t="s">
        <v>60</v>
      </c>
      <c r="F1898" s="33" t="n">
        <v>917075000000</v>
      </c>
      <c r="G1898" s="32" t="s">
        <v>80</v>
      </c>
      <c r="H1898" s="32" t="s">
        <v>21</v>
      </c>
      <c r="I1898" s="32" t="s">
        <v>166</v>
      </c>
      <c r="J1898" s="32" t="s">
        <v>66</v>
      </c>
      <c r="K1898" s="32" t="s">
        <v>63</v>
      </c>
    </row>
    <row r="1899" customFormat="false" ht="13.5" hidden="false" customHeight="true" outlineLevel="0" collapsed="false">
      <c r="A1899" s="32" t="n">
        <v>3980</v>
      </c>
      <c r="B1899" s="32" t="s">
        <v>1640</v>
      </c>
      <c r="C1899" s="32" t="s">
        <v>1641</v>
      </c>
      <c r="D1899" s="32" t="s">
        <v>59</v>
      </c>
      <c r="E1899" s="32" t="s">
        <v>107</v>
      </c>
      <c r="F1899" s="32" t="n">
        <v>8554809132</v>
      </c>
      <c r="G1899" s="32" t="s">
        <v>69</v>
      </c>
      <c r="H1899" s="32" t="s">
        <v>21</v>
      </c>
      <c r="I1899" s="32" t="s">
        <v>145</v>
      </c>
      <c r="J1899" s="32" t="s">
        <v>117</v>
      </c>
      <c r="K1899" s="32" t="s">
        <v>63</v>
      </c>
    </row>
    <row r="1900" customFormat="false" ht="13.5" hidden="false" customHeight="true" outlineLevel="0" collapsed="false">
      <c r="A1900" s="32" t="n">
        <v>3981</v>
      </c>
      <c r="B1900" s="32" t="s">
        <v>1640</v>
      </c>
      <c r="C1900" s="32" t="s">
        <v>1641</v>
      </c>
      <c r="D1900" s="32" t="s">
        <v>59</v>
      </c>
      <c r="E1900" s="32" t="s">
        <v>107</v>
      </c>
      <c r="F1900" s="32" t="n">
        <v>8554809132</v>
      </c>
      <c r="G1900" s="32" t="s">
        <v>69</v>
      </c>
      <c r="H1900" s="32" t="s">
        <v>21</v>
      </c>
      <c r="I1900" s="32" t="s">
        <v>93</v>
      </c>
      <c r="J1900" s="32" t="s">
        <v>85</v>
      </c>
      <c r="K1900" s="32" t="s">
        <v>63</v>
      </c>
    </row>
    <row r="1901" customFormat="false" ht="13.5" hidden="false" customHeight="true" outlineLevel="0" collapsed="false">
      <c r="A1901" s="32" t="n">
        <v>3982</v>
      </c>
      <c r="B1901" s="32" t="s">
        <v>1642</v>
      </c>
      <c r="C1901" s="32" t="s">
        <v>1643</v>
      </c>
      <c r="D1901" s="32" t="s">
        <v>114</v>
      </c>
      <c r="E1901" s="32" t="s">
        <v>115</v>
      </c>
      <c r="F1901" s="32" t="n">
        <v>9923047735</v>
      </c>
      <c r="G1901" s="32" t="s">
        <v>104</v>
      </c>
      <c r="H1901" s="32" t="s">
        <v>22</v>
      </c>
      <c r="I1901" s="32" t="s">
        <v>128</v>
      </c>
      <c r="J1901" s="32" t="s">
        <v>89</v>
      </c>
      <c r="K1901" s="32" t="s">
        <v>63</v>
      </c>
    </row>
    <row r="1902" customFormat="false" ht="13.5" hidden="false" customHeight="true" outlineLevel="0" collapsed="false">
      <c r="A1902" s="32" t="n">
        <v>3983</v>
      </c>
      <c r="B1902" s="32" t="s">
        <v>1642</v>
      </c>
      <c r="C1902" s="32" t="s">
        <v>1643</v>
      </c>
      <c r="D1902" s="32" t="s">
        <v>114</v>
      </c>
      <c r="E1902" s="32" t="s">
        <v>115</v>
      </c>
      <c r="F1902" s="32" t="n">
        <v>9923047735</v>
      </c>
      <c r="G1902" s="32" t="s">
        <v>104</v>
      </c>
      <c r="H1902" s="32" t="s">
        <v>22</v>
      </c>
      <c r="I1902" s="32" t="s">
        <v>95</v>
      </c>
      <c r="J1902" s="32" t="s">
        <v>96</v>
      </c>
      <c r="K1902" s="32" t="s">
        <v>63</v>
      </c>
    </row>
    <row r="1903" customFormat="false" ht="13.5" hidden="false" customHeight="true" outlineLevel="0" collapsed="false">
      <c r="A1903" s="32" t="n">
        <v>3984</v>
      </c>
      <c r="B1903" s="32" t="s">
        <v>1642</v>
      </c>
      <c r="C1903" s="32" t="s">
        <v>1643</v>
      </c>
      <c r="D1903" s="32" t="s">
        <v>114</v>
      </c>
      <c r="E1903" s="32" t="s">
        <v>115</v>
      </c>
      <c r="F1903" s="32" t="n">
        <v>9923047735</v>
      </c>
      <c r="G1903" s="32" t="s">
        <v>104</v>
      </c>
      <c r="H1903" s="32" t="s">
        <v>22</v>
      </c>
      <c r="I1903" s="32" t="s">
        <v>145</v>
      </c>
      <c r="J1903" s="32" t="s">
        <v>117</v>
      </c>
      <c r="K1903" s="32" t="s">
        <v>63</v>
      </c>
    </row>
    <row r="1904" customFormat="false" ht="13.5" hidden="false" customHeight="true" outlineLevel="0" collapsed="false">
      <c r="A1904" s="32" t="n">
        <v>3985</v>
      </c>
      <c r="B1904" s="32" t="s">
        <v>1642</v>
      </c>
      <c r="C1904" s="32" t="s">
        <v>1643</v>
      </c>
      <c r="D1904" s="32" t="s">
        <v>114</v>
      </c>
      <c r="E1904" s="32" t="s">
        <v>115</v>
      </c>
      <c r="F1904" s="32" t="n">
        <v>9923047735</v>
      </c>
      <c r="G1904" s="32" t="s">
        <v>104</v>
      </c>
      <c r="H1904" s="32" t="s">
        <v>22</v>
      </c>
      <c r="I1904" s="32" t="s">
        <v>116</v>
      </c>
      <c r="J1904" s="32" t="s">
        <v>117</v>
      </c>
      <c r="K1904" s="32" t="s">
        <v>63</v>
      </c>
    </row>
    <row r="1905" customFormat="false" ht="13.5" hidden="false" customHeight="true" outlineLevel="0" collapsed="false">
      <c r="A1905" s="32" t="n">
        <v>3986</v>
      </c>
      <c r="B1905" s="32" t="s">
        <v>1642</v>
      </c>
      <c r="C1905" s="32" t="s">
        <v>1644</v>
      </c>
      <c r="D1905" s="32" t="s">
        <v>114</v>
      </c>
      <c r="E1905" s="32" t="s">
        <v>115</v>
      </c>
      <c r="F1905" s="32" t="n">
        <v>9923047735</v>
      </c>
      <c r="G1905" s="32" t="s">
        <v>104</v>
      </c>
      <c r="H1905" s="32" t="s">
        <v>22</v>
      </c>
      <c r="I1905" s="32" t="s">
        <v>27</v>
      </c>
      <c r="J1905" s="32" t="s">
        <v>13</v>
      </c>
      <c r="K1905" s="32" t="s">
        <v>63</v>
      </c>
    </row>
    <row r="1906" customFormat="false" ht="13.5" hidden="false" customHeight="true" outlineLevel="0" collapsed="false">
      <c r="A1906" s="32" t="n">
        <v>3987</v>
      </c>
      <c r="B1906" s="32" t="s">
        <v>1642</v>
      </c>
      <c r="C1906" s="32" t="s">
        <v>1644</v>
      </c>
      <c r="D1906" s="32" t="s">
        <v>114</v>
      </c>
      <c r="E1906" s="32" t="s">
        <v>115</v>
      </c>
      <c r="F1906" s="32" t="n">
        <v>9923047735</v>
      </c>
      <c r="G1906" s="32" t="s">
        <v>104</v>
      </c>
      <c r="H1906" s="32" t="s">
        <v>22</v>
      </c>
      <c r="I1906" s="32" t="s">
        <v>93</v>
      </c>
      <c r="J1906" s="32" t="s">
        <v>85</v>
      </c>
      <c r="K1906" s="32" t="s">
        <v>63</v>
      </c>
    </row>
    <row r="1907" customFormat="false" ht="13.5" hidden="false" customHeight="true" outlineLevel="0" collapsed="false">
      <c r="A1907" s="32" t="n">
        <v>3988</v>
      </c>
      <c r="B1907" s="32" t="s">
        <v>1642</v>
      </c>
      <c r="C1907" s="32" t="s">
        <v>1644</v>
      </c>
      <c r="D1907" s="32" t="s">
        <v>114</v>
      </c>
      <c r="E1907" s="32" t="s">
        <v>115</v>
      </c>
      <c r="F1907" s="32" t="n">
        <v>9923047735</v>
      </c>
      <c r="G1907" s="32" t="s">
        <v>104</v>
      </c>
      <c r="H1907" s="32" t="s">
        <v>22</v>
      </c>
      <c r="I1907" s="32" t="s">
        <v>98</v>
      </c>
      <c r="J1907" s="32" t="s">
        <v>99</v>
      </c>
      <c r="K1907" s="32" t="s">
        <v>63</v>
      </c>
    </row>
    <row r="1908" customFormat="false" ht="13.5" hidden="false" customHeight="true" outlineLevel="0" collapsed="false">
      <c r="A1908" s="32" t="n">
        <v>3989</v>
      </c>
      <c r="B1908" s="32" t="s">
        <v>1645</v>
      </c>
      <c r="C1908" s="32" t="s">
        <v>1646</v>
      </c>
      <c r="D1908" s="32" t="s">
        <v>114</v>
      </c>
      <c r="E1908" s="32" t="s">
        <v>115</v>
      </c>
      <c r="F1908" s="32" t="n">
        <v>9791129799</v>
      </c>
      <c r="G1908" s="32" t="s">
        <v>0</v>
      </c>
      <c r="H1908" s="32" t="s">
        <v>22</v>
      </c>
      <c r="I1908" s="32" t="s">
        <v>95</v>
      </c>
      <c r="J1908" s="32" t="s">
        <v>96</v>
      </c>
      <c r="K1908" s="32" t="s">
        <v>63</v>
      </c>
    </row>
    <row r="1909" customFormat="false" ht="13.5" hidden="false" customHeight="true" outlineLevel="0" collapsed="false">
      <c r="A1909" s="32" t="n">
        <v>3990</v>
      </c>
      <c r="B1909" s="32" t="s">
        <v>1645</v>
      </c>
      <c r="C1909" s="32" t="s">
        <v>1646</v>
      </c>
      <c r="D1909" s="32" t="s">
        <v>114</v>
      </c>
      <c r="E1909" s="32" t="s">
        <v>115</v>
      </c>
      <c r="F1909" s="32" t="n">
        <v>9791129799</v>
      </c>
      <c r="G1909" s="32" t="s">
        <v>0</v>
      </c>
      <c r="H1909" s="32" t="s">
        <v>22</v>
      </c>
      <c r="I1909" s="32" t="s">
        <v>145</v>
      </c>
      <c r="J1909" s="32" t="s">
        <v>117</v>
      </c>
      <c r="K1909" s="32" t="s">
        <v>63</v>
      </c>
    </row>
    <row r="1910" customFormat="false" ht="13.5" hidden="false" customHeight="true" outlineLevel="0" collapsed="false">
      <c r="A1910" s="32" t="n">
        <v>3991</v>
      </c>
      <c r="B1910" s="32" t="s">
        <v>1645</v>
      </c>
      <c r="C1910" s="32" t="s">
        <v>1646</v>
      </c>
      <c r="D1910" s="32" t="s">
        <v>114</v>
      </c>
      <c r="E1910" s="32" t="s">
        <v>115</v>
      </c>
      <c r="F1910" s="32" t="n">
        <v>9791129799</v>
      </c>
      <c r="G1910" s="32" t="s">
        <v>0</v>
      </c>
      <c r="H1910" s="32" t="s">
        <v>22</v>
      </c>
      <c r="I1910" s="32" t="s">
        <v>284</v>
      </c>
      <c r="J1910" s="32" t="s">
        <v>117</v>
      </c>
      <c r="K1910" s="32" t="s">
        <v>63</v>
      </c>
    </row>
    <row r="1911" customFormat="false" ht="13.5" hidden="false" customHeight="true" outlineLevel="0" collapsed="false">
      <c r="A1911" s="32" t="n">
        <v>3992</v>
      </c>
      <c r="B1911" s="32" t="s">
        <v>1645</v>
      </c>
      <c r="C1911" s="32" t="s">
        <v>1646</v>
      </c>
      <c r="D1911" s="32" t="s">
        <v>114</v>
      </c>
      <c r="E1911" s="32" t="s">
        <v>115</v>
      </c>
      <c r="F1911" s="32" t="n">
        <v>9791129799</v>
      </c>
      <c r="G1911" s="32" t="s">
        <v>0</v>
      </c>
      <c r="H1911" s="32" t="s">
        <v>22</v>
      </c>
      <c r="I1911" s="32" t="s">
        <v>217</v>
      </c>
      <c r="J1911" s="32" t="s">
        <v>132</v>
      </c>
      <c r="K1911" s="32" t="s">
        <v>63</v>
      </c>
    </row>
    <row r="1912" customFormat="false" ht="13.5" hidden="false" customHeight="true" outlineLevel="0" collapsed="false">
      <c r="A1912" s="32" t="n">
        <v>3993</v>
      </c>
      <c r="B1912" s="32" t="s">
        <v>1645</v>
      </c>
      <c r="C1912" s="32" t="s">
        <v>1646</v>
      </c>
      <c r="D1912" s="32" t="s">
        <v>114</v>
      </c>
      <c r="E1912" s="32" t="s">
        <v>115</v>
      </c>
      <c r="F1912" s="32" t="n">
        <v>9791129799</v>
      </c>
      <c r="G1912" s="32" t="s">
        <v>0</v>
      </c>
      <c r="H1912" s="32" t="s">
        <v>22</v>
      </c>
      <c r="I1912" s="32" t="s">
        <v>251</v>
      </c>
      <c r="J1912" s="32" t="s">
        <v>152</v>
      </c>
      <c r="K1912" s="32" t="s">
        <v>63</v>
      </c>
    </row>
    <row r="1913" customFormat="false" ht="13.5" hidden="false" customHeight="true" outlineLevel="0" collapsed="false">
      <c r="A1913" s="32" t="n">
        <v>3994</v>
      </c>
      <c r="B1913" s="32" t="s">
        <v>1645</v>
      </c>
      <c r="C1913" s="32" t="s">
        <v>1646</v>
      </c>
      <c r="D1913" s="32" t="s">
        <v>114</v>
      </c>
      <c r="E1913" s="32" t="s">
        <v>115</v>
      </c>
      <c r="F1913" s="32" t="n">
        <v>9791129799</v>
      </c>
      <c r="G1913" s="32" t="s">
        <v>1647</v>
      </c>
      <c r="H1913" s="32" t="s">
        <v>22</v>
      </c>
      <c r="I1913" s="32" t="s">
        <v>121</v>
      </c>
      <c r="J1913" s="32" t="s">
        <v>110</v>
      </c>
      <c r="K1913" s="32" t="s">
        <v>63</v>
      </c>
    </row>
    <row r="1914" customFormat="false" ht="13.5" hidden="false" customHeight="true" outlineLevel="0" collapsed="false">
      <c r="A1914" s="32" t="n">
        <v>3995</v>
      </c>
      <c r="B1914" s="32" t="s">
        <v>1645</v>
      </c>
      <c r="C1914" s="32" t="s">
        <v>1646</v>
      </c>
      <c r="D1914" s="32" t="s">
        <v>114</v>
      </c>
      <c r="E1914" s="32" t="s">
        <v>115</v>
      </c>
      <c r="F1914" s="32" t="n">
        <v>9791129799</v>
      </c>
      <c r="G1914" s="32" t="s">
        <v>0</v>
      </c>
      <c r="H1914" s="32" t="s">
        <v>22</v>
      </c>
      <c r="I1914" s="32" t="s">
        <v>98</v>
      </c>
      <c r="J1914" s="32" t="s">
        <v>99</v>
      </c>
      <c r="K1914" s="32" t="s">
        <v>63</v>
      </c>
    </row>
    <row r="1915" customFormat="false" ht="13.5" hidden="false" customHeight="true" outlineLevel="0" collapsed="false">
      <c r="A1915" s="32" t="n">
        <v>3997</v>
      </c>
      <c r="B1915" s="32" t="s">
        <v>1648</v>
      </c>
      <c r="C1915" s="32" t="s">
        <v>1649</v>
      </c>
      <c r="D1915" s="32" t="s">
        <v>114</v>
      </c>
      <c r="E1915" s="32" t="s">
        <v>165</v>
      </c>
      <c r="F1915" s="32" t="n">
        <v>9533526988</v>
      </c>
      <c r="G1915" s="32" t="s">
        <v>80</v>
      </c>
      <c r="H1915" s="32" t="s">
        <v>22</v>
      </c>
      <c r="I1915" s="32" t="s">
        <v>150</v>
      </c>
      <c r="J1915" s="32" t="s">
        <v>73</v>
      </c>
      <c r="K1915" s="32" t="s">
        <v>63</v>
      </c>
    </row>
    <row r="1916" customFormat="false" ht="13.5" hidden="false" customHeight="true" outlineLevel="0" collapsed="false">
      <c r="A1916" s="32" t="n">
        <v>4002</v>
      </c>
      <c r="B1916" s="32" t="s">
        <v>1648</v>
      </c>
      <c r="C1916" s="32" t="s">
        <v>1650</v>
      </c>
      <c r="D1916" s="32" t="s">
        <v>114</v>
      </c>
      <c r="E1916" s="32" t="s">
        <v>165</v>
      </c>
      <c r="F1916" s="32" t="n">
        <v>9533526988</v>
      </c>
      <c r="G1916" s="32" t="s">
        <v>80</v>
      </c>
      <c r="H1916" s="32" t="s">
        <v>22</v>
      </c>
      <c r="I1916" s="32" t="s">
        <v>75</v>
      </c>
      <c r="J1916" s="32" t="s">
        <v>76</v>
      </c>
      <c r="K1916" s="32" t="s">
        <v>63</v>
      </c>
    </row>
    <row r="1917" customFormat="false" ht="13.5" hidden="false" customHeight="true" outlineLevel="0" collapsed="false">
      <c r="A1917" s="32" t="n">
        <v>4003</v>
      </c>
      <c r="B1917" s="32" t="s">
        <v>1648</v>
      </c>
      <c r="C1917" s="32" t="s">
        <v>1649</v>
      </c>
      <c r="D1917" s="32" t="s">
        <v>114</v>
      </c>
      <c r="E1917" s="32" t="s">
        <v>165</v>
      </c>
      <c r="F1917" s="32" t="n">
        <v>9533526988</v>
      </c>
      <c r="G1917" s="32" t="s">
        <v>61</v>
      </c>
      <c r="H1917" s="32" t="s">
        <v>22</v>
      </c>
      <c r="I1917" s="32" t="s">
        <v>27</v>
      </c>
      <c r="J1917" s="32" t="s">
        <v>13</v>
      </c>
      <c r="K1917" s="32" t="s">
        <v>63</v>
      </c>
    </row>
    <row r="1918" customFormat="false" ht="13.5" hidden="false" customHeight="true" outlineLevel="0" collapsed="false">
      <c r="A1918" s="32" t="n">
        <v>4004</v>
      </c>
      <c r="B1918" s="32" t="s">
        <v>1648</v>
      </c>
      <c r="C1918" s="32" t="s">
        <v>1649</v>
      </c>
      <c r="D1918" s="32" t="s">
        <v>114</v>
      </c>
      <c r="E1918" s="32" t="s">
        <v>165</v>
      </c>
      <c r="F1918" s="32" t="n">
        <v>9533526988</v>
      </c>
      <c r="G1918" s="32" t="s">
        <v>61</v>
      </c>
      <c r="H1918" s="32" t="s">
        <v>22</v>
      </c>
      <c r="I1918" s="32" t="s">
        <v>30</v>
      </c>
      <c r="J1918" s="32" t="s">
        <v>203</v>
      </c>
      <c r="K1918" s="32" t="s">
        <v>63</v>
      </c>
    </row>
    <row r="1919" customFormat="false" ht="13.5" hidden="false" customHeight="true" outlineLevel="0" collapsed="false">
      <c r="A1919" s="32" t="n">
        <v>4005</v>
      </c>
      <c r="B1919" s="32" t="s">
        <v>1648</v>
      </c>
      <c r="C1919" s="32" t="s">
        <v>1649</v>
      </c>
      <c r="D1919" s="32" t="s">
        <v>114</v>
      </c>
      <c r="E1919" s="32" t="s">
        <v>165</v>
      </c>
      <c r="F1919" s="32" t="n">
        <v>9533526988</v>
      </c>
      <c r="G1919" s="32" t="s">
        <v>80</v>
      </c>
      <c r="H1919" s="32" t="s">
        <v>22</v>
      </c>
      <c r="I1919" s="32" t="s">
        <v>111</v>
      </c>
      <c r="J1919" s="32" t="s">
        <v>73</v>
      </c>
      <c r="K1919" s="32" t="s">
        <v>63</v>
      </c>
    </row>
    <row r="1920" customFormat="false" ht="13.5" hidden="false" customHeight="true" outlineLevel="0" collapsed="false">
      <c r="A1920" s="32" t="n">
        <v>4006</v>
      </c>
      <c r="B1920" s="32" t="s">
        <v>1651</v>
      </c>
      <c r="C1920" s="32" t="s">
        <v>1652</v>
      </c>
      <c r="D1920" s="32" t="s">
        <v>59</v>
      </c>
      <c r="E1920" s="32" t="s">
        <v>79</v>
      </c>
      <c r="F1920" s="33" t="n">
        <v>919700000000</v>
      </c>
      <c r="G1920" s="32" t="s">
        <v>104</v>
      </c>
      <c r="H1920" s="32" t="s">
        <v>21</v>
      </c>
      <c r="I1920" s="32" t="s">
        <v>172</v>
      </c>
      <c r="J1920" s="32" t="s">
        <v>152</v>
      </c>
      <c r="K1920" s="32" t="s">
        <v>63</v>
      </c>
    </row>
    <row r="1921" customFormat="false" ht="13.5" hidden="false" customHeight="true" outlineLevel="0" collapsed="false">
      <c r="A1921" s="32" t="n">
        <v>4007</v>
      </c>
      <c r="B1921" s="32" t="s">
        <v>1651</v>
      </c>
      <c r="C1921" s="32" t="s">
        <v>1652</v>
      </c>
      <c r="D1921" s="32" t="s">
        <v>59</v>
      </c>
      <c r="E1921" s="32" t="s">
        <v>79</v>
      </c>
      <c r="F1921" s="33" t="n">
        <v>919700000000</v>
      </c>
      <c r="G1921" s="32" t="s">
        <v>104</v>
      </c>
      <c r="H1921" s="32" t="s">
        <v>21</v>
      </c>
      <c r="I1921" s="32" t="s">
        <v>151</v>
      </c>
      <c r="J1921" s="32" t="s">
        <v>152</v>
      </c>
      <c r="K1921" s="32" t="s">
        <v>63</v>
      </c>
    </row>
    <row r="1922" customFormat="false" ht="13.5" hidden="false" customHeight="true" outlineLevel="0" collapsed="false">
      <c r="A1922" s="32" t="n">
        <v>4008</v>
      </c>
      <c r="B1922" s="32" t="s">
        <v>1653</v>
      </c>
      <c r="C1922" s="32" t="s">
        <v>1654</v>
      </c>
      <c r="D1922" s="32" t="s">
        <v>114</v>
      </c>
      <c r="E1922" s="32" t="s">
        <v>115</v>
      </c>
      <c r="F1922" s="32" t="n">
        <v>8050602459</v>
      </c>
      <c r="G1922" s="32" t="s">
        <v>61</v>
      </c>
      <c r="H1922" s="32" t="s">
        <v>22</v>
      </c>
      <c r="I1922" s="32" t="s">
        <v>217</v>
      </c>
      <c r="J1922" s="32" t="s">
        <v>132</v>
      </c>
      <c r="K1922" s="32" t="s">
        <v>63</v>
      </c>
    </row>
    <row r="1923" customFormat="false" ht="13.5" hidden="false" customHeight="true" outlineLevel="0" collapsed="false">
      <c r="A1923" s="32" t="n">
        <v>4009</v>
      </c>
      <c r="B1923" s="32" t="s">
        <v>1655</v>
      </c>
      <c r="C1923" s="32" t="s">
        <v>1656</v>
      </c>
      <c r="D1923" s="32" t="s">
        <v>114</v>
      </c>
      <c r="E1923" s="32" t="s">
        <v>165</v>
      </c>
      <c r="F1923" s="32" t="n">
        <v>0</v>
      </c>
      <c r="G1923" s="32" t="s">
        <v>69</v>
      </c>
      <c r="H1923" s="32" t="s">
        <v>22</v>
      </c>
      <c r="I1923" s="32" t="s">
        <v>717</v>
      </c>
      <c r="J1923" s="32" t="s">
        <v>89</v>
      </c>
      <c r="K1923" s="32" t="s">
        <v>63</v>
      </c>
    </row>
    <row r="1924" customFormat="false" ht="13.5" hidden="false" customHeight="true" outlineLevel="0" collapsed="false">
      <c r="A1924" s="32" t="n">
        <v>4010</v>
      </c>
      <c r="B1924" s="32" t="s">
        <v>1655</v>
      </c>
      <c r="C1924" s="32" t="s">
        <v>1656</v>
      </c>
      <c r="D1924" s="32" t="s">
        <v>114</v>
      </c>
      <c r="E1924" s="32" t="s">
        <v>165</v>
      </c>
      <c r="F1924" s="32" t="n">
        <v>0</v>
      </c>
      <c r="G1924" s="32" t="s">
        <v>69</v>
      </c>
      <c r="H1924" s="32" t="s">
        <v>22</v>
      </c>
      <c r="I1924" s="32" t="s">
        <v>14</v>
      </c>
      <c r="J1924" s="32" t="s">
        <v>66</v>
      </c>
      <c r="K1924" s="32" t="s">
        <v>63</v>
      </c>
    </row>
    <row r="1925" customFormat="false" ht="13.5" hidden="false" customHeight="true" outlineLevel="0" collapsed="false">
      <c r="A1925" s="32" t="n">
        <v>4011</v>
      </c>
      <c r="B1925" s="32" t="s">
        <v>1657</v>
      </c>
      <c r="C1925" s="32" t="s">
        <v>1658</v>
      </c>
      <c r="D1925" s="32" t="s">
        <v>114</v>
      </c>
      <c r="E1925" s="32" t="s">
        <v>268</v>
      </c>
      <c r="F1925" s="32" t="n">
        <v>8747889198</v>
      </c>
      <c r="G1925" s="32" t="s">
        <v>104</v>
      </c>
      <c r="H1925" s="32" t="s">
        <v>22</v>
      </c>
      <c r="I1925" s="32" t="s">
        <v>421</v>
      </c>
      <c r="J1925" s="32" t="s">
        <v>235</v>
      </c>
      <c r="K1925" s="32" t="s">
        <v>63</v>
      </c>
    </row>
    <row r="1926" customFormat="false" ht="13.5" hidden="false" customHeight="true" outlineLevel="0" collapsed="false">
      <c r="A1926" s="32" t="n">
        <v>4012</v>
      </c>
      <c r="B1926" s="32" t="s">
        <v>1657</v>
      </c>
      <c r="C1926" s="32" t="s">
        <v>1658</v>
      </c>
      <c r="D1926" s="32" t="s">
        <v>114</v>
      </c>
      <c r="E1926" s="32" t="s">
        <v>268</v>
      </c>
      <c r="F1926" s="32" t="n">
        <v>8747889198</v>
      </c>
      <c r="G1926" s="32" t="s">
        <v>104</v>
      </c>
      <c r="H1926" s="32" t="s">
        <v>22</v>
      </c>
      <c r="I1926" s="32" t="s">
        <v>350</v>
      </c>
      <c r="J1926" s="32" t="s">
        <v>235</v>
      </c>
      <c r="K1926" s="32" t="s">
        <v>63</v>
      </c>
    </row>
    <row r="1927" customFormat="false" ht="13.5" hidden="false" customHeight="true" outlineLevel="0" collapsed="false">
      <c r="A1927" s="32" t="n">
        <v>4013</v>
      </c>
      <c r="B1927" s="32" t="s">
        <v>1657</v>
      </c>
      <c r="C1927" s="32" t="s">
        <v>1658</v>
      </c>
      <c r="D1927" s="32" t="s">
        <v>114</v>
      </c>
      <c r="E1927" s="32" t="s">
        <v>268</v>
      </c>
      <c r="F1927" s="32" t="n">
        <v>8747889198</v>
      </c>
      <c r="G1927" s="32" t="s">
        <v>104</v>
      </c>
      <c r="H1927" s="32" t="s">
        <v>22</v>
      </c>
      <c r="I1927" s="32" t="s">
        <v>333</v>
      </c>
      <c r="J1927" s="32" t="s">
        <v>235</v>
      </c>
      <c r="K1927" s="32" t="s">
        <v>63</v>
      </c>
    </row>
    <row r="1928" customFormat="false" ht="13.5" hidden="false" customHeight="true" outlineLevel="0" collapsed="false">
      <c r="A1928" s="32" t="n">
        <v>4014</v>
      </c>
      <c r="B1928" s="32" t="s">
        <v>1659</v>
      </c>
      <c r="C1928" s="32" t="s">
        <v>1660</v>
      </c>
      <c r="D1928" s="32" t="s">
        <v>331</v>
      </c>
      <c r="E1928" s="32" t="s">
        <v>278</v>
      </c>
      <c r="F1928" s="33" t="n">
        <v>919981000000</v>
      </c>
      <c r="G1928" s="32" t="s">
        <v>61</v>
      </c>
      <c r="H1928" s="32" t="s">
        <v>332</v>
      </c>
      <c r="I1928" s="32" t="s">
        <v>386</v>
      </c>
      <c r="J1928" s="32" t="s">
        <v>132</v>
      </c>
      <c r="K1928" s="32" t="s">
        <v>63</v>
      </c>
    </row>
    <row r="1929" customFormat="false" ht="13.5" hidden="false" customHeight="true" outlineLevel="0" collapsed="false">
      <c r="A1929" s="32" t="n">
        <v>4015</v>
      </c>
      <c r="B1929" s="32" t="s">
        <v>1661</v>
      </c>
      <c r="C1929" s="32" t="s">
        <v>1662</v>
      </c>
      <c r="D1929" s="32" t="s">
        <v>102</v>
      </c>
      <c r="E1929" s="32" t="s">
        <v>107</v>
      </c>
      <c r="F1929" s="33" t="n">
        <v>919902000000</v>
      </c>
      <c r="G1929" s="32" t="s">
        <v>80</v>
      </c>
      <c r="H1929" s="32" t="s">
        <v>21</v>
      </c>
      <c r="I1929" s="32" t="s">
        <v>75</v>
      </c>
      <c r="J1929" s="32" t="s">
        <v>76</v>
      </c>
      <c r="K1929" s="32" t="s">
        <v>63</v>
      </c>
    </row>
    <row r="1930" customFormat="false" ht="13.5" hidden="false" customHeight="true" outlineLevel="0" collapsed="false">
      <c r="A1930" s="32" t="n">
        <v>4016</v>
      </c>
      <c r="B1930" s="32" t="s">
        <v>1661</v>
      </c>
      <c r="C1930" s="32" t="s">
        <v>1663</v>
      </c>
      <c r="D1930" s="32" t="s">
        <v>59</v>
      </c>
      <c r="E1930" s="32" t="s">
        <v>107</v>
      </c>
      <c r="F1930" s="32" t="n">
        <v>9902155432</v>
      </c>
      <c r="G1930" s="32" t="s">
        <v>61</v>
      </c>
      <c r="H1930" s="32" t="s">
        <v>21</v>
      </c>
      <c r="I1930" s="32" t="s">
        <v>16</v>
      </c>
      <c r="J1930" s="32" t="s">
        <v>73</v>
      </c>
      <c r="K1930" s="32" t="s">
        <v>63</v>
      </c>
    </row>
    <row r="1931" customFormat="false" ht="13.5" hidden="false" customHeight="true" outlineLevel="0" collapsed="false">
      <c r="A1931" s="32" t="n">
        <v>4017</v>
      </c>
      <c r="B1931" s="32" t="s">
        <v>1661</v>
      </c>
      <c r="C1931" s="32" t="s">
        <v>1663</v>
      </c>
      <c r="D1931" s="32" t="s">
        <v>59</v>
      </c>
      <c r="E1931" s="32" t="s">
        <v>107</v>
      </c>
      <c r="F1931" s="32" t="n">
        <v>9902155432</v>
      </c>
      <c r="G1931" s="32" t="s">
        <v>61</v>
      </c>
      <c r="H1931" s="32" t="s">
        <v>21</v>
      </c>
      <c r="I1931" s="32" t="s">
        <v>1410</v>
      </c>
      <c r="J1931" s="32" t="s">
        <v>13</v>
      </c>
      <c r="K1931" s="32" t="s">
        <v>63</v>
      </c>
    </row>
    <row r="1932" customFormat="false" ht="13.5" hidden="false" customHeight="true" outlineLevel="0" collapsed="false">
      <c r="A1932" s="32" t="n">
        <v>4018</v>
      </c>
      <c r="B1932" s="32" t="s">
        <v>1664</v>
      </c>
      <c r="C1932" s="32" t="s">
        <v>1665</v>
      </c>
      <c r="D1932" s="32" t="s">
        <v>59</v>
      </c>
      <c r="E1932" s="32" t="n">
        <v>0</v>
      </c>
      <c r="F1932" s="32" t="n">
        <v>9867769356</v>
      </c>
      <c r="G1932" s="32" t="s">
        <v>80</v>
      </c>
      <c r="H1932" s="32" t="s">
        <v>21</v>
      </c>
      <c r="I1932" s="32" t="s">
        <v>27</v>
      </c>
      <c r="J1932" s="32" t="s">
        <v>13</v>
      </c>
      <c r="K1932" s="32" t="s">
        <v>63</v>
      </c>
    </row>
    <row r="1933" customFormat="false" ht="13.5" hidden="false" customHeight="true" outlineLevel="0" collapsed="false">
      <c r="A1933" s="32" t="n">
        <v>4019</v>
      </c>
      <c r="B1933" s="32" t="s">
        <v>1664</v>
      </c>
      <c r="C1933" s="32" t="s">
        <v>1665</v>
      </c>
      <c r="D1933" s="32" t="s">
        <v>59</v>
      </c>
      <c r="E1933" s="32" t="n">
        <v>0</v>
      </c>
      <c r="F1933" s="32" t="n">
        <v>9867769356</v>
      </c>
      <c r="G1933" s="32" t="s">
        <v>80</v>
      </c>
      <c r="H1933" s="32" t="s">
        <v>21</v>
      </c>
      <c r="I1933" s="32" t="s">
        <v>145</v>
      </c>
      <c r="J1933" s="32" t="s">
        <v>117</v>
      </c>
      <c r="K1933" s="32" t="s">
        <v>63</v>
      </c>
    </row>
    <row r="1934" customFormat="false" ht="13.5" hidden="false" customHeight="true" outlineLevel="0" collapsed="false">
      <c r="A1934" s="32" t="n">
        <v>4020</v>
      </c>
      <c r="B1934" s="32" t="s">
        <v>1664</v>
      </c>
      <c r="C1934" s="32" t="s">
        <v>1665</v>
      </c>
      <c r="D1934" s="32" t="s">
        <v>59</v>
      </c>
      <c r="E1934" s="32" t="n">
        <v>0</v>
      </c>
      <c r="F1934" s="32" t="n">
        <v>9867769356</v>
      </c>
      <c r="G1934" s="32" t="s">
        <v>80</v>
      </c>
      <c r="H1934" s="32" t="s">
        <v>21</v>
      </c>
      <c r="I1934" s="32" t="s">
        <v>111</v>
      </c>
      <c r="J1934" s="32" t="s">
        <v>73</v>
      </c>
      <c r="K1934" s="32" t="s">
        <v>63</v>
      </c>
    </row>
    <row r="1935" customFormat="false" ht="13.5" hidden="false" customHeight="true" outlineLevel="0" collapsed="false">
      <c r="A1935" s="32" t="n">
        <v>4021</v>
      </c>
      <c r="B1935" s="32" t="s">
        <v>1666</v>
      </c>
      <c r="C1935" s="32" t="s">
        <v>1667</v>
      </c>
      <c r="D1935" s="32" t="s">
        <v>59</v>
      </c>
      <c r="E1935" s="32" t="s">
        <v>107</v>
      </c>
      <c r="F1935" s="32" t="n">
        <v>9926194444</v>
      </c>
      <c r="G1935" s="32" t="s">
        <v>104</v>
      </c>
      <c r="H1935" s="32" t="s">
        <v>21</v>
      </c>
      <c r="I1935" s="32" t="s">
        <v>98</v>
      </c>
      <c r="J1935" s="32" t="s">
        <v>99</v>
      </c>
      <c r="K1935" s="32" t="s">
        <v>63</v>
      </c>
    </row>
    <row r="1936" customFormat="false" ht="13.5" hidden="false" customHeight="true" outlineLevel="0" collapsed="false">
      <c r="A1936" s="32" t="n">
        <v>4022</v>
      </c>
      <c r="B1936" s="32" t="s">
        <v>1668</v>
      </c>
      <c r="C1936" s="32" t="s">
        <v>1669</v>
      </c>
      <c r="D1936" s="32" t="s">
        <v>114</v>
      </c>
      <c r="E1936" s="32" t="s">
        <v>124</v>
      </c>
      <c r="F1936" s="32" t="n">
        <v>9717588766</v>
      </c>
      <c r="G1936" s="32" t="s">
        <v>144</v>
      </c>
      <c r="H1936" s="32" t="s">
        <v>22</v>
      </c>
      <c r="I1936" s="32" t="s">
        <v>239</v>
      </c>
      <c r="J1936" s="32" t="s">
        <v>132</v>
      </c>
      <c r="K1936" s="32" t="s">
        <v>63</v>
      </c>
    </row>
    <row r="1937" customFormat="false" ht="13.5" hidden="false" customHeight="true" outlineLevel="0" collapsed="false">
      <c r="A1937" s="32" t="n">
        <v>4023</v>
      </c>
      <c r="B1937" s="32" t="s">
        <v>1668</v>
      </c>
      <c r="C1937" s="32" t="s">
        <v>1669</v>
      </c>
      <c r="D1937" s="32" t="s">
        <v>114</v>
      </c>
      <c r="E1937" s="32" t="s">
        <v>124</v>
      </c>
      <c r="F1937" s="32" t="n">
        <v>9717588766</v>
      </c>
      <c r="G1937" s="32" t="s">
        <v>144</v>
      </c>
      <c r="H1937" s="32" t="s">
        <v>22</v>
      </c>
      <c r="I1937" s="32" t="s">
        <v>248</v>
      </c>
      <c r="J1937" s="32" t="s">
        <v>117</v>
      </c>
      <c r="K1937" s="32" t="s">
        <v>63</v>
      </c>
    </row>
    <row r="1938" customFormat="false" ht="13.5" hidden="false" customHeight="true" outlineLevel="0" collapsed="false">
      <c r="A1938" s="32" t="n">
        <v>4024</v>
      </c>
      <c r="B1938" s="32" t="s">
        <v>1668</v>
      </c>
      <c r="C1938" s="32" t="s">
        <v>1669</v>
      </c>
      <c r="D1938" s="32" t="s">
        <v>114</v>
      </c>
      <c r="E1938" s="32" t="s">
        <v>124</v>
      </c>
      <c r="F1938" s="32" t="n">
        <v>9717588766</v>
      </c>
      <c r="G1938" s="32" t="s">
        <v>144</v>
      </c>
      <c r="H1938" s="32" t="s">
        <v>22</v>
      </c>
      <c r="I1938" s="32" t="s">
        <v>93</v>
      </c>
      <c r="J1938" s="32" t="s">
        <v>85</v>
      </c>
      <c r="K1938" s="32" t="s">
        <v>63</v>
      </c>
    </row>
    <row r="1939" customFormat="false" ht="13.5" hidden="false" customHeight="true" outlineLevel="0" collapsed="false">
      <c r="A1939" s="32" t="n">
        <v>4025</v>
      </c>
      <c r="B1939" s="32" t="s">
        <v>1670</v>
      </c>
      <c r="C1939" s="32" t="s">
        <v>1671</v>
      </c>
      <c r="D1939" s="32" t="s">
        <v>59</v>
      </c>
      <c r="E1939" s="32" t="s">
        <v>92</v>
      </c>
      <c r="F1939" s="33" t="n">
        <v>919439000000</v>
      </c>
      <c r="G1939" s="32" t="s">
        <v>61</v>
      </c>
      <c r="H1939" s="32" t="s">
        <v>21</v>
      </c>
      <c r="I1939" s="32" t="s">
        <v>226</v>
      </c>
      <c r="J1939" s="32" t="s">
        <v>110</v>
      </c>
      <c r="K1939" s="32" t="s">
        <v>63</v>
      </c>
    </row>
    <row r="1940" customFormat="false" ht="13.5" hidden="false" customHeight="true" outlineLevel="0" collapsed="false">
      <c r="A1940" s="32" t="n">
        <v>4026</v>
      </c>
      <c r="B1940" s="32" t="s">
        <v>1670</v>
      </c>
      <c r="C1940" s="32" t="s">
        <v>1671</v>
      </c>
      <c r="D1940" s="32" t="s">
        <v>59</v>
      </c>
      <c r="E1940" s="32" t="s">
        <v>92</v>
      </c>
      <c r="F1940" s="33" t="n">
        <v>919439000000</v>
      </c>
      <c r="G1940" s="32" t="s">
        <v>61</v>
      </c>
      <c r="H1940" s="32" t="s">
        <v>21</v>
      </c>
      <c r="I1940" s="32" t="s">
        <v>227</v>
      </c>
      <c r="J1940" s="32" t="s">
        <v>228</v>
      </c>
      <c r="K1940" s="32" t="s">
        <v>63</v>
      </c>
    </row>
    <row r="1941" customFormat="false" ht="13.5" hidden="false" customHeight="true" outlineLevel="0" collapsed="false">
      <c r="A1941" s="32" t="n">
        <v>4027</v>
      </c>
      <c r="B1941" s="32" t="s">
        <v>1670</v>
      </c>
      <c r="C1941" s="32" t="s">
        <v>1671</v>
      </c>
      <c r="D1941" s="32" t="s">
        <v>59</v>
      </c>
      <c r="E1941" s="32" t="s">
        <v>92</v>
      </c>
      <c r="F1941" s="33" t="n">
        <v>919439000000</v>
      </c>
      <c r="G1941" s="32" t="s">
        <v>61</v>
      </c>
      <c r="H1941" s="32" t="s">
        <v>21</v>
      </c>
      <c r="I1941" s="32" t="s">
        <v>231</v>
      </c>
      <c r="J1941" s="32" t="s">
        <v>228</v>
      </c>
      <c r="K1941" s="32" t="s">
        <v>63</v>
      </c>
    </row>
    <row r="1942" customFormat="false" ht="13.5" hidden="false" customHeight="true" outlineLevel="0" collapsed="false">
      <c r="A1942" s="32" t="n">
        <v>4028</v>
      </c>
      <c r="B1942" s="32" t="s">
        <v>1672</v>
      </c>
      <c r="C1942" s="32" t="s">
        <v>1673</v>
      </c>
      <c r="D1942" s="32" t="s">
        <v>114</v>
      </c>
      <c r="E1942" s="32" t="n">
        <v>0</v>
      </c>
      <c r="F1942" s="32" t="s">
        <v>1674</v>
      </c>
      <c r="G1942" s="32" t="s">
        <v>181</v>
      </c>
      <c r="H1942" s="32" t="s">
        <v>22</v>
      </c>
      <c r="I1942" s="32" t="s">
        <v>386</v>
      </c>
      <c r="J1942" s="32" t="s">
        <v>132</v>
      </c>
      <c r="K1942" s="32" t="s">
        <v>63</v>
      </c>
    </row>
    <row r="1943" customFormat="false" ht="13.5" hidden="false" customHeight="true" outlineLevel="0" collapsed="false">
      <c r="A1943" s="32" t="n">
        <v>4029</v>
      </c>
      <c r="B1943" s="32" t="s">
        <v>1672</v>
      </c>
      <c r="C1943" s="32" t="s">
        <v>1675</v>
      </c>
      <c r="D1943" s="32" t="s">
        <v>114</v>
      </c>
      <c r="E1943" s="32" t="n">
        <v>0</v>
      </c>
      <c r="F1943" s="32" t="s">
        <v>1674</v>
      </c>
      <c r="G1943" s="32" t="s">
        <v>181</v>
      </c>
      <c r="H1943" s="32" t="s">
        <v>22</v>
      </c>
      <c r="I1943" s="32" t="s">
        <v>215</v>
      </c>
      <c r="J1943" s="32" t="s">
        <v>132</v>
      </c>
      <c r="K1943" s="32" t="s">
        <v>63</v>
      </c>
    </row>
    <row r="1944" customFormat="false" ht="13.5" hidden="false" customHeight="true" outlineLevel="0" collapsed="false">
      <c r="A1944" s="32" t="n">
        <v>4030</v>
      </c>
      <c r="B1944" s="32" t="s">
        <v>1672</v>
      </c>
      <c r="C1944" s="32" t="s">
        <v>1675</v>
      </c>
      <c r="D1944" s="32" t="s">
        <v>114</v>
      </c>
      <c r="E1944" s="32" t="n">
        <v>0</v>
      </c>
      <c r="F1944" s="32" t="s">
        <v>1674</v>
      </c>
      <c r="G1944" s="32" t="s">
        <v>104</v>
      </c>
      <c r="H1944" s="32" t="s">
        <v>22</v>
      </c>
      <c r="I1944" s="32" t="s">
        <v>728</v>
      </c>
      <c r="J1944" s="32" t="s">
        <v>132</v>
      </c>
      <c r="K1944" s="32" t="s">
        <v>63</v>
      </c>
    </row>
    <row r="1945" customFormat="false" ht="13.5" hidden="false" customHeight="true" outlineLevel="0" collapsed="false">
      <c r="A1945" s="32" t="n">
        <v>4031</v>
      </c>
      <c r="B1945" s="32" t="s">
        <v>1676</v>
      </c>
      <c r="C1945" s="32" t="s">
        <v>1677</v>
      </c>
      <c r="D1945" s="32" t="s">
        <v>114</v>
      </c>
      <c r="E1945" s="32" t="s">
        <v>165</v>
      </c>
      <c r="F1945" s="32" t="n">
        <v>0</v>
      </c>
      <c r="G1945" s="32" t="s">
        <v>80</v>
      </c>
      <c r="H1945" s="32" t="s">
        <v>22</v>
      </c>
      <c r="I1945" s="32" t="s">
        <v>16</v>
      </c>
      <c r="J1945" s="32" t="s">
        <v>73</v>
      </c>
      <c r="K1945" s="32" t="s">
        <v>63</v>
      </c>
    </row>
    <row r="1946" customFormat="false" ht="13.5" hidden="false" customHeight="true" outlineLevel="0" collapsed="false">
      <c r="A1946" s="32" t="n">
        <v>4032</v>
      </c>
      <c r="B1946" s="32" t="s">
        <v>1676</v>
      </c>
      <c r="C1946" s="32" t="s">
        <v>1678</v>
      </c>
      <c r="D1946" s="32" t="s">
        <v>114</v>
      </c>
      <c r="E1946" s="32" t="s">
        <v>165</v>
      </c>
      <c r="F1946" s="32" t="n">
        <v>0</v>
      </c>
      <c r="G1946" s="32" t="s">
        <v>80</v>
      </c>
      <c r="H1946" s="32" t="s">
        <v>22</v>
      </c>
      <c r="I1946" s="32" t="s">
        <v>75</v>
      </c>
      <c r="J1946" s="32" t="s">
        <v>76</v>
      </c>
      <c r="K1946" s="32" t="s">
        <v>63</v>
      </c>
    </row>
    <row r="1947" customFormat="false" ht="13.5" hidden="false" customHeight="true" outlineLevel="0" collapsed="false">
      <c r="A1947" s="32" t="n">
        <v>4033</v>
      </c>
      <c r="B1947" s="32" t="s">
        <v>1679</v>
      </c>
      <c r="C1947" s="32" t="s">
        <v>1680</v>
      </c>
      <c r="D1947" s="32" t="s">
        <v>114</v>
      </c>
      <c r="E1947" s="32" t="s">
        <v>115</v>
      </c>
      <c r="F1947" s="33" t="n">
        <v>919920000000</v>
      </c>
      <c r="G1947" s="32" t="s">
        <v>104</v>
      </c>
      <c r="H1947" s="32" t="s">
        <v>22</v>
      </c>
      <c r="I1947" s="32" t="s">
        <v>98</v>
      </c>
      <c r="J1947" s="32" t="s">
        <v>99</v>
      </c>
      <c r="K1947" s="32" t="s">
        <v>63</v>
      </c>
    </row>
    <row r="1948" customFormat="false" ht="13.5" hidden="false" customHeight="true" outlineLevel="0" collapsed="false">
      <c r="A1948" s="32" t="n">
        <v>4034</v>
      </c>
      <c r="B1948" s="32" t="s">
        <v>1681</v>
      </c>
      <c r="C1948" s="32" t="s">
        <v>1682</v>
      </c>
      <c r="D1948" s="32" t="s">
        <v>59</v>
      </c>
      <c r="E1948" s="32" t="s">
        <v>107</v>
      </c>
      <c r="F1948" s="32" t="n">
        <v>9655793415</v>
      </c>
      <c r="G1948" s="32" t="s">
        <v>0</v>
      </c>
      <c r="H1948" s="32" t="s">
        <v>21</v>
      </c>
      <c r="I1948" s="32" t="s">
        <v>95</v>
      </c>
      <c r="J1948" s="32" t="s">
        <v>96</v>
      </c>
      <c r="K1948" s="32" t="s">
        <v>63</v>
      </c>
    </row>
    <row r="1949" customFormat="false" ht="13.5" hidden="false" customHeight="true" outlineLevel="0" collapsed="false">
      <c r="A1949" s="32" t="n">
        <v>4035</v>
      </c>
      <c r="B1949" s="32" t="s">
        <v>1681</v>
      </c>
      <c r="C1949" s="32" t="s">
        <v>1682</v>
      </c>
      <c r="D1949" s="32" t="s">
        <v>59</v>
      </c>
      <c r="E1949" s="32" t="s">
        <v>107</v>
      </c>
      <c r="F1949" s="32" t="n">
        <v>9655793415</v>
      </c>
      <c r="G1949" s="32" t="s">
        <v>0</v>
      </c>
      <c r="H1949" s="32" t="s">
        <v>21</v>
      </c>
      <c r="I1949" s="32" t="s">
        <v>678</v>
      </c>
      <c r="J1949" s="32" t="s">
        <v>152</v>
      </c>
      <c r="K1949" s="32" t="s">
        <v>63</v>
      </c>
    </row>
    <row r="1950" customFormat="false" ht="13.5" hidden="false" customHeight="true" outlineLevel="0" collapsed="false">
      <c r="A1950" s="32" t="n">
        <v>4036</v>
      </c>
      <c r="B1950" s="32" t="s">
        <v>1681</v>
      </c>
      <c r="C1950" s="32" t="s">
        <v>1683</v>
      </c>
      <c r="D1950" s="32" t="s">
        <v>59</v>
      </c>
      <c r="E1950" s="32" t="s">
        <v>107</v>
      </c>
      <c r="F1950" s="32" t="n">
        <v>9655793415</v>
      </c>
      <c r="G1950" s="32" t="s">
        <v>0</v>
      </c>
      <c r="H1950" s="32" t="s">
        <v>21</v>
      </c>
      <c r="I1950" s="32" t="s">
        <v>145</v>
      </c>
      <c r="J1950" s="32" t="s">
        <v>117</v>
      </c>
      <c r="K1950" s="32" t="s">
        <v>63</v>
      </c>
    </row>
    <row r="1951" customFormat="false" ht="13.5" hidden="false" customHeight="true" outlineLevel="0" collapsed="false">
      <c r="A1951" s="32" t="n">
        <v>4037</v>
      </c>
      <c r="B1951" s="32" t="s">
        <v>1681</v>
      </c>
      <c r="C1951" s="32" t="s">
        <v>1683</v>
      </c>
      <c r="D1951" s="32" t="s">
        <v>59</v>
      </c>
      <c r="E1951" s="32" t="s">
        <v>107</v>
      </c>
      <c r="F1951" s="32" t="n">
        <v>9655793415</v>
      </c>
      <c r="G1951" s="32" t="s">
        <v>0</v>
      </c>
      <c r="H1951" s="32" t="s">
        <v>21</v>
      </c>
      <c r="I1951" s="32" t="s">
        <v>146</v>
      </c>
      <c r="J1951" s="32" t="s">
        <v>117</v>
      </c>
      <c r="K1951" s="32" t="s">
        <v>63</v>
      </c>
    </row>
    <row r="1952" customFormat="false" ht="13.5" hidden="false" customHeight="true" outlineLevel="0" collapsed="false">
      <c r="A1952" s="32" t="n">
        <v>4038</v>
      </c>
      <c r="B1952" s="32" t="s">
        <v>1684</v>
      </c>
      <c r="C1952" s="32" t="s">
        <v>1685</v>
      </c>
      <c r="D1952" s="32" t="s">
        <v>59</v>
      </c>
      <c r="E1952" s="32" t="s">
        <v>143</v>
      </c>
      <c r="F1952" s="32" t="n">
        <v>9921166000</v>
      </c>
      <c r="G1952" s="32" t="s">
        <v>104</v>
      </c>
      <c r="H1952" s="32" t="s">
        <v>21</v>
      </c>
      <c r="I1952" s="32" t="s">
        <v>108</v>
      </c>
      <c r="J1952" s="32" t="s">
        <v>71</v>
      </c>
      <c r="K1952" s="32" t="s">
        <v>63</v>
      </c>
    </row>
    <row r="1953" customFormat="false" ht="13.5" hidden="false" customHeight="true" outlineLevel="0" collapsed="false">
      <c r="A1953" s="32" t="n">
        <v>4039</v>
      </c>
      <c r="B1953" s="32" t="s">
        <v>1686</v>
      </c>
      <c r="C1953" s="32" t="s">
        <v>1687</v>
      </c>
      <c r="D1953" s="32" t="s">
        <v>59</v>
      </c>
      <c r="E1953" s="32" t="s">
        <v>155</v>
      </c>
      <c r="F1953" s="32" t="n">
        <v>0</v>
      </c>
      <c r="G1953" s="32" t="s">
        <v>0</v>
      </c>
      <c r="H1953" s="32" t="s">
        <v>21</v>
      </c>
      <c r="I1953" s="32" t="s">
        <v>14</v>
      </c>
      <c r="J1953" s="32" t="s">
        <v>66</v>
      </c>
      <c r="K1953" s="32" t="s">
        <v>63</v>
      </c>
    </row>
    <row r="1954" customFormat="false" ht="13.5" hidden="false" customHeight="true" outlineLevel="0" collapsed="false">
      <c r="A1954" s="32" t="n">
        <v>4040</v>
      </c>
      <c r="B1954" s="32" t="s">
        <v>1686</v>
      </c>
      <c r="C1954" s="32" t="s">
        <v>1687</v>
      </c>
      <c r="D1954" s="32" t="s">
        <v>59</v>
      </c>
      <c r="E1954" s="32" t="s">
        <v>155</v>
      </c>
      <c r="F1954" s="32" t="n">
        <v>0</v>
      </c>
      <c r="G1954" s="32" t="s">
        <v>0</v>
      </c>
      <c r="H1954" s="32" t="s">
        <v>21</v>
      </c>
      <c r="I1954" s="32" t="s">
        <v>156</v>
      </c>
      <c r="J1954" s="32" t="s">
        <v>62</v>
      </c>
      <c r="K1954" s="32" t="s">
        <v>63</v>
      </c>
    </row>
    <row r="1955" customFormat="false" ht="13.5" hidden="false" customHeight="true" outlineLevel="0" collapsed="false">
      <c r="A1955" s="32" t="n">
        <v>4041</v>
      </c>
      <c r="B1955" s="32" t="s">
        <v>1688</v>
      </c>
      <c r="C1955" s="32" t="s">
        <v>1689</v>
      </c>
      <c r="D1955" s="32" t="s">
        <v>59</v>
      </c>
      <c r="E1955" s="32" t="s">
        <v>60</v>
      </c>
      <c r="F1955" s="32" t="n">
        <v>0</v>
      </c>
      <c r="G1955" s="32" t="s">
        <v>80</v>
      </c>
      <c r="H1955" s="32" t="s">
        <v>21</v>
      </c>
      <c r="I1955" s="32" t="s">
        <v>1690</v>
      </c>
      <c r="J1955" s="32" t="s">
        <v>13</v>
      </c>
      <c r="K1955" s="32" t="s">
        <v>63</v>
      </c>
    </row>
    <row r="1956" customFormat="false" ht="13.5" hidden="false" customHeight="true" outlineLevel="0" collapsed="false">
      <c r="A1956" s="32" t="n">
        <v>4042</v>
      </c>
      <c r="B1956" s="32" t="s">
        <v>1688</v>
      </c>
      <c r="C1956" s="32" t="s">
        <v>1689</v>
      </c>
      <c r="D1956" s="32" t="s">
        <v>59</v>
      </c>
      <c r="E1956" s="32" t="s">
        <v>60</v>
      </c>
      <c r="F1956" s="32" t="n">
        <v>0</v>
      </c>
      <c r="G1956" s="32" t="s">
        <v>80</v>
      </c>
      <c r="H1956" s="32" t="s">
        <v>21</v>
      </c>
      <c r="I1956" s="32" t="s">
        <v>156</v>
      </c>
      <c r="J1956" s="32" t="s">
        <v>62</v>
      </c>
      <c r="K1956" s="32" t="s">
        <v>63</v>
      </c>
    </row>
    <row r="1957" customFormat="false" ht="13.5" hidden="false" customHeight="true" outlineLevel="0" collapsed="false">
      <c r="A1957" s="32" t="n">
        <v>4043</v>
      </c>
      <c r="B1957" s="32" t="s">
        <v>1688</v>
      </c>
      <c r="C1957" s="32" t="s">
        <v>1691</v>
      </c>
      <c r="D1957" s="32" t="s">
        <v>59</v>
      </c>
      <c r="E1957" s="32" t="s">
        <v>60</v>
      </c>
      <c r="F1957" s="32" t="n">
        <v>0</v>
      </c>
      <c r="G1957" s="32" t="s">
        <v>80</v>
      </c>
      <c r="H1957" s="32" t="s">
        <v>21</v>
      </c>
      <c r="I1957" s="32" t="s">
        <v>29</v>
      </c>
      <c r="J1957" s="32" t="s">
        <v>62</v>
      </c>
      <c r="K1957" s="32" t="s">
        <v>63</v>
      </c>
    </row>
    <row r="1958" customFormat="false" ht="13.5" hidden="false" customHeight="true" outlineLevel="0" collapsed="false">
      <c r="A1958" s="32" t="n">
        <v>6882</v>
      </c>
      <c r="B1958" s="32" t="s">
        <v>1688</v>
      </c>
      <c r="C1958" s="32" t="s">
        <v>1692</v>
      </c>
      <c r="D1958" s="32" t="s">
        <v>59</v>
      </c>
      <c r="E1958" s="32" t="s">
        <v>60</v>
      </c>
      <c r="F1958" s="32" t="n">
        <v>6785147461</v>
      </c>
      <c r="G1958" s="32" t="s">
        <v>80</v>
      </c>
      <c r="H1958" s="32" t="s">
        <v>21</v>
      </c>
      <c r="I1958" s="32" t="s">
        <v>14</v>
      </c>
      <c r="J1958" s="32" t="s">
        <v>66</v>
      </c>
      <c r="K1958" s="32" t="s">
        <v>63</v>
      </c>
    </row>
    <row r="1959" customFormat="false" ht="13.5" hidden="false" customHeight="true" outlineLevel="0" collapsed="false">
      <c r="A1959" s="32" t="n">
        <v>4045</v>
      </c>
      <c r="B1959" s="32" t="s">
        <v>1693</v>
      </c>
      <c r="C1959" s="32" t="s">
        <v>1694</v>
      </c>
      <c r="D1959" s="32" t="s">
        <v>59</v>
      </c>
      <c r="E1959" s="32" t="s">
        <v>107</v>
      </c>
      <c r="F1959" s="32" t="n">
        <v>0</v>
      </c>
      <c r="G1959" s="32" t="s">
        <v>144</v>
      </c>
      <c r="H1959" s="32" t="s">
        <v>21</v>
      </c>
      <c r="I1959" s="32" t="s">
        <v>108</v>
      </c>
      <c r="J1959" s="32" t="s">
        <v>71</v>
      </c>
      <c r="K1959" s="32" t="s">
        <v>63</v>
      </c>
    </row>
    <row r="1960" customFormat="false" ht="13.5" hidden="false" customHeight="true" outlineLevel="0" collapsed="false">
      <c r="A1960" s="32" t="n">
        <v>4046</v>
      </c>
      <c r="B1960" s="32" t="s">
        <v>1695</v>
      </c>
      <c r="C1960" s="32" t="s">
        <v>1696</v>
      </c>
      <c r="D1960" s="32" t="s">
        <v>59</v>
      </c>
      <c r="E1960" s="32" t="s">
        <v>107</v>
      </c>
      <c r="F1960" s="32" t="n">
        <v>9028056199</v>
      </c>
      <c r="G1960" s="32" t="s">
        <v>80</v>
      </c>
      <c r="H1960" s="32" t="s">
        <v>21</v>
      </c>
      <c r="I1960" s="32" t="s">
        <v>226</v>
      </c>
      <c r="J1960" s="32" t="s">
        <v>110</v>
      </c>
      <c r="K1960" s="32" t="s">
        <v>63</v>
      </c>
    </row>
    <row r="1961" customFormat="false" ht="13.5" hidden="false" customHeight="true" outlineLevel="0" collapsed="false">
      <c r="A1961" s="32" t="n">
        <v>4047</v>
      </c>
      <c r="B1961" s="32" t="s">
        <v>1695</v>
      </c>
      <c r="C1961" s="32" t="s">
        <v>1696</v>
      </c>
      <c r="D1961" s="32" t="s">
        <v>59</v>
      </c>
      <c r="E1961" s="32" t="s">
        <v>107</v>
      </c>
      <c r="F1961" s="32" t="n">
        <v>9028056199</v>
      </c>
      <c r="G1961" s="32" t="s">
        <v>80</v>
      </c>
      <c r="H1961" s="32" t="s">
        <v>21</v>
      </c>
      <c r="I1961" s="32" t="s">
        <v>121</v>
      </c>
      <c r="J1961" s="32" t="s">
        <v>110</v>
      </c>
      <c r="K1961" s="32" t="s">
        <v>63</v>
      </c>
    </row>
    <row r="1962" customFormat="false" ht="13.5" hidden="false" customHeight="true" outlineLevel="0" collapsed="false">
      <c r="A1962" s="32" t="n">
        <v>4048</v>
      </c>
      <c r="B1962" s="32" t="s">
        <v>1695</v>
      </c>
      <c r="C1962" s="32" t="s">
        <v>1696</v>
      </c>
      <c r="D1962" s="32" t="s">
        <v>59</v>
      </c>
      <c r="E1962" s="32" t="s">
        <v>107</v>
      </c>
      <c r="F1962" s="32" t="n">
        <v>9028056199</v>
      </c>
      <c r="G1962" s="32" t="s">
        <v>80</v>
      </c>
      <c r="H1962" s="32" t="s">
        <v>21</v>
      </c>
      <c r="I1962" s="32" t="s">
        <v>1697</v>
      </c>
      <c r="J1962" s="32" t="s">
        <v>1571</v>
      </c>
      <c r="K1962" s="32" t="s">
        <v>63</v>
      </c>
    </row>
    <row r="1963" customFormat="false" ht="13.5" hidden="false" customHeight="true" outlineLevel="0" collapsed="false">
      <c r="A1963" s="32" t="n">
        <v>4049</v>
      </c>
      <c r="B1963" s="32" t="s">
        <v>1698</v>
      </c>
      <c r="C1963" s="32" t="s">
        <v>1699</v>
      </c>
      <c r="D1963" s="32" t="s">
        <v>59</v>
      </c>
      <c r="E1963" s="32" t="s">
        <v>107</v>
      </c>
      <c r="F1963" s="32" t="n">
        <v>7009299057</v>
      </c>
      <c r="G1963" s="32" t="s">
        <v>144</v>
      </c>
      <c r="H1963" s="32" t="s">
        <v>21</v>
      </c>
      <c r="I1963" s="32" t="s">
        <v>76</v>
      </c>
      <c r="J1963" s="32" t="s">
        <v>76</v>
      </c>
      <c r="K1963" s="32" t="s">
        <v>63</v>
      </c>
    </row>
    <row r="1964" customFormat="false" ht="13.5" hidden="false" customHeight="true" outlineLevel="0" collapsed="false">
      <c r="A1964" s="32" t="n">
        <v>4050</v>
      </c>
      <c r="B1964" s="32" t="s">
        <v>1698</v>
      </c>
      <c r="C1964" s="32" t="s">
        <v>1700</v>
      </c>
      <c r="D1964" s="32" t="s">
        <v>59</v>
      </c>
      <c r="E1964" s="32" t="s">
        <v>107</v>
      </c>
      <c r="F1964" s="32" t="n">
        <v>7009299057</v>
      </c>
      <c r="G1964" s="32" t="s">
        <v>144</v>
      </c>
      <c r="H1964" s="32" t="s">
        <v>21</v>
      </c>
      <c r="I1964" s="32" t="s">
        <v>30</v>
      </c>
      <c r="J1964" s="32" t="s">
        <v>203</v>
      </c>
      <c r="K1964" s="32" t="s">
        <v>63</v>
      </c>
    </row>
    <row r="1965" customFormat="false" ht="13.5" hidden="false" customHeight="true" outlineLevel="0" collapsed="false">
      <c r="A1965" s="32" t="n">
        <v>4051</v>
      </c>
      <c r="B1965" s="32" t="s">
        <v>1698</v>
      </c>
      <c r="C1965" s="32" t="s">
        <v>1699</v>
      </c>
      <c r="D1965" s="32" t="s">
        <v>59</v>
      </c>
      <c r="E1965" s="32" t="s">
        <v>107</v>
      </c>
      <c r="F1965" s="32" t="n">
        <v>7009299057</v>
      </c>
      <c r="G1965" s="32" t="s">
        <v>144</v>
      </c>
      <c r="H1965" s="32" t="s">
        <v>21</v>
      </c>
      <c r="I1965" s="32" t="s">
        <v>393</v>
      </c>
      <c r="J1965" s="32" t="s">
        <v>73</v>
      </c>
      <c r="K1965" s="32" t="s">
        <v>63</v>
      </c>
    </row>
    <row r="1966" customFormat="false" ht="13.5" hidden="false" customHeight="true" outlineLevel="0" collapsed="false">
      <c r="A1966" s="32" t="n">
        <v>4052</v>
      </c>
      <c r="B1966" s="32" t="s">
        <v>1698</v>
      </c>
      <c r="C1966" s="32" t="s">
        <v>1699</v>
      </c>
      <c r="D1966" s="32" t="s">
        <v>59</v>
      </c>
      <c r="E1966" s="32" t="s">
        <v>107</v>
      </c>
      <c r="F1966" s="32" t="n">
        <v>7009299057</v>
      </c>
      <c r="G1966" s="32" t="s">
        <v>144</v>
      </c>
      <c r="H1966" s="32" t="s">
        <v>21</v>
      </c>
      <c r="I1966" s="32" t="s">
        <v>111</v>
      </c>
      <c r="J1966" s="32" t="s">
        <v>73</v>
      </c>
      <c r="K1966" s="32" t="s">
        <v>63</v>
      </c>
    </row>
    <row r="1967" customFormat="false" ht="13.5" hidden="false" customHeight="true" outlineLevel="0" collapsed="false">
      <c r="A1967" s="32" t="n">
        <v>4054</v>
      </c>
      <c r="B1967" s="32" t="s">
        <v>1698</v>
      </c>
      <c r="C1967" s="32" t="s">
        <v>1699</v>
      </c>
      <c r="D1967" s="32" t="s">
        <v>59</v>
      </c>
      <c r="E1967" s="32" t="s">
        <v>107</v>
      </c>
      <c r="F1967" s="32" t="n">
        <v>7009299057</v>
      </c>
      <c r="G1967" s="32" t="s">
        <v>144</v>
      </c>
      <c r="H1967" s="32" t="s">
        <v>21</v>
      </c>
      <c r="I1967" s="32" t="s">
        <v>280</v>
      </c>
      <c r="J1967" s="32" t="s">
        <v>76</v>
      </c>
      <c r="K1967" s="32" t="s">
        <v>63</v>
      </c>
    </row>
    <row r="1968" customFormat="false" ht="13.5" hidden="false" customHeight="true" outlineLevel="0" collapsed="false">
      <c r="A1968" s="32" t="n">
        <v>4055</v>
      </c>
      <c r="B1968" s="32" t="s">
        <v>1701</v>
      </c>
      <c r="C1968" s="32" t="s">
        <v>1702</v>
      </c>
      <c r="D1968" s="32" t="s">
        <v>59</v>
      </c>
      <c r="E1968" s="32" t="s">
        <v>143</v>
      </c>
      <c r="F1968" s="33" t="n">
        <v>919910000000</v>
      </c>
      <c r="G1968" s="32" t="s">
        <v>144</v>
      </c>
      <c r="H1968" s="32" t="s">
        <v>21</v>
      </c>
      <c r="I1968" s="32" t="s">
        <v>1703</v>
      </c>
      <c r="J1968" s="32" t="s">
        <v>132</v>
      </c>
      <c r="K1968" s="32" t="s">
        <v>63</v>
      </c>
    </row>
    <row r="1969" customFormat="false" ht="13.5" hidden="false" customHeight="true" outlineLevel="0" collapsed="false">
      <c r="A1969" s="32" t="n">
        <v>4056</v>
      </c>
      <c r="B1969" s="32" t="s">
        <v>1701</v>
      </c>
      <c r="C1969" s="32" t="s">
        <v>1702</v>
      </c>
      <c r="D1969" s="32" t="s">
        <v>59</v>
      </c>
      <c r="E1969" s="32" t="s">
        <v>143</v>
      </c>
      <c r="F1969" s="33" t="n">
        <v>919910000000</v>
      </c>
      <c r="G1969" s="32" t="s">
        <v>144</v>
      </c>
      <c r="H1969" s="32" t="s">
        <v>21</v>
      </c>
      <c r="I1969" s="32" t="s">
        <v>151</v>
      </c>
      <c r="J1969" s="32" t="s">
        <v>152</v>
      </c>
      <c r="K1969" s="32" t="s">
        <v>63</v>
      </c>
    </row>
    <row r="1970" customFormat="false" ht="13.5" hidden="false" customHeight="true" outlineLevel="0" collapsed="false">
      <c r="A1970" s="32" t="n">
        <v>4057</v>
      </c>
      <c r="B1970" s="32" t="s">
        <v>1701</v>
      </c>
      <c r="C1970" s="32" t="s">
        <v>1702</v>
      </c>
      <c r="D1970" s="32" t="s">
        <v>59</v>
      </c>
      <c r="E1970" s="32" t="s">
        <v>143</v>
      </c>
      <c r="F1970" s="33" t="n">
        <v>919910000000</v>
      </c>
      <c r="G1970" s="32" t="s">
        <v>144</v>
      </c>
      <c r="H1970" s="32" t="s">
        <v>21</v>
      </c>
      <c r="I1970" s="32" t="s">
        <v>93</v>
      </c>
      <c r="J1970" s="32" t="s">
        <v>85</v>
      </c>
      <c r="K1970" s="32" t="s">
        <v>63</v>
      </c>
    </row>
    <row r="1971" customFormat="false" ht="13.5" hidden="false" customHeight="true" outlineLevel="0" collapsed="false">
      <c r="A1971" s="32" t="n">
        <v>4058</v>
      </c>
      <c r="B1971" s="32" t="s">
        <v>1701</v>
      </c>
      <c r="C1971" s="32" t="s">
        <v>1702</v>
      </c>
      <c r="D1971" s="32" t="s">
        <v>59</v>
      </c>
      <c r="E1971" s="32" t="s">
        <v>143</v>
      </c>
      <c r="F1971" s="33" t="n">
        <v>919910000000</v>
      </c>
      <c r="G1971" s="32" t="s">
        <v>144</v>
      </c>
      <c r="H1971" s="32" t="s">
        <v>21</v>
      </c>
      <c r="I1971" s="32" t="s">
        <v>76</v>
      </c>
      <c r="J1971" s="32" t="s">
        <v>76</v>
      </c>
      <c r="K1971" s="32" t="s">
        <v>63</v>
      </c>
    </row>
    <row r="1972" customFormat="false" ht="13.5" hidden="false" customHeight="true" outlineLevel="0" collapsed="false">
      <c r="A1972" s="32" t="n">
        <v>4059</v>
      </c>
      <c r="B1972" s="32" t="s">
        <v>1701</v>
      </c>
      <c r="C1972" s="32" t="s">
        <v>1702</v>
      </c>
      <c r="D1972" s="32" t="s">
        <v>59</v>
      </c>
      <c r="E1972" s="32" t="s">
        <v>143</v>
      </c>
      <c r="F1972" s="33" t="n">
        <v>919910000000</v>
      </c>
      <c r="G1972" s="32" t="s">
        <v>144</v>
      </c>
      <c r="H1972" s="32" t="s">
        <v>21</v>
      </c>
      <c r="I1972" s="32" t="s">
        <v>108</v>
      </c>
      <c r="J1972" s="32" t="s">
        <v>71</v>
      </c>
      <c r="K1972" s="32" t="s">
        <v>63</v>
      </c>
    </row>
    <row r="1973" customFormat="false" ht="13.5" hidden="false" customHeight="true" outlineLevel="0" collapsed="false">
      <c r="A1973" s="32" t="n">
        <v>4062</v>
      </c>
      <c r="B1973" s="32" t="s">
        <v>1701</v>
      </c>
      <c r="C1973" s="32" t="s">
        <v>1702</v>
      </c>
      <c r="D1973" s="32" t="s">
        <v>59</v>
      </c>
      <c r="E1973" s="32" t="s">
        <v>143</v>
      </c>
      <c r="F1973" s="33" t="n">
        <v>919910000000</v>
      </c>
      <c r="G1973" s="32" t="s">
        <v>144</v>
      </c>
      <c r="H1973" s="32" t="s">
        <v>21</v>
      </c>
      <c r="I1973" s="32" t="s">
        <v>218</v>
      </c>
      <c r="J1973" s="32" t="s">
        <v>132</v>
      </c>
      <c r="K1973" s="32" t="s">
        <v>63</v>
      </c>
    </row>
    <row r="1974" customFormat="false" ht="13.5" hidden="false" customHeight="true" outlineLevel="0" collapsed="false">
      <c r="A1974" s="32" t="n">
        <v>4063</v>
      </c>
      <c r="B1974" s="32" t="s">
        <v>1704</v>
      </c>
      <c r="C1974" s="32" t="s">
        <v>1705</v>
      </c>
      <c r="D1974" s="32" t="s">
        <v>59</v>
      </c>
      <c r="E1974" s="32" t="s">
        <v>107</v>
      </c>
      <c r="F1974" s="32" t="n">
        <v>0</v>
      </c>
      <c r="G1974" s="32" t="s">
        <v>80</v>
      </c>
      <c r="H1974" s="32" t="s">
        <v>21</v>
      </c>
      <c r="I1974" s="32" t="s">
        <v>76</v>
      </c>
      <c r="J1974" s="32" t="s">
        <v>76</v>
      </c>
      <c r="K1974" s="32" t="s">
        <v>63</v>
      </c>
    </row>
    <row r="1975" customFormat="false" ht="13.5" hidden="false" customHeight="true" outlineLevel="0" collapsed="false">
      <c r="A1975" s="32" t="n">
        <v>4064</v>
      </c>
      <c r="B1975" s="32" t="s">
        <v>1704</v>
      </c>
      <c r="C1975" s="32" t="s">
        <v>1705</v>
      </c>
      <c r="D1975" s="32" t="s">
        <v>59</v>
      </c>
      <c r="E1975" s="32" t="s">
        <v>107</v>
      </c>
      <c r="F1975" s="32" t="n">
        <v>0</v>
      </c>
      <c r="G1975" s="32" t="s">
        <v>80</v>
      </c>
      <c r="H1975" s="32" t="s">
        <v>21</v>
      </c>
      <c r="I1975" s="32" t="s">
        <v>108</v>
      </c>
      <c r="J1975" s="32" t="s">
        <v>71</v>
      </c>
      <c r="K1975" s="32" t="s">
        <v>63</v>
      </c>
    </row>
    <row r="1976" customFormat="false" ht="13.5" hidden="false" customHeight="true" outlineLevel="0" collapsed="false">
      <c r="A1976" s="32" t="n">
        <v>4065</v>
      </c>
      <c r="B1976" s="32" t="s">
        <v>1706</v>
      </c>
      <c r="C1976" s="32" t="s">
        <v>1707</v>
      </c>
      <c r="D1976" s="32" t="s">
        <v>114</v>
      </c>
      <c r="E1976" s="32" t="s">
        <v>169</v>
      </c>
      <c r="F1976" s="32" t="n">
        <v>8095366773</v>
      </c>
      <c r="G1976" s="32" t="s">
        <v>61</v>
      </c>
      <c r="H1976" s="32" t="s">
        <v>22</v>
      </c>
      <c r="I1976" s="32" t="s">
        <v>151</v>
      </c>
      <c r="J1976" s="32" t="s">
        <v>152</v>
      </c>
      <c r="K1976" s="32" t="s">
        <v>63</v>
      </c>
    </row>
    <row r="1977" customFormat="false" ht="13.5" hidden="false" customHeight="true" outlineLevel="0" collapsed="false">
      <c r="A1977" s="32" t="n">
        <v>4066</v>
      </c>
      <c r="B1977" s="32" t="s">
        <v>1706</v>
      </c>
      <c r="C1977" s="32" t="s">
        <v>1708</v>
      </c>
      <c r="D1977" s="32" t="s">
        <v>114</v>
      </c>
      <c r="E1977" s="32" t="s">
        <v>169</v>
      </c>
      <c r="F1977" s="32" t="n">
        <v>8095366773</v>
      </c>
      <c r="G1977" s="32" t="s">
        <v>61</v>
      </c>
      <c r="H1977" s="32" t="s">
        <v>22</v>
      </c>
      <c r="I1977" s="32" t="s">
        <v>151</v>
      </c>
      <c r="J1977" s="32" t="s">
        <v>152</v>
      </c>
      <c r="K1977" s="32" t="s">
        <v>63</v>
      </c>
    </row>
    <row r="1978" customFormat="false" ht="13.5" hidden="false" customHeight="true" outlineLevel="0" collapsed="false">
      <c r="A1978" s="32" t="n">
        <v>4067</v>
      </c>
      <c r="B1978" s="32" t="s">
        <v>1706</v>
      </c>
      <c r="C1978" s="32" t="s">
        <v>1708</v>
      </c>
      <c r="D1978" s="32" t="s">
        <v>114</v>
      </c>
      <c r="E1978" s="32" t="s">
        <v>169</v>
      </c>
      <c r="F1978" s="32" t="n">
        <v>8095366773</v>
      </c>
      <c r="G1978" s="32" t="s">
        <v>61</v>
      </c>
      <c r="H1978" s="32" t="s">
        <v>22</v>
      </c>
      <c r="I1978" s="32" t="s">
        <v>251</v>
      </c>
      <c r="J1978" s="32" t="s">
        <v>152</v>
      </c>
      <c r="K1978" s="32" t="s">
        <v>63</v>
      </c>
    </row>
    <row r="1979" customFormat="false" ht="13.5" hidden="false" customHeight="true" outlineLevel="0" collapsed="false">
      <c r="A1979" s="32" t="n">
        <v>4068</v>
      </c>
      <c r="B1979" s="32" t="s">
        <v>1706</v>
      </c>
      <c r="C1979" s="32" t="s">
        <v>1708</v>
      </c>
      <c r="D1979" s="32" t="s">
        <v>114</v>
      </c>
      <c r="E1979" s="32" t="s">
        <v>169</v>
      </c>
      <c r="F1979" s="32" t="n">
        <v>8095366773</v>
      </c>
      <c r="G1979" s="32" t="s">
        <v>61</v>
      </c>
      <c r="H1979" s="32" t="s">
        <v>22</v>
      </c>
      <c r="I1979" s="32" t="s">
        <v>172</v>
      </c>
      <c r="J1979" s="32" t="s">
        <v>152</v>
      </c>
      <c r="K1979" s="32" t="s">
        <v>63</v>
      </c>
    </row>
    <row r="1980" customFormat="false" ht="13.5" hidden="false" customHeight="true" outlineLevel="0" collapsed="false">
      <c r="A1980" s="32" t="n">
        <v>4069</v>
      </c>
      <c r="B1980" s="32" t="s">
        <v>1709</v>
      </c>
      <c r="C1980" s="32" t="s">
        <v>1710</v>
      </c>
      <c r="D1980" s="32" t="s">
        <v>114</v>
      </c>
      <c r="E1980" s="32" t="s">
        <v>115</v>
      </c>
      <c r="F1980" s="32" t="n">
        <v>9985753969</v>
      </c>
      <c r="G1980" s="32" t="s">
        <v>80</v>
      </c>
      <c r="H1980" s="32" t="s">
        <v>22</v>
      </c>
      <c r="I1980" s="32" t="s">
        <v>121</v>
      </c>
      <c r="J1980" s="32" t="s">
        <v>110</v>
      </c>
      <c r="K1980" s="32" t="s">
        <v>63</v>
      </c>
    </row>
    <row r="1981" customFormat="false" ht="13.5" hidden="false" customHeight="true" outlineLevel="0" collapsed="false">
      <c r="A1981" s="32" t="n">
        <v>4070</v>
      </c>
      <c r="B1981" s="32" t="s">
        <v>1709</v>
      </c>
      <c r="C1981" s="32" t="s">
        <v>1710</v>
      </c>
      <c r="D1981" s="32" t="s">
        <v>114</v>
      </c>
      <c r="E1981" s="32" t="s">
        <v>115</v>
      </c>
      <c r="F1981" s="32" t="n">
        <v>9985753969</v>
      </c>
      <c r="G1981" s="32" t="s">
        <v>80</v>
      </c>
      <c r="H1981" s="32" t="s">
        <v>22</v>
      </c>
      <c r="I1981" s="32" t="s">
        <v>133</v>
      </c>
      <c r="J1981" s="32" t="s">
        <v>134</v>
      </c>
      <c r="K1981" s="32" t="s">
        <v>63</v>
      </c>
    </row>
    <row r="1982" customFormat="false" ht="13.5" hidden="false" customHeight="true" outlineLevel="0" collapsed="false">
      <c r="A1982" s="32" t="n">
        <v>4076</v>
      </c>
      <c r="B1982" s="32" t="s">
        <v>1711</v>
      </c>
      <c r="C1982" s="32" t="s">
        <v>1712</v>
      </c>
      <c r="D1982" s="32" t="s">
        <v>114</v>
      </c>
      <c r="E1982" s="32" t="s">
        <v>124</v>
      </c>
      <c r="F1982" s="32" t="s">
        <v>1713</v>
      </c>
      <c r="G1982" s="32" t="s">
        <v>69</v>
      </c>
      <c r="H1982" s="32" t="s">
        <v>22</v>
      </c>
      <c r="I1982" s="32" t="s">
        <v>325</v>
      </c>
      <c r="J1982" s="32" t="s">
        <v>326</v>
      </c>
      <c r="K1982" s="32" t="s">
        <v>63</v>
      </c>
    </row>
    <row r="1983" customFormat="false" ht="13.5" hidden="false" customHeight="true" outlineLevel="0" collapsed="false">
      <c r="A1983" s="32" t="n">
        <v>4077</v>
      </c>
      <c r="B1983" s="32" t="s">
        <v>1711</v>
      </c>
      <c r="C1983" s="32" t="s">
        <v>1712</v>
      </c>
      <c r="D1983" s="32" t="s">
        <v>114</v>
      </c>
      <c r="E1983" s="32" t="s">
        <v>124</v>
      </c>
      <c r="F1983" s="32" t="s">
        <v>1713</v>
      </c>
      <c r="G1983" s="32" t="s">
        <v>69</v>
      </c>
      <c r="H1983" s="32" t="s">
        <v>22</v>
      </c>
      <c r="I1983" s="32" t="s">
        <v>669</v>
      </c>
      <c r="J1983" s="32" t="s">
        <v>388</v>
      </c>
      <c r="K1983" s="32" t="s">
        <v>63</v>
      </c>
    </row>
    <row r="1984" customFormat="false" ht="13.5" hidden="false" customHeight="true" outlineLevel="0" collapsed="false">
      <c r="A1984" s="32" t="n">
        <v>4078</v>
      </c>
      <c r="B1984" s="32" t="s">
        <v>1711</v>
      </c>
      <c r="C1984" s="32" t="s">
        <v>1712</v>
      </c>
      <c r="D1984" s="32" t="s">
        <v>114</v>
      </c>
      <c r="E1984" s="32" t="s">
        <v>124</v>
      </c>
      <c r="F1984" s="32" t="s">
        <v>1713</v>
      </c>
      <c r="G1984" s="32" t="s">
        <v>69</v>
      </c>
      <c r="H1984" s="32" t="s">
        <v>22</v>
      </c>
      <c r="I1984" s="32" t="s">
        <v>93</v>
      </c>
      <c r="J1984" s="32" t="s">
        <v>85</v>
      </c>
      <c r="K1984" s="32" t="s">
        <v>63</v>
      </c>
    </row>
    <row r="1985" customFormat="false" ht="13.5" hidden="false" customHeight="true" outlineLevel="0" collapsed="false">
      <c r="A1985" s="32" t="n">
        <v>4079</v>
      </c>
      <c r="B1985" s="32" t="s">
        <v>1714</v>
      </c>
      <c r="C1985" s="32" t="s">
        <v>1715</v>
      </c>
      <c r="D1985" s="32" t="s">
        <v>114</v>
      </c>
      <c r="E1985" s="32" t="s">
        <v>124</v>
      </c>
      <c r="F1985" s="32" t="n">
        <v>9492144407</v>
      </c>
      <c r="G1985" s="32" t="s">
        <v>80</v>
      </c>
      <c r="H1985" s="32" t="s">
        <v>22</v>
      </c>
      <c r="I1985" s="32" t="s">
        <v>108</v>
      </c>
      <c r="J1985" s="32" t="s">
        <v>71</v>
      </c>
      <c r="K1985" s="32" t="s">
        <v>63</v>
      </c>
    </row>
    <row r="1986" customFormat="false" ht="13.5" hidden="false" customHeight="true" outlineLevel="0" collapsed="false">
      <c r="A1986" s="32" t="n">
        <v>4082</v>
      </c>
      <c r="B1986" s="32" t="s">
        <v>1714</v>
      </c>
      <c r="C1986" s="32" t="s">
        <v>1716</v>
      </c>
      <c r="D1986" s="32" t="s">
        <v>114</v>
      </c>
      <c r="E1986" s="32" t="s">
        <v>124</v>
      </c>
      <c r="F1986" s="32" t="n">
        <v>9492144407</v>
      </c>
      <c r="G1986" s="32" t="s">
        <v>80</v>
      </c>
      <c r="H1986" s="32" t="s">
        <v>22</v>
      </c>
      <c r="I1986" s="32" t="s">
        <v>76</v>
      </c>
      <c r="J1986" s="32" t="s">
        <v>76</v>
      </c>
      <c r="K1986" s="32" t="s">
        <v>63</v>
      </c>
    </row>
    <row r="1987" customFormat="false" ht="13.5" hidden="false" customHeight="true" outlineLevel="0" collapsed="false">
      <c r="A1987" s="32" t="n">
        <v>4085</v>
      </c>
      <c r="B1987" s="32" t="s">
        <v>1714</v>
      </c>
      <c r="C1987" s="32" t="s">
        <v>1715</v>
      </c>
      <c r="D1987" s="32" t="s">
        <v>114</v>
      </c>
      <c r="E1987" s="32" t="s">
        <v>124</v>
      </c>
      <c r="F1987" s="32" t="n">
        <v>9492144407</v>
      </c>
      <c r="G1987" s="32" t="s">
        <v>80</v>
      </c>
      <c r="H1987" s="32" t="s">
        <v>22</v>
      </c>
      <c r="I1987" s="32" t="s">
        <v>85</v>
      </c>
      <c r="J1987" s="32" t="s">
        <v>85</v>
      </c>
      <c r="K1987" s="32" t="s">
        <v>63</v>
      </c>
    </row>
    <row r="1988" customFormat="false" ht="13.5" hidden="false" customHeight="true" outlineLevel="0" collapsed="false">
      <c r="A1988" s="32" t="n">
        <v>4086</v>
      </c>
      <c r="B1988" s="32" t="s">
        <v>1714</v>
      </c>
      <c r="C1988" s="32" t="s">
        <v>1715</v>
      </c>
      <c r="D1988" s="32" t="s">
        <v>114</v>
      </c>
      <c r="E1988" s="32" t="s">
        <v>124</v>
      </c>
      <c r="F1988" s="32" t="n">
        <v>9492144407</v>
      </c>
      <c r="G1988" s="32" t="s">
        <v>80</v>
      </c>
      <c r="H1988" s="32" t="s">
        <v>22</v>
      </c>
      <c r="I1988" s="32" t="s">
        <v>16</v>
      </c>
      <c r="J1988" s="32" t="s">
        <v>73</v>
      </c>
      <c r="K1988" s="32" t="s">
        <v>63</v>
      </c>
    </row>
    <row r="1989" customFormat="false" ht="13.5" hidden="false" customHeight="true" outlineLevel="0" collapsed="false">
      <c r="A1989" s="32" t="n">
        <v>4092</v>
      </c>
      <c r="B1989" s="32" t="s">
        <v>1717</v>
      </c>
      <c r="C1989" s="32" t="s">
        <v>1718</v>
      </c>
      <c r="D1989" s="32" t="s">
        <v>114</v>
      </c>
      <c r="E1989" s="32" t="s">
        <v>1719</v>
      </c>
      <c r="F1989" s="32" t="n">
        <v>9971579222</v>
      </c>
      <c r="G1989" s="32" t="s">
        <v>144</v>
      </c>
      <c r="H1989" s="32" t="s">
        <v>22</v>
      </c>
      <c r="I1989" s="32" t="s">
        <v>239</v>
      </c>
      <c r="J1989" s="32" t="s">
        <v>132</v>
      </c>
      <c r="K1989" s="32" t="s">
        <v>63</v>
      </c>
    </row>
    <row r="1990" customFormat="false" ht="13.5" hidden="false" customHeight="true" outlineLevel="0" collapsed="false">
      <c r="A1990" s="32" t="n">
        <v>4093</v>
      </c>
      <c r="B1990" s="32" t="s">
        <v>1717</v>
      </c>
      <c r="C1990" s="32" t="s">
        <v>1718</v>
      </c>
      <c r="D1990" s="32" t="s">
        <v>114</v>
      </c>
      <c r="E1990" s="32" t="s">
        <v>1719</v>
      </c>
      <c r="F1990" s="32" t="n">
        <v>9971579222</v>
      </c>
      <c r="G1990" s="32" t="s">
        <v>144</v>
      </c>
      <c r="H1990" s="32" t="s">
        <v>22</v>
      </c>
      <c r="I1990" s="32" t="s">
        <v>242</v>
      </c>
      <c r="J1990" s="32" t="s">
        <v>241</v>
      </c>
      <c r="K1990" s="32" t="s">
        <v>63</v>
      </c>
    </row>
    <row r="1991" customFormat="false" ht="13.5" hidden="false" customHeight="true" outlineLevel="0" collapsed="false">
      <c r="A1991" s="32" t="n">
        <v>4094</v>
      </c>
      <c r="B1991" s="32" t="s">
        <v>1717</v>
      </c>
      <c r="C1991" s="32" t="s">
        <v>1718</v>
      </c>
      <c r="D1991" s="32" t="s">
        <v>114</v>
      </c>
      <c r="E1991" s="32" t="s">
        <v>1719</v>
      </c>
      <c r="F1991" s="32" t="n">
        <v>9971579222</v>
      </c>
      <c r="G1991" s="32" t="s">
        <v>144</v>
      </c>
      <c r="H1991" s="32" t="s">
        <v>22</v>
      </c>
      <c r="I1991" s="32" t="s">
        <v>95</v>
      </c>
      <c r="J1991" s="32" t="s">
        <v>96</v>
      </c>
      <c r="K1991" s="32" t="s">
        <v>63</v>
      </c>
    </row>
    <row r="1992" customFormat="false" ht="13.5" hidden="false" customHeight="true" outlineLevel="0" collapsed="false">
      <c r="A1992" s="32" t="n">
        <v>4095</v>
      </c>
      <c r="B1992" s="32" t="s">
        <v>1717</v>
      </c>
      <c r="C1992" s="32" t="s">
        <v>1718</v>
      </c>
      <c r="D1992" s="32" t="s">
        <v>114</v>
      </c>
      <c r="E1992" s="32" t="s">
        <v>1719</v>
      </c>
      <c r="F1992" s="32" t="n">
        <v>9971579222</v>
      </c>
      <c r="G1992" s="32" t="s">
        <v>144</v>
      </c>
      <c r="H1992" s="32" t="s">
        <v>22</v>
      </c>
      <c r="I1992" s="32" t="s">
        <v>1720</v>
      </c>
      <c r="J1992" s="32" t="s">
        <v>132</v>
      </c>
      <c r="K1992" s="32" t="s">
        <v>63</v>
      </c>
    </row>
    <row r="1993" customFormat="false" ht="13.5" hidden="false" customHeight="true" outlineLevel="0" collapsed="false">
      <c r="A1993" s="32" t="n">
        <v>4101</v>
      </c>
      <c r="B1993" s="32" t="s">
        <v>1717</v>
      </c>
      <c r="C1993" s="32" t="s">
        <v>1721</v>
      </c>
      <c r="D1993" s="32" t="s">
        <v>114</v>
      </c>
      <c r="E1993" s="32" t="s">
        <v>1719</v>
      </c>
      <c r="F1993" s="32" t="n">
        <v>9971579222</v>
      </c>
      <c r="G1993" s="32" t="s">
        <v>144</v>
      </c>
      <c r="H1993" s="32" t="s">
        <v>22</v>
      </c>
      <c r="I1993" s="32" t="s">
        <v>27</v>
      </c>
      <c r="J1993" s="32" t="s">
        <v>13</v>
      </c>
      <c r="K1993" s="32" t="s">
        <v>63</v>
      </c>
    </row>
    <row r="1994" customFormat="false" ht="13.5" hidden="false" customHeight="true" outlineLevel="0" collapsed="false">
      <c r="A1994" s="32" t="n">
        <v>4102</v>
      </c>
      <c r="B1994" s="32" t="s">
        <v>1722</v>
      </c>
      <c r="C1994" s="32" t="s">
        <v>1723</v>
      </c>
      <c r="D1994" s="32" t="s">
        <v>114</v>
      </c>
      <c r="E1994" s="32" t="s">
        <v>268</v>
      </c>
      <c r="F1994" s="33" t="n">
        <v>919899000000</v>
      </c>
      <c r="G1994" s="32" t="s">
        <v>144</v>
      </c>
      <c r="H1994" s="32" t="s">
        <v>22</v>
      </c>
      <c r="I1994" s="32" t="s">
        <v>185</v>
      </c>
      <c r="J1994" s="32" t="s">
        <v>186</v>
      </c>
      <c r="K1994" s="32" t="s">
        <v>63</v>
      </c>
    </row>
    <row r="1995" customFormat="false" ht="13.5" hidden="false" customHeight="true" outlineLevel="0" collapsed="false">
      <c r="A1995" s="32" t="n">
        <v>4103</v>
      </c>
      <c r="B1995" s="32" t="s">
        <v>1722</v>
      </c>
      <c r="C1995" s="32" t="s">
        <v>1723</v>
      </c>
      <c r="D1995" s="32" t="s">
        <v>114</v>
      </c>
      <c r="E1995" s="32" t="s">
        <v>268</v>
      </c>
      <c r="F1995" s="33" t="n">
        <v>919899000000</v>
      </c>
      <c r="G1995" s="32" t="s">
        <v>144</v>
      </c>
      <c r="H1995" s="32" t="s">
        <v>22</v>
      </c>
      <c r="I1995" s="32" t="s">
        <v>231</v>
      </c>
      <c r="J1995" s="32" t="s">
        <v>228</v>
      </c>
      <c r="K1995" s="32" t="s">
        <v>63</v>
      </c>
    </row>
    <row r="1996" customFormat="false" ht="13.5" hidden="false" customHeight="true" outlineLevel="0" collapsed="false">
      <c r="A1996" s="32" t="n">
        <v>4104</v>
      </c>
      <c r="B1996" s="32" t="s">
        <v>1722</v>
      </c>
      <c r="C1996" s="32" t="s">
        <v>1724</v>
      </c>
      <c r="D1996" s="32" t="s">
        <v>114</v>
      </c>
      <c r="E1996" s="32" t="s">
        <v>268</v>
      </c>
      <c r="F1996" s="33" t="n">
        <v>919899000000</v>
      </c>
      <c r="G1996" s="32" t="s">
        <v>144</v>
      </c>
      <c r="H1996" s="32" t="s">
        <v>22</v>
      </c>
      <c r="I1996" s="32" t="s">
        <v>226</v>
      </c>
      <c r="J1996" s="32" t="s">
        <v>110</v>
      </c>
      <c r="K1996" s="32" t="s">
        <v>63</v>
      </c>
    </row>
    <row r="1997" customFormat="false" ht="13.5" hidden="false" customHeight="true" outlineLevel="0" collapsed="false">
      <c r="A1997" s="32" t="n">
        <v>4105</v>
      </c>
      <c r="B1997" s="32" t="s">
        <v>1722</v>
      </c>
      <c r="C1997" s="32" t="s">
        <v>1724</v>
      </c>
      <c r="D1997" s="32" t="s">
        <v>114</v>
      </c>
      <c r="E1997" s="32" t="s">
        <v>268</v>
      </c>
      <c r="F1997" s="33" t="n">
        <v>919899000000</v>
      </c>
      <c r="G1997" s="32" t="s">
        <v>144</v>
      </c>
      <c r="H1997" s="32" t="s">
        <v>22</v>
      </c>
      <c r="I1997" s="32" t="s">
        <v>227</v>
      </c>
      <c r="J1997" s="32" t="s">
        <v>228</v>
      </c>
      <c r="K1997" s="32" t="s">
        <v>63</v>
      </c>
    </row>
    <row r="1998" customFormat="false" ht="13.5" hidden="false" customHeight="true" outlineLevel="0" collapsed="false">
      <c r="A1998" s="32" t="n">
        <v>4109</v>
      </c>
      <c r="B1998" s="32" t="s">
        <v>1725</v>
      </c>
      <c r="C1998" s="32" t="s">
        <v>1726</v>
      </c>
      <c r="D1998" s="32" t="s">
        <v>59</v>
      </c>
      <c r="E1998" s="32" t="s">
        <v>60</v>
      </c>
      <c r="F1998" s="32" t="n">
        <v>7839319796</v>
      </c>
      <c r="G1998" s="32" t="s">
        <v>144</v>
      </c>
      <c r="H1998" s="32" t="s">
        <v>21</v>
      </c>
      <c r="I1998" s="32" t="s">
        <v>156</v>
      </c>
      <c r="J1998" s="32" t="s">
        <v>62</v>
      </c>
      <c r="K1998" s="32" t="s">
        <v>63</v>
      </c>
    </row>
    <row r="1999" customFormat="false" ht="13.5" hidden="false" customHeight="true" outlineLevel="0" collapsed="false">
      <c r="A1999" s="32" t="n">
        <v>4110</v>
      </c>
      <c r="B1999" s="32" t="s">
        <v>1725</v>
      </c>
      <c r="C1999" s="32" t="s">
        <v>1726</v>
      </c>
      <c r="D1999" s="32" t="s">
        <v>59</v>
      </c>
      <c r="E1999" s="32" t="s">
        <v>60</v>
      </c>
      <c r="F1999" s="32" t="n">
        <v>7839319796</v>
      </c>
      <c r="G1999" s="32" t="s">
        <v>144</v>
      </c>
      <c r="H1999" s="32" t="s">
        <v>21</v>
      </c>
      <c r="I1999" s="32" t="s">
        <v>1242</v>
      </c>
      <c r="J1999" s="32" t="s">
        <v>62</v>
      </c>
      <c r="K1999" s="32" t="s">
        <v>63</v>
      </c>
    </row>
    <row r="2000" customFormat="false" ht="13.5" hidden="false" customHeight="true" outlineLevel="0" collapsed="false">
      <c r="A2000" s="32" t="n">
        <v>4111</v>
      </c>
      <c r="B2000" s="32" t="s">
        <v>1725</v>
      </c>
      <c r="C2000" s="32" t="s">
        <v>1727</v>
      </c>
      <c r="D2000" s="32" t="s">
        <v>59</v>
      </c>
      <c r="E2000" s="32" t="s">
        <v>60</v>
      </c>
      <c r="F2000" s="32" t="n">
        <v>7839319796</v>
      </c>
      <c r="G2000" s="32" t="s">
        <v>144</v>
      </c>
      <c r="H2000" s="32" t="s">
        <v>21</v>
      </c>
      <c r="I2000" s="32" t="s">
        <v>14</v>
      </c>
      <c r="J2000" s="32" t="s">
        <v>66</v>
      </c>
      <c r="K2000" s="32" t="s">
        <v>63</v>
      </c>
    </row>
    <row r="2001" customFormat="false" ht="13.5" hidden="false" customHeight="true" outlineLevel="0" collapsed="false">
      <c r="A2001" s="32" t="n">
        <v>4113</v>
      </c>
      <c r="B2001" s="32" t="s">
        <v>1725</v>
      </c>
      <c r="C2001" s="32" t="s">
        <v>1727</v>
      </c>
      <c r="D2001" s="32" t="s">
        <v>59</v>
      </c>
      <c r="E2001" s="32" t="s">
        <v>60</v>
      </c>
      <c r="F2001" s="32" t="n">
        <v>7839319796</v>
      </c>
      <c r="G2001" s="32" t="s">
        <v>144</v>
      </c>
      <c r="H2001" s="32" t="s">
        <v>21</v>
      </c>
      <c r="I2001" s="32" t="s">
        <v>29</v>
      </c>
      <c r="J2001" s="32" t="s">
        <v>62</v>
      </c>
      <c r="K2001" s="32" t="s">
        <v>63</v>
      </c>
    </row>
    <row r="2002" customFormat="false" ht="13.5" hidden="false" customHeight="true" outlineLevel="0" collapsed="false">
      <c r="A2002" s="32" t="n">
        <v>4114</v>
      </c>
      <c r="B2002" s="32" t="s">
        <v>1728</v>
      </c>
      <c r="C2002" s="32" t="s">
        <v>1729</v>
      </c>
      <c r="D2002" s="32" t="s">
        <v>331</v>
      </c>
      <c r="E2002" s="32" t="s">
        <v>502</v>
      </c>
      <c r="F2002" s="32" t="n">
        <v>9550425264</v>
      </c>
      <c r="G2002" s="32" t="s">
        <v>80</v>
      </c>
      <c r="H2002" s="32" t="s">
        <v>332</v>
      </c>
      <c r="I2002" s="32" t="s">
        <v>421</v>
      </c>
      <c r="J2002" s="32" t="s">
        <v>235</v>
      </c>
      <c r="K2002" s="32" t="s">
        <v>63</v>
      </c>
    </row>
    <row r="2003" customFormat="false" ht="13.5" hidden="false" customHeight="true" outlineLevel="0" collapsed="false">
      <c r="A2003" s="32" t="n">
        <v>4115</v>
      </c>
      <c r="B2003" s="32" t="s">
        <v>1728</v>
      </c>
      <c r="C2003" s="32" t="s">
        <v>1730</v>
      </c>
      <c r="D2003" s="32" t="s">
        <v>331</v>
      </c>
      <c r="E2003" s="32" t="s">
        <v>502</v>
      </c>
      <c r="F2003" s="32" t="n">
        <v>9550425264</v>
      </c>
      <c r="G2003" s="32" t="s">
        <v>80</v>
      </c>
      <c r="H2003" s="32" t="s">
        <v>332</v>
      </c>
      <c r="I2003" s="32" t="s">
        <v>350</v>
      </c>
      <c r="J2003" s="32" t="s">
        <v>235</v>
      </c>
      <c r="K2003" s="32" t="s">
        <v>63</v>
      </c>
    </row>
    <row r="2004" customFormat="false" ht="13.5" hidden="false" customHeight="true" outlineLevel="0" collapsed="false">
      <c r="A2004" s="32" t="n">
        <v>4116</v>
      </c>
      <c r="B2004" s="32" t="s">
        <v>1728</v>
      </c>
      <c r="C2004" s="32" t="s">
        <v>1730</v>
      </c>
      <c r="D2004" s="32" t="s">
        <v>331</v>
      </c>
      <c r="E2004" s="32" t="s">
        <v>502</v>
      </c>
      <c r="F2004" s="32" t="n">
        <v>9550425264</v>
      </c>
      <c r="G2004" s="32" t="s">
        <v>80</v>
      </c>
      <c r="H2004" s="32" t="s">
        <v>332</v>
      </c>
      <c r="I2004" s="32" t="s">
        <v>234</v>
      </c>
      <c r="J2004" s="32" t="s">
        <v>235</v>
      </c>
      <c r="K2004" s="32" t="s">
        <v>63</v>
      </c>
    </row>
    <row r="2005" customFormat="false" ht="13.5" hidden="false" customHeight="true" outlineLevel="0" collapsed="false">
      <c r="A2005" s="32" t="n">
        <v>4117</v>
      </c>
      <c r="B2005" s="32" t="s">
        <v>1728</v>
      </c>
      <c r="C2005" s="32" t="s">
        <v>1730</v>
      </c>
      <c r="D2005" s="32" t="s">
        <v>331</v>
      </c>
      <c r="E2005" s="32" t="s">
        <v>502</v>
      </c>
      <c r="F2005" s="32" t="n">
        <v>9550425264</v>
      </c>
      <c r="G2005" s="32" t="s">
        <v>80</v>
      </c>
      <c r="H2005" s="32" t="s">
        <v>332</v>
      </c>
      <c r="I2005" s="32" t="s">
        <v>333</v>
      </c>
      <c r="J2005" s="32" t="s">
        <v>235</v>
      </c>
      <c r="K2005" s="32" t="s">
        <v>63</v>
      </c>
    </row>
    <row r="2006" customFormat="false" ht="13.5" hidden="false" customHeight="true" outlineLevel="0" collapsed="false">
      <c r="A2006" s="32" t="n">
        <v>4118</v>
      </c>
      <c r="B2006" s="32" t="s">
        <v>1731</v>
      </c>
      <c r="C2006" s="32" t="s">
        <v>1732</v>
      </c>
      <c r="D2006" s="32" t="s">
        <v>114</v>
      </c>
      <c r="E2006" s="32" t="n">
        <v>0</v>
      </c>
      <c r="F2006" s="32" t="n">
        <v>9820761669</v>
      </c>
      <c r="G2006" s="32" t="s">
        <v>104</v>
      </c>
      <c r="H2006" s="32" t="s">
        <v>22</v>
      </c>
      <c r="I2006" s="32" t="s">
        <v>128</v>
      </c>
      <c r="J2006" s="32" t="s">
        <v>89</v>
      </c>
      <c r="K2006" s="32" t="s">
        <v>63</v>
      </c>
    </row>
    <row r="2007" customFormat="false" ht="13.5" hidden="false" customHeight="true" outlineLevel="0" collapsed="false">
      <c r="A2007" s="32" t="n">
        <v>4119</v>
      </c>
      <c r="B2007" s="32" t="s">
        <v>1731</v>
      </c>
      <c r="C2007" s="32" t="s">
        <v>1733</v>
      </c>
      <c r="D2007" s="32" t="s">
        <v>114</v>
      </c>
      <c r="E2007" s="32" t="n">
        <v>0</v>
      </c>
      <c r="F2007" s="32" t="n">
        <v>9820761669</v>
      </c>
      <c r="G2007" s="32" t="s">
        <v>104</v>
      </c>
      <c r="H2007" s="32" t="s">
        <v>22</v>
      </c>
      <c r="I2007" s="32" t="s">
        <v>95</v>
      </c>
      <c r="J2007" s="32" t="s">
        <v>96</v>
      </c>
      <c r="K2007" s="32" t="s">
        <v>63</v>
      </c>
    </row>
    <row r="2008" customFormat="false" ht="13.5" hidden="false" customHeight="true" outlineLevel="0" collapsed="false">
      <c r="A2008" s="32" t="n">
        <v>4120</v>
      </c>
      <c r="B2008" s="32" t="s">
        <v>1731</v>
      </c>
      <c r="C2008" s="32" t="s">
        <v>1733</v>
      </c>
      <c r="D2008" s="32" t="s">
        <v>114</v>
      </c>
      <c r="E2008" s="32" t="n">
        <v>0</v>
      </c>
      <c r="F2008" s="32" t="n">
        <v>9820761669</v>
      </c>
      <c r="G2008" s="32" t="s">
        <v>104</v>
      </c>
      <c r="H2008" s="32" t="s">
        <v>22</v>
      </c>
      <c r="I2008" s="32" t="s">
        <v>145</v>
      </c>
      <c r="J2008" s="32" t="s">
        <v>117</v>
      </c>
      <c r="K2008" s="32" t="s">
        <v>63</v>
      </c>
    </row>
    <row r="2009" customFormat="false" ht="13.5" hidden="false" customHeight="true" outlineLevel="0" collapsed="false">
      <c r="A2009" s="32" t="n">
        <v>4122</v>
      </c>
      <c r="B2009" s="32" t="s">
        <v>1731</v>
      </c>
      <c r="C2009" s="32" t="s">
        <v>1733</v>
      </c>
      <c r="D2009" s="32" t="s">
        <v>114</v>
      </c>
      <c r="E2009" s="32" t="n">
        <v>0</v>
      </c>
      <c r="F2009" s="32" t="n">
        <v>9820761669</v>
      </c>
      <c r="G2009" s="32" t="s">
        <v>104</v>
      </c>
      <c r="H2009" s="32" t="s">
        <v>22</v>
      </c>
      <c r="I2009" s="32" t="s">
        <v>146</v>
      </c>
      <c r="J2009" s="32" t="s">
        <v>117</v>
      </c>
      <c r="K2009" s="32" t="s">
        <v>63</v>
      </c>
    </row>
    <row r="2010" customFormat="false" ht="13.5" hidden="false" customHeight="true" outlineLevel="0" collapsed="false">
      <c r="A2010" s="32" t="n">
        <v>4123</v>
      </c>
      <c r="B2010" s="32" t="s">
        <v>1734</v>
      </c>
      <c r="C2010" s="32" t="s">
        <v>1735</v>
      </c>
      <c r="D2010" s="32" t="s">
        <v>114</v>
      </c>
      <c r="E2010" s="32" t="s">
        <v>115</v>
      </c>
      <c r="F2010" s="32" t="n">
        <v>9741520088</v>
      </c>
      <c r="G2010" s="32" t="s">
        <v>61</v>
      </c>
      <c r="H2010" s="32" t="s">
        <v>22</v>
      </c>
      <c r="I2010" s="32" t="s">
        <v>27</v>
      </c>
      <c r="J2010" s="32" t="s">
        <v>13</v>
      </c>
      <c r="K2010" s="32" t="s">
        <v>63</v>
      </c>
    </row>
    <row r="2011" customFormat="false" ht="13.5" hidden="false" customHeight="true" outlineLevel="0" collapsed="false">
      <c r="A2011" s="32" t="n">
        <v>4124</v>
      </c>
      <c r="B2011" s="32" t="s">
        <v>1734</v>
      </c>
      <c r="C2011" s="32" t="s">
        <v>1735</v>
      </c>
      <c r="D2011" s="32" t="s">
        <v>114</v>
      </c>
      <c r="E2011" s="32" t="s">
        <v>115</v>
      </c>
      <c r="F2011" s="32" t="n">
        <v>9741520088</v>
      </c>
      <c r="G2011" s="32" t="s">
        <v>61</v>
      </c>
      <c r="H2011" s="32" t="s">
        <v>22</v>
      </c>
      <c r="I2011" s="32" t="s">
        <v>16</v>
      </c>
      <c r="J2011" s="32" t="s">
        <v>73</v>
      </c>
      <c r="K2011" s="32" t="s">
        <v>63</v>
      </c>
    </row>
    <row r="2012" customFormat="false" ht="13.5" hidden="false" customHeight="true" outlineLevel="0" collapsed="false">
      <c r="A2012" s="32" t="n">
        <v>4126</v>
      </c>
      <c r="B2012" s="32" t="s">
        <v>1734</v>
      </c>
      <c r="C2012" s="32" t="s">
        <v>1735</v>
      </c>
      <c r="D2012" s="32" t="s">
        <v>114</v>
      </c>
      <c r="E2012" s="32" t="s">
        <v>115</v>
      </c>
      <c r="F2012" s="32" t="n">
        <v>9741520088</v>
      </c>
      <c r="G2012" s="32" t="s">
        <v>61</v>
      </c>
      <c r="H2012" s="32" t="s">
        <v>22</v>
      </c>
      <c r="I2012" s="32" t="s">
        <v>212</v>
      </c>
      <c r="J2012" s="32" t="s">
        <v>73</v>
      </c>
      <c r="K2012" s="32" t="s">
        <v>63</v>
      </c>
    </row>
    <row r="2013" customFormat="false" ht="13.5" hidden="false" customHeight="true" outlineLevel="0" collapsed="false">
      <c r="A2013" s="32" t="n">
        <v>4127</v>
      </c>
      <c r="B2013" s="32" t="s">
        <v>1736</v>
      </c>
      <c r="C2013" s="32" t="s">
        <v>1737</v>
      </c>
      <c r="D2013" s="32" t="s">
        <v>114</v>
      </c>
      <c r="E2013" s="32" t="s">
        <v>268</v>
      </c>
      <c r="F2013" s="32" t="n">
        <v>7989025328</v>
      </c>
      <c r="G2013" s="32" t="s">
        <v>80</v>
      </c>
      <c r="H2013" s="32" t="s">
        <v>22</v>
      </c>
      <c r="I2013" s="32" t="s">
        <v>333</v>
      </c>
      <c r="J2013" s="32" t="s">
        <v>235</v>
      </c>
      <c r="K2013" s="32" t="s">
        <v>63</v>
      </c>
    </row>
    <row r="2014" customFormat="false" ht="13.5" hidden="false" customHeight="true" outlineLevel="0" collapsed="false">
      <c r="A2014" s="32" t="n">
        <v>4128</v>
      </c>
      <c r="B2014" s="32" t="s">
        <v>1738</v>
      </c>
      <c r="C2014" s="32" t="s">
        <v>1739</v>
      </c>
      <c r="D2014" s="32" t="s">
        <v>59</v>
      </c>
      <c r="E2014" s="32" t="s">
        <v>107</v>
      </c>
      <c r="F2014" s="32" t="n">
        <v>0</v>
      </c>
      <c r="G2014" s="32" t="s">
        <v>61</v>
      </c>
      <c r="H2014" s="32" t="s">
        <v>21</v>
      </c>
      <c r="I2014" s="32" t="s">
        <v>30</v>
      </c>
      <c r="J2014" s="32" t="s">
        <v>203</v>
      </c>
      <c r="K2014" s="32" t="s">
        <v>63</v>
      </c>
    </row>
    <row r="2015" customFormat="false" ht="13.5" hidden="false" customHeight="true" outlineLevel="0" collapsed="false">
      <c r="A2015" s="32" t="n">
        <v>4129</v>
      </c>
      <c r="B2015" s="32" t="s">
        <v>1738</v>
      </c>
      <c r="C2015" s="32" t="s">
        <v>1739</v>
      </c>
      <c r="D2015" s="32" t="s">
        <v>59</v>
      </c>
      <c r="E2015" s="32" t="s">
        <v>107</v>
      </c>
      <c r="F2015" s="32" t="n">
        <v>0</v>
      </c>
      <c r="G2015" s="32" t="s">
        <v>61</v>
      </c>
      <c r="H2015" s="32" t="s">
        <v>21</v>
      </c>
      <c r="I2015" s="32" t="s">
        <v>227</v>
      </c>
      <c r="J2015" s="32" t="s">
        <v>228</v>
      </c>
      <c r="K2015" s="32" t="s">
        <v>63</v>
      </c>
    </row>
    <row r="2016" customFormat="false" ht="13.5" hidden="false" customHeight="true" outlineLevel="0" collapsed="false">
      <c r="A2016" s="32" t="n">
        <v>4130</v>
      </c>
      <c r="B2016" s="32" t="s">
        <v>1738</v>
      </c>
      <c r="C2016" s="32" t="s">
        <v>1740</v>
      </c>
      <c r="D2016" s="32" t="s">
        <v>59</v>
      </c>
      <c r="E2016" s="32" t="s">
        <v>107</v>
      </c>
      <c r="F2016" s="32" t="n">
        <v>9035166214</v>
      </c>
      <c r="G2016" s="32" t="s">
        <v>61</v>
      </c>
      <c r="H2016" s="32" t="s">
        <v>21</v>
      </c>
      <c r="I2016" s="32" t="s">
        <v>108</v>
      </c>
      <c r="J2016" s="32" t="s">
        <v>71</v>
      </c>
      <c r="K2016" s="32" t="s">
        <v>63</v>
      </c>
    </row>
    <row r="2017" customFormat="false" ht="13.5" hidden="false" customHeight="true" outlineLevel="0" collapsed="false">
      <c r="A2017" s="32" t="n">
        <v>4131</v>
      </c>
      <c r="B2017" s="32" t="s">
        <v>1738</v>
      </c>
      <c r="C2017" s="32" t="s">
        <v>1741</v>
      </c>
      <c r="D2017" s="32" t="s">
        <v>59</v>
      </c>
      <c r="E2017" s="32" t="s">
        <v>107</v>
      </c>
      <c r="F2017" s="32" t="n">
        <v>0</v>
      </c>
      <c r="G2017" s="32" t="s">
        <v>61</v>
      </c>
      <c r="H2017" s="32" t="s">
        <v>21</v>
      </c>
      <c r="I2017" s="32" t="s">
        <v>27</v>
      </c>
      <c r="J2017" s="32" t="s">
        <v>13</v>
      </c>
      <c r="K2017" s="32" t="s">
        <v>63</v>
      </c>
    </row>
    <row r="2018" customFormat="false" ht="13.5" hidden="false" customHeight="true" outlineLevel="0" collapsed="false">
      <c r="A2018" s="32" t="n">
        <v>4132</v>
      </c>
      <c r="B2018" s="32" t="s">
        <v>1738</v>
      </c>
      <c r="C2018" s="32" t="s">
        <v>1741</v>
      </c>
      <c r="D2018" s="32" t="s">
        <v>59</v>
      </c>
      <c r="E2018" s="32" t="s">
        <v>107</v>
      </c>
      <c r="F2018" s="32" t="n">
        <v>9035166214</v>
      </c>
      <c r="G2018" s="32" t="s">
        <v>61</v>
      </c>
      <c r="H2018" s="32" t="s">
        <v>21</v>
      </c>
      <c r="I2018" s="32" t="s">
        <v>111</v>
      </c>
      <c r="J2018" s="32" t="s">
        <v>73</v>
      </c>
      <c r="K2018" s="32" t="s">
        <v>63</v>
      </c>
    </row>
    <row r="2019" customFormat="false" ht="13.5" hidden="false" customHeight="true" outlineLevel="0" collapsed="false">
      <c r="A2019" s="32" t="n">
        <v>4133</v>
      </c>
      <c r="B2019" s="32" t="s">
        <v>1742</v>
      </c>
      <c r="C2019" s="32" t="s">
        <v>1743</v>
      </c>
      <c r="D2019" s="32" t="s">
        <v>59</v>
      </c>
      <c r="E2019" s="32" t="s">
        <v>107</v>
      </c>
      <c r="F2019" s="32" t="n">
        <v>7799115352</v>
      </c>
      <c r="G2019" s="32" t="s">
        <v>80</v>
      </c>
      <c r="H2019" s="32" t="s">
        <v>21</v>
      </c>
      <c r="I2019" s="32" t="s">
        <v>145</v>
      </c>
      <c r="J2019" s="32" t="s">
        <v>117</v>
      </c>
      <c r="K2019" s="32" t="s">
        <v>63</v>
      </c>
    </row>
    <row r="2020" customFormat="false" ht="13.5" hidden="false" customHeight="true" outlineLevel="0" collapsed="false">
      <c r="A2020" s="32" t="n">
        <v>4134</v>
      </c>
      <c r="B2020" s="32" t="s">
        <v>1742</v>
      </c>
      <c r="C2020" s="32" t="s">
        <v>1743</v>
      </c>
      <c r="D2020" s="32" t="s">
        <v>59</v>
      </c>
      <c r="E2020" s="32" t="s">
        <v>107</v>
      </c>
      <c r="F2020" s="32" t="n">
        <v>7799115352</v>
      </c>
      <c r="G2020" s="32" t="s">
        <v>80</v>
      </c>
      <c r="H2020" s="32" t="s">
        <v>21</v>
      </c>
      <c r="I2020" s="32" t="s">
        <v>133</v>
      </c>
      <c r="J2020" s="32" t="s">
        <v>134</v>
      </c>
      <c r="K2020" s="32" t="s">
        <v>63</v>
      </c>
    </row>
    <row r="2021" customFormat="false" ht="13.5" hidden="false" customHeight="true" outlineLevel="0" collapsed="false">
      <c r="A2021" s="32" t="n">
        <v>4135</v>
      </c>
      <c r="B2021" s="32" t="s">
        <v>1744</v>
      </c>
      <c r="C2021" s="32" t="s">
        <v>1745</v>
      </c>
      <c r="D2021" s="32" t="s">
        <v>114</v>
      </c>
      <c r="E2021" s="32" t="s">
        <v>165</v>
      </c>
      <c r="F2021" s="33" t="n">
        <v>918056000000</v>
      </c>
      <c r="G2021" s="32" t="s">
        <v>80</v>
      </c>
      <c r="H2021" s="32" t="s">
        <v>22</v>
      </c>
      <c r="I2021" s="32" t="s">
        <v>16</v>
      </c>
      <c r="J2021" s="32" t="s">
        <v>73</v>
      </c>
      <c r="K2021" s="32" t="s">
        <v>63</v>
      </c>
    </row>
    <row r="2022" customFormat="false" ht="13.5" hidden="false" customHeight="true" outlineLevel="0" collapsed="false">
      <c r="A2022" s="32" t="n">
        <v>4136</v>
      </c>
      <c r="B2022" s="32" t="s">
        <v>1744</v>
      </c>
      <c r="C2022" s="32" t="s">
        <v>1745</v>
      </c>
      <c r="D2022" s="32" t="s">
        <v>114</v>
      </c>
      <c r="E2022" s="32" t="s">
        <v>165</v>
      </c>
      <c r="F2022" s="33" t="n">
        <v>918056000000</v>
      </c>
      <c r="G2022" s="32" t="s">
        <v>80</v>
      </c>
      <c r="H2022" s="32" t="s">
        <v>22</v>
      </c>
      <c r="I2022" s="32" t="s">
        <v>76</v>
      </c>
      <c r="J2022" s="32" t="s">
        <v>76</v>
      </c>
      <c r="K2022" s="32" t="s">
        <v>63</v>
      </c>
    </row>
    <row r="2023" customFormat="false" ht="13.5" hidden="false" customHeight="true" outlineLevel="0" collapsed="false">
      <c r="A2023" s="32" t="n">
        <v>4137</v>
      </c>
      <c r="B2023" s="32" t="s">
        <v>1744</v>
      </c>
      <c r="C2023" s="32" t="s">
        <v>1746</v>
      </c>
      <c r="D2023" s="32" t="s">
        <v>114</v>
      </c>
      <c r="E2023" s="32" t="s">
        <v>165</v>
      </c>
      <c r="F2023" s="32" t="n">
        <v>8056206386</v>
      </c>
      <c r="G2023" s="32" t="s">
        <v>80</v>
      </c>
      <c r="H2023" s="32" t="s">
        <v>22</v>
      </c>
      <c r="I2023" s="32" t="s">
        <v>30</v>
      </c>
      <c r="J2023" s="32" t="s">
        <v>203</v>
      </c>
      <c r="K2023" s="32" t="s">
        <v>63</v>
      </c>
    </row>
    <row r="2024" customFormat="false" ht="13.5" hidden="false" customHeight="true" outlineLevel="0" collapsed="false">
      <c r="A2024" s="32" t="n">
        <v>4138</v>
      </c>
      <c r="B2024" s="32" t="s">
        <v>1747</v>
      </c>
      <c r="C2024" s="32" t="s">
        <v>1748</v>
      </c>
      <c r="D2024" s="32" t="s">
        <v>114</v>
      </c>
      <c r="E2024" s="32" t="s">
        <v>165</v>
      </c>
      <c r="F2024" s="33" t="n">
        <v>918056000000</v>
      </c>
      <c r="G2024" s="32" t="s">
        <v>80</v>
      </c>
      <c r="H2024" s="32" t="s">
        <v>22</v>
      </c>
      <c r="I2024" s="32" t="s">
        <v>245</v>
      </c>
      <c r="J2024" s="32" t="s">
        <v>71</v>
      </c>
      <c r="K2024" s="32" t="s">
        <v>63</v>
      </c>
    </row>
    <row r="2025" customFormat="false" ht="13.5" hidden="false" customHeight="true" outlineLevel="0" collapsed="false">
      <c r="A2025" s="32" t="n">
        <v>4142</v>
      </c>
      <c r="B2025" s="32" t="s">
        <v>1749</v>
      </c>
      <c r="C2025" s="32" t="s">
        <v>1750</v>
      </c>
      <c r="D2025" s="32" t="s">
        <v>59</v>
      </c>
      <c r="E2025" s="32" t="s">
        <v>107</v>
      </c>
      <c r="F2025" s="32" t="n">
        <v>9985631952</v>
      </c>
      <c r="G2025" s="32" t="s">
        <v>80</v>
      </c>
      <c r="H2025" s="32" t="s">
        <v>21</v>
      </c>
      <c r="I2025" s="32" t="s">
        <v>128</v>
      </c>
      <c r="J2025" s="32" t="s">
        <v>89</v>
      </c>
      <c r="K2025" s="32" t="s">
        <v>63</v>
      </c>
    </row>
    <row r="2026" customFormat="false" ht="13.5" hidden="false" customHeight="true" outlineLevel="0" collapsed="false">
      <c r="A2026" s="32" t="n">
        <v>4143</v>
      </c>
      <c r="B2026" s="32" t="s">
        <v>1749</v>
      </c>
      <c r="C2026" s="32" t="s">
        <v>1750</v>
      </c>
      <c r="D2026" s="32" t="s">
        <v>59</v>
      </c>
      <c r="E2026" s="32" t="s">
        <v>107</v>
      </c>
      <c r="F2026" s="32" t="n">
        <v>9985631952</v>
      </c>
      <c r="G2026" s="32" t="s">
        <v>80</v>
      </c>
      <c r="H2026" s="32" t="s">
        <v>21</v>
      </c>
      <c r="I2026" s="32" t="s">
        <v>217</v>
      </c>
      <c r="J2026" s="32" t="s">
        <v>132</v>
      </c>
      <c r="K2026" s="32" t="s">
        <v>63</v>
      </c>
    </row>
    <row r="2027" customFormat="false" ht="13.5" hidden="false" customHeight="true" outlineLevel="0" collapsed="false">
      <c r="A2027" s="32" t="n">
        <v>4144</v>
      </c>
      <c r="B2027" s="32" t="s">
        <v>1749</v>
      </c>
      <c r="C2027" s="32" t="s">
        <v>1750</v>
      </c>
      <c r="D2027" s="32" t="s">
        <v>59</v>
      </c>
      <c r="E2027" s="32" t="s">
        <v>107</v>
      </c>
      <c r="F2027" s="32" t="n">
        <v>9985631952</v>
      </c>
      <c r="G2027" s="32" t="s">
        <v>80</v>
      </c>
      <c r="H2027" s="32" t="s">
        <v>21</v>
      </c>
      <c r="I2027" s="32" t="s">
        <v>728</v>
      </c>
      <c r="J2027" s="32" t="s">
        <v>132</v>
      </c>
      <c r="K2027" s="32" t="s">
        <v>63</v>
      </c>
    </row>
    <row r="2028" customFormat="false" ht="13.5" hidden="false" customHeight="true" outlineLevel="0" collapsed="false">
      <c r="A2028" s="32" t="n">
        <v>4149</v>
      </c>
      <c r="B2028" s="32" t="s">
        <v>1751</v>
      </c>
      <c r="C2028" s="32" t="s">
        <v>1752</v>
      </c>
      <c r="D2028" s="32" t="s">
        <v>114</v>
      </c>
      <c r="E2028" s="32" t="s">
        <v>115</v>
      </c>
      <c r="F2028" s="32" t="n">
        <v>8050470940</v>
      </c>
      <c r="G2028" s="32" t="s">
        <v>61</v>
      </c>
      <c r="H2028" s="32" t="s">
        <v>22</v>
      </c>
      <c r="I2028" s="32" t="s">
        <v>128</v>
      </c>
      <c r="J2028" s="32" t="s">
        <v>89</v>
      </c>
      <c r="K2028" s="32" t="s">
        <v>63</v>
      </c>
    </row>
    <row r="2029" customFormat="false" ht="13.5" hidden="false" customHeight="true" outlineLevel="0" collapsed="false">
      <c r="A2029" s="32" t="n">
        <v>4150</v>
      </c>
      <c r="B2029" s="32" t="s">
        <v>1751</v>
      </c>
      <c r="C2029" s="32" t="s">
        <v>1752</v>
      </c>
      <c r="D2029" s="32" t="s">
        <v>114</v>
      </c>
      <c r="E2029" s="32" t="s">
        <v>115</v>
      </c>
      <c r="F2029" s="32" t="n">
        <v>8050470940</v>
      </c>
      <c r="G2029" s="32" t="s">
        <v>61</v>
      </c>
      <c r="H2029" s="32" t="s">
        <v>22</v>
      </c>
      <c r="I2029" s="32" t="s">
        <v>145</v>
      </c>
      <c r="J2029" s="32" t="s">
        <v>117</v>
      </c>
      <c r="K2029" s="32" t="s">
        <v>63</v>
      </c>
    </row>
    <row r="2030" customFormat="false" ht="13.5" hidden="false" customHeight="true" outlineLevel="0" collapsed="false">
      <c r="A2030" s="32" t="n">
        <v>4151</v>
      </c>
      <c r="B2030" s="32" t="s">
        <v>1751</v>
      </c>
      <c r="C2030" s="32" t="s">
        <v>1752</v>
      </c>
      <c r="D2030" s="32" t="s">
        <v>114</v>
      </c>
      <c r="E2030" s="32" t="s">
        <v>115</v>
      </c>
      <c r="F2030" s="32" t="n">
        <v>8050470940</v>
      </c>
      <c r="G2030" s="32" t="s">
        <v>61</v>
      </c>
      <c r="H2030" s="32" t="s">
        <v>22</v>
      </c>
      <c r="I2030" s="32" t="s">
        <v>217</v>
      </c>
      <c r="J2030" s="32" t="s">
        <v>132</v>
      </c>
      <c r="K2030" s="32" t="s">
        <v>63</v>
      </c>
    </row>
    <row r="2031" customFormat="false" ht="13.5" hidden="false" customHeight="true" outlineLevel="0" collapsed="false">
      <c r="A2031" s="32" t="n">
        <v>4152</v>
      </c>
      <c r="B2031" s="32" t="s">
        <v>1751</v>
      </c>
      <c r="C2031" s="32" t="s">
        <v>1752</v>
      </c>
      <c r="D2031" s="32" t="s">
        <v>114</v>
      </c>
      <c r="E2031" s="32" t="s">
        <v>115</v>
      </c>
      <c r="F2031" s="32" t="n">
        <v>8050470940</v>
      </c>
      <c r="G2031" s="32" t="s">
        <v>61</v>
      </c>
      <c r="H2031" s="32" t="s">
        <v>22</v>
      </c>
      <c r="I2031" s="32" t="s">
        <v>85</v>
      </c>
      <c r="J2031" s="32" t="s">
        <v>85</v>
      </c>
      <c r="K2031" s="32" t="s">
        <v>63</v>
      </c>
    </row>
    <row r="2032" customFormat="false" ht="13.5" hidden="false" customHeight="true" outlineLevel="0" collapsed="false">
      <c r="A2032" s="32" t="n">
        <v>4156</v>
      </c>
      <c r="B2032" s="32" t="s">
        <v>1751</v>
      </c>
      <c r="C2032" s="32" t="s">
        <v>1752</v>
      </c>
      <c r="D2032" s="32" t="s">
        <v>114</v>
      </c>
      <c r="E2032" s="32" t="s">
        <v>115</v>
      </c>
      <c r="F2032" s="32" t="n">
        <v>8050470940</v>
      </c>
      <c r="G2032" s="32" t="s">
        <v>61</v>
      </c>
      <c r="H2032" s="32" t="s">
        <v>22</v>
      </c>
      <c r="I2032" s="32" t="s">
        <v>409</v>
      </c>
      <c r="J2032" s="32" t="s">
        <v>410</v>
      </c>
      <c r="K2032" s="32" t="s">
        <v>63</v>
      </c>
    </row>
    <row r="2033" customFormat="false" ht="13.5" hidden="false" customHeight="true" outlineLevel="0" collapsed="false">
      <c r="A2033" s="32" t="n">
        <v>4157</v>
      </c>
      <c r="B2033" s="32" t="s">
        <v>1751</v>
      </c>
      <c r="C2033" s="32" t="s">
        <v>1752</v>
      </c>
      <c r="D2033" s="32" t="s">
        <v>114</v>
      </c>
      <c r="E2033" s="32" t="s">
        <v>115</v>
      </c>
      <c r="F2033" s="32" t="n">
        <v>8050470940</v>
      </c>
      <c r="G2033" s="32" t="s">
        <v>61</v>
      </c>
      <c r="H2033" s="32" t="s">
        <v>22</v>
      </c>
      <c r="I2033" s="32" t="s">
        <v>1753</v>
      </c>
      <c r="J2033" s="32" t="s">
        <v>89</v>
      </c>
      <c r="K2033" s="32" t="s">
        <v>63</v>
      </c>
    </row>
    <row r="2034" customFormat="false" ht="13.5" hidden="false" customHeight="true" outlineLevel="0" collapsed="false">
      <c r="A2034" s="32" t="n">
        <v>4158</v>
      </c>
      <c r="B2034" s="32" t="s">
        <v>1751</v>
      </c>
      <c r="C2034" s="32" t="s">
        <v>1752</v>
      </c>
      <c r="D2034" s="32" t="s">
        <v>114</v>
      </c>
      <c r="E2034" s="32" t="s">
        <v>115</v>
      </c>
      <c r="F2034" s="32" t="n">
        <v>8050470940</v>
      </c>
      <c r="G2034" s="32" t="s">
        <v>61</v>
      </c>
      <c r="H2034" s="32" t="s">
        <v>22</v>
      </c>
      <c r="I2034" s="32" t="s">
        <v>95</v>
      </c>
      <c r="J2034" s="32" t="s">
        <v>96</v>
      </c>
      <c r="K2034" s="32" t="s">
        <v>63</v>
      </c>
    </row>
    <row r="2035" customFormat="false" ht="13.5" hidden="false" customHeight="true" outlineLevel="0" collapsed="false">
      <c r="A2035" s="32" t="n">
        <v>4162</v>
      </c>
      <c r="B2035" s="32" t="s">
        <v>1754</v>
      </c>
      <c r="C2035" s="32" t="s">
        <v>1755</v>
      </c>
      <c r="D2035" s="32" t="s">
        <v>114</v>
      </c>
      <c r="E2035" s="32" t="s">
        <v>115</v>
      </c>
      <c r="F2035" s="33" t="n">
        <v>919160000000</v>
      </c>
      <c r="G2035" s="32" t="s">
        <v>80</v>
      </c>
      <c r="H2035" s="32" t="s">
        <v>22</v>
      </c>
      <c r="I2035" s="32" t="s">
        <v>185</v>
      </c>
      <c r="J2035" s="32" t="s">
        <v>186</v>
      </c>
      <c r="K2035" s="32" t="s">
        <v>63</v>
      </c>
    </row>
    <row r="2036" customFormat="false" ht="13.5" hidden="false" customHeight="true" outlineLevel="0" collapsed="false">
      <c r="A2036" s="32" t="n">
        <v>4163</v>
      </c>
      <c r="B2036" s="32" t="s">
        <v>1754</v>
      </c>
      <c r="C2036" s="32" t="s">
        <v>1755</v>
      </c>
      <c r="D2036" s="32" t="s">
        <v>114</v>
      </c>
      <c r="E2036" s="32" t="s">
        <v>115</v>
      </c>
      <c r="F2036" s="33" t="n">
        <v>919160000000</v>
      </c>
      <c r="G2036" s="32" t="s">
        <v>80</v>
      </c>
      <c r="H2036" s="32" t="s">
        <v>22</v>
      </c>
      <c r="I2036" s="32" t="s">
        <v>491</v>
      </c>
      <c r="J2036" s="32" t="s">
        <v>152</v>
      </c>
      <c r="K2036" s="32" t="s">
        <v>63</v>
      </c>
    </row>
    <row r="2037" customFormat="false" ht="13.5" hidden="false" customHeight="true" outlineLevel="0" collapsed="false">
      <c r="A2037" s="32" t="n">
        <v>4164</v>
      </c>
      <c r="B2037" s="32" t="s">
        <v>1754</v>
      </c>
      <c r="C2037" s="32" t="s">
        <v>1755</v>
      </c>
      <c r="D2037" s="32" t="s">
        <v>114</v>
      </c>
      <c r="E2037" s="32" t="s">
        <v>115</v>
      </c>
      <c r="F2037" s="32" t="s">
        <v>1756</v>
      </c>
      <c r="G2037" s="32" t="s">
        <v>80</v>
      </c>
      <c r="H2037" s="32" t="s">
        <v>22</v>
      </c>
      <c r="I2037" s="32" t="s">
        <v>98</v>
      </c>
      <c r="J2037" s="32" t="s">
        <v>99</v>
      </c>
      <c r="K2037" s="32" t="s">
        <v>63</v>
      </c>
    </row>
    <row r="2038" customFormat="false" ht="13.5" hidden="false" customHeight="true" outlineLevel="0" collapsed="false">
      <c r="A2038" s="32" t="n">
        <v>4165</v>
      </c>
      <c r="B2038" s="32" t="s">
        <v>1757</v>
      </c>
      <c r="C2038" s="32" t="s">
        <v>1758</v>
      </c>
      <c r="D2038" s="32" t="s">
        <v>114</v>
      </c>
      <c r="E2038" s="32" t="s">
        <v>165</v>
      </c>
      <c r="F2038" s="32" t="n">
        <v>9742304447</v>
      </c>
      <c r="G2038" s="32" t="s">
        <v>80</v>
      </c>
      <c r="H2038" s="32" t="s">
        <v>22</v>
      </c>
      <c r="I2038" s="32" t="s">
        <v>128</v>
      </c>
      <c r="J2038" s="32" t="s">
        <v>89</v>
      </c>
      <c r="K2038" s="32" t="s">
        <v>63</v>
      </c>
    </row>
    <row r="2039" customFormat="false" ht="13.5" hidden="false" customHeight="true" outlineLevel="0" collapsed="false">
      <c r="A2039" s="32" t="n">
        <v>4166</v>
      </c>
      <c r="B2039" s="32" t="s">
        <v>1757</v>
      </c>
      <c r="C2039" s="32" t="s">
        <v>1758</v>
      </c>
      <c r="D2039" s="32" t="s">
        <v>114</v>
      </c>
      <c r="E2039" s="32" t="s">
        <v>165</v>
      </c>
      <c r="F2039" s="32" t="n">
        <v>9742304447</v>
      </c>
      <c r="G2039" s="32" t="s">
        <v>80</v>
      </c>
      <c r="H2039" s="32" t="s">
        <v>22</v>
      </c>
      <c r="I2039" s="32" t="s">
        <v>27</v>
      </c>
      <c r="J2039" s="32" t="s">
        <v>13</v>
      </c>
      <c r="K2039" s="32" t="s">
        <v>63</v>
      </c>
    </row>
    <row r="2040" customFormat="false" ht="13.5" hidden="false" customHeight="true" outlineLevel="0" collapsed="false">
      <c r="A2040" s="32" t="n">
        <v>4167</v>
      </c>
      <c r="B2040" s="32" t="s">
        <v>1757</v>
      </c>
      <c r="C2040" s="32" t="s">
        <v>1758</v>
      </c>
      <c r="D2040" s="32" t="s">
        <v>114</v>
      </c>
      <c r="E2040" s="32" t="s">
        <v>165</v>
      </c>
      <c r="F2040" s="32" t="n">
        <v>9742304447</v>
      </c>
      <c r="G2040" s="32" t="s">
        <v>80</v>
      </c>
      <c r="H2040" s="32" t="s">
        <v>22</v>
      </c>
      <c r="I2040" s="32" t="s">
        <v>133</v>
      </c>
      <c r="J2040" s="32" t="s">
        <v>134</v>
      </c>
      <c r="K2040" s="32" t="s">
        <v>63</v>
      </c>
    </row>
    <row r="2041" customFormat="false" ht="13.5" hidden="false" customHeight="true" outlineLevel="0" collapsed="false">
      <c r="A2041" s="32" t="n">
        <v>4168</v>
      </c>
      <c r="B2041" s="32" t="s">
        <v>1757</v>
      </c>
      <c r="C2041" s="32" t="s">
        <v>1758</v>
      </c>
      <c r="D2041" s="32" t="s">
        <v>114</v>
      </c>
      <c r="E2041" s="32" t="s">
        <v>165</v>
      </c>
      <c r="F2041" s="32" t="n">
        <v>9742304447</v>
      </c>
      <c r="G2041" s="32" t="s">
        <v>80</v>
      </c>
      <c r="H2041" s="32" t="s">
        <v>22</v>
      </c>
      <c r="I2041" s="32" t="s">
        <v>126</v>
      </c>
      <c r="J2041" s="32" t="s">
        <v>85</v>
      </c>
      <c r="K2041" s="32" t="s">
        <v>63</v>
      </c>
    </row>
    <row r="2042" customFormat="false" ht="13.5" hidden="false" customHeight="true" outlineLevel="0" collapsed="false">
      <c r="A2042" s="32" t="n">
        <v>4169</v>
      </c>
      <c r="B2042" s="32" t="s">
        <v>1757</v>
      </c>
      <c r="C2042" s="32" t="s">
        <v>1758</v>
      </c>
      <c r="D2042" s="32" t="s">
        <v>114</v>
      </c>
      <c r="E2042" s="32" t="s">
        <v>165</v>
      </c>
      <c r="F2042" s="32" t="n">
        <v>9742304447</v>
      </c>
      <c r="G2042" s="32" t="s">
        <v>80</v>
      </c>
      <c r="H2042" s="32" t="s">
        <v>22</v>
      </c>
      <c r="I2042" s="32" t="s">
        <v>108</v>
      </c>
      <c r="J2042" s="32" t="s">
        <v>71</v>
      </c>
      <c r="K2042" s="32" t="s">
        <v>63</v>
      </c>
    </row>
    <row r="2043" customFormat="false" ht="13.5" hidden="false" customHeight="true" outlineLevel="0" collapsed="false">
      <c r="A2043" s="32" t="n">
        <v>4170</v>
      </c>
      <c r="B2043" s="32" t="s">
        <v>1757</v>
      </c>
      <c r="C2043" s="32" t="s">
        <v>1758</v>
      </c>
      <c r="D2043" s="32" t="s">
        <v>114</v>
      </c>
      <c r="E2043" s="32" t="s">
        <v>165</v>
      </c>
      <c r="F2043" s="32" t="n">
        <v>9742304447</v>
      </c>
      <c r="G2043" s="32" t="s">
        <v>80</v>
      </c>
      <c r="H2043" s="32" t="s">
        <v>22</v>
      </c>
      <c r="I2043" s="32" t="s">
        <v>28</v>
      </c>
      <c r="J2043" s="32" t="s">
        <v>82</v>
      </c>
      <c r="K2043" s="32" t="s">
        <v>63</v>
      </c>
    </row>
    <row r="2044" customFormat="false" ht="13.5" hidden="false" customHeight="true" outlineLevel="0" collapsed="false">
      <c r="A2044" s="32" t="n">
        <v>4171</v>
      </c>
      <c r="B2044" s="32" t="s">
        <v>1757</v>
      </c>
      <c r="C2044" s="32" t="s">
        <v>1758</v>
      </c>
      <c r="D2044" s="32" t="s">
        <v>114</v>
      </c>
      <c r="E2044" s="32" t="s">
        <v>165</v>
      </c>
      <c r="F2044" s="32" t="n">
        <v>9742304447</v>
      </c>
      <c r="G2044" s="32" t="s">
        <v>80</v>
      </c>
      <c r="H2044" s="32" t="s">
        <v>22</v>
      </c>
      <c r="I2044" s="32" t="s">
        <v>516</v>
      </c>
      <c r="J2044" s="32" t="s">
        <v>66</v>
      </c>
      <c r="K2044" s="32" t="s">
        <v>63</v>
      </c>
    </row>
    <row r="2045" customFormat="false" ht="13.5" hidden="false" customHeight="true" outlineLevel="0" collapsed="false">
      <c r="A2045" s="32" t="n">
        <v>4172</v>
      </c>
      <c r="B2045" s="32" t="s">
        <v>1757</v>
      </c>
      <c r="C2045" s="32" t="s">
        <v>1758</v>
      </c>
      <c r="D2045" s="32" t="s">
        <v>114</v>
      </c>
      <c r="E2045" s="32" t="s">
        <v>165</v>
      </c>
      <c r="F2045" s="32" t="n">
        <v>9742304447</v>
      </c>
      <c r="G2045" s="32" t="s">
        <v>80</v>
      </c>
      <c r="H2045" s="32" t="s">
        <v>22</v>
      </c>
      <c r="I2045" s="32" t="s">
        <v>314</v>
      </c>
      <c r="J2045" s="32" t="s">
        <v>134</v>
      </c>
      <c r="K2045" s="32" t="s">
        <v>63</v>
      </c>
    </row>
    <row r="2046" customFormat="false" ht="13.5" hidden="false" customHeight="true" outlineLevel="0" collapsed="false">
      <c r="A2046" s="32" t="n">
        <v>4173</v>
      </c>
      <c r="B2046" s="32" t="s">
        <v>1759</v>
      </c>
      <c r="C2046" s="32" t="s">
        <v>1760</v>
      </c>
      <c r="D2046" s="32" t="s">
        <v>59</v>
      </c>
      <c r="E2046" s="32" t="s">
        <v>60</v>
      </c>
      <c r="F2046" s="33" t="n">
        <v>919731000000</v>
      </c>
      <c r="G2046" s="32" t="s">
        <v>61</v>
      </c>
      <c r="H2046" s="32" t="s">
        <v>21</v>
      </c>
      <c r="I2046" s="32" t="s">
        <v>333</v>
      </c>
      <c r="J2046" s="32" t="s">
        <v>235</v>
      </c>
      <c r="K2046" s="32" t="s">
        <v>63</v>
      </c>
    </row>
    <row r="2047" customFormat="false" ht="13.5" hidden="false" customHeight="true" outlineLevel="0" collapsed="false">
      <c r="A2047" s="32" t="n">
        <v>4174</v>
      </c>
      <c r="B2047" s="32" t="s">
        <v>1761</v>
      </c>
      <c r="C2047" s="32" t="s">
        <v>1762</v>
      </c>
      <c r="D2047" s="32" t="s">
        <v>59</v>
      </c>
      <c r="E2047" s="32" t="s">
        <v>60</v>
      </c>
      <c r="F2047" s="32" t="n">
        <v>9491655559</v>
      </c>
      <c r="G2047" s="32" t="s">
        <v>80</v>
      </c>
      <c r="H2047" s="32" t="s">
        <v>21</v>
      </c>
      <c r="I2047" s="32" t="s">
        <v>350</v>
      </c>
      <c r="J2047" s="32" t="s">
        <v>235</v>
      </c>
      <c r="K2047" s="32" t="s">
        <v>63</v>
      </c>
    </row>
    <row r="2048" customFormat="false" ht="13.5" hidden="false" customHeight="true" outlineLevel="0" collapsed="false">
      <c r="A2048" s="32" t="n">
        <v>4175</v>
      </c>
      <c r="B2048" s="32" t="s">
        <v>1761</v>
      </c>
      <c r="C2048" s="32" t="s">
        <v>1763</v>
      </c>
      <c r="D2048" s="32" t="s">
        <v>59</v>
      </c>
      <c r="E2048" s="32" t="s">
        <v>60</v>
      </c>
      <c r="F2048" s="32" t="n">
        <v>9491655559</v>
      </c>
      <c r="G2048" s="32" t="s">
        <v>80</v>
      </c>
      <c r="H2048" s="32" t="s">
        <v>21</v>
      </c>
      <c r="I2048" s="32" t="s">
        <v>14</v>
      </c>
      <c r="J2048" s="32" t="s">
        <v>66</v>
      </c>
      <c r="K2048" s="32" t="s">
        <v>63</v>
      </c>
    </row>
    <row r="2049" customFormat="false" ht="13.5" hidden="false" customHeight="true" outlineLevel="0" collapsed="false">
      <c r="A2049" s="32" t="n">
        <v>4176</v>
      </c>
      <c r="B2049" s="32" t="s">
        <v>1761</v>
      </c>
      <c r="C2049" s="32" t="s">
        <v>1763</v>
      </c>
      <c r="D2049" s="32" t="s">
        <v>59</v>
      </c>
      <c r="E2049" s="32" t="s">
        <v>60</v>
      </c>
      <c r="F2049" s="32" t="n">
        <v>9491655559</v>
      </c>
      <c r="G2049" s="32" t="s">
        <v>80</v>
      </c>
      <c r="H2049" s="32" t="s">
        <v>21</v>
      </c>
      <c r="I2049" s="32" t="s">
        <v>463</v>
      </c>
      <c r="J2049" s="32" t="s">
        <v>66</v>
      </c>
      <c r="K2049" s="32" t="s">
        <v>63</v>
      </c>
    </row>
    <row r="2050" customFormat="false" ht="13.5" hidden="false" customHeight="true" outlineLevel="0" collapsed="false">
      <c r="A2050" s="32" t="n">
        <v>4177</v>
      </c>
      <c r="B2050" s="32" t="s">
        <v>1764</v>
      </c>
      <c r="C2050" s="32" t="s">
        <v>1765</v>
      </c>
      <c r="D2050" s="32" t="s">
        <v>114</v>
      </c>
      <c r="E2050" s="32" t="s">
        <v>115</v>
      </c>
      <c r="F2050" s="32" t="n">
        <v>0</v>
      </c>
      <c r="G2050" s="32" t="s">
        <v>80</v>
      </c>
      <c r="H2050" s="32" t="s">
        <v>22</v>
      </c>
      <c r="I2050" s="32" t="s">
        <v>98</v>
      </c>
      <c r="J2050" s="32" t="s">
        <v>99</v>
      </c>
      <c r="K2050" s="32" t="s">
        <v>63</v>
      </c>
    </row>
    <row r="2051" customFormat="false" ht="13.5" hidden="false" customHeight="true" outlineLevel="0" collapsed="false">
      <c r="A2051" s="32" t="n">
        <v>4178</v>
      </c>
      <c r="B2051" s="32" t="s">
        <v>1764</v>
      </c>
      <c r="C2051" s="32" t="s">
        <v>1766</v>
      </c>
      <c r="D2051" s="32" t="s">
        <v>114</v>
      </c>
      <c r="E2051" s="32" t="s">
        <v>115</v>
      </c>
      <c r="F2051" s="32" t="n">
        <v>8056836792</v>
      </c>
      <c r="G2051" s="32" t="s">
        <v>80</v>
      </c>
      <c r="H2051" s="32" t="s">
        <v>22</v>
      </c>
      <c r="I2051" s="32" t="s">
        <v>284</v>
      </c>
      <c r="J2051" s="32" t="s">
        <v>117</v>
      </c>
      <c r="K2051" s="32" t="s">
        <v>63</v>
      </c>
    </row>
    <row r="2052" customFormat="false" ht="13.5" hidden="false" customHeight="true" outlineLevel="0" collapsed="false">
      <c r="A2052" s="32" t="n">
        <v>4179</v>
      </c>
      <c r="B2052" s="32" t="s">
        <v>1767</v>
      </c>
      <c r="C2052" s="32" t="s">
        <v>1768</v>
      </c>
      <c r="D2052" s="32" t="s">
        <v>59</v>
      </c>
      <c r="E2052" s="32" t="s">
        <v>107</v>
      </c>
      <c r="F2052" s="32" t="n">
        <v>9136170867</v>
      </c>
      <c r="G2052" s="32" t="s">
        <v>104</v>
      </c>
      <c r="H2052" s="32" t="s">
        <v>21</v>
      </c>
      <c r="I2052" s="32" t="s">
        <v>108</v>
      </c>
      <c r="J2052" s="32" t="s">
        <v>71</v>
      </c>
      <c r="K2052" s="32" t="s">
        <v>63</v>
      </c>
    </row>
    <row r="2053" customFormat="false" ht="13.5" hidden="false" customHeight="true" outlineLevel="0" collapsed="false">
      <c r="A2053" s="32" t="n">
        <v>4180</v>
      </c>
      <c r="B2053" s="32" t="s">
        <v>1769</v>
      </c>
      <c r="C2053" s="32" t="s">
        <v>1770</v>
      </c>
      <c r="D2053" s="32" t="s">
        <v>114</v>
      </c>
      <c r="E2053" s="32" t="s">
        <v>268</v>
      </c>
      <c r="F2053" s="32" t="n">
        <v>8860337579</v>
      </c>
      <c r="G2053" s="32" t="s">
        <v>61</v>
      </c>
      <c r="H2053" s="32" t="s">
        <v>22</v>
      </c>
      <c r="I2053" s="32" t="s">
        <v>121</v>
      </c>
      <c r="J2053" s="32" t="s">
        <v>110</v>
      </c>
      <c r="K2053" s="32" t="s">
        <v>63</v>
      </c>
    </row>
    <row r="2054" customFormat="false" ht="13.5" hidden="false" customHeight="true" outlineLevel="0" collapsed="false">
      <c r="A2054" s="32" t="n">
        <v>4181</v>
      </c>
      <c r="B2054" s="32" t="s">
        <v>1769</v>
      </c>
      <c r="C2054" s="32" t="s">
        <v>1770</v>
      </c>
      <c r="D2054" s="32" t="s">
        <v>114</v>
      </c>
      <c r="E2054" s="32" t="s">
        <v>268</v>
      </c>
      <c r="F2054" s="32" t="n">
        <v>8860337579</v>
      </c>
      <c r="G2054" s="32" t="s">
        <v>61</v>
      </c>
      <c r="H2054" s="32" t="s">
        <v>22</v>
      </c>
      <c r="I2054" s="32" t="s">
        <v>145</v>
      </c>
      <c r="J2054" s="32" t="s">
        <v>117</v>
      </c>
      <c r="K2054" s="32" t="s">
        <v>63</v>
      </c>
    </row>
    <row r="2055" customFormat="false" ht="13.5" hidden="false" customHeight="true" outlineLevel="0" collapsed="false">
      <c r="A2055" s="32" t="n">
        <v>4182</v>
      </c>
      <c r="B2055" s="32" t="s">
        <v>1769</v>
      </c>
      <c r="C2055" s="32" t="s">
        <v>1771</v>
      </c>
      <c r="D2055" s="32" t="s">
        <v>114</v>
      </c>
      <c r="E2055" s="32" t="s">
        <v>268</v>
      </c>
      <c r="F2055" s="32" t="n">
        <v>8860337579</v>
      </c>
      <c r="G2055" s="32" t="s">
        <v>61</v>
      </c>
      <c r="H2055" s="32" t="s">
        <v>22</v>
      </c>
      <c r="I2055" s="32" t="s">
        <v>95</v>
      </c>
      <c r="J2055" s="32" t="s">
        <v>96</v>
      </c>
      <c r="K2055" s="32" t="s">
        <v>63</v>
      </c>
    </row>
    <row r="2056" customFormat="false" ht="13.5" hidden="false" customHeight="true" outlineLevel="0" collapsed="false">
      <c r="A2056" s="32" t="n">
        <v>4183</v>
      </c>
      <c r="B2056" s="32" t="s">
        <v>1769</v>
      </c>
      <c r="C2056" s="32" t="s">
        <v>1770</v>
      </c>
      <c r="D2056" s="32" t="s">
        <v>114</v>
      </c>
      <c r="E2056" s="32" t="s">
        <v>268</v>
      </c>
      <c r="F2056" s="32" t="n">
        <v>8860337579</v>
      </c>
      <c r="G2056" s="32" t="s">
        <v>61</v>
      </c>
      <c r="H2056" s="32" t="s">
        <v>22</v>
      </c>
      <c r="I2056" s="32" t="s">
        <v>109</v>
      </c>
      <c r="J2056" s="32" t="s">
        <v>110</v>
      </c>
      <c r="K2056" s="32" t="s">
        <v>63</v>
      </c>
    </row>
    <row r="2057" customFormat="false" ht="13.5" hidden="false" customHeight="true" outlineLevel="0" collapsed="false">
      <c r="A2057" s="32" t="n">
        <v>4184</v>
      </c>
      <c r="B2057" s="32" t="s">
        <v>1769</v>
      </c>
      <c r="C2057" s="32" t="s">
        <v>1771</v>
      </c>
      <c r="D2057" s="32" t="s">
        <v>114</v>
      </c>
      <c r="E2057" s="32" t="s">
        <v>268</v>
      </c>
      <c r="F2057" s="32" t="n">
        <v>8860337579</v>
      </c>
      <c r="G2057" s="32" t="s">
        <v>61</v>
      </c>
      <c r="H2057" s="32" t="s">
        <v>22</v>
      </c>
      <c r="I2057" s="32" t="s">
        <v>280</v>
      </c>
      <c r="J2057" s="32" t="s">
        <v>76</v>
      </c>
      <c r="K2057" s="32" t="s">
        <v>63</v>
      </c>
    </row>
    <row r="2058" customFormat="false" ht="13.5" hidden="false" customHeight="true" outlineLevel="0" collapsed="false">
      <c r="A2058" s="32" t="n">
        <v>4185</v>
      </c>
      <c r="B2058" s="32" t="s">
        <v>1772</v>
      </c>
      <c r="C2058" s="32" t="s">
        <v>1773</v>
      </c>
      <c r="D2058" s="32" t="s">
        <v>59</v>
      </c>
      <c r="E2058" s="32" t="s">
        <v>60</v>
      </c>
      <c r="F2058" s="32" t="n">
        <v>9996553040</v>
      </c>
      <c r="G2058" s="32" t="s">
        <v>144</v>
      </c>
      <c r="H2058" s="32" t="s">
        <v>21</v>
      </c>
      <c r="I2058" s="32" t="s">
        <v>350</v>
      </c>
      <c r="J2058" s="32" t="s">
        <v>235</v>
      </c>
      <c r="K2058" s="32" t="s">
        <v>63</v>
      </c>
    </row>
    <row r="2059" customFormat="false" ht="13.5" hidden="false" customHeight="true" outlineLevel="0" collapsed="false">
      <c r="A2059" s="32" t="n">
        <v>4186</v>
      </c>
      <c r="B2059" s="32" t="s">
        <v>1772</v>
      </c>
      <c r="C2059" s="32" t="s">
        <v>1773</v>
      </c>
      <c r="D2059" s="32" t="s">
        <v>59</v>
      </c>
      <c r="E2059" s="32" t="s">
        <v>60</v>
      </c>
      <c r="F2059" s="32" t="n">
        <v>9996553040</v>
      </c>
      <c r="G2059" s="32" t="s">
        <v>144</v>
      </c>
      <c r="H2059" s="32" t="s">
        <v>21</v>
      </c>
      <c r="I2059" s="32" t="s">
        <v>1774</v>
      </c>
      <c r="J2059" s="32" t="s">
        <v>66</v>
      </c>
      <c r="K2059" s="32" t="s">
        <v>63</v>
      </c>
    </row>
    <row r="2060" customFormat="false" ht="13.5" hidden="false" customHeight="true" outlineLevel="0" collapsed="false">
      <c r="A2060" s="32" t="n">
        <v>4187</v>
      </c>
      <c r="B2060" s="32" t="s">
        <v>1775</v>
      </c>
      <c r="C2060" s="32" t="s">
        <v>1776</v>
      </c>
      <c r="D2060" s="32" t="s">
        <v>114</v>
      </c>
      <c r="E2060" s="32" t="s">
        <v>124</v>
      </c>
      <c r="F2060" s="32" t="n">
        <v>0</v>
      </c>
      <c r="G2060" s="32" t="s">
        <v>144</v>
      </c>
      <c r="H2060" s="32" t="s">
        <v>22</v>
      </c>
      <c r="I2060" s="32" t="s">
        <v>221</v>
      </c>
      <c r="J2060" s="32" t="s">
        <v>222</v>
      </c>
      <c r="K2060" s="32" t="s">
        <v>63</v>
      </c>
    </row>
    <row r="2061" customFormat="false" ht="13.5" hidden="false" customHeight="true" outlineLevel="0" collapsed="false">
      <c r="A2061" s="32" t="n">
        <v>4188</v>
      </c>
      <c r="B2061" s="32" t="s">
        <v>1775</v>
      </c>
      <c r="C2061" s="32" t="s">
        <v>1776</v>
      </c>
      <c r="D2061" s="32" t="s">
        <v>114</v>
      </c>
      <c r="E2061" s="32" t="s">
        <v>124</v>
      </c>
      <c r="F2061" s="32" t="n">
        <v>0</v>
      </c>
      <c r="G2061" s="32" t="s">
        <v>144</v>
      </c>
      <c r="H2061" s="32" t="s">
        <v>22</v>
      </c>
      <c r="I2061" s="32" t="s">
        <v>325</v>
      </c>
      <c r="J2061" s="32" t="s">
        <v>326</v>
      </c>
      <c r="K2061" s="32" t="s">
        <v>63</v>
      </c>
    </row>
    <row r="2062" customFormat="false" ht="13.5" hidden="false" customHeight="true" outlineLevel="0" collapsed="false">
      <c r="A2062" s="32" t="n">
        <v>4189</v>
      </c>
      <c r="B2062" s="32" t="s">
        <v>1777</v>
      </c>
      <c r="C2062" s="32" t="s">
        <v>1778</v>
      </c>
      <c r="D2062" s="32" t="s">
        <v>59</v>
      </c>
      <c r="E2062" s="32" t="s">
        <v>107</v>
      </c>
      <c r="F2062" s="32" t="n">
        <v>8667382254</v>
      </c>
      <c r="G2062" s="32" t="s">
        <v>0</v>
      </c>
      <c r="H2062" s="32" t="s">
        <v>21</v>
      </c>
      <c r="I2062" s="32" t="s">
        <v>95</v>
      </c>
      <c r="J2062" s="32" t="s">
        <v>96</v>
      </c>
      <c r="K2062" s="32" t="s">
        <v>63</v>
      </c>
    </row>
    <row r="2063" customFormat="false" ht="13.5" hidden="false" customHeight="true" outlineLevel="0" collapsed="false">
      <c r="A2063" s="32" t="n">
        <v>4193</v>
      </c>
      <c r="B2063" s="32" t="s">
        <v>1779</v>
      </c>
      <c r="C2063" s="32" t="s">
        <v>1780</v>
      </c>
      <c r="D2063" s="32" t="s">
        <v>59</v>
      </c>
      <c r="E2063" s="32" t="s">
        <v>60</v>
      </c>
      <c r="F2063" s="33" t="n">
        <v>919945000000</v>
      </c>
      <c r="G2063" s="32" t="s">
        <v>61</v>
      </c>
      <c r="H2063" s="32" t="s">
        <v>21</v>
      </c>
      <c r="I2063" s="32" t="s">
        <v>248</v>
      </c>
      <c r="J2063" s="32" t="s">
        <v>117</v>
      </c>
      <c r="K2063" s="32" t="s">
        <v>63</v>
      </c>
    </row>
    <row r="2064" customFormat="false" ht="13.5" hidden="false" customHeight="true" outlineLevel="0" collapsed="false">
      <c r="A2064" s="32" t="n">
        <v>4198</v>
      </c>
      <c r="B2064" s="32" t="s">
        <v>1779</v>
      </c>
      <c r="C2064" s="32" t="s">
        <v>1780</v>
      </c>
      <c r="D2064" s="32" t="s">
        <v>59</v>
      </c>
      <c r="E2064" s="32" t="s">
        <v>60</v>
      </c>
      <c r="F2064" s="33" t="n">
        <v>919945000000</v>
      </c>
      <c r="G2064" s="32" t="s">
        <v>61</v>
      </c>
      <c r="H2064" s="32" t="s">
        <v>21</v>
      </c>
      <c r="I2064" s="32" t="s">
        <v>30</v>
      </c>
      <c r="J2064" s="32" t="s">
        <v>203</v>
      </c>
      <c r="K2064" s="32" t="s">
        <v>63</v>
      </c>
    </row>
    <row r="2065" customFormat="false" ht="13.5" hidden="false" customHeight="true" outlineLevel="0" collapsed="false">
      <c r="A2065" s="32" t="n">
        <v>4200</v>
      </c>
      <c r="B2065" s="32" t="s">
        <v>1779</v>
      </c>
      <c r="C2065" s="32" t="s">
        <v>1780</v>
      </c>
      <c r="D2065" s="32" t="s">
        <v>59</v>
      </c>
      <c r="E2065" s="32" t="s">
        <v>60</v>
      </c>
      <c r="F2065" s="33" t="n">
        <v>919945000000</v>
      </c>
      <c r="G2065" s="32" t="s">
        <v>61</v>
      </c>
      <c r="H2065" s="32" t="s">
        <v>21</v>
      </c>
      <c r="I2065" s="32" t="s">
        <v>116</v>
      </c>
      <c r="J2065" s="32" t="s">
        <v>117</v>
      </c>
      <c r="K2065" s="32" t="s">
        <v>63</v>
      </c>
    </row>
    <row r="2066" customFormat="false" ht="13.5" hidden="false" customHeight="true" outlineLevel="0" collapsed="false">
      <c r="A2066" s="32" t="n">
        <v>4201</v>
      </c>
      <c r="B2066" s="32" t="s">
        <v>1781</v>
      </c>
      <c r="C2066" s="32" t="s">
        <v>1782</v>
      </c>
      <c r="D2066" s="32" t="s">
        <v>59</v>
      </c>
      <c r="E2066" s="32" t="s">
        <v>79</v>
      </c>
      <c r="F2066" s="32" t="n">
        <v>9741118901</v>
      </c>
      <c r="G2066" s="32" t="s">
        <v>144</v>
      </c>
      <c r="H2066" s="32" t="s">
        <v>21</v>
      </c>
      <c r="I2066" s="32" t="s">
        <v>30</v>
      </c>
      <c r="J2066" s="32" t="s">
        <v>203</v>
      </c>
      <c r="K2066" s="32" t="s">
        <v>63</v>
      </c>
    </row>
    <row r="2067" customFormat="false" ht="13.5" hidden="false" customHeight="true" outlineLevel="0" collapsed="false">
      <c r="A2067" s="32" t="n">
        <v>4202</v>
      </c>
      <c r="B2067" s="32" t="s">
        <v>1781</v>
      </c>
      <c r="C2067" s="32" t="s">
        <v>1782</v>
      </c>
      <c r="D2067" s="32" t="s">
        <v>59</v>
      </c>
      <c r="E2067" s="32" t="s">
        <v>79</v>
      </c>
      <c r="F2067" s="32" t="n">
        <v>9960705644</v>
      </c>
      <c r="G2067" s="32" t="s">
        <v>144</v>
      </c>
      <c r="H2067" s="32" t="s">
        <v>21</v>
      </c>
      <c r="I2067" s="32" t="s">
        <v>690</v>
      </c>
      <c r="J2067" s="32" t="s">
        <v>117</v>
      </c>
      <c r="K2067" s="32" t="s">
        <v>63</v>
      </c>
    </row>
    <row r="2068" customFormat="false" ht="13.5" hidden="false" customHeight="true" outlineLevel="0" collapsed="false">
      <c r="A2068" s="32" t="n">
        <v>4206</v>
      </c>
      <c r="B2068" s="32" t="s">
        <v>1781</v>
      </c>
      <c r="C2068" s="32" t="s">
        <v>1782</v>
      </c>
      <c r="D2068" s="32" t="s">
        <v>59</v>
      </c>
      <c r="E2068" s="32" t="s">
        <v>79</v>
      </c>
      <c r="F2068" s="32" t="n">
        <v>9960705644</v>
      </c>
      <c r="G2068" s="32" t="s">
        <v>144</v>
      </c>
      <c r="H2068" s="32" t="s">
        <v>21</v>
      </c>
      <c r="I2068" s="32" t="s">
        <v>95</v>
      </c>
      <c r="J2068" s="32" t="s">
        <v>96</v>
      </c>
      <c r="K2068" s="32" t="s">
        <v>63</v>
      </c>
    </row>
    <row r="2069" customFormat="false" ht="13.5" hidden="false" customHeight="true" outlineLevel="0" collapsed="false">
      <c r="A2069" s="32" t="n">
        <v>4207</v>
      </c>
      <c r="B2069" s="32" t="s">
        <v>1783</v>
      </c>
      <c r="C2069" s="32" t="s">
        <v>1784</v>
      </c>
      <c r="D2069" s="32" t="s">
        <v>59</v>
      </c>
      <c r="E2069" s="32" t="s">
        <v>143</v>
      </c>
      <c r="F2069" s="32" t="n">
        <v>8147819817</v>
      </c>
      <c r="G2069" s="32" t="s">
        <v>140</v>
      </c>
      <c r="H2069" s="32" t="s">
        <v>21</v>
      </c>
      <c r="I2069" s="32" t="s">
        <v>108</v>
      </c>
      <c r="J2069" s="32" t="s">
        <v>71</v>
      </c>
      <c r="K2069" s="32" t="s">
        <v>63</v>
      </c>
    </row>
    <row r="2070" customFormat="false" ht="13.5" hidden="false" customHeight="true" outlineLevel="0" collapsed="false">
      <c r="A2070" s="32" t="n">
        <v>4208</v>
      </c>
      <c r="B2070" s="32" t="s">
        <v>1783</v>
      </c>
      <c r="C2070" s="32" t="s">
        <v>1784</v>
      </c>
      <c r="D2070" s="32" t="s">
        <v>59</v>
      </c>
      <c r="E2070" s="32" t="s">
        <v>143</v>
      </c>
      <c r="F2070" s="32" t="n">
        <v>8147819817</v>
      </c>
      <c r="G2070" s="32" t="s">
        <v>61</v>
      </c>
      <c r="H2070" s="32" t="s">
        <v>21</v>
      </c>
      <c r="I2070" s="32" t="s">
        <v>111</v>
      </c>
      <c r="J2070" s="32" t="s">
        <v>73</v>
      </c>
      <c r="K2070" s="32" t="s">
        <v>63</v>
      </c>
    </row>
    <row r="2071" customFormat="false" ht="13.5" hidden="false" customHeight="true" outlineLevel="0" collapsed="false">
      <c r="A2071" s="32" t="n">
        <v>4209</v>
      </c>
      <c r="B2071" s="32" t="s">
        <v>1783</v>
      </c>
      <c r="C2071" s="32" t="s">
        <v>1784</v>
      </c>
      <c r="D2071" s="32" t="s">
        <v>59</v>
      </c>
      <c r="E2071" s="32" t="s">
        <v>143</v>
      </c>
      <c r="F2071" s="32" t="n">
        <v>8147819817</v>
      </c>
      <c r="G2071" s="32" t="s">
        <v>140</v>
      </c>
      <c r="H2071" s="32" t="s">
        <v>21</v>
      </c>
      <c r="I2071" s="32" t="s">
        <v>116</v>
      </c>
      <c r="J2071" s="32" t="s">
        <v>117</v>
      </c>
      <c r="K2071" s="32" t="s">
        <v>63</v>
      </c>
    </row>
    <row r="2072" customFormat="false" ht="13.5" hidden="false" customHeight="true" outlineLevel="0" collapsed="false">
      <c r="A2072" s="32" t="n">
        <v>4210</v>
      </c>
      <c r="B2072" s="32" t="s">
        <v>1785</v>
      </c>
      <c r="C2072" s="32" t="s">
        <v>1786</v>
      </c>
      <c r="D2072" s="32" t="s">
        <v>114</v>
      </c>
      <c r="E2072" s="32" t="s">
        <v>169</v>
      </c>
      <c r="F2072" s="33" t="n">
        <v>919556000000</v>
      </c>
      <c r="G2072" s="32" t="s">
        <v>144</v>
      </c>
      <c r="H2072" s="32" t="s">
        <v>22</v>
      </c>
      <c r="I2072" s="32" t="s">
        <v>151</v>
      </c>
      <c r="J2072" s="32" t="s">
        <v>152</v>
      </c>
      <c r="K2072" s="32" t="s">
        <v>63</v>
      </c>
    </row>
    <row r="2073" customFormat="false" ht="13.5" hidden="false" customHeight="true" outlineLevel="0" collapsed="false">
      <c r="A2073" s="32" t="n">
        <v>4211</v>
      </c>
      <c r="B2073" s="32" t="s">
        <v>1787</v>
      </c>
      <c r="C2073" s="32" t="s">
        <v>1788</v>
      </c>
      <c r="D2073" s="32" t="s">
        <v>114</v>
      </c>
      <c r="E2073" s="32" t="s">
        <v>115</v>
      </c>
      <c r="F2073" s="32" t="n">
        <v>8105411435</v>
      </c>
      <c r="G2073" s="32" t="s">
        <v>61</v>
      </c>
      <c r="H2073" s="32" t="s">
        <v>22</v>
      </c>
      <c r="I2073" s="32" t="s">
        <v>108</v>
      </c>
      <c r="J2073" s="32" t="s">
        <v>71</v>
      </c>
      <c r="K2073" s="32" t="s">
        <v>63</v>
      </c>
    </row>
    <row r="2074" customFormat="false" ht="13.5" hidden="false" customHeight="true" outlineLevel="0" collapsed="false">
      <c r="A2074" s="32" t="n">
        <v>4212</v>
      </c>
      <c r="B2074" s="32" t="s">
        <v>1787</v>
      </c>
      <c r="C2074" s="32" t="s">
        <v>1788</v>
      </c>
      <c r="D2074" s="32" t="s">
        <v>114</v>
      </c>
      <c r="E2074" s="32" t="s">
        <v>115</v>
      </c>
      <c r="F2074" s="32" t="n">
        <v>8105411435</v>
      </c>
      <c r="G2074" s="32" t="s">
        <v>61</v>
      </c>
      <c r="H2074" s="32" t="s">
        <v>22</v>
      </c>
      <c r="I2074" s="32" t="s">
        <v>133</v>
      </c>
      <c r="J2074" s="32" t="s">
        <v>134</v>
      </c>
      <c r="K2074" s="32" t="s">
        <v>63</v>
      </c>
    </row>
    <row r="2075" customFormat="false" ht="13.5" hidden="false" customHeight="true" outlineLevel="0" collapsed="false">
      <c r="A2075" s="32" t="n">
        <v>4213</v>
      </c>
      <c r="B2075" s="32" t="s">
        <v>1787</v>
      </c>
      <c r="C2075" s="32" t="s">
        <v>1788</v>
      </c>
      <c r="D2075" s="32" t="s">
        <v>114</v>
      </c>
      <c r="E2075" s="32" t="s">
        <v>115</v>
      </c>
      <c r="F2075" s="32" t="n">
        <v>8105411435</v>
      </c>
      <c r="G2075" s="32" t="s">
        <v>61</v>
      </c>
      <c r="H2075" s="32" t="s">
        <v>22</v>
      </c>
      <c r="I2075" s="32" t="s">
        <v>116</v>
      </c>
      <c r="J2075" s="32" t="s">
        <v>117</v>
      </c>
      <c r="K2075" s="32" t="s">
        <v>63</v>
      </c>
    </row>
    <row r="2076" customFormat="false" ht="13.5" hidden="false" customHeight="true" outlineLevel="0" collapsed="false">
      <c r="A2076" s="32" t="n">
        <v>4214</v>
      </c>
      <c r="B2076" s="32" t="s">
        <v>1789</v>
      </c>
      <c r="C2076" s="32" t="s">
        <v>1790</v>
      </c>
      <c r="D2076" s="32" t="s">
        <v>114</v>
      </c>
      <c r="E2076" s="32" t="s">
        <v>169</v>
      </c>
      <c r="F2076" s="33" t="n">
        <v>919705000000</v>
      </c>
      <c r="G2076" s="32" t="s">
        <v>80</v>
      </c>
      <c r="H2076" s="32" t="s">
        <v>22</v>
      </c>
      <c r="I2076" s="32" t="s">
        <v>149</v>
      </c>
      <c r="J2076" s="32" t="s">
        <v>73</v>
      </c>
      <c r="K2076" s="32" t="s">
        <v>63</v>
      </c>
    </row>
    <row r="2077" customFormat="false" ht="13.5" hidden="false" customHeight="true" outlineLevel="0" collapsed="false">
      <c r="A2077" s="32" t="n">
        <v>4215</v>
      </c>
      <c r="B2077" s="32" t="s">
        <v>1789</v>
      </c>
      <c r="C2077" s="32" t="s">
        <v>1790</v>
      </c>
      <c r="D2077" s="32" t="s">
        <v>114</v>
      </c>
      <c r="E2077" s="32" t="s">
        <v>169</v>
      </c>
      <c r="F2077" s="33" t="n">
        <v>919705000000</v>
      </c>
      <c r="G2077" s="32" t="s">
        <v>80</v>
      </c>
      <c r="H2077" s="32" t="s">
        <v>22</v>
      </c>
      <c r="I2077" s="32" t="s">
        <v>171</v>
      </c>
      <c r="J2077" s="32" t="s">
        <v>152</v>
      </c>
      <c r="K2077" s="32" t="s">
        <v>63</v>
      </c>
    </row>
    <row r="2078" customFormat="false" ht="13.5" hidden="false" customHeight="true" outlineLevel="0" collapsed="false">
      <c r="A2078" s="32" t="n">
        <v>4216</v>
      </c>
      <c r="B2078" s="32" t="s">
        <v>1791</v>
      </c>
      <c r="C2078" s="32" t="s">
        <v>1792</v>
      </c>
      <c r="D2078" s="32" t="s">
        <v>59</v>
      </c>
      <c r="E2078" s="32" t="s">
        <v>92</v>
      </c>
      <c r="F2078" s="32" t="n">
        <v>7709099256</v>
      </c>
      <c r="G2078" s="32" t="s">
        <v>80</v>
      </c>
      <c r="H2078" s="32" t="s">
        <v>21</v>
      </c>
      <c r="I2078" s="32" t="s">
        <v>146</v>
      </c>
      <c r="J2078" s="32" t="s">
        <v>117</v>
      </c>
      <c r="K2078" s="32" t="s">
        <v>63</v>
      </c>
    </row>
    <row r="2079" customFormat="false" ht="13.5" hidden="false" customHeight="true" outlineLevel="0" collapsed="false">
      <c r="A2079" s="32" t="n">
        <v>4217</v>
      </c>
      <c r="B2079" s="32" t="s">
        <v>1791</v>
      </c>
      <c r="C2079" s="32" t="s">
        <v>1792</v>
      </c>
      <c r="D2079" s="32" t="s">
        <v>59</v>
      </c>
      <c r="E2079" s="32" t="s">
        <v>92</v>
      </c>
      <c r="F2079" s="32" t="n">
        <v>7709099256</v>
      </c>
      <c r="G2079" s="32" t="s">
        <v>80</v>
      </c>
      <c r="H2079" s="32" t="s">
        <v>21</v>
      </c>
      <c r="I2079" s="32" t="s">
        <v>284</v>
      </c>
      <c r="J2079" s="32" t="s">
        <v>117</v>
      </c>
      <c r="K2079" s="32" t="s">
        <v>63</v>
      </c>
    </row>
    <row r="2080" customFormat="false" ht="13.5" hidden="false" customHeight="true" outlineLevel="0" collapsed="false">
      <c r="A2080" s="32" t="n">
        <v>4218</v>
      </c>
      <c r="B2080" s="32" t="s">
        <v>1791</v>
      </c>
      <c r="C2080" s="32" t="s">
        <v>1792</v>
      </c>
      <c r="D2080" s="32" t="s">
        <v>59</v>
      </c>
      <c r="E2080" s="32" t="s">
        <v>92</v>
      </c>
      <c r="F2080" s="32" t="n">
        <v>7709099256</v>
      </c>
      <c r="G2080" s="32" t="s">
        <v>80</v>
      </c>
      <c r="H2080" s="32" t="s">
        <v>21</v>
      </c>
      <c r="I2080" s="32" t="s">
        <v>371</v>
      </c>
      <c r="J2080" s="32" t="s">
        <v>152</v>
      </c>
      <c r="K2080" s="32" t="s">
        <v>63</v>
      </c>
    </row>
    <row r="2081" customFormat="false" ht="13.5" hidden="false" customHeight="true" outlineLevel="0" collapsed="false">
      <c r="A2081" s="32" t="n">
        <v>4219</v>
      </c>
      <c r="B2081" s="32" t="s">
        <v>1793</v>
      </c>
      <c r="C2081" s="32" t="s">
        <v>1794</v>
      </c>
      <c r="D2081" s="32" t="s">
        <v>102</v>
      </c>
      <c r="E2081" s="32" t="s">
        <v>60</v>
      </c>
      <c r="F2081" s="33" t="n">
        <v>919749000000</v>
      </c>
      <c r="G2081" s="32" t="s">
        <v>80</v>
      </c>
      <c r="H2081" s="32" t="s">
        <v>21</v>
      </c>
      <c r="I2081" s="32" t="s">
        <v>14</v>
      </c>
      <c r="J2081" s="32" t="s">
        <v>66</v>
      </c>
      <c r="K2081" s="32" t="s">
        <v>63</v>
      </c>
    </row>
    <row r="2082" customFormat="false" ht="13.5" hidden="false" customHeight="true" outlineLevel="0" collapsed="false">
      <c r="A2082" s="32" t="n">
        <v>4220</v>
      </c>
      <c r="B2082" s="32" t="s">
        <v>1793</v>
      </c>
      <c r="C2082" s="32" t="s">
        <v>1795</v>
      </c>
      <c r="D2082" s="32" t="s">
        <v>102</v>
      </c>
      <c r="E2082" s="32" t="s">
        <v>60</v>
      </c>
      <c r="F2082" s="33" t="n">
        <v>919749000000</v>
      </c>
      <c r="G2082" s="32" t="s">
        <v>80</v>
      </c>
      <c r="H2082" s="32" t="s">
        <v>21</v>
      </c>
      <c r="I2082" s="32" t="s">
        <v>156</v>
      </c>
      <c r="J2082" s="32" t="s">
        <v>62</v>
      </c>
      <c r="K2082" s="32" t="s">
        <v>63</v>
      </c>
    </row>
    <row r="2083" customFormat="false" ht="13.5" hidden="false" customHeight="true" outlineLevel="0" collapsed="false">
      <c r="A2083" s="32" t="n">
        <v>4221</v>
      </c>
      <c r="B2083" s="32" t="s">
        <v>1793</v>
      </c>
      <c r="C2083" s="32" t="s">
        <v>1795</v>
      </c>
      <c r="D2083" s="32" t="s">
        <v>102</v>
      </c>
      <c r="E2083" s="32" t="s">
        <v>60</v>
      </c>
      <c r="F2083" s="33" t="n">
        <v>919749000000</v>
      </c>
      <c r="G2083" s="32" t="s">
        <v>80</v>
      </c>
      <c r="H2083" s="32" t="s">
        <v>21</v>
      </c>
      <c r="I2083" s="32" t="s">
        <v>29</v>
      </c>
      <c r="J2083" s="32" t="s">
        <v>62</v>
      </c>
      <c r="K2083" s="32" t="s">
        <v>63</v>
      </c>
    </row>
    <row r="2084" customFormat="false" ht="13.5" hidden="false" customHeight="true" outlineLevel="0" collapsed="false">
      <c r="A2084" s="32" t="n">
        <v>4222</v>
      </c>
      <c r="B2084" s="32" t="s">
        <v>1796</v>
      </c>
      <c r="C2084" s="32" t="s">
        <v>1797</v>
      </c>
      <c r="D2084" s="32" t="s">
        <v>102</v>
      </c>
      <c r="E2084" s="32" t="s">
        <v>155</v>
      </c>
      <c r="F2084" s="32" t="n">
        <v>8968705673</v>
      </c>
      <c r="G2084" s="32" t="s">
        <v>144</v>
      </c>
      <c r="H2084" s="32" t="s">
        <v>21</v>
      </c>
      <c r="I2084" s="32" t="s">
        <v>29</v>
      </c>
      <c r="J2084" s="32" t="s">
        <v>62</v>
      </c>
      <c r="K2084" s="32" t="s">
        <v>63</v>
      </c>
    </row>
    <row r="2085" customFormat="false" ht="13.5" hidden="false" customHeight="true" outlineLevel="0" collapsed="false">
      <c r="A2085" s="32" t="n">
        <v>4223</v>
      </c>
      <c r="B2085" s="32" t="s">
        <v>1796</v>
      </c>
      <c r="C2085" s="32" t="s">
        <v>1797</v>
      </c>
      <c r="D2085" s="32" t="s">
        <v>102</v>
      </c>
      <c r="E2085" s="32" t="s">
        <v>155</v>
      </c>
      <c r="F2085" s="32" t="n">
        <v>8968705673</v>
      </c>
      <c r="G2085" s="32" t="s">
        <v>144</v>
      </c>
      <c r="H2085" s="32" t="s">
        <v>21</v>
      </c>
      <c r="I2085" s="32" t="s">
        <v>14</v>
      </c>
      <c r="J2085" s="32" t="s">
        <v>66</v>
      </c>
      <c r="K2085" s="32" t="s">
        <v>63</v>
      </c>
    </row>
    <row r="2086" customFormat="false" ht="13.5" hidden="false" customHeight="true" outlineLevel="0" collapsed="false">
      <c r="A2086" s="32" t="n">
        <v>4224</v>
      </c>
      <c r="B2086" s="32" t="s">
        <v>1796</v>
      </c>
      <c r="C2086" s="32" t="s">
        <v>1797</v>
      </c>
      <c r="D2086" s="32" t="s">
        <v>102</v>
      </c>
      <c r="E2086" s="32" t="s">
        <v>155</v>
      </c>
      <c r="F2086" s="32" t="n">
        <v>8968705673</v>
      </c>
      <c r="G2086" s="32" t="s">
        <v>144</v>
      </c>
      <c r="H2086" s="32" t="s">
        <v>21</v>
      </c>
      <c r="I2086" s="32" t="s">
        <v>156</v>
      </c>
      <c r="J2086" s="32" t="s">
        <v>62</v>
      </c>
      <c r="K2086" s="32" t="s">
        <v>63</v>
      </c>
    </row>
    <row r="2087" customFormat="false" ht="13.5" hidden="false" customHeight="true" outlineLevel="0" collapsed="false">
      <c r="A2087" s="32" t="n">
        <v>4225</v>
      </c>
      <c r="B2087" s="32" t="s">
        <v>1798</v>
      </c>
      <c r="C2087" s="32" t="s">
        <v>1799</v>
      </c>
      <c r="D2087" s="32" t="s">
        <v>114</v>
      </c>
      <c r="E2087" s="32" t="s">
        <v>115</v>
      </c>
      <c r="F2087" s="32" t="n">
        <v>9873570955</v>
      </c>
      <c r="G2087" s="32" t="s">
        <v>69</v>
      </c>
      <c r="H2087" s="32" t="s">
        <v>22</v>
      </c>
      <c r="I2087" s="32" t="s">
        <v>121</v>
      </c>
      <c r="J2087" s="32" t="s">
        <v>110</v>
      </c>
      <c r="K2087" s="32" t="s">
        <v>63</v>
      </c>
    </row>
    <row r="2088" customFormat="false" ht="13.5" hidden="false" customHeight="true" outlineLevel="0" collapsed="false">
      <c r="A2088" s="32" t="n">
        <v>4228</v>
      </c>
      <c r="B2088" s="32" t="s">
        <v>1798</v>
      </c>
      <c r="C2088" s="32" t="s">
        <v>1799</v>
      </c>
      <c r="D2088" s="32" t="s">
        <v>114</v>
      </c>
      <c r="E2088" s="32" t="s">
        <v>115</v>
      </c>
      <c r="F2088" s="33" t="n">
        <v>919874000000</v>
      </c>
      <c r="G2088" s="32" t="s">
        <v>69</v>
      </c>
      <c r="H2088" s="32" t="s">
        <v>22</v>
      </c>
      <c r="I2088" s="32" t="s">
        <v>120</v>
      </c>
      <c r="J2088" s="32" t="s">
        <v>110</v>
      </c>
      <c r="K2088" s="32" t="s">
        <v>63</v>
      </c>
    </row>
    <row r="2089" customFormat="false" ht="13.5" hidden="false" customHeight="true" outlineLevel="0" collapsed="false">
      <c r="A2089" s="32" t="n">
        <v>4232</v>
      </c>
      <c r="B2089" s="32" t="s">
        <v>1798</v>
      </c>
      <c r="C2089" s="32" t="s">
        <v>1799</v>
      </c>
      <c r="D2089" s="32" t="s">
        <v>114</v>
      </c>
      <c r="E2089" s="32" t="s">
        <v>115</v>
      </c>
      <c r="F2089" s="33" t="n">
        <v>919874000000</v>
      </c>
      <c r="G2089" s="32" t="s">
        <v>69</v>
      </c>
      <c r="H2089" s="32" t="s">
        <v>22</v>
      </c>
      <c r="I2089" s="32" t="s">
        <v>133</v>
      </c>
      <c r="J2089" s="32" t="s">
        <v>134</v>
      </c>
      <c r="K2089" s="32" t="s">
        <v>63</v>
      </c>
    </row>
    <row r="2090" customFormat="false" ht="13.5" hidden="false" customHeight="true" outlineLevel="0" collapsed="false">
      <c r="A2090" s="32" t="n">
        <v>4233</v>
      </c>
      <c r="B2090" s="32" t="s">
        <v>1798</v>
      </c>
      <c r="C2090" s="32" t="s">
        <v>1799</v>
      </c>
      <c r="D2090" s="32" t="s">
        <v>114</v>
      </c>
      <c r="E2090" s="32" t="s">
        <v>115</v>
      </c>
      <c r="F2090" s="33" t="n">
        <v>919874000000</v>
      </c>
      <c r="G2090" s="32" t="s">
        <v>69</v>
      </c>
      <c r="H2090" s="32" t="s">
        <v>22</v>
      </c>
      <c r="I2090" s="32" t="s">
        <v>116</v>
      </c>
      <c r="J2090" s="32" t="s">
        <v>117</v>
      </c>
      <c r="K2090" s="32" t="s">
        <v>63</v>
      </c>
    </row>
    <row r="2091" customFormat="false" ht="13.5" hidden="false" customHeight="true" outlineLevel="0" collapsed="false">
      <c r="A2091" s="32" t="n">
        <v>4234</v>
      </c>
      <c r="B2091" s="32" t="s">
        <v>1800</v>
      </c>
      <c r="C2091" s="32" t="s">
        <v>1801</v>
      </c>
      <c r="D2091" s="32" t="s">
        <v>59</v>
      </c>
      <c r="E2091" s="32" t="s">
        <v>107</v>
      </c>
      <c r="F2091" s="32" t="n">
        <v>7507723636</v>
      </c>
      <c r="G2091" s="32" t="s">
        <v>80</v>
      </c>
      <c r="H2091" s="32" t="s">
        <v>21</v>
      </c>
      <c r="I2091" s="32" t="s">
        <v>833</v>
      </c>
      <c r="J2091" s="32" t="s">
        <v>203</v>
      </c>
      <c r="K2091" s="32" t="s">
        <v>63</v>
      </c>
    </row>
    <row r="2092" customFormat="false" ht="13.5" hidden="false" customHeight="true" outlineLevel="0" collapsed="false">
      <c r="A2092" s="32" t="n">
        <v>4235</v>
      </c>
      <c r="B2092" s="32" t="s">
        <v>1802</v>
      </c>
      <c r="C2092" s="32" t="s">
        <v>1803</v>
      </c>
      <c r="D2092" s="32" t="s">
        <v>114</v>
      </c>
      <c r="E2092" s="32" t="s">
        <v>165</v>
      </c>
      <c r="F2092" s="32" t="n">
        <v>8334001166</v>
      </c>
      <c r="G2092" s="32" t="s">
        <v>61</v>
      </c>
      <c r="H2092" s="32" t="s">
        <v>22</v>
      </c>
      <c r="I2092" s="32" t="s">
        <v>70</v>
      </c>
      <c r="J2092" s="32" t="s">
        <v>71</v>
      </c>
      <c r="K2092" s="32" t="s">
        <v>63</v>
      </c>
    </row>
    <row r="2093" customFormat="false" ht="13.5" hidden="false" customHeight="true" outlineLevel="0" collapsed="false">
      <c r="A2093" s="32" t="n">
        <v>4236</v>
      </c>
      <c r="B2093" s="32" t="s">
        <v>1802</v>
      </c>
      <c r="C2093" s="32" t="s">
        <v>1803</v>
      </c>
      <c r="D2093" s="32" t="s">
        <v>114</v>
      </c>
      <c r="E2093" s="32" t="s">
        <v>165</v>
      </c>
      <c r="F2093" s="32" t="n">
        <v>8334001166</v>
      </c>
      <c r="G2093" s="32" t="s">
        <v>61</v>
      </c>
      <c r="H2093" s="32" t="s">
        <v>22</v>
      </c>
      <c r="I2093" s="32" t="s">
        <v>108</v>
      </c>
      <c r="J2093" s="32" t="s">
        <v>71</v>
      </c>
      <c r="K2093" s="32" t="s">
        <v>63</v>
      </c>
    </row>
    <row r="2094" customFormat="false" ht="13.5" hidden="false" customHeight="true" outlineLevel="0" collapsed="false">
      <c r="A2094" s="32" t="n">
        <v>4237</v>
      </c>
      <c r="B2094" s="32" t="s">
        <v>1802</v>
      </c>
      <c r="C2094" s="32" t="s">
        <v>1803</v>
      </c>
      <c r="D2094" s="32" t="s">
        <v>114</v>
      </c>
      <c r="E2094" s="32" t="s">
        <v>165</v>
      </c>
      <c r="F2094" s="32" t="n">
        <v>8334001166</v>
      </c>
      <c r="G2094" s="32" t="s">
        <v>61</v>
      </c>
      <c r="H2094" s="32" t="s">
        <v>22</v>
      </c>
      <c r="I2094" s="32" t="s">
        <v>385</v>
      </c>
      <c r="J2094" s="32" t="s">
        <v>71</v>
      </c>
      <c r="K2094" s="32" t="s">
        <v>63</v>
      </c>
    </row>
    <row r="2095" customFormat="false" ht="13.5" hidden="false" customHeight="true" outlineLevel="0" collapsed="false">
      <c r="A2095" s="32" t="n">
        <v>4238</v>
      </c>
      <c r="B2095" s="32" t="s">
        <v>1802</v>
      </c>
      <c r="C2095" s="32" t="s">
        <v>1803</v>
      </c>
      <c r="D2095" s="32" t="s">
        <v>114</v>
      </c>
      <c r="E2095" s="32" t="s">
        <v>165</v>
      </c>
      <c r="F2095" s="32" t="n">
        <v>8334001166</v>
      </c>
      <c r="G2095" s="32" t="s">
        <v>80</v>
      </c>
      <c r="H2095" s="32" t="s">
        <v>22</v>
      </c>
      <c r="I2095" s="32" t="s">
        <v>245</v>
      </c>
      <c r="J2095" s="32" t="s">
        <v>71</v>
      </c>
      <c r="K2095" s="32" t="s">
        <v>63</v>
      </c>
    </row>
    <row r="2096" customFormat="false" ht="13.5" hidden="false" customHeight="true" outlineLevel="0" collapsed="false">
      <c r="A2096" s="32" t="n">
        <v>4239</v>
      </c>
      <c r="B2096" s="32" t="s">
        <v>1804</v>
      </c>
      <c r="C2096" s="32" t="s">
        <v>1805</v>
      </c>
      <c r="D2096" s="32" t="s">
        <v>114</v>
      </c>
      <c r="E2096" s="32" t="s">
        <v>165</v>
      </c>
      <c r="F2096" s="32" t="n">
        <v>8334001166</v>
      </c>
      <c r="G2096" s="32" t="s">
        <v>80</v>
      </c>
      <c r="H2096" s="32" t="s">
        <v>22</v>
      </c>
      <c r="I2096" s="32" t="s">
        <v>245</v>
      </c>
      <c r="J2096" s="32" t="s">
        <v>71</v>
      </c>
      <c r="K2096" s="32" t="s">
        <v>63</v>
      </c>
    </row>
    <row r="2097" customFormat="false" ht="13.5" hidden="false" customHeight="true" outlineLevel="0" collapsed="false">
      <c r="A2097" s="32" t="n">
        <v>4240</v>
      </c>
      <c r="B2097" s="32" t="s">
        <v>1802</v>
      </c>
      <c r="C2097" s="32" t="s">
        <v>1803</v>
      </c>
      <c r="D2097" s="32" t="s">
        <v>114</v>
      </c>
      <c r="E2097" s="32" t="s">
        <v>165</v>
      </c>
      <c r="F2097" s="32" t="n">
        <v>8334001166</v>
      </c>
      <c r="G2097" s="32" t="s">
        <v>80</v>
      </c>
      <c r="H2097" s="32" t="s">
        <v>22</v>
      </c>
      <c r="I2097" s="32" t="s">
        <v>516</v>
      </c>
      <c r="J2097" s="32" t="s">
        <v>66</v>
      </c>
      <c r="K2097" s="32" t="s">
        <v>63</v>
      </c>
    </row>
    <row r="2098" customFormat="false" ht="13.5" hidden="false" customHeight="true" outlineLevel="0" collapsed="false">
      <c r="A2098" s="32" t="n">
        <v>4241</v>
      </c>
      <c r="B2098" s="32" t="s">
        <v>1802</v>
      </c>
      <c r="C2098" s="32" t="s">
        <v>1803</v>
      </c>
      <c r="D2098" s="32" t="s">
        <v>114</v>
      </c>
      <c r="E2098" s="32" t="s">
        <v>165</v>
      </c>
      <c r="F2098" s="32" t="n">
        <v>8334001166</v>
      </c>
      <c r="G2098" s="32" t="s">
        <v>80</v>
      </c>
      <c r="H2098" s="32" t="s">
        <v>22</v>
      </c>
      <c r="I2098" s="32" t="s">
        <v>307</v>
      </c>
      <c r="J2098" s="32" t="s">
        <v>307</v>
      </c>
      <c r="K2098" s="32" t="s">
        <v>63</v>
      </c>
    </row>
    <row r="2099" customFormat="false" ht="13.5" hidden="false" customHeight="true" outlineLevel="0" collapsed="false">
      <c r="A2099" s="32" t="n">
        <v>4242</v>
      </c>
      <c r="B2099" s="32" t="s">
        <v>1802</v>
      </c>
      <c r="C2099" s="32" t="s">
        <v>1803</v>
      </c>
      <c r="D2099" s="32" t="s">
        <v>114</v>
      </c>
      <c r="E2099" s="32" t="s">
        <v>165</v>
      </c>
      <c r="F2099" s="32" t="n">
        <v>8334001166</v>
      </c>
      <c r="G2099" s="32" t="s">
        <v>80</v>
      </c>
      <c r="H2099" s="32" t="s">
        <v>22</v>
      </c>
      <c r="I2099" s="32" t="s">
        <v>14</v>
      </c>
      <c r="J2099" s="32" t="s">
        <v>66</v>
      </c>
      <c r="K2099" s="32" t="s">
        <v>63</v>
      </c>
    </row>
    <row r="2100" customFormat="false" ht="13.5" hidden="false" customHeight="true" outlineLevel="0" collapsed="false">
      <c r="A2100" s="32" t="n">
        <v>4243</v>
      </c>
      <c r="B2100" s="32" t="s">
        <v>1806</v>
      </c>
      <c r="C2100" s="32" t="s">
        <v>1807</v>
      </c>
      <c r="D2100" s="32" t="s">
        <v>114</v>
      </c>
      <c r="E2100" s="32" t="s">
        <v>115</v>
      </c>
      <c r="F2100" s="32" t="n">
        <v>8197232299</v>
      </c>
      <c r="G2100" s="32" t="s">
        <v>80</v>
      </c>
      <c r="H2100" s="32" t="s">
        <v>22</v>
      </c>
      <c r="I2100" s="32" t="s">
        <v>116</v>
      </c>
      <c r="J2100" s="32" t="s">
        <v>117</v>
      </c>
      <c r="K2100" s="32" t="s">
        <v>63</v>
      </c>
    </row>
    <row r="2101" customFormat="false" ht="13.5" hidden="false" customHeight="true" outlineLevel="0" collapsed="false">
      <c r="A2101" s="32" t="n">
        <v>4244</v>
      </c>
      <c r="B2101" s="32" t="s">
        <v>1806</v>
      </c>
      <c r="C2101" s="32" t="s">
        <v>1808</v>
      </c>
      <c r="D2101" s="32" t="s">
        <v>114</v>
      </c>
      <c r="E2101" s="32" t="s">
        <v>115</v>
      </c>
      <c r="F2101" s="32" t="n">
        <v>8197232299</v>
      </c>
      <c r="G2101" s="32" t="s">
        <v>80</v>
      </c>
      <c r="H2101" s="32" t="s">
        <v>22</v>
      </c>
      <c r="I2101" s="32" t="s">
        <v>185</v>
      </c>
      <c r="J2101" s="32" t="s">
        <v>186</v>
      </c>
      <c r="K2101" s="32" t="s">
        <v>63</v>
      </c>
    </row>
    <row r="2102" customFormat="false" ht="13.5" hidden="false" customHeight="true" outlineLevel="0" collapsed="false">
      <c r="A2102" s="32" t="n">
        <v>4245</v>
      </c>
      <c r="B2102" s="32" t="s">
        <v>1806</v>
      </c>
      <c r="C2102" s="32" t="s">
        <v>1808</v>
      </c>
      <c r="D2102" s="32" t="s">
        <v>114</v>
      </c>
      <c r="E2102" s="32" t="s">
        <v>115</v>
      </c>
      <c r="F2102" s="32" t="n">
        <v>8197232299</v>
      </c>
      <c r="G2102" s="32" t="s">
        <v>80</v>
      </c>
      <c r="H2102" s="32" t="s">
        <v>22</v>
      </c>
      <c r="I2102" s="32" t="s">
        <v>145</v>
      </c>
      <c r="J2102" s="32" t="s">
        <v>117</v>
      </c>
      <c r="K2102" s="32" t="s">
        <v>63</v>
      </c>
    </row>
    <row r="2103" customFormat="false" ht="13.5" hidden="false" customHeight="true" outlineLevel="0" collapsed="false">
      <c r="A2103" s="32" t="n">
        <v>4246</v>
      </c>
      <c r="B2103" s="32" t="s">
        <v>1806</v>
      </c>
      <c r="C2103" s="32" t="s">
        <v>1808</v>
      </c>
      <c r="D2103" s="32" t="s">
        <v>114</v>
      </c>
      <c r="E2103" s="32" t="s">
        <v>115</v>
      </c>
      <c r="F2103" s="32" t="n">
        <v>8197232299</v>
      </c>
      <c r="G2103" s="32" t="s">
        <v>80</v>
      </c>
      <c r="H2103" s="32" t="s">
        <v>22</v>
      </c>
      <c r="I2103" s="32" t="s">
        <v>95</v>
      </c>
      <c r="J2103" s="32" t="s">
        <v>96</v>
      </c>
      <c r="K2103" s="32" t="s">
        <v>63</v>
      </c>
    </row>
    <row r="2104" customFormat="false" ht="13.5" hidden="false" customHeight="true" outlineLevel="0" collapsed="false">
      <c r="A2104" s="32" t="n">
        <v>4247</v>
      </c>
      <c r="B2104" s="32" t="s">
        <v>1806</v>
      </c>
      <c r="C2104" s="32" t="s">
        <v>1808</v>
      </c>
      <c r="D2104" s="32" t="s">
        <v>114</v>
      </c>
      <c r="E2104" s="32" t="s">
        <v>115</v>
      </c>
      <c r="F2104" s="32" t="n">
        <v>8197232299</v>
      </c>
      <c r="G2104" s="32" t="s">
        <v>80</v>
      </c>
      <c r="H2104" s="32" t="s">
        <v>22</v>
      </c>
      <c r="I2104" s="32" t="s">
        <v>120</v>
      </c>
      <c r="J2104" s="32" t="s">
        <v>110</v>
      </c>
      <c r="K2104" s="32" t="s">
        <v>63</v>
      </c>
    </row>
    <row r="2105" customFormat="false" ht="13.5" hidden="false" customHeight="true" outlineLevel="0" collapsed="false">
      <c r="A2105" s="32" t="n">
        <v>4252</v>
      </c>
      <c r="B2105" s="32" t="s">
        <v>1806</v>
      </c>
      <c r="C2105" s="32" t="s">
        <v>1808</v>
      </c>
      <c r="D2105" s="32" t="s">
        <v>114</v>
      </c>
      <c r="E2105" s="32" t="s">
        <v>115</v>
      </c>
      <c r="F2105" s="32" t="n">
        <v>8197232299</v>
      </c>
      <c r="G2105" s="32" t="s">
        <v>80</v>
      </c>
      <c r="H2105" s="32" t="s">
        <v>22</v>
      </c>
      <c r="I2105" s="32" t="s">
        <v>121</v>
      </c>
      <c r="J2105" s="32" t="s">
        <v>110</v>
      </c>
      <c r="K2105" s="32" t="s">
        <v>63</v>
      </c>
    </row>
    <row r="2106" customFormat="false" ht="13.5" hidden="false" customHeight="true" outlineLevel="0" collapsed="false">
      <c r="A2106" s="32" t="n">
        <v>4253</v>
      </c>
      <c r="B2106" s="32" t="s">
        <v>1809</v>
      </c>
      <c r="C2106" s="32" t="s">
        <v>1810</v>
      </c>
      <c r="D2106" s="32" t="s">
        <v>59</v>
      </c>
      <c r="E2106" s="32" t="s">
        <v>107</v>
      </c>
      <c r="F2106" s="32" t="n">
        <v>9930165885</v>
      </c>
      <c r="G2106" s="32" t="s">
        <v>69</v>
      </c>
      <c r="H2106" s="32" t="s">
        <v>21</v>
      </c>
      <c r="I2106" s="32" t="s">
        <v>28</v>
      </c>
      <c r="J2106" s="32" t="s">
        <v>82</v>
      </c>
      <c r="K2106" s="32" t="s">
        <v>63</v>
      </c>
    </row>
    <row r="2107" customFormat="false" ht="13.5" hidden="false" customHeight="true" outlineLevel="0" collapsed="false">
      <c r="A2107" s="32" t="n">
        <v>4254</v>
      </c>
      <c r="B2107" s="32" t="s">
        <v>1809</v>
      </c>
      <c r="C2107" s="32" t="s">
        <v>1810</v>
      </c>
      <c r="D2107" s="32" t="s">
        <v>59</v>
      </c>
      <c r="E2107" s="32" t="s">
        <v>107</v>
      </c>
      <c r="F2107" s="32" t="n">
        <v>9930165885</v>
      </c>
      <c r="G2107" s="32" t="s">
        <v>69</v>
      </c>
      <c r="H2107" s="32" t="s">
        <v>21</v>
      </c>
      <c r="I2107" s="32" t="s">
        <v>121</v>
      </c>
      <c r="J2107" s="32" t="s">
        <v>110</v>
      </c>
      <c r="K2107" s="32" t="s">
        <v>63</v>
      </c>
    </row>
    <row r="2108" customFormat="false" ht="13.5" hidden="false" customHeight="true" outlineLevel="0" collapsed="false">
      <c r="A2108" s="32" t="n">
        <v>4255</v>
      </c>
      <c r="B2108" s="32" t="s">
        <v>1811</v>
      </c>
      <c r="C2108" s="32" t="s">
        <v>1812</v>
      </c>
      <c r="D2108" s="32" t="s">
        <v>114</v>
      </c>
      <c r="E2108" s="32" t="s">
        <v>115</v>
      </c>
      <c r="F2108" s="32" t="n">
        <v>9902381840</v>
      </c>
      <c r="G2108" s="32" t="s">
        <v>61</v>
      </c>
      <c r="H2108" s="32" t="s">
        <v>22</v>
      </c>
      <c r="I2108" s="32" t="s">
        <v>30</v>
      </c>
      <c r="J2108" s="32" t="s">
        <v>203</v>
      </c>
      <c r="K2108" s="32" t="s">
        <v>63</v>
      </c>
    </row>
    <row r="2109" customFormat="false" ht="13.5" hidden="false" customHeight="true" outlineLevel="0" collapsed="false">
      <c r="A2109" s="32" t="n">
        <v>4256</v>
      </c>
      <c r="B2109" s="32" t="s">
        <v>1811</v>
      </c>
      <c r="C2109" s="32" t="s">
        <v>1812</v>
      </c>
      <c r="D2109" s="32" t="s">
        <v>114</v>
      </c>
      <c r="E2109" s="32" t="s">
        <v>115</v>
      </c>
      <c r="F2109" s="32" t="n">
        <v>9902381840</v>
      </c>
      <c r="G2109" s="32" t="s">
        <v>61</v>
      </c>
      <c r="H2109" s="32" t="s">
        <v>22</v>
      </c>
      <c r="I2109" s="32" t="s">
        <v>185</v>
      </c>
      <c r="J2109" s="32" t="s">
        <v>186</v>
      </c>
      <c r="K2109" s="32" t="s">
        <v>63</v>
      </c>
    </row>
    <row r="2110" customFormat="false" ht="13.5" hidden="false" customHeight="true" outlineLevel="0" collapsed="false">
      <c r="A2110" s="32" t="n">
        <v>4257</v>
      </c>
      <c r="B2110" s="32" t="s">
        <v>1811</v>
      </c>
      <c r="C2110" s="32" t="s">
        <v>1812</v>
      </c>
      <c r="D2110" s="32" t="s">
        <v>114</v>
      </c>
      <c r="E2110" s="32" t="s">
        <v>115</v>
      </c>
      <c r="F2110" s="33" t="n">
        <v>919902000000</v>
      </c>
      <c r="G2110" s="32" t="s">
        <v>61</v>
      </c>
      <c r="H2110" s="32" t="s">
        <v>22</v>
      </c>
      <c r="I2110" s="32" t="s">
        <v>121</v>
      </c>
      <c r="J2110" s="32" t="s">
        <v>110</v>
      </c>
      <c r="K2110" s="32" t="s">
        <v>63</v>
      </c>
    </row>
    <row r="2111" customFormat="false" ht="13.5" hidden="false" customHeight="true" outlineLevel="0" collapsed="false">
      <c r="A2111" s="32" t="n">
        <v>4258</v>
      </c>
      <c r="B2111" s="32" t="s">
        <v>1813</v>
      </c>
      <c r="C2111" s="32" t="s">
        <v>1814</v>
      </c>
      <c r="D2111" s="32" t="s">
        <v>114</v>
      </c>
      <c r="E2111" s="32" t="n">
        <v>0</v>
      </c>
      <c r="F2111" s="32" t="n">
        <v>9811805715</v>
      </c>
      <c r="G2111" s="32" t="s">
        <v>144</v>
      </c>
      <c r="H2111" s="32" t="s">
        <v>22</v>
      </c>
      <c r="I2111" s="32" t="s">
        <v>133</v>
      </c>
      <c r="J2111" s="32" t="s">
        <v>134</v>
      </c>
      <c r="K2111" s="32" t="s">
        <v>63</v>
      </c>
    </row>
    <row r="2112" customFormat="false" ht="13.5" hidden="false" customHeight="true" outlineLevel="0" collapsed="false">
      <c r="A2112" s="32" t="n">
        <v>4259</v>
      </c>
      <c r="B2112" s="32" t="s">
        <v>1813</v>
      </c>
      <c r="C2112" s="32" t="s">
        <v>1815</v>
      </c>
      <c r="D2112" s="32" t="s">
        <v>114</v>
      </c>
      <c r="E2112" s="32" t="n">
        <v>0</v>
      </c>
      <c r="F2112" s="32" t="n">
        <v>9811805715</v>
      </c>
      <c r="G2112" s="32" t="s">
        <v>144</v>
      </c>
      <c r="H2112" s="32" t="s">
        <v>22</v>
      </c>
      <c r="I2112" s="32" t="s">
        <v>76</v>
      </c>
      <c r="J2112" s="32" t="s">
        <v>76</v>
      </c>
      <c r="K2112" s="32" t="s">
        <v>63</v>
      </c>
    </row>
    <row r="2113" customFormat="false" ht="13.5" hidden="false" customHeight="true" outlineLevel="0" collapsed="false">
      <c r="A2113" s="32" t="n">
        <v>4263</v>
      </c>
      <c r="B2113" s="32" t="s">
        <v>1816</v>
      </c>
      <c r="C2113" s="32" t="s">
        <v>1817</v>
      </c>
      <c r="D2113" s="32" t="s">
        <v>114</v>
      </c>
      <c r="E2113" s="32" t="n">
        <v>0</v>
      </c>
      <c r="F2113" s="32" t="n">
        <v>9739828939</v>
      </c>
      <c r="G2113" s="32" t="s">
        <v>61</v>
      </c>
      <c r="H2113" s="32" t="s">
        <v>22</v>
      </c>
      <c r="I2113" s="32" t="s">
        <v>128</v>
      </c>
      <c r="J2113" s="32" t="s">
        <v>89</v>
      </c>
      <c r="K2113" s="32" t="s">
        <v>63</v>
      </c>
    </row>
    <row r="2114" customFormat="false" ht="13.5" hidden="false" customHeight="true" outlineLevel="0" collapsed="false">
      <c r="A2114" s="32" t="n">
        <v>4264</v>
      </c>
      <c r="B2114" s="32" t="s">
        <v>1816</v>
      </c>
      <c r="C2114" s="32" t="s">
        <v>1817</v>
      </c>
      <c r="D2114" s="32" t="s">
        <v>114</v>
      </c>
      <c r="E2114" s="32" t="n">
        <v>0</v>
      </c>
      <c r="F2114" s="32" t="n">
        <v>9739828939</v>
      </c>
      <c r="G2114" s="32" t="s">
        <v>61</v>
      </c>
      <c r="H2114" s="32" t="s">
        <v>22</v>
      </c>
      <c r="I2114" s="32" t="s">
        <v>156</v>
      </c>
      <c r="J2114" s="32" t="s">
        <v>62</v>
      </c>
      <c r="K2114" s="32" t="s">
        <v>63</v>
      </c>
    </row>
    <row r="2115" customFormat="false" ht="13.5" hidden="false" customHeight="true" outlineLevel="0" collapsed="false">
      <c r="A2115" s="32" t="n">
        <v>4265</v>
      </c>
      <c r="B2115" s="32" t="s">
        <v>1816</v>
      </c>
      <c r="C2115" s="32" t="s">
        <v>1817</v>
      </c>
      <c r="D2115" s="32" t="s">
        <v>114</v>
      </c>
      <c r="E2115" s="32" t="n">
        <v>0</v>
      </c>
      <c r="F2115" s="32" t="n">
        <v>9739828939</v>
      </c>
      <c r="G2115" s="32" t="s">
        <v>61</v>
      </c>
      <c r="H2115" s="32" t="s">
        <v>22</v>
      </c>
      <c r="I2115" s="32" t="s">
        <v>29</v>
      </c>
      <c r="J2115" s="32" t="s">
        <v>62</v>
      </c>
      <c r="K2115" s="32" t="s">
        <v>63</v>
      </c>
    </row>
    <row r="2116" customFormat="false" ht="13.5" hidden="false" customHeight="true" outlineLevel="0" collapsed="false">
      <c r="A2116" s="32" t="n">
        <v>4267</v>
      </c>
      <c r="B2116" s="32" t="s">
        <v>1816</v>
      </c>
      <c r="C2116" s="32" t="s">
        <v>1817</v>
      </c>
      <c r="D2116" s="32" t="s">
        <v>114</v>
      </c>
      <c r="E2116" s="32" t="n">
        <v>0</v>
      </c>
      <c r="F2116" s="32" t="n">
        <v>9739828939</v>
      </c>
      <c r="G2116" s="32" t="s">
        <v>61</v>
      </c>
      <c r="H2116" s="32" t="s">
        <v>22</v>
      </c>
      <c r="I2116" s="32" t="s">
        <v>14</v>
      </c>
      <c r="J2116" s="32" t="s">
        <v>66</v>
      </c>
      <c r="K2116" s="32" t="s">
        <v>63</v>
      </c>
    </row>
    <row r="2117" customFormat="false" ht="13.5" hidden="false" customHeight="true" outlineLevel="0" collapsed="false">
      <c r="A2117" s="32" t="n">
        <v>4270</v>
      </c>
      <c r="B2117" s="32" t="s">
        <v>1816</v>
      </c>
      <c r="C2117" s="32" t="s">
        <v>1817</v>
      </c>
      <c r="D2117" s="32" t="s">
        <v>114</v>
      </c>
      <c r="E2117" s="32" t="n">
        <v>0</v>
      </c>
      <c r="F2117" s="32" t="n">
        <v>9739828939</v>
      </c>
      <c r="G2117" s="32" t="s">
        <v>61</v>
      </c>
      <c r="H2117" s="32" t="s">
        <v>22</v>
      </c>
      <c r="I2117" s="32" t="s">
        <v>956</v>
      </c>
      <c r="J2117" s="32" t="s">
        <v>62</v>
      </c>
      <c r="K2117" s="32" t="s">
        <v>63</v>
      </c>
    </row>
    <row r="2118" customFormat="false" ht="13.5" hidden="false" customHeight="true" outlineLevel="0" collapsed="false">
      <c r="A2118" s="32" t="n">
        <v>4271</v>
      </c>
      <c r="B2118" s="32" t="s">
        <v>1818</v>
      </c>
      <c r="C2118" s="32" t="s">
        <v>1819</v>
      </c>
      <c r="D2118" s="32" t="s">
        <v>59</v>
      </c>
      <c r="E2118" s="32" t="s">
        <v>107</v>
      </c>
      <c r="F2118" s="32" t="n">
        <v>9844660600</v>
      </c>
      <c r="G2118" s="32" t="s">
        <v>61</v>
      </c>
      <c r="H2118" s="32" t="s">
        <v>21</v>
      </c>
      <c r="I2118" s="32" t="s">
        <v>690</v>
      </c>
      <c r="J2118" s="32" t="s">
        <v>117</v>
      </c>
      <c r="K2118" s="32" t="s">
        <v>63</v>
      </c>
    </row>
    <row r="2119" customFormat="false" ht="13.5" hidden="false" customHeight="true" outlineLevel="0" collapsed="false">
      <c r="A2119" s="32" t="n">
        <v>4272</v>
      </c>
      <c r="B2119" s="32" t="s">
        <v>1818</v>
      </c>
      <c r="C2119" s="32" t="s">
        <v>1819</v>
      </c>
      <c r="D2119" s="32" t="s">
        <v>59</v>
      </c>
      <c r="E2119" s="32" t="s">
        <v>107</v>
      </c>
      <c r="F2119" s="32" t="n">
        <v>9844660600</v>
      </c>
      <c r="G2119" s="32" t="s">
        <v>61</v>
      </c>
      <c r="H2119" s="32" t="s">
        <v>21</v>
      </c>
      <c r="I2119" s="32" t="s">
        <v>145</v>
      </c>
      <c r="J2119" s="32" t="s">
        <v>117</v>
      </c>
      <c r="K2119" s="32" t="s">
        <v>63</v>
      </c>
    </row>
    <row r="2120" customFormat="false" ht="13.5" hidden="false" customHeight="true" outlineLevel="0" collapsed="false">
      <c r="A2120" s="32" t="n">
        <v>4273</v>
      </c>
      <c r="B2120" s="32" t="s">
        <v>1818</v>
      </c>
      <c r="C2120" s="32" t="s">
        <v>1819</v>
      </c>
      <c r="D2120" s="32" t="s">
        <v>59</v>
      </c>
      <c r="E2120" s="32" t="s">
        <v>107</v>
      </c>
      <c r="F2120" s="32" t="n">
        <v>9844660600</v>
      </c>
      <c r="G2120" s="32" t="s">
        <v>61</v>
      </c>
      <c r="H2120" s="32" t="s">
        <v>21</v>
      </c>
      <c r="I2120" s="32" t="s">
        <v>146</v>
      </c>
      <c r="J2120" s="32" t="s">
        <v>117</v>
      </c>
      <c r="K2120" s="32" t="s">
        <v>63</v>
      </c>
    </row>
    <row r="2121" customFormat="false" ht="13.5" hidden="false" customHeight="true" outlineLevel="0" collapsed="false">
      <c r="A2121" s="32" t="n">
        <v>4274</v>
      </c>
      <c r="B2121" s="32" t="s">
        <v>1818</v>
      </c>
      <c r="C2121" s="32" t="s">
        <v>1819</v>
      </c>
      <c r="D2121" s="32" t="s">
        <v>59</v>
      </c>
      <c r="E2121" s="32" t="s">
        <v>107</v>
      </c>
      <c r="F2121" s="32" t="n">
        <v>9844660600</v>
      </c>
      <c r="G2121" s="32" t="s">
        <v>61</v>
      </c>
      <c r="H2121" s="32" t="s">
        <v>21</v>
      </c>
      <c r="I2121" s="32" t="s">
        <v>126</v>
      </c>
      <c r="J2121" s="32" t="s">
        <v>85</v>
      </c>
      <c r="K2121" s="32" t="s">
        <v>63</v>
      </c>
    </row>
    <row r="2122" customFormat="false" ht="13.5" hidden="false" customHeight="true" outlineLevel="0" collapsed="false">
      <c r="A2122" s="32" t="n">
        <v>4275</v>
      </c>
      <c r="B2122" s="32" t="s">
        <v>1820</v>
      </c>
      <c r="C2122" s="32" t="s">
        <v>1821</v>
      </c>
      <c r="D2122" s="32" t="s">
        <v>331</v>
      </c>
      <c r="E2122" s="32" t="s">
        <v>278</v>
      </c>
      <c r="F2122" s="33" t="n">
        <v>919968000000</v>
      </c>
      <c r="G2122" s="32" t="s">
        <v>104</v>
      </c>
      <c r="H2122" s="32" t="s">
        <v>332</v>
      </c>
      <c r="I2122" s="32" t="s">
        <v>217</v>
      </c>
      <c r="J2122" s="32" t="s">
        <v>132</v>
      </c>
      <c r="K2122" s="32" t="s">
        <v>63</v>
      </c>
    </row>
    <row r="2123" customFormat="false" ht="13.5" hidden="false" customHeight="true" outlineLevel="0" collapsed="false">
      <c r="A2123" s="32" t="n">
        <v>4276</v>
      </c>
      <c r="B2123" s="32" t="s">
        <v>1822</v>
      </c>
      <c r="C2123" s="32" t="s">
        <v>1823</v>
      </c>
      <c r="D2123" s="32" t="s">
        <v>59</v>
      </c>
      <c r="E2123" s="32" t="s">
        <v>60</v>
      </c>
      <c r="F2123" s="32" t="n">
        <v>9198667914</v>
      </c>
      <c r="G2123" s="32" t="s">
        <v>80</v>
      </c>
      <c r="H2123" s="32" t="s">
        <v>21</v>
      </c>
      <c r="I2123" s="32" t="s">
        <v>128</v>
      </c>
      <c r="J2123" s="32" t="s">
        <v>89</v>
      </c>
      <c r="K2123" s="32" t="s">
        <v>63</v>
      </c>
    </row>
    <row r="2124" customFormat="false" ht="13.5" hidden="false" customHeight="true" outlineLevel="0" collapsed="false">
      <c r="A2124" s="32" t="n">
        <v>4277</v>
      </c>
      <c r="B2124" s="32" t="s">
        <v>1822</v>
      </c>
      <c r="C2124" s="32" t="s">
        <v>1823</v>
      </c>
      <c r="D2124" s="32" t="s">
        <v>59</v>
      </c>
      <c r="E2124" s="32" t="s">
        <v>60</v>
      </c>
      <c r="F2124" s="32" t="n">
        <v>9198667914</v>
      </c>
      <c r="G2124" s="32" t="s">
        <v>80</v>
      </c>
      <c r="H2124" s="32" t="s">
        <v>21</v>
      </c>
      <c r="I2124" s="32" t="s">
        <v>1034</v>
      </c>
      <c r="J2124" s="32" t="s">
        <v>62</v>
      </c>
      <c r="K2124" s="32" t="s">
        <v>63</v>
      </c>
    </row>
    <row r="2125" customFormat="false" ht="13.5" hidden="false" customHeight="true" outlineLevel="0" collapsed="false">
      <c r="A2125" s="32" t="n">
        <v>4278</v>
      </c>
      <c r="B2125" s="32" t="s">
        <v>1822</v>
      </c>
      <c r="C2125" s="32" t="s">
        <v>1823</v>
      </c>
      <c r="D2125" s="32" t="s">
        <v>59</v>
      </c>
      <c r="E2125" s="32" t="s">
        <v>60</v>
      </c>
      <c r="F2125" s="32" t="n">
        <v>9198667914</v>
      </c>
      <c r="G2125" s="32" t="s">
        <v>80</v>
      </c>
      <c r="H2125" s="32" t="s">
        <v>21</v>
      </c>
      <c r="I2125" s="32" t="s">
        <v>714</v>
      </c>
      <c r="J2125" s="32" t="s">
        <v>62</v>
      </c>
      <c r="K2125" s="32" t="s">
        <v>63</v>
      </c>
    </row>
    <row r="2126" customFormat="false" ht="13.5" hidden="false" customHeight="true" outlineLevel="0" collapsed="false">
      <c r="A2126" s="32" t="n">
        <v>4279</v>
      </c>
      <c r="B2126" s="32" t="s">
        <v>1822</v>
      </c>
      <c r="C2126" s="32" t="s">
        <v>1824</v>
      </c>
      <c r="D2126" s="32" t="s">
        <v>59</v>
      </c>
      <c r="E2126" s="32" t="s">
        <v>60</v>
      </c>
      <c r="F2126" s="32" t="n">
        <v>9198667914</v>
      </c>
      <c r="G2126" s="32" t="s">
        <v>80</v>
      </c>
      <c r="H2126" s="32" t="s">
        <v>21</v>
      </c>
      <c r="I2126" s="32" t="s">
        <v>516</v>
      </c>
      <c r="J2126" s="32" t="s">
        <v>66</v>
      </c>
      <c r="K2126" s="32" t="s">
        <v>63</v>
      </c>
    </row>
    <row r="2127" customFormat="false" ht="13.5" hidden="false" customHeight="true" outlineLevel="0" collapsed="false">
      <c r="A2127" s="32" t="n">
        <v>4280</v>
      </c>
      <c r="B2127" s="32" t="s">
        <v>1822</v>
      </c>
      <c r="C2127" s="32" t="s">
        <v>1824</v>
      </c>
      <c r="D2127" s="32" t="s">
        <v>59</v>
      </c>
      <c r="E2127" s="32" t="s">
        <v>60</v>
      </c>
      <c r="F2127" s="32" t="n">
        <v>9198667914</v>
      </c>
      <c r="G2127" s="32" t="s">
        <v>80</v>
      </c>
      <c r="H2127" s="32" t="s">
        <v>21</v>
      </c>
      <c r="I2127" s="32" t="s">
        <v>456</v>
      </c>
      <c r="J2127" s="32" t="s">
        <v>66</v>
      </c>
      <c r="K2127" s="32" t="s">
        <v>63</v>
      </c>
    </row>
    <row r="2128" customFormat="false" ht="13.5" hidden="false" customHeight="true" outlineLevel="0" collapsed="false">
      <c r="A2128" s="32" t="n">
        <v>4281</v>
      </c>
      <c r="B2128" s="32" t="s">
        <v>1822</v>
      </c>
      <c r="C2128" s="32" t="s">
        <v>1825</v>
      </c>
      <c r="D2128" s="32" t="s">
        <v>59</v>
      </c>
      <c r="E2128" s="32" t="s">
        <v>60</v>
      </c>
      <c r="F2128" s="32" t="n">
        <v>9198667914</v>
      </c>
      <c r="G2128" s="32" t="s">
        <v>80</v>
      </c>
      <c r="H2128" s="32" t="s">
        <v>21</v>
      </c>
      <c r="I2128" s="32" t="s">
        <v>14</v>
      </c>
      <c r="J2128" s="32" t="s">
        <v>66</v>
      </c>
      <c r="K2128" s="32" t="s">
        <v>63</v>
      </c>
    </row>
    <row r="2129" customFormat="false" ht="13.5" hidden="false" customHeight="true" outlineLevel="0" collapsed="false">
      <c r="A2129" s="32" t="n">
        <v>4284</v>
      </c>
      <c r="B2129" s="32" t="s">
        <v>1822</v>
      </c>
      <c r="C2129" s="32" t="s">
        <v>1826</v>
      </c>
      <c r="D2129" s="32" t="s">
        <v>59</v>
      </c>
      <c r="E2129" s="32" t="s">
        <v>60</v>
      </c>
      <c r="F2129" s="32" t="n">
        <v>9198667914</v>
      </c>
      <c r="G2129" s="32" t="s">
        <v>80</v>
      </c>
      <c r="H2129" s="32" t="s">
        <v>21</v>
      </c>
      <c r="I2129" s="32" t="s">
        <v>156</v>
      </c>
      <c r="J2129" s="32" t="s">
        <v>62</v>
      </c>
      <c r="K2129" s="32" t="s">
        <v>63</v>
      </c>
    </row>
    <row r="2130" customFormat="false" ht="13.5" hidden="false" customHeight="true" outlineLevel="0" collapsed="false">
      <c r="A2130" s="32" t="n">
        <v>4285</v>
      </c>
      <c r="B2130" s="32" t="s">
        <v>1822</v>
      </c>
      <c r="C2130" s="32" t="s">
        <v>1826</v>
      </c>
      <c r="D2130" s="32" t="s">
        <v>59</v>
      </c>
      <c r="E2130" s="32" t="s">
        <v>60</v>
      </c>
      <c r="F2130" s="32" t="n">
        <v>9198667914</v>
      </c>
      <c r="G2130" s="32" t="s">
        <v>80</v>
      </c>
      <c r="H2130" s="32" t="s">
        <v>21</v>
      </c>
      <c r="I2130" s="32" t="s">
        <v>29</v>
      </c>
      <c r="J2130" s="32" t="s">
        <v>62</v>
      </c>
      <c r="K2130" s="32" t="s">
        <v>63</v>
      </c>
    </row>
    <row r="2131" customFormat="false" ht="13.5" hidden="false" customHeight="true" outlineLevel="0" collapsed="false">
      <c r="A2131" s="32" t="n">
        <v>4286</v>
      </c>
      <c r="B2131" s="32" t="s">
        <v>1827</v>
      </c>
      <c r="C2131" s="32" t="s">
        <v>1828</v>
      </c>
      <c r="D2131" s="32" t="s">
        <v>59</v>
      </c>
      <c r="E2131" s="32" t="s">
        <v>79</v>
      </c>
      <c r="F2131" s="32" t="n">
        <v>7499300132</v>
      </c>
      <c r="G2131" s="32" t="s">
        <v>104</v>
      </c>
      <c r="H2131" s="32" t="s">
        <v>21</v>
      </c>
      <c r="I2131" s="32" t="s">
        <v>145</v>
      </c>
      <c r="J2131" s="32" t="s">
        <v>117</v>
      </c>
      <c r="K2131" s="32" t="s">
        <v>63</v>
      </c>
    </row>
    <row r="2132" customFormat="false" ht="13.5" hidden="false" customHeight="true" outlineLevel="0" collapsed="false">
      <c r="A2132" s="32" t="n">
        <v>4287</v>
      </c>
      <c r="B2132" s="32" t="s">
        <v>1827</v>
      </c>
      <c r="C2132" s="32" t="s">
        <v>1828</v>
      </c>
      <c r="D2132" s="32" t="s">
        <v>59</v>
      </c>
      <c r="E2132" s="32" t="s">
        <v>79</v>
      </c>
      <c r="F2132" s="32" t="n">
        <v>7499300132</v>
      </c>
      <c r="G2132" s="32" t="s">
        <v>104</v>
      </c>
      <c r="H2132" s="32" t="s">
        <v>21</v>
      </c>
      <c r="I2132" s="32" t="s">
        <v>151</v>
      </c>
      <c r="J2132" s="32" t="s">
        <v>152</v>
      </c>
      <c r="K2132" s="32" t="s">
        <v>63</v>
      </c>
    </row>
    <row r="2133" customFormat="false" ht="13.5" hidden="false" customHeight="true" outlineLevel="0" collapsed="false">
      <c r="A2133" s="32" t="n">
        <v>4288</v>
      </c>
      <c r="B2133" s="32" t="s">
        <v>1827</v>
      </c>
      <c r="C2133" s="32" t="s">
        <v>1828</v>
      </c>
      <c r="D2133" s="32" t="s">
        <v>59</v>
      </c>
      <c r="E2133" s="32" t="s">
        <v>79</v>
      </c>
      <c r="F2133" s="32" t="n">
        <v>7499300132</v>
      </c>
      <c r="G2133" s="32" t="s">
        <v>104</v>
      </c>
      <c r="H2133" s="32" t="s">
        <v>21</v>
      </c>
      <c r="I2133" s="32" t="s">
        <v>172</v>
      </c>
      <c r="J2133" s="32" t="s">
        <v>152</v>
      </c>
      <c r="K2133" s="32" t="s">
        <v>63</v>
      </c>
    </row>
    <row r="2134" customFormat="false" ht="13.5" hidden="false" customHeight="true" outlineLevel="0" collapsed="false">
      <c r="A2134" s="32" t="n">
        <v>4289</v>
      </c>
      <c r="B2134" s="32" t="s">
        <v>1829</v>
      </c>
      <c r="C2134" s="32" t="s">
        <v>1830</v>
      </c>
      <c r="D2134" s="32" t="s">
        <v>59</v>
      </c>
      <c r="E2134" s="32" t="s">
        <v>143</v>
      </c>
      <c r="F2134" s="33" t="n">
        <v>919642000000</v>
      </c>
      <c r="G2134" s="32" t="s">
        <v>80</v>
      </c>
      <c r="H2134" s="32" t="s">
        <v>21</v>
      </c>
      <c r="I2134" s="32" t="s">
        <v>1034</v>
      </c>
      <c r="J2134" s="32" t="s">
        <v>62</v>
      </c>
      <c r="K2134" s="32" t="s">
        <v>63</v>
      </c>
    </row>
    <row r="2135" customFormat="false" ht="13.5" hidden="false" customHeight="true" outlineLevel="0" collapsed="false">
      <c r="A2135" s="32" t="n">
        <v>4290</v>
      </c>
      <c r="B2135" s="32" t="s">
        <v>1829</v>
      </c>
      <c r="C2135" s="32" t="s">
        <v>1830</v>
      </c>
      <c r="D2135" s="32" t="s">
        <v>59</v>
      </c>
      <c r="E2135" s="32" t="s">
        <v>143</v>
      </c>
      <c r="F2135" s="33" t="n">
        <v>919642000000</v>
      </c>
      <c r="G2135" s="32" t="s">
        <v>80</v>
      </c>
      <c r="H2135" s="32" t="s">
        <v>21</v>
      </c>
      <c r="I2135" s="32" t="s">
        <v>151</v>
      </c>
      <c r="J2135" s="32" t="s">
        <v>152</v>
      </c>
      <c r="K2135" s="32" t="s">
        <v>63</v>
      </c>
    </row>
    <row r="2136" customFormat="false" ht="13.5" hidden="false" customHeight="true" outlineLevel="0" collapsed="false">
      <c r="A2136" s="32" t="n">
        <v>4291</v>
      </c>
      <c r="B2136" s="32" t="s">
        <v>1829</v>
      </c>
      <c r="C2136" s="32" t="s">
        <v>1830</v>
      </c>
      <c r="D2136" s="32" t="s">
        <v>59</v>
      </c>
      <c r="E2136" s="32" t="s">
        <v>143</v>
      </c>
      <c r="F2136" s="33" t="n">
        <v>919642000000</v>
      </c>
      <c r="G2136" s="32" t="s">
        <v>80</v>
      </c>
      <c r="H2136" s="32" t="s">
        <v>21</v>
      </c>
      <c r="I2136" s="32" t="s">
        <v>314</v>
      </c>
      <c r="J2136" s="32" t="s">
        <v>134</v>
      </c>
      <c r="K2136" s="32" t="s">
        <v>63</v>
      </c>
    </row>
    <row r="2137" customFormat="false" ht="13.5" hidden="false" customHeight="true" outlineLevel="0" collapsed="false">
      <c r="A2137" s="32" t="n">
        <v>4292</v>
      </c>
      <c r="B2137" s="32" t="s">
        <v>1831</v>
      </c>
      <c r="C2137" s="32" t="s">
        <v>1832</v>
      </c>
      <c r="D2137" s="32" t="s">
        <v>331</v>
      </c>
      <c r="E2137" s="32" t="s">
        <v>278</v>
      </c>
      <c r="F2137" s="32" t="n">
        <v>9686266779</v>
      </c>
      <c r="G2137" s="32" t="s">
        <v>69</v>
      </c>
      <c r="H2137" s="32" t="s">
        <v>332</v>
      </c>
      <c r="I2137" s="32" t="s">
        <v>145</v>
      </c>
      <c r="J2137" s="32" t="s">
        <v>117</v>
      </c>
      <c r="K2137" s="32" t="s">
        <v>63</v>
      </c>
    </row>
    <row r="2138" customFormat="false" ht="13.5" hidden="false" customHeight="true" outlineLevel="0" collapsed="false">
      <c r="A2138" s="32" t="n">
        <v>4293</v>
      </c>
      <c r="B2138" s="32" t="s">
        <v>1833</v>
      </c>
      <c r="C2138" s="32" t="s">
        <v>1834</v>
      </c>
      <c r="D2138" s="32" t="s">
        <v>114</v>
      </c>
      <c r="E2138" s="32" t="s">
        <v>165</v>
      </c>
      <c r="F2138" s="32" t="n">
        <v>0</v>
      </c>
      <c r="G2138" s="32" t="s">
        <v>104</v>
      </c>
      <c r="H2138" s="32" t="s">
        <v>22</v>
      </c>
      <c r="I2138" s="32" t="s">
        <v>171</v>
      </c>
      <c r="J2138" s="32" t="s">
        <v>152</v>
      </c>
      <c r="K2138" s="32" t="s">
        <v>63</v>
      </c>
    </row>
    <row r="2139" customFormat="false" ht="13.5" hidden="false" customHeight="true" outlineLevel="0" collapsed="false">
      <c r="A2139" s="32" t="n">
        <v>4294</v>
      </c>
      <c r="B2139" s="32" t="s">
        <v>1833</v>
      </c>
      <c r="C2139" s="32" t="s">
        <v>1834</v>
      </c>
      <c r="D2139" s="32" t="s">
        <v>114</v>
      </c>
      <c r="E2139" s="32" t="s">
        <v>165</v>
      </c>
      <c r="F2139" s="32" t="n">
        <v>0</v>
      </c>
      <c r="G2139" s="32" t="s">
        <v>104</v>
      </c>
      <c r="H2139" s="32" t="s">
        <v>22</v>
      </c>
      <c r="I2139" s="32" t="s">
        <v>172</v>
      </c>
      <c r="J2139" s="32" t="s">
        <v>152</v>
      </c>
      <c r="K2139" s="32" t="s">
        <v>63</v>
      </c>
    </row>
    <row r="2140" customFormat="false" ht="13.5" hidden="false" customHeight="true" outlineLevel="0" collapsed="false">
      <c r="A2140" s="32" t="n">
        <v>4295</v>
      </c>
      <c r="B2140" s="32" t="s">
        <v>1833</v>
      </c>
      <c r="C2140" s="32" t="s">
        <v>1834</v>
      </c>
      <c r="D2140" s="32" t="s">
        <v>114</v>
      </c>
      <c r="E2140" s="32" t="s">
        <v>165</v>
      </c>
      <c r="F2140" s="32" t="n">
        <v>0</v>
      </c>
      <c r="G2140" s="32" t="s">
        <v>104</v>
      </c>
      <c r="H2140" s="32" t="s">
        <v>22</v>
      </c>
      <c r="I2140" s="32" t="s">
        <v>151</v>
      </c>
      <c r="J2140" s="32" t="s">
        <v>152</v>
      </c>
      <c r="K2140" s="32" t="s">
        <v>63</v>
      </c>
    </row>
    <row r="2141" customFormat="false" ht="13.5" hidden="false" customHeight="true" outlineLevel="0" collapsed="false">
      <c r="A2141" s="32" t="n">
        <v>4296</v>
      </c>
      <c r="B2141" s="32" t="s">
        <v>1835</v>
      </c>
      <c r="C2141" s="32" t="s">
        <v>1836</v>
      </c>
      <c r="D2141" s="32" t="s">
        <v>59</v>
      </c>
      <c r="E2141" s="32" t="n">
        <v>0</v>
      </c>
      <c r="F2141" s="32" t="n">
        <v>0</v>
      </c>
      <c r="G2141" s="32" t="s">
        <v>61</v>
      </c>
      <c r="H2141" s="32" t="s">
        <v>21</v>
      </c>
      <c r="I2141" s="32" t="s">
        <v>75</v>
      </c>
      <c r="J2141" s="32" t="s">
        <v>76</v>
      </c>
      <c r="K2141" s="32" t="s">
        <v>63</v>
      </c>
    </row>
    <row r="2142" customFormat="false" ht="13.5" hidden="false" customHeight="true" outlineLevel="0" collapsed="false">
      <c r="A2142" s="32" t="n">
        <v>4297</v>
      </c>
      <c r="B2142" s="32" t="s">
        <v>1837</v>
      </c>
      <c r="C2142" s="32" t="s">
        <v>1838</v>
      </c>
      <c r="D2142" s="32" t="s">
        <v>59</v>
      </c>
      <c r="E2142" s="32" t="n">
        <v>0</v>
      </c>
      <c r="F2142" s="32" t="n">
        <v>0</v>
      </c>
      <c r="G2142" s="32" t="s">
        <v>61</v>
      </c>
      <c r="H2142" s="32" t="s">
        <v>21</v>
      </c>
      <c r="I2142" s="32" t="s">
        <v>345</v>
      </c>
      <c r="J2142" s="32" t="s">
        <v>290</v>
      </c>
      <c r="K2142" s="32" t="s">
        <v>63</v>
      </c>
    </row>
    <row r="2143" customFormat="false" ht="13.5" hidden="false" customHeight="true" outlineLevel="0" collapsed="false">
      <c r="A2143" s="32" t="n">
        <v>4298</v>
      </c>
      <c r="B2143" s="32" t="s">
        <v>1837</v>
      </c>
      <c r="C2143" s="32" t="s">
        <v>1838</v>
      </c>
      <c r="D2143" s="32" t="s">
        <v>59</v>
      </c>
      <c r="E2143" s="32" t="n">
        <v>0</v>
      </c>
      <c r="F2143" s="32" t="n">
        <v>0</v>
      </c>
      <c r="G2143" s="32" t="s">
        <v>61</v>
      </c>
      <c r="H2143" s="32" t="s">
        <v>21</v>
      </c>
      <c r="I2143" s="32" t="s">
        <v>867</v>
      </c>
      <c r="J2143" s="32" t="s">
        <v>66</v>
      </c>
      <c r="K2143" s="32" t="s">
        <v>63</v>
      </c>
    </row>
    <row r="2144" customFormat="false" ht="13.5" hidden="false" customHeight="true" outlineLevel="0" collapsed="false">
      <c r="A2144" s="32" t="n">
        <v>4299</v>
      </c>
      <c r="B2144" s="32" t="s">
        <v>1837</v>
      </c>
      <c r="C2144" s="32" t="s">
        <v>1838</v>
      </c>
      <c r="D2144" s="32" t="s">
        <v>59</v>
      </c>
      <c r="E2144" s="32" t="n">
        <v>0</v>
      </c>
      <c r="F2144" s="32" t="n">
        <v>0</v>
      </c>
      <c r="G2144" s="32" t="s">
        <v>61</v>
      </c>
      <c r="H2144" s="32" t="s">
        <v>21</v>
      </c>
      <c r="I2144" s="32" t="s">
        <v>456</v>
      </c>
      <c r="J2144" s="32" t="s">
        <v>66</v>
      </c>
      <c r="K2144" s="32" t="s">
        <v>63</v>
      </c>
    </row>
    <row r="2145" customFormat="false" ht="13.5" hidden="false" customHeight="true" outlineLevel="0" collapsed="false">
      <c r="A2145" s="32" t="n">
        <v>4300</v>
      </c>
      <c r="B2145" s="32" t="s">
        <v>1839</v>
      </c>
      <c r="C2145" s="32" t="s">
        <v>1840</v>
      </c>
      <c r="D2145" s="32" t="s">
        <v>114</v>
      </c>
      <c r="E2145" s="32" t="s">
        <v>165</v>
      </c>
      <c r="F2145" s="32" t="n">
        <v>9011040488</v>
      </c>
      <c r="G2145" s="32" t="s">
        <v>80</v>
      </c>
      <c r="H2145" s="32" t="s">
        <v>22</v>
      </c>
      <c r="I2145" s="32" t="s">
        <v>133</v>
      </c>
      <c r="J2145" s="32" t="s">
        <v>134</v>
      </c>
      <c r="K2145" s="32" t="s">
        <v>63</v>
      </c>
    </row>
    <row r="2146" customFormat="false" ht="13.5" hidden="false" customHeight="true" outlineLevel="0" collapsed="false">
      <c r="A2146" s="32" t="n">
        <v>4301</v>
      </c>
      <c r="B2146" s="32" t="s">
        <v>1839</v>
      </c>
      <c r="C2146" s="32" t="s">
        <v>1841</v>
      </c>
      <c r="D2146" s="32" t="s">
        <v>114</v>
      </c>
      <c r="E2146" s="32" t="s">
        <v>165</v>
      </c>
      <c r="F2146" s="32" t="n">
        <v>9011040488</v>
      </c>
      <c r="G2146" s="32" t="s">
        <v>80</v>
      </c>
      <c r="H2146" s="32" t="s">
        <v>22</v>
      </c>
      <c r="I2146" s="32" t="s">
        <v>108</v>
      </c>
      <c r="J2146" s="32" t="s">
        <v>71</v>
      </c>
      <c r="K2146" s="32" t="s">
        <v>63</v>
      </c>
    </row>
    <row r="2147" customFormat="false" ht="13.5" hidden="false" customHeight="true" outlineLevel="0" collapsed="false">
      <c r="A2147" s="32" t="n">
        <v>4302</v>
      </c>
      <c r="B2147" s="32" t="s">
        <v>1842</v>
      </c>
      <c r="C2147" s="32" t="s">
        <v>1843</v>
      </c>
      <c r="D2147" s="32" t="s">
        <v>114</v>
      </c>
      <c r="E2147" s="32" t="s">
        <v>165</v>
      </c>
      <c r="F2147" s="32" t="n">
        <v>16364878001</v>
      </c>
      <c r="G2147" s="32" t="s">
        <v>104</v>
      </c>
      <c r="H2147" s="32" t="s">
        <v>22</v>
      </c>
      <c r="I2147" s="32" t="s">
        <v>151</v>
      </c>
      <c r="J2147" s="32" t="s">
        <v>152</v>
      </c>
      <c r="K2147" s="32" t="s">
        <v>63</v>
      </c>
    </row>
    <row r="2148" customFormat="false" ht="13.5" hidden="false" customHeight="true" outlineLevel="0" collapsed="false">
      <c r="A2148" s="32" t="n">
        <v>4303</v>
      </c>
      <c r="B2148" s="32" t="s">
        <v>1842</v>
      </c>
      <c r="C2148" s="32" t="s">
        <v>1844</v>
      </c>
      <c r="D2148" s="32" t="s">
        <v>114</v>
      </c>
      <c r="E2148" s="32" t="s">
        <v>165</v>
      </c>
      <c r="F2148" s="32" t="n">
        <v>8879575553</v>
      </c>
      <c r="G2148" s="32" t="s">
        <v>104</v>
      </c>
      <c r="H2148" s="32" t="s">
        <v>22</v>
      </c>
      <c r="I2148" s="32" t="s">
        <v>30</v>
      </c>
      <c r="J2148" s="32" t="s">
        <v>203</v>
      </c>
      <c r="K2148" s="32" t="s">
        <v>63</v>
      </c>
    </row>
    <row r="2149" customFormat="false" ht="13.5" hidden="false" customHeight="true" outlineLevel="0" collapsed="false">
      <c r="A2149" s="32" t="n">
        <v>4307</v>
      </c>
      <c r="B2149" s="32" t="s">
        <v>1842</v>
      </c>
      <c r="C2149" s="32" t="s">
        <v>1844</v>
      </c>
      <c r="D2149" s="32" t="s">
        <v>114</v>
      </c>
      <c r="E2149" s="32" t="s">
        <v>165</v>
      </c>
      <c r="F2149" s="32" t="n">
        <v>16364878001</v>
      </c>
      <c r="G2149" s="32" t="s">
        <v>200</v>
      </c>
      <c r="H2149" s="32" t="s">
        <v>22</v>
      </c>
      <c r="I2149" s="32" t="s">
        <v>27</v>
      </c>
      <c r="J2149" s="32" t="s">
        <v>13</v>
      </c>
      <c r="K2149" s="32" t="s">
        <v>63</v>
      </c>
    </row>
    <row r="2150" customFormat="false" ht="13.5" hidden="false" customHeight="true" outlineLevel="0" collapsed="false">
      <c r="A2150" s="32" t="n">
        <v>4308</v>
      </c>
      <c r="B2150" s="32" t="s">
        <v>1842</v>
      </c>
      <c r="C2150" s="32" t="s">
        <v>1844</v>
      </c>
      <c r="D2150" s="32" t="s">
        <v>114</v>
      </c>
      <c r="E2150" s="32" t="s">
        <v>165</v>
      </c>
      <c r="F2150" s="32" t="n">
        <v>8879575553</v>
      </c>
      <c r="G2150" s="32" t="s">
        <v>104</v>
      </c>
      <c r="H2150" s="32" t="s">
        <v>22</v>
      </c>
      <c r="I2150" s="32" t="s">
        <v>284</v>
      </c>
      <c r="J2150" s="32" t="s">
        <v>117</v>
      </c>
      <c r="K2150" s="32" t="s">
        <v>63</v>
      </c>
    </row>
    <row r="2151" customFormat="false" ht="13.5" hidden="false" customHeight="true" outlineLevel="0" collapsed="false">
      <c r="A2151" s="32" t="n">
        <v>4309</v>
      </c>
      <c r="B2151" s="32" t="s">
        <v>1845</v>
      </c>
      <c r="C2151" s="32" t="s">
        <v>1846</v>
      </c>
      <c r="D2151" s="32" t="s">
        <v>59</v>
      </c>
      <c r="E2151" s="32" t="s">
        <v>107</v>
      </c>
      <c r="F2151" s="32" t="n">
        <v>8901391272</v>
      </c>
      <c r="G2151" s="32" t="s">
        <v>144</v>
      </c>
      <c r="H2151" s="32" t="s">
        <v>21</v>
      </c>
      <c r="I2151" s="32" t="s">
        <v>14</v>
      </c>
      <c r="J2151" s="32" t="s">
        <v>66</v>
      </c>
      <c r="K2151" s="32" t="s">
        <v>63</v>
      </c>
    </row>
    <row r="2152" customFormat="false" ht="13.5" hidden="false" customHeight="true" outlineLevel="0" collapsed="false">
      <c r="A2152" s="32" t="n">
        <v>4310</v>
      </c>
      <c r="B2152" s="32" t="s">
        <v>1845</v>
      </c>
      <c r="C2152" s="32" t="s">
        <v>1846</v>
      </c>
      <c r="D2152" s="32" t="s">
        <v>59</v>
      </c>
      <c r="E2152" s="32" t="s">
        <v>107</v>
      </c>
      <c r="F2152" s="32" t="n">
        <v>8901391272</v>
      </c>
      <c r="G2152" s="32" t="s">
        <v>144</v>
      </c>
      <c r="H2152" s="32" t="s">
        <v>21</v>
      </c>
      <c r="I2152" s="32" t="s">
        <v>151</v>
      </c>
      <c r="J2152" s="32" t="s">
        <v>152</v>
      </c>
      <c r="K2152" s="32" t="s">
        <v>63</v>
      </c>
    </row>
    <row r="2153" customFormat="false" ht="13.5" hidden="false" customHeight="true" outlineLevel="0" collapsed="false">
      <c r="A2153" s="32" t="n">
        <v>4311</v>
      </c>
      <c r="B2153" s="32" t="s">
        <v>1845</v>
      </c>
      <c r="C2153" s="32" t="s">
        <v>1846</v>
      </c>
      <c r="D2153" s="32" t="s">
        <v>59</v>
      </c>
      <c r="E2153" s="32" t="s">
        <v>107</v>
      </c>
      <c r="F2153" s="32" t="n">
        <v>8901391272</v>
      </c>
      <c r="G2153" s="32" t="s">
        <v>144</v>
      </c>
      <c r="H2153" s="32" t="s">
        <v>21</v>
      </c>
      <c r="I2153" s="32" t="s">
        <v>826</v>
      </c>
      <c r="J2153" s="32" t="s">
        <v>84</v>
      </c>
      <c r="K2153" s="32" t="s">
        <v>63</v>
      </c>
    </row>
    <row r="2154" customFormat="false" ht="13.5" hidden="false" customHeight="true" outlineLevel="0" collapsed="false">
      <c r="A2154" s="32" t="n">
        <v>4312</v>
      </c>
      <c r="B2154" s="32" t="s">
        <v>1845</v>
      </c>
      <c r="C2154" s="32" t="s">
        <v>1846</v>
      </c>
      <c r="D2154" s="32" t="s">
        <v>59</v>
      </c>
      <c r="E2154" s="32" t="s">
        <v>107</v>
      </c>
      <c r="F2154" s="32" t="n">
        <v>8901391272</v>
      </c>
      <c r="G2154" s="32" t="s">
        <v>144</v>
      </c>
      <c r="H2154" s="32" t="s">
        <v>21</v>
      </c>
      <c r="I2154" s="32" t="s">
        <v>1188</v>
      </c>
      <c r="J2154" s="32" t="s">
        <v>84</v>
      </c>
      <c r="K2154" s="32" t="s">
        <v>63</v>
      </c>
    </row>
    <row r="2155" customFormat="false" ht="13.5" hidden="false" customHeight="true" outlineLevel="0" collapsed="false">
      <c r="A2155" s="32" t="n">
        <v>4313</v>
      </c>
      <c r="B2155" s="32" t="s">
        <v>1847</v>
      </c>
      <c r="C2155" s="32" t="s">
        <v>1848</v>
      </c>
      <c r="D2155" s="32" t="s">
        <v>59</v>
      </c>
      <c r="E2155" s="32" t="s">
        <v>107</v>
      </c>
      <c r="F2155" s="32" t="n">
        <v>9769342344</v>
      </c>
      <c r="G2155" s="32" t="s">
        <v>104</v>
      </c>
      <c r="H2155" s="32" t="s">
        <v>21</v>
      </c>
      <c r="I2155" s="32" t="s">
        <v>108</v>
      </c>
      <c r="J2155" s="32" t="s">
        <v>71</v>
      </c>
      <c r="K2155" s="32" t="s">
        <v>63</v>
      </c>
    </row>
    <row r="2156" customFormat="false" ht="13.5" hidden="false" customHeight="true" outlineLevel="0" collapsed="false">
      <c r="A2156" s="32" t="n">
        <v>4316</v>
      </c>
      <c r="B2156" s="32" t="s">
        <v>1847</v>
      </c>
      <c r="C2156" s="32" t="s">
        <v>1848</v>
      </c>
      <c r="D2156" s="32" t="s">
        <v>59</v>
      </c>
      <c r="E2156" s="32" t="s">
        <v>107</v>
      </c>
      <c r="F2156" s="32" t="n">
        <v>9769342344</v>
      </c>
      <c r="G2156" s="32" t="s">
        <v>104</v>
      </c>
      <c r="H2156" s="32" t="s">
        <v>21</v>
      </c>
      <c r="I2156" s="32" t="s">
        <v>385</v>
      </c>
      <c r="J2156" s="32" t="s">
        <v>71</v>
      </c>
      <c r="K2156" s="32" t="s">
        <v>63</v>
      </c>
    </row>
    <row r="2157" customFormat="false" ht="13.5" hidden="false" customHeight="true" outlineLevel="0" collapsed="false">
      <c r="A2157" s="32" t="n">
        <v>4317</v>
      </c>
      <c r="B2157" s="32" t="s">
        <v>1847</v>
      </c>
      <c r="C2157" s="32" t="s">
        <v>1848</v>
      </c>
      <c r="D2157" s="32" t="s">
        <v>59</v>
      </c>
      <c r="E2157" s="32" t="s">
        <v>107</v>
      </c>
      <c r="F2157" s="32" t="n">
        <v>9769342344</v>
      </c>
      <c r="G2157" s="32" t="s">
        <v>104</v>
      </c>
      <c r="H2157" s="32" t="s">
        <v>21</v>
      </c>
      <c r="I2157" s="32" t="s">
        <v>280</v>
      </c>
      <c r="J2157" s="32" t="s">
        <v>76</v>
      </c>
      <c r="K2157" s="32" t="s">
        <v>63</v>
      </c>
    </row>
    <row r="2158" customFormat="false" ht="13.5" hidden="false" customHeight="true" outlineLevel="0" collapsed="false">
      <c r="A2158" s="32" t="n">
        <v>4318</v>
      </c>
      <c r="B2158" s="32" t="s">
        <v>1849</v>
      </c>
      <c r="C2158" s="32" t="s">
        <v>1850</v>
      </c>
      <c r="D2158" s="32" t="s">
        <v>59</v>
      </c>
      <c r="E2158" s="32" t="s">
        <v>107</v>
      </c>
      <c r="F2158" s="32" t="n">
        <v>7082932706</v>
      </c>
      <c r="G2158" s="32" t="s">
        <v>144</v>
      </c>
      <c r="H2158" s="32" t="s">
        <v>21</v>
      </c>
      <c r="I2158" s="32" t="s">
        <v>248</v>
      </c>
      <c r="J2158" s="32" t="s">
        <v>117</v>
      </c>
      <c r="K2158" s="32" t="s">
        <v>63</v>
      </c>
    </row>
    <row r="2159" customFormat="false" ht="13.5" hidden="false" customHeight="true" outlineLevel="0" collapsed="false">
      <c r="A2159" s="32" t="n">
        <v>4319</v>
      </c>
      <c r="B2159" s="32" t="s">
        <v>1849</v>
      </c>
      <c r="C2159" s="32" t="s">
        <v>1850</v>
      </c>
      <c r="D2159" s="32" t="s">
        <v>59</v>
      </c>
      <c r="E2159" s="32" t="s">
        <v>107</v>
      </c>
      <c r="F2159" s="32" t="n">
        <v>7082932706</v>
      </c>
      <c r="G2159" s="32" t="s">
        <v>144</v>
      </c>
      <c r="H2159" s="32" t="s">
        <v>21</v>
      </c>
      <c r="I2159" s="32" t="s">
        <v>93</v>
      </c>
      <c r="J2159" s="32" t="s">
        <v>85</v>
      </c>
      <c r="K2159" s="32" t="s">
        <v>63</v>
      </c>
    </row>
    <row r="2160" customFormat="false" ht="13.5" hidden="false" customHeight="true" outlineLevel="0" collapsed="false">
      <c r="A2160" s="32" t="n">
        <v>4322</v>
      </c>
      <c r="B2160" s="32" t="s">
        <v>1849</v>
      </c>
      <c r="C2160" s="32" t="s">
        <v>1850</v>
      </c>
      <c r="D2160" s="32" t="s">
        <v>59</v>
      </c>
      <c r="E2160" s="32" t="s">
        <v>107</v>
      </c>
      <c r="F2160" s="32" t="n">
        <v>7082932706</v>
      </c>
      <c r="G2160" s="32" t="s">
        <v>144</v>
      </c>
      <c r="H2160" s="32" t="s">
        <v>21</v>
      </c>
      <c r="I2160" s="32" t="s">
        <v>133</v>
      </c>
      <c r="J2160" s="32" t="s">
        <v>134</v>
      </c>
      <c r="K2160" s="32" t="s">
        <v>63</v>
      </c>
    </row>
    <row r="2161" customFormat="false" ht="13.5" hidden="false" customHeight="true" outlineLevel="0" collapsed="false">
      <c r="A2161" s="32" t="n">
        <v>4323</v>
      </c>
      <c r="B2161" s="32" t="s">
        <v>1849</v>
      </c>
      <c r="C2161" s="32" t="s">
        <v>1850</v>
      </c>
      <c r="D2161" s="32" t="s">
        <v>59</v>
      </c>
      <c r="E2161" s="32" t="s">
        <v>107</v>
      </c>
      <c r="F2161" s="32" t="n">
        <v>7082932706</v>
      </c>
      <c r="G2161" s="32" t="s">
        <v>144</v>
      </c>
      <c r="H2161" s="32" t="s">
        <v>21</v>
      </c>
      <c r="I2161" s="32" t="s">
        <v>85</v>
      </c>
      <c r="J2161" s="32" t="s">
        <v>85</v>
      </c>
      <c r="K2161" s="32" t="s">
        <v>63</v>
      </c>
    </row>
    <row r="2162" customFormat="false" ht="13.5" hidden="false" customHeight="true" outlineLevel="0" collapsed="false">
      <c r="A2162" s="32" t="n">
        <v>4324</v>
      </c>
      <c r="B2162" s="32" t="s">
        <v>1851</v>
      </c>
      <c r="C2162" s="32" t="s">
        <v>1852</v>
      </c>
      <c r="D2162" s="32" t="s">
        <v>59</v>
      </c>
      <c r="E2162" s="32" t="s">
        <v>107</v>
      </c>
      <c r="F2162" s="32" t="n">
        <v>9599568008</v>
      </c>
      <c r="G2162" s="32" t="s">
        <v>80</v>
      </c>
      <c r="H2162" s="32" t="s">
        <v>21</v>
      </c>
      <c r="I2162" s="32" t="s">
        <v>145</v>
      </c>
      <c r="J2162" s="32" t="s">
        <v>117</v>
      </c>
      <c r="K2162" s="32" t="s">
        <v>63</v>
      </c>
    </row>
    <row r="2163" customFormat="false" ht="13.5" hidden="false" customHeight="true" outlineLevel="0" collapsed="false">
      <c r="A2163" s="32" t="n">
        <v>4325</v>
      </c>
      <c r="B2163" s="32" t="s">
        <v>1851</v>
      </c>
      <c r="C2163" s="32" t="s">
        <v>1852</v>
      </c>
      <c r="D2163" s="32" t="s">
        <v>59</v>
      </c>
      <c r="E2163" s="32" t="s">
        <v>107</v>
      </c>
      <c r="F2163" s="32" t="n">
        <v>9599568008</v>
      </c>
      <c r="G2163" s="32" t="s">
        <v>80</v>
      </c>
      <c r="H2163" s="32" t="s">
        <v>21</v>
      </c>
      <c r="I2163" s="32" t="s">
        <v>133</v>
      </c>
      <c r="J2163" s="32" t="s">
        <v>134</v>
      </c>
      <c r="K2163" s="32" t="s">
        <v>63</v>
      </c>
    </row>
    <row r="2164" customFormat="false" ht="13.5" hidden="false" customHeight="true" outlineLevel="0" collapsed="false">
      <c r="A2164" s="32" t="n">
        <v>4326</v>
      </c>
      <c r="B2164" s="32" t="s">
        <v>1853</v>
      </c>
      <c r="C2164" s="32" t="s">
        <v>1854</v>
      </c>
      <c r="D2164" s="32" t="s">
        <v>114</v>
      </c>
      <c r="E2164" s="32" t="s">
        <v>124</v>
      </c>
      <c r="F2164" s="32" t="n">
        <v>9742585515</v>
      </c>
      <c r="G2164" s="32" t="s">
        <v>61</v>
      </c>
      <c r="H2164" s="32" t="s">
        <v>22</v>
      </c>
      <c r="I2164" s="32" t="s">
        <v>145</v>
      </c>
      <c r="J2164" s="32" t="s">
        <v>117</v>
      </c>
      <c r="K2164" s="32" t="s">
        <v>63</v>
      </c>
    </row>
    <row r="2165" customFormat="false" ht="13.5" hidden="false" customHeight="true" outlineLevel="0" collapsed="false">
      <c r="A2165" s="32" t="n">
        <v>4327</v>
      </c>
      <c r="B2165" s="32" t="s">
        <v>1853</v>
      </c>
      <c r="C2165" s="32" t="s">
        <v>1854</v>
      </c>
      <c r="D2165" s="32" t="s">
        <v>114</v>
      </c>
      <c r="E2165" s="32" t="s">
        <v>124</v>
      </c>
      <c r="F2165" s="32" t="n">
        <v>9742585515</v>
      </c>
      <c r="G2165" s="32" t="s">
        <v>61</v>
      </c>
      <c r="H2165" s="32" t="s">
        <v>22</v>
      </c>
      <c r="I2165" s="32" t="s">
        <v>185</v>
      </c>
      <c r="J2165" s="32" t="s">
        <v>186</v>
      </c>
      <c r="K2165" s="32" t="s">
        <v>63</v>
      </c>
    </row>
    <row r="2166" customFormat="false" ht="13.5" hidden="false" customHeight="true" outlineLevel="0" collapsed="false">
      <c r="A2166" s="32" t="n">
        <v>4328</v>
      </c>
      <c r="B2166" s="32" t="s">
        <v>1853</v>
      </c>
      <c r="C2166" s="32" t="s">
        <v>1854</v>
      </c>
      <c r="D2166" s="32" t="s">
        <v>114</v>
      </c>
      <c r="E2166" s="32" t="s">
        <v>124</v>
      </c>
      <c r="F2166" s="32" t="n">
        <v>9742585515</v>
      </c>
      <c r="G2166" s="32" t="s">
        <v>61</v>
      </c>
      <c r="H2166" s="32" t="s">
        <v>22</v>
      </c>
      <c r="I2166" s="32" t="s">
        <v>121</v>
      </c>
      <c r="J2166" s="32" t="s">
        <v>110</v>
      </c>
      <c r="K2166" s="32" t="s">
        <v>63</v>
      </c>
    </row>
    <row r="2167" customFormat="false" ht="13.5" hidden="false" customHeight="true" outlineLevel="0" collapsed="false">
      <c r="A2167" s="32" t="n">
        <v>4329</v>
      </c>
      <c r="B2167" s="32" t="s">
        <v>1853</v>
      </c>
      <c r="C2167" s="32" t="s">
        <v>1854</v>
      </c>
      <c r="D2167" s="32" t="s">
        <v>114</v>
      </c>
      <c r="E2167" s="32" t="s">
        <v>124</v>
      </c>
      <c r="F2167" s="32" t="n">
        <v>9742585515</v>
      </c>
      <c r="G2167" s="32" t="s">
        <v>61</v>
      </c>
      <c r="H2167" s="32" t="s">
        <v>22</v>
      </c>
      <c r="I2167" s="32" t="s">
        <v>227</v>
      </c>
      <c r="J2167" s="32" t="s">
        <v>228</v>
      </c>
      <c r="K2167" s="32" t="s">
        <v>63</v>
      </c>
    </row>
    <row r="2168" customFormat="false" ht="13.5" hidden="false" customHeight="true" outlineLevel="0" collapsed="false">
      <c r="A2168" s="32" t="n">
        <v>4330</v>
      </c>
      <c r="B2168" s="32" t="s">
        <v>1855</v>
      </c>
      <c r="C2168" s="32" t="s">
        <v>1856</v>
      </c>
      <c r="D2168" s="32" t="s">
        <v>59</v>
      </c>
      <c r="E2168" s="32" t="s">
        <v>79</v>
      </c>
      <c r="F2168" s="32" t="n">
        <v>8125199999</v>
      </c>
      <c r="G2168" s="32" t="s">
        <v>80</v>
      </c>
      <c r="H2168" s="32" t="s">
        <v>21</v>
      </c>
      <c r="I2168" s="32" t="s">
        <v>95</v>
      </c>
      <c r="J2168" s="32" t="s">
        <v>96</v>
      </c>
      <c r="K2168" s="32" t="s">
        <v>63</v>
      </c>
    </row>
    <row r="2169" customFormat="false" ht="13.5" hidden="false" customHeight="true" outlineLevel="0" collapsed="false">
      <c r="A2169" s="32" t="n">
        <v>4331</v>
      </c>
      <c r="B2169" s="32" t="s">
        <v>1857</v>
      </c>
      <c r="C2169" s="32" t="s">
        <v>1858</v>
      </c>
      <c r="D2169" s="32" t="s">
        <v>114</v>
      </c>
      <c r="E2169" s="32" t="n">
        <v>0</v>
      </c>
      <c r="F2169" s="32" t="n">
        <v>7259944422</v>
      </c>
      <c r="G2169" s="32" t="s">
        <v>61</v>
      </c>
      <c r="H2169" s="32" t="s">
        <v>22</v>
      </c>
      <c r="I2169" s="32" t="s">
        <v>93</v>
      </c>
      <c r="J2169" s="32" t="s">
        <v>85</v>
      </c>
      <c r="K2169" s="32" t="s">
        <v>63</v>
      </c>
    </row>
    <row r="2170" customFormat="false" ht="13.5" hidden="false" customHeight="true" outlineLevel="0" collapsed="false">
      <c r="A2170" s="32" t="n">
        <v>4332</v>
      </c>
      <c r="B2170" s="32" t="s">
        <v>1857</v>
      </c>
      <c r="C2170" s="32" t="s">
        <v>1859</v>
      </c>
      <c r="D2170" s="32" t="s">
        <v>114</v>
      </c>
      <c r="E2170" s="32" t="n">
        <v>0</v>
      </c>
      <c r="F2170" s="32" t="n">
        <v>7259944422</v>
      </c>
      <c r="G2170" s="32" t="s">
        <v>61</v>
      </c>
      <c r="H2170" s="32" t="s">
        <v>22</v>
      </c>
      <c r="I2170" s="32" t="s">
        <v>145</v>
      </c>
      <c r="J2170" s="32" t="s">
        <v>117</v>
      </c>
      <c r="K2170" s="32" t="s">
        <v>63</v>
      </c>
    </row>
    <row r="2171" customFormat="false" ht="13.5" hidden="false" customHeight="true" outlineLevel="0" collapsed="false">
      <c r="A2171" s="32" t="n">
        <v>6898</v>
      </c>
      <c r="B2171" s="32" t="s">
        <v>1860</v>
      </c>
      <c r="C2171" s="32" t="s">
        <v>1861</v>
      </c>
      <c r="D2171" s="32" t="s">
        <v>59</v>
      </c>
      <c r="E2171" s="32" t="s">
        <v>107</v>
      </c>
      <c r="F2171" s="32" t="n">
        <v>7738111027</v>
      </c>
      <c r="G2171" s="32" t="s">
        <v>80</v>
      </c>
      <c r="H2171" s="32" t="s">
        <v>21</v>
      </c>
      <c r="I2171" s="32" t="s">
        <v>28</v>
      </c>
      <c r="J2171" s="32" t="s">
        <v>82</v>
      </c>
      <c r="K2171" s="32" t="s">
        <v>63</v>
      </c>
    </row>
    <row r="2172" customFormat="false" ht="13.5" hidden="false" customHeight="true" outlineLevel="0" collapsed="false">
      <c r="A2172" s="32" t="n">
        <v>4334</v>
      </c>
      <c r="B2172" s="32" t="s">
        <v>1862</v>
      </c>
      <c r="C2172" s="32" t="s">
        <v>1863</v>
      </c>
      <c r="D2172" s="32" t="s">
        <v>59</v>
      </c>
      <c r="E2172" s="32" t="s">
        <v>143</v>
      </c>
      <c r="F2172" s="32" t="n">
        <v>0</v>
      </c>
      <c r="G2172" s="32" t="s">
        <v>144</v>
      </c>
      <c r="H2172" s="32" t="s">
        <v>21</v>
      </c>
      <c r="I2172" s="32" t="s">
        <v>27</v>
      </c>
      <c r="J2172" s="32" t="s">
        <v>13</v>
      </c>
      <c r="K2172" s="32" t="s">
        <v>63</v>
      </c>
    </row>
    <row r="2173" customFormat="false" ht="13.5" hidden="false" customHeight="true" outlineLevel="0" collapsed="false">
      <c r="A2173" s="32" t="n">
        <v>4335</v>
      </c>
      <c r="B2173" s="32" t="s">
        <v>1862</v>
      </c>
      <c r="C2173" s="32" t="s">
        <v>1863</v>
      </c>
      <c r="D2173" s="32" t="s">
        <v>59</v>
      </c>
      <c r="E2173" s="32" t="s">
        <v>143</v>
      </c>
      <c r="F2173" s="32" t="n">
        <v>0</v>
      </c>
      <c r="G2173" s="32" t="s">
        <v>144</v>
      </c>
      <c r="H2173" s="32" t="s">
        <v>21</v>
      </c>
      <c r="I2173" s="32" t="s">
        <v>307</v>
      </c>
      <c r="J2173" s="32" t="s">
        <v>307</v>
      </c>
      <c r="K2173" s="32" t="s">
        <v>63</v>
      </c>
    </row>
    <row r="2174" customFormat="false" ht="13.5" hidden="false" customHeight="true" outlineLevel="0" collapsed="false">
      <c r="A2174" s="32" t="n">
        <v>4336</v>
      </c>
      <c r="B2174" s="32" t="s">
        <v>1862</v>
      </c>
      <c r="C2174" s="32" t="s">
        <v>1863</v>
      </c>
      <c r="D2174" s="32" t="s">
        <v>59</v>
      </c>
      <c r="E2174" s="32" t="s">
        <v>143</v>
      </c>
      <c r="F2174" s="32" t="n">
        <v>0</v>
      </c>
      <c r="G2174" s="32" t="s">
        <v>144</v>
      </c>
      <c r="H2174" s="32" t="s">
        <v>21</v>
      </c>
      <c r="I2174" s="32" t="s">
        <v>30</v>
      </c>
      <c r="J2174" s="32" t="s">
        <v>203</v>
      </c>
      <c r="K2174" s="32" t="s">
        <v>63</v>
      </c>
    </row>
    <row r="2175" customFormat="false" ht="13.5" hidden="false" customHeight="true" outlineLevel="0" collapsed="false">
      <c r="A2175" s="32" t="n">
        <v>4337</v>
      </c>
      <c r="B2175" s="32" t="s">
        <v>1864</v>
      </c>
      <c r="C2175" s="32" t="s">
        <v>1865</v>
      </c>
      <c r="D2175" s="32" t="s">
        <v>59</v>
      </c>
      <c r="E2175" s="32" t="s">
        <v>107</v>
      </c>
      <c r="F2175" s="33" t="n">
        <v>918408000000</v>
      </c>
      <c r="G2175" s="32" t="s">
        <v>144</v>
      </c>
      <c r="H2175" s="32" t="s">
        <v>21</v>
      </c>
      <c r="I2175" s="32" t="s">
        <v>807</v>
      </c>
      <c r="J2175" s="32" t="s">
        <v>808</v>
      </c>
      <c r="K2175" s="32" t="s">
        <v>63</v>
      </c>
    </row>
    <row r="2176" customFormat="false" ht="13.5" hidden="false" customHeight="true" outlineLevel="0" collapsed="false">
      <c r="A2176" s="32" t="n">
        <v>4338</v>
      </c>
      <c r="B2176" s="32" t="s">
        <v>1864</v>
      </c>
      <c r="C2176" s="32" t="s">
        <v>1865</v>
      </c>
      <c r="D2176" s="32" t="s">
        <v>59</v>
      </c>
      <c r="E2176" s="32" t="s">
        <v>107</v>
      </c>
      <c r="F2176" s="33" t="n">
        <v>918408000000</v>
      </c>
      <c r="G2176" s="32" t="s">
        <v>144</v>
      </c>
      <c r="H2176" s="32" t="s">
        <v>21</v>
      </c>
      <c r="I2176" s="32" t="s">
        <v>280</v>
      </c>
      <c r="J2176" s="32" t="s">
        <v>76</v>
      </c>
      <c r="K2176" s="32" t="s">
        <v>63</v>
      </c>
    </row>
    <row r="2177" customFormat="false" ht="13.5" hidden="false" customHeight="true" outlineLevel="0" collapsed="false">
      <c r="A2177" s="32" t="n">
        <v>4339</v>
      </c>
      <c r="B2177" s="32" t="s">
        <v>1864</v>
      </c>
      <c r="C2177" s="32" t="s">
        <v>1865</v>
      </c>
      <c r="D2177" s="32" t="s">
        <v>59</v>
      </c>
      <c r="E2177" s="32" t="s">
        <v>107</v>
      </c>
      <c r="F2177" s="33" t="n">
        <v>918408000000</v>
      </c>
      <c r="G2177" s="32" t="s">
        <v>144</v>
      </c>
      <c r="H2177" s="32" t="s">
        <v>21</v>
      </c>
      <c r="I2177" s="32" t="s">
        <v>133</v>
      </c>
      <c r="J2177" s="32" t="s">
        <v>134</v>
      </c>
      <c r="K2177" s="32" t="s">
        <v>63</v>
      </c>
    </row>
    <row r="2178" customFormat="false" ht="13.5" hidden="false" customHeight="true" outlineLevel="0" collapsed="false">
      <c r="A2178" s="32" t="n">
        <v>4340</v>
      </c>
      <c r="B2178" s="32" t="s">
        <v>1866</v>
      </c>
      <c r="C2178" s="32" t="s">
        <v>1867</v>
      </c>
      <c r="D2178" s="32" t="s">
        <v>59</v>
      </c>
      <c r="E2178" s="32" t="s">
        <v>107</v>
      </c>
      <c r="F2178" s="32" t="n">
        <v>8767223673</v>
      </c>
      <c r="G2178" s="32" t="s">
        <v>104</v>
      </c>
      <c r="H2178" s="32" t="s">
        <v>21</v>
      </c>
      <c r="I2178" s="32" t="s">
        <v>171</v>
      </c>
      <c r="J2178" s="32" t="s">
        <v>152</v>
      </c>
      <c r="K2178" s="32" t="s">
        <v>63</v>
      </c>
    </row>
    <row r="2179" customFormat="false" ht="13.5" hidden="false" customHeight="true" outlineLevel="0" collapsed="false">
      <c r="A2179" s="32" t="n">
        <v>4341</v>
      </c>
      <c r="B2179" s="32" t="s">
        <v>1866</v>
      </c>
      <c r="C2179" s="32" t="s">
        <v>1867</v>
      </c>
      <c r="D2179" s="32" t="s">
        <v>59</v>
      </c>
      <c r="E2179" s="32" t="s">
        <v>107</v>
      </c>
      <c r="F2179" s="32" t="n">
        <v>8767223673</v>
      </c>
      <c r="G2179" s="32" t="s">
        <v>104</v>
      </c>
      <c r="H2179" s="32" t="s">
        <v>21</v>
      </c>
      <c r="I2179" s="32" t="s">
        <v>172</v>
      </c>
      <c r="J2179" s="32" t="s">
        <v>152</v>
      </c>
      <c r="K2179" s="32" t="s">
        <v>63</v>
      </c>
    </row>
    <row r="2180" customFormat="false" ht="13.5" hidden="false" customHeight="true" outlineLevel="0" collapsed="false">
      <c r="A2180" s="32" t="n">
        <v>4342</v>
      </c>
      <c r="B2180" s="32" t="s">
        <v>1868</v>
      </c>
      <c r="C2180" s="32" t="s">
        <v>1869</v>
      </c>
      <c r="D2180" s="32" t="s">
        <v>114</v>
      </c>
      <c r="E2180" s="32" t="s">
        <v>115</v>
      </c>
      <c r="F2180" s="33" t="n">
        <v>919893000000</v>
      </c>
      <c r="G2180" s="32" t="s">
        <v>104</v>
      </c>
      <c r="H2180" s="32" t="s">
        <v>22</v>
      </c>
      <c r="I2180" s="32" t="s">
        <v>150</v>
      </c>
      <c r="J2180" s="32" t="s">
        <v>73</v>
      </c>
      <c r="K2180" s="32" t="s">
        <v>63</v>
      </c>
    </row>
    <row r="2181" customFormat="false" ht="13.5" hidden="false" customHeight="true" outlineLevel="0" collapsed="false">
      <c r="A2181" s="32" t="n">
        <v>4343</v>
      </c>
      <c r="B2181" s="32" t="s">
        <v>1868</v>
      </c>
      <c r="C2181" s="32" t="s">
        <v>1870</v>
      </c>
      <c r="D2181" s="32" t="s">
        <v>114</v>
      </c>
      <c r="E2181" s="32" t="s">
        <v>115</v>
      </c>
      <c r="F2181" s="33" t="n">
        <v>919893000000</v>
      </c>
      <c r="G2181" s="32" t="s">
        <v>104</v>
      </c>
      <c r="H2181" s="32" t="s">
        <v>22</v>
      </c>
      <c r="I2181" s="32" t="s">
        <v>28</v>
      </c>
      <c r="J2181" s="32" t="s">
        <v>82</v>
      </c>
      <c r="K2181" s="32" t="s">
        <v>63</v>
      </c>
    </row>
    <row r="2182" customFormat="false" ht="13.5" hidden="false" customHeight="true" outlineLevel="0" collapsed="false">
      <c r="A2182" s="32" t="n">
        <v>4344</v>
      </c>
      <c r="B2182" s="32" t="s">
        <v>1868</v>
      </c>
      <c r="C2182" s="32" t="s">
        <v>1870</v>
      </c>
      <c r="D2182" s="32" t="s">
        <v>114</v>
      </c>
      <c r="E2182" s="32" t="s">
        <v>115</v>
      </c>
      <c r="F2182" s="33" t="n">
        <v>919893000000</v>
      </c>
      <c r="G2182" s="32" t="s">
        <v>104</v>
      </c>
      <c r="H2182" s="32" t="s">
        <v>22</v>
      </c>
      <c r="I2182" s="32" t="s">
        <v>145</v>
      </c>
      <c r="J2182" s="32" t="s">
        <v>117</v>
      </c>
      <c r="K2182" s="32" t="s">
        <v>63</v>
      </c>
    </row>
    <row r="2183" customFormat="false" ht="13.5" hidden="false" customHeight="true" outlineLevel="0" collapsed="false">
      <c r="A2183" s="32" t="n">
        <v>4345</v>
      </c>
      <c r="B2183" s="32" t="s">
        <v>1868</v>
      </c>
      <c r="C2183" s="32" t="s">
        <v>1870</v>
      </c>
      <c r="D2183" s="32" t="s">
        <v>114</v>
      </c>
      <c r="E2183" s="32" t="s">
        <v>115</v>
      </c>
      <c r="F2183" s="33" t="n">
        <v>919893000000</v>
      </c>
      <c r="G2183" s="32" t="s">
        <v>104</v>
      </c>
      <c r="H2183" s="32" t="s">
        <v>22</v>
      </c>
      <c r="I2183" s="32" t="s">
        <v>133</v>
      </c>
      <c r="J2183" s="32" t="s">
        <v>134</v>
      </c>
      <c r="K2183" s="32" t="s">
        <v>63</v>
      </c>
    </row>
    <row r="2184" customFormat="false" ht="13.5" hidden="false" customHeight="true" outlineLevel="0" collapsed="false">
      <c r="A2184" s="32" t="n">
        <v>4346</v>
      </c>
      <c r="B2184" s="32" t="s">
        <v>1871</v>
      </c>
      <c r="C2184" s="32" t="s">
        <v>1872</v>
      </c>
      <c r="D2184" s="32" t="s">
        <v>114</v>
      </c>
      <c r="E2184" s="32" t="s">
        <v>165</v>
      </c>
      <c r="F2184" s="32" t="n">
        <v>0</v>
      </c>
      <c r="G2184" s="32" t="s">
        <v>144</v>
      </c>
      <c r="H2184" s="32" t="s">
        <v>22</v>
      </c>
      <c r="I2184" s="32" t="s">
        <v>30</v>
      </c>
      <c r="J2184" s="32" t="s">
        <v>203</v>
      </c>
      <c r="K2184" s="32" t="s">
        <v>63</v>
      </c>
    </row>
    <row r="2185" customFormat="false" ht="13.5" hidden="false" customHeight="true" outlineLevel="0" collapsed="false">
      <c r="A2185" s="32" t="n">
        <v>4347</v>
      </c>
      <c r="B2185" s="32" t="s">
        <v>1873</v>
      </c>
      <c r="C2185" s="32" t="s">
        <v>1874</v>
      </c>
      <c r="D2185" s="32" t="s">
        <v>59</v>
      </c>
      <c r="E2185" s="32" t="s">
        <v>107</v>
      </c>
      <c r="F2185" s="33" t="n">
        <v>918490000000</v>
      </c>
      <c r="G2185" s="32" t="s">
        <v>0</v>
      </c>
      <c r="H2185" s="32" t="s">
        <v>21</v>
      </c>
      <c r="I2185" s="32" t="s">
        <v>27</v>
      </c>
      <c r="J2185" s="32" t="s">
        <v>13</v>
      </c>
      <c r="K2185" s="32" t="s">
        <v>63</v>
      </c>
    </row>
    <row r="2186" customFormat="false" ht="13.5" hidden="false" customHeight="true" outlineLevel="0" collapsed="false">
      <c r="A2186" s="32" t="n">
        <v>4348</v>
      </c>
      <c r="B2186" s="32" t="s">
        <v>1873</v>
      </c>
      <c r="C2186" s="32" t="s">
        <v>1874</v>
      </c>
      <c r="D2186" s="32" t="s">
        <v>59</v>
      </c>
      <c r="E2186" s="32" t="s">
        <v>107</v>
      </c>
      <c r="F2186" s="33" t="n">
        <v>918490000000</v>
      </c>
      <c r="G2186" s="32" t="s">
        <v>0</v>
      </c>
      <c r="H2186" s="32" t="s">
        <v>21</v>
      </c>
      <c r="I2186" s="32" t="s">
        <v>280</v>
      </c>
      <c r="J2186" s="32" t="s">
        <v>76</v>
      </c>
      <c r="K2186" s="32" t="s">
        <v>63</v>
      </c>
    </row>
    <row r="2187" customFormat="false" ht="13.5" hidden="false" customHeight="true" outlineLevel="0" collapsed="false">
      <c r="A2187" s="32" t="n">
        <v>4349</v>
      </c>
      <c r="B2187" s="32" t="s">
        <v>1875</v>
      </c>
      <c r="C2187" s="32" t="s">
        <v>1876</v>
      </c>
      <c r="D2187" s="32" t="s">
        <v>114</v>
      </c>
      <c r="E2187" s="32" t="s">
        <v>124</v>
      </c>
      <c r="F2187" s="33" t="n">
        <v>919004000000</v>
      </c>
      <c r="G2187" s="32" t="s">
        <v>104</v>
      </c>
      <c r="H2187" s="32" t="s">
        <v>22</v>
      </c>
      <c r="I2187" s="32" t="s">
        <v>95</v>
      </c>
      <c r="J2187" s="32" t="s">
        <v>96</v>
      </c>
      <c r="K2187" s="32" t="s">
        <v>63</v>
      </c>
    </row>
    <row r="2188" customFormat="false" ht="13.5" hidden="false" customHeight="true" outlineLevel="0" collapsed="false">
      <c r="A2188" s="32" t="n">
        <v>4350</v>
      </c>
      <c r="B2188" s="32" t="s">
        <v>1877</v>
      </c>
      <c r="C2188" s="32" t="s">
        <v>1878</v>
      </c>
      <c r="D2188" s="32" t="s">
        <v>59</v>
      </c>
      <c r="E2188" s="32" t="s">
        <v>79</v>
      </c>
      <c r="F2188" s="32" t="n">
        <v>8057186581</v>
      </c>
      <c r="G2188" s="32" t="s">
        <v>144</v>
      </c>
      <c r="H2188" s="32" t="s">
        <v>21</v>
      </c>
      <c r="I2188" s="32" t="s">
        <v>30</v>
      </c>
      <c r="J2188" s="32" t="s">
        <v>203</v>
      </c>
      <c r="K2188" s="32" t="s">
        <v>63</v>
      </c>
    </row>
    <row r="2189" customFormat="false" ht="13.5" hidden="false" customHeight="true" outlineLevel="0" collapsed="false">
      <c r="A2189" s="32" t="n">
        <v>4351</v>
      </c>
      <c r="B2189" s="32" t="s">
        <v>1877</v>
      </c>
      <c r="C2189" s="32" t="s">
        <v>1878</v>
      </c>
      <c r="D2189" s="32" t="s">
        <v>59</v>
      </c>
      <c r="E2189" s="32" t="s">
        <v>79</v>
      </c>
      <c r="F2189" s="32" t="n">
        <v>8057186581</v>
      </c>
      <c r="G2189" s="32" t="s">
        <v>144</v>
      </c>
      <c r="H2189" s="32" t="s">
        <v>21</v>
      </c>
      <c r="I2189" s="32" t="s">
        <v>151</v>
      </c>
      <c r="J2189" s="32" t="s">
        <v>152</v>
      </c>
      <c r="K2189" s="32" t="s">
        <v>63</v>
      </c>
    </row>
    <row r="2190" customFormat="false" ht="13.5" hidden="false" customHeight="true" outlineLevel="0" collapsed="false">
      <c r="A2190" s="32" t="n">
        <v>4352</v>
      </c>
      <c r="B2190" s="32" t="s">
        <v>1877</v>
      </c>
      <c r="C2190" s="32" t="s">
        <v>1878</v>
      </c>
      <c r="D2190" s="32" t="s">
        <v>59</v>
      </c>
      <c r="E2190" s="32" t="s">
        <v>79</v>
      </c>
      <c r="F2190" s="32" t="n">
        <v>8057186581</v>
      </c>
      <c r="G2190" s="32" t="s">
        <v>144</v>
      </c>
      <c r="H2190" s="32" t="s">
        <v>21</v>
      </c>
      <c r="I2190" s="32" t="s">
        <v>234</v>
      </c>
      <c r="J2190" s="32" t="s">
        <v>235</v>
      </c>
      <c r="K2190" s="32" t="s">
        <v>63</v>
      </c>
    </row>
    <row r="2191" customFormat="false" ht="13.5" hidden="false" customHeight="true" outlineLevel="0" collapsed="false">
      <c r="A2191" s="32" t="n">
        <v>4353</v>
      </c>
      <c r="B2191" s="32" t="s">
        <v>1879</v>
      </c>
      <c r="C2191" s="32" t="s">
        <v>1880</v>
      </c>
      <c r="D2191" s="32" t="s">
        <v>114</v>
      </c>
      <c r="E2191" s="32" t="s">
        <v>115</v>
      </c>
      <c r="F2191" s="32" t="n">
        <v>9701810070</v>
      </c>
      <c r="G2191" s="32" t="s">
        <v>80</v>
      </c>
      <c r="H2191" s="32" t="s">
        <v>22</v>
      </c>
      <c r="I2191" s="32" t="s">
        <v>145</v>
      </c>
      <c r="J2191" s="32" t="s">
        <v>117</v>
      </c>
      <c r="K2191" s="32" t="s">
        <v>63</v>
      </c>
    </row>
    <row r="2192" customFormat="false" ht="13.5" hidden="false" customHeight="true" outlineLevel="0" collapsed="false">
      <c r="A2192" s="32" t="n">
        <v>4354</v>
      </c>
      <c r="B2192" s="32" t="s">
        <v>1879</v>
      </c>
      <c r="C2192" s="32" t="s">
        <v>1880</v>
      </c>
      <c r="D2192" s="32" t="s">
        <v>114</v>
      </c>
      <c r="E2192" s="32" t="s">
        <v>115</v>
      </c>
      <c r="F2192" s="32" t="n">
        <v>9701810070</v>
      </c>
      <c r="G2192" s="32" t="s">
        <v>80</v>
      </c>
      <c r="H2192" s="32" t="s">
        <v>22</v>
      </c>
      <c r="I2192" s="32" t="s">
        <v>76</v>
      </c>
      <c r="J2192" s="32" t="s">
        <v>76</v>
      </c>
      <c r="K2192" s="32" t="s">
        <v>63</v>
      </c>
    </row>
    <row r="2193" customFormat="false" ht="13.5" hidden="false" customHeight="true" outlineLevel="0" collapsed="false">
      <c r="A2193" s="32" t="n">
        <v>4355</v>
      </c>
      <c r="B2193" s="32" t="s">
        <v>1879</v>
      </c>
      <c r="C2193" s="32" t="s">
        <v>1880</v>
      </c>
      <c r="D2193" s="32" t="s">
        <v>114</v>
      </c>
      <c r="E2193" s="32" t="s">
        <v>115</v>
      </c>
      <c r="F2193" s="32" t="n">
        <v>9710181007</v>
      </c>
      <c r="G2193" s="32" t="s">
        <v>80</v>
      </c>
      <c r="H2193" s="32" t="s">
        <v>22</v>
      </c>
      <c r="I2193" s="32" t="s">
        <v>16</v>
      </c>
      <c r="J2193" s="32" t="s">
        <v>73</v>
      </c>
      <c r="K2193" s="32" t="s">
        <v>63</v>
      </c>
    </row>
    <row r="2194" customFormat="false" ht="13.5" hidden="false" customHeight="true" outlineLevel="0" collapsed="false">
      <c r="A2194" s="32" t="n">
        <v>4356</v>
      </c>
      <c r="B2194" s="32" t="s">
        <v>1879</v>
      </c>
      <c r="C2194" s="32" t="s">
        <v>1880</v>
      </c>
      <c r="D2194" s="32" t="s">
        <v>114</v>
      </c>
      <c r="E2194" s="32" t="s">
        <v>115</v>
      </c>
      <c r="F2194" s="32" t="n">
        <v>9710181007</v>
      </c>
      <c r="G2194" s="32" t="s">
        <v>80</v>
      </c>
      <c r="H2194" s="32" t="s">
        <v>22</v>
      </c>
      <c r="I2194" s="32" t="s">
        <v>28</v>
      </c>
      <c r="J2194" s="32" t="s">
        <v>82</v>
      </c>
      <c r="K2194" s="32" t="s">
        <v>63</v>
      </c>
    </row>
    <row r="2195" customFormat="false" ht="13.5" hidden="false" customHeight="true" outlineLevel="0" collapsed="false">
      <c r="A2195" s="32" t="n">
        <v>4359</v>
      </c>
      <c r="B2195" s="32" t="s">
        <v>1881</v>
      </c>
      <c r="C2195" s="32" t="s">
        <v>1882</v>
      </c>
      <c r="D2195" s="32" t="s">
        <v>114</v>
      </c>
      <c r="E2195" s="32" t="s">
        <v>115</v>
      </c>
      <c r="F2195" s="32" t="n">
        <v>0</v>
      </c>
      <c r="G2195" s="32" t="s">
        <v>144</v>
      </c>
      <c r="H2195" s="32" t="s">
        <v>22</v>
      </c>
      <c r="I2195" s="32" t="s">
        <v>227</v>
      </c>
      <c r="J2195" s="32" t="s">
        <v>228</v>
      </c>
      <c r="K2195" s="32" t="s">
        <v>63</v>
      </c>
    </row>
    <row r="2196" customFormat="false" ht="13.5" hidden="false" customHeight="true" outlineLevel="0" collapsed="false">
      <c r="A2196" s="32" t="n">
        <v>4364</v>
      </c>
      <c r="B2196" s="32" t="s">
        <v>1881</v>
      </c>
      <c r="C2196" s="32" t="s">
        <v>1883</v>
      </c>
      <c r="D2196" s="32" t="s">
        <v>114</v>
      </c>
      <c r="E2196" s="32" t="s">
        <v>115</v>
      </c>
      <c r="F2196" s="32" t="n">
        <v>9958787086</v>
      </c>
      <c r="G2196" s="32" t="s">
        <v>144</v>
      </c>
      <c r="H2196" s="32" t="s">
        <v>22</v>
      </c>
      <c r="I2196" s="32" t="s">
        <v>133</v>
      </c>
      <c r="J2196" s="32" t="s">
        <v>134</v>
      </c>
      <c r="K2196" s="32" t="s">
        <v>63</v>
      </c>
    </row>
    <row r="2197" customFormat="false" ht="13.5" hidden="false" customHeight="true" outlineLevel="0" collapsed="false">
      <c r="A2197" s="32" t="n">
        <v>4365</v>
      </c>
      <c r="B2197" s="32" t="s">
        <v>1884</v>
      </c>
      <c r="C2197" s="32" t="s">
        <v>1885</v>
      </c>
      <c r="D2197" s="32" t="s">
        <v>102</v>
      </c>
      <c r="E2197" s="32" t="s">
        <v>103</v>
      </c>
      <c r="F2197" s="33" t="n">
        <v>918800000000</v>
      </c>
      <c r="G2197" s="32" t="s">
        <v>144</v>
      </c>
      <c r="H2197" s="32" t="s">
        <v>21</v>
      </c>
      <c r="I2197" s="32" t="s">
        <v>16</v>
      </c>
      <c r="J2197" s="32" t="s">
        <v>73</v>
      </c>
      <c r="K2197" s="32" t="s">
        <v>63</v>
      </c>
    </row>
    <row r="2198" customFormat="false" ht="13.5" hidden="false" customHeight="true" outlineLevel="0" collapsed="false">
      <c r="A2198" s="32" t="n">
        <v>4366</v>
      </c>
      <c r="B2198" s="32" t="s">
        <v>1886</v>
      </c>
      <c r="C2198" s="32" t="s">
        <v>1887</v>
      </c>
      <c r="D2198" s="32" t="s">
        <v>114</v>
      </c>
      <c r="E2198" s="32" t="s">
        <v>115</v>
      </c>
      <c r="F2198" s="32" t="n">
        <v>7507813350</v>
      </c>
      <c r="G2198" s="32" t="s">
        <v>144</v>
      </c>
      <c r="H2198" s="32" t="s">
        <v>22</v>
      </c>
      <c r="I2198" s="32" t="s">
        <v>128</v>
      </c>
      <c r="J2198" s="32" t="s">
        <v>89</v>
      </c>
      <c r="K2198" s="32" t="s">
        <v>63</v>
      </c>
    </row>
    <row r="2199" customFormat="false" ht="13.5" hidden="false" customHeight="true" outlineLevel="0" collapsed="false">
      <c r="A2199" s="32" t="n">
        <v>4367</v>
      </c>
      <c r="B2199" s="32" t="s">
        <v>1886</v>
      </c>
      <c r="C2199" s="32" t="s">
        <v>1887</v>
      </c>
      <c r="D2199" s="32" t="s">
        <v>114</v>
      </c>
      <c r="E2199" s="32" t="s">
        <v>115</v>
      </c>
      <c r="F2199" s="32" t="n">
        <v>7507813350</v>
      </c>
      <c r="G2199" s="32" t="s">
        <v>144</v>
      </c>
      <c r="H2199" s="32" t="s">
        <v>22</v>
      </c>
      <c r="I2199" s="32" t="s">
        <v>16</v>
      </c>
      <c r="J2199" s="32" t="s">
        <v>73</v>
      </c>
      <c r="K2199" s="32" t="s">
        <v>63</v>
      </c>
    </row>
    <row r="2200" customFormat="false" ht="13.5" hidden="false" customHeight="true" outlineLevel="0" collapsed="false">
      <c r="A2200" s="32" t="n">
        <v>4368</v>
      </c>
      <c r="B2200" s="32" t="s">
        <v>1888</v>
      </c>
      <c r="C2200" s="32" t="s">
        <v>1889</v>
      </c>
      <c r="D2200" s="32" t="s">
        <v>114</v>
      </c>
      <c r="E2200" s="32" t="n">
        <v>0</v>
      </c>
      <c r="F2200" s="32" t="n">
        <v>9880333881</v>
      </c>
      <c r="G2200" s="32" t="s">
        <v>61</v>
      </c>
      <c r="H2200" s="32" t="s">
        <v>22</v>
      </c>
      <c r="I2200" s="32" t="s">
        <v>1632</v>
      </c>
      <c r="J2200" s="32" t="s">
        <v>388</v>
      </c>
      <c r="K2200" s="32" t="s">
        <v>63</v>
      </c>
    </row>
    <row r="2201" customFormat="false" ht="13.5" hidden="false" customHeight="true" outlineLevel="0" collapsed="false">
      <c r="A2201" s="32" t="n">
        <v>4369</v>
      </c>
      <c r="B2201" s="32" t="s">
        <v>1888</v>
      </c>
      <c r="C2201" s="32" t="s">
        <v>1890</v>
      </c>
      <c r="D2201" s="32" t="s">
        <v>114</v>
      </c>
      <c r="E2201" s="32" t="n">
        <v>0</v>
      </c>
      <c r="F2201" s="32" t="n">
        <v>9880333881</v>
      </c>
      <c r="G2201" s="32" t="s">
        <v>61</v>
      </c>
      <c r="H2201" s="32" t="s">
        <v>22</v>
      </c>
      <c r="I2201" s="32" t="s">
        <v>1242</v>
      </c>
      <c r="J2201" s="32" t="s">
        <v>62</v>
      </c>
      <c r="K2201" s="32" t="s">
        <v>63</v>
      </c>
    </row>
    <row r="2202" customFormat="false" ht="13.5" hidden="false" customHeight="true" outlineLevel="0" collapsed="false">
      <c r="A2202" s="32" t="n">
        <v>4370</v>
      </c>
      <c r="B2202" s="32" t="s">
        <v>1888</v>
      </c>
      <c r="C2202" s="32" t="s">
        <v>1890</v>
      </c>
      <c r="D2202" s="32" t="s">
        <v>114</v>
      </c>
      <c r="E2202" s="32" t="n">
        <v>0</v>
      </c>
      <c r="F2202" s="32" t="n">
        <v>9880333881</v>
      </c>
      <c r="G2202" s="32" t="s">
        <v>61</v>
      </c>
      <c r="H2202" s="32" t="s">
        <v>22</v>
      </c>
      <c r="I2202" s="32" t="s">
        <v>516</v>
      </c>
      <c r="J2202" s="32" t="s">
        <v>66</v>
      </c>
      <c r="K2202" s="32" t="s">
        <v>63</v>
      </c>
    </row>
    <row r="2203" customFormat="false" ht="13.5" hidden="false" customHeight="true" outlineLevel="0" collapsed="false">
      <c r="A2203" s="32" t="n">
        <v>4373</v>
      </c>
      <c r="B2203" s="32" t="s">
        <v>1888</v>
      </c>
      <c r="C2203" s="32" t="s">
        <v>1890</v>
      </c>
      <c r="D2203" s="32" t="s">
        <v>114</v>
      </c>
      <c r="E2203" s="32" t="n">
        <v>0</v>
      </c>
      <c r="F2203" s="32" t="n">
        <v>9880333881</v>
      </c>
      <c r="G2203" s="32" t="s">
        <v>61</v>
      </c>
      <c r="H2203" s="32" t="s">
        <v>22</v>
      </c>
      <c r="I2203" s="32" t="s">
        <v>156</v>
      </c>
      <c r="J2203" s="32" t="s">
        <v>62</v>
      </c>
      <c r="K2203" s="32" t="s">
        <v>63</v>
      </c>
    </row>
    <row r="2204" customFormat="false" ht="13.5" hidden="false" customHeight="true" outlineLevel="0" collapsed="false">
      <c r="A2204" s="32" t="n">
        <v>4374</v>
      </c>
      <c r="B2204" s="32" t="s">
        <v>1888</v>
      </c>
      <c r="C2204" s="32" t="s">
        <v>1890</v>
      </c>
      <c r="D2204" s="32" t="s">
        <v>114</v>
      </c>
      <c r="E2204" s="32" t="n">
        <v>0</v>
      </c>
      <c r="F2204" s="32" t="n">
        <v>9880333881</v>
      </c>
      <c r="G2204" s="32" t="s">
        <v>61</v>
      </c>
      <c r="H2204" s="32" t="s">
        <v>22</v>
      </c>
      <c r="I2204" s="32" t="s">
        <v>14</v>
      </c>
      <c r="J2204" s="32" t="s">
        <v>66</v>
      </c>
      <c r="K2204" s="32" t="s">
        <v>63</v>
      </c>
    </row>
    <row r="2205" customFormat="false" ht="13.5" hidden="false" customHeight="true" outlineLevel="0" collapsed="false">
      <c r="A2205" s="32" t="n">
        <v>4375</v>
      </c>
      <c r="B2205" s="32" t="s">
        <v>1888</v>
      </c>
      <c r="C2205" s="32" t="s">
        <v>1890</v>
      </c>
      <c r="D2205" s="32" t="s">
        <v>114</v>
      </c>
      <c r="E2205" s="32" t="n">
        <v>0</v>
      </c>
      <c r="F2205" s="32" t="n">
        <v>9880333881</v>
      </c>
      <c r="G2205" s="32" t="s">
        <v>61</v>
      </c>
      <c r="H2205" s="32" t="s">
        <v>22</v>
      </c>
      <c r="I2205" s="32" t="s">
        <v>29</v>
      </c>
      <c r="J2205" s="32" t="s">
        <v>62</v>
      </c>
      <c r="K2205" s="32" t="s">
        <v>63</v>
      </c>
    </row>
    <row r="2206" customFormat="false" ht="13.5" hidden="false" customHeight="true" outlineLevel="0" collapsed="false">
      <c r="A2206" s="32" t="n">
        <v>4376</v>
      </c>
      <c r="B2206" s="32" t="s">
        <v>1891</v>
      </c>
      <c r="C2206" s="32" t="s">
        <v>1892</v>
      </c>
      <c r="D2206" s="32" t="s">
        <v>59</v>
      </c>
      <c r="E2206" s="32" t="s">
        <v>107</v>
      </c>
      <c r="F2206" s="32" t="n">
        <v>0</v>
      </c>
      <c r="G2206" s="32" t="s">
        <v>61</v>
      </c>
      <c r="H2206" s="32" t="s">
        <v>21</v>
      </c>
      <c r="I2206" s="32" t="s">
        <v>120</v>
      </c>
      <c r="J2206" s="32" t="s">
        <v>110</v>
      </c>
      <c r="K2206" s="32" t="s">
        <v>63</v>
      </c>
    </row>
    <row r="2207" customFormat="false" ht="13.5" hidden="false" customHeight="true" outlineLevel="0" collapsed="false">
      <c r="A2207" s="32" t="n">
        <v>4377</v>
      </c>
      <c r="B2207" s="32" t="s">
        <v>1891</v>
      </c>
      <c r="C2207" s="32" t="s">
        <v>1892</v>
      </c>
      <c r="D2207" s="32" t="s">
        <v>59</v>
      </c>
      <c r="E2207" s="32" t="s">
        <v>107</v>
      </c>
      <c r="F2207" s="32" t="n">
        <v>7980265856</v>
      </c>
      <c r="G2207" s="32" t="s">
        <v>61</v>
      </c>
      <c r="H2207" s="32" t="s">
        <v>21</v>
      </c>
      <c r="I2207" s="32" t="s">
        <v>121</v>
      </c>
      <c r="J2207" s="32" t="s">
        <v>110</v>
      </c>
      <c r="K2207" s="32" t="s">
        <v>63</v>
      </c>
    </row>
    <row r="2208" customFormat="false" ht="13.5" hidden="false" customHeight="true" outlineLevel="0" collapsed="false">
      <c r="A2208" s="32" t="n">
        <v>4378</v>
      </c>
      <c r="B2208" s="32" t="s">
        <v>1893</v>
      </c>
      <c r="C2208" s="32" t="s">
        <v>1894</v>
      </c>
      <c r="D2208" s="32" t="s">
        <v>59</v>
      </c>
      <c r="E2208" s="32" t="s">
        <v>107</v>
      </c>
      <c r="F2208" s="32" t="n">
        <v>9483955880</v>
      </c>
      <c r="G2208" s="32" t="s">
        <v>61</v>
      </c>
      <c r="H2208" s="32" t="s">
        <v>21</v>
      </c>
      <c r="I2208" s="32" t="s">
        <v>95</v>
      </c>
      <c r="J2208" s="32" t="s">
        <v>96</v>
      </c>
      <c r="K2208" s="32" t="s">
        <v>63</v>
      </c>
    </row>
    <row r="2209" customFormat="false" ht="13.5" hidden="false" customHeight="true" outlineLevel="0" collapsed="false">
      <c r="A2209" s="32" t="n">
        <v>4379</v>
      </c>
      <c r="B2209" s="32" t="s">
        <v>1895</v>
      </c>
      <c r="C2209" s="32" t="s">
        <v>1896</v>
      </c>
      <c r="D2209" s="32" t="s">
        <v>114</v>
      </c>
      <c r="E2209" s="32" t="s">
        <v>165</v>
      </c>
      <c r="F2209" s="33" t="n">
        <v>919988000000</v>
      </c>
      <c r="G2209" s="32" t="s">
        <v>144</v>
      </c>
      <c r="H2209" s="32" t="s">
        <v>22</v>
      </c>
      <c r="I2209" s="32" t="s">
        <v>629</v>
      </c>
      <c r="J2209" s="32" t="s">
        <v>203</v>
      </c>
      <c r="K2209" s="32" t="s">
        <v>63</v>
      </c>
    </row>
    <row r="2210" customFormat="false" ht="13.5" hidden="false" customHeight="true" outlineLevel="0" collapsed="false">
      <c r="A2210" s="32" t="n">
        <v>4380</v>
      </c>
      <c r="B2210" s="32" t="s">
        <v>1895</v>
      </c>
      <c r="C2210" s="32" t="s">
        <v>1896</v>
      </c>
      <c r="D2210" s="32" t="s">
        <v>114</v>
      </c>
      <c r="E2210" s="32" t="s">
        <v>165</v>
      </c>
      <c r="F2210" s="33" t="n">
        <v>919988000000</v>
      </c>
      <c r="G2210" s="32" t="s">
        <v>144</v>
      </c>
      <c r="H2210" s="32" t="s">
        <v>22</v>
      </c>
      <c r="I2210" s="32" t="s">
        <v>30</v>
      </c>
      <c r="J2210" s="32" t="s">
        <v>203</v>
      </c>
      <c r="K2210" s="32" t="s">
        <v>63</v>
      </c>
    </row>
    <row r="2211" customFormat="false" ht="13.5" hidden="false" customHeight="true" outlineLevel="0" collapsed="false">
      <c r="A2211" s="32" t="n">
        <v>4381</v>
      </c>
      <c r="B2211" s="32" t="s">
        <v>1895</v>
      </c>
      <c r="C2211" s="32" t="s">
        <v>1896</v>
      </c>
      <c r="D2211" s="32" t="s">
        <v>114</v>
      </c>
      <c r="E2211" s="32" t="s">
        <v>165</v>
      </c>
      <c r="F2211" s="33" t="n">
        <v>919988000000</v>
      </c>
      <c r="G2211" s="32" t="s">
        <v>144</v>
      </c>
      <c r="H2211" s="32" t="s">
        <v>22</v>
      </c>
      <c r="I2211" s="32" t="s">
        <v>151</v>
      </c>
      <c r="J2211" s="32" t="s">
        <v>152</v>
      </c>
      <c r="K2211" s="32" t="s">
        <v>63</v>
      </c>
    </row>
    <row r="2212" customFormat="false" ht="13.5" hidden="false" customHeight="true" outlineLevel="0" collapsed="false">
      <c r="A2212" s="32" t="n">
        <v>4382</v>
      </c>
      <c r="B2212" s="32" t="s">
        <v>1897</v>
      </c>
      <c r="C2212" s="32" t="s">
        <v>1898</v>
      </c>
      <c r="D2212" s="32" t="s">
        <v>114</v>
      </c>
      <c r="E2212" s="32" t="s">
        <v>165</v>
      </c>
      <c r="F2212" s="32" t="n">
        <v>8447340506</v>
      </c>
      <c r="G2212" s="32" t="s">
        <v>61</v>
      </c>
      <c r="H2212" s="32" t="s">
        <v>22</v>
      </c>
      <c r="I2212" s="32" t="s">
        <v>629</v>
      </c>
      <c r="J2212" s="32" t="s">
        <v>203</v>
      </c>
      <c r="K2212" s="32" t="s">
        <v>63</v>
      </c>
    </row>
    <row r="2213" customFormat="false" ht="13.5" hidden="false" customHeight="true" outlineLevel="0" collapsed="false">
      <c r="A2213" s="32" t="n">
        <v>4383</v>
      </c>
      <c r="B2213" s="32" t="s">
        <v>1897</v>
      </c>
      <c r="C2213" s="32" t="s">
        <v>1898</v>
      </c>
      <c r="D2213" s="32" t="s">
        <v>114</v>
      </c>
      <c r="E2213" s="32" t="s">
        <v>165</v>
      </c>
      <c r="F2213" s="32" t="n">
        <v>8447340506</v>
      </c>
      <c r="G2213" s="32" t="s">
        <v>61</v>
      </c>
      <c r="H2213" s="32" t="s">
        <v>22</v>
      </c>
      <c r="I2213" s="32" t="s">
        <v>30</v>
      </c>
      <c r="J2213" s="32" t="s">
        <v>203</v>
      </c>
      <c r="K2213" s="32" t="s">
        <v>63</v>
      </c>
    </row>
    <row r="2214" customFormat="false" ht="13.5" hidden="false" customHeight="true" outlineLevel="0" collapsed="false">
      <c r="A2214" s="32" t="n">
        <v>4384</v>
      </c>
      <c r="B2214" s="32" t="s">
        <v>1899</v>
      </c>
      <c r="C2214" s="32" t="s">
        <v>1900</v>
      </c>
      <c r="D2214" s="32" t="s">
        <v>114</v>
      </c>
      <c r="E2214" s="32" t="s">
        <v>165</v>
      </c>
      <c r="F2214" s="32" t="n">
        <v>0</v>
      </c>
      <c r="G2214" s="32" t="s">
        <v>61</v>
      </c>
      <c r="H2214" s="32" t="s">
        <v>22</v>
      </c>
      <c r="I2214" s="32" t="s">
        <v>14</v>
      </c>
      <c r="J2214" s="32" t="s">
        <v>66</v>
      </c>
      <c r="K2214" s="32" t="s">
        <v>63</v>
      </c>
    </row>
    <row r="2215" customFormat="false" ht="13.5" hidden="false" customHeight="true" outlineLevel="0" collapsed="false">
      <c r="A2215" s="32" t="n">
        <v>4385</v>
      </c>
      <c r="B2215" s="32" t="s">
        <v>1899</v>
      </c>
      <c r="C2215" s="32" t="s">
        <v>1900</v>
      </c>
      <c r="D2215" s="32" t="s">
        <v>114</v>
      </c>
      <c r="E2215" s="32" t="s">
        <v>165</v>
      </c>
      <c r="F2215" s="32" t="n">
        <v>0</v>
      </c>
      <c r="G2215" s="32" t="s">
        <v>61</v>
      </c>
      <c r="H2215" s="32" t="s">
        <v>22</v>
      </c>
      <c r="I2215" s="32" t="s">
        <v>166</v>
      </c>
      <c r="J2215" s="32" t="s">
        <v>66</v>
      </c>
      <c r="K2215" s="32" t="s">
        <v>63</v>
      </c>
    </row>
    <row r="2216" customFormat="false" ht="13.5" hidden="false" customHeight="true" outlineLevel="0" collapsed="false">
      <c r="A2216" s="32" t="n">
        <v>4386</v>
      </c>
      <c r="B2216" s="32" t="s">
        <v>1899</v>
      </c>
      <c r="C2216" s="32" t="s">
        <v>1900</v>
      </c>
      <c r="D2216" s="32" t="s">
        <v>114</v>
      </c>
      <c r="E2216" s="32" t="s">
        <v>165</v>
      </c>
      <c r="F2216" s="32" t="n">
        <v>0</v>
      </c>
      <c r="G2216" s="32" t="s">
        <v>61</v>
      </c>
      <c r="H2216" s="32" t="s">
        <v>22</v>
      </c>
      <c r="I2216" s="32" t="s">
        <v>156</v>
      </c>
      <c r="J2216" s="32" t="s">
        <v>62</v>
      </c>
      <c r="K2216" s="32" t="s">
        <v>63</v>
      </c>
    </row>
    <row r="2217" customFormat="false" ht="13.5" hidden="false" customHeight="true" outlineLevel="0" collapsed="false">
      <c r="A2217" s="32" t="n">
        <v>4387</v>
      </c>
      <c r="B2217" s="32" t="s">
        <v>1899</v>
      </c>
      <c r="C2217" s="32" t="s">
        <v>1900</v>
      </c>
      <c r="D2217" s="32" t="s">
        <v>114</v>
      </c>
      <c r="E2217" s="32" t="s">
        <v>165</v>
      </c>
      <c r="F2217" s="32" t="n">
        <v>0</v>
      </c>
      <c r="G2217" s="32" t="s">
        <v>61</v>
      </c>
      <c r="H2217" s="32" t="s">
        <v>22</v>
      </c>
      <c r="I2217" s="32" t="s">
        <v>29</v>
      </c>
      <c r="J2217" s="32" t="s">
        <v>62</v>
      </c>
      <c r="K2217" s="32" t="s">
        <v>63</v>
      </c>
    </row>
    <row r="2218" customFormat="false" ht="13.5" hidden="false" customHeight="true" outlineLevel="0" collapsed="false">
      <c r="A2218" s="32" t="n">
        <v>4388</v>
      </c>
      <c r="B2218" s="32" t="s">
        <v>1901</v>
      </c>
      <c r="C2218" s="32" t="s">
        <v>1902</v>
      </c>
      <c r="D2218" s="32" t="s">
        <v>59</v>
      </c>
      <c r="E2218" s="32" t="s">
        <v>143</v>
      </c>
      <c r="F2218" s="32" t="n">
        <v>9096257039</v>
      </c>
      <c r="G2218" s="32" t="s">
        <v>61</v>
      </c>
      <c r="H2218" s="32" t="s">
        <v>21</v>
      </c>
      <c r="I2218" s="32" t="s">
        <v>150</v>
      </c>
      <c r="J2218" s="32" t="s">
        <v>73</v>
      </c>
      <c r="K2218" s="32" t="s">
        <v>63</v>
      </c>
    </row>
    <row r="2219" customFormat="false" ht="13.5" hidden="false" customHeight="true" outlineLevel="0" collapsed="false">
      <c r="A2219" s="32" t="n">
        <v>4389</v>
      </c>
      <c r="B2219" s="32" t="s">
        <v>1901</v>
      </c>
      <c r="C2219" s="32" t="s">
        <v>1902</v>
      </c>
      <c r="D2219" s="32" t="s">
        <v>59</v>
      </c>
      <c r="E2219" s="32" t="s">
        <v>143</v>
      </c>
      <c r="F2219" s="32" t="n">
        <v>9096257039</v>
      </c>
      <c r="G2219" s="32" t="s">
        <v>61</v>
      </c>
      <c r="H2219" s="32" t="s">
        <v>21</v>
      </c>
      <c r="I2219" s="32" t="s">
        <v>93</v>
      </c>
      <c r="J2219" s="32" t="s">
        <v>85</v>
      </c>
      <c r="K2219" s="32" t="s">
        <v>63</v>
      </c>
    </row>
    <row r="2220" customFormat="false" ht="13.5" hidden="false" customHeight="true" outlineLevel="0" collapsed="false">
      <c r="A2220" s="32" t="n">
        <v>4390</v>
      </c>
      <c r="B2220" s="32" t="s">
        <v>1901</v>
      </c>
      <c r="C2220" s="32" t="s">
        <v>1903</v>
      </c>
      <c r="D2220" s="32" t="s">
        <v>59</v>
      </c>
      <c r="E2220" s="32" t="s">
        <v>143</v>
      </c>
      <c r="F2220" s="32" t="n">
        <v>9096257039</v>
      </c>
      <c r="G2220" s="32" t="s">
        <v>61</v>
      </c>
      <c r="H2220" s="32" t="s">
        <v>21</v>
      </c>
      <c r="I2220" s="32" t="s">
        <v>212</v>
      </c>
      <c r="J2220" s="32" t="s">
        <v>73</v>
      </c>
      <c r="K2220" s="32" t="s">
        <v>63</v>
      </c>
    </row>
    <row r="2221" customFormat="false" ht="13.5" hidden="false" customHeight="true" outlineLevel="0" collapsed="false">
      <c r="A2221" s="32" t="n">
        <v>4391</v>
      </c>
      <c r="B2221" s="32" t="s">
        <v>1901</v>
      </c>
      <c r="C2221" s="32" t="s">
        <v>1904</v>
      </c>
      <c r="D2221" s="32" t="s">
        <v>59</v>
      </c>
      <c r="E2221" s="32" t="s">
        <v>143</v>
      </c>
      <c r="F2221" s="32" t="n">
        <v>9096257039</v>
      </c>
      <c r="G2221" s="32" t="s">
        <v>61</v>
      </c>
      <c r="H2221" s="32" t="s">
        <v>21</v>
      </c>
      <c r="I2221" s="32" t="s">
        <v>393</v>
      </c>
      <c r="J2221" s="32" t="s">
        <v>73</v>
      </c>
      <c r="K2221" s="32" t="s">
        <v>63</v>
      </c>
    </row>
    <row r="2222" customFormat="false" ht="13.5" hidden="false" customHeight="true" outlineLevel="0" collapsed="false">
      <c r="A2222" s="32" t="n">
        <v>4392</v>
      </c>
      <c r="B2222" s="32" t="s">
        <v>1901</v>
      </c>
      <c r="C2222" s="32" t="s">
        <v>1904</v>
      </c>
      <c r="D2222" s="32" t="s">
        <v>59</v>
      </c>
      <c r="E2222" s="32" t="s">
        <v>143</v>
      </c>
      <c r="F2222" s="32" t="n">
        <v>9096257039</v>
      </c>
      <c r="G2222" s="32" t="s">
        <v>61</v>
      </c>
      <c r="H2222" s="32" t="s">
        <v>21</v>
      </c>
      <c r="I2222" s="32" t="s">
        <v>27</v>
      </c>
      <c r="J2222" s="32" t="s">
        <v>13</v>
      </c>
      <c r="K2222" s="32" t="s">
        <v>63</v>
      </c>
    </row>
    <row r="2223" customFormat="false" ht="13.5" hidden="false" customHeight="true" outlineLevel="0" collapsed="false">
      <c r="A2223" s="32" t="n">
        <v>4393</v>
      </c>
      <c r="B2223" s="32" t="s">
        <v>1901</v>
      </c>
      <c r="C2223" s="32" t="s">
        <v>1904</v>
      </c>
      <c r="D2223" s="32" t="s">
        <v>59</v>
      </c>
      <c r="E2223" s="32" t="s">
        <v>143</v>
      </c>
      <c r="F2223" s="32" t="n">
        <v>9096257039</v>
      </c>
      <c r="G2223" s="32" t="s">
        <v>61</v>
      </c>
      <c r="H2223" s="32" t="s">
        <v>21</v>
      </c>
      <c r="I2223" s="32" t="s">
        <v>30</v>
      </c>
      <c r="J2223" s="32" t="s">
        <v>203</v>
      </c>
      <c r="K2223" s="32" t="s">
        <v>63</v>
      </c>
    </row>
    <row r="2224" customFormat="false" ht="13.5" hidden="false" customHeight="true" outlineLevel="0" collapsed="false">
      <c r="A2224" s="32" t="n">
        <v>4394</v>
      </c>
      <c r="B2224" s="32" t="s">
        <v>1901</v>
      </c>
      <c r="C2224" s="32" t="s">
        <v>1904</v>
      </c>
      <c r="D2224" s="32" t="s">
        <v>59</v>
      </c>
      <c r="E2224" s="32" t="s">
        <v>143</v>
      </c>
      <c r="F2224" s="32" t="n">
        <v>9096257039</v>
      </c>
      <c r="G2224" s="32" t="s">
        <v>61</v>
      </c>
      <c r="H2224" s="32" t="s">
        <v>21</v>
      </c>
      <c r="I2224" s="32" t="s">
        <v>111</v>
      </c>
      <c r="J2224" s="32" t="s">
        <v>73</v>
      </c>
      <c r="K2224" s="32" t="s">
        <v>63</v>
      </c>
    </row>
    <row r="2225" customFormat="false" ht="13.5" hidden="false" customHeight="true" outlineLevel="0" collapsed="false">
      <c r="A2225" s="32" t="n">
        <v>4395</v>
      </c>
      <c r="B2225" s="32" t="s">
        <v>1901</v>
      </c>
      <c r="C2225" s="32" t="s">
        <v>1902</v>
      </c>
      <c r="D2225" s="32" t="s">
        <v>59</v>
      </c>
      <c r="E2225" s="32" t="s">
        <v>143</v>
      </c>
      <c r="F2225" s="32" t="n">
        <v>9096257039</v>
      </c>
      <c r="G2225" s="32" t="s">
        <v>61</v>
      </c>
      <c r="H2225" s="32" t="s">
        <v>21</v>
      </c>
      <c r="I2225" s="32" t="s">
        <v>212</v>
      </c>
      <c r="J2225" s="32" t="s">
        <v>73</v>
      </c>
      <c r="K2225" s="32" t="s">
        <v>63</v>
      </c>
    </row>
    <row r="2226" customFormat="false" ht="13.5" hidden="false" customHeight="true" outlineLevel="0" collapsed="false">
      <c r="A2226" s="32" t="n">
        <v>4396</v>
      </c>
      <c r="B2226" s="32" t="s">
        <v>1905</v>
      </c>
      <c r="C2226" s="32" t="s">
        <v>1906</v>
      </c>
      <c r="D2226" s="32" t="s">
        <v>59</v>
      </c>
      <c r="E2226" s="32" t="n">
        <v>0</v>
      </c>
      <c r="F2226" s="32" t="n">
        <v>9811434716</v>
      </c>
      <c r="G2226" s="32" t="s">
        <v>144</v>
      </c>
      <c r="H2226" s="32" t="s">
        <v>21</v>
      </c>
      <c r="I2226" s="32" t="s">
        <v>421</v>
      </c>
      <c r="J2226" s="32" t="s">
        <v>235</v>
      </c>
      <c r="K2226" s="32" t="s">
        <v>63</v>
      </c>
    </row>
    <row r="2227" customFormat="false" ht="13.5" hidden="false" customHeight="true" outlineLevel="0" collapsed="false">
      <c r="A2227" s="32" t="n">
        <v>4397</v>
      </c>
      <c r="B2227" s="32" t="s">
        <v>1905</v>
      </c>
      <c r="C2227" s="32" t="s">
        <v>1906</v>
      </c>
      <c r="D2227" s="32" t="s">
        <v>59</v>
      </c>
      <c r="E2227" s="32" t="n">
        <v>0</v>
      </c>
      <c r="F2227" s="32" t="n">
        <v>9811434716</v>
      </c>
      <c r="G2227" s="32" t="s">
        <v>144</v>
      </c>
      <c r="H2227" s="32" t="s">
        <v>21</v>
      </c>
      <c r="I2227" s="32" t="s">
        <v>463</v>
      </c>
      <c r="J2227" s="32" t="s">
        <v>66</v>
      </c>
      <c r="K2227" s="32" t="s">
        <v>63</v>
      </c>
    </row>
    <row r="2228" customFormat="false" ht="13.5" hidden="false" customHeight="true" outlineLevel="0" collapsed="false">
      <c r="A2228" s="32" t="n">
        <v>4398</v>
      </c>
      <c r="B2228" s="32" t="s">
        <v>1905</v>
      </c>
      <c r="C2228" s="32" t="s">
        <v>1906</v>
      </c>
      <c r="D2228" s="32" t="s">
        <v>59</v>
      </c>
      <c r="E2228" s="32" t="n">
        <v>0</v>
      </c>
      <c r="F2228" s="32" t="n">
        <v>9811434716</v>
      </c>
      <c r="G2228" s="32" t="s">
        <v>144</v>
      </c>
      <c r="H2228" s="32" t="s">
        <v>21</v>
      </c>
      <c r="I2228" s="32" t="s">
        <v>333</v>
      </c>
      <c r="J2228" s="32" t="s">
        <v>235</v>
      </c>
      <c r="K2228" s="32" t="s">
        <v>63</v>
      </c>
    </row>
    <row r="2229" customFormat="false" ht="13.5" hidden="false" customHeight="true" outlineLevel="0" collapsed="false">
      <c r="A2229" s="32" t="n">
        <v>4399</v>
      </c>
      <c r="B2229" s="32" t="s">
        <v>1907</v>
      </c>
      <c r="C2229" s="32" t="s">
        <v>1908</v>
      </c>
      <c r="D2229" s="32" t="s">
        <v>59</v>
      </c>
      <c r="E2229" s="32" t="s">
        <v>107</v>
      </c>
      <c r="F2229" s="32" t="n">
        <v>9789974907</v>
      </c>
      <c r="G2229" s="32" t="s">
        <v>0</v>
      </c>
      <c r="H2229" s="32" t="s">
        <v>21</v>
      </c>
      <c r="I2229" s="32" t="s">
        <v>133</v>
      </c>
      <c r="J2229" s="32" t="s">
        <v>134</v>
      </c>
      <c r="K2229" s="32" t="s">
        <v>63</v>
      </c>
    </row>
    <row r="2230" customFormat="false" ht="13.5" hidden="false" customHeight="true" outlineLevel="0" collapsed="false">
      <c r="A2230" s="32" t="n">
        <v>4400</v>
      </c>
      <c r="B2230" s="32" t="s">
        <v>1907</v>
      </c>
      <c r="C2230" s="32" t="s">
        <v>1908</v>
      </c>
      <c r="D2230" s="32" t="s">
        <v>59</v>
      </c>
      <c r="E2230" s="32" t="s">
        <v>107</v>
      </c>
      <c r="F2230" s="32" t="n">
        <v>9789974907</v>
      </c>
      <c r="G2230" s="32" t="s">
        <v>0</v>
      </c>
      <c r="H2230" s="32" t="s">
        <v>21</v>
      </c>
      <c r="I2230" s="32" t="s">
        <v>116</v>
      </c>
      <c r="J2230" s="32" t="s">
        <v>117</v>
      </c>
      <c r="K2230" s="32" t="s">
        <v>63</v>
      </c>
    </row>
    <row r="2231" customFormat="false" ht="13.5" hidden="false" customHeight="true" outlineLevel="0" collapsed="false">
      <c r="A2231" s="32" t="n">
        <v>4401</v>
      </c>
      <c r="B2231" s="32" t="s">
        <v>1909</v>
      </c>
      <c r="C2231" s="32" t="s">
        <v>1910</v>
      </c>
      <c r="D2231" s="32" t="s">
        <v>114</v>
      </c>
      <c r="E2231" s="32" t="s">
        <v>115</v>
      </c>
      <c r="F2231" s="33" t="n">
        <v>919868000000</v>
      </c>
      <c r="G2231" s="32" t="s">
        <v>104</v>
      </c>
      <c r="H2231" s="32" t="s">
        <v>22</v>
      </c>
      <c r="I2231" s="32" t="s">
        <v>98</v>
      </c>
      <c r="J2231" s="32" t="s">
        <v>99</v>
      </c>
      <c r="K2231" s="32" t="s">
        <v>63</v>
      </c>
    </row>
    <row r="2232" customFormat="false" ht="13.5" hidden="false" customHeight="true" outlineLevel="0" collapsed="false">
      <c r="A2232" s="32" t="n">
        <v>4402</v>
      </c>
      <c r="B2232" s="32" t="s">
        <v>1909</v>
      </c>
      <c r="C2232" s="32" t="s">
        <v>1910</v>
      </c>
      <c r="D2232" s="32" t="s">
        <v>114</v>
      </c>
      <c r="E2232" s="32" t="s">
        <v>115</v>
      </c>
      <c r="F2232" s="32" t="n">
        <v>9867641177</v>
      </c>
      <c r="G2232" s="32" t="s">
        <v>104</v>
      </c>
      <c r="H2232" s="32" t="s">
        <v>22</v>
      </c>
      <c r="I2232" s="32" t="s">
        <v>146</v>
      </c>
      <c r="J2232" s="32" t="s">
        <v>117</v>
      </c>
      <c r="K2232" s="32" t="s">
        <v>63</v>
      </c>
    </row>
    <row r="2233" customFormat="false" ht="13.5" hidden="false" customHeight="true" outlineLevel="0" collapsed="false">
      <c r="A2233" s="32" t="n">
        <v>4403</v>
      </c>
      <c r="B2233" s="32" t="s">
        <v>1909</v>
      </c>
      <c r="C2233" s="32" t="s">
        <v>1910</v>
      </c>
      <c r="D2233" s="32" t="s">
        <v>114</v>
      </c>
      <c r="E2233" s="32" t="s">
        <v>115</v>
      </c>
      <c r="F2233" s="32" t="n">
        <v>9867641177</v>
      </c>
      <c r="G2233" s="32" t="s">
        <v>104</v>
      </c>
      <c r="H2233" s="32" t="s">
        <v>22</v>
      </c>
      <c r="I2233" s="32" t="s">
        <v>137</v>
      </c>
      <c r="J2233" s="32" t="s">
        <v>13</v>
      </c>
      <c r="K2233" s="32" t="s">
        <v>63</v>
      </c>
    </row>
    <row r="2234" customFormat="false" ht="13.5" hidden="false" customHeight="true" outlineLevel="0" collapsed="false">
      <c r="A2234" s="32" t="n">
        <v>4404</v>
      </c>
      <c r="B2234" s="32" t="s">
        <v>1909</v>
      </c>
      <c r="C2234" s="32" t="s">
        <v>1910</v>
      </c>
      <c r="D2234" s="32" t="s">
        <v>114</v>
      </c>
      <c r="E2234" s="32" t="s">
        <v>115</v>
      </c>
      <c r="F2234" s="32" t="n">
        <v>9867641177</v>
      </c>
      <c r="G2234" s="32" t="s">
        <v>104</v>
      </c>
      <c r="H2234" s="32" t="s">
        <v>22</v>
      </c>
      <c r="I2234" s="32" t="s">
        <v>27</v>
      </c>
      <c r="J2234" s="32" t="s">
        <v>13</v>
      </c>
      <c r="K2234" s="32" t="s">
        <v>63</v>
      </c>
    </row>
    <row r="2235" customFormat="false" ht="13.5" hidden="false" customHeight="true" outlineLevel="0" collapsed="false">
      <c r="A2235" s="32" t="n">
        <v>4405</v>
      </c>
      <c r="B2235" s="32" t="s">
        <v>1911</v>
      </c>
      <c r="C2235" s="32" t="s">
        <v>1912</v>
      </c>
      <c r="D2235" s="32" t="s">
        <v>114</v>
      </c>
      <c r="E2235" s="32" t="s">
        <v>115</v>
      </c>
      <c r="F2235" s="33" t="n">
        <v>918886000000</v>
      </c>
      <c r="G2235" s="32" t="s">
        <v>80</v>
      </c>
      <c r="H2235" s="32" t="s">
        <v>22</v>
      </c>
      <c r="I2235" s="32" t="s">
        <v>120</v>
      </c>
      <c r="J2235" s="32" t="s">
        <v>110</v>
      </c>
      <c r="K2235" s="32" t="s">
        <v>63</v>
      </c>
    </row>
    <row r="2236" customFormat="false" ht="13.5" hidden="false" customHeight="true" outlineLevel="0" collapsed="false">
      <c r="A2236" s="32" t="n">
        <v>4406</v>
      </c>
      <c r="B2236" s="32" t="s">
        <v>1911</v>
      </c>
      <c r="C2236" s="32" t="s">
        <v>1912</v>
      </c>
      <c r="D2236" s="32" t="s">
        <v>114</v>
      </c>
      <c r="E2236" s="32" t="s">
        <v>115</v>
      </c>
      <c r="F2236" s="33" t="n">
        <v>918886000000</v>
      </c>
      <c r="G2236" s="32" t="s">
        <v>80</v>
      </c>
      <c r="H2236" s="32" t="s">
        <v>22</v>
      </c>
      <c r="I2236" s="32" t="s">
        <v>121</v>
      </c>
      <c r="J2236" s="32" t="s">
        <v>110</v>
      </c>
      <c r="K2236" s="32" t="s">
        <v>63</v>
      </c>
    </row>
    <row r="2237" customFormat="false" ht="13.5" hidden="false" customHeight="true" outlineLevel="0" collapsed="false">
      <c r="A2237" s="32" t="n">
        <v>4407</v>
      </c>
      <c r="B2237" s="32" t="s">
        <v>1911</v>
      </c>
      <c r="C2237" s="32" t="s">
        <v>1912</v>
      </c>
      <c r="D2237" s="32" t="s">
        <v>114</v>
      </c>
      <c r="E2237" s="32" t="s">
        <v>115</v>
      </c>
      <c r="F2237" s="33" t="n">
        <v>918886000000</v>
      </c>
      <c r="G2237" s="32" t="s">
        <v>80</v>
      </c>
      <c r="H2237" s="32" t="s">
        <v>22</v>
      </c>
      <c r="I2237" s="32" t="s">
        <v>145</v>
      </c>
      <c r="J2237" s="32" t="s">
        <v>117</v>
      </c>
      <c r="K2237" s="32" t="s">
        <v>63</v>
      </c>
    </row>
    <row r="2238" customFormat="false" ht="13.5" hidden="false" customHeight="true" outlineLevel="0" collapsed="false">
      <c r="A2238" s="32" t="n">
        <v>4408</v>
      </c>
      <c r="B2238" s="32" t="s">
        <v>1913</v>
      </c>
      <c r="C2238" s="32" t="s">
        <v>1914</v>
      </c>
      <c r="D2238" s="32" t="s">
        <v>114</v>
      </c>
      <c r="E2238" s="32" t="s">
        <v>115</v>
      </c>
      <c r="F2238" s="32" t="n">
        <v>9676615319</v>
      </c>
      <c r="G2238" s="32" t="s">
        <v>80</v>
      </c>
      <c r="H2238" s="32" t="s">
        <v>22</v>
      </c>
      <c r="I2238" s="32" t="s">
        <v>248</v>
      </c>
      <c r="J2238" s="32" t="s">
        <v>117</v>
      </c>
      <c r="K2238" s="32" t="s">
        <v>63</v>
      </c>
    </row>
    <row r="2239" customFormat="false" ht="13.5" hidden="false" customHeight="true" outlineLevel="0" collapsed="false">
      <c r="A2239" s="32" t="n">
        <v>4409</v>
      </c>
      <c r="B2239" s="32" t="s">
        <v>1913</v>
      </c>
      <c r="C2239" s="32" t="s">
        <v>1914</v>
      </c>
      <c r="D2239" s="32" t="s">
        <v>114</v>
      </c>
      <c r="E2239" s="32" t="s">
        <v>115</v>
      </c>
      <c r="F2239" s="32" t="n">
        <v>9676615319</v>
      </c>
      <c r="G2239" s="32" t="s">
        <v>80</v>
      </c>
      <c r="H2239" s="32" t="s">
        <v>22</v>
      </c>
      <c r="I2239" s="32" t="s">
        <v>93</v>
      </c>
      <c r="J2239" s="32" t="s">
        <v>85</v>
      </c>
      <c r="K2239" s="32" t="s">
        <v>63</v>
      </c>
    </row>
    <row r="2240" customFormat="false" ht="13.5" hidden="false" customHeight="true" outlineLevel="0" collapsed="false">
      <c r="A2240" s="32" t="n">
        <v>4410</v>
      </c>
      <c r="B2240" s="32" t="s">
        <v>1913</v>
      </c>
      <c r="C2240" s="32" t="s">
        <v>1914</v>
      </c>
      <c r="D2240" s="32" t="s">
        <v>114</v>
      </c>
      <c r="E2240" s="32" t="s">
        <v>115</v>
      </c>
      <c r="F2240" s="32" t="n">
        <v>9676615319</v>
      </c>
      <c r="G2240" s="32" t="s">
        <v>80</v>
      </c>
      <c r="H2240" s="32" t="s">
        <v>22</v>
      </c>
      <c r="I2240" s="32" t="s">
        <v>126</v>
      </c>
      <c r="J2240" s="32" t="s">
        <v>85</v>
      </c>
      <c r="K2240" s="32" t="s">
        <v>63</v>
      </c>
    </row>
    <row r="2241" customFormat="false" ht="13.5" hidden="false" customHeight="true" outlineLevel="0" collapsed="false">
      <c r="A2241" s="32" t="n">
        <v>4411</v>
      </c>
      <c r="B2241" s="32" t="s">
        <v>1915</v>
      </c>
      <c r="C2241" s="32" t="s">
        <v>1916</v>
      </c>
      <c r="D2241" s="32" t="s">
        <v>114</v>
      </c>
      <c r="E2241" s="32" t="s">
        <v>115</v>
      </c>
      <c r="F2241" s="32" t="n">
        <v>9439400147</v>
      </c>
      <c r="G2241" s="32" t="s">
        <v>80</v>
      </c>
      <c r="H2241" s="32" t="s">
        <v>22</v>
      </c>
      <c r="I2241" s="32" t="s">
        <v>16</v>
      </c>
      <c r="J2241" s="32" t="s">
        <v>73</v>
      </c>
      <c r="K2241" s="32" t="s">
        <v>63</v>
      </c>
    </row>
    <row r="2242" customFormat="false" ht="13.5" hidden="false" customHeight="true" outlineLevel="0" collapsed="false">
      <c r="A2242" s="32" t="n">
        <v>4412</v>
      </c>
      <c r="B2242" s="32" t="s">
        <v>1915</v>
      </c>
      <c r="C2242" s="32" t="s">
        <v>1916</v>
      </c>
      <c r="D2242" s="32" t="s">
        <v>114</v>
      </c>
      <c r="E2242" s="32" t="s">
        <v>115</v>
      </c>
      <c r="F2242" s="32" t="n">
        <v>9439400147</v>
      </c>
      <c r="G2242" s="32" t="s">
        <v>80</v>
      </c>
      <c r="H2242" s="32" t="s">
        <v>22</v>
      </c>
      <c r="I2242" s="32" t="s">
        <v>116</v>
      </c>
      <c r="J2242" s="32" t="s">
        <v>117</v>
      </c>
      <c r="K2242" s="32" t="s">
        <v>63</v>
      </c>
    </row>
    <row r="2243" customFormat="false" ht="13.5" hidden="false" customHeight="true" outlineLevel="0" collapsed="false">
      <c r="A2243" s="32" t="n">
        <v>4413</v>
      </c>
      <c r="B2243" s="32" t="s">
        <v>1915</v>
      </c>
      <c r="C2243" s="32" t="s">
        <v>1916</v>
      </c>
      <c r="D2243" s="32" t="s">
        <v>114</v>
      </c>
      <c r="E2243" s="32" t="s">
        <v>115</v>
      </c>
      <c r="F2243" s="32" t="n">
        <v>9439400147</v>
      </c>
      <c r="G2243" s="32" t="s">
        <v>80</v>
      </c>
      <c r="H2243" s="32" t="s">
        <v>22</v>
      </c>
      <c r="I2243" s="32" t="s">
        <v>120</v>
      </c>
      <c r="J2243" s="32" t="s">
        <v>110</v>
      </c>
      <c r="K2243" s="32" t="s">
        <v>63</v>
      </c>
    </row>
    <row r="2244" customFormat="false" ht="13.5" hidden="false" customHeight="true" outlineLevel="0" collapsed="false">
      <c r="A2244" s="32" t="n">
        <v>4414</v>
      </c>
      <c r="B2244" s="32" t="s">
        <v>1915</v>
      </c>
      <c r="C2244" s="32" t="s">
        <v>1916</v>
      </c>
      <c r="D2244" s="32" t="s">
        <v>114</v>
      </c>
      <c r="E2244" s="32" t="s">
        <v>115</v>
      </c>
      <c r="F2244" s="32" t="n">
        <v>9439400147</v>
      </c>
      <c r="G2244" s="32" t="s">
        <v>80</v>
      </c>
      <c r="H2244" s="32" t="s">
        <v>22</v>
      </c>
      <c r="I2244" s="32" t="s">
        <v>145</v>
      </c>
      <c r="J2244" s="32" t="s">
        <v>117</v>
      </c>
      <c r="K2244" s="32" t="s">
        <v>63</v>
      </c>
    </row>
    <row r="2245" customFormat="false" ht="13.5" hidden="false" customHeight="true" outlineLevel="0" collapsed="false">
      <c r="A2245" s="32" t="n">
        <v>4415</v>
      </c>
      <c r="B2245" s="32" t="s">
        <v>1915</v>
      </c>
      <c r="C2245" s="32" t="s">
        <v>1916</v>
      </c>
      <c r="D2245" s="32" t="s">
        <v>114</v>
      </c>
      <c r="E2245" s="32" t="s">
        <v>115</v>
      </c>
      <c r="F2245" s="32" t="n">
        <v>9439400147</v>
      </c>
      <c r="G2245" s="32" t="s">
        <v>80</v>
      </c>
      <c r="H2245" s="32" t="s">
        <v>22</v>
      </c>
      <c r="I2245" s="32" t="s">
        <v>128</v>
      </c>
      <c r="J2245" s="32" t="s">
        <v>89</v>
      </c>
      <c r="K2245" s="32" t="s">
        <v>63</v>
      </c>
    </row>
    <row r="2246" customFormat="false" ht="13.5" hidden="false" customHeight="true" outlineLevel="0" collapsed="false">
      <c r="A2246" s="32" t="n">
        <v>4416</v>
      </c>
      <c r="B2246" s="32" t="s">
        <v>1917</v>
      </c>
      <c r="C2246" s="32" t="s">
        <v>1918</v>
      </c>
      <c r="D2246" s="32" t="s">
        <v>59</v>
      </c>
      <c r="E2246" s="32" t="s">
        <v>107</v>
      </c>
      <c r="F2246" s="32" t="n">
        <v>8121392596</v>
      </c>
      <c r="G2246" s="32" t="s">
        <v>61</v>
      </c>
      <c r="H2246" s="32" t="s">
        <v>21</v>
      </c>
      <c r="I2246" s="32" t="s">
        <v>108</v>
      </c>
      <c r="J2246" s="32" t="s">
        <v>71</v>
      </c>
      <c r="K2246" s="32" t="s">
        <v>63</v>
      </c>
    </row>
    <row r="2247" customFormat="false" ht="13.5" hidden="false" customHeight="true" outlineLevel="0" collapsed="false">
      <c r="A2247" s="32" t="n">
        <v>4417</v>
      </c>
      <c r="B2247" s="32" t="s">
        <v>1917</v>
      </c>
      <c r="C2247" s="32" t="s">
        <v>1918</v>
      </c>
      <c r="D2247" s="32" t="s">
        <v>59</v>
      </c>
      <c r="E2247" s="32" t="s">
        <v>107</v>
      </c>
      <c r="F2247" s="32" t="n">
        <v>8121392596</v>
      </c>
      <c r="G2247" s="32" t="s">
        <v>61</v>
      </c>
      <c r="H2247" s="32" t="s">
        <v>21</v>
      </c>
      <c r="I2247" s="32" t="s">
        <v>145</v>
      </c>
      <c r="J2247" s="32" t="s">
        <v>117</v>
      </c>
      <c r="K2247" s="32" t="s">
        <v>63</v>
      </c>
    </row>
    <row r="2248" customFormat="false" ht="13.5" hidden="false" customHeight="true" outlineLevel="0" collapsed="false">
      <c r="A2248" s="32" t="n">
        <v>4418</v>
      </c>
      <c r="B2248" s="32" t="s">
        <v>1917</v>
      </c>
      <c r="C2248" s="32" t="s">
        <v>1918</v>
      </c>
      <c r="D2248" s="32" t="s">
        <v>59</v>
      </c>
      <c r="E2248" s="32" t="s">
        <v>107</v>
      </c>
      <c r="F2248" s="32" t="n">
        <v>8121392596</v>
      </c>
      <c r="G2248" s="32" t="s">
        <v>61</v>
      </c>
      <c r="H2248" s="32" t="s">
        <v>21</v>
      </c>
      <c r="I2248" s="32" t="s">
        <v>133</v>
      </c>
      <c r="J2248" s="32" t="s">
        <v>134</v>
      </c>
      <c r="K2248" s="32" t="s">
        <v>63</v>
      </c>
    </row>
    <row r="2249" customFormat="false" ht="13.5" hidden="false" customHeight="true" outlineLevel="0" collapsed="false">
      <c r="A2249" s="32" t="n">
        <v>4419</v>
      </c>
      <c r="B2249" s="32" t="s">
        <v>1919</v>
      </c>
      <c r="C2249" s="32" t="s">
        <v>1920</v>
      </c>
      <c r="D2249" s="32" t="s">
        <v>59</v>
      </c>
      <c r="E2249" s="32" t="s">
        <v>60</v>
      </c>
      <c r="F2249" s="32" t="n">
        <v>9148262514</v>
      </c>
      <c r="G2249" s="32" t="s">
        <v>61</v>
      </c>
      <c r="H2249" s="32" t="s">
        <v>21</v>
      </c>
      <c r="I2249" s="32" t="s">
        <v>333</v>
      </c>
      <c r="J2249" s="32" t="s">
        <v>235</v>
      </c>
      <c r="K2249" s="32" t="s">
        <v>63</v>
      </c>
    </row>
    <row r="2250" customFormat="false" ht="13.5" hidden="false" customHeight="true" outlineLevel="0" collapsed="false">
      <c r="A2250" s="32" t="n">
        <v>4420</v>
      </c>
      <c r="B2250" s="32" t="s">
        <v>1921</v>
      </c>
      <c r="C2250" s="32" t="s">
        <v>1922</v>
      </c>
      <c r="D2250" s="32" t="s">
        <v>59</v>
      </c>
      <c r="E2250" s="32" t="s">
        <v>60</v>
      </c>
      <c r="F2250" s="32" t="n">
        <v>9739979440</v>
      </c>
      <c r="G2250" s="32" t="s">
        <v>80</v>
      </c>
      <c r="H2250" s="32" t="s">
        <v>21</v>
      </c>
      <c r="I2250" s="32" t="s">
        <v>156</v>
      </c>
      <c r="J2250" s="32" t="s">
        <v>62</v>
      </c>
      <c r="K2250" s="32" t="s">
        <v>63</v>
      </c>
    </row>
    <row r="2251" customFormat="false" ht="13.5" hidden="false" customHeight="true" outlineLevel="0" collapsed="false">
      <c r="A2251" s="32" t="n">
        <v>4421</v>
      </c>
      <c r="B2251" s="32" t="s">
        <v>1921</v>
      </c>
      <c r="C2251" s="32" t="s">
        <v>1922</v>
      </c>
      <c r="D2251" s="32" t="s">
        <v>59</v>
      </c>
      <c r="E2251" s="32" t="s">
        <v>60</v>
      </c>
      <c r="F2251" s="32" t="n">
        <v>9739979440</v>
      </c>
      <c r="G2251" s="32" t="s">
        <v>80</v>
      </c>
      <c r="H2251" s="32" t="s">
        <v>21</v>
      </c>
      <c r="I2251" s="32" t="s">
        <v>14</v>
      </c>
      <c r="J2251" s="32" t="s">
        <v>66</v>
      </c>
      <c r="K2251" s="32" t="s">
        <v>63</v>
      </c>
    </row>
    <row r="2252" customFormat="false" ht="13.5" hidden="false" customHeight="true" outlineLevel="0" collapsed="false">
      <c r="A2252" s="32" t="n">
        <v>4423</v>
      </c>
      <c r="B2252" s="32" t="s">
        <v>1921</v>
      </c>
      <c r="C2252" s="32" t="s">
        <v>1922</v>
      </c>
      <c r="D2252" s="32" t="s">
        <v>59</v>
      </c>
      <c r="E2252" s="32" t="s">
        <v>60</v>
      </c>
      <c r="F2252" s="32" t="n">
        <v>9739979440</v>
      </c>
      <c r="G2252" s="32" t="s">
        <v>80</v>
      </c>
      <c r="H2252" s="32" t="s">
        <v>21</v>
      </c>
      <c r="I2252" s="32" t="s">
        <v>29</v>
      </c>
      <c r="J2252" s="32" t="s">
        <v>62</v>
      </c>
      <c r="K2252" s="32" t="s">
        <v>63</v>
      </c>
    </row>
    <row r="2253" customFormat="false" ht="13.5" hidden="false" customHeight="true" outlineLevel="0" collapsed="false">
      <c r="A2253" s="32" t="n">
        <v>4424</v>
      </c>
      <c r="B2253" s="32" t="s">
        <v>1923</v>
      </c>
      <c r="C2253" s="32" t="s">
        <v>1924</v>
      </c>
      <c r="D2253" s="32" t="s">
        <v>59</v>
      </c>
      <c r="E2253" s="32" t="s">
        <v>143</v>
      </c>
      <c r="F2253" s="32" t="n">
        <v>9522554844</v>
      </c>
      <c r="G2253" s="32" t="s">
        <v>69</v>
      </c>
      <c r="H2253" s="32" t="s">
        <v>21</v>
      </c>
      <c r="I2253" s="32" t="s">
        <v>75</v>
      </c>
      <c r="J2253" s="32" t="s">
        <v>76</v>
      </c>
      <c r="K2253" s="32" t="s">
        <v>63</v>
      </c>
    </row>
    <row r="2254" customFormat="false" ht="13.5" hidden="false" customHeight="true" outlineLevel="0" collapsed="false">
      <c r="A2254" s="32" t="n">
        <v>4426</v>
      </c>
      <c r="B2254" s="32" t="s">
        <v>1923</v>
      </c>
      <c r="C2254" s="32" t="s">
        <v>1925</v>
      </c>
      <c r="D2254" s="32" t="s">
        <v>59</v>
      </c>
      <c r="E2254" s="32" t="s">
        <v>143</v>
      </c>
      <c r="F2254" s="32" t="n">
        <v>9522554844</v>
      </c>
      <c r="G2254" s="32" t="s">
        <v>69</v>
      </c>
      <c r="H2254" s="32" t="s">
        <v>21</v>
      </c>
      <c r="I2254" s="32" t="s">
        <v>108</v>
      </c>
      <c r="J2254" s="32" t="s">
        <v>71</v>
      </c>
      <c r="K2254" s="32" t="s">
        <v>63</v>
      </c>
    </row>
    <row r="2255" customFormat="false" ht="13.5" hidden="false" customHeight="true" outlineLevel="0" collapsed="false">
      <c r="A2255" s="32" t="n">
        <v>4427</v>
      </c>
      <c r="B2255" s="32" t="s">
        <v>1923</v>
      </c>
      <c r="C2255" s="32" t="s">
        <v>1925</v>
      </c>
      <c r="D2255" s="32" t="s">
        <v>59</v>
      </c>
      <c r="E2255" s="32" t="s">
        <v>143</v>
      </c>
      <c r="F2255" s="32" t="n">
        <v>9522554844</v>
      </c>
      <c r="G2255" s="32" t="s">
        <v>69</v>
      </c>
      <c r="H2255" s="32" t="s">
        <v>21</v>
      </c>
      <c r="I2255" s="32" t="s">
        <v>111</v>
      </c>
      <c r="J2255" s="32" t="s">
        <v>73</v>
      </c>
      <c r="K2255" s="32" t="s">
        <v>63</v>
      </c>
    </row>
    <row r="2256" customFormat="false" ht="13.5" hidden="false" customHeight="true" outlineLevel="0" collapsed="false">
      <c r="A2256" s="32" t="n">
        <v>4428</v>
      </c>
      <c r="B2256" s="32" t="s">
        <v>1923</v>
      </c>
      <c r="C2256" s="32" t="s">
        <v>1925</v>
      </c>
      <c r="D2256" s="32" t="s">
        <v>59</v>
      </c>
      <c r="E2256" s="32" t="s">
        <v>143</v>
      </c>
      <c r="F2256" s="32" t="n">
        <v>9522554844</v>
      </c>
      <c r="G2256" s="32" t="s">
        <v>69</v>
      </c>
      <c r="H2256" s="32" t="s">
        <v>21</v>
      </c>
      <c r="I2256" s="32" t="s">
        <v>280</v>
      </c>
      <c r="J2256" s="32" t="s">
        <v>76</v>
      </c>
      <c r="K2256" s="32" t="s">
        <v>63</v>
      </c>
    </row>
    <row r="2257" customFormat="false" ht="13.5" hidden="false" customHeight="true" outlineLevel="0" collapsed="false">
      <c r="A2257" s="32" t="n">
        <v>4429</v>
      </c>
      <c r="B2257" s="32" t="s">
        <v>1926</v>
      </c>
      <c r="C2257" s="32" t="s">
        <v>1927</v>
      </c>
      <c r="D2257" s="32" t="s">
        <v>59</v>
      </c>
      <c r="E2257" s="32" t="s">
        <v>79</v>
      </c>
      <c r="F2257" s="33" t="n">
        <v>918894000000</v>
      </c>
      <c r="G2257" s="32" t="s">
        <v>80</v>
      </c>
      <c r="H2257" s="32" t="s">
        <v>21</v>
      </c>
      <c r="I2257" s="32" t="s">
        <v>265</v>
      </c>
      <c r="J2257" s="32" t="s">
        <v>152</v>
      </c>
      <c r="K2257" s="32" t="s">
        <v>63</v>
      </c>
    </row>
    <row r="2258" customFormat="false" ht="13.5" hidden="false" customHeight="true" outlineLevel="0" collapsed="false">
      <c r="A2258" s="32" t="n">
        <v>4430</v>
      </c>
      <c r="B2258" s="32" t="s">
        <v>1928</v>
      </c>
      <c r="C2258" s="32" t="s">
        <v>1929</v>
      </c>
      <c r="D2258" s="32" t="s">
        <v>59</v>
      </c>
      <c r="E2258" s="32" t="s">
        <v>143</v>
      </c>
      <c r="F2258" s="32" t="n">
        <v>8149718095</v>
      </c>
      <c r="G2258" s="32" t="s">
        <v>104</v>
      </c>
      <c r="H2258" s="32" t="s">
        <v>21</v>
      </c>
      <c r="I2258" s="32" t="s">
        <v>128</v>
      </c>
      <c r="J2258" s="32" t="s">
        <v>89</v>
      </c>
      <c r="K2258" s="32" t="s">
        <v>63</v>
      </c>
    </row>
    <row r="2259" customFormat="false" ht="13.5" hidden="false" customHeight="true" outlineLevel="0" collapsed="false">
      <c r="A2259" s="32" t="n">
        <v>4431</v>
      </c>
      <c r="B2259" s="32" t="s">
        <v>1928</v>
      </c>
      <c r="C2259" s="32" t="s">
        <v>1929</v>
      </c>
      <c r="D2259" s="32" t="s">
        <v>59</v>
      </c>
      <c r="E2259" s="32" t="s">
        <v>143</v>
      </c>
      <c r="F2259" s="32" t="n">
        <v>8149718095</v>
      </c>
      <c r="G2259" s="32" t="s">
        <v>104</v>
      </c>
      <c r="H2259" s="32" t="s">
        <v>21</v>
      </c>
      <c r="I2259" s="32" t="s">
        <v>151</v>
      </c>
      <c r="J2259" s="32" t="s">
        <v>152</v>
      </c>
      <c r="K2259" s="32" t="s">
        <v>63</v>
      </c>
    </row>
    <row r="2260" customFormat="false" ht="13.5" hidden="false" customHeight="true" outlineLevel="0" collapsed="false">
      <c r="A2260" s="32" t="n">
        <v>4432</v>
      </c>
      <c r="B2260" s="32" t="s">
        <v>1928</v>
      </c>
      <c r="C2260" s="32" t="s">
        <v>1929</v>
      </c>
      <c r="D2260" s="32" t="s">
        <v>59</v>
      </c>
      <c r="E2260" s="32" t="s">
        <v>143</v>
      </c>
      <c r="F2260" s="32" t="n">
        <v>8149718095</v>
      </c>
      <c r="G2260" s="32" t="s">
        <v>104</v>
      </c>
      <c r="H2260" s="32" t="s">
        <v>21</v>
      </c>
      <c r="I2260" s="32" t="s">
        <v>85</v>
      </c>
      <c r="J2260" s="32" t="s">
        <v>85</v>
      </c>
      <c r="K2260" s="32" t="s">
        <v>63</v>
      </c>
    </row>
    <row r="2261" customFormat="false" ht="13.5" hidden="false" customHeight="true" outlineLevel="0" collapsed="false">
      <c r="A2261" s="32" t="n">
        <v>4437</v>
      </c>
      <c r="B2261" s="32" t="s">
        <v>1928</v>
      </c>
      <c r="C2261" s="32" t="s">
        <v>1930</v>
      </c>
      <c r="D2261" s="32" t="s">
        <v>59</v>
      </c>
      <c r="E2261" s="32" t="s">
        <v>143</v>
      </c>
      <c r="F2261" s="32" t="n">
        <v>8149718095</v>
      </c>
      <c r="G2261" s="32" t="s">
        <v>104</v>
      </c>
      <c r="H2261" s="32" t="s">
        <v>21</v>
      </c>
      <c r="I2261" s="32" t="s">
        <v>151</v>
      </c>
      <c r="J2261" s="32" t="s">
        <v>152</v>
      </c>
      <c r="K2261" s="32" t="s">
        <v>63</v>
      </c>
    </row>
    <row r="2262" customFormat="false" ht="13.5" hidden="false" customHeight="true" outlineLevel="0" collapsed="false">
      <c r="A2262" s="32" t="n">
        <v>4438</v>
      </c>
      <c r="B2262" s="32" t="s">
        <v>1928</v>
      </c>
      <c r="C2262" s="32" t="s">
        <v>1930</v>
      </c>
      <c r="D2262" s="32" t="s">
        <v>59</v>
      </c>
      <c r="E2262" s="32" t="s">
        <v>143</v>
      </c>
      <c r="F2262" s="32" t="n">
        <v>8149718095</v>
      </c>
      <c r="G2262" s="32" t="s">
        <v>104</v>
      </c>
      <c r="H2262" s="32" t="s">
        <v>21</v>
      </c>
      <c r="I2262" s="32" t="s">
        <v>146</v>
      </c>
      <c r="J2262" s="32" t="s">
        <v>117</v>
      </c>
      <c r="K2262" s="32" t="s">
        <v>63</v>
      </c>
    </row>
    <row r="2263" customFormat="false" ht="13.5" hidden="false" customHeight="true" outlineLevel="0" collapsed="false">
      <c r="A2263" s="32" t="n">
        <v>4439</v>
      </c>
      <c r="B2263" s="32" t="s">
        <v>1928</v>
      </c>
      <c r="C2263" s="32" t="s">
        <v>1930</v>
      </c>
      <c r="D2263" s="32" t="s">
        <v>59</v>
      </c>
      <c r="E2263" s="32" t="s">
        <v>143</v>
      </c>
      <c r="F2263" s="32" t="n">
        <v>8149718095</v>
      </c>
      <c r="G2263" s="32" t="s">
        <v>104</v>
      </c>
      <c r="H2263" s="32" t="s">
        <v>21</v>
      </c>
      <c r="I2263" s="32" t="s">
        <v>678</v>
      </c>
      <c r="J2263" s="32" t="s">
        <v>152</v>
      </c>
      <c r="K2263" s="32" t="s">
        <v>63</v>
      </c>
    </row>
    <row r="2264" customFormat="false" ht="13.5" hidden="false" customHeight="true" outlineLevel="0" collapsed="false">
      <c r="A2264" s="32" t="n">
        <v>4442</v>
      </c>
      <c r="B2264" s="32" t="s">
        <v>1931</v>
      </c>
      <c r="C2264" s="32" t="s">
        <v>1932</v>
      </c>
      <c r="D2264" s="32" t="s">
        <v>59</v>
      </c>
      <c r="E2264" s="32" t="s">
        <v>79</v>
      </c>
      <c r="F2264" s="32" t="n">
        <v>8668401682</v>
      </c>
      <c r="G2264" s="32" t="s">
        <v>104</v>
      </c>
      <c r="H2264" s="32" t="s">
        <v>21</v>
      </c>
      <c r="I2264" s="32" t="s">
        <v>151</v>
      </c>
      <c r="J2264" s="32" t="s">
        <v>152</v>
      </c>
      <c r="K2264" s="32" t="s">
        <v>63</v>
      </c>
    </row>
    <row r="2265" customFormat="false" ht="13.5" hidden="false" customHeight="true" outlineLevel="0" collapsed="false">
      <c r="A2265" s="32" t="n">
        <v>4443</v>
      </c>
      <c r="B2265" s="32" t="s">
        <v>1931</v>
      </c>
      <c r="C2265" s="32" t="s">
        <v>1932</v>
      </c>
      <c r="D2265" s="32" t="s">
        <v>59</v>
      </c>
      <c r="E2265" s="32" t="s">
        <v>79</v>
      </c>
      <c r="F2265" s="32" t="n">
        <v>8668401682</v>
      </c>
      <c r="G2265" s="32" t="s">
        <v>104</v>
      </c>
      <c r="H2265" s="32" t="s">
        <v>21</v>
      </c>
      <c r="I2265" s="32" t="s">
        <v>85</v>
      </c>
      <c r="J2265" s="32" t="s">
        <v>85</v>
      </c>
      <c r="K2265" s="32" t="s">
        <v>63</v>
      </c>
    </row>
    <row r="2266" customFormat="false" ht="13.5" hidden="false" customHeight="true" outlineLevel="0" collapsed="false">
      <c r="A2266" s="32" t="n">
        <v>4444</v>
      </c>
      <c r="B2266" s="32" t="s">
        <v>1931</v>
      </c>
      <c r="C2266" s="32" t="s">
        <v>1933</v>
      </c>
      <c r="D2266" s="32" t="s">
        <v>59</v>
      </c>
      <c r="E2266" s="32" t="s">
        <v>79</v>
      </c>
      <c r="F2266" s="32" t="n">
        <v>8668401682</v>
      </c>
      <c r="G2266" s="32" t="s">
        <v>104</v>
      </c>
      <c r="H2266" s="32" t="s">
        <v>21</v>
      </c>
      <c r="I2266" s="32" t="s">
        <v>151</v>
      </c>
      <c r="J2266" s="32" t="s">
        <v>152</v>
      </c>
      <c r="K2266" s="32" t="s">
        <v>63</v>
      </c>
    </row>
    <row r="2267" customFormat="false" ht="13.5" hidden="false" customHeight="true" outlineLevel="0" collapsed="false">
      <c r="A2267" s="32" t="n">
        <v>4445</v>
      </c>
      <c r="B2267" s="32" t="s">
        <v>1931</v>
      </c>
      <c r="C2267" s="32" t="s">
        <v>1933</v>
      </c>
      <c r="D2267" s="32" t="s">
        <v>59</v>
      </c>
      <c r="E2267" s="32" t="s">
        <v>79</v>
      </c>
      <c r="F2267" s="32" t="n">
        <v>8668401682</v>
      </c>
      <c r="G2267" s="32" t="s">
        <v>104</v>
      </c>
      <c r="H2267" s="32" t="s">
        <v>21</v>
      </c>
      <c r="I2267" s="32" t="s">
        <v>93</v>
      </c>
      <c r="J2267" s="32" t="s">
        <v>85</v>
      </c>
      <c r="K2267" s="32" t="s">
        <v>63</v>
      </c>
    </row>
    <row r="2268" customFormat="false" ht="13.5" hidden="false" customHeight="true" outlineLevel="0" collapsed="false">
      <c r="A2268" s="32" t="n">
        <v>4446</v>
      </c>
      <c r="B2268" s="32" t="s">
        <v>1934</v>
      </c>
      <c r="C2268" s="32" t="s">
        <v>1935</v>
      </c>
      <c r="D2268" s="32" t="s">
        <v>114</v>
      </c>
      <c r="E2268" s="32" t="s">
        <v>115</v>
      </c>
      <c r="F2268" s="32" t="n">
        <v>9986050065</v>
      </c>
      <c r="G2268" s="32" t="s">
        <v>144</v>
      </c>
      <c r="H2268" s="32" t="s">
        <v>22</v>
      </c>
      <c r="I2268" s="32" t="s">
        <v>121</v>
      </c>
      <c r="J2268" s="32" t="s">
        <v>110</v>
      </c>
      <c r="K2268" s="32" t="s">
        <v>63</v>
      </c>
    </row>
    <row r="2269" customFormat="false" ht="13.5" hidden="false" customHeight="true" outlineLevel="0" collapsed="false">
      <c r="A2269" s="32" t="n">
        <v>4447</v>
      </c>
      <c r="B2269" s="32" t="s">
        <v>1934</v>
      </c>
      <c r="C2269" s="32" t="s">
        <v>1935</v>
      </c>
      <c r="D2269" s="32" t="s">
        <v>114</v>
      </c>
      <c r="E2269" s="32" t="s">
        <v>115</v>
      </c>
      <c r="F2269" s="32" t="n">
        <v>9986050065</v>
      </c>
      <c r="G2269" s="32" t="s">
        <v>144</v>
      </c>
      <c r="H2269" s="32" t="s">
        <v>22</v>
      </c>
      <c r="I2269" s="32" t="s">
        <v>145</v>
      </c>
      <c r="J2269" s="32" t="s">
        <v>117</v>
      </c>
      <c r="K2269" s="32" t="s">
        <v>63</v>
      </c>
    </row>
    <row r="2270" customFormat="false" ht="13.5" hidden="false" customHeight="true" outlineLevel="0" collapsed="false">
      <c r="A2270" s="32" t="n">
        <v>4448</v>
      </c>
      <c r="B2270" s="32" t="s">
        <v>1936</v>
      </c>
      <c r="C2270" s="32" t="s">
        <v>1937</v>
      </c>
      <c r="D2270" s="32" t="s">
        <v>59</v>
      </c>
      <c r="E2270" s="32" t="s">
        <v>107</v>
      </c>
      <c r="F2270" s="32" t="n">
        <v>9494053527</v>
      </c>
      <c r="G2270" s="32" t="s">
        <v>80</v>
      </c>
      <c r="H2270" s="32" t="s">
        <v>21</v>
      </c>
      <c r="I2270" s="32" t="s">
        <v>145</v>
      </c>
      <c r="J2270" s="32" t="s">
        <v>117</v>
      </c>
      <c r="K2270" s="32" t="s">
        <v>63</v>
      </c>
    </row>
    <row r="2271" customFormat="false" ht="13.5" hidden="false" customHeight="true" outlineLevel="0" collapsed="false">
      <c r="A2271" s="32" t="n">
        <v>4449</v>
      </c>
      <c r="B2271" s="32" t="s">
        <v>1936</v>
      </c>
      <c r="C2271" s="32" t="s">
        <v>1937</v>
      </c>
      <c r="D2271" s="32" t="s">
        <v>59</v>
      </c>
      <c r="E2271" s="32" t="s">
        <v>107</v>
      </c>
      <c r="F2271" s="32" t="n">
        <v>9494053527</v>
      </c>
      <c r="G2271" s="32" t="s">
        <v>80</v>
      </c>
      <c r="H2271" s="32" t="s">
        <v>21</v>
      </c>
      <c r="I2271" s="32" t="s">
        <v>185</v>
      </c>
      <c r="J2271" s="32" t="s">
        <v>186</v>
      </c>
      <c r="K2271" s="32" t="s">
        <v>63</v>
      </c>
    </row>
    <row r="2272" customFormat="false" ht="13.5" hidden="false" customHeight="true" outlineLevel="0" collapsed="false">
      <c r="A2272" s="32" t="n">
        <v>4450</v>
      </c>
      <c r="B2272" s="32" t="s">
        <v>1936</v>
      </c>
      <c r="C2272" s="32" t="s">
        <v>1937</v>
      </c>
      <c r="D2272" s="32" t="s">
        <v>59</v>
      </c>
      <c r="E2272" s="32" t="s">
        <v>107</v>
      </c>
      <c r="F2272" s="32" t="n">
        <v>9494053527</v>
      </c>
      <c r="G2272" s="32" t="s">
        <v>80</v>
      </c>
      <c r="H2272" s="32" t="s">
        <v>21</v>
      </c>
      <c r="I2272" s="32" t="s">
        <v>109</v>
      </c>
      <c r="J2272" s="32" t="s">
        <v>110</v>
      </c>
      <c r="K2272" s="32" t="s">
        <v>63</v>
      </c>
    </row>
    <row r="2273" customFormat="false" ht="13.5" hidden="false" customHeight="true" outlineLevel="0" collapsed="false">
      <c r="A2273" s="32" t="n">
        <v>4451</v>
      </c>
      <c r="B2273" s="32" t="s">
        <v>1936</v>
      </c>
      <c r="C2273" s="32" t="s">
        <v>1937</v>
      </c>
      <c r="D2273" s="32" t="s">
        <v>59</v>
      </c>
      <c r="E2273" s="32" t="s">
        <v>107</v>
      </c>
      <c r="F2273" s="32" t="n">
        <v>9494053527</v>
      </c>
      <c r="G2273" s="32" t="s">
        <v>80</v>
      </c>
      <c r="H2273" s="32" t="s">
        <v>21</v>
      </c>
      <c r="I2273" s="32" t="s">
        <v>284</v>
      </c>
      <c r="J2273" s="32" t="s">
        <v>117</v>
      </c>
      <c r="K2273" s="32" t="s">
        <v>63</v>
      </c>
    </row>
    <row r="2274" customFormat="false" ht="13.5" hidden="false" customHeight="true" outlineLevel="0" collapsed="false">
      <c r="A2274" s="32" t="n">
        <v>4452</v>
      </c>
      <c r="B2274" s="32" t="s">
        <v>1936</v>
      </c>
      <c r="C2274" s="32" t="s">
        <v>1937</v>
      </c>
      <c r="D2274" s="32" t="s">
        <v>59</v>
      </c>
      <c r="E2274" s="32" t="s">
        <v>107</v>
      </c>
      <c r="F2274" s="32" t="n">
        <v>9494053527</v>
      </c>
      <c r="G2274" s="32" t="s">
        <v>80</v>
      </c>
      <c r="H2274" s="32" t="s">
        <v>21</v>
      </c>
      <c r="I2274" s="32" t="s">
        <v>85</v>
      </c>
      <c r="J2274" s="32" t="s">
        <v>85</v>
      </c>
      <c r="K2274" s="32" t="s">
        <v>63</v>
      </c>
    </row>
    <row r="2275" customFormat="false" ht="13.5" hidden="false" customHeight="true" outlineLevel="0" collapsed="false">
      <c r="A2275" s="32" t="n">
        <v>4453</v>
      </c>
      <c r="B2275" s="32" t="s">
        <v>1936</v>
      </c>
      <c r="C2275" s="32" t="s">
        <v>1937</v>
      </c>
      <c r="D2275" s="32" t="s">
        <v>59</v>
      </c>
      <c r="E2275" s="32" t="s">
        <v>107</v>
      </c>
      <c r="F2275" s="32" t="n">
        <v>9494053527</v>
      </c>
      <c r="G2275" s="32" t="s">
        <v>80</v>
      </c>
      <c r="H2275" s="32" t="s">
        <v>21</v>
      </c>
      <c r="I2275" s="32" t="s">
        <v>121</v>
      </c>
      <c r="J2275" s="32" t="s">
        <v>110</v>
      </c>
      <c r="K2275" s="32" t="s">
        <v>63</v>
      </c>
    </row>
    <row r="2276" customFormat="false" ht="13.5" hidden="false" customHeight="true" outlineLevel="0" collapsed="false">
      <c r="A2276" s="32" t="n">
        <v>4455</v>
      </c>
      <c r="B2276" s="32" t="s">
        <v>1938</v>
      </c>
      <c r="C2276" s="32" t="s">
        <v>1939</v>
      </c>
      <c r="D2276" s="32" t="s">
        <v>59</v>
      </c>
      <c r="E2276" s="32" t="s">
        <v>60</v>
      </c>
      <c r="F2276" s="33" t="n">
        <v>919687000000</v>
      </c>
      <c r="G2276" s="32" t="s">
        <v>69</v>
      </c>
      <c r="H2276" s="32" t="s">
        <v>21</v>
      </c>
      <c r="I2276" s="32" t="s">
        <v>156</v>
      </c>
      <c r="J2276" s="32" t="s">
        <v>62</v>
      </c>
      <c r="K2276" s="32" t="s">
        <v>63</v>
      </c>
    </row>
    <row r="2277" customFormat="false" ht="13.5" hidden="false" customHeight="true" outlineLevel="0" collapsed="false">
      <c r="A2277" s="32" t="n">
        <v>4456</v>
      </c>
      <c r="B2277" s="32" t="s">
        <v>1938</v>
      </c>
      <c r="C2277" s="32" t="s">
        <v>1939</v>
      </c>
      <c r="D2277" s="32" t="s">
        <v>59</v>
      </c>
      <c r="E2277" s="32" t="s">
        <v>60</v>
      </c>
      <c r="F2277" s="33" t="n">
        <v>919687000000</v>
      </c>
      <c r="G2277" s="32" t="s">
        <v>69</v>
      </c>
      <c r="H2277" s="32" t="s">
        <v>21</v>
      </c>
      <c r="I2277" s="32" t="s">
        <v>29</v>
      </c>
      <c r="J2277" s="32" t="s">
        <v>62</v>
      </c>
      <c r="K2277" s="32" t="s">
        <v>63</v>
      </c>
    </row>
    <row r="2278" customFormat="false" ht="13.5" hidden="false" customHeight="true" outlineLevel="0" collapsed="false">
      <c r="A2278" s="32" t="n">
        <v>4457</v>
      </c>
      <c r="B2278" s="32" t="s">
        <v>1940</v>
      </c>
      <c r="C2278" s="32" t="s">
        <v>1941</v>
      </c>
      <c r="D2278" s="32" t="s">
        <v>114</v>
      </c>
      <c r="E2278" s="32" t="s">
        <v>115</v>
      </c>
      <c r="F2278" s="32" t="n">
        <v>9711909739</v>
      </c>
      <c r="G2278" s="32" t="s">
        <v>144</v>
      </c>
      <c r="H2278" s="32" t="s">
        <v>22</v>
      </c>
      <c r="I2278" s="32" t="s">
        <v>109</v>
      </c>
      <c r="J2278" s="32" t="s">
        <v>110</v>
      </c>
      <c r="K2278" s="32" t="s">
        <v>63</v>
      </c>
    </row>
    <row r="2279" customFormat="false" ht="13.5" hidden="false" customHeight="true" outlineLevel="0" collapsed="false">
      <c r="A2279" s="32" t="n">
        <v>4458</v>
      </c>
      <c r="B2279" s="32" t="s">
        <v>1940</v>
      </c>
      <c r="C2279" s="32" t="s">
        <v>1941</v>
      </c>
      <c r="D2279" s="32" t="s">
        <v>114</v>
      </c>
      <c r="E2279" s="32" t="s">
        <v>115</v>
      </c>
      <c r="F2279" s="32" t="n">
        <v>9711909739</v>
      </c>
      <c r="G2279" s="32" t="s">
        <v>144</v>
      </c>
      <c r="H2279" s="32" t="s">
        <v>22</v>
      </c>
      <c r="I2279" s="32" t="s">
        <v>93</v>
      </c>
      <c r="J2279" s="32" t="s">
        <v>85</v>
      </c>
      <c r="K2279" s="32" t="s">
        <v>63</v>
      </c>
    </row>
    <row r="2280" customFormat="false" ht="13.5" hidden="false" customHeight="true" outlineLevel="0" collapsed="false">
      <c r="A2280" s="32" t="n">
        <v>4459</v>
      </c>
      <c r="B2280" s="32" t="s">
        <v>1942</v>
      </c>
      <c r="C2280" s="32" t="s">
        <v>1943</v>
      </c>
      <c r="D2280" s="32" t="s">
        <v>59</v>
      </c>
      <c r="E2280" s="32" t="s">
        <v>60</v>
      </c>
      <c r="F2280" s="33" t="n">
        <v>918197000000</v>
      </c>
      <c r="G2280" s="32" t="s">
        <v>61</v>
      </c>
      <c r="H2280" s="32" t="s">
        <v>21</v>
      </c>
      <c r="I2280" s="32" t="s">
        <v>14</v>
      </c>
      <c r="J2280" s="32" t="s">
        <v>66</v>
      </c>
      <c r="K2280" s="32" t="s">
        <v>63</v>
      </c>
    </row>
    <row r="2281" customFormat="false" ht="13.5" hidden="false" customHeight="true" outlineLevel="0" collapsed="false">
      <c r="A2281" s="32" t="n">
        <v>4460</v>
      </c>
      <c r="B2281" s="32" t="s">
        <v>1942</v>
      </c>
      <c r="C2281" s="32" t="s">
        <v>1944</v>
      </c>
      <c r="D2281" s="32" t="s">
        <v>59</v>
      </c>
      <c r="E2281" s="32" t="s">
        <v>60</v>
      </c>
      <c r="F2281" s="33" t="n">
        <v>918197000000</v>
      </c>
      <c r="G2281" s="32" t="s">
        <v>61</v>
      </c>
      <c r="H2281" s="32" t="s">
        <v>21</v>
      </c>
      <c r="I2281" s="32" t="s">
        <v>64</v>
      </c>
      <c r="J2281" s="32" t="s">
        <v>62</v>
      </c>
      <c r="K2281" s="32" t="s">
        <v>63</v>
      </c>
    </row>
    <row r="2282" customFormat="false" ht="13.5" hidden="false" customHeight="true" outlineLevel="0" collapsed="false">
      <c r="A2282" s="32" t="n">
        <v>4461</v>
      </c>
      <c r="B2282" s="32" t="s">
        <v>1945</v>
      </c>
      <c r="C2282" s="32" t="s">
        <v>1946</v>
      </c>
      <c r="D2282" s="32" t="s">
        <v>59</v>
      </c>
      <c r="E2282" s="32" t="s">
        <v>79</v>
      </c>
      <c r="F2282" s="32" t="n">
        <v>9985934241</v>
      </c>
      <c r="G2282" s="32" t="s">
        <v>80</v>
      </c>
      <c r="H2282" s="32" t="s">
        <v>21</v>
      </c>
      <c r="I2282" s="32" t="s">
        <v>251</v>
      </c>
      <c r="J2282" s="32" t="s">
        <v>152</v>
      </c>
      <c r="K2282" s="32" t="s">
        <v>63</v>
      </c>
    </row>
    <row r="2283" customFormat="false" ht="13.5" hidden="false" customHeight="true" outlineLevel="0" collapsed="false">
      <c r="A2283" s="32" t="n">
        <v>4462</v>
      </c>
      <c r="B2283" s="32" t="s">
        <v>1945</v>
      </c>
      <c r="C2283" s="32" t="s">
        <v>1947</v>
      </c>
      <c r="D2283" s="32" t="s">
        <v>59</v>
      </c>
      <c r="E2283" s="32" t="s">
        <v>79</v>
      </c>
      <c r="F2283" s="33" t="n">
        <v>919986000000</v>
      </c>
      <c r="G2283" s="32" t="s">
        <v>80</v>
      </c>
      <c r="H2283" s="32" t="s">
        <v>21</v>
      </c>
      <c r="I2283" s="32" t="s">
        <v>151</v>
      </c>
      <c r="J2283" s="32" t="s">
        <v>152</v>
      </c>
      <c r="K2283" s="32" t="s">
        <v>63</v>
      </c>
    </row>
    <row r="2284" customFormat="false" ht="13.5" hidden="false" customHeight="true" outlineLevel="0" collapsed="false">
      <c r="A2284" s="32" t="n">
        <v>4463</v>
      </c>
      <c r="B2284" s="32" t="s">
        <v>1945</v>
      </c>
      <c r="C2284" s="32" t="s">
        <v>1947</v>
      </c>
      <c r="D2284" s="32" t="s">
        <v>59</v>
      </c>
      <c r="E2284" s="32" t="s">
        <v>79</v>
      </c>
      <c r="F2284" s="33" t="n">
        <v>919986000000</v>
      </c>
      <c r="G2284" s="32" t="s">
        <v>80</v>
      </c>
      <c r="H2284" s="32" t="s">
        <v>21</v>
      </c>
      <c r="I2284" s="32" t="s">
        <v>251</v>
      </c>
      <c r="J2284" s="32" t="s">
        <v>152</v>
      </c>
      <c r="K2284" s="32" t="s">
        <v>63</v>
      </c>
    </row>
    <row r="2285" customFormat="false" ht="13.5" hidden="false" customHeight="true" outlineLevel="0" collapsed="false">
      <c r="A2285" s="32" t="n">
        <v>4464</v>
      </c>
      <c r="B2285" s="32" t="s">
        <v>1945</v>
      </c>
      <c r="C2285" s="32" t="s">
        <v>1947</v>
      </c>
      <c r="D2285" s="32" t="s">
        <v>59</v>
      </c>
      <c r="E2285" s="32" t="s">
        <v>79</v>
      </c>
      <c r="F2285" s="33" t="n">
        <v>919986000000</v>
      </c>
      <c r="G2285" s="32" t="s">
        <v>80</v>
      </c>
      <c r="H2285" s="32" t="s">
        <v>21</v>
      </c>
      <c r="I2285" s="32" t="s">
        <v>251</v>
      </c>
      <c r="J2285" s="32" t="s">
        <v>152</v>
      </c>
      <c r="K2285" s="32" t="s">
        <v>63</v>
      </c>
    </row>
    <row r="2286" customFormat="false" ht="13.5" hidden="false" customHeight="true" outlineLevel="0" collapsed="false">
      <c r="A2286" s="32" t="n">
        <v>4465</v>
      </c>
      <c r="B2286" s="32" t="s">
        <v>1948</v>
      </c>
      <c r="C2286" s="32" t="s">
        <v>1949</v>
      </c>
      <c r="D2286" s="32" t="s">
        <v>59</v>
      </c>
      <c r="E2286" s="32" t="s">
        <v>107</v>
      </c>
      <c r="F2286" s="32" t="n">
        <v>9617968604</v>
      </c>
      <c r="G2286" s="32" t="s">
        <v>69</v>
      </c>
      <c r="H2286" s="32" t="s">
        <v>21</v>
      </c>
      <c r="I2286" s="32" t="s">
        <v>95</v>
      </c>
      <c r="J2286" s="32" t="s">
        <v>96</v>
      </c>
      <c r="K2286" s="32" t="s">
        <v>63</v>
      </c>
    </row>
    <row r="2287" customFormat="false" ht="13.5" hidden="false" customHeight="true" outlineLevel="0" collapsed="false">
      <c r="A2287" s="32" t="n">
        <v>4466</v>
      </c>
      <c r="B2287" s="32" t="s">
        <v>1948</v>
      </c>
      <c r="C2287" s="32" t="s">
        <v>1949</v>
      </c>
      <c r="D2287" s="32" t="s">
        <v>59</v>
      </c>
      <c r="E2287" s="32" t="s">
        <v>107</v>
      </c>
      <c r="F2287" s="32" t="n">
        <v>9617968604</v>
      </c>
      <c r="G2287" s="32" t="s">
        <v>69</v>
      </c>
      <c r="H2287" s="32" t="s">
        <v>21</v>
      </c>
      <c r="I2287" s="32" t="s">
        <v>145</v>
      </c>
      <c r="J2287" s="32" t="s">
        <v>117</v>
      </c>
      <c r="K2287" s="32" t="s">
        <v>63</v>
      </c>
    </row>
    <row r="2288" customFormat="false" ht="13.5" hidden="false" customHeight="true" outlineLevel="0" collapsed="false">
      <c r="A2288" s="32" t="n">
        <v>4468</v>
      </c>
      <c r="B2288" s="32" t="s">
        <v>1948</v>
      </c>
      <c r="C2288" s="32" t="s">
        <v>1949</v>
      </c>
      <c r="D2288" s="32" t="s">
        <v>59</v>
      </c>
      <c r="E2288" s="32" t="s">
        <v>107</v>
      </c>
      <c r="F2288" s="32" t="n">
        <v>9617968604</v>
      </c>
      <c r="G2288" s="32" t="s">
        <v>69</v>
      </c>
      <c r="H2288" s="32" t="s">
        <v>21</v>
      </c>
      <c r="I2288" s="32" t="s">
        <v>133</v>
      </c>
      <c r="J2288" s="32" t="s">
        <v>134</v>
      </c>
      <c r="K2288" s="32" t="s">
        <v>63</v>
      </c>
    </row>
    <row r="2289" customFormat="false" ht="13.5" hidden="false" customHeight="true" outlineLevel="0" collapsed="false">
      <c r="A2289" s="32" t="n">
        <v>4469</v>
      </c>
      <c r="B2289" s="32" t="s">
        <v>1950</v>
      </c>
      <c r="C2289" s="32" t="s">
        <v>1951</v>
      </c>
      <c r="D2289" s="32" t="s">
        <v>102</v>
      </c>
      <c r="E2289" s="32" t="s">
        <v>103</v>
      </c>
      <c r="F2289" s="32" t="n">
        <v>8087860608</v>
      </c>
      <c r="G2289" s="32" t="s">
        <v>69</v>
      </c>
      <c r="H2289" s="32" t="s">
        <v>21</v>
      </c>
      <c r="I2289" s="32" t="s">
        <v>128</v>
      </c>
      <c r="J2289" s="32" t="s">
        <v>89</v>
      </c>
      <c r="K2289" s="32" t="s">
        <v>63</v>
      </c>
    </row>
    <row r="2290" customFormat="false" ht="13.5" hidden="false" customHeight="true" outlineLevel="0" collapsed="false">
      <c r="A2290" s="32" t="n">
        <v>4470</v>
      </c>
      <c r="B2290" s="32" t="s">
        <v>1952</v>
      </c>
      <c r="C2290" s="32" t="s">
        <v>1953</v>
      </c>
      <c r="D2290" s="32" t="s">
        <v>59</v>
      </c>
      <c r="E2290" s="32" t="s">
        <v>60</v>
      </c>
      <c r="F2290" s="33" t="n">
        <v>918087000000</v>
      </c>
      <c r="G2290" s="32" t="s">
        <v>69</v>
      </c>
      <c r="H2290" s="32" t="s">
        <v>21</v>
      </c>
      <c r="I2290" s="32" t="s">
        <v>64</v>
      </c>
      <c r="J2290" s="32" t="s">
        <v>62</v>
      </c>
      <c r="K2290" s="32" t="s">
        <v>63</v>
      </c>
    </row>
    <row r="2291" customFormat="false" ht="13.5" hidden="false" customHeight="true" outlineLevel="0" collapsed="false">
      <c r="A2291" s="32" t="n">
        <v>4471</v>
      </c>
      <c r="B2291" s="32" t="s">
        <v>1952</v>
      </c>
      <c r="C2291" s="32" t="s">
        <v>1953</v>
      </c>
      <c r="D2291" s="32" t="s">
        <v>59</v>
      </c>
      <c r="E2291" s="32" t="s">
        <v>60</v>
      </c>
      <c r="F2291" s="33" t="n">
        <v>918087000000</v>
      </c>
      <c r="G2291" s="32" t="s">
        <v>69</v>
      </c>
      <c r="H2291" s="32" t="s">
        <v>21</v>
      </c>
      <c r="I2291" s="32" t="s">
        <v>29</v>
      </c>
      <c r="J2291" s="32" t="s">
        <v>62</v>
      </c>
      <c r="K2291" s="32" t="s">
        <v>63</v>
      </c>
    </row>
    <row r="2292" customFormat="false" ht="13.5" hidden="false" customHeight="true" outlineLevel="0" collapsed="false">
      <c r="A2292" s="32" t="n">
        <v>4472</v>
      </c>
      <c r="B2292" s="32" t="s">
        <v>1954</v>
      </c>
      <c r="C2292" s="32" t="s">
        <v>1955</v>
      </c>
      <c r="D2292" s="32" t="s">
        <v>114</v>
      </c>
      <c r="E2292" s="32" t="n">
        <v>0</v>
      </c>
      <c r="F2292" s="32" t="n">
        <v>0</v>
      </c>
      <c r="G2292" s="32" t="s">
        <v>61</v>
      </c>
      <c r="H2292" s="32" t="s">
        <v>22</v>
      </c>
      <c r="I2292" s="32" t="s">
        <v>151</v>
      </c>
      <c r="J2292" s="32" t="s">
        <v>152</v>
      </c>
      <c r="K2292" s="32" t="s">
        <v>63</v>
      </c>
    </row>
    <row r="2293" customFormat="false" ht="13.5" hidden="false" customHeight="true" outlineLevel="0" collapsed="false">
      <c r="A2293" s="32" t="n">
        <v>4473</v>
      </c>
      <c r="B2293" s="32" t="s">
        <v>1956</v>
      </c>
      <c r="C2293" s="32" t="s">
        <v>1955</v>
      </c>
      <c r="D2293" s="32" t="s">
        <v>114</v>
      </c>
      <c r="E2293" s="32" t="n">
        <v>0</v>
      </c>
      <c r="F2293" s="32" t="n">
        <v>9845108487</v>
      </c>
      <c r="G2293" s="32" t="s">
        <v>61</v>
      </c>
      <c r="H2293" s="32" t="s">
        <v>22</v>
      </c>
      <c r="I2293" s="32" t="s">
        <v>30</v>
      </c>
      <c r="J2293" s="32" t="s">
        <v>203</v>
      </c>
      <c r="K2293" s="32" t="s">
        <v>63</v>
      </c>
    </row>
    <row r="2294" customFormat="false" ht="13.5" hidden="false" customHeight="true" outlineLevel="0" collapsed="false">
      <c r="A2294" s="32" t="n">
        <v>4474</v>
      </c>
      <c r="B2294" s="32" t="s">
        <v>1957</v>
      </c>
      <c r="C2294" s="32" t="s">
        <v>1958</v>
      </c>
      <c r="D2294" s="32" t="s">
        <v>59</v>
      </c>
      <c r="E2294" s="32" t="s">
        <v>107</v>
      </c>
      <c r="F2294" s="33" t="n">
        <v>919033000000</v>
      </c>
      <c r="G2294" s="32" t="s">
        <v>80</v>
      </c>
      <c r="H2294" s="32" t="s">
        <v>21</v>
      </c>
      <c r="I2294" s="32" t="s">
        <v>16</v>
      </c>
      <c r="J2294" s="32" t="s">
        <v>73</v>
      </c>
      <c r="K2294" s="32" t="s">
        <v>63</v>
      </c>
    </row>
    <row r="2295" customFormat="false" ht="13.5" hidden="false" customHeight="true" outlineLevel="0" collapsed="false">
      <c r="A2295" s="32" t="n">
        <v>4475</v>
      </c>
      <c r="B2295" s="32" t="s">
        <v>1959</v>
      </c>
      <c r="C2295" s="32" t="s">
        <v>1960</v>
      </c>
      <c r="D2295" s="32" t="s">
        <v>59</v>
      </c>
      <c r="E2295" s="32" t="n">
        <v>0</v>
      </c>
      <c r="F2295" s="33" t="n">
        <v>919090000000</v>
      </c>
      <c r="G2295" s="32" t="s">
        <v>80</v>
      </c>
      <c r="H2295" s="32" t="s">
        <v>21</v>
      </c>
      <c r="I2295" s="32" t="s">
        <v>16</v>
      </c>
      <c r="J2295" s="32" t="s">
        <v>73</v>
      </c>
      <c r="K2295" s="32" t="s">
        <v>63</v>
      </c>
    </row>
    <row r="2296" customFormat="false" ht="13.5" hidden="false" customHeight="true" outlineLevel="0" collapsed="false">
      <c r="A2296" s="32" t="n">
        <v>4476</v>
      </c>
      <c r="B2296" s="32" t="s">
        <v>1959</v>
      </c>
      <c r="C2296" s="32" t="s">
        <v>1961</v>
      </c>
      <c r="D2296" s="32" t="s">
        <v>59</v>
      </c>
      <c r="E2296" s="32" t="n">
        <v>0</v>
      </c>
      <c r="F2296" s="33" t="n">
        <v>919090000000</v>
      </c>
      <c r="G2296" s="32" t="s">
        <v>80</v>
      </c>
      <c r="H2296" s="32" t="s">
        <v>21</v>
      </c>
      <c r="I2296" s="32" t="s">
        <v>494</v>
      </c>
      <c r="J2296" s="32" t="s">
        <v>71</v>
      </c>
      <c r="K2296" s="32" t="s">
        <v>63</v>
      </c>
    </row>
    <row r="2297" customFormat="false" ht="13.5" hidden="false" customHeight="true" outlineLevel="0" collapsed="false">
      <c r="A2297" s="32" t="n">
        <v>4477</v>
      </c>
      <c r="B2297" s="32" t="s">
        <v>1959</v>
      </c>
      <c r="C2297" s="32" t="s">
        <v>1961</v>
      </c>
      <c r="D2297" s="32" t="s">
        <v>59</v>
      </c>
      <c r="E2297" s="32" t="n">
        <v>0</v>
      </c>
      <c r="F2297" s="33" t="n">
        <v>919090000000</v>
      </c>
      <c r="G2297" s="32" t="s">
        <v>80</v>
      </c>
      <c r="H2297" s="32" t="s">
        <v>21</v>
      </c>
      <c r="I2297" s="32" t="s">
        <v>137</v>
      </c>
      <c r="J2297" s="32" t="s">
        <v>13</v>
      </c>
      <c r="K2297" s="32" t="s">
        <v>63</v>
      </c>
    </row>
    <row r="2298" customFormat="false" ht="13.5" hidden="false" customHeight="true" outlineLevel="0" collapsed="false">
      <c r="A2298" s="32" t="n">
        <v>4478</v>
      </c>
      <c r="B2298" s="32" t="s">
        <v>1962</v>
      </c>
      <c r="C2298" s="32" t="s">
        <v>1963</v>
      </c>
      <c r="D2298" s="32" t="s">
        <v>59</v>
      </c>
      <c r="E2298" s="32" t="s">
        <v>107</v>
      </c>
      <c r="F2298" s="33" t="n">
        <v>918920000000</v>
      </c>
      <c r="G2298" s="32" t="s">
        <v>80</v>
      </c>
      <c r="H2298" s="32" t="s">
        <v>21</v>
      </c>
      <c r="I2298" s="32" t="s">
        <v>133</v>
      </c>
      <c r="J2298" s="32" t="s">
        <v>134</v>
      </c>
      <c r="K2298" s="32" t="s">
        <v>63</v>
      </c>
    </row>
    <row r="2299" customFormat="false" ht="13.5" hidden="false" customHeight="true" outlineLevel="0" collapsed="false">
      <c r="A2299" s="32" t="n">
        <v>4479</v>
      </c>
      <c r="B2299" s="32" t="s">
        <v>1964</v>
      </c>
      <c r="C2299" s="32" t="s">
        <v>1965</v>
      </c>
      <c r="D2299" s="32" t="s">
        <v>114</v>
      </c>
      <c r="E2299" s="32" t="s">
        <v>165</v>
      </c>
      <c r="F2299" s="32" t="n">
        <v>9073355953</v>
      </c>
      <c r="G2299" s="32" t="s">
        <v>69</v>
      </c>
      <c r="H2299" s="32" t="s">
        <v>22</v>
      </c>
      <c r="I2299" s="32" t="s">
        <v>145</v>
      </c>
      <c r="J2299" s="32" t="s">
        <v>117</v>
      </c>
      <c r="K2299" s="32" t="s">
        <v>63</v>
      </c>
    </row>
    <row r="2300" customFormat="false" ht="13.5" hidden="false" customHeight="true" outlineLevel="0" collapsed="false">
      <c r="A2300" s="32" t="n">
        <v>4480</v>
      </c>
      <c r="B2300" s="32" t="s">
        <v>1964</v>
      </c>
      <c r="C2300" s="32" t="s">
        <v>1965</v>
      </c>
      <c r="D2300" s="32" t="s">
        <v>114</v>
      </c>
      <c r="E2300" s="32" t="s">
        <v>165</v>
      </c>
      <c r="F2300" s="32" t="n">
        <v>9073355953</v>
      </c>
      <c r="G2300" s="32" t="s">
        <v>69</v>
      </c>
      <c r="H2300" s="32" t="s">
        <v>22</v>
      </c>
      <c r="I2300" s="32" t="s">
        <v>829</v>
      </c>
      <c r="J2300" s="32" t="s">
        <v>134</v>
      </c>
      <c r="K2300" s="32" t="s">
        <v>63</v>
      </c>
    </row>
    <row r="2301" customFormat="false" ht="13.5" hidden="false" customHeight="true" outlineLevel="0" collapsed="false">
      <c r="A2301" s="32" t="n">
        <v>4482</v>
      </c>
      <c r="B2301" s="32" t="s">
        <v>1964</v>
      </c>
      <c r="C2301" s="32" t="s">
        <v>1965</v>
      </c>
      <c r="D2301" s="32" t="s">
        <v>114</v>
      </c>
      <c r="E2301" s="32" t="s">
        <v>165</v>
      </c>
      <c r="F2301" s="32" t="n">
        <v>9073355953</v>
      </c>
      <c r="G2301" s="32" t="s">
        <v>69</v>
      </c>
      <c r="H2301" s="32" t="s">
        <v>22</v>
      </c>
      <c r="I2301" s="32" t="s">
        <v>133</v>
      </c>
      <c r="J2301" s="32" t="s">
        <v>134</v>
      </c>
      <c r="K2301" s="32" t="s">
        <v>63</v>
      </c>
    </row>
    <row r="2302" customFormat="false" ht="13.5" hidden="false" customHeight="true" outlineLevel="0" collapsed="false">
      <c r="A2302" s="32" t="n">
        <v>4483</v>
      </c>
      <c r="B2302" s="32" t="s">
        <v>1964</v>
      </c>
      <c r="C2302" s="32" t="s">
        <v>1966</v>
      </c>
      <c r="D2302" s="32" t="s">
        <v>114</v>
      </c>
      <c r="E2302" s="32" t="s">
        <v>165</v>
      </c>
      <c r="F2302" s="32" t="n">
        <v>9073355953</v>
      </c>
      <c r="G2302" s="32" t="s">
        <v>69</v>
      </c>
      <c r="H2302" s="32" t="s">
        <v>22</v>
      </c>
      <c r="I2302" s="32" t="s">
        <v>108</v>
      </c>
      <c r="J2302" s="32" t="s">
        <v>71</v>
      </c>
      <c r="K2302" s="32" t="s">
        <v>63</v>
      </c>
    </row>
    <row r="2303" customFormat="false" ht="13.5" hidden="false" customHeight="true" outlineLevel="0" collapsed="false">
      <c r="A2303" s="32" t="n">
        <v>4484</v>
      </c>
      <c r="B2303" s="32" t="s">
        <v>1964</v>
      </c>
      <c r="C2303" s="32" t="s">
        <v>1966</v>
      </c>
      <c r="D2303" s="32" t="s">
        <v>114</v>
      </c>
      <c r="E2303" s="32" t="s">
        <v>165</v>
      </c>
      <c r="F2303" s="32" t="n">
        <v>9073355953</v>
      </c>
      <c r="G2303" s="32" t="s">
        <v>69</v>
      </c>
      <c r="H2303" s="32" t="s">
        <v>22</v>
      </c>
      <c r="I2303" s="32" t="s">
        <v>121</v>
      </c>
      <c r="J2303" s="32" t="s">
        <v>110</v>
      </c>
      <c r="K2303" s="32" t="s">
        <v>63</v>
      </c>
    </row>
    <row r="2304" customFormat="false" ht="13.5" hidden="false" customHeight="true" outlineLevel="0" collapsed="false">
      <c r="A2304" s="32" t="n">
        <v>4485</v>
      </c>
      <c r="B2304" s="32" t="s">
        <v>1964</v>
      </c>
      <c r="C2304" s="32" t="s">
        <v>1966</v>
      </c>
      <c r="D2304" s="32" t="s">
        <v>114</v>
      </c>
      <c r="E2304" s="32" t="s">
        <v>165</v>
      </c>
      <c r="F2304" s="32" t="n">
        <v>9073355953</v>
      </c>
      <c r="G2304" s="32" t="s">
        <v>69</v>
      </c>
      <c r="H2304" s="32" t="s">
        <v>22</v>
      </c>
      <c r="I2304" s="32" t="s">
        <v>314</v>
      </c>
      <c r="J2304" s="32" t="s">
        <v>134</v>
      </c>
      <c r="K2304" s="32" t="s">
        <v>63</v>
      </c>
    </row>
    <row r="2305" customFormat="false" ht="13.5" hidden="false" customHeight="true" outlineLevel="0" collapsed="false">
      <c r="A2305" s="32" t="n">
        <v>4486</v>
      </c>
      <c r="B2305" s="32" t="s">
        <v>1967</v>
      </c>
      <c r="C2305" s="32" t="s">
        <v>1968</v>
      </c>
      <c r="D2305" s="32" t="s">
        <v>114</v>
      </c>
      <c r="E2305" s="32" t="s">
        <v>165</v>
      </c>
      <c r="F2305" s="33" t="n">
        <v>919492000000</v>
      </c>
      <c r="G2305" s="32" t="s">
        <v>80</v>
      </c>
      <c r="H2305" s="32" t="s">
        <v>22</v>
      </c>
      <c r="I2305" s="32" t="s">
        <v>93</v>
      </c>
      <c r="J2305" s="32" t="s">
        <v>85</v>
      </c>
      <c r="K2305" s="32" t="s">
        <v>63</v>
      </c>
    </row>
    <row r="2306" customFormat="false" ht="13.5" hidden="false" customHeight="true" outlineLevel="0" collapsed="false">
      <c r="A2306" s="32" t="n">
        <v>4487</v>
      </c>
      <c r="B2306" s="32" t="s">
        <v>1967</v>
      </c>
      <c r="C2306" s="32" t="s">
        <v>1969</v>
      </c>
      <c r="D2306" s="32" t="s">
        <v>114</v>
      </c>
      <c r="E2306" s="32" t="s">
        <v>165</v>
      </c>
      <c r="F2306" s="32" t="n">
        <v>9491894360</v>
      </c>
      <c r="G2306" s="32" t="s">
        <v>80</v>
      </c>
      <c r="H2306" s="32" t="s">
        <v>22</v>
      </c>
      <c r="I2306" s="32" t="s">
        <v>30</v>
      </c>
      <c r="J2306" s="32" t="s">
        <v>203</v>
      </c>
      <c r="K2306" s="32" t="s">
        <v>63</v>
      </c>
    </row>
    <row r="2307" customFormat="false" ht="13.5" hidden="false" customHeight="true" outlineLevel="0" collapsed="false">
      <c r="A2307" s="32" t="n">
        <v>4488</v>
      </c>
      <c r="B2307" s="32" t="s">
        <v>1967</v>
      </c>
      <c r="C2307" s="32" t="s">
        <v>1970</v>
      </c>
      <c r="D2307" s="32" t="s">
        <v>114</v>
      </c>
      <c r="E2307" s="32" t="s">
        <v>165</v>
      </c>
      <c r="F2307" s="33" t="n">
        <v>919492000000</v>
      </c>
      <c r="G2307" s="32" t="s">
        <v>80</v>
      </c>
      <c r="H2307" s="32" t="s">
        <v>22</v>
      </c>
      <c r="I2307" s="32" t="s">
        <v>393</v>
      </c>
      <c r="J2307" s="32" t="s">
        <v>73</v>
      </c>
      <c r="K2307" s="32" t="s">
        <v>63</v>
      </c>
    </row>
    <row r="2308" customFormat="false" ht="13.5" hidden="false" customHeight="true" outlineLevel="0" collapsed="false">
      <c r="A2308" s="32" t="n">
        <v>4489</v>
      </c>
      <c r="B2308" s="32" t="s">
        <v>1967</v>
      </c>
      <c r="C2308" s="32" t="s">
        <v>1970</v>
      </c>
      <c r="D2308" s="32" t="s">
        <v>114</v>
      </c>
      <c r="E2308" s="32" t="s">
        <v>165</v>
      </c>
      <c r="F2308" s="33" t="n">
        <v>919492000000</v>
      </c>
      <c r="G2308" s="32" t="s">
        <v>80</v>
      </c>
      <c r="H2308" s="32" t="s">
        <v>22</v>
      </c>
      <c r="I2308" s="32" t="s">
        <v>145</v>
      </c>
      <c r="J2308" s="32" t="s">
        <v>117</v>
      </c>
      <c r="K2308" s="32" t="s">
        <v>63</v>
      </c>
    </row>
    <row r="2309" customFormat="false" ht="13.5" hidden="false" customHeight="true" outlineLevel="0" collapsed="false">
      <c r="A2309" s="32" t="n">
        <v>4490</v>
      </c>
      <c r="B2309" s="32" t="s">
        <v>1967</v>
      </c>
      <c r="C2309" s="32" t="s">
        <v>1970</v>
      </c>
      <c r="D2309" s="32" t="s">
        <v>114</v>
      </c>
      <c r="E2309" s="32" t="s">
        <v>165</v>
      </c>
      <c r="F2309" s="33" t="n">
        <v>919492000000</v>
      </c>
      <c r="G2309" s="32" t="s">
        <v>80</v>
      </c>
      <c r="H2309" s="32" t="s">
        <v>22</v>
      </c>
      <c r="I2309" s="32" t="s">
        <v>85</v>
      </c>
      <c r="J2309" s="32" t="s">
        <v>85</v>
      </c>
      <c r="K2309" s="32" t="s">
        <v>63</v>
      </c>
    </row>
    <row r="2310" customFormat="false" ht="13.5" hidden="false" customHeight="true" outlineLevel="0" collapsed="false">
      <c r="A2310" s="32" t="n">
        <v>4493</v>
      </c>
      <c r="B2310" s="32" t="s">
        <v>1971</v>
      </c>
      <c r="C2310" s="32" t="s">
        <v>1972</v>
      </c>
      <c r="D2310" s="32" t="s">
        <v>59</v>
      </c>
      <c r="E2310" s="32" t="s">
        <v>60</v>
      </c>
      <c r="F2310" s="32" t="n">
        <v>9438134925</v>
      </c>
      <c r="G2310" s="32" t="s">
        <v>61</v>
      </c>
      <c r="H2310" s="32" t="s">
        <v>21</v>
      </c>
      <c r="I2310" s="32" t="s">
        <v>16</v>
      </c>
      <c r="J2310" s="32" t="s">
        <v>73</v>
      </c>
      <c r="K2310" s="32" t="s">
        <v>63</v>
      </c>
    </row>
    <row r="2311" customFormat="false" ht="13.5" hidden="false" customHeight="true" outlineLevel="0" collapsed="false">
      <c r="A2311" s="32" t="n">
        <v>4494</v>
      </c>
      <c r="B2311" s="32" t="s">
        <v>1971</v>
      </c>
      <c r="C2311" s="32" t="s">
        <v>1973</v>
      </c>
      <c r="D2311" s="32" t="s">
        <v>59</v>
      </c>
      <c r="E2311" s="32" t="s">
        <v>60</v>
      </c>
      <c r="F2311" s="32" t="n">
        <v>9438134925</v>
      </c>
      <c r="G2311" s="32" t="s">
        <v>61</v>
      </c>
      <c r="H2311" s="32" t="s">
        <v>21</v>
      </c>
      <c r="I2311" s="32" t="s">
        <v>494</v>
      </c>
      <c r="J2311" s="32" t="s">
        <v>71</v>
      </c>
      <c r="K2311" s="32" t="s">
        <v>63</v>
      </c>
    </row>
    <row r="2312" customFormat="false" ht="13.5" hidden="false" customHeight="true" outlineLevel="0" collapsed="false">
      <c r="A2312" s="32" t="n">
        <v>4498</v>
      </c>
      <c r="B2312" s="32" t="s">
        <v>1971</v>
      </c>
      <c r="C2312" s="32" t="s">
        <v>1973</v>
      </c>
      <c r="D2312" s="32" t="s">
        <v>59</v>
      </c>
      <c r="E2312" s="32" t="s">
        <v>60</v>
      </c>
      <c r="F2312" s="32" t="n">
        <v>9438134925</v>
      </c>
      <c r="G2312" s="32" t="s">
        <v>61</v>
      </c>
      <c r="H2312" s="32" t="s">
        <v>21</v>
      </c>
      <c r="I2312" s="32" t="s">
        <v>463</v>
      </c>
      <c r="J2312" s="32" t="s">
        <v>66</v>
      </c>
      <c r="K2312" s="32" t="s">
        <v>63</v>
      </c>
    </row>
    <row r="2313" customFormat="false" ht="13.5" hidden="false" customHeight="true" outlineLevel="0" collapsed="false">
      <c r="A2313" s="32" t="n">
        <v>4499</v>
      </c>
      <c r="B2313" s="32" t="s">
        <v>1971</v>
      </c>
      <c r="C2313" s="32" t="s">
        <v>1974</v>
      </c>
      <c r="D2313" s="32" t="s">
        <v>59</v>
      </c>
      <c r="E2313" s="32" t="s">
        <v>60</v>
      </c>
      <c r="F2313" s="32" t="n">
        <v>9438134925</v>
      </c>
      <c r="G2313" s="32" t="s">
        <v>61</v>
      </c>
      <c r="H2313" s="32" t="s">
        <v>21</v>
      </c>
      <c r="I2313" s="32" t="s">
        <v>29</v>
      </c>
      <c r="J2313" s="32" t="s">
        <v>62</v>
      </c>
      <c r="K2313" s="32" t="s">
        <v>63</v>
      </c>
    </row>
    <row r="2314" customFormat="false" ht="13.5" hidden="false" customHeight="true" outlineLevel="0" collapsed="false">
      <c r="A2314" s="32" t="n">
        <v>4500</v>
      </c>
      <c r="B2314" s="32" t="s">
        <v>1971</v>
      </c>
      <c r="C2314" s="32" t="s">
        <v>1974</v>
      </c>
      <c r="D2314" s="32" t="s">
        <v>59</v>
      </c>
      <c r="E2314" s="32" t="s">
        <v>60</v>
      </c>
      <c r="F2314" s="32" t="n">
        <v>9438134925</v>
      </c>
      <c r="G2314" s="32" t="s">
        <v>61</v>
      </c>
      <c r="H2314" s="32" t="s">
        <v>21</v>
      </c>
      <c r="I2314" s="32" t="s">
        <v>14</v>
      </c>
      <c r="J2314" s="32" t="s">
        <v>66</v>
      </c>
      <c r="K2314" s="32" t="s">
        <v>63</v>
      </c>
    </row>
    <row r="2315" customFormat="false" ht="13.5" hidden="false" customHeight="true" outlineLevel="0" collapsed="false">
      <c r="A2315" s="32" t="n">
        <v>4501</v>
      </c>
      <c r="B2315" s="32" t="s">
        <v>1975</v>
      </c>
      <c r="C2315" s="32" t="s">
        <v>1976</v>
      </c>
      <c r="D2315" s="32" t="s">
        <v>59</v>
      </c>
      <c r="E2315" s="32" t="s">
        <v>143</v>
      </c>
      <c r="F2315" s="33" t="n">
        <v>919886000000</v>
      </c>
      <c r="G2315" s="32" t="s">
        <v>61</v>
      </c>
      <c r="H2315" s="32" t="s">
        <v>21</v>
      </c>
      <c r="I2315" s="32" t="s">
        <v>120</v>
      </c>
      <c r="J2315" s="32" t="s">
        <v>110</v>
      </c>
      <c r="K2315" s="32" t="s">
        <v>63</v>
      </c>
    </row>
    <row r="2316" customFormat="false" ht="13.5" hidden="false" customHeight="true" outlineLevel="0" collapsed="false">
      <c r="A2316" s="32" t="n">
        <v>4502</v>
      </c>
      <c r="B2316" s="32" t="s">
        <v>1975</v>
      </c>
      <c r="C2316" s="32" t="s">
        <v>1976</v>
      </c>
      <c r="D2316" s="32" t="s">
        <v>59</v>
      </c>
      <c r="E2316" s="32" t="s">
        <v>143</v>
      </c>
      <c r="F2316" s="33" t="n">
        <v>919886000000</v>
      </c>
      <c r="G2316" s="32" t="s">
        <v>61</v>
      </c>
      <c r="H2316" s="32" t="s">
        <v>21</v>
      </c>
      <c r="I2316" s="32" t="s">
        <v>121</v>
      </c>
      <c r="J2316" s="32" t="s">
        <v>110</v>
      </c>
      <c r="K2316" s="32" t="s">
        <v>63</v>
      </c>
    </row>
    <row r="2317" customFormat="false" ht="13.5" hidden="false" customHeight="true" outlineLevel="0" collapsed="false">
      <c r="A2317" s="32" t="n">
        <v>4503</v>
      </c>
      <c r="B2317" s="32" t="s">
        <v>1975</v>
      </c>
      <c r="C2317" s="32" t="s">
        <v>1976</v>
      </c>
      <c r="D2317" s="32" t="s">
        <v>59</v>
      </c>
      <c r="E2317" s="32" t="s">
        <v>143</v>
      </c>
      <c r="F2317" s="32" t="n">
        <v>9886170151</v>
      </c>
      <c r="G2317" s="32" t="s">
        <v>61</v>
      </c>
      <c r="H2317" s="32" t="s">
        <v>21</v>
      </c>
      <c r="I2317" s="32" t="s">
        <v>145</v>
      </c>
      <c r="J2317" s="32" t="s">
        <v>117</v>
      </c>
      <c r="K2317" s="32" t="s">
        <v>63</v>
      </c>
    </row>
    <row r="2318" customFormat="false" ht="13.5" hidden="false" customHeight="true" outlineLevel="0" collapsed="false">
      <c r="A2318" s="32" t="n">
        <v>4504</v>
      </c>
      <c r="B2318" s="32" t="s">
        <v>1975</v>
      </c>
      <c r="C2318" s="32" t="s">
        <v>1976</v>
      </c>
      <c r="D2318" s="32" t="s">
        <v>59</v>
      </c>
      <c r="E2318" s="32" t="s">
        <v>143</v>
      </c>
      <c r="F2318" s="32" t="n">
        <v>9704933677</v>
      </c>
      <c r="G2318" s="32" t="s">
        <v>61</v>
      </c>
      <c r="H2318" s="32" t="s">
        <v>21</v>
      </c>
      <c r="I2318" s="32" t="s">
        <v>93</v>
      </c>
      <c r="J2318" s="32" t="s">
        <v>85</v>
      </c>
      <c r="K2318" s="32" t="s">
        <v>63</v>
      </c>
    </row>
    <row r="2319" customFormat="false" ht="13.5" hidden="false" customHeight="true" outlineLevel="0" collapsed="false">
      <c r="A2319" s="32" t="n">
        <v>4505</v>
      </c>
      <c r="B2319" s="32" t="s">
        <v>1977</v>
      </c>
      <c r="C2319" s="32" t="s">
        <v>1978</v>
      </c>
      <c r="D2319" s="32" t="s">
        <v>114</v>
      </c>
      <c r="E2319" s="32" t="s">
        <v>268</v>
      </c>
      <c r="F2319" s="32" t="n">
        <v>9561098556</v>
      </c>
      <c r="G2319" s="32" t="s">
        <v>61</v>
      </c>
      <c r="H2319" s="32" t="s">
        <v>22</v>
      </c>
      <c r="I2319" s="32" t="s">
        <v>1242</v>
      </c>
      <c r="J2319" s="32" t="s">
        <v>62</v>
      </c>
      <c r="K2319" s="32" t="s">
        <v>63</v>
      </c>
    </row>
    <row r="2320" customFormat="false" ht="13.5" hidden="false" customHeight="true" outlineLevel="0" collapsed="false">
      <c r="A2320" s="32" t="n">
        <v>4506</v>
      </c>
      <c r="B2320" s="32" t="s">
        <v>1977</v>
      </c>
      <c r="C2320" s="32" t="s">
        <v>1978</v>
      </c>
      <c r="D2320" s="32" t="s">
        <v>114</v>
      </c>
      <c r="E2320" s="32" t="s">
        <v>268</v>
      </c>
      <c r="F2320" s="32" t="n">
        <v>9561098556</v>
      </c>
      <c r="G2320" s="32" t="s">
        <v>61</v>
      </c>
      <c r="H2320" s="32" t="s">
        <v>22</v>
      </c>
      <c r="I2320" s="32" t="s">
        <v>76</v>
      </c>
      <c r="J2320" s="32" t="s">
        <v>76</v>
      </c>
      <c r="K2320" s="32" t="s">
        <v>63</v>
      </c>
    </row>
    <row r="2321" customFormat="false" ht="13.5" hidden="false" customHeight="true" outlineLevel="0" collapsed="false">
      <c r="A2321" s="32" t="n">
        <v>4507</v>
      </c>
      <c r="B2321" s="32" t="s">
        <v>1979</v>
      </c>
      <c r="C2321" s="32" t="s">
        <v>1980</v>
      </c>
      <c r="D2321" s="32" t="s">
        <v>59</v>
      </c>
      <c r="E2321" s="32" t="s">
        <v>60</v>
      </c>
      <c r="F2321" s="33" t="n">
        <v>918976000000</v>
      </c>
      <c r="G2321" s="32" t="s">
        <v>69</v>
      </c>
      <c r="H2321" s="32" t="s">
        <v>21</v>
      </c>
      <c r="I2321" s="32" t="s">
        <v>350</v>
      </c>
      <c r="J2321" s="32" t="s">
        <v>235</v>
      </c>
      <c r="K2321" s="32" t="s">
        <v>63</v>
      </c>
    </row>
    <row r="2322" customFormat="false" ht="13.5" hidden="false" customHeight="true" outlineLevel="0" collapsed="false">
      <c r="A2322" s="32" t="n">
        <v>4508</v>
      </c>
      <c r="B2322" s="32" t="s">
        <v>1979</v>
      </c>
      <c r="C2322" s="32" t="s">
        <v>1980</v>
      </c>
      <c r="D2322" s="32" t="s">
        <v>59</v>
      </c>
      <c r="E2322" s="32" t="s">
        <v>60</v>
      </c>
      <c r="F2322" s="33" t="n">
        <v>918976000000</v>
      </c>
      <c r="G2322" s="32" t="s">
        <v>69</v>
      </c>
      <c r="H2322" s="32" t="s">
        <v>21</v>
      </c>
      <c r="I2322" s="32" t="s">
        <v>333</v>
      </c>
      <c r="J2322" s="32" t="s">
        <v>235</v>
      </c>
      <c r="K2322" s="32" t="s">
        <v>63</v>
      </c>
    </row>
    <row r="2323" customFormat="false" ht="13.5" hidden="false" customHeight="true" outlineLevel="0" collapsed="false">
      <c r="A2323" s="32" t="n">
        <v>4509</v>
      </c>
      <c r="B2323" s="32" t="s">
        <v>1981</v>
      </c>
      <c r="C2323" s="32" t="s">
        <v>1982</v>
      </c>
      <c r="D2323" s="32" t="s">
        <v>114</v>
      </c>
      <c r="E2323" s="32" t="s">
        <v>1983</v>
      </c>
      <c r="F2323" s="32" t="n">
        <v>9742907846</v>
      </c>
      <c r="G2323" s="32" t="s">
        <v>61</v>
      </c>
      <c r="H2323" s="32" t="s">
        <v>22</v>
      </c>
      <c r="I2323" s="32" t="s">
        <v>128</v>
      </c>
      <c r="J2323" s="32" t="s">
        <v>89</v>
      </c>
      <c r="K2323" s="32" t="s">
        <v>63</v>
      </c>
    </row>
    <row r="2324" customFormat="false" ht="13.5" hidden="false" customHeight="true" outlineLevel="0" collapsed="false">
      <c r="A2324" s="32" t="n">
        <v>4511</v>
      </c>
      <c r="B2324" s="32" t="s">
        <v>1981</v>
      </c>
      <c r="C2324" s="32" t="s">
        <v>1982</v>
      </c>
      <c r="D2324" s="32" t="s">
        <v>114</v>
      </c>
      <c r="E2324" s="32" t="s">
        <v>1983</v>
      </c>
      <c r="F2324" s="32" t="n">
        <v>9742907846</v>
      </c>
      <c r="G2324" s="32" t="s">
        <v>61</v>
      </c>
      <c r="H2324" s="32" t="s">
        <v>22</v>
      </c>
      <c r="I2324" s="32" t="s">
        <v>145</v>
      </c>
      <c r="J2324" s="32" t="s">
        <v>117</v>
      </c>
      <c r="K2324" s="32" t="s">
        <v>63</v>
      </c>
    </row>
    <row r="2325" customFormat="false" ht="13.5" hidden="false" customHeight="true" outlineLevel="0" collapsed="false">
      <c r="A2325" s="32" t="n">
        <v>4512</v>
      </c>
      <c r="B2325" s="32" t="s">
        <v>1981</v>
      </c>
      <c r="C2325" s="32" t="s">
        <v>1982</v>
      </c>
      <c r="D2325" s="32" t="s">
        <v>114</v>
      </c>
      <c r="E2325" s="32" t="s">
        <v>1983</v>
      </c>
      <c r="F2325" s="32" t="n">
        <v>9742907846</v>
      </c>
      <c r="G2325" s="32" t="s">
        <v>61</v>
      </c>
      <c r="H2325" s="32" t="s">
        <v>22</v>
      </c>
      <c r="I2325" s="32" t="s">
        <v>133</v>
      </c>
      <c r="J2325" s="32" t="s">
        <v>134</v>
      </c>
      <c r="K2325" s="32" t="s">
        <v>63</v>
      </c>
    </row>
    <row r="2326" customFormat="false" ht="13.5" hidden="false" customHeight="true" outlineLevel="0" collapsed="false">
      <c r="A2326" s="32" t="n">
        <v>4513</v>
      </c>
      <c r="B2326" s="32" t="s">
        <v>1981</v>
      </c>
      <c r="C2326" s="32" t="s">
        <v>1982</v>
      </c>
      <c r="D2326" s="32" t="s">
        <v>114</v>
      </c>
      <c r="E2326" s="32" t="s">
        <v>1983</v>
      </c>
      <c r="F2326" s="32" t="n">
        <v>9742907846</v>
      </c>
      <c r="G2326" s="32" t="s">
        <v>61</v>
      </c>
      <c r="H2326" s="32" t="s">
        <v>22</v>
      </c>
      <c r="I2326" s="32" t="s">
        <v>126</v>
      </c>
      <c r="J2326" s="32" t="s">
        <v>85</v>
      </c>
      <c r="K2326" s="32" t="s">
        <v>63</v>
      </c>
    </row>
    <row r="2327" customFormat="false" ht="13.5" hidden="false" customHeight="true" outlineLevel="0" collapsed="false">
      <c r="A2327" s="32" t="n">
        <v>4514</v>
      </c>
      <c r="B2327" s="32" t="s">
        <v>1981</v>
      </c>
      <c r="C2327" s="32" t="s">
        <v>1982</v>
      </c>
      <c r="D2327" s="32" t="s">
        <v>114</v>
      </c>
      <c r="E2327" s="32" t="s">
        <v>1983</v>
      </c>
      <c r="F2327" s="32" t="n">
        <v>9742907846</v>
      </c>
      <c r="G2327" s="32" t="s">
        <v>61</v>
      </c>
      <c r="H2327" s="32" t="s">
        <v>22</v>
      </c>
      <c r="I2327" s="32" t="s">
        <v>108</v>
      </c>
      <c r="J2327" s="32" t="s">
        <v>71</v>
      </c>
      <c r="K2327" s="32" t="s">
        <v>63</v>
      </c>
    </row>
    <row r="2328" customFormat="false" ht="13.5" hidden="false" customHeight="true" outlineLevel="0" collapsed="false">
      <c r="A2328" s="32" t="n">
        <v>4515</v>
      </c>
      <c r="B2328" s="32" t="s">
        <v>1984</v>
      </c>
      <c r="C2328" s="32" t="s">
        <v>1985</v>
      </c>
      <c r="D2328" s="32" t="s">
        <v>59</v>
      </c>
      <c r="E2328" s="32" t="s">
        <v>143</v>
      </c>
      <c r="F2328" s="32" t="n">
        <v>8421430328</v>
      </c>
      <c r="G2328" s="32" t="s">
        <v>69</v>
      </c>
      <c r="H2328" s="32" t="s">
        <v>21</v>
      </c>
      <c r="I2328" s="32" t="s">
        <v>240</v>
      </c>
      <c r="J2328" s="32" t="s">
        <v>241</v>
      </c>
      <c r="K2328" s="32" t="s">
        <v>63</v>
      </c>
    </row>
    <row r="2329" customFormat="false" ht="13.5" hidden="false" customHeight="true" outlineLevel="0" collapsed="false">
      <c r="A2329" s="32" t="n">
        <v>4516</v>
      </c>
      <c r="B2329" s="32" t="s">
        <v>1984</v>
      </c>
      <c r="C2329" s="32" t="s">
        <v>1985</v>
      </c>
      <c r="D2329" s="32" t="s">
        <v>59</v>
      </c>
      <c r="E2329" s="32" t="s">
        <v>143</v>
      </c>
      <c r="F2329" s="32" t="n">
        <v>8421430328</v>
      </c>
      <c r="G2329" s="32" t="s">
        <v>69</v>
      </c>
      <c r="H2329" s="32" t="s">
        <v>21</v>
      </c>
      <c r="I2329" s="32" t="s">
        <v>239</v>
      </c>
      <c r="J2329" s="32" t="s">
        <v>132</v>
      </c>
      <c r="K2329" s="32" t="s">
        <v>63</v>
      </c>
    </row>
    <row r="2330" customFormat="false" ht="13.5" hidden="false" customHeight="true" outlineLevel="0" collapsed="false">
      <c r="A2330" s="32" t="n">
        <v>4517</v>
      </c>
      <c r="B2330" s="32" t="s">
        <v>1984</v>
      </c>
      <c r="C2330" s="32" t="s">
        <v>1985</v>
      </c>
      <c r="D2330" s="32" t="s">
        <v>59</v>
      </c>
      <c r="E2330" s="32" t="s">
        <v>143</v>
      </c>
      <c r="F2330" s="32" t="n">
        <v>8421430328</v>
      </c>
      <c r="G2330" s="32" t="s">
        <v>69</v>
      </c>
      <c r="H2330" s="32" t="s">
        <v>21</v>
      </c>
      <c r="I2330" s="32" t="s">
        <v>242</v>
      </c>
      <c r="J2330" s="32" t="s">
        <v>241</v>
      </c>
      <c r="K2330" s="32" t="s">
        <v>63</v>
      </c>
    </row>
    <row r="2331" customFormat="false" ht="13.5" hidden="false" customHeight="true" outlineLevel="0" collapsed="false">
      <c r="A2331" s="32" t="n">
        <v>4519</v>
      </c>
      <c r="B2331" s="32" t="s">
        <v>1984</v>
      </c>
      <c r="C2331" s="32" t="s">
        <v>1985</v>
      </c>
      <c r="D2331" s="32" t="s">
        <v>59</v>
      </c>
      <c r="E2331" s="32" t="s">
        <v>143</v>
      </c>
      <c r="F2331" s="32" t="n">
        <v>8421430328</v>
      </c>
      <c r="G2331" s="32" t="s">
        <v>69</v>
      </c>
      <c r="H2331" s="32" t="s">
        <v>21</v>
      </c>
      <c r="I2331" s="32" t="s">
        <v>280</v>
      </c>
      <c r="J2331" s="32" t="s">
        <v>76</v>
      </c>
      <c r="K2331" s="32" t="s">
        <v>63</v>
      </c>
    </row>
    <row r="2332" customFormat="false" ht="13.5" hidden="false" customHeight="true" outlineLevel="0" collapsed="false">
      <c r="A2332" s="32" t="n">
        <v>4520</v>
      </c>
      <c r="B2332" s="32" t="s">
        <v>1984</v>
      </c>
      <c r="C2332" s="32" t="s">
        <v>1985</v>
      </c>
      <c r="D2332" s="32" t="s">
        <v>59</v>
      </c>
      <c r="E2332" s="32" t="s">
        <v>143</v>
      </c>
      <c r="F2332" s="32" t="n">
        <v>8421430328</v>
      </c>
      <c r="G2332" s="32" t="s">
        <v>69</v>
      </c>
      <c r="H2332" s="32" t="s">
        <v>21</v>
      </c>
      <c r="I2332" s="32" t="s">
        <v>133</v>
      </c>
      <c r="J2332" s="32" t="s">
        <v>134</v>
      </c>
      <c r="K2332" s="32" t="s">
        <v>63</v>
      </c>
    </row>
    <row r="2333" customFormat="false" ht="13.5" hidden="false" customHeight="true" outlineLevel="0" collapsed="false">
      <c r="A2333" s="32" t="n">
        <v>4521</v>
      </c>
      <c r="B2333" s="32" t="s">
        <v>1984</v>
      </c>
      <c r="C2333" s="32" t="s">
        <v>1985</v>
      </c>
      <c r="D2333" s="32" t="s">
        <v>59</v>
      </c>
      <c r="E2333" s="32" t="s">
        <v>143</v>
      </c>
      <c r="F2333" s="32" t="n">
        <v>8421430328</v>
      </c>
      <c r="G2333" s="32" t="s">
        <v>69</v>
      </c>
      <c r="H2333" s="32" t="s">
        <v>21</v>
      </c>
      <c r="I2333" s="32" t="s">
        <v>172</v>
      </c>
      <c r="J2333" s="32" t="s">
        <v>152</v>
      </c>
      <c r="K2333" s="32" t="s">
        <v>63</v>
      </c>
    </row>
    <row r="2334" customFormat="false" ht="13.5" hidden="false" customHeight="true" outlineLevel="0" collapsed="false">
      <c r="A2334" s="32" t="n">
        <v>4522</v>
      </c>
      <c r="B2334" s="32" t="s">
        <v>1986</v>
      </c>
      <c r="C2334" s="32" t="s">
        <v>1987</v>
      </c>
      <c r="D2334" s="32" t="s">
        <v>114</v>
      </c>
      <c r="E2334" s="32" t="s">
        <v>115</v>
      </c>
      <c r="F2334" s="32" t="n">
        <v>9310531094</v>
      </c>
      <c r="G2334" s="32" t="s">
        <v>144</v>
      </c>
      <c r="H2334" s="32" t="s">
        <v>22</v>
      </c>
      <c r="I2334" s="32" t="s">
        <v>1479</v>
      </c>
      <c r="J2334" s="32" t="s">
        <v>388</v>
      </c>
      <c r="K2334" s="32" t="s">
        <v>63</v>
      </c>
    </row>
    <row r="2335" customFormat="false" ht="13.5" hidden="false" customHeight="true" outlineLevel="0" collapsed="false">
      <c r="A2335" s="32" t="n">
        <v>4523</v>
      </c>
      <c r="B2335" s="32" t="s">
        <v>1986</v>
      </c>
      <c r="C2335" s="32" t="s">
        <v>1987</v>
      </c>
      <c r="D2335" s="32" t="s">
        <v>114</v>
      </c>
      <c r="E2335" s="32" t="s">
        <v>115</v>
      </c>
      <c r="F2335" s="32" t="n">
        <v>9310531094</v>
      </c>
      <c r="G2335" s="32" t="s">
        <v>144</v>
      </c>
      <c r="H2335" s="32" t="s">
        <v>22</v>
      </c>
      <c r="I2335" s="32" t="s">
        <v>1988</v>
      </c>
      <c r="J2335" s="32" t="s">
        <v>388</v>
      </c>
      <c r="K2335" s="32" t="s">
        <v>63</v>
      </c>
    </row>
    <row r="2336" customFormat="false" ht="13.5" hidden="false" customHeight="true" outlineLevel="0" collapsed="false">
      <c r="A2336" s="32" t="n">
        <v>4524</v>
      </c>
      <c r="B2336" s="32" t="s">
        <v>1986</v>
      </c>
      <c r="C2336" s="32" t="s">
        <v>1989</v>
      </c>
      <c r="D2336" s="32" t="s">
        <v>114</v>
      </c>
      <c r="E2336" s="32" t="s">
        <v>115</v>
      </c>
      <c r="F2336" s="32" t="n">
        <v>9310531094</v>
      </c>
      <c r="G2336" s="32" t="s">
        <v>144</v>
      </c>
      <c r="H2336" s="32" t="s">
        <v>22</v>
      </c>
      <c r="I2336" s="32" t="s">
        <v>75</v>
      </c>
      <c r="J2336" s="32" t="s">
        <v>76</v>
      </c>
      <c r="K2336" s="32" t="s">
        <v>63</v>
      </c>
    </row>
    <row r="2337" customFormat="false" ht="13.5" hidden="false" customHeight="true" outlineLevel="0" collapsed="false">
      <c r="A2337" s="32" t="n">
        <v>4525</v>
      </c>
      <c r="B2337" s="32" t="s">
        <v>1986</v>
      </c>
      <c r="C2337" s="32" t="s">
        <v>1989</v>
      </c>
      <c r="D2337" s="32" t="s">
        <v>114</v>
      </c>
      <c r="E2337" s="32" t="s">
        <v>115</v>
      </c>
      <c r="F2337" s="32" t="n">
        <v>9310531094</v>
      </c>
      <c r="G2337" s="32" t="s">
        <v>144</v>
      </c>
      <c r="H2337" s="32" t="s">
        <v>22</v>
      </c>
      <c r="I2337" s="32" t="s">
        <v>387</v>
      </c>
      <c r="J2337" s="32" t="s">
        <v>388</v>
      </c>
      <c r="K2337" s="32" t="s">
        <v>63</v>
      </c>
    </row>
    <row r="2338" customFormat="false" ht="13.5" hidden="false" customHeight="true" outlineLevel="0" collapsed="false">
      <c r="A2338" s="32" t="n">
        <v>4526</v>
      </c>
      <c r="B2338" s="32" t="s">
        <v>1986</v>
      </c>
      <c r="C2338" s="32" t="s">
        <v>1989</v>
      </c>
      <c r="D2338" s="32" t="s">
        <v>114</v>
      </c>
      <c r="E2338" s="32" t="s">
        <v>115</v>
      </c>
      <c r="F2338" s="32" t="n">
        <v>9310531094</v>
      </c>
      <c r="G2338" s="32" t="s">
        <v>144</v>
      </c>
      <c r="H2338" s="32" t="s">
        <v>22</v>
      </c>
      <c r="I2338" s="32" t="s">
        <v>14</v>
      </c>
      <c r="J2338" s="32" t="s">
        <v>66</v>
      </c>
      <c r="K2338" s="32" t="s">
        <v>63</v>
      </c>
    </row>
    <row r="2339" customFormat="false" ht="13.5" hidden="false" customHeight="true" outlineLevel="0" collapsed="false">
      <c r="A2339" s="32" t="n">
        <v>4527</v>
      </c>
      <c r="B2339" s="32" t="s">
        <v>1990</v>
      </c>
      <c r="C2339" s="32" t="s">
        <v>1991</v>
      </c>
      <c r="D2339" s="32" t="s">
        <v>114</v>
      </c>
      <c r="E2339" s="32" t="n">
        <v>0</v>
      </c>
      <c r="F2339" s="32" t="n">
        <v>0</v>
      </c>
      <c r="G2339" s="32" t="s">
        <v>61</v>
      </c>
      <c r="H2339" s="32" t="s">
        <v>22</v>
      </c>
      <c r="I2339" s="32" t="s">
        <v>131</v>
      </c>
      <c r="J2339" s="32" t="s">
        <v>132</v>
      </c>
      <c r="K2339" s="32" t="s">
        <v>63</v>
      </c>
    </row>
    <row r="2340" customFormat="false" ht="13.5" hidden="false" customHeight="true" outlineLevel="0" collapsed="false">
      <c r="A2340" s="32" t="n">
        <v>4528</v>
      </c>
      <c r="B2340" s="32" t="s">
        <v>1990</v>
      </c>
      <c r="C2340" s="32" t="s">
        <v>1992</v>
      </c>
      <c r="D2340" s="32" t="s">
        <v>114</v>
      </c>
      <c r="E2340" s="32" t="n">
        <v>0</v>
      </c>
      <c r="F2340" s="32" t="n">
        <v>0</v>
      </c>
      <c r="G2340" s="32" t="s">
        <v>61</v>
      </c>
      <c r="H2340" s="32" t="s">
        <v>22</v>
      </c>
      <c r="I2340" s="32" t="s">
        <v>185</v>
      </c>
      <c r="J2340" s="32" t="s">
        <v>186</v>
      </c>
      <c r="K2340" s="32" t="s">
        <v>63</v>
      </c>
    </row>
    <row r="2341" customFormat="false" ht="13.5" hidden="false" customHeight="true" outlineLevel="0" collapsed="false">
      <c r="A2341" s="32" t="n">
        <v>4529</v>
      </c>
      <c r="B2341" s="32" t="s">
        <v>1993</v>
      </c>
      <c r="C2341" s="32" t="s">
        <v>1994</v>
      </c>
      <c r="D2341" s="32" t="s">
        <v>114</v>
      </c>
      <c r="E2341" s="32" t="s">
        <v>169</v>
      </c>
      <c r="F2341" s="32" t="n">
        <v>9964355443</v>
      </c>
      <c r="G2341" s="32" t="s">
        <v>61</v>
      </c>
      <c r="H2341" s="32" t="s">
        <v>22</v>
      </c>
      <c r="I2341" s="32" t="s">
        <v>28</v>
      </c>
      <c r="J2341" s="32" t="s">
        <v>82</v>
      </c>
      <c r="K2341" s="32" t="s">
        <v>63</v>
      </c>
    </row>
    <row r="2342" customFormat="false" ht="13.5" hidden="false" customHeight="true" outlineLevel="0" collapsed="false">
      <c r="A2342" s="32" t="n">
        <v>4530</v>
      </c>
      <c r="B2342" s="32" t="s">
        <v>1993</v>
      </c>
      <c r="C2342" s="32" t="s">
        <v>1995</v>
      </c>
      <c r="D2342" s="32" t="s">
        <v>114</v>
      </c>
      <c r="E2342" s="32" t="s">
        <v>169</v>
      </c>
      <c r="F2342" s="32" t="n">
        <v>9964355443</v>
      </c>
      <c r="G2342" s="32" t="s">
        <v>61</v>
      </c>
      <c r="H2342" s="32" t="s">
        <v>22</v>
      </c>
      <c r="I2342" s="32" t="s">
        <v>251</v>
      </c>
      <c r="J2342" s="32" t="s">
        <v>152</v>
      </c>
      <c r="K2342" s="32" t="s">
        <v>63</v>
      </c>
    </row>
    <row r="2343" customFormat="false" ht="13.5" hidden="false" customHeight="true" outlineLevel="0" collapsed="false">
      <c r="A2343" s="32" t="n">
        <v>4531</v>
      </c>
      <c r="B2343" s="32" t="s">
        <v>1993</v>
      </c>
      <c r="C2343" s="32" t="s">
        <v>1995</v>
      </c>
      <c r="D2343" s="32" t="s">
        <v>114</v>
      </c>
      <c r="E2343" s="32" t="s">
        <v>169</v>
      </c>
      <c r="F2343" s="32" t="n">
        <v>9964355443</v>
      </c>
      <c r="G2343" s="32" t="s">
        <v>61</v>
      </c>
      <c r="H2343" s="32" t="s">
        <v>22</v>
      </c>
      <c r="I2343" s="32" t="s">
        <v>151</v>
      </c>
      <c r="J2343" s="32" t="s">
        <v>152</v>
      </c>
      <c r="K2343" s="32" t="s">
        <v>63</v>
      </c>
    </row>
    <row r="2344" customFormat="false" ht="13.5" hidden="false" customHeight="true" outlineLevel="0" collapsed="false">
      <c r="A2344" s="32" t="n">
        <v>4532</v>
      </c>
      <c r="B2344" s="32" t="s">
        <v>1993</v>
      </c>
      <c r="C2344" s="32" t="s">
        <v>1995</v>
      </c>
      <c r="D2344" s="32" t="s">
        <v>114</v>
      </c>
      <c r="E2344" s="32" t="s">
        <v>169</v>
      </c>
      <c r="F2344" s="32" t="n">
        <v>9964355443</v>
      </c>
      <c r="G2344" s="32" t="s">
        <v>61</v>
      </c>
      <c r="H2344" s="32" t="s">
        <v>22</v>
      </c>
      <c r="I2344" s="32" t="s">
        <v>251</v>
      </c>
      <c r="J2344" s="32" t="s">
        <v>152</v>
      </c>
      <c r="K2344" s="32" t="s">
        <v>63</v>
      </c>
    </row>
    <row r="2345" customFormat="false" ht="13.5" hidden="false" customHeight="true" outlineLevel="0" collapsed="false">
      <c r="A2345" s="32" t="n">
        <v>4533</v>
      </c>
      <c r="B2345" s="32" t="s">
        <v>1996</v>
      </c>
      <c r="C2345" s="32" t="s">
        <v>1997</v>
      </c>
      <c r="D2345" s="32" t="s">
        <v>59</v>
      </c>
      <c r="E2345" s="32" t="s">
        <v>60</v>
      </c>
      <c r="F2345" s="32" t="n">
        <v>9315944628</v>
      </c>
      <c r="G2345" s="32" t="s">
        <v>144</v>
      </c>
      <c r="H2345" s="32" t="s">
        <v>21</v>
      </c>
      <c r="I2345" s="32" t="s">
        <v>76</v>
      </c>
      <c r="J2345" s="32" t="s">
        <v>76</v>
      </c>
      <c r="K2345" s="32" t="s">
        <v>63</v>
      </c>
    </row>
    <row r="2346" customFormat="false" ht="13.5" hidden="false" customHeight="true" outlineLevel="0" collapsed="false">
      <c r="A2346" s="32" t="n">
        <v>4534</v>
      </c>
      <c r="B2346" s="32" t="s">
        <v>1996</v>
      </c>
      <c r="C2346" s="32" t="s">
        <v>1997</v>
      </c>
      <c r="D2346" s="32" t="s">
        <v>59</v>
      </c>
      <c r="E2346" s="32" t="s">
        <v>60</v>
      </c>
      <c r="F2346" s="32" t="n">
        <v>9315944628</v>
      </c>
      <c r="G2346" s="32" t="s">
        <v>144</v>
      </c>
      <c r="H2346" s="32" t="s">
        <v>21</v>
      </c>
      <c r="I2346" s="32" t="s">
        <v>30</v>
      </c>
      <c r="J2346" s="32" t="s">
        <v>203</v>
      </c>
      <c r="K2346" s="32" t="s">
        <v>63</v>
      </c>
    </row>
    <row r="2347" customFormat="false" ht="13.5" hidden="false" customHeight="true" outlineLevel="0" collapsed="false">
      <c r="A2347" s="32" t="n">
        <v>4535</v>
      </c>
      <c r="B2347" s="32" t="s">
        <v>1996</v>
      </c>
      <c r="C2347" s="32" t="s">
        <v>1997</v>
      </c>
      <c r="D2347" s="32" t="s">
        <v>59</v>
      </c>
      <c r="E2347" s="32" t="s">
        <v>60</v>
      </c>
      <c r="F2347" s="32" t="n">
        <v>9315944628</v>
      </c>
      <c r="G2347" s="32" t="s">
        <v>144</v>
      </c>
      <c r="H2347" s="32" t="s">
        <v>21</v>
      </c>
      <c r="I2347" s="32" t="s">
        <v>29</v>
      </c>
      <c r="J2347" s="32" t="s">
        <v>62</v>
      </c>
      <c r="K2347" s="32" t="s">
        <v>63</v>
      </c>
    </row>
    <row r="2348" customFormat="false" ht="13.5" hidden="false" customHeight="true" outlineLevel="0" collapsed="false">
      <c r="A2348" s="32" t="n">
        <v>4536</v>
      </c>
      <c r="B2348" s="32" t="s">
        <v>1998</v>
      </c>
      <c r="C2348" s="32" t="s">
        <v>1999</v>
      </c>
      <c r="D2348" s="32" t="s">
        <v>114</v>
      </c>
      <c r="E2348" s="32" t="n">
        <v>0</v>
      </c>
      <c r="F2348" s="32" t="n">
        <v>9619617442</v>
      </c>
      <c r="G2348" s="32" t="s">
        <v>104</v>
      </c>
      <c r="H2348" s="32" t="s">
        <v>22</v>
      </c>
      <c r="I2348" s="32" t="s">
        <v>678</v>
      </c>
      <c r="J2348" s="32" t="s">
        <v>152</v>
      </c>
      <c r="K2348" s="32" t="s">
        <v>63</v>
      </c>
    </row>
    <row r="2349" customFormat="false" ht="13.5" hidden="false" customHeight="true" outlineLevel="0" collapsed="false">
      <c r="A2349" s="32" t="n">
        <v>4537</v>
      </c>
      <c r="B2349" s="32" t="s">
        <v>1998</v>
      </c>
      <c r="C2349" s="32" t="s">
        <v>1999</v>
      </c>
      <c r="D2349" s="32" t="s">
        <v>114</v>
      </c>
      <c r="E2349" s="32" t="n">
        <v>0</v>
      </c>
      <c r="F2349" s="32" t="n">
        <v>9619617442</v>
      </c>
      <c r="G2349" s="32" t="s">
        <v>104</v>
      </c>
      <c r="H2349" s="32" t="s">
        <v>22</v>
      </c>
      <c r="I2349" s="32" t="s">
        <v>171</v>
      </c>
      <c r="J2349" s="32" t="s">
        <v>152</v>
      </c>
      <c r="K2349" s="32" t="s">
        <v>63</v>
      </c>
    </row>
    <row r="2350" customFormat="false" ht="13.5" hidden="false" customHeight="true" outlineLevel="0" collapsed="false">
      <c r="A2350" s="32" t="n">
        <v>4541</v>
      </c>
      <c r="B2350" s="32" t="s">
        <v>1998</v>
      </c>
      <c r="C2350" s="32" t="s">
        <v>1999</v>
      </c>
      <c r="D2350" s="32" t="s">
        <v>114</v>
      </c>
      <c r="E2350" s="32" t="n">
        <v>0</v>
      </c>
      <c r="F2350" s="32" t="n">
        <v>9619617442</v>
      </c>
      <c r="G2350" s="32" t="s">
        <v>104</v>
      </c>
      <c r="H2350" s="32" t="s">
        <v>22</v>
      </c>
      <c r="I2350" s="32" t="s">
        <v>151</v>
      </c>
      <c r="J2350" s="32" t="s">
        <v>152</v>
      </c>
      <c r="K2350" s="32" t="s">
        <v>63</v>
      </c>
    </row>
    <row r="2351" customFormat="false" ht="13.5" hidden="false" customHeight="true" outlineLevel="0" collapsed="false">
      <c r="A2351" s="32" t="n">
        <v>4542</v>
      </c>
      <c r="B2351" s="32" t="s">
        <v>1998</v>
      </c>
      <c r="C2351" s="32" t="s">
        <v>1999</v>
      </c>
      <c r="D2351" s="32" t="s">
        <v>114</v>
      </c>
      <c r="E2351" s="32" t="n">
        <v>0</v>
      </c>
      <c r="F2351" s="32" t="n">
        <v>9619617442</v>
      </c>
      <c r="G2351" s="32" t="s">
        <v>104</v>
      </c>
      <c r="H2351" s="32" t="s">
        <v>22</v>
      </c>
      <c r="I2351" s="32" t="s">
        <v>371</v>
      </c>
      <c r="J2351" s="32" t="s">
        <v>152</v>
      </c>
      <c r="K2351" s="32" t="s">
        <v>63</v>
      </c>
    </row>
    <row r="2352" customFormat="false" ht="13.5" hidden="false" customHeight="true" outlineLevel="0" collapsed="false">
      <c r="A2352" s="32" t="n">
        <v>4543</v>
      </c>
      <c r="B2352" s="32" t="s">
        <v>1998</v>
      </c>
      <c r="C2352" s="32" t="s">
        <v>2000</v>
      </c>
      <c r="D2352" s="32" t="s">
        <v>114</v>
      </c>
      <c r="E2352" s="32" t="n">
        <v>0</v>
      </c>
      <c r="F2352" s="32" t="n">
        <v>9619617442</v>
      </c>
      <c r="G2352" s="32" t="s">
        <v>104</v>
      </c>
      <c r="H2352" s="32" t="s">
        <v>22</v>
      </c>
      <c r="I2352" s="32" t="s">
        <v>128</v>
      </c>
      <c r="J2352" s="32" t="s">
        <v>89</v>
      </c>
      <c r="K2352" s="32" t="s">
        <v>63</v>
      </c>
    </row>
    <row r="2353" customFormat="false" ht="13.5" hidden="false" customHeight="true" outlineLevel="0" collapsed="false">
      <c r="A2353" s="32" t="n">
        <v>4544</v>
      </c>
      <c r="B2353" s="32" t="s">
        <v>1998</v>
      </c>
      <c r="C2353" s="32" t="s">
        <v>2000</v>
      </c>
      <c r="D2353" s="32" t="s">
        <v>114</v>
      </c>
      <c r="E2353" s="32" t="n">
        <v>0</v>
      </c>
      <c r="F2353" s="32" t="n">
        <v>9619617442</v>
      </c>
      <c r="G2353" s="32" t="s">
        <v>104</v>
      </c>
      <c r="H2353" s="32" t="s">
        <v>22</v>
      </c>
      <c r="I2353" s="32" t="s">
        <v>27</v>
      </c>
      <c r="J2353" s="32" t="s">
        <v>13</v>
      </c>
      <c r="K2353" s="32" t="s">
        <v>63</v>
      </c>
    </row>
    <row r="2354" customFormat="false" ht="13.5" hidden="false" customHeight="true" outlineLevel="0" collapsed="false">
      <c r="A2354" s="32" t="n">
        <v>4545</v>
      </c>
      <c r="B2354" s="32" t="s">
        <v>1998</v>
      </c>
      <c r="C2354" s="32" t="s">
        <v>2000</v>
      </c>
      <c r="D2354" s="32" t="s">
        <v>114</v>
      </c>
      <c r="E2354" s="32" t="n">
        <v>0</v>
      </c>
      <c r="F2354" s="32" t="n">
        <v>9619617442</v>
      </c>
      <c r="G2354" s="32" t="s">
        <v>104</v>
      </c>
      <c r="H2354" s="32" t="s">
        <v>22</v>
      </c>
      <c r="I2354" s="32" t="s">
        <v>109</v>
      </c>
      <c r="J2354" s="32" t="s">
        <v>110</v>
      </c>
      <c r="K2354" s="32" t="s">
        <v>63</v>
      </c>
    </row>
    <row r="2355" customFormat="false" ht="13.5" hidden="false" customHeight="true" outlineLevel="0" collapsed="false">
      <c r="A2355" s="32" t="n">
        <v>4546</v>
      </c>
      <c r="B2355" s="32" t="s">
        <v>1998</v>
      </c>
      <c r="C2355" s="32" t="s">
        <v>2000</v>
      </c>
      <c r="D2355" s="32" t="s">
        <v>114</v>
      </c>
      <c r="E2355" s="32" t="n">
        <v>0</v>
      </c>
      <c r="F2355" s="32" t="n">
        <v>9619617442</v>
      </c>
      <c r="G2355" s="32" t="s">
        <v>104</v>
      </c>
      <c r="H2355" s="32" t="s">
        <v>22</v>
      </c>
      <c r="I2355" s="32" t="s">
        <v>284</v>
      </c>
      <c r="J2355" s="32" t="s">
        <v>117</v>
      </c>
      <c r="K2355" s="32" t="s">
        <v>63</v>
      </c>
    </row>
    <row r="2356" customFormat="false" ht="13.5" hidden="false" customHeight="true" outlineLevel="0" collapsed="false">
      <c r="A2356" s="32" t="n">
        <v>4547</v>
      </c>
      <c r="B2356" s="32" t="s">
        <v>1998</v>
      </c>
      <c r="C2356" s="32" t="s">
        <v>2000</v>
      </c>
      <c r="D2356" s="32" t="s">
        <v>114</v>
      </c>
      <c r="E2356" s="32" t="n">
        <v>0</v>
      </c>
      <c r="F2356" s="32" t="n">
        <v>9619617442</v>
      </c>
      <c r="G2356" s="32" t="s">
        <v>104</v>
      </c>
      <c r="H2356" s="32" t="s">
        <v>22</v>
      </c>
      <c r="I2356" s="32" t="s">
        <v>30</v>
      </c>
      <c r="J2356" s="32" t="s">
        <v>203</v>
      </c>
      <c r="K2356" s="32" t="s">
        <v>63</v>
      </c>
    </row>
    <row r="2357" customFormat="false" ht="13.5" hidden="false" customHeight="true" outlineLevel="0" collapsed="false">
      <c r="A2357" s="32" t="n">
        <v>4548</v>
      </c>
      <c r="B2357" s="32" t="s">
        <v>2001</v>
      </c>
      <c r="C2357" s="32" t="s">
        <v>2002</v>
      </c>
      <c r="D2357" s="32" t="s">
        <v>114</v>
      </c>
      <c r="E2357" s="32" t="s">
        <v>115</v>
      </c>
      <c r="F2357" s="33" t="n">
        <v>919652000000</v>
      </c>
      <c r="G2357" s="32" t="s">
        <v>80</v>
      </c>
      <c r="H2357" s="32" t="s">
        <v>22</v>
      </c>
      <c r="I2357" s="32" t="s">
        <v>93</v>
      </c>
      <c r="J2357" s="32" t="s">
        <v>85</v>
      </c>
      <c r="K2357" s="32" t="s">
        <v>63</v>
      </c>
    </row>
    <row r="2358" customFormat="false" ht="13.5" hidden="false" customHeight="true" outlineLevel="0" collapsed="false">
      <c r="A2358" s="32" t="n">
        <v>6884</v>
      </c>
      <c r="B2358" s="32" t="s">
        <v>2001</v>
      </c>
      <c r="C2358" s="32" t="s">
        <v>2003</v>
      </c>
      <c r="D2358" s="32" t="s">
        <v>114</v>
      </c>
      <c r="E2358" s="32" t="s">
        <v>115</v>
      </c>
      <c r="F2358" s="32" t="n">
        <v>9652451100</v>
      </c>
      <c r="G2358" s="32" t="s">
        <v>80</v>
      </c>
      <c r="H2358" s="32" t="s">
        <v>22</v>
      </c>
      <c r="I2358" s="32" t="s">
        <v>133</v>
      </c>
      <c r="J2358" s="32" t="s">
        <v>134</v>
      </c>
      <c r="K2358" s="32" t="s">
        <v>63</v>
      </c>
    </row>
    <row r="2359" customFormat="false" ht="13.5" hidden="false" customHeight="true" outlineLevel="0" collapsed="false">
      <c r="A2359" s="32" t="n">
        <v>4550</v>
      </c>
      <c r="B2359" s="32" t="s">
        <v>2004</v>
      </c>
      <c r="C2359" s="32" t="s">
        <v>2005</v>
      </c>
      <c r="D2359" s="32" t="s">
        <v>114</v>
      </c>
      <c r="E2359" s="32" t="s">
        <v>169</v>
      </c>
      <c r="F2359" s="32" t="n">
        <v>9959320315</v>
      </c>
      <c r="G2359" s="32" t="s">
        <v>80</v>
      </c>
      <c r="H2359" s="32" t="s">
        <v>22</v>
      </c>
      <c r="I2359" s="32" t="s">
        <v>251</v>
      </c>
      <c r="J2359" s="32" t="s">
        <v>152</v>
      </c>
      <c r="K2359" s="32" t="s">
        <v>63</v>
      </c>
    </row>
    <row r="2360" customFormat="false" ht="13.5" hidden="false" customHeight="true" outlineLevel="0" collapsed="false">
      <c r="A2360" s="32" t="n">
        <v>4551</v>
      </c>
      <c r="B2360" s="32" t="s">
        <v>2004</v>
      </c>
      <c r="C2360" s="32" t="s">
        <v>2005</v>
      </c>
      <c r="D2360" s="32" t="s">
        <v>114</v>
      </c>
      <c r="E2360" s="32" t="s">
        <v>169</v>
      </c>
      <c r="F2360" s="32" t="n">
        <v>9980021856</v>
      </c>
      <c r="G2360" s="32" t="s">
        <v>61</v>
      </c>
      <c r="H2360" s="32" t="s">
        <v>22</v>
      </c>
      <c r="I2360" s="32" t="s">
        <v>145</v>
      </c>
      <c r="J2360" s="32" t="s">
        <v>117</v>
      </c>
      <c r="K2360" s="32" t="s">
        <v>63</v>
      </c>
    </row>
    <row r="2361" customFormat="false" ht="13.5" hidden="false" customHeight="true" outlineLevel="0" collapsed="false">
      <c r="A2361" s="32" t="n">
        <v>4552</v>
      </c>
      <c r="B2361" s="32" t="s">
        <v>2004</v>
      </c>
      <c r="C2361" s="32" t="s">
        <v>2005</v>
      </c>
      <c r="D2361" s="32" t="s">
        <v>114</v>
      </c>
      <c r="E2361" s="32" t="s">
        <v>169</v>
      </c>
      <c r="F2361" s="32" t="n">
        <v>9980021856</v>
      </c>
      <c r="G2361" s="32" t="s">
        <v>61</v>
      </c>
      <c r="H2361" s="32" t="s">
        <v>22</v>
      </c>
      <c r="I2361" s="32" t="s">
        <v>151</v>
      </c>
      <c r="J2361" s="32" t="s">
        <v>152</v>
      </c>
      <c r="K2361" s="32" t="s">
        <v>63</v>
      </c>
    </row>
    <row r="2362" customFormat="false" ht="13.5" hidden="false" customHeight="true" outlineLevel="0" collapsed="false">
      <c r="A2362" s="32" t="n">
        <v>4553</v>
      </c>
      <c r="B2362" s="32" t="s">
        <v>2004</v>
      </c>
      <c r="C2362" s="32" t="s">
        <v>2005</v>
      </c>
      <c r="D2362" s="32" t="s">
        <v>114</v>
      </c>
      <c r="E2362" s="32" t="s">
        <v>169</v>
      </c>
      <c r="F2362" s="32" t="n">
        <v>9980021856</v>
      </c>
      <c r="G2362" s="32" t="s">
        <v>61</v>
      </c>
      <c r="H2362" s="32" t="s">
        <v>22</v>
      </c>
      <c r="I2362" s="32" t="s">
        <v>825</v>
      </c>
      <c r="J2362" s="32" t="s">
        <v>132</v>
      </c>
      <c r="K2362" s="32" t="s">
        <v>63</v>
      </c>
    </row>
    <row r="2363" customFormat="false" ht="13.5" hidden="false" customHeight="true" outlineLevel="0" collapsed="false">
      <c r="A2363" s="32" t="n">
        <v>4554</v>
      </c>
      <c r="B2363" s="32" t="s">
        <v>2006</v>
      </c>
      <c r="C2363" s="32" t="s">
        <v>2007</v>
      </c>
      <c r="D2363" s="32" t="s">
        <v>102</v>
      </c>
      <c r="E2363" s="32" t="s">
        <v>103</v>
      </c>
      <c r="F2363" s="33" t="n">
        <v>917897000000</v>
      </c>
      <c r="G2363" s="32" t="s">
        <v>69</v>
      </c>
      <c r="H2363" s="32" t="s">
        <v>21</v>
      </c>
      <c r="I2363" s="32" t="s">
        <v>133</v>
      </c>
      <c r="J2363" s="32" t="s">
        <v>134</v>
      </c>
      <c r="K2363" s="32" t="s">
        <v>63</v>
      </c>
    </row>
    <row r="2364" customFormat="false" ht="13.5" hidden="false" customHeight="true" outlineLevel="0" collapsed="false">
      <c r="A2364" s="32" t="n">
        <v>4555</v>
      </c>
      <c r="B2364" s="32" t="s">
        <v>2008</v>
      </c>
      <c r="C2364" s="32" t="s">
        <v>2009</v>
      </c>
      <c r="D2364" s="32" t="s">
        <v>59</v>
      </c>
      <c r="E2364" s="32" t="s">
        <v>143</v>
      </c>
      <c r="F2364" s="33" t="n">
        <v>918379000000</v>
      </c>
      <c r="G2364" s="32" t="s">
        <v>61</v>
      </c>
      <c r="H2364" s="32" t="s">
        <v>21</v>
      </c>
      <c r="I2364" s="32" t="s">
        <v>265</v>
      </c>
      <c r="J2364" s="32" t="s">
        <v>152</v>
      </c>
      <c r="K2364" s="32" t="s">
        <v>63</v>
      </c>
    </row>
    <row r="2365" customFormat="false" ht="13.5" hidden="false" customHeight="true" outlineLevel="0" collapsed="false">
      <c r="A2365" s="32" t="n">
        <v>4556</v>
      </c>
      <c r="B2365" s="32" t="s">
        <v>2008</v>
      </c>
      <c r="C2365" s="32" t="s">
        <v>2009</v>
      </c>
      <c r="D2365" s="32" t="s">
        <v>59</v>
      </c>
      <c r="E2365" s="32" t="s">
        <v>143</v>
      </c>
      <c r="F2365" s="32" t="n">
        <v>8379065737</v>
      </c>
      <c r="G2365" s="32" t="s">
        <v>61</v>
      </c>
      <c r="H2365" s="32" t="s">
        <v>21</v>
      </c>
      <c r="I2365" s="32" t="s">
        <v>408</v>
      </c>
      <c r="J2365" s="32" t="s">
        <v>117</v>
      </c>
      <c r="K2365" s="32" t="s">
        <v>63</v>
      </c>
    </row>
    <row r="2366" customFormat="false" ht="13.5" hidden="false" customHeight="true" outlineLevel="0" collapsed="false">
      <c r="A2366" s="32" t="n">
        <v>4557</v>
      </c>
      <c r="B2366" s="32" t="s">
        <v>2010</v>
      </c>
      <c r="C2366" s="32" t="s">
        <v>2011</v>
      </c>
      <c r="D2366" s="32" t="s">
        <v>114</v>
      </c>
      <c r="E2366" s="32" t="s">
        <v>115</v>
      </c>
      <c r="F2366" s="32" t="s">
        <v>2012</v>
      </c>
      <c r="G2366" s="32" t="s">
        <v>61</v>
      </c>
      <c r="H2366" s="32" t="s">
        <v>22</v>
      </c>
      <c r="I2366" s="32" t="s">
        <v>215</v>
      </c>
      <c r="J2366" s="32" t="s">
        <v>132</v>
      </c>
      <c r="K2366" s="32" t="s">
        <v>63</v>
      </c>
    </row>
    <row r="2367" customFormat="false" ht="13.5" hidden="false" customHeight="true" outlineLevel="0" collapsed="false">
      <c r="A2367" s="32" t="n">
        <v>4558</v>
      </c>
      <c r="B2367" s="32" t="s">
        <v>2010</v>
      </c>
      <c r="C2367" s="32" t="s">
        <v>2013</v>
      </c>
      <c r="D2367" s="32" t="s">
        <v>114</v>
      </c>
      <c r="E2367" s="32" t="s">
        <v>115</v>
      </c>
      <c r="F2367" s="32" t="s">
        <v>2012</v>
      </c>
      <c r="G2367" s="32" t="s">
        <v>61</v>
      </c>
      <c r="H2367" s="32" t="s">
        <v>22</v>
      </c>
      <c r="I2367" s="32" t="s">
        <v>217</v>
      </c>
      <c r="J2367" s="32" t="s">
        <v>132</v>
      </c>
      <c r="K2367" s="32" t="s">
        <v>63</v>
      </c>
    </row>
    <row r="2368" customFormat="false" ht="13.5" hidden="false" customHeight="true" outlineLevel="0" collapsed="false">
      <c r="A2368" s="32" t="n">
        <v>4559</v>
      </c>
      <c r="B2368" s="32" t="s">
        <v>2010</v>
      </c>
      <c r="C2368" s="32" t="s">
        <v>2011</v>
      </c>
      <c r="D2368" s="32" t="s">
        <v>114</v>
      </c>
      <c r="E2368" s="32" t="s">
        <v>115</v>
      </c>
      <c r="F2368" s="32" t="s">
        <v>2012</v>
      </c>
      <c r="G2368" s="32" t="s">
        <v>61</v>
      </c>
      <c r="H2368" s="32" t="s">
        <v>22</v>
      </c>
      <c r="I2368" s="32" t="s">
        <v>728</v>
      </c>
      <c r="J2368" s="32" t="s">
        <v>132</v>
      </c>
      <c r="K2368" s="32" t="s">
        <v>63</v>
      </c>
    </row>
    <row r="2369" customFormat="false" ht="13.5" hidden="false" customHeight="true" outlineLevel="0" collapsed="false">
      <c r="A2369" s="32" t="n">
        <v>4560</v>
      </c>
      <c r="B2369" s="32" t="s">
        <v>2010</v>
      </c>
      <c r="C2369" s="32" t="s">
        <v>2013</v>
      </c>
      <c r="D2369" s="32" t="s">
        <v>114</v>
      </c>
      <c r="E2369" s="32" t="s">
        <v>115</v>
      </c>
      <c r="F2369" s="32" t="s">
        <v>2012</v>
      </c>
      <c r="G2369" s="32" t="s">
        <v>61</v>
      </c>
      <c r="H2369" s="32" t="s">
        <v>22</v>
      </c>
      <c r="I2369" s="32" t="s">
        <v>2014</v>
      </c>
      <c r="J2369" s="32" t="s">
        <v>132</v>
      </c>
      <c r="K2369" s="32" t="s">
        <v>63</v>
      </c>
    </row>
    <row r="2370" customFormat="false" ht="13.5" hidden="false" customHeight="true" outlineLevel="0" collapsed="false">
      <c r="A2370" s="32" t="n">
        <v>4561</v>
      </c>
      <c r="B2370" s="32" t="s">
        <v>2015</v>
      </c>
      <c r="C2370" s="32" t="s">
        <v>2016</v>
      </c>
      <c r="D2370" s="32" t="s">
        <v>59</v>
      </c>
      <c r="E2370" s="32" t="s">
        <v>60</v>
      </c>
      <c r="F2370" s="32" t="n">
        <v>9945133548</v>
      </c>
      <c r="G2370" s="32" t="s">
        <v>80</v>
      </c>
      <c r="H2370" s="32" t="s">
        <v>21</v>
      </c>
      <c r="I2370" s="32" t="s">
        <v>350</v>
      </c>
      <c r="J2370" s="32" t="s">
        <v>235</v>
      </c>
      <c r="K2370" s="32" t="s">
        <v>63</v>
      </c>
    </row>
    <row r="2371" customFormat="false" ht="13.5" hidden="false" customHeight="true" outlineLevel="0" collapsed="false">
      <c r="A2371" s="32" t="n">
        <v>4562</v>
      </c>
      <c r="B2371" s="32" t="s">
        <v>2015</v>
      </c>
      <c r="C2371" s="32" t="s">
        <v>2016</v>
      </c>
      <c r="D2371" s="32" t="s">
        <v>59</v>
      </c>
      <c r="E2371" s="32" t="s">
        <v>60</v>
      </c>
      <c r="F2371" s="32" t="n">
        <v>9945133548</v>
      </c>
      <c r="G2371" s="32" t="s">
        <v>80</v>
      </c>
      <c r="H2371" s="32" t="s">
        <v>21</v>
      </c>
      <c r="I2371" s="32" t="s">
        <v>333</v>
      </c>
      <c r="J2371" s="32" t="s">
        <v>235</v>
      </c>
      <c r="K2371" s="32" t="s">
        <v>63</v>
      </c>
    </row>
    <row r="2372" customFormat="false" ht="13.5" hidden="false" customHeight="true" outlineLevel="0" collapsed="false">
      <c r="A2372" s="32" t="n">
        <v>4563</v>
      </c>
      <c r="B2372" s="32" t="s">
        <v>2017</v>
      </c>
      <c r="C2372" s="32" t="s">
        <v>2018</v>
      </c>
      <c r="D2372" s="32" t="s">
        <v>59</v>
      </c>
      <c r="E2372" s="32" t="s">
        <v>79</v>
      </c>
      <c r="F2372" s="32" t="n">
        <v>9553614093</v>
      </c>
      <c r="G2372" s="32" t="s">
        <v>80</v>
      </c>
      <c r="H2372" s="32" t="s">
        <v>21</v>
      </c>
      <c r="I2372" s="32" t="s">
        <v>172</v>
      </c>
      <c r="J2372" s="32" t="s">
        <v>152</v>
      </c>
      <c r="K2372" s="32" t="s">
        <v>63</v>
      </c>
    </row>
    <row r="2373" customFormat="false" ht="13.5" hidden="false" customHeight="true" outlineLevel="0" collapsed="false">
      <c r="A2373" s="32" t="n">
        <v>4564</v>
      </c>
      <c r="B2373" s="32" t="s">
        <v>2019</v>
      </c>
      <c r="C2373" s="32" t="s">
        <v>2020</v>
      </c>
      <c r="D2373" s="32" t="s">
        <v>331</v>
      </c>
      <c r="E2373" s="32" t="s">
        <v>366</v>
      </c>
      <c r="F2373" s="32" t="n">
        <v>0</v>
      </c>
      <c r="G2373" s="32" t="s">
        <v>80</v>
      </c>
      <c r="H2373" s="32" t="s">
        <v>332</v>
      </c>
      <c r="I2373" s="32" t="s">
        <v>145</v>
      </c>
      <c r="J2373" s="32" t="s">
        <v>117</v>
      </c>
      <c r="K2373" s="32" t="s">
        <v>63</v>
      </c>
    </row>
    <row r="2374" customFormat="false" ht="13.5" hidden="false" customHeight="true" outlineLevel="0" collapsed="false">
      <c r="A2374" s="32" t="n">
        <v>4565</v>
      </c>
      <c r="B2374" s="32" t="s">
        <v>2019</v>
      </c>
      <c r="C2374" s="32" t="s">
        <v>2021</v>
      </c>
      <c r="D2374" s="32" t="s">
        <v>331</v>
      </c>
      <c r="E2374" s="32" t="s">
        <v>366</v>
      </c>
      <c r="F2374" s="32" t="n">
        <v>9949549640</v>
      </c>
      <c r="G2374" s="32" t="s">
        <v>80</v>
      </c>
      <c r="H2374" s="32" t="s">
        <v>332</v>
      </c>
      <c r="I2374" s="32" t="s">
        <v>150</v>
      </c>
      <c r="J2374" s="32" t="s">
        <v>73</v>
      </c>
      <c r="K2374" s="32" t="s">
        <v>63</v>
      </c>
    </row>
    <row r="2375" customFormat="false" ht="13.5" hidden="false" customHeight="true" outlineLevel="0" collapsed="false">
      <c r="A2375" s="32" t="n">
        <v>4566</v>
      </c>
      <c r="B2375" s="32" t="s">
        <v>2019</v>
      </c>
      <c r="C2375" s="32" t="s">
        <v>2021</v>
      </c>
      <c r="D2375" s="32" t="s">
        <v>331</v>
      </c>
      <c r="E2375" s="32" t="s">
        <v>366</v>
      </c>
      <c r="F2375" s="32" t="n">
        <v>9949549640</v>
      </c>
      <c r="G2375" s="32" t="s">
        <v>80</v>
      </c>
      <c r="H2375" s="32" t="s">
        <v>332</v>
      </c>
      <c r="I2375" s="32" t="s">
        <v>212</v>
      </c>
      <c r="J2375" s="32" t="s">
        <v>73</v>
      </c>
      <c r="K2375" s="32" t="s">
        <v>63</v>
      </c>
    </row>
    <row r="2376" customFormat="false" ht="13.5" hidden="false" customHeight="true" outlineLevel="0" collapsed="false">
      <c r="A2376" s="32" t="n">
        <v>4567</v>
      </c>
      <c r="B2376" s="32" t="s">
        <v>2019</v>
      </c>
      <c r="C2376" s="32" t="s">
        <v>2021</v>
      </c>
      <c r="D2376" s="32" t="s">
        <v>331</v>
      </c>
      <c r="E2376" s="32" t="s">
        <v>366</v>
      </c>
      <c r="F2376" s="32" t="n">
        <v>9949549640</v>
      </c>
      <c r="G2376" s="32" t="s">
        <v>80</v>
      </c>
      <c r="H2376" s="32" t="s">
        <v>332</v>
      </c>
      <c r="I2376" s="32" t="s">
        <v>30</v>
      </c>
      <c r="J2376" s="32" t="s">
        <v>203</v>
      </c>
      <c r="K2376" s="32" t="s">
        <v>63</v>
      </c>
    </row>
    <row r="2377" customFormat="false" ht="13.5" hidden="false" customHeight="true" outlineLevel="0" collapsed="false">
      <c r="A2377" s="32" t="n">
        <v>4568</v>
      </c>
      <c r="B2377" s="32" t="s">
        <v>2022</v>
      </c>
      <c r="C2377" s="32" t="s">
        <v>2023</v>
      </c>
      <c r="D2377" s="32" t="s">
        <v>59</v>
      </c>
      <c r="E2377" s="32" t="s">
        <v>60</v>
      </c>
      <c r="F2377" s="32" t="n">
        <v>9494938317</v>
      </c>
      <c r="G2377" s="32" t="s">
        <v>80</v>
      </c>
      <c r="H2377" s="32" t="s">
        <v>21</v>
      </c>
      <c r="I2377" s="32" t="s">
        <v>350</v>
      </c>
      <c r="J2377" s="32" t="s">
        <v>235</v>
      </c>
      <c r="K2377" s="32" t="s">
        <v>63</v>
      </c>
    </row>
    <row r="2378" customFormat="false" ht="13.5" hidden="false" customHeight="true" outlineLevel="0" collapsed="false">
      <c r="A2378" s="32" t="n">
        <v>4569</v>
      </c>
      <c r="B2378" s="32" t="s">
        <v>2022</v>
      </c>
      <c r="C2378" s="32" t="s">
        <v>2023</v>
      </c>
      <c r="D2378" s="32" t="s">
        <v>59</v>
      </c>
      <c r="E2378" s="32" t="s">
        <v>60</v>
      </c>
      <c r="F2378" s="32" t="n">
        <v>9494938317</v>
      </c>
      <c r="G2378" s="32" t="s">
        <v>80</v>
      </c>
      <c r="H2378" s="32" t="s">
        <v>21</v>
      </c>
      <c r="I2378" s="32" t="s">
        <v>234</v>
      </c>
      <c r="J2378" s="32" t="s">
        <v>235</v>
      </c>
      <c r="K2378" s="32" t="s">
        <v>63</v>
      </c>
    </row>
    <row r="2379" customFormat="false" ht="13.5" hidden="false" customHeight="true" outlineLevel="0" collapsed="false">
      <c r="A2379" s="32" t="n">
        <v>4570</v>
      </c>
      <c r="B2379" s="32" t="s">
        <v>2022</v>
      </c>
      <c r="C2379" s="32" t="s">
        <v>2023</v>
      </c>
      <c r="D2379" s="32" t="s">
        <v>59</v>
      </c>
      <c r="E2379" s="32" t="s">
        <v>60</v>
      </c>
      <c r="F2379" s="32" t="n">
        <v>9494938317</v>
      </c>
      <c r="G2379" s="32" t="s">
        <v>80</v>
      </c>
      <c r="H2379" s="32" t="s">
        <v>21</v>
      </c>
      <c r="I2379" s="32" t="s">
        <v>333</v>
      </c>
      <c r="J2379" s="32" t="s">
        <v>235</v>
      </c>
      <c r="K2379" s="32" t="s">
        <v>63</v>
      </c>
    </row>
    <row r="2380" customFormat="false" ht="13.5" hidden="false" customHeight="true" outlineLevel="0" collapsed="false">
      <c r="A2380" s="32" t="n">
        <v>4571</v>
      </c>
      <c r="B2380" s="32" t="s">
        <v>2024</v>
      </c>
      <c r="C2380" s="32" t="s">
        <v>2025</v>
      </c>
      <c r="D2380" s="32" t="s">
        <v>59</v>
      </c>
      <c r="E2380" s="32" t="s">
        <v>79</v>
      </c>
      <c r="F2380" s="32" t="n">
        <v>0</v>
      </c>
      <c r="G2380" s="32" t="s">
        <v>69</v>
      </c>
      <c r="H2380" s="32" t="s">
        <v>21</v>
      </c>
      <c r="I2380" s="32" t="s">
        <v>145</v>
      </c>
      <c r="J2380" s="32" t="s">
        <v>117</v>
      </c>
      <c r="K2380" s="32" t="s">
        <v>63</v>
      </c>
    </row>
    <row r="2381" customFormat="false" ht="13.5" hidden="false" customHeight="true" outlineLevel="0" collapsed="false">
      <c r="A2381" s="32" t="n">
        <v>4572</v>
      </c>
      <c r="B2381" s="32" t="s">
        <v>2024</v>
      </c>
      <c r="C2381" s="32" t="s">
        <v>2025</v>
      </c>
      <c r="D2381" s="32" t="s">
        <v>59</v>
      </c>
      <c r="E2381" s="32" t="s">
        <v>79</v>
      </c>
      <c r="F2381" s="32" t="n">
        <v>0</v>
      </c>
      <c r="G2381" s="32" t="s">
        <v>69</v>
      </c>
      <c r="H2381" s="32" t="s">
        <v>21</v>
      </c>
      <c r="I2381" s="32" t="s">
        <v>151</v>
      </c>
      <c r="J2381" s="32" t="s">
        <v>152</v>
      </c>
      <c r="K2381" s="32" t="s">
        <v>63</v>
      </c>
    </row>
    <row r="2382" customFormat="false" ht="13.5" hidden="false" customHeight="true" outlineLevel="0" collapsed="false">
      <c r="A2382" s="32" t="n">
        <v>4573</v>
      </c>
      <c r="B2382" s="32" t="s">
        <v>2024</v>
      </c>
      <c r="C2382" s="32" t="s">
        <v>2025</v>
      </c>
      <c r="D2382" s="32" t="s">
        <v>59</v>
      </c>
      <c r="E2382" s="32" t="s">
        <v>79</v>
      </c>
      <c r="F2382" s="32" t="n">
        <v>7829189839</v>
      </c>
      <c r="G2382" s="32" t="s">
        <v>69</v>
      </c>
      <c r="H2382" s="32" t="s">
        <v>21</v>
      </c>
      <c r="I2382" s="32" t="s">
        <v>172</v>
      </c>
      <c r="J2382" s="32" t="s">
        <v>152</v>
      </c>
      <c r="K2382" s="32" t="s">
        <v>63</v>
      </c>
    </row>
    <row r="2383" customFormat="false" ht="13.5" hidden="false" customHeight="true" outlineLevel="0" collapsed="false">
      <c r="A2383" s="32" t="n">
        <v>4574</v>
      </c>
      <c r="B2383" s="32" t="s">
        <v>2026</v>
      </c>
      <c r="C2383" s="32" t="s">
        <v>2027</v>
      </c>
      <c r="D2383" s="32" t="s">
        <v>114</v>
      </c>
      <c r="E2383" s="32" t="s">
        <v>115</v>
      </c>
      <c r="F2383" s="33" t="n">
        <v>919612000000</v>
      </c>
      <c r="G2383" s="32" t="s">
        <v>61</v>
      </c>
      <c r="H2383" s="32" t="s">
        <v>22</v>
      </c>
      <c r="I2383" s="32" t="s">
        <v>133</v>
      </c>
      <c r="J2383" s="32" t="s">
        <v>134</v>
      </c>
      <c r="K2383" s="32" t="s">
        <v>63</v>
      </c>
    </row>
    <row r="2384" customFormat="false" ht="13.5" hidden="false" customHeight="true" outlineLevel="0" collapsed="false">
      <c r="A2384" s="32" t="n">
        <v>4577</v>
      </c>
      <c r="B2384" s="32" t="s">
        <v>2028</v>
      </c>
      <c r="C2384" s="32" t="s">
        <v>2029</v>
      </c>
      <c r="D2384" s="32" t="s">
        <v>114</v>
      </c>
      <c r="E2384" s="32" t="s">
        <v>366</v>
      </c>
      <c r="F2384" s="32" t="n">
        <v>9989881166</v>
      </c>
      <c r="G2384" s="32" t="s">
        <v>80</v>
      </c>
      <c r="H2384" s="32" t="s">
        <v>22</v>
      </c>
      <c r="I2384" s="32" t="s">
        <v>108</v>
      </c>
      <c r="J2384" s="32" t="s">
        <v>71</v>
      </c>
      <c r="K2384" s="32" t="s">
        <v>63</v>
      </c>
    </row>
    <row r="2385" customFormat="false" ht="13.5" hidden="false" customHeight="true" outlineLevel="0" collapsed="false">
      <c r="A2385" s="32" t="n">
        <v>4578</v>
      </c>
      <c r="B2385" s="32" t="s">
        <v>2028</v>
      </c>
      <c r="C2385" s="32" t="s">
        <v>2029</v>
      </c>
      <c r="D2385" s="32" t="s">
        <v>114</v>
      </c>
      <c r="E2385" s="32" t="s">
        <v>366</v>
      </c>
      <c r="F2385" s="32" t="n">
        <v>9989881166</v>
      </c>
      <c r="G2385" s="32" t="s">
        <v>80</v>
      </c>
      <c r="H2385" s="32" t="s">
        <v>22</v>
      </c>
      <c r="I2385" s="32" t="s">
        <v>145</v>
      </c>
      <c r="J2385" s="32" t="s">
        <v>117</v>
      </c>
      <c r="K2385" s="32" t="s">
        <v>63</v>
      </c>
    </row>
    <row r="2386" customFormat="false" ht="13.5" hidden="false" customHeight="true" outlineLevel="0" collapsed="false">
      <c r="A2386" s="32" t="n">
        <v>4579</v>
      </c>
      <c r="B2386" s="32" t="s">
        <v>2028</v>
      </c>
      <c r="C2386" s="32" t="s">
        <v>2029</v>
      </c>
      <c r="D2386" s="32" t="s">
        <v>114</v>
      </c>
      <c r="E2386" s="32" t="s">
        <v>366</v>
      </c>
      <c r="F2386" s="32" t="n">
        <v>9989881166</v>
      </c>
      <c r="G2386" s="32" t="s">
        <v>80</v>
      </c>
      <c r="H2386" s="32" t="s">
        <v>22</v>
      </c>
      <c r="I2386" s="32" t="s">
        <v>111</v>
      </c>
      <c r="J2386" s="32" t="s">
        <v>73</v>
      </c>
      <c r="K2386" s="32" t="s">
        <v>63</v>
      </c>
    </row>
    <row r="2387" customFormat="false" ht="13.5" hidden="false" customHeight="true" outlineLevel="0" collapsed="false">
      <c r="A2387" s="32" t="n">
        <v>4580</v>
      </c>
      <c r="B2387" s="32" t="s">
        <v>2030</v>
      </c>
      <c r="C2387" s="32" t="s">
        <v>2031</v>
      </c>
      <c r="D2387" s="32" t="s">
        <v>114</v>
      </c>
      <c r="E2387" s="32" t="s">
        <v>165</v>
      </c>
      <c r="F2387" s="32" t="n">
        <v>9428614858</v>
      </c>
      <c r="G2387" s="32" t="s">
        <v>80</v>
      </c>
      <c r="H2387" s="32" t="s">
        <v>22</v>
      </c>
      <c r="I2387" s="32" t="s">
        <v>2032</v>
      </c>
      <c r="J2387" s="32" t="s">
        <v>66</v>
      </c>
      <c r="K2387" s="32" t="s">
        <v>63</v>
      </c>
    </row>
    <row r="2388" customFormat="false" ht="13.5" hidden="false" customHeight="true" outlineLevel="0" collapsed="false">
      <c r="A2388" s="32" t="n">
        <v>4584</v>
      </c>
      <c r="B2388" s="32" t="s">
        <v>2030</v>
      </c>
      <c r="C2388" s="32" t="s">
        <v>2033</v>
      </c>
      <c r="D2388" s="32" t="s">
        <v>114</v>
      </c>
      <c r="E2388" s="32" t="s">
        <v>165</v>
      </c>
      <c r="F2388" s="32" t="n">
        <v>9428614858</v>
      </c>
      <c r="G2388" s="32" t="s">
        <v>80</v>
      </c>
      <c r="H2388" s="32" t="s">
        <v>22</v>
      </c>
      <c r="I2388" s="32" t="s">
        <v>156</v>
      </c>
      <c r="J2388" s="32" t="s">
        <v>62</v>
      </c>
      <c r="K2388" s="32" t="s">
        <v>63</v>
      </c>
    </row>
    <row r="2389" customFormat="false" ht="13.5" hidden="false" customHeight="true" outlineLevel="0" collapsed="false">
      <c r="A2389" s="32" t="n">
        <v>4585</v>
      </c>
      <c r="B2389" s="32" t="s">
        <v>2030</v>
      </c>
      <c r="C2389" s="32" t="s">
        <v>2033</v>
      </c>
      <c r="D2389" s="32" t="s">
        <v>114</v>
      </c>
      <c r="E2389" s="32" t="s">
        <v>165</v>
      </c>
      <c r="F2389" s="32" t="n">
        <v>9428614858</v>
      </c>
      <c r="G2389" s="32" t="s">
        <v>80</v>
      </c>
      <c r="H2389" s="32" t="s">
        <v>22</v>
      </c>
      <c r="I2389" s="32" t="s">
        <v>29</v>
      </c>
      <c r="J2389" s="32" t="s">
        <v>62</v>
      </c>
      <c r="K2389" s="32" t="s">
        <v>63</v>
      </c>
    </row>
    <row r="2390" customFormat="false" ht="13.5" hidden="false" customHeight="true" outlineLevel="0" collapsed="false">
      <c r="A2390" s="32" t="n">
        <v>4586</v>
      </c>
      <c r="B2390" s="32" t="s">
        <v>2030</v>
      </c>
      <c r="C2390" s="32" t="s">
        <v>2033</v>
      </c>
      <c r="D2390" s="32" t="s">
        <v>114</v>
      </c>
      <c r="E2390" s="32" t="s">
        <v>165</v>
      </c>
      <c r="F2390" s="32" t="n">
        <v>9428614858</v>
      </c>
      <c r="G2390" s="32" t="s">
        <v>80</v>
      </c>
      <c r="H2390" s="32" t="s">
        <v>22</v>
      </c>
      <c r="I2390" s="32" t="s">
        <v>14</v>
      </c>
      <c r="J2390" s="32" t="s">
        <v>66</v>
      </c>
      <c r="K2390" s="32" t="s">
        <v>63</v>
      </c>
    </row>
    <row r="2391" customFormat="false" ht="13.5" hidden="false" customHeight="true" outlineLevel="0" collapsed="false">
      <c r="A2391" s="32" t="n">
        <v>4587</v>
      </c>
      <c r="B2391" s="32" t="s">
        <v>2030</v>
      </c>
      <c r="C2391" s="32" t="s">
        <v>2033</v>
      </c>
      <c r="D2391" s="32" t="s">
        <v>114</v>
      </c>
      <c r="E2391" s="32" t="s">
        <v>165</v>
      </c>
      <c r="F2391" s="32" t="n">
        <v>9428614858</v>
      </c>
      <c r="G2391" s="32" t="s">
        <v>80</v>
      </c>
      <c r="H2391" s="32" t="s">
        <v>22</v>
      </c>
      <c r="I2391" s="32" t="s">
        <v>166</v>
      </c>
      <c r="J2391" s="32" t="s">
        <v>66</v>
      </c>
      <c r="K2391" s="32" t="s">
        <v>63</v>
      </c>
    </row>
    <row r="2392" customFormat="false" ht="13.5" hidden="false" customHeight="true" outlineLevel="0" collapsed="false">
      <c r="A2392" s="32" t="n">
        <v>4588</v>
      </c>
      <c r="B2392" s="32" t="s">
        <v>2034</v>
      </c>
      <c r="C2392" s="32" t="s">
        <v>2035</v>
      </c>
      <c r="D2392" s="32" t="s">
        <v>114</v>
      </c>
      <c r="E2392" s="32" t="s">
        <v>169</v>
      </c>
      <c r="F2392" s="33" t="n">
        <v>919740000000</v>
      </c>
      <c r="G2392" s="32" t="s">
        <v>61</v>
      </c>
      <c r="H2392" s="32" t="s">
        <v>22</v>
      </c>
      <c r="I2392" s="32" t="s">
        <v>1237</v>
      </c>
      <c r="J2392" s="32" t="s">
        <v>89</v>
      </c>
      <c r="K2392" s="32" t="s">
        <v>63</v>
      </c>
    </row>
    <row r="2393" customFormat="false" ht="13.5" hidden="false" customHeight="true" outlineLevel="0" collapsed="false">
      <c r="A2393" s="32" t="n">
        <v>4590</v>
      </c>
      <c r="B2393" s="32" t="s">
        <v>2034</v>
      </c>
      <c r="C2393" s="32" t="s">
        <v>2035</v>
      </c>
      <c r="D2393" s="32" t="s">
        <v>114</v>
      </c>
      <c r="E2393" s="32" t="s">
        <v>169</v>
      </c>
      <c r="F2393" s="32" t="n">
        <v>9739599199</v>
      </c>
      <c r="G2393" s="32" t="s">
        <v>61</v>
      </c>
      <c r="H2393" s="32" t="s">
        <v>22</v>
      </c>
      <c r="I2393" s="32" t="s">
        <v>151</v>
      </c>
      <c r="J2393" s="32" t="s">
        <v>152</v>
      </c>
      <c r="K2393" s="32" t="s">
        <v>63</v>
      </c>
    </row>
    <row r="2394" customFormat="false" ht="13.5" hidden="false" customHeight="true" outlineLevel="0" collapsed="false">
      <c r="A2394" s="32" t="n">
        <v>4591</v>
      </c>
      <c r="B2394" s="32" t="s">
        <v>2034</v>
      </c>
      <c r="C2394" s="32" t="s">
        <v>2035</v>
      </c>
      <c r="D2394" s="32" t="s">
        <v>114</v>
      </c>
      <c r="E2394" s="32" t="s">
        <v>169</v>
      </c>
      <c r="F2394" s="33" t="n">
        <v>919740000000</v>
      </c>
      <c r="G2394" s="32" t="s">
        <v>61</v>
      </c>
      <c r="H2394" s="32" t="s">
        <v>22</v>
      </c>
      <c r="I2394" s="32" t="s">
        <v>172</v>
      </c>
      <c r="J2394" s="32" t="s">
        <v>152</v>
      </c>
      <c r="K2394" s="32" t="s">
        <v>63</v>
      </c>
    </row>
    <row r="2395" customFormat="false" ht="13.5" hidden="false" customHeight="true" outlineLevel="0" collapsed="false">
      <c r="A2395" s="32" t="n">
        <v>4592</v>
      </c>
      <c r="B2395" s="32" t="s">
        <v>2036</v>
      </c>
      <c r="C2395" s="32" t="s">
        <v>2037</v>
      </c>
      <c r="D2395" s="32" t="s">
        <v>59</v>
      </c>
      <c r="E2395" s="32" t="s">
        <v>79</v>
      </c>
      <c r="F2395" s="32" t="n">
        <v>0</v>
      </c>
      <c r="G2395" s="32" t="s">
        <v>69</v>
      </c>
      <c r="H2395" s="32" t="s">
        <v>21</v>
      </c>
      <c r="I2395" s="32" t="s">
        <v>28</v>
      </c>
      <c r="J2395" s="32" t="s">
        <v>82</v>
      </c>
      <c r="K2395" s="32" t="s">
        <v>63</v>
      </c>
    </row>
    <row r="2396" customFormat="false" ht="13.5" hidden="false" customHeight="true" outlineLevel="0" collapsed="false">
      <c r="A2396" s="32" t="n">
        <v>4593</v>
      </c>
      <c r="B2396" s="32" t="s">
        <v>2036</v>
      </c>
      <c r="C2396" s="32" t="s">
        <v>2037</v>
      </c>
      <c r="D2396" s="32" t="s">
        <v>59</v>
      </c>
      <c r="E2396" s="32" t="s">
        <v>79</v>
      </c>
      <c r="F2396" s="32" t="n">
        <v>0</v>
      </c>
      <c r="G2396" s="32" t="s">
        <v>69</v>
      </c>
      <c r="H2396" s="32" t="s">
        <v>21</v>
      </c>
      <c r="I2396" s="32" t="s">
        <v>93</v>
      </c>
      <c r="J2396" s="32" t="s">
        <v>85</v>
      </c>
      <c r="K2396" s="32" t="s">
        <v>63</v>
      </c>
    </row>
    <row r="2397" customFormat="false" ht="13.5" hidden="false" customHeight="true" outlineLevel="0" collapsed="false">
      <c r="A2397" s="32" t="n">
        <v>4594</v>
      </c>
      <c r="B2397" s="32" t="s">
        <v>2036</v>
      </c>
      <c r="C2397" s="32" t="s">
        <v>2037</v>
      </c>
      <c r="D2397" s="32" t="s">
        <v>59</v>
      </c>
      <c r="E2397" s="32" t="s">
        <v>79</v>
      </c>
      <c r="F2397" s="32" t="n">
        <v>0</v>
      </c>
      <c r="G2397" s="32" t="s">
        <v>69</v>
      </c>
      <c r="H2397" s="32" t="s">
        <v>21</v>
      </c>
      <c r="I2397" s="32" t="s">
        <v>172</v>
      </c>
      <c r="J2397" s="32" t="s">
        <v>152</v>
      </c>
      <c r="K2397" s="32" t="s">
        <v>63</v>
      </c>
    </row>
    <row r="2398" customFormat="false" ht="13.5" hidden="false" customHeight="true" outlineLevel="0" collapsed="false">
      <c r="A2398" s="32" t="n">
        <v>4595</v>
      </c>
      <c r="B2398" s="32" t="s">
        <v>2038</v>
      </c>
      <c r="C2398" s="32" t="s">
        <v>2039</v>
      </c>
      <c r="D2398" s="32" t="s">
        <v>59</v>
      </c>
      <c r="E2398" s="32" t="n">
        <v>0</v>
      </c>
      <c r="F2398" s="32" t="n">
        <v>8143165191</v>
      </c>
      <c r="G2398" s="32" t="s">
        <v>80</v>
      </c>
      <c r="H2398" s="32" t="s">
        <v>21</v>
      </c>
      <c r="I2398" s="32" t="s">
        <v>371</v>
      </c>
      <c r="J2398" s="32" t="s">
        <v>152</v>
      </c>
      <c r="K2398" s="32" t="s">
        <v>63</v>
      </c>
    </row>
    <row r="2399" customFormat="false" ht="13.5" hidden="false" customHeight="true" outlineLevel="0" collapsed="false">
      <c r="A2399" s="32" t="n">
        <v>4596</v>
      </c>
      <c r="B2399" s="32" t="s">
        <v>2038</v>
      </c>
      <c r="C2399" s="32" t="s">
        <v>2039</v>
      </c>
      <c r="D2399" s="32" t="s">
        <v>59</v>
      </c>
      <c r="E2399" s="32" t="n">
        <v>0</v>
      </c>
      <c r="F2399" s="32" t="n">
        <v>8143165191</v>
      </c>
      <c r="G2399" s="32" t="s">
        <v>80</v>
      </c>
      <c r="H2399" s="32" t="s">
        <v>21</v>
      </c>
      <c r="I2399" s="32" t="s">
        <v>2040</v>
      </c>
      <c r="J2399" s="32" t="s">
        <v>85</v>
      </c>
      <c r="K2399" s="32" t="s">
        <v>63</v>
      </c>
    </row>
    <row r="2400" customFormat="false" ht="13.5" hidden="false" customHeight="true" outlineLevel="0" collapsed="false">
      <c r="A2400" s="32" t="n">
        <v>4597</v>
      </c>
      <c r="B2400" s="32" t="s">
        <v>2038</v>
      </c>
      <c r="C2400" s="32" t="s">
        <v>2039</v>
      </c>
      <c r="D2400" s="32" t="s">
        <v>59</v>
      </c>
      <c r="E2400" s="32" t="n">
        <v>0</v>
      </c>
      <c r="F2400" s="32" t="n">
        <v>8143165191</v>
      </c>
      <c r="G2400" s="32" t="s">
        <v>80</v>
      </c>
      <c r="H2400" s="32" t="s">
        <v>21</v>
      </c>
      <c r="I2400" s="32" t="s">
        <v>98</v>
      </c>
      <c r="J2400" s="32" t="s">
        <v>99</v>
      </c>
      <c r="K2400" s="32" t="s">
        <v>63</v>
      </c>
    </row>
    <row r="2401" customFormat="false" ht="13.5" hidden="false" customHeight="true" outlineLevel="0" collapsed="false">
      <c r="A2401" s="32" t="n">
        <v>4598</v>
      </c>
      <c r="B2401" s="32" t="s">
        <v>2038</v>
      </c>
      <c r="C2401" s="32" t="s">
        <v>2041</v>
      </c>
      <c r="D2401" s="32" t="s">
        <v>59</v>
      </c>
      <c r="E2401" s="32" t="n">
        <v>0</v>
      </c>
      <c r="F2401" s="32" t="n">
        <v>8143165191</v>
      </c>
      <c r="G2401" s="32" t="s">
        <v>80</v>
      </c>
      <c r="H2401" s="32" t="s">
        <v>21</v>
      </c>
      <c r="I2401" s="32" t="s">
        <v>146</v>
      </c>
      <c r="J2401" s="32" t="s">
        <v>117</v>
      </c>
      <c r="K2401" s="32" t="s">
        <v>63</v>
      </c>
    </row>
    <row r="2402" customFormat="false" ht="13.5" hidden="false" customHeight="true" outlineLevel="0" collapsed="false">
      <c r="A2402" s="32" t="n">
        <v>4599</v>
      </c>
      <c r="B2402" s="32" t="s">
        <v>2038</v>
      </c>
      <c r="C2402" s="32" t="s">
        <v>2041</v>
      </c>
      <c r="D2402" s="32" t="s">
        <v>59</v>
      </c>
      <c r="E2402" s="32" t="n">
        <v>0</v>
      </c>
      <c r="F2402" s="32" t="n">
        <v>8143165191</v>
      </c>
      <c r="G2402" s="32" t="s">
        <v>80</v>
      </c>
      <c r="H2402" s="32" t="s">
        <v>21</v>
      </c>
      <c r="I2402" s="32" t="s">
        <v>371</v>
      </c>
      <c r="J2402" s="32" t="s">
        <v>152</v>
      </c>
      <c r="K2402" s="32" t="s">
        <v>63</v>
      </c>
    </row>
    <row r="2403" customFormat="false" ht="13.5" hidden="false" customHeight="true" outlineLevel="0" collapsed="false">
      <c r="A2403" s="32" t="n">
        <v>4600</v>
      </c>
      <c r="B2403" s="32" t="s">
        <v>2038</v>
      </c>
      <c r="C2403" s="32" t="s">
        <v>2041</v>
      </c>
      <c r="D2403" s="32" t="s">
        <v>59</v>
      </c>
      <c r="E2403" s="32" t="n">
        <v>0</v>
      </c>
      <c r="F2403" s="32" t="n">
        <v>8143165191</v>
      </c>
      <c r="G2403" s="32" t="s">
        <v>80</v>
      </c>
      <c r="H2403" s="32" t="s">
        <v>21</v>
      </c>
      <c r="I2403" s="32" t="s">
        <v>703</v>
      </c>
      <c r="J2403" s="32" t="s">
        <v>152</v>
      </c>
      <c r="K2403" s="32" t="s">
        <v>63</v>
      </c>
    </row>
    <row r="2404" customFormat="false" ht="13.5" hidden="false" customHeight="true" outlineLevel="0" collapsed="false">
      <c r="A2404" s="32" t="n">
        <v>4601</v>
      </c>
      <c r="B2404" s="32" t="s">
        <v>2042</v>
      </c>
      <c r="C2404" s="32" t="s">
        <v>2043</v>
      </c>
      <c r="D2404" s="32" t="s">
        <v>59</v>
      </c>
      <c r="E2404" s="32" t="s">
        <v>107</v>
      </c>
      <c r="F2404" s="33" t="n">
        <v>918271000000</v>
      </c>
      <c r="G2404" s="32" t="s">
        <v>61</v>
      </c>
      <c r="H2404" s="32" t="s">
        <v>21</v>
      </c>
      <c r="I2404" s="32" t="s">
        <v>30</v>
      </c>
      <c r="J2404" s="32" t="s">
        <v>203</v>
      </c>
      <c r="K2404" s="32" t="s">
        <v>63</v>
      </c>
    </row>
    <row r="2405" customFormat="false" ht="13.5" hidden="false" customHeight="true" outlineLevel="0" collapsed="false">
      <c r="A2405" s="32" t="n">
        <v>4603</v>
      </c>
      <c r="B2405" s="32" t="s">
        <v>2042</v>
      </c>
      <c r="C2405" s="32" t="s">
        <v>2043</v>
      </c>
      <c r="D2405" s="32" t="s">
        <v>59</v>
      </c>
      <c r="E2405" s="32" t="s">
        <v>107</v>
      </c>
      <c r="F2405" s="33" t="n">
        <v>918271000000</v>
      </c>
      <c r="G2405" s="32" t="s">
        <v>61</v>
      </c>
      <c r="H2405" s="32" t="s">
        <v>21</v>
      </c>
      <c r="I2405" s="32" t="s">
        <v>284</v>
      </c>
      <c r="J2405" s="32" t="s">
        <v>117</v>
      </c>
      <c r="K2405" s="32" t="s">
        <v>63</v>
      </c>
    </row>
    <row r="2406" customFormat="false" ht="13.5" hidden="false" customHeight="true" outlineLevel="0" collapsed="false">
      <c r="A2406" s="32" t="n">
        <v>4604</v>
      </c>
      <c r="B2406" s="32" t="s">
        <v>2042</v>
      </c>
      <c r="C2406" s="32" t="s">
        <v>2043</v>
      </c>
      <c r="D2406" s="32" t="s">
        <v>59</v>
      </c>
      <c r="E2406" s="32" t="s">
        <v>107</v>
      </c>
      <c r="F2406" s="33" t="n">
        <v>918271000000</v>
      </c>
      <c r="G2406" s="32" t="s">
        <v>61</v>
      </c>
      <c r="H2406" s="32" t="s">
        <v>21</v>
      </c>
      <c r="I2406" s="32" t="s">
        <v>111</v>
      </c>
      <c r="J2406" s="32" t="s">
        <v>73</v>
      </c>
      <c r="K2406" s="32" t="s">
        <v>63</v>
      </c>
    </row>
    <row r="2407" customFormat="false" ht="13.5" hidden="false" customHeight="true" outlineLevel="0" collapsed="false">
      <c r="A2407" s="32" t="n">
        <v>4605</v>
      </c>
      <c r="B2407" s="32" t="s">
        <v>2044</v>
      </c>
      <c r="C2407" s="32" t="s">
        <v>2045</v>
      </c>
      <c r="D2407" s="32" t="s">
        <v>114</v>
      </c>
      <c r="E2407" s="32" t="s">
        <v>115</v>
      </c>
      <c r="F2407" s="32" t="n">
        <v>8660960770</v>
      </c>
      <c r="G2407" s="32" t="s">
        <v>61</v>
      </c>
      <c r="H2407" s="32" t="s">
        <v>22</v>
      </c>
      <c r="I2407" s="32" t="s">
        <v>95</v>
      </c>
      <c r="J2407" s="32" t="s">
        <v>96</v>
      </c>
      <c r="K2407" s="32" t="s">
        <v>63</v>
      </c>
    </row>
    <row r="2408" customFormat="false" ht="13.5" hidden="false" customHeight="true" outlineLevel="0" collapsed="false">
      <c r="A2408" s="32" t="n">
        <v>4606</v>
      </c>
      <c r="B2408" s="32" t="s">
        <v>2046</v>
      </c>
      <c r="C2408" s="32" t="s">
        <v>2047</v>
      </c>
      <c r="D2408" s="32" t="s">
        <v>114</v>
      </c>
      <c r="E2408" s="32" t="s">
        <v>165</v>
      </c>
      <c r="F2408" s="33" t="n">
        <v>919845000000</v>
      </c>
      <c r="G2408" s="32" t="s">
        <v>61</v>
      </c>
      <c r="H2408" s="32" t="s">
        <v>22</v>
      </c>
      <c r="I2408" s="32" t="s">
        <v>149</v>
      </c>
      <c r="J2408" s="32" t="s">
        <v>73</v>
      </c>
      <c r="K2408" s="32" t="s">
        <v>63</v>
      </c>
    </row>
    <row r="2409" customFormat="false" ht="13.5" hidden="false" customHeight="true" outlineLevel="0" collapsed="false">
      <c r="A2409" s="32" t="n">
        <v>4607</v>
      </c>
      <c r="B2409" s="32" t="s">
        <v>2046</v>
      </c>
      <c r="C2409" s="32" t="s">
        <v>2048</v>
      </c>
      <c r="D2409" s="32" t="s">
        <v>114</v>
      </c>
      <c r="E2409" s="32" t="s">
        <v>165</v>
      </c>
      <c r="F2409" s="32" t="n">
        <v>9844546288</v>
      </c>
      <c r="G2409" s="32" t="s">
        <v>61</v>
      </c>
      <c r="H2409" s="32" t="s">
        <v>22</v>
      </c>
      <c r="I2409" s="32" t="s">
        <v>108</v>
      </c>
      <c r="J2409" s="32" t="s">
        <v>71</v>
      </c>
      <c r="K2409" s="32" t="s">
        <v>63</v>
      </c>
    </row>
    <row r="2410" customFormat="false" ht="13.5" hidden="false" customHeight="true" outlineLevel="0" collapsed="false">
      <c r="A2410" s="32" t="n">
        <v>4608</v>
      </c>
      <c r="B2410" s="32" t="s">
        <v>2046</v>
      </c>
      <c r="C2410" s="32" t="s">
        <v>2048</v>
      </c>
      <c r="D2410" s="32" t="s">
        <v>114</v>
      </c>
      <c r="E2410" s="32" t="s">
        <v>165</v>
      </c>
      <c r="F2410" s="33" t="n">
        <v>919845000000</v>
      </c>
      <c r="G2410" s="32" t="s">
        <v>61</v>
      </c>
      <c r="H2410" s="32" t="s">
        <v>22</v>
      </c>
      <c r="I2410" s="32" t="s">
        <v>393</v>
      </c>
      <c r="J2410" s="32" t="s">
        <v>73</v>
      </c>
      <c r="K2410" s="32" t="s">
        <v>63</v>
      </c>
    </row>
    <row r="2411" customFormat="false" ht="13.5" hidden="false" customHeight="true" outlineLevel="0" collapsed="false">
      <c r="A2411" s="32" t="n">
        <v>4609</v>
      </c>
      <c r="B2411" s="32" t="s">
        <v>2046</v>
      </c>
      <c r="C2411" s="32" t="s">
        <v>2048</v>
      </c>
      <c r="D2411" s="32" t="s">
        <v>114</v>
      </c>
      <c r="E2411" s="32" t="s">
        <v>165</v>
      </c>
      <c r="F2411" s="32" t="n">
        <v>9844546288</v>
      </c>
      <c r="G2411" s="32" t="s">
        <v>61</v>
      </c>
      <c r="H2411" s="32" t="s">
        <v>22</v>
      </c>
      <c r="I2411" s="32" t="s">
        <v>248</v>
      </c>
      <c r="J2411" s="32" t="s">
        <v>117</v>
      </c>
      <c r="K2411" s="32" t="s">
        <v>63</v>
      </c>
    </row>
    <row r="2412" customFormat="false" ht="13.5" hidden="false" customHeight="true" outlineLevel="0" collapsed="false">
      <c r="A2412" s="32" t="n">
        <v>4610</v>
      </c>
      <c r="B2412" s="32" t="s">
        <v>2046</v>
      </c>
      <c r="C2412" s="32" t="s">
        <v>2048</v>
      </c>
      <c r="D2412" s="32" t="s">
        <v>114</v>
      </c>
      <c r="E2412" s="32" t="s">
        <v>165</v>
      </c>
      <c r="F2412" s="33" t="n">
        <v>919845000000</v>
      </c>
      <c r="G2412" s="32" t="s">
        <v>61</v>
      </c>
      <c r="H2412" s="32" t="s">
        <v>22</v>
      </c>
      <c r="I2412" s="32" t="s">
        <v>93</v>
      </c>
      <c r="J2412" s="32" t="s">
        <v>85</v>
      </c>
      <c r="K2412" s="32" t="s">
        <v>63</v>
      </c>
    </row>
    <row r="2413" customFormat="false" ht="13.5" hidden="false" customHeight="true" outlineLevel="0" collapsed="false">
      <c r="A2413" s="32" t="n">
        <v>4611</v>
      </c>
      <c r="B2413" s="32" t="s">
        <v>2049</v>
      </c>
      <c r="C2413" s="32" t="s">
        <v>2050</v>
      </c>
      <c r="D2413" s="32" t="s">
        <v>114</v>
      </c>
      <c r="E2413" s="32" t="s">
        <v>115</v>
      </c>
      <c r="F2413" s="33" t="n">
        <v>917094000000</v>
      </c>
      <c r="G2413" s="32" t="s">
        <v>80</v>
      </c>
      <c r="H2413" s="32" t="s">
        <v>22</v>
      </c>
      <c r="I2413" s="32" t="s">
        <v>108</v>
      </c>
      <c r="J2413" s="32" t="s">
        <v>71</v>
      </c>
      <c r="K2413" s="32" t="s">
        <v>63</v>
      </c>
    </row>
    <row r="2414" customFormat="false" ht="13.5" hidden="false" customHeight="true" outlineLevel="0" collapsed="false">
      <c r="A2414" s="32" t="n">
        <v>4614</v>
      </c>
      <c r="B2414" s="32" t="s">
        <v>2049</v>
      </c>
      <c r="C2414" s="32" t="s">
        <v>2050</v>
      </c>
      <c r="D2414" s="32" t="s">
        <v>114</v>
      </c>
      <c r="E2414" s="32" t="s">
        <v>115</v>
      </c>
      <c r="F2414" s="33" t="n">
        <v>917094000000</v>
      </c>
      <c r="G2414" s="32" t="s">
        <v>80</v>
      </c>
      <c r="H2414" s="32" t="s">
        <v>22</v>
      </c>
      <c r="I2414" s="32" t="s">
        <v>145</v>
      </c>
      <c r="J2414" s="32" t="s">
        <v>117</v>
      </c>
      <c r="K2414" s="32" t="s">
        <v>63</v>
      </c>
    </row>
    <row r="2415" customFormat="false" ht="13.5" hidden="false" customHeight="true" outlineLevel="0" collapsed="false">
      <c r="A2415" s="32" t="n">
        <v>4615</v>
      </c>
      <c r="B2415" s="32" t="s">
        <v>2049</v>
      </c>
      <c r="C2415" s="32" t="s">
        <v>2050</v>
      </c>
      <c r="D2415" s="32" t="s">
        <v>114</v>
      </c>
      <c r="E2415" s="32" t="s">
        <v>115</v>
      </c>
      <c r="F2415" s="33" t="n">
        <v>917094000000</v>
      </c>
      <c r="G2415" s="32" t="s">
        <v>80</v>
      </c>
      <c r="H2415" s="32" t="s">
        <v>22</v>
      </c>
      <c r="I2415" s="32" t="s">
        <v>133</v>
      </c>
      <c r="J2415" s="32" t="s">
        <v>134</v>
      </c>
      <c r="K2415" s="32" t="s">
        <v>63</v>
      </c>
    </row>
    <row r="2416" customFormat="false" ht="13.5" hidden="false" customHeight="true" outlineLevel="0" collapsed="false">
      <c r="A2416" s="32" t="n">
        <v>4616</v>
      </c>
      <c r="B2416" s="32" t="s">
        <v>2051</v>
      </c>
      <c r="C2416" s="32" t="s">
        <v>2052</v>
      </c>
      <c r="D2416" s="32" t="s">
        <v>114</v>
      </c>
      <c r="E2416" s="32" t="s">
        <v>268</v>
      </c>
      <c r="F2416" s="33" t="n">
        <v>919581000000</v>
      </c>
      <c r="G2416" s="32" t="s">
        <v>80</v>
      </c>
      <c r="H2416" s="32" t="s">
        <v>22</v>
      </c>
      <c r="I2416" s="32" t="s">
        <v>108</v>
      </c>
      <c r="J2416" s="32" t="s">
        <v>71</v>
      </c>
      <c r="K2416" s="32" t="s">
        <v>63</v>
      </c>
    </row>
    <row r="2417" customFormat="false" ht="13.5" hidden="false" customHeight="true" outlineLevel="0" collapsed="false">
      <c r="A2417" s="32" t="n">
        <v>4617</v>
      </c>
      <c r="B2417" s="32" t="s">
        <v>2051</v>
      </c>
      <c r="C2417" s="32" t="s">
        <v>2052</v>
      </c>
      <c r="D2417" s="32" t="s">
        <v>114</v>
      </c>
      <c r="E2417" s="32" t="s">
        <v>268</v>
      </c>
      <c r="F2417" s="33" t="n">
        <v>919581000000</v>
      </c>
      <c r="G2417" s="32" t="s">
        <v>80</v>
      </c>
      <c r="H2417" s="32" t="s">
        <v>22</v>
      </c>
      <c r="I2417" s="32" t="s">
        <v>317</v>
      </c>
      <c r="J2417" s="32" t="s">
        <v>73</v>
      </c>
      <c r="K2417" s="32" t="s">
        <v>63</v>
      </c>
    </row>
    <row r="2418" customFormat="false" ht="13.5" hidden="false" customHeight="true" outlineLevel="0" collapsed="false">
      <c r="A2418" s="32" t="n">
        <v>4618</v>
      </c>
      <c r="B2418" s="32" t="s">
        <v>2051</v>
      </c>
      <c r="C2418" s="32" t="s">
        <v>2052</v>
      </c>
      <c r="D2418" s="32" t="s">
        <v>114</v>
      </c>
      <c r="E2418" s="32" t="s">
        <v>268</v>
      </c>
      <c r="F2418" s="33" t="n">
        <v>919581000000</v>
      </c>
      <c r="G2418" s="32" t="s">
        <v>80</v>
      </c>
      <c r="H2418" s="32" t="s">
        <v>22</v>
      </c>
      <c r="I2418" s="32" t="s">
        <v>166</v>
      </c>
      <c r="J2418" s="32" t="s">
        <v>66</v>
      </c>
      <c r="K2418" s="32" t="s">
        <v>63</v>
      </c>
    </row>
    <row r="2419" customFormat="false" ht="13.5" hidden="false" customHeight="true" outlineLevel="0" collapsed="false">
      <c r="A2419" s="32" t="n">
        <v>4619</v>
      </c>
      <c r="B2419" s="32" t="s">
        <v>2051</v>
      </c>
      <c r="C2419" s="32" t="s">
        <v>2053</v>
      </c>
      <c r="D2419" s="32" t="s">
        <v>114</v>
      </c>
      <c r="E2419" s="32" t="s">
        <v>268</v>
      </c>
      <c r="F2419" s="33" t="n">
        <v>919581000000</v>
      </c>
      <c r="G2419" s="32" t="s">
        <v>80</v>
      </c>
      <c r="H2419" s="32" t="s">
        <v>22</v>
      </c>
      <c r="I2419" s="32" t="s">
        <v>14</v>
      </c>
      <c r="J2419" s="32" t="s">
        <v>66</v>
      </c>
      <c r="K2419" s="32" t="s">
        <v>63</v>
      </c>
    </row>
    <row r="2420" customFormat="false" ht="13.5" hidden="false" customHeight="true" outlineLevel="0" collapsed="false">
      <c r="A2420" s="32" t="n">
        <v>4620</v>
      </c>
      <c r="B2420" s="32" t="s">
        <v>2051</v>
      </c>
      <c r="C2420" s="32" t="s">
        <v>2052</v>
      </c>
      <c r="D2420" s="32" t="s">
        <v>114</v>
      </c>
      <c r="E2420" s="32" t="s">
        <v>268</v>
      </c>
      <c r="F2420" s="33" t="n">
        <v>919581000000</v>
      </c>
      <c r="G2420" s="32" t="s">
        <v>80</v>
      </c>
      <c r="H2420" s="32" t="s">
        <v>22</v>
      </c>
      <c r="I2420" s="32" t="s">
        <v>2054</v>
      </c>
      <c r="J2420" s="32" t="s">
        <v>319</v>
      </c>
      <c r="K2420" s="32" t="s">
        <v>63</v>
      </c>
    </row>
    <row r="2421" customFormat="false" ht="13.5" hidden="false" customHeight="true" outlineLevel="0" collapsed="false">
      <c r="A2421" s="32" t="n">
        <v>4621</v>
      </c>
      <c r="B2421" s="32" t="s">
        <v>2051</v>
      </c>
      <c r="C2421" s="32" t="s">
        <v>2053</v>
      </c>
      <c r="D2421" s="32" t="s">
        <v>114</v>
      </c>
      <c r="E2421" s="32" t="s">
        <v>268</v>
      </c>
      <c r="F2421" s="33" t="n">
        <v>919581000000</v>
      </c>
      <c r="G2421" s="32" t="s">
        <v>80</v>
      </c>
      <c r="H2421" s="32" t="s">
        <v>22</v>
      </c>
      <c r="I2421" s="32" t="s">
        <v>2055</v>
      </c>
      <c r="J2421" s="32" t="s">
        <v>66</v>
      </c>
      <c r="K2421" s="32" t="s">
        <v>63</v>
      </c>
    </row>
    <row r="2422" customFormat="false" ht="13.5" hidden="false" customHeight="true" outlineLevel="0" collapsed="false">
      <c r="A2422" s="32" t="n">
        <v>4622</v>
      </c>
      <c r="B2422" s="32" t="s">
        <v>2051</v>
      </c>
      <c r="C2422" s="32" t="s">
        <v>2053</v>
      </c>
      <c r="D2422" s="32" t="s">
        <v>114</v>
      </c>
      <c r="E2422" s="32" t="s">
        <v>268</v>
      </c>
      <c r="F2422" s="33" t="n">
        <v>919581000000</v>
      </c>
      <c r="G2422" s="32" t="s">
        <v>80</v>
      </c>
      <c r="H2422" s="32" t="s">
        <v>22</v>
      </c>
      <c r="I2422" s="32" t="s">
        <v>2056</v>
      </c>
      <c r="J2422" s="32" t="s">
        <v>66</v>
      </c>
      <c r="K2422" s="32" t="s">
        <v>63</v>
      </c>
    </row>
    <row r="2423" customFormat="false" ht="13.5" hidden="false" customHeight="true" outlineLevel="0" collapsed="false">
      <c r="A2423" s="32" t="n">
        <v>4623</v>
      </c>
      <c r="B2423" s="32" t="s">
        <v>2057</v>
      </c>
      <c r="C2423" s="32" t="s">
        <v>2058</v>
      </c>
      <c r="D2423" s="32" t="s">
        <v>331</v>
      </c>
      <c r="E2423" s="32" t="s">
        <v>502</v>
      </c>
      <c r="F2423" s="33" t="n">
        <v>919779000000</v>
      </c>
      <c r="G2423" s="32" t="s">
        <v>61</v>
      </c>
      <c r="H2423" s="32" t="s">
        <v>332</v>
      </c>
      <c r="I2423" s="32" t="s">
        <v>145</v>
      </c>
      <c r="J2423" s="32" t="s">
        <v>117</v>
      </c>
      <c r="K2423" s="32" t="s">
        <v>63</v>
      </c>
    </row>
    <row r="2424" customFormat="false" ht="13.5" hidden="false" customHeight="true" outlineLevel="0" collapsed="false">
      <c r="A2424" s="32" t="n">
        <v>4624</v>
      </c>
      <c r="B2424" s="32" t="s">
        <v>2059</v>
      </c>
      <c r="C2424" s="32" t="s">
        <v>2060</v>
      </c>
      <c r="D2424" s="32" t="s">
        <v>59</v>
      </c>
      <c r="E2424" s="32" t="s">
        <v>107</v>
      </c>
      <c r="F2424" s="32" t="n">
        <v>9550697948</v>
      </c>
      <c r="G2424" s="32" t="s">
        <v>80</v>
      </c>
      <c r="H2424" s="32" t="s">
        <v>21</v>
      </c>
      <c r="I2424" s="32" t="s">
        <v>145</v>
      </c>
      <c r="J2424" s="32" t="s">
        <v>117</v>
      </c>
      <c r="K2424" s="32" t="s">
        <v>63</v>
      </c>
    </row>
    <row r="2425" customFormat="false" ht="13.5" hidden="false" customHeight="true" outlineLevel="0" collapsed="false">
      <c r="A2425" s="32" t="n">
        <v>4625</v>
      </c>
      <c r="B2425" s="32" t="s">
        <v>2061</v>
      </c>
      <c r="C2425" s="32" t="s">
        <v>2062</v>
      </c>
      <c r="D2425" s="32" t="s">
        <v>114</v>
      </c>
      <c r="E2425" s="32" t="s">
        <v>165</v>
      </c>
      <c r="F2425" s="33" t="n">
        <v>919015000000</v>
      </c>
      <c r="G2425" s="32" t="s">
        <v>80</v>
      </c>
      <c r="H2425" s="32" t="s">
        <v>22</v>
      </c>
      <c r="I2425" s="32" t="s">
        <v>549</v>
      </c>
      <c r="J2425" s="32" t="s">
        <v>110</v>
      </c>
      <c r="K2425" s="32" t="s">
        <v>63</v>
      </c>
    </row>
    <row r="2426" customFormat="false" ht="13.5" hidden="false" customHeight="true" outlineLevel="0" collapsed="false">
      <c r="A2426" s="32" t="n">
        <v>4626</v>
      </c>
      <c r="B2426" s="32" t="s">
        <v>2061</v>
      </c>
      <c r="C2426" s="32" t="s">
        <v>2062</v>
      </c>
      <c r="D2426" s="32" t="s">
        <v>114</v>
      </c>
      <c r="E2426" s="32" t="s">
        <v>165</v>
      </c>
      <c r="F2426" s="33" t="n">
        <v>919015000000</v>
      </c>
      <c r="G2426" s="32" t="s">
        <v>80</v>
      </c>
      <c r="H2426" s="32" t="s">
        <v>22</v>
      </c>
      <c r="I2426" s="32" t="s">
        <v>314</v>
      </c>
      <c r="J2426" s="32" t="s">
        <v>134</v>
      </c>
      <c r="K2426" s="32" t="s">
        <v>63</v>
      </c>
    </row>
    <row r="2427" customFormat="false" ht="13.5" hidden="false" customHeight="true" outlineLevel="0" collapsed="false">
      <c r="A2427" s="32" t="n">
        <v>4627</v>
      </c>
      <c r="B2427" s="32" t="s">
        <v>2061</v>
      </c>
      <c r="C2427" s="32" t="s">
        <v>2062</v>
      </c>
      <c r="D2427" s="32" t="s">
        <v>114</v>
      </c>
      <c r="E2427" s="32" t="s">
        <v>165</v>
      </c>
      <c r="F2427" s="33" t="n">
        <v>919015000000</v>
      </c>
      <c r="G2427" s="32" t="s">
        <v>80</v>
      </c>
      <c r="H2427" s="32" t="s">
        <v>22</v>
      </c>
      <c r="I2427" s="32" t="s">
        <v>172</v>
      </c>
      <c r="J2427" s="32" t="s">
        <v>152</v>
      </c>
      <c r="K2427" s="32" t="s">
        <v>63</v>
      </c>
    </row>
    <row r="2428" customFormat="false" ht="13.5" hidden="false" customHeight="true" outlineLevel="0" collapsed="false">
      <c r="A2428" s="32" t="n">
        <v>4628</v>
      </c>
      <c r="B2428" s="32" t="s">
        <v>2063</v>
      </c>
      <c r="C2428" s="32" t="s">
        <v>2064</v>
      </c>
      <c r="D2428" s="32" t="s">
        <v>59</v>
      </c>
      <c r="E2428" s="32" t="s">
        <v>79</v>
      </c>
      <c r="F2428" s="33" t="n">
        <v>919885000000</v>
      </c>
      <c r="G2428" s="32" t="s">
        <v>80</v>
      </c>
      <c r="H2428" s="32" t="s">
        <v>21</v>
      </c>
      <c r="I2428" s="32" t="s">
        <v>151</v>
      </c>
      <c r="J2428" s="32" t="s">
        <v>152</v>
      </c>
      <c r="K2428" s="32" t="s">
        <v>63</v>
      </c>
    </row>
    <row r="2429" customFormat="false" ht="13.5" hidden="false" customHeight="true" outlineLevel="0" collapsed="false">
      <c r="A2429" s="32" t="n">
        <v>4629</v>
      </c>
      <c r="B2429" s="32" t="s">
        <v>2063</v>
      </c>
      <c r="C2429" s="32" t="s">
        <v>2064</v>
      </c>
      <c r="D2429" s="32" t="s">
        <v>59</v>
      </c>
      <c r="E2429" s="32" t="s">
        <v>79</v>
      </c>
      <c r="F2429" s="33" t="n">
        <v>919885000000</v>
      </c>
      <c r="G2429" s="32" t="s">
        <v>80</v>
      </c>
      <c r="H2429" s="32" t="s">
        <v>21</v>
      </c>
      <c r="I2429" s="32" t="s">
        <v>284</v>
      </c>
      <c r="J2429" s="32" t="s">
        <v>117</v>
      </c>
      <c r="K2429" s="32" t="s">
        <v>63</v>
      </c>
    </row>
    <row r="2430" customFormat="false" ht="13.5" hidden="false" customHeight="true" outlineLevel="0" collapsed="false">
      <c r="A2430" s="32" t="n">
        <v>4630</v>
      </c>
      <c r="B2430" s="32" t="s">
        <v>2063</v>
      </c>
      <c r="C2430" s="32" t="s">
        <v>2064</v>
      </c>
      <c r="D2430" s="32" t="s">
        <v>59</v>
      </c>
      <c r="E2430" s="32" t="s">
        <v>79</v>
      </c>
      <c r="F2430" s="33" t="n">
        <v>919885000000</v>
      </c>
      <c r="G2430" s="32" t="s">
        <v>80</v>
      </c>
      <c r="H2430" s="32" t="s">
        <v>21</v>
      </c>
      <c r="I2430" s="32" t="s">
        <v>371</v>
      </c>
      <c r="J2430" s="32" t="s">
        <v>152</v>
      </c>
      <c r="K2430" s="32" t="s">
        <v>63</v>
      </c>
    </row>
    <row r="2431" customFormat="false" ht="13.5" hidden="false" customHeight="true" outlineLevel="0" collapsed="false">
      <c r="A2431" s="32" t="n">
        <v>4631</v>
      </c>
      <c r="B2431" s="32" t="s">
        <v>2065</v>
      </c>
      <c r="C2431" s="32" t="s">
        <v>2066</v>
      </c>
      <c r="D2431" s="32" t="s">
        <v>114</v>
      </c>
      <c r="E2431" s="32" t="s">
        <v>115</v>
      </c>
      <c r="F2431" s="32" t="n">
        <v>9711020605</v>
      </c>
      <c r="G2431" s="32" t="s">
        <v>144</v>
      </c>
      <c r="H2431" s="32" t="s">
        <v>22</v>
      </c>
      <c r="I2431" s="32" t="s">
        <v>248</v>
      </c>
      <c r="J2431" s="32" t="s">
        <v>117</v>
      </c>
      <c r="K2431" s="32" t="s">
        <v>63</v>
      </c>
    </row>
    <row r="2432" customFormat="false" ht="13.5" hidden="false" customHeight="true" outlineLevel="0" collapsed="false">
      <c r="A2432" s="32" t="n">
        <v>4632</v>
      </c>
      <c r="B2432" s="32" t="s">
        <v>2065</v>
      </c>
      <c r="C2432" s="32" t="s">
        <v>2066</v>
      </c>
      <c r="D2432" s="32" t="s">
        <v>114</v>
      </c>
      <c r="E2432" s="32" t="s">
        <v>115</v>
      </c>
      <c r="F2432" s="32" t="n">
        <v>9711020605</v>
      </c>
      <c r="G2432" s="32" t="s">
        <v>144</v>
      </c>
      <c r="H2432" s="32" t="s">
        <v>22</v>
      </c>
      <c r="I2432" s="32" t="s">
        <v>121</v>
      </c>
      <c r="J2432" s="32" t="s">
        <v>110</v>
      </c>
      <c r="K2432" s="32" t="s">
        <v>63</v>
      </c>
    </row>
    <row r="2433" customFormat="false" ht="13.5" hidden="false" customHeight="true" outlineLevel="0" collapsed="false">
      <c r="A2433" s="32" t="n">
        <v>4633</v>
      </c>
      <c r="B2433" s="32" t="s">
        <v>2065</v>
      </c>
      <c r="C2433" s="32" t="s">
        <v>2066</v>
      </c>
      <c r="D2433" s="32" t="s">
        <v>114</v>
      </c>
      <c r="E2433" s="32" t="s">
        <v>115</v>
      </c>
      <c r="F2433" s="32" t="n">
        <v>9711020605</v>
      </c>
      <c r="G2433" s="32" t="s">
        <v>144</v>
      </c>
      <c r="H2433" s="32" t="s">
        <v>22</v>
      </c>
      <c r="I2433" s="32" t="s">
        <v>98</v>
      </c>
      <c r="J2433" s="32" t="s">
        <v>99</v>
      </c>
      <c r="K2433" s="32" t="s">
        <v>63</v>
      </c>
    </row>
    <row r="2434" customFormat="false" ht="13.5" hidden="false" customHeight="true" outlineLevel="0" collapsed="false">
      <c r="A2434" s="32" t="n">
        <v>4634</v>
      </c>
      <c r="B2434" s="32" t="s">
        <v>2067</v>
      </c>
      <c r="C2434" s="32" t="s">
        <v>2068</v>
      </c>
      <c r="D2434" s="32" t="s">
        <v>114</v>
      </c>
      <c r="E2434" s="32" t="s">
        <v>165</v>
      </c>
      <c r="F2434" s="32" t="n">
        <v>9611264820</v>
      </c>
      <c r="G2434" s="32" t="s">
        <v>61</v>
      </c>
      <c r="H2434" s="32" t="s">
        <v>22</v>
      </c>
      <c r="I2434" s="32" t="s">
        <v>133</v>
      </c>
      <c r="J2434" s="32" t="s">
        <v>134</v>
      </c>
      <c r="K2434" s="32" t="s">
        <v>63</v>
      </c>
    </row>
    <row r="2435" customFormat="false" ht="13.5" hidden="false" customHeight="true" outlineLevel="0" collapsed="false">
      <c r="A2435" s="32" t="n">
        <v>4635</v>
      </c>
      <c r="B2435" s="32" t="s">
        <v>2067</v>
      </c>
      <c r="C2435" s="32" t="s">
        <v>2068</v>
      </c>
      <c r="D2435" s="32" t="s">
        <v>114</v>
      </c>
      <c r="E2435" s="32" t="s">
        <v>165</v>
      </c>
      <c r="F2435" s="32" t="n">
        <v>9611264820</v>
      </c>
      <c r="G2435" s="32" t="s">
        <v>61</v>
      </c>
      <c r="H2435" s="32" t="s">
        <v>22</v>
      </c>
      <c r="I2435" s="32" t="s">
        <v>172</v>
      </c>
      <c r="J2435" s="32" t="s">
        <v>152</v>
      </c>
      <c r="K2435" s="32" t="s">
        <v>63</v>
      </c>
    </row>
    <row r="2436" customFormat="false" ht="13.5" hidden="false" customHeight="true" outlineLevel="0" collapsed="false">
      <c r="A2436" s="32" t="n">
        <v>4636</v>
      </c>
      <c r="B2436" s="32" t="s">
        <v>2067</v>
      </c>
      <c r="C2436" s="32" t="s">
        <v>2068</v>
      </c>
      <c r="D2436" s="32" t="s">
        <v>114</v>
      </c>
      <c r="E2436" s="32" t="s">
        <v>165</v>
      </c>
      <c r="F2436" s="32" t="n">
        <v>9611264820</v>
      </c>
      <c r="G2436" s="32" t="s">
        <v>61</v>
      </c>
      <c r="H2436" s="32" t="s">
        <v>22</v>
      </c>
      <c r="I2436" s="32" t="s">
        <v>126</v>
      </c>
      <c r="J2436" s="32" t="s">
        <v>85</v>
      </c>
      <c r="K2436" s="32" t="s">
        <v>63</v>
      </c>
    </row>
    <row r="2437" customFormat="false" ht="13.5" hidden="false" customHeight="true" outlineLevel="0" collapsed="false">
      <c r="A2437" s="32" t="n">
        <v>4637</v>
      </c>
      <c r="B2437" s="32" t="s">
        <v>2069</v>
      </c>
      <c r="C2437" s="32" t="s">
        <v>2070</v>
      </c>
      <c r="D2437" s="32" t="s">
        <v>59</v>
      </c>
      <c r="E2437" s="32" t="s">
        <v>107</v>
      </c>
      <c r="F2437" s="32" t="n">
        <v>0</v>
      </c>
      <c r="G2437" s="32" t="s">
        <v>61</v>
      </c>
      <c r="H2437" s="32" t="s">
        <v>21</v>
      </c>
      <c r="I2437" s="32" t="s">
        <v>149</v>
      </c>
      <c r="J2437" s="32" t="s">
        <v>73</v>
      </c>
      <c r="K2437" s="32" t="s">
        <v>63</v>
      </c>
    </row>
    <row r="2438" customFormat="false" ht="13.5" hidden="false" customHeight="true" outlineLevel="0" collapsed="false">
      <c r="A2438" s="32" t="n">
        <v>4638</v>
      </c>
      <c r="B2438" s="32" t="s">
        <v>2069</v>
      </c>
      <c r="C2438" s="32" t="s">
        <v>2070</v>
      </c>
      <c r="D2438" s="32" t="s">
        <v>59</v>
      </c>
      <c r="E2438" s="32" t="s">
        <v>107</v>
      </c>
      <c r="F2438" s="32" t="n">
        <v>0</v>
      </c>
      <c r="G2438" s="32" t="s">
        <v>61</v>
      </c>
      <c r="H2438" s="32" t="s">
        <v>21</v>
      </c>
      <c r="I2438" s="32" t="s">
        <v>393</v>
      </c>
      <c r="J2438" s="32" t="s">
        <v>73</v>
      </c>
      <c r="K2438" s="32" t="s">
        <v>63</v>
      </c>
    </row>
    <row r="2439" customFormat="false" ht="13.5" hidden="false" customHeight="true" outlineLevel="0" collapsed="false">
      <c r="A2439" s="32" t="n">
        <v>4639</v>
      </c>
      <c r="B2439" s="32" t="s">
        <v>2069</v>
      </c>
      <c r="C2439" s="32" t="s">
        <v>2070</v>
      </c>
      <c r="D2439" s="32" t="s">
        <v>59</v>
      </c>
      <c r="E2439" s="32" t="s">
        <v>107</v>
      </c>
      <c r="F2439" s="32" t="n">
        <v>0</v>
      </c>
      <c r="G2439" s="32" t="s">
        <v>61</v>
      </c>
      <c r="H2439" s="32" t="s">
        <v>21</v>
      </c>
      <c r="I2439" s="32" t="s">
        <v>150</v>
      </c>
      <c r="J2439" s="32" t="s">
        <v>73</v>
      </c>
      <c r="K2439" s="32" t="s">
        <v>63</v>
      </c>
    </row>
    <row r="2440" customFormat="false" ht="13.5" hidden="false" customHeight="true" outlineLevel="0" collapsed="false">
      <c r="A2440" s="32" t="n">
        <v>4640</v>
      </c>
      <c r="B2440" s="32" t="s">
        <v>2069</v>
      </c>
      <c r="C2440" s="32" t="s">
        <v>2070</v>
      </c>
      <c r="D2440" s="32" t="s">
        <v>59</v>
      </c>
      <c r="E2440" s="32" t="s">
        <v>107</v>
      </c>
      <c r="F2440" s="32" t="n">
        <v>0</v>
      </c>
      <c r="G2440" s="32" t="s">
        <v>61</v>
      </c>
      <c r="H2440" s="32" t="s">
        <v>21</v>
      </c>
      <c r="I2440" s="32" t="s">
        <v>212</v>
      </c>
      <c r="J2440" s="32" t="s">
        <v>73</v>
      </c>
      <c r="K2440" s="32" t="s">
        <v>63</v>
      </c>
    </row>
    <row r="2441" customFormat="false" ht="13.5" hidden="false" customHeight="true" outlineLevel="0" collapsed="false">
      <c r="A2441" s="32" t="n">
        <v>4642</v>
      </c>
      <c r="B2441" s="32" t="s">
        <v>2071</v>
      </c>
      <c r="C2441" s="32" t="s">
        <v>2072</v>
      </c>
      <c r="D2441" s="32" t="s">
        <v>59</v>
      </c>
      <c r="E2441" s="32" t="n">
        <v>0</v>
      </c>
      <c r="F2441" s="32" t="n">
        <v>8961799759</v>
      </c>
      <c r="G2441" s="32" t="s">
        <v>140</v>
      </c>
      <c r="H2441" s="32" t="s">
        <v>21</v>
      </c>
      <c r="I2441" s="32" t="s">
        <v>121</v>
      </c>
      <c r="J2441" s="32" t="s">
        <v>110</v>
      </c>
      <c r="K2441" s="32" t="s">
        <v>63</v>
      </c>
    </row>
    <row r="2442" customFormat="false" ht="13.5" hidden="false" customHeight="true" outlineLevel="0" collapsed="false">
      <c r="A2442" s="32" t="n">
        <v>4643</v>
      </c>
      <c r="B2442" s="32" t="s">
        <v>2071</v>
      </c>
      <c r="C2442" s="32" t="s">
        <v>2072</v>
      </c>
      <c r="D2442" s="32" t="s">
        <v>59</v>
      </c>
      <c r="E2442" s="32" t="n">
        <v>0</v>
      </c>
      <c r="F2442" s="32" t="n">
        <v>8961799759</v>
      </c>
      <c r="G2442" s="32" t="s">
        <v>140</v>
      </c>
      <c r="H2442" s="32" t="s">
        <v>21</v>
      </c>
      <c r="I2442" s="32" t="s">
        <v>145</v>
      </c>
      <c r="J2442" s="32" t="s">
        <v>117</v>
      </c>
      <c r="K2442" s="32" t="s">
        <v>63</v>
      </c>
    </row>
    <row r="2443" customFormat="false" ht="13.5" hidden="false" customHeight="true" outlineLevel="0" collapsed="false">
      <c r="A2443" s="32" t="n">
        <v>4647</v>
      </c>
      <c r="B2443" s="32" t="s">
        <v>2073</v>
      </c>
      <c r="C2443" s="32" t="s">
        <v>2074</v>
      </c>
      <c r="D2443" s="32" t="s">
        <v>59</v>
      </c>
      <c r="E2443" s="32" t="s">
        <v>107</v>
      </c>
      <c r="F2443" s="32" t="n">
        <v>9494805883</v>
      </c>
      <c r="G2443" s="32" t="s">
        <v>80</v>
      </c>
      <c r="H2443" s="32" t="s">
        <v>21</v>
      </c>
      <c r="I2443" s="32" t="s">
        <v>93</v>
      </c>
      <c r="J2443" s="32" t="s">
        <v>85</v>
      </c>
      <c r="K2443" s="32" t="s">
        <v>63</v>
      </c>
    </row>
    <row r="2444" customFormat="false" ht="13.5" hidden="false" customHeight="true" outlineLevel="0" collapsed="false">
      <c r="A2444" s="32" t="n">
        <v>4648</v>
      </c>
      <c r="B2444" s="32" t="s">
        <v>2073</v>
      </c>
      <c r="C2444" s="32" t="s">
        <v>2075</v>
      </c>
      <c r="D2444" s="32" t="s">
        <v>59</v>
      </c>
      <c r="E2444" s="32" t="s">
        <v>107</v>
      </c>
      <c r="F2444" s="32" t="n">
        <v>9494805883</v>
      </c>
      <c r="G2444" s="32" t="s">
        <v>80</v>
      </c>
      <c r="H2444" s="32" t="s">
        <v>21</v>
      </c>
      <c r="I2444" s="32" t="s">
        <v>128</v>
      </c>
      <c r="J2444" s="32" t="s">
        <v>89</v>
      </c>
      <c r="K2444" s="32" t="s">
        <v>63</v>
      </c>
    </row>
    <row r="2445" customFormat="false" ht="13.5" hidden="false" customHeight="true" outlineLevel="0" collapsed="false">
      <c r="A2445" s="32" t="n">
        <v>4649</v>
      </c>
      <c r="B2445" s="32" t="s">
        <v>2073</v>
      </c>
      <c r="C2445" s="32" t="s">
        <v>2076</v>
      </c>
      <c r="D2445" s="32" t="s">
        <v>59</v>
      </c>
      <c r="E2445" s="32" t="s">
        <v>107</v>
      </c>
      <c r="F2445" s="32" t="n">
        <v>9494805883</v>
      </c>
      <c r="G2445" s="32" t="s">
        <v>80</v>
      </c>
      <c r="H2445" s="32" t="s">
        <v>21</v>
      </c>
      <c r="I2445" s="32" t="s">
        <v>1541</v>
      </c>
      <c r="J2445" s="32" t="s">
        <v>117</v>
      </c>
      <c r="K2445" s="32" t="s">
        <v>63</v>
      </c>
    </row>
    <row r="2446" customFormat="false" ht="13.5" hidden="false" customHeight="true" outlineLevel="0" collapsed="false">
      <c r="A2446" s="32" t="n">
        <v>4650</v>
      </c>
      <c r="B2446" s="32" t="s">
        <v>2073</v>
      </c>
      <c r="C2446" s="32" t="s">
        <v>2076</v>
      </c>
      <c r="D2446" s="32" t="s">
        <v>59</v>
      </c>
      <c r="E2446" s="32" t="s">
        <v>107</v>
      </c>
      <c r="F2446" s="32" t="n">
        <v>9494805883</v>
      </c>
      <c r="G2446" s="32" t="s">
        <v>80</v>
      </c>
      <c r="H2446" s="32" t="s">
        <v>21</v>
      </c>
      <c r="I2446" s="32" t="s">
        <v>145</v>
      </c>
      <c r="J2446" s="32" t="s">
        <v>117</v>
      </c>
      <c r="K2446" s="32" t="s">
        <v>63</v>
      </c>
    </row>
    <row r="2447" customFormat="false" ht="13.5" hidden="false" customHeight="true" outlineLevel="0" collapsed="false">
      <c r="A2447" s="32" t="n">
        <v>4651</v>
      </c>
      <c r="B2447" s="32" t="s">
        <v>2073</v>
      </c>
      <c r="C2447" s="32" t="s">
        <v>2076</v>
      </c>
      <c r="D2447" s="32" t="s">
        <v>59</v>
      </c>
      <c r="E2447" s="32" t="s">
        <v>107</v>
      </c>
      <c r="F2447" s="32" t="n">
        <v>9494805883</v>
      </c>
      <c r="G2447" s="32" t="s">
        <v>80</v>
      </c>
      <c r="H2447" s="32" t="s">
        <v>21</v>
      </c>
      <c r="I2447" s="32" t="s">
        <v>491</v>
      </c>
      <c r="J2447" s="32" t="s">
        <v>152</v>
      </c>
      <c r="K2447" s="32" t="s">
        <v>63</v>
      </c>
    </row>
    <row r="2448" customFormat="false" ht="13.5" hidden="false" customHeight="true" outlineLevel="0" collapsed="false">
      <c r="A2448" s="32" t="n">
        <v>4652</v>
      </c>
      <c r="B2448" s="32" t="s">
        <v>2077</v>
      </c>
      <c r="C2448" s="32" t="s">
        <v>2078</v>
      </c>
      <c r="D2448" s="32" t="s">
        <v>59</v>
      </c>
      <c r="E2448" s="32" t="s">
        <v>60</v>
      </c>
      <c r="F2448" s="33" t="n">
        <v>919873000000</v>
      </c>
      <c r="G2448" s="32" t="s">
        <v>144</v>
      </c>
      <c r="H2448" s="32" t="s">
        <v>21</v>
      </c>
      <c r="I2448" s="32" t="s">
        <v>156</v>
      </c>
      <c r="J2448" s="32" t="s">
        <v>62</v>
      </c>
      <c r="K2448" s="32" t="s">
        <v>63</v>
      </c>
    </row>
    <row r="2449" customFormat="false" ht="13.5" hidden="false" customHeight="true" outlineLevel="0" collapsed="false">
      <c r="A2449" s="32" t="n">
        <v>4653</v>
      </c>
      <c r="B2449" s="32" t="s">
        <v>2077</v>
      </c>
      <c r="C2449" s="32" t="s">
        <v>2078</v>
      </c>
      <c r="D2449" s="32" t="s">
        <v>59</v>
      </c>
      <c r="E2449" s="32" t="s">
        <v>60</v>
      </c>
      <c r="F2449" s="33" t="n">
        <v>919873000000</v>
      </c>
      <c r="G2449" s="32" t="s">
        <v>144</v>
      </c>
      <c r="H2449" s="32" t="s">
        <v>21</v>
      </c>
      <c r="I2449" s="32" t="s">
        <v>29</v>
      </c>
      <c r="J2449" s="32" t="s">
        <v>62</v>
      </c>
      <c r="K2449" s="32" t="s">
        <v>63</v>
      </c>
    </row>
    <row r="2450" customFormat="false" ht="13.5" hidden="false" customHeight="true" outlineLevel="0" collapsed="false">
      <c r="A2450" s="32" t="n">
        <v>4654</v>
      </c>
      <c r="B2450" s="32" t="s">
        <v>2077</v>
      </c>
      <c r="C2450" s="32" t="s">
        <v>2078</v>
      </c>
      <c r="D2450" s="32" t="s">
        <v>59</v>
      </c>
      <c r="E2450" s="32" t="s">
        <v>60</v>
      </c>
      <c r="F2450" s="33" t="n">
        <v>919873000000</v>
      </c>
      <c r="G2450" s="32" t="s">
        <v>144</v>
      </c>
      <c r="H2450" s="32" t="s">
        <v>21</v>
      </c>
      <c r="I2450" s="32" t="s">
        <v>773</v>
      </c>
      <c r="J2450" s="32" t="s">
        <v>66</v>
      </c>
      <c r="K2450" s="32" t="s">
        <v>63</v>
      </c>
    </row>
    <row r="2451" customFormat="false" ht="13.5" hidden="false" customHeight="true" outlineLevel="0" collapsed="false">
      <c r="A2451" s="32" t="n">
        <v>4655</v>
      </c>
      <c r="B2451" s="32" t="s">
        <v>2079</v>
      </c>
      <c r="C2451" s="32" t="s">
        <v>2080</v>
      </c>
      <c r="D2451" s="32" t="s">
        <v>114</v>
      </c>
      <c r="E2451" s="32" t="s">
        <v>115</v>
      </c>
      <c r="F2451" s="32" t="n">
        <v>9860415987</v>
      </c>
      <c r="G2451" s="32" t="s">
        <v>69</v>
      </c>
      <c r="H2451" s="32" t="s">
        <v>22</v>
      </c>
      <c r="I2451" s="32" t="s">
        <v>121</v>
      </c>
      <c r="J2451" s="32" t="s">
        <v>110</v>
      </c>
      <c r="K2451" s="32" t="s">
        <v>63</v>
      </c>
    </row>
    <row r="2452" customFormat="false" ht="13.5" hidden="false" customHeight="true" outlineLevel="0" collapsed="false">
      <c r="A2452" s="32" t="n">
        <v>4656</v>
      </c>
      <c r="B2452" s="32" t="s">
        <v>2079</v>
      </c>
      <c r="C2452" s="32" t="s">
        <v>2080</v>
      </c>
      <c r="D2452" s="32" t="s">
        <v>114</v>
      </c>
      <c r="E2452" s="32" t="s">
        <v>115</v>
      </c>
      <c r="F2452" s="32" t="n">
        <v>9860415987</v>
      </c>
      <c r="G2452" s="32" t="s">
        <v>69</v>
      </c>
      <c r="H2452" s="32" t="s">
        <v>22</v>
      </c>
      <c r="I2452" s="32" t="s">
        <v>145</v>
      </c>
      <c r="J2452" s="32" t="s">
        <v>117</v>
      </c>
      <c r="K2452" s="32" t="s">
        <v>63</v>
      </c>
    </row>
    <row r="2453" customFormat="false" ht="13.5" hidden="false" customHeight="true" outlineLevel="0" collapsed="false">
      <c r="A2453" s="32" t="n">
        <v>4657</v>
      </c>
      <c r="B2453" s="32" t="s">
        <v>2079</v>
      </c>
      <c r="C2453" s="32" t="s">
        <v>2081</v>
      </c>
      <c r="D2453" s="32" t="s">
        <v>114</v>
      </c>
      <c r="E2453" s="32" t="s">
        <v>115</v>
      </c>
      <c r="F2453" s="32" t="s">
        <v>2082</v>
      </c>
      <c r="G2453" s="32" t="s">
        <v>69</v>
      </c>
      <c r="H2453" s="32" t="s">
        <v>22</v>
      </c>
      <c r="I2453" s="32" t="s">
        <v>120</v>
      </c>
      <c r="J2453" s="32" t="s">
        <v>110</v>
      </c>
      <c r="K2453" s="32" t="s">
        <v>63</v>
      </c>
    </row>
    <row r="2454" customFormat="false" ht="13.5" hidden="false" customHeight="true" outlineLevel="0" collapsed="false">
      <c r="A2454" s="32" t="n">
        <v>4658</v>
      </c>
      <c r="B2454" s="32" t="s">
        <v>2083</v>
      </c>
      <c r="C2454" s="32" t="s">
        <v>2084</v>
      </c>
      <c r="D2454" s="32" t="s">
        <v>59</v>
      </c>
      <c r="E2454" s="32" t="s">
        <v>107</v>
      </c>
      <c r="F2454" s="33" t="n">
        <v>917777000000</v>
      </c>
      <c r="G2454" s="32" t="s">
        <v>80</v>
      </c>
      <c r="H2454" s="32" t="s">
        <v>21</v>
      </c>
      <c r="I2454" s="32" t="s">
        <v>151</v>
      </c>
      <c r="J2454" s="32" t="s">
        <v>152</v>
      </c>
      <c r="K2454" s="32" t="s">
        <v>63</v>
      </c>
    </row>
    <row r="2455" customFormat="false" ht="13.5" hidden="false" customHeight="true" outlineLevel="0" collapsed="false">
      <c r="A2455" s="32" t="n">
        <v>4659</v>
      </c>
      <c r="B2455" s="32" t="s">
        <v>2083</v>
      </c>
      <c r="C2455" s="32" t="s">
        <v>2084</v>
      </c>
      <c r="D2455" s="32" t="s">
        <v>59</v>
      </c>
      <c r="E2455" s="32" t="s">
        <v>107</v>
      </c>
      <c r="F2455" s="33" t="n">
        <v>917777000000</v>
      </c>
      <c r="G2455" s="32" t="s">
        <v>80</v>
      </c>
      <c r="H2455" s="32" t="s">
        <v>21</v>
      </c>
      <c r="I2455" s="32" t="s">
        <v>172</v>
      </c>
      <c r="J2455" s="32" t="s">
        <v>152</v>
      </c>
      <c r="K2455" s="32" t="s">
        <v>63</v>
      </c>
    </row>
    <row r="2456" customFormat="false" ht="13.5" hidden="false" customHeight="true" outlineLevel="0" collapsed="false">
      <c r="A2456" s="32" t="n">
        <v>4660</v>
      </c>
      <c r="B2456" s="32" t="s">
        <v>2085</v>
      </c>
      <c r="C2456" s="32" t="s">
        <v>2086</v>
      </c>
      <c r="D2456" s="32" t="s">
        <v>59</v>
      </c>
      <c r="E2456" s="32" t="s">
        <v>79</v>
      </c>
      <c r="F2456" s="33" t="n">
        <v>919870000000</v>
      </c>
      <c r="G2456" s="32" t="s">
        <v>69</v>
      </c>
      <c r="H2456" s="32" t="s">
        <v>21</v>
      </c>
      <c r="I2456" s="32" t="s">
        <v>151</v>
      </c>
      <c r="J2456" s="32" t="s">
        <v>152</v>
      </c>
      <c r="K2456" s="32" t="s">
        <v>63</v>
      </c>
    </row>
    <row r="2457" customFormat="false" ht="13.5" hidden="false" customHeight="true" outlineLevel="0" collapsed="false">
      <c r="A2457" s="32" t="n">
        <v>4661</v>
      </c>
      <c r="B2457" s="32" t="s">
        <v>2085</v>
      </c>
      <c r="C2457" s="32" t="s">
        <v>2086</v>
      </c>
      <c r="D2457" s="32" t="s">
        <v>59</v>
      </c>
      <c r="E2457" s="32" t="s">
        <v>79</v>
      </c>
      <c r="F2457" s="33" t="n">
        <v>919870000000</v>
      </c>
      <c r="G2457" s="32" t="s">
        <v>69</v>
      </c>
      <c r="H2457" s="32" t="s">
        <v>21</v>
      </c>
      <c r="I2457" s="32" t="s">
        <v>146</v>
      </c>
      <c r="J2457" s="32" t="s">
        <v>117</v>
      </c>
      <c r="K2457" s="32" t="s">
        <v>63</v>
      </c>
    </row>
    <row r="2458" customFormat="false" ht="13.5" hidden="false" customHeight="true" outlineLevel="0" collapsed="false">
      <c r="A2458" s="32" t="n">
        <v>4662</v>
      </c>
      <c r="B2458" s="32" t="s">
        <v>2087</v>
      </c>
      <c r="C2458" s="32" t="s">
        <v>2088</v>
      </c>
      <c r="D2458" s="32" t="s">
        <v>102</v>
      </c>
      <c r="E2458" s="32" t="s">
        <v>155</v>
      </c>
      <c r="F2458" s="32" t="n">
        <v>8217507359</v>
      </c>
      <c r="G2458" s="32" t="s">
        <v>61</v>
      </c>
      <c r="H2458" s="32" t="s">
        <v>21</v>
      </c>
      <c r="I2458" s="32" t="s">
        <v>85</v>
      </c>
      <c r="J2458" s="32" t="s">
        <v>85</v>
      </c>
      <c r="K2458" s="32" t="s">
        <v>63</v>
      </c>
    </row>
    <row r="2459" customFormat="false" ht="13.5" hidden="false" customHeight="true" outlineLevel="0" collapsed="false">
      <c r="A2459" s="32" t="n">
        <v>4663</v>
      </c>
      <c r="B2459" s="32" t="s">
        <v>2087</v>
      </c>
      <c r="C2459" s="32" t="s">
        <v>2088</v>
      </c>
      <c r="D2459" s="32" t="s">
        <v>102</v>
      </c>
      <c r="E2459" s="32" t="s">
        <v>155</v>
      </c>
      <c r="F2459" s="32" t="n">
        <v>8217507359</v>
      </c>
      <c r="G2459" s="32" t="s">
        <v>61</v>
      </c>
      <c r="H2459" s="32" t="s">
        <v>21</v>
      </c>
      <c r="I2459" s="32" t="s">
        <v>2089</v>
      </c>
      <c r="J2459" s="32" t="s">
        <v>89</v>
      </c>
      <c r="K2459" s="32" t="s">
        <v>63</v>
      </c>
    </row>
    <row r="2460" customFormat="false" ht="13.5" hidden="false" customHeight="true" outlineLevel="0" collapsed="false">
      <c r="A2460" s="32" t="n">
        <v>4664</v>
      </c>
      <c r="B2460" s="32" t="s">
        <v>2087</v>
      </c>
      <c r="C2460" s="32" t="s">
        <v>2088</v>
      </c>
      <c r="D2460" s="32" t="s">
        <v>102</v>
      </c>
      <c r="E2460" s="32" t="s">
        <v>155</v>
      </c>
      <c r="F2460" s="32" t="n">
        <v>8217507359</v>
      </c>
      <c r="G2460" s="32" t="s">
        <v>61</v>
      </c>
      <c r="H2460" s="32" t="s">
        <v>21</v>
      </c>
      <c r="I2460" s="32" t="s">
        <v>76</v>
      </c>
      <c r="J2460" s="32" t="s">
        <v>76</v>
      </c>
      <c r="K2460" s="32" t="s">
        <v>63</v>
      </c>
    </row>
    <row r="2461" customFormat="false" ht="13.5" hidden="false" customHeight="true" outlineLevel="0" collapsed="false">
      <c r="A2461" s="32" t="n">
        <v>4665</v>
      </c>
      <c r="B2461" s="32" t="s">
        <v>2087</v>
      </c>
      <c r="C2461" s="32" t="s">
        <v>2088</v>
      </c>
      <c r="D2461" s="32" t="s">
        <v>102</v>
      </c>
      <c r="E2461" s="32" t="s">
        <v>155</v>
      </c>
      <c r="F2461" s="32" t="n">
        <v>8217507359</v>
      </c>
      <c r="G2461" s="32" t="s">
        <v>61</v>
      </c>
      <c r="H2461" s="32" t="s">
        <v>21</v>
      </c>
      <c r="I2461" s="32" t="s">
        <v>108</v>
      </c>
      <c r="J2461" s="32" t="s">
        <v>71</v>
      </c>
      <c r="K2461" s="32" t="s">
        <v>63</v>
      </c>
    </row>
    <row r="2462" customFormat="false" ht="13.5" hidden="false" customHeight="true" outlineLevel="0" collapsed="false">
      <c r="A2462" s="32" t="n">
        <v>4666</v>
      </c>
      <c r="B2462" s="32" t="s">
        <v>2087</v>
      </c>
      <c r="C2462" s="32" t="s">
        <v>2088</v>
      </c>
      <c r="D2462" s="32" t="s">
        <v>102</v>
      </c>
      <c r="E2462" s="32" t="s">
        <v>155</v>
      </c>
      <c r="F2462" s="32" t="n">
        <v>8217507359</v>
      </c>
      <c r="G2462" s="32" t="s">
        <v>61</v>
      </c>
      <c r="H2462" s="32" t="s">
        <v>21</v>
      </c>
      <c r="I2462" s="32" t="s">
        <v>166</v>
      </c>
      <c r="J2462" s="32" t="s">
        <v>66</v>
      </c>
      <c r="K2462" s="32" t="s">
        <v>63</v>
      </c>
    </row>
    <row r="2463" customFormat="false" ht="13.5" hidden="false" customHeight="true" outlineLevel="0" collapsed="false">
      <c r="A2463" s="32" t="n">
        <v>4667</v>
      </c>
      <c r="B2463" s="32" t="s">
        <v>2087</v>
      </c>
      <c r="C2463" s="32" t="s">
        <v>2088</v>
      </c>
      <c r="D2463" s="32" t="s">
        <v>102</v>
      </c>
      <c r="E2463" s="32" t="s">
        <v>155</v>
      </c>
      <c r="F2463" s="32" t="n">
        <v>8217507359</v>
      </c>
      <c r="G2463" s="32" t="s">
        <v>61</v>
      </c>
      <c r="H2463" s="32" t="s">
        <v>21</v>
      </c>
      <c r="I2463" s="32" t="s">
        <v>14</v>
      </c>
      <c r="J2463" s="32" t="s">
        <v>66</v>
      </c>
      <c r="K2463" s="32" t="s">
        <v>63</v>
      </c>
    </row>
    <row r="2464" customFormat="false" ht="13.5" hidden="false" customHeight="true" outlineLevel="0" collapsed="false">
      <c r="A2464" s="32" t="n">
        <v>4668</v>
      </c>
      <c r="B2464" s="32" t="s">
        <v>2090</v>
      </c>
      <c r="C2464" s="32" t="s">
        <v>2091</v>
      </c>
      <c r="D2464" s="32" t="s">
        <v>114</v>
      </c>
      <c r="E2464" s="32" t="s">
        <v>169</v>
      </c>
      <c r="F2464" s="32" t="n">
        <v>9765754842</v>
      </c>
      <c r="G2464" s="32" t="s">
        <v>144</v>
      </c>
      <c r="H2464" s="32" t="s">
        <v>22</v>
      </c>
      <c r="I2464" s="32" t="s">
        <v>227</v>
      </c>
      <c r="J2464" s="32" t="s">
        <v>228</v>
      </c>
      <c r="K2464" s="32" t="s">
        <v>63</v>
      </c>
    </row>
    <row r="2465" customFormat="false" ht="13.5" hidden="false" customHeight="true" outlineLevel="0" collapsed="false">
      <c r="A2465" s="32" t="n">
        <v>4669</v>
      </c>
      <c r="B2465" s="32" t="s">
        <v>2090</v>
      </c>
      <c r="C2465" s="32" t="s">
        <v>2091</v>
      </c>
      <c r="D2465" s="32" t="s">
        <v>114</v>
      </c>
      <c r="E2465" s="32" t="s">
        <v>169</v>
      </c>
      <c r="F2465" s="32" t="n">
        <v>9765754842</v>
      </c>
      <c r="G2465" s="32" t="s">
        <v>144</v>
      </c>
      <c r="H2465" s="32" t="s">
        <v>22</v>
      </c>
      <c r="I2465" s="32" t="s">
        <v>242</v>
      </c>
      <c r="J2465" s="32" t="s">
        <v>241</v>
      </c>
      <c r="K2465" s="32" t="s">
        <v>63</v>
      </c>
    </row>
    <row r="2466" customFormat="false" ht="13.5" hidden="false" customHeight="true" outlineLevel="0" collapsed="false">
      <c r="A2466" s="32" t="n">
        <v>4670</v>
      </c>
      <c r="B2466" s="32" t="s">
        <v>2090</v>
      </c>
      <c r="C2466" s="32" t="s">
        <v>2092</v>
      </c>
      <c r="D2466" s="32" t="s">
        <v>114</v>
      </c>
      <c r="E2466" s="32" t="s">
        <v>169</v>
      </c>
      <c r="F2466" s="32" t="n">
        <v>9971963017</v>
      </c>
      <c r="G2466" s="32" t="s">
        <v>144</v>
      </c>
      <c r="H2466" s="32" t="s">
        <v>22</v>
      </c>
      <c r="I2466" s="32" t="s">
        <v>240</v>
      </c>
      <c r="J2466" s="32" t="s">
        <v>241</v>
      </c>
      <c r="K2466" s="32" t="s">
        <v>63</v>
      </c>
    </row>
    <row r="2467" customFormat="false" ht="13.5" hidden="false" customHeight="true" outlineLevel="0" collapsed="false">
      <c r="A2467" s="32" t="n">
        <v>4671</v>
      </c>
      <c r="B2467" s="32" t="s">
        <v>2090</v>
      </c>
      <c r="C2467" s="32" t="s">
        <v>2092</v>
      </c>
      <c r="D2467" s="32" t="s">
        <v>114</v>
      </c>
      <c r="E2467" s="32" t="s">
        <v>169</v>
      </c>
      <c r="F2467" s="32" t="n">
        <v>9971963017</v>
      </c>
      <c r="G2467" s="32" t="s">
        <v>144</v>
      </c>
      <c r="H2467" s="32" t="s">
        <v>22</v>
      </c>
      <c r="I2467" s="32" t="s">
        <v>145</v>
      </c>
      <c r="J2467" s="32" t="s">
        <v>117</v>
      </c>
      <c r="K2467" s="32" t="s">
        <v>63</v>
      </c>
    </row>
    <row r="2468" customFormat="false" ht="13.5" hidden="false" customHeight="true" outlineLevel="0" collapsed="false">
      <c r="A2468" s="32" t="n">
        <v>4672</v>
      </c>
      <c r="B2468" s="32" t="s">
        <v>2090</v>
      </c>
      <c r="C2468" s="32" t="s">
        <v>2092</v>
      </c>
      <c r="D2468" s="32" t="s">
        <v>114</v>
      </c>
      <c r="E2468" s="32" t="s">
        <v>169</v>
      </c>
      <c r="F2468" s="32" t="n">
        <v>9971963017</v>
      </c>
      <c r="G2468" s="32" t="s">
        <v>144</v>
      </c>
      <c r="H2468" s="32" t="s">
        <v>22</v>
      </c>
      <c r="I2468" s="32" t="s">
        <v>239</v>
      </c>
      <c r="J2468" s="32" t="s">
        <v>132</v>
      </c>
      <c r="K2468" s="32" t="s">
        <v>63</v>
      </c>
    </row>
    <row r="2469" customFormat="false" ht="13.5" hidden="false" customHeight="true" outlineLevel="0" collapsed="false">
      <c r="A2469" s="32" t="n">
        <v>4673</v>
      </c>
      <c r="B2469" s="32" t="s">
        <v>2090</v>
      </c>
      <c r="C2469" s="32" t="s">
        <v>2092</v>
      </c>
      <c r="D2469" s="32" t="s">
        <v>114</v>
      </c>
      <c r="E2469" s="32" t="s">
        <v>169</v>
      </c>
      <c r="F2469" s="32" t="n">
        <v>9765754842</v>
      </c>
      <c r="G2469" s="32" t="s">
        <v>144</v>
      </c>
      <c r="H2469" s="32" t="s">
        <v>22</v>
      </c>
      <c r="I2469" s="32" t="s">
        <v>245</v>
      </c>
      <c r="J2469" s="32" t="s">
        <v>71</v>
      </c>
      <c r="K2469" s="32" t="s">
        <v>63</v>
      </c>
    </row>
    <row r="2470" customFormat="false" ht="13.5" hidden="false" customHeight="true" outlineLevel="0" collapsed="false">
      <c r="A2470" s="32" t="n">
        <v>4674</v>
      </c>
      <c r="B2470" s="32" t="s">
        <v>2090</v>
      </c>
      <c r="C2470" s="32" t="s">
        <v>2092</v>
      </c>
      <c r="D2470" s="32" t="s">
        <v>114</v>
      </c>
      <c r="E2470" s="32" t="s">
        <v>169</v>
      </c>
      <c r="F2470" s="32" t="n">
        <v>9765754842</v>
      </c>
      <c r="G2470" s="32" t="s">
        <v>144</v>
      </c>
      <c r="H2470" s="32" t="s">
        <v>22</v>
      </c>
      <c r="I2470" s="32" t="s">
        <v>633</v>
      </c>
      <c r="J2470" s="32" t="s">
        <v>71</v>
      </c>
      <c r="K2470" s="32" t="s">
        <v>63</v>
      </c>
    </row>
    <row r="2471" customFormat="false" ht="13.5" hidden="false" customHeight="true" outlineLevel="0" collapsed="false">
      <c r="A2471" s="32" t="n">
        <v>4675</v>
      </c>
      <c r="B2471" s="32" t="s">
        <v>2090</v>
      </c>
      <c r="C2471" s="32" t="s">
        <v>2092</v>
      </c>
      <c r="D2471" s="32" t="s">
        <v>114</v>
      </c>
      <c r="E2471" s="32" t="s">
        <v>169</v>
      </c>
      <c r="F2471" s="32" t="n">
        <v>9971963017</v>
      </c>
      <c r="G2471" s="32" t="s">
        <v>144</v>
      </c>
      <c r="H2471" s="32" t="s">
        <v>22</v>
      </c>
      <c r="I2471" s="32" t="s">
        <v>108</v>
      </c>
      <c r="J2471" s="32" t="s">
        <v>71</v>
      </c>
      <c r="K2471" s="32" t="s">
        <v>63</v>
      </c>
    </row>
    <row r="2472" customFormat="false" ht="13.5" hidden="false" customHeight="true" outlineLevel="0" collapsed="false">
      <c r="A2472" s="32" t="n">
        <v>4676</v>
      </c>
      <c r="B2472" s="32" t="s">
        <v>2093</v>
      </c>
      <c r="C2472" s="32" t="s">
        <v>2094</v>
      </c>
      <c r="D2472" s="32" t="s">
        <v>59</v>
      </c>
      <c r="E2472" s="32" t="s">
        <v>60</v>
      </c>
      <c r="F2472" s="32" t="n">
        <v>8159072950</v>
      </c>
      <c r="G2472" s="32" t="s">
        <v>61</v>
      </c>
      <c r="H2472" s="32" t="s">
        <v>21</v>
      </c>
      <c r="I2472" s="32" t="s">
        <v>76</v>
      </c>
      <c r="J2472" s="32" t="s">
        <v>76</v>
      </c>
      <c r="K2472" s="32" t="s">
        <v>63</v>
      </c>
    </row>
    <row r="2473" customFormat="false" ht="13.5" hidden="false" customHeight="true" outlineLevel="0" collapsed="false">
      <c r="A2473" s="32" t="n">
        <v>4677</v>
      </c>
      <c r="B2473" s="32" t="s">
        <v>2095</v>
      </c>
      <c r="C2473" s="32" t="s">
        <v>2096</v>
      </c>
      <c r="D2473" s="32" t="s">
        <v>59</v>
      </c>
      <c r="E2473" s="32" t="s">
        <v>107</v>
      </c>
      <c r="F2473" s="32" t="n">
        <v>9962182644</v>
      </c>
      <c r="G2473" s="32" t="s">
        <v>144</v>
      </c>
      <c r="H2473" s="32" t="s">
        <v>21</v>
      </c>
      <c r="I2473" s="32" t="s">
        <v>95</v>
      </c>
      <c r="J2473" s="32" t="s">
        <v>96</v>
      </c>
      <c r="K2473" s="32" t="s">
        <v>63</v>
      </c>
    </row>
    <row r="2474" customFormat="false" ht="13.5" hidden="false" customHeight="true" outlineLevel="0" collapsed="false">
      <c r="A2474" s="32" t="n">
        <v>4678</v>
      </c>
      <c r="B2474" s="32" t="s">
        <v>2095</v>
      </c>
      <c r="C2474" s="32" t="s">
        <v>2096</v>
      </c>
      <c r="D2474" s="32" t="s">
        <v>59</v>
      </c>
      <c r="E2474" s="32" t="s">
        <v>107</v>
      </c>
      <c r="F2474" s="32" t="n">
        <v>9962182644</v>
      </c>
      <c r="G2474" s="32" t="s">
        <v>144</v>
      </c>
      <c r="H2474" s="32" t="s">
        <v>21</v>
      </c>
      <c r="I2474" s="32" t="s">
        <v>146</v>
      </c>
      <c r="J2474" s="32" t="s">
        <v>117</v>
      </c>
      <c r="K2474" s="32" t="s">
        <v>63</v>
      </c>
    </row>
    <row r="2475" customFormat="false" ht="13.5" hidden="false" customHeight="true" outlineLevel="0" collapsed="false">
      <c r="A2475" s="32" t="n">
        <v>4679</v>
      </c>
      <c r="B2475" s="32" t="s">
        <v>2097</v>
      </c>
      <c r="C2475" s="32" t="s">
        <v>2098</v>
      </c>
      <c r="D2475" s="32" t="s">
        <v>114</v>
      </c>
      <c r="E2475" s="32" t="s">
        <v>165</v>
      </c>
      <c r="F2475" s="33" t="n">
        <v>918091000000</v>
      </c>
      <c r="G2475" s="32" t="s">
        <v>144</v>
      </c>
      <c r="H2475" s="32" t="s">
        <v>22</v>
      </c>
      <c r="I2475" s="32" t="s">
        <v>156</v>
      </c>
      <c r="J2475" s="32" t="s">
        <v>62</v>
      </c>
      <c r="K2475" s="32" t="s">
        <v>63</v>
      </c>
    </row>
    <row r="2476" customFormat="false" ht="13.5" hidden="false" customHeight="true" outlineLevel="0" collapsed="false">
      <c r="A2476" s="32" t="n">
        <v>4680</v>
      </c>
      <c r="B2476" s="32" t="s">
        <v>2097</v>
      </c>
      <c r="C2476" s="32" t="s">
        <v>2098</v>
      </c>
      <c r="D2476" s="32" t="s">
        <v>114</v>
      </c>
      <c r="E2476" s="32" t="s">
        <v>165</v>
      </c>
      <c r="F2476" s="33" t="n">
        <v>918091000000</v>
      </c>
      <c r="G2476" s="32" t="s">
        <v>144</v>
      </c>
      <c r="H2476" s="32" t="s">
        <v>22</v>
      </c>
      <c r="I2476" s="32" t="s">
        <v>29</v>
      </c>
      <c r="J2476" s="32" t="s">
        <v>62</v>
      </c>
      <c r="K2476" s="32" t="s">
        <v>63</v>
      </c>
    </row>
    <row r="2477" customFormat="false" ht="13.5" hidden="false" customHeight="true" outlineLevel="0" collapsed="false">
      <c r="A2477" s="32" t="n">
        <v>4681</v>
      </c>
      <c r="B2477" s="32" t="s">
        <v>2097</v>
      </c>
      <c r="C2477" s="32" t="s">
        <v>2098</v>
      </c>
      <c r="D2477" s="32" t="s">
        <v>114</v>
      </c>
      <c r="E2477" s="32" t="s">
        <v>165</v>
      </c>
      <c r="F2477" s="33" t="n">
        <v>918091000000</v>
      </c>
      <c r="G2477" s="32" t="s">
        <v>144</v>
      </c>
      <c r="H2477" s="32" t="s">
        <v>22</v>
      </c>
      <c r="I2477" s="32" t="s">
        <v>14</v>
      </c>
      <c r="J2477" s="32" t="s">
        <v>66</v>
      </c>
      <c r="K2477" s="32" t="s">
        <v>63</v>
      </c>
    </row>
    <row r="2478" customFormat="false" ht="13.5" hidden="false" customHeight="true" outlineLevel="0" collapsed="false">
      <c r="A2478" s="32" t="n">
        <v>4682</v>
      </c>
      <c r="B2478" s="32" t="s">
        <v>2097</v>
      </c>
      <c r="C2478" s="32" t="s">
        <v>2098</v>
      </c>
      <c r="D2478" s="32" t="s">
        <v>114</v>
      </c>
      <c r="E2478" s="32" t="s">
        <v>165</v>
      </c>
      <c r="F2478" s="33" t="n">
        <v>918091000000</v>
      </c>
      <c r="G2478" s="32" t="s">
        <v>144</v>
      </c>
      <c r="H2478" s="32" t="s">
        <v>22</v>
      </c>
      <c r="I2478" s="32" t="s">
        <v>166</v>
      </c>
      <c r="J2478" s="32" t="s">
        <v>66</v>
      </c>
      <c r="K2478" s="32" t="s">
        <v>63</v>
      </c>
    </row>
    <row r="2479" customFormat="false" ht="13.5" hidden="false" customHeight="true" outlineLevel="0" collapsed="false">
      <c r="A2479" s="32" t="n">
        <v>4683</v>
      </c>
      <c r="B2479" s="32" t="s">
        <v>2099</v>
      </c>
      <c r="C2479" s="32" t="s">
        <v>2100</v>
      </c>
      <c r="D2479" s="32" t="s">
        <v>114</v>
      </c>
      <c r="E2479" s="32" t="s">
        <v>115</v>
      </c>
      <c r="F2479" s="32" t="n">
        <v>8976374199</v>
      </c>
      <c r="G2479" s="32" t="s">
        <v>104</v>
      </c>
      <c r="H2479" s="32" t="s">
        <v>22</v>
      </c>
      <c r="I2479" s="32" t="s">
        <v>95</v>
      </c>
      <c r="J2479" s="32" t="s">
        <v>96</v>
      </c>
      <c r="K2479" s="32" t="s">
        <v>63</v>
      </c>
    </row>
    <row r="2480" customFormat="false" ht="13.5" hidden="false" customHeight="true" outlineLevel="0" collapsed="false">
      <c r="A2480" s="32" t="n">
        <v>4684</v>
      </c>
      <c r="B2480" s="32" t="s">
        <v>2099</v>
      </c>
      <c r="C2480" s="32" t="s">
        <v>2100</v>
      </c>
      <c r="D2480" s="32" t="s">
        <v>114</v>
      </c>
      <c r="E2480" s="32" t="s">
        <v>115</v>
      </c>
      <c r="F2480" s="32" t="n">
        <v>8976374199</v>
      </c>
      <c r="G2480" s="32" t="s">
        <v>104</v>
      </c>
      <c r="H2480" s="32" t="s">
        <v>22</v>
      </c>
      <c r="I2480" s="32" t="s">
        <v>145</v>
      </c>
      <c r="J2480" s="32" t="s">
        <v>117</v>
      </c>
      <c r="K2480" s="32" t="s">
        <v>63</v>
      </c>
    </row>
    <row r="2481" customFormat="false" ht="13.5" hidden="false" customHeight="true" outlineLevel="0" collapsed="false">
      <c r="A2481" s="32" t="n">
        <v>4685</v>
      </c>
      <c r="B2481" s="32" t="s">
        <v>2099</v>
      </c>
      <c r="C2481" s="32" t="s">
        <v>2100</v>
      </c>
      <c r="D2481" s="32" t="s">
        <v>114</v>
      </c>
      <c r="E2481" s="32" t="s">
        <v>115</v>
      </c>
      <c r="F2481" s="32" t="n">
        <v>8976374199</v>
      </c>
      <c r="G2481" s="32" t="s">
        <v>104</v>
      </c>
      <c r="H2481" s="32" t="s">
        <v>22</v>
      </c>
      <c r="I2481" s="32" t="s">
        <v>109</v>
      </c>
      <c r="J2481" s="32" t="s">
        <v>110</v>
      </c>
      <c r="K2481" s="32" t="s">
        <v>63</v>
      </c>
    </row>
    <row r="2482" customFormat="false" ht="13.5" hidden="false" customHeight="true" outlineLevel="0" collapsed="false">
      <c r="A2482" s="32" t="n">
        <v>4686</v>
      </c>
      <c r="B2482" s="32" t="s">
        <v>2099</v>
      </c>
      <c r="C2482" s="32" t="s">
        <v>2100</v>
      </c>
      <c r="D2482" s="32" t="s">
        <v>114</v>
      </c>
      <c r="E2482" s="32" t="s">
        <v>115</v>
      </c>
      <c r="F2482" s="32" t="n">
        <v>8976374199</v>
      </c>
      <c r="G2482" s="32" t="s">
        <v>104</v>
      </c>
      <c r="H2482" s="32" t="s">
        <v>22</v>
      </c>
      <c r="I2482" s="32" t="s">
        <v>121</v>
      </c>
      <c r="J2482" s="32" t="s">
        <v>110</v>
      </c>
      <c r="K2482" s="32" t="s">
        <v>63</v>
      </c>
    </row>
    <row r="2483" customFormat="false" ht="13.5" hidden="false" customHeight="true" outlineLevel="0" collapsed="false">
      <c r="A2483" s="32" t="n">
        <v>4687</v>
      </c>
      <c r="B2483" s="32" t="s">
        <v>2099</v>
      </c>
      <c r="C2483" s="32" t="s">
        <v>2100</v>
      </c>
      <c r="D2483" s="32" t="s">
        <v>114</v>
      </c>
      <c r="E2483" s="32" t="s">
        <v>115</v>
      </c>
      <c r="F2483" s="32" t="n">
        <v>8976374199</v>
      </c>
      <c r="G2483" s="32" t="s">
        <v>104</v>
      </c>
      <c r="H2483" s="32" t="s">
        <v>22</v>
      </c>
      <c r="I2483" s="32" t="s">
        <v>826</v>
      </c>
      <c r="J2483" s="32" t="s">
        <v>84</v>
      </c>
      <c r="K2483" s="32" t="s">
        <v>63</v>
      </c>
    </row>
    <row r="2484" customFormat="false" ht="13.5" hidden="false" customHeight="true" outlineLevel="0" collapsed="false">
      <c r="A2484" s="32" t="n">
        <v>4688</v>
      </c>
      <c r="B2484" s="32" t="s">
        <v>2099</v>
      </c>
      <c r="C2484" s="32" t="s">
        <v>2101</v>
      </c>
      <c r="D2484" s="32" t="s">
        <v>114</v>
      </c>
      <c r="E2484" s="32" t="s">
        <v>115</v>
      </c>
      <c r="F2484" s="32" t="n">
        <v>8976374199</v>
      </c>
      <c r="G2484" s="32" t="s">
        <v>104</v>
      </c>
      <c r="H2484" s="32" t="s">
        <v>22</v>
      </c>
      <c r="I2484" s="32" t="s">
        <v>777</v>
      </c>
      <c r="J2484" s="32" t="s">
        <v>110</v>
      </c>
      <c r="K2484" s="32" t="s">
        <v>63</v>
      </c>
    </row>
    <row r="2485" customFormat="false" ht="13.5" hidden="false" customHeight="true" outlineLevel="0" collapsed="false">
      <c r="A2485" s="32" t="n">
        <v>4689</v>
      </c>
      <c r="B2485" s="32" t="s">
        <v>2102</v>
      </c>
      <c r="C2485" s="32" t="s">
        <v>2103</v>
      </c>
      <c r="D2485" s="32" t="s">
        <v>114</v>
      </c>
      <c r="E2485" s="32" t="s">
        <v>268</v>
      </c>
      <c r="F2485" s="33" t="n">
        <v>919820000000</v>
      </c>
      <c r="G2485" s="32" t="s">
        <v>104</v>
      </c>
      <c r="H2485" s="32" t="s">
        <v>22</v>
      </c>
      <c r="I2485" s="32" t="s">
        <v>421</v>
      </c>
      <c r="J2485" s="32" t="s">
        <v>235</v>
      </c>
      <c r="K2485" s="32" t="s">
        <v>63</v>
      </c>
    </row>
    <row r="2486" customFormat="false" ht="13.5" hidden="false" customHeight="true" outlineLevel="0" collapsed="false">
      <c r="A2486" s="32" t="n">
        <v>4690</v>
      </c>
      <c r="B2486" s="32" t="s">
        <v>2102</v>
      </c>
      <c r="C2486" s="32" t="s">
        <v>2103</v>
      </c>
      <c r="D2486" s="32" t="s">
        <v>114</v>
      </c>
      <c r="E2486" s="32" t="s">
        <v>268</v>
      </c>
      <c r="F2486" s="33" t="n">
        <v>919820000000</v>
      </c>
      <c r="G2486" s="32" t="s">
        <v>104</v>
      </c>
      <c r="H2486" s="32" t="s">
        <v>22</v>
      </c>
      <c r="I2486" s="32" t="s">
        <v>333</v>
      </c>
      <c r="J2486" s="32" t="s">
        <v>235</v>
      </c>
      <c r="K2486" s="32" t="s">
        <v>63</v>
      </c>
    </row>
    <row r="2487" customFormat="false" ht="13.5" hidden="false" customHeight="true" outlineLevel="0" collapsed="false">
      <c r="A2487" s="32" t="n">
        <v>4691</v>
      </c>
      <c r="B2487" s="32" t="s">
        <v>2102</v>
      </c>
      <c r="C2487" s="32" t="s">
        <v>2103</v>
      </c>
      <c r="D2487" s="32" t="s">
        <v>114</v>
      </c>
      <c r="E2487" s="32" t="s">
        <v>268</v>
      </c>
      <c r="F2487" s="32" t="n">
        <v>9819897390</v>
      </c>
      <c r="G2487" s="32" t="s">
        <v>104</v>
      </c>
      <c r="H2487" s="32" t="s">
        <v>22</v>
      </c>
      <c r="I2487" s="32" t="s">
        <v>14</v>
      </c>
      <c r="J2487" s="32" t="s">
        <v>66</v>
      </c>
      <c r="K2487" s="32" t="s">
        <v>63</v>
      </c>
    </row>
    <row r="2488" customFormat="false" ht="13.5" hidden="false" customHeight="true" outlineLevel="0" collapsed="false">
      <c r="A2488" s="32" t="n">
        <v>4692</v>
      </c>
      <c r="B2488" s="32" t="s">
        <v>2104</v>
      </c>
      <c r="C2488" s="32" t="s">
        <v>2105</v>
      </c>
      <c r="D2488" s="32" t="s">
        <v>59</v>
      </c>
      <c r="E2488" s="32" t="s">
        <v>107</v>
      </c>
      <c r="F2488" s="32" t="n">
        <v>0</v>
      </c>
      <c r="G2488" s="32" t="s">
        <v>80</v>
      </c>
      <c r="H2488" s="32" t="s">
        <v>21</v>
      </c>
      <c r="I2488" s="32" t="s">
        <v>16</v>
      </c>
      <c r="J2488" s="32" t="s">
        <v>73</v>
      </c>
      <c r="K2488" s="32" t="s">
        <v>63</v>
      </c>
    </row>
    <row r="2489" customFormat="false" ht="13.5" hidden="false" customHeight="true" outlineLevel="0" collapsed="false">
      <c r="A2489" s="32" t="n">
        <v>4693</v>
      </c>
      <c r="B2489" s="32" t="s">
        <v>2104</v>
      </c>
      <c r="C2489" s="32" t="s">
        <v>2106</v>
      </c>
      <c r="D2489" s="32" t="s">
        <v>59</v>
      </c>
      <c r="E2489" s="32" t="s">
        <v>107</v>
      </c>
      <c r="F2489" s="32" t="n">
        <v>0</v>
      </c>
      <c r="G2489" s="32" t="s">
        <v>80</v>
      </c>
      <c r="H2489" s="32" t="s">
        <v>21</v>
      </c>
      <c r="I2489" s="32" t="s">
        <v>149</v>
      </c>
      <c r="J2489" s="32" t="s">
        <v>73</v>
      </c>
      <c r="K2489" s="32" t="s">
        <v>63</v>
      </c>
    </row>
    <row r="2490" customFormat="false" ht="13.5" hidden="false" customHeight="true" outlineLevel="0" collapsed="false">
      <c r="A2490" s="32" t="n">
        <v>4694</v>
      </c>
      <c r="B2490" s="32" t="s">
        <v>2104</v>
      </c>
      <c r="C2490" s="32" t="s">
        <v>2106</v>
      </c>
      <c r="D2490" s="32" t="s">
        <v>59</v>
      </c>
      <c r="E2490" s="32" t="s">
        <v>107</v>
      </c>
      <c r="F2490" s="32" t="n">
        <v>0</v>
      </c>
      <c r="G2490" s="32" t="s">
        <v>80</v>
      </c>
      <c r="H2490" s="32" t="s">
        <v>21</v>
      </c>
      <c r="I2490" s="32" t="s">
        <v>393</v>
      </c>
      <c r="J2490" s="32" t="s">
        <v>73</v>
      </c>
      <c r="K2490" s="32" t="s">
        <v>63</v>
      </c>
    </row>
    <row r="2491" customFormat="false" ht="13.5" hidden="false" customHeight="true" outlineLevel="0" collapsed="false">
      <c r="A2491" s="32" t="n">
        <v>4695</v>
      </c>
      <c r="B2491" s="32" t="s">
        <v>2104</v>
      </c>
      <c r="C2491" s="32" t="s">
        <v>2106</v>
      </c>
      <c r="D2491" s="32" t="s">
        <v>59</v>
      </c>
      <c r="E2491" s="32" t="s">
        <v>107</v>
      </c>
      <c r="F2491" s="32" t="n">
        <v>0</v>
      </c>
      <c r="G2491" s="32" t="s">
        <v>80</v>
      </c>
      <c r="H2491" s="32" t="s">
        <v>21</v>
      </c>
      <c r="I2491" s="32" t="s">
        <v>146</v>
      </c>
      <c r="J2491" s="32" t="s">
        <v>117</v>
      </c>
      <c r="K2491" s="32" t="s">
        <v>63</v>
      </c>
    </row>
    <row r="2492" customFormat="false" ht="13.5" hidden="false" customHeight="true" outlineLevel="0" collapsed="false">
      <c r="A2492" s="32" t="n">
        <v>4696</v>
      </c>
      <c r="B2492" s="32" t="s">
        <v>2107</v>
      </c>
      <c r="C2492" s="32" t="s">
        <v>2108</v>
      </c>
      <c r="D2492" s="32" t="s">
        <v>59</v>
      </c>
      <c r="E2492" s="32" t="s">
        <v>107</v>
      </c>
      <c r="F2492" s="32" t="n">
        <v>9748421046</v>
      </c>
      <c r="G2492" s="32" t="s">
        <v>181</v>
      </c>
      <c r="H2492" s="32" t="s">
        <v>21</v>
      </c>
      <c r="I2492" s="32" t="s">
        <v>72</v>
      </c>
      <c r="J2492" s="32" t="s">
        <v>73</v>
      </c>
      <c r="K2492" s="32" t="s">
        <v>63</v>
      </c>
    </row>
    <row r="2493" customFormat="false" ht="13.5" hidden="false" customHeight="true" outlineLevel="0" collapsed="false">
      <c r="A2493" s="32" t="n">
        <v>4697</v>
      </c>
      <c r="B2493" s="32" t="s">
        <v>2107</v>
      </c>
      <c r="C2493" s="32" t="s">
        <v>2108</v>
      </c>
      <c r="D2493" s="32" t="s">
        <v>59</v>
      </c>
      <c r="E2493" s="32" t="s">
        <v>107</v>
      </c>
      <c r="F2493" s="32" t="n">
        <v>9748421046</v>
      </c>
      <c r="G2493" s="32" t="s">
        <v>181</v>
      </c>
      <c r="H2493" s="32" t="s">
        <v>21</v>
      </c>
      <c r="I2493" s="32" t="s">
        <v>149</v>
      </c>
      <c r="J2493" s="32" t="s">
        <v>73</v>
      </c>
      <c r="K2493" s="32" t="s">
        <v>63</v>
      </c>
    </row>
    <row r="2494" customFormat="false" ht="13.5" hidden="false" customHeight="true" outlineLevel="0" collapsed="false">
      <c r="A2494" s="32" t="n">
        <v>4698</v>
      </c>
      <c r="B2494" s="32" t="s">
        <v>2109</v>
      </c>
      <c r="C2494" s="32" t="s">
        <v>2110</v>
      </c>
      <c r="D2494" s="32" t="s">
        <v>114</v>
      </c>
      <c r="E2494" s="32" t="s">
        <v>165</v>
      </c>
      <c r="F2494" s="32" t="n">
        <v>8890277779</v>
      </c>
      <c r="G2494" s="32" t="s">
        <v>144</v>
      </c>
      <c r="H2494" s="32" t="s">
        <v>22</v>
      </c>
      <c r="I2494" s="32" t="s">
        <v>1242</v>
      </c>
      <c r="J2494" s="32" t="s">
        <v>62</v>
      </c>
      <c r="K2494" s="32" t="s">
        <v>63</v>
      </c>
    </row>
    <row r="2495" customFormat="false" ht="13.5" hidden="false" customHeight="true" outlineLevel="0" collapsed="false">
      <c r="A2495" s="32" t="n">
        <v>4699</v>
      </c>
      <c r="B2495" s="32" t="s">
        <v>2109</v>
      </c>
      <c r="C2495" s="32" t="s">
        <v>2111</v>
      </c>
      <c r="D2495" s="32" t="s">
        <v>114</v>
      </c>
      <c r="E2495" s="32" t="s">
        <v>165</v>
      </c>
      <c r="F2495" s="32" t="n">
        <v>8890277779</v>
      </c>
      <c r="G2495" s="32" t="s">
        <v>144</v>
      </c>
      <c r="H2495" s="32" t="s">
        <v>22</v>
      </c>
      <c r="I2495" s="32" t="s">
        <v>29</v>
      </c>
      <c r="J2495" s="32" t="s">
        <v>62</v>
      </c>
      <c r="K2495" s="32" t="s">
        <v>63</v>
      </c>
    </row>
    <row r="2496" customFormat="false" ht="13.5" hidden="false" customHeight="true" outlineLevel="0" collapsed="false">
      <c r="A2496" s="32" t="n">
        <v>4700</v>
      </c>
      <c r="B2496" s="32" t="s">
        <v>2109</v>
      </c>
      <c r="C2496" s="32" t="s">
        <v>2111</v>
      </c>
      <c r="D2496" s="32" t="s">
        <v>114</v>
      </c>
      <c r="E2496" s="32" t="s">
        <v>165</v>
      </c>
      <c r="F2496" s="32" t="n">
        <v>8890277779</v>
      </c>
      <c r="G2496" s="32" t="s">
        <v>144</v>
      </c>
      <c r="H2496" s="32" t="s">
        <v>22</v>
      </c>
      <c r="I2496" s="32" t="s">
        <v>14</v>
      </c>
      <c r="J2496" s="32" t="s">
        <v>66</v>
      </c>
      <c r="K2496" s="32" t="s">
        <v>63</v>
      </c>
    </row>
    <row r="2497" customFormat="false" ht="13.5" hidden="false" customHeight="true" outlineLevel="0" collapsed="false">
      <c r="A2497" s="32" t="n">
        <v>4701</v>
      </c>
      <c r="B2497" s="32" t="s">
        <v>2112</v>
      </c>
      <c r="C2497" s="32" t="s">
        <v>2113</v>
      </c>
      <c r="D2497" s="32" t="s">
        <v>114</v>
      </c>
      <c r="E2497" s="32" t="s">
        <v>268</v>
      </c>
      <c r="F2497" s="32" t="n">
        <v>8280082947</v>
      </c>
      <c r="G2497" s="32" t="s">
        <v>205</v>
      </c>
      <c r="H2497" s="32" t="s">
        <v>22</v>
      </c>
      <c r="I2497" s="32" t="s">
        <v>421</v>
      </c>
      <c r="J2497" s="32" t="s">
        <v>235</v>
      </c>
      <c r="K2497" s="32" t="s">
        <v>63</v>
      </c>
    </row>
    <row r="2498" customFormat="false" ht="13.5" hidden="false" customHeight="true" outlineLevel="0" collapsed="false">
      <c r="A2498" s="32" t="n">
        <v>4702</v>
      </c>
      <c r="B2498" s="32" t="s">
        <v>2114</v>
      </c>
      <c r="C2498" s="32" t="s">
        <v>2115</v>
      </c>
      <c r="D2498" s="32" t="s">
        <v>331</v>
      </c>
      <c r="E2498" s="32" t="s">
        <v>366</v>
      </c>
      <c r="F2498" s="32" t="n">
        <v>0</v>
      </c>
      <c r="G2498" s="32" t="s">
        <v>140</v>
      </c>
      <c r="H2498" s="32" t="s">
        <v>332</v>
      </c>
      <c r="I2498" s="32" t="s">
        <v>133</v>
      </c>
      <c r="J2498" s="32" t="s">
        <v>134</v>
      </c>
      <c r="K2498" s="32" t="s">
        <v>63</v>
      </c>
    </row>
    <row r="2499" customFormat="false" ht="13.5" hidden="false" customHeight="true" outlineLevel="0" collapsed="false">
      <c r="A2499" s="32" t="n">
        <v>4703</v>
      </c>
      <c r="B2499" s="32" t="s">
        <v>2114</v>
      </c>
      <c r="C2499" s="32" t="s">
        <v>2115</v>
      </c>
      <c r="D2499" s="32" t="s">
        <v>331</v>
      </c>
      <c r="E2499" s="32" t="s">
        <v>366</v>
      </c>
      <c r="F2499" s="32" t="n">
        <v>0</v>
      </c>
      <c r="G2499" s="32" t="s">
        <v>140</v>
      </c>
      <c r="H2499" s="32" t="s">
        <v>332</v>
      </c>
      <c r="I2499" s="32" t="s">
        <v>121</v>
      </c>
      <c r="J2499" s="32" t="s">
        <v>110</v>
      </c>
      <c r="K2499" s="32" t="s">
        <v>63</v>
      </c>
    </row>
    <row r="2500" customFormat="false" ht="13.5" hidden="false" customHeight="true" outlineLevel="0" collapsed="false">
      <c r="A2500" s="32" t="n">
        <v>4704</v>
      </c>
      <c r="B2500" s="32" t="s">
        <v>2114</v>
      </c>
      <c r="C2500" s="32" t="s">
        <v>2115</v>
      </c>
      <c r="D2500" s="32" t="s">
        <v>331</v>
      </c>
      <c r="E2500" s="32" t="s">
        <v>366</v>
      </c>
      <c r="F2500" s="32" t="n">
        <v>0</v>
      </c>
      <c r="G2500" s="32" t="s">
        <v>140</v>
      </c>
      <c r="H2500" s="32" t="s">
        <v>332</v>
      </c>
      <c r="I2500" s="32" t="s">
        <v>16</v>
      </c>
      <c r="J2500" s="32" t="s">
        <v>73</v>
      </c>
      <c r="K2500" s="32" t="s">
        <v>63</v>
      </c>
    </row>
    <row r="2501" customFormat="false" ht="13.5" hidden="false" customHeight="true" outlineLevel="0" collapsed="false">
      <c r="A2501" s="32" t="n">
        <v>4705</v>
      </c>
      <c r="B2501" s="32" t="s">
        <v>2116</v>
      </c>
      <c r="C2501" s="32" t="s">
        <v>2115</v>
      </c>
      <c r="D2501" s="32" t="s">
        <v>331</v>
      </c>
      <c r="E2501" s="32" t="s">
        <v>366</v>
      </c>
      <c r="F2501" s="32" t="n">
        <v>0</v>
      </c>
      <c r="G2501" s="32" t="s">
        <v>140</v>
      </c>
      <c r="H2501" s="32" t="s">
        <v>332</v>
      </c>
      <c r="I2501" s="32" t="s">
        <v>245</v>
      </c>
      <c r="J2501" s="32" t="s">
        <v>71</v>
      </c>
      <c r="K2501" s="32" t="s">
        <v>63</v>
      </c>
    </row>
    <row r="2502" customFormat="false" ht="13.5" hidden="false" customHeight="true" outlineLevel="0" collapsed="false">
      <c r="A2502" s="32" t="n">
        <v>4706</v>
      </c>
      <c r="B2502" s="32" t="s">
        <v>2114</v>
      </c>
      <c r="C2502" s="32" t="s">
        <v>2117</v>
      </c>
      <c r="D2502" s="32" t="s">
        <v>331</v>
      </c>
      <c r="E2502" s="32" t="s">
        <v>366</v>
      </c>
      <c r="F2502" s="32" t="n">
        <v>7595854010</v>
      </c>
      <c r="G2502" s="32" t="s">
        <v>140</v>
      </c>
      <c r="H2502" s="32" t="s">
        <v>332</v>
      </c>
      <c r="I2502" s="32" t="s">
        <v>75</v>
      </c>
      <c r="J2502" s="32" t="s">
        <v>76</v>
      </c>
      <c r="K2502" s="32" t="s">
        <v>63</v>
      </c>
    </row>
    <row r="2503" customFormat="false" ht="13.5" hidden="false" customHeight="true" outlineLevel="0" collapsed="false">
      <c r="A2503" s="32" t="n">
        <v>4709</v>
      </c>
      <c r="B2503" s="32" t="s">
        <v>2118</v>
      </c>
      <c r="C2503" s="32" t="s">
        <v>2119</v>
      </c>
      <c r="D2503" s="32" t="s">
        <v>59</v>
      </c>
      <c r="E2503" s="32" t="s">
        <v>143</v>
      </c>
      <c r="F2503" s="32" t="n">
        <v>8639604899</v>
      </c>
      <c r="G2503" s="32" t="s">
        <v>80</v>
      </c>
      <c r="H2503" s="32" t="s">
        <v>21</v>
      </c>
      <c r="I2503" s="32" t="s">
        <v>108</v>
      </c>
      <c r="J2503" s="32" t="s">
        <v>71</v>
      </c>
      <c r="K2503" s="32" t="s">
        <v>63</v>
      </c>
    </row>
    <row r="2504" customFormat="false" ht="13.5" hidden="false" customHeight="true" outlineLevel="0" collapsed="false">
      <c r="A2504" s="32" t="n">
        <v>4710</v>
      </c>
      <c r="B2504" s="32" t="s">
        <v>2118</v>
      </c>
      <c r="C2504" s="32" t="s">
        <v>2119</v>
      </c>
      <c r="D2504" s="32" t="s">
        <v>59</v>
      </c>
      <c r="E2504" s="32" t="s">
        <v>143</v>
      </c>
      <c r="F2504" s="32" t="n">
        <v>8639604899</v>
      </c>
      <c r="G2504" s="32" t="s">
        <v>80</v>
      </c>
      <c r="H2504" s="32" t="s">
        <v>21</v>
      </c>
      <c r="I2504" s="32" t="s">
        <v>111</v>
      </c>
      <c r="J2504" s="32" t="s">
        <v>73</v>
      </c>
      <c r="K2504" s="32" t="s">
        <v>63</v>
      </c>
    </row>
    <row r="2505" customFormat="false" ht="13.5" hidden="false" customHeight="true" outlineLevel="0" collapsed="false">
      <c r="A2505" s="32" t="n">
        <v>4711</v>
      </c>
      <c r="B2505" s="32" t="s">
        <v>2118</v>
      </c>
      <c r="C2505" s="32" t="s">
        <v>2119</v>
      </c>
      <c r="D2505" s="32" t="s">
        <v>59</v>
      </c>
      <c r="E2505" s="32" t="s">
        <v>143</v>
      </c>
      <c r="F2505" s="32" t="n">
        <v>8639604899</v>
      </c>
      <c r="G2505" s="32" t="s">
        <v>80</v>
      </c>
      <c r="H2505" s="32" t="s">
        <v>21</v>
      </c>
      <c r="I2505" s="32" t="s">
        <v>280</v>
      </c>
      <c r="J2505" s="32" t="s">
        <v>76</v>
      </c>
      <c r="K2505" s="32" t="s">
        <v>63</v>
      </c>
    </row>
    <row r="2506" customFormat="false" ht="13.5" hidden="false" customHeight="true" outlineLevel="0" collapsed="false">
      <c r="A2506" s="32" t="n">
        <v>4712</v>
      </c>
      <c r="B2506" s="32" t="s">
        <v>2120</v>
      </c>
      <c r="C2506" s="32" t="s">
        <v>2121</v>
      </c>
      <c r="D2506" s="32" t="s">
        <v>114</v>
      </c>
      <c r="E2506" s="32" t="s">
        <v>1719</v>
      </c>
      <c r="F2506" s="32" t="n">
        <v>9632900240</v>
      </c>
      <c r="G2506" s="32" t="s">
        <v>61</v>
      </c>
      <c r="H2506" s="32" t="s">
        <v>22</v>
      </c>
      <c r="I2506" s="32" t="s">
        <v>2122</v>
      </c>
      <c r="J2506" s="32" t="s">
        <v>241</v>
      </c>
      <c r="K2506" s="32" t="s">
        <v>63</v>
      </c>
    </row>
    <row r="2507" customFormat="false" ht="13.5" hidden="false" customHeight="true" outlineLevel="0" collapsed="false">
      <c r="A2507" s="32" t="n">
        <v>4713</v>
      </c>
      <c r="B2507" s="32" t="s">
        <v>2120</v>
      </c>
      <c r="C2507" s="32" t="s">
        <v>2121</v>
      </c>
      <c r="D2507" s="32" t="s">
        <v>114</v>
      </c>
      <c r="E2507" s="32" t="s">
        <v>1719</v>
      </c>
      <c r="F2507" s="32" t="n">
        <v>9632900240</v>
      </c>
      <c r="G2507" s="32" t="s">
        <v>61</v>
      </c>
      <c r="H2507" s="32" t="s">
        <v>22</v>
      </c>
      <c r="I2507" s="32" t="s">
        <v>1720</v>
      </c>
      <c r="J2507" s="32" t="s">
        <v>132</v>
      </c>
      <c r="K2507" s="32" t="s">
        <v>63</v>
      </c>
    </row>
    <row r="2508" customFormat="false" ht="13.5" hidden="false" customHeight="true" outlineLevel="0" collapsed="false">
      <c r="A2508" s="32" t="n">
        <v>4714</v>
      </c>
      <c r="B2508" s="32" t="s">
        <v>2120</v>
      </c>
      <c r="C2508" s="32" t="s">
        <v>2121</v>
      </c>
      <c r="D2508" s="32" t="s">
        <v>114</v>
      </c>
      <c r="E2508" s="32" t="s">
        <v>1719</v>
      </c>
      <c r="F2508" s="32" t="n">
        <v>9632900240</v>
      </c>
      <c r="G2508" s="32" t="s">
        <v>61</v>
      </c>
      <c r="H2508" s="32" t="s">
        <v>22</v>
      </c>
      <c r="I2508" s="32" t="s">
        <v>2123</v>
      </c>
      <c r="J2508" s="32" t="s">
        <v>241</v>
      </c>
      <c r="K2508" s="32" t="s">
        <v>63</v>
      </c>
    </row>
    <row r="2509" customFormat="false" ht="13.5" hidden="false" customHeight="true" outlineLevel="0" collapsed="false">
      <c r="A2509" s="32" t="n">
        <v>4715</v>
      </c>
      <c r="B2509" s="32" t="s">
        <v>2124</v>
      </c>
      <c r="C2509" s="32" t="s">
        <v>2125</v>
      </c>
      <c r="D2509" s="32" t="s">
        <v>59</v>
      </c>
      <c r="E2509" s="32" t="s">
        <v>107</v>
      </c>
      <c r="F2509" s="32" t="n">
        <v>8897295751</v>
      </c>
      <c r="G2509" s="32" t="s">
        <v>140</v>
      </c>
      <c r="H2509" s="32" t="s">
        <v>21</v>
      </c>
      <c r="I2509" s="32" t="s">
        <v>93</v>
      </c>
      <c r="J2509" s="32" t="s">
        <v>85</v>
      </c>
      <c r="K2509" s="32" t="s">
        <v>63</v>
      </c>
    </row>
    <row r="2510" customFormat="false" ht="13.5" hidden="false" customHeight="true" outlineLevel="0" collapsed="false">
      <c r="A2510" s="32" t="n">
        <v>4716</v>
      </c>
      <c r="B2510" s="32" t="s">
        <v>2124</v>
      </c>
      <c r="C2510" s="32" t="s">
        <v>2126</v>
      </c>
      <c r="D2510" s="32" t="s">
        <v>59</v>
      </c>
      <c r="E2510" s="32" t="s">
        <v>107</v>
      </c>
      <c r="F2510" s="32" t="n">
        <v>8897295751</v>
      </c>
      <c r="G2510" s="32" t="s">
        <v>140</v>
      </c>
      <c r="H2510" s="32" t="s">
        <v>21</v>
      </c>
      <c r="I2510" s="32" t="s">
        <v>145</v>
      </c>
      <c r="J2510" s="32" t="s">
        <v>117</v>
      </c>
      <c r="K2510" s="32" t="s">
        <v>63</v>
      </c>
    </row>
    <row r="2511" customFormat="false" ht="13.5" hidden="false" customHeight="true" outlineLevel="0" collapsed="false">
      <c r="A2511" s="32" t="n">
        <v>4717</v>
      </c>
      <c r="B2511" s="32" t="s">
        <v>2124</v>
      </c>
      <c r="C2511" s="32" t="s">
        <v>2126</v>
      </c>
      <c r="D2511" s="32" t="s">
        <v>59</v>
      </c>
      <c r="E2511" s="32" t="s">
        <v>107</v>
      </c>
      <c r="F2511" s="32" t="n">
        <v>8897295751</v>
      </c>
      <c r="G2511" s="32" t="s">
        <v>140</v>
      </c>
      <c r="H2511" s="32" t="s">
        <v>21</v>
      </c>
      <c r="I2511" s="32" t="s">
        <v>116</v>
      </c>
      <c r="J2511" s="32" t="s">
        <v>117</v>
      </c>
      <c r="K2511" s="32" t="s">
        <v>63</v>
      </c>
    </row>
    <row r="2512" customFormat="false" ht="13.5" hidden="false" customHeight="true" outlineLevel="0" collapsed="false">
      <c r="A2512" s="32" t="n">
        <v>4718</v>
      </c>
      <c r="B2512" s="32" t="s">
        <v>2127</v>
      </c>
      <c r="C2512" s="32" t="s">
        <v>2128</v>
      </c>
      <c r="D2512" s="32" t="s">
        <v>114</v>
      </c>
      <c r="E2512" s="32" t="s">
        <v>115</v>
      </c>
      <c r="F2512" s="32" t="n">
        <v>9989686017</v>
      </c>
      <c r="G2512" s="32" t="s">
        <v>80</v>
      </c>
      <c r="H2512" s="32" t="s">
        <v>22</v>
      </c>
      <c r="I2512" s="32" t="s">
        <v>145</v>
      </c>
      <c r="J2512" s="32" t="s">
        <v>117</v>
      </c>
      <c r="K2512" s="32" t="s">
        <v>63</v>
      </c>
    </row>
    <row r="2513" customFormat="false" ht="13.5" hidden="false" customHeight="true" outlineLevel="0" collapsed="false">
      <c r="A2513" s="32" t="n">
        <v>4719</v>
      </c>
      <c r="B2513" s="32" t="s">
        <v>2127</v>
      </c>
      <c r="C2513" s="32" t="s">
        <v>2128</v>
      </c>
      <c r="D2513" s="32" t="s">
        <v>114</v>
      </c>
      <c r="E2513" s="32" t="s">
        <v>115</v>
      </c>
      <c r="F2513" s="32" t="n">
        <v>9989686017</v>
      </c>
      <c r="G2513" s="32" t="s">
        <v>80</v>
      </c>
      <c r="H2513" s="32" t="s">
        <v>22</v>
      </c>
      <c r="I2513" s="32" t="s">
        <v>133</v>
      </c>
      <c r="J2513" s="32" t="s">
        <v>134</v>
      </c>
      <c r="K2513" s="32" t="s">
        <v>63</v>
      </c>
    </row>
    <row r="2514" customFormat="false" ht="13.5" hidden="false" customHeight="true" outlineLevel="0" collapsed="false">
      <c r="A2514" s="32" t="n">
        <v>4720</v>
      </c>
      <c r="B2514" s="32" t="s">
        <v>2129</v>
      </c>
      <c r="C2514" s="32" t="s">
        <v>2130</v>
      </c>
      <c r="D2514" s="32" t="s">
        <v>114</v>
      </c>
      <c r="E2514" s="32" t="s">
        <v>165</v>
      </c>
      <c r="F2514" s="32" t="n">
        <v>9911233285</v>
      </c>
      <c r="G2514" s="32" t="s">
        <v>144</v>
      </c>
      <c r="H2514" s="32" t="s">
        <v>22</v>
      </c>
      <c r="I2514" s="32" t="s">
        <v>133</v>
      </c>
      <c r="J2514" s="32" t="s">
        <v>134</v>
      </c>
      <c r="K2514" s="32" t="s">
        <v>63</v>
      </c>
    </row>
    <row r="2515" customFormat="false" ht="13.5" hidden="false" customHeight="true" outlineLevel="0" collapsed="false">
      <c r="A2515" s="32" t="n">
        <v>4721</v>
      </c>
      <c r="B2515" s="32" t="s">
        <v>2129</v>
      </c>
      <c r="C2515" s="32" t="s">
        <v>2130</v>
      </c>
      <c r="D2515" s="32" t="s">
        <v>114</v>
      </c>
      <c r="E2515" s="32" t="s">
        <v>165</v>
      </c>
      <c r="F2515" s="32" t="n">
        <v>9911233285</v>
      </c>
      <c r="G2515" s="32" t="s">
        <v>144</v>
      </c>
      <c r="H2515" s="32" t="s">
        <v>22</v>
      </c>
      <c r="I2515" s="32" t="s">
        <v>109</v>
      </c>
      <c r="J2515" s="32" t="s">
        <v>110</v>
      </c>
      <c r="K2515" s="32" t="s">
        <v>63</v>
      </c>
    </row>
    <row r="2516" customFormat="false" ht="13.5" hidden="false" customHeight="true" outlineLevel="0" collapsed="false">
      <c r="A2516" s="32" t="n">
        <v>4722</v>
      </c>
      <c r="B2516" s="32" t="s">
        <v>2129</v>
      </c>
      <c r="C2516" s="32" t="s">
        <v>2130</v>
      </c>
      <c r="D2516" s="32" t="s">
        <v>114</v>
      </c>
      <c r="E2516" s="32" t="s">
        <v>165</v>
      </c>
      <c r="F2516" s="32" t="n">
        <v>9911233285</v>
      </c>
      <c r="G2516" s="32" t="s">
        <v>144</v>
      </c>
      <c r="H2516" s="32" t="s">
        <v>22</v>
      </c>
      <c r="I2516" s="32" t="s">
        <v>126</v>
      </c>
      <c r="J2516" s="32" t="s">
        <v>85</v>
      </c>
      <c r="K2516" s="32" t="s">
        <v>63</v>
      </c>
    </row>
    <row r="2517" customFormat="false" ht="13.5" hidden="false" customHeight="true" outlineLevel="0" collapsed="false">
      <c r="A2517" s="32" t="n">
        <v>4723</v>
      </c>
      <c r="B2517" s="32" t="s">
        <v>2131</v>
      </c>
      <c r="C2517" s="32" t="s">
        <v>2132</v>
      </c>
      <c r="D2517" s="32" t="s">
        <v>59</v>
      </c>
      <c r="E2517" s="32" t="s">
        <v>143</v>
      </c>
      <c r="F2517" s="32" t="n">
        <v>0</v>
      </c>
      <c r="G2517" s="32" t="s">
        <v>80</v>
      </c>
      <c r="H2517" s="32" t="s">
        <v>21</v>
      </c>
      <c r="I2517" s="32" t="s">
        <v>630</v>
      </c>
      <c r="J2517" s="32" t="s">
        <v>71</v>
      </c>
      <c r="K2517" s="32" t="s">
        <v>63</v>
      </c>
    </row>
    <row r="2518" customFormat="false" ht="13.5" hidden="false" customHeight="true" outlineLevel="0" collapsed="false">
      <c r="A2518" s="32" t="n">
        <v>4724</v>
      </c>
      <c r="B2518" s="32" t="s">
        <v>2131</v>
      </c>
      <c r="C2518" s="32" t="s">
        <v>2132</v>
      </c>
      <c r="D2518" s="32" t="s">
        <v>59</v>
      </c>
      <c r="E2518" s="32" t="s">
        <v>143</v>
      </c>
      <c r="F2518" s="32" t="n">
        <v>0</v>
      </c>
      <c r="G2518" s="32" t="s">
        <v>80</v>
      </c>
      <c r="H2518" s="32" t="s">
        <v>21</v>
      </c>
      <c r="I2518" s="32" t="s">
        <v>307</v>
      </c>
      <c r="J2518" s="32" t="s">
        <v>307</v>
      </c>
      <c r="K2518" s="32" t="s">
        <v>63</v>
      </c>
    </row>
    <row r="2519" customFormat="false" ht="13.5" hidden="false" customHeight="true" outlineLevel="0" collapsed="false">
      <c r="A2519" s="32" t="n">
        <v>4725</v>
      </c>
      <c r="B2519" s="32" t="s">
        <v>2131</v>
      </c>
      <c r="C2519" s="32" t="s">
        <v>2132</v>
      </c>
      <c r="D2519" s="32" t="s">
        <v>59</v>
      </c>
      <c r="E2519" s="32" t="s">
        <v>143</v>
      </c>
      <c r="F2519" s="32" t="n">
        <v>0</v>
      </c>
      <c r="G2519" s="32" t="s">
        <v>80</v>
      </c>
      <c r="H2519" s="32" t="s">
        <v>21</v>
      </c>
      <c r="I2519" s="32" t="s">
        <v>76</v>
      </c>
      <c r="J2519" s="32" t="s">
        <v>76</v>
      </c>
      <c r="K2519" s="32" t="s">
        <v>63</v>
      </c>
    </row>
    <row r="2520" customFormat="false" ht="13.5" hidden="false" customHeight="true" outlineLevel="0" collapsed="false">
      <c r="A2520" s="32" t="n">
        <v>4726</v>
      </c>
      <c r="B2520" s="32" t="s">
        <v>2133</v>
      </c>
      <c r="C2520" s="32" t="s">
        <v>2134</v>
      </c>
      <c r="D2520" s="32" t="s">
        <v>59</v>
      </c>
      <c r="E2520" s="32" t="s">
        <v>107</v>
      </c>
      <c r="F2520" s="32" t="n">
        <v>9550020250</v>
      </c>
      <c r="G2520" s="32" t="s">
        <v>80</v>
      </c>
      <c r="H2520" s="32" t="s">
        <v>21</v>
      </c>
      <c r="I2520" s="32" t="s">
        <v>145</v>
      </c>
      <c r="J2520" s="32" t="s">
        <v>117</v>
      </c>
      <c r="K2520" s="32" t="s">
        <v>63</v>
      </c>
    </row>
    <row r="2521" customFormat="false" ht="13.5" hidden="false" customHeight="true" outlineLevel="0" collapsed="false">
      <c r="A2521" s="32" t="n">
        <v>4727</v>
      </c>
      <c r="B2521" s="32" t="s">
        <v>2133</v>
      </c>
      <c r="C2521" s="32" t="s">
        <v>2134</v>
      </c>
      <c r="D2521" s="32" t="s">
        <v>59</v>
      </c>
      <c r="E2521" s="32" t="s">
        <v>107</v>
      </c>
      <c r="F2521" s="32" t="n">
        <v>9550020250</v>
      </c>
      <c r="G2521" s="32" t="s">
        <v>80</v>
      </c>
      <c r="H2521" s="32" t="s">
        <v>21</v>
      </c>
      <c r="I2521" s="32" t="s">
        <v>261</v>
      </c>
      <c r="J2521" s="32" t="s">
        <v>73</v>
      </c>
      <c r="K2521" s="32" t="s">
        <v>63</v>
      </c>
    </row>
    <row r="2522" customFormat="false" ht="13.5" hidden="false" customHeight="true" outlineLevel="0" collapsed="false">
      <c r="A2522" s="32" t="n">
        <v>4728</v>
      </c>
      <c r="B2522" s="32" t="s">
        <v>2135</v>
      </c>
      <c r="C2522" s="32" t="s">
        <v>2136</v>
      </c>
      <c r="D2522" s="32" t="s">
        <v>102</v>
      </c>
      <c r="E2522" s="32" t="s">
        <v>103</v>
      </c>
      <c r="F2522" s="32" t="n">
        <v>9999726756</v>
      </c>
      <c r="G2522" s="32" t="s">
        <v>144</v>
      </c>
      <c r="H2522" s="32" t="s">
        <v>21</v>
      </c>
      <c r="I2522" s="32" t="s">
        <v>14</v>
      </c>
      <c r="J2522" s="32" t="s">
        <v>66</v>
      </c>
      <c r="K2522" s="32" t="s">
        <v>63</v>
      </c>
    </row>
    <row r="2523" customFormat="false" ht="13.5" hidden="false" customHeight="true" outlineLevel="0" collapsed="false">
      <c r="A2523" s="32" t="n">
        <v>4729</v>
      </c>
      <c r="B2523" s="32" t="s">
        <v>2135</v>
      </c>
      <c r="C2523" s="32" t="s">
        <v>2136</v>
      </c>
      <c r="D2523" s="32" t="s">
        <v>102</v>
      </c>
      <c r="E2523" s="32" t="s">
        <v>103</v>
      </c>
      <c r="F2523" s="32" t="n">
        <v>9999726756</v>
      </c>
      <c r="G2523" s="32" t="s">
        <v>144</v>
      </c>
      <c r="H2523" s="32" t="s">
        <v>21</v>
      </c>
      <c r="I2523" s="32" t="s">
        <v>166</v>
      </c>
      <c r="J2523" s="32" t="s">
        <v>66</v>
      </c>
      <c r="K2523" s="32" t="s">
        <v>63</v>
      </c>
    </row>
    <row r="2524" customFormat="false" ht="13.5" hidden="false" customHeight="true" outlineLevel="0" collapsed="false">
      <c r="A2524" s="32" t="n">
        <v>4730</v>
      </c>
      <c r="B2524" s="32" t="s">
        <v>2135</v>
      </c>
      <c r="C2524" s="32" t="s">
        <v>2136</v>
      </c>
      <c r="D2524" s="32" t="s">
        <v>102</v>
      </c>
      <c r="E2524" s="32" t="s">
        <v>103</v>
      </c>
      <c r="F2524" s="32" t="n">
        <v>9999726756</v>
      </c>
      <c r="G2524" s="32" t="s">
        <v>144</v>
      </c>
      <c r="H2524" s="32" t="s">
        <v>21</v>
      </c>
      <c r="I2524" s="32" t="s">
        <v>76</v>
      </c>
      <c r="J2524" s="32" t="s">
        <v>76</v>
      </c>
      <c r="K2524" s="32" t="s">
        <v>63</v>
      </c>
    </row>
    <row r="2525" customFormat="false" ht="13.5" hidden="false" customHeight="true" outlineLevel="0" collapsed="false">
      <c r="A2525" s="32" t="n">
        <v>4731</v>
      </c>
      <c r="B2525" s="32" t="s">
        <v>2135</v>
      </c>
      <c r="C2525" s="32" t="s">
        <v>2136</v>
      </c>
      <c r="D2525" s="32" t="s">
        <v>102</v>
      </c>
      <c r="E2525" s="32" t="s">
        <v>103</v>
      </c>
      <c r="F2525" s="32" t="n">
        <v>9999726756</v>
      </c>
      <c r="G2525" s="32" t="s">
        <v>144</v>
      </c>
      <c r="H2525" s="32" t="s">
        <v>21</v>
      </c>
      <c r="I2525" s="32" t="s">
        <v>85</v>
      </c>
      <c r="J2525" s="32" t="s">
        <v>85</v>
      </c>
      <c r="K2525" s="32" t="s">
        <v>63</v>
      </c>
    </row>
    <row r="2526" customFormat="false" ht="13.5" hidden="false" customHeight="true" outlineLevel="0" collapsed="false">
      <c r="A2526" s="32" t="n">
        <v>4733</v>
      </c>
      <c r="B2526" s="32" t="s">
        <v>2135</v>
      </c>
      <c r="C2526" s="32" t="s">
        <v>2136</v>
      </c>
      <c r="D2526" s="32" t="s">
        <v>102</v>
      </c>
      <c r="E2526" s="32" t="s">
        <v>103</v>
      </c>
      <c r="F2526" s="32" t="n">
        <v>9999726756</v>
      </c>
      <c r="G2526" s="32" t="s">
        <v>144</v>
      </c>
      <c r="H2526" s="32" t="s">
        <v>21</v>
      </c>
      <c r="I2526" s="32" t="s">
        <v>29</v>
      </c>
      <c r="J2526" s="32" t="s">
        <v>62</v>
      </c>
      <c r="K2526" s="32" t="s">
        <v>63</v>
      </c>
    </row>
    <row r="2527" customFormat="false" ht="13.5" hidden="false" customHeight="true" outlineLevel="0" collapsed="false">
      <c r="A2527" s="32" t="n">
        <v>4734</v>
      </c>
      <c r="B2527" s="32" t="s">
        <v>2135</v>
      </c>
      <c r="C2527" s="32" t="s">
        <v>2136</v>
      </c>
      <c r="D2527" s="32" t="s">
        <v>102</v>
      </c>
      <c r="E2527" s="32" t="s">
        <v>103</v>
      </c>
      <c r="F2527" s="32" t="n">
        <v>9999726756</v>
      </c>
      <c r="G2527" s="32" t="s">
        <v>144</v>
      </c>
      <c r="H2527" s="32" t="s">
        <v>21</v>
      </c>
      <c r="I2527" s="32" t="s">
        <v>156</v>
      </c>
      <c r="J2527" s="32" t="s">
        <v>62</v>
      </c>
      <c r="K2527" s="32" t="s">
        <v>63</v>
      </c>
    </row>
    <row r="2528" customFormat="false" ht="13.5" hidden="false" customHeight="true" outlineLevel="0" collapsed="false">
      <c r="A2528" s="32" t="n">
        <v>4736</v>
      </c>
      <c r="B2528" s="32" t="s">
        <v>2137</v>
      </c>
      <c r="C2528" s="32" t="s">
        <v>2138</v>
      </c>
      <c r="D2528" s="32" t="s">
        <v>114</v>
      </c>
      <c r="E2528" s="32" t="s">
        <v>268</v>
      </c>
      <c r="F2528" s="33" t="n">
        <v>919831000000</v>
      </c>
      <c r="G2528" s="32" t="s">
        <v>140</v>
      </c>
      <c r="H2528" s="32" t="s">
        <v>22</v>
      </c>
      <c r="I2528" s="32" t="s">
        <v>185</v>
      </c>
      <c r="J2528" s="32" t="s">
        <v>186</v>
      </c>
      <c r="K2528" s="32" t="s">
        <v>63</v>
      </c>
    </row>
    <row r="2529" customFormat="false" ht="13.5" hidden="false" customHeight="true" outlineLevel="0" collapsed="false">
      <c r="A2529" s="32" t="n">
        <v>4737</v>
      </c>
      <c r="B2529" s="32" t="s">
        <v>2139</v>
      </c>
      <c r="C2529" s="32" t="s">
        <v>2140</v>
      </c>
      <c r="D2529" s="32" t="s">
        <v>114</v>
      </c>
      <c r="E2529" s="32" t="s">
        <v>115</v>
      </c>
      <c r="F2529" s="32" t="n">
        <v>8860945099</v>
      </c>
      <c r="G2529" s="32" t="s">
        <v>144</v>
      </c>
      <c r="H2529" s="32" t="s">
        <v>22</v>
      </c>
      <c r="I2529" s="32" t="s">
        <v>151</v>
      </c>
      <c r="J2529" s="32" t="s">
        <v>152</v>
      </c>
      <c r="K2529" s="32" t="s">
        <v>63</v>
      </c>
    </row>
    <row r="2530" customFormat="false" ht="13.5" hidden="false" customHeight="true" outlineLevel="0" collapsed="false">
      <c r="A2530" s="32" t="n">
        <v>4738</v>
      </c>
      <c r="B2530" s="32" t="s">
        <v>2139</v>
      </c>
      <c r="C2530" s="32" t="s">
        <v>2140</v>
      </c>
      <c r="D2530" s="32" t="s">
        <v>114</v>
      </c>
      <c r="E2530" s="32" t="s">
        <v>115</v>
      </c>
      <c r="F2530" s="32" t="n">
        <v>8860945099</v>
      </c>
      <c r="G2530" s="32" t="s">
        <v>144</v>
      </c>
      <c r="H2530" s="32" t="s">
        <v>22</v>
      </c>
      <c r="I2530" s="32" t="s">
        <v>126</v>
      </c>
      <c r="J2530" s="32" t="s">
        <v>85</v>
      </c>
      <c r="K2530" s="32" t="s">
        <v>63</v>
      </c>
    </row>
    <row r="2531" customFormat="false" ht="13.5" hidden="false" customHeight="true" outlineLevel="0" collapsed="false">
      <c r="A2531" s="32" t="n">
        <v>4739</v>
      </c>
      <c r="B2531" s="32" t="s">
        <v>2139</v>
      </c>
      <c r="C2531" s="32" t="s">
        <v>2140</v>
      </c>
      <c r="D2531" s="32" t="s">
        <v>114</v>
      </c>
      <c r="E2531" s="32" t="s">
        <v>115</v>
      </c>
      <c r="F2531" s="32" t="n">
        <v>8860945099</v>
      </c>
      <c r="G2531" s="32" t="s">
        <v>144</v>
      </c>
      <c r="H2531" s="32" t="s">
        <v>22</v>
      </c>
      <c r="I2531" s="32" t="s">
        <v>30</v>
      </c>
      <c r="J2531" s="32" t="s">
        <v>203</v>
      </c>
      <c r="K2531" s="32" t="s">
        <v>63</v>
      </c>
    </row>
    <row r="2532" customFormat="false" ht="13.5" hidden="false" customHeight="true" outlineLevel="0" collapsed="false">
      <c r="A2532" s="32" t="n">
        <v>4740</v>
      </c>
      <c r="B2532" s="32" t="s">
        <v>2139</v>
      </c>
      <c r="C2532" s="32" t="s">
        <v>2140</v>
      </c>
      <c r="D2532" s="32" t="s">
        <v>114</v>
      </c>
      <c r="E2532" s="32" t="s">
        <v>115</v>
      </c>
      <c r="F2532" s="32" t="n">
        <v>8860945099</v>
      </c>
      <c r="G2532" s="32" t="s">
        <v>144</v>
      </c>
      <c r="H2532" s="32" t="s">
        <v>22</v>
      </c>
      <c r="I2532" s="32" t="s">
        <v>27</v>
      </c>
      <c r="J2532" s="32" t="s">
        <v>13</v>
      </c>
      <c r="K2532" s="32" t="s">
        <v>63</v>
      </c>
    </row>
    <row r="2533" customFormat="false" ht="13.5" hidden="false" customHeight="true" outlineLevel="0" collapsed="false">
      <c r="A2533" s="32" t="n">
        <v>4741</v>
      </c>
      <c r="B2533" s="32" t="s">
        <v>2139</v>
      </c>
      <c r="C2533" s="32" t="s">
        <v>2140</v>
      </c>
      <c r="D2533" s="32" t="s">
        <v>114</v>
      </c>
      <c r="E2533" s="32" t="s">
        <v>115</v>
      </c>
      <c r="F2533" s="32" t="n">
        <v>8860945099</v>
      </c>
      <c r="G2533" s="32" t="s">
        <v>144</v>
      </c>
      <c r="H2533" s="32" t="s">
        <v>22</v>
      </c>
      <c r="I2533" s="32" t="s">
        <v>109</v>
      </c>
      <c r="J2533" s="32" t="s">
        <v>110</v>
      </c>
      <c r="K2533" s="32" t="s">
        <v>63</v>
      </c>
    </row>
    <row r="2534" customFormat="false" ht="13.5" hidden="false" customHeight="true" outlineLevel="0" collapsed="false">
      <c r="A2534" s="32" t="n">
        <v>4742</v>
      </c>
      <c r="B2534" s="32" t="s">
        <v>2139</v>
      </c>
      <c r="C2534" s="32" t="s">
        <v>2140</v>
      </c>
      <c r="D2534" s="32" t="s">
        <v>114</v>
      </c>
      <c r="E2534" s="32" t="s">
        <v>115</v>
      </c>
      <c r="F2534" s="32" t="n">
        <v>8860945099</v>
      </c>
      <c r="G2534" s="32" t="s">
        <v>144</v>
      </c>
      <c r="H2534" s="32" t="s">
        <v>22</v>
      </c>
      <c r="I2534" s="32" t="s">
        <v>145</v>
      </c>
      <c r="J2534" s="32" t="s">
        <v>117</v>
      </c>
      <c r="K2534" s="32" t="s">
        <v>63</v>
      </c>
    </row>
    <row r="2535" customFormat="false" ht="13.5" hidden="false" customHeight="true" outlineLevel="0" collapsed="false">
      <c r="A2535" s="32" t="n">
        <v>4743</v>
      </c>
      <c r="B2535" s="32" t="s">
        <v>2141</v>
      </c>
      <c r="C2535" s="32" t="s">
        <v>2142</v>
      </c>
      <c r="D2535" s="32" t="s">
        <v>102</v>
      </c>
      <c r="E2535" s="32" t="s">
        <v>155</v>
      </c>
      <c r="F2535" s="33" t="n">
        <v>917003000000</v>
      </c>
      <c r="G2535" s="32" t="s">
        <v>140</v>
      </c>
      <c r="H2535" s="32" t="s">
        <v>21</v>
      </c>
      <c r="I2535" s="32" t="s">
        <v>156</v>
      </c>
      <c r="J2535" s="32" t="s">
        <v>62</v>
      </c>
      <c r="K2535" s="32" t="s">
        <v>63</v>
      </c>
    </row>
    <row r="2536" customFormat="false" ht="13.5" hidden="false" customHeight="true" outlineLevel="0" collapsed="false">
      <c r="A2536" s="32" t="n">
        <v>4744</v>
      </c>
      <c r="B2536" s="32" t="s">
        <v>2141</v>
      </c>
      <c r="C2536" s="32" t="s">
        <v>2142</v>
      </c>
      <c r="D2536" s="32" t="s">
        <v>102</v>
      </c>
      <c r="E2536" s="32" t="s">
        <v>155</v>
      </c>
      <c r="F2536" s="33" t="n">
        <v>917003000000</v>
      </c>
      <c r="G2536" s="32" t="s">
        <v>140</v>
      </c>
      <c r="H2536" s="32" t="s">
        <v>21</v>
      </c>
      <c r="I2536" s="32" t="s">
        <v>29</v>
      </c>
      <c r="J2536" s="32" t="s">
        <v>62</v>
      </c>
      <c r="K2536" s="32" t="s">
        <v>63</v>
      </c>
    </row>
    <row r="2537" customFormat="false" ht="13.5" hidden="false" customHeight="true" outlineLevel="0" collapsed="false">
      <c r="A2537" s="32" t="n">
        <v>4745</v>
      </c>
      <c r="B2537" s="32" t="s">
        <v>2141</v>
      </c>
      <c r="C2537" s="32" t="s">
        <v>2142</v>
      </c>
      <c r="D2537" s="32" t="s">
        <v>102</v>
      </c>
      <c r="E2537" s="32" t="s">
        <v>155</v>
      </c>
      <c r="F2537" s="33" t="n">
        <v>917003000000</v>
      </c>
      <c r="G2537" s="32" t="s">
        <v>140</v>
      </c>
      <c r="H2537" s="32" t="s">
        <v>21</v>
      </c>
      <c r="I2537" s="32" t="s">
        <v>14</v>
      </c>
      <c r="J2537" s="32" t="s">
        <v>66</v>
      </c>
      <c r="K2537" s="32" t="s">
        <v>63</v>
      </c>
    </row>
    <row r="2538" customFormat="false" ht="13.5" hidden="false" customHeight="true" outlineLevel="0" collapsed="false">
      <c r="A2538" s="32" t="n">
        <v>4746</v>
      </c>
      <c r="B2538" s="32" t="s">
        <v>2143</v>
      </c>
      <c r="C2538" s="32" t="s">
        <v>2144</v>
      </c>
      <c r="D2538" s="32" t="s">
        <v>59</v>
      </c>
      <c r="E2538" s="32" t="n">
        <v>0</v>
      </c>
      <c r="F2538" s="32" t="n">
        <v>0</v>
      </c>
      <c r="G2538" s="32" t="s">
        <v>0</v>
      </c>
      <c r="H2538" s="32" t="s">
        <v>21</v>
      </c>
      <c r="I2538" s="32" t="s">
        <v>387</v>
      </c>
      <c r="J2538" s="32" t="s">
        <v>388</v>
      </c>
      <c r="K2538" s="32" t="s">
        <v>63</v>
      </c>
    </row>
    <row r="2539" customFormat="false" ht="13.5" hidden="false" customHeight="true" outlineLevel="0" collapsed="false">
      <c r="A2539" s="32" t="n">
        <v>4747</v>
      </c>
      <c r="B2539" s="32" t="s">
        <v>2145</v>
      </c>
      <c r="C2539" s="32" t="s">
        <v>2146</v>
      </c>
      <c r="D2539" s="32" t="s">
        <v>59</v>
      </c>
      <c r="E2539" s="32" t="s">
        <v>60</v>
      </c>
      <c r="F2539" s="32" t="n">
        <v>9591147653</v>
      </c>
      <c r="G2539" s="32" t="s">
        <v>61</v>
      </c>
      <c r="H2539" s="32" t="s">
        <v>21</v>
      </c>
      <c r="I2539" s="32" t="s">
        <v>2147</v>
      </c>
      <c r="J2539" s="32" t="s">
        <v>84</v>
      </c>
      <c r="K2539" s="32" t="s">
        <v>63</v>
      </c>
    </row>
    <row r="2540" customFormat="false" ht="13.5" hidden="false" customHeight="true" outlineLevel="0" collapsed="false">
      <c r="A2540" s="32" t="n">
        <v>4748</v>
      </c>
      <c r="B2540" s="32" t="s">
        <v>2145</v>
      </c>
      <c r="C2540" s="32" t="s">
        <v>2146</v>
      </c>
      <c r="D2540" s="32" t="s">
        <v>59</v>
      </c>
      <c r="E2540" s="32" t="s">
        <v>60</v>
      </c>
      <c r="F2540" s="32" t="n">
        <v>9591147653</v>
      </c>
      <c r="G2540" s="32" t="s">
        <v>61</v>
      </c>
      <c r="H2540" s="32" t="s">
        <v>21</v>
      </c>
      <c r="I2540" s="32" t="s">
        <v>389</v>
      </c>
      <c r="J2540" s="32" t="s">
        <v>389</v>
      </c>
      <c r="K2540" s="32" t="s">
        <v>63</v>
      </c>
    </row>
    <row r="2541" customFormat="false" ht="13.5" hidden="false" customHeight="true" outlineLevel="0" collapsed="false">
      <c r="A2541" s="32" t="n">
        <v>4749</v>
      </c>
      <c r="B2541" s="32" t="s">
        <v>2148</v>
      </c>
      <c r="C2541" s="32" t="s">
        <v>2149</v>
      </c>
      <c r="D2541" s="32" t="s">
        <v>102</v>
      </c>
      <c r="E2541" s="32" t="s">
        <v>60</v>
      </c>
      <c r="F2541" s="32" t="n">
        <v>0</v>
      </c>
      <c r="G2541" s="32" t="s">
        <v>69</v>
      </c>
      <c r="H2541" s="32" t="s">
        <v>21</v>
      </c>
      <c r="I2541" s="32" t="s">
        <v>76</v>
      </c>
      <c r="J2541" s="32" t="s">
        <v>76</v>
      </c>
      <c r="K2541" s="32" t="s">
        <v>63</v>
      </c>
    </row>
    <row r="2542" customFormat="false" ht="13.5" hidden="false" customHeight="true" outlineLevel="0" collapsed="false">
      <c r="A2542" s="32" t="n">
        <v>4753</v>
      </c>
      <c r="B2542" s="32" t="s">
        <v>2148</v>
      </c>
      <c r="C2542" s="32" t="s">
        <v>2150</v>
      </c>
      <c r="D2542" s="32" t="s">
        <v>59</v>
      </c>
      <c r="E2542" s="32" t="s">
        <v>60</v>
      </c>
      <c r="F2542" s="32" t="n">
        <v>8983118219</v>
      </c>
      <c r="G2542" s="32" t="s">
        <v>69</v>
      </c>
      <c r="H2542" s="32" t="s">
        <v>21</v>
      </c>
      <c r="I2542" s="32" t="s">
        <v>156</v>
      </c>
      <c r="J2542" s="32" t="s">
        <v>62</v>
      </c>
      <c r="K2542" s="32" t="s">
        <v>63</v>
      </c>
    </row>
    <row r="2543" customFormat="false" ht="13.5" hidden="false" customHeight="true" outlineLevel="0" collapsed="false">
      <c r="A2543" s="32" t="n">
        <v>4754</v>
      </c>
      <c r="B2543" s="32" t="s">
        <v>2148</v>
      </c>
      <c r="C2543" s="32" t="s">
        <v>2150</v>
      </c>
      <c r="D2543" s="32" t="s">
        <v>59</v>
      </c>
      <c r="E2543" s="32" t="s">
        <v>60</v>
      </c>
      <c r="F2543" s="32" t="n">
        <v>0</v>
      </c>
      <c r="G2543" s="32" t="s">
        <v>69</v>
      </c>
      <c r="H2543" s="32" t="s">
        <v>21</v>
      </c>
      <c r="I2543" s="32" t="s">
        <v>29</v>
      </c>
      <c r="J2543" s="32" t="s">
        <v>62</v>
      </c>
      <c r="K2543" s="32" t="s">
        <v>63</v>
      </c>
    </row>
    <row r="2544" customFormat="false" ht="13.5" hidden="false" customHeight="true" outlineLevel="0" collapsed="false">
      <c r="A2544" s="32" t="n">
        <v>4755</v>
      </c>
      <c r="B2544" s="32" t="s">
        <v>2148</v>
      </c>
      <c r="C2544" s="32" t="s">
        <v>2150</v>
      </c>
      <c r="D2544" s="32" t="s">
        <v>59</v>
      </c>
      <c r="E2544" s="32" t="s">
        <v>60</v>
      </c>
      <c r="F2544" s="32" t="n">
        <v>0</v>
      </c>
      <c r="G2544" s="32" t="s">
        <v>69</v>
      </c>
      <c r="H2544" s="32" t="s">
        <v>21</v>
      </c>
      <c r="I2544" s="32" t="s">
        <v>14</v>
      </c>
      <c r="J2544" s="32" t="s">
        <v>66</v>
      </c>
      <c r="K2544" s="32" t="s">
        <v>63</v>
      </c>
    </row>
    <row r="2545" customFormat="false" ht="13.5" hidden="false" customHeight="true" outlineLevel="0" collapsed="false">
      <c r="A2545" s="32" t="n">
        <v>4756</v>
      </c>
      <c r="B2545" s="32" t="s">
        <v>2151</v>
      </c>
      <c r="C2545" s="32" t="s">
        <v>2152</v>
      </c>
      <c r="D2545" s="32" t="s">
        <v>59</v>
      </c>
      <c r="E2545" s="32" t="s">
        <v>143</v>
      </c>
      <c r="F2545" s="32" t="n">
        <v>8981486588</v>
      </c>
      <c r="G2545" s="32" t="s">
        <v>140</v>
      </c>
      <c r="H2545" s="32" t="s">
        <v>21</v>
      </c>
      <c r="I2545" s="32" t="s">
        <v>76</v>
      </c>
      <c r="J2545" s="32" t="s">
        <v>76</v>
      </c>
      <c r="K2545" s="32" t="s">
        <v>63</v>
      </c>
    </row>
    <row r="2546" customFormat="false" ht="13.5" hidden="false" customHeight="true" outlineLevel="0" collapsed="false">
      <c r="A2546" s="32" t="n">
        <v>4757</v>
      </c>
      <c r="B2546" s="32" t="s">
        <v>2151</v>
      </c>
      <c r="C2546" s="32" t="s">
        <v>2153</v>
      </c>
      <c r="D2546" s="32" t="s">
        <v>59</v>
      </c>
      <c r="E2546" s="32" t="s">
        <v>143</v>
      </c>
      <c r="F2546" s="32" t="n">
        <v>8981486588</v>
      </c>
      <c r="G2546" s="32" t="s">
        <v>140</v>
      </c>
      <c r="H2546" s="32" t="s">
        <v>21</v>
      </c>
      <c r="I2546" s="32" t="s">
        <v>81</v>
      </c>
      <c r="J2546" s="32" t="s">
        <v>82</v>
      </c>
      <c r="K2546" s="32" t="s">
        <v>63</v>
      </c>
    </row>
    <row r="2547" customFormat="false" ht="13.5" hidden="false" customHeight="true" outlineLevel="0" collapsed="false">
      <c r="A2547" s="32" t="n">
        <v>4758</v>
      </c>
      <c r="B2547" s="32" t="s">
        <v>2151</v>
      </c>
      <c r="C2547" s="32" t="s">
        <v>2153</v>
      </c>
      <c r="D2547" s="32" t="s">
        <v>59</v>
      </c>
      <c r="E2547" s="32" t="s">
        <v>143</v>
      </c>
      <c r="F2547" s="32" t="n">
        <v>8981486588</v>
      </c>
      <c r="G2547" s="32" t="s">
        <v>140</v>
      </c>
      <c r="H2547" s="32" t="s">
        <v>21</v>
      </c>
      <c r="I2547" s="32" t="s">
        <v>28</v>
      </c>
      <c r="J2547" s="32" t="s">
        <v>82</v>
      </c>
      <c r="K2547" s="32" t="s">
        <v>63</v>
      </c>
    </row>
    <row r="2548" customFormat="false" ht="13.5" hidden="false" customHeight="true" outlineLevel="0" collapsed="false">
      <c r="A2548" s="32" t="n">
        <v>4759</v>
      </c>
      <c r="B2548" s="32" t="s">
        <v>2151</v>
      </c>
      <c r="C2548" s="32" t="s">
        <v>2153</v>
      </c>
      <c r="D2548" s="32" t="s">
        <v>59</v>
      </c>
      <c r="E2548" s="32" t="s">
        <v>143</v>
      </c>
      <c r="F2548" s="32" t="n">
        <v>8981486588</v>
      </c>
      <c r="G2548" s="32" t="s">
        <v>140</v>
      </c>
      <c r="H2548" s="32" t="s">
        <v>21</v>
      </c>
      <c r="I2548" s="32" t="s">
        <v>280</v>
      </c>
      <c r="J2548" s="32" t="s">
        <v>76</v>
      </c>
      <c r="K2548" s="32" t="s">
        <v>63</v>
      </c>
    </row>
    <row r="2549" customFormat="false" ht="13.5" hidden="false" customHeight="true" outlineLevel="0" collapsed="false">
      <c r="A2549" s="32" t="n">
        <v>4760</v>
      </c>
      <c r="B2549" s="32" t="s">
        <v>2154</v>
      </c>
      <c r="C2549" s="32" t="s">
        <v>2155</v>
      </c>
      <c r="D2549" s="32" t="s">
        <v>114</v>
      </c>
      <c r="E2549" s="32" t="s">
        <v>165</v>
      </c>
      <c r="F2549" s="32" t="n">
        <v>9883210115</v>
      </c>
      <c r="G2549" s="32" t="s">
        <v>61</v>
      </c>
      <c r="H2549" s="32" t="s">
        <v>22</v>
      </c>
      <c r="I2549" s="32" t="s">
        <v>85</v>
      </c>
      <c r="J2549" s="32" t="s">
        <v>85</v>
      </c>
      <c r="K2549" s="32" t="s">
        <v>63</v>
      </c>
    </row>
    <row r="2550" customFormat="false" ht="13.5" hidden="false" customHeight="true" outlineLevel="0" collapsed="false">
      <c r="A2550" s="32" t="n">
        <v>4761</v>
      </c>
      <c r="B2550" s="32" t="s">
        <v>2154</v>
      </c>
      <c r="C2550" s="32" t="s">
        <v>2156</v>
      </c>
      <c r="D2550" s="32" t="s">
        <v>114</v>
      </c>
      <c r="E2550" s="32" t="s">
        <v>165</v>
      </c>
      <c r="F2550" s="32" t="n">
        <v>9883210115</v>
      </c>
      <c r="G2550" s="32" t="s">
        <v>61</v>
      </c>
      <c r="H2550" s="32" t="s">
        <v>22</v>
      </c>
      <c r="I2550" s="32" t="s">
        <v>28</v>
      </c>
      <c r="J2550" s="32" t="s">
        <v>82</v>
      </c>
      <c r="K2550" s="32" t="s">
        <v>63</v>
      </c>
    </row>
    <row r="2551" customFormat="false" ht="13.5" hidden="false" customHeight="true" outlineLevel="0" collapsed="false">
      <c r="A2551" s="32" t="n">
        <v>4762</v>
      </c>
      <c r="B2551" s="32" t="s">
        <v>2154</v>
      </c>
      <c r="C2551" s="32" t="s">
        <v>2156</v>
      </c>
      <c r="D2551" s="32" t="s">
        <v>114</v>
      </c>
      <c r="E2551" s="32" t="s">
        <v>165</v>
      </c>
      <c r="F2551" s="32" t="n">
        <v>9883210115</v>
      </c>
      <c r="G2551" s="32" t="s">
        <v>61</v>
      </c>
      <c r="H2551" s="32" t="s">
        <v>22</v>
      </c>
      <c r="I2551" s="32" t="s">
        <v>111</v>
      </c>
      <c r="J2551" s="32" t="s">
        <v>73</v>
      </c>
      <c r="K2551" s="32" t="s">
        <v>63</v>
      </c>
    </row>
    <row r="2552" customFormat="false" ht="13.5" hidden="false" customHeight="true" outlineLevel="0" collapsed="false">
      <c r="A2552" s="32" t="n">
        <v>4763</v>
      </c>
      <c r="B2552" s="32" t="s">
        <v>2154</v>
      </c>
      <c r="C2552" s="32" t="s">
        <v>2156</v>
      </c>
      <c r="D2552" s="32" t="s">
        <v>114</v>
      </c>
      <c r="E2552" s="32" t="s">
        <v>165</v>
      </c>
      <c r="F2552" s="32" t="n">
        <v>9883210115</v>
      </c>
      <c r="G2552" s="32" t="s">
        <v>61</v>
      </c>
      <c r="H2552" s="32" t="s">
        <v>22</v>
      </c>
      <c r="I2552" s="32" t="s">
        <v>150</v>
      </c>
      <c r="J2552" s="32" t="s">
        <v>73</v>
      </c>
      <c r="K2552" s="32" t="s">
        <v>63</v>
      </c>
    </row>
    <row r="2553" customFormat="false" ht="13.5" hidden="false" customHeight="true" outlineLevel="0" collapsed="false">
      <c r="A2553" s="32" t="n">
        <v>4764</v>
      </c>
      <c r="B2553" s="32" t="s">
        <v>2154</v>
      </c>
      <c r="C2553" s="32" t="s">
        <v>2156</v>
      </c>
      <c r="D2553" s="32" t="s">
        <v>114</v>
      </c>
      <c r="E2553" s="32" t="s">
        <v>165</v>
      </c>
      <c r="F2553" s="32" t="n">
        <v>9883210115</v>
      </c>
      <c r="G2553" s="32" t="s">
        <v>61</v>
      </c>
      <c r="H2553" s="32" t="s">
        <v>22</v>
      </c>
      <c r="I2553" s="32" t="s">
        <v>212</v>
      </c>
      <c r="J2553" s="32" t="s">
        <v>73</v>
      </c>
      <c r="K2553" s="32" t="s">
        <v>63</v>
      </c>
    </row>
    <row r="2554" customFormat="false" ht="13.5" hidden="false" customHeight="true" outlineLevel="0" collapsed="false">
      <c r="A2554" s="32" t="n">
        <v>4765</v>
      </c>
      <c r="B2554" s="32" t="s">
        <v>2157</v>
      </c>
      <c r="C2554" s="32" t="s">
        <v>2158</v>
      </c>
      <c r="D2554" s="32" t="s">
        <v>114</v>
      </c>
      <c r="E2554" s="32" t="s">
        <v>115</v>
      </c>
      <c r="F2554" s="32" t="n">
        <v>9769946273</v>
      </c>
      <c r="G2554" s="32" t="s">
        <v>104</v>
      </c>
      <c r="H2554" s="32" t="s">
        <v>22</v>
      </c>
      <c r="I2554" s="32" t="s">
        <v>217</v>
      </c>
      <c r="J2554" s="32" t="s">
        <v>132</v>
      </c>
      <c r="K2554" s="32" t="s">
        <v>63</v>
      </c>
    </row>
    <row r="2555" customFormat="false" ht="13.5" hidden="false" customHeight="true" outlineLevel="0" collapsed="false">
      <c r="A2555" s="32" t="n">
        <v>4766</v>
      </c>
      <c r="B2555" s="32" t="s">
        <v>2159</v>
      </c>
      <c r="C2555" s="32" t="s">
        <v>2160</v>
      </c>
      <c r="D2555" s="32" t="s">
        <v>59</v>
      </c>
      <c r="E2555" s="32" t="s">
        <v>143</v>
      </c>
      <c r="F2555" s="32" t="n">
        <v>0</v>
      </c>
      <c r="G2555" s="32" t="s">
        <v>140</v>
      </c>
      <c r="H2555" s="32" t="s">
        <v>21</v>
      </c>
      <c r="I2555" s="32" t="s">
        <v>108</v>
      </c>
      <c r="J2555" s="32" t="s">
        <v>71</v>
      </c>
      <c r="K2555" s="32" t="s">
        <v>63</v>
      </c>
    </row>
    <row r="2556" customFormat="false" ht="13.5" hidden="false" customHeight="true" outlineLevel="0" collapsed="false">
      <c r="A2556" s="32" t="n">
        <v>4767</v>
      </c>
      <c r="B2556" s="32" t="s">
        <v>2159</v>
      </c>
      <c r="C2556" s="32" t="s">
        <v>2160</v>
      </c>
      <c r="D2556" s="32" t="s">
        <v>59</v>
      </c>
      <c r="E2556" s="32" t="s">
        <v>143</v>
      </c>
      <c r="F2556" s="32" t="n">
        <v>0</v>
      </c>
      <c r="G2556" s="32" t="s">
        <v>140</v>
      </c>
      <c r="H2556" s="32" t="s">
        <v>21</v>
      </c>
      <c r="I2556" s="32" t="s">
        <v>27</v>
      </c>
      <c r="J2556" s="32" t="s">
        <v>13</v>
      </c>
      <c r="K2556" s="32" t="s">
        <v>63</v>
      </c>
    </row>
    <row r="2557" customFormat="false" ht="13.5" hidden="false" customHeight="true" outlineLevel="0" collapsed="false">
      <c r="A2557" s="32" t="n">
        <v>4768</v>
      </c>
      <c r="B2557" s="32" t="s">
        <v>2159</v>
      </c>
      <c r="C2557" s="32" t="s">
        <v>2160</v>
      </c>
      <c r="D2557" s="32" t="s">
        <v>59</v>
      </c>
      <c r="E2557" s="32" t="s">
        <v>143</v>
      </c>
      <c r="F2557" s="32" t="n">
        <v>0</v>
      </c>
      <c r="G2557" s="32" t="s">
        <v>140</v>
      </c>
      <c r="H2557" s="32" t="s">
        <v>21</v>
      </c>
      <c r="I2557" s="32" t="s">
        <v>307</v>
      </c>
      <c r="J2557" s="32" t="s">
        <v>307</v>
      </c>
      <c r="K2557" s="32" t="s">
        <v>63</v>
      </c>
    </row>
    <row r="2558" customFormat="false" ht="13.5" hidden="false" customHeight="true" outlineLevel="0" collapsed="false">
      <c r="A2558" s="32" t="n">
        <v>4770</v>
      </c>
      <c r="B2558" s="32" t="s">
        <v>2159</v>
      </c>
      <c r="C2558" s="32" t="s">
        <v>2160</v>
      </c>
      <c r="D2558" s="32" t="s">
        <v>59</v>
      </c>
      <c r="E2558" s="32" t="s">
        <v>143</v>
      </c>
      <c r="F2558" s="32" t="n">
        <v>0</v>
      </c>
      <c r="G2558" s="32" t="s">
        <v>140</v>
      </c>
      <c r="H2558" s="32" t="s">
        <v>21</v>
      </c>
      <c r="I2558" s="32" t="s">
        <v>280</v>
      </c>
      <c r="J2558" s="32" t="s">
        <v>76</v>
      </c>
      <c r="K2558" s="32" t="s">
        <v>63</v>
      </c>
    </row>
    <row r="2559" customFormat="false" ht="13.5" hidden="false" customHeight="true" outlineLevel="0" collapsed="false">
      <c r="A2559" s="32" t="n">
        <v>4771</v>
      </c>
      <c r="B2559" s="32" t="s">
        <v>2161</v>
      </c>
      <c r="C2559" s="32" t="s">
        <v>2162</v>
      </c>
      <c r="D2559" s="32" t="s">
        <v>114</v>
      </c>
      <c r="E2559" s="32" t="s">
        <v>268</v>
      </c>
      <c r="F2559" s="32" t="s">
        <v>2163</v>
      </c>
      <c r="G2559" s="32" t="s">
        <v>80</v>
      </c>
      <c r="H2559" s="32" t="s">
        <v>22</v>
      </c>
      <c r="I2559" s="32" t="s">
        <v>333</v>
      </c>
      <c r="J2559" s="32" t="s">
        <v>235</v>
      </c>
      <c r="K2559" s="32" t="s">
        <v>63</v>
      </c>
    </row>
    <row r="2560" customFormat="false" ht="13.5" hidden="false" customHeight="true" outlineLevel="0" collapsed="false">
      <c r="A2560" s="32" t="n">
        <v>4772</v>
      </c>
      <c r="B2560" s="32" t="s">
        <v>2164</v>
      </c>
      <c r="C2560" s="32" t="s">
        <v>2165</v>
      </c>
      <c r="D2560" s="32" t="s">
        <v>114</v>
      </c>
      <c r="E2560" s="32" t="s">
        <v>502</v>
      </c>
      <c r="F2560" s="32" t="n">
        <v>8008277420</v>
      </c>
      <c r="G2560" s="32" t="s">
        <v>80</v>
      </c>
      <c r="H2560" s="32" t="s">
        <v>22</v>
      </c>
      <c r="I2560" s="32" t="s">
        <v>27</v>
      </c>
      <c r="J2560" s="32" t="s">
        <v>13</v>
      </c>
      <c r="K2560" s="32" t="s">
        <v>63</v>
      </c>
    </row>
    <row r="2561" customFormat="false" ht="13.5" hidden="false" customHeight="true" outlineLevel="0" collapsed="false">
      <c r="A2561" s="32" t="n">
        <v>4773</v>
      </c>
      <c r="B2561" s="32" t="s">
        <v>2164</v>
      </c>
      <c r="C2561" s="32" t="s">
        <v>2165</v>
      </c>
      <c r="D2561" s="32" t="s">
        <v>114</v>
      </c>
      <c r="E2561" s="32" t="s">
        <v>502</v>
      </c>
      <c r="F2561" s="32" t="n">
        <v>8008277420</v>
      </c>
      <c r="G2561" s="32" t="s">
        <v>80</v>
      </c>
      <c r="H2561" s="32" t="s">
        <v>22</v>
      </c>
      <c r="I2561" s="32" t="s">
        <v>151</v>
      </c>
      <c r="J2561" s="32" t="s">
        <v>152</v>
      </c>
      <c r="K2561" s="32" t="s">
        <v>63</v>
      </c>
    </row>
    <row r="2562" customFormat="false" ht="13.5" hidden="false" customHeight="true" outlineLevel="0" collapsed="false">
      <c r="A2562" s="32" t="n">
        <v>4774</v>
      </c>
      <c r="B2562" s="32" t="s">
        <v>2164</v>
      </c>
      <c r="C2562" s="32" t="s">
        <v>2165</v>
      </c>
      <c r="D2562" s="32" t="s">
        <v>114</v>
      </c>
      <c r="E2562" s="32" t="s">
        <v>502</v>
      </c>
      <c r="F2562" s="32" t="n">
        <v>8008277420</v>
      </c>
      <c r="G2562" s="32" t="s">
        <v>80</v>
      </c>
      <c r="H2562" s="32" t="s">
        <v>22</v>
      </c>
      <c r="I2562" s="32" t="s">
        <v>16</v>
      </c>
      <c r="J2562" s="32" t="s">
        <v>73</v>
      </c>
      <c r="K2562" s="32" t="s">
        <v>63</v>
      </c>
    </row>
    <row r="2563" customFormat="false" ht="13.5" hidden="false" customHeight="true" outlineLevel="0" collapsed="false">
      <c r="A2563" s="32" t="n">
        <v>4775</v>
      </c>
      <c r="B2563" s="32" t="s">
        <v>2164</v>
      </c>
      <c r="C2563" s="32" t="s">
        <v>2165</v>
      </c>
      <c r="D2563" s="32" t="s">
        <v>114</v>
      </c>
      <c r="E2563" s="32" t="s">
        <v>502</v>
      </c>
      <c r="F2563" s="32" t="n">
        <v>8008277420</v>
      </c>
      <c r="G2563" s="32" t="s">
        <v>80</v>
      </c>
      <c r="H2563" s="32" t="s">
        <v>22</v>
      </c>
      <c r="I2563" s="32" t="s">
        <v>150</v>
      </c>
      <c r="J2563" s="32" t="s">
        <v>73</v>
      </c>
      <c r="K2563" s="32" t="s">
        <v>63</v>
      </c>
    </row>
    <row r="2564" customFormat="false" ht="13.5" hidden="false" customHeight="true" outlineLevel="0" collapsed="false">
      <c r="A2564" s="32" t="n">
        <v>4776</v>
      </c>
      <c r="B2564" s="32" t="s">
        <v>2164</v>
      </c>
      <c r="C2564" s="32" t="s">
        <v>2165</v>
      </c>
      <c r="D2564" s="32" t="s">
        <v>114</v>
      </c>
      <c r="E2564" s="32" t="s">
        <v>502</v>
      </c>
      <c r="F2564" s="32" t="n">
        <v>8008277420</v>
      </c>
      <c r="G2564" s="32" t="s">
        <v>80</v>
      </c>
      <c r="H2564" s="32" t="s">
        <v>22</v>
      </c>
      <c r="I2564" s="32" t="s">
        <v>30</v>
      </c>
      <c r="J2564" s="32" t="s">
        <v>203</v>
      </c>
      <c r="K2564" s="32" t="s">
        <v>63</v>
      </c>
    </row>
    <row r="2565" customFormat="false" ht="13.5" hidden="false" customHeight="true" outlineLevel="0" collapsed="false">
      <c r="A2565" s="32" t="n">
        <v>4777</v>
      </c>
      <c r="B2565" s="32" t="s">
        <v>2164</v>
      </c>
      <c r="C2565" s="32" t="s">
        <v>2166</v>
      </c>
      <c r="D2565" s="32" t="s">
        <v>114</v>
      </c>
      <c r="E2565" s="32" t="s">
        <v>502</v>
      </c>
      <c r="F2565" s="32" t="n">
        <v>8008277420</v>
      </c>
      <c r="G2565" s="32" t="s">
        <v>80</v>
      </c>
      <c r="H2565" s="32" t="s">
        <v>22</v>
      </c>
      <c r="I2565" s="32" t="s">
        <v>14</v>
      </c>
      <c r="J2565" s="32" t="s">
        <v>66</v>
      </c>
      <c r="K2565" s="32" t="s">
        <v>63</v>
      </c>
    </row>
    <row r="2566" customFormat="false" ht="13.5" hidden="false" customHeight="true" outlineLevel="0" collapsed="false">
      <c r="A2566" s="32" t="n">
        <v>4778</v>
      </c>
      <c r="B2566" s="32" t="s">
        <v>2164</v>
      </c>
      <c r="C2566" s="32" t="s">
        <v>2166</v>
      </c>
      <c r="D2566" s="32" t="s">
        <v>114</v>
      </c>
      <c r="E2566" s="32" t="s">
        <v>502</v>
      </c>
      <c r="F2566" s="32" t="n">
        <v>8008277420</v>
      </c>
      <c r="G2566" s="32" t="s">
        <v>80</v>
      </c>
      <c r="H2566" s="32" t="s">
        <v>22</v>
      </c>
      <c r="I2566" s="32" t="s">
        <v>166</v>
      </c>
      <c r="J2566" s="32" t="s">
        <v>66</v>
      </c>
      <c r="K2566" s="32" t="s">
        <v>63</v>
      </c>
    </row>
    <row r="2567" customFormat="false" ht="13.5" hidden="false" customHeight="true" outlineLevel="0" collapsed="false">
      <c r="A2567" s="32" t="n">
        <v>4779</v>
      </c>
      <c r="B2567" s="32" t="s">
        <v>2167</v>
      </c>
      <c r="C2567" s="32" t="s">
        <v>2168</v>
      </c>
      <c r="D2567" s="32" t="s">
        <v>59</v>
      </c>
      <c r="E2567" s="32" t="s">
        <v>92</v>
      </c>
      <c r="F2567" s="32" t="n">
        <v>7795580868</v>
      </c>
      <c r="G2567" s="32" t="s">
        <v>144</v>
      </c>
      <c r="H2567" s="32" t="s">
        <v>21</v>
      </c>
      <c r="I2567" s="32" t="s">
        <v>185</v>
      </c>
      <c r="J2567" s="32" t="s">
        <v>186</v>
      </c>
      <c r="K2567" s="32" t="s">
        <v>63</v>
      </c>
    </row>
    <row r="2568" customFormat="false" ht="13.5" hidden="false" customHeight="true" outlineLevel="0" collapsed="false">
      <c r="A2568" s="32" t="n">
        <v>4780</v>
      </c>
      <c r="B2568" s="32" t="s">
        <v>2167</v>
      </c>
      <c r="C2568" s="32" t="s">
        <v>2168</v>
      </c>
      <c r="D2568" s="32" t="s">
        <v>59</v>
      </c>
      <c r="E2568" s="32" t="s">
        <v>92</v>
      </c>
      <c r="F2568" s="32" t="n">
        <v>7795580868</v>
      </c>
      <c r="G2568" s="32" t="s">
        <v>144</v>
      </c>
      <c r="H2568" s="32" t="s">
        <v>21</v>
      </c>
      <c r="I2568" s="32" t="s">
        <v>227</v>
      </c>
      <c r="J2568" s="32" t="s">
        <v>228</v>
      </c>
      <c r="K2568" s="32" t="s">
        <v>63</v>
      </c>
    </row>
    <row r="2569" customFormat="false" ht="13.5" hidden="false" customHeight="true" outlineLevel="0" collapsed="false">
      <c r="A2569" s="32" t="n">
        <v>4781</v>
      </c>
      <c r="B2569" s="32" t="s">
        <v>2169</v>
      </c>
      <c r="C2569" s="32" t="s">
        <v>2170</v>
      </c>
      <c r="D2569" s="32" t="s">
        <v>59</v>
      </c>
      <c r="E2569" s="32" t="s">
        <v>107</v>
      </c>
      <c r="F2569" s="33" t="n">
        <v>919791000000</v>
      </c>
      <c r="G2569" s="32" t="s">
        <v>61</v>
      </c>
      <c r="H2569" s="32" t="s">
        <v>21</v>
      </c>
      <c r="I2569" s="32" t="s">
        <v>27</v>
      </c>
      <c r="J2569" s="32" t="s">
        <v>13</v>
      </c>
      <c r="K2569" s="32" t="s">
        <v>63</v>
      </c>
    </row>
    <row r="2570" customFormat="false" ht="13.5" hidden="false" customHeight="true" outlineLevel="0" collapsed="false">
      <c r="A2570" s="32" t="n">
        <v>4782</v>
      </c>
      <c r="B2570" s="32" t="s">
        <v>2169</v>
      </c>
      <c r="C2570" s="32" t="s">
        <v>2170</v>
      </c>
      <c r="D2570" s="32" t="s">
        <v>59</v>
      </c>
      <c r="E2570" s="32" t="s">
        <v>107</v>
      </c>
      <c r="F2570" s="33" t="n">
        <v>919791000000</v>
      </c>
      <c r="G2570" s="32" t="s">
        <v>61</v>
      </c>
      <c r="H2570" s="32" t="s">
        <v>21</v>
      </c>
      <c r="I2570" s="32" t="s">
        <v>130</v>
      </c>
      <c r="J2570" s="32" t="s">
        <v>130</v>
      </c>
      <c r="K2570" s="32" t="s">
        <v>63</v>
      </c>
    </row>
    <row r="2571" customFormat="false" ht="13.5" hidden="false" customHeight="true" outlineLevel="0" collapsed="false">
      <c r="A2571" s="32" t="n">
        <v>4783</v>
      </c>
      <c r="B2571" s="32" t="s">
        <v>2169</v>
      </c>
      <c r="C2571" s="32" t="s">
        <v>2170</v>
      </c>
      <c r="D2571" s="32" t="s">
        <v>59</v>
      </c>
      <c r="E2571" s="32" t="s">
        <v>107</v>
      </c>
      <c r="F2571" s="33" t="n">
        <v>919791000000</v>
      </c>
      <c r="G2571" s="32" t="s">
        <v>61</v>
      </c>
      <c r="H2571" s="32" t="s">
        <v>21</v>
      </c>
      <c r="I2571" s="32" t="s">
        <v>116</v>
      </c>
      <c r="J2571" s="32" t="s">
        <v>117</v>
      </c>
      <c r="K2571" s="32" t="s">
        <v>63</v>
      </c>
    </row>
    <row r="2572" customFormat="false" ht="13.5" hidden="false" customHeight="true" outlineLevel="0" collapsed="false">
      <c r="A2572" s="32" t="n">
        <v>4784</v>
      </c>
      <c r="B2572" s="32" t="s">
        <v>2171</v>
      </c>
      <c r="C2572" s="32" t="s">
        <v>2172</v>
      </c>
      <c r="D2572" s="32" t="s">
        <v>59</v>
      </c>
      <c r="E2572" s="32" t="s">
        <v>107</v>
      </c>
      <c r="F2572" s="32" t="n">
        <v>7016028798</v>
      </c>
      <c r="G2572" s="32" t="s">
        <v>61</v>
      </c>
      <c r="H2572" s="32" t="s">
        <v>21</v>
      </c>
      <c r="I2572" s="32" t="s">
        <v>28</v>
      </c>
      <c r="J2572" s="32" t="s">
        <v>82</v>
      </c>
      <c r="K2572" s="32" t="s">
        <v>63</v>
      </c>
    </row>
    <row r="2573" customFormat="false" ht="13.5" hidden="false" customHeight="true" outlineLevel="0" collapsed="false">
      <c r="A2573" s="32" t="n">
        <v>4785</v>
      </c>
      <c r="B2573" s="32" t="s">
        <v>2173</v>
      </c>
      <c r="C2573" s="32" t="s">
        <v>2174</v>
      </c>
      <c r="D2573" s="32" t="s">
        <v>59</v>
      </c>
      <c r="E2573" s="32" t="s">
        <v>107</v>
      </c>
      <c r="F2573" s="32" t="n">
        <v>8744943184</v>
      </c>
      <c r="G2573" s="32" t="s">
        <v>144</v>
      </c>
      <c r="H2573" s="32" t="s">
        <v>21</v>
      </c>
      <c r="I2573" s="32" t="s">
        <v>284</v>
      </c>
      <c r="J2573" s="32" t="s">
        <v>117</v>
      </c>
      <c r="K2573" s="32" t="s">
        <v>63</v>
      </c>
    </row>
    <row r="2574" customFormat="false" ht="13.5" hidden="false" customHeight="true" outlineLevel="0" collapsed="false">
      <c r="A2574" s="32" t="n">
        <v>4786</v>
      </c>
      <c r="B2574" s="32" t="s">
        <v>2173</v>
      </c>
      <c r="C2574" s="32" t="s">
        <v>2174</v>
      </c>
      <c r="D2574" s="32" t="s">
        <v>59</v>
      </c>
      <c r="E2574" s="32" t="s">
        <v>107</v>
      </c>
      <c r="F2574" s="32" t="n">
        <v>8744943184</v>
      </c>
      <c r="G2574" s="32" t="s">
        <v>144</v>
      </c>
      <c r="H2574" s="32" t="s">
        <v>21</v>
      </c>
      <c r="I2574" s="32" t="s">
        <v>2175</v>
      </c>
      <c r="J2574" s="32" t="s">
        <v>85</v>
      </c>
      <c r="K2574" s="32" t="s">
        <v>63</v>
      </c>
    </row>
    <row r="2575" customFormat="false" ht="13.5" hidden="false" customHeight="true" outlineLevel="0" collapsed="false">
      <c r="A2575" s="32" t="n">
        <v>4787</v>
      </c>
      <c r="B2575" s="32" t="s">
        <v>2176</v>
      </c>
      <c r="C2575" s="32" t="s">
        <v>2177</v>
      </c>
      <c r="D2575" s="32" t="s">
        <v>59</v>
      </c>
      <c r="E2575" s="32" t="s">
        <v>143</v>
      </c>
      <c r="F2575" s="32" t="n">
        <v>8971506611</v>
      </c>
      <c r="G2575" s="32" t="s">
        <v>144</v>
      </c>
      <c r="H2575" s="32" t="s">
        <v>21</v>
      </c>
      <c r="I2575" s="32" t="s">
        <v>28</v>
      </c>
      <c r="J2575" s="32" t="s">
        <v>82</v>
      </c>
      <c r="K2575" s="32" t="s">
        <v>63</v>
      </c>
    </row>
    <row r="2576" customFormat="false" ht="13.5" hidden="false" customHeight="true" outlineLevel="0" collapsed="false">
      <c r="A2576" s="32" t="n">
        <v>4788</v>
      </c>
      <c r="B2576" s="32" t="s">
        <v>2176</v>
      </c>
      <c r="C2576" s="32" t="s">
        <v>2177</v>
      </c>
      <c r="D2576" s="32" t="s">
        <v>59</v>
      </c>
      <c r="E2576" s="32" t="s">
        <v>143</v>
      </c>
      <c r="F2576" s="32" t="n">
        <v>8971506611</v>
      </c>
      <c r="G2576" s="32" t="s">
        <v>144</v>
      </c>
      <c r="H2576" s="32" t="s">
        <v>21</v>
      </c>
      <c r="I2576" s="32" t="s">
        <v>93</v>
      </c>
      <c r="J2576" s="32" t="s">
        <v>85</v>
      </c>
      <c r="K2576" s="32" t="s">
        <v>63</v>
      </c>
    </row>
    <row r="2577" customFormat="false" ht="13.5" hidden="false" customHeight="true" outlineLevel="0" collapsed="false">
      <c r="A2577" s="32" t="n">
        <v>4789</v>
      </c>
      <c r="B2577" s="32" t="s">
        <v>2176</v>
      </c>
      <c r="C2577" s="32" t="s">
        <v>2177</v>
      </c>
      <c r="D2577" s="32" t="s">
        <v>59</v>
      </c>
      <c r="E2577" s="32" t="s">
        <v>143</v>
      </c>
      <c r="F2577" s="32" t="n">
        <v>8971506611</v>
      </c>
      <c r="G2577" s="32" t="s">
        <v>144</v>
      </c>
      <c r="H2577" s="32" t="s">
        <v>21</v>
      </c>
      <c r="I2577" s="32" t="s">
        <v>280</v>
      </c>
      <c r="J2577" s="32" t="s">
        <v>76</v>
      </c>
      <c r="K2577" s="32" t="s">
        <v>63</v>
      </c>
    </row>
    <row r="2578" customFormat="false" ht="13.5" hidden="false" customHeight="true" outlineLevel="0" collapsed="false">
      <c r="A2578" s="32" t="n">
        <v>4790</v>
      </c>
      <c r="B2578" s="32" t="s">
        <v>2178</v>
      </c>
      <c r="C2578" s="32" t="s">
        <v>2179</v>
      </c>
      <c r="D2578" s="32" t="s">
        <v>59</v>
      </c>
      <c r="E2578" s="32" t="s">
        <v>107</v>
      </c>
      <c r="F2578" s="33" t="n">
        <v>917736000000</v>
      </c>
      <c r="G2578" s="32" t="s">
        <v>61</v>
      </c>
      <c r="H2578" s="32" t="s">
        <v>21</v>
      </c>
      <c r="I2578" s="32" t="s">
        <v>27</v>
      </c>
      <c r="J2578" s="32" t="s">
        <v>13</v>
      </c>
      <c r="K2578" s="32" t="s">
        <v>63</v>
      </c>
    </row>
    <row r="2579" customFormat="false" ht="13.5" hidden="false" customHeight="true" outlineLevel="0" collapsed="false">
      <c r="A2579" s="32" t="n">
        <v>4791</v>
      </c>
      <c r="B2579" s="32" t="s">
        <v>2178</v>
      </c>
      <c r="C2579" s="32" t="s">
        <v>2179</v>
      </c>
      <c r="D2579" s="32" t="s">
        <v>59</v>
      </c>
      <c r="E2579" s="32" t="s">
        <v>107</v>
      </c>
      <c r="F2579" s="33" t="n">
        <v>917736000000</v>
      </c>
      <c r="G2579" s="32" t="s">
        <v>61</v>
      </c>
      <c r="H2579" s="32" t="s">
        <v>21</v>
      </c>
      <c r="I2579" s="32" t="s">
        <v>151</v>
      </c>
      <c r="J2579" s="32" t="s">
        <v>152</v>
      </c>
      <c r="K2579" s="32" t="s">
        <v>63</v>
      </c>
    </row>
    <row r="2580" customFormat="false" ht="13.5" hidden="false" customHeight="true" outlineLevel="0" collapsed="false">
      <c r="A2580" s="32" t="n">
        <v>4792</v>
      </c>
      <c r="B2580" s="32" t="s">
        <v>2178</v>
      </c>
      <c r="C2580" s="32" t="s">
        <v>2179</v>
      </c>
      <c r="D2580" s="32" t="s">
        <v>59</v>
      </c>
      <c r="E2580" s="32" t="s">
        <v>107</v>
      </c>
      <c r="F2580" s="33" t="n">
        <v>917736000000</v>
      </c>
      <c r="G2580" s="32" t="s">
        <v>61</v>
      </c>
      <c r="H2580" s="32" t="s">
        <v>21</v>
      </c>
      <c r="I2580" s="32" t="s">
        <v>146</v>
      </c>
      <c r="J2580" s="32" t="s">
        <v>117</v>
      </c>
      <c r="K2580" s="32" t="s">
        <v>63</v>
      </c>
    </row>
    <row r="2581" customFormat="false" ht="13.5" hidden="false" customHeight="true" outlineLevel="0" collapsed="false">
      <c r="A2581" s="32" t="n">
        <v>4793</v>
      </c>
      <c r="B2581" s="32" t="s">
        <v>2180</v>
      </c>
      <c r="C2581" s="32" t="s">
        <v>2181</v>
      </c>
      <c r="D2581" s="32" t="s">
        <v>114</v>
      </c>
      <c r="E2581" s="32" t="s">
        <v>165</v>
      </c>
      <c r="F2581" s="32" t="n">
        <v>9940660246</v>
      </c>
      <c r="G2581" s="32" t="s">
        <v>0</v>
      </c>
      <c r="H2581" s="32" t="s">
        <v>22</v>
      </c>
      <c r="I2581" s="32" t="s">
        <v>1242</v>
      </c>
      <c r="J2581" s="32" t="s">
        <v>62</v>
      </c>
      <c r="K2581" s="32" t="s">
        <v>63</v>
      </c>
    </row>
    <row r="2582" customFormat="false" ht="13.5" hidden="false" customHeight="true" outlineLevel="0" collapsed="false">
      <c r="A2582" s="32" t="n">
        <v>4794</v>
      </c>
      <c r="B2582" s="32" t="s">
        <v>2182</v>
      </c>
      <c r="C2582" s="32" t="s">
        <v>2183</v>
      </c>
      <c r="D2582" s="32" t="s">
        <v>114</v>
      </c>
      <c r="E2582" s="32" t="s">
        <v>165</v>
      </c>
      <c r="F2582" s="32" t="n">
        <v>9940660246</v>
      </c>
      <c r="G2582" s="32" t="s">
        <v>0</v>
      </c>
      <c r="H2582" s="32" t="s">
        <v>22</v>
      </c>
      <c r="I2582" s="32" t="s">
        <v>245</v>
      </c>
      <c r="J2582" s="32" t="s">
        <v>71</v>
      </c>
      <c r="K2582" s="32" t="s">
        <v>63</v>
      </c>
    </row>
    <row r="2583" customFormat="false" ht="13.5" hidden="false" customHeight="true" outlineLevel="0" collapsed="false">
      <c r="A2583" s="32" t="n">
        <v>4795</v>
      </c>
      <c r="B2583" s="32" t="s">
        <v>2180</v>
      </c>
      <c r="C2583" s="32" t="s">
        <v>2181</v>
      </c>
      <c r="D2583" s="32" t="s">
        <v>114</v>
      </c>
      <c r="E2583" s="32" t="s">
        <v>165</v>
      </c>
      <c r="F2583" s="32" t="n">
        <v>9940660246</v>
      </c>
      <c r="G2583" s="32" t="s">
        <v>0</v>
      </c>
      <c r="H2583" s="32" t="s">
        <v>22</v>
      </c>
      <c r="I2583" s="32" t="s">
        <v>28</v>
      </c>
      <c r="J2583" s="32" t="s">
        <v>82</v>
      </c>
      <c r="K2583" s="32" t="s">
        <v>63</v>
      </c>
    </row>
    <row r="2584" customFormat="false" ht="13.5" hidden="false" customHeight="true" outlineLevel="0" collapsed="false">
      <c r="A2584" s="32" t="n">
        <v>4796</v>
      </c>
      <c r="B2584" s="32" t="s">
        <v>2180</v>
      </c>
      <c r="C2584" s="32" t="s">
        <v>2181</v>
      </c>
      <c r="D2584" s="32" t="s">
        <v>114</v>
      </c>
      <c r="E2584" s="32" t="s">
        <v>165</v>
      </c>
      <c r="F2584" s="32" t="n">
        <v>9940660246</v>
      </c>
      <c r="G2584" s="32" t="s">
        <v>0</v>
      </c>
      <c r="H2584" s="32" t="s">
        <v>22</v>
      </c>
      <c r="I2584" s="32" t="s">
        <v>30</v>
      </c>
      <c r="J2584" s="32" t="s">
        <v>203</v>
      </c>
      <c r="K2584" s="32" t="s">
        <v>63</v>
      </c>
    </row>
    <row r="2585" customFormat="false" ht="13.5" hidden="false" customHeight="true" outlineLevel="0" collapsed="false">
      <c r="A2585" s="32" t="n">
        <v>4797</v>
      </c>
      <c r="B2585" s="32" t="s">
        <v>2184</v>
      </c>
      <c r="C2585" s="32" t="s">
        <v>2185</v>
      </c>
      <c r="D2585" s="32" t="s">
        <v>59</v>
      </c>
      <c r="E2585" s="32" t="s">
        <v>79</v>
      </c>
      <c r="F2585" s="33" t="n">
        <v>918375000000</v>
      </c>
      <c r="G2585" s="32" t="s">
        <v>80</v>
      </c>
      <c r="H2585" s="32" t="s">
        <v>21</v>
      </c>
      <c r="I2585" s="32" t="s">
        <v>1187</v>
      </c>
      <c r="J2585" s="32" t="s">
        <v>71</v>
      </c>
      <c r="K2585" s="32" t="s">
        <v>63</v>
      </c>
    </row>
    <row r="2586" customFormat="false" ht="13.5" hidden="false" customHeight="true" outlineLevel="0" collapsed="false">
      <c r="A2586" s="32" t="n">
        <v>4798</v>
      </c>
      <c r="B2586" s="32" t="s">
        <v>2184</v>
      </c>
      <c r="C2586" s="32" t="s">
        <v>2185</v>
      </c>
      <c r="D2586" s="32" t="s">
        <v>59</v>
      </c>
      <c r="E2586" s="32" t="s">
        <v>79</v>
      </c>
      <c r="F2586" s="33" t="n">
        <v>918375000000</v>
      </c>
      <c r="G2586" s="32" t="s">
        <v>80</v>
      </c>
      <c r="H2586" s="32" t="s">
        <v>21</v>
      </c>
      <c r="I2586" s="32" t="s">
        <v>172</v>
      </c>
      <c r="J2586" s="32" t="s">
        <v>152</v>
      </c>
      <c r="K2586" s="32" t="s">
        <v>63</v>
      </c>
    </row>
    <row r="2587" customFormat="false" ht="13.5" hidden="false" customHeight="true" outlineLevel="0" collapsed="false">
      <c r="A2587" s="32" t="n">
        <v>4800</v>
      </c>
      <c r="B2587" s="32" t="s">
        <v>2186</v>
      </c>
      <c r="C2587" s="32" t="s">
        <v>2187</v>
      </c>
      <c r="D2587" s="32" t="s">
        <v>59</v>
      </c>
      <c r="E2587" s="32" t="s">
        <v>143</v>
      </c>
      <c r="F2587" s="32" t="n">
        <v>8377916816</v>
      </c>
      <c r="G2587" s="32" t="s">
        <v>144</v>
      </c>
      <c r="H2587" s="32" t="s">
        <v>21</v>
      </c>
      <c r="I2587" s="32" t="s">
        <v>386</v>
      </c>
      <c r="J2587" s="32" t="s">
        <v>132</v>
      </c>
      <c r="K2587" s="32" t="s">
        <v>63</v>
      </c>
    </row>
    <row r="2588" customFormat="false" ht="13.5" hidden="false" customHeight="true" outlineLevel="0" collapsed="false">
      <c r="A2588" s="32" t="n">
        <v>4801</v>
      </c>
      <c r="B2588" s="32" t="s">
        <v>2186</v>
      </c>
      <c r="C2588" s="32" t="s">
        <v>2187</v>
      </c>
      <c r="D2588" s="32" t="s">
        <v>59</v>
      </c>
      <c r="E2588" s="32" t="s">
        <v>143</v>
      </c>
      <c r="F2588" s="32" t="n">
        <v>8377916816</v>
      </c>
      <c r="G2588" s="32" t="s">
        <v>144</v>
      </c>
      <c r="H2588" s="32" t="s">
        <v>21</v>
      </c>
      <c r="I2588" s="32" t="s">
        <v>728</v>
      </c>
      <c r="J2588" s="32" t="s">
        <v>132</v>
      </c>
      <c r="K2588" s="32" t="s">
        <v>63</v>
      </c>
    </row>
    <row r="2589" customFormat="false" ht="13.5" hidden="false" customHeight="true" outlineLevel="0" collapsed="false">
      <c r="A2589" s="32" t="n">
        <v>4802</v>
      </c>
      <c r="B2589" s="32" t="s">
        <v>2188</v>
      </c>
      <c r="C2589" s="32" t="s">
        <v>2189</v>
      </c>
      <c r="D2589" s="32" t="s">
        <v>59</v>
      </c>
      <c r="E2589" s="32" t="s">
        <v>143</v>
      </c>
      <c r="F2589" s="32" t="n">
        <v>8080201021</v>
      </c>
      <c r="G2589" s="32" t="s">
        <v>104</v>
      </c>
      <c r="H2589" s="32" t="s">
        <v>21</v>
      </c>
      <c r="I2589" s="32" t="s">
        <v>30</v>
      </c>
      <c r="J2589" s="32" t="s">
        <v>203</v>
      </c>
      <c r="K2589" s="32" t="s">
        <v>63</v>
      </c>
    </row>
    <row r="2590" customFormat="false" ht="13.5" hidden="false" customHeight="true" outlineLevel="0" collapsed="false">
      <c r="A2590" s="32" t="n">
        <v>4803</v>
      </c>
      <c r="B2590" s="32" t="s">
        <v>2188</v>
      </c>
      <c r="C2590" s="32" t="s">
        <v>2189</v>
      </c>
      <c r="D2590" s="32" t="s">
        <v>59</v>
      </c>
      <c r="E2590" s="32" t="s">
        <v>143</v>
      </c>
      <c r="F2590" s="32" t="n">
        <v>8080201021</v>
      </c>
      <c r="G2590" s="32" t="s">
        <v>104</v>
      </c>
      <c r="H2590" s="32" t="s">
        <v>21</v>
      </c>
      <c r="I2590" s="32" t="s">
        <v>151</v>
      </c>
      <c r="J2590" s="32" t="s">
        <v>152</v>
      </c>
      <c r="K2590" s="32" t="s">
        <v>63</v>
      </c>
    </row>
    <row r="2591" customFormat="false" ht="13.5" hidden="false" customHeight="true" outlineLevel="0" collapsed="false">
      <c r="A2591" s="32" t="n">
        <v>4804</v>
      </c>
      <c r="B2591" s="32" t="s">
        <v>2188</v>
      </c>
      <c r="C2591" s="32" t="s">
        <v>2189</v>
      </c>
      <c r="D2591" s="32" t="s">
        <v>59</v>
      </c>
      <c r="E2591" s="32" t="s">
        <v>143</v>
      </c>
      <c r="F2591" s="32" t="n">
        <v>8080201021</v>
      </c>
      <c r="G2591" s="32" t="s">
        <v>104</v>
      </c>
      <c r="H2591" s="32" t="s">
        <v>21</v>
      </c>
      <c r="I2591" s="32" t="s">
        <v>2190</v>
      </c>
      <c r="J2591" s="32" t="s">
        <v>89</v>
      </c>
      <c r="K2591" s="32" t="s">
        <v>63</v>
      </c>
    </row>
    <row r="2592" customFormat="false" ht="13.5" hidden="false" customHeight="true" outlineLevel="0" collapsed="false">
      <c r="A2592" s="32" t="n">
        <v>4805</v>
      </c>
      <c r="B2592" s="32" t="s">
        <v>2191</v>
      </c>
      <c r="C2592" s="32" t="s">
        <v>2192</v>
      </c>
      <c r="D2592" s="32" t="s">
        <v>331</v>
      </c>
      <c r="E2592" s="32" t="s">
        <v>278</v>
      </c>
      <c r="F2592" s="32" t="n">
        <v>8820323763</v>
      </c>
      <c r="G2592" s="32" t="s">
        <v>61</v>
      </c>
      <c r="H2592" s="32" t="s">
        <v>332</v>
      </c>
      <c r="I2592" s="32" t="s">
        <v>93</v>
      </c>
      <c r="J2592" s="32" t="s">
        <v>85</v>
      </c>
      <c r="K2592" s="32" t="s">
        <v>63</v>
      </c>
    </row>
    <row r="2593" customFormat="false" ht="13.5" hidden="false" customHeight="true" outlineLevel="0" collapsed="false">
      <c r="A2593" s="32" t="n">
        <v>4806</v>
      </c>
      <c r="B2593" s="32" t="s">
        <v>2191</v>
      </c>
      <c r="C2593" s="32" t="s">
        <v>2192</v>
      </c>
      <c r="D2593" s="32" t="s">
        <v>331</v>
      </c>
      <c r="E2593" s="32" t="s">
        <v>278</v>
      </c>
      <c r="F2593" s="32" t="n">
        <v>8820323763</v>
      </c>
      <c r="G2593" s="32" t="s">
        <v>61</v>
      </c>
      <c r="H2593" s="32" t="s">
        <v>332</v>
      </c>
      <c r="I2593" s="32" t="s">
        <v>16</v>
      </c>
      <c r="J2593" s="32" t="s">
        <v>73</v>
      </c>
      <c r="K2593" s="32" t="s">
        <v>63</v>
      </c>
    </row>
    <row r="2594" customFormat="false" ht="13.5" hidden="false" customHeight="true" outlineLevel="0" collapsed="false">
      <c r="A2594" s="32" t="n">
        <v>4808</v>
      </c>
      <c r="B2594" s="32" t="s">
        <v>2191</v>
      </c>
      <c r="C2594" s="32" t="s">
        <v>2192</v>
      </c>
      <c r="D2594" s="32" t="s">
        <v>331</v>
      </c>
      <c r="E2594" s="32" t="s">
        <v>278</v>
      </c>
      <c r="F2594" s="32" t="n">
        <v>8820323763</v>
      </c>
      <c r="G2594" s="32" t="s">
        <v>61</v>
      </c>
      <c r="H2594" s="32" t="s">
        <v>332</v>
      </c>
      <c r="I2594" s="32" t="s">
        <v>133</v>
      </c>
      <c r="J2594" s="32" t="s">
        <v>134</v>
      </c>
      <c r="K2594" s="32" t="s">
        <v>63</v>
      </c>
    </row>
    <row r="2595" customFormat="false" ht="13.5" hidden="false" customHeight="true" outlineLevel="0" collapsed="false">
      <c r="A2595" s="32" t="n">
        <v>4809</v>
      </c>
      <c r="B2595" s="32" t="s">
        <v>2191</v>
      </c>
      <c r="C2595" s="32" t="s">
        <v>2193</v>
      </c>
      <c r="D2595" s="32" t="s">
        <v>331</v>
      </c>
      <c r="E2595" s="32" t="s">
        <v>278</v>
      </c>
      <c r="F2595" s="32" t="n">
        <v>8820323763</v>
      </c>
      <c r="G2595" s="32" t="s">
        <v>61</v>
      </c>
      <c r="H2595" s="32" t="s">
        <v>332</v>
      </c>
      <c r="I2595" s="32" t="s">
        <v>325</v>
      </c>
      <c r="J2595" s="32" t="s">
        <v>326</v>
      </c>
      <c r="K2595" s="32" t="s">
        <v>63</v>
      </c>
    </row>
    <row r="2596" customFormat="false" ht="13.5" hidden="false" customHeight="true" outlineLevel="0" collapsed="false">
      <c r="A2596" s="32" t="n">
        <v>4810</v>
      </c>
      <c r="B2596" s="32" t="s">
        <v>2191</v>
      </c>
      <c r="C2596" s="32" t="s">
        <v>2193</v>
      </c>
      <c r="D2596" s="32" t="s">
        <v>331</v>
      </c>
      <c r="E2596" s="32" t="s">
        <v>278</v>
      </c>
      <c r="F2596" s="32" t="n">
        <v>8820323763</v>
      </c>
      <c r="G2596" s="32" t="s">
        <v>61</v>
      </c>
      <c r="H2596" s="32" t="s">
        <v>332</v>
      </c>
      <c r="I2596" s="32" t="s">
        <v>221</v>
      </c>
      <c r="J2596" s="32" t="s">
        <v>222</v>
      </c>
      <c r="K2596" s="32" t="s">
        <v>63</v>
      </c>
    </row>
    <row r="2597" customFormat="false" ht="13.5" hidden="false" customHeight="true" outlineLevel="0" collapsed="false">
      <c r="A2597" s="32" t="n">
        <v>4811</v>
      </c>
      <c r="B2597" s="32" t="s">
        <v>2191</v>
      </c>
      <c r="C2597" s="32" t="s">
        <v>2193</v>
      </c>
      <c r="D2597" s="32" t="s">
        <v>331</v>
      </c>
      <c r="E2597" s="32" t="s">
        <v>278</v>
      </c>
      <c r="F2597" s="32" t="n">
        <v>8820323763</v>
      </c>
      <c r="G2597" s="32" t="s">
        <v>61</v>
      </c>
      <c r="H2597" s="32" t="s">
        <v>332</v>
      </c>
      <c r="I2597" s="32" t="s">
        <v>223</v>
      </c>
      <c r="J2597" s="32" t="s">
        <v>224</v>
      </c>
      <c r="K2597" s="32" t="s">
        <v>63</v>
      </c>
    </row>
    <row r="2598" customFormat="false" ht="13.5" hidden="false" customHeight="true" outlineLevel="0" collapsed="false">
      <c r="A2598" s="32" t="n">
        <v>4812</v>
      </c>
      <c r="B2598" s="32" t="s">
        <v>2191</v>
      </c>
      <c r="C2598" s="32" t="s">
        <v>2192</v>
      </c>
      <c r="D2598" s="32" t="s">
        <v>331</v>
      </c>
      <c r="E2598" s="32" t="s">
        <v>278</v>
      </c>
      <c r="F2598" s="32" t="n">
        <v>8820323763</v>
      </c>
      <c r="G2598" s="32" t="s">
        <v>61</v>
      </c>
      <c r="H2598" s="32" t="s">
        <v>332</v>
      </c>
      <c r="I2598" s="32" t="s">
        <v>30</v>
      </c>
      <c r="J2598" s="32" t="s">
        <v>203</v>
      </c>
      <c r="K2598" s="32" t="s">
        <v>63</v>
      </c>
    </row>
    <row r="2599" customFormat="false" ht="13.5" hidden="false" customHeight="true" outlineLevel="0" collapsed="false">
      <c r="A2599" s="32" t="n">
        <v>4813</v>
      </c>
      <c r="B2599" s="32" t="s">
        <v>2191</v>
      </c>
      <c r="C2599" s="32" t="s">
        <v>2193</v>
      </c>
      <c r="D2599" s="32" t="s">
        <v>331</v>
      </c>
      <c r="E2599" s="32" t="s">
        <v>278</v>
      </c>
      <c r="F2599" s="32" t="n">
        <v>8820323763</v>
      </c>
      <c r="G2599" s="32" t="s">
        <v>61</v>
      </c>
      <c r="H2599" s="32" t="s">
        <v>332</v>
      </c>
      <c r="I2599" s="32" t="s">
        <v>516</v>
      </c>
      <c r="J2599" s="32" t="s">
        <v>66</v>
      </c>
      <c r="K2599" s="32" t="s">
        <v>63</v>
      </c>
    </row>
    <row r="2600" customFormat="false" ht="13.5" hidden="false" customHeight="true" outlineLevel="0" collapsed="false">
      <c r="A2600" s="32" t="n">
        <v>4814</v>
      </c>
      <c r="B2600" s="32" t="s">
        <v>2191</v>
      </c>
      <c r="C2600" s="32" t="s">
        <v>2193</v>
      </c>
      <c r="D2600" s="32" t="s">
        <v>331</v>
      </c>
      <c r="E2600" s="32" t="s">
        <v>278</v>
      </c>
      <c r="F2600" s="32" t="n">
        <v>8820323763</v>
      </c>
      <c r="G2600" s="32" t="s">
        <v>61</v>
      </c>
      <c r="H2600" s="32" t="s">
        <v>332</v>
      </c>
      <c r="I2600" s="32" t="s">
        <v>137</v>
      </c>
      <c r="J2600" s="32" t="s">
        <v>13</v>
      </c>
      <c r="K2600" s="32" t="s">
        <v>63</v>
      </c>
    </row>
    <row r="2601" customFormat="false" ht="13.5" hidden="false" customHeight="true" outlineLevel="0" collapsed="false">
      <c r="A2601" s="32" t="n">
        <v>4815</v>
      </c>
      <c r="B2601" s="32" t="s">
        <v>2191</v>
      </c>
      <c r="C2601" s="32" t="s">
        <v>2193</v>
      </c>
      <c r="D2601" s="32" t="s">
        <v>331</v>
      </c>
      <c r="E2601" s="32" t="s">
        <v>278</v>
      </c>
      <c r="F2601" s="32" t="n">
        <v>8820323763</v>
      </c>
      <c r="G2601" s="32" t="s">
        <v>61</v>
      </c>
      <c r="H2601" s="32" t="s">
        <v>332</v>
      </c>
      <c r="I2601" s="32" t="s">
        <v>14</v>
      </c>
      <c r="J2601" s="32" t="s">
        <v>66</v>
      </c>
      <c r="K2601" s="32" t="s">
        <v>63</v>
      </c>
    </row>
    <row r="2602" customFormat="false" ht="13.5" hidden="false" customHeight="true" outlineLevel="0" collapsed="false">
      <c r="A2602" s="32" t="n">
        <v>4816</v>
      </c>
      <c r="B2602" s="32" t="s">
        <v>2194</v>
      </c>
      <c r="C2602" s="32" t="s">
        <v>2195</v>
      </c>
      <c r="D2602" s="32" t="s">
        <v>59</v>
      </c>
      <c r="E2602" s="32" t="s">
        <v>107</v>
      </c>
      <c r="F2602" s="32" t="n">
        <v>9137465469</v>
      </c>
      <c r="G2602" s="32" t="s">
        <v>104</v>
      </c>
      <c r="H2602" s="32" t="s">
        <v>21</v>
      </c>
      <c r="I2602" s="32" t="s">
        <v>121</v>
      </c>
      <c r="J2602" s="32" t="s">
        <v>110</v>
      </c>
      <c r="K2602" s="32" t="s">
        <v>63</v>
      </c>
    </row>
    <row r="2603" customFormat="false" ht="13.5" hidden="false" customHeight="true" outlineLevel="0" collapsed="false">
      <c r="A2603" s="32" t="n">
        <v>4817</v>
      </c>
      <c r="B2603" s="32" t="s">
        <v>2194</v>
      </c>
      <c r="C2603" s="32" t="s">
        <v>2195</v>
      </c>
      <c r="D2603" s="32" t="s">
        <v>59</v>
      </c>
      <c r="E2603" s="32" t="s">
        <v>107</v>
      </c>
      <c r="F2603" s="32" t="n">
        <v>9137465469</v>
      </c>
      <c r="G2603" s="32" t="s">
        <v>104</v>
      </c>
      <c r="H2603" s="32" t="s">
        <v>21</v>
      </c>
      <c r="I2603" s="32" t="s">
        <v>145</v>
      </c>
      <c r="J2603" s="32" t="s">
        <v>117</v>
      </c>
      <c r="K2603" s="32" t="s">
        <v>63</v>
      </c>
    </row>
    <row r="2604" customFormat="false" ht="13.5" hidden="false" customHeight="true" outlineLevel="0" collapsed="false">
      <c r="A2604" s="32" t="n">
        <v>4818</v>
      </c>
      <c r="B2604" s="32" t="s">
        <v>2196</v>
      </c>
      <c r="C2604" s="32" t="s">
        <v>2197</v>
      </c>
      <c r="D2604" s="32" t="s">
        <v>114</v>
      </c>
      <c r="E2604" s="32" t="s">
        <v>124</v>
      </c>
      <c r="F2604" s="32" t="n">
        <v>8961295468</v>
      </c>
      <c r="G2604" s="32" t="s">
        <v>140</v>
      </c>
      <c r="H2604" s="32" t="s">
        <v>22</v>
      </c>
      <c r="I2604" s="32" t="s">
        <v>150</v>
      </c>
      <c r="J2604" s="32" t="s">
        <v>73</v>
      </c>
      <c r="K2604" s="32" t="s">
        <v>63</v>
      </c>
    </row>
    <row r="2605" customFormat="false" ht="13.5" hidden="false" customHeight="true" outlineLevel="0" collapsed="false">
      <c r="A2605" s="32" t="n">
        <v>4819</v>
      </c>
      <c r="B2605" s="32" t="s">
        <v>2196</v>
      </c>
      <c r="C2605" s="32" t="s">
        <v>2197</v>
      </c>
      <c r="D2605" s="32" t="s">
        <v>114</v>
      </c>
      <c r="E2605" s="32" t="s">
        <v>124</v>
      </c>
      <c r="F2605" s="32" t="n">
        <v>8961295468</v>
      </c>
      <c r="G2605" s="32" t="s">
        <v>140</v>
      </c>
      <c r="H2605" s="32" t="s">
        <v>22</v>
      </c>
      <c r="I2605" s="32" t="s">
        <v>212</v>
      </c>
      <c r="J2605" s="32" t="s">
        <v>73</v>
      </c>
      <c r="K2605" s="32" t="s">
        <v>63</v>
      </c>
    </row>
    <row r="2606" customFormat="false" ht="13.5" hidden="false" customHeight="true" outlineLevel="0" collapsed="false">
      <c r="A2606" s="32" t="n">
        <v>4820</v>
      </c>
      <c r="B2606" s="32" t="s">
        <v>2196</v>
      </c>
      <c r="C2606" s="32" t="s">
        <v>2197</v>
      </c>
      <c r="D2606" s="32" t="s">
        <v>114</v>
      </c>
      <c r="E2606" s="32" t="s">
        <v>124</v>
      </c>
      <c r="F2606" s="32" t="n">
        <v>8961295468</v>
      </c>
      <c r="G2606" s="32" t="s">
        <v>140</v>
      </c>
      <c r="H2606" s="32" t="s">
        <v>22</v>
      </c>
      <c r="I2606" s="32" t="s">
        <v>2198</v>
      </c>
      <c r="J2606" s="32" t="s">
        <v>89</v>
      </c>
      <c r="K2606" s="32" t="s">
        <v>63</v>
      </c>
    </row>
    <row r="2607" customFormat="false" ht="13.5" hidden="false" customHeight="true" outlineLevel="0" collapsed="false">
      <c r="A2607" s="32" t="n">
        <v>4821</v>
      </c>
      <c r="B2607" s="32" t="s">
        <v>2196</v>
      </c>
      <c r="C2607" s="32" t="s">
        <v>2197</v>
      </c>
      <c r="D2607" s="32" t="s">
        <v>114</v>
      </c>
      <c r="E2607" s="32" t="s">
        <v>124</v>
      </c>
      <c r="F2607" s="32" t="n">
        <v>8961295468</v>
      </c>
      <c r="G2607" s="32" t="s">
        <v>140</v>
      </c>
      <c r="H2607" s="32" t="s">
        <v>22</v>
      </c>
      <c r="I2607" s="32" t="s">
        <v>387</v>
      </c>
      <c r="J2607" s="32" t="s">
        <v>388</v>
      </c>
      <c r="K2607" s="32" t="s">
        <v>63</v>
      </c>
    </row>
    <row r="2608" customFormat="false" ht="13.5" hidden="false" customHeight="true" outlineLevel="0" collapsed="false">
      <c r="A2608" s="32" t="n">
        <v>4822</v>
      </c>
      <c r="B2608" s="32" t="s">
        <v>2196</v>
      </c>
      <c r="C2608" s="32" t="s">
        <v>2197</v>
      </c>
      <c r="D2608" s="32" t="s">
        <v>114</v>
      </c>
      <c r="E2608" s="32" t="s">
        <v>124</v>
      </c>
      <c r="F2608" s="32" t="n">
        <v>8961295468</v>
      </c>
      <c r="G2608" s="32" t="s">
        <v>140</v>
      </c>
      <c r="H2608" s="32" t="s">
        <v>22</v>
      </c>
      <c r="I2608" s="32" t="s">
        <v>325</v>
      </c>
      <c r="J2608" s="32" t="s">
        <v>326</v>
      </c>
      <c r="K2608" s="32" t="s">
        <v>63</v>
      </c>
    </row>
    <row r="2609" customFormat="false" ht="13.5" hidden="false" customHeight="true" outlineLevel="0" collapsed="false">
      <c r="A2609" s="32" t="n">
        <v>4823</v>
      </c>
      <c r="B2609" s="32" t="s">
        <v>2196</v>
      </c>
      <c r="C2609" s="32" t="s">
        <v>2197</v>
      </c>
      <c r="D2609" s="32" t="s">
        <v>114</v>
      </c>
      <c r="E2609" s="32" t="s">
        <v>124</v>
      </c>
      <c r="F2609" s="32" t="n">
        <v>8961295468</v>
      </c>
      <c r="G2609" s="32" t="s">
        <v>140</v>
      </c>
      <c r="H2609" s="32" t="s">
        <v>22</v>
      </c>
      <c r="I2609" s="32" t="s">
        <v>14</v>
      </c>
      <c r="J2609" s="32" t="s">
        <v>66</v>
      </c>
      <c r="K2609" s="32" t="s">
        <v>63</v>
      </c>
    </row>
    <row r="2610" customFormat="false" ht="13.5" hidden="false" customHeight="true" outlineLevel="0" collapsed="false">
      <c r="A2610" s="32" t="n">
        <v>4824</v>
      </c>
      <c r="B2610" s="32" t="s">
        <v>2196</v>
      </c>
      <c r="C2610" s="32" t="s">
        <v>2197</v>
      </c>
      <c r="D2610" s="32" t="s">
        <v>114</v>
      </c>
      <c r="E2610" s="32" t="s">
        <v>124</v>
      </c>
      <c r="F2610" s="32" t="n">
        <v>8961295468</v>
      </c>
      <c r="G2610" s="32" t="s">
        <v>140</v>
      </c>
      <c r="H2610" s="32" t="s">
        <v>22</v>
      </c>
      <c r="I2610" s="32" t="s">
        <v>669</v>
      </c>
      <c r="J2610" s="32" t="s">
        <v>388</v>
      </c>
      <c r="K2610" s="32" t="s">
        <v>63</v>
      </c>
    </row>
    <row r="2611" customFormat="false" ht="13.5" hidden="false" customHeight="true" outlineLevel="0" collapsed="false">
      <c r="A2611" s="32" t="n">
        <v>4825</v>
      </c>
      <c r="B2611" s="32" t="s">
        <v>2196</v>
      </c>
      <c r="C2611" s="32" t="s">
        <v>2197</v>
      </c>
      <c r="D2611" s="32" t="s">
        <v>114</v>
      </c>
      <c r="E2611" s="32" t="s">
        <v>124</v>
      </c>
      <c r="F2611" s="32" t="n">
        <v>8961295468</v>
      </c>
      <c r="G2611" s="32" t="s">
        <v>140</v>
      </c>
      <c r="H2611" s="32" t="s">
        <v>22</v>
      </c>
      <c r="I2611" s="32" t="s">
        <v>150</v>
      </c>
      <c r="J2611" s="32" t="s">
        <v>73</v>
      </c>
      <c r="K2611" s="32" t="s">
        <v>63</v>
      </c>
    </row>
    <row r="2612" customFormat="false" ht="13.5" hidden="false" customHeight="true" outlineLevel="0" collapsed="false">
      <c r="A2612" s="32" t="n">
        <v>4826</v>
      </c>
      <c r="B2612" s="32" t="s">
        <v>2196</v>
      </c>
      <c r="C2612" s="32" t="s">
        <v>2197</v>
      </c>
      <c r="D2612" s="32" t="s">
        <v>114</v>
      </c>
      <c r="E2612" s="32" t="s">
        <v>124</v>
      </c>
      <c r="F2612" s="32" t="n">
        <v>8961295468</v>
      </c>
      <c r="G2612" s="32" t="s">
        <v>140</v>
      </c>
      <c r="H2612" s="32" t="s">
        <v>22</v>
      </c>
      <c r="I2612" s="32" t="s">
        <v>212</v>
      </c>
      <c r="J2612" s="32" t="s">
        <v>73</v>
      </c>
      <c r="K2612" s="32" t="s">
        <v>63</v>
      </c>
    </row>
    <row r="2613" customFormat="false" ht="13.5" hidden="false" customHeight="true" outlineLevel="0" collapsed="false">
      <c r="A2613" s="32" t="n">
        <v>4827</v>
      </c>
      <c r="B2613" s="32" t="s">
        <v>2199</v>
      </c>
      <c r="C2613" s="32" t="s">
        <v>2200</v>
      </c>
      <c r="D2613" s="32" t="s">
        <v>114</v>
      </c>
      <c r="E2613" s="32" t="s">
        <v>268</v>
      </c>
      <c r="F2613" s="32" t="n">
        <v>9831727893</v>
      </c>
      <c r="G2613" s="32" t="s">
        <v>61</v>
      </c>
      <c r="H2613" s="32" t="s">
        <v>22</v>
      </c>
      <c r="I2613" s="32" t="s">
        <v>93</v>
      </c>
      <c r="J2613" s="32" t="s">
        <v>85</v>
      </c>
      <c r="K2613" s="32" t="s">
        <v>63</v>
      </c>
    </row>
    <row r="2614" customFormat="false" ht="13.5" hidden="false" customHeight="true" outlineLevel="0" collapsed="false">
      <c r="A2614" s="32" t="n">
        <v>4828</v>
      </c>
      <c r="B2614" s="32" t="s">
        <v>2199</v>
      </c>
      <c r="C2614" s="32" t="s">
        <v>2201</v>
      </c>
      <c r="D2614" s="32" t="s">
        <v>114</v>
      </c>
      <c r="E2614" s="32" t="s">
        <v>268</v>
      </c>
      <c r="F2614" s="32" t="n">
        <v>9831727893</v>
      </c>
      <c r="G2614" s="32" t="s">
        <v>61</v>
      </c>
      <c r="H2614" s="32" t="s">
        <v>22</v>
      </c>
      <c r="I2614" s="32" t="s">
        <v>14</v>
      </c>
      <c r="J2614" s="32" t="s">
        <v>66</v>
      </c>
      <c r="K2614" s="32" t="s">
        <v>63</v>
      </c>
    </row>
    <row r="2615" customFormat="false" ht="13.5" hidden="false" customHeight="true" outlineLevel="0" collapsed="false">
      <c r="A2615" s="32" t="n">
        <v>4829</v>
      </c>
      <c r="B2615" s="32" t="s">
        <v>2199</v>
      </c>
      <c r="C2615" s="32" t="s">
        <v>2201</v>
      </c>
      <c r="D2615" s="32" t="s">
        <v>114</v>
      </c>
      <c r="E2615" s="32" t="s">
        <v>268</v>
      </c>
      <c r="F2615" s="32" t="n">
        <v>9831727893</v>
      </c>
      <c r="G2615" s="32" t="s">
        <v>61</v>
      </c>
      <c r="H2615" s="32" t="s">
        <v>22</v>
      </c>
      <c r="I2615" s="32" t="s">
        <v>85</v>
      </c>
      <c r="J2615" s="32" t="s">
        <v>85</v>
      </c>
      <c r="K2615" s="32" t="s">
        <v>63</v>
      </c>
    </row>
    <row r="2616" customFormat="false" ht="13.5" hidden="false" customHeight="true" outlineLevel="0" collapsed="false">
      <c r="A2616" s="32" t="n">
        <v>4830</v>
      </c>
      <c r="B2616" s="32" t="s">
        <v>2199</v>
      </c>
      <c r="C2616" s="32" t="s">
        <v>2201</v>
      </c>
      <c r="D2616" s="32" t="s">
        <v>114</v>
      </c>
      <c r="E2616" s="32" t="s">
        <v>268</v>
      </c>
      <c r="F2616" s="32" t="n">
        <v>9831727893</v>
      </c>
      <c r="G2616" s="32" t="s">
        <v>61</v>
      </c>
      <c r="H2616" s="32" t="s">
        <v>22</v>
      </c>
      <c r="I2616" s="32" t="s">
        <v>333</v>
      </c>
      <c r="J2616" s="32" t="s">
        <v>235</v>
      </c>
      <c r="K2616" s="32" t="s">
        <v>63</v>
      </c>
    </row>
    <row r="2617" customFormat="false" ht="13.5" hidden="false" customHeight="true" outlineLevel="0" collapsed="false">
      <c r="A2617" s="32" t="n">
        <v>4831</v>
      </c>
      <c r="B2617" s="32" t="s">
        <v>2202</v>
      </c>
      <c r="C2617" s="32" t="s">
        <v>2203</v>
      </c>
      <c r="D2617" s="32" t="s">
        <v>59</v>
      </c>
      <c r="E2617" s="32" t="s">
        <v>79</v>
      </c>
      <c r="F2617" s="32" t="n">
        <v>12243835694</v>
      </c>
      <c r="G2617" s="32" t="s">
        <v>80</v>
      </c>
      <c r="H2617" s="32" t="s">
        <v>21</v>
      </c>
      <c r="I2617" s="32" t="s">
        <v>171</v>
      </c>
      <c r="J2617" s="32" t="s">
        <v>152</v>
      </c>
      <c r="K2617" s="32" t="s">
        <v>63</v>
      </c>
    </row>
    <row r="2618" customFormat="false" ht="13.5" hidden="false" customHeight="true" outlineLevel="0" collapsed="false">
      <c r="A2618" s="32" t="n">
        <v>4832</v>
      </c>
      <c r="B2618" s="32" t="s">
        <v>2204</v>
      </c>
      <c r="C2618" s="32" t="s">
        <v>2205</v>
      </c>
      <c r="D2618" s="32" t="s">
        <v>114</v>
      </c>
      <c r="E2618" s="32" t="s">
        <v>169</v>
      </c>
      <c r="F2618" s="32" t="n">
        <v>9821361421</v>
      </c>
      <c r="G2618" s="32" t="s">
        <v>104</v>
      </c>
      <c r="H2618" s="32" t="s">
        <v>22</v>
      </c>
      <c r="I2618" s="32" t="s">
        <v>728</v>
      </c>
      <c r="J2618" s="32" t="s">
        <v>132</v>
      </c>
      <c r="K2618" s="32" t="s">
        <v>63</v>
      </c>
    </row>
    <row r="2619" customFormat="false" ht="13.5" hidden="false" customHeight="true" outlineLevel="0" collapsed="false">
      <c r="A2619" s="32" t="n">
        <v>4833</v>
      </c>
      <c r="B2619" s="32" t="s">
        <v>2204</v>
      </c>
      <c r="C2619" s="32" t="s">
        <v>2205</v>
      </c>
      <c r="D2619" s="32" t="s">
        <v>114</v>
      </c>
      <c r="E2619" s="32" t="s">
        <v>169</v>
      </c>
      <c r="F2619" s="32" t="n">
        <v>9821361421</v>
      </c>
      <c r="G2619" s="32" t="s">
        <v>104</v>
      </c>
      <c r="H2619" s="32" t="s">
        <v>22</v>
      </c>
      <c r="I2619" s="32" t="s">
        <v>217</v>
      </c>
      <c r="J2619" s="32" t="s">
        <v>132</v>
      </c>
      <c r="K2619" s="32" t="s">
        <v>63</v>
      </c>
    </row>
    <row r="2620" customFormat="false" ht="13.5" hidden="false" customHeight="true" outlineLevel="0" collapsed="false">
      <c r="A2620" s="32" t="n">
        <v>4834</v>
      </c>
      <c r="B2620" s="32" t="s">
        <v>2206</v>
      </c>
      <c r="C2620" s="32" t="s">
        <v>2207</v>
      </c>
      <c r="D2620" s="32" t="s">
        <v>114</v>
      </c>
      <c r="E2620" s="32" t="s">
        <v>124</v>
      </c>
      <c r="F2620" s="32" t="s">
        <v>2208</v>
      </c>
      <c r="G2620" s="32" t="s">
        <v>80</v>
      </c>
      <c r="H2620" s="32" t="s">
        <v>22</v>
      </c>
      <c r="I2620" s="32" t="s">
        <v>251</v>
      </c>
      <c r="J2620" s="32" t="s">
        <v>152</v>
      </c>
      <c r="K2620" s="32" t="s">
        <v>63</v>
      </c>
    </row>
    <row r="2621" customFormat="false" ht="13.5" hidden="false" customHeight="true" outlineLevel="0" collapsed="false">
      <c r="A2621" s="32" t="n">
        <v>4837</v>
      </c>
      <c r="B2621" s="32" t="s">
        <v>2206</v>
      </c>
      <c r="C2621" s="32" t="s">
        <v>2209</v>
      </c>
      <c r="D2621" s="32" t="s">
        <v>114</v>
      </c>
      <c r="E2621" s="32" t="s">
        <v>124</v>
      </c>
      <c r="F2621" s="32" t="s">
        <v>2208</v>
      </c>
      <c r="G2621" s="32" t="s">
        <v>80</v>
      </c>
      <c r="H2621" s="32" t="s">
        <v>22</v>
      </c>
      <c r="I2621" s="32" t="s">
        <v>171</v>
      </c>
      <c r="J2621" s="32" t="s">
        <v>152</v>
      </c>
      <c r="K2621" s="32" t="s">
        <v>63</v>
      </c>
    </row>
    <row r="2622" customFormat="false" ht="13.5" hidden="false" customHeight="true" outlineLevel="0" collapsed="false">
      <c r="A2622" s="32" t="n">
        <v>4838</v>
      </c>
      <c r="B2622" s="32" t="s">
        <v>2206</v>
      </c>
      <c r="C2622" s="32" t="s">
        <v>2209</v>
      </c>
      <c r="D2622" s="32" t="s">
        <v>114</v>
      </c>
      <c r="E2622" s="32" t="s">
        <v>124</v>
      </c>
      <c r="F2622" s="32" t="s">
        <v>2208</v>
      </c>
      <c r="G2622" s="32" t="s">
        <v>80</v>
      </c>
      <c r="H2622" s="32" t="s">
        <v>22</v>
      </c>
      <c r="I2622" s="32" t="s">
        <v>93</v>
      </c>
      <c r="J2622" s="32" t="s">
        <v>85</v>
      </c>
      <c r="K2622" s="32" t="s">
        <v>63</v>
      </c>
    </row>
    <row r="2623" customFormat="false" ht="13.5" hidden="false" customHeight="true" outlineLevel="0" collapsed="false">
      <c r="A2623" s="32" t="n">
        <v>4839</v>
      </c>
      <c r="B2623" s="32" t="s">
        <v>2206</v>
      </c>
      <c r="C2623" s="32" t="s">
        <v>2209</v>
      </c>
      <c r="D2623" s="32" t="s">
        <v>114</v>
      </c>
      <c r="E2623" s="32" t="s">
        <v>124</v>
      </c>
      <c r="F2623" s="32" t="s">
        <v>2208</v>
      </c>
      <c r="G2623" s="32" t="s">
        <v>80</v>
      </c>
      <c r="H2623" s="32" t="s">
        <v>22</v>
      </c>
      <c r="I2623" s="32" t="s">
        <v>172</v>
      </c>
      <c r="J2623" s="32" t="s">
        <v>152</v>
      </c>
      <c r="K2623" s="32" t="s">
        <v>63</v>
      </c>
    </row>
    <row r="2624" customFormat="false" ht="13.5" hidden="false" customHeight="true" outlineLevel="0" collapsed="false">
      <c r="A2624" s="32" t="n">
        <v>4840</v>
      </c>
      <c r="B2624" s="32" t="s">
        <v>2210</v>
      </c>
      <c r="C2624" s="32" t="s">
        <v>2211</v>
      </c>
      <c r="D2624" s="32" t="s">
        <v>114</v>
      </c>
      <c r="E2624" s="32" t="s">
        <v>2212</v>
      </c>
      <c r="F2624" s="32" t="n">
        <v>9686220906</v>
      </c>
      <c r="G2624" s="32" t="s">
        <v>69</v>
      </c>
      <c r="H2624" s="32" t="s">
        <v>22</v>
      </c>
      <c r="I2624" s="32" t="s">
        <v>108</v>
      </c>
      <c r="J2624" s="32" t="s">
        <v>71</v>
      </c>
      <c r="K2624" s="32" t="s">
        <v>63</v>
      </c>
    </row>
    <row r="2625" customFormat="false" ht="13.5" hidden="false" customHeight="true" outlineLevel="0" collapsed="false">
      <c r="A2625" s="32" t="n">
        <v>4841</v>
      </c>
      <c r="B2625" s="32" t="s">
        <v>2210</v>
      </c>
      <c r="C2625" s="32" t="s">
        <v>2211</v>
      </c>
      <c r="D2625" s="32" t="s">
        <v>114</v>
      </c>
      <c r="E2625" s="32" t="s">
        <v>2212</v>
      </c>
      <c r="F2625" s="32" t="n">
        <v>9686220906</v>
      </c>
      <c r="G2625" s="32" t="s">
        <v>69</v>
      </c>
      <c r="H2625" s="32" t="s">
        <v>22</v>
      </c>
      <c r="I2625" s="32" t="s">
        <v>145</v>
      </c>
      <c r="J2625" s="32" t="s">
        <v>117</v>
      </c>
      <c r="K2625" s="32" t="s">
        <v>63</v>
      </c>
    </row>
    <row r="2626" customFormat="false" ht="13.5" hidden="false" customHeight="true" outlineLevel="0" collapsed="false">
      <c r="A2626" s="32" t="n">
        <v>4842</v>
      </c>
      <c r="B2626" s="32" t="s">
        <v>2210</v>
      </c>
      <c r="C2626" s="32" t="s">
        <v>2211</v>
      </c>
      <c r="D2626" s="32" t="s">
        <v>114</v>
      </c>
      <c r="E2626" s="32" t="s">
        <v>2212</v>
      </c>
      <c r="F2626" s="32" t="n">
        <v>9686220906</v>
      </c>
      <c r="G2626" s="32" t="s">
        <v>69</v>
      </c>
      <c r="H2626" s="32" t="s">
        <v>22</v>
      </c>
      <c r="I2626" s="32" t="s">
        <v>95</v>
      </c>
      <c r="J2626" s="32" t="s">
        <v>96</v>
      </c>
      <c r="K2626" s="32" t="s">
        <v>63</v>
      </c>
    </row>
    <row r="2627" customFormat="false" ht="13.5" hidden="false" customHeight="true" outlineLevel="0" collapsed="false">
      <c r="A2627" s="32" t="n">
        <v>4843</v>
      </c>
      <c r="B2627" s="32" t="s">
        <v>2210</v>
      </c>
      <c r="C2627" s="32" t="s">
        <v>2211</v>
      </c>
      <c r="D2627" s="32" t="s">
        <v>114</v>
      </c>
      <c r="E2627" s="32" t="s">
        <v>2212</v>
      </c>
      <c r="F2627" s="32" t="n">
        <v>9686220906</v>
      </c>
      <c r="G2627" s="32" t="s">
        <v>69</v>
      </c>
      <c r="H2627" s="32" t="s">
        <v>22</v>
      </c>
      <c r="I2627" s="32" t="s">
        <v>1237</v>
      </c>
      <c r="J2627" s="32" t="s">
        <v>89</v>
      </c>
      <c r="K2627" s="32" t="s">
        <v>63</v>
      </c>
    </row>
    <row r="2628" customFormat="false" ht="13.5" hidden="false" customHeight="true" outlineLevel="0" collapsed="false">
      <c r="A2628" s="32" t="n">
        <v>4844</v>
      </c>
      <c r="B2628" s="32" t="s">
        <v>2210</v>
      </c>
      <c r="C2628" s="32" t="s">
        <v>2211</v>
      </c>
      <c r="D2628" s="32" t="s">
        <v>114</v>
      </c>
      <c r="E2628" s="32" t="s">
        <v>2212</v>
      </c>
      <c r="F2628" s="32" t="n">
        <v>9686220906</v>
      </c>
      <c r="G2628" s="32" t="s">
        <v>69</v>
      </c>
      <c r="H2628" s="32" t="s">
        <v>22</v>
      </c>
      <c r="I2628" s="32" t="s">
        <v>128</v>
      </c>
      <c r="J2628" s="32" t="s">
        <v>89</v>
      </c>
      <c r="K2628" s="32" t="s">
        <v>63</v>
      </c>
    </row>
    <row r="2629" customFormat="false" ht="13.5" hidden="false" customHeight="true" outlineLevel="0" collapsed="false">
      <c r="A2629" s="32" t="n">
        <v>4845</v>
      </c>
      <c r="B2629" s="32" t="s">
        <v>2210</v>
      </c>
      <c r="C2629" s="32" t="s">
        <v>2211</v>
      </c>
      <c r="D2629" s="32" t="s">
        <v>114</v>
      </c>
      <c r="E2629" s="32" t="s">
        <v>2212</v>
      </c>
      <c r="F2629" s="32" t="n">
        <v>9686220906</v>
      </c>
      <c r="G2629" s="32" t="s">
        <v>69</v>
      </c>
      <c r="H2629" s="32" t="s">
        <v>22</v>
      </c>
      <c r="I2629" s="32" t="s">
        <v>217</v>
      </c>
      <c r="J2629" s="32" t="s">
        <v>132</v>
      </c>
      <c r="K2629" s="32" t="s">
        <v>63</v>
      </c>
    </row>
    <row r="2630" customFormat="false" ht="13.5" hidden="false" customHeight="true" outlineLevel="0" collapsed="false">
      <c r="A2630" s="32" t="n">
        <v>4846</v>
      </c>
      <c r="B2630" s="32" t="s">
        <v>2213</v>
      </c>
      <c r="C2630" s="32" t="s">
        <v>2214</v>
      </c>
      <c r="D2630" s="32" t="s">
        <v>59</v>
      </c>
      <c r="E2630" s="32" t="s">
        <v>107</v>
      </c>
      <c r="F2630" s="32" t="n">
        <v>0</v>
      </c>
      <c r="G2630" s="32" t="s">
        <v>104</v>
      </c>
      <c r="H2630" s="32" t="s">
        <v>21</v>
      </c>
      <c r="I2630" s="32" t="s">
        <v>120</v>
      </c>
      <c r="J2630" s="32" t="s">
        <v>110</v>
      </c>
      <c r="K2630" s="32" t="s">
        <v>63</v>
      </c>
    </row>
    <row r="2631" customFormat="false" ht="13.5" hidden="false" customHeight="true" outlineLevel="0" collapsed="false">
      <c r="A2631" s="32" t="n">
        <v>4847</v>
      </c>
      <c r="B2631" s="32" t="s">
        <v>2213</v>
      </c>
      <c r="C2631" s="32" t="s">
        <v>2214</v>
      </c>
      <c r="D2631" s="32" t="s">
        <v>59</v>
      </c>
      <c r="E2631" s="32" t="s">
        <v>107</v>
      </c>
      <c r="F2631" s="32" t="n">
        <v>0</v>
      </c>
      <c r="G2631" s="32" t="s">
        <v>104</v>
      </c>
      <c r="H2631" s="32" t="s">
        <v>21</v>
      </c>
      <c r="I2631" s="32" t="s">
        <v>121</v>
      </c>
      <c r="J2631" s="32" t="s">
        <v>110</v>
      </c>
      <c r="K2631" s="32" t="s">
        <v>63</v>
      </c>
    </row>
    <row r="2632" customFormat="false" ht="13.5" hidden="false" customHeight="true" outlineLevel="0" collapsed="false">
      <c r="A2632" s="32" t="n">
        <v>4848</v>
      </c>
      <c r="B2632" s="32" t="s">
        <v>2213</v>
      </c>
      <c r="C2632" s="32" t="s">
        <v>2214</v>
      </c>
      <c r="D2632" s="32" t="s">
        <v>59</v>
      </c>
      <c r="E2632" s="32" t="s">
        <v>107</v>
      </c>
      <c r="F2632" s="32" t="n">
        <v>0</v>
      </c>
      <c r="G2632" s="32" t="s">
        <v>104</v>
      </c>
      <c r="H2632" s="32" t="s">
        <v>21</v>
      </c>
      <c r="I2632" s="32" t="s">
        <v>145</v>
      </c>
      <c r="J2632" s="32" t="s">
        <v>117</v>
      </c>
      <c r="K2632" s="32" t="s">
        <v>63</v>
      </c>
    </row>
    <row r="2633" customFormat="false" ht="13.5" hidden="false" customHeight="true" outlineLevel="0" collapsed="false">
      <c r="A2633" s="32" t="n">
        <v>4850</v>
      </c>
      <c r="B2633" s="32" t="s">
        <v>2213</v>
      </c>
      <c r="C2633" s="32" t="s">
        <v>2214</v>
      </c>
      <c r="D2633" s="32" t="s">
        <v>59</v>
      </c>
      <c r="E2633" s="32" t="s">
        <v>107</v>
      </c>
      <c r="F2633" s="32" t="n">
        <v>0</v>
      </c>
      <c r="G2633" s="32" t="s">
        <v>104</v>
      </c>
      <c r="H2633" s="32" t="s">
        <v>21</v>
      </c>
      <c r="I2633" s="32" t="s">
        <v>133</v>
      </c>
      <c r="J2633" s="32" t="s">
        <v>134</v>
      </c>
      <c r="K2633" s="32" t="s">
        <v>63</v>
      </c>
    </row>
    <row r="2634" customFormat="false" ht="13.5" hidden="false" customHeight="true" outlineLevel="0" collapsed="false">
      <c r="A2634" s="32" t="n">
        <v>4851</v>
      </c>
      <c r="B2634" s="32" t="s">
        <v>2215</v>
      </c>
      <c r="C2634" s="32" t="s">
        <v>2216</v>
      </c>
      <c r="D2634" s="32" t="s">
        <v>114</v>
      </c>
      <c r="E2634" s="32" t="s">
        <v>165</v>
      </c>
      <c r="F2634" s="33" t="n">
        <v>916363000000</v>
      </c>
      <c r="G2634" s="32" t="s">
        <v>80</v>
      </c>
      <c r="H2634" s="32" t="s">
        <v>22</v>
      </c>
      <c r="I2634" s="32" t="s">
        <v>227</v>
      </c>
      <c r="J2634" s="32" t="s">
        <v>228</v>
      </c>
      <c r="K2634" s="32" t="s">
        <v>63</v>
      </c>
    </row>
    <row r="2635" customFormat="false" ht="13.5" hidden="false" customHeight="true" outlineLevel="0" collapsed="false">
      <c r="A2635" s="32" t="n">
        <v>4852</v>
      </c>
      <c r="B2635" s="32" t="s">
        <v>2215</v>
      </c>
      <c r="C2635" s="32" t="s">
        <v>2216</v>
      </c>
      <c r="D2635" s="32" t="s">
        <v>114</v>
      </c>
      <c r="E2635" s="32" t="s">
        <v>165</v>
      </c>
      <c r="F2635" s="33" t="n">
        <v>916363000000</v>
      </c>
      <c r="G2635" s="32" t="s">
        <v>80</v>
      </c>
      <c r="H2635" s="32" t="s">
        <v>22</v>
      </c>
      <c r="I2635" s="32" t="s">
        <v>1178</v>
      </c>
      <c r="J2635" s="32" t="s">
        <v>110</v>
      </c>
      <c r="K2635" s="32" t="s">
        <v>63</v>
      </c>
    </row>
    <row r="2636" customFormat="false" ht="13.5" hidden="false" customHeight="true" outlineLevel="0" collapsed="false">
      <c r="A2636" s="32" t="n">
        <v>4853</v>
      </c>
      <c r="B2636" s="32" t="s">
        <v>2215</v>
      </c>
      <c r="C2636" s="32" t="s">
        <v>2216</v>
      </c>
      <c r="D2636" s="32" t="s">
        <v>114</v>
      </c>
      <c r="E2636" s="32" t="s">
        <v>165</v>
      </c>
      <c r="F2636" s="32" t="n">
        <v>6362627314</v>
      </c>
      <c r="G2636" s="32" t="s">
        <v>80</v>
      </c>
      <c r="H2636" s="32" t="s">
        <v>22</v>
      </c>
      <c r="I2636" s="32" t="s">
        <v>510</v>
      </c>
      <c r="J2636" s="32" t="s">
        <v>186</v>
      </c>
      <c r="K2636" s="32" t="s">
        <v>63</v>
      </c>
    </row>
    <row r="2637" customFormat="false" ht="13.5" hidden="false" customHeight="true" outlineLevel="0" collapsed="false">
      <c r="A2637" s="32" t="n">
        <v>4854</v>
      </c>
      <c r="B2637" s="32" t="s">
        <v>2217</v>
      </c>
      <c r="C2637" s="32" t="s">
        <v>2218</v>
      </c>
      <c r="D2637" s="32" t="s">
        <v>114</v>
      </c>
      <c r="E2637" s="32" t="s">
        <v>165</v>
      </c>
      <c r="F2637" s="32" t="n">
        <v>9538242477</v>
      </c>
      <c r="G2637" s="32" t="s">
        <v>61</v>
      </c>
      <c r="H2637" s="32" t="s">
        <v>22</v>
      </c>
      <c r="I2637" s="32" t="s">
        <v>1242</v>
      </c>
      <c r="J2637" s="32" t="s">
        <v>62</v>
      </c>
      <c r="K2637" s="32" t="s">
        <v>63</v>
      </c>
    </row>
    <row r="2638" customFormat="false" ht="13.5" hidden="false" customHeight="true" outlineLevel="0" collapsed="false">
      <c r="A2638" s="32" t="n">
        <v>4855</v>
      </c>
      <c r="B2638" s="32" t="s">
        <v>2217</v>
      </c>
      <c r="C2638" s="32" t="s">
        <v>2218</v>
      </c>
      <c r="D2638" s="32" t="s">
        <v>114</v>
      </c>
      <c r="E2638" s="32" t="s">
        <v>165</v>
      </c>
      <c r="F2638" s="32" t="n">
        <v>9538242477</v>
      </c>
      <c r="G2638" s="32" t="s">
        <v>61</v>
      </c>
      <c r="H2638" s="32" t="s">
        <v>22</v>
      </c>
      <c r="I2638" s="32" t="s">
        <v>93</v>
      </c>
      <c r="J2638" s="32" t="s">
        <v>85</v>
      </c>
      <c r="K2638" s="32" t="s">
        <v>63</v>
      </c>
    </row>
    <row r="2639" customFormat="false" ht="13.5" hidden="false" customHeight="true" outlineLevel="0" collapsed="false">
      <c r="A2639" s="32" t="n">
        <v>4856</v>
      </c>
      <c r="B2639" s="32" t="s">
        <v>2217</v>
      </c>
      <c r="C2639" s="32" t="s">
        <v>2219</v>
      </c>
      <c r="D2639" s="32" t="s">
        <v>114</v>
      </c>
      <c r="E2639" s="32" t="s">
        <v>165</v>
      </c>
      <c r="F2639" s="32" t="n">
        <v>9538242477</v>
      </c>
      <c r="G2639" s="32" t="s">
        <v>61</v>
      </c>
      <c r="H2639" s="32" t="s">
        <v>22</v>
      </c>
      <c r="I2639" s="32" t="s">
        <v>16</v>
      </c>
      <c r="J2639" s="32" t="s">
        <v>73</v>
      </c>
      <c r="K2639" s="32" t="s">
        <v>63</v>
      </c>
    </row>
    <row r="2640" customFormat="false" ht="13.5" hidden="false" customHeight="true" outlineLevel="0" collapsed="false">
      <c r="A2640" s="32" t="n">
        <v>4857</v>
      </c>
      <c r="B2640" s="32" t="s">
        <v>2217</v>
      </c>
      <c r="C2640" s="32" t="s">
        <v>2219</v>
      </c>
      <c r="D2640" s="32" t="s">
        <v>114</v>
      </c>
      <c r="E2640" s="32" t="s">
        <v>165</v>
      </c>
      <c r="F2640" s="32" t="n">
        <v>9538242477</v>
      </c>
      <c r="G2640" s="32" t="s">
        <v>61</v>
      </c>
      <c r="H2640" s="32" t="s">
        <v>22</v>
      </c>
      <c r="I2640" s="32" t="s">
        <v>108</v>
      </c>
      <c r="J2640" s="32" t="s">
        <v>71</v>
      </c>
      <c r="K2640" s="32" t="s">
        <v>63</v>
      </c>
    </row>
    <row r="2641" customFormat="false" ht="13.5" hidden="false" customHeight="true" outlineLevel="0" collapsed="false">
      <c r="A2641" s="32" t="n">
        <v>4859</v>
      </c>
      <c r="B2641" s="32" t="s">
        <v>2220</v>
      </c>
      <c r="C2641" s="32" t="s">
        <v>2221</v>
      </c>
      <c r="D2641" s="32" t="s">
        <v>331</v>
      </c>
      <c r="E2641" s="32" t="s">
        <v>278</v>
      </c>
      <c r="F2641" s="32" t="n">
        <v>0</v>
      </c>
      <c r="G2641" s="32" t="s">
        <v>104</v>
      </c>
      <c r="H2641" s="32" t="s">
        <v>332</v>
      </c>
      <c r="I2641" s="32" t="s">
        <v>149</v>
      </c>
      <c r="J2641" s="32" t="s">
        <v>73</v>
      </c>
      <c r="K2641" s="32" t="s">
        <v>63</v>
      </c>
    </row>
    <row r="2642" customFormat="false" ht="13.5" hidden="false" customHeight="true" outlineLevel="0" collapsed="false">
      <c r="A2642" s="32" t="n">
        <v>4860</v>
      </c>
      <c r="B2642" s="32" t="s">
        <v>2220</v>
      </c>
      <c r="C2642" s="32" t="s">
        <v>2221</v>
      </c>
      <c r="D2642" s="32" t="s">
        <v>331</v>
      </c>
      <c r="E2642" s="32" t="s">
        <v>278</v>
      </c>
      <c r="F2642" s="32" t="n">
        <v>0</v>
      </c>
      <c r="G2642" s="32" t="s">
        <v>104</v>
      </c>
      <c r="H2642" s="32" t="s">
        <v>332</v>
      </c>
      <c r="I2642" s="32" t="s">
        <v>145</v>
      </c>
      <c r="J2642" s="32" t="s">
        <v>117</v>
      </c>
      <c r="K2642" s="32" t="s">
        <v>63</v>
      </c>
    </row>
    <row r="2643" customFormat="false" ht="13.5" hidden="false" customHeight="true" outlineLevel="0" collapsed="false">
      <c r="A2643" s="32" t="n">
        <v>4861</v>
      </c>
      <c r="B2643" s="32" t="s">
        <v>2222</v>
      </c>
      <c r="C2643" s="32" t="s">
        <v>2223</v>
      </c>
      <c r="D2643" s="32" t="s">
        <v>59</v>
      </c>
      <c r="E2643" s="32" t="s">
        <v>107</v>
      </c>
      <c r="F2643" s="33" t="n">
        <v>919773000000</v>
      </c>
      <c r="G2643" s="32" t="s">
        <v>104</v>
      </c>
      <c r="H2643" s="32" t="s">
        <v>21</v>
      </c>
      <c r="I2643" s="32" t="s">
        <v>108</v>
      </c>
      <c r="J2643" s="32" t="s">
        <v>71</v>
      </c>
      <c r="K2643" s="32" t="s">
        <v>63</v>
      </c>
    </row>
    <row r="2644" customFormat="false" ht="13.5" hidden="false" customHeight="true" outlineLevel="0" collapsed="false">
      <c r="A2644" s="32" t="n">
        <v>4862</v>
      </c>
      <c r="B2644" s="32" t="s">
        <v>2222</v>
      </c>
      <c r="C2644" s="32" t="s">
        <v>2223</v>
      </c>
      <c r="D2644" s="32" t="s">
        <v>59</v>
      </c>
      <c r="E2644" s="32" t="s">
        <v>107</v>
      </c>
      <c r="F2644" s="33" t="n">
        <v>919773000000</v>
      </c>
      <c r="G2644" s="32" t="s">
        <v>104</v>
      </c>
      <c r="H2644" s="32" t="s">
        <v>21</v>
      </c>
      <c r="I2644" s="32" t="s">
        <v>93</v>
      </c>
      <c r="J2644" s="32" t="s">
        <v>85</v>
      </c>
      <c r="K2644" s="32" t="s">
        <v>63</v>
      </c>
    </row>
    <row r="2645" customFormat="false" ht="13.5" hidden="false" customHeight="true" outlineLevel="0" collapsed="false">
      <c r="A2645" s="32" t="n">
        <v>4863</v>
      </c>
      <c r="B2645" s="32" t="s">
        <v>2222</v>
      </c>
      <c r="C2645" s="32" t="s">
        <v>2223</v>
      </c>
      <c r="D2645" s="32" t="s">
        <v>59</v>
      </c>
      <c r="E2645" s="32" t="s">
        <v>107</v>
      </c>
      <c r="F2645" s="33" t="n">
        <v>919773000000</v>
      </c>
      <c r="G2645" s="32" t="s">
        <v>104</v>
      </c>
      <c r="H2645" s="32" t="s">
        <v>21</v>
      </c>
      <c r="I2645" s="32" t="s">
        <v>111</v>
      </c>
      <c r="J2645" s="32" t="s">
        <v>73</v>
      </c>
      <c r="K2645" s="32" t="s">
        <v>63</v>
      </c>
    </row>
    <row r="2646" customFormat="false" ht="13.5" hidden="false" customHeight="true" outlineLevel="0" collapsed="false">
      <c r="A2646" s="32" t="n">
        <v>4864</v>
      </c>
      <c r="B2646" s="32" t="s">
        <v>2224</v>
      </c>
      <c r="C2646" s="32" t="s">
        <v>2225</v>
      </c>
      <c r="D2646" s="32" t="s">
        <v>114</v>
      </c>
      <c r="E2646" s="32" t="n">
        <v>0</v>
      </c>
      <c r="F2646" s="32" t="n">
        <v>9873088887</v>
      </c>
      <c r="G2646" s="32" t="s">
        <v>144</v>
      </c>
      <c r="H2646" s="32" t="s">
        <v>22</v>
      </c>
      <c r="I2646" s="32" t="s">
        <v>121</v>
      </c>
      <c r="J2646" s="32" t="s">
        <v>110</v>
      </c>
      <c r="K2646" s="32" t="s">
        <v>63</v>
      </c>
    </row>
    <row r="2647" customFormat="false" ht="13.5" hidden="false" customHeight="true" outlineLevel="0" collapsed="false">
      <c r="A2647" s="32" t="n">
        <v>4865</v>
      </c>
      <c r="B2647" s="32" t="s">
        <v>2224</v>
      </c>
      <c r="C2647" s="32" t="s">
        <v>2225</v>
      </c>
      <c r="D2647" s="32" t="s">
        <v>114</v>
      </c>
      <c r="E2647" s="32" t="n">
        <v>0</v>
      </c>
      <c r="F2647" s="32" t="n">
        <v>9873088887</v>
      </c>
      <c r="G2647" s="32" t="s">
        <v>144</v>
      </c>
      <c r="H2647" s="32" t="s">
        <v>22</v>
      </c>
      <c r="I2647" s="32" t="s">
        <v>16</v>
      </c>
      <c r="J2647" s="32" t="s">
        <v>73</v>
      </c>
      <c r="K2647" s="32" t="s">
        <v>63</v>
      </c>
    </row>
    <row r="2648" customFormat="false" ht="13.5" hidden="false" customHeight="true" outlineLevel="0" collapsed="false">
      <c r="A2648" s="32" t="n">
        <v>4866</v>
      </c>
      <c r="B2648" s="32" t="s">
        <v>2226</v>
      </c>
      <c r="C2648" s="32" t="s">
        <v>2227</v>
      </c>
      <c r="D2648" s="32" t="s">
        <v>59</v>
      </c>
      <c r="E2648" s="32" t="s">
        <v>60</v>
      </c>
      <c r="F2648" s="32" t="n">
        <v>9989944013</v>
      </c>
      <c r="G2648" s="32" t="s">
        <v>80</v>
      </c>
      <c r="H2648" s="32" t="s">
        <v>21</v>
      </c>
      <c r="I2648" s="32" t="s">
        <v>350</v>
      </c>
      <c r="J2648" s="32" t="s">
        <v>235</v>
      </c>
      <c r="K2648" s="32" t="s">
        <v>63</v>
      </c>
    </row>
    <row r="2649" customFormat="false" ht="13.5" hidden="false" customHeight="true" outlineLevel="0" collapsed="false">
      <c r="A2649" s="32" t="n">
        <v>4867</v>
      </c>
      <c r="B2649" s="32" t="s">
        <v>2228</v>
      </c>
      <c r="C2649" s="32" t="s">
        <v>2229</v>
      </c>
      <c r="D2649" s="32" t="s">
        <v>114</v>
      </c>
      <c r="E2649" s="32" t="s">
        <v>165</v>
      </c>
      <c r="F2649" s="32" t="n">
        <v>0</v>
      </c>
      <c r="G2649" s="32" t="s">
        <v>144</v>
      </c>
      <c r="H2649" s="32" t="s">
        <v>22</v>
      </c>
      <c r="I2649" s="32" t="s">
        <v>145</v>
      </c>
      <c r="J2649" s="32" t="s">
        <v>117</v>
      </c>
      <c r="K2649" s="32" t="s">
        <v>63</v>
      </c>
    </row>
    <row r="2650" customFormat="false" ht="13.5" hidden="false" customHeight="true" outlineLevel="0" collapsed="false">
      <c r="A2650" s="32" t="n">
        <v>4868</v>
      </c>
      <c r="B2650" s="32" t="s">
        <v>2228</v>
      </c>
      <c r="C2650" s="32" t="s">
        <v>2229</v>
      </c>
      <c r="D2650" s="32" t="s">
        <v>114</v>
      </c>
      <c r="E2650" s="32" t="s">
        <v>165</v>
      </c>
      <c r="F2650" s="32" t="n">
        <v>0</v>
      </c>
      <c r="G2650" s="32" t="s">
        <v>144</v>
      </c>
      <c r="H2650" s="32" t="s">
        <v>22</v>
      </c>
      <c r="I2650" s="32" t="s">
        <v>146</v>
      </c>
      <c r="J2650" s="32" t="s">
        <v>117</v>
      </c>
      <c r="K2650" s="32" t="s">
        <v>63</v>
      </c>
    </row>
    <row r="2651" customFormat="false" ht="13.5" hidden="false" customHeight="true" outlineLevel="0" collapsed="false">
      <c r="A2651" s="32" t="n">
        <v>4869</v>
      </c>
      <c r="B2651" s="32" t="s">
        <v>2228</v>
      </c>
      <c r="C2651" s="32" t="s">
        <v>2229</v>
      </c>
      <c r="D2651" s="32" t="s">
        <v>114</v>
      </c>
      <c r="E2651" s="32" t="s">
        <v>165</v>
      </c>
      <c r="F2651" s="32" t="n">
        <v>9962698613</v>
      </c>
      <c r="G2651" s="32" t="s">
        <v>144</v>
      </c>
      <c r="H2651" s="32" t="s">
        <v>22</v>
      </c>
      <c r="I2651" s="32" t="s">
        <v>172</v>
      </c>
      <c r="J2651" s="32" t="s">
        <v>152</v>
      </c>
      <c r="K2651" s="32" t="s">
        <v>63</v>
      </c>
    </row>
    <row r="2652" customFormat="false" ht="13.5" hidden="false" customHeight="true" outlineLevel="0" collapsed="false">
      <c r="A2652" s="32" t="n">
        <v>4870</v>
      </c>
      <c r="B2652" s="32" t="s">
        <v>2230</v>
      </c>
      <c r="C2652" s="32" t="s">
        <v>2231</v>
      </c>
      <c r="D2652" s="32" t="s">
        <v>59</v>
      </c>
      <c r="E2652" s="32" t="s">
        <v>107</v>
      </c>
      <c r="F2652" s="32" t="n">
        <v>7978707587</v>
      </c>
      <c r="G2652" s="32" t="s">
        <v>144</v>
      </c>
      <c r="H2652" s="32" t="s">
        <v>21</v>
      </c>
      <c r="I2652" s="32" t="s">
        <v>76</v>
      </c>
      <c r="J2652" s="32" t="s">
        <v>76</v>
      </c>
      <c r="K2652" s="32" t="s">
        <v>63</v>
      </c>
    </row>
    <row r="2653" customFormat="false" ht="13.5" hidden="false" customHeight="true" outlineLevel="0" collapsed="false">
      <c r="A2653" s="32" t="n">
        <v>4871</v>
      </c>
      <c r="B2653" s="32" t="s">
        <v>2230</v>
      </c>
      <c r="C2653" s="32" t="s">
        <v>2231</v>
      </c>
      <c r="D2653" s="32" t="s">
        <v>59</v>
      </c>
      <c r="E2653" s="32" t="s">
        <v>107</v>
      </c>
      <c r="F2653" s="32" t="n">
        <v>7978707587</v>
      </c>
      <c r="G2653" s="32" t="s">
        <v>144</v>
      </c>
      <c r="H2653" s="32" t="s">
        <v>21</v>
      </c>
      <c r="I2653" s="32" t="s">
        <v>108</v>
      </c>
      <c r="J2653" s="32" t="s">
        <v>71</v>
      </c>
      <c r="K2653" s="32" t="s">
        <v>63</v>
      </c>
    </row>
    <row r="2654" customFormat="false" ht="13.5" hidden="false" customHeight="true" outlineLevel="0" collapsed="false">
      <c r="A2654" s="32" t="n">
        <v>4872</v>
      </c>
      <c r="B2654" s="32" t="s">
        <v>2230</v>
      </c>
      <c r="C2654" s="32" t="s">
        <v>2231</v>
      </c>
      <c r="D2654" s="32" t="s">
        <v>59</v>
      </c>
      <c r="E2654" s="32" t="s">
        <v>107</v>
      </c>
      <c r="F2654" s="32" t="n">
        <v>7978707587</v>
      </c>
      <c r="G2654" s="32" t="s">
        <v>144</v>
      </c>
      <c r="H2654" s="32" t="s">
        <v>21</v>
      </c>
      <c r="I2654" s="32" t="s">
        <v>280</v>
      </c>
      <c r="J2654" s="32" t="s">
        <v>76</v>
      </c>
      <c r="K2654" s="32" t="s">
        <v>63</v>
      </c>
    </row>
    <row r="2655" customFormat="false" ht="13.5" hidden="false" customHeight="true" outlineLevel="0" collapsed="false">
      <c r="A2655" s="32" t="n">
        <v>4873</v>
      </c>
      <c r="B2655" s="32" t="s">
        <v>2232</v>
      </c>
      <c r="C2655" s="32" t="s">
        <v>2233</v>
      </c>
      <c r="D2655" s="32" t="s">
        <v>114</v>
      </c>
      <c r="E2655" s="32" t="s">
        <v>124</v>
      </c>
      <c r="F2655" s="33" t="n">
        <v>919728000000</v>
      </c>
      <c r="G2655" s="32" t="s">
        <v>61</v>
      </c>
      <c r="H2655" s="32" t="s">
        <v>22</v>
      </c>
      <c r="I2655" s="32" t="s">
        <v>2234</v>
      </c>
      <c r="J2655" s="32" t="s">
        <v>84</v>
      </c>
      <c r="K2655" s="32" t="s">
        <v>63</v>
      </c>
    </row>
    <row r="2656" customFormat="false" ht="13.5" hidden="false" customHeight="true" outlineLevel="0" collapsed="false">
      <c r="A2656" s="32" t="n">
        <v>4874</v>
      </c>
      <c r="B2656" s="32" t="s">
        <v>2232</v>
      </c>
      <c r="C2656" s="32" t="s">
        <v>2233</v>
      </c>
      <c r="D2656" s="32" t="s">
        <v>114</v>
      </c>
      <c r="E2656" s="32" t="s">
        <v>124</v>
      </c>
      <c r="F2656" s="33" t="n">
        <v>919728000000</v>
      </c>
      <c r="G2656" s="32" t="s">
        <v>61</v>
      </c>
      <c r="H2656" s="32" t="s">
        <v>22</v>
      </c>
      <c r="I2656" s="32" t="s">
        <v>83</v>
      </c>
      <c r="J2656" s="32" t="s">
        <v>84</v>
      </c>
      <c r="K2656" s="32" t="s">
        <v>63</v>
      </c>
    </row>
    <row r="2657" customFormat="false" ht="13.5" hidden="false" customHeight="true" outlineLevel="0" collapsed="false">
      <c r="A2657" s="32" t="n">
        <v>4875</v>
      </c>
      <c r="B2657" s="32" t="s">
        <v>2235</v>
      </c>
      <c r="C2657" s="32" t="s">
        <v>2236</v>
      </c>
      <c r="D2657" s="32" t="s">
        <v>102</v>
      </c>
      <c r="E2657" s="32" t="s">
        <v>103</v>
      </c>
      <c r="F2657" s="33" t="n">
        <v>918446000000</v>
      </c>
      <c r="G2657" s="32" t="s">
        <v>69</v>
      </c>
      <c r="H2657" s="32" t="s">
        <v>21</v>
      </c>
      <c r="I2657" s="32" t="s">
        <v>133</v>
      </c>
      <c r="J2657" s="32" t="s">
        <v>134</v>
      </c>
      <c r="K2657" s="32" t="s">
        <v>63</v>
      </c>
    </row>
    <row r="2658" customFormat="false" ht="13.5" hidden="false" customHeight="true" outlineLevel="0" collapsed="false">
      <c r="A2658" s="32" t="n">
        <v>4876</v>
      </c>
      <c r="B2658" s="32" t="s">
        <v>2237</v>
      </c>
      <c r="C2658" s="32" t="s">
        <v>2238</v>
      </c>
      <c r="D2658" s="32" t="s">
        <v>331</v>
      </c>
      <c r="E2658" s="32" t="s">
        <v>278</v>
      </c>
      <c r="F2658" s="33" t="n">
        <v>919849000000</v>
      </c>
      <c r="G2658" s="32" t="s">
        <v>80</v>
      </c>
      <c r="H2658" s="32" t="s">
        <v>332</v>
      </c>
      <c r="I2658" s="32" t="s">
        <v>145</v>
      </c>
      <c r="J2658" s="32" t="s">
        <v>117</v>
      </c>
      <c r="K2658" s="32" t="s">
        <v>63</v>
      </c>
    </row>
    <row r="2659" customFormat="false" ht="13.5" hidden="false" customHeight="true" outlineLevel="0" collapsed="false">
      <c r="A2659" s="32" t="n">
        <v>4877</v>
      </c>
      <c r="B2659" s="32" t="s">
        <v>2239</v>
      </c>
      <c r="C2659" s="32" t="s">
        <v>2240</v>
      </c>
      <c r="D2659" s="32" t="s">
        <v>59</v>
      </c>
      <c r="E2659" s="32" t="s">
        <v>143</v>
      </c>
      <c r="F2659" s="33" t="n">
        <v>919516000000</v>
      </c>
      <c r="G2659" s="32" t="s">
        <v>80</v>
      </c>
      <c r="H2659" s="32" t="s">
        <v>21</v>
      </c>
      <c r="I2659" s="32" t="s">
        <v>30</v>
      </c>
      <c r="J2659" s="32" t="s">
        <v>203</v>
      </c>
      <c r="K2659" s="32" t="s">
        <v>63</v>
      </c>
    </row>
    <row r="2660" customFormat="false" ht="13.5" hidden="false" customHeight="true" outlineLevel="0" collapsed="false">
      <c r="A2660" s="32" t="n">
        <v>4878</v>
      </c>
      <c r="B2660" s="32" t="s">
        <v>2239</v>
      </c>
      <c r="C2660" s="32" t="s">
        <v>2240</v>
      </c>
      <c r="D2660" s="32" t="s">
        <v>59</v>
      </c>
      <c r="E2660" s="32" t="s">
        <v>143</v>
      </c>
      <c r="F2660" s="33" t="n">
        <v>919516000000</v>
      </c>
      <c r="G2660" s="32" t="s">
        <v>80</v>
      </c>
      <c r="H2660" s="32" t="s">
        <v>21</v>
      </c>
      <c r="I2660" s="32" t="s">
        <v>146</v>
      </c>
      <c r="J2660" s="32" t="s">
        <v>117</v>
      </c>
      <c r="K2660" s="32" t="s">
        <v>63</v>
      </c>
    </row>
    <row r="2661" customFormat="false" ht="13.5" hidden="false" customHeight="true" outlineLevel="0" collapsed="false">
      <c r="A2661" s="32" t="n">
        <v>4879</v>
      </c>
      <c r="B2661" s="32" t="s">
        <v>2239</v>
      </c>
      <c r="C2661" s="32" t="s">
        <v>2240</v>
      </c>
      <c r="D2661" s="32" t="s">
        <v>59</v>
      </c>
      <c r="E2661" s="32" t="s">
        <v>143</v>
      </c>
      <c r="F2661" s="33" t="n">
        <v>919516000000</v>
      </c>
      <c r="G2661" s="32" t="s">
        <v>80</v>
      </c>
      <c r="H2661" s="32" t="s">
        <v>21</v>
      </c>
      <c r="I2661" s="32" t="s">
        <v>280</v>
      </c>
      <c r="J2661" s="32" t="s">
        <v>76</v>
      </c>
      <c r="K2661" s="32" t="s">
        <v>63</v>
      </c>
    </row>
    <row r="2662" customFormat="false" ht="13.5" hidden="false" customHeight="true" outlineLevel="0" collapsed="false">
      <c r="A2662" s="32" t="n">
        <v>4880</v>
      </c>
      <c r="B2662" s="32" t="s">
        <v>2241</v>
      </c>
      <c r="C2662" s="32" t="s">
        <v>2242</v>
      </c>
      <c r="D2662" s="32" t="s">
        <v>59</v>
      </c>
      <c r="E2662" s="32" t="s">
        <v>60</v>
      </c>
      <c r="F2662" s="32" t="n">
        <v>8332801042</v>
      </c>
      <c r="G2662" s="32" t="s">
        <v>80</v>
      </c>
      <c r="H2662" s="32" t="s">
        <v>21</v>
      </c>
      <c r="I2662" s="32" t="s">
        <v>333</v>
      </c>
      <c r="J2662" s="32" t="s">
        <v>235</v>
      </c>
      <c r="K2662" s="32" t="s">
        <v>63</v>
      </c>
    </row>
    <row r="2663" customFormat="false" ht="13.5" hidden="false" customHeight="true" outlineLevel="0" collapsed="false">
      <c r="A2663" s="32" t="n">
        <v>4881</v>
      </c>
      <c r="B2663" s="32" t="s">
        <v>2241</v>
      </c>
      <c r="C2663" s="32" t="s">
        <v>2242</v>
      </c>
      <c r="D2663" s="32" t="s">
        <v>59</v>
      </c>
      <c r="E2663" s="32" t="s">
        <v>60</v>
      </c>
      <c r="F2663" s="32" t="n">
        <v>8332801042</v>
      </c>
      <c r="G2663" s="32" t="s">
        <v>80</v>
      </c>
      <c r="H2663" s="32" t="s">
        <v>21</v>
      </c>
      <c r="I2663" s="32" t="s">
        <v>421</v>
      </c>
      <c r="J2663" s="32" t="s">
        <v>235</v>
      </c>
      <c r="K2663" s="32" t="s">
        <v>63</v>
      </c>
    </row>
    <row r="2664" customFormat="false" ht="13.5" hidden="false" customHeight="true" outlineLevel="0" collapsed="false">
      <c r="A2664" s="32" t="n">
        <v>4882</v>
      </c>
      <c r="B2664" s="32" t="s">
        <v>2241</v>
      </c>
      <c r="C2664" s="32" t="s">
        <v>2242</v>
      </c>
      <c r="D2664" s="32" t="s">
        <v>59</v>
      </c>
      <c r="E2664" s="32" t="s">
        <v>60</v>
      </c>
      <c r="F2664" s="32" t="n">
        <v>8332801042</v>
      </c>
      <c r="G2664" s="32" t="s">
        <v>80</v>
      </c>
      <c r="H2664" s="32" t="s">
        <v>21</v>
      </c>
      <c r="I2664" s="32" t="s">
        <v>350</v>
      </c>
      <c r="J2664" s="32" t="s">
        <v>235</v>
      </c>
      <c r="K2664" s="32" t="s">
        <v>63</v>
      </c>
    </row>
    <row r="2665" customFormat="false" ht="13.5" hidden="false" customHeight="true" outlineLevel="0" collapsed="false">
      <c r="A2665" s="32" t="n">
        <v>4883</v>
      </c>
      <c r="B2665" s="32" t="s">
        <v>2241</v>
      </c>
      <c r="C2665" s="32" t="s">
        <v>2242</v>
      </c>
      <c r="D2665" s="32" t="s">
        <v>59</v>
      </c>
      <c r="E2665" s="32" t="s">
        <v>60</v>
      </c>
      <c r="F2665" s="32" t="n">
        <v>8332801042</v>
      </c>
      <c r="G2665" s="32" t="s">
        <v>80</v>
      </c>
      <c r="H2665" s="32" t="s">
        <v>21</v>
      </c>
      <c r="I2665" s="32" t="s">
        <v>1188</v>
      </c>
      <c r="J2665" s="32" t="s">
        <v>84</v>
      </c>
      <c r="K2665" s="32" t="s">
        <v>63</v>
      </c>
    </row>
    <row r="2666" customFormat="false" ht="13.5" hidden="false" customHeight="true" outlineLevel="0" collapsed="false">
      <c r="A2666" s="32" t="n">
        <v>4884</v>
      </c>
      <c r="B2666" s="32" t="s">
        <v>2241</v>
      </c>
      <c r="C2666" s="32" t="s">
        <v>2242</v>
      </c>
      <c r="D2666" s="32" t="s">
        <v>59</v>
      </c>
      <c r="E2666" s="32" t="s">
        <v>60</v>
      </c>
      <c r="F2666" s="32" t="n">
        <v>8332801042</v>
      </c>
      <c r="G2666" s="32" t="s">
        <v>80</v>
      </c>
      <c r="H2666" s="32" t="s">
        <v>21</v>
      </c>
      <c r="I2666" s="32" t="s">
        <v>826</v>
      </c>
      <c r="J2666" s="32" t="s">
        <v>84</v>
      </c>
      <c r="K2666" s="32" t="s">
        <v>63</v>
      </c>
    </row>
    <row r="2667" customFormat="false" ht="13.5" hidden="false" customHeight="true" outlineLevel="0" collapsed="false">
      <c r="A2667" s="32" t="n">
        <v>4885</v>
      </c>
      <c r="B2667" s="32" t="s">
        <v>2241</v>
      </c>
      <c r="C2667" s="32" t="s">
        <v>2242</v>
      </c>
      <c r="D2667" s="32" t="s">
        <v>59</v>
      </c>
      <c r="E2667" s="32" t="s">
        <v>60</v>
      </c>
      <c r="F2667" s="32" t="n">
        <v>8332801042</v>
      </c>
      <c r="G2667" s="32" t="s">
        <v>80</v>
      </c>
      <c r="H2667" s="32" t="s">
        <v>21</v>
      </c>
      <c r="I2667" s="32" t="s">
        <v>95</v>
      </c>
      <c r="J2667" s="32" t="s">
        <v>96</v>
      </c>
      <c r="K2667" s="32" t="s">
        <v>63</v>
      </c>
    </row>
    <row r="2668" customFormat="false" ht="13.5" hidden="false" customHeight="true" outlineLevel="0" collapsed="false">
      <c r="A2668" s="32" t="n">
        <v>4886</v>
      </c>
      <c r="B2668" s="32" t="s">
        <v>2243</v>
      </c>
      <c r="C2668" s="32" t="s">
        <v>2244</v>
      </c>
      <c r="D2668" s="32" t="s">
        <v>114</v>
      </c>
      <c r="E2668" s="32" t="s">
        <v>165</v>
      </c>
      <c r="F2668" s="32" t="n">
        <v>9866976189</v>
      </c>
      <c r="G2668" s="32" t="s">
        <v>80</v>
      </c>
      <c r="H2668" s="32" t="s">
        <v>22</v>
      </c>
      <c r="I2668" s="32" t="s">
        <v>108</v>
      </c>
      <c r="J2668" s="32" t="s">
        <v>71</v>
      </c>
      <c r="K2668" s="32" t="s">
        <v>63</v>
      </c>
    </row>
    <row r="2669" customFormat="false" ht="13.5" hidden="false" customHeight="true" outlineLevel="0" collapsed="false">
      <c r="A2669" s="32" t="n">
        <v>4887</v>
      </c>
      <c r="B2669" s="32" t="s">
        <v>2243</v>
      </c>
      <c r="C2669" s="32" t="s">
        <v>2244</v>
      </c>
      <c r="D2669" s="32" t="s">
        <v>114</v>
      </c>
      <c r="E2669" s="32" t="s">
        <v>165</v>
      </c>
      <c r="F2669" s="32" t="n">
        <v>9866976189</v>
      </c>
      <c r="G2669" s="32" t="s">
        <v>80</v>
      </c>
      <c r="H2669" s="32" t="s">
        <v>22</v>
      </c>
      <c r="I2669" s="32" t="s">
        <v>133</v>
      </c>
      <c r="J2669" s="32" t="s">
        <v>134</v>
      </c>
      <c r="K2669" s="32" t="s">
        <v>63</v>
      </c>
    </row>
    <row r="2670" customFormat="false" ht="13.5" hidden="false" customHeight="true" outlineLevel="0" collapsed="false">
      <c r="A2670" s="32" t="n">
        <v>4888</v>
      </c>
      <c r="B2670" s="32" t="s">
        <v>2243</v>
      </c>
      <c r="C2670" s="32" t="s">
        <v>2244</v>
      </c>
      <c r="D2670" s="32" t="s">
        <v>114</v>
      </c>
      <c r="E2670" s="32" t="s">
        <v>165</v>
      </c>
      <c r="F2670" s="32" t="n">
        <v>9866976189</v>
      </c>
      <c r="G2670" s="32" t="s">
        <v>80</v>
      </c>
      <c r="H2670" s="32" t="s">
        <v>22</v>
      </c>
      <c r="I2670" s="32" t="s">
        <v>717</v>
      </c>
      <c r="J2670" s="32" t="s">
        <v>89</v>
      </c>
      <c r="K2670" s="32" t="s">
        <v>63</v>
      </c>
    </row>
    <row r="2671" customFormat="false" ht="13.5" hidden="false" customHeight="true" outlineLevel="0" collapsed="false">
      <c r="A2671" s="32" t="n">
        <v>4889</v>
      </c>
      <c r="B2671" s="32" t="s">
        <v>2243</v>
      </c>
      <c r="C2671" s="32" t="s">
        <v>2244</v>
      </c>
      <c r="D2671" s="32" t="s">
        <v>114</v>
      </c>
      <c r="E2671" s="32" t="s">
        <v>165</v>
      </c>
      <c r="F2671" s="32" t="n">
        <v>9866976189</v>
      </c>
      <c r="G2671" s="32" t="s">
        <v>80</v>
      </c>
      <c r="H2671" s="32" t="s">
        <v>22</v>
      </c>
      <c r="I2671" s="32" t="s">
        <v>245</v>
      </c>
      <c r="J2671" s="32" t="s">
        <v>71</v>
      </c>
      <c r="K2671" s="32" t="s">
        <v>63</v>
      </c>
    </row>
    <row r="2672" customFormat="false" ht="13.5" hidden="false" customHeight="true" outlineLevel="0" collapsed="false">
      <c r="A2672" s="32" t="n">
        <v>4890</v>
      </c>
      <c r="B2672" s="32" t="s">
        <v>2243</v>
      </c>
      <c r="C2672" s="32" t="s">
        <v>2244</v>
      </c>
      <c r="D2672" s="32" t="s">
        <v>114</v>
      </c>
      <c r="E2672" s="32" t="s">
        <v>165</v>
      </c>
      <c r="F2672" s="32" t="n">
        <v>9866976189</v>
      </c>
      <c r="G2672" s="32" t="s">
        <v>80</v>
      </c>
      <c r="H2672" s="32" t="s">
        <v>22</v>
      </c>
      <c r="I2672" s="32" t="s">
        <v>111</v>
      </c>
      <c r="J2672" s="32" t="s">
        <v>73</v>
      </c>
      <c r="K2672" s="32" t="s">
        <v>63</v>
      </c>
    </row>
    <row r="2673" customFormat="false" ht="13.5" hidden="false" customHeight="true" outlineLevel="0" collapsed="false">
      <c r="A2673" s="32" t="n">
        <v>4891</v>
      </c>
      <c r="B2673" s="32" t="s">
        <v>2243</v>
      </c>
      <c r="C2673" s="32" t="s">
        <v>2244</v>
      </c>
      <c r="D2673" s="32" t="s">
        <v>114</v>
      </c>
      <c r="E2673" s="32" t="s">
        <v>165</v>
      </c>
      <c r="F2673" s="32" t="n">
        <v>9866976189</v>
      </c>
      <c r="G2673" s="32" t="s">
        <v>80</v>
      </c>
      <c r="H2673" s="32" t="s">
        <v>22</v>
      </c>
      <c r="I2673" s="32" t="s">
        <v>280</v>
      </c>
      <c r="J2673" s="32" t="s">
        <v>76</v>
      </c>
      <c r="K2673" s="32" t="s">
        <v>63</v>
      </c>
    </row>
    <row r="2674" customFormat="false" ht="13.5" hidden="false" customHeight="true" outlineLevel="0" collapsed="false">
      <c r="A2674" s="32" t="n">
        <v>4892</v>
      </c>
      <c r="B2674" s="32" t="s">
        <v>2245</v>
      </c>
      <c r="C2674" s="32" t="s">
        <v>2246</v>
      </c>
      <c r="D2674" s="32" t="s">
        <v>114</v>
      </c>
      <c r="E2674" s="32" t="s">
        <v>115</v>
      </c>
      <c r="F2674" s="32" t="n">
        <v>9717377337</v>
      </c>
      <c r="G2674" s="32" t="s">
        <v>80</v>
      </c>
      <c r="H2674" s="32" t="s">
        <v>22</v>
      </c>
      <c r="I2674" s="32" t="s">
        <v>95</v>
      </c>
      <c r="J2674" s="32" t="s">
        <v>96</v>
      </c>
      <c r="K2674" s="32" t="s">
        <v>63</v>
      </c>
    </row>
    <row r="2675" customFormat="false" ht="13.5" hidden="false" customHeight="true" outlineLevel="0" collapsed="false">
      <c r="A2675" s="32" t="n">
        <v>4893</v>
      </c>
      <c r="B2675" s="32" t="s">
        <v>2245</v>
      </c>
      <c r="C2675" s="32" t="s">
        <v>2246</v>
      </c>
      <c r="D2675" s="32" t="s">
        <v>114</v>
      </c>
      <c r="E2675" s="32" t="s">
        <v>115</v>
      </c>
      <c r="F2675" s="32" t="n">
        <v>9717377337</v>
      </c>
      <c r="G2675" s="32" t="s">
        <v>80</v>
      </c>
      <c r="H2675" s="32" t="s">
        <v>22</v>
      </c>
      <c r="I2675" s="32" t="s">
        <v>126</v>
      </c>
      <c r="J2675" s="32" t="s">
        <v>85</v>
      </c>
      <c r="K2675" s="32" t="s">
        <v>63</v>
      </c>
    </row>
    <row r="2676" customFormat="false" ht="13.5" hidden="false" customHeight="true" outlineLevel="0" collapsed="false">
      <c r="A2676" s="32" t="n">
        <v>4894</v>
      </c>
      <c r="B2676" s="32" t="s">
        <v>2245</v>
      </c>
      <c r="C2676" s="32" t="s">
        <v>2246</v>
      </c>
      <c r="D2676" s="32" t="s">
        <v>114</v>
      </c>
      <c r="E2676" s="32" t="s">
        <v>115</v>
      </c>
      <c r="F2676" s="32" t="n">
        <v>9717377337</v>
      </c>
      <c r="G2676" s="32" t="s">
        <v>80</v>
      </c>
      <c r="H2676" s="32" t="s">
        <v>22</v>
      </c>
      <c r="I2676" s="32" t="s">
        <v>145</v>
      </c>
      <c r="J2676" s="32" t="s">
        <v>117</v>
      </c>
      <c r="K2676" s="32" t="s">
        <v>63</v>
      </c>
    </row>
    <row r="2677" customFormat="false" ht="13.5" hidden="false" customHeight="true" outlineLevel="0" collapsed="false">
      <c r="A2677" s="32" t="n">
        <v>4895</v>
      </c>
      <c r="B2677" s="32" t="s">
        <v>2245</v>
      </c>
      <c r="C2677" s="32" t="s">
        <v>2246</v>
      </c>
      <c r="D2677" s="32" t="s">
        <v>114</v>
      </c>
      <c r="E2677" s="32" t="s">
        <v>115</v>
      </c>
      <c r="F2677" s="32" t="n">
        <v>9717377337</v>
      </c>
      <c r="G2677" s="32" t="s">
        <v>80</v>
      </c>
      <c r="H2677" s="32" t="s">
        <v>22</v>
      </c>
      <c r="I2677" s="32" t="s">
        <v>93</v>
      </c>
      <c r="J2677" s="32" t="s">
        <v>85</v>
      </c>
      <c r="K2677" s="32" t="s">
        <v>63</v>
      </c>
    </row>
    <row r="2678" customFormat="false" ht="13.5" hidden="false" customHeight="true" outlineLevel="0" collapsed="false">
      <c r="A2678" s="32" t="n">
        <v>4896</v>
      </c>
      <c r="B2678" s="32" t="s">
        <v>2245</v>
      </c>
      <c r="C2678" s="32" t="s">
        <v>2246</v>
      </c>
      <c r="D2678" s="32" t="s">
        <v>114</v>
      </c>
      <c r="E2678" s="32" t="s">
        <v>115</v>
      </c>
      <c r="F2678" s="32" t="n">
        <v>9717377337</v>
      </c>
      <c r="G2678" s="32" t="s">
        <v>80</v>
      </c>
      <c r="H2678" s="32" t="s">
        <v>22</v>
      </c>
      <c r="I2678" s="32" t="s">
        <v>314</v>
      </c>
      <c r="J2678" s="32" t="s">
        <v>134</v>
      </c>
      <c r="K2678" s="32" t="s">
        <v>63</v>
      </c>
    </row>
    <row r="2679" customFormat="false" ht="13.5" hidden="false" customHeight="true" outlineLevel="0" collapsed="false">
      <c r="A2679" s="32" t="n">
        <v>4897</v>
      </c>
      <c r="B2679" s="32" t="s">
        <v>2247</v>
      </c>
      <c r="C2679" s="32" t="s">
        <v>2248</v>
      </c>
      <c r="D2679" s="32" t="s">
        <v>114</v>
      </c>
      <c r="E2679" s="32" t="s">
        <v>115</v>
      </c>
      <c r="F2679" s="32" t="n">
        <v>8050003560</v>
      </c>
      <c r="G2679" s="32" t="s">
        <v>80</v>
      </c>
      <c r="H2679" s="32" t="s">
        <v>22</v>
      </c>
      <c r="I2679" s="32" t="s">
        <v>133</v>
      </c>
      <c r="J2679" s="32" t="s">
        <v>134</v>
      </c>
      <c r="K2679" s="32" t="s">
        <v>63</v>
      </c>
    </row>
    <row r="2680" customFormat="false" ht="13.5" hidden="false" customHeight="true" outlineLevel="0" collapsed="false">
      <c r="A2680" s="32" t="n">
        <v>4898</v>
      </c>
      <c r="B2680" s="32" t="s">
        <v>2249</v>
      </c>
      <c r="C2680" s="32" t="s">
        <v>2250</v>
      </c>
      <c r="D2680" s="32" t="s">
        <v>114</v>
      </c>
      <c r="E2680" s="32" t="s">
        <v>165</v>
      </c>
      <c r="F2680" s="33" t="n">
        <v>918827000000</v>
      </c>
      <c r="G2680" s="32" t="s">
        <v>144</v>
      </c>
      <c r="H2680" s="32" t="s">
        <v>22</v>
      </c>
      <c r="I2680" s="32" t="s">
        <v>108</v>
      </c>
      <c r="J2680" s="32" t="s">
        <v>71</v>
      </c>
      <c r="K2680" s="32" t="s">
        <v>63</v>
      </c>
    </row>
    <row r="2681" customFormat="false" ht="13.5" hidden="false" customHeight="true" outlineLevel="0" collapsed="false">
      <c r="A2681" s="32" t="n">
        <v>4899</v>
      </c>
      <c r="B2681" s="32" t="s">
        <v>2249</v>
      </c>
      <c r="C2681" s="32" t="s">
        <v>2250</v>
      </c>
      <c r="D2681" s="32" t="s">
        <v>114</v>
      </c>
      <c r="E2681" s="32" t="s">
        <v>165</v>
      </c>
      <c r="F2681" s="33" t="n">
        <v>918827000000</v>
      </c>
      <c r="G2681" s="32" t="s">
        <v>144</v>
      </c>
      <c r="H2681" s="32" t="s">
        <v>22</v>
      </c>
      <c r="I2681" s="32" t="s">
        <v>93</v>
      </c>
      <c r="J2681" s="32" t="s">
        <v>85</v>
      </c>
      <c r="K2681" s="32" t="s">
        <v>63</v>
      </c>
    </row>
    <row r="2682" customFormat="false" ht="13.5" hidden="false" customHeight="true" outlineLevel="0" collapsed="false">
      <c r="A2682" s="32" t="n">
        <v>4900</v>
      </c>
      <c r="B2682" s="32" t="s">
        <v>2249</v>
      </c>
      <c r="C2682" s="32" t="s">
        <v>2250</v>
      </c>
      <c r="D2682" s="32" t="s">
        <v>114</v>
      </c>
      <c r="E2682" s="32" t="s">
        <v>165</v>
      </c>
      <c r="F2682" s="33" t="n">
        <v>918827000000</v>
      </c>
      <c r="G2682" s="32" t="s">
        <v>144</v>
      </c>
      <c r="H2682" s="32" t="s">
        <v>22</v>
      </c>
      <c r="I2682" s="32" t="s">
        <v>111</v>
      </c>
      <c r="J2682" s="32" t="s">
        <v>73</v>
      </c>
      <c r="K2682" s="32" t="s">
        <v>63</v>
      </c>
    </row>
    <row r="2683" customFormat="false" ht="13.5" hidden="false" customHeight="true" outlineLevel="0" collapsed="false">
      <c r="A2683" s="32" t="n">
        <v>4901</v>
      </c>
      <c r="B2683" s="32" t="s">
        <v>2251</v>
      </c>
      <c r="C2683" s="32" t="s">
        <v>1694</v>
      </c>
      <c r="D2683" s="32" t="s">
        <v>114</v>
      </c>
      <c r="E2683" s="32" t="s">
        <v>115</v>
      </c>
      <c r="F2683" s="33" t="n">
        <v>919052000000</v>
      </c>
      <c r="G2683" s="32" t="s">
        <v>61</v>
      </c>
      <c r="H2683" s="32" t="s">
        <v>22</v>
      </c>
      <c r="I2683" s="32" t="s">
        <v>16</v>
      </c>
      <c r="J2683" s="32" t="s">
        <v>73</v>
      </c>
      <c r="K2683" s="32" t="s">
        <v>63</v>
      </c>
    </row>
    <row r="2684" customFormat="false" ht="13.5" hidden="false" customHeight="true" outlineLevel="0" collapsed="false">
      <c r="A2684" s="32" t="n">
        <v>4902</v>
      </c>
      <c r="B2684" s="32" t="s">
        <v>2251</v>
      </c>
      <c r="C2684" s="32" t="s">
        <v>1694</v>
      </c>
      <c r="D2684" s="32" t="s">
        <v>114</v>
      </c>
      <c r="E2684" s="32" t="s">
        <v>115</v>
      </c>
      <c r="F2684" s="33" t="n">
        <v>919052000000</v>
      </c>
      <c r="G2684" s="32" t="s">
        <v>61</v>
      </c>
      <c r="H2684" s="32" t="s">
        <v>22</v>
      </c>
      <c r="I2684" s="32" t="s">
        <v>76</v>
      </c>
      <c r="J2684" s="32" t="s">
        <v>76</v>
      </c>
      <c r="K2684" s="32" t="s">
        <v>63</v>
      </c>
    </row>
    <row r="2685" customFormat="false" ht="13.5" hidden="false" customHeight="true" outlineLevel="0" collapsed="false">
      <c r="A2685" s="32" t="n">
        <v>4903</v>
      </c>
      <c r="B2685" s="32" t="s">
        <v>2251</v>
      </c>
      <c r="C2685" s="32" t="s">
        <v>1694</v>
      </c>
      <c r="D2685" s="32" t="s">
        <v>114</v>
      </c>
      <c r="E2685" s="32" t="s">
        <v>115</v>
      </c>
      <c r="F2685" s="33" t="n">
        <v>919052000000</v>
      </c>
      <c r="G2685" s="32" t="s">
        <v>61</v>
      </c>
      <c r="H2685" s="32" t="s">
        <v>22</v>
      </c>
      <c r="I2685" s="32" t="s">
        <v>108</v>
      </c>
      <c r="J2685" s="32" t="s">
        <v>71</v>
      </c>
      <c r="K2685" s="32" t="s">
        <v>63</v>
      </c>
    </row>
    <row r="2686" customFormat="false" ht="13.5" hidden="false" customHeight="true" outlineLevel="0" collapsed="false">
      <c r="A2686" s="32" t="n">
        <v>4905</v>
      </c>
      <c r="B2686" s="32" t="s">
        <v>2252</v>
      </c>
      <c r="C2686" s="32" t="s">
        <v>2253</v>
      </c>
      <c r="D2686" s="32" t="s">
        <v>59</v>
      </c>
      <c r="E2686" s="32" t="s">
        <v>107</v>
      </c>
      <c r="F2686" s="32" t="n">
        <v>9739622411</v>
      </c>
      <c r="G2686" s="32" t="s">
        <v>61</v>
      </c>
      <c r="H2686" s="32" t="s">
        <v>21</v>
      </c>
      <c r="I2686" s="32" t="s">
        <v>108</v>
      </c>
      <c r="J2686" s="32" t="s">
        <v>71</v>
      </c>
      <c r="K2686" s="32" t="s">
        <v>63</v>
      </c>
    </row>
    <row r="2687" customFormat="false" ht="13.5" hidden="false" customHeight="true" outlineLevel="0" collapsed="false">
      <c r="A2687" s="32" t="n">
        <v>4906</v>
      </c>
      <c r="B2687" s="32" t="s">
        <v>2252</v>
      </c>
      <c r="C2687" s="32" t="s">
        <v>2253</v>
      </c>
      <c r="D2687" s="32" t="s">
        <v>59</v>
      </c>
      <c r="E2687" s="32" t="s">
        <v>107</v>
      </c>
      <c r="F2687" s="32" t="n">
        <v>9739622411</v>
      </c>
      <c r="G2687" s="32" t="s">
        <v>61</v>
      </c>
      <c r="H2687" s="32" t="s">
        <v>21</v>
      </c>
      <c r="I2687" s="32" t="s">
        <v>75</v>
      </c>
      <c r="J2687" s="32" t="s">
        <v>76</v>
      </c>
      <c r="K2687" s="32" t="s">
        <v>63</v>
      </c>
    </row>
    <row r="2688" customFormat="false" ht="13.5" hidden="false" customHeight="true" outlineLevel="0" collapsed="false">
      <c r="A2688" s="32" t="n">
        <v>4907</v>
      </c>
      <c r="B2688" s="32" t="s">
        <v>2252</v>
      </c>
      <c r="C2688" s="32" t="s">
        <v>2253</v>
      </c>
      <c r="D2688" s="32" t="s">
        <v>59</v>
      </c>
      <c r="E2688" s="32" t="s">
        <v>107</v>
      </c>
      <c r="F2688" s="32" t="n">
        <v>9739622411</v>
      </c>
      <c r="G2688" s="32" t="s">
        <v>61</v>
      </c>
      <c r="H2688" s="32" t="s">
        <v>21</v>
      </c>
      <c r="I2688" s="32" t="s">
        <v>1242</v>
      </c>
      <c r="J2688" s="32" t="s">
        <v>62</v>
      </c>
      <c r="K2688" s="32" t="s">
        <v>63</v>
      </c>
    </row>
    <row r="2689" customFormat="false" ht="13.5" hidden="false" customHeight="true" outlineLevel="0" collapsed="false">
      <c r="A2689" s="32" t="n">
        <v>4908</v>
      </c>
      <c r="B2689" s="32" t="s">
        <v>2252</v>
      </c>
      <c r="C2689" s="32" t="s">
        <v>2253</v>
      </c>
      <c r="D2689" s="32" t="s">
        <v>59</v>
      </c>
      <c r="E2689" s="32" t="s">
        <v>107</v>
      </c>
      <c r="F2689" s="32" t="n">
        <v>9739622411</v>
      </c>
      <c r="G2689" s="32" t="s">
        <v>61</v>
      </c>
      <c r="H2689" s="32" t="s">
        <v>21</v>
      </c>
      <c r="I2689" s="32" t="s">
        <v>14</v>
      </c>
      <c r="J2689" s="32" t="s">
        <v>66</v>
      </c>
      <c r="K2689" s="32" t="s">
        <v>63</v>
      </c>
    </row>
    <row r="2690" customFormat="false" ht="13.5" hidden="false" customHeight="true" outlineLevel="0" collapsed="false">
      <c r="A2690" s="32" t="n">
        <v>4909</v>
      </c>
      <c r="B2690" s="32" t="s">
        <v>2252</v>
      </c>
      <c r="C2690" s="32" t="s">
        <v>2253</v>
      </c>
      <c r="D2690" s="32" t="s">
        <v>59</v>
      </c>
      <c r="E2690" s="32" t="s">
        <v>107</v>
      </c>
      <c r="F2690" s="32" t="n">
        <v>9739622411</v>
      </c>
      <c r="G2690" s="32" t="s">
        <v>61</v>
      </c>
      <c r="H2690" s="32" t="s">
        <v>21</v>
      </c>
      <c r="I2690" s="32" t="s">
        <v>463</v>
      </c>
      <c r="J2690" s="32" t="s">
        <v>66</v>
      </c>
      <c r="K2690" s="32" t="s">
        <v>63</v>
      </c>
    </row>
    <row r="2691" customFormat="false" ht="13.5" hidden="false" customHeight="true" outlineLevel="0" collapsed="false">
      <c r="A2691" s="32" t="n">
        <v>4910</v>
      </c>
      <c r="B2691" s="32" t="s">
        <v>2252</v>
      </c>
      <c r="C2691" s="32" t="s">
        <v>2253</v>
      </c>
      <c r="D2691" s="32" t="s">
        <v>59</v>
      </c>
      <c r="E2691" s="32" t="s">
        <v>107</v>
      </c>
      <c r="F2691" s="32" t="n">
        <v>9739622411</v>
      </c>
      <c r="G2691" s="32" t="s">
        <v>61</v>
      </c>
      <c r="H2691" s="32" t="s">
        <v>21</v>
      </c>
      <c r="I2691" s="32" t="s">
        <v>280</v>
      </c>
      <c r="J2691" s="32" t="s">
        <v>76</v>
      </c>
      <c r="K2691" s="32" t="s">
        <v>63</v>
      </c>
    </row>
    <row r="2692" customFormat="false" ht="13.5" hidden="false" customHeight="true" outlineLevel="0" collapsed="false">
      <c r="A2692" s="32" t="n">
        <v>4911</v>
      </c>
      <c r="B2692" s="32" t="s">
        <v>2254</v>
      </c>
      <c r="C2692" s="32" t="s">
        <v>2255</v>
      </c>
      <c r="D2692" s="32" t="s">
        <v>59</v>
      </c>
      <c r="E2692" s="32" t="s">
        <v>107</v>
      </c>
      <c r="F2692" s="32" t="n">
        <v>9130011844</v>
      </c>
      <c r="G2692" s="32" t="s">
        <v>144</v>
      </c>
      <c r="H2692" s="32" t="s">
        <v>21</v>
      </c>
      <c r="I2692" s="32" t="s">
        <v>145</v>
      </c>
      <c r="J2692" s="32" t="s">
        <v>117</v>
      </c>
      <c r="K2692" s="32" t="s">
        <v>63</v>
      </c>
    </row>
    <row r="2693" customFormat="false" ht="13.5" hidden="false" customHeight="true" outlineLevel="0" collapsed="false">
      <c r="A2693" s="32" t="n">
        <v>4912</v>
      </c>
      <c r="B2693" s="32" t="s">
        <v>2254</v>
      </c>
      <c r="C2693" s="32" t="s">
        <v>2256</v>
      </c>
      <c r="D2693" s="32" t="s">
        <v>59</v>
      </c>
      <c r="E2693" s="32" t="s">
        <v>107</v>
      </c>
      <c r="F2693" s="32" t="n">
        <v>9130011844</v>
      </c>
      <c r="G2693" s="32" t="s">
        <v>144</v>
      </c>
      <c r="H2693" s="32" t="s">
        <v>21</v>
      </c>
      <c r="I2693" s="32" t="s">
        <v>137</v>
      </c>
      <c r="J2693" s="32" t="s">
        <v>13</v>
      </c>
      <c r="K2693" s="32" t="s">
        <v>63</v>
      </c>
    </row>
    <row r="2694" customFormat="false" ht="13.5" hidden="false" customHeight="true" outlineLevel="0" collapsed="false">
      <c r="A2694" s="32" t="n">
        <v>4913</v>
      </c>
      <c r="B2694" s="32" t="s">
        <v>2257</v>
      </c>
      <c r="C2694" s="32" t="s">
        <v>2258</v>
      </c>
      <c r="D2694" s="32" t="s">
        <v>114</v>
      </c>
      <c r="E2694" s="32" t="s">
        <v>268</v>
      </c>
      <c r="F2694" s="33" t="n">
        <v>919908000000</v>
      </c>
      <c r="G2694" s="32" t="s">
        <v>69</v>
      </c>
      <c r="H2694" s="32" t="s">
        <v>22</v>
      </c>
      <c r="I2694" s="32" t="s">
        <v>516</v>
      </c>
      <c r="J2694" s="32" t="s">
        <v>66</v>
      </c>
      <c r="K2694" s="32" t="s">
        <v>63</v>
      </c>
    </row>
    <row r="2695" customFormat="false" ht="13.5" hidden="false" customHeight="true" outlineLevel="0" collapsed="false">
      <c r="A2695" s="32" t="n">
        <v>4914</v>
      </c>
      <c r="B2695" s="32" t="s">
        <v>2257</v>
      </c>
      <c r="C2695" s="32" t="s">
        <v>2258</v>
      </c>
      <c r="D2695" s="32" t="s">
        <v>114</v>
      </c>
      <c r="E2695" s="32" t="s">
        <v>268</v>
      </c>
      <c r="F2695" s="33" t="n">
        <v>919908000000</v>
      </c>
      <c r="G2695" s="32" t="s">
        <v>69</v>
      </c>
      <c r="H2695" s="32" t="s">
        <v>22</v>
      </c>
      <c r="I2695" s="32" t="s">
        <v>463</v>
      </c>
      <c r="J2695" s="32" t="s">
        <v>66</v>
      </c>
      <c r="K2695" s="32" t="s">
        <v>63</v>
      </c>
    </row>
    <row r="2696" customFormat="false" ht="13.5" hidden="false" customHeight="true" outlineLevel="0" collapsed="false">
      <c r="A2696" s="32" t="n">
        <v>4915</v>
      </c>
      <c r="B2696" s="32" t="s">
        <v>2257</v>
      </c>
      <c r="C2696" s="32" t="s">
        <v>2259</v>
      </c>
      <c r="D2696" s="32" t="s">
        <v>114</v>
      </c>
      <c r="E2696" s="32" t="s">
        <v>268</v>
      </c>
      <c r="F2696" s="33" t="n">
        <v>919908000000</v>
      </c>
      <c r="G2696" s="32" t="s">
        <v>69</v>
      </c>
      <c r="H2696" s="32" t="s">
        <v>22</v>
      </c>
      <c r="I2696" s="32" t="s">
        <v>156</v>
      </c>
      <c r="J2696" s="32" t="s">
        <v>62</v>
      </c>
      <c r="K2696" s="32" t="s">
        <v>63</v>
      </c>
    </row>
    <row r="2697" customFormat="false" ht="13.5" hidden="false" customHeight="true" outlineLevel="0" collapsed="false">
      <c r="A2697" s="32" t="n">
        <v>4916</v>
      </c>
      <c r="B2697" s="32" t="s">
        <v>2257</v>
      </c>
      <c r="C2697" s="32" t="s">
        <v>2259</v>
      </c>
      <c r="D2697" s="32" t="s">
        <v>114</v>
      </c>
      <c r="E2697" s="32" t="s">
        <v>268</v>
      </c>
      <c r="F2697" s="33" t="n">
        <v>919908000000</v>
      </c>
      <c r="G2697" s="32" t="s">
        <v>69</v>
      </c>
      <c r="H2697" s="32" t="s">
        <v>22</v>
      </c>
      <c r="I2697" s="32" t="s">
        <v>29</v>
      </c>
      <c r="J2697" s="32" t="s">
        <v>62</v>
      </c>
      <c r="K2697" s="32" t="s">
        <v>63</v>
      </c>
    </row>
    <row r="2698" customFormat="false" ht="13.5" hidden="false" customHeight="true" outlineLevel="0" collapsed="false">
      <c r="A2698" s="32" t="n">
        <v>4917</v>
      </c>
      <c r="B2698" s="32" t="s">
        <v>2260</v>
      </c>
      <c r="C2698" s="32" t="s">
        <v>2261</v>
      </c>
      <c r="D2698" s="32" t="s">
        <v>59</v>
      </c>
      <c r="E2698" s="32" t="s">
        <v>143</v>
      </c>
      <c r="F2698" s="32" t="n">
        <v>8459706538</v>
      </c>
      <c r="G2698" s="32" t="s">
        <v>140</v>
      </c>
      <c r="H2698" s="32" t="s">
        <v>21</v>
      </c>
      <c r="I2698" s="32" t="s">
        <v>2262</v>
      </c>
      <c r="J2698" s="32" t="s">
        <v>132</v>
      </c>
      <c r="K2698" s="32" t="s">
        <v>63</v>
      </c>
    </row>
    <row r="2699" customFormat="false" ht="13.5" hidden="false" customHeight="true" outlineLevel="0" collapsed="false">
      <c r="A2699" s="32" t="n">
        <v>4918</v>
      </c>
      <c r="B2699" s="32" t="s">
        <v>2260</v>
      </c>
      <c r="C2699" s="32" t="s">
        <v>2261</v>
      </c>
      <c r="D2699" s="32" t="s">
        <v>59</v>
      </c>
      <c r="E2699" s="32" t="s">
        <v>143</v>
      </c>
      <c r="F2699" s="32" t="n">
        <v>8459706538</v>
      </c>
      <c r="G2699" s="32" t="s">
        <v>140</v>
      </c>
      <c r="H2699" s="32" t="s">
        <v>21</v>
      </c>
      <c r="I2699" s="32" t="s">
        <v>217</v>
      </c>
      <c r="J2699" s="32" t="s">
        <v>132</v>
      </c>
      <c r="K2699" s="32" t="s">
        <v>63</v>
      </c>
    </row>
    <row r="2700" customFormat="false" ht="13.5" hidden="false" customHeight="true" outlineLevel="0" collapsed="false">
      <c r="A2700" s="32" t="n">
        <v>4919</v>
      </c>
      <c r="B2700" s="32" t="s">
        <v>2260</v>
      </c>
      <c r="C2700" s="32" t="s">
        <v>2261</v>
      </c>
      <c r="D2700" s="32" t="s">
        <v>59</v>
      </c>
      <c r="E2700" s="32" t="s">
        <v>143</v>
      </c>
      <c r="F2700" s="32" t="n">
        <v>8459706538</v>
      </c>
      <c r="G2700" s="32" t="s">
        <v>140</v>
      </c>
      <c r="H2700" s="32" t="s">
        <v>21</v>
      </c>
      <c r="I2700" s="32" t="s">
        <v>728</v>
      </c>
      <c r="J2700" s="32" t="s">
        <v>132</v>
      </c>
      <c r="K2700" s="32" t="s">
        <v>63</v>
      </c>
    </row>
    <row r="2701" customFormat="false" ht="13.5" hidden="false" customHeight="true" outlineLevel="0" collapsed="false">
      <c r="A2701" s="32" t="n">
        <v>4920</v>
      </c>
      <c r="B2701" s="32" t="s">
        <v>2260</v>
      </c>
      <c r="C2701" s="32" t="s">
        <v>2261</v>
      </c>
      <c r="D2701" s="32" t="s">
        <v>59</v>
      </c>
      <c r="E2701" s="32" t="s">
        <v>143</v>
      </c>
      <c r="F2701" s="32" t="n">
        <v>8459706538</v>
      </c>
      <c r="G2701" s="32" t="s">
        <v>140</v>
      </c>
      <c r="H2701" s="32" t="s">
        <v>21</v>
      </c>
      <c r="I2701" s="32" t="s">
        <v>215</v>
      </c>
      <c r="J2701" s="32" t="s">
        <v>132</v>
      </c>
      <c r="K2701" s="32" t="s">
        <v>63</v>
      </c>
    </row>
    <row r="2702" customFormat="false" ht="13.5" hidden="false" customHeight="true" outlineLevel="0" collapsed="false">
      <c r="A2702" s="32" t="n">
        <v>4921</v>
      </c>
      <c r="B2702" s="32" t="s">
        <v>2263</v>
      </c>
      <c r="C2702" s="32" t="s">
        <v>2264</v>
      </c>
      <c r="D2702" s="32" t="s">
        <v>59</v>
      </c>
      <c r="E2702" s="32" t="s">
        <v>60</v>
      </c>
      <c r="F2702" s="32" t="n">
        <v>0</v>
      </c>
      <c r="G2702" s="32" t="s">
        <v>104</v>
      </c>
      <c r="H2702" s="32" t="s">
        <v>21</v>
      </c>
      <c r="I2702" s="32" t="s">
        <v>14</v>
      </c>
      <c r="J2702" s="32" t="s">
        <v>66</v>
      </c>
      <c r="K2702" s="32" t="s">
        <v>63</v>
      </c>
    </row>
    <row r="2703" customFormat="false" ht="13.5" hidden="false" customHeight="true" outlineLevel="0" collapsed="false">
      <c r="A2703" s="32" t="n">
        <v>4925</v>
      </c>
      <c r="B2703" s="32" t="s">
        <v>2263</v>
      </c>
      <c r="C2703" s="32" t="s">
        <v>2264</v>
      </c>
      <c r="D2703" s="32" t="s">
        <v>59</v>
      </c>
      <c r="E2703" s="32" t="s">
        <v>60</v>
      </c>
      <c r="F2703" s="32" t="n">
        <v>0</v>
      </c>
      <c r="G2703" s="32" t="s">
        <v>104</v>
      </c>
      <c r="H2703" s="32" t="s">
        <v>21</v>
      </c>
      <c r="I2703" s="32" t="s">
        <v>166</v>
      </c>
      <c r="J2703" s="32" t="s">
        <v>66</v>
      </c>
      <c r="K2703" s="32" t="s">
        <v>63</v>
      </c>
    </row>
    <row r="2704" customFormat="false" ht="13.5" hidden="false" customHeight="true" outlineLevel="0" collapsed="false">
      <c r="A2704" s="32" t="n">
        <v>4926</v>
      </c>
      <c r="B2704" s="32" t="s">
        <v>2265</v>
      </c>
      <c r="C2704" s="32" t="s">
        <v>2266</v>
      </c>
      <c r="D2704" s="32" t="s">
        <v>59</v>
      </c>
      <c r="E2704" s="32" t="s">
        <v>60</v>
      </c>
      <c r="F2704" s="33" t="n">
        <v>917727000000</v>
      </c>
      <c r="G2704" s="32" t="s">
        <v>61</v>
      </c>
      <c r="H2704" s="32" t="s">
        <v>21</v>
      </c>
      <c r="I2704" s="32" t="s">
        <v>14</v>
      </c>
      <c r="J2704" s="32" t="s">
        <v>66</v>
      </c>
      <c r="K2704" s="32" t="s">
        <v>63</v>
      </c>
    </row>
    <row r="2705" customFormat="false" ht="13.5" hidden="false" customHeight="true" outlineLevel="0" collapsed="false">
      <c r="A2705" s="32" t="n">
        <v>4927</v>
      </c>
      <c r="B2705" s="32" t="s">
        <v>2267</v>
      </c>
      <c r="C2705" s="32" t="s">
        <v>2268</v>
      </c>
      <c r="D2705" s="32" t="s">
        <v>114</v>
      </c>
      <c r="E2705" s="32" t="s">
        <v>268</v>
      </c>
      <c r="F2705" s="32" t="n">
        <v>12036687081</v>
      </c>
      <c r="G2705" s="32" t="s">
        <v>61</v>
      </c>
      <c r="H2705" s="32" t="s">
        <v>22</v>
      </c>
      <c r="I2705" s="32" t="s">
        <v>95</v>
      </c>
      <c r="J2705" s="32" t="s">
        <v>96</v>
      </c>
      <c r="K2705" s="32" t="s">
        <v>63</v>
      </c>
    </row>
    <row r="2706" customFormat="false" ht="13.5" hidden="false" customHeight="true" outlineLevel="0" collapsed="false">
      <c r="A2706" s="32" t="n">
        <v>4931</v>
      </c>
      <c r="B2706" s="32" t="s">
        <v>2269</v>
      </c>
      <c r="C2706" s="32" t="s">
        <v>2270</v>
      </c>
      <c r="D2706" s="32" t="s">
        <v>59</v>
      </c>
      <c r="E2706" s="32" t="s">
        <v>143</v>
      </c>
      <c r="F2706" s="32" t="n">
        <v>9946683016</v>
      </c>
      <c r="G2706" s="32" t="s">
        <v>140</v>
      </c>
      <c r="H2706" s="32" t="s">
        <v>21</v>
      </c>
      <c r="I2706" s="32" t="s">
        <v>108</v>
      </c>
      <c r="J2706" s="32" t="s">
        <v>71</v>
      </c>
      <c r="K2706" s="32" t="s">
        <v>63</v>
      </c>
    </row>
    <row r="2707" customFormat="false" ht="13.5" hidden="false" customHeight="true" outlineLevel="0" collapsed="false">
      <c r="A2707" s="32" t="n">
        <v>4932</v>
      </c>
      <c r="B2707" s="32" t="s">
        <v>2269</v>
      </c>
      <c r="C2707" s="32" t="s">
        <v>2270</v>
      </c>
      <c r="D2707" s="32" t="s">
        <v>59</v>
      </c>
      <c r="E2707" s="32" t="s">
        <v>143</v>
      </c>
      <c r="F2707" s="32" t="n">
        <v>9946683016</v>
      </c>
      <c r="G2707" s="32" t="s">
        <v>140</v>
      </c>
      <c r="H2707" s="32" t="s">
        <v>21</v>
      </c>
      <c r="I2707" s="32" t="s">
        <v>108</v>
      </c>
      <c r="J2707" s="32" t="s">
        <v>71</v>
      </c>
      <c r="K2707" s="32" t="s">
        <v>63</v>
      </c>
    </row>
    <row r="2708" customFormat="false" ht="13.5" hidden="false" customHeight="true" outlineLevel="0" collapsed="false">
      <c r="A2708" s="32" t="n">
        <v>4933</v>
      </c>
      <c r="B2708" s="32" t="s">
        <v>2271</v>
      </c>
      <c r="C2708" s="32" t="s">
        <v>2272</v>
      </c>
      <c r="D2708" s="32" t="s">
        <v>59</v>
      </c>
      <c r="E2708" s="32" t="s">
        <v>143</v>
      </c>
      <c r="F2708" s="32" t="n">
        <v>9789051713</v>
      </c>
      <c r="G2708" s="32" t="s">
        <v>0</v>
      </c>
      <c r="H2708" s="32" t="s">
        <v>21</v>
      </c>
      <c r="I2708" s="32" t="s">
        <v>121</v>
      </c>
      <c r="J2708" s="32" t="s">
        <v>110</v>
      </c>
      <c r="K2708" s="32" t="s">
        <v>63</v>
      </c>
    </row>
    <row r="2709" customFormat="false" ht="13.5" hidden="false" customHeight="true" outlineLevel="0" collapsed="false">
      <c r="A2709" s="32" t="n">
        <v>4934</v>
      </c>
      <c r="B2709" s="32" t="s">
        <v>2271</v>
      </c>
      <c r="C2709" s="32" t="s">
        <v>2272</v>
      </c>
      <c r="D2709" s="32" t="s">
        <v>59</v>
      </c>
      <c r="E2709" s="32" t="s">
        <v>143</v>
      </c>
      <c r="F2709" s="32" t="n">
        <v>9789051713</v>
      </c>
      <c r="G2709" s="32" t="s">
        <v>0</v>
      </c>
      <c r="H2709" s="32" t="s">
        <v>21</v>
      </c>
      <c r="I2709" s="32" t="s">
        <v>145</v>
      </c>
      <c r="J2709" s="32" t="s">
        <v>117</v>
      </c>
      <c r="K2709" s="32" t="s">
        <v>63</v>
      </c>
    </row>
    <row r="2710" customFormat="false" ht="13.5" hidden="false" customHeight="true" outlineLevel="0" collapsed="false">
      <c r="A2710" s="32" t="n">
        <v>4935</v>
      </c>
      <c r="B2710" s="32" t="s">
        <v>2271</v>
      </c>
      <c r="C2710" s="32" t="s">
        <v>2272</v>
      </c>
      <c r="D2710" s="32" t="s">
        <v>59</v>
      </c>
      <c r="E2710" s="32" t="s">
        <v>143</v>
      </c>
      <c r="F2710" s="32" t="n">
        <v>9789051713</v>
      </c>
      <c r="G2710" s="32" t="s">
        <v>0</v>
      </c>
      <c r="H2710" s="32" t="s">
        <v>21</v>
      </c>
      <c r="I2710" s="32" t="s">
        <v>133</v>
      </c>
      <c r="J2710" s="32" t="s">
        <v>134</v>
      </c>
      <c r="K2710" s="32" t="s">
        <v>63</v>
      </c>
    </row>
    <row r="2711" customFormat="false" ht="13.5" hidden="false" customHeight="true" outlineLevel="0" collapsed="false">
      <c r="A2711" s="32" t="n">
        <v>4936</v>
      </c>
      <c r="B2711" s="32" t="s">
        <v>2273</v>
      </c>
      <c r="C2711" s="32" t="s">
        <v>2274</v>
      </c>
      <c r="D2711" s="32" t="s">
        <v>114</v>
      </c>
      <c r="E2711" s="32" t="s">
        <v>124</v>
      </c>
      <c r="F2711" s="32" t="n">
        <v>9784691823</v>
      </c>
      <c r="G2711" s="32" t="s">
        <v>69</v>
      </c>
      <c r="H2711" s="32" t="s">
        <v>22</v>
      </c>
      <c r="I2711" s="32" t="s">
        <v>227</v>
      </c>
      <c r="J2711" s="32" t="s">
        <v>228</v>
      </c>
      <c r="K2711" s="32" t="s">
        <v>63</v>
      </c>
    </row>
    <row r="2712" customFormat="false" ht="13.5" hidden="false" customHeight="true" outlineLevel="0" collapsed="false">
      <c r="A2712" s="32" t="n">
        <v>4937</v>
      </c>
      <c r="B2712" s="32" t="s">
        <v>2273</v>
      </c>
      <c r="C2712" s="32" t="s">
        <v>2274</v>
      </c>
      <c r="D2712" s="32" t="s">
        <v>114</v>
      </c>
      <c r="E2712" s="32" t="s">
        <v>124</v>
      </c>
      <c r="F2712" s="32" t="n">
        <v>9784691823</v>
      </c>
      <c r="G2712" s="32" t="s">
        <v>69</v>
      </c>
      <c r="H2712" s="32" t="s">
        <v>22</v>
      </c>
      <c r="I2712" s="32" t="s">
        <v>1462</v>
      </c>
      <c r="J2712" s="32" t="s">
        <v>110</v>
      </c>
      <c r="K2712" s="32" t="s">
        <v>63</v>
      </c>
    </row>
    <row r="2713" customFormat="false" ht="13.5" hidden="false" customHeight="true" outlineLevel="0" collapsed="false">
      <c r="A2713" s="32" t="n">
        <v>4938</v>
      </c>
      <c r="B2713" s="32" t="s">
        <v>2273</v>
      </c>
      <c r="C2713" s="32" t="s">
        <v>2274</v>
      </c>
      <c r="D2713" s="32" t="s">
        <v>114</v>
      </c>
      <c r="E2713" s="32" t="s">
        <v>124</v>
      </c>
      <c r="F2713" s="32" t="n">
        <v>9784691823</v>
      </c>
      <c r="G2713" s="32" t="s">
        <v>69</v>
      </c>
      <c r="H2713" s="32" t="s">
        <v>22</v>
      </c>
      <c r="I2713" s="32" t="s">
        <v>185</v>
      </c>
      <c r="J2713" s="32" t="s">
        <v>186</v>
      </c>
      <c r="K2713" s="32" t="s">
        <v>63</v>
      </c>
    </row>
    <row r="2714" customFormat="false" ht="13.5" hidden="false" customHeight="true" outlineLevel="0" collapsed="false">
      <c r="A2714" s="32" t="n">
        <v>4939</v>
      </c>
      <c r="B2714" s="32" t="s">
        <v>2273</v>
      </c>
      <c r="C2714" s="32" t="s">
        <v>2274</v>
      </c>
      <c r="D2714" s="32" t="s">
        <v>114</v>
      </c>
      <c r="E2714" s="32" t="s">
        <v>124</v>
      </c>
      <c r="F2714" s="32" t="n">
        <v>9784691823</v>
      </c>
      <c r="G2714" s="32" t="s">
        <v>69</v>
      </c>
      <c r="H2714" s="32" t="s">
        <v>22</v>
      </c>
      <c r="I2714" s="32" t="s">
        <v>226</v>
      </c>
      <c r="J2714" s="32" t="s">
        <v>110</v>
      </c>
      <c r="K2714" s="32" t="s">
        <v>63</v>
      </c>
    </row>
    <row r="2715" customFormat="false" ht="13.5" hidden="false" customHeight="true" outlineLevel="0" collapsed="false">
      <c r="A2715" s="32" t="n">
        <v>4940</v>
      </c>
      <c r="B2715" s="32" t="s">
        <v>2275</v>
      </c>
      <c r="C2715" s="32" t="s">
        <v>2276</v>
      </c>
      <c r="D2715" s="32" t="s">
        <v>114</v>
      </c>
      <c r="E2715" s="32" t="s">
        <v>165</v>
      </c>
      <c r="F2715" s="32" t="s">
        <v>2277</v>
      </c>
      <c r="G2715" s="32" t="s">
        <v>144</v>
      </c>
      <c r="H2715" s="32" t="s">
        <v>22</v>
      </c>
      <c r="I2715" s="32" t="s">
        <v>85</v>
      </c>
      <c r="J2715" s="32" t="s">
        <v>85</v>
      </c>
      <c r="K2715" s="32" t="s">
        <v>63</v>
      </c>
    </row>
    <row r="2716" customFormat="false" ht="13.5" hidden="false" customHeight="true" outlineLevel="0" collapsed="false">
      <c r="A2716" s="32" t="n">
        <v>4941</v>
      </c>
      <c r="B2716" s="32" t="s">
        <v>2275</v>
      </c>
      <c r="C2716" s="32" t="s">
        <v>2278</v>
      </c>
      <c r="D2716" s="32" t="s">
        <v>114</v>
      </c>
      <c r="E2716" s="32" t="s">
        <v>165</v>
      </c>
      <c r="F2716" s="32" t="n">
        <v>7353909100</v>
      </c>
      <c r="G2716" s="32" t="s">
        <v>144</v>
      </c>
      <c r="H2716" s="32" t="s">
        <v>22</v>
      </c>
      <c r="I2716" s="32" t="s">
        <v>156</v>
      </c>
      <c r="J2716" s="32" t="s">
        <v>62</v>
      </c>
      <c r="K2716" s="32" t="s">
        <v>63</v>
      </c>
    </row>
    <row r="2717" customFormat="false" ht="13.5" hidden="false" customHeight="true" outlineLevel="0" collapsed="false">
      <c r="A2717" s="32" t="n">
        <v>4942</v>
      </c>
      <c r="B2717" s="32" t="s">
        <v>2275</v>
      </c>
      <c r="C2717" s="32" t="s">
        <v>2278</v>
      </c>
      <c r="D2717" s="32" t="s">
        <v>114</v>
      </c>
      <c r="E2717" s="32" t="s">
        <v>165</v>
      </c>
      <c r="F2717" s="32" t="n">
        <v>7353909100</v>
      </c>
      <c r="G2717" s="32" t="s">
        <v>144</v>
      </c>
      <c r="H2717" s="32" t="s">
        <v>22</v>
      </c>
      <c r="I2717" s="32" t="s">
        <v>28</v>
      </c>
      <c r="J2717" s="32" t="s">
        <v>82</v>
      </c>
      <c r="K2717" s="32" t="s">
        <v>63</v>
      </c>
    </row>
    <row r="2718" customFormat="false" ht="13.5" hidden="false" customHeight="true" outlineLevel="0" collapsed="false">
      <c r="A2718" s="32" t="n">
        <v>4943</v>
      </c>
      <c r="B2718" s="32" t="s">
        <v>2275</v>
      </c>
      <c r="C2718" s="32" t="s">
        <v>2278</v>
      </c>
      <c r="D2718" s="32" t="s">
        <v>114</v>
      </c>
      <c r="E2718" s="32" t="s">
        <v>165</v>
      </c>
      <c r="F2718" s="32" t="n">
        <v>7353909100</v>
      </c>
      <c r="G2718" s="32" t="s">
        <v>144</v>
      </c>
      <c r="H2718" s="32" t="s">
        <v>22</v>
      </c>
      <c r="I2718" s="32" t="s">
        <v>610</v>
      </c>
      <c r="J2718" s="32" t="s">
        <v>82</v>
      </c>
      <c r="K2718" s="32" t="s">
        <v>63</v>
      </c>
    </row>
    <row r="2719" customFormat="false" ht="13.5" hidden="false" customHeight="true" outlineLevel="0" collapsed="false">
      <c r="A2719" s="32" t="n">
        <v>4944</v>
      </c>
      <c r="B2719" s="32" t="s">
        <v>2275</v>
      </c>
      <c r="C2719" s="32" t="s">
        <v>2278</v>
      </c>
      <c r="D2719" s="32" t="s">
        <v>114</v>
      </c>
      <c r="E2719" s="32" t="s">
        <v>165</v>
      </c>
      <c r="F2719" s="32" t="n">
        <v>7353909100</v>
      </c>
      <c r="G2719" s="32" t="s">
        <v>144</v>
      </c>
      <c r="H2719" s="32" t="s">
        <v>22</v>
      </c>
      <c r="I2719" s="32" t="s">
        <v>416</v>
      </c>
      <c r="J2719" s="32" t="s">
        <v>82</v>
      </c>
      <c r="K2719" s="32" t="s">
        <v>63</v>
      </c>
    </row>
    <row r="2720" customFormat="false" ht="13.5" hidden="false" customHeight="true" outlineLevel="0" collapsed="false">
      <c r="A2720" s="32" t="n">
        <v>4945</v>
      </c>
      <c r="B2720" s="32" t="s">
        <v>2275</v>
      </c>
      <c r="C2720" s="32" t="s">
        <v>2278</v>
      </c>
      <c r="D2720" s="32" t="s">
        <v>114</v>
      </c>
      <c r="E2720" s="32" t="s">
        <v>165</v>
      </c>
      <c r="F2720" s="32" t="n">
        <v>7353909100</v>
      </c>
      <c r="G2720" s="32" t="s">
        <v>144</v>
      </c>
      <c r="H2720" s="32" t="s">
        <v>22</v>
      </c>
      <c r="I2720" s="32" t="s">
        <v>245</v>
      </c>
      <c r="J2720" s="32" t="s">
        <v>71</v>
      </c>
      <c r="K2720" s="32" t="s">
        <v>63</v>
      </c>
    </row>
    <row r="2721" customFormat="false" ht="13.5" hidden="false" customHeight="true" outlineLevel="0" collapsed="false">
      <c r="A2721" s="32" t="n">
        <v>4946</v>
      </c>
      <c r="B2721" s="32" t="s">
        <v>2275</v>
      </c>
      <c r="C2721" s="32" t="s">
        <v>2278</v>
      </c>
      <c r="D2721" s="32" t="s">
        <v>114</v>
      </c>
      <c r="E2721" s="32" t="s">
        <v>165</v>
      </c>
      <c r="F2721" s="32" t="n">
        <v>7353909100</v>
      </c>
      <c r="G2721" s="32" t="s">
        <v>144</v>
      </c>
      <c r="H2721" s="32" t="s">
        <v>22</v>
      </c>
      <c r="I2721" s="32" t="s">
        <v>494</v>
      </c>
      <c r="J2721" s="32" t="s">
        <v>71</v>
      </c>
      <c r="K2721" s="32" t="s">
        <v>63</v>
      </c>
    </row>
    <row r="2722" customFormat="false" ht="13.5" hidden="false" customHeight="true" outlineLevel="0" collapsed="false">
      <c r="A2722" s="32" t="n">
        <v>4947</v>
      </c>
      <c r="B2722" s="32" t="s">
        <v>2275</v>
      </c>
      <c r="C2722" s="32" t="s">
        <v>2278</v>
      </c>
      <c r="D2722" s="32" t="s">
        <v>114</v>
      </c>
      <c r="E2722" s="32" t="s">
        <v>165</v>
      </c>
      <c r="F2722" s="32" t="n">
        <v>7353909100</v>
      </c>
      <c r="G2722" s="32" t="s">
        <v>144</v>
      </c>
      <c r="H2722" s="32" t="s">
        <v>22</v>
      </c>
      <c r="I2722" s="32" t="s">
        <v>81</v>
      </c>
      <c r="J2722" s="32" t="s">
        <v>82</v>
      </c>
      <c r="K2722" s="32" t="s">
        <v>63</v>
      </c>
    </row>
    <row r="2723" customFormat="false" ht="13.5" hidden="false" customHeight="true" outlineLevel="0" collapsed="false">
      <c r="A2723" s="32" t="n">
        <v>4950</v>
      </c>
      <c r="B2723" s="32" t="s">
        <v>2275</v>
      </c>
      <c r="C2723" s="32" t="s">
        <v>2278</v>
      </c>
      <c r="D2723" s="32" t="s">
        <v>114</v>
      </c>
      <c r="E2723" s="32" t="s">
        <v>165</v>
      </c>
      <c r="F2723" s="32" t="s">
        <v>2277</v>
      </c>
      <c r="G2723" s="32" t="s">
        <v>144</v>
      </c>
      <c r="H2723" s="32" t="s">
        <v>22</v>
      </c>
      <c r="I2723" s="32" t="s">
        <v>14</v>
      </c>
      <c r="J2723" s="32" t="s">
        <v>66</v>
      </c>
      <c r="K2723" s="32" t="s">
        <v>63</v>
      </c>
    </row>
    <row r="2724" customFormat="false" ht="13.5" hidden="false" customHeight="true" outlineLevel="0" collapsed="false">
      <c r="A2724" s="32" t="n">
        <v>4951</v>
      </c>
      <c r="B2724" s="32" t="s">
        <v>2275</v>
      </c>
      <c r="C2724" s="32" t="s">
        <v>2278</v>
      </c>
      <c r="D2724" s="32" t="s">
        <v>114</v>
      </c>
      <c r="E2724" s="32" t="s">
        <v>165</v>
      </c>
      <c r="F2724" s="32" t="n">
        <v>7353909100</v>
      </c>
      <c r="G2724" s="32" t="s">
        <v>144</v>
      </c>
      <c r="H2724" s="32" t="s">
        <v>22</v>
      </c>
      <c r="I2724" s="32" t="s">
        <v>64</v>
      </c>
      <c r="J2724" s="32" t="s">
        <v>62</v>
      </c>
      <c r="K2724" s="32" t="s">
        <v>63</v>
      </c>
    </row>
    <row r="2725" customFormat="false" ht="13.5" hidden="false" customHeight="true" outlineLevel="0" collapsed="false">
      <c r="A2725" s="32" t="n">
        <v>4952</v>
      </c>
      <c r="B2725" s="32" t="s">
        <v>2275</v>
      </c>
      <c r="C2725" s="32" t="s">
        <v>2278</v>
      </c>
      <c r="D2725" s="32" t="s">
        <v>114</v>
      </c>
      <c r="E2725" s="32" t="s">
        <v>165</v>
      </c>
      <c r="F2725" s="32" t="s">
        <v>2277</v>
      </c>
      <c r="G2725" s="32" t="s">
        <v>144</v>
      </c>
      <c r="H2725" s="32" t="s">
        <v>22</v>
      </c>
      <c r="I2725" s="32" t="s">
        <v>29</v>
      </c>
      <c r="J2725" s="32" t="s">
        <v>62</v>
      </c>
      <c r="K2725" s="32" t="s">
        <v>63</v>
      </c>
    </row>
    <row r="2726" customFormat="false" ht="13.5" hidden="false" customHeight="true" outlineLevel="0" collapsed="false">
      <c r="A2726" s="32" t="n">
        <v>4953</v>
      </c>
      <c r="B2726" s="32" t="s">
        <v>2279</v>
      </c>
      <c r="C2726" s="32" t="s">
        <v>2280</v>
      </c>
      <c r="D2726" s="32" t="s">
        <v>59</v>
      </c>
      <c r="E2726" s="32" t="s">
        <v>79</v>
      </c>
      <c r="F2726" s="33" t="n">
        <v>919060000000</v>
      </c>
      <c r="G2726" s="32" t="s">
        <v>0</v>
      </c>
      <c r="H2726" s="32" t="s">
        <v>21</v>
      </c>
      <c r="I2726" s="32" t="s">
        <v>14</v>
      </c>
      <c r="J2726" s="32" t="s">
        <v>66</v>
      </c>
      <c r="K2726" s="32" t="s">
        <v>63</v>
      </c>
    </row>
    <row r="2727" customFormat="false" ht="13.5" hidden="false" customHeight="true" outlineLevel="0" collapsed="false">
      <c r="A2727" s="32" t="n">
        <v>4954</v>
      </c>
      <c r="B2727" s="32" t="s">
        <v>2279</v>
      </c>
      <c r="C2727" s="32" t="s">
        <v>2280</v>
      </c>
      <c r="D2727" s="32" t="s">
        <v>59</v>
      </c>
      <c r="E2727" s="32" t="s">
        <v>79</v>
      </c>
      <c r="F2727" s="33" t="n">
        <v>919060000000</v>
      </c>
      <c r="G2727" s="32" t="s">
        <v>0</v>
      </c>
      <c r="H2727" s="32" t="s">
        <v>21</v>
      </c>
      <c r="I2727" s="32" t="s">
        <v>30</v>
      </c>
      <c r="J2727" s="32" t="s">
        <v>203</v>
      </c>
      <c r="K2727" s="32" t="s">
        <v>63</v>
      </c>
    </row>
    <row r="2728" customFormat="false" ht="13.5" hidden="false" customHeight="true" outlineLevel="0" collapsed="false">
      <c r="A2728" s="32" t="n">
        <v>4958</v>
      </c>
      <c r="B2728" s="32" t="s">
        <v>2279</v>
      </c>
      <c r="C2728" s="32" t="s">
        <v>2280</v>
      </c>
      <c r="D2728" s="32" t="s">
        <v>59</v>
      </c>
      <c r="E2728" s="32" t="s">
        <v>79</v>
      </c>
      <c r="F2728" s="32" t="n">
        <v>9059958579</v>
      </c>
      <c r="G2728" s="32" t="s">
        <v>0</v>
      </c>
      <c r="H2728" s="32" t="s">
        <v>21</v>
      </c>
      <c r="I2728" s="32" t="s">
        <v>215</v>
      </c>
      <c r="J2728" s="32" t="s">
        <v>132</v>
      </c>
      <c r="K2728" s="32" t="s">
        <v>63</v>
      </c>
    </row>
    <row r="2729" customFormat="false" ht="13.5" hidden="false" customHeight="true" outlineLevel="0" collapsed="false">
      <c r="A2729" s="32" t="n">
        <v>4959</v>
      </c>
      <c r="B2729" s="32" t="s">
        <v>2279</v>
      </c>
      <c r="C2729" s="32" t="s">
        <v>2280</v>
      </c>
      <c r="D2729" s="32" t="s">
        <v>59</v>
      </c>
      <c r="E2729" s="32" t="s">
        <v>79</v>
      </c>
      <c r="F2729" s="33" t="n">
        <v>919060000000</v>
      </c>
      <c r="G2729" s="32" t="s">
        <v>0</v>
      </c>
      <c r="H2729" s="32" t="s">
        <v>21</v>
      </c>
      <c r="I2729" s="32" t="s">
        <v>2014</v>
      </c>
      <c r="J2729" s="32" t="s">
        <v>132</v>
      </c>
      <c r="K2729" s="32" t="s">
        <v>63</v>
      </c>
    </row>
    <row r="2730" customFormat="false" ht="13.5" hidden="false" customHeight="true" outlineLevel="0" collapsed="false">
      <c r="A2730" s="32" t="n">
        <v>4960</v>
      </c>
      <c r="B2730" s="32" t="s">
        <v>2281</v>
      </c>
      <c r="C2730" s="32" t="s">
        <v>2282</v>
      </c>
      <c r="D2730" s="32" t="s">
        <v>114</v>
      </c>
      <c r="E2730" s="32" t="s">
        <v>268</v>
      </c>
      <c r="F2730" s="32" t="n">
        <v>9007613450</v>
      </c>
      <c r="G2730" s="32" t="s">
        <v>61</v>
      </c>
      <c r="H2730" s="32" t="s">
        <v>22</v>
      </c>
      <c r="I2730" s="32" t="s">
        <v>350</v>
      </c>
      <c r="J2730" s="32" t="s">
        <v>235</v>
      </c>
      <c r="K2730" s="32" t="s">
        <v>63</v>
      </c>
    </row>
    <row r="2731" customFormat="false" ht="13.5" hidden="false" customHeight="true" outlineLevel="0" collapsed="false">
      <c r="A2731" s="32" t="n">
        <v>4961</v>
      </c>
      <c r="B2731" s="32" t="s">
        <v>2281</v>
      </c>
      <c r="C2731" s="32" t="s">
        <v>2282</v>
      </c>
      <c r="D2731" s="32" t="s">
        <v>114</v>
      </c>
      <c r="E2731" s="32" t="s">
        <v>268</v>
      </c>
      <c r="F2731" s="32" t="n">
        <v>9007613450</v>
      </c>
      <c r="G2731" s="32" t="s">
        <v>61</v>
      </c>
      <c r="H2731" s="32" t="s">
        <v>22</v>
      </c>
      <c r="I2731" s="32" t="s">
        <v>333</v>
      </c>
      <c r="J2731" s="32" t="s">
        <v>235</v>
      </c>
      <c r="K2731" s="32" t="s">
        <v>63</v>
      </c>
    </row>
    <row r="2732" customFormat="false" ht="13.5" hidden="false" customHeight="true" outlineLevel="0" collapsed="false">
      <c r="A2732" s="32" t="n">
        <v>4962</v>
      </c>
      <c r="B2732" s="32" t="s">
        <v>2281</v>
      </c>
      <c r="C2732" s="32" t="s">
        <v>2283</v>
      </c>
      <c r="D2732" s="32" t="s">
        <v>114</v>
      </c>
      <c r="E2732" s="32" t="s">
        <v>268</v>
      </c>
      <c r="F2732" s="32" t="n">
        <v>9007613450</v>
      </c>
      <c r="G2732" s="32" t="s">
        <v>61</v>
      </c>
      <c r="H2732" s="32" t="s">
        <v>22</v>
      </c>
      <c r="I2732" s="32" t="s">
        <v>87</v>
      </c>
      <c r="J2732" s="32" t="s">
        <v>84</v>
      </c>
      <c r="K2732" s="32" t="s">
        <v>63</v>
      </c>
    </row>
    <row r="2733" customFormat="false" ht="13.5" hidden="false" customHeight="true" outlineLevel="0" collapsed="false">
      <c r="A2733" s="32" t="n">
        <v>4963</v>
      </c>
      <c r="B2733" s="32" t="s">
        <v>2284</v>
      </c>
      <c r="C2733" s="32" t="s">
        <v>2285</v>
      </c>
      <c r="D2733" s="32" t="s">
        <v>114</v>
      </c>
      <c r="E2733" s="32" t="s">
        <v>268</v>
      </c>
      <c r="F2733" s="32" t="n">
        <v>9538995277</v>
      </c>
      <c r="G2733" s="32" t="s">
        <v>61</v>
      </c>
      <c r="H2733" s="32" t="s">
        <v>22</v>
      </c>
      <c r="I2733" s="32" t="s">
        <v>940</v>
      </c>
      <c r="J2733" s="32" t="s">
        <v>235</v>
      </c>
      <c r="K2733" s="32" t="s">
        <v>63</v>
      </c>
    </row>
    <row r="2734" customFormat="false" ht="13.5" hidden="false" customHeight="true" outlineLevel="0" collapsed="false">
      <c r="A2734" s="32" t="n">
        <v>4964</v>
      </c>
      <c r="B2734" s="32" t="s">
        <v>2286</v>
      </c>
      <c r="C2734" s="32" t="s">
        <v>2287</v>
      </c>
      <c r="D2734" s="32" t="s">
        <v>59</v>
      </c>
      <c r="E2734" s="32" t="s">
        <v>107</v>
      </c>
      <c r="F2734" s="32" t="n">
        <v>8340266143</v>
      </c>
      <c r="G2734" s="32" t="s">
        <v>61</v>
      </c>
      <c r="H2734" s="32" t="s">
        <v>21</v>
      </c>
      <c r="I2734" s="32" t="s">
        <v>128</v>
      </c>
      <c r="J2734" s="32" t="s">
        <v>89</v>
      </c>
      <c r="K2734" s="32" t="s">
        <v>63</v>
      </c>
    </row>
    <row r="2735" customFormat="false" ht="13.5" hidden="false" customHeight="true" outlineLevel="0" collapsed="false">
      <c r="A2735" s="32" t="n">
        <v>4965</v>
      </c>
      <c r="B2735" s="32" t="s">
        <v>2286</v>
      </c>
      <c r="C2735" s="32" t="s">
        <v>2287</v>
      </c>
      <c r="D2735" s="32" t="s">
        <v>59</v>
      </c>
      <c r="E2735" s="32" t="s">
        <v>107</v>
      </c>
      <c r="F2735" s="32" t="n">
        <v>8340266143</v>
      </c>
      <c r="G2735" s="32" t="s">
        <v>61</v>
      </c>
      <c r="H2735" s="32" t="s">
        <v>21</v>
      </c>
      <c r="I2735" s="32" t="s">
        <v>121</v>
      </c>
      <c r="J2735" s="32" t="s">
        <v>110</v>
      </c>
      <c r="K2735" s="32" t="s">
        <v>63</v>
      </c>
    </row>
    <row r="2736" customFormat="false" ht="13.5" hidden="false" customHeight="true" outlineLevel="0" collapsed="false">
      <c r="A2736" s="32" t="n">
        <v>4966</v>
      </c>
      <c r="B2736" s="32" t="s">
        <v>2286</v>
      </c>
      <c r="C2736" s="32" t="s">
        <v>2287</v>
      </c>
      <c r="D2736" s="32" t="s">
        <v>59</v>
      </c>
      <c r="E2736" s="32" t="s">
        <v>107</v>
      </c>
      <c r="F2736" s="32" t="n">
        <v>8340266143</v>
      </c>
      <c r="G2736" s="32" t="s">
        <v>61</v>
      </c>
      <c r="H2736" s="32" t="s">
        <v>21</v>
      </c>
      <c r="I2736" s="32" t="s">
        <v>133</v>
      </c>
      <c r="J2736" s="32" t="s">
        <v>134</v>
      </c>
      <c r="K2736" s="32" t="s">
        <v>63</v>
      </c>
    </row>
    <row r="2737" customFormat="false" ht="13.5" hidden="false" customHeight="true" outlineLevel="0" collapsed="false">
      <c r="A2737" s="32" t="n">
        <v>4967</v>
      </c>
      <c r="B2737" s="32" t="s">
        <v>2288</v>
      </c>
      <c r="C2737" s="32" t="s">
        <v>2289</v>
      </c>
      <c r="D2737" s="32" t="s">
        <v>59</v>
      </c>
      <c r="E2737" s="32" t="s">
        <v>107</v>
      </c>
      <c r="F2737" s="32" t="n">
        <v>9665534909</v>
      </c>
      <c r="G2737" s="32" t="s">
        <v>61</v>
      </c>
      <c r="H2737" s="32" t="s">
        <v>21</v>
      </c>
      <c r="I2737" s="32" t="s">
        <v>150</v>
      </c>
      <c r="J2737" s="32" t="s">
        <v>73</v>
      </c>
      <c r="K2737" s="32" t="s">
        <v>63</v>
      </c>
    </row>
    <row r="2738" customFormat="false" ht="13.5" hidden="false" customHeight="true" outlineLevel="0" collapsed="false">
      <c r="A2738" s="32" t="n">
        <v>4968</v>
      </c>
      <c r="B2738" s="32" t="s">
        <v>2288</v>
      </c>
      <c r="C2738" s="32" t="s">
        <v>2290</v>
      </c>
      <c r="D2738" s="32" t="s">
        <v>59</v>
      </c>
      <c r="E2738" s="32" t="s">
        <v>107</v>
      </c>
      <c r="F2738" s="32" t="n">
        <v>9665534909</v>
      </c>
      <c r="G2738" s="32" t="s">
        <v>61</v>
      </c>
      <c r="H2738" s="32" t="s">
        <v>21</v>
      </c>
      <c r="I2738" s="32" t="s">
        <v>108</v>
      </c>
      <c r="J2738" s="32" t="s">
        <v>71</v>
      </c>
      <c r="K2738" s="32" t="s">
        <v>63</v>
      </c>
    </row>
    <row r="2739" customFormat="false" ht="13.5" hidden="false" customHeight="true" outlineLevel="0" collapsed="false">
      <c r="A2739" s="32" t="n">
        <v>4969</v>
      </c>
      <c r="B2739" s="32" t="s">
        <v>2288</v>
      </c>
      <c r="C2739" s="32" t="s">
        <v>2290</v>
      </c>
      <c r="D2739" s="32" t="s">
        <v>59</v>
      </c>
      <c r="E2739" s="32" t="s">
        <v>107</v>
      </c>
      <c r="F2739" s="32" t="n">
        <v>9665534909</v>
      </c>
      <c r="G2739" s="32" t="s">
        <v>61</v>
      </c>
      <c r="H2739" s="32" t="s">
        <v>21</v>
      </c>
      <c r="I2739" s="32" t="s">
        <v>393</v>
      </c>
      <c r="J2739" s="32" t="s">
        <v>73</v>
      </c>
      <c r="K2739" s="32" t="s">
        <v>63</v>
      </c>
    </row>
    <row r="2740" customFormat="false" ht="13.5" hidden="false" customHeight="true" outlineLevel="0" collapsed="false">
      <c r="A2740" s="32" t="n">
        <v>4970</v>
      </c>
      <c r="B2740" s="32" t="s">
        <v>2288</v>
      </c>
      <c r="C2740" s="32" t="s">
        <v>2290</v>
      </c>
      <c r="D2740" s="32" t="s">
        <v>59</v>
      </c>
      <c r="E2740" s="32" t="s">
        <v>107</v>
      </c>
      <c r="F2740" s="32" t="n">
        <v>9665534909</v>
      </c>
      <c r="G2740" s="32" t="s">
        <v>61</v>
      </c>
      <c r="H2740" s="32" t="s">
        <v>21</v>
      </c>
      <c r="I2740" s="32" t="s">
        <v>111</v>
      </c>
      <c r="J2740" s="32" t="s">
        <v>73</v>
      </c>
      <c r="K2740" s="32" t="s">
        <v>63</v>
      </c>
    </row>
    <row r="2741" customFormat="false" ht="13.5" hidden="false" customHeight="true" outlineLevel="0" collapsed="false">
      <c r="A2741" s="32" t="n">
        <v>4971</v>
      </c>
      <c r="B2741" s="32" t="s">
        <v>2288</v>
      </c>
      <c r="C2741" s="32" t="s">
        <v>2289</v>
      </c>
      <c r="D2741" s="32" t="s">
        <v>59</v>
      </c>
      <c r="E2741" s="32" t="s">
        <v>107</v>
      </c>
      <c r="F2741" s="32" t="n">
        <v>9665534909</v>
      </c>
      <c r="G2741" s="32" t="s">
        <v>61</v>
      </c>
      <c r="H2741" s="32" t="s">
        <v>21</v>
      </c>
      <c r="I2741" s="32" t="s">
        <v>212</v>
      </c>
      <c r="J2741" s="32" t="s">
        <v>73</v>
      </c>
      <c r="K2741" s="32" t="s">
        <v>63</v>
      </c>
    </row>
    <row r="2742" customFormat="false" ht="13.5" hidden="false" customHeight="true" outlineLevel="0" collapsed="false">
      <c r="A2742" s="32" t="n">
        <v>4972</v>
      </c>
      <c r="B2742" s="32" t="s">
        <v>2291</v>
      </c>
      <c r="C2742" s="32" t="s">
        <v>2292</v>
      </c>
      <c r="D2742" s="32" t="s">
        <v>59</v>
      </c>
      <c r="E2742" s="32" t="s">
        <v>92</v>
      </c>
      <c r="F2742" s="33" t="n">
        <v>918427000000</v>
      </c>
      <c r="G2742" s="32" t="s">
        <v>144</v>
      </c>
      <c r="H2742" s="32" t="s">
        <v>21</v>
      </c>
      <c r="I2742" s="32" t="s">
        <v>226</v>
      </c>
      <c r="J2742" s="32" t="s">
        <v>110</v>
      </c>
      <c r="K2742" s="32" t="s">
        <v>63</v>
      </c>
    </row>
    <row r="2743" customFormat="false" ht="13.5" hidden="false" customHeight="true" outlineLevel="0" collapsed="false">
      <c r="A2743" s="32" t="n">
        <v>4973</v>
      </c>
      <c r="B2743" s="32" t="s">
        <v>2291</v>
      </c>
      <c r="C2743" s="32" t="s">
        <v>2292</v>
      </c>
      <c r="D2743" s="32" t="s">
        <v>59</v>
      </c>
      <c r="E2743" s="32" t="s">
        <v>92</v>
      </c>
      <c r="F2743" s="33" t="n">
        <v>918427000000</v>
      </c>
      <c r="G2743" s="32" t="s">
        <v>144</v>
      </c>
      <c r="H2743" s="32" t="s">
        <v>21</v>
      </c>
      <c r="I2743" s="32" t="s">
        <v>227</v>
      </c>
      <c r="J2743" s="32" t="s">
        <v>228</v>
      </c>
      <c r="K2743" s="32" t="s">
        <v>63</v>
      </c>
    </row>
    <row r="2744" customFormat="false" ht="13.5" hidden="false" customHeight="true" outlineLevel="0" collapsed="false">
      <c r="A2744" s="32" t="n">
        <v>4974</v>
      </c>
      <c r="B2744" s="32" t="s">
        <v>2291</v>
      </c>
      <c r="C2744" s="32" t="s">
        <v>2292</v>
      </c>
      <c r="D2744" s="32" t="s">
        <v>59</v>
      </c>
      <c r="E2744" s="32" t="s">
        <v>92</v>
      </c>
      <c r="F2744" s="33" t="n">
        <v>918427000000</v>
      </c>
      <c r="G2744" s="32" t="s">
        <v>144</v>
      </c>
      <c r="H2744" s="32" t="s">
        <v>21</v>
      </c>
      <c r="I2744" s="32" t="s">
        <v>145</v>
      </c>
      <c r="J2744" s="32" t="s">
        <v>117</v>
      </c>
      <c r="K2744" s="32" t="s">
        <v>63</v>
      </c>
    </row>
    <row r="2745" customFormat="false" ht="13.5" hidden="false" customHeight="true" outlineLevel="0" collapsed="false">
      <c r="A2745" s="32" t="n">
        <v>4975</v>
      </c>
      <c r="B2745" s="32" t="s">
        <v>2293</v>
      </c>
      <c r="C2745" s="32" t="s">
        <v>2294</v>
      </c>
      <c r="D2745" s="32" t="s">
        <v>114</v>
      </c>
      <c r="E2745" s="32" t="s">
        <v>115</v>
      </c>
      <c r="F2745" s="32" t="s">
        <v>2295</v>
      </c>
      <c r="G2745" s="32" t="s">
        <v>80</v>
      </c>
      <c r="H2745" s="32" t="s">
        <v>22</v>
      </c>
      <c r="I2745" s="32" t="s">
        <v>93</v>
      </c>
      <c r="J2745" s="32" t="s">
        <v>85</v>
      </c>
      <c r="K2745" s="32" t="s">
        <v>63</v>
      </c>
    </row>
    <row r="2746" customFormat="false" ht="13.5" hidden="false" customHeight="true" outlineLevel="0" collapsed="false">
      <c r="A2746" s="32" t="n">
        <v>4976</v>
      </c>
      <c r="B2746" s="32" t="s">
        <v>2293</v>
      </c>
      <c r="C2746" s="32" t="s">
        <v>2296</v>
      </c>
      <c r="D2746" s="32" t="s">
        <v>114</v>
      </c>
      <c r="E2746" s="32" t="s">
        <v>115</v>
      </c>
      <c r="F2746" s="32" t="n">
        <v>8186037282</v>
      </c>
      <c r="G2746" s="32" t="s">
        <v>80</v>
      </c>
      <c r="H2746" s="32" t="s">
        <v>22</v>
      </c>
      <c r="I2746" s="32" t="s">
        <v>408</v>
      </c>
      <c r="J2746" s="32" t="s">
        <v>117</v>
      </c>
      <c r="K2746" s="32" t="s">
        <v>63</v>
      </c>
    </row>
    <row r="2747" customFormat="false" ht="13.5" hidden="false" customHeight="true" outlineLevel="0" collapsed="false">
      <c r="A2747" s="32" t="n">
        <v>4977</v>
      </c>
      <c r="B2747" s="32" t="s">
        <v>2293</v>
      </c>
      <c r="C2747" s="32" t="s">
        <v>2296</v>
      </c>
      <c r="D2747" s="32" t="s">
        <v>114</v>
      </c>
      <c r="E2747" s="32" t="s">
        <v>115</v>
      </c>
      <c r="F2747" s="32" t="s">
        <v>2295</v>
      </c>
      <c r="G2747" s="32" t="s">
        <v>80</v>
      </c>
      <c r="H2747" s="32" t="s">
        <v>22</v>
      </c>
      <c r="I2747" s="32" t="s">
        <v>280</v>
      </c>
      <c r="J2747" s="32" t="s">
        <v>76</v>
      </c>
      <c r="K2747" s="32" t="s">
        <v>63</v>
      </c>
    </row>
    <row r="2748" customFormat="false" ht="13.5" hidden="false" customHeight="true" outlineLevel="0" collapsed="false">
      <c r="A2748" s="32" t="n">
        <v>4978</v>
      </c>
      <c r="B2748" s="32" t="s">
        <v>2293</v>
      </c>
      <c r="C2748" s="32" t="s">
        <v>2296</v>
      </c>
      <c r="D2748" s="32" t="s">
        <v>114</v>
      </c>
      <c r="E2748" s="32" t="s">
        <v>115</v>
      </c>
      <c r="F2748" s="32" t="n">
        <v>8186037282</v>
      </c>
      <c r="G2748" s="32" t="s">
        <v>80</v>
      </c>
      <c r="H2748" s="32" t="s">
        <v>22</v>
      </c>
      <c r="I2748" s="32" t="s">
        <v>172</v>
      </c>
      <c r="J2748" s="32" t="s">
        <v>152</v>
      </c>
      <c r="K2748" s="32" t="s">
        <v>63</v>
      </c>
    </row>
    <row r="2749" customFormat="false" ht="13.5" hidden="false" customHeight="true" outlineLevel="0" collapsed="false">
      <c r="A2749" s="32" t="n">
        <v>4979</v>
      </c>
      <c r="B2749" s="32" t="s">
        <v>2293</v>
      </c>
      <c r="C2749" s="32" t="s">
        <v>2294</v>
      </c>
      <c r="D2749" s="32" t="s">
        <v>114</v>
      </c>
      <c r="E2749" s="32" t="s">
        <v>115</v>
      </c>
      <c r="F2749" s="32" t="n">
        <v>8186037282</v>
      </c>
      <c r="G2749" s="32" t="s">
        <v>80</v>
      </c>
      <c r="H2749" s="32" t="s">
        <v>22</v>
      </c>
      <c r="I2749" s="32" t="s">
        <v>151</v>
      </c>
      <c r="J2749" s="32" t="s">
        <v>152</v>
      </c>
      <c r="K2749" s="32" t="s">
        <v>63</v>
      </c>
    </row>
    <row r="2750" customFormat="false" ht="13.5" hidden="false" customHeight="true" outlineLevel="0" collapsed="false">
      <c r="A2750" s="32" t="n">
        <v>4980</v>
      </c>
      <c r="B2750" s="32" t="s">
        <v>2297</v>
      </c>
      <c r="C2750" s="32" t="s">
        <v>2298</v>
      </c>
      <c r="D2750" s="32" t="s">
        <v>59</v>
      </c>
      <c r="E2750" s="32" t="s">
        <v>79</v>
      </c>
      <c r="F2750" s="33" t="n">
        <v>919742000000</v>
      </c>
      <c r="G2750" s="32" t="s">
        <v>144</v>
      </c>
      <c r="H2750" s="32" t="s">
        <v>21</v>
      </c>
      <c r="I2750" s="32" t="s">
        <v>251</v>
      </c>
      <c r="J2750" s="32" t="s">
        <v>152</v>
      </c>
      <c r="K2750" s="32" t="s">
        <v>63</v>
      </c>
    </row>
    <row r="2751" customFormat="false" ht="13.5" hidden="false" customHeight="true" outlineLevel="0" collapsed="false">
      <c r="A2751" s="32" t="n">
        <v>4981</v>
      </c>
      <c r="B2751" s="32" t="s">
        <v>2299</v>
      </c>
      <c r="C2751" s="32" t="s">
        <v>2300</v>
      </c>
      <c r="D2751" s="32" t="s">
        <v>114</v>
      </c>
      <c r="E2751" s="32" t="s">
        <v>115</v>
      </c>
      <c r="F2751" s="32" t="n">
        <v>8375847917</v>
      </c>
      <c r="G2751" s="32" t="s">
        <v>144</v>
      </c>
      <c r="H2751" s="32" t="s">
        <v>22</v>
      </c>
      <c r="I2751" s="32" t="s">
        <v>386</v>
      </c>
      <c r="J2751" s="32" t="s">
        <v>132</v>
      </c>
      <c r="K2751" s="32" t="s">
        <v>63</v>
      </c>
    </row>
    <row r="2752" customFormat="false" ht="13.5" hidden="false" customHeight="true" outlineLevel="0" collapsed="false">
      <c r="A2752" s="32" t="n">
        <v>4982</v>
      </c>
      <c r="B2752" s="32" t="s">
        <v>2299</v>
      </c>
      <c r="C2752" s="32" t="s">
        <v>2300</v>
      </c>
      <c r="D2752" s="32" t="s">
        <v>114</v>
      </c>
      <c r="E2752" s="32" t="s">
        <v>115</v>
      </c>
      <c r="F2752" s="32" t="n">
        <v>8375847917</v>
      </c>
      <c r="G2752" s="32" t="s">
        <v>144</v>
      </c>
      <c r="H2752" s="32" t="s">
        <v>22</v>
      </c>
      <c r="I2752" s="32" t="s">
        <v>215</v>
      </c>
      <c r="J2752" s="32" t="s">
        <v>132</v>
      </c>
      <c r="K2752" s="32" t="s">
        <v>63</v>
      </c>
    </row>
    <row r="2753" customFormat="false" ht="13.5" hidden="false" customHeight="true" outlineLevel="0" collapsed="false">
      <c r="A2753" s="32" t="n">
        <v>4983</v>
      </c>
      <c r="B2753" s="32" t="s">
        <v>2299</v>
      </c>
      <c r="C2753" s="32" t="s">
        <v>2300</v>
      </c>
      <c r="D2753" s="32" t="s">
        <v>114</v>
      </c>
      <c r="E2753" s="32" t="s">
        <v>115</v>
      </c>
      <c r="F2753" s="32" t="n">
        <v>8375847917</v>
      </c>
      <c r="G2753" s="32" t="s">
        <v>144</v>
      </c>
      <c r="H2753" s="32" t="s">
        <v>22</v>
      </c>
      <c r="I2753" s="32" t="s">
        <v>217</v>
      </c>
      <c r="J2753" s="32" t="s">
        <v>132</v>
      </c>
      <c r="K2753" s="32" t="s">
        <v>63</v>
      </c>
    </row>
    <row r="2754" customFormat="false" ht="13.5" hidden="false" customHeight="true" outlineLevel="0" collapsed="false">
      <c r="A2754" s="32" t="n">
        <v>4984</v>
      </c>
      <c r="B2754" s="32" t="s">
        <v>2301</v>
      </c>
      <c r="C2754" s="32" t="s">
        <v>2302</v>
      </c>
      <c r="D2754" s="32" t="s">
        <v>59</v>
      </c>
      <c r="E2754" s="32" t="s">
        <v>143</v>
      </c>
      <c r="F2754" s="32" t="n">
        <v>9849055335</v>
      </c>
      <c r="G2754" s="32" t="s">
        <v>80</v>
      </c>
      <c r="H2754" s="32" t="s">
        <v>21</v>
      </c>
      <c r="I2754" s="32" t="s">
        <v>172</v>
      </c>
      <c r="J2754" s="32" t="s">
        <v>152</v>
      </c>
      <c r="K2754" s="32" t="s">
        <v>63</v>
      </c>
    </row>
    <row r="2755" customFormat="false" ht="13.5" hidden="false" customHeight="true" outlineLevel="0" collapsed="false">
      <c r="A2755" s="32" t="n">
        <v>4985</v>
      </c>
      <c r="B2755" s="32" t="s">
        <v>2301</v>
      </c>
      <c r="C2755" s="32" t="s">
        <v>2302</v>
      </c>
      <c r="D2755" s="32" t="s">
        <v>59</v>
      </c>
      <c r="E2755" s="32" t="s">
        <v>143</v>
      </c>
      <c r="F2755" s="33" t="n">
        <v>919849000000</v>
      </c>
      <c r="G2755" s="32" t="s">
        <v>80</v>
      </c>
      <c r="H2755" s="32" t="s">
        <v>21</v>
      </c>
      <c r="I2755" s="32" t="s">
        <v>14</v>
      </c>
      <c r="J2755" s="32" t="s">
        <v>66</v>
      </c>
      <c r="K2755" s="32" t="s">
        <v>63</v>
      </c>
    </row>
    <row r="2756" customFormat="false" ht="13.5" hidden="false" customHeight="true" outlineLevel="0" collapsed="false">
      <c r="A2756" s="32" t="n">
        <v>4986</v>
      </c>
      <c r="B2756" s="32" t="s">
        <v>2301</v>
      </c>
      <c r="C2756" s="32" t="s">
        <v>2303</v>
      </c>
      <c r="D2756" s="32" t="s">
        <v>59</v>
      </c>
      <c r="E2756" s="32" t="s">
        <v>143</v>
      </c>
      <c r="F2756" s="32" t="n">
        <v>9849055335</v>
      </c>
      <c r="G2756" s="32" t="s">
        <v>80</v>
      </c>
      <c r="H2756" s="32" t="s">
        <v>21</v>
      </c>
      <c r="I2756" s="32" t="s">
        <v>156</v>
      </c>
      <c r="J2756" s="32" t="s">
        <v>62</v>
      </c>
      <c r="K2756" s="32" t="s">
        <v>63</v>
      </c>
    </row>
    <row r="2757" customFormat="false" ht="13.5" hidden="false" customHeight="true" outlineLevel="0" collapsed="false">
      <c r="A2757" s="32" t="n">
        <v>4987</v>
      </c>
      <c r="B2757" s="32" t="s">
        <v>2301</v>
      </c>
      <c r="C2757" s="32" t="s">
        <v>2303</v>
      </c>
      <c r="D2757" s="32" t="s">
        <v>59</v>
      </c>
      <c r="E2757" s="32" t="s">
        <v>143</v>
      </c>
      <c r="F2757" s="32" t="n">
        <v>9849055335</v>
      </c>
      <c r="G2757" s="32" t="s">
        <v>80</v>
      </c>
      <c r="H2757" s="32" t="s">
        <v>21</v>
      </c>
      <c r="I2757" s="32" t="s">
        <v>29</v>
      </c>
      <c r="J2757" s="32" t="s">
        <v>62</v>
      </c>
      <c r="K2757" s="32" t="s">
        <v>63</v>
      </c>
    </row>
    <row r="2758" customFormat="false" ht="13.5" hidden="false" customHeight="true" outlineLevel="0" collapsed="false">
      <c r="A2758" s="32" t="n">
        <v>4988</v>
      </c>
      <c r="B2758" s="32" t="s">
        <v>2301</v>
      </c>
      <c r="C2758" s="32" t="s">
        <v>2303</v>
      </c>
      <c r="D2758" s="32" t="s">
        <v>59</v>
      </c>
      <c r="E2758" s="32" t="s">
        <v>143</v>
      </c>
      <c r="F2758" s="32" t="n">
        <v>9849055335</v>
      </c>
      <c r="G2758" s="32" t="s">
        <v>80</v>
      </c>
      <c r="H2758" s="32" t="s">
        <v>21</v>
      </c>
      <c r="I2758" s="32" t="s">
        <v>773</v>
      </c>
      <c r="J2758" s="32" t="s">
        <v>66</v>
      </c>
      <c r="K2758" s="32" t="s">
        <v>63</v>
      </c>
    </row>
    <row r="2759" customFormat="false" ht="13.5" hidden="false" customHeight="true" outlineLevel="0" collapsed="false">
      <c r="A2759" s="32" t="n">
        <v>4989</v>
      </c>
      <c r="B2759" s="32" t="s">
        <v>2304</v>
      </c>
      <c r="C2759" s="32" t="s">
        <v>2305</v>
      </c>
      <c r="D2759" s="32" t="s">
        <v>59</v>
      </c>
      <c r="E2759" s="32" t="s">
        <v>60</v>
      </c>
      <c r="F2759" s="33" t="n">
        <v>919920000000</v>
      </c>
      <c r="G2759" s="32" t="s">
        <v>104</v>
      </c>
      <c r="H2759" s="32" t="s">
        <v>21</v>
      </c>
      <c r="I2759" s="32" t="s">
        <v>1034</v>
      </c>
      <c r="J2759" s="32" t="s">
        <v>62</v>
      </c>
      <c r="K2759" s="32" t="s">
        <v>63</v>
      </c>
    </row>
    <row r="2760" customFormat="false" ht="13.5" hidden="false" customHeight="true" outlineLevel="0" collapsed="false">
      <c r="A2760" s="32" t="n">
        <v>4990</v>
      </c>
      <c r="B2760" s="32" t="s">
        <v>2304</v>
      </c>
      <c r="C2760" s="32" t="s">
        <v>2306</v>
      </c>
      <c r="D2760" s="32" t="s">
        <v>59</v>
      </c>
      <c r="E2760" s="32" t="s">
        <v>60</v>
      </c>
      <c r="F2760" s="33" t="n">
        <v>919920000000</v>
      </c>
      <c r="G2760" s="32" t="s">
        <v>104</v>
      </c>
      <c r="H2760" s="32" t="s">
        <v>21</v>
      </c>
      <c r="I2760" s="32" t="s">
        <v>156</v>
      </c>
      <c r="J2760" s="32" t="s">
        <v>62</v>
      </c>
      <c r="K2760" s="32" t="s">
        <v>63</v>
      </c>
    </row>
    <row r="2761" customFormat="false" ht="13.5" hidden="false" customHeight="true" outlineLevel="0" collapsed="false">
      <c r="A2761" s="32" t="n">
        <v>4991</v>
      </c>
      <c r="B2761" s="32" t="s">
        <v>2304</v>
      </c>
      <c r="C2761" s="32" t="s">
        <v>2307</v>
      </c>
      <c r="D2761" s="32" t="s">
        <v>59</v>
      </c>
      <c r="E2761" s="32" t="s">
        <v>60</v>
      </c>
      <c r="F2761" s="32" t="n">
        <v>9920156496</v>
      </c>
      <c r="G2761" s="32" t="s">
        <v>104</v>
      </c>
      <c r="H2761" s="32" t="s">
        <v>21</v>
      </c>
      <c r="I2761" s="32" t="s">
        <v>29</v>
      </c>
      <c r="J2761" s="32" t="s">
        <v>62</v>
      </c>
      <c r="K2761" s="32" t="s">
        <v>63</v>
      </c>
    </row>
    <row r="2762" customFormat="false" ht="13.5" hidden="false" customHeight="true" outlineLevel="0" collapsed="false">
      <c r="A2762" s="32" t="n">
        <v>4992</v>
      </c>
      <c r="B2762" s="32" t="s">
        <v>2304</v>
      </c>
      <c r="C2762" s="32" t="s">
        <v>2307</v>
      </c>
      <c r="D2762" s="32" t="s">
        <v>59</v>
      </c>
      <c r="E2762" s="32" t="s">
        <v>60</v>
      </c>
      <c r="F2762" s="32" t="n">
        <v>9920156496</v>
      </c>
      <c r="G2762" s="32" t="s">
        <v>104</v>
      </c>
      <c r="H2762" s="32" t="s">
        <v>21</v>
      </c>
      <c r="I2762" s="32" t="s">
        <v>14</v>
      </c>
      <c r="J2762" s="32" t="s">
        <v>66</v>
      </c>
      <c r="K2762" s="32" t="s">
        <v>63</v>
      </c>
    </row>
    <row r="2763" customFormat="false" ht="13.5" hidden="false" customHeight="true" outlineLevel="0" collapsed="false">
      <c r="A2763" s="32" t="n">
        <v>4993</v>
      </c>
      <c r="B2763" s="32" t="s">
        <v>2308</v>
      </c>
      <c r="C2763" s="32" t="s">
        <v>2309</v>
      </c>
      <c r="D2763" s="32" t="s">
        <v>59</v>
      </c>
      <c r="E2763" s="32" t="s">
        <v>107</v>
      </c>
      <c r="F2763" s="32" t="n">
        <v>0</v>
      </c>
      <c r="G2763" s="32" t="s">
        <v>144</v>
      </c>
      <c r="H2763" s="32" t="s">
        <v>21</v>
      </c>
      <c r="I2763" s="32" t="s">
        <v>221</v>
      </c>
      <c r="J2763" s="32" t="s">
        <v>222</v>
      </c>
      <c r="K2763" s="32" t="s">
        <v>63</v>
      </c>
    </row>
    <row r="2764" customFormat="false" ht="13.5" hidden="false" customHeight="true" outlineLevel="0" collapsed="false">
      <c r="A2764" s="32" t="n">
        <v>4994</v>
      </c>
      <c r="B2764" s="32" t="s">
        <v>2308</v>
      </c>
      <c r="C2764" s="32" t="s">
        <v>2309</v>
      </c>
      <c r="D2764" s="32" t="s">
        <v>59</v>
      </c>
      <c r="E2764" s="32" t="s">
        <v>107</v>
      </c>
      <c r="F2764" s="32" t="n">
        <v>0</v>
      </c>
      <c r="G2764" s="32" t="s">
        <v>144</v>
      </c>
      <c r="H2764" s="32" t="s">
        <v>21</v>
      </c>
      <c r="I2764" s="32" t="s">
        <v>121</v>
      </c>
      <c r="J2764" s="32" t="s">
        <v>110</v>
      </c>
      <c r="K2764" s="32" t="s">
        <v>63</v>
      </c>
    </row>
    <row r="2765" customFormat="false" ht="13.5" hidden="false" customHeight="true" outlineLevel="0" collapsed="false">
      <c r="A2765" s="32" t="n">
        <v>4995</v>
      </c>
      <c r="B2765" s="32" t="s">
        <v>2308</v>
      </c>
      <c r="C2765" s="32" t="s">
        <v>2309</v>
      </c>
      <c r="D2765" s="32" t="s">
        <v>59</v>
      </c>
      <c r="E2765" s="32" t="s">
        <v>107</v>
      </c>
      <c r="F2765" s="32" t="n">
        <v>0</v>
      </c>
      <c r="G2765" s="32" t="s">
        <v>144</v>
      </c>
      <c r="H2765" s="32" t="s">
        <v>21</v>
      </c>
      <c r="I2765" s="32" t="s">
        <v>145</v>
      </c>
      <c r="J2765" s="32" t="s">
        <v>117</v>
      </c>
      <c r="K2765" s="32" t="s">
        <v>63</v>
      </c>
    </row>
    <row r="2766" customFormat="false" ht="13.5" hidden="false" customHeight="true" outlineLevel="0" collapsed="false">
      <c r="A2766" s="32" t="n">
        <v>4996</v>
      </c>
      <c r="B2766" s="32" t="s">
        <v>2310</v>
      </c>
      <c r="C2766" s="32" t="s">
        <v>2311</v>
      </c>
      <c r="D2766" s="32" t="s">
        <v>114</v>
      </c>
      <c r="E2766" s="32" t="s">
        <v>268</v>
      </c>
      <c r="F2766" s="33" t="n">
        <v>918309000000</v>
      </c>
      <c r="G2766" s="32" t="s">
        <v>80</v>
      </c>
      <c r="H2766" s="32" t="s">
        <v>22</v>
      </c>
      <c r="I2766" s="32" t="s">
        <v>156</v>
      </c>
      <c r="J2766" s="32" t="s">
        <v>62</v>
      </c>
      <c r="K2766" s="32" t="s">
        <v>63</v>
      </c>
    </row>
    <row r="2767" customFormat="false" ht="13.5" hidden="false" customHeight="true" outlineLevel="0" collapsed="false">
      <c r="A2767" s="32" t="n">
        <v>4997</v>
      </c>
      <c r="B2767" s="32" t="s">
        <v>2310</v>
      </c>
      <c r="C2767" s="32" t="s">
        <v>2312</v>
      </c>
      <c r="D2767" s="32" t="s">
        <v>114</v>
      </c>
      <c r="E2767" s="32" t="s">
        <v>268</v>
      </c>
      <c r="F2767" s="33" t="n">
        <v>918309000000</v>
      </c>
      <c r="G2767" s="32" t="s">
        <v>80</v>
      </c>
      <c r="H2767" s="32" t="s">
        <v>22</v>
      </c>
      <c r="I2767" s="32" t="s">
        <v>14</v>
      </c>
      <c r="J2767" s="32" t="s">
        <v>66</v>
      </c>
      <c r="K2767" s="32" t="s">
        <v>63</v>
      </c>
    </row>
    <row r="2768" customFormat="false" ht="13.5" hidden="false" customHeight="true" outlineLevel="0" collapsed="false">
      <c r="A2768" s="32" t="n">
        <v>4998</v>
      </c>
      <c r="B2768" s="32" t="s">
        <v>2310</v>
      </c>
      <c r="C2768" s="32" t="s">
        <v>2312</v>
      </c>
      <c r="D2768" s="32" t="s">
        <v>114</v>
      </c>
      <c r="E2768" s="32" t="s">
        <v>268</v>
      </c>
      <c r="F2768" s="33" t="n">
        <v>918309000000</v>
      </c>
      <c r="G2768" s="32" t="s">
        <v>80</v>
      </c>
      <c r="H2768" s="32" t="s">
        <v>22</v>
      </c>
      <c r="I2768" s="32" t="s">
        <v>29</v>
      </c>
      <c r="J2768" s="32" t="s">
        <v>62</v>
      </c>
      <c r="K2768" s="32" t="s">
        <v>63</v>
      </c>
    </row>
    <row r="2769" customFormat="false" ht="13.5" hidden="false" customHeight="true" outlineLevel="0" collapsed="false">
      <c r="A2769" s="32" t="n">
        <v>4999</v>
      </c>
      <c r="B2769" s="32" t="s">
        <v>2310</v>
      </c>
      <c r="C2769" s="32" t="s">
        <v>2311</v>
      </c>
      <c r="D2769" s="32" t="s">
        <v>114</v>
      </c>
      <c r="E2769" s="32" t="s">
        <v>268</v>
      </c>
      <c r="F2769" s="32" t="n">
        <v>8309289724</v>
      </c>
      <c r="G2769" s="32" t="s">
        <v>80</v>
      </c>
      <c r="H2769" s="32" t="s">
        <v>22</v>
      </c>
      <c r="I2769" s="32" t="s">
        <v>166</v>
      </c>
      <c r="J2769" s="32" t="s">
        <v>66</v>
      </c>
      <c r="K2769" s="32" t="s">
        <v>63</v>
      </c>
    </row>
    <row r="2770" customFormat="false" ht="13.5" hidden="false" customHeight="true" outlineLevel="0" collapsed="false">
      <c r="A2770" s="32" t="n">
        <v>5000</v>
      </c>
      <c r="B2770" s="32" t="s">
        <v>2313</v>
      </c>
      <c r="C2770" s="32" t="s">
        <v>2314</v>
      </c>
      <c r="D2770" s="32" t="s">
        <v>331</v>
      </c>
      <c r="E2770" s="32" t="s">
        <v>366</v>
      </c>
      <c r="F2770" s="33" t="n">
        <v>919986000000</v>
      </c>
      <c r="G2770" s="32" t="s">
        <v>80</v>
      </c>
      <c r="H2770" s="32" t="s">
        <v>332</v>
      </c>
      <c r="I2770" s="32" t="s">
        <v>150</v>
      </c>
      <c r="J2770" s="32" t="s">
        <v>73</v>
      </c>
      <c r="K2770" s="32" t="s">
        <v>63</v>
      </c>
    </row>
    <row r="2771" customFormat="false" ht="13.5" hidden="false" customHeight="true" outlineLevel="0" collapsed="false">
      <c r="A2771" s="32" t="n">
        <v>5001</v>
      </c>
      <c r="B2771" s="32" t="s">
        <v>2313</v>
      </c>
      <c r="C2771" s="32" t="s">
        <v>2314</v>
      </c>
      <c r="D2771" s="32" t="s">
        <v>331</v>
      </c>
      <c r="E2771" s="32" t="s">
        <v>366</v>
      </c>
      <c r="F2771" s="33" t="n">
        <v>919986000000</v>
      </c>
      <c r="G2771" s="32" t="s">
        <v>80</v>
      </c>
      <c r="H2771" s="32" t="s">
        <v>332</v>
      </c>
      <c r="I2771" s="32" t="s">
        <v>16</v>
      </c>
      <c r="J2771" s="32" t="s">
        <v>73</v>
      </c>
      <c r="K2771" s="32" t="s">
        <v>63</v>
      </c>
    </row>
    <row r="2772" customFormat="false" ht="13.5" hidden="false" customHeight="true" outlineLevel="0" collapsed="false">
      <c r="A2772" s="32" t="n">
        <v>5002</v>
      </c>
      <c r="B2772" s="32" t="s">
        <v>2313</v>
      </c>
      <c r="C2772" s="32" t="s">
        <v>2314</v>
      </c>
      <c r="D2772" s="32" t="s">
        <v>331</v>
      </c>
      <c r="E2772" s="32" t="s">
        <v>366</v>
      </c>
      <c r="F2772" s="33" t="n">
        <v>919986000000</v>
      </c>
      <c r="G2772" s="32" t="s">
        <v>80</v>
      </c>
      <c r="H2772" s="32" t="s">
        <v>332</v>
      </c>
      <c r="I2772" s="32" t="s">
        <v>27</v>
      </c>
      <c r="J2772" s="32" t="s">
        <v>13</v>
      </c>
      <c r="K2772" s="32" t="s">
        <v>63</v>
      </c>
    </row>
    <row r="2773" customFormat="false" ht="13.5" hidden="false" customHeight="true" outlineLevel="0" collapsed="false">
      <c r="A2773" s="32" t="n">
        <v>5003</v>
      </c>
      <c r="B2773" s="32" t="s">
        <v>2315</v>
      </c>
      <c r="C2773" s="32" t="s">
        <v>2314</v>
      </c>
      <c r="D2773" s="32" t="s">
        <v>331</v>
      </c>
      <c r="E2773" s="32" t="s">
        <v>366</v>
      </c>
      <c r="F2773" s="33" t="n">
        <v>919986000000</v>
      </c>
      <c r="G2773" s="32" t="s">
        <v>80</v>
      </c>
      <c r="H2773" s="32" t="s">
        <v>332</v>
      </c>
      <c r="I2773" s="32" t="s">
        <v>245</v>
      </c>
      <c r="J2773" s="32" t="s">
        <v>71</v>
      </c>
      <c r="K2773" s="32" t="s">
        <v>63</v>
      </c>
    </row>
    <row r="2774" customFormat="false" ht="13.5" hidden="false" customHeight="true" outlineLevel="0" collapsed="false">
      <c r="A2774" s="32" t="n">
        <v>5004</v>
      </c>
      <c r="B2774" s="32" t="s">
        <v>2313</v>
      </c>
      <c r="C2774" s="32" t="s">
        <v>2316</v>
      </c>
      <c r="D2774" s="32" t="s">
        <v>331</v>
      </c>
      <c r="E2774" s="32" t="s">
        <v>366</v>
      </c>
      <c r="F2774" s="33" t="n">
        <v>919986000000</v>
      </c>
      <c r="G2774" s="32" t="s">
        <v>80</v>
      </c>
      <c r="H2774" s="32" t="s">
        <v>332</v>
      </c>
      <c r="I2774" s="32" t="s">
        <v>629</v>
      </c>
      <c r="J2774" s="32" t="s">
        <v>203</v>
      </c>
      <c r="K2774" s="32" t="s">
        <v>63</v>
      </c>
    </row>
    <row r="2775" customFormat="false" ht="13.5" hidden="false" customHeight="true" outlineLevel="0" collapsed="false">
      <c r="A2775" s="32" t="n">
        <v>5005</v>
      </c>
      <c r="B2775" s="32" t="s">
        <v>2313</v>
      </c>
      <c r="C2775" s="32" t="s">
        <v>2316</v>
      </c>
      <c r="D2775" s="32" t="s">
        <v>331</v>
      </c>
      <c r="E2775" s="32" t="s">
        <v>366</v>
      </c>
      <c r="F2775" s="33" t="n">
        <v>919986000000</v>
      </c>
      <c r="G2775" s="32" t="s">
        <v>80</v>
      </c>
      <c r="H2775" s="32" t="s">
        <v>332</v>
      </c>
      <c r="I2775" s="32" t="s">
        <v>137</v>
      </c>
      <c r="J2775" s="32" t="s">
        <v>13</v>
      </c>
      <c r="K2775" s="32" t="s">
        <v>63</v>
      </c>
    </row>
    <row r="2776" customFormat="false" ht="13.5" hidden="false" customHeight="true" outlineLevel="0" collapsed="false">
      <c r="A2776" s="32" t="n">
        <v>5006</v>
      </c>
      <c r="B2776" s="32" t="s">
        <v>2317</v>
      </c>
      <c r="C2776" s="32" t="s">
        <v>2318</v>
      </c>
      <c r="D2776" s="32" t="s">
        <v>114</v>
      </c>
      <c r="E2776" s="32" t="s">
        <v>124</v>
      </c>
      <c r="F2776" s="32" t="n">
        <v>0</v>
      </c>
      <c r="G2776" s="32" t="s">
        <v>144</v>
      </c>
      <c r="H2776" s="32" t="s">
        <v>22</v>
      </c>
      <c r="I2776" s="32" t="s">
        <v>185</v>
      </c>
      <c r="J2776" s="32" t="s">
        <v>186</v>
      </c>
      <c r="K2776" s="32" t="s">
        <v>63</v>
      </c>
    </row>
    <row r="2777" customFormat="false" ht="13.5" hidden="false" customHeight="true" outlineLevel="0" collapsed="false">
      <c r="A2777" s="32" t="n">
        <v>5007</v>
      </c>
      <c r="B2777" s="32" t="s">
        <v>2317</v>
      </c>
      <c r="C2777" s="32" t="s">
        <v>2318</v>
      </c>
      <c r="D2777" s="32" t="s">
        <v>114</v>
      </c>
      <c r="E2777" s="32" t="s">
        <v>124</v>
      </c>
      <c r="F2777" s="32" t="n">
        <v>0</v>
      </c>
      <c r="G2777" s="32" t="s">
        <v>144</v>
      </c>
      <c r="H2777" s="32" t="s">
        <v>22</v>
      </c>
      <c r="I2777" s="32" t="s">
        <v>226</v>
      </c>
      <c r="J2777" s="32" t="s">
        <v>110</v>
      </c>
      <c r="K2777" s="32" t="s">
        <v>63</v>
      </c>
    </row>
    <row r="2778" customFormat="false" ht="13.5" hidden="false" customHeight="true" outlineLevel="0" collapsed="false">
      <c r="A2778" s="32" t="n">
        <v>5008</v>
      </c>
      <c r="B2778" s="32" t="s">
        <v>2317</v>
      </c>
      <c r="C2778" s="32" t="s">
        <v>2319</v>
      </c>
      <c r="D2778" s="32" t="s">
        <v>114</v>
      </c>
      <c r="E2778" s="32" t="s">
        <v>124</v>
      </c>
      <c r="F2778" s="32" t="n">
        <v>0</v>
      </c>
      <c r="G2778" s="32" t="s">
        <v>144</v>
      </c>
      <c r="H2778" s="32" t="s">
        <v>22</v>
      </c>
      <c r="I2778" s="32" t="s">
        <v>145</v>
      </c>
      <c r="J2778" s="32" t="s">
        <v>117</v>
      </c>
      <c r="K2778" s="32" t="s">
        <v>63</v>
      </c>
    </row>
    <row r="2779" customFormat="false" ht="13.5" hidden="false" customHeight="true" outlineLevel="0" collapsed="false">
      <c r="A2779" s="32" t="n">
        <v>5009</v>
      </c>
      <c r="B2779" s="32" t="s">
        <v>2317</v>
      </c>
      <c r="C2779" s="32" t="s">
        <v>2318</v>
      </c>
      <c r="D2779" s="32" t="s">
        <v>114</v>
      </c>
      <c r="E2779" s="32" t="s">
        <v>124</v>
      </c>
      <c r="F2779" s="32" t="n">
        <v>0</v>
      </c>
      <c r="G2779" s="32" t="s">
        <v>144</v>
      </c>
      <c r="H2779" s="32" t="s">
        <v>22</v>
      </c>
      <c r="I2779" s="32" t="s">
        <v>120</v>
      </c>
      <c r="J2779" s="32" t="s">
        <v>110</v>
      </c>
      <c r="K2779" s="32" t="s">
        <v>63</v>
      </c>
    </row>
    <row r="2780" customFormat="false" ht="13.5" hidden="false" customHeight="true" outlineLevel="0" collapsed="false">
      <c r="A2780" s="32" t="n">
        <v>5010</v>
      </c>
      <c r="B2780" s="32" t="s">
        <v>2317</v>
      </c>
      <c r="C2780" s="32" t="s">
        <v>2318</v>
      </c>
      <c r="D2780" s="32" t="s">
        <v>114</v>
      </c>
      <c r="E2780" s="32" t="s">
        <v>124</v>
      </c>
      <c r="F2780" s="32" t="n">
        <v>0</v>
      </c>
      <c r="G2780" s="32" t="s">
        <v>144</v>
      </c>
      <c r="H2780" s="32" t="s">
        <v>22</v>
      </c>
      <c r="I2780" s="32" t="s">
        <v>226</v>
      </c>
      <c r="J2780" s="32" t="s">
        <v>110</v>
      </c>
      <c r="K2780" s="32" t="s">
        <v>63</v>
      </c>
    </row>
    <row r="2781" customFormat="false" ht="13.5" hidden="false" customHeight="true" outlineLevel="0" collapsed="false">
      <c r="A2781" s="32" t="n">
        <v>5011</v>
      </c>
      <c r="B2781" s="32" t="s">
        <v>2317</v>
      </c>
      <c r="C2781" s="32" t="s">
        <v>2318</v>
      </c>
      <c r="D2781" s="32" t="s">
        <v>114</v>
      </c>
      <c r="E2781" s="32" t="s">
        <v>124</v>
      </c>
      <c r="F2781" s="32" t="n">
        <v>0</v>
      </c>
      <c r="G2781" s="32" t="s">
        <v>144</v>
      </c>
      <c r="H2781" s="32" t="s">
        <v>22</v>
      </c>
      <c r="I2781" s="32" t="s">
        <v>227</v>
      </c>
      <c r="J2781" s="32" t="s">
        <v>228</v>
      </c>
      <c r="K2781" s="32" t="s">
        <v>63</v>
      </c>
    </row>
    <row r="2782" customFormat="false" ht="13.5" hidden="false" customHeight="true" outlineLevel="0" collapsed="false">
      <c r="A2782" s="32" t="n">
        <v>5012</v>
      </c>
      <c r="B2782" s="32" t="s">
        <v>2320</v>
      </c>
      <c r="C2782" s="32" t="s">
        <v>2321</v>
      </c>
      <c r="D2782" s="32" t="s">
        <v>59</v>
      </c>
      <c r="E2782" s="32" t="s">
        <v>107</v>
      </c>
      <c r="F2782" s="32" t="n">
        <v>8008425542</v>
      </c>
      <c r="G2782" s="32" t="s">
        <v>80</v>
      </c>
      <c r="H2782" s="32" t="s">
        <v>21</v>
      </c>
      <c r="I2782" s="32" t="s">
        <v>85</v>
      </c>
      <c r="J2782" s="32" t="s">
        <v>85</v>
      </c>
      <c r="K2782" s="32" t="s">
        <v>63</v>
      </c>
    </row>
    <row r="2783" customFormat="false" ht="13.5" hidden="false" customHeight="true" outlineLevel="0" collapsed="false">
      <c r="A2783" s="32" t="n">
        <v>5013</v>
      </c>
      <c r="B2783" s="32" t="s">
        <v>2320</v>
      </c>
      <c r="C2783" s="32" t="s">
        <v>2321</v>
      </c>
      <c r="D2783" s="32" t="s">
        <v>59</v>
      </c>
      <c r="E2783" s="32" t="s">
        <v>107</v>
      </c>
      <c r="F2783" s="32" t="n">
        <v>8008425542</v>
      </c>
      <c r="G2783" s="32" t="s">
        <v>80</v>
      </c>
      <c r="H2783" s="32" t="s">
        <v>21</v>
      </c>
      <c r="I2783" s="32" t="s">
        <v>16</v>
      </c>
      <c r="J2783" s="32" t="s">
        <v>73</v>
      </c>
      <c r="K2783" s="32" t="s">
        <v>63</v>
      </c>
    </row>
    <row r="2784" customFormat="false" ht="13.5" hidden="false" customHeight="true" outlineLevel="0" collapsed="false">
      <c r="A2784" s="32" t="n">
        <v>5014</v>
      </c>
      <c r="B2784" s="32" t="s">
        <v>2320</v>
      </c>
      <c r="C2784" s="32" t="s">
        <v>2321</v>
      </c>
      <c r="D2784" s="32" t="s">
        <v>59</v>
      </c>
      <c r="E2784" s="32" t="s">
        <v>107</v>
      </c>
      <c r="F2784" s="32" t="n">
        <v>8008425542</v>
      </c>
      <c r="G2784" s="32" t="s">
        <v>80</v>
      </c>
      <c r="H2784" s="32" t="s">
        <v>21</v>
      </c>
      <c r="I2784" s="32" t="s">
        <v>27</v>
      </c>
      <c r="J2784" s="32" t="s">
        <v>13</v>
      </c>
      <c r="K2784" s="32" t="s">
        <v>63</v>
      </c>
    </row>
    <row r="2785" customFormat="false" ht="13.5" hidden="false" customHeight="true" outlineLevel="0" collapsed="false">
      <c r="A2785" s="32" t="n">
        <v>5015</v>
      </c>
      <c r="B2785" s="32" t="s">
        <v>2320</v>
      </c>
      <c r="C2785" s="32" t="s">
        <v>2321</v>
      </c>
      <c r="D2785" s="32" t="s">
        <v>59</v>
      </c>
      <c r="E2785" s="32" t="s">
        <v>107</v>
      </c>
      <c r="F2785" s="32" t="n">
        <v>8008425542</v>
      </c>
      <c r="G2785" s="32" t="s">
        <v>80</v>
      </c>
      <c r="H2785" s="32" t="s">
        <v>21</v>
      </c>
      <c r="I2785" s="32" t="s">
        <v>109</v>
      </c>
      <c r="J2785" s="32" t="s">
        <v>110</v>
      </c>
      <c r="K2785" s="32" t="s">
        <v>63</v>
      </c>
    </row>
    <row r="2786" customFormat="false" ht="13.5" hidden="false" customHeight="true" outlineLevel="0" collapsed="false">
      <c r="A2786" s="32" t="n">
        <v>5016</v>
      </c>
      <c r="B2786" s="32" t="s">
        <v>2322</v>
      </c>
      <c r="C2786" s="32" t="s">
        <v>2323</v>
      </c>
      <c r="D2786" s="32" t="s">
        <v>114</v>
      </c>
      <c r="E2786" s="32" t="s">
        <v>268</v>
      </c>
      <c r="F2786" s="33" t="n">
        <v>919884000000</v>
      </c>
      <c r="G2786" s="32" t="s">
        <v>144</v>
      </c>
      <c r="H2786" s="32" t="s">
        <v>22</v>
      </c>
      <c r="I2786" s="32" t="s">
        <v>1343</v>
      </c>
      <c r="J2786" s="32" t="s">
        <v>117</v>
      </c>
      <c r="K2786" s="32" t="s">
        <v>63</v>
      </c>
    </row>
    <row r="2787" customFormat="false" ht="13.5" hidden="false" customHeight="true" outlineLevel="0" collapsed="false">
      <c r="A2787" s="32" t="n">
        <v>5017</v>
      </c>
      <c r="B2787" s="32" t="s">
        <v>2322</v>
      </c>
      <c r="C2787" s="32" t="s">
        <v>2323</v>
      </c>
      <c r="D2787" s="32" t="s">
        <v>114</v>
      </c>
      <c r="E2787" s="32" t="s">
        <v>268</v>
      </c>
      <c r="F2787" s="33" t="n">
        <v>919884000000</v>
      </c>
      <c r="G2787" s="32" t="s">
        <v>144</v>
      </c>
      <c r="H2787" s="32" t="s">
        <v>22</v>
      </c>
      <c r="I2787" s="32" t="s">
        <v>151</v>
      </c>
      <c r="J2787" s="32" t="s">
        <v>152</v>
      </c>
      <c r="K2787" s="32" t="s">
        <v>63</v>
      </c>
    </row>
    <row r="2788" customFormat="false" ht="13.5" hidden="false" customHeight="true" outlineLevel="0" collapsed="false">
      <c r="A2788" s="32" t="n">
        <v>5018</v>
      </c>
      <c r="B2788" s="32" t="s">
        <v>2322</v>
      </c>
      <c r="C2788" s="32" t="s">
        <v>2323</v>
      </c>
      <c r="D2788" s="32" t="s">
        <v>114</v>
      </c>
      <c r="E2788" s="32" t="s">
        <v>268</v>
      </c>
      <c r="F2788" s="33" t="n">
        <v>919884000000</v>
      </c>
      <c r="G2788" s="32" t="s">
        <v>144</v>
      </c>
      <c r="H2788" s="32" t="s">
        <v>22</v>
      </c>
      <c r="I2788" s="32" t="s">
        <v>172</v>
      </c>
      <c r="J2788" s="32" t="s">
        <v>152</v>
      </c>
      <c r="K2788" s="32" t="s">
        <v>63</v>
      </c>
    </row>
    <row r="2789" customFormat="false" ht="13.5" hidden="false" customHeight="true" outlineLevel="0" collapsed="false">
      <c r="A2789" s="32" t="n">
        <v>5019</v>
      </c>
      <c r="B2789" s="32" t="s">
        <v>2324</v>
      </c>
      <c r="C2789" s="32" t="s">
        <v>2325</v>
      </c>
      <c r="D2789" s="32" t="s">
        <v>59</v>
      </c>
      <c r="E2789" s="32" t="s">
        <v>143</v>
      </c>
      <c r="F2789" s="32" t="n">
        <v>9006086543</v>
      </c>
      <c r="G2789" s="32" t="s">
        <v>140</v>
      </c>
      <c r="H2789" s="32" t="s">
        <v>21</v>
      </c>
      <c r="I2789" s="32" t="s">
        <v>151</v>
      </c>
      <c r="J2789" s="32" t="s">
        <v>152</v>
      </c>
      <c r="K2789" s="32" t="s">
        <v>63</v>
      </c>
    </row>
    <row r="2790" customFormat="false" ht="13.5" hidden="false" customHeight="true" outlineLevel="0" collapsed="false">
      <c r="A2790" s="32" t="n">
        <v>5020</v>
      </c>
      <c r="B2790" s="32" t="s">
        <v>2324</v>
      </c>
      <c r="C2790" s="32" t="s">
        <v>2325</v>
      </c>
      <c r="D2790" s="32" t="s">
        <v>59</v>
      </c>
      <c r="E2790" s="32" t="s">
        <v>143</v>
      </c>
      <c r="F2790" s="32" t="n">
        <v>9006086543</v>
      </c>
      <c r="G2790" s="32" t="s">
        <v>140</v>
      </c>
      <c r="H2790" s="32" t="s">
        <v>21</v>
      </c>
      <c r="I2790" s="32" t="s">
        <v>172</v>
      </c>
      <c r="J2790" s="32" t="s">
        <v>152</v>
      </c>
      <c r="K2790" s="32" t="s">
        <v>63</v>
      </c>
    </row>
    <row r="2791" customFormat="false" ht="13.5" hidden="false" customHeight="true" outlineLevel="0" collapsed="false">
      <c r="A2791" s="32" t="n">
        <v>5021</v>
      </c>
      <c r="B2791" s="32" t="s">
        <v>2324</v>
      </c>
      <c r="C2791" s="32" t="s">
        <v>2325</v>
      </c>
      <c r="D2791" s="32" t="s">
        <v>59</v>
      </c>
      <c r="E2791" s="32" t="s">
        <v>143</v>
      </c>
      <c r="F2791" s="32" t="n">
        <v>9006086543</v>
      </c>
      <c r="G2791" s="32" t="s">
        <v>140</v>
      </c>
      <c r="H2791" s="32" t="s">
        <v>21</v>
      </c>
      <c r="I2791" s="32" t="s">
        <v>151</v>
      </c>
      <c r="J2791" s="32" t="s">
        <v>152</v>
      </c>
      <c r="K2791" s="32" t="s">
        <v>63</v>
      </c>
    </row>
    <row r="2792" customFormat="false" ht="13.5" hidden="false" customHeight="true" outlineLevel="0" collapsed="false">
      <c r="A2792" s="32" t="n">
        <v>5022</v>
      </c>
      <c r="B2792" s="32" t="s">
        <v>2324</v>
      </c>
      <c r="C2792" s="32" t="s">
        <v>2325</v>
      </c>
      <c r="D2792" s="32" t="s">
        <v>59</v>
      </c>
      <c r="E2792" s="32" t="s">
        <v>143</v>
      </c>
      <c r="F2792" s="32" t="n">
        <v>9006086543</v>
      </c>
      <c r="G2792" s="32" t="s">
        <v>140</v>
      </c>
      <c r="H2792" s="32" t="s">
        <v>21</v>
      </c>
      <c r="I2792" s="32" t="s">
        <v>85</v>
      </c>
      <c r="J2792" s="32" t="s">
        <v>85</v>
      </c>
      <c r="K2792" s="32" t="s">
        <v>63</v>
      </c>
    </row>
    <row r="2793" customFormat="false" ht="13.5" hidden="false" customHeight="true" outlineLevel="0" collapsed="false">
      <c r="A2793" s="32" t="n">
        <v>5023</v>
      </c>
      <c r="B2793" s="32" t="s">
        <v>2326</v>
      </c>
      <c r="C2793" s="32" t="s">
        <v>2327</v>
      </c>
      <c r="D2793" s="32" t="s">
        <v>59</v>
      </c>
      <c r="E2793" s="32" t="s">
        <v>107</v>
      </c>
      <c r="F2793" s="32" t="n">
        <v>9640922350</v>
      </c>
      <c r="G2793" s="32" t="s">
        <v>80</v>
      </c>
      <c r="H2793" s="32" t="s">
        <v>21</v>
      </c>
      <c r="I2793" s="32" t="s">
        <v>121</v>
      </c>
      <c r="J2793" s="32" t="s">
        <v>110</v>
      </c>
      <c r="K2793" s="32" t="s">
        <v>63</v>
      </c>
    </row>
    <row r="2794" customFormat="false" ht="13.5" hidden="false" customHeight="true" outlineLevel="0" collapsed="false">
      <c r="A2794" s="32" t="n">
        <v>5024</v>
      </c>
      <c r="B2794" s="32" t="s">
        <v>2326</v>
      </c>
      <c r="C2794" s="32" t="s">
        <v>2327</v>
      </c>
      <c r="D2794" s="32" t="s">
        <v>59</v>
      </c>
      <c r="E2794" s="32" t="s">
        <v>107</v>
      </c>
      <c r="F2794" s="32" t="n">
        <v>9640922350</v>
      </c>
      <c r="G2794" s="32" t="s">
        <v>80</v>
      </c>
      <c r="H2794" s="32" t="s">
        <v>21</v>
      </c>
      <c r="I2794" s="32" t="s">
        <v>95</v>
      </c>
      <c r="J2794" s="32" t="s">
        <v>96</v>
      </c>
      <c r="K2794" s="32" t="s">
        <v>63</v>
      </c>
    </row>
    <row r="2795" customFormat="false" ht="13.5" hidden="false" customHeight="true" outlineLevel="0" collapsed="false">
      <c r="A2795" s="32" t="n">
        <v>5025</v>
      </c>
      <c r="B2795" s="32" t="s">
        <v>2326</v>
      </c>
      <c r="C2795" s="32" t="s">
        <v>2327</v>
      </c>
      <c r="D2795" s="32" t="s">
        <v>59</v>
      </c>
      <c r="E2795" s="32" t="s">
        <v>107</v>
      </c>
      <c r="F2795" s="32" t="n">
        <v>9640922350</v>
      </c>
      <c r="G2795" s="32" t="s">
        <v>80</v>
      </c>
      <c r="H2795" s="32" t="s">
        <v>21</v>
      </c>
      <c r="I2795" s="32" t="s">
        <v>145</v>
      </c>
      <c r="J2795" s="32" t="s">
        <v>117</v>
      </c>
      <c r="K2795" s="32" t="s">
        <v>63</v>
      </c>
    </row>
    <row r="2796" customFormat="false" ht="13.5" hidden="false" customHeight="true" outlineLevel="0" collapsed="false">
      <c r="A2796" s="32" t="n">
        <v>5027</v>
      </c>
      <c r="B2796" s="32" t="s">
        <v>2328</v>
      </c>
      <c r="C2796" s="32" t="s">
        <v>2329</v>
      </c>
      <c r="D2796" s="32" t="s">
        <v>114</v>
      </c>
      <c r="E2796" s="32" t="s">
        <v>268</v>
      </c>
      <c r="F2796" s="32" t="n">
        <v>8008213131</v>
      </c>
      <c r="G2796" s="32" t="s">
        <v>80</v>
      </c>
      <c r="H2796" s="32" t="s">
        <v>22</v>
      </c>
      <c r="I2796" s="32" t="s">
        <v>29</v>
      </c>
      <c r="J2796" s="32" t="s">
        <v>62</v>
      </c>
      <c r="K2796" s="32" t="s">
        <v>63</v>
      </c>
    </row>
    <row r="2797" customFormat="false" ht="13.5" hidden="false" customHeight="true" outlineLevel="0" collapsed="false">
      <c r="A2797" s="32" t="n">
        <v>5028</v>
      </c>
      <c r="B2797" s="32" t="s">
        <v>2328</v>
      </c>
      <c r="C2797" s="32" t="s">
        <v>2330</v>
      </c>
      <c r="D2797" s="32" t="s">
        <v>114</v>
      </c>
      <c r="E2797" s="32" t="s">
        <v>268</v>
      </c>
      <c r="F2797" s="32" t="n">
        <v>8008213131</v>
      </c>
      <c r="G2797" s="32" t="s">
        <v>80</v>
      </c>
      <c r="H2797" s="32" t="s">
        <v>22</v>
      </c>
      <c r="I2797" s="32" t="s">
        <v>610</v>
      </c>
      <c r="J2797" s="32" t="s">
        <v>82</v>
      </c>
      <c r="K2797" s="32" t="s">
        <v>63</v>
      </c>
    </row>
    <row r="2798" customFormat="false" ht="13.5" hidden="false" customHeight="true" outlineLevel="0" collapsed="false">
      <c r="A2798" s="32" t="n">
        <v>5029</v>
      </c>
      <c r="B2798" s="32" t="s">
        <v>2328</v>
      </c>
      <c r="C2798" s="32" t="s">
        <v>2330</v>
      </c>
      <c r="D2798" s="32" t="s">
        <v>114</v>
      </c>
      <c r="E2798" s="32" t="s">
        <v>268</v>
      </c>
      <c r="F2798" s="32" t="n">
        <v>8008213131</v>
      </c>
      <c r="G2798" s="32" t="s">
        <v>80</v>
      </c>
      <c r="H2798" s="32" t="s">
        <v>22</v>
      </c>
      <c r="I2798" s="32" t="s">
        <v>516</v>
      </c>
      <c r="J2798" s="32" t="s">
        <v>66</v>
      </c>
      <c r="K2798" s="32" t="s">
        <v>63</v>
      </c>
    </row>
    <row r="2799" customFormat="false" ht="13.5" hidden="false" customHeight="true" outlineLevel="0" collapsed="false">
      <c r="A2799" s="32" t="n">
        <v>5030</v>
      </c>
      <c r="B2799" s="32" t="s">
        <v>2328</v>
      </c>
      <c r="C2799" s="32" t="s">
        <v>2330</v>
      </c>
      <c r="D2799" s="32" t="s">
        <v>114</v>
      </c>
      <c r="E2799" s="32" t="s">
        <v>268</v>
      </c>
      <c r="F2799" s="32" t="n">
        <v>8008213131</v>
      </c>
      <c r="G2799" s="32" t="s">
        <v>80</v>
      </c>
      <c r="H2799" s="32" t="s">
        <v>22</v>
      </c>
      <c r="I2799" s="32" t="s">
        <v>1034</v>
      </c>
      <c r="J2799" s="32" t="s">
        <v>62</v>
      </c>
      <c r="K2799" s="32" t="s">
        <v>63</v>
      </c>
    </row>
    <row r="2800" customFormat="false" ht="13.5" hidden="false" customHeight="true" outlineLevel="0" collapsed="false">
      <c r="A2800" s="32" t="n">
        <v>5031</v>
      </c>
      <c r="B2800" s="32" t="s">
        <v>2331</v>
      </c>
      <c r="C2800" s="32" t="s">
        <v>2332</v>
      </c>
      <c r="D2800" s="32" t="s">
        <v>331</v>
      </c>
      <c r="E2800" s="32" t="s">
        <v>278</v>
      </c>
      <c r="F2800" s="33" t="n">
        <v>919664000000</v>
      </c>
      <c r="G2800" s="32" t="s">
        <v>61</v>
      </c>
      <c r="H2800" s="32" t="s">
        <v>332</v>
      </c>
      <c r="I2800" s="32" t="s">
        <v>172</v>
      </c>
      <c r="J2800" s="32" t="s">
        <v>152</v>
      </c>
      <c r="K2800" s="32" t="s">
        <v>63</v>
      </c>
    </row>
    <row r="2801" customFormat="false" ht="13.5" hidden="false" customHeight="true" outlineLevel="0" collapsed="false">
      <c r="A2801" s="32" t="n">
        <v>5032</v>
      </c>
      <c r="B2801" s="32" t="s">
        <v>2333</v>
      </c>
      <c r="C2801" s="32" t="s">
        <v>2334</v>
      </c>
      <c r="D2801" s="32" t="s">
        <v>114</v>
      </c>
      <c r="E2801" s="32" t="s">
        <v>115</v>
      </c>
      <c r="F2801" s="32" t="n">
        <v>2069105040</v>
      </c>
      <c r="G2801" s="32" t="s">
        <v>144</v>
      </c>
      <c r="H2801" s="32" t="s">
        <v>22</v>
      </c>
      <c r="I2801" s="32" t="s">
        <v>93</v>
      </c>
      <c r="J2801" s="32" t="s">
        <v>85</v>
      </c>
      <c r="K2801" s="32" t="s">
        <v>63</v>
      </c>
    </row>
    <row r="2802" customFormat="false" ht="13.5" hidden="false" customHeight="true" outlineLevel="0" collapsed="false">
      <c r="A2802" s="32" t="n">
        <v>5033</v>
      </c>
      <c r="B2802" s="32" t="s">
        <v>2333</v>
      </c>
      <c r="C2802" s="32" t="s">
        <v>2334</v>
      </c>
      <c r="D2802" s="32" t="s">
        <v>114</v>
      </c>
      <c r="E2802" s="32" t="s">
        <v>115</v>
      </c>
      <c r="F2802" s="32" t="n">
        <v>2069105040</v>
      </c>
      <c r="G2802" s="32" t="s">
        <v>144</v>
      </c>
      <c r="H2802" s="32" t="s">
        <v>22</v>
      </c>
      <c r="I2802" s="32" t="s">
        <v>826</v>
      </c>
      <c r="J2802" s="32" t="s">
        <v>84</v>
      </c>
      <c r="K2802" s="32" t="s">
        <v>63</v>
      </c>
    </row>
    <row r="2803" customFormat="false" ht="13.5" hidden="false" customHeight="true" outlineLevel="0" collapsed="false">
      <c r="A2803" s="32" t="n">
        <v>5034</v>
      </c>
      <c r="B2803" s="32" t="s">
        <v>2333</v>
      </c>
      <c r="C2803" s="32" t="s">
        <v>2334</v>
      </c>
      <c r="D2803" s="32" t="s">
        <v>114</v>
      </c>
      <c r="E2803" s="32" t="s">
        <v>115</v>
      </c>
      <c r="F2803" s="32" t="n">
        <v>2069105040</v>
      </c>
      <c r="G2803" s="32" t="s">
        <v>144</v>
      </c>
      <c r="H2803" s="32" t="s">
        <v>22</v>
      </c>
      <c r="I2803" s="32" t="s">
        <v>314</v>
      </c>
      <c r="J2803" s="32" t="s">
        <v>134</v>
      </c>
      <c r="K2803" s="32" t="s">
        <v>63</v>
      </c>
    </row>
    <row r="2804" customFormat="false" ht="13.5" hidden="false" customHeight="true" outlineLevel="0" collapsed="false">
      <c r="A2804" s="32" t="n">
        <v>5035</v>
      </c>
      <c r="B2804" s="32" t="s">
        <v>2335</v>
      </c>
      <c r="C2804" s="32" t="s">
        <v>2336</v>
      </c>
      <c r="D2804" s="32" t="s">
        <v>114</v>
      </c>
      <c r="E2804" s="32" t="s">
        <v>165</v>
      </c>
      <c r="F2804" s="32" t="n">
        <v>8019713714</v>
      </c>
      <c r="G2804" s="32" t="s">
        <v>80</v>
      </c>
      <c r="H2804" s="32" t="s">
        <v>22</v>
      </c>
      <c r="I2804" s="32" t="s">
        <v>151</v>
      </c>
      <c r="J2804" s="32" t="s">
        <v>152</v>
      </c>
      <c r="K2804" s="32" t="s">
        <v>63</v>
      </c>
    </row>
    <row r="2805" customFormat="false" ht="13.5" hidden="false" customHeight="true" outlineLevel="0" collapsed="false">
      <c r="A2805" s="32" t="n">
        <v>5036</v>
      </c>
      <c r="B2805" s="32" t="s">
        <v>2335</v>
      </c>
      <c r="C2805" s="32" t="s">
        <v>2336</v>
      </c>
      <c r="D2805" s="32" t="s">
        <v>114</v>
      </c>
      <c r="E2805" s="32" t="s">
        <v>165</v>
      </c>
      <c r="F2805" s="32" t="n">
        <v>8019713714</v>
      </c>
      <c r="G2805" s="32" t="s">
        <v>80</v>
      </c>
      <c r="H2805" s="32" t="s">
        <v>22</v>
      </c>
      <c r="I2805" s="32" t="s">
        <v>151</v>
      </c>
      <c r="J2805" s="32" t="s">
        <v>152</v>
      </c>
      <c r="K2805" s="32" t="s">
        <v>63</v>
      </c>
    </row>
    <row r="2806" customFormat="false" ht="13.5" hidden="false" customHeight="true" outlineLevel="0" collapsed="false">
      <c r="A2806" s="32" t="n">
        <v>5037</v>
      </c>
      <c r="B2806" s="32" t="s">
        <v>2335</v>
      </c>
      <c r="C2806" s="32" t="s">
        <v>2336</v>
      </c>
      <c r="D2806" s="32" t="s">
        <v>114</v>
      </c>
      <c r="E2806" s="32" t="s">
        <v>165</v>
      </c>
      <c r="F2806" s="32" t="n">
        <v>8019713714</v>
      </c>
      <c r="G2806" s="32" t="s">
        <v>80</v>
      </c>
      <c r="H2806" s="32" t="s">
        <v>22</v>
      </c>
      <c r="I2806" s="32" t="s">
        <v>146</v>
      </c>
      <c r="J2806" s="32" t="s">
        <v>117</v>
      </c>
      <c r="K2806" s="32" t="s">
        <v>63</v>
      </c>
    </row>
    <row r="2807" customFormat="false" ht="13.5" hidden="false" customHeight="true" outlineLevel="0" collapsed="false">
      <c r="A2807" s="32" t="n">
        <v>5038</v>
      </c>
      <c r="B2807" s="32" t="s">
        <v>2337</v>
      </c>
      <c r="C2807" s="32" t="s">
        <v>2338</v>
      </c>
      <c r="D2807" s="32" t="s">
        <v>114</v>
      </c>
      <c r="E2807" s="32" t="s">
        <v>268</v>
      </c>
      <c r="F2807" s="32" t="n">
        <v>9989823114</v>
      </c>
      <c r="G2807" s="32" t="s">
        <v>80</v>
      </c>
      <c r="H2807" s="32" t="s">
        <v>22</v>
      </c>
      <c r="I2807" s="32" t="s">
        <v>128</v>
      </c>
      <c r="J2807" s="32" t="s">
        <v>89</v>
      </c>
      <c r="K2807" s="32" t="s">
        <v>63</v>
      </c>
    </row>
    <row r="2808" customFormat="false" ht="13.5" hidden="false" customHeight="true" outlineLevel="0" collapsed="false">
      <c r="A2808" s="32" t="n">
        <v>5039</v>
      </c>
      <c r="B2808" s="32" t="s">
        <v>2337</v>
      </c>
      <c r="C2808" s="32" t="s">
        <v>2338</v>
      </c>
      <c r="D2808" s="32" t="s">
        <v>114</v>
      </c>
      <c r="E2808" s="32" t="s">
        <v>268</v>
      </c>
      <c r="F2808" s="32" t="n">
        <v>9989823114</v>
      </c>
      <c r="G2808" s="32" t="s">
        <v>80</v>
      </c>
      <c r="H2808" s="32" t="s">
        <v>22</v>
      </c>
      <c r="I2808" s="32" t="s">
        <v>14</v>
      </c>
      <c r="J2808" s="32" t="s">
        <v>66</v>
      </c>
      <c r="K2808" s="32" t="s">
        <v>63</v>
      </c>
    </row>
    <row r="2809" customFormat="false" ht="13.5" hidden="false" customHeight="true" outlineLevel="0" collapsed="false">
      <c r="A2809" s="32" t="n">
        <v>5040</v>
      </c>
      <c r="B2809" s="32" t="s">
        <v>2337</v>
      </c>
      <c r="C2809" s="32" t="s">
        <v>2338</v>
      </c>
      <c r="D2809" s="32" t="s">
        <v>114</v>
      </c>
      <c r="E2809" s="32" t="s">
        <v>268</v>
      </c>
      <c r="F2809" s="32" t="n">
        <v>9989823114</v>
      </c>
      <c r="G2809" s="32" t="s">
        <v>80</v>
      </c>
      <c r="H2809" s="32" t="s">
        <v>22</v>
      </c>
      <c r="I2809" s="32" t="s">
        <v>156</v>
      </c>
      <c r="J2809" s="32" t="s">
        <v>62</v>
      </c>
      <c r="K2809" s="32" t="s">
        <v>63</v>
      </c>
    </row>
    <row r="2810" customFormat="false" ht="13.5" hidden="false" customHeight="true" outlineLevel="0" collapsed="false">
      <c r="A2810" s="32" t="n">
        <v>5041</v>
      </c>
      <c r="B2810" s="32" t="s">
        <v>2337</v>
      </c>
      <c r="C2810" s="32" t="s">
        <v>2338</v>
      </c>
      <c r="D2810" s="32" t="s">
        <v>114</v>
      </c>
      <c r="E2810" s="32" t="s">
        <v>268</v>
      </c>
      <c r="F2810" s="32" t="n">
        <v>9989823114</v>
      </c>
      <c r="G2810" s="32" t="s">
        <v>80</v>
      </c>
      <c r="H2810" s="32" t="s">
        <v>22</v>
      </c>
      <c r="I2810" s="32" t="s">
        <v>1036</v>
      </c>
      <c r="J2810" s="32" t="s">
        <v>62</v>
      </c>
      <c r="K2810" s="32" t="s">
        <v>63</v>
      </c>
    </row>
    <row r="2811" customFormat="false" ht="13.5" hidden="false" customHeight="true" outlineLevel="0" collapsed="false">
      <c r="A2811" s="32" t="n">
        <v>5042</v>
      </c>
      <c r="B2811" s="32" t="s">
        <v>2339</v>
      </c>
      <c r="C2811" s="32" t="s">
        <v>2340</v>
      </c>
      <c r="D2811" s="32" t="s">
        <v>59</v>
      </c>
      <c r="E2811" s="32" t="s">
        <v>143</v>
      </c>
      <c r="F2811" s="32" t="n">
        <v>9986545064</v>
      </c>
      <c r="G2811" s="32" t="s">
        <v>61</v>
      </c>
      <c r="H2811" s="32" t="s">
        <v>21</v>
      </c>
      <c r="I2811" s="32" t="s">
        <v>109</v>
      </c>
      <c r="J2811" s="32" t="s">
        <v>110</v>
      </c>
      <c r="K2811" s="32" t="s">
        <v>63</v>
      </c>
    </row>
    <row r="2812" customFormat="false" ht="13.5" hidden="false" customHeight="true" outlineLevel="0" collapsed="false">
      <c r="A2812" s="32" t="n">
        <v>5043</v>
      </c>
      <c r="B2812" s="32" t="s">
        <v>2339</v>
      </c>
      <c r="C2812" s="32" t="s">
        <v>2340</v>
      </c>
      <c r="D2812" s="32" t="s">
        <v>59</v>
      </c>
      <c r="E2812" s="32" t="s">
        <v>143</v>
      </c>
      <c r="F2812" s="32" t="n">
        <v>9986545064</v>
      </c>
      <c r="G2812" s="32" t="s">
        <v>61</v>
      </c>
      <c r="H2812" s="32" t="s">
        <v>21</v>
      </c>
      <c r="I2812" s="32" t="s">
        <v>149</v>
      </c>
      <c r="J2812" s="32" t="s">
        <v>73</v>
      </c>
      <c r="K2812" s="32" t="s">
        <v>63</v>
      </c>
    </row>
    <row r="2813" customFormat="false" ht="13.5" hidden="false" customHeight="true" outlineLevel="0" collapsed="false">
      <c r="A2813" s="32" t="n">
        <v>5044</v>
      </c>
      <c r="B2813" s="32" t="s">
        <v>2339</v>
      </c>
      <c r="C2813" s="32" t="s">
        <v>2341</v>
      </c>
      <c r="D2813" s="32" t="s">
        <v>59</v>
      </c>
      <c r="E2813" s="32" t="s">
        <v>143</v>
      </c>
      <c r="F2813" s="32" t="n">
        <v>9986545064</v>
      </c>
      <c r="G2813" s="32" t="s">
        <v>61</v>
      </c>
      <c r="H2813" s="32" t="s">
        <v>21</v>
      </c>
      <c r="I2813" s="32" t="s">
        <v>150</v>
      </c>
      <c r="J2813" s="32" t="s">
        <v>73</v>
      </c>
      <c r="K2813" s="32" t="s">
        <v>63</v>
      </c>
    </row>
    <row r="2814" customFormat="false" ht="13.5" hidden="false" customHeight="true" outlineLevel="0" collapsed="false">
      <c r="A2814" s="32" t="n">
        <v>5045</v>
      </c>
      <c r="B2814" s="32" t="s">
        <v>2339</v>
      </c>
      <c r="C2814" s="32" t="s">
        <v>2341</v>
      </c>
      <c r="D2814" s="32" t="s">
        <v>59</v>
      </c>
      <c r="E2814" s="32" t="s">
        <v>143</v>
      </c>
      <c r="F2814" s="32" t="n">
        <v>9986545064</v>
      </c>
      <c r="G2814" s="32" t="s">
        <v>61</v>
      </c>
      <c r="H2814" s="32" t="s">
        <v>21</v>
      </c>
      <c r="I2814" s="32" t="s">
        <v>393</v>
      </c>
      <c r="J2814" s="32" t="s">
        <v>73</v>
      </c>
      <c r="K2814" s="32" t="s">
        <v>63</v>
      </c>
    </row>
    <row r="2815" customFormat="false" ht="13.5" hidden="false" customHeight="true" outlineLevel="0" collapsed="false">
      <c r="A2815" s="32" t="n">
        <v>5046</v>
      </c>
      <c r="B2815" s="32" t="s">
        <v>2339</v>
      </c>
      <c r="C2815" s="32" t="s">
        <v>2341</v>
      </c>
      <c r="D2815" s="32" t="s">
        <v>59</v>
      </c>
      <c r="E2815" s="32" t="s">
        <v>143</v>
      </c>
      <c r="F2815" s="32" t="n">
        <v>9986545064</v>
      </c>
      <c r="G2815" s="32" t="s">
        <v>61</v>
      </c>
      <c r="H2815" s="32" t="s">
        <v>21</v>
      </c>
      <c r="I2815" s="32" t="s">
        <v>145</v>
      </c>
      <c r="J2815" s="32" t="s">
        <v>117</v>
      </c>
      <c r="K2815" s="32" t="s">
        <v>63</v>
      </c>
    </row>
    <row r="2816" customFormat="false" ht="13.5" hidden="false" customHeight="true" outlineLevel="0" collapsed="false">
      <c r="A2816" s="32" t="n">
        <v>5047</v>
      </c>
      <c r="B2816" s="32" t="s">
        <v>2339</v>
      </c>
      <c r="C2816" s="32" t="s">
        <v>2341</v>
      </c>
      <c r="D2816" s="32" t="s">
        <v>59</v>
      </c>
      <c r="E2816" s="32" t="s">
        <v>143</v>
      </c>
      <c r="F2816" s="32" t="n">
        <v>9986545064</v>
      </c>
      <c r="G2816" s="32" t="s">
        <v>61</v>
      </c>
      <c r="H2816" s="32" t="s">
        <v>21</v>
      </c>
      <c r="I2816" s="32" t="s">
        <v>133</v>
      </c>
      <c r="J2816" s="32" t="s">
        <v>134</v>
      </c>
      <c r="K2816" s="32" t="s">
        <v>63</v>
      </c>
    </row>
    <row r="2817" customFormat="false" ht="13.5" hidden="false" customHeight="true" outlineLevel="0" collapsed="false">
      <c r="A2817" s="32" t="n">
        <v>5048</v>
      </c>
      <c r="B2817" s="32" t="s">
        <v>2342</v>
      </c>
      <c r="C2817" s="32" t="s">
        <v>2343</v>
      </c>
      <c r="D2817" s="32" t="s">
        <v>114</v>
      </c>
      <c r="E2817" s="32" t="s">
        <v>165</v>
      </c>
      <c r="F2817" s="32" t="n">
        <v>8308404180</v>
      </c>
      <c r="G2817" s="32" t="s">
        <v>104</v>
      </c>
      <c r="H2817" s="32" t="s">
        <v>22</v>
      </c>
      <c r="I2817" s="32" t="s">
        <v>215</v>
      </c>
      <c r="J2817" s="32" t="s">
        <v>132</v>
      </c>
      <c r="K2817" s="32" t="s">
        <v>63</v>
      </c>
    </row>
    <row r="2818" customFormat="false" ht="13.5" hidden="false" customHeight="true" outlineLevel="0" collapsed="false">
      <c r="A2818" s="32" t="n">
        <v>5049</v>
      </c>
      <c r="B2818" s="32" t="s">
        <v>2342</v>
      </c>
      <c r="C2818" s="32" t="s">
        <v>2343</v>
      </c>
      <c r="D2818" s="32" t="s">
        <v>114</v>
      </c>
      <c r="E2818" s="32" t="s">
        <v>165</v>
      </c>
      <c r="F2818" s="32" t="n">
        <v>8308404180</v>
      </c>
      <c r="G2818" s="32" t="s">
        <v>104</v>
      </c>
      <c r="H2818" s="32" t="s">
        <v>22</v>
      </c>
      <c r="I2818" s="32" t="s">
        <v>386</v>
      </c>
      <c r="J2818" s="32" t="s">
        <v>132</v>
      </c>
      <c r="K2818" s="32" t="s">
        <v>63</v>
      </c>
    </row>
    <row r="2819" customFormat="false" ht="13.5" hidden="false" customHeight="true" outlineLevel="0" collapsed="false">
      <c r="A2819" s="32" t="n">
        <v>5050</v>
      </c>
      <c r="B2819" s="32" t="s">
        <v>2342</v>
      </c>
      <c r="C2819" s="32" t="s">
        <v>2343</v>
      </c>
      <c r="D2819" s="32" t="s">
        <v>114</v>
      </c>
      <c r="E2819" s="32" t="s">
        <v>165</v>
      </c>
      <c r="F2819" s="32" t="n">
        <v>8308404180</v>
      </c>
      <c r="G2819" s="32" t="s">
        <v>104</v>
      </c>
      <c r="H2819" s="32" t="s">
        <v>22</v>
      </c>
      <c r="I2819" s="32" t="s">
        <v>217</v>
      </c>
      <c r="J2819" s="32" t="s">
        <v>132</v>
      </c>
      <c r="K2819" s="32" t="s">
        <v>63</v>
      </c>
    </row>
    <row r="2820" customFormat="false" ht="13.5" hidden="false" customHeight="true" outlineLevel="0" collapsed="false">
      <c r="A2820" s="32" t="n">
        <v>5051</v>
      </c>
      <c r="B2820" s="32" t="s">
        <v>2342</v>
      </c>
      <c r="C2820" s="32" t="s">
        <v>2343</v>
      </c>
      <c r="D2820" s="32" t="s">
        <v>114</v>
      </c>
      <c r="E2820" s="32" t="s">
        <v>165</v>
      </c>
      <c r="F2820" s="32" t="n">
        <v>8308404180</v>
      </c>
      <c r="G2820" s="32" t="s">
        <v>104</v>
      </c>
      <c r="H2820" s="32" t="s">
        <v>22</v>
      </c>
      <c r="I2820" s="32" t="s">
        <v>728</v>
      </c>
      <c r="J2820" s="32" t="s">
        <v>132</v>
      </c>
      <c r="K2820" s="32" t="s">
        <v>63</v>
      </c>
    </row>
    <row r="2821" customFormat="false" ht="13.5" hidden="false" customHeight="true" outlineLevel="0" collapsed="false">
      <c r="A2821" s="32" t="n">
        <v>5055</v>
      </c>
      <c r="B2821" s="32" t="s">
        <v>2344</v>
      </c>
      <c r="C2821" s="32" t="s">
        <v>2345</v>
      </c>
      <c r="D2821" s="32" t="s">
        <v>114</v>
      </c>
      <c r="E2821" s="32" t="s">
        <v>115</v>
      </c>
      <c r="F2821" s="32" t="n">
        <v>9028227976</v>
      </c>
      <c r="G2821" s="32" t="s">
        <v>69</v>
      </c>
      <c r="H2821" s="32" t="s">
        <v>22</v>
      </c>
      <c r="I2821" s="32" t="s">
        <v>215</v>
      </c>
      <c r="J2821" s="32" t="s">
        <v>132</v>
      </c>
      <c r="K2821" s="32" t="s">
        <v>63</v>
      </c>
    </row>
    <row r="2822" customFormat="false" ht="13.5" hidden="false" customHeight="true" outlineLevel="0" collapsed="false">
      <c r="A2822" s="32" t="n">
        <v>5056</v>
      </c>
      <c r="B2822" s="32" t="s">
        <v>2344</v>
      </c>
      <c r="C2822" s="32" t="s">
        <v>2345</v>
      </c>
      <c r="D2822" s="32" t="s">
        <v>114</v>
      </c>
      <c r="E2822" s="32" t="s">
        <v>115</v>
      </c>
      <c r="F2822" s="32" t="n">
        <v>9028227976</v>
      </c>
      <c r="G2822" s="32" t="s">
        <v>69</v>
      </c>
      <c r="H2822" s="32" t="s">
        <v>22</v>
      </c>
      <c r="I2822" s="32" t="s">
        <v>386</v>
      </c>
      <c r="J2822" s="32" t="s">
        <v>132</v>
      </c>
      <c r="K2822" s="32" t="s">
        <v>63</v>
      </c>
    </row>
    <row r="2823" customFormat="false" ht="13.5" hidden="false" customHeight="true" outlineLevel="0" collapsed="false">
      <c r="A2823" s="32" t="n">
        <v>5057</v>
      </c>
      <c r="B2823" s="32" t="s">
        <v>2344</v>
      </c>
      <c r="C2823" s="32" t="s">
        <v>2345</v>
      </c>
      <c r="D2823" s="32" t="s">
        <v>114</v>
      </c>
      <c r="E2823" s="32" t="s">
        <v>115</v>
      </c>
      <c r="F2823" s="32" t="n">
        <v>9028227976</v>
      </c>
      <c r="G2823" s="32" t="s">
        <v>69</v>
      </c>
      <c r="H2823" s="32" t="s">
        <v>22</v>
      </c>
      <c r="I2823" s="32" t="s">
        <v>151</v>
      </c>
      <c r="J2823" s="32" t="s">
        <v>152</v>
      </c>
      <c r="K2823" s="32" t="s">
        <v>63</v>
      </c>
    </row>
    <row r="2824" customFormat="false" ht="13.5" hidden="false" customHeight="true" outlineLevel="0" collapsed="false">
      <c r="A2824" s="32" t="n">
        <v>5058</v>
      </c>
      <c r="B2824" s="32" t="s">
        <v>2346</v>
      </c>
      <c r="C2824" s="32" t="s">
        <v>2347</v>
      </c>
      <c r="D2824" s="32" t="s">
        <v>114</v>
      </c>
      <c r="E2824" s="32" t="s">
        <v>165</v>
      </c>
      <c r="F2824" s="32" t="n">
        <v>9769763222</v>
      </c>
      <c r="G2824" s="32" t="s">
        <v>104</v>
      </c>
      <c r="H2824" s="32" t="s">
        <v>22</v>
      </c>
      <c r="I2824" s="32" t="s">
        <v>245</v>
      </c>
      <c r="J2824" s="32" t="s">
        <v>71</v>
      </c>
      <c r="K2824" s="32" t="s">
        <v>63</v>
      </c>
    </row>
    <row r="2825" customFormat="false" ht="13.5" hidden="false" customHeight="true" outlineLevel="0" collapsed="false">
      <c r="A2825" s="32" t="n">
        <v>5059</v>
      </c>
      <c r="B2825" s="32" t="s">
        <v>2346</v>
      </c>
      <c r="C2825" s="32" t="s">
        <v>2347</v>
      </c>
      <c r="D2825" s="32" t="s">
        <v>114</v>
      </c>
      <c r="E2825" s="32" t="s">
        <v>165</v>
      </c>
      <c r="F2825" s="32" t="n">
        <v>9769763222</v>
      </c>
      <c r="G2825" s="32" t="s">
        <v>104</v>
      </c>
      <c r="H2825" s="32" t="s">
        <v>22</v>
      </c>
      <c r="I2825" s="32" t="s">
        <v>145</v>
      </c>
      <c r="J2825" s="32" t="s">
        <v>117</v>
      </c>
      <c r="K2825" s="32" t="s">
        <v>63</v>
      </c>
    </row>
    <row r="2826" customFormat="false" ht="13.5" hidden="false" customHeight="true" outlineLevel="0" collapsed="false">
      <c r="A2826" s="32" t="n">
        <v>5060</v>
      </c>
      <c r="B2826" s="32" t="s">
        <v>2346</v>
      </c>
      <c r="C2826" s="32" t="s">
        <v>2347</v>
      </c>
      <c r="D2826" s="32" t="s">
        <v>114</v>
      </c>
      <c r="E2826" s="32" t="s">
        <v>165</v>
      </c>
      <c r="F2826" s="32" t="n">
        <v>9769763222</v>
      </c>
      <c r="G2826" s="32" t="s">
        <v>104</v>
      </c>
      <c r="H2826" s="32" t="s">
        <v>22</v>
      </c>
      <c r="I2826" s="32" t="s">
        <v>172</v>
      </c>
      <c r="J2826" s="32" t="s">
        <v>152</v>
      </c>
      <c r="K2826" s="32" t="s">
        <v>63</v>
      </c>
    </row>
    <row r="2827" customFormat="false" ht="13.5" hidden="false" customHeight="true" outlineLevel="0" collapsed="false">
      <c r="A2827" s="32" t="n">
        <v>5061</v>
      </c>
      <c r="B2827" s="32" t="s">
        <v>2348</v>
      </c>
      <c r="C2827" s="32" t="s">
        <v>2349</v>
      </c>
      <c r="D2827" s="32" t="s">
        <v>114</v>
      </c>
      <c r="E2827" s="32" t="s">
        <v>115</v>
      </c>
      <c r="F2827" s="33" t="n">
        <v>919004000000</v>
      </c>
      <c r="G2827" s="32" t="s">
        <v>104</v>
      </c>
      <c r="H2827" s="32" t="s">
        <v>22</v>
      </c>
      <c r="I2827" s="32" t="s">
        <v>95</v>
      </c>
      <c r="J2827" s="32" t="s">
        <v>96</v>
      </c>
      <c r="K2827" s="32" t="s">
        <v>63</v>
      </c>
    </row>
    <row r="2828" customFormat="false" ht="13.5" hidden="false" customHeight="true" outlineLevel="0" collapsed="false">
      <c r="A2828" s="32" t="n">
        <v>5062</v>
      </c>
      <c r="B2828" s="32" t="s">
        <v>2348</v>
      </c>
      <c r="C2828" s="32" t="s">
        <v>2350</v>
      </c>
      <c r="D2828" s="32" t="s">
        <v>114</v>
      </c>
      <c r="E2828" s="32" t="s">
        <v>115</v>
      </c>
      <c r="F2828" s="33" t="n">
        <v>919004000000</v>
      </c>
      <c r="G2828" s="32" t="s">
        <v>104</v>
      </c>
      <c r="H2828" s="32" t="s">
        <v>22</v>
      </c>
      <c r="I2828" s="32" t="s">
        <v>16</v>
      </c>
      <c r="J2828" s="32" t="s">
        <v>73</v>
      </c>
      <c r="K2828" s="32" t="s">
        <v>63</v>
      </c>
    </row>
    <row r="2829" customFormat="false" ht="13.5" hidden="false" customHeight="true" outlineLevel="0" collapsed="false">
      <c r="A2829" s="32" t="n">
        <v>5067</v>
      </c>
      <c r="B2829" s="32" t="s">
        <v>2348</v>
      </c>
      <c r="C2829" s="32" t="s">
        <v>2351</v>
      </c>
      <c r="D2829" s="32" t="s">
        <v>114</v>
      </c>
      <c r="E2829" s="32" t="s">
        <v>115</v>
      </c>
      <c r="F2829" s="32" t="n">
        <v>9004376275</v>
      </c>
      <c r="G2829" s="32" t="s">
        <v>104</v>
      </c>
      <c r="H2829" s="32" t="s">
        <v>22</v>
      </c>
      <c r="I2829" s="32" t="s">
        <v>27</v>
      </c>
      <c r="J2829" s="32" t="s">
        <v>13</v>
      </c>
      <c r="K2829" s="32" t="s">
        <v>63</v>
      </c>
    </row>
    <row r="2830" customFormat="false" ht="13.5" hidden="false" customHeight="true" outlineLevel="0" collapsed="false">
      <c r="A2830" s="32" t="n">
        <v>5068</v>
      </c>
      <c r="B2830" s="32" t="s">
        <v>2348</v>
      </c>
      <c r="C2830" s="32" t="s">
        <v>2351</v>
      </c>
      <c r="D2830" s="32" t="s">
        <v>114</v>
      </c>
      <c r="E2830" s="32" t="s">
        <v>115</v>
      </c>
      <c r="F2830" s="32" t="n">
        <v>9004376275</v>
      </c>
      <c r="G2830" s="32" t="s">
        <v>104</v>
      </c>
      <c r="H2830" s="32" t="s">
        <v>22</v>
      </c>
      <c r="I2830" s="32" t="s">
        <v>109</v>
      </c>
      <c r="J2830" s="32" t="s">
        <v>110</v>
      </c>
      <c r="K2830" s="32" t="s">
        <v>63</v>
      </c>
    </row>
    <row r="2831" customFormat="false" ht="13.5" hidden="false" customHeight="true" outlineLevel="0" collapsed="false">
      <c r="A2831" s="32" t="n">
        <v>5069</v>
      </c>
      <c r="B2831" s="32" t="s">
        <v>2348</v>
      </c>
      <c r="C2831" s="32" t="s">
        <v>2351</v>
      </c>
      <c r="D2831" s="32" t="s">
        <v>114</v>
      </c>
      <c r="E2831" s="32" t="s">
        <v>115</v>
      </c>
      <c r="F2831" s="32" t="n">
        <v>9004376275</v>
      </c>
      <c r="G2831" s="32" t="s">
        <v>104</v>
      </c>
      <c r="H2831" s="32" t="s">
        <v>22</v>
      </c>
      <c r="I2831" s="32" t="s">
        <v>145</v>
      </c>
      <c r="J2831" s="32" t="s">
        <v>117</v>
      </c>
      <c r="K2831" s="32" t="s">
        <v>63</v>
      </c>
    </row>
    <row r="2832" customFormat="false" ht="13.5" hidden="false" customHeight="true" outlineLevel="0" collapsed="false">
      <c r="A2832" s="32" t="n">
        <v>5070</v>
      </c>
      <c r="B2832" s="32" t="s">
        <v>2348</v>
      </c>
      <c r="C2832" s="32" t="s">
        <v>2351</v>
      </c>
      <c r="D2832" s="32" t="s">
        <v>114</v>
      </c>
      <c r="E2832" s="32" t="s">
        <v>115</v>
      </c>
      <c r="F2832" s="32" t="n">
        <v>9004376275</v>
      </c>
      <c r="G2832" s="32" t="s">
        <v>104</v>
      </c>
      <c r="H2832" s="32" t="s">
        <v>22</v>
      </c>
      <c r="I2832" s="32" t="s">
        <v>108</v>
      </c>
      <c r="J2832" s="32" t="s">
        <v>71</v>
      </c>
      <c r="K2832" s="32" t="s">
        <v>63</v>
      </c>
    </row>
    <row r="2833" customFormat="false" ht="13.5" hidden="false" customHeight="true" outlineLevel="0" collapsed="false">
      <c r="A2833" s="32" t="n">
        <v>5071</v>
      </c>
      <c r="B2833" s="32" t="s">
        <v>2352</v>
      </c>
      <c r="C2833" s="32" t="s">
        <v>2353</v>
      </c>
      <c r="D2833" s="32" t="s">
        <v>114</v>
      </c>
      <c r="E2833" s="32" t="s">
        <v>115</v>
      </c>
      <c r="F2833" s="32" t="n">
        <v>8655469932</v>
      </c>
      <c r="G2833" s="32" t="s">
        <v>104</v>
      </c>
      <c r="H2833" s="32" t="s">
        <v>22</v>
      </c>
      <c r="I2833" s="32" t="s">
        <v>121</v>
      </c>
      <c r="J2833" s="32" t="s">
        <v>110</v>
      </c>
      <c r="K2833" s="32" t="s">
        <v>63</v>
      </c>
    </row>
    <row r="2834" customFormat="false" ht="13.5" hidden="false" customHeight="true" outlineLevel="0" collapsed="false">
      <c r="A2834" s="32" t="n">
        <v>5072</v>
      </c>
      <c r="B2834" s="32" t="s">
        <v>2352</v>
      </c>
      <c r="C2834" s="32" t="s">
        <v>2353</v>
      </c>
      <c r="D2834" s="32" t="s">
        <v>114</v>
      </c>
      <c r="E2834" s="32" t="s">
        <v>115</v>
      </c>
      <c r="F2834" s="32" t="n">
        <v>8655469932</v>
      </c>
      <c r="G2834" s="32" t="s">
        <v>104</v>
      </c>
      <c r="H2834" s="32" t="s">
        <v>22</v>
      </c>
      <c r="I2834" s="32" t="s">
        <v>133</v>
      </c>
      <c r="J2834" s="32" t="s">
        <v>134</v>
      </c>
      <c r="K2834" s="32" t="s">
        <v>63</v>
      </c>
    </row>
    <row r="2835" customFormat="false" ht="13.5" hidden="false" customHeight="true" outlineLevel="0" collapsed="false">
      <c r="A2835" s="32" t="n">
        <v>5073</v>
      </c>
      <c r="B2835" s="32" t="s">
        <v>2352</v>
      </c>
      <c r="C2835" s="32" t="s">
        <v>2353</v>
      </c>
      <c r="D2835" s="32" t="s">
        <v>114</v>
      </c>
      <c r="E2835" s="32" t="s">
        <v>115</v>
      </c>
      <c r="F2835" s="32" t="n">
        <v>8655469932</v>
      </c>
      <c r="G2835" s="32" t="s">
        <v>104</v>
      </c>
      <c r="H2835" s="32" t="s">
        <v>22</v>
      </c>
      <c r="I2835" s="32" t="s">
        <v>30</v>
      </c>
      <c r="J2835" s="32" t="s">
        <v>203</v>
      </c>
      <c r="K2835" s="32" t="s">
        <v>63</v>
      </c>
    </row>
    <row r="2836" customFormat="false" ht="13.5" hidden="false" customHeight="true" outlineLevel="0" collapsed="false">
      <c r="A2836" s="32" t="n">
        <v>5074</v>
      </c>
      <c r="B2836" s="32" t="s">
        <v>2354</v>
      </c>
      <c r="C2836" s="32" t="s">
        <v>2355</v>
      </c>
      <c r="D2836" s="32" t="s">
        <v>114</v>
      </c>
      <c r="E2836" s="32" t="s">
        <v>165</v>
      </c>
      <c r="F2836" s="32" t="n">
        <v>9619936945</v>
      </c>
      <c r="G2836" s="32" t="s">
        <v>104</v>
      </c>
      <c r="H2836" s="32" t="s">
        <v>22</v>
      </c>
      <c r="I2836" s="32" t="s">
        <v>386</v>
      </c>
      <c r="J2836" s="32" t="s">
        <v>132</v>
      </c>
      <c r="K2836" s="32" t="s">
        <v>63</v>
      </c>
    </row>
    <row r="2837" customFormat="false" ht="13.5" hidden="false" customHeight="true" outlineLevel="0" collapsed="false">
      <c r="A2837" s="32" t="n">
        <v>5075</v>
      </c>
      <c r="B2837" s="32" t="s">
        <v>2354</v>
      </c>
      <c r="C2837" s="32" t="s">
        <v>2355</v>
      </c>
      <c r="D2837" s="32" t="s">
        <v>114</v>
      </c>
      <c r="E2837" s="32" t="s">
        <v>165</v>
      </c>
      <c r="F2837" s="32" t="n">
        <v>9619936945</v>
      </c>
      <c r="G2837" s="32" t="s">
        <v>104</v>
      </c>
      <c r="H2837" s="32" t="s">
        <v>22</v>
      </c>
      <c r="I2837" s="32" t="s">
        <v>133</v>
      </c>
      <c r="J2837" s="32" t="s">
        <v>134</v>
      </c>
      <c r="K2837" s="32" t="s">
        <v>63</v>
      </c>
    </row>
    <row r="2838" customFormat="false" ht="13.5" hidden="false" customHeight="true" outlineLevel="0" collapsed="false">
      <c r="A2838" s="32" t="n">
        <v>5076</v>
      </c>
      <c r="B2838" s="32" t="s">
        <v>2354</v>
      </c>
      <c r="C2838" s="32" t="s">
        <v>2355</v>
      </c>
      <c r="D2838" s="32" t="s">
        <v>114</v>
      </c>
      <c r="E2838" s="32" t="s">
        <v>165</v>
      </c>
      <c r="F2838" s="32" t="n">
        <v>9619936945</v>
      </c>
      <c r="G2838" s="32" t="s">
        <v>104</v>
      </c>
      <c r="H2838" s="32" t="s">
        <v>22</v>
      </c>
      <c r="I2838" s="32" t="s">
        <v>172</v>
      </c>
      <c r="J2838" s="32" t="s">
        <v>152</v>
      </c>
      <c r="K2838" s="32" t="s">
        <v>63</v>
      </c>
    </row>
    <row r="2839" customFormat="false" ht="13.5" hidden="false" customHeight="true" outlineLevel="0" collapsed="false">
      <c r="A2839" s="32" t="n">
        <v>5077</v>
      </c>
      <c r="B2839" s="32" t="s">
        <v>2354</v>
      </c>
      <c r="C2839" s="32" t="s">
        <v>2355</v>
      </c>
      <c r="D2839" s="32" t="s">
        <v>114</v>
      </c>
      <c r="E2839" s="32" t="s">
        <v>165</v>
      </c>
      <c r="F2839" s="32" t="n">
        <v>9619936945</v>
      </c>
      <c r="G2839" s="32" t="s">
        <v>104</v>
      </c>
      <c r="H2839" s="32" t="s">
        <v>22</v>
      </c>
      <c r="I2839" s="32" t="s">
        <v>314</v>
      </c>
      <c r="J2839" s="32" t="s">
        <v>134</v>
      </c>
      <c r="K2839" s="32" t="s">
        <v>63</v>
      </c>
    </row>
    <row r="2840" customFormat="false" ht="13.5" hidden="false" customHeight="true" outlineLevel="0" collapsed="false">
      <c r="A2840" s="32" t="n">
        <v>5078</v>
      </c>
      <c r="B2840" s="32" t="s">
        <v>2356</v>
      </c>
      <c r="C2840" s="32" t="s">
        <v>2357</v>
      </c>
      <c r="D2840" s="32" t="s">
        <v>59</v>
      </c>
      <c r="E2840" s="32" t="s">
        <v>143</v>
      </c>
      <c r="F2840" s="32" t="n">
        <v>7204997579</v>
      </c>
      <c r="G2840" s="32" t="s">
        <v>61</v>
      </c>
      <c r="H2840" s="32" t="s">
        <v>21</v>
      </c>
      <c r="I2840" s="32" t="s">
        <v>108</v>
      </c>
      <c r="J2840" s="32" t="s">
        <v>71</v>
      </c>
      <c r="K2840" s="32" t="s">
        <v>63</v>
      </c>
    </row>
    <row r="2841" customFormat="false" ht="13.5" hidden="false" customHeight="true" outlineLevel="0" collapsed="false">
      <c r="A2841" s="32" t="n">
        <v>5079</v>
      </c>
      <c r="B2841" s="32" t="s">
        <v>2358</v>
      </c>
      <c r="C2841" s="32" t="s">
        <v>2359</v>
      </c>
      <c r="D2841" s="32" t="s">
        <v>59</v>
      </c>
      <c r="E2841" s="32" t="s">
        <v>79</v>
      </c>
      <c r="F2841" s="32" t="n">
        <v>8108615157</v>
      </c>
      <c r="G2841" s="32" t="s">
        <v>104</v>
      </c>
      <c r="H2841" s="32" t="s">
        <v>21</v>
      </c>
      <c r="I2841" s="32" t="s">
        <v>251</v>
      </c>
      <c r="J2841" s="32" t="s">
        <v>152</v>
      </c>
      <c r="K2841" s="32" t="s">
        <v>63</v>
      </c>
    </row>
    <row r="2842" customFormat="false" ht="13.5" hidden="false" customHeight="true" outlineLevel="0" collapsed="false">
      <c r="A2842" s="32" t="n">
        <v>5080</v>
      </c>
      <c r="B2842" s="32" t="s">
        <v>2360</v>
      </c>
      <c r="C2842" s="32" t="s">
        <v>2361</v>
      </c>
      <c r="D2842" s="32" t="s">
        <v>114</v>
      </c>
      <c r="E2842" s="32" t="s">
        <v>165</v>
      </c>
      <c r="F2842" s="33" t="n">
        <v>919441000000</v>
      </c>
      <c r="G2842" s="32" t="s">
        <v>61</v>
      </c>
      <c r="H2842" s="32" t="s">
        <v>22</v>
      </c>
      <c r="I2842" s="32" t="s">
        <v>149</v>
      </c>
      <c r="J2842" s="32" t="s">
        <v>73</v>
      </c>
      <c r="K2842" s="32" t="s">
        <v>63</v>
      </c>
    </row>
    <row r="2843" customFormat="false" ht="13.5" hidden="false" customHeight="true" outlineLevel="0" collapsed="false">
      <c r="A2843" s="32" t="n">
        <v>5081</v>
      </c>
      <c r="B2843" s="32" t="s">
        <v>2360</v>
      </c>
      <c r="C2843" s="32" t="s">
        <v>2362</v>
      </c>
      <c r="D2843" s="32" t="s">
        <v>114</v>
      </c>
      <c r="E2843" s="32" t="s">
        <v>165</v>
      </c>
      <c r="F2843" s="32" t="n">
        <v>9441114922</v>
      </c>
      <c r="G2843" s="32" t="s">
        <v>61</v>
      </c>
      <c r="H2843" s="32" t="s">
        <v>22</v>
      </c>
      <c r="I2843" s="32" t="s">
        <v>108</v>
      </c>
      <c r="J2843" s="32" t="s">
        <v>71</v>
      </c>
      <c r="K2843" s="32" t="s">
        <v>63</v>
      </c>
    </row>
    <row r="2844" customFormat="false" ht="13.5" hidden="false" customHeight="true" outlineLevel="0" collapsed="false">
      <c r="A2844" s="32" t="n">
        <v>5082</v>
      </c>
      <c r="B2844" s="32" t="s">
        <v>2360</v>
      </c>
      <c r="C2844" s="32" t="s">
        <v>2362</v>
      </c>
      <c r="D2844" s="32" t="s">
        <v>114</v>
      </c>
      <c r="E2844" s="32" t="s">
        <v>165</v>
      </c>
      <c r="F2844" s="32" t="n">
        <v>9441114922</v>
      </c>
      <c r="G2844" s="32" t="s">
        <v>61</v>
      </c>
      <c r="H2844" s="32" t="s">
        <v>22</v>
      </c>
      <c r="I2844" s="32" t="s">
        <v>108</v>
      </c>
      <c r="J2844" s="32" t="s">
        <v>71</v>
      </c>
      <c r="K2844" s="32" t="s">
        <v>63</v>
      </c>
    </row>
    <row r="2845" customFormat="false" ht="13.5" hidden="false" customHeight="true" outlineLevel="0" collapsed="false">
      <c r="A2845" s="32" t="n">
        <v>5083</v>
      </c>
      <c r="B2845" s="32" t="s">
        <v>2360</v>
      </c>
      <c r="C2845" s="32" t="s">
        <v>2362</v>
      </c>
      <c r="D2845" s="32" t="s">
        <v>114</v>
      </c>
      <c r="E2845" s="32" t="s">
        <v>165</v>
      </c>
      <c r="F2845" s="33" t="n">
        <v>919441000000</v>
      </c>
      <c r="G2845" s="32" t="s">
        <v>61</v>
      </c>
      <c r="H2845" s="32" t="s">
        <v>22</v>
      </c>
      <c r="I2845" s="32" t="s">
        <v>245</v>
      </c>
      <c r="J2845" s="32" t="s">
        <v>71</v>
      </c>
      <c r="K2845" s="32" t="s">
        <v>63</v>
      </c>
    </row>
    <row r="2846" customFormat="false" ht="13.5" hidden="false" customHeight="true" outlineLevel="0" collapsed="false">
      <c r="A2846" s="32" t="n">
        <v>5084</v>
      </c>
      <c r="B2846" s="32" t="s">
        <v>2360</v>
      </c>
      <c r="C2846" s="32" t="s">
        <v>2362</v>
      </c>
      <c r="D2846" s="32" t="s">
        <v>114</v>
      </c>
      <c r="E2846" s="32" t="s">
        <v>165</v>
      </c>
      <c r="F2846" s="32" t="n">
        <v>9441114922</v>
      </c>
      <c r="G2846" s="32" t="s">
        <v>61</v>
      </c>
      <c r="H2846" s="32" t="s">
        <v>22</v>
      </c>
      <c r="I2846" s="32" t="s">
        <v>28</v>
      </c>
      <c r="J2846" s="32" t="s">
        <v>82</v>
      </c>
      <c r="K2846" s="32" t="s">
        <v>63</v>
      </c>
    </row>
    <row r="2847" customFormat="false" ht="13.5" hidden="false" customHeight="true" outlineLevel="0" collapsed="false">
      <c r="A2847" s="32" t="n">
        <v>5085</v>
      </c>
      <c r="B2847" s="32" t="s">
        <v>2360</v>
      </c>
      <c r="C2847" s="32" t="s">
        <v>2362</v>
      </c>
      <c r="D2847" s="32" t="s">
        <v>114</v>
      </c>
      <c r="E2847" s="32" t="s">
        <v>165</v>
      </c>
      <c r="F2847" s="33" t="n">
        <v>919441000000</v>
      </c>
      <c r="G2847" s="32" t="s">
        <v>61</v>
      </c>
      <c r="H2847" s="32" t="s">
        <v>22</v>
      </c>
      <c r="I2847" s="32" t="s">
        <v>14</v>
      </c>
      <c r="J2847" s="32" t="s">
        <v>66</v>
      </c>
      <c r="K2847" s="32" t="s">
        <v>63</v>
      </c>
    </row>
    <row r="2848" customFormat="false" ht="13.5" hidden="false" customHeight="true" outlineLevel="0" collapsed="false">
      <c r="A2848" s="32" t="n">
        <v>5086</v>
      </c>
      <c r="B2848" s="32" t="s">
        <v>2363</v>
      </c>
      <c r="C2848" s="32" t="s">
        <v>2364</v>
      </c>
      <c r="D2848" s="32" t="s">
        <v>59</v>
      </c>
      <c r="E2848" s="32" t="s">
        <v>143</v>
      </c>
      <c r="F2848" s="32" t="n">
        <v>9036102699</v>
      </c>
      <c r="G2848" s="32" t="s">
        <v>61</v>
      </c>
      <c r="H2848" s="32" t="s">
        <v>21</v>
      </c>
      <c r="I2848" s="32" t="s">
        <v>265</v>
      </c>
      <c r="J2848" s="32" t="s">
        <v>152</v>
      </c>
      <c r="K2848" s="32" t="s">
        <v>63</v>
      </c>
    </row>
    <row r="2849" customFormat="false" ht="13.5" hidden="false" customHeight="true" outlineLevel="0" collapsed="false">
      <c r="A2849" s="32" t="n">
        <v>6903</v>
      </c>
      <c r="B2849" s="32" t="s">
        <v>2363</v>
      </c>
      <c r="C2849" s="32" t="s">
        <v>2365</v>
      </c>
      <c r="D2849" s="32" t="s">
        <v>59</v>
      </c>
      <c r="E2849" s="32" t="s">
        <v>143</v>
      </c>
      <c r="F2849" s="32" t="n">
        <v>9036102699</v>
      </c>
      <c r="G2849" s="32" t="s">
        <v>61</v>
      </c>
      <c r="H2849" s="32" t="s">
        <v>21</v>
      </c>
      <c r="I2849" s="32" t="s">
        <v>28</v>
      </c>
      <c r="J2849" s="32" t="s">
        <v>82</v>
      </c>
      <c r="K2849" s="32" t="s">
        <v>63</v>
      </c>
    </row>
    <row r="2850" customFormat="false" ht="13.5" hidden="false" customHeight="true" outlineLevel="0" collapsed="false">
      <c r="A2850" s="32" t="n">
        <v>5088</v>
      </c>
      <c r="B2850" s="32" t="s">
        <v>2366</v>
      </c>
      <c r="C2850" s="32" t="s">
        <v>2367</v>
      </c>
      <c r="D2850" s="32" t="s">
        <v>331</v>
      </c>
      <c r="E2850" s="32" t="n">
        <v>0</v>
      </c>
      <c r="F2850" s="32" t="n">
        <v>0</v>
      </c>
      <c r="G2850" s="32" t="s">
        <v>80</v>
      </c>
      <c r="H2850" s="32" t="s">
        <v>332</v>
      </c>
      <c r="I2850" s="32" t="s">
        <v>386</v>
      </c>
      <c r="J2850" s="32" t="s">
        <v>132</v>
      </c>
      <c r="K2850" s="32" t="s">
        <v>63</v>
      </c>
    </row>
    <row r="2851" customFormat="false" ht="13.5" hidden="false" customHeight="true" outlineLevel="0" collapsed="false">
      <c r="A2851" s="32" t="n">
        <v>5089</v>
      </c>
      <c r="B2851" s="32" t="s">
        <v>2366</v>
      </c>
      <c r="C2851" s="32" t="s">
        <v>2367</v>
      </c>
      <c r="D2851" s="32" t="s">
        <v>331</v>
      </c>
      <c r="E2851" s="32" t="n">
        <v>0</v>
      </c>
      <c r="F2851" s="32" t="n">
        <v>8886356082</v>
      </c>
      <c r="G2851" s="32" t="s">
        <v>80</v>
      </c>
      <c r="H2851" s="32" t="s">
        <v>332</v>
      </c>
      <c r="I2851" s="32" t="s">
        <v>728</v>
      </c>
      <c r="J2851" s="32" t="s">
        <v>132</v>
      </c>
      <c r="K2851" s="32" t="s">
        <v>63</v>
      </c>
    </row>
    <row r="2852" customFormat="false" ht="13.5" hidden="false" customHeight="true" outlineLevel="0" collapsed="false">
      <c r="A2852" s="32" t="n">
        <v>5090</v>
      </c>
      <c r="B2852" s="32" t="s">
        <v>2368</v>
      </c>
      <c r="C2852" s="32" t="s">
        <v>2369</v>
      </c>
      <c r="D2852" s="32" t="s">
        <v>102</v>
      </c>
      <c r="E2852" s="32" t="s">
        <v>60</v>
      </c>
      <c r="F2852" s="33" t="n">
        <v>920000000000</v>
      </c>
      <c r="G2852" s="32" t="s">
        <v>144</v>
      </c>
      <c r="H2852" s="32" t="s">
        <v>21</v>
      </c>
      <c r="I2852" s="32" t="s">
        <v>14</v>
      </c>
      <c r="J2852" s="32" t="s">
        <v>66</v>
      </c>
      <c r="K2852" s="32" t="s">
        <v>63</v>
      </c>
    </row>
    <row r="2853" customFormat="false" ht="13.5" hidden="false" customHeight="true" outlineLevel="0" collapsed="false">
      <c r="A2853" s="32" t="n">
        <v>5091</v>
      </c>
      <c r="B2853" s="32" t="s">
        <v>2368</v>
      </c>
      <c r="C2853" s="32" t="s">
        <v>2370</v>
      </c>
      <c r="D2853" s="32" t="s">
        <v>102</v>
      </c>
      <c r="E2853" s="32" t="s">
        <v>60</v>
      </c>
      <c r="F2853" s="33" t="n">
        <v>920000000000</v>
      </c>
      <c r="G2853" s="32" t="s">
        <v>144</v>
      </c>
      <c r="H2853" s="32" t="s">
        <v>21</v>
      </c>
      <c r="I2853" s="32" t="s">
        <v>156</v>
      </c>
      <c r="J2853" s="32" t="s">
        <v>62</v>
      </c>
      <c r="K2853" s="32" t="s">
        <v>63</v>
      </c>
    </row>
    <row r="2854" customFormat="false" ht="13.5" hidden="false" customHeight="true" outlineLevel="0" collapsed="false">
      <c r="A2854" s="32" t="n">
        <v>5092</v>
      </c>
      <c r="B2854" s="32" t="s">
        <v>2368</v>
      </c>
      <c r="C2854" s="32" t="s">
        <v>2370</v>
      </c>
      <c r="D2854" s="32" t="s">
        <v>102</v>
      </c>
      <c r="E2854" s="32" t="s">
        <v>60</v>
      </c>
      <c r="F2854" s="33" t="n">
        <v>920000000000</v>
      </c>
      <c r="G2854" s="32" t="s">
        <v>144</v>
      </c>
      <c r="H2854" s="32" t="s">
        <v>21</v>
      </c>
      <c r="I2854" s="32" t="s">
        <v>29</v>
      </c>
      <c r="J2854" s="32" t="s">
        <v>62</v>
      </c>
      <c r="K2854" s="32" t="s">
        <v>63</v>
      </c>
    </row>
    <row r="2855" customFormat="false" ht="13.5" hidden="false" customHeight="true" outlineLevel="0" collapsed="false">
      <c r="A2855" s="32" t="n">
        <v>5093</v>
      </c>
      <c r="B2855" s="32" t="s">
        <v>2368</v>
      </c>
      <c r="C2855" s="32" t="s">
        <v>2370</v>
      </c>
      <c r="D2855" s="32" t="s">
        <v>102</v>
      </c>
      <c r="E2855" s="32" t="s">
        <v>60</v>
      </c>
      <c r="F2855" s="33" t="n">
        <v>920000000000</v>
      </c>
      <c r="G2855" s="32" t="s">
        <v>144</v>
      </c>
      <c r="H2855" s="32" t="s">
        <v>21</v>
      </c>
      <c r="I2855" s="32" t="s">
        <v>64</v>
      </c>
      <c r="J2855" s="32" t="s">
        <v>62</v>
      </c>
      <c r="K2855" s="32" t="s">
        <v>63</v>
      </c>
    </row>
    <row r="2856" customFormat="false" ht="13.5" hidden="false" customHeight="true" outlineLevel="0" collapsed="false">
      <c r="A2856" s="32" t="n">
        <v>5094</v>
      </c>
      <c r="B2856" s="32" t="s">
        <v>2371</v>
      </c>
      <c r="C2856" s="32" t="s">
        <v>2372</v>
      </c>
      <c r="D2856" s="32" t="s">
        <v>59</v>
      </c>
      <c r="E2856" s="32" t="s">
        <v>60</v>
      </c>
      <c r="F2856" s="33" t="n">
        <v>917017000000</v>
      </c>
      <c r="G2856" s="32" t="s">
        <v>144</v>
      </c>
      <c r="H2856" s="32" t="s">
        <v>21</v>
      </c>
      <c r="I2856" s="32" t="s">
        <v>156</v>
      </c>
      <c r="J2856" s="32" t="s">
        <v>62</v>
      </c>
      <c r="K2856" s="32" t="s">
        <v>63</v>
      </c>
    </row>
    <row r="2857" customFormat="false" ht="13.5" hidden="false" customHeight="true" outlineLevel="0" collapsed="false">
      <c r="A2857" s="32" t="n">
        <v>5095</v>
      </c>
      <c r="B2857" s="32" t="s">
        <v>2371</v>
      </c>
      <c r="C2857" s="32" t="s">
        <v>2372</v>
      </c>
      <c r="D2857" s="32" t="s">
        <v>59</v>
      </c>
      <c r="E2857" s="32" t="s">
        <v>60</v>
      </c>
      <c r="F2857" s="33" t="n">
        <v>917017000000</v>
      </c>
      <c r="G2857" s="32" t="s">
        <v>144</v>
      </c>
      <c r="H2857" s="32" t="s">
        <v>21</v>
      </c>
      <c r="I2857" s="32" t="s">
        <v>29</v>
      </c>
      <c r="J2857" s="32" t="s">
        <v>62</v>
      </c>
      <c r="K2857" s="32" t="s">
        <v>63</v>
      </c>
    </row>
    <row r="2858" customFormat="false" ht="13.5" hidden="false" customHeight="true" outlineLevel="0" collapsed="false">
      <c r="A2858" s="32" t="n">
        <v>5096</v>
      </c>
      <c r="B2858" s="32" t="s">
        <v>2373</v>
      </c>
      <c r="C2858" s="32" t="s">
        <v>2374</v>
      </c>
      <c r="D2858" s="32" t="s">
        <v>59</v>
      </c>
      <c r="E2858" s="32" t="s">
        <v>107</v>
      </c>
      <c r="F2858" s="32" t="n">
        <v>0</v>
      </c>
      <c r="G2858" s="32" t="s">
        <v>140</v>
      </c>
      <c r="H2858" s="32" t="s">
        <v>21</v>
      </c>
      <c r="I2858" s="32" t="s">
        <v>27</v>
      </c>
      <c r="J2858" s="32" t="s">
        <v>13</v>
      </c>
      <c r="K2858" s="32" t="s">
        <v>63</v>
      </c>
    </row>
    <row r="2859" customFormat="false" ht="13.5" hidden="false" customHeight="true" outlineLevel="0" collapsed="false">
      <c r="A2859" s="32" t="n">
        <v>5097</v>
      </c>
      <c r="B2859" s="32" t="s">
        <v>2373</v>
      </c>
      <c r="C2859" s="32" t="s">
        <v>2374</v>
      </c>
      <c r="D2859" s="32" t="s">
        <v>59</v>
      </c>
      <c r="E2859" s="32" t="s">
        <v>107</v>
      </c>
      <c r="F2859" s="32" t="n">
        <v>0</v>
      </c>
      <c r="G2859" s="32" t="s">
        <v>140</v>
      </c>
      <c r="H2859" s="32" t="s">
        <v>21</v>
      </c>
      <c r="I2859" s="32" t="s">
        <v>30</v>
      </c>
      <c r="J2859" s="32" t="s">
        <v>203</v>
      </c>
      <c r="K2859" s="32" t="s">
        <v>63</v>
      </c>
    </row>
    <row r="2860" customFormat="false" ht="13.5" hidden="false" customHeight="true" outlineLevel="0" collapsed="false">
      <c r="A2860" s="32" t="n">
        <v>5098</v>
      </c>
      <c r="B2860" s="32" t="s">
        <v>2373</v>
      </c>
      <c r="C2860" s="32" t="s">
        <v>2374</v>
      </c>
      <c r="D2860" s="32" t="s">
        <v>59</v>
      </c>
      <c r="E2860" s="32" t="s">
        <v>107</v>
      </c>
      <c r="F2860" s="32" t="n">
        <v>0</v>
      </c>
      <c r="G2860" s="32" t="s">
        <v>140</v>
      </c>
      <c r="H2860" s="32" t="s">
        <v>21</v>
      </c>
      <c r="I2860" s="32" t="s">
        <v>93</v>
      </c>
      <c r="J2860" s="32" t="s">
        <v>85</v>
      </c>
      <c r="K2860" s="32" t="s">
        <v>63</v>
      </c>
    </row>
    <row r="2861" customFormat="false" ht="13.5" hidden="false" customHeight="true" outlineLevel="0" collapsed="false">
      <c r="A2861" s="32" t="n">
        <v>5099</v>
      </c>
      <c r="B2861" s="32" t="s">
        <v>2375</v>
      </c>
      <c r="C2861" s="32" t="s">
        <v>2376</v>
      </c>
      <c r="D2861" s="32" t="s">
        <v>114</v>
      </c>
      <c r="E2861" s="32" t="s">
        <v>165</v>
      </c>
      <c r="F2861" s="32" t="n">
        <v>0</v>
      </c>
      <c r="G2861" s="32" t="s">
        <v>144</v>
      </c>
      <c r="H2861" s="32" t="s">
        <v>22</v>
      </c>
      <c r="I2861" s="32" t="s">
        <v>133</v>
      </c>
      <c r="J2861" s="32" t="s">
        <v>134</v>
      </c>
      <c r="K2861" s="32" t="s">
        <v>63</v>
      </c>
    </row>
    <row r="2862" customFormat="false" ht="13.5" hidden="false" customHeight="true" outlineLevel="0" collapsed="false">
      <c r="A2862" s="32" t="n">
        <v>5100</v>
      </c>
      <c r="B2862" s="32" t="s">
        <v>2375</v>
      </c>
      <c r="C2862" s="32" t="s">
        <v>2376</v>
      </c>
      <c r="D2862" s="32" t="s">
        <v>114</v>
      </c>
      <c r="E2862" s="32" t="s">
        <v>165</v>
      </c>
      <c r="F2862" s="32" t="n">
        <v>0</v>
      </c>
      <c r="G2862" s="32" t="s">
        <v>144</v>
      </c>
      <c r="H2862" s="32" t="s">
        <v>22</v>
      </c>
      <c r="I2862" s="32" t="s">
        <v>151</v>
      </c>
      <c r="J2862" s="32" t="s">
        <v>152</v>
      </c>
      <c r="K2862" s="32" t="s">
        <v>63</v>
      </c>
    </row>
    <row r="2863" customFormat="false" ht="13.5" hidden="false" customHeight="true" outlineLevel="0" collapsed="false">
      <c r="A2863" s="32" t="n">
        <v>5101</v>
      </c>
      <c r="B2863" s="32" t="s">
        <v>2375</v>
      </c>
      <c r="C2863" s="32" t="s">
        <v>2376</v>
      </c>
      <c r="D2863" s="32" t="s">
        <v>114</v>
      </c>
      <c r="E2863" s="32" t="s">
        <v>165</v>
      </c>
      <c r="F2863" s="32" t="n">
        <v>0</v>
      </c>
      <c r="G2863" s="32" t="s">
        <v>144</v>
      </c>
      <c r="H2863" s="32" t="s">
        <v>22</v>
      </c>
      <c r="I2863" s="32" t="s">
        <v>85</v>
      </c>
      <c r="J2863" s="32" t="s">
        <v>85</v>
      </c>
      <c r="K2863" s="32" t="s">
        <v>63</v>
      </c>
    </row>
    <row r="2864" customFormat="false" ht="13.5" hidden="false" customHeight="true" outlineLevel="0" collapsed="false">
      <c r="A2864" s="32" t="n">
        <v>5102</v>
      </c>
      <c r="B2864" s="32" t="s">
        <v>2375</v>
      </c>
      <c r="C2864" s="32" t="s">
        <v>2376</v>
      </c>
      <c r="D2864" s="32" t="s">
        <v>114</v>
      </c>
      <c r="E2864" s="32" t="s">
        <v>165</v>
      </c>
      <c r="F2864" s="32" t="n">
        <v>0</v>
      </c>
      <c r="G2864" s="32" t="s">
        <v>144</v>
      </c>
      <c r="H2864" s="32" t="s">
        <v>22</v>
      </c>
      <c r="I2864" s="32" t="s">
        <v>314</v>
      </c>
      <c r="J2864" s="32" t="s">
        <v>134</v>
      </c>
      <c r="K2864" s="32" t="s">
        <v>63</v>
      </c>
    </row>
    <row r="2865" customFormat="false" ht="13.5" hidden="false" customHeight="true" outlineLevel="0" collapsed="false">
      <c r="A2865" s="32" t="n">
        <v>5103</v>
      </c>
      <c r="B2865" s="32" t="s">
        <v>2377</v>
      </c>
      <c r="C2865" s="32" t="s">
        <v>2378</v>
      </c>
      <c r="D2865" s="32" t="s">
        <v>59</v>
      </c>
      <c r="E2865" s="32" t="s">
        <v>60</v>
      </c>
      <c r="F2865" s="32" t="n">
        <v>9039290307</v>
      </c>
      <c r="G2865" s="32" t="s">
        <v>144</v>
      </c>
      <c r="H2865" s="32" t="s">
        <v>21</v>
      </c>
      <c r="I2865" s="32" t="s">
        <v>421</v>
      </c>
      <c r="J2865" s="32" t="s">
        <v>235</v>
      </c>
      <c r="K2865" s="32" t="s">
        <v>63</v>
      </c>
    </row>
    <row r="2866" customFormat="false" ht="13.5" hidden="false" customHeight="true" outlineLevel="0" collapsed="false">
      <c r="A2866" s="32" t="n">
        <v>5104</v>
      </c>
      <c r="B2866" s="32" t="s">
        <v>2377</v>
      </c>
      <c r="C2866" s="32" t="s">
        <v>2378</v>
      </c>
      <c r="D2866" s="32" t="s">
        <v>59</v>
      </c>
      <c r="E2866" s="32" t="s">
        <v>60</v>
      </c>
      <c r="F2866" s="32" t="n">
        <v>9039290307</v>
      </c>
      <c r="G2866" s="32" t="s">
        <v>144</v>
      </c>
      <c r="H2866" s="32" t="s">
        <v>21</v>
      </c>
      <c r="I2866" s="32" t="s">
        <v>333</v>
      </c>
      <c r="J2866" s="32" t="s">
        <v>235</v>
      </c>
      <c r="K2866" s="32" t="s">
        <v>63</v>
      </c>
    </row>
    <row r="2867" customFormat="false" ht="13.5" hidden="false" customHeight="true" outlineLevel="0" collapsed="false">
      <c r="A2867" s="32" t="n">
        <v>5105</v>
      </c>
      <c r="B2867" s="32" t="s">
        <v>2377</v>
      </c>
      <c r="C2867" s="32" t="s">
        <v>2378</v>
      </c>
      <c r="D2867" s="32" t="s">
        <v>59</v>
      </c>
      <c r="E2867" s="32" t="s">
        <v>60</v>
      </c>
      <c r="F2867" s="32" t="n">
        <v>9039290307</v>
      </c>
      <c r="G2867" s="32" t="s">
        <v>144</v>
      </c>
      <c r="H2867" s="32" t="s">
        <v>21</v>
      </c>
      <c r="I2867" s="32" t="s">
        <v>2379</v>
      </c>
      <c r="J2867" s="32" t="s">
        <v>2380</v>
      </c>
      <c r="K2867" s="32" t="s">
        <v>63</v>
      </c>
    </row>
    <row r="2868" customFormat="false" ht="13.5" hidden="false" customHeight="true" outlineLevel="0" collapsed="false">
      <c r="A2868" s="32" t="n">
        <v>5106</v>
      </c>
      <c r="B2868" s="32" t="s">
        <v>2381</v>
      </c>
      <c r="C2868" s="32" t="s">
        <v>2382</v>
      </c>
      <c r="D2868" s="32" t="s">
        <v>59</v>
      </c>
      <c r="E2868" s="32" t="s">
        <v>79</v>
      </c>
      <c r="F2868" s="32" t="n">
        <v>0</v>
      </c>
      <c r="G2868" s="32" t="s">
        <v>61</v>
      </c>
      <c r="H2868" s="32" t="s">
        <v>21</v>
      </c>
      <c r="I2868" s="32" t="s">
        <v>151</v>
      </c>
      <c r="J2868" s="32" t="s">
        <v>152</v>
      </c>
      <c r="K2868" s="32" t="s">
        <v>63</v>
      </c>
    </row>
    <row r="2869" customFormat="false" ht="13.5" hidden="false" customHeight="true" outlineLevel="0" collapsed="false">
      <c r="A2869" s="32" t="n">
        <v>5107</v>
      </c>
      <c r="B2869" s="32" t="s">
        <v>2381</v>
      </c>
      <c r="C2869" s="32" t="s">
        <v>2382</v>
      </c>
      <c r="D2869" s="32" t="s">
        <v>59</v>
      </c>
      <c r="E2869" s="32" t="s">
        <v>79</v>
      </c>
      <c r="F2869" s="32" t="n">
        <v>0</v>
      </c>
      <c r="G2869" s="32" t="s">
        <v>61</v>
      </c>
      <c r="H2869" s="32" t="s">
        <v>21</v>
      </c>
      <c r="I2869" s="32" t="s">
        <v>146</v>
      </c>
      <c r="J2869" s="32" t="s">
        <v>117</v>
      </c>
      <c r="K2869" s="32" t="s">
        <v>63</v>
      </c>
    </row>
    <row r="2870" customFormat="false" ht="13.5" hidden="false" customHeight="true" outlineLevel="0" collapsed="false">
      <c r="A2870" s="32" t="n">
        <v>5108</v>
      </c>
      <c r="B2870" s="32" t="s">
        <v>2381</v>
      </c>
      <c r="C2870" s="32" t="s">
        <v>2382</v>
      </c>
      <c r="D2870" s="32" t="s">
        <v>59</v>
      </c>
      <c r="E2870" s="32" t="s">
        <v>79</v>
      </c>
      <c r="F2870" s="32" t="n">
        <v>0</v>
      </c>
      <c r="G2870" s="32" t="s">
        <v>61</v>
      </c>
      <c r="H2870" s="32" t="s">
        <v>21</v>
      </c>
      <c r="I2870" s="32" t="s">
        <v>234</v>
      </c>
      <c r="J2870" s="32" t="s">
        <v>235</v>
      </c>
      <c r="K2870" s="32" t="s">
        <v>63</v>
      </c>
    </row>
    <row r="2871" customFormat="false" ht="13.5" hidden="false" customHeight="true" outlineLevel="0" collapsed="false">
      <c r="A2871" s="32" t="n">
        <v>5109</v>
      </c>
      <c r="B2871" s="32" t="s">
        <v>2383</v>
      </c>
      <c r="C2871" s="32" t="s">
        <v>2384</v>
      </c>
      <c r="D2871" s="32" t="s">
        <v>114</v>
      </c>
      <c r="E2871" s="32" t="s">
        <v>115</v>
      </c>
      <c r="F2871" s="32" t="n">
        <v>9701240289</v>
      </c>
      <c r="G2871" s="32" t="s">
        <v>80</v>
      </c>
      <c r="H2871" s="32" t="s">
        <v>22</v>
      </c>
      <c r="I2871" s="32" t="s">
        <v>93</v>
      </c>
      <c r="J2871" s="32" t="s">
        <v>85</v>
      </c>
      <c r="K2871" s="32" t="s">
        <v>63</v>
      </c>
    </row>
    <row r="2872" customFormat="false" ht="13.5" hidden="false" customHeight="true" outlineLevel="0" collapsed="false">
      <c r="A2872" s="32" t="n">
        <v>5110</v>
      </c>
      <c r="B2872" s="32" t="s">
        <v>2383</v>
      </c>
      <c r="C2872" s="32" t="s">
        <v>2384</v>
      </c>
      <c r="D2872" s="32" t="s">
        <v>114</v>
      </c>
      <c r="E2872" s="32" t="s">
        <v>115</v>
      </c>
      <c r="F2872" s="32" t="n">
        <v>9701240289</v>
      </c>
      <c r="G2872" s="32" t="s">
        <v>80</v>
      </c>
      <c r="H2872" s="32" t="s">
        <v>22</v>
      </c>
      <c r="I2872" s="32" t="s">
        <v>126</v>
      </c>
      <c r="J2872" s="32" t="s">
        <v>85</v>
      </c>
      <c r="K2872" s="32" t="s">
        <v>63</v>
      </c>
    </row>
    <row r="2873" customFormat="false" ht="13.5" hidden="false" customHeight="true" outlineLevel="0" collapsed="false">
      <c r="A2873" s="32" t="n">
        <v>5111</v>
      </c>
      <c r="B2873" s="32" t="s">
        <v>2383</v>
      </c>
      <c r="C2873" s="32" t="s">
        <v>2385</v>
      </c>
      <c r="D2873" s="32" t="s">
        <v>114</v>
      </c>
      <c r="E2873" s="32" t="s">
        <v>115</v>
      </c>
      <c r="F2873" s="32" t="n">
        <v>9701240289</v>
      </c>
      <c r="G2873" s="32" t="s">
        <v>80</v>
      </c>
      <c r="H2873" s="32" t="s">
        <v>22</v>
      </c>
      <c r="I2873" s="32" t="s">
        <v>145</v>
      </c>
      <c r="J2873" s="32" t="s">
        <v>117</v>
      </c>
      <c r="K2873" s="32" t="s">
        <v>63</v>
      </c>
    </row>
    <row r="2874" customFormat="false" ht="13.5" hidden="false" customHeight="true" outlineLevel="0" collapsed="false">
      <c r="A2874" s="32" t="n">
        <v>5112</v>
      </c>
      <c r="B2874" s="32" t="s">
        <v>2383</v>
      </c>
      <c r="C2874" s="32" t="s">
        <v>2385</v>
      </c>
      <c r="D2874" s="32" t="s">
        <v>114</v>
      </c>
      <c r="E2874" s="32" t="s">
        <v>115</v>
      </c>
      <c r="F2874" s="32" t="n">
        <v>9701240289</v>
      </c>
      <c r="G2874" s="32" t="s">
        <v>80</v>
      </c>
      <c r="H2874" s="32" t="s">
        <v>22</v>
      </c>
      <c r="I2874" s="32" t="s">
        <v>121</v>
      </c>
      <c r="J2874" s="32" t="s">
        <v>110</v>
      </c>
      <c r="K2874" s="32" t="s">
        <v>63</v>
      </c>
    </row>
    <row r="2875" customFormat="false" ht="13.5" hidden="false" customHeight="true" outlineLevel="0" collapsed="false">
      <c r="A2875" s="32" t="n">
        <v>5113</v>
      </c>
      <c r="B2875" s="32" t="s">
        <v>2383</v>
      </c>
      <c r="C2875" s="32" t="s">
        <v>2385</v>
      </c>
      <c r="D2875" s="32" t="s">
        <v>114</v>
      </c>
      <c r="E2875" s="32" t="s">
        <v>115</v>
      </c>
      <c r="F2875" s="32" t="n">
        <v>9701240289</v>
      </c>
      <c r="G2875" s="32" t="s">
        <v>80</v>
      </c>
      <c r="H2875" s="32" t="s">
        <v>22</v>
      </c>
      <c r="I2875" s="32" t="s">
        <v>133</v>
      </c>
      <c r="J2875" s="32" t="s">
        <v>134</v>
      </c>
      <c r="K2875" s="32" t="s">
        <v>63</v>
      </c>
    </row>
    <row r="2876" customFormat="false" ht="13.5" hidden="false" customHeight="true" outlineLevel="0" collapsed="false">
      <c r="A2876" s="32" t="n">
        <v>5114</v>
      </c>
      <c r="B2876" s="32" t="s">
        <v>2383</v>
      </c>
      <c r="C2876" s="32" t="s">
        <v>2384</v>
      </c>
      <c r="D2876" s="32" t="s">
        <v>114</v>
      </c>
      <c r="E2876" s="32" t="s">
        <v>115</v>
      </c>
      <c r="F2876" s="32" t="n">
        <v>9701240289</v>
      </c>
      <c r="G2876" s="32" t="s">
        <v>80</v>
      </c>
      <c r="H2876" s="32" t="s">
        <v>22</v>
      </c>
      <c r="I2876" s="32" t="s">
        <v>95</v>
      </c>
      <c r="J2876" s="32" t="s">
        <v>96</v>
      </c>
      <c r="K2876" s="32" t="s">
        <v>63</v>
      </c>
    </row>
    <row r="2877" customFormat="false" ht="13.5" hidden="false" customHeight="true" outlineLevel="0" collapsed="false">
      <c r="A2877" s="32" t="n">
        <v>5115</v>
      </c>
      <c r="B2877" s="32" t="s">
        <v>2383</v>
      </c>
      <c r="C2877" s="32" t="s">
        <v>2386</v>
      </c>
      <c r="D2877" s="32" t="s">
        <v>114</v>
      </c>
      <c r="E2877" s="32" t="s">
        <v>115</v>
      </c>
      <c r="F2877" s="32" t="n">
        <v>9701240289</v>
      </c>
      <c r="G2877" s="32" t="s">
        <v>80</v>
      </c>
      <c r="H2877" s="32" t="s">
        <v>22</v>
      </c>
      <c r="I2877" s="32" t="s">
        <v>87</v>
      </c>
      <c r="J2877" s="32" t="s">
        <v>84</v>
      </c>
      <c r="K2877" s="32" t="s">
        <v>63</v>
      </c>
    </row>
    <row r="2878" customFormat="false" ht="13.5" hidden="false" customHeight="true" outlineLevel="0" collapsed="false">
      <c r="A2878" s="32" t="n">
        <v>5116</v>
      </c>
      <c r="B2878" s="32" t="s">
        <v>2387</v>
      </c>
      <c r="C2878" s="32" t="s">
        <v>2388</v>
      </c>
      <c r="D2878" s="32" t="s">
        <v>331</v>
      </c>
      <c r="E2878" s="32" t="s">
        <v>366</v>
      </c>
      <c r="F2878" s="33" t="n">
        <v>918142000000</v>
      </c>
      <c r="G2878" s="32" t="s">
        <v>80</v>
      </c>
      <c r="H2878" s="32" t="s">
        <v>332</v>
      </c>
      <c r="I2878" s="32" t="s">
        <v>2389</v>
      </c>
      <c r="J2878" s="32" t="s">
        <v>89</v>
      </c>
      <c r="K2878" s="32" t="s">
        <v>63</v>
      </c>
    </row>
    <row r="2879" customFormat="false" ht="13.5" hidden="false" customHeight="true" outlineLevel="0" collapsed="false">
      <c r="A2879" s="32" t="n">
        <v>5119</v>
      </c>
      <c r="B2879" s="32" t="s">
        <v>2387</v>
      </c>
      <c r="C2879" s="32" t="s">
        <v>2388</v>
      </c>
      <c r="D2879" s="32" t="s">
        <v>331</v>
      </c>
      <c r="E2879" s="32" t="s">
        <v>366</v>
      </c>
      <c r="F2879" s="33" t="n">
        <v>918142000000</v>
      </c>
      <c r="G2879" s="32" t="s">
        <v>80</v>
      </c>
      <c r="H2879" s="32" t="s">
        <v>332</v>
      </c>
      <c r="I2879" s="32" t="s">
        <v>156</v>
      </c>
      <c r="J2879" s="32" t="s">
        <v>62</v>
      </c>
      <c r="K2879" s="32" t="s">
        <v>63</v>
      </c>
    </row>
    <row r="2880" customFormat="false" ht="13.5" hidden="false" customHeight="true" outlineLevel="0" collapsed="false">
      <c r="A2880" s="32" t="n">
        <v>5120</v>
      </c>
      <c r="B2880" s="32" t="s">
        <v>2387</v>
      </c>
      <c r="C2880" s="32" t="s">
        <v>2388</v>
      </c>
      <c r="D2880" s="32" t="s">
        <v>331</v>
      </c>
      <c r="E2880" s="32" t="s">
        <v>366</v>
      </c>
      <c r="F2880" s="33" t="n">
        <v>918142000000</v>
      </c>
      <c r="G2880" s="32" t="s">
        <v>80</v>
      </c>
      <c r="H2880" s="32" t="s">
        <v>332</v>
      </c>
      <c r="I2880" s="32" t="s">
        <v>29</v>
      </c>
      <c r="J2880" s="32" t="s">
        <v>62</v>
      </c>
      <c r="K2880" s="32" t="s">
        <v>63</v>
      </c>
    </row>
    <row r="2881" customFormat="false" ht="13.5" hidden="false" customHeight="true" outlineLevel="0" collapsed="false">
      <c r="A2881" s="32" t="n">
        <v>5121</v>
      </c>
      <c r="B2881" s="32" t="s">
        <v>2387</v>
      </c>
      <c r="C2881" s="32" t="s">
        <v>2388</v>
      </c>
      <c r="D2881" s="32" t="s">
        <v>331</v>
      </c>
      <c r="E2881" s="32" t="s">
        <v>366</v>
      </c>
      <c r="F2881" s="33" t="n">
        <v>918142000000</v>
      </c>
      <c r="G2881" s="32" t="s">
        <v>80</v>
      </c>
      <c r="H2881" s="32" t="s">
        <v>332</v>
      </c>
      <c r="I2881" s="32" t="s">
        <v>14</v>
      </c>
      <c r="J2881" s="32" t="s">
        <v>66</v>
      </c>
      <c r="K2881" s="32" t="s">
        <v>63</v>
      </c>
    </row>
    <row r="2882" customFormat="false" ht="13.5" hidden="false" customHeight="true" outlineLevel="0" collapsed="false">
      <c r="A2882" s="32" t="n">
        <v>5122</v>
      </c>
      <c r="B2882" s="32" t="s">
        <v>2387</v>
      </c>
      <c r="C2882" s="32" t="s">
        <v>2388</v>
      </c>
      <c r="D2882" s="32" t="s">
        <v>331</v>
      </c>
      <c r="E2882" s="32" t="s">
        <v>366</v>
      </c>
      <c r="F2882" s="33" t="n">
        <v>918142000000</v>
      </c>
      <c r="G2882" s="32" t="s">
        <v>80</v>
      </c>
      <c r="H2882" s="32" t="s">
        <v>332</v>
      </c>
      <c r="I2882" s="32" t="s">
        <v>166</v>
      </c>
      <c r="J2882" s="32" t="s">
        <v>66</v>
      </c>
      <c r="K2882" s="32" t="s">
        <v>63</v>
      </c>
    </row>
    <row r="2883" customFormat="false" ht="13.5" hidden="false" customHeight="true" outlineLevel="0" collapsed="false">
      <c r="A2883" s="32" t="n">
        <v>5123</v>
      </c>
      <c r="B2883" s="32" t="s">
        <v>2390</v>
      </c>
      <c r="C2883" s="32" t="s">
        <v>2391</v>
      </c>
      <c r="D2883" s="32" t="s">
        <v>59</v>
      </c>
      <c r="E2883" s="32" t="s">
        <v>143</v>
      </c>
      <c r="F2883" s="32" t="n">
        <v>0</v>
      </c>
      <c r="G2883" s="32" t="s">
        <v>140</v>
      </c>
      <c r="H2883" s="32" t="s">
        <v>21</v>
      </c>
      <c r="I2883" s="32" t="s">
        <v>456</v>
      </c>
      <c r="J2883" s="32" t="s">
        <v>66</v>
      </c>
      <c r="K2883" s="32" t="s">
        <v>63</v>
      </c>
    </row>
    <row r="2884" customFormat="false" ht="13.5" hidden="false" customHeight="true" outlineLevel="0" collapsed="false">
      <c r="A2884" s="32" t="n">
        <v>5124</v>
      </c>
      <c r="B2884" s="32" t="s">
        <v>2390</v>
      </c>
      <c r="C2884" s="32" t="s">
        <v>2391</v>
      </c>
      <c r="D2884" s="32" t="s">
        <v>59</v>
      </c>
      <c r="E2884" s="32" t="s">
        <v>143</v>
      </c>
      <c r="F2884" s="32" t="n">
        <v>0</v>
      </c>
      <c r="G2884" s="32" t="s">
        <v>140</v>
      </c>
      <c r="H2884" s="32" t="s">
        <v>21</v>
      </c>
      <c r="I2884" s="32" t="s">
        <v>227</v>
      </c>
      <c r="J2884" s="32" t="s">
        <v>228</v>
      </c>
      <c r="K2884" s="32" t="s">
        <v>63</v>
      </c>
    </row>
    <row r="2885" customFormat="false" ht="13.5" hidden="false" customHeight="true" outlineLevel="0" collapsed="false">
      <c r="A2885" s="32" t="n">
        <v>5125</v>
      </c>
      <c r="B2885" s="32" t="s">
        <v>2390</v>
      </c>
      <c r="C2885" s="32" t="s">
        <v>2391</v>
      </c>
      <c r="D2885" s="32" t="s">
        <v>59</v>
      </c>
      <c r="E2885" s="32" t="s">
        <v>143</v>
      </c>
      <c r="F2885" s="32" t="n">
        <v>0</v>
      </c>
      <c r="G2885" s="32" t="s">
        <v>140</v>
      </c>
      <c r="H2885" s="32" t="s">
        <v>21</v>
      </c>
      <c r="I2885" s="32" t="s">
        <v>510</v>
      </c>
      <c r="J2885" s="32" t="s">
        <v>186</v>
      </c>
      <c r="K2885" s="32" t="s">
        <v>63</v>
      </c>
    </row>
    <row r="2886" customFormat="false" ht="13.5" hidden="false" customHeight="true" outlineLevel="0" collapsed="false">
      <c r="A2886" s="32" t="n">
        <v>5126</v>
      </c>
      <c r="B2886" s="32" t="s">
        <v>2392</v>
      </c>
      <c r="C2886" s="32" t="s">
        <v>2393</v>
      </c>
      <c r="D2886" s="32" t="s">
        <v>331</v>
      </c>
      <c r="E2886" s="32" t="s">
        <v>502</v>
      </c>
      <c r="F2886" s="32" t="n">
        <v>9820491851</v>
      </c>
      <c r="G2886" s="32" t="s">
        <v>104</v>
      </c>
      <c r="H2886" s="32" t="s">
        <v>332</v>
      </c>
      <c r="I2886" s="32" t="s">
        <v>421</v>
      </c>
      <c r="J2886" s="32" t="s">
        <v>235</v>
      </c>
      <c r="K2886" s="32" t="s">
        <v>63</v>
      </c>
    </row>
    <row r="2887" customFormat="false" ht="13.5" hidden="false" customHeight="true" outlineLevel="0" collapsed="false">
      <c r="A2887" s="32" t="n">
        <v>5127</v>
      </c>
      <c r="B2887" s="32" t="s">
        <v>2392</v>
      </c>
      <c r="C2887" s="32" t="s">
        <v>2393</v>
      </c>
      <c r="D2887" s="32" t="s">
        <v>331</v>
      </c>
      <c r="E2887" s="32" t="s">
        <v>502</v>
      </c>
      <c r="F2887" s="32" t="n">
        <v>9820491851</v>
      </c>
      <c r="G2887" s="32" t="s">
        <v>104</v>
      </c>
      <c r="H2887" s="32" t="s">
        <v>332</v>
      </c>
      <c r="I2887" s="32" t="s">
        <v>350</v>
      </c>
      <c r="J2887" s="32" t="s">
        <v>235</v>
      </c>
      <c r="K2887" s="32" t="s">
        <v>63</v>
      </c>
    </row>
    <row r="2888" customFormat="false" ht="13.5" hidden="false" customHeight="true" outlineLevel="0" collapsed="false">
      <c r="A2888" s="32" t="n">
        <v>5128</v>
      </c>
      <c r="B2888" s="32" t="s">
        <v>2392</v>
      </c>
      <c r="C2888" s="32" t="s">
        <v>2393</v>
      </c>
      <c r="D2888" s="32" t="s">
        <v>331</v>
      </c>
      <c r="E2888" s="32" t="s">
        <v>502</v>
      </c>
      <c r="F2888" s="32" t="n">
        <v>9820491851</v>
      </c>
      <c r="G2888" s="32" t="s">
        <v>104</v>
      </c>
      <c r="H2888" s="32" t="s">
        <v>332</v>
      </c>
      <c r="I2888" s="32" t="s">
        <v>98</v>
      </c>
      <c r="J2888" s="32" t="s">
        <v>99</v>
      </c>
      <c r="K2888" s="32" t="s">
        <v>63</v>
      </c>
    </row>
    <row r="2889" customFormat="false" ht="13.5" hidden="false" customHeight="true" outlineLevel="0" collapsed="false">
      <c r="A2889" s="32" t="n">
        <v>5129</v>
      </c>
      <c r="B2889" s="32" t="s">
        <v>2392</v>
      </c>
      <c r="C2889" s="32" t="s">
        <v>2394</v>
      </c>
      <c r="D2889" s="32" t="s">
        <v>331</v>
      </c>
      <c r="E2889" s="32" t="s">
        <v>502</v>
      </c>
      <c r="F2889" s="32" t="n">
        <v>9820491851</v>
      </c>
      <c r="G2889" s="32" t="s">
        <v>104</v>
      </c>
      <c r="H2889" s="32" t="s">
        <v>332</v>
      </c>
      <c r="I2889" s="32" t="s">
        <v>234</v>
      </c>
      <c r="J2889" s="32" t="s">
        <v>235</v>
      </c>
      <c r="K2889" s="32" t="s">
        <v>63</v>
      </c>
    </row>
    <row r="2890" customFormat="false" ht="13.5" hidden="false" customHeight="true" outlineLevel="0" collapsed="false">
      <c r="A2890" s="32" t="n">
        <v>5130</v>
      </c>
      <c r="B2890" s="32" t="s">
        <v>2392</v>
      </c>
      <c r="C2890" s="32" t="s">
        <v>2394</v>
      </c>
      <c r="D2890" s="32" t="s">
        <v>331</v>
      </c>
      <c r="E2890" s="32" t="s">
        <v>502</v>
      </c>
      <c r="F2890" s="32" t="n">
        <v>9820491851</v>
      </c>
      <c r="G2890" s="32" t="s">
        <v>104</v>
      </c>
      <c r="H2890" s="32" t="s">
        <v>332</v>
      </c>
      <c r="I2890" s="32" t="s">
        <v>333</v>
      </c>
      <c r="J2890" s="32" t="s">
        <v>235</v>
      </c>
      <c r="K2890" s="32" t="s">
        <v>63</v>
      </c>
    </row>
    <row r="2891" customFormat="false" ht="13.5" hidden="false" customHeight="true" outlineLevel="0" collapsed="false">
      <c r="A2891" s="32" t="n">
        <v>5131</v>
      </c>
      <c r="B2891" s="32" t="s">
        <v>2392</v>
      </c>
      <c r="C2891" s="32" t="s">
        <v>2393</v>
      </c>
      <c r="D2891" s="32" t="s">
        <v>331</v>
      </c>
      <c r="E2891" s="32" t="s">
        <v>502</v>
      </c>
      <c r="F2891" s="32" t="n">
        <v>9820491851</v>
      </c>
      <c r="G2891" s="32" t="s">
        <v>104</v>
      </c>
      <c r="H2891" s="32" t="s">
        <v>332</v>
      </c>
      <c r="I2891" s="32" t="s">
        <v>156</v>
      </c>
      <c r="J2891" s="32" t="s">
        <v>62</v>
      </c>
      <c r="K2891" s="32" t="s">
        <v>63</v>
      </c>
    </row>
    <row r="2892" customFormat="false" ht="13.5" hidden="false" customHeight="true" outlineLevel="0" collapsed="false">
      <c r="A2892" s="32" t="n">
        <v>5132</v>
      </c>
      <c r="B2892" s="32" t="s">
        <v>2392</v>
      </c>
      <c r="C2892" s="32" t="s">
        <v>2393</v>
      </c>
      <c r="D2892" s="32" t="s">
        <v>331</v>
      </c>
      <c r="E2892" s="32" t="s">
        <v>502</v>
      </c>
      <c r="F2892" s="32" t="n">
        <v>9820491851</v>
      </c>
      <c r="G2892" s="32" t="s">
        <v>104</v>
      </c>
      <c r="H2892" s="32" t="s">
        <v>332</v>
      </c>
      <c r="I2892" s="32" t="s">
        <v>29</v>
      </c>
      <c r="J2892" s="32" t="s">
        <v>62</v>
      </c>
      <c r="K2892" s="32" t="s">
        <v>63</v>
      </c>
    </row>
    <row r="2893" customFormat="false" ht="13.5" hidden="false" customHeight="true" outlineLevel="0" collapsed="false">
      <c r="A2893" s="32" t="n">
        <v>5133</v>
      </c>
      <c r="B2893" s="32" t="s">
        <v>2392</v>
      </c>
      <c r="C2893" s="32" t="s">
        <v>2393</v>
      </c>
      <c r="D2893" s="32" t="s">
        <v>331</v>
      </c>
      <c r="E2893" s="32" t="s">
        <v>502</v>
      </c>
      <c r="F2893" s="32" t="n">
        <v>9820491851</v>
      </c>
      <c r="G2893" s="32" t="s">
        <v>104</v>
      </c>
      <c r="H2893" s="32" t="s">
        <v>332</v>
      </c>
      <c r="I2893" s="32" t="s">
        <v>14</v>
      </c>
      <c r="J2893" s="32" t="s">
        <v>66</v>
      </c>
      <c r="K2893" s="32" t="s">
        <v>63</v>
      </c>
    </row>
    <row r="2894" customFormat="false" ht="13.5" hidden="false" customHeight="true" outlineLevel="0" collapsed="false">
      <c r="A2894" s="32" t="n">
        <v>5134</v>
      </c>
      <c r="B2894" s="32" t="s">
        <v>2395</v>
      </c>
      <c r="C2894" s="32" t="s">
        <v>2396</v>
      </c>
      <c r="D2894" s="32" t="s">
        <v>114</v>
      </c>
      <c r="E2894" s="32" t="s">
        <v>165</v>
      </c>
      <c r="F2894" s="32" t="n">
        <v>9830133952</v>
      </c>
      <c r="G2894" s="32" t="s">
        <v>140</v>
      </c>
      <c r="H2894" s="32" t="s">
        <v>22</v>
      </c>
      <c r="I2894" s="32" t="s">
        <v>28</v>
      </c>
      <c r="J2894" s="32" t="s">
        <v>82</v>
      </c>
      <c r="K2894" s="32" t="s">
        <v>63</v>
      </c>
    </row>
    <row r="2895" customFormat="false" ht="13.5" hidden="false" customHeight="true" outlineLevel="0" collapsed="false">
      <c r="A2895" s="32" t="n">
        <v>5138</v>
      </c>
      <c r="B2895" s="32" t="s">
        <v>2395</v>
      </c>
      <c r="C2895" s="32" t="s">
        <v>2396</v>
      </c>
      <c r="D2895" s="32" t="s">
        <v>114</v>
      </c>
      <c r="E2895" s="32" t="s">
        <v>165</v>
      </c>
      <c r="F2895" s="32" t="n">
        <v>9830133952</v>
      </c>
      <c r="G2895" s="32" t="s">
        <v>140</v>
      </c>
      <c r="H2895" s="32" t="s">
        <v>22</v>
      </c>
      <c r="I2895" s="32" t="s">
        <v>16</v>
      </c>
      <c r="J2895" s="32" t="s">
        <v>73</v>
      </c>
      <c r="K2895" s="32" t="s">
        <v>63</v>
      </c>
    </row>
    <row r="2896" customFormat="false" ht="13.5" hidden="false" customHeight="true" outlineLevel="0" collapsed="false">
      <c r="A2896" s="32" t="n">
        <v>5139</v>
      </c>
      <c r="B2896" s="32" t="s">
        <v>2395</v>
      </c>
      <c r="C2896" s="32" t="s">
        <v>2396</v>
      </c>
      <c r="D2896" s="32" t="s">
        <v>114</v>
      </c>
      <c r="E2896" s="32" t="s">
        <v>165</v>
      </c>
      <c r="F2896" s="32" t="n">
        <v>9830133952</v>
      </c>
      <c r="G2896" s="32" t="s">
        <v>140</v>
      </c>
      <c r="H2896" s="32" t="s">
        <v>22</v>
      </c>
      <c r="I2896" s="32" t="s">
        <v>133</v>
      </c>
      <c r="J2896" s="32" t="s">
        <v>134</v>
      </c>
      <c r="K2896" s="32" t="s">
        <v>63</v>
      </c>
    </row>
    <row r="2897" customFormat="false" ht="13.5" hidden="false" customHeight="true" outlineLevel="0" collapsed="false">
      <c r="A2897" s="32" t="n">
        <v>5140</v>
      </c>
      <c r="B2897" s="32" t="s">
        <v>2395</v>
      </c>
      <c r="C2897" s="32" t="s">
        <v>2397</v>
      </c>
      <c r="D2897" s="32" t="s">
        <v>114</v>
      </c>
      <c r="E2897" s="32" t="s">
        <v>165</v>
      </c>
      <c r="F2897" s="32" t="n">
        <v>9830133952</v>
      </c>
      <c r="G2897" s="32" t="s">
        <v>140</v>
      </c>
      <c r="H2897" s="32" t="s">
        <v>22</v>
      </c>
      <c r="I2897" s="32" t="s">
        <v>76</v>
      </c>
      <c r="J2897" s="32" t="s">
        <v>76</v>
      </c>
      <c r="K2897" s="32" t="s">
        <v>63</v>
      </c>
    </row>
    <row r="2898" customFormat="false" ht="13.5" hidden="false" customHeight="true" outlineLevel="0" collapsed="false">
      <c r="A2898" s="32" t="n">
        <v>5141</v>
      </c>
      <c r="B2898" s="32" t="s">
        <v>2395</v>
      </c>
      <c r="C2898" s="32" t="s">
        <v>2396</v>
      </c>
      <c r="D2898" s="32" t="s">
        <v>114</v>
      </c>
      <c r="E2898" s="32" t="s">
        <v>165</v>
      </c>
      <c r="F2898" s="32" t="n">
        <v>9830133952</v>
      </c>
      <c r="G2898" s="32" t="s">
        <v>140</v>
      </c>
      <c r="H2898" s="32" t="s">
        <v>22</v>
      </c>
      <c r="I2898" s="32" t="s">
        <v>27</v>
      </c>
      <c r="J2898" s="32" t="s">
        <v>13</v>
      </c>
      <c r="K2898" s="32" t="s">
        <v>63</v>
      </c>
    </row>
    <row r="2899" customFormat="false" ht="13.5" hidden="false" customHeight="true" outlineLevel="0" collapsed="false">
      <c r="A2899" s="32" t="n">
        <v>5146</v>
      </c>
      <c r="B2899" s="32" t="s">
        <v>2395</v>
      </c>
      <c r="C2899" s="32" t="s">
        <v>2396</v>
      </c>
      <c r="D2899" s="32" t="s">
        <v>114</v>
      </c>
      <c r="E2899" s="32" t="s">
        <v>165</v>
      </c>
      <c r="F2899" s="32" t="n">
        <v>9830133952</v>
      </c>
      <c r="G2899" s="32" t="s">
        <v>140</v>
      </c>
      <c r="H2899" s="32" t="s">
        <v>22</v>
      </c>
      <c r="I2899" s="32" t="s">
        <v>81</v>
      </c>
      <c r="J2899" s="32" t="s">
        <v>82</v>
      </c>
      <c r="K2899" s="32" t="s">
        <v>63</v>
      </c>
    </row>
    <row r="2900" customFormat="false" ht="13.5" hidden="false" customHeight="true" outlineLevel="0" collapsed="false">
      <c r="A2900" s="32" t="n">
        <v>5147</v>
      </c>
      <c r="B2900" s="32" t="s">
        <v>2395</v>
      </c>
      <c r="C2900" s="32" t="s">
        <v>2396</v>
      </c>
      <c r="D2900" s="32" t="s">
        <v>114</v>
      </c>
      <c r="E2900" s="32" t="s">
        <v>165</v>
      </c>
      <c r="F2900" s="32" t="n">
        <v>9830133952</v>
      </c>
      <c r="G2900" s="32" t="s">
        <v>140</v>
      </c>
      <c r="H2900" s="32" t="s">
        <v>22</v>
      </c>
      <c r="I2900" s="32" t="s">
        <v>314</v>
      </c>
      <c r="J2900" s="32" t="s">
        <v>134</v>
      </c>
      <c r="K2900" s="32" t="s">
        <v>63</v>
      </c>
    </row>
    <row r="2901" customFormat="false" ht="13.5" hidden="false" customHeight="true" outlineLevel="0" collapsed="false">
      <c r="A2901" s="32" t="n">
        <v>5148</v>
      </c>
      <c r="B2901" s="32" t="s">
        <v>2398</v>
      </c>
      <c r="C2901" s="32" t="s">
        <v>2399</v>
      </c>
      <c r="D2901" s="32" t="s">
        <v>59</v>
      </c>
      <c r="E2901" s="32" t="s">
        <v>107</v>
      </c>
      <c r="F2901" s="32" t="n">
        <v>8240630398</v>
      </c>
      <c r="G2901" s="32" t="s">
        <v>61</v>
      </c>
      <c r="H2901" s="32" t="s">
        <v>21</v>
      </c>
      <c r="I2901" s="32" t="s">
        <v>95</v>
      </c>
      <c r="J2901" s="32" t="s">
        <v>96</v>
      </c>
      <c r="K2901" s="32" t="s">
        <v>63</v>
      </c>
    </row>
    <row r="2902" customFormat="false" ht="13.5" hidden="false" customHeight="true" outlineLevel="0" collapsed="false">
      <c r="A2902" s="32" t="n">
        <v>5149</v>
      </c>
      <c r="B2902" s="32" t="s">
        <v>2398</v>
      </c>
      <c r="C2902" s="32" t="s">
        <v>2399</v>
      </c>
      <c r="D2902" s="32" t="s">
        <v>59</v>
      </c>
      <c r="E2902" s="32" t="s">
        <v>107</v>
      </c>
      <c r="F2902" s="32" t="n">
        <v>8240630398</v>
      </c>
      <c r="G2902" s="32" t="s">
        <v>61</v>
      </c>
      <c r="H2902" s="32" t="s">
        <v>21</v>
      </c>
      <c r="I2902" s="32" t="s">
        <v>2400</v>
      </c>
      <c r="J2902" s="32" t="s">
        <v>96</v>
      </c>
      <c r="K2902" s="32" t="s">
        <v>63</v>
      </c>
    </row>
    <row r="2903" customFormat="false" ht="13.5" hidden="false" customHeight="true" outlineLevel="0" collapsed="false">
      <c r="A2903" s="32" t="n">
        <v>5150</v>
      </c>
      <c r="B2903" s="32" t="s">
        <v>2401</v>
      </c>
      <c r="C2903" s="32" t="s">
        <v>2402</v>
      </c>
      <c r="D2903" s="32" t="s">
        <v>59</v>
      </c>
      <c r="E2903" s="32" t="s">
        <v>107</v>
      </c>
      <c r="F2903" s="32" t="n">
        <v>9867648818</v>
      </c>
      <c r="G2903" s="32" t="s">
        <v>80</v>
      </c>
      <c r="H2903" s="32" t="s">
        <v>21</v>
      </c>
      <c r="I2903" s="32" t="s">
        <v>145</v>
      </c>
      <c r="J2903" s="32" t="s">
        <v>117</v>
      </c>
      <c r="K2903" s="32" t="s">
        <v>63</v>
      </c>
    </row>
    <row r="2904" customFormat="false" ht="13.5" hidden="false" customHeight="true" outlineLevel="0" collapsed="false">
      <c r="A2904" s="32" t="n">
        <v>5151</v>
      </c>
      <c r="B2904" s="32" t="s">
        <v>2401</v>
      </c>
      <c r="C2904" s="32" t="s">
        <v>2402</v>
      </c>
      <c r="D2904" s="32" t="s">
        <v>59</v>
      </c>
      <c r="E2904" s="32" t="s">
        <v>107</v>
      </c>
      <c r="F2904" s="32" t="n">
        <v>9867648818</v>
      </c>
      <c r="G2904" s="32" t="s">
        <v>80</v>
      </c>
      <c r="H2904" s="32" t="s">
        <v>21</v>
      </c>
      <c r="I2904" s="32" t="s">
        <v>93</v>
      </c>
      <c r="J2904" s="32" t="s">
        <v>85</v>
      </c>
      <c r="K2904" s="32" t="s">
        <v>63</v>
      </c>
    </row>
    <row r="2905" customFormat="false" ht="13.5" hidden="false" customHeight="true" outlineLevel="0" collapsed="false">
      <c r="A2905" s="32" t="n">
        <v>5152</v>
      </c>
      <c r="B2905" s="32" t="s">
        <v>2403</v>
      </c>
      <c r="C2905" s="32" t="s">
        <v>2404</v>
      </c>
      <c r="D2905" s="32" t="s">
        <v>114</v>
      </c>
      <c r="E2905" s="32" t="s">
        <v>115</v>
      </c>
      <c r="F2905" s="32" t="n">
        <v>9643004489</v>
      </c>
      <c r="G2905" s="32" t="s">
        <v>144</v>
      </c>
      <c r="H2905" s="32" t="s">
        <v>22</v>
      </c>
      <c r="I2905" s="32" t="s">
        <v>93</v>
      </c>
      <c r="J2905" s="32" t="s">
        <v>85</v>
      </c>
      <c r="K2905" s="32" t="s">
        <v>63</v>
      </c>
    </row>
    <row r="2906" customFormat="false" ht="13.5" hidden="false" customHeight="true" outlineLevel="0" collapsed="false">
      <c r="A2906" s="32" t="n">
        <v>5153</v>
      </c>
      <c r="B2906" s="32" t="s">
        <v>2403</v>
      </c>
      <c r="C2906" s="32" t="s">
        <v>2405</v>
      </c>
      <c r="D2906" s="32" t="s">
        <v>114</v>
      </c>
      <c r="E2906" s="32" t="s">
        <v>115</v>
      </c>
      <c r="F2906" s="32" t="n">
        <v>9643004489</v>
      </c>
      <c r="G2906" s="32" t="s">
        <v>144</v>
      </c>
      <c r="H2906" s="32" t="s">
        <v>22</v>
      </c>
      <c r="I2906" s="32" t="s">
        <v>215</v>
      </c>
      <c r="J2906" s="32" t="s">
        <v>132</v>
      </c>
      <c r="K2906" s="32" t="s">
        <v>63</v>
      </c>
    </row>
    <row r="2907" customFormat="false" ht="13.5" hidden="false" customHeight="true" outlineLevel="0" collapsed="false">
      <c r="A2907" s="32" t="n">
        <v>5154</v>
      </c>
      <c r="B2907" s="32" t="s">
        <v>2403</v>
      </c>
      <c r="C2907" s="32" t="s">
        <v>2405</v>
      </c>
      <c r="D2907" s="32" t="s">
        <v>114</v>
      </c>
      <c r="E2907" s="32" t="s">
        <v>115</v>
      </c>
      <c r="F2907" s="32" t="n">
        <v>9643004489</v>
      </c>
      <c r="G2907" s="32" t="s">
        <v>144</v>
      </c>
      <c r="H2907" s="32" t="s">
        <v>22</v>
      </c>
      <c r="I2907" s="32" t="s">
        <v>217</v>
      </c>
      <c r="J2907" s="32" t="s">
        <v>132</v>
      </c>
      <c r="K2907" s="32" t="s">
        <v>63</v>
      </c>
    </row>
    <row r="2908" customFormat="false" ht="13.5" hidden="false" customHeight="true" outlineLevel="0" collapsed="false">
      <c r="A2908" s="32" t="n">
        <v>5155</v>
      </c>
      <c r="B2908" s="32" t="s">
        <v>2403</v>
      </c>
      <c r="C2908" s="32" t="s">
        <v>2405</v>
      </c>
      <c r="D2908" s="32" t="s">
        <v>114</v>
      </c>
      <c r="E2908" s="32" t="s">
        <v>115</v>
      </c>
      <c r="F2908" s="32" t="n">
        <v>9643004489</v>
      </c>
      <c r="G2908" s="32" t="s">
        <v>144</v>
      </c>
      <c r="H2908" s="32" t="s">
        <v>22</v>
      </c>
      <c r="I2908" s="32" t="s">
        <v>728</v>
      </c>
      <c r="J2908" s="32" t="s">
        <v>132</v>
      </c>
      <c r="K2908" s="32" t="s">
        <v>63</v>
      </c>
    </row>
    <row r="2909" customFormat="false" ht="13.5" hidden="false" customHeight="true" outlineLevel="0" collapsed="false">
      <c r="A2909" s="32" t="n">
        <v>5156</v>
      </c>
      <c r="B2909" s="32" t="s">
        <v>2406</v>
      </c>
      <c r="C2909" s="32" t="s">
        <v>2407</v>
      </c>
      <c r="D2909" s="32" t="s">
        <v>59</v>
      </c>
      <c r="E2909" s="32" t="s">
        <v>107</v>
      </c>
      <c r="F2909" s="32" t="n">
        <v>9739686028</v>
      </c>
      <c r="G2909" s="32" t="s">
        <v>61</v>
      </c>
      <c r="H2909" s="32" t="s">
        <v>21</v>
      </c>
      <c r="I2909" s="32" t="s">
        <v>87</v>
      </c>
      <c r="J2909" s="32" t="s">
        <v>84</v>
      </c>
      <c r="K2909" s="32" t="s">
        <v>63</v>
      </c>
    </row>
    <row r="2910" customFormat="false" ht="13.5" hidden="false" customHeight="true" outlineLevel="0" collapsed="false">
      <c r="A2910" s="32" t="n">
        <v>5157</v>
      </c>
      <c r="B2910" s="32" t="s">
        <v>2406</v>
      </c>
      <c r="C2910" s="32" t="s">
        <v>2407</v>
      </c>
      <c r="D2910" s="32" t="s">
        <v>59</v>
      </c>
      <c r="E2910" s="32" t="s">
        <v>107</v>
      </c>
      <c r="F2910" s="32" t="n">
        <v>9739686028</v>
      </c>
      <c r="G2910" s="32" t="s">
        <v>61</v>
      </c>
      <c r="H2910" s="32" t="s">
        <v>21</v>
      </c>
      <c r="I2910" s="32" t="s">
        <v>95</v>
      </c>
      <c r="J2910" s="32" t="s">
        <v>96</v>
      </c>
      <c r="K2910" s="32" t="s">
        <v>63</v>
      </c>
    </row>
    <row r="2911" customFormat="false" ht="13.5" hidden="false" customHeight="true" outlineLevel="0" collapsed="false">
      <c r="A2911" s="32" t="n">
        <v>5158</v>
      </c>
      <c r="B2911" s="32" t="s">
        <v>2406</v>
      </c>
      <c r="C2911" s="32" t="s">
        <v>2407</v>
      </c>
      <c r="D2911" s="32" t="s">
        <v>59</v>
      </c>
      <c r="E2911" s="32" t="s">
        <v>107</v>
      </c>
      <c r="F2911" s="32" t="n">
        <v>9739686028</v>
      </c>
      <c r="G2911" s="32" t="s">
        <v>61</v>
      </c>
      <c r="H2911" s="32" t="s">
        <v>21</v>
      </c>
      <c r="I2911" s="32" t="s">
        <v>95</v>
      </c>
      <c r="J2911" s="32" t="s">
        <v>96</v>
      </c>
      <c r="K2911" s="32" t="s">
        <v>63</v>
      </c>
    </row>
    <row r="2912" customFormat="false" ht="13.5" hidden="false" customHeight="true" outlineLevel="0" collapsed="false">
      <c r="A2912" s="32" t="n">
        <v>5159</v>
      </c>
      <c r="B2912" s="32" t="s">
        <v>2408</v>
      </c>
      <c r="C2912" s="32" t="s">
        <v>2409</v>
      </c>
      <c r="D2912" s="32" t="s">
        <v>59</v>
      </c>
      <c r="E2912" s="32" t="n">
        <v>0</v>
      </c>
      <c r="F2912" s="32" t="n">
        <v>0</v>
      </c>
      <c r="G2912" s="32" t="s">
        <v>61</v>
      </c>
      <c r="H2912" s="32" t="s">
        <v>21</v>
      </c>
      <c r="I2912" s="32" t="s">
        <v>151</v>
      </c>
      <c r="J2912" s="32" t="s">
        <v>152</v>
      </c>
      <c r="K2912" s="32" t="s">
        <v>63</v>
      </c>
    </row>
    <row r="2913" customFormat="false" ht="13.5" hidden="false" customHeight="true" outlineLevel="0" collapsed="false">
      <c r="A2913" s="32" t="n">
        <v>5160</v>
      </c>
      <c r="B2913" s="32" t="s">
        <v>2410</v>
      </c>
      <c r="C2913" s="32" t="s">
        <v>2411</v>
      </c>
      <c r="D2913" s="32" t="s">
        <v>114</v>
      </c>
      <c r="E2913" s="32" t="s">
        <v>165</v>
      </c>
      <c r="F2913" s="32" t="n">
        <v>9920560683</v>
      </c>
      <c r="G2913" s="32" t="s">
        <v>80</v>
      </c>
      <c r="H2913" s="32" t="s">
        <v>22</v>
      </c>
      <c r="I2913" s="32" t="s">
        <v>128</v>
      </c>
      <c r="J2913" s="32" t="s">
        <v>89</v>
      </c>
      <c r="K2913" s="32" t="s">
        <v>63</v>
      </c>
    </row>
    <row r="2914" customFormat="false" ht="13.5" hidden="false" customHeight="true" outlineLevel="0" collapsed="false">
      <c r="A2914" s="32" t="n">
        <v>5161</v>
      </c>
      <c r="B2914" s="32" t="s">
        <v>2410</v>
      </c>
      <c r="C2914" s="32" t="s">
        <v>2411</v>
      </c>
      <c r="D2914" s="32" t="s">
        <v>114</v>
      </c>
      <c r="E2914" s="32" t="s">
        <v>165</v>
      </c>
      <c r="F2914" s="32" t="n">
        <v>9920560683</v>
      </c>
      <c r="G2914" s="32" t="s">
        <v>80</v>
      </c>
      <c r="H2914" s="32" t="s">
        <v>22</v>
      </c>
      <c r="I2914" s="32" t="s">
        <v>171</v>
      </c>
      <c r="J2914" s="32" t="s">
        <v>152</v>
      </c>
      <c r="K2914" s="32" t="s">
        <v>63</v>
      </c>
    </row>
    <row r="2915" customFormat="false" ht="13.5" hidden="false" customHeight="true" outlineLevel="0" collapsed="false">
      <c r="A2915" s="32" t="n">
        <v>5162</v>
      </c>
      <c r="B2915" s="32" t="s">
        <v>2410</v>
      </c>
      <c r="C2915" s="32" t="s">
        <v>2411</v>
      </c>
      <c r="D2915" s="32" t="s">
        <v>114</v>
      </c>
      <c r="E2915" s="32" t="s">
        <v>165</v>
      </c>
      <c r="F2915" s="32" t="n">
        <v>9920560683</v>
      </c>
      <c r="G2915" s="32" t="s">
        <v>80</v>
      </c>
      <c r="H2915" s="32" t="s">
        <v>22</v>
      </c>
      <c r="I2915" s="32" t="s">
        <v>151</v>
      </c>
      <c r="J2915" s="32" t="s">
        <v>152</v>
      </c>
      <c r="K2915" s="32" t="s">
        <v>63</v>
      </c>
    </row>
    <row r="2916" customFormat="false" ht="13.5" hidden="false" customHeight="true" outlineLevel="0" collapsed="false">
      <c r="A2916" s="32" t="n">
        <v>5163</v>
      </c>
      <c r="B2916" s="32" t="s">
        <v>2410</v>
      </c>
      <c r="C2916" s="32" t="s">
        <v>2411</v>
      </c>
      <c r="D2916" s="32" t="s">
        <v>114</v>
      </c>
      <c r="E2916" s="32" t="s">
        <v>165</v>
      </c>
      <c r="F2916" s="32" t="n">
        <v>9920560683</v>
      </c>
      <c r="G2916" s="32" t="s">
        <v>80</v>
      </c>
      <c r="H2916" s="32" t="s">
        <v>22</v>
      </c>
      <c r="I2916" s="32" t="s">
        <v>172</v>
      </c>
      <c r="J2916" s="32" t="s">
        <v>152</v>
      </c>
      <c r="K2916" s="32" t="s">
        <v>63</v>
      </c>
    </row>
    <row r="2917" customFormat="false" ht="13.5" hidden="false" customHeight="true" outlineLevel="0" collapsed="false">
      <c r="A2917" s="32" t="n">
        <v>5164</v>
      </c>
      <c r="B2917" s="32" t="s">
        <v>2410</v>
      </c>
      <c r="C2917" s="32" t="s">
        <v>2411</v>
      </c>
      <c r="D2917" s="32" t="s">
        <v>114</v>
      </c>
      <c r="E2917" s="32" t="s">
        <v>165</v>
      </c>
      <c r="F2917" s="32" t="n">
        <v>9920560683</v>
      </c>
      <c r="G2917" s="32" t="s">
        <v>80</v>
      </c>
      <c r="H2917" s="32" t="s">
        <v>22</v>
      </c>
      <c r="I2917" s="32" t="s">
        <v>30</v>
      </c>
      <c r="J2917" s="32" t="s">
        <v>203</v>
      </c>
      <c r="K2917" s="32" t="s">
        <v>63</v>
      </c>
    </row>
    <row r="2918" customFormat="false" ht="13.5" hidden="false" customHeight="true" outlineLevel="0" collapsed="false">
      <c r="A2918" s="32" t="n">
        <v>5165</v>
      </c>
      <c r="B2918" s="32" t="s">
        <v>2412</v>
      </c>
      <c r="C2918" s="32" t="s">
        <v>2413</v>
      </c>
      <c r="D2918" s="32" t="s">
        <v>59</v>
      </c>
      <c r="E2918" s="32" t="s">
        <v>143</v>
      </c>
      <c r="F2918" s="33" t="n">
        <v>918919000000</v>
      </c>
      <c r="G2918" s="32" t="s">
        <v>140</v>
      </c>
      <c r="H2918" s="32" t="s">
        <v>21</v>
      </c>
      <c r="I2918" s="32" t="s">
        <v>95</v>
      </c>
      <c r="J2918" s="32" t="s">
        <v>96</v>
      </c>
      <c r="K2918" s="32" t="s">
        <v>63</v>
      </c>
    </row>
    <row r="2919" customFormat="false" ht="13.5" hidden="false" customHeight="true" outlineLevel="0" collapsed="false">
      <c r="A2919" s="32" t="n">
        <v>5166</v>
      </c>
      <c r="B2919" s="32" t="s">
        <v>2412</v>
      </c>
      <c r="C2919" s="32" t="s">
        <v>2413</v>
      </c>
      <c r="D2919" s="32" t="s">
        <v>59</v>
      </c>
      <c r="E2919" s="32" t="s">
        <v>143</v>
      </c>
      <c r="F2919" s="33" t="n">
        <v>918919000000</v>
      </c>
      <c r="G2919" s="32" t="s">
        <v>140</v>
      </c>
      <c r="H2919" s="32" t="s">
        <v>21</v>
      </c>
      <c r="I2919" s="32" t="s">
        <v>95</v>
      </c>
      <c r="J2919" s="32" t="s">
        <v>96</v>
      </c>
      <c r="K2919" s="32" t="s">
        <v>63</v>
      </c>
    </row>
    <row r="2920" customFormat="false" ht="13.5" hidden="false" customHeight="true" outlineLevel="0" collapsed="false">
      <c r="A2920" s="32" t="n">
        <v>5167</v>
      </c>
      <c r="B2920" s="32" t="s">
        <v>2412</v>
      </c>
      <c r="C2920" s="32" t="s">
        <v>2413</v>
      </c>
      <c r="D2920" s="32" t="s">
        <v>59</v>
      </c>
      <c r="E2920" s="32" t="s">
        <v>143</v>
      </c>
      <c r="F2920" s="33" t="n">
        <v>918919000000</v>
      </c>
      <c r="G2920" s="32" t="s">
        <v>140</v>
      </c>
      <c r="H2920" s="32" t="s">
        <v>21</v>
      </c>
      <c r="I2920" s="32" t="s">
        <v>93</v>
      </c>
      <c r="J2920" s="32" t="s">
        <v>85</v>
      </c>
      <c r="K2920" s="32" t="s">
        <v>63</v>
      </c>
    </row>
    <row r="2921" customFormat="false" ht="13.5" hidden="false" customHeight="true" outlineLevel="0" collapsed="false">
      <c r="A2921" s="32" t="n">
        <v>5168</v>
      </c>
      <c r="B2921" s="32" t="s">
        <v>2414</v>
      </c>
      <c r="C2921" s="32" t="s">
        <v>2415</v>
      </c>
      <c r="D2921" s="32" t="s">
        <v>59</v>
      </c>
      <c r="E2921" s="32" t="s">
        <v>143</v>
      </c>
      <c r="F2921" s="32" t="n">
        <v>8668008707</v>
      </c>
      <c r="G2921" s="32" t="s">
        <v>61</v>
      </c>
      <c r="H2921" s="32" t="s">
        <v>21</v>
      </c>
      <c r="I2921" s="32" t="s">
        <v>151</v>
      </c>
      <c r="J2921" s="32" t="s">
        <v>152</v>
      </c>
      <c r="K2921" s="32" t="s">
        <v>63</v>
      </c>
    </row>
    <row r="2922" customFormat="false" ht="13.5" hidden="false" customHeight="true" outlineLevel="0" collapsed="false">
      <c r="A2922" s="32" t="n">
        <v>5169</v>
      </c>
      <c r="B2922" s="32" t="s">
        <v>2414</v>
      </c>
      <c r="C2922" s="32" t="s">
        <v>2416</v>
      </c>
      <c r="D2922" s="32" t="s">
        <v>59</v>
      </c>
      <c r="E2922" s="32" t="s">
        <v>143</v>
      </c>
      <c r="F2922" s="32" t="n">
        <v>8668008707</v>
      </c>
      <c r="G2922" s="32" t="s">
        <v>61</v>
      </c>
      <c r="H2922" s="32" t="s">
        <v>21</v>
      </c>
      <c r="I2922" s="32" t="s">
        <v>151</v>
      </c>
      <c r="J2922" s="32" t="s">
        <v>152</v>
      </c>
      <c r="K2922" s="32" t="s">
        <v>63</v>
      </c>
    </row>
    <row r="2923" customFormat="false" ht="13.5" hidden="false" customHeight="true" outlineLevel="0" collapsed="false">
      <c r="A2923" s="32" t="n">
        <v>5170</v>
      </c>
      <c r="B2923" s="32" t="s">
        <v>2414</v>
      </c>
      <c r="C2923" s="32" t="s">
        <v>2416</v>
      </c>
      <c r="D2923" s="32" t="s">
        <v>59</v>
      </c>
      <c r="E2923" s="32" t="s">
        <v>143</v>
      </c>
      <c r="F2923" s="32" t="n">
        <v>8668008707</v>
      </c>
      <c r="G2923" s="32" t="s">
        <v>61</v>
      </c>
      <c r="H2923" s="32" t="s">
        <v>21</v>
      </c>
      <c r="I2923" s="32" t="s">
        <v>146</v>
      </c>
      <c r="J2923" s="32" t="s">
        <v>117</v>
      </c>
      <c r="K2923" s="32" t="s">
        <v>63</v>
      </c>
    </row>
    <row r="2924" customFormat="false" ht="13.5" hidden="false" customHeight="true" outlineLevel="0" collapsed="false">
      <c r="A2924" s="32" t="n">
        <v>5171</v>
      </c>
      <c r="B2924" s="32" t="s">
        <v>2414</v>
      </c>
      <c r="C2924" s="32" t="s">
        <v>2416</v>
      </c>
      <c r="D2924" s="32" t="s">
        <v>59</v>
      </c>
      <c r="E2924" s="32" t="s">
        <v>143</v>
      </c>
      <c r="F2924" s="32" t="n">
        <v>8668008707</v>
      </c>
      <c r="G2924" s="32" t="s">
        <v>61</v>
      </c>
      <c r="H2924" s="32" t="s">
        <v>21</v>
      </c>
      <c r="I2924" s="32" t="s">
        <v>371</v>
      </c>
      <c r="J2924" s="32" t="s">
        <v>152</v>
      </c>
      <c r="K2924" s="32" t="s">
        <v>63</v>
      </c>
    </row>
    <row r="2925" customFormat="false" ht="13.5" hidden="false" customHeight="true" outlineLevel="0" collapsed="false">
      <c r="A2925" s="32" t="n">
        <v>5172</v>
      </c>
      <c r="B2925" s="32" t="s">
        <v>2417</v>
      </c>
      <c r="C2925" s="32" t="s">
        <v>2418</v>
      </c>
      <c r="D2925" s="32" t="s">
        <v>331</v>
      </c>
      <c r="E2925" s="32" t="s">
        <v>620</v>
      </c>
      <c r="F2925" s="33" t="n">
        <v>919970000000</v>
      </c>
      <c r="G2925" s="32" t="s">
        <v>104</v>
      </c>
      <c r="H2925" s="32" t="s">
        <v>332</v>
      </c>
      <c r="I2925" s="32" t="s">
        <v>248</v>
      </c>
      <c r="J2925" s="32" t="s">
        <v>117</v>
      </c>
      <c r="K2925" s="32" t="s">
        <v>63</v>
      </c>
    </row>
    <row r="2926" customFormat="false" ht="13.5" hidden="false" customHeight="true" outlineLevel="0" collapsed="false">
      <c r="A2926" s="32" t="n">
        <v>5173</v>
      </c>
      <c r="B2926" s="32" t="s">
        <v>2417</v>
      </c>
      <c r="C2926" s="32" t="s">
        <v>2418</v>
      </c>
      <c r="D2926" s="32" t="s">
        <v>331</v>
      </c>
      <c r="E2926" s="32" t="s">
        <v>620</v>
      </c>
      <c r="F2926" s="33" t="n">
        <v>919970000000</v>
      </c>
      <c r="G2926" s="32" t="s">
        <v>104</v>
      </c>
      <c r="H2926" s="32" t="s">
        <v>332</v>
      </c>
      <c r="I2926" s="32" t="s">
        <v>185</v>
      </c>
      <c r="J2926" s="32" t="s">
        <v>186</v>
      </c>
      <c r="K2926" s="32" t="s">
        <v>63</v>
      </c>
    </row>
    <row r="2927" customFormat="false" ht="13.5" hidden="false" customHeight="true" outlineLevel="0" collapsed="false">
      <c r="A2927" s="32" t="n">
        <v>5174</v>
      </c>
      <c r="B2927" s="32" t="s">
        <v>2417</v>
      </c>
      <c r="C2927" s="32" t="s">
        <v>2418</v>
      </c>
      <c r="D2927" s="32" t="s">
        <v>331</v>
      </c>
      <c r="E2927" s="32" t="s">
        <v>620</v>
      </c>
      <c r="F2927" s="33" t="n">
        <v>919970000000</v>
      </c>
      <c r="G2927" s="32" t="s">
        <v>104</v>
      </c>
      <c r="H2927" s="32" t="s">
        <v>332</v>
      </c>
      <c r="I2927" s="32" t="s">
        <v>227</v>
      </c>
      <c r="J2927" s="32" t="s">
        <v>228</v>
      </c>
      <c r="K2927" s="32" t="s">
        <v>63</v>
      </c>
    </row>
    <row r="2928" customFormat="false" ht="13.5" hidden="false" customHeight="true" outlineLevel="0" collapsed="false">
      <c r="A2928" s="32" t="n">
        <v>5175</v>
      </c>
      <c r="B2928" s="32" t="s">
        <v>2417</v>
      </c>
      <c r="C2928" s="32" t="s">
        <v>2419</v>
      </c>
      <c r="D2928" s="32" t="s">
        <v>331</v>
      </c>
      <c r="E2928" s="32" t="s">
        <v>620</v>
      </c>
      <c r="F2928" s="33" t="n">
        <v>919970000000</v>
      </c>
      <c r="G2928" s="32" t="s">
        <v>104</v>
      </c>
      <c r="H2928" s="32" t="s">
        <v>332</v>
      </c>
      <c r="I2928" s="32" t="s">
        <v>226</v>
      </c>
      <c r="J2928" s="32" t="s">
        <v>110</v>
      </c>
      <c r="K2928" s="32" t="s">
        <v>63</v>
      </c>
    </row>
    <row r="2929" customFormat="false" ht="13.5" hidden="false" customHeight="true" outlineLevel="0" collapsed="false">
      <c r="A2929" s="32" t="n">
        <v>5176</v>
      </c>
      <c r="B2929" s="32" t="s">
        <v>2417</v>
      </c>
      <c r="C2929" s="32" t="s">
        <v>2420</v>
      </c>
      <c r="D2929" s="32" t="s">
        <v>331</v>
      </c>
      <c r="E2929" s="32" t="s">
        <v>620</v>
      </c>
      <c r="F2929" s="33" t="n">
        <v>919970000000</v>
      </c>
      <c r="G2929" s="32" t="s">
        <v>104</v>
      </c>
      <c r="H2929" s="32" t="s">
        <v>332</v>
      </c>
      <c r="I2929" s="32" t="s">
        <v>27</v>
      </c>
      <c r="J2929" s="32" t="s">
        <v>13</v>
      </c>
      <c r="K2929" s="32" t="s">
        <v>63</v>
      </c>
    </row>
    <row r="2930" customFormat="false" ht="13.5" hidden="false" customHeight="true" outlineLevel="0" collapsed="false">
      <c r="A2930" s="32" t="n">
        <v>5177</v>
      </c>
      <c r="B2930" s="32" t="s">
        <v>2417</v>
      </c>
      <c r="C2930" s="32" t="s">
        <v>2420</v>
      </c>
      <c r="D2930" s="32" t="s">
        <v>331</v>
      </c>
      <c r="E2930" s="32" t="s">
        <v>620</v>
      </c>
      <c r="F2930" s="33" t="n">
        <v>919970000000</v>
      </c>
      <c r="G2930" s="32" t="s">
        <v>104</v>
      </c>
      <c r="H2930" s="32" t="s">
        <v>332</v>
      </c>
      <c r="I2930" s="32" t="s">
        <v>549</v>
      </c>
      <c r="J2930" s="32" t="s">
        <v>110</v>
      </c>
      <c r="K2930" s="32" t="s">
        <v>63</v>
      </c>
    </row>
    <row r="2931" customFormat="false" ht="13.5" hidden="false" customHeight="true" outlineLevel="0" collapsed="false">
      <c r="A2931" s="32" t="n">
        <v>5178</v>
      </c>
      <c r="B2931" s="32" t="s">
        <v>2417</v>
      </c>
      <c r="C2931" s="32" t="s">
        <v>2420</v>
      </c>
      <c r="D2931" s="32" t="s">
        <v>331</v>
      </c>
      <c r="E2931" s="32" t="s">
        <v>620</v>
      </c>
      <c r="F2931" s="33" t="n">
        <v>919970000000</v>
      </c>
      <c r="G2931" s="32" t="s">
        <v>104</v>
      </c>
      <c r="H2931" s="32" t="s">
        <v>332</v>
      </c>
      <c r="I2931" s="32" t="s">
        <v>1178</v>
      </c>
      <c r="J2931" s="32" t="s">
        <v>110</v>
      </c>
      <c r="K2931" s="32" t="s">
        <v>63</v>
      </c>
    </row>
    <row r="2932" customFormat="false" ht="13.5" hidden="false" customHeight="true" outlineLevel="0" collapsed="false">
      <c r="A2932" s="32" t="n">
        <v>5179</v>
      </c>
      <c r="B2932" s="32" t="s">
        <v>2421</v>
      </c>
      <c r="C2932" s="32" t="s">
        <v>2422</v>
      </c>
      <c r="D2932" s="32" t="s">
        <v>59</v>
      </c>
      <c r="E2932" s="32" t="s">
        <v>143</v>
      </c>
      <c r="F2932" s="32" t="n">
        <v>9160849299</v>
      </c>
      <c r="G2932" s="32" t="s">
        <v>80</v>
      </c>
      <c r="H2932" s="32" t="s">
        <v>21</v>
      </c>
      <c r="I2932" s="32" t="s">
        <v>156</v>
      </c>
      <c r="J2932" s="32" t="s">
        <v>62</v>
      </c>
      <c r="K2932" s="32" t="s">
        <v>63</v>
      </c>
    </row>
    <row r="2933" customFormat="false" ht="13.5" hidden="false" customHeight="true" outlineLevel="0" collapsed="false">
      <c r="A2933" s="32" t="n">
        <v>5180</v>
      </c>
      <c r="B2933" s="32" t="s">
        <v>2421</v>
      </c>
      <c r="C2933" s="32" t="s">
        <v>2422</v>
      </c>
      <c r="D2933" s="32" t="s">
        <v>59</v>
      </c>
      <c r="E2933" s="32" t="s">
        <v>143</v>
      </c>
      <c r="F2933" s="32" t="n">
        <v>9160849299</v>
      </c>
      <c r="G2933" s="32" t="s">
        <v>80</v>
      </c>
      <c r="H2933" s="32" t="s">
        <v>21</v>
      </c>
      <c r="I2933" s="32" t="s">
        <v>29</v>
      </c>
      <c r="J2933" s="32" t="s">
        <v>62</v>
      </c>
      <c r="K2933" s="32" t="s">
        <v>63</v>
      </c>
    </row>
    <row r="2934" customFormat="false" ht="13.5" hidden="false" customHeight="true" outlineLevel="0" collapsed="false">
      <c r="A2934" s="32" t="n">
        <v>5181</v>
      </c>
      <c r="B2934" s="32" t="s">
        <v>2421</v>
      </c>
      <c r="C2934" s="32" t="s">
        <v>2422</v>
      </c>
      <c r="D2934" s="32" t="s">
        <v>59</v>
      </c>
      <c r="E2934" s="32" t="s">
        <v>143</v>
      </c>
      <c r="F2934" s="32" t="n">
        <v>9160849299</v>
      </c>
      <c r="G2934" s="32" t="s">
        <v>80</v>
      </c>
      <c r="H2934" s="32" t="s">
        <v>21</v>
      </c>
      <c r="I2934" s="32" t="s">
        <v>14</v>
      </c>
      <c r="J2934" s="32" t="s">
        <v>66</v>
      </c>
      <c r="K2934" s="32" t="s">
        <v>63</v>
      </c>
    </row>
    <row r="2935" customFormat="false" ht="13.5" hidden="false" customHeight="true" outlineLevel="0" collapsed="false">
      <c r="A2935" s="32" t="n">
        <v>5182</v>
      </c>
      <c r="B2935" s="32" t="s">
        <v>2423</v>
      </c>
      <c r="C2935" s="32" t="s">
        <v>2424</v>
      </c>
      <c r="D2935" s="32" t="s">
        <v>59</v>
      </c>
      <c r="E2935" s="32" t="s">
        <v>60</v>
      </c>
      <c r="F2935" s="32" t="n">
        <v>9533576724</v>
      </c>
      <c r="G2935" s="32" t="s">
        <v>80</v>
      </c>
      <c r="H2935" s="32" t="s">
        <v>21</v>
      </c>
      <c r="I2935" s="32" t="s">
        <v>333</v>
      </c>
      <c r="J2935" s="32" t="s">
        <v>235</v>
      </c>
      <c r="K2935" s="32" t="s">
        <v>63</v>
      </c>
    </row>
    <row r="2936" customFormat="false" ht="13.5" hidden="false" customHeight="true" outlineLevel="0" collapsed="false">
      <c r="A2936" s="32" t="n">
        <v>5183</v>
      </c>
      <c r="B2936" s="32" t="s">
        <v>2425</v>
      </c>
      <c r="C2936" s="32" t="s">
        <v>2426</v>
      </c>
      <c r="D2936" s="32" t="s">
        <v>59</v>
      </c>
      <c r="E2936" s="32" t="n">
        <v>0</v>
      </c>
      <c r="F2936" s="32" t="n">
        <v>9000723247</v>
      </c>
      <c r="G2936" s="32" t="s">
        <v>80</v>
      </c>
      <c r="H2936" s="32" t="s">
        <v>21</v>
      </c>
      <c r="I2936" s="32" t="s">
        <v>172</v>
      </c>
      <c r="J2936" s="32" t="s">
        <v>152</v>
      </c>
      <c r="K2936" s="32" t="s">
        <v>63</v>
      </c>
    </row>
    <row r="2937" customFormat="false" ht="13.5" hidden="false" customHeight="true" outlineLevel="0" collapsed="false">
      <c r="A2937" s="32" t="n">
        <v>5184</v>
      </c>
      <c r="B2937" s="32" t="s">
        <v>2425</v>
      </c>
      <c r="C2937" s="32" t="s">
        <v>2426</v>
      </c>
      <c r="D2937" s="32" t="s">
        <v>59</v>
      </c>
      <c r="E2937" s="32" t="n">
        <v>0</v>
      </c>
      <c r="F2937" s="32" t="n">
        <v>9000723247</v>
      </c>
      <c r="G2937" s="32" t="s">
        <v>80</v>
      </c>
      <c r="H2937" s="32" t="s">
        <v>21</v>
      </c>
      <c r="I2937" s="32" t="s">
        <v>27</v>
      </c>
      <c r="J2937" s="32" t="s">
        <v>13</v>
      </c>
      <c r="K2937" s="32" t="s">
        <v>63</v>
      </c>
    </row>
    <row r="2938" customFormat="false" ht="13.5" hidden="false" customHeight="true" outlineLevel="0" collapsed="false">
      <c r="A2938" s="32" t="n">
        <v>5185</v>
      </c>
      <c r="B2938" s="32" t="s">
        <v>2425</v>
      </c>
      <c r="C2938" s="32" t="s">
        <v>2426</v>
      </c>
      <c r="D2938" s="32" t="s">
        <v>59</v>
      </c>
      <c r="E2938" s="32" t="n">
        <v>0</v>
      </c>
      <c r="F2938" s="32" t="n">
        <v>9000723247</v>
      </c>
      <c r="G2938" s="32" t="s">
        <v>80</v>
      </c>
      <c r="H2938" s="32" t="s">
        <v>21</v>
      </c>
      <c r="I2938" s="32" t="s">
        <v>133</v>
      </c>
      <c r="J2938" s="32" t="s">
        <v>134</v>
      </c>
      <c r="K2938" s="32" t="s">
        <v>63</v>
      </c>
    </row>
    <row r="2939" customFormat="false" ht="13.5" hidden="false" customHeight="true" outlineLevel="0" collapsed="false">
      <c r="A2939" s="32" t="n">
        <v>5186</v>
      </c>
      <c r="B2939" s="32" t="s">
        <v>2425</v>
      </c>
      <c r="C2939" s="32" t="s">
        <v>2426</v>
      </c>
      <c r="D2939" s="32" t="s">
        <v>59</v>
      </c>
      <c r="E2939" s="32" t="n">
        <v>0</v>
      </c>
      <c r="F2939" s="32" t="n">
        <v>9000723247</v>
      </c>
      <c r="G2939" s="32" t="s">
        <v>80</v>
      </c>
      <c r="H2939" s="32" t="s">
        <v>21</v>
      </c>
      <c r="I2939" s="32" t="s">
        <v>314</v>
      </c>
      <c r="J2939" s="32" t="s">
        <v>134</v>
      </c>
      <c r="K2939" s="32" t="s">
        <v>63</v>
      </c>
    </row>
    <row r="2940" customFormat="false" ht="13.5" hidden="false" customHeight="true" outlineLevel="0" collapsed="false">
      <c r="A2940" s="32" t="n">
        <v>5187</v>
      </c>
      <c r="B2940" s="32" t="s">
        <v>2427</v>
      </c>
      <c r="C2940" s="32" t="s">
        <v>2428</v>
      </c>
      <c r="D2940" s="32" t="s">
        <v>59</v>
      </c>
      <c r="E2940" s="32" t="s">
        <v>107</v>
      </c>
      <c r="F2940" s="32" t="n">
        <v>0</v>
      </c>
      <c r="G2940" s="32" t="s">
        <v>80</v>
      </c>
      <c r="H2940" s="32" t="s">
        <v>21</v>
      </c>
      <c r="I2940" s="32" t="s">
        <v>108</v>
      </c>
      <c r="J2940" s="32" t="s">
        <v>71</v>
      </c>
      <c r="K2940" s="32" t="s">
        <v>63</v>
      </c>
    </row>
    <row r="2941" customFormat="false" ht="13.5" hidden="false" customHeight="true" outlineLevel="0" collapsed="false">
      <c r="A2941" s="32" t="n">
        <v>6894</v>
      </c>
      <c r="B2941" s="32" t="s">
        <v>2427</v>
      </c>
      <c r="C2941" s="32" t="s">
        <v>2428</v>
      </c>
      <c r="D2941" s="32" t="s">
        <v>59</v>
      </c>
      <c r="E2941" s="32" t="s">
        <v>107</v>
      </c>
      <c r="F2941" s="32" t="n">
        <v>0</v>
      </c>
      <c r="G2941" s="32" t="s">
        <v>80</v>
      </c>
      <c r="H2941" s="32" t="s">
        <v>21</v>
      </c>
      <c r="I2941" s="32" t="s">
        <v>76</v>
      </c>
      <c r="J2941" s="32" t="s">
        <v>76</v>
      </c>
      <c r="K2941" s="32" t="s">
        <v>63</v>
      </c>
    </row>
    <row r="2942" customFormat="false" ht="13.5" hidden="false" customHeight="true" outlineLevel="0" collapsed="false">
      <c r="A2942" s="32" t="n">
        <v>5191</v>
      </c>
      <c r="B2942" s="32" t="s">
        <v>2429</v>
      </c>
      <c r="C2942" s="32" t="s">
        <v>2430</v>
      </c>
      <c r="D2942" s="32" t="s">
        <v>59</v>
      </c>
      <c r="E2942" s="32" t="s">
        <v>143</v>
      </c>
      <c r="F2942" s="32" t="n">
        <v>9716653180</v>
      </c>
      <c r="G2942" s="32" t="s">
        <v>144</v>
      </c>
      <c r="H2942" s="32" t="s">
        <v>21</v>
      </c>
      <c r="I2942" s="32" t="s">
        <v>387</v>
      </c>
      <c r="J2942" s="32" t="s">
        <v>388</v>
      </c>
      <c r="K2942" s="32" t="s">
        <v>63</v>
      </c>
    </row>
    <row r="2943" customFormat="false" ht="13.5" hidden="false" customHeight="true" outlineLevel="0" collapsed="false">
      <c r="A2943" s="32" t="n">
        <v>5192</v>
      </c>
      <c r="B2943" s="32" t="s">
        <v>2431</v>
      </c>
      <c r="C2943" s="32" t="s">
        <v>2432</v>
      </c>
      <c r="D2943" s="32" t="s">
        <v>114</v>
      </c>
      <c r="E2943" s="32" t="s">
        <v>165</v>
      </c>
      <c r="F2943" s="33" t="n">
        <v>919909000000</v>
      </c>
      <c r="G2943" s="32" t="s">
        <v>80</v>
      </c>
      <c r="H2943" s="32" t="s">
        <v>22</v>
      </c>
      <c r="I2943" s="32" t="s">
        <v>245</v>
      </c>
      <c r="J2943" s="32" t="s">
        <v>71</v>
      </c>
      <c r="K2943" s="32" t="s">
        <v>63</v>
      </c>
    </row>
    <row r="2944" customFormat="false" ht="13.5" hidden="false" customHeight="true" outlineLevel="0" collapsed="false">
      <c r="A2944" s="32" t="n">
        <v>5193</v>
      </c>
      <c r="B2944" s="32" t="s">
        <v>2431</v>
      </c>
      <c r="C2944" s="32" t="s">
        <v>2432</v>
      </c>
      <c r="D2944" s="32" t="s">
        <v>114</v>
      </c>
      <c r="E2944" s="32" t="s">
        <v>165</v>
      </c>
      <c r="F2944" s="33" t="n">
        <v>919909000000</v>
      </c>
      <c r="G2944" s="32" t="s">
        <v>80</v>
      </c>
      <c r="H2944" s="32" t="s">
        <v>22</v>
      </c>
      <c r="I2944" s="32" t="s">
        <v>108</v>
      </c>
      <c r="J2944" s="32" t="s">
        <v>71</v>
      </c>
      <c r="K2944" s="32" t="s">
        <v>63</v>
      </c>
    </row>
    <row r="2945" customFormat="false" ht="13.5" hidden="false" customHeight="true" outlineLevel="0" collapsed="false">
      <c r="A2945" s="32" t="n">
        <v>5194</v>
      </c>
      <c r="B2945" s="32" t="s">
        <v>2431</v>
      </c>
      <c r="C2945" s="32" t="s">
        <v>2432</v>
      </c>
      <c r="D2945" s="32" t="s">
        <v>114</v>
      </c>
      <c r="E2945" s="32" t="s">
        <v>165</v>
      </c>
      <c r="F2945" s="33" t="n">
        <v>919909000000</v>
      </c>
      <c r="G2945" s="32" t="s">
        <v>80</v>
      </c>
      <c r="H2945" s="32" t="s">
        <v>22</v>
      </c>
      <c r="I2945" s="32" t="s">
        <v>393</v>
      </c>
      <c r="J2945" s="32" t="s">
        <v>73</v>
      </c>
      <c r="K2945" s="32" t="s">
        <v>63</v>
      </c>
    </row>
    <row r="2946" customFormat="false" ht="13.5" hidden="false" customHeight="true" outlineLevel="0" collapsed="false">
      <c r="A2946" s="32" t="n">
        <v>5195</v>
      </c>
      <c r="B2946" s="32" t="s">
        <v>2433</v>
      </c>
      <c r="C2946" s="32" t="s">
        <v>2434</v>
      </c>
      <c r="D2946" s="32" t="s">
        <v>59</v>
      </c>
      <c r="E2946" s="32" t="s">
        <v>60</v>
      </c>
      <c r="F2946" s="33" t="n">
        <v>914704000000</v>
      </c>
      <c r="G2946" s="32" t="s">
        <v>144</v>
      </c>
      <c r="H2946" s="32" t="s">
        <v>21</v>
      </c>
      <c r="I2946" s="32" t="s">
        <v>1108</v>
      </c>
      <c r="J2946" s="32" t="s">
        <v>66</v>
      </c>
      <c r="K2946" s="32" t="s">
        <v>63</v>
      </c>
    </row>
    <row r="2947" customFormat="false" ht="13.5" hidden="false" customHeight="true" outlineLevel="0" collapsed="false">
      <c r="A2947" s="32" t="n">
        <v>5196</v>
      </c>
      <c r="B2947" s="32" t="s">
        <v>2433</v>
      </c>
      <c r="C2947" s="32" t="s">
        <v>2434</v>
      </c>
      <c r="D2947" s="32" t="s">
        <v>59</v>
      </c>
      <c r="E2947" s="32" t="s">
        <v>60</v>
      </c>
      <c r="F2947" s="33" t="n">
        <v>914704000000</v>
      </c>
      <c r="G2947" s="32" t="s">
        <v>144</v>
      </c>
      <c r="H2947" s="32" t="s">
        <v>21</v>
      </c>
      <c r="I2947" s="32" t="s">
        <v>14</v>
      </c>
      <c r="J2947" s="32" t="s">
        <v>66</v>
      </c>
      <c r="K2947" s="32" t="s">
        <v>63</v>
      </c>
    </row>
    <row r="2948" customFormat="false" ht="13.5" hidden="false" customHeight="true" outlineLevel="0" collapsed="false">
      <c r="A2948" s="32" t="n">
        <v>5197</v>
      </c>
      <c r="B2948" s="32" t="s">
        <v>2433</v>
      </c>
      <c r="C2948" s="32" t="s">
        <v>2434</v>
      </c>
      <c r="D2948" s="32" t="s">
        <v>59</v>
      </c>
      <c r="E2948" s="32" t="s">
        <v>60</v>
      </c>
      <c r="F2948" s="33" t="n">
        <v>914704000000</v>
      </c>
      <c r="G2948" s="32" t="s">
        <v>144</v>
      </c>
      <c r="H2948" s="32" t="s">
        <v>21</v>
      </c>
      <c r="I2948" s="32" t="s">
        <v>463</v>
      </c>
      <c r="J2948" s="32" t="s">
        <v>66</v>
      </c>
      <c r="K2948" s="32" t="s">
        <v>63</v>
      </c>
    </row>
    <row r="2949" customFormat="false" ht="13.5" hidden="false" customHeight="true" outlineLevel="0" collapsed="false">
      <c r="A2949" s="32" t="n">
        <v>5198</v>
      </c>
      <c r="B2949" s="32" t="s">
        <v>2435</v>
      </c>
      <c r="C2949" s="32" t="s">
        <v>2436</v>
      </c>
      <c r="D2949" s="32" t="s">
        <v>114</v>
      </c>
      <c r="E2949" s="32" t="s">
        <v>165</v>
      </c>
      <c r="F2949" s="32" t="n">
        <v>8884070404</v>
      </c>
      <c r="G2949" s="32" t="s">
        <v>61</v>
      </c>
      <c r="H2949" s="32" t="s">
        <v>22</v>
      </c>
      <c r="I2949" s="32" t="s">
        <v>121</v>
      </c>
      <c r="J2949" s="32" t="s">
        <v>110</v>
      </c>
      <c r="K2949" s="32" t="s">
        <v>63</v>
      </c>
    </row>
    <row r="2950" customFormat="false" ht="13.5" hidden="false" customHeight="true" outlineLevel="0" collapsed="false">
      <c r="A2950" s="32" t="n">
        <v>5199</v>
      </c>
      <c r="B2950" s="32" t="s">
        <v>2437</v>
      </c>
      <c r="C2950" s="32" t="s">
        <v>2438</v>
      </c>
      <c r="D2950" s="32" t="s">
        <v>59</v>
      </c>
      <c r="E2950" s="32" t="s">
        <v>79</v>
      </c>
      <c r="F2950" s="32" t="n">
        <v>7004558229</v>
      </c>
      <c r="G2950" s="32" t="s">
        <v>140</v>
      </c>
      <c r="H2950" s="32" t="s">
        <v>21</v>
      </c>
      <c r="I2950" s="32" t="s">
        <v>30</v>
      </c>
      <c r="J2950" s="32" t="s">
        <v>203</v>
      </c>
      <c r="K2950" s="32" t="s">
        <v>63</v>
      </c>
    </row>
    <row r="2951" customFormat="false" ht="13.5" hidden="false" customHeight="true" outlineLevel="0" collapsed="false">
      <c r="A2951" s="32" t="n">
        <v>5200</v>
      </c>
      <c r="B2951" s="32" t="s">
        <v>2439</v>
      </c>
      <c r="C2951" s="32" t="s">
        <v>2440</v>
      </c>
      <c r="D2951" s="32" t="s">
        <v>59</v>
      </c>
      <c r="E2951" s="32" t="s">
        <v>60</v>
      </c>
      <c r="F2951" s="32" t="n">
        <v>9148095745</v>
      </c>
      <c r="G2951" s="32" t="s">
        <v>61</v>
      </c>
      <c r="H2951" s="32" t="s">
        <v>21</v>
      </c>
      <c r="I2951" s="32" t="s">
        <v>108</v>
      </c>
      <c r="J2951" s="32" t="s">
        <v>71</v>
      </c>
      <c r="K2951" s="32" t="s">
        <v>63</v>
      </c>
    </row>
    <row r="2952" customFormat="false" ht="13.5" hidden="false" customHeight="true" outlineLevel="0" collapsed="false">
      <c r="A2952" s="32" t="n">
        <v>5201</v>
      </c>
      <c r="B2952" s="32" t="s">
        <v>2439</v>
      </c>
      <c r="C2952" s="32" t="s">
        <v>2440</v>
      </c>
      <c r="D2952" s="32" t="s">
        <v>59</v>
      </c>
      <c r="E2952" s="32" t="s">
        <v>60</v>
      </c>
      <c r="F2952" s="32" t="n">
        <v>9148095745</v>
      </c>
      <c r="G2952" s="32" t="s">
        <v>61</v>
      </c>
      <c r="H2952" s="32" t="s">
        <v>21</v>
      </c>
      <c r="I2952" s="32" t="s">
        <v>133</v>
      </c>
      <c r="J2952" s="32" t="s">
        <v>134</v>
      </c>
      <c r="K2952" s="32" t="s">
        <v>63</v>
      </c>
    </row>
    <row r="2953" customFormat="false" ht="13.5" hidden="false" customHeight="true" outlineLevel="0" collapsed="false">
      <c r="A2953" s="32" t="n">
        <v>5202</v>
      </c>
      <c r="B2953" s="32" t="s">
        <v>2439</v>
      </c>
      <c r="C2953" s="32" t="s">
        <v>2440</v>
      </c>
      <c r="D2953" s="32" t="s">
        <v>59</v>
      </c>
      <c r="E2953" s="32" t="s">
        <v>60</v>
      </c>
      <c r="F2953" s="32" t="n">
        <v>9148095745</v>
      </c>
      <c r="G2953" s="32" t="s">
        <v>61</v>
      </c>
      <c r="H2953" s="32" t="s">
        <v>21</v>
      </c>
      <c r="I2953" s="32" t="s">
        <v>333</v>
      </c>
      <c r="J2953" s="32" t="s">
        <v>235</v>
      </c>
      <c r="K2953" s="32" t="s">
        <v>63</v>
      </c>
    </row>
    <row r="2954" customFormat="false" ht="13.5" hidden="false" customHeight="true" outlineLevel="0" collapsed="false">
      <c r="A2954" s="32" t="n">
        <v>5203</v>
      </c>
      <c r="B2954" s="32" t="s">
        <v>2441</v>
      </c>
      <c r="C2954" s="32" t="s">
        <v>2442</v>
      </c>
      <c r="D2954" s="32" t="s">
        <v>59</v>
      </c>
      <c r="E2954" s="32" t="s">
        <v>92</v>
      </c>
      <c r="F2954" s="33" t="n">
        <v>917023000000</v>
      </c>
      <c r="G2954" s="32" t="s">
        <v>61</v>
      </c>
      <c r="H2954" s="32" t="s">
        <v>21</v>
      </c>
      <c r="I2954" s="32" t="s">
        <v>146</v>
      </c>
      <c r="J2954" s="32" t="s">
        <v>117</v>
      </c>
      <c r="K2954" s="32" t="s">
        <v>63</v>
      </c>
    </row>
    <row r="2955" customFormat="false" ht="13.5" hidden="false" customHeight="true" outlineLevel="0" collapsed="false">
      <c r="A2955" s="32" t="n">
        <v>5204</v>
      </c>
      <c r="B2955" s="32" t="s">
        <v>2443</v>
      </c>
      <c r="C2955" s="32" t="s">
        <v>2444</v>
      </c>
      <c r="D2955" s="32" t="s">
        <v>59</v>
      </c>
      <c r="E2955" s="32" t="s">
        <v>107</v>
      </c>
      <c r="F2955" s="32" t="n">
        <v>0</v>
      </c>
      <c r="G2955" s="32" t="s">
        <v>104</v>
      </c>
      <c r="H2955" s="32" t="s">
        <v>21</v>
      </c>
      <c r="I2955" s="32" t="s">
        <v>217</v>
      </c>
      <c r="J2955" s="32" t="s">
        <v>132</v>
      </c>
      <c r="K2955" s="32" t="s">
        <v>63</v>
      </c>
    </row>
    <row r="2956" customFormat="false" ht="13.5" hidden="false" customHeight="true" outlineLevel="0" collapsed="false">
      <c r="A2956" s="32" t="n">
        <v>5205</v>
      </c>
      <c r="B2956" s="32" t="s">
        <v>2443</v>
      </c>
      <c r="C2956" s="32" t="s">
        <v>2444</v>
      </c>
      <c r="D2956" s="32" t="s">
        <v>59</v>
      </c>
      <c r="E2956" s="32" t="s">
        <v>107</v>
      </c>
      <c r="F2956" s="32" t="n">
        <v>0</v>
      </c>
      <c r="G2956" s="32" t="s">
        <v>104</v>
      </c>
      <c r="H2956" s="32" t="s">
        <v>21</v>
      </c>
      <c r="I2956" s="32" t="s">
        <v>728</v>
      </c>
      <c r="J2956" s="32" t="s">
        <v>132</v>
      </c>
      <c r="K2956" s="32" t="s">
        <v>63</v>
      </c>
    </row>
    <row r="2957" customFormat="false" ht="13.5" hidden="false" customHeight="true" outlineLevel="0" collapsed="false">
      <c r="A2957" s="32" t="n">
        <v>5206</v>
      </c>
      <c r="B2957" s="32" t="s">
        <v>2443</v>
      </c>
      <c r="C2957" s="32" t="s">
        <v>2444</v>
      </c>
      <c r="D2957" s="32" t="s">
        <v>59</v>
      </c>
      <c r="E2957" s="32" t="s">
        <v>107</v>
      </c>
      <c r="F2957" s="32" t="n">
        <v>0</v>
      </c>
      <c r="G2957" s="32" t="s">
        <v>104</v>
      </c>
      <c r="H2957" s="32" t="s">
        <v>21</v>
      </c>
      <c r="I2957" s="32" t="s">
        <v>93</v>
      </c>
      <c r="J2957" s="32" t="s">
        <v>85</v>
      </c>
      <c r="K2957" s="32" t="s">
        <v>63</v>
      </c>
    </row>
    <row r="2958" customFormat="false" ht="13.5" hidden="false" customHeight="true" outlineLevel="0" collapsed="false">
      <c r="A2958" s="32" t="n">
        <v>5207</v>
      </c>
      <c r="B2958" s="32" t="s">
        <v>2445</v>
      </c>
      <c r="C2958" s="32" t="s">
        <v>2446</v>
      </c>
      <c r="D2958" s="32" t="s">
        <v>59</v>
      </c>
      <c r="E2958" s="32" t="s">
        <v>107</v>
      </c>
      <c r="F2958" s="32" t="n">
        <v>9390517434</v>
      </c>
      <c r="G2958" s="32" t="s">
        <v>61</v>
      </c>
      <c r="H2958" s="32" t="s">
        <v>21</v>
      </c>
      <c r="I2958" s="32" t="s">
        <v>121</v>
      </c>
      <c r="J2958" s="32" t="s">
        <v>110</v>
      </c>
      <c r="K2958" s="32" t="s">
        <v>63</v>
      </c>
    </row>
    <row r="2959" customFormat="false" ht="13.5" hidden="false" customHeight="true" outlineLevel="0" collapsed="false">
      <c r="A2959" s="32" t="n">
        <v>5208</v>
      </c>
      <c r="B2959" s="32" t="s">
        <v>2445</v>
      </c>
      <c r="C2959" s="32" t="s">
        <v>2446</v>
      </c>
      <c r="D2959" s="32" t="s">
        <v>59</v>
      </c>
      <c r="E2959" s="32" t="s">
        <v>107</v>
      </c>
      <c r="F2959" s="32" t="n">
        <v>9390517434</v>
      </c>
      <c r="G2959" s="32" t="s">
        <v>61</v>
      </c>
      <c r="H2959" s="32" t="s">
        <v>21</v>
      </c>
      <c r="I2959" s="32" t="s">
        <v>145</v>
      </c>
      <c r="J2959" s="32" t="s">
        <v>117</v>
      </c>
      <c r="K2959" s="32" t="s">
        <v>63</v>
      </c>
    </row>
    <row r="2960" customFormat="false" ht="13.5" hidden="false" customHeight="true" outlineLevel="0" collapsed="false">
      <c r="A2960" s="32" t="n">
        <v>5209</v>
      </c>
      <c r="B2960" s="32" t="s">
        <v>2447</v>
      </c>
      <c r="C2960" s="32" t="s">
        <v>2448</v>
      </c>
      <c r="D2960" s="32" t="s">
        <v>114</v>
      </c>
      <c r="E2960" s="32" t="s">
        <v>124</v>
      </c>
      <c r="F2960" s="32" t="n">
        <v>0</v>
      </c>
      <c r="G2960" s="32" t="s">
        <v>104</v>
      </c>
      <c r="H2960" s="32" t="s">
        <v>22</v>
      </c>
      <c r="I2960" s="32" t="s">
        <v>325</v>
      </c>
      <c r="J2960" s="32" t="s">
        <v>326</v>
      </c>
      <c r="K2960" s="32" t="s">
        <v>63</v>
      </c>
    </row>
    <row r="2961" customFormat="false" ht="13.5" hidden="false" customHeight="true" outlineLevel="0" collapsed="false">
      <c r="A2961" s="32" t="n">
        <v>5210</v>
      </c>
      <c r="B2961" s="32" t="s">
        <v>2447</v>
      </c>
      <c r="C2961" s="32" t="s">
        <v>2448</v>
      </c>
      <c r="D2961" s="32" t="s">
        <v>114</v>
      </c>
      <c r="E2961" s="32" t="s">
        <v>124</v>
      </c>
      <c r="F2961" s="32" t="n">
        <v>0</v>
      </c>
      <c r="G2961" s="32" t="s">
        <v>104</v>
      </c>
      <c r="H2961" s="32" t="s">
        <v>22</v>
      </c>
      <c r="I2961" s="32" t="s">
        <v>248</v>
      </c>
      <c r="J2961" s="32" t="s">
        <v>117</v>
      </c>
      <c r="K2961" s="32" t="s">
        <v>63</v>
      </c>
    </row>
    <row r="2962" customFormat="false" ht="13.5" hidden="false" customHeight="true" outlineLevel="0" collapsed="false">
      <c r="A2962" s="32" t="n">
        <v>5211</v>
      </c>
      <c r="B2962" s="32" t="s">
        <v>2447</v>
      </c>
      <c r="C2962" s="32" t="s">
        <v>2448</v>
      </c>
      <c r="D2962" s="32" t="s">
        <v>114</v>
      </c>
      <c r="E2962" s="32" t="s">
        <v>124</v>
      </c>
      <c r="F2962" s="32" t="n">
        <v>0</v>
      </c>
      <c r="G2962" s="32" t="s">
        <v>104</v>
      </c>
      <c r="H2962" s="32" t="s">
        <v>22</v>
      </c>
      <c r="I2962" s="32" t="s">
        <v>226</v>
      </c>
      <c r="J2962" s="32" t="s">
        <v>110</v>
      </c>
      <c r="K2962" s="32" t="s">
        <v>63</v>
      </c>
    </row>
    <row r="2963" customFormat="false" ht="13.5" hidden="false" customHeight="true" outlineLevel="0" collapsed="false">
      <c r="A2963" s="32" t="n">
        <v>5212</v>
      </c>
      <c r="B2963" s="32" t="s">
        <v>2449</v>
      </c>
      <c r="C2963" s="32" t="s">
        <v>2450</v>
      </c>
      <c r="D2963" s="32" t="s">
        <v>102</v>
      </c>
      <c r="E2963" s="32" t="s">
        <v>107</v>
      </c>
      <c r="F2963" s="32" t="n">
        <v>9885801224</v>
      </c>
      <c r="G2963" s="32" t="s">
        <v>80</v>
      </c>
      <c r="H2963" s="32" t="s">
        <v>21</v>
      </c>
      <c r="I2963" s="32" t="s">
        <v>215</v>
      </c>
      <c r="J2963" s="32" t="s">
        <v>132</v>
      </c>
      <c r="K2963" s="32" t="s">
        <v>63</v>
      </c>
    </row>
    <row r="2964" customFormat="false" ht="13.5" hidden="false" customHeight="true" outlineLevel="0" collapsed="false">
      <c r="A2964" s="32" t="n">
        <v>5213</v>
      </c>
      <c r="B2964" s="32" t="s">
        <v>2449</v>
      </c>
      <c r="C2964" s="32" t="s">
        <v>2450</v>
      </c>
      <c r="D2964" s="32" t="s">
        <v>59</v>
      </c>
      <c r="E2964" s="32" t="s">
        <v>107</v>
      </c>
      <c r="F2964" s="32" t="n">
        <v>9885801224</v>
      </c>
      <c r="G2964" s="32" t="s">
        <v>80</v>
      </c>
      <c r="H2964" s="32" t="s">
        <v>21</v>
      </c>
      <c r="I2964" s="32" t="s">
        <v>728</v>
      </c>
      <c r="J2964" s="32" t="s">
        <v>132</v>
      </c>
      <c r="K2964" s="32" t="s">
        <v>63</v>
      </c>
    </row>
    <row r="2965" customFormat="false" ht="13.5" hidden="false" customHeight="true" outlineLevel="0" collapsed="false">
      <c r="A2965" s="32" t="n">
        <v>5214</v>
      </c>
      <c r="B2965" s="32" t="s">
        <v>2451</v>
      </c>
      <c r="C2965" s="32" t="s">
        <v>2452</v>
      </c>
      <c r="D2965" s="32" t="s">
        <v>59</v>
      </c>
      <c r="E2965" s="32" t="s">
        <v>79</v>
      </c>
      <c r="F2965" s="32" t="n">
        <v>8985135804</v>
      </c>
      <c r="G2965" s="32" t="s">
        <v>0</v>
      </c>
      <c r="H2965" s="32" t="s">
        <v>21</v>
      </c>
      <c r="I2965" s="32" t="s">
        <v>251</v>
      </c>
      <c r="J2965" s="32" t="s">
        <v>152</v>
      </c>
      <c r="K2965" s="32" t="s">
        <v>63</v>
      </c>
    </row>
    <row r="2966" customFormat="false" ht="13.5" hidden="false" customHeight="true" outlineLevel="0" collapsed="false">
      <c r="A2966" s="32" t="n">
        <v>5215</v>
      </c>
      <c r="B2966" s="32" t="s">
        <v>2451</v>
      </c>
      <c r="C2966" s="32" t="s">
        <v>2452</v>
      </c>
      <c r="D2966" s="32" t="s">
        <v>59</v>
      </c>
      <c r="E2966" s="32" t="s">
        <v>79</v>
      </c>
      <c r="F2966" s="32" t="n">
        <v>8985135804</v>
      </c>
      <c r="G2966" s="32" t="s">
        <v>0</v>
      </c>
      <c r="H2966" s="32" t="s">
        <v>21</v>
      </c>
      <c r="I2966" s="32" t="s">
        <v>251</v>
      </c>
      <c r="J2966" s="32" t="s">
        <v>152</v>
      </c>
      <c r="K2966" s="32" t="s">
        <v>63</v>
      </c>
    </row>
    <row r="2967" customFormat="false" ht="13.5" hidden="false" customHeight="true" outlineLevel="0" collapsed="false">
      <c r="A2967" s="32" t="n">
        <v>5216</v>
      </c>
      <c r="B2967" s="32" t="s">
        <v>2451</v>
      </c>
      <c r="C2967" s="32" t="s">
        <v>2452</v>
      </c>
      <c r="D2967" s="32" t="s">
        <v>59</v>
      </c>
      <c r="E2967" s="32" t="s">
        <v>79</v>
      </c>
      <c r="F2967" s="32" t="n">
        <v>8985135804</v>
      </c>
      <c r="G2967" s="32" t="s">
        <v>0</v>
      </c>
      <c r="H2967" s="32" t="s">
        <v>21</v>
      </c>
      <c r="I2967" s="32" t="s">
        <v>251</v>
      </c>
      <c r="J2967" s="32" t="s">
        <v>152</v>
      </c>
      <c r="K2967" s="32" t="s">
        <v>63</v>
      </c>
    </row>
    <row r="2968" customFormat="false" ht="13.5" hidden="false" customHeight="true" outlineLevel="0" collapsed="false">
      <c r="A2968" s="32" t="n">
        <v>5217</v>
      </c>
      <c r="B2968" s="32" t="s">
        <v>2451</v>
      </c>
      <c r="C2968" s="32" t="s">
        <v>2452</v>
      </c>
      <c r="D2968" s="32" t="s">
        <v>59</v>
      </c>
      <c r="E2968" s="32" t="s">
        <v>79</v>
      </c>
      <c r="F2968" s="32" t="n">
        <v>8985135804</v>
      </c>
      <c r="G2968" s="32" t="s">
        <v>0</v>
      </c>
      <c r="H2968" s="32" t="s">
        <v>21</v>
      </c>
      <c r="I2968" s="32" t="s">
        <v>116</v>
      </c>
      <c r="J2968" s="32" t="s">
        <v>117</v>
      </c>
      <c r="K2968" s="32" t="s">
        <v>63</v>
      </c>
    </row>
    <row r="2969" customFormat="false" ht="13.5" hidden="false" customHeight="true" outlineLevel="0" collapsed="false">
      <c r="A2969" s="32" t="n">
        <v>5218</v>
      </c>
      <c r="B2969" s="32" t="s">
        <v>2453</v>
      </c>
      <c r="C2969" s="32" t="s">
        <v>2454</v>
      </c>
      <c r="D2969" s="32" t="s">
        <v>114</v>
      </c>
      <c r="E2969" s="32" t="s">
        <v>165</v>
      </c>
      <c r="F2969" s="32" t="n">
        <v>9629294729</v>
      </c>
      <c r="G2969" s="32" t="s">
        <v>61</v>
      </c>
      <c r="H2969" s="32" t="s">
        <v>22</v>
      </c>
      <c r="I2969" s="32" t="s">
        <v>93</v>
      </c>
      <c r="J2969" s="32" t="s">
        <v>85</v>
      </c>
      <c r="K2969" s="32" t="s">
        <v>63</v>
      </c>
    </row>
    <row r="2970" customFormat="false" ht="13.5" hidden="false" customHeight="true" outlineLevel="0" collapsed="false">
      <c r="A2970" s="32" t="n">
        <v>5219</v>
      </c>
      <c r="B2970" s="32" t="s">
        <v>2453</v>
      </c>
      <c r="C2970" s="32" t="s">
        <v>2455</v>
      </c>
      <c r="D2970" s="32" t="s">
        <v>114</v>
      </c>
      <c r="E2970" s="32" t="s">
        <v>165</v>
      </c>
      <c r="F2970" s="32" t="n">
        <v>9629294729</v>
      </c>
      <c r="G2970" s="32" t="s">
        <v>61</v>
      </c>
      <c r="H2970" s="32" t="s">
        <v>22</v>
      </c>
      <c r="I2970" s="32" t="s">
        <v>28</v>
      </c>
      <c r="J2970" s="32" t="s">
        <v>82</v>
      </c>
      <c r="K2970" s="32" t="s">
        <v>63</v>
      </c>
    </row>
    <row r="2971" customFormat="false" ht="13.5" hidden="false" customHeight="true" outlineLevel="0" collapsed="false">
      <c r="A2971" s="32" t="n">
        <v>5220</v>
      </c>
      <c r="B2971" s="32" t="s">
        <v>2453</v>
      </c>
      <c r="C2971" s="32" t="s">
        <v>2456</v>
      </c>
      <c r="D2971" s="32" t="s">
        <v>114</v>
      </c>
      <c r="E2971" s="32" t="s">
        <v>165</v>
      </c>
      <c r="F2971" s="32" t="n">
        <v>9629294729</v>
      </c>
      <c r="G2971" s="32" t="s">
        <v>61</v>
      </c>
      <c r="H2971" s="32" t="s">
        <v>22</v>
      </c>
      <c r="I2971" s="32" t="s">
        <v>516</v>
      </c>
      <c r="J2971" s="32" t="s">
        <v>66</v>
      </c>
      <c r="K2971" s="32" t="s">
        <v>63</v>
      </c>
    </row>
    <row r="2972" customFormat="false" ht="13.5" hidden="false" customHeight="true" outlineLevel="0" collapsed="false">
      <c r="A2972" s="32" t="n">
        <v>5221</v>
      </c>
      <c r="B2972" s="32" t="s">
        <v>2453</v>
      </c>
      <c r="C2972" s="32" t="s">
        <v>2456</v>
      </c>
      <c r="D2972" s="32" t="s">
        <v>114</v>
      </c>
      <c r="E2972" s="32" t="s">
        <v>165</v>
      </c>
      <c r="F2972" s="32" t="n">
        <v>9629294729</v>
      </c>
      <c r="G2972" s="32" t="s">
        <v>61</v>
      </c>
      <c r="H2972" s="32" t="s">
        <v>22</v>
      </c>
      <c r="I2972" s="32" t="s">
        <v>2457</v>
      </c>
      <c r="J2972" s="32" t="s">
        <v>89</v>
      </c>
      <c r="K2972" s="32" t="s">
        <v>63</v>
      </c>
    </row>
    <row r="2973" customFormat="false" ht="13.5" hidden="false" customHeight="true" outlineLevel="0" collapsed="false">
      <c r="A2973" s="32" t="n">
        <v>5222</v>
      </c>
      <c r="B2973" s="32" t="s">
        <v>2453</v>
      </c>
      <c r="C2973" s="32" t="s">
        <v>2455</v>
      </c>
      <c r="D2973" s="32" t="s">
        <v>114</v>
      </c>
      <c r="E2973" s="32" t="s">
        <v>165</v>
      </c>
      <c r="F2973" s="32" t="n">
        <v>9629294729</v>
      </c>
      <c r="G2973" s="32" t="s">
        <v>61</v>
      </c>
      <c r="H2973" s="32" t="s">
        <v>22</v>
      </c>
      <c r="I2973" s="32" t="s">
        <v>416</v>
      </c>
      <c r="J2973" s="32" t="s">
        <v>82</v>
      </c>
      <c r="K2973" s="32" t="s">
        <v>63</v>
      </c>
    </row>
    <row r="2974" customFormat="false" ht="13.5" hidden="false" customHeight="true" outlineLevel="0" collapsed="false">
      <c r="A2974" s="32" t="n">
        <v>5223</v>
      </c>
      <c r="B2974" s="32" t="s">
        <v>2453</v>
      </c>
      <c r="C2974" s="32" t="s">
        <v>2455</v>
      </c>
      <c r="D2974" s="32" t="s">
        <v>114</v>
      </c>
      <c r="E2974" s="32" t="s">
        <v>165</v>
      </c>
      <c r="F2974" s="32" t="n">
        <v>9629294729</v>
      </c>
      <c r="G2974" s="32" t="s">
        <v>61</v>
      </c>
      <c r="H2974" s="32" t="s">
        <v>22</v>
      </c>
      <c r="I2974" s="32" t="s">
        <v>610</v>
      </c>
      <c r="J2974" s="32" t="s">
        <v>82</v>
      </c>
      <c r="K2974" s="32" t="s">
        <v>63</v>
      </c>
    </row>
    <row r="2975" customFormat="false" ht="13.5" hidden="false" customHeight="true" outlineLevel="0" collapsed="false">
      <c r="A2975" s="32" t="n">
        <v>5224</v>
      </c>
      <c r="B2975" s="32" t="s">
        <v>2453</v>
      </c>
      <c r="C2975" s="32" t="s">
        <v>2456</v>
      </c>
      <c r="D2975" s="32" t="s">
        <v>114</v>
      </c>
      <c r="E2975" s="32" t="s">
        <v>165</v>
      </c>
      <c r="F2975" s="32" t="n">
        <v>9629294729</v>
      </c>
      <c r="G2975" s="32" t="s">
        <v>61</v>
      </c>
      <c r="H2975" s="32" t="s">
        <v>22</v>
      </c>
      <c r="I2975" s="32" t="s">
        <v>137</v>
      </c>
      <c r="J2975" s="32" t="s">
        <v>13</v>
      </c>
      <c r="K2975" s="32" t="s">
        <v>63</v>
      </c>
    </row>
    <row r="2976" customFormat="false" ht="13.5" hidden="false" customHeight="true" outlineLevel="0" collapsed="false">
      <c r="A2976" s="32" t="n">
        <v>5225</v>
      </c>
      <c r="B2976" s="32" t="s">
        <v>2453</v>
      </c>
      <c r="C2976" s="32" t="s">
        <v>2456</v>
      </c>
      <c r="D2976" s="32" t="s">
        <v>114</v>
      </c>
      <c r="E2976" s="32" t="s">
        <v>165</v>
      </c>
      <c r="F2976" s="32" t="n">
        <v>9629294729</v>
      </c>
      <c r="G2976" s="32" t="s">
        <v>61</v>
      </c>
      <c r="H2976" s="32" t="s">
        <v>22</v>
      </c>
      <c r="I2976" s="32" t="s">
        <v>629</v>
      </c>
      <c r="J2976" s="32" t="s">
        <v>203</v>
      </c>
      <c r="K2976" s="32" t="s">
        <v>63</v>
      </c>
    </row>
    <row r="2977" customFormat="false" ht="13.5" hidden="false" customHeight="true" outlineLevel="0" collapsed="false">
      <c r="A2977" s="32" t="n">
        <v>5226</v>
      </c>
      <c r="B2977" s="32" t="s">
        <v>2453</v>
      </c>
      <c r="C2977" s="32" t="s">
        <v>2456</v>
      </c>
      <c r="D2977" s="32" t="s">
        <v>114</v>
      </c>
      <c r="E2977" s="32" t="s">
        <v>165</v>
      </c>
      <c r="F2977" s="32" t="n">
        <v>9629294729</v>
      </c>
      <c r="G2977" s="32" t="s">
        <v>61</v>
      </c>
      <c r="H2977" s="32" t="s">
        <v>22</v>
      </c>
      <c r="I2977" s="32" t="s">
        <v>81</v>
      </c>
      <c r="J2977" s="32" t="s">
        <v>82</v>
      </c>
      <c r="K2977" s="32" t="s">
        <v>63</v>
      </c>
    </row>
    <row r="2978" customFormat="false" ht="13.5" hidden="false" customHeight="true" outlineLevel="0" collapsed="false">
      <c r="A2978" s="32" t="n">
        <v>5227</v>
      </c>
      <c r="B2978" s="32" t="s">
        <v>2453</v>
      </c>
      <c r="C2978" s="32" t="s">
        <v>2456</v>
      </c>
      <c r="D2978" s="32" t="s">
        <v>114</v>
      </c>
      <c r="E2978" s="32" t="s">
        <v>165</v>
      </c>
      <c r="F2978" s="32" t="n">
        <v>9629294729</v>
      </c>
      <c r="G2978" s="32" t="s">
        <v>61</v>
      </c>
      <c r="H2978" s="32" t="s">
        <v>22</v>
      </c>
      <c r="I2978" s="32" t="s">
        <v>14</v>
      </c>
      <c r="J2978" s="32" t="s">
        <v>66</v>
      </c>
      <c r="K2978" s="32" t="s">
        <v>63</v>
      </c>
    </row>
    <row r="2979" customFormat="false" ht="13.5" hidden="false" customHeight="true" outlineLevel="0" collapsed="false">
      <c r="A2979" s="32" t="n">
        <v>5228</v>
      </c>
      <c r="B2979" s="32" t="s">
        <v>2458</v>
      </c>
      <c r="C2979" s="32" t="s">
        <v>2459</v>
      </c>
      <c r="D2979" s="32" t="s">
        <v>59</v>
      </c>
      <c r="E2979" s="32" t="s">
        <v>79</v>
      </c>
      <c r="F2979" s="33" t="n">
        <v>919321000000</v>
      </c>
      <c r="G2979" s="32" t="s">
        <v>144</v>
      </c>
      <c r="H2979" s="32" t="s">
        <v>21</v>
      </c>
      <c r="I2979" s="32" t="s">
        <v>172</v>
      </c>
      <c r="J2979" s="32" t="s">
        <v>152</v>
      </c>
      <c r="K2979" s="32" t="s">
        <v>63</v>
      </c>
    </row>
    <row r="2980" customFormat="false" ht="13.5" hidden="false" customHeight="true" outlineLevel="0" collapsed="false">
      <c r="A2980" s="32" t="n">
        <v>5229</v>
      </c>
      <c r="B2980" s="32" t="s">
        <v>2460</v>
      </c>
      <c r="C2980" s="32" t="s">
        <v>2461</v>
      </c>
      <c r="D2980" s="32" t="s">
        <v>114</v>
      </c>
      <c r="E2980" s="32" t="s">
        <v>169</v>
      </c>
      <c r="F2980" s="32" t="n">
        <v>7447432320</v>
      </c>
      <c r="G2980" s="32" t="s">
        <v>80</v>
      </c>
      <c r="H2980" s="32" t="s">
        <v>22</v>
      </c>
      <c r="I2980" s="32" t="s">
        <v>93</v>
      </c>
      <c r="J2980" s="32" t="s">
        <v>85</v>
      </c>
      <c r="K2980" s="32" t="s">
        <v>63</v>
      </c>
    </row>
    <row r="2981" customFormat="false" ht="13.5" hidden="false" customHeight="true" outlineLevel="0" collapsed="false">
      <c r="A2981" s="32" t="n">
        <v>5230</v>
      </c>
      <c r="B2981" s="32" t="s">
        <v>2460</v>
      </c>
      <c r="C2981" s="32" t="s">
        <v>2461</v>
      </c>
      <c r="D2981" s="32" t="s">
        <v>114</v>
      </c>
      <c r="E2981" s="32" t="s">
        <v>169</v>
      </c>
      <c r="F2981" s="32" t="n">
        <v>7447432320</v>
      </c>
      <c r="G2981" s="32" t="s">
        <v>80</v>
      </c>
      <c r="H2981" s="32" t="s">
        <v>22</v>
      </c>
      <c r="I2981" s="32" t="s">
        <v>98</v>
      </c>
      <c r="J2981" s="32" t="s">
        <v>99</v>
      </c>
      <c r="K2981" s="32" t="s">
        <v>63</v>
      </c>
    </row>
    <row r="2982" customFormat="false" ht="13.5" hidden="false" customHeight="true" outlineLevel="0" collapsed="false">
      <c r="A2982" s="32" t="n">
        <v>5231</v>
      </c>
      <c r="B2982" s="32" t="s">
        <v>2460</v>
      </c>
      <c r="C2982" s="32" t="s">
        <v>2461</v>
      </c>
      <c r="D2982" s="32" t="s">
        <v>114</v>
      </c>
      <c r="E2982" s="32" t="s">
        <v>169</v>
      </c>
      <c r="F2982" s="32" t="n">
        <v>7447432320</v>
      </c>
      <c r="G2982" s="32" t="s">
        <v>80</v>
      </c>
      <c r="H2982" s="32" t="s">
        <v>22</v>
      </c>
      <c r="I2982" s="32" t="s">
        <v>172</v>
      </c>
      <c r="J2982" s="32" t="s">
        <v>152</v>
      </c>
      <c r="K2982" s="32" t="s">
        <v>63</v>
      </c>
    </row>
    <row r="2983" customFormat="false" ht="13.5" hidden="false" customHeight="true" outlineLevel="0" collapsed="false">
      <c r="A2983" s="32" t="n">
        <v>5232</v>
      </c>
      <c r="B2983" s="32" t="s">
        <v>2462</v>
      </c>
      <c r="C2983" s="32" t="s">
        <v>2463</v>
      </c>
      <c r="D2983" s="32" t="s">
        <v>59</v>
      </c>
      <c r="E2983" s="32" t="s">
        <v>107</v>
      </c>
      <c r="F2983" s="32" t="n">
        <v>8600981950</v>
      </c>
      <c r="G2983" s="32" t="s">
        <v>69</v>
      </c>
      <c r="H2983" s="32" t="s">
        <v>21</v>
      </c>
      <c r="I2983" s="32" t="s">
        <v>95</v>
      </c>
      <c r="J2983" s="32" t="s">
        <v>96</v>
      </c>
      <c r="K2983" s="32" t="s">
        <v>63</v>
      </c>
    </row>
    <row r="2984" customFormat="false" ht="13.5" hidden="false" customHeight="true" outlineLevel="0" collapsed="false">
      <c r="A2984" s="32" t="n">
        <v>5233</v>
      </c>
      <c r="B2984" s="32" t="s">
        <v>2464</v>
      </c>
      <c r="C2984" s="32" t="s">
        <v>2465</v>
      </c>
      <c r="D2984" s="32" t="s">
        <v>59</v>
      </c>
      <c r="E2984" s="32" t="s">
        <v>143</v>
      </c>
      <c r="F2984" s="33" t="n">
        <v>919966000000</v>
      </c>
      <c r="G2984" s="32" t="s">
        <v>61</v>
      </c>
      <c r="H2984" s="32" t="s">
        <v>21</v>
      </c>
      <c r="I2984" s="32" t="s">
        <v>385</v>
      </c>
      <c r="J2984" s="32" t="s">
        <v>71</v>
      </c>
      <c r="K2984" s="32" t="s">
        <v>63</v>
      </c>
    </row>
    <row r="2985" customFormat="false" ht="13.5" hidden="false" customHeight="true" outlineLevel="0" collapsed="false">
      <c r="A2985" s="32" t="n">
        <v>5234</v>
      </c>
      <c r="B2985" s="32" t="s">
        <v>2464</v>
      </c>
      <c r="C2985" s="32" t="s">
        <v>2465</v>
      </c>
      <c r="D2985" s="32" t="s">
        <v>59</v>
      </c>
      <c r="E2985" s="32" t="s">
        <v>143</v>
      </c>
      <c r="F2985" s="33" t="n">
        <v>919966000000</v>
      </c>
      <c r="G2985" s="32" t="s">
        <v>61</v>
      </c>
      <c r="H2985" s="32" t="s">
        <v>21</v>
      </c>
      <c r="I2985" s="32" t="s">
        <v>280</v>
      </c>
      <c r="J2985" s="32" t="s">
        <v>76</v>
      </c>
      <c r="K2985" s="32" t="s">
        <v>63</v>
      </c>
    </row>
    <row r="2986" customFormat="false" ht="13.5" hidden="false" customHeight="true" outlineLevel="0" collapsed="false">
      <c r="A2986" s="32" t="n">
        <v>5235</v>
      </c>
      <c r="B2986" s="32" t="s">
        <v>2464</v>
      </c>
      <c r="C2986" s="32" t="s">
        <v>2465</v>
      </c>
      <c r="D2986" s="32" t="s">
        <v>59</v>
      </c>
      <c r="E2986" s="32" t="s">
        <v>143</v>
      </c>
      <c r="F2986" s="33" t="n">
        <v>919966000000</v>
      </c>
      <c r="G2986" s="32" t="s">
        <v>61</v>
      </c>
      <c r="H2986" s="32" t="s">
        <v>21</v>
      </c>
      <c r="I2986" s="32" t="s">
        <v>133</v>
      </c>
      <c r="J2986" s="32" t="s">
        <v>134</v>
      </c>
      <c r="K2986" s="32" t="s">
        <v>63</v>
      </c>
    </row>
    <row r="2987" customFormat="false" ht="13.5" hidden="false" customHeight="true" outlineLevel="0" collapsed="false">
      <c r="A2987" s="32" t="n">
        <v>5236</v>
      </c>
      <c r="B2987" s="32" t="s">
        <v>2466</v>
      </c>
      <c r="C2987" s="32" t="s">
        <v>2467</v>
      </c>
      <c r="D2987" s="32" t="s">
        <v>114</v>
      </c>
      <c r="E2987" s="32" t="n">
        <v>0</v>
      </c>
      <c r="F2987" s="32" t="n">
        <v>0</v>
      </c>
      <c r="G2987" s="32" t="s">
        <v>80</v>
      </c>
      <c r="H2987" s="32" t="s">
        <v>22</v>
      </c>
      <c r="I2987" s="32" t="s">
        <v>2468</v>
      </c>
      <c r="J2987" s="32" t="s">
        <v>228</v>
      </c>
      <c r="K2987" s="32" t="s">
        <v>63</v>
      </c>
    </row>
    <row r="2988" customFormat="false" ht="13.5" hidden="false" customHeight="true" outlineLevel="0" collapsed="false">
      <c r="A2988" s="32" t="n">
        <v>5237</v>
      </c>
      <c r="B2988" s="32" t="s">
        <v>2466</v>
      </c>
      <c r="C2988" s="32" t="s">
        <v>2469</v>
      </c>
      <c r="D2988" s="32" t="s">
        <v>114</v>
      </c>
      <c r="E2988" s="32" t="n">
        <v>0</v>
      </c>
      <c r="F2988" s="32" t="n">
        <v>9441344682</v>
      </c>
      <c r="G2988" s="32" t="s">
        <v>80</v>
      </c>
      <c r="H2988" s="32" t="s">
        <v>22</v>
      </c>
      <c r="I2988" s="32" t="s">
        <v>185</v>
      </c>
      <c r="J2988" s="32" t="s">
        <v>186</v>
      </c>
      <c r="K2988" s="32" t="s">
        <v>63</v>
      </c>
    </row>
    <row r="2989" customFormat="false" ht="13.5" hidden="false" customHeight="true" outlineLevel="0" collapsed="false">
      <c r="A2989" s="32" t="n">
        <v>5238</v>
      </c>
      <c r="B2989" s="32" t="s">
        <v>2466</v>
      </c>
      <c r="C2989" s="32" t="s">
        <v>2469</v>
      </c>
      <c r="D2989" s="32" t="s">
        <v>114</v>
      </c>
      <c r="E2989" s="32" t="n">
        <v>0</v>
      </c>
      <c r="F2989" s="32" t="n">
        <v>9441344682</v>
      </c>
      <c r="G2989" s="32" t="s">
        <v>80</v>
      </c>
      <c r="H2989" s="32" t="s">
        <v>22</v>
      </c>
      <c r="I2989" s="32" t="s">
        <v>172</v>
      </c>
      <c r="J2989" s="32" t="s">
        <v>152</v>
      </c>
      <c r="K2989" s="32" t="s">
        <v>63</v>
      </c>
    </row>
    <row r="2990" customFormat="false" ht="13.5" hidden="false" customHeight="true" outlineLevel="0" collapsed="false">
      <c r="A2990" s="32" t="n">
        <v>5239</v>
      </c>
      <c r="B2990" s="32" t="s">
        <v>2466</v>
      </c>
      <c r="C2990" s="32" t="s">
        <v>2469</v>
      </c>
      <c r="D2990" s="32" t="s">
        <v>114</v>
      </c>
      <c r="E2990" s="32" t="n">
        <v>0</v>
      </c>
      <c r="F2990" s="32" t="n">
        <v>0</v>
      </c>
      <c r="G2990" s="32" t="s">
        <v>80</v>
      </c>
      <c r="H2990" s="32" t="s">
        <v>22</v>
      </c>
      <c r="I2990" s="32" t="s">
        <v>226</v>
      </c>
      <c r="J2990" s="32" t="s">
        <v>110</v>
      </c>
      <c r="K2990" s="32" t="s">
        <v>63</v>
      </c>
    </row>
    <row r="2991" customFormat="false" ht="13.5" hidden="false" customHeight="true" outlineLevel="0" collapsed="false">
      <c r="A2991" s="32" t="n">
        <v>5240</v>
      </c>
      <c r="B2991" s="32" t="s">
        <v>2466</v>
      </c>
      <c r="C2991" s="32" t="s">
        <v>2469</v>
      </c>
      <c r="D2991" s="32" t="s">
        <v>114</v>
      </c>
      <c r="E2991" s="32" t="n">
        <v>0</v>
      </c>
      <c r="F2991" s="32" t="n">
        <v>9441344682</v>
      </c>
      <c r="G2991" s="32" t="s">
        <v>80</v>
      </c>
      <c r="H2991" s="32" t="s">
        <v>22</v>
      </c>
      <c r="I2991" s="32" t="s">
        <v>227</v>
      </c>
      <c r="J2991" s="32" t="s">
        <v>228</v>
      </c>
      <c r="K2991" s="32" t="s">
        <v>63</v>
      </c>
    </row>
    <row r="2992" customFormat="false" ht="13.5" hidden="false" customHeight="true" outlineLevel="0" collapsed="false">
      <c r="A2992" s="32" t="n">
        <v>5241</v>
      </c>
      <c r="B2992" s="32" t="s">
        <v>2466</v>
      </c>
      <c r="C2992" s="32" t="s">
        <v>2469</v>
      </c>
      <c r="D2992" s="32" t="s">
        <v>114</v>
      </c>
      <c r="E2992" s="32" t="n">
        <v>0</v>
      </c>
      <c r="F2992" s="32" t="n">
        <v>9441344682</v>
      </c>
      <c r="G2992" s="32" t="s">
        <v>80</v>
      </c>
      <c r="H2992" s="32" t="s">
        <v>22</v>
      </c>
      <c r="I2992" s="32" t="s">
        <v>93</v>
      </c>
      <c r="J2992" s="32" t="s">
        <v>85</v>
      </c>
      <c r="K2992" s="32" t="s">
        <v>63</v>
      </c>
    </row>
    <row r="2993" customFormat="false" ht="13.5" hidden="false" customHeight="true" outlineLevel="0" collapsed="false">
      <c r="A2993" s="32" t="n">
        <v>5242</v>
      </c>
      <c r="B2993" s="32" t="s">
        <v>2470</v>
      </c>
      <c r="C2993" s="32" t="s">
        <v>2471</v>
      </c>
      <c r="D2993" s="32" t="s">
        <v>59</v>
      </c>
      <c r="E2993" s="32" t="s">
        <v>107</v>
      </c>
      <c r="F2993" s="32" t="n">
        <v>9985929982</v>
      </c>
      <c r="G2993" s="32" t="s">
        <v>80</v>
      </c>
      <c r="H2993" s="32" t="s">
        <v>21</v>
      </c>
      <c r="I2993" s="32" t="s">
        <v>27</v>
      </c>
      <c r="J2993" s="32" t="s">
        <v>13</v>
      </c>
      <c r="K2993" s="32" t="s">
        <v>63</v>
      </c>
    </row>
    <row r="2994" customFormat="false" ht="13.5" hidden="false" customHeight="true" outlineLevel="0" collapsed="false">
      <c r="A2994" s="32" t="n">
        <v>5243</v>
      </c>
      <c r="B2994" s="32" t="s">
        <v>2470</v>
      </c>
      <c r="C2994" s="32" t="s">
        <v>2471</v>
      </c>
      <c r="D2994" s="32" t="s">
        <v>59</v>
      </c>
      <c r="E2994" s="32" t="s">
        <v>107</v>
      </c>
      <c r="F2994" s="32" t="n">
        <v>9985929982</v>
      </c>
      <c r="G2994" s="32" t="s">
        <v>80</v>
      </c>
      <c r="H2994" s="32" t="s">
        <v>21</v>
      </c>
      <c r="I2994" s="32" t="s">
        <v>30</v>
      </c>
      <c r="J2994" s="32" t="s">
        <v>203</v>
      </c>
      <c r="K2994" s="32" t="s">
        <v>63</v>
      </c>
    </row>
    <row r="2995" customFormat="false" ht="13.5" hidden="false" customHeight="true" outlineLevel="0" collapsed="false">
      <c r="A2995" s="32" t="n">
        <v>5244</v>
      </c>
      <c r="B2995" s="32" t="s">
        <v>2470</v>
      </c>
      <c r="C2995" s="32" t="s">
        <v>2471</v>
      </c>
      <c r="D2995" s="32" t="s">
        <v>59</v>
      </c>
      <c r="E2995" s="32" t="s">
        <v>107</v>
      </c>
      <c r="F2995" s="32" t="n">
        <v>9985929982</v>
      </c>
      <c r="G2995" s="32" t="s">
        <v>80</v>
      </c>
      <c r="H2995" s="32" t="s">
        <v>21</v>
      </c>
      <c r="I2995" s="32" t="s">
        <v>151</v>
      </c>
      <c r="J2995" s="32" t="s">
        <v>152</v>
      </c>
      <c r="K2995" s="32" t="s">
        <v>63</v>
      </c>
    </row>
    <row r="2996" customFormat="false" ht="13.5" hidden="false" customHeight="true" outlineLevel="0" collapsed="false">
      <c r="A2996" s="32" t="n">
        <v>5245</v>
      </c>
      <c r="B2996" s="32" t="s">
        <v>2472</v>
      </c>
      <c r="C2996" s="32" t="s">
        <v>2473</v>
      </c>
      <c r="D2996" s="32" t="s">
        <v>59</v>
      </c>
      <c r="E2996" s="32" t="s">
        <v>107</v>
      </c>
      <c r="F2996" s="32" t="n">
        <v>7508935419</v>
      </c>
      <c r="G2996" s="32" t="s">
        <v>69</v>
      </c>
      <c r="H2996" s="32" t="s">
        <v>21</v>
      </c>
      <c r="I2996" s="32" t="s">
        <v>133</v>
      </c>
      <c r="J2996" s="32" t="s">
        <v>134</v>
      </c>
      <c r="K2996" s="32" t="s">
        <v>63</v>
      </c>
    </row>
    <row r="2997" customFormat="false" ht="13.5" hidden="false" customHeight="true" outlineLevel="0" collapsed="false">
      <c r="A2997" s="32" t="n">
        <v>5246</v>
      </c>
      <c r="B2997" s="32" t="s">
        <v>2472</v>
      </c>
      <c r="C2997" s="32" t="s">
        <v>2473</v>
      </c>
      <c r="D2997" s="32" t="s">
        <v>59</v>
      </c>
      <c r="E2997" s="32" t="s">
        <v>107</v>
      </c>
      <c r="F2997" s="32" t="n">
        <v>7508935419</v>
      </c>
      <c r="G2997" s="32" t="s">
        <v>69</v>
      </c>
      <c r="H2997" s="32" t="s">
        <v>21</v>
      </c>
      <c r="I2997" s="32" t="s">
        <v>85</v>
      </c>
      <c r="J2997" s="32" t="s">
        <v>85</v>
      </c>
      <c r="K2997" s="32" t="s">
        <v>63</v>
      </c>
    </row>
    <row r="2998" customFormat="false" ht="13.5" hidden="false" customHeight="true" outlineLevel="0" collapsed="false">
      <c r="A2998" s="32" t="n">
        <v>5247</v>
      </c>
      <c r="B2998" s="32" t="s">
        <v>2472</v>
      </c>
      <c r="C2998" s="32" t="s">
        <v>2473</v>
      </c>
      <c r="D2998" s="32" t="s">
        <v>59</v>
      </c>
      <c r="E2998" s="32" t="s">
        <v>107</v>
      </c>
      <c r="F2998" s="32" t="n">
        <v>7508935419</v>
      </c>
      <c r="G2998" s="32" t="s">
        <v>69</v>
      </c>
      <c r="H2998" s="32" t="s">
        <v>21</v>
      </c>
      <c r="I2998" s="32" t="s">
        <v>76</v>
      </c>
      <c r="J2998" s="32" t="s">
        <v>76</v>
      </c>
      <c r="K2998" s="32" t="s">
        <v>63</v>
      </c>
    </row>
    <row r="2999" customFormat="false" ht="13.5" hidden="false" customHeight="true" outlineLevel="0" collapsed="false">
      <c r="A2999" s="32" t="n">
        <v>5248</v>
      </c>
      <c r="B2999" s="32" t="s">
        <v>2474</v>
      </c>
      <c r="C2999" s="32" t="s">
        <v>2475</v>
      </c>
      <c r="D2999" s="32" t="s">
        <v>59</v>
      </c>
      <c r="E2999" s="32" t="s">
        <v>107</v>
      </c>
      <c r="F2999" s="33" t="n">
        <v>919942000000</v>
      </c>
      <c r="G2999" s="32" t="s">
        <v>0</v>
      </c>
      <c r="H2999" s="32" t="s">
        <v>21</v>
      </c>
      <c r="I2999" s="32" t="s">
        <v>28</v>
      </c>
      <c r="J2999" s="32" t="s">
        <v>82</v>
      </c>
      <c r="K2999" s="32" t="s">
        <v>63</v>
      </c>
    </row>
    <row r="3000" customFormat="false" ht="13.5" hidden="false" customHeight="true" outlineLevel="0" collapsed="false">
      <c r="A3000" s="32" t="n">
        <v>5249</v>
      </c>
      <c r="B3000" s="32" t="s">
        <v>2474</v>
      </c>
      <c r="C3000" s="32" t="s">
        <v>2476</v>
      </c>
      <c r="D3000" s="32" t="s">
        <v>59</v>
      </c>
      <c r="E3000" s="32" t="s">
        <v>107</v>
      </c>
      <c r="F3000" s="32" t="n">
        <v>9941913265</v>
      </c>
      <c r="G3000" s="32" t="s">
        <v>0</v>
      </c>
      <c r="H3000" s="32" t="s">
        <v>21</v>
      </c>
      <c r="I3000" s="32" t="s">
        <v>145</v>
      </c>
      <c r="J3000" s="32" t="s">
        <v>117</v>
      </c>
      <c r="K3000" s="32" t="s">
        <v>63</v>
      </c>
    </row>
    <row r="3001" customFormat="false" ht="13.5" hidden="false" customHeight="true" outlineLevel="0" collapsed="false">
      <c r="A3001" s="32" t="n">
        <v>5250</v>
      </c>
      <c r="B3001" s="32" t="s">
        <v>2474</v>
      </c>
      <c r="C3001" s="32" t="s">
        <v>2475</v>
      </c>
      <c r="D3001" s="32" t="s">
        <v>59</v>
      </c>
      <c r="E3001" s="32" t="s">
        <v>107</v>
      </c>
      <c r="F3001" s="33" t="n">
        <v>919942000000</v>
      </c>
      <c r="G3001" s="32" t="s">
        <v>0</v>
      </c>
      <c r="H3001" s="32" t="s">
        <v>21</v>
      </c>
      <c r="I3001" s="32" t="s">
        <v>133</v>
      </c>
      <c r="J3001" s="32" t="s">
        <v>134</v>
      </c>
      <c r="K3001" s="32" t="s">
        <v>63</v>
      </c>
    </row>
    <row r="3002" customFormat="false" ht="13.5" hidden="false" customHeight="true" outlineLevel="0" collapsed="false">
      <c r="A3002" s="32" t="n">
        <v>5251</v>
      </c>
      <c r="B3002" s="32" t="s">
        <v>2477</v>
      </c>
      <c r="C3002" s="32" t="s">
        <v>2478</v>
      </c>
      <c r="D3002" s="32" t="s">
        <v>59</v>
      </c>
      <c r="E3002" s="32" t="s">
        <v>107</v>
      </c>
      <c r="F3002" s="32" t="n">
        <v>7709450553</v>
      </c>
      <c r="G3002" s="32" t="s">
        <v>69</v>
      </c>
      <c r="H3002" s="32" t="s">
        <v>21</v>
      </c>
      <c r="I3002" s="32" t="s">
        <v>95</v>
      </c>
      <c r="J3002" s="32" t="s">
        <v>96</v>
      </c>
      <c r="K3002" s="32" t="s">
        <v>63</v>
      </c>
    </row>
    <row r="3003" customFormat="false" ht="13.5" hidden="false" customHeight="true" outlineLevel="0" collapsed="false">
      <c r="A3003" s="32" t="n">
        <v>5252</v>
      </c>
      <c r="B3003" s="32" t="s">
        <v>2479</v>
      </c>
      <c r="C3003" s="32" t="s">
        <v>2480</v>
      </c>
      <c r="D3003" s="32" t="s">
        <v>114</v>
      </c>
      <c r="E3003" s="32" t="s">
        <v>115</v>
      </c>
      <c r="F3003" s="32" t="n">
        <v>9989934919</v>
      </c>
      <c r="G3003" s="32" t="s">
        <v>80</v>
      </c>
      <c r="H3003" s="32" t="s">
        <v>22</v>
      </c>
      <c r="I3003" s="32" t="s">
        <v>121</v>
      </c>
      <c r="J3003" s="32" t="s">
        <v>110</v>
      </c>
      <c r="K3003" s="32" t="s">
        <v>63</v>
      </c>
    </row>
    <row r="3004" customFormat="false" ht="13.5" hidden="false" customHeight="true" outlineLevel="0" collapsed="false">
      <c r="A3004" s="32" t="n">
        <v>5253</v>
      </c>
      <c r="B3004" s="32" t="s">
        <v>2479</v>
      </c>
      <c r="C3004" s="32" t="s">
        <v>2480</v>
      </c>
      <c r="D3004" s="32" t="s">
        <v>114</v>
      </c>
      <c r="E3004" s="32" t="s">
        <v>115</v>
      </c>
      <c r="F3004" s="32" t="n">
        <v>9989934919</v>
      </c>
      <c r="G3004" s="32" t="s">
        <v>80</v>
      </c>
      <c r="H3004" s="32" t="s">
        <v>22</v>
      </c>
      <c r="I3004" s="32" t="s">
        <v>116</v>
      </c>
      <c r="J3004" s="32" t="s">
        <v>117</v>
      </c>
      <c r="K3004" s="32" t="s">
        <v>63</v>
      </c>
    </row>
    <row r="3005" customFormat="false" ht="13.5" hidden="false" customHeight="true" outlineLevel="0" collapsed="false">
      <c r="A3005" s="32" t="n">
        <v>5254</v>
      </c>
      <c r="B3005" s="32" t="s">
        <v>2479</v>
      </c>
      <c r="C3005" s="32" t="s">
        <v>2480</v>
      </c>
      <c r="D3005" s="32" t="s">
        <v>114</v>
      </c>
      <c r="E3005" s="32" t="s">
        <v>115</v>
      </c>
      <c r="F3005" s="32" t="n">
        <v>9989934919</v>
      </c>
      <c r="G3005" s="32" t="s">
        <v>80</v>
      </c>
      <c r="H3005" s="32" t="s">
        <v>22</v>
      </c>
      <c r="I3005" s="32" t="s">
        <v>120</v>
      </c>
      <c r="J3005" s="32" t="s">
        <v>110</v>
      </c>
      <c r="K3005" s="32" t="s">
        <v>63</v>
      </c>
    </row>
    <row r="3006" customFormat="false" ht="13.5" hidden="false" customHeight="true" outlineLevel="0" collapsed="false">
      <c r="A3006" s="32" t="n">
        <v>5255</v>
      </c>
      <c r="B3006" s="32" t="s">
        <v>2479</v>
      </c>
      <c r="C3006" s="32" t="s">
        <v>2480</v>
      </c>
      <c r="D3006" s="32" t="s">
        <v>114</v>
      </c>
      <c r="E3006" s="32" t="s">
        <v>115</v>
      </c>
      <c r="F3006" s="32" t="n">
        <v>9989934919</v>
      </c>
      <c r="G3006" s="32" t="s">
        <v>80</v>
      </c>
      <c r="H3006" s="32" t="s">
        <v>22</v>
      </c>
      <c r="I3006" s="32" t="s">
        <v>145</v>
      </c>
      <c r="J3006" s="32" t="s">
        <v>117</v>
      </c>
      <c r="K3006" s="32" t="s">
        <v>63</v>
      </c>
    </row>
    <row r="3007" customFormat="false" ht="13.5" hidden="false" customHeight="true" outlineLevel="0" collapsed="false">
      <c r="A3007" s="32" t="n">
        <v>5256</v>
      </c>
      <c r="B3007" s="32" t="s">
        <v>2479</v>
      </c>
      <c r="C3007" s="32" t="s">
        <v>2480</v>
      </c>
      <c r="D3007" s="32" t="s">
        <v>114</v>
      </c>
      <c r="E3007" s="32" t="s">
        <v>115</v>
      </c>
      <c r="F3007" s="32" t="n">
        <v>9989934919</v>
      </c>
      <c r="G3007" s="32" t="s">
        <v>80</v>
      </c>
      <c r="H3007" s="32" t="s">
        <v>22</v>
      </c>
      <c r="I3007" s="32" t="s">
        <v>93</v>
      </c>
      <c r="J3007" s="32" t="s">
        <v>85</v>
      </c>
      <c r="K3007" s="32" t="s">
        <v>63</v>
      </c>
    </row>
    <row r="3008" customFormat="false" ht="13.5" hidden="false" customHeight="true" outlineLevel="0" collapsed="false">
      <c r="A3008" s="32" t="n">
        <v>5257</v>
      </c>
      <c r="B3008" s="32" t="s">
        <v>2481</v>
      </c>
      <c r="C3008" s="32" t="s">
        <v>2482</v>
      </c>
      <c r="D3008" s="32" t="s">
        <v>59</v>
      </c>
      <c r="E3008" s="32" t="s">
        <v>143</v>
      </c>
      <c r="F3008" s="32" t="n">
        <v>9962337967</v>
      </c>
      <c r="G3008" s="32" t="s">
        <v>0</v>
      </c>
      <c r="H3008" s="32" t="s">
        <v>21</v>
      </c>
      <c r="I3008" s="32" t="s">
        <v>14</v>
      </c>
      <c r="J3008" s="32" t="s">
        <v>66</v>
      </c>
      <c r="K3008" s="32" t="s">
        <v>63</v>
      </c>
    </row>
    <row r="3009" customFormat="false" ht="13.5" hidden="false" customHeight="true" outlineLevel="0" collapsed="false">
      <c r="A3009" s="32" t="n">
        <v>5258</v>
      </c>
      <c r="B3009" s="32" t="s">
        <v>2481</v>
      </c>
      <c r="C3009" s="32" t="s">
        <v>2482</v>
      </c>
      <c r="D3009" s="32" t="s">
        <v>59</v>
      </c>
      <c r="E3009" s="32" t="s">
        <v>143</v>
      </c>
      <c r="F3009" s="32" t="n">
        <v>9962337967</v>
      </c>
      <c r="G3009" s="32" t="s">
        <v>0</v>
      </c>
      <c r="H3009" s="32" t="s">
        <v>21</v>
      </c>
      <c r="I3009" s="32" t="s">
        <v>463</v>
      </c>
      <c r="J3009" s="32" t="s">
        <v>66</v>
      </c>
      <c r="K3009" s="32" t="s">
        <v>63</v>
      </c>
    </row>
    <row r="3010" customFormat="false" ht="13.5" hidden="false" customHeight="true" outlineLevel="0" collapsed="false">
      <c r="A3010" s="32" t="n">
        <v>5259</v>
      </c>
      <c r="B3010" s="32" t="s">
        <v>2481</v>
      </c>
      <c r="C3010" s="32" t="s">
        <v>2483</v>
      </c>
      <c r="D3010" s="32" t="s">
        <v>59</v>
      </c>
      <c r="E3010" s="32" t="s">
        <v>143</v>
      </c>
      <c r="F3010" s="32" t="n">
        <v>9962337967</v>
      </c>
      <c r="G3010" s="32" t="s">
        <v>0</v>
      </c>
      <c r="H3010" s="32" t="s">
        <v>21</v>
      </c>
      <c r="I3010" s="32" t="s">
        <v>29</v>
      </c>
      <c r="J3010" s="32" t="s">
        <v>62</v>
      </c>
      <c r="K3010" s="32" t="s">
        <v>63</v>
      </c>
    </row>
    <row r="3011" customFormat="false" ht="13.5" hidden="false" customHeight="true" outlineLevel="0" collapsed="false">
      <c r="A3011" s="32" t="n">
        <v>5260</v>
      </c>
      <c r="B3011" s="32" t="s">
        <v>2484</v>
      </c>
      <c r="C3011" s="32" t="s">
        <v>2485</v>
      </c>
      <c r="D3011" s="32" t="s">
        <v>59</v>
      </c>
      <c r="E3011" s="32" t="s">
        <v>143</v>
      </c>
      <c r="F3011" s="32" t="n">
        <v>8108098246</v>
      </c>
      <c r="G3011" s="32" t="s">
        <v>104</v>
      </c>
      <c r="H3011" s="32" t="s">
        <v>21</v>
      </c>
      <c r="I3011" s="32" t="s">
        <v>150</v>
      </c>
      <c r="J3011" s="32" t="s">
        <v>73</v>
      </c>
      <c r="K3011" s="32" t="s">
        <v>63</v>
      </c>
    </row>
    <row r="3012" customFormat="false" ht="13.5" hidden="false" customHeight="true" outlineLevel="0" collapsed="false">
      <c r="A3012" s="32" t="n">
        <v>5261</v>
      </c>
      <c r="B3012" s="32" t="s">
        <v>2484</v>
      </c>
      <c r="C3012" s="32" t="s">
        <v>2485</v>
      </c>
      <c r="D3012" s="32" t="s">
        <v>59</v>
      </c>
      <c r="E3012" s="32" t="s">
        <v>143</v>
      </c>
      <c r="F3012" s="32" t="n">
        <v>8108098246</v>
      </c>
      <c r="G3012" s="32" t="s">
        <v>104</v>
      </c>
      <c r="H3012" s="32" t="s">
        <v>21</v>
      </c>
      <c r="I3012" s="32" t="s">
        <v>1632</v>
      </c>
      <c r="J3012" s="32" t="s">
        <v>388</v>
      </c>
      <c r="K3012" s="32" t="s">
        <v>63</v>
      </c>
    </row>
    <row r="3013" customFormat="false" ht="13.5" hidden="false" customHeight="true" outlineLevel="0" collapsed="false">
      <c r="A3013" s="32" t="n">
        <v>5262</v>
      </c>
      <c r="B3013" s="32" t="s">
        <v>2484</v>
      </c>
      <c r="C3013" s="32" t="s">
        <v>2485</v>
      </c>
      <c r="D3013" s="32" t="s">
        <v>59</v>
      </c>
      <c r="E3013" s="32" t="s">
        <v>143</v>
      </c>
      <c r="F3013" s="32" t="n">
        <v>8108098246</v>
      </c>
      <c r="G3013" s="32" t="s">
        <v>104</v>
      </c>
      <c r="H3013" s="32" t="s">
        <v>21</v>
      </c>
      <c r="I3013" s="32" t="s">
        <v>149</v>
      </c>
      <c r="J3013" s="32" t="s">
        <v>73</v>
      </c>
      <c r="K3013" s="32" t="s">
        <v>63</v>
      </c>
    </row>
    <row r="3014" customFormat="false" ht="13.5" hidden="false" customHeight="true" outlineLevel="0" collapsed="false">
      <c r="A3014" s="32" t="n">
        <v>5263</v>
      </c>
      <c r="B3014" s="32" t="s">
        <v>2484</v>
      </c>
      <c r="C3014" s="32" t="s">
        <v>2485</v>
      </c>
      <c r="D3014" s="32" t="s">
        <v>59</v>
      </c>
      <c r="E3014" s="32" t="s">
        <v>143</v>
      </c>
      <c r="F3014" s="32" t="n">
        <v>8108098246</v>
      </c>
      <c r="G3014" s="32" t="s">
        <v>104</v>
      </c>
      <c r="H3014" s="32" t="s">
        <v>21</v>
      </c>
      <c r="I3014" s="32" t="s">
        <v>76</v>
      </c>
      <c r="J3014" s="32" t="s">
        <v>76</v>
      </c>
      <c r="K3014" s="32" t="s">
        <v>63</v>
      </c>
    </row>
    <row r="3015" customFormat="false" ht="13.5" hidden="false" customHeight="true" outlineLevel="0" collapsed="false">
      <c r="A3015" s="32" t="n">
        <v>5264</v>
      </c>
      <c r="B3015" s="32" t="s">
        <v>2484</v>
      </c>
      <c r="C3015" s="32" t="s">
        <v>2485</v>
      </c>
      <c r="D3015" s="32" t="s">
        <v>59</v>
      </c>
      <c r="E3015" s="32" t="s">
        <v>143</v>
      </c>
      <c r="F3015" s="32" t="n">
        <v>8108098246</v>
      </c>
      <c r="G3015" s="32" t="s">
        <v>104</v>
      </c>
      <c r="H3015" s="32" t="s">
        <v>21</v>
      </c>
      <c r="I3015" s="32" t="s">
        <v>16</v>
      </c>
      <c r="J3015" s="32" t="s">
        <v>73</v>
      </c>
      <c r="K3015" s="32" t="s">
        <v>63</v>
      </c>
    </row>
    <row r="3016" customFormat="false" ht="13.5" hidden="false" customHeight="true" outlineLevel="0" collapsed="false">
      <c r="A3016" s="32" t="n">
        <v>5265</v>
      </c>
      <c r="B3016" s="32" t="s">
        <v>2484</v>
      </c>
      <c r="C3016" s="32" t="s">
        <v>2485</v>
      </c>
      <c r="D3016" s="32" t="s">
        <v>59</v>
      </c>
      <c r="E3016" s="32" t="s">
        <v>143</v>
      </c>
      <c r="F3016" s="32" t="n">
        <v>8108098246</v>
      </c>
      <c r="G3016" s="32" t="s">
        <v>104</v>
      </c>
      <c r="H3016" s="32" t="s">
        <v>21</v>
      </c>
      <c r="I3016" s="32" t="s">
        <v>75</v>
      </c>
      <c r="J3016" s="32" t="s">
        <v>76</v>
      </c>
      <c r="K3016" s="32" t="s">
        <v>63</v>
      </c>
    </row>
    <row r="3017" customFormat="false" ht="13.5" hidden="false" customHeight="true" outlineLevel="0" collapsed="false">
      <c r="A3017" s="32" t="n">
        <v>5266</v>
      </c>
      <c r="B3017" s="32" t="s">
        <v>2484</v>
      </c>
      <c r="C3017" s="32" t="s">
        <v>2485</v>
      </c>
      <c r="D3017" s="32" t="s">
        <v>59</v>
      </c>
      <c r="E3017" s="32" t="s">
        <v>143</v>
      </c>
      <c r="F3017" s="32" t="n">
        <v>8108098246</v>
      </c>
      <c r="G3017" s="32" t="s">
        <v>104</v>
      </c>
      <c r="H3017" s="32" t="s">
        <v>21</v>
      </c>
      <c r="I3017" s="32" t="s">
        <v>212</v>
      </c>
      <c r="J3017" s="32" t="s">
        <v>73</v>
      </c>
      <c r="K3017" s="32" t="s">
        <v>63</v>
      </c>
    </row>
    <row r="3018" customFormat="false" ht="13.5" hidden="false" customHeight="true" outlineLevel="0" collapsed="false">
      <c r="A3018" s="32" t="n">
        <v>5267</v>
      </c>
      <c r="B3018" s="32" t="s">
        <v>2486</v>
      </c>
      <c r="C3018" s="32" t="s">
        <v>2487</v>
      </c>
      <c r="D3018" s="32" t="s">
        <v>59</v>
      </c>
      <c r="E3018" s="32" t="s">
        <v>107</v>
      </c>
      <c r="F3018" s="32" t="n">
        <v>0</v>
      </c>
      <c r="G3018" s="32" t="s">
        <v>61</v>
      </c>
      <c r="H3018" s="32" t="s">
        <v>21</v>
      </c>
      <c r="I3018" s="32" t="s">
        <v>28</v>
      </c>
      <c r="J3018" s="32" t="s">
        <v>82</v>
      </c>
      <c r="K3018" s="32" t="s">
        <v>63</v>
      </c>
    </row>
    <row r="3019" customFormat="false" ht="13.5" hidden="false" customHeight="true" outlineLevel="0" collapsed="false">
      <c r="A3019" s="32" t="n">
        <v>5268</v>
      </c>
      <c r="B3019" s="32" t="s">
        <v>2486</v>
      </c>
      <c r="C3019" s="32" t="s">
        <v>2487</v>
      </c>
      <c r="D3019" s="32" t="s">
        <v>59</v>
      </c>
      <c r="E3019" s="32" t="s">
        <v>107</v>
      </c>
      <c r="F3019" s="32" t="n">
        <v>9611739843</v>
      </c>
      <c r="G3019" s="32" t="s">
        <v>61</v>
      </c>
      <c r="H3019" s="32" t="s">
        <v>21</v>
      </c>
      <c r="I3019" s="32" t="s">
        <v>131</v>
      </c>
      <c r="J3019" s="32" t="s">
        <v>132</v>
      </c>
      <c r="K3019" s="32" t="s">
        <v>63</v>
      </c>
    </row>
    <row r="3020" customFormat="false" ht="13.5" hidden="false" customHeight="true" outlineLevel="0" collapsed="false">
      <c r="A3020" s="32" t="n">
        <v>5269</v>
      </c>
      <c r="B3020" s="32" t="s">
        <v>2486</v>
      </c>
      <c r="C3020" s="32" t="s">
        <v>2487</v>
      </c>
      <c r="D3020" s="32" t="s">
        <v>59</v>
      </c>
      <c r="E3020" s="32" t="s">
        <v>107</v>
      </c>
      <c r="F3020" s="32" t="n">
        <v>0</v>
      </c>
      <c r="G3020" s="32" t="s">
        <v>61</v>
      </c>
      <c r="H3020" s="32" t="s">
        <v>21</v>
      </c>
      <c r="I3020" s="32" t="s">
        <v>93</v>
      </c>
      <c r="J3020" s="32" t="s">
        <v>85</v>
      </c>
      <c r="K3020" s="32" t="s">
        <v>63</v>
      </c>
    </row>
    <row r="3021" customFormat="false" ht="13.5" hidden="false" customHeight="true" outlineLevel="0" collapsed="false">
      <c r="A3021" s="32" t="n">
        <v>5270</v>
      </c>
      <c r="B3021" s="32" t="s">
        <v>2488</v>
      </c>
      <c r="C3021" s="32" t="s">
        <v>2489</v>
      </c>
      <c r="D3021" s="32" t="s">
        <v>331</v>
      </c>
      <c r="E3021" s="32" t="s">
        <v>502</v>
      </c>
      <c r="F3021" s="33" t="n">
        <v>919583000000</v>
      </c>
      <c r="G3021" s="32" t="s">
        <v>144</v>
      </c>
      <c r="H3021" s="32" t="s">
        <v>332</v>
      </c>
      <c r="I3021" s="32" t="s">
        <v>714</v>
      </c>
      <c r="J3021" s="32" t="s">
        <v>62</v>
      </c>
      <c r="K3021" s="32" t="s">
        <v>63</v>
      </c>
    </row>
    <row r="3022" customFormat="false" ht="13.5" hidden="false" customHeight="true" outlineLevel="0" collapsed="false">
      <c r="A3022" s="32" t="n">
        <v>5271</v>
      </c>
      <c r="B3022" s="32" t="s">
        <v>2488</v>
      </c>
      <c r="C3022" s="32" t="s">
        <v>2489</v>
      </c>
      <c r="D3022" s="32" t="s">
        <v>331</v>
      </c>
      <c r="E3022" s="32" t="s">
        <v>502</v>
      </c>
      <c r="F3022" s="33" t="n">
        <v>919583000000</v>
      </c>
      <c r="G3022" s="32" t="s">
        <v>144</v>
      </c>
      <c r="H3022" s="32" t="s">
        <v>332</v>
      </c>
      <c r="I3022" s="32" t="s">
        <v>64</v>
      </c>
      <c r="J3022" s="32" t="s">
        <v>62</v>
      </c>
      <c r="K3022" s="32" t="s">
        <v>63</v>
      </c>
    </row>
    <row r="3023" customFormat="false" ht="13.5" hidden="false" customHeight="true" outlineLevel="0" collapsed="false">
      <c r="A3023" s="32" t="n">
        <v>5272</v>
      </c>
      <c r="B3023" s="32" t="s">
        <v>2488</v>
      </c>
      <c r="C3023" s="32" t="s">
        <v>2489</v>
      </c>
      <c r="D3023" s="32" t="s">
        <v>331</v>
      </c>
      <c r="E3023" s="32" t="s">
        <v>502</v>
      </c>
      <c r="F3023" s="33" t="n">
        <v>919583000000</v>
      </c>
      <c r="G3023" s="32" t="s">
        <v>144</v>
      </c>
      <c r="H3023" s="32" t="s">
        <v>332</v>
      </c>
      <c r="I3023" s="32" t="s">
        <v>29</v>
      </c>
      <c r="J3023" s="32" t="s">
        <v>62</v>
      </c>
      <c r="K3023" s="32" t="s">
        <v>63</v>
      </c>
    </row>
    <row r="3024" customFormat="false" ht="13.5" hidden="false" customHeight="true" outlineLevel="0" collapsed="false">
      <c r="A3024" s="32" t="n">
        <v>5273</v>
      </c>
      <c r="B3024" s="32" t="s">
        <v>2488</v>
      </c>
      <c r="C3024" s="32" t="s">
        <v>2489</v>
      </c>
      <c r="D3024" s="32" t="s">
        <v>331</v>
      </c>
      <c r="E3024" s="32" t="s">
        <v>502</v>
      </c>
      <c r="F3024" s="33" t="n">
        <v>919583000000</v>
      </c>
      <c r="G3024" s="32" t="s">
        <v>144</v>
      </c>
      <c r="H3024" s="32" t="s">
        <v>332</v>
      </c>
      <c r="I3024" s="32" t="s">
        <v>14</v>
      </c>
      <c r="J3024" s="32" t="s">
        <v>66</v>
      </c>
      <c r="K3024" s="32" t="s">
        <v>63</v>
      </c>
    </row>
    <row r="3025" customFormat="false" ht="13.5" hidden="false" customHeight="true" outlineLevel="0" collapsed="false">
      <c r="A3025" s="32" t="n">
        <v>5274</v>
      </c>
      <c r="B3025" s="32" t="s">
        <v>2490</v>
      </c>
      <c r="C3025" s="32" t="s">
        <v>2491</v>
      </c>
      <c r="D3025" s="32" t="s">
        <v>114</v>
      </c>
      <c r="E3025" s="32" t="s">
        <v>268</v>
      </c>
      <c r="F3025" s="32" t="n">
        <v>9892694003</v>
      </c>
      <c r="G3025" s="32" t="s">
        <v>104</v>
      </c>
      <c r="H3025" s="32" t="s">
        <v>22</v>
      </c>
      <c r="I3025" s="32" t="s">
        <v>516</v>
      </c>
      <c r="J3025" s="32" t="s">
        <v>66</v>
      </c>
      <c r="K3025" s="32" t="s">
        <v>63</v>
      </c>
    </row>
    <row r="3026" customFormat="false" ht="13.5" hidden="false" customHeight="true" outlineLevel="0" collapsed="false">
      <c r="A3026" s="32" t="n">
        <v>5275</v>
      </c>
      <c r="B3026" s="32" t="s">
        <v>2490</v>
      </c>
      <c r="C3026" s="32" t="s">
        <v>2492</v>
      </c>
      <c r="D3026" s="32" t="s">
        <v>114</v>
      </c>
      <c r="E3026" s="32" t="s">
        <v>268</v>
      </c>
      <c r="F3026" s="32" t="n">
        <v>9892694003</v>
      </c>
      <c r="G3026" s="32" t="s">
        <v>104</v>
      </c>
      <c r="H3026" s="32" t="s">
        <v>22</v>
      </c>
      <c r="I3026" s="32" t="s">
        <v>156</v>
      </c>
      <c r="J3026" s="32" t="s">
        <v>62</v>
      </c>
      <c r="K3026" s="32" t="s">
        <v>63</v>
      </c>
    </row>
    <row r="3027" customFormat="false" ht="13.5" hidden="false" customHeight="true" outlineLevel="0" collapsed="false">
      <c r="A3027" s="32" t="n">
        <v>5276</v>
      </c>
      <c r="B3027" s="32" t="s">
        <v>2490</v>
      </c>
      <c r="C3027" s="32" t="s">
        <v>2491</v>
      </c>
      <c r="D3027" s="32" t="s">
        <v>114</v>
      </c>
      <c r="E3027" s="32" t="s">
        <v>268</v>
      </c>
      <c r="F3027" s="32" t="n">
        <v>9892694003</v>
      </c>
      <c r="G3027" s="32" t="s">
        <v>104</v>
      </c>
      <c r="H3027" s="32" t="s">
        <v>22</v>
      </c>
      <c r="I3027" s="32" t="s">
        <v>29</v>
      </c>
      <c r="J3027" s="32" t="s">
        <v>62</v>
      </c>
      <c r="K3027" s="32" t="s">
        <v>63</v>
      </c>
    </row>
    <row r="3028" customFormat="false" ht="13.5" hidden="false" customHeight="true" outlineLevel="0" collapsed="false">
      <c r="A3028" s="32" t="n">
        <v>5277</v>
      </c>
      <c r="B3028" s="32" t="s">
        <v>2490</v>
      </c>
      <c r="C3028" s="32" t="s">
        <v>2493</v>
      </c>
      <c r="D3028" s="32" t="s">
        <v>114</v>
      </c>
      <c r="E3028" s="32" t="s">
        <v>268</v>
      </c>
      <c r="F3028" s="32" t="n">
        <v>9892694003</v>
      </c>
      <c r="G3028" s="32" t="s">
        <v>104</v>
      </c>
      <c r="H3028" s="32" t="s">
        <v>22</v>
      </c>
      <c r="I3028" s="32" t="s">
        <v>14</v>
      </c>
      <c r="J3028" s="32" t="s">
        <v>66</v>
      </c>
      <c r="K3028" s="32" t="s">
        <v>63</v>
      </c>
    </row>
    <row r="3029" customFormat="false" ht="13.5" hidden="false" customHeight="true" outlineLevel="0" collapsed="false">
      <c r="A3029" s="32" t="n">
        <v>5278</v>
      </c>
      <c r="B3029" s="32" t="s">
        <v>2494</v>
      </c>
      <c r="C3029" s="32" t="s">
        <v>2495</v>
      </c>
      <c r="D3029" s="32" t="s">
        <v>114</v>
      </c>
      <c r="E3029" s="32" t="s">
        <v>115</v>
      </c>
      <c r="F3029" s="32" t="n">
        <v>9167902871</v>
      </c>
      <c r="G3029" s="32" t="s">
        <v>104</v>
      </c>
      <c r="H3029" s="32" t="s">
        <v>22</v>
      </c>
      <c r="I3029" s="32" t="s">
        <v>76</v>
      </c>
      <c r="J3029" s="32" t="s">
        <v>76</v>
      </c>
      <c r="K3029" s="32" t="s">
        <v>63</v>
      </c>
    </row>
    <row r="3030" customFormat="false" ht="13.5" hidden="false" customHeight="true" outlineLevel="0" collapsed="false">
      <c r="A3030" s="32" t="n">
        <v>5279</v>
      </c>
      <c r="B3030" s="32" t="s">
        <v>2494</v>
      </c>
      <c r="C3030" s="32" t="s">
        <v>2496</v>
      </c>
      <c r="D3030" s="32" t="s">
        <v>114</v>
      </c>
      <c r="E3030" s="32" t="s">
        <v>115</v>
      </c>
      <c r="F3030" s="32" t="n">
        <v>9167902871</v>
      </c>
      <c r="G3030" s="32" t="s">
        <v>104</v>
      </c>
      <c r="H3030" s="32" t="s">
        <v>22</v>
      </c>
      <c r="I3030" s="32" t="s">
        <v>171</v>
      </c>
      <c r="J3030" s="32" t="s">
        <v>152</v>
      </c>
      <c r="K3030" s="32" t="s">
        <v>63</v>
      </c>
    </row>
    <row r="3031" customFormat="false" ht="13.5" hidden="false" customHeight="true" outlineLevel="0" collapsed="false">
      <c r="A3031" s="32" t="n">
        <v>5280</v>
      </c>
      <c r="B3031" s="32" t="s">
        <v>2494</v>
      </c>
      <c r="C3031" s="32" t="s">
        <v>2496</v>
      </c>
      <c r="D3031" s="32" t="s">
        <v>114</v>
      </c>
      <c r="E3031" s="32" t="s">
        <v>115</v>
      </c>
      <c r="F3031" s="32" t="n">
        <v>9167902871</v>
      </c>
      <c r="G3031" s="32" t="s">
        <v>104</v>
      </c>
      <c r="H3031" s="32" t="s">
        <v>22</v>
      </c>
      <c r="I3031" s="32" t="s">
        <v>93</v>
      </c>
      <c r="J3031" s="32" t="s">
        <v>85</v>
      </c>
      <c r="K3031" s="32" t="s">
        <v>63</v>
      </c>
    </row>
    <row r="3032" customFormat="false" ht="13.5" hidden="false" customHeight="true" outlineLevel="0" collapsed="false">
      <c r="A3032" s="32" t="n">
        <v>5281</v>
      </c>
      <c r="B3032" s="32" t="s">
        <v>2494</v>
      </c>
      <c r="C3032" s="32" t="s">
        <v>2496</v>
      </c>
      <c r="D3032" s="32" t="s">
        <v>114</v>
      </c>
      <c r="E3032" s="32" t="s">
        <v>115</v>
      </c>
      <c r="F3032" s="32" t="n">
        <v>9167902871</v>
      </c>
      <c r="G3032" s="32" t="s">
        <v>104</v>
      </c>
      <c r="H3032" s="32" t="s">
        <v>22</v>
      </c>
      <c r="I3032" s="32" t="s">
        <v>280</v>
      </c>
      <c r="J3032" s="32" t="s">
        <v>76</v>
      </c>
      <c r="K3032" s="32" t="s">
        <v>63</v>
      </c>
    </row>
    <row r="3033" customFormat="false" ht="13.5" hidden="false" customHeight="true" outlineLevel="0" collapsed="false">
      <c r="A3033" s="32" t="n">
        <v>5282</v>
      </c>
      <c r="B3033" s="32" t="s">
        <v>2497</v>
      </c>
      <c r="C3033" s="32" t="s">
        <v>2498</v>
      </c>
      <c r="D3033" s="32" t="s">
        <v>59</v>
      </c>
      <c r="E3033" s="32" t="s">
        <v>107</v>
      </c>
      <c r="F3033" s="32" t="n">
        <v>8093991174</v>
      </c>
      <c r="G3033" s="32" t="s">
        <v>80</v>
      </c>
      <c r="H3033" s="32" t="s">
        <v>21</v>
      </c>
      <c r="I3033" s="32" t="s">
        <v>85</v>
      </c>
      <c r="J3033" s="32" t="s">
        <v>85</v>
      </c>
      <c r="K3033" s="32" t="s">
        <v>63</v>
      </c>
    </row>
    <row r="3034" customFormat="false" ht="13.5" hidden="false" customHeight="true" outlineLevel="0" collapsed="false">
      <c r="A3034" s="32" t="n">
        <v>5283</v>
      </c>
      <c r="B3034" s="32" t="s">
        <v>2497</v>
      </c>
      <c r="C3034" s="32" t="s">
        <v>2498</v>
      </c>
      <c r="D3034" s="32" t="s">
        <v>59</v>
      </c>
      <c r="E3034" s="32" t="s">
        <v>107</v>
      </c>
      <c r="F3034" s="32" t="n">
        <v>8093991174</v>
      </c>
      <c r="G3034" s="32" t="s">
        <v>80</v>
      </c>
      <c r="H3034" s="32" t="s">
        <v>21</v>
      </c>
      <c r="I3034" s="32" t="s">
        <v>172</v>
      </c>
      <c r="J3034" s="32" t="s">
        <v>152</v>
      </c>
      <c r="K3034" s="32" t="s">
        <v>63</v>
      </c>
    </row>
    <row r="3035" customFormat="false" ht="13.5" hidden="false" customHeight="true" outlineLevel="0" collapsed="false">
      <c r="A3035" s="32" t="n">
        <v>5284</v>
      </c>
      <c r="B3035" s="32" t="s">
        <v>2497</v>
      </c>
      <c r="C3035" s="32" t="s">
        <v>2498</v>
      </c>
      <c r="D3035" s="32" t="s">
        <v>59</v>
      </c>
      <c r="E3035" s="32" t="s">
        <v>107</v>
      </c>
      <c r="F3035" s="32" t="n">
        <v>8093991174</v>
      </c>
      <c r="G3035" s="32" t="s">
        <v>80</v>
      </c>
      <c r="H3035" s="32" t="s">
        <v>21</v>
      </c>
      <c r="I3035" s="32" t="s">
        <v>76</v>
      </c>
      <c r="J3035" s="32" t="s">
        <v>76</v>
      </c>
      <c r="K3035" s="32" t="s">
        <v>63</v>
      </c>
    </row>
    <row r="3036" customFormat="false" ht="13.5" hidden="false" customHeight="true" outlineLevel="0" collapsed="false">
      <c r="A3036" s="32" t="n">
        <v>5285</v>
      </c>
      <c r="B3036" s="32" t="s">
        <v>2497</v>
      </c>
      <c r="C3036" s="32" t="s">
        <v>2498</v>
      </c>
      <c r="D3036" s="32" t="s">
        <v>59</v>
      </c>
      <c r="E3036" s="32" t="s">
        <v>107</v>
      </c>
      <c r="F3036" s="32" t="n">
        <v>8093991174</v>
      </c>
      <c r="G3036" s="32" t="s">
        <v>80</v>
      </c>
      <c r="H3036" s="32" t="s">
        <v>21</v>
      </c>
      <c r="I3036" s="32" t="s">
        <v>1410</v>
      </c>
      <c r="J3036" s="32" t="s">
        <v>13</v>
      </c>
      <c r="K3036" s="32" t="s">
        <v>63</v>
      </c>
    </row>
    <row r="3037" customFormat="false" ht="13.5" hidden="false" customHeight="true" outlineLevel="0" collapsed="false">
      <c r="A3037" s="32" t="n">
        <v>5287</v>
      </c>
      <c r="B3037" s="32" t="s">
        <v>2497</v>
      </c>
      <c r="C3037" s="32" t="s">
        <v>2498</v>
      </c>
      <c r="D3037" s="32" t="s">
        <v>59</v>
      </c>
      <c r="E3037" s="32" t="s">
        <v>107</v>
      </c>
      <c r="F3037" s="32" t="n">
        <v>8093991174</v>
      </c>
      <c r="G3037" s="32" t="s">
        <v>80</v>
      </c>
      <c r="H3037" s="32" t="s">
        <v>21</v>
      </c>
      <c r="I3037" s="32" t="s">
        <v>2499</v>
      </c>
      <c r="J3037" s="32" t="s">
        <v>89</v>
      </c>
      <c r="K3037" s="32" t="s">
        <v>63</v>
      </c>
    </row>
    <row r="3038" customFormat="false" ht="13.5" hidden="false" customHeight="true" outlineLevel="0" collapsed="false">
      <c r="A3038" s="32" t="n">
        <v>5288</v>
      </c>
      <c r="B3038" s="32" t="s">
        <v>2500</v>
      </c>
      <c r="C3038" s="32" t="s">
        <v>2501</v>
      </c>
      <c r="D3038" s="32" t="s">
        <v>114</v>
      </c>
      <c r="E3038" s="32" t="s">
        <v>115</v>
      </c>
      <c r="F3038" s="32" t="n">
        <v>9663451951</v>
      </c>
      <c r="G3038" s="32" t="s">
        <v>61</v>
      </c>
      <c r="H3038" s="32" t="s">
        <v>22</v>
      </c>
      <c r="I3038" s="32" t="s">
        <v>121</v>
      </c>
      <c r="J3038" s="32" t="s">
        <v>110</v>
      </c>
      <c r="K3038" s="32" t="s">
        <v>63</v>
      </c>
    </row>
    <row r="3039" customFormat="false" ht="13.5" hidden="false" customHeight="true" outlineLevel="0" collapsed="false">
      <c r="A3039" s="32" t="n">
        <v>5289</v>
      </c>
      <c r="B3039" s="32" t="s">
        <v>2500</v>
      </c>
      <c r="C3039" s="32" t="s">
        <v>2501</v>
      </c>
      <c r="D3039" s="32" t="s">
        <v>114</v>
      </c>
      <c r="E3039" s="32" t="s">
        <v>115</v>
      </c>
      <c r="F3039" s="32" t="n">
        <v>9663451951</v>
      </c>
      <c r="G3039" s="32" t="s">
        <v>61</v>
      </c>
      <c r="H3039" s="32" t="s">
        <v>22</v>
      </c>
      <c r="I3039" s="32" t="s">
        <v>145</v>
      </c>
      <c r="J3039" s="32" t="s">
        <v>117</v>
      </c>
      <c r="K3039" s="32" t="s">
        <v>63</v>
      </c>
    </row>
    <row r="3040" customFormat="false" ht="13.5" hidden="false" customHeight="true" outlineLevel="0" collapsed="false">
      <c r="A3040" s="32" t="n">
        <v>5290</v>
      </c>
      <c r="B3040" s="32" t="s">
        <v>2500</v>
      </c>
      <c r="C3040" s="32" t="s">
        <v>2501</v>
      </c>
      <c r="D3040" s="32" t="s">
        <v>114</v>
      </c>
      <c r="E3040" s="32" t="s">
        <v>115</v>
      </c>
      <c r="F3040" s="32" t="n">
        <v>9663451951</v>
      </c>
      <c r="G3040" s="32" t="s">
        <v>61</v>
      </c>
      <c r="H3040" s="32" t="s">
        <v>22</v>
      </c>
      <c r="I3040" s="32" t="s">
        <v>133</v>
      </c>
      <c r="J3040" s="32" t="s">
        <v>134</v>
      </c>
      <c r="K3040" s="32" t="s">
        <v>63</v>
      </c>
    </row>
    <row r="3041" customFormat="false" ht="13.5" hidden="false" customHeight="true" outlineLevel="0" collapsed="false">
      <c r="A3041" s="32" t="n">
        <v>5292</v>
      </c>
      <c r="B3041" s="32" t="s">
        <v>2502</v>
      </c>
      <c r="C3041" s="32" t="s">
        <v>2503</v>
      </c>
      <c r="D3041" s="32" t="s">
        <v>114</v>
      </c>
      <c r="E3041" s="32" t="s">
        <v>165</v>
      </c>
      <c r="F3041" s="32" t="n">
        <v>9901344429</v>
      </c>
      <c r="G3041" s="32" t="s">
        <v>80</v>
      </c>
      <c r="H3041" s="32" t="s">
        <v>22</v>
      </c>
      <c r="I3041" s="32" t="s">
        <v>108</v>
      </c>
      <c r="J3041" s="32" t="s">
        <v>71</v>
      </c>
      <c r="K3041" s="32" t="s">
        <v>63</v>
      </c>
    </row>
    <row r="3042" customFormat="false" ht="13.5" hidden="false" customHeight="true" outlineLevel="0" collapsed="false">
      <c r="A3042" s="32" t="n">
        <v>5293</v>
      </c>
      <c r="B3042" s="32" t="s">
        <v>2502</v>
      </c>
      <c r="C3042" s="32" t="s">
        <v>2504</v>
      </c>
      <c r="D3042" s="32" t="s">
        <v>114</v>
      </c>
      <c r="E3042" s="32" t="s">
        <v>165</v>
      </c>
      <c r="F3042" s="32" t="n">
        <v>9901344429</v>
      </c>
      <c r="G3042" s="32" t="s">
        <v>80</v>
      </c>
      <c r="H3042" s="32" t="s">
        <v>22</v>
      </c>
      <c r="I3042" s="32" t="s">
        <v>30</v>
      </c>
      <c r="J3042" s="32" t="s">
        <v>203</v>
      </c>
      <c r="K3042" s="32" t="s">
        <v>63</v>
      </c>
    </row>
    <row r="3043" customFormat="false" ht="13.5" hidden="false" customHeight="true" outlineLevel="0" collapsed="false">
      <c r="A3043" s="32" t="n">
        <v>5294</v>
      </c>
      <c r="B3043" s="32" t="s">
        <v>2502</v>
      </c>
      <c r="C3043" s="32" t="s">
        <v>2504</v>
      </c>
      <c r="D3043" s="32" t="s">
        <v>114</v>
      </c>
      <c r="E3043" s="32" t="s">
        <v>165</v>
      </c>
      <c r="F3043" s="32" t="n">
        <v>9901344429</v>
      </c>
      <c r="G3043" s="32" t="s">
        <v>80</v>
      </c>
      <c r="H3043" s="32" t="s">
        <v>22</v>
      </c>
      <c r="I3043" s="32" t="s">
        <v>111</v>
      </c>
      <c r="J3043" s="32" t="s">
        <v>73</v>
      </c>
      <c r="K3043" s="32" t="s">
        <v>63</v>
      </c>
    </row>
    <row r="3044" customFormat="false" ht="13.5" hidden="false" customHeight="true" outlineLevel="0" collapsed="false">
      <c r="A3044" s="32" t="n">
        <v>5295</v>
      </c>
      <c r="B3044" s="32" t="s">
        <v>2502</v>
      </c>
      <c r="C3044" s="32" t="s">
        <v>2504</v>
      </c>
      <c r="D3044" s="32" t="s">
        <v>114</v>
      </c>
      <c r="E3044" s="32" t="s">
        <v>165</v>
      </c>
      <c r="F3044" s="32" t="n">
        <v>9901344429</v>
      </c>
      <c r="G3044" s="32" t="s">
        <v>80</v>
      </c>
      <c r="H3044" s="32" t="s">
        <v>22</v>
      </c>
      <c r="I3044" s="32" t="s">
        <v>133</v>
      </c>
      <c r="J3044" s="32" t="s">
        <v>134</v>
      </c>
      <c r="K3044" s="32" t="s">
        <v>63</v>
      </c>
    </row>
    <row r="3045" customFormat="false" ht="13.5" hidden="false" customHeight="true" outlineLevel="0" collapsed="false">
      <c r="A3045" s="32" t="n">
        <v>5296</v>
      </c>
      <c r="B3045" s="32" t="s">
        <v>2505</v>
      </c>
      <c r="C3045" s="32" t="s">
        <v>2506</v>
      </c>
      <c r="D3045" s="32" t="s">
        <v>59</v>
      </c>
      <c r="E3045" s="32" t="s">
        <v>92</v>
      </c>
      <c r="F3045" s="33" t="n">
        <v>919992000000</v>
      </c>
      <c r="G3045" s="32" t="s">
        <v>144</v>
      </c>
      <c r="H3045" s="32" t="s">
        <v>21</v>
      </c>
      <c r="I3045" s="32" t="s">
        <v>109</v>
      </c>
      <c r="J3045" s="32" t="s">
        <v>110</v>
      </c>
      <c r="K3045" s="32" t="s">
        <v>63</v>
      </c>
    </row>
    <row r="3046" customFormat="false" ht="13.5" hidden="false" customHeight="true" outlineLevel="0" collapsed="false">
      <c r="A3046" s="32" t="n">
        <v>5297</v>
      </c>
      <c r="B3046" s="32" t="s">
        <v>2505</v>
      </c>
      <c r="C3046" s="32" t="s">
        <v>2506</v>
      </c>
      <c r="D3046" s="32" t="s">
        <v>59</v>
      </c>
      <c r="E3046" s="32" t="s">
        <v>92</v>
      </c>
      <c r="F3046" s="33" t="n">
        <v>919992000000</v>
      </c>
      <c r="G3046" s="32" t="s">
        <v>144</v>
      </c>
      <c r="H3046" s="32" t="s">
        <v>21</v>
      </c>
      <c r="I3046" s="32" t="s">
        <v>146</v>
      </c>
      <c r="J3046" s="32" t="s">
        <v>117</v>
      </c>
      <c r="K3046" s="32" t="s">
        <v>63</v>
      </c>
    </row>
    <row r="3047" customFormat="false" ht="13.5" hidden="false" customHeight="true" outlineLevel="0" collapsed="false">
      <c r="A3047" s="32" t="n">
        <v>5298</v>
      </c>
      <c r="B3047" s="32" t="s">
        <v>2505</v>
      </c>
      <c r="C3047" s="32" t="s">
        <v>2506</v>
      </c>
      <c r="D3047" s="32" t="s">
        <v>59</v>
      </c>
      <c r="E3047" s="32" t="s">
        <v>92</v>
      </c>
      <c r="F3047" s="33" t="n">
        <v>919992000000</v>
      </c>
      <c r="G3047" s="32" t="s">
        <v>144</v>
      </c>
      <c r="H3047" s="32" t="s">
        <v>21</v>
      </c>
      <c r="I3047" s="32" t="s">
        <v>133</v>
      </c>
      <c r="J3047" s="32" t="s">
        <v>134</v>
      </c>
      <c r="K3047" s="32" t="s">
        <v>63</v>
      </c>
    </row>
    <row r="3048" customFormat="false" ht="13.5" hidden="false" customHeight="true" outlineLevel="0" collapsed="false">
      <c r="A3048" s="32" t="n">
        <v>5299</v>
      </c>
      <c r="B3048" s="32" t="s">
        <v>2507</v>
      </c>
      <c r="C3048" s="32" t="s">
        <v>2508</v>
      </c>
      <c r="D3048" s="32" t="s">
        <v>114</v>
      </c>
      <c r="E3048" s="32" t="s">
        <v>268</v>
      </c>
      <c r="F3048" s="33" t="n">
        <v>917893000000</v>
      </c>
      <c r="G3048" s="32" t="s">
        <v>144</v>
      </c>
      <c r="H3048" s="32" t="s">
        <v>22</v>
      </c>
      <c r="I3048" s="32" t="s">
        <v>516</v>
      </c>
      <c r="J3048" s="32" t="s">
        <v>66</v>
      </c>
      <c r="K3048" s="32" t="s">
        <v>63</v>
      </c>
    </row>
    <row r="3049" customFormat="false" ht="13.5" hidden="false" customHeight="true" outlineLevel="0" collapsed="false">
      <c r="A3049" s="32" t="n">
        <v>5300</v>
      </c>
      <c r="B3049" s="32" t="s">
        <v>2507</v>
      </c>
      <c r="C3049" s="32" t="s">
        <v>2509</v>
      </c>
      <c r="D3049" s="32" t="s">
        <v>114</v>
      </c>
      <c r="E3049" s="32" t="s">
        <v>268</v>
      </c>
      <c r="F3049" s="33" t="n">
        <v>917893000000</v>
      </c>
      <c r="G3049" s="32" t="s">
        <v>144</v>
      </c>
      <c r="H3049" s="32" t="s">
        <v>22</v>
      </c>
      <c r="I3049" s="32" t="s">
        <v>14</v>
      </c>
      <c r="J3049" s="32" t="s">
        <v>66</v>
      </c>
      <c r="K3049" s="32" t="s">
        <v>63</v>
      </c>
    </row>
    <row r="3050" customFormat="false" ht="13.5" hidden="false" customHeight="true" outlineLevel="0" collapsed="false">
      <c r="A3050" s="32" t="n">
        <v>5301</v>
      </c>
      <c r="B3050" s="32" t="s">
        <v>2507</v>
      </c>
      <c r="C3050" s="32" t="s">
        <v>2509</v>
      </c>
      <c r="D3050" s="32" t="s">
        <v>114</v>
      </c>
      <c r="E3050" s="32" t="s">
        <v>268</v>
      </c>
      <c r="F3050" s="32" t="n">
        <v>7893498227</v>
      </c>
      <c r="G3050" s="32" t="s">
        <v>144</v>
      </c>
      <c r="H3050" s="32" t="s">
        <v>22</v>
      </c>
      <c r="I3050" s="32" t="s">
        <v>156</v>
      </c>
      <c r="J3050" s="32" t="s">
        <v>62</v>
      </c>
      <c r="K3050" s="32" t="s">
        <v>63</v>
      </c>
    </row>
    <row r="3051" customFormat="false" ht="13.5" hidden="false" customHeight="true" outlineLevel="0" collapsed="false">
      <c r="A3051" s="32" t="n">
        <v>5302</v>
      </c>
      <c r="B3051" s="32" t="s">
        <v>2507</v>
      </c>
      <c r="C3051" s="32" t="s">
        <v>2509</v>
      </c>
      <c r="D3051" s="32" t="s">
        <v>114</v>
      </c>
      <c r="E3051" s="32" t="s">
        <v>268</v>
      </c>
      <c r="F3051" s="33" t="n">
        <v>917893000000</v>
      </c>
      <c r="G3051" s="32" t="s">
        <v>144</v>
      </c>
      <c r="H3051" s="32" t="s">
        <v>22</v>
      </c>
      <c r="I3051" s="32" t="s">
        <v>1036</v>
      </c>
      <c r="J3051" s="32" t="s">
        <v>62</v>
      </c>
      <c r="K3051" s="32" t="s">
        <v>63</v>
      </c>
    </row>
    <row r="3052" customFormat="false" ht="13.5" hidden="false" customHeight="true" outlineLevel="0" collapsed="false">
      <c r="A3052" s="32" t="n">
        <v>5303</v>
      </c>
      <c r="B3052" s="32" t="s">
        <v>2507</v>
      </c>
      <c r="C3052" s="32" t="s">
        <v>2509</v>
      </c>
      <c r="D3052" s="32" t="s">
        <v>114</v>
      </c>
      <c r="E3052" s="32" t="s">
        <v>268</v>
      </c>
      <c r="F3052" s="32" t="n">
        <v>7893498227</v>
      </c>
      <c r="G3052" s="32" t="s">
        <v>144</v>
      </c>
      <c r="H3052" s="32" t="s">
        <v>22</v>
      </c>
      <c r="I3052" s="32" t="s">
        <v>166</v>
      </c>
      <c r="J3052" s="32" t="s">
        <v>66</v>
      </c>
      <c r="K3052" s="32" t="s">
        <v>63</v>
      </c>
    </row>
    <row r="3053" customFormat="false" ht="13.5" hidden="false" customHeight="true" outlineLevel="0" collapsed="false">
      <c r="A3053" s="32" t="n">
        <v>5304</v>
      </c>
      <c r="B3053" s="32" t="s">
        <v>2510</v>
      </c>
      <c r="C3053" s="32" t="s">
        <v>2511</v>
      </c>
      <c r="D3053" s="32" t="s">
        <v>59</v>
      </c>
      <c r="E3053" s="32" t="s">
        <v>107</v>
      </c>
      <c r="F3053" s="32" t="n">
        <v>9738338522</v>
      </c>
      <c r="G3053" s="32" t="s">
        <v>61</v>
      </c>
      <c r="H3053" s="32" t="s">
        <v>21</v>
      </c>
      <c r="I3053" s="32" t="s">
        <v>93</v>
      </c>
      <c r="J3053" s="32" t="s">
        <v>85</v>
      </c>
      <c r="K3053" s="32" t="s">
        <v>63</v>
      </c>
    </row>
    <row r="3054" customFormat="false" ht="13.5" hidden="false" customHeight="true" outlineLevel="0" collapsed="false">
      <c r="A3054" s="32" t="n">
        <v>5305</v>
      </c>
      <c r="B3054" s="32" t="s">
        <v>2510</v>
      </c>
      <c r="C3054" s="32" t="s">
        <v>2512</v>
      </c>
      <c r="D3054" s="32" t="s">
        <v>59</v>
      </c>
      <c r="E3054" s="32" t="s">
        <v>107</v>
      </c>
      <c r="F3054" s="32" t="n">
        <v>9738338522</v>
      </c>
      <c r="G3054" s="32" t="s">
        <v>61</v>
      </c>
      <c r="H3054" s="32" t="s">
        <v>21</v>
      </c>
      <c r="I3054" s="32" t="s">
        <v>95</v>
      </c>
      <c r="J3054" s="32" t="s">
        <v>96</v>
      </c>
      <c r="K3054" s="32" t="s">
        <v>63</v>
      </c>
    </row>
    <row r="3055" customFormat="false" ht="13.5" hidden="false" customHeight="true" outlineLevel="0" collapsed="false">
      <c r="A3055" s="32" t="n">
        <v>5306</v>
      </c>
      <c r="B3055" s="32" t="s">
        <v>2513</v>
      </c>
      <c r="C3055" s="32" t="s">
        <v>2514</v>
      </c>
      <c r="D3055" s="32" t="s">
        <v>59</v>
      </c>
      <c r="E3055" s="32" t="s">
        <v>60</v>
      </c>
      <c r="F3055" s="32" t="n">
        <v>9441443610</v>
      </c>
      <c r="G3055" s="32" t="s">
        <v>80</v>
      </c>
      <c r="H3055" s="32" t="s">
        <v>21</v>
      </c>
      <c r="I3055" s="32" t="s">
        <v>421</v>
      </c>
      <c r="J3055" s="32" t="s">
        <v>235</v>
      </c>
      <c r="K3055" s="32" t="s">
        <v>63</v>
      </c>
    </row>
    <row r="3056" customFormat="false" ht="13.5" hidden="false" customHeight="true" outlineLevel="0" collapsed="false">
      <c r="A3056" s="32" t="n">
        <v>5307</v>
      </c>
      <c r="B3056" s="32" t="s">
        <v>2513</v>
      </c>
      <c r="C3056" s="32" t="s">
        <v>2514</v>
      </c>
      <c r="D3056" s="32" t="s">
        <v>59</v>
      </c>
      <c r="E3056" s="32" t="s">
        <v>60</v>
      </c>
      <c r="F3056" s="32" t="n">
        <v>9441443610</v>
      </c>
      <c r="G3056" s="32" t="s">
        <v>80</v>
      </c>
      <c r="H3056" s="32" t="s">
        <v>21</v>
      </c>
      <c r="I3056" s="32" t="s">
        <v>70</v>
      </c>
      <c r="J3056" s="32" t="s">
        <v>71</v>
      </c>
      <c r="K3056" s="32" t="s">
        <v>63</v>
      </c>
    </row>
    <row r="3057" customFormat="false" ht="13.5" hidden="false" customHeight="true" outlineLevel="0" collapsed="false">
      <c r="A3057" s="32" t="n">
        <v>5308</v>
      </c>
      <c r="B3057" s="32" t="s">
        <v>2515</v>
      </c>
      <c r="C3057" s="32" t="s">
        <v>2516</v>
      </c>
      <c r="D3057" s="32" t="s">
        <v>331</v>
      </c>
      <c r="E3057" s="32" t="s">
        <v>278</v>
      </c>
      <c r="F3057" s="32" t="n">
        <v>8017887468</v>
      </c>
      <c r="G3057" s="32" t="s">
        <v>80</v>
      </c>
      <c r="H3057" s="32" t="s">
        <v>332</v>
      </c>
      <c r="I3057" s="32" t="s">
        <v>128</v>
      </c>
      <c r="J3057" s="32" t="s">
        <v>89</v>
      </c>
      <c r="K3057" s="32" t="s">
        <v>63</v>
      </c>
    </row>
    <row r="3058" customFormat="false" ht="13.5" hidden="false" customHeight="true" outlineLevel="0" collapsed="false">
      <c r="A3058" s="32" t="n">
        <v>5309</v>
      </c>
      <c r="B3058" s="32" t="s">
        <v>2515</v>
      </c>
      <c r="C3058" s="32" t="s">
        <v>2516</v>
      </c>
      <c r="D3058" s="32" t="s">
        <v>331</v>
      </c>
      <c r="E3058" s="32" t="s">
        <v>278</v>
      </c>
      <c r="F3058" s="32" t="n">
        <v>8017887468</v>
      </c>
      <c r="G3058" s="32" t="s">
        <v>80</v>
      </c>
      <c r="H3058" s="32" t="s">
        <v>332</v>
      </c>
      <c r="I3058" s="32" t="s">
        <v>133</v>
      </c>
      <c r="J3058" s="32" t="s">
        <v>134</v>
      </c>
      <c r="K3058" s="32" t="s">
        <v>63</v>
      </c>
    </row>
    <row r="3059" customFormat="false" ht="13.5" hidden="false" customHeight="true" outlineLevel="0" collapsed="false">
      <c r="A3059" s="32" t="n">
        <v>5310</v>
      </c>
      <c r="B3059" s="32" t="s">
        <v>2515</v>
      </c>
      <c r="C3059" s="32" t="s">
        <v>2517</v>
      </c>
      <c r="D3059" s="32" t="s">
        <v>331</v>
      </c>
      <c r="E3059" s="32" t="s">
        <v>278</v>
      </c>
      <c r="F3059" s="32" t="n">
        <v>8017887468</v>
      </c>
      <c r="G3059" s="32" t="s">
        <v>80</v>
      </c>
      <c r="H3059" s="32" t="s">
        <v>332</v>
      </c>
      <c r="I3059" s="32" t="s">
        <v>248</v>
      </c>
      <c r="J3059" s="32" t="s">
        <v>117</v>
      </c>
      <c r="K3059" s="32" t="s">
        <v>63</v>
      </c>
    </row>
    <row r="3060" customFormat="false" ht="13.5" hidden="false" customHeight="true" outlineLevel="0" collapsed="false">
      <c r="A3060" s="32" t="n">
        <v>5312</v>
      </c>
      <c r="B3060" s="32" t="s">
        <v>2518</v>
      </c>
      <c r="C3060" s="32" t="s">
        <v>2519</v>
      </c>
      <c r="D3060" s="32" t="s">
        <v>59</v>
      </c>
      <c r="E3060" s="32" t="s">
        <v>79</v>
      </c>
      <c r="F3060" s="33" t="n">
        <v>919000000000</v>
      </c>
      <c r="G3060" s="32" t="s">
        <v>80</v>
      </c>
      <c r="H3060" s="32" t="s">
        <v>21</v>
      </c>
      <c r="I3060" s="32" t="s">
        <v>215</v>
      </c>
      <c r="J3060" s="32" t="s">
        <v>132</v>
      </c>
      <c r="K3060" s="32" t="s">
        <v>63</v>
      </c>
    </row>
    <row r="3061" customFormat="false" ht="13.5" hidden="false" customHeight="true" outlineLevel="0" collapsed="false">
      <c r="A3061" s="32" t="n">
        <v>5313</v>
      </c>
      <c r="B3061" s="32" t="s">
        <v>2518</v>
      </c>
      <c r="C3061" s="32" t="s">
        <v>2519</v>
      </c>
      <c r="D3061" s="32" t="s">
        <v>59</v>
      </c>
      <c r="E3061" s="32" t="s">
        <v>79</v>
      </c>
      <c r="F3061" s="33" t="n">
        <v>919000000000</v>
      </c>
      <c r="G3061" s="32" t="s">
        <v>80</v>
      </c>
      <c r="H3061" s="32" t="s">
        <v>21</v>
      </c>
      <c r="I3061" s="32" t="s">
        <v>2014</v>
      </c>
      <c r="J3061" s="32" t="s">
        <v>132</v>
      </c>
      <c r="K3061" s="32" t="s">
        <v>63</v>
      </c>
    </row>
    <row r="3062" customFormat="false" ht="13.5" hidden="false" customHeight="true" outlineLevel="0" collapsed="false">
      <c r="A3062" s="32" t="n">
        <v>5314</v>
      </c>
      <c r="B3062" s="32" t="s">
        <v>2518</v>
      </c>
      <c r="C3062" s="32" t="s">
        <v>2519</v>
      </c>
      <c r="D3062" s="32" t="s">
        <v>59</v>
      </c>
      <c r="E3062" s="32" t="s">
        <v>79</v>
      </c>
      <c r="F3062" s="33" t="n">
        <v>919000000000</v>
      </c>
      <c r="G3062" s="32" t="s">
        <v>80</v>
      </c>
      <c r="H3062" s="32" t="s">
        <v>21</v>
      </c>
      <c r="I3062" s="32" t="s">
        <v>825</v>
      </c>
      <c r="J3062" s="32" t="s">
        <v>132</v>
      </c>
      <c r="K3062" s="32" t="s">
        <v>63</v>
      </c>
    </row>
    <row r="3063" customFormat="false" ht="13.5" hidden="false" customHeight="true" outlineLevel="0" collapsed="false">
      <c r="A3063" s="32" t="n">
        <v>5315</v>
      </c>
      <c r="B3063" s="32" t="s">
        <v>2520</v>
      </c>
      <c r="C3063" s="32" t="s">
        <v>2521</v>
      </c>
      <c r="D3063" s="32" t="s">
        <v>114</v>
      </c>
      <c r="E3063" s="32" t="s">
        <v>165</v>
      </c>
      <c r="F3063" s="33" t="n">
        <v>919812000000</v>
      </c>
      <c r="G3063" s="32" t="s">
        <v>61</v>
      </c>
      <c r="H3063" s="32" t="s">
        <v>22</v>
      </c>
      <c r="I3063" s="32" t="s">
        <v>156</v>
      </c>
      <c r="J3063" s="32" t="s">
        <v>62</v>
      </c>
      <c r="K3063" s="32" t="s">
        <v>63</v>
      </c>
    </row>
    <row r="3064" customFormat="false" ht="13.5" hidden="false" customHeight="true" outlineLevel="0" collapsed="false">
      <c r="A3064" s="32" t="n">
        <v>5316</v>
      </c>
      <c r="B3064" s="32" t="s">
        <v>2520</v>
      </c>
      <c r="C3064" s="32" t="s">
        <v>2521</v>
      </c>
      <c r="D3064" s="32" t="s">
        <v>114</v>
      </c>
      <c r="E3064" s="32" t="s">
        <v>165</v>
      </c>
      <c r="F3064" s="33" t="n">
        <v>919812000000</v>
      </c>
      <c r="G3064" s="32" t="s">
        <v>61</v>
      </c>
      <c r="H3064" s="32" t="s">
        <v>22</v>
      </c>
      <c r="I3064" s="32" t="s">
        <v>29</v>
      </c>
      <c r="J3064" s="32" t="s">
        <v>62</v>
      </c>
      <c r="K3064" s="32" t="s">
        <v>63</v>
      </c>
    </row>
    <row r="3065" customFormat="false" ht="13.5" hidden="false" customHeight="true" outlineLevel="0" collapsed="false">
      <c r="A3065" s="32" t="n">
        <v>5317</v>
      </c>
      <c r="B3065" s="32" t="s">
        <v>2520</v>
      </c>
      <c r="C3065" s="32" t="s">
        <v>2521</v>
      </c>
      <c r="D3065" s="32" t="s">
        <v>114</v>
      </c>
      <c r="E3065" s="32" t="s">
        <v>165</v>
      </c>
      <c r="F3065" s="33" t="n">
        <v>919812000000</v>
      </c>
      <c r="G3065" s="32" t="s">
        <v>61</v>
      </c>
      <c r="H3065" s="32" t="s">
        <v>22</v>
      </c>
      <c r="I3065" s="32" t="s">
        <v>14</v>
      </c>
      <c r="J3065" s="32" t="s">
        <v>66</v>
      </c>
      <c r="K3065" s="32" t="s">
        <v>63</v>
      </c>
    </row>
    <row r="3066" customFormat="false" ht="13.5" hidden="false" customHeight="true" outlineLevel="0" collapsed="false">
      <c r="A3066" s="32" t="n">
        <v>5318</v>
      </c>
      <c r="B3066" s="32" t="s">
        <v>2520</v>
      </c>
      <c r="C3066" s="32" t="s">
        <v>2521</v>
      </c>
      <c r="D3066" s="32" t="s">
        <v>114</v>
      </c>
      <c r="E3066" s="32" t="s">
        <v>165</v>
      </c>
      <c r="F3066" s="33" t="n">
        <v>919812000000</v>
      </c>
      <c r="G3066" s="32" t="s">
        <v>61</v>
      </c>
      <c r="H3066" s="32" t="s">
        <v>22</v>
      </c>
      <c r="I3066" s="32" t="s">
        <v>166</v>
      </c>
      <c r="J3066" s="32" t="s">
        <v>66</v>
      </c>
      <c r="K3066" s="32" t="s">
        <v>63</v>
      </c>
    </row>
    <row r="3067" customFormat="false" ht="13.5" hidden="false" customHeight="true" outlineLevel="0" collapsed="false">
      <c r="A3067" s="32" t="n">
        <v>5319</v>
      </c>
      <c r="B3067" s="32" t="s">
        <v>2522</v>
      </c>
      <c r="C3067" s="32" t="s">
        <v>2523</v>
      </c>
      <c r="D3067" s="32" t="s">
        <v>114</v>
      </c>
      <c r="E3067" s="32" t="s">
        <v>165</v>
      </c>
      <c r="F3067" s="32" t="n">
        <v>8087915989</v>
      </c>
      <c r="G3067" s="32" t="s">
        <v>144</v>
      </c>
      <c r="H3067" s="32" t="s">
        <v>22</v>
      </c>
      <c r="I3067" s="32" t="s">
        <v>116</v>
      </c>
      <c r="J3067" s="32" t="s">
        <v>117</v>
      </c>
      <c r="K3067" s="32" t="s">
        <v>63</v>
      </c>
    </row>
    <row r="3068" customFormat="false" ht="13.5" hidden="false" customHeight="true" outlineLevel="0" collapsed="false">
      <c r="A3068" s="32" t="n">
        <v>5320</v>
      </c>
      <c r="B3068" s="32" t="s">
        <v>2522</v>
      </c>
      <c r="C3068" s="32" t="s">
        <v>2523</v>
      </c>
      <c r="D3068" s="32" t="s">
        <v>114</v>
      </c>
      <c r="E3068" s="32" t="s">
        <v>165</v>
      </c>
      <c r="F3068" s="32" t="n">
        <v>8087915989</v>
      </c>
      <c r="G3068" s="32" t="s">
        <v>144</v>
      </c>
      <c r="H3068" s="32" t="s">
        <v>22</v>
      </c>
      <c r="I3068" s="32" t="s">
        <v>85</v>
      </c>
      <c r="J3068" s="32" t="s">
        <v>85</v>
      </c>
      <c r="K3068" s="32" t="s">
        <v>63</v>
      </c>
    </row>
    <row r="3069" customFormat="false" ht="13.5" hidden="false" customHeight="true" outlineLevel="0" collapsed="false">
      <c r="A3069" s="32" t="n">
        <v>5321</v>
      </c>
      <c r="B3069" s="32" t="s">
        <v>2522</v>
      </c>
      <c r="C3069" s="32" t="s">
        <v>2523</v>
      </c>
      <c r="D3069" s="32" t="s">
        <v>114</v>
      </c>
      <c r="E3069" s="32" t="s">
        <v>165</v>
      </c>
      <c r="F3069" s="32" t="n">
        <v>8087915989</v>
      </c>
      <c r="G3069" s="32" t="s">
        <v>144</v>
      </c>
      <c r="H3069" s="32" t="s">
        <v>22</v>
      </c>
      <c r="I3069" s="32" t="s">
        <v>93</v>
      </c>
      <c r="J3069" s="32" t="s">
        <v>85</v>
      </c>
      <c r="K3069" s="32" t="s">
        <v>63</v>
      </c>
    </row>
    <row r="3070" customFormat="false" ht="13.5" hidden="false" customHeight="true" outlineLevel="0" collapsed="false">
      <c r="A3070" s="32" t="n">
        <v>5322</v>
      </c>
      <c r="B3070" s="32" t="s">
        <v>2522</v>
      </c>
      <c r="C3070" s="32" t="s">
        <v>2523</v>
      </c>
      <c r="D3070" s="32" t="s">
        <v>114</v>
      </c>
      <c r="E3070" s="32" t="s">
        <v>165</v>
      </c>
      <c r="F3070" s="32" t="n">
        <v>8087915989</v>
      </c>
      <c r="G3070" s="32" t="s">
        <v>144</v>
      </c>
      <c r="H3070" s="32" t="s">
        <v>22</v>
      </c>
      <c r="I3070" s="32" t="s">
        <v>27</v>
      </c>
      <c r="J3070" s="32" t="s">
        <v>13</v>
      </c>
      <c r="K3070" s="32" t="s">
        <v>63</v>
      </c>
    </row>
    <row r="3071" customFormat="false" ht="13.5" hidden="false" customHeight="true" outlineLevel="0" collapsed="false">
      <c r="A3071" s="32" t="n">
        <v>5323</v>
      </c>
      <c r="B3071" s="32" t="s">
        <v>2522</v>
      </c>
      <c r="C3071" s="32" t="s">
        <v>2523</v>
      </c>
      <c r="D3071" s="32" t="s">
        <v>114</v>
      </c>
      <c r="E3071" s="32" t="s">
        <v>165</v>
      </c>
      <c r="F3071" s="32" t="n">
        <v>8087915989</v>
      </c>
      <c r="G3071" s="32" t="s">
        <v>144</v>
      </c>
      <c r="H3071" s="32" t="s">
        <v>22</v>
      </c>
      <c r="I3071" s="32" t="s">
        <v>146</v>
      </c>
      <c r="J3071" s="32" t="s">
        <v>117</v>
      </c>
      <c r="K3071" s="32" t="s">
        <v>63</v>
      </c>
    </row>
    <row r="3072" customFormat="false" ht="13.5" hidden="false" customHeight="true" outlineLevel="0" collapsed="false">
      <c r="A3072" s="32" t="n">
        <v>5325</v>
      </c>
      <c r="B3072" s="32" t="s">
        <v>2522</v>
      </c>
      <c r="C3072" s="32" t="s">
        <v>2523</v>
      </c>
      <c r="D3072" s="32" t="s">
        <v>114</v>
      </c>
      <c r="E3072" s="32" t="s">
        <v>165</v>
      </c>
      <c r="F3072" s="32" t="n">
        <v>8087915989</v>
      </c>
      <c r="G3072" s="32" t="s">
        <v>144</v>
      </c>
      <c r="H3072" s="32" t="s">
        <v>22</v>
      </c>
      <c r="I3072" s="32" t="s">
        <v>133</v>
      </c>
      <c r="J3072" s="32" t="s">
        <v>134</v>
      </c>
      <c r="K3072" s="32" t="s">
        <v>63</v>
      </c>
    </row>
    <row r="3073" customFormat="false" ht="13.5" hidden="false" customHeight="true" outlineLevel="0" collapsed="false">
      <c r="A3073" s="32" t="n">
        <v>5326</v>
      </c>
      <c r="B3073" s="32" t="s">
        <v>2524</v>
      </c>
      <c r="C3073" s="32" t="s">
        <v>2525</v>
      </c>
      <c r="D3073" s="32" t="s">
        <v>114</v>
      </c>
      <c r="E3073" s="32" t="s">
        <v>165</v>
      </c>
      <c r="F3073" s="33" t="n">
        <v>919870000000</v>
      </c>
      <c r="G3073" s="32" t="s">
        <v>104</v>
      </c>
      <c r="H3073" s="32" t="s">
        <v>22</v>
      </c>
      <c r="I3073" s="32" t="s">
        <v>217</v>
      </c>
      <c r="J3073" s="32" t="s">
        <v>132</v>
      </c>
      <c r="K3073" s="32" t="s">
        <v>63</v>
      </c>
    </row>
    <row r="3074" customFormat="false" ht="13.5" hidden="false" customHeight="true" outlineLevel="0" collapsed="false">
      <c r="A3074" s="32" t="n">
        <v>5327</v>
      </c>
      <c r="B3074" s="32" t="s">
        <v>2524</v>
      </c>
      <c r="C3074" s="32" t="s">
        <v>2526</v>
      </c>
      <c r="D3074" s="32" t="s">
        <v>114</v>
      </c>
      <c r="E3074" s="32" t="s">
        <v>165</v>
      </c>
      <c r="F3074" s="32" t="n">
        <v>9870126899</v>
      </c>
      <c r="G3074" s="32" t="s">
        <v>104</v>
      </c>
      <c r="H3074" s="32" t="s">
        <v>22</v>
      </c>
      <c r="I3074" s="32" t="s">
        <v>128</v>
      </c>
      <c r="J3074" s="32" t="s">
        <v>89</v>
      </c>
      <c r="K3074" s="32" t="s">
        <v>63</v>
      </c>
    </row>
    <row r="3075" customFormat="false" ht="13.5" hidden="false" customHeight="true" outlineLevel="0" collapsed="false">
      <c r="A3075" s="32" t="n">
        <v>5328</v>
      </c>
      <c r="B3075" s="32" t="s">
        <v>2524</v>
      </c>
      <c r="C3075" s="32" t="s">
        <v>2526</v>
      </c>
      <c r="D3075" s="32" t="s">
        <v>114</v>
      </c>
      <c r="E3075" s="32" t="s">
        <v>165</v>
      </c>
      <c r="F3075" s="33" t="n">
        <v>919870000000</v>
      </c>
      <c r="G3075" s="32" t="s">
        <v>104</v>
      </c>
      <c r="H3075" s="32" t="s">
        <v>22</v>
      </c>
      <c r="I3075" s="32" t="s">
        <v>245</v>
      </c>
      <c r="J3075" s="32" t="s">
        <v>71</v>
      </c>
      <c r="K3075" s="32" t="s">
        <v>63</v>
      </c>
    </row>
    <row r="3076" customFormat="false" ht="13.5" hidden="false" customHeight="true" outlineLevel="0" collapsed="false">
      <c r="A3076" s="32" t="n">
        <v>5329</v>
      </c>
      <c r="B3076" s="32" t="s">
        <v>2524</v>
      </c>
      <c r="C3076" s="32" t="s">
        <v>2526</v>
      </c>
      <c r="D3076" s="32" t="s">
        <v>114</v>
      </c>
      <c r="E3076" s="32" t="s">
        <v>165</v>
      </c>
      <c r="F3076" s="32" t="n">
        <v>9870126899</v>
      </c>
      <c r="G3076" s="32" t="s">
        <v>104</v>
      </c>
      <c r="H3076" s="32" t="s">
        <v>22</v>
      </c>
      <c r="I3076" s="32" t="s">
        <v>401</v>
      </c>
      <c r="J3076" s="32" t="s">
        <v>82</v>
      </c>
      <c r="K3076" s="32" t="s">
        <v>63</v>
      </c>
    </row>
    <row r="3077" customFormat="false" ht="13.5" hidden="false" customHeight="true" outlineLevel="0" collapsed="false">
      <c r="A3077" s="32" t="n">
        <v>5330</v>
      </c>
      <c r="B3077" s="32" t="s">
        <v>2524</v>
      </c>
      <c r="C3077" s="32" t="s">
        <v>2526</v>
      </c>
      <c r="D3077" s="32" t="s">
        <v>114</v>
      </c>
      <c r="E3077" s="32" t="s">
        <v>165</v>
      </c>
      <c r="F3077" s="32" t="n">
        <v>9870126899</v>
      </c>
      <c r="G3077" s="32" t="s">
        <v>104</v>
      </c>
      <c r="H3077" s="32" t="s">
        <v>22</v>
      </c>
      <c r="I3077" s="32" t="s">
        <v>28</v>
      </c>
      <c r="J3077" s="32" t="s">
        <v>82</v>
      </c>
      <c r="K3077" s="32" t="s">
        <v>63</v>
      </c>
    </row>
    <row r="3078" customFormat="false" ht="13.5" hidden="false" customHeight="true" outlineLevel="0" collapsed="false">
      <c r="A3078" s="32" t="n">
        <v>5331</v>
      </c>
      <c r="B3078" s="32" t="s">
        <v>2527</v>
      </c>
      <c r="C3078" s="32" t="s">
        <v>2528</v>
      </c>
      <c r="D3078" s="32" t="s">
        <v>59</v>
      </c>
      <c r="E3078" s="32" t="s">
        <v>60</v>
      </c>
      <c r="F3078" s="32" t="n">
        <v>0</v>
      </c>
      <c r="G3078" s="32" t="s">
        <v>61</v>
      </c>
      <c r="H3078" s="32" t="s">
        <v>21</v>
      </c>
      <c r="I3078" s="32" t="s">
        <v>940</v>
      </c>
      <c r="J3078" s="32" t="s">
        <v>235</v>
      </c>
      <c r="K3078" s="32" t="s">
        <v>63</v>
      </c>
    </row>
    <row r="3079" customFormat="false" ht="13.5" hidden="false" customHeight="true" outlineLevel="0" collapsed="false">
      <c r="A3079" s="32" t="n">
        <v>5332</v>
      </c>
      <c r="B3079" s="32" t="s">
        <v>2527</v>
      </c>
      <c r="C3079" s="32" t="s">
        <v>2528</v>
      </c>
      <c r="D3079" s="32" t="s">
        <v>59</v>
      </c>
      <c r="E3079" s="32" t="s">
        <v>60</v>
      </c>
      <c r="F3079" s="32" t="n">
        <v>0</v>
      </c>
      <c r="G3079" s="32" t="s">
        <v>61</v>
      </c>
      <c r="H3079" s="32" t="s">
        <v>21</v>
      </c>
      <c r="I3079" s="32" t="s">
        <v>2529</v>
      </c>
      <c r="J3079" s="32" t="s">
        <v>321</v>
      </c>
      <c r="K3079" s="32" t="s">
        <v>63</v>
      </c>
    </row>
    <row r="3080" customFormat="false" ht="13.5" hidden="false" customHeight="true" outlineLevel="0" collapsed="false">
      <c r="A3080" s="32" t="n">
        <v>5334</v>
      </c>
      <c r="B3080" s="32" t="s">
        <v>2530</v>
      </c>
      <c r="C3080" s="32" t="s">
        <v>2531</v>
      </c>
      <c r="D3080" s="32" t="s">
        <v>114</v>
      </c>
      <c r="E3080" s="32" t="s">
        <v>169</v>
      </c>
      <c r="F3080" s="32" t="n">
        <v>8790389756</v>
      </c>
      <c r="G3080" s="32" t="s">
        <v>80</v>
      </c>
      <c r="H3080" s="32" t="s">
        <v>22</v>
      </c>
      <c r="I3080" s="32" t="s">
        <v>386</v>
      </c>
      <c r="J3080" s="32" t="s">
        <v>132</v>
      </c>
      <c r="K3080" s="32" t="s">
        <v>63</v>
      </c>
    </row>
    <row r="3081" customFormat="false" ht="13.5" hidden="false" customHeight="true" outlineLevel="0" collapsed="false">
      <c r="A3081" s="32" t="n">
        <v>5335</v>
      </c>
      <c r="B3081" s="32" t="s">
        <v>2530</v>
      </c>
      <c r="C3081" s="32" t="s">
        <v>2532</v>
      </c>
      <c r="D3081" s="32" t="s">
        <v>114</v>
      </c>
      <c r="E3081" s="32" t="s">
        <v>169</v>
      </c>
      <c r="F3081" s="32" t="n">
        <v>8790389756</v>
      </c>
      <c r="G3081" s="32" t="s">
        <v>80</v>
      </c>
      <c r="H3081" s="32" t="s">
        <v>22</v>
      </c>
      <c r="I3081" s="32" t="s">
        <v>245</v>
      </c>
      <c r="J3081" s="32" t="s">
        <v>71</v>
      </c>
      <c r="K3081" s="32" t="s">
        <v>63</v>
      </c>
    </row>
    <row r="3082" customFormat="false" ht="13.5" hidden="false" customHeight="true" outlineLevel="0" collapsed="false">
      <c r="A3082" s="32" t="n">
        <v>5336</v>
      </c>
      <c r="B3082" s="32" t="s">
        <v>2530</v>
      </c>
      <c r="C3082" s="32" t="s">
        <v>2531</v>
      </c>
      <c r="D3082" s="32" t="s">
        <v>114</v>
      </c>
      <c r="E3082" s="32" t="s">
        <v>169</v>
      </c>
      <c r="F3082" s="32" t="n">
        <v>8790389756</v>
      </c>
      <c r="G3082" s="32" t="s">
        <v>80</v>
      </c>
      <c r="H3082" s="32" t="s">
        <v>22</v>
      </c>
      <c r="I3082" s="32" t="s">
        <v>2533</v>
      </c>
      <c r="J3082" s="32" t="s">
        <v>132</v>
      </c>
      <c r="K3082" s="32" t="s">
        <v>63</v>
      </c>
    </row>
    <row r="3083" customFormat="false" ht="13.5" hidden="false" customHeight="true" outlineLevel="0" collapsed="false">
      <c r="A3083" s="32" t="n">
        <v>5337</v>
      </c>
      <c r="B3083" s="32" t="s">
        <v>2530</v>
      </c>
      <c r="C3083" s="32" t="s">
        <v>2531</v>
      </c>
      <c r="D3083" s="32" t="s">
        <v>114</v>
      </c>
      <c r="E3083" s="32" t="s">
        <v>169</v>
      </c>
      <c r="F3083" s="32" t="n">
        <v>8790389756</v>
      </c>
      <c r="G3083" s="32" t="s">
        <v>80</v>
      </c>
      <c r="H3083" s="32" t="s">
        <v>22</v>
      </c>
      <c r="I3083" s="32" t="s">
        <v>215</v>
      </c>
      <c r="J3083" s="32" t="s">
        <v>132</v>
      </c>
      <c r="K3083" s="32" t="s">
        <v>63</v>
      </c>
    </row>
    <row r="3084" customFormat="false" ht="13.5" hidden="false" customHeight="true" outlineLevel="0" collapsed="false">
      <c r="A3084" s="32" t="n">
        <v>5341</v>
      </c>
      <c r="B3084" s="32" t="s">
        <v>2530</v>
      </c>
      <c r="C3084" s="32" t="s">
        <v>2531</v>
      </c>
      <c r="D3084" s="32" t="s">
        <v>114</v>
      </c>
      <c r="E3084" s="32" t="s">
        <v>169</v>
      </c>
      <c r="F3084" s="32" t="n">
        <v>8790389756</v>
      </c>
      <c r="G3084" s="32" t="s">
        <v>80</v>
      </c>
      <c r="H3084" s="32" t="s">
        <v>22</v>
      </c>
      <c r="I3084" s="32" t="s">
        <v>217</v>
      </c>
      <c r="J3084" s="32" t="s">
        <v>132</v>
      </c>
      <c r="K3084" s="32" t="s">
        <v>63</v>
      </c>
    </row>
    <row r="3085" customFormat="false" ht="13.5" hidden="false" customHeight="true" outlineLevel="0" collapsed="false">
      <c r="A3085" s="32" t="n">
        <v>5342</v>
      </c>
      <c r="B3085" s="32" t="s">
        <v>2530</v>
      </c>
      <c r="C3085" s="32" t="s">
        <v>2531</v>
      </c>
      <c r="D3085" s="32" t="s">
        <v>114</v>
      </c>
      <c r="E3085" s="32" t="s">
        <v>169</v>
      </c>
      <c r="F3085" s="32" t="n">
        <v>8790389756</v>
      </c>
      <c r="G3085" s="32" t="s">
        <v>80</v>
      </c>
      <c r="H3085" s="32" t="s">
        <v>22</v>
      </c>
      <c r="I3085" s="32" t="s">
        <v>728</v>
      </c>
      <c r="J3085" s="32" t="s">
        <v>132</v>
      </c>
      <c r="K3085" s="32" t="s">
        <v>63</v>
      </c>
    </row>
    <row r="3086" customFormat="false" ht="13.5" hidden="false" customHeight="true" outlineLevel="0" collapsed="false">
      <c r="A3086" s="32" t="n">
        <v>5343</v>
      </c>
      <c r="B3086" s="32" t="s">
        <v>2534</v>
      </c>
      <c r="C3086" s="32" t="s">
        <v>2535</v>
      </c>
      <c r="D3086" s="32" t="s">
        <v>114</v>
      </c>
      <c r="E3086" s="32" t="s">
        <v>115</v>
      </c>
      <c r="F3086" s="32" t="n">
        <v>9886569224</v>
      </c>
      <c r="G3086" s="32" t="s">
        <v>61</v>
      </c>
      <c r="H3086" s="32" t="s">
        <v>22</v>
      </c>
      <c r="I3086" s="32" t="s">
        <v>151</v>
      </c>
      <c r="J3086" s="32" t="s">
        <v>152</v>
      </c>
      <c r="K3086" s="32" t="s">
        <v>63</v>
      </c>
    </row>
    <row r="3087" customFormat="false" ht="13.5" hidden="false" customHeight="true" outlineLevel="0" collapsed="false">
      <c r="A3087" s="32" t="n">
        <v>5344</v>
      </c>
      <c r="B3087" s="32" t="s">
        <v>2534</v>
      </c>
      <c r="C3087" s="32" t="s">
        <v>2535</v>
      </c>
      <c r="D3087" s="32" t="s">
        <v>114</v>
      </c>
      <c r="E3087" s="32" t="s">
        <v>115</v>
      </c>
      <c r="F3087" s="32" t="n">
        <v>9886569224</v>
      </c>
      <c r="G3087" s="32" t="s">
        <v>61</v>
      </c>
      <c r="H3087" s="32" t="s">
        <v>22</v>
      </c>
      <c r="I3087" s="32" t="s">
        <v>151</v>
      </c>
      <c r="J3087" s="32" t="s">
        <v>152</v>
      </c>
      <c r="K3087" s="32" t="s">
        <v>63</v>
      </c>
    </row>
    <row r="3088" customFormat="false" ht="13.5" hidden="false" customHeight="true" outlineLevel="0" collapsed="false">
      <c r="A3088" s="32" t="n">
        <v>5345</v>
      </c>
      <c r="B3088" s="32" t="s">
        <v>2534</v>
      </c>
      <c r="C3088" s="32" t="s">
        <v>2535</v>
      </c>
      <c r="D3088" s="32" t="s">
        <v>114</v>
      </c>
      <c r="E3088" s="32" t="s">
        <v>115</v>
      </c>
      <c r="F3088" s="32" t="n">
        <v>9886569224</v>
      </c>
      <c r="G3088" s="32" t="s">
        <v>61</v>
      </c>
      <c r="H3088" s="32" t="s">
        <v>22</v>
      </c>
      <c r="I3088" s="32" t="s">
        <v>284</v>
      </c>
      <c r="J3088" s="32" t="s">
        <v>117</v>
      </c>
      <c r="K3088" s="32" t="s">
        <v>63</v>
      </c>
    </row>
    <row r="3089" customFormat="false" ht="13.5" hidden="false" customHeight="true" outlineLevel="0" collapsed="false">
      <c r="A3089" s="32" t="n">
        <v>5346</v>
      </c>
      <c r="B3089" s="32" t="s">
        <v>2536</v>
      </c>
      <c r="C3089" s="32" t="s">
        <v>2537</v>
      </c>
      <c r="D3089" s="32" t="s">
        <v>114</v>
      </c>
      <c r="E3089" s="32" t="s">
        <v>115</v>
      </c>
      <c r="F3089" s="32" t="n">
        <v>0</v>
      </c>
      <c r="G3089" s="32" t="s">
        <v>140</v>
      </c>
      <c r="H3089" s="32" t="s">
        <v>22</v>
      </c>
      <c r="I3089" s="32" t="s">
        <v>217</v>
      </c>
      <c r="J3089" s="32" t="s">
        <v>132</v>
      </c>
      <c r="K3089" s="32" t="s">
        <v>63</v>
      </c>
    </row>
    <row r="3090" customFormat="false" ht="13.5" hidden="false" customHeight="true" outlineLevel="0" collapsed="false">
      <c r="A3090" s="32" t="n">
        <v>5347</v>
      </c>
      <c r="B3090" s="32" t="s">
        <v>2538</v>
      </c>
      <c r="C3090" s="32" t="s">
        <v>2539</v>
      </c>
      <c r="D3090" s="32" t="s">
        <v>59</v>
      </c>
      <c r="E3090" s="32" t="s">
        <v>107</v>
      </c>
      <c r="F3090" s="32" t="n">
        <v>7416516057</v>
      </c>
      <c r="G3090" s="32" t="s">
        <v>80</v>
      </c>
      <c r="H3090" s="32" t="s">
        <v>21</v>
      </c>
      <c r="I3090" s="32" t="s">
        <v>145</v>
      </c>
      <c r="J3090" s="32" t="s">
        <v>117</v>
      </c>
      <c r="K3090" s="32" t="s">
        <v>63</v>
      </c>
    </row>
    <row r="3091" customFormat="false" ht="13.5" hidden="false" customHeight="true" outlineLevel="0" collapsed="false">
      <c r="A3091" s="32" t="n">
        <v>5348</v>
      </c>
      <c r="B3091" s="32" t="s">
        <v>2538</v>
      </c>
      <c r="C3091" s="32" t="s">
        <v>2539</v>
      </c>
      <c r="D3091" s="32" t="s">
        <v>59</v>
      </c>
      <c r="E3091" s="32" t="s">
        <v>107</v>
      </c>
      <c r="F3091" s="32" t="n">
        <v>7416516057</v>
      </c>
      <c r="G3091" s="32" t="s">
        <v>80</v>
      </c>
      <c r="H3091" s="32" t="s">
        <v>21</v>
      </c>
      <c r="I3091" s="32" t="s">
        <v>27</v>
      </c>
      <c r="J3091" s="32" t="s">
        <v>13</v>
      </c>
      <c r="K3091" s="32" t="s">
        <v>63</v>
      </c>
    </row>
    <row r="3092" customFormat="false" ht="13.5" hidden="false" customHeight="true" outlineLevel="0" collapsed="false">
      <c r="A3092" s="32" t="n">
        <v>5349</v>
      </c>
      <c r="B3092" s="32" t="s">
        <v>2538</v>
      </c>
      <c r="C3092" s="32" t="s">
        <v>2539</v>
      </c>
      <c r="D3092" s="32" t="s">
        <v>59</v>
      </c>
      <c r="E3092" s="32" t="s">
        <v>107</v>
      </c>
      <c r="F3092" s="32" t="n">
        <v>7416516057</v>
      </c>
      <c r="G3092" s="32" t="s">
        <v>80</v>
      </c>
      <c r="H3092" s="32" t="s">
        <v>21</v>
      </c>
      <c r="I3092" s="32" t="s">
        <v>121</v>
      </c>
      <c r="J3092" s="32" t="s">
        <v>110</v>
      </c>
      <c r="K3092" s="32" t="s">
        <v>63</v>
      </c>
    </row>
    <row r="3093" customFormat="false" ht="13.5" hidden="false" customHeight="true" outlineLevel="0" collapsed="false">
      <c r="A3093" s="32" t="n">
        <v>5350</v>
      </c>
      <c r="B3093" s="32" t="s">
        <v>2538</v>
      </c>
      <c r="C3093" s="32" t="s">
        <v>2539</v>
      </c>
      <c r="D3093" s="32" t="s">
        <v>59</v>
      </c>
      <c r="E3093" s="32" t="s">
        <v>107</v>
      </c>
      <c r="F3093" s="32" t="n">
        <v>7416516057</v>
      </c>
      <c r="G3093" s="32" t="s">
        <v>80</v>
      </c>
      <c r="H3093" s="32" t="s">
        <v>21</v>
      </c>
      <c r="I3093" s="32" t="s">
        <v>30</v>
      </c>
      <c r="J3093" s="32" t="s">
        <v>203</v>
      </c>
      <c r="K3093" s="32" t="s">
        <v>63</v>
      </c>
    </row>
    <row r="3094" customFormat="false" ht="13.5" hidden="false" customHeight="true" outlineLevel="0" collapsed="false">
      <c r="A3094" s="32" t="n">
        <v>5351</v>
      </c>
      <c r="B3094" s="32" t="s">
        <v>2540</v>
      </c>
      <c r="C3094" s="32" t="s">
        <v>2541</v>
      </c>
      <c r="D3094" s="32" t="s">
        <v>102</v>
      </c>
      <c r="E3094" s="32" t="s">
        <v>60</v>
      </c>
      <c r="F3094" s="32" t="n">
        <v>9600117061</v>
      </c>
      <c r="G3094" s="32" t="s">
        <v>0</v>
      </c>
      <c r="H3094" s="32" t="s">
        <v>21</v>
      </c>
      <c r="I3094" s="32" t="s">
        <v>95</v>
      </c>
      <c r="J3094" s="32" t="s">
        <v>96</v>
      </c>
      <c r="K3094" s="32" t="s">
        <v>63</v>
      </c>
    </row>
    <row r="3095" customFormat="false" ht="13.5" hidden="false" customHeight="true" outlineLevel="0" collapsed="false">
      <c r="A3095" s="32" t="n">
        <v>5352</v>
      </c>
      <c r="B3095" s="32" t="s">
        <v>2540</v>
      </c>
      <c r="C3095" s="32" t="s">
        <v>2542</v>
      </c>
      <c r="D3095" s="32" t="s">
        <v>59</v>
      </c>
      <c r="E3095" s="32" t="s">
        <v>60</v>
      </c>
      <c r="F3095" s="32" t="n">
        <v>9600117061</v>
      </c>
      <c r="G3095" s="32" t="s">
        <v>0</v>
      </c>
      <c r="H3095" s="32" t="s">
        <v>21</v>
      </c>
      <c r="I3095" s="32" t="s">
        <v>14</v>
      </c>
      <c r="J3095" s="32" t="s">
        <v>66</v>
      </c>
      <c r="K3095" s="32" t="s">
        <v>63</v>
      </c>
    </row>
    <row r="3096" customFormat="false" ht="13.5" hidden="false" customHeight="true" outlineLevel="0" collapsed="false">
      <c r="A3096" s="32" t="n">
        <v>5353</v>
      </c>
      <c r="B3096" s="32" t="s">
        <v>2540</v>
      </c>
      <c r="C3096" s="32" t="s">
        <v>2543</v>
      </c>
      <c r="D3096" s="32" t="s">
        <v>59</v>
      </c>
      <c r="E3096" s="32" t="s">
        <v>60</v>
      </c>
      <c r="F3096" s="32" t="n">
        <v>9600117061</v>
      </c>
      <c r="G3096" s="32" t="s">
        <v>0</v>
      </c>
      <c r="H3096" s="32" t="s">
        <v>21</v>
      </c>
      <c r="I3096" s="32" t="s">
        <v>29</v>
      </c>
      <c r="J3096" s="32" t="s">
        <v>62</v>
      </c>
      <c r="K3096" s="32" t="s">
        <v>63</v>
      </c>
    </row>
    <row r="3097" customFormat="false" ht="13.5" hidden="false" customHeight="true" outlineLevel="0" collapsed="false">
      <c r="A3097" s="32" t="n">
        <v>5354</v>
      </c>
      <c r="B3097" s="32" t="s">
        <v>2544</v>
      </c>
      <c r="C3097" s="32" t="s">
        <v>2545</v>
      </c>
      <c r="D3097" s="32" t="s">
        <v>331</v>
      </c>
      <c r="E3097" s="32" t="s">
        <v>366</v>
      </c>
      <c r="F3097" s="32" t="n">
        <v>9742072484</v>
      </c>
      <c r="G3097" s="32" t="s">
        <v>61</v>
      </c>
      <c r="H3097" s="32" t="s">
        <v>332</v>
      </c>
      <c r="I3097" s="32" t="s">
        <v>30</v>
      </c>
      <c r="J3097" s="32" t="s">
        <v>203</v>
      </c>
      <c r="K3097" s="32" t="s">
        <v>63</v>
      </c>
    </row>
    <row r="3098" customFormat="false" ht="13.5" hidden="false" customHeight="true" outlineLevel="0" collapsed="false">
      <c r="A3098" s="32" t="n">
        <v>5355</v>
      </c>
      <c r="B3098" s="32" t="s">
        <v>2544</v>
      </c>
      <c r="C3098" s="32" t="s">
        <v>2545</v>
      </c>
      <c r="D3098" s="32" t="s">
        <v>331</v>
      </c>
      <c r="E3098" s="32" t="s">
        <v>366</v>
      </c>
      <c r="F3098" s="32" t="n">
        <v>9742072484</v>
      </c>
      <c r="G3098" s="32" t="s">
        <v>61</v>
      </c>
      <c r="H3098" s="32" t="s">
        <v>332</v>
      </c>
      <c r="I3098" s="32" t="s">
        <v>149</v>
      </c>
      <c r="J3098" s="32" t="s">
        <v>73</v>
      </c>
      <c r="K3098" s="32" t="s">
        <v>63</v>
      </c>
    </row>
    <row r="3099" customFormat="false" ht="13.5" hidden="false" customHeight="true" outlineLevel="0" collapsed="false">
      <c r="A3099" s="32" t="n">
        <v>5356</v>
      </c>
      <c r="B3099" s="32" t="s">
        <v>2544</v>
      </c>
      <c r="C3099" s="32" t="s">
        <v>2545</v>
      </c>
      <c r="D3099" s="32" t="s">
        <v>331</v>
      </c>
      <c r="E3099" s="32" t="s">
        <v>366</v>
      </c>
      <c r="F3099" s="32" t="n">
        <v>9742072484</v>
      </c>
      <c r="G3099" s="32" t="s">
        <v>61</v>
      </c>
      <c r="H3099" s="32" t="s">
        <v>332</v>
      </c>
      <c r="I3099" s="32" t="s">
        <v>2546</v>
      </c>
      <c r="J3099" s="32" t="s">
        <v>62</v>
      </c>
      <c r="K3099" s="32" t="s">
        <v>63</v>
      </c>
    </row>
    <row r="3100" customFormat="false" ht="13.5" hidden="false" customHeight="true" outlineLevel="0" collapsed="false">
      <c r="A3100" s="32" t="n">
        <v>5357</v>
      </c>
      <c r="B3100" s="32" t="s">
        <v>2544</v>
      </c>
      <c r="C3100" s="32" t="s">
        <v>2545</v>
      </c>
      <c r="D3100" s="32" t="s">
        <v>331</v>
      </c>
      <c r="E3100" s="32" t="s">
        <v>366</v>
      </c>
      <c r="F3100" s="32" t="n">
        <v>9742072484</v>
      </c>
      <c r="G3100" s="32" t="s">
        <v>61</v>
      </c>
      <c r="H3100" s="32" t="s">
        <v>332</v>
      </c>
      <c r="I3100" s="32" t="s">
        <v>64</v>
      </c>
      <c r="J3100" s="32" t="s">
        <v>62</v>
      </c>
      <c r="K3100" s="32" t="s">
        <v>63</v>
      </c>
    </row>
    <row r="3101" customFormat="false" ht="13.5" hidden="false" customHeight="true" outlineLevel="0" collapsed="false">
      <c r="A3101" s="32" t="n">
        <v>5358</v>
      </c>
      <c r="B3101" s="32" t="s">
        <v>2544</v>
      </c>
      <c r="C3101" s="32" t="s">
        <v>2545</v>
      </c>
      <c r="D3101" s="32" t="s">
        <v>331</v>
      </c>
      <c r="E3101" s="32" t="s">
        <v>366</v>
      </c>
      <c r="F3101" s="32" t="n">
        <v>9742072484</v>
      </c>
      <c r="G3101" s="32" t="s">
        <v>61</v>
      </c>
      <c r="H3101" s="32" t="s">
        <v>332</v>
      </c>
      <c r="I3101" s="32" t="s">
        <v>29</v>
      </c>
      <c r="J3101" s="32" t="s">
        <v>62</v>
      </c>
      <c r="K3101" s="32" t="s">
        <v>63</v>
      </c>
    </row>
    <row r="3102" customFormat="false" ht="13.5" hidden="false" customHeight="true" outlineLevel="0" collapsed="false">
      <c r="A3102" s="32" t="n">
        <v>5359</v>
      </c>
      <c r="B3102" s="32" t="s">
        <v>2544</v>
      </c>
      <c r="C3102" s="32" t="s">
        <v>2545</v>
      </c>
      <c r="D3102" s="32" t="s">
        <v>331</v>
      </c>
      <c r="E3102" s="32" t="s">
        <v>366</v>
      </c>
      <c r="F3102" s="32" t="n">
        <v>9742072484</v>
      </c>
      <c r="G3102" s="32" t="s">
        <v>61</v>
      </c>
      <c r="H3102" s="32" t="s">
        <v>332</v>
      </c>
      <c r="I3102" s="32" t="s">
        <v>14</v>
      </c>
      <c r="J3102" s="32" t="s">
        <v>66</v>
      </c>
      <c r="K3102" s="32" t="s">
        <v>63</v>
      </c>
    </row>
    <row r="3103" customFormat="false" ht="13.5" hidden="false" customHeight="true" outlineLevel="0" collapsed="false">
      <c r="A3103" s="32" t="n">
        <v>5360</v>
      </c>
      <c r="B3103" s="32" t="s">
        <v>2547</v>
      </c>
      <c r="C3103" s="32" t="s">
        <v>2548</v>
      </c>
      <c r="D3103" s="32" t="s">
        <v>114</v>
      </c>
      <c r="E3103" s="32" t="s">
        <v>165</v>
      </c>
      <c r="F3103" s="32" t="n">
        <v>9302111346</v>
      </c>
      <c r="G3103" s="32" t="s">
        <v>144</v>
      </c>
      <c r="H3103" s="32" t="s">
        <v>22</v>
      </c>
      <c r="I3103" s="32" t="s">
        <v>149</v>
      </c>
      <c r="J3103" s="32" t="s">
        <v>73</v>
      </c>
      <c r="K3103" s="32" t="s">
        <v>63</v>
      </c>
    </row>
    <row r="3104" customFormat="false" ht="13.5" hidden="false" customHeight="true" outlineLevel="0" collapsed="false">
      <c r="A3104" s="32" t="n">
        <v>5361</v>
      </c>
      <c r="B3104" s="32" t="s">
        <v>2549</v>
      </c>
      <c r="C3104" s="32" t="s">
        <v>2550</v>
      </c>
      <c r="D3104" s="32" t="s">
        <v>59</v>
      </c>
      <c r="E3104" s="32" t="s">
        <v>107</v>
      </c>
      <c r="F3104" s="33" t="n">
        <v>917981000000</v>
      </c>
      <c r="G3104" s="32" t="s">
        <v>80</v>
      </c>
      <c r="H3104" s="32" t="s">
        <v>21</v>
      </c>
      <c r="I3104" s="32" t="s">
        <v>145</v>
      </c>
      <c r="J3104" s="32" t="s">
        <v>117</v>
      </c>
      <c r="K3104" s="32" t="s">
        <v>63</v>
      </c>
    </row>
    <row r="3105" customFormat="false" ht="13.5" hidden="false" customHeight="true" outlineLevel="0" collapsed="false">
      <c r="A3105" s="32" t="n">
        <v>5362</v>
      </c>
      <c r="B3105" s="32" t="s">
        <v>2549</v>
      </c>
      <c r="C3105" s="32" t="s">
        <v>2550</v>
      </c>
      <c r="D3105" s="32" t="s">
        <v>59</v>
      </c>
      <c r="E3105" s="32" t="s">
        <v>107</v>
      </c>
      <c r="F3105" s="33" t="n">
        <v>917981000000</v>
      </c>
      <c r="G3105" s="32" t="s">
        <v>80</v>
      </c>
      <c r="H3105" s="32" t="s">
        <v>21</v>
      </c>
      <c r="I3105" s="32" t="s">
        <v>146</v>
      </c>
      <c r="J3105" s="32" t="s">
        <v>117</v>
      </c>
      <c r="K3105" s="32" t="s">
        <v>63</v>
      </c>
    </row>
    <row r="3106" customFormat="false" ht="13.5" hidden="false" customHeight="true" outlineLevel="0" collapsed="false">
      <c r="A3106" s="32" t="n">
        <v>5363</v>
      </c>
      <c r="B3106" s="32" t="s">
        <v>2549</v>
      </c>
      <c r="C3106" s="32" t="s">
        <v>2550</v>
      </c>
      <c r="D3106" s="32" t="s">
        <v>59</v>
      </c>
      <c r="E3106" s="32" t="s">
        <v>107</v>
      </c>
      <c r="F3106" s="33" t="n">
        <v>917981000000</v>
      </c>
      <c r="G3106" s="32" t="s">
        <v>80</v>
      </c>
      <c r="H3106" s="32" t="s">
        <v>21</v>
      </c>
      <c r="I3106" s="32" t="s">
        <v>280</v>
      </c>
      <c r="J3106" s="32" t="s">
        <v>76</v>
      </c>
      <c r="K3106" s="32" t="s">
        <v>63</v>
      </c>
    </row>
    <row r="3107" customFormat="false" ht="13.5" hidden="false" customHeight="true" outlineLevel="0" collapsed="false">
      <c r="A3107" s="32" t="n">
        <v>5364</v>
      </c>
      <c r="B3107" s="32" t="s">
        <v>2551</v>
      </c>
      <c r="C3107" s="32" t="s">
        <v>2552</v>
      </c>
      <c r="D3107" s="32" t="s">
        <v>59</v>
      </c>
      <c r="E3107" s="32" t="s">
        <v>79</v>
      </c>
      <c r="F3107" s="32" t="n">
        <v>7773003390</v>
      </c>
      <c r="G3107" s="32" t="s">
        <v>69</v>
      </c>
      <c r="H3107" s="32" t="s">
        <v>21</v>
      </c>
      <c r="I3107" s="32" t="s">
        <v>151</v>
      </c>
      <c r="J3107" s="32" t="s">
        <v>152</v>
      </c>
      <c r="K3107" s="32" t="s">
        <v>63</v>
      </c>
    </row>
    <row r="3108" customFormat="false" ht="13.5" hidden="false" customHeight="true" outlineLevel="0" collapsed="false">
      <c r="A3108" s="32" t="n">
        <v>5365</v>
      </c>
      <c r="B3108" s="32" t="s">
        <v>2551</v>
      </c>
      <c r="C3108" s="32" t="s">
        <v>2552</v>
      </c>
      <c r="D3108" s="32" t="s">
        <v>59</v>
      </c>
      <c r="E3108" s="32" t="s">
        <v>79</v>
      </c>
      <c r="F3108" s="32" t="n">
        <v>7773003390</v>
      </c>
      <c r="G3108" s="32" t="s">
        <v>69</v>
      </c>
      <c r="H3108" s="32" t="s">
        <v>21</v>
      </c>
      <c r="I3108" s="32" t="s">
        <v>371</v>
      </c>
      <c r="J3108" s="32" t="s">
        <v>152</v>
      </c>
      <c r="K3108" s="32" t="s">
        <v>63</v>
      </c>
    </row>
    <row r="3109" customFormat="false" ht="13.5" hidden="false" customHeight="true" outlineLevel="0" collapsed="false">
      <c r="A3109" s="32" t="n">
        <v>5366</v>
      </c>
      <c r="B3109" s="32" t="s">
        <v>2551</v>
      </c>
      <c r="C3109" s="32" t="s">
        <v>2552</v>
      </c>
      <c r="D3109" s="32" t="s">
        <v>59</v>
      </c>
      <c r="E3109" s="32" t="s">
        <v>79</v>
      </c>
      <c r="F3109" s="33" t="n">
        <v>917879000000</v>
      </c>
      <c r="G3109" s="32" t="s">
        <v>144</v>
      </c>
      <c r="H3109" s="32" t="s">
        <v>21</v>
      </c>
      <c r="I3109" s="32" t="s">
        <v>151</v>
      </c>
      <c r="J3109" s="32" t="s">
        <v>152</v>
      </c>
      <c r="K3109" s="32" t="s">
        <v>63</v>
      </c>
    </row>
    <row r="3110" customFormat="false" ht="13.5" hidden="false" customHeight="true" outlineLevel="0" collapsed="false">
      <c r="A3110" s="32" t="n">
        <v>5367</v>
      </c>
      <c r="B3110" s="32" t="s">
        <v>2551</v>
      </c>
      <c r="C3110" s="32" t="s">
        <v>2552</v>
      </c>
      <c r="D3110" s="32" t="s">
        <v>59</v>
      </c>
      <c r="E3110" s="32" t="s">
        <v>79</v>
      </c>
      <c r="F3110" s="33" t="n">
        <v>917879000000</v>
      </c>
      <c r="G3110" s="32" t="s">
        <v>144</v>
      </c>
      <c r="H3110" s="32" t="s">
        <v>21</v>
      </c>
      <c r="I3110" s="32" t="s">
        <v>93</v>
      </c>
      <c r="J3110" s="32" t="s">
        <v>85</v>
      </c>
      <c r="K3110" s="32" t="s">
        <v>63</v>
      </c>
    </row>
    <row r="3111" customFormat="false" ht="13.5" hidden="false" customHeight="true" outlineLevel="0" collapsed="false">
      <c r="A3111" s="32" t="n">
        <v>5368</v>
      </c>
      <c r="B3111" s="32" t="s">
        <v>2551</v>
      </c>
      <c r="C3111" s="32" t="s">
        <v>2552</v>
      </c>
      <c r="D3111" s="32" t="s">
        <v>59</v>
      </c>
      <c r="E3111" s="32" t="s">
        <v>79</v>
      </c>
      <c r="F3111" s="33" t="n">
        <v>917879000000</v>
      </c>
      <c r="G3111" s="32" t="s">
        <v>144</v>
      </c>
      <c r="H3111" s="32" t="s">
        <v>21</v>
      </c>
      <c r="I3111" s="32" t="s">
        <v>234</v>
      </c>
      <c r="J3111" s="32" t="s">
        <v>235</v>
      </c>
      <c r="K3111" s="32" t="s">
        <v>63</v>
      </c>
    </row>
    <row r="3112" customFormat="false" ht="13.5" hidden="false" customHeight="true" outlineLevel="0" collapsed="false">
      <c r="A3112" s="32" t="n">
        <v>5369</v>
      </c>
      <c r="B3112" s="32" t="s">
        <v>2553</v>
      </c>
      <c r="C3112" s="32" t="s">
        <v>2554</v>
      </c>
      <c r="D3112" s="32" t="s">
        <v>59</v>
      </c>
      <c r="E3112" s="32" t="s">
        <v>143</v>
      </c>
      <c r="F3112" s="33" t="n">
        <v>917980000000</v>
      </c>
      <c r="G3112" s="32" t="s">
        <v>140</v>
      </c>
      <c r="H3112" s="32" t="s">
        <v>21</v>
      </c>
      <c r="I3112" s="32" t="s">
        <v>27</v>
      </c>
      <c r="J3112" s="32" t="s">
        <v>13</v>
      </c>
      <c r="K3112" s="32" t="s">
        <v>63</v>
      </c>
    </row>
    <row r="3113" customFormat="false" ht="13.5" hidden="false" customHeight="true" outlineLevel="0" collapsed="false">
      <c r="A3113" s="32" t="n">
        <v>5370</v>
      </c>
      <c r="B3113" s="32" t="s">
        <v>2553</v>
      </c>
      <c r="C3113" s="32" t="s">
        <v>2554</v>
      </c>
      <c r="D3113" s="32" t="s">
        <v>59</v>
      </c>
      <c r="E3113" s="32" t="s">
        <v>143</v>
      </c>
      <c r="F3113" s="33" t="n">
        <v>917980000000</v>
      </c>
      <c r="G3113" s="32" t="s">
        <v>140</v>
      </c>
      <c r="H3113" s="32" t="s">
        <v>21</v>
      </c>
      <c r="I3113" s="32" t="s">
        <v>30</v>
      </c>
      <c r="J3113" s="32" t="s">
        <v>203</v>
      </c>
      <c r="K3113" s="32" t="s">
        <v>63</v>
      </c>
    </row>
    <row r="3114" customFormat="false" ht="13.5" hidden="false" customHeight="true" outlineLevel="0" collapsed="false">
      <c r="A3114" s="32" t="n">
        <v>5371</v>
      </c>
      <c r="B3114" s="32" t="s">
        <v>2553</v>
      </c>
      <c r="C3114" s="32" t="s">
        <v>2554</v>
      </c>
      <c r="D3114" s="32" t="s">
        <v>59</v>
      </c>
      <c r="E3114" s="32" t="s">
        <v>143</v>
      </c>
      <c r="F3114" s="33" t="n">
        <v>917980000000</v>
      </c>
      <c r="G3114" s="32" t="s">
        <v>140</v>
      </c>
      <c r="H3114" s="32" t="s">
        <v>21</v>
      </c>
      <c r="I3114" s="32" t="s">
        <v>146</v>
      </c>
      <c r="J3114" s="32" t="s">
        <v>117</v>
      </c>
      <c r="K3114" s="32" t="s">
        <v>63</v>
      </c>
    </row>
    <row r="3115" customFormat="false" ht="13.5" hidden="false" customHeight="true" outlineLevel="0" collapsed="false">
      <c r="A3115" s="32" t="n">
        <v>5372</v>
      </c>
      <c r="B3115" s="32" t="s">
        <v>2555</v>
      </c>
      <c r="C3115" s="32" t="s">
        <v>2556</v>
      </c>
      <c r="D3115" s="32" t="s">
        <v>59</v>
      </c>
      <c r="E3115" s="32" t="s">
        <v>143</v>
      </c>
      <c r="F3115" s="33" t="n">
        <v>919830000000</v>
      </c>
      <c r="G3115" s="32" t="s">
        <v>140</v>
      </c>
      <c r="H3115" s="32" t="s">
        <v>21</v>
      </c>
      <c r="I3115" s="32" t="s">
        <v>108</v>
      </c>
      <c r="J3115" s="32" t="s">
        <v>71</v>
      </c>
      <c r="K3115" s="32" t="s">
        <v>63</v>
      </c>
    </row>
    <row r="3116" customFormat="false" ht="13.5" hidden="false" customHeight="true" outlineLevel="0" collapsed="false">
      <c r="A3116" s="32" t="n">
        <v>5373</v>
      </c>
      <c r="B3116" s="32" t="s">
        <v>2555</v>
      </c>
      <c r="C3116" s="32" t="s">
        <v>2556</v>
      </c>
      <c r="D3116" s="32" t="s">
        <v>59</v>
      </c>
      <c r="E3116" s="32" t="s">
        <v>143</v>
      </c>
      <c r="F3116" s="33" t="n">
        <v>919830000000</v>
      </c>
      <c r="G3116" s="32" t="s">
        <v>140</v>
      </c>
      <c r="H3116" s="32" t="s">
        <v>21</v>
      </c>
      <c r="I3116" s="32" t="s">
        <v>121</v>
      </c>
      <c r="J3116" s="32" t="s">
        <v>110</v>
      </c>
      <c r="K3116" s="32" t="s">
        <v>63</v>
      </c>
    </row>
    <row r="3117" customFormat="false" ht="13.5" hidden="false" customHeight="true" outlineLevel="0" collapsed="false">
      <c r="A3117" s="32" t="n">
        <v>5374</v>
      </c>
      <c r="B3117" s="32" t="s">
        <v>2555</v>
      </c>
      <c r="C3117" s="32" t="s">
        <v>2556</v>
      </c>
      <c r="D3117" s="32" t="s">
        <v>59</v>
      </c>
      <c r="E3117" s="32" t="s">
        <v>143</v>
      </c>
      <c r="F3117" s="33" t="n">
        <v>919830000000</v>
      </c>
      <c r="G3117" s="32" t="s">
        <v>140</v>
      </c>
      <c r="H3117" s="32" t="s">
        <v>21</v>
      </c>
      <c r="I3117" s="32" t="s">
        <v>145</v>
      </c>
      <c r="J3117" s="32" t="s">
        <v>117</v>
      </c>
      <c r="K3117" s="32" t="s">
        <v>63</v>
      </c>
    </row>
    <row r="3118" customFormat="false" ht="13.5" hidden="false" customHeight="true" outlineLevel="0" collapsed="false">
      <c r="A3118" s="32" t="n">
        <v>6901</v>
      </c>
      <c r="B3118" s="32" t="s">
        <v>2555</v>
      </c>
      <c r="C3118" s="32" t="s">
        <v>2557</v>
      </c>
      <c r="D3118" s="32" t="s">
        <v>59</v>
      </c>
      <c r="E3118" s="32" t="s">
        <v>143</v>
      </c>
      <c r="F3118" s="32" t="n">
        <v>9830070755</v>
      </c>
      <c r="G3118" s="32" t="s">
        <v>140</v>
      </c>
      <c r="H3118" s="32" t="s">
        <v>21</v>
      </c>
      <c r="I3118" s="32" t="s">
        <v>27</v>
      </c>
      <c r="J3118" s="32" t="s">
        <v>13</v>
      </c>
      <c r="K3118" s="32" t="s">
        <v>63</v>
      </c>
    </row>
    <row r="3119" customFormat="false" ht="13.5" hidden="false" customHeight="true" outlineLevel="0" collapsed="false">
      <c r="A3119" s="32" t="n">
        <v>5376</v>
      </c>
      <c r="B3119" s="32" t="s">
        <v>2558</v>
      </c>
      <c r="C3119" s="32" t="s">
        <v>2559</v>
      </c>
      <c r="D3119" s="32" t="s">
        <v>59</v>
      </c>
      <c r="E3119" s="32" t="s">
        <v>107</v>
      </c>
      <c r="F3119" s="33" t="n">
        <v>918017000000</v>
      </c>
      <c r="G3119" s="32" t="s">
        <v>140</v>
      </c>
      <c r="H3119" s="32" t="s">
        <v>21</v>
      </c>
      <c r="I3119" s="32" t="s">
        <v>30</v>
      </c>
      <c r="J3119" s="32" t="s">
        <v>203</v>
      </c>
      <c r="K3119" s="32" t="s">
        <v>63</v>
      </c>
    </row>
    <row r="3120" customFormat="false" ht="13.5" hidden="false" customHeight="true" outlineLevel="0" collapsed="false">
      <c r="A3120" s="32" t="n">
        <v>5377</v>
      </c>
      <c r="B3120" s="32" t="s">
        <v>2558</v>
      </c>
      <c r="C3120" s="32" t="s">
        <v>2559</v>
      </c>
      <c r="D3120" s="32" t="s">
        <v>59</v>
      </c>
      <c r="E3120" s="32" t="s">
        <v>107</v>
      </c>
      <c r="F3120" s="33" t="n">
        <v>918017000000</v>
      </c>
      <c r="G3120" s="32" t="s">
        <v>140</v>
      </c>
      <c r="H3120" s="32" t="s">
        <v>21</v>
      </c>
      <c r="I3120" s="32" t="s">
        <v>826</v>
      </c>
      <c r="J3120" s="32" t="s">
        <v>84</v>
      </c>
      <c r="K3120" s="32" t="s">
        <v>63</v>
      </c>
    </row>
    <row r="3121" customFormat="false" ht="13.5" hidden="false" customHeight="true" outlineLevel="0" collapsed="false">
      <c r="A3121" s="32" t="n">
        <v>5378</v>
      </c>
      <c r="B3121" s="32" t="s">
        <v>2558</v>
      </c>
      <c r="C3121" s="32" t="s">
        <v>2559</v>
      </c>
      <c r="D3121" s="32" t="s">
        <v>59</v>
      </c>
      <c r="E3121" s="32" t="s">
        <v>107</v>
      </c>
      <c r="F3121" s="32" t="n">
        <v>8017123710</v>
      </c>
      <c r="G3121" s="32" t="s">
        <v>140</v>
      </c>
      <c r="H3121" s="32" t="s">
        <v>21</v>
      </c>
      <c r="I3121" s="32" t="s">
        <v>116</v>
      </c>
      <c r="J3121" s="32" t="s">
        <v>117</v>
      </c>
      <c r="K3121" s="32" t="s">
        <v>63</v>
      </c>
    </row>
    <row r="3122" customFormat="false" ht="13.5" hidden="false" customHeight="true" outlineLevel="0" collapsed="false">
      <c r="A3122" s="32" t="n">
        <v>5379</v>
      </c>
      <c r="B3122" s="32" t="s">
        <v>2560</v>
      </c>
      <c r="C3122" s="32" t="s">
        <v>2561</v>
      </c>
      <c r="D3122" s="32" t="s">
        <v>59</v>
      </c>
      <c r="E3122" s="32" t="s">
        <v>79</v>
      </c>
      <c r="F3122" s="33" t="n">
        <v>918981000000</v>
      </c>
      <c r="G3122" s="32" t="s">
        <v>61</v>
      </c>
      <c r="H3122" s="32" t="s">
        <v>21</v>
      </c>
      <c r="I3122" s="32" t="s">
        <v>93</v>
      </c>
      <c r="J3122" s="32" t="s">
        <v>85</v>
      </c>
      <c r="K3122" s="32" t="s">
        <v>63</v>
      </c>
    </row>
    <row r="3123" customFormat="false" ht="13.5" hidden="false" customHeight="true" outlineLevel="0" collapsed="false">
      <c r="A3123" s="32" t="n">
        <v>5380</v>
      </c>
      <c r="B3123" s="32" t="s">
        <v>2560</v>
      </c>
      <c r="C3123" s="32" t="s">
        <v>2561</v>
      </c>
      <c r="D3123" s="32" t="s">
        <v>59</v>
      </c>
      <c r="E3123" s="32" t="s">
        <v>79</v>
      </c>
      <c r="F3123" s="33" t="n">
        <v>918981000000</v>
      </c>
      <c r="G3123" s="32" t="s">
        <v>61</v>
      </c>
      <c r="H3123" s="32" t="s">
        <v>21</v>
      </c>
      <c r="I3123" s="32" t="s">
        <v>133</v>
      </c>
      <c r="J3123" s="32" t="s">
        <v>134</v>
      </c>
      <c r="K3123" s="32" t="s">
        <v>63</v>
      </c>
    </row>
    <row r="3124" customFormat="false" ht="13.5" hidden="false" customHeight="true" outlineLevel="0" collapsed="false">
      <c r="A3124" s="32" t="n">
        <v>5381</v>
      </c>
      <c r="B3124" s="32" t="s">
        <v>2560</v>
      </c>
      <c r="C3124" s="32" t="s">
        <v>2561</v>
      </c>
      <c r="D3124" s="32" t="s">
        <v>59</v>
      </c>
      <c r="E3124" s="32" t="s">
        <v>79</v>
      </c>
      <c r="F3124" s="33" t="n">
        <v>918981000000</v>
      </c>
      <c r="G3124" s="32" t="s">
        <v>61</v>
      </c>
      <c r="H3124" s="32" t="s">
        <v>21</v>
      </c>
      <c r="I3124" s="32" t="s">
        <v>172</v>
      </c>
      <c r="J3124" s="32" t="s">
        <v>152</v>
      </c>
      <c r="K3124" s="32" t="s">
        <v>63</v>
      </c>
    </row>
    <row r="3125" customFormat="false" ht="13.5" hidden="false" customHeight="true" outlineLevel="0" collapsed="false">
      <c r="A3125" s="32" t="n">
        <v>5386</v>
      </c>
      <c r="B3125" s="32" t="s">
        <v>2562</v>
      </c>
      <c r="C3125" s="32" t="s">
        <v>2563</v>
      </c>
      <c r="D3125" s="32" t="s">
        <v>59</v>
      </c>
      <c r="E3125" s="32" t="s">
        <v>60</v>
      </c>
      <c r="F3125" s="33" t="n">
        <v>918650000000</v>
      </c>
      <c r="G3125" s="32" t="s">
        <v>61</v>
      </c>
      <c r="H3125" s="32" t="s">
        <v>21</v>
      </c>
      <c r="I3125" s="32" t="s">
        <v>156</v>
      </c>
      <c r="J3125" s="32" t="s">
        <v>62</v>
      </c>
      <c r="K3125" s="32" t="s">
        <v>63</v>
      </c>
    </row>
    <row r="3126" customFormat="false" ht="13.5" hidden="false" customHeight="true" outlineLevel="0" collapsed="false">
      <c r="A3126" s="32" t="n">
        <v>5387</v>
      </c>
      <c r="B3126" s="32" t="s">
        <v>2562</v>
      </c>
      <c r="C3126" s="32" t="s">
        <v>2563</v>
      </c>
      <c r="D3126" s="32" t="s">
        <v>59</v>
      </c>
      <c r="E3126" s="32" t="s">
        <v>60</v>
      </c>
      <c r="F3126" s="33" t="n">
        <v>918650000000</v>
      </c>
      <c r="G3126" s="32" t="s">
        <v>61</v>
      </c>
      <c r="H3126" s="32" t="s">
        <v>21</v>
      </c>
      <c r="I3126" s="32" t="s">
        <v>29</v>
      </c>
      <c r="J3126" s="32" t="s">
        <v>62</v>
      </c>
      <c r="K3126" s="32" t="s">
        <v>63</v>
      </c>
    </row>
    <row r="3127" customFormat="false" ht="13.5" hidden="false" customHeight="true" outlineLevel="0" collapsed="false">
      <c r="A3127" s="32" t="n">
        <v>5388</v>
      </c>
      <c r="B3127" s="32" t="s">
        <v>2562</v>
      </c>
      <c r="C3127" s="32" t="s">
        <v>2563</v>
      </c>
      <c r="D3127" s="32" t="s">
        <v>59</v>
      </c>
      <c r="E3127" s="32" t="s">
        <v>60</v>
      </c>
      <c r="F3127" s="33" t="n">
        <v>918650000000</v>
      </c>
      <c r="G3127" s="32" t="s">
        <v>61</v>
      </c>
      <c r="H3127" s="32" t="s">
        <v>21</v>
      </c>
      <c r="I3127" s="32" t="s">
        <v>14</v>
      </c>
      <c r="J3127" s="32" t="s">
        <v>66</v>
      </c>
      <c r="K3127" s="32" t="s">
        <v>63</v>
      </c>
    </row>
    <row r="3128" customFormat="false" ht="13.5" hidden="false" customHeight="true" outlineLevel="0" collapsed="false">
      <c r="A3128" s="32" t="n">
        <v>5389</v>
      </c>
      <c r="B3128" s="32" t="s">
        <v>2564</v>
      </c>
      <c r="C3128" s="32" t="s">
        <v>2565</v>
      </c>
      <c r="D3128" s="32" t="s">
        <v>59</v>
      </c>
      <c r="E3128" s="32" t="s">
        <v>60</v>
      </c>
      <c r="F3128" s="33" t="n">
        <v>918553000000</v>
      </c>
      <c r="G3128" s="32" t="s">
        <v>61</v>
      </c>
      <c r="H3128" s="32" t="s">
        <v>21</v>
      </c>
      <c r="I3128" s="32" t="s">
        <v>14</v>
      </c>
      <c r="J3128" s="32" t="s">
        <v>66</v>
      </c>
      <c r="K3128" s="32" t="s">
        <v>63</v>
      </c>
    </row>
    <row r="3129" customFormat="false" ht="13.5" hidden="false" customHeight="true" outlineLevel="0" collapsed="false">
      <c r="A3129" s="32" t="n">
        <v>5390</v>
      </c>
      <c r="B3129" s="32" t="s">
        <v>2564</v>
      </c>
      <c r="C3129" s="32" t="s">
        <v>2566</v>
      </c>
      <c r="D3129" s="32" t="s">
        <v>59</v>
      </c>
      <c r="E3129" s="32" t="s">
        <v>60</v>
      </c>
      <c r="F3129" s="33" t="n">
        <v>918553000000</v>
      </c>
      <c r="G3129" s="32" t="s">
        <v>61</v>
      </c>
      <c r="H3129" s="32" t="s">
        <v>21</v>
      </c>
      <c r="I3129" s="32" t="s">
        <v>156</v>
      </c>
      <c r="J3129" s="32" t="s">
        <v>62</v>
      </c>
      <c r="K3129" s="32" t="s">
        <v>63</v>
      </c>
    </row>
    <row r="3130" customFormat="false" ht="13.5" hidden="false" customHeight="true" outlineLevel="0" collapsed="false">
      <c r="A3130" s="32" t="n">
        <v>5391</v>
      </c>
      <c r="B3130" s="32" t="s">
        <v>2564</v>
      </c>
      <c r="C3130" s="32" t="s">
        <v>2566</v>
      </c>
      <c r="D3130" s="32" t="s">
        <v>59</v>
      </c>
      <c r="E3130" s="32" t="s">
        <v>60</v>
      </c>
      <c r="F3130" s="33" t="n">
        <v>918553000000</v>
      </c>
      <c r="G3130" s="32" t="s">
        <v>61</v>
      </c>
      <c r="H3130" s="32" t="s">
        <v>21</v>
      </c>
      <c r="I3130" s="32" t="s">
        <v>29</v>
      </c>
      <c r="J3130" s="32" t="s">
        <v>62</v>
      </c>
      <c r="K3130" s="32" t="s">
        <v>63</v>
      </c>
    </row>
    <row r="3131" customFormat="false" ht="13.5" hidden="false" customHeight="true" outlineLevel="0" collapsed="false">
      <c r="A3131" s="32" t="n">
        <v>5392</v>
      </c>
      <c r="B3131" s="32" t="s">
        <v>2567</v>
      </c>
      <c r="C3131" s="32" t="s">
        <v>2568</v>
      </c>
      <c r="D3131" s="32" t="s">
        <v>59</v>
      </c>
      <c r="E3131" s="32" t="s">
        <v>107</v>
      </c>
      <c r="F3131" s="32" t="s">
        <v>2569</v>
      </c>
      <c r="G3131" s="32" t="s">
        <v>61</v>
      </c>
      <c r="H3131" s="32" t="s">
        <v>21</v>
      </c>
      <c r="I3131" s="32" t="s">
        <v>76</v>
      </c>
      <c r="J3131" s="32" t="s">
        <v>76</v>
      </c>
      <c r="K3131" s="32" t="s">
        <v>63</v>
      </c>
    </row>
    <row r="3132" customFormat="false" ht="13.5" hidden="false" customHeight="true" outlineLevel="0" collapsed="false">
      <c r="A3132" s="32" t="n">
        <v>5393</v>
      </c>
      <c r="B3132" s="32" t="s">
        <v>2570</v>
      </c>
      <c r="C3132" s="32" t="s">
        <v>2571</v>
      </c>
      <c r="D3132" s="32" t="s">
        <v>114</v>
      </c>
      <c r="E3132" s="32" t="s">
        <v>115</v>
      </c>
      <c r="F3132" s="32" t="n">
        <v>8767272275</v>
      </c>
      <c r="G3132" s="32" t="s">
        <v>144</v>
      </c>
      <c r="H3132" s="32" t="s">
        <v>22</v>
      </c>
      <c r="I3132" s="32" t="s">
        <v>109</v>
      </c>
      <c r="J3132" s="32" t="s">
        <v>110</v>
      </c>
      <c r="K3132" s="32" t="s">
        <v>63</v>
      </c>
    </row>
    <row r="3133" customFormat="false" ht="13.5" hidden="false" customHeight="true" outlineLevel="0" collapsed="false">
      <c r="A3133" s="32" t="n">
        <v>5394</v>
      </c>
      <c r="B3133" s="32" t="s">
        <v>2570</v>
      </c>
      <c r="C3133" s="32" t="s">
        <v>2571</v>
      </c>
      <c r="D3133" s="32" t="s">
        <v>114</v>
      </c>
      <c r="E3133" s="32" t="s">
        <v>115</v>
      </c>
      <c r="F3133" s="32" t="n">
        <v>8767272275</v>
      </c>
      <c r="G3133" s="32" t="s">
        <v>144</v>
      </c>
      <c r="H3133" s="32" t="s">
        <v>22</v>
      </c>
      <c r="I3133" s="32" t="s">
        <v>145</v>
      </c>
      <c r="J3133" s="32" t="s">
        <v>117</v>
      </c>
      <c r="K3133" s="32" t="s">
        <v>63</v>
      </c>
    </row>
    <row r="3134" customFormat="false" ht="13.5" hidden="false" customHeight="true" outlineLevel="0" collapsed="false">
      <c r="A3134" s="32" t="n">
        <v>5395</v>
      </c>
      <c r="B3134" s="32" t="s">
        <v>2572</v>
      </c>
      <c r="C3134" s="32" t="s">
        <v>2573</v>
      </c>
      <c r="D3134" s="32" t="s">
        <v>114</v>
      </c>
      <c r="E3134" s="32" t="n">
        <v>0</v>
      </c>
      <c r="F3134" s="32" t="n">
        <v>0</v>
      </c>
      <c r="G3134" s="32" t="s">
        <v>61</v>
      </c>
      <c r="H3134" s="32" t="s">
        <v>22</v>
      </c>
      <c r="I3134" s="32" t="s">
        <v>284</v>
      </c>
      <c r="J3134" s="32" t="s">
        <v>117</v>
      </c>
      <c r="K3134" s="32" t="s">
        <v>63</v>
      </c>
    </row>
    <row r="3135" customFormat="false" ht="13.5" hidden="false" customHeight="true" outlineLevel="0" collapsed="false">
      <c r="A3135" s="32" t="n">
        <v>5396</v>
      </c>
      <c r="B3135" s="32" t="s">
        <v>2572</v>
      </c>
      <c r="C3135" s="32" t="s">
        <v>2573</v>
      </c>
      <c r="D3135" s="32" t="s">
        <v>114</v>
      </c>
      <c r="E3135" s="32" t="n">
        <v>0</v>
      </c>
      <c r="F3135" s="32" t="n">
        <v>0</v>
      </c>
      <c r="G3135" s="32" t="s">
        <v>61</v>
      </c>
      <c r="H3135" s="32" t="s">
        <v>22</v>
      </c>
      <c r="I3135" s="32" t="s">
        <v>151</v>
      </c>
      <c r="J3135" s="32" t="s">
        <v>152</v>
      </c>
      <c r="K3135" s="32" t="s">
        <v>63</v>
      </c>
    </row>
    <row r="3136" customFormat="false" ht="13.5" hidden="false" customHeight="true" outlineLevel="0" collapsed="false">
      <c r="A3136" s="32" t="n">
        <v>5397</v>
      </c>
      <c r="B3136" s="32" t="s">
        <v>2572</v>
      </c>
      <c r="C3136" s="32" t="s">
        <v>2573</v>
      </c>
      <c r="D3136" s="32" t="s">
        <v>114</v>
      </c>
      <c r="E3136" s="32" t="n">
        <v>0</v>
      </c>
      <c r="F3136" s="32" t="n">
        <v>0</v>
      </c>
      <c r="G3136" s="32" t="s">
        <v>61</v>
      </c>
      <c r="H3136" s="32" t="s">
        <v>22</v>
      </c>
      <c r="I3136" s="32" t="s">
        <v>30</v>
      </c>
      <c r="J3136" s="32" t="s">
        <v>203</v>
      </c>
      <c r="K3136" s="32" t="s">
        <v>63</v>
      </c>
    </row>
    <row r="3137" customFormat="false" ht="13.5" hidden="false" customHeight="true" outlineLevel="0" collapsed="false">
      <c r="A3137" s="32" t="n">
        <v>5398</v>
      </c>
      <c r="B3137" s="32" t="s">
        <v>2574</v>
      </c>
      <c r="C3137" s="32" t="s">
        <v>2575</v>
      </c>
      <c r="D3137" s="32" t="s">
        <v>59</v>
      </c>
      <c r="E3137" s="32" t="s">
        <v>107</v>
      </c>
      <c r="F3137" s="33" t="n">
        <v>919792000000</v>
      </c>
      <c r="G3137" s="32" t="s">
        <v>61</v>
      </c>
      <c r="H3137" s="32" t="s">
        <v>21</v>
      </c>
      <c r="I3137" s="32" t="s">
        <v>149</v>
      </c>
      <c r="J3137" s="32" t="s">
        <v>73</v>
      </c>
      <c r="K3137" s="32" t="s">
        <v>63</v>
      </c>
    </row>
    <row r="3138" customFormat="false" ht="13.5" hidden="false" customHeight="true" outlineLevel="0" collapsed="false">
      <c r="A3138" s="32" t="n">
        <v>5399</v>
      </c>
      <c r="B3138" s="32" t="s">
        <v>2574</v>
      </c>
      <c r="C3138" s="32" t="s">
        <v>2576</v>
      </c>
      <c r="D3138" s="32" t="s">
        <v>59</v>
      </c>
      <c r="E3138" s="32" t="s">
        <v>107</v>
      </c>
      <c r="F3138" s="32" t="n">
        <v>9791650032</v>
      </c>
      <c r="G3138" s="32" t="s">
        <v>61</v>
      </c>
      <c r="H3138" s="32" t="s">
        <v>21</v>
      </c>
      <c r="I3138" s="32" t="s">
        <v>212</v>
      </c>
      <c r="J3138" s="32" t="s">
        <v>73</v>
      </c>
      <c r="K3138" s="32" t="s">
        <v>63</v>
      </c>
    </row>
    <row r="3139" customFormat="false" ht="13.5" hidden="false" customHeight="true" outlineLevel="0" collapsed="false">
      <c r="A3139" s="32" t="n">
        <v>5400</v>
      </c>
      <c r="B3139" s="32" t="s">
        <v>2574</v>
      </c>
      <c r="C3139" s="32" t="s">
        <v>2576</v>
      </c>
      <c r="D3139" s="32" t="s">
        <v>59</v>
      </c>
      <c r="E3139" s="32" t="s">
        <v>107</v>
      </c>
      <c r="F3139" s="32" t="n">
        <v>9791650032</v>
      </c>
      <c r="G3139" s="32" t="s">
        <v>61</v>
      </c>
      <c r="H3139" s="32" t="s">
        <v>21</v>
      </c>
      <c r="I3139" s="32" t="s">
        <v>150</v>
      </c>
      <c r="J3139" s="32" t="s">
        <v>73</v>
      </c>
      <c r="K3139" s="32" t="s">
        <v>63</v>
      </c>
    </row>
    <row r="3140" customFormat="false" ht="13.5" hidden="false" customHeight="true" outlineLevel="0" collapsed="false">
      <c r="A3140" s="32" t="n">
        <v>5401</v>
      </c>
      <c r="B3140" s="32" t="s">
        <v>2574</v>
      </c>
      <c r="C3140" s="32" t="s">
        <v>2576</v>
      </c>
      <c r="D3140" s="32" t="s">
        <v>59</v>
      </c>
      <c r="E3140" s="32" t="s">
        <v>107</v>
      </c>
      <c r="F3140" s="33" t="n">
        <v>919792000000</v>
      </c>
      <c r="G3140" s="32" t="s">
        <v>61</v>
      </c>
      <c r="H3140" s="32" t="s">
        <v>21</v>
      </c>
      <c r="I3140" s="32" t="s">
        <v>27</v>
      </c>
      <c r="J3140" s="32" t="s">
        <v>13</v>
      </c>
      <c r="K3140" s="32" t="s">
        <v>63</v>
      </c>
    </row>
    <row r="3141" customFormat="false" ht="13.5" hidden="false" customHeight="true" outlineLevel="0" collapsed="false">
      <c r="A3141" s="32" t="n">
        <v>5402</v>
      </c>
      <c r="B3141" s="32" t="s">
        <v>2574</v>
      </c>
      <c r="C3141" s="32" t="s">
        <v>2576</v>
      </c>
      <c r="D3141" s="32" t="s">
        <v>59</v>
      </c>
      <c r="E3141" s="32" t="s">
        <v>107</v>
      </c>
      <c r="F3141" s="32" t="n">
        <v>9791650032</v>
      </c>
      <c r="G3141" s="32" t="s">
        <v>61</v>
      </c>
      <c r="H3141" s="32" t="s">
        <v>21</v>
      </c>
      <c r="I3141" s="32" t="s">
        <v>111</v>
      </c>
      <c r="J3141" s="32" t="s">
        <v>73</v>
      </c>
      <c r="K3141" s="32" t="s">
        <v>63</v>
      </c>
    </row>
    <row r="3142" customFormat="false" ht="13.5" hidden="false" customHeight="true" outlineLevel="0" collapsed="false">
      <c r="A3142" s="32" t="n">
        <v>5403</v>
      </c>
      <c r="B3142" s="32" t="s">
        <v>2574</v>
      </c>
      <c r="C3142" s="32" t="s">
        <v>2576</v>
      </c>
      <c r="D3142" s="32" t="s">
        <v>59</v>
      </c>
      <c r="E3142" s="32" t="s">
        <v>107</v>
      </c>
      <c r="F3142" s="33" t="n">
        <v>919792000000</v>
      </c>
      <c r="G3142" s="32" t="s">
        <v>61</v>
      </c>
      <c r="H3142" s="32" t="s">
        <v>21</v>
      </c>
      <c r="I3142" s="32" t="s">
        <v>150</v>
      </c>
      <c r="J3142" s="32" t="s">
        <v>73</v>
      </c>
      <c r="K3142" s="32" t="s">
        <v>63</v>
      </c>
    </row>
    <row r="3143" customFormat="false" ht="13.5" hidden="false" customHeight="true" outlineLevel="0" collapsed="false">
      <c r="A3143" s="32" t="n">
        <v>5405</v>
      </c>
      <c r="B3143" s="32" t="s">
        <v>2574</v>
      </c>
      <c r="C3143" s="32" t="s">
        <v>2576</v>
      </c>
      <c r="D3143" s="32" t="s">
        <v>59</v>
      </c>
      <c r="E3143" s="32" t="s">
        <v>107</v>
      </c>
      <c r="F3143" s="33" t="n">
        <v>919792000000</v>
      </c>
      <c r="G3143" s="32" t="s">
        <v>61</v>
      </c>
      <c r="H3143" s="32" t="s">
        <v>21</v>
      </c>
      <c r="I3143" s="32" t="s">
        <v>212</v>
      </c>
      <c r="J3143" s="32" t="s">
        <v>73</v>
      </c>
      <c r="K3143" s="32" t="s">
        <v>63</v>
      </c>
    </row>
    <row r="3144" customFormat="false" ht="13.5" hidden="false" customHeight="true" outlineLevel="0" collapsed="false">
      <c r="A3144" s="32" t="n">
        <v>5406</v>
      </c>
      <c r="B3144" s="32" t="s">
        <v>2577</v>
      </c>
      <c r="C3144" s="32" t="s">
        <v>2578</v>
      </c>
      <c r="D3144" s="32" t="s">
        <v>59</v>
      </c>
      <c r="E3144" s="32" t="s">
        <v>107</v>
      </c>
      <c r="F3144" s="32" t="n">
        <v>9937905900</v>
      </c>
      <c r="G3144" s="32" t="s">
        <v>61</v>
      </c>
      <c r="H3144" s="32" t="s">
        <v>21</v>
      </c>
      <c r="I3144" s="32" t="s">
        <v>185</v>
      </c>
      <c r="J3144" s="32" t="s">
        <v>186</v>
      </c>
      <c r="K3144" s="32" t="s">
        <v>63</v>
      </c>
    </row>
    <row r="3145" customFormat="false" ht="13.5" hidden="false" customHeight="true" outlineLevel="0" collapsed="false">
      <c r="A3145" s="32" t="n">
        <v>5407</v>
      </c>
      <c r="B3145" s="32" t="s">
        <v>2577</v>
      </c>
      <c r="C3145" s="32" t="s">
        <v>2578</v>
      </c>
      <c r="D3145" s="32" t="s">
        <v>59</v>
      </c>
      <c r="E3145" s="32" t="s">
        <v>107</v>
      </c>
      <c r="F3145" s="32" t="n">
        <v>9937905900</v>
      </c>
      <c r="G3145" s="32" t="s">
        <v>61</v>
      </c>
      <c r="H3145" s="32" t="s">
        <v>21</v>
      </c>
      <c r="I3145" s="32" t="s">
        <v>254</v>
      </c>
      <c r="J3145" s="32" t="s">
        <v>110</v>
      </c>
      <c r="K3145" s="32" t="s">
        <v>63</v>
      </c>
    </row>
    <row r="3146" customFormat="false" ht="13.5" hidden="false" customHeight="true" outlineLevel="0" collapsed="false">
      <c r="A3146" s="32" t="n">
        <v>5408</v>
      </c>
      <c r="B3146" s="32" t="s">
        <v>2577</v>
      </c>
      <c r="C3146" s="32" t="s">
        <v>2578</v>
      </c>
      <c r="D3146" s="32" t="s">
        <v>59</v>
      </c>
      <c r="E3146" s="32" t="s">
        <v>107</v>
      </c>
      <c r="F3146" s="32" t="n">
        <v>9937905900</v>
      </c>
      <c r="G3146" s="32" t="s">
        <v>61</v>
      </c>
      <c r="H3146" s="32" t="s">
        <v>21</v>
      </c>
      <c r="I3146" s="32" t="s">
        <v>121</v>
      </c>
      <c r="J3146" s="32" t="s">
        <v>110</v>
      </c>
      <c r="K3146" s="32" t="s">
        <v>63</v>
      </c>
    </row>
    <row r="3147" customFormat="false" ht="13.5" hidden="false" customHeight="true" outlineLevel="0" collapsed="false">
      <c r="A3147" s="32" t="n">
        <v>5409</v>
      </c>
      <c r="B3147" s="32" t="s">
        <v>2577</v>
      </c>
      <c r="C3147" s="32" t="s">
        <v>2578</v>
      </c>
      <c r="D3147" s="32" t="s">
        <v>59</v>
      </c>
      <c r="E3147" s="32" t="s">
        <v>107</v>
      </c>
      <c r="F3147" s="32" t="n">
        <v>9937905900</v>
      </c>
      <c r="G3147" s="32" t="s">
        <v>61</v>
      </c>
      <c r="H3147" s="32" t="s">
        <v>21</v>
      </c>
      <c r="I3147" s="32" t="s">
        <v>227</v>
      </c>
      <c r="J3147" s="32" t="s">
        <v>228</v>
      </c>
      <c r="K3147" s="32" t="s">
        <v>63</v>
      </c>
    </row>
    <row r="3148" customFormat="false" ht="13.5" hidden="false" customHeight="true" outlineLevel="0" collapsed="false">
      <c r="A3148" s="32" t="n">
        <v>5410</v>
      </c>
      <c r="B3148" s="32" t="s">
        <v>2579</v>
      </c>
      <c r="C3148" s="32" t="s">
        <v>2580</v>
      </c>
      <c r="D3148" s="32" t="s">
        <v>114</v>
      </c>
      <c r="E3148" s="32" t="s">
        <v>115</v>
      </c>
      <c r="F3148" s="32" t="n">
        <v>9160722731</v>
      </c>
      <c r="G3148" s="32" t="s">
        <v>80</v>
      </c>
      <c r="H3148" s="32" t="s">
        <v>22</v>
      </c>
      <c r="I3148" s="32" t="s">
        <v>93</v>
      </c>
      <c r="J3148" s="32" t="s">
        <v>85</v>
      </c>
      <c r="K3148" s="32" t="s">
        <v>63</v>
      </c>
    </row>
    <row r="3149" customFormat="false" ht="13.5" hidden="false" customHeight="true" outlineLevel="0" collapsed="false">
      <c r="A3149" s="32" t="n">
        <v>5411</v>
      </c>
      <c r="B3149" s="32" t="s">
        <v>2579</v>
      </c>
      <c r="C3149" s="32" t="s">
        <v>2581</v>
      </c>
      <c r="D3149" s="32" t="s">
        <v>114</v>
      </c>
      <c r="E3149" s="32" t="s">
        <v>115</v>
      </c>
      <c r="F3149" s="32" t="n">
        <v>9160722731</v>
      </c>
      <c r="G3149" s="32" t="s">
        <v>80</v>
      </c>
      <c r="H3149" s="32" t="s">
        <v>22</v>
      </c>
      <c r="I3149" s="32" t="s">
        <v>95</v>
      </c>
      <c r="J3149" s="32" t="s">
        <v>96</v>
      </c>
      <c r="K3149" s="32" t="s">
        <v>63</v>
      </c>
    </row>
    <row r="3150" customFormat="false" ht="13.5" hidden="false" customHeight="true" outlineLevel="0" collapsed="false">
      <c r="A3150" s="32" t="n">
        <v>5412</v>
      </c>
      <c r="B3150" s="32" t="s">
        <v>2579</v>
      </c>
      <c r="C3150" s="32" t="s">
        <v>2581</v>
      </c>
      <c r="D3150" s="32" t="s">
        <v>114</v>
      </c>
      <c r="E3150" s="32" t="s">
        <v>115</v>
      </c>
      <c r="F3150" s="32" t="n">
        <v>9160722731</v>
      </c>
      <c r="G3150" s="32" t="s">
        <v>80</v>
      </c>
      <c r="H3150" s="32" t="s">
        <v>22</v>
      </c>
      <c r="I3150" s="32" t="s">
        <v>248</v>
      </c>
      <c r="J3150" s="32" t="s">
        <v>117</v>
      </c>
      <c r="K3150" s="32" t="s">
        <v>63</v>
      </c>
    </row>
    <row r="3151" customFormat="false" ht="13.5" hidden="false" customHeight="true" outlineLevel="0" collapsed="false">
      <c r="A3151" s="32" t="n">
        <v>5413</v>
      </c>
      <c r="B3151" s="32" t="s">
        <v>2579</v>
      </c>
      <c r="C3151" s="32" t="s">
        <v>2581</v>
      </c>
      <c r="D3151" s="32" t="s">
        <v>114</v>
      </c>
      <c r="E3151" s="32" t="s">
        <v>115</v>
      </c>
      <c r="F3151" s="32" t="n">
        <v>9160722731</v>
      </c>
      <c r="G3151" s="32" t="s">
        <v>80</v>
      </c>
      <c r="H3151" s="32" t="s">
        <v>22</v>
      </c>
      <c r="I3151" s="32" t="s">
        <v>1534</v>
      </c>
      <c r="J3151" s="32" t="s">
        <v>110</v>
      </c>
      <c r="K3151" s="32" t="s">
        <v>63</v>
      </c>
    </row>
    <row r="3152" customFormat="false" ht="13.5" hidden="false" customHeight="true" outlineLevel="0" collapsed="false">
      <c r="A3152" s="32" t="n">
        <v>5414</v>
      </c>
      <c r="B3152" s="32" t="s">
        <v>2579</v>
      </c>
      <c r="C3152" s="32" t="s">
        <v>2581</v>
      </c>
      <c r="D3152" s="32" t="s">
        <v>114</v>
      </c>
      <c r="E3152" s="32" t="s">
        <v>115</v>
      </c>
      <c r="F3152" s="32" t="n">
        <v>9160722731</v>
      </c>
      <c r="G3152" s="32" t="s">
        <v>80</v>
      </c>
      <c r="H3152" s="32" t="s">
        <v>22</v>
      </c>
      <c r="I3152" s="32" t="s">
        <v>109</v>
      </c>
      <c r="J3152" s="32" t="s">
        <v>110</v>
      </c>
      <c r="K3152" s="32" t="s">
        <v>63</v>
      </c>
    </row>
    <row r="3153" customFormat="false" ht="13.5" hidden="false" customHeight="true" outlineLevel="0" collapsed="false">
      <c r="A3153" s="32" t="n">
        <v>5415</v>
      </c>
      <c r="B3153" s="32" t="s">
        <v>2579</v>
      </c>
      <c r="C3153" s="32" t="s">
        <v>2581</v>
      </c>
      <c r="D3153" s="32" t="s">
        <v>114</v>
      </c>
      <c r="E3153" s="32" t="s">
        <v>115</v>
      </c>
      <c r="F3153" s="32" t="n">
        <v>9160722731</v>
      </c>
      <c r="G3153" s="32" t="s">
        <v>80</v>
      </c>
      <c r="H3153" s="32" t="s">
        <v>22</v>
      </c>
      <c r="I3153" s="32" t="s">
        <v>245</v>
      </c>
      <c r="J3153" s="32" t="s">
        <v>71</v>
      </c>
      <c r="K3153" s="32" t="s">
        <v>63</v>
      </c>
    </row>
    <row r="3154" customFormat="false" ht="13.5" hidden="false" customHeight="true" outlineLevel="0" collapsed="false">
      <c r="A3154" s="32" t="n">
        <v>5416</v>
      </c>
      <c r="B3154" s="32" t="s">
        <v>2582</v>
      </c>
      <c r="C3154" s="32" t="s">
        <v>2583</v>
      </c>
      <c r="D3154" s="32" t="s">
        <v>114</v>
      </c>
      <c r="E3154" s="32" t="s">
        <v>165</v>
      </c>
      <c r="F3154" s="33" t="n">
        <v>918588000000</v>
      </c>
      <c r="G3154" s="32" t="s">
        <v>80</v>
      </c>
      <c r="H3154" s="32" t="s">
        <v>22</v>
      </c>
      <c r="I3154" s="32" t="s">
        <v>149</v>
      </c>
      <c r="J3154" s="32" t="s">
        <v>73</v>
      </c>
      <c r="K3154" s="32" t="s">
        <v>63</v>
      </c>
    </row>
    <row r="3155" customFormat="false" ht="13.5" hidden="false" customHeight="true" outlineLevel="0" collapsed="false">
      <c r="A3155" s="32" t="n">
        <v>5417</v>
      </c>
      <c r="B3155" s="32" t="s">
        <v>2582</v>
      </c>
      <c r="C3155" s="32" t="s">
        <v>2583</v>
      </c>
      <c r="D3155" s="32" t="s">
        <v>114</v>
      </c>
      <c r="E3155" s="32" t="s">
        <v>165</v>
      </c>
      <c r="F3155" s="33" t="n">
        <v>918588000000</v>
      </c>
      <c r="G3155" s="32" t="s">
        <v>80</v>
      </c>
      <c r="H3155" s="32" t="s">
        <v>22</v>
      </c>
      <c r="I3155" s="32" t="s">
        <v>133</v>
      </c>
      <c r="J3155" s="32" t="s">
        <v>134</v>
      </c>
      <c r="K3155" s="32" t="s">
        <v>63</v>
      </c>
    </row>
    <row r="3156" customFormat="false" ht="13.5" hidden="false" customHeight="true" outlineLevel="0" collapsed="false">
      <c r="A3156" s="32" t="n">
        <v>5418</v>
      </c>
      <c r="B3156" s="32" t="s">
        <v>2582</v>
      </c>
      <c r="C3156" s="32" t="s">
        <v>2584</v>
      </c>
      <c r="D3156" s="32" t="s">
        <v>114</v>
      </c>
      <c r="E3156" s="32" t="s">
        <v>165</v>
      </c>
      <c r="F3156" s="32" t="n">
        <v>8587997171</v>
      </c>
      <c r="G3156" s="32" t="s">
        <v>80</v>
      </c>
      <c r="H3156" s="32" t="s">
        <v>22</v>
      </c>
      <c r="I3156" s="32" t="s">
        <v>16</v>
      </c>
      <c r="J3156" s="32" t="s">
        <v>73</v>
      </c>
      <c r="K3156" s="32" t="s">
        <v>63</v>
      </c>
    </row>
    <row r="3157" customFormat="false" ht="13.5" hidden="false" customHeight="true" outlineLevel="0" collapsed="false">
      <c r="A3157" s="32" t="n">
        <v>5419</v>
      </c>
      <c r="B3157" s="32" t="s">
        <v>2582</v>
      </c>
      <c r="C3157" s="32" t="s">
        <v>2584</v>
      </c>
      <c r="D3157" s="32" t="s">
        <v>114</v>
      </c>
      <c r="E3157" s="32" t="s">
        <v>165</v>
      </c>
      <c r="F3157" s="32" t="n">
        <v>8587997171</v>
      </c>
      <c r="G3157" s="32" t="s">
        <v>80</v>
      </c>
      <c r="H3157" s="32" t="s">
        <v>22</v>
      </c>
      <c r="I3157" s="32" t="s">
        <v>150</v>
      </c>
      <c r="J3157" s="32" t="s">
        <v>73</v>
      </c>
      <c r="K3157" s="32" t="s">
        <v>63</v>
      </c>
    </row>
    <row r="3158" customFormat="false" ht="13.5" hidden="false" customHeight="true" outlineLevel="0" collapsed="false">
      <c r="A3158" s="32" t="n">
        <v>5420</v>
      </c>
      <c r="B3158" s="32" t="s">
        <v>2582</v>
      </c>
      <c r="C3158" s="32" t="s">
        <v>2585</v>
      </c>
      <c r="D3158" s="32" t="s">
        <v>114</v>
      </c>
      <c r="E3158" s="32" t="s">
        <v>165</v>
      </c>
      <c r="F3158" s="33" t="n">
        <v>918588000000</v>
      </c>
      <c r="G3158" s="32" t="s">
        <v>80</v>
      </c>
      <c r="H3158" s="32" t="s">
        <v>22</v>
      </c>
      <c r="I3158" s="32" t="s">
        <v>93</v>
      </c>
      <c r="J3158" s="32" t="s">
        <v>85</v>
      </c>
      <c r="K3158" s="32" t="s">
        <v>63</v>
      </c>
    </row>
    <row r="3159" customFormat="false" ht="13.5" hidden="false" customHeight="true" outlineLevel="0" collapsed="false">
      <c r="A3159" s="32" t="n">
        <v>5421</v>
      </c>
      <c r="B3159" s="32" t="s">
        <v>2582</v>
      </c>
      <c r="C3159" s="32" t="s">
        <v>2584</v>
      </c>
      <c r="D3159" s="32" t="s">
        <v>114</v>
      </c>
      <c r="E3159" s="32" t="s">
        <v>165</v>
      </c>
      <c r="F3159" s="33" t="n">
        <v>918588000000</v>
      </c>
      <c r="G3159" s="32" t="s">
        <v>80</v>
      </c>
      <c r="H3159" s="32" t="s">
        <v>22</v>
      </c>
      <c r="I3159" s="32" t="s">
        <v>27</v>
      </c>
      <c r="J3159" s="32" t="s">
        <v>13</v>
      </c>
      <c r="K3159" s="32" t="s">
        <v>63</v>
      </c>
    </row>
    <row r="3160" customFormat="false" ht="13.5" hidden="false" customHeight="true" outlineLevel="0" collapsed="false">
      <c r="A3160" s="32" t="n">
        <v>5422</v>
      </c>
      <c r="B3160" s="32" t="s">
        <v>2582</v>
      </c>
      <c r="C3160" s="32" t="s">
        <v>2584</v>
      </c>
      <c r="D3160" s="32" t="s">
        <v>114</v>
      </c>
      <c r="E3160" s="32" t="s">
        <v>165</v>
      </c>
      <c r="F3160" s="32" t="n">
        <v>8587997171</v>
      </c>
      <c r="G3160" s="32" t="s">
        <v>80</v>
      </c>
      <c r="H3160" s="32" t="s">
        <v>22</v>
      </c>
      <c r="I3160" s="32" t="s">
        <v>108</v>
      </c>
      <c r="J3160" s="32" t="s">
        <v>71</v>
      </c>
      <c r="K3160" s="32" t="s">
        <v>63</v>
      </c>
    </row>
    <row r="3161" customFormat="false" ht="13.5" hidden="false" customHeight="true" outlineLevel="0" collapsed="false">
      <c r="A3161" s="32" t="n">
        <v>5423</v>
      </c>
      <c r="B3161" s="32" t="s">
        <v>2582</v>
      </c>
      <c r="C3161" s="32" t="s">
        <v>2584</v>
      </c>
      <c r="D3161" s="32" t="s">
        <v>114</v>
      </c>
      <c r="E3161" s="32" t="s">
        <v>165</v>
      </c>
      <c r="F3161" s="32" t="n">
        <v>8587997171</v>
      </c>
      <c r="G3161" s="32" t="s">
        <v>80</v>
      </c>
      <c r="H3161" s="32" t="s">
        <v>22</v>
      </c>
      <c r="I3161" s="32" t="s">
        <v>30</v>
      </c>
      <c r="J3161" s="32" t="s">
        <v>203</v>
      </c>
      <c r="K3161" s="32" t="s">
        <v>63</v>
      </c>
    </row>
    <row r="3162" customFormat="false" ht="13.5" hidden="false" customHeight="true" outlineLevel="0" collapsed="false">
      <c r="A3162" s="32" t="n">
        <v>5424</v>
      </c>
      <c r="B3162" s="32" t="s">
        <v>2586</v>
      </c>
      <c r="C3162" s="32" t="s">
        <v>2587</v>
      </c>
      <c r="D3162" s="32" t="s">
        <v>114</v>
      </c>
      <c r="E3162" s="32" t="s">
        <v>115</v>
      </c>
      <c r="F3162" s="33" t="n">
        <v>917710000000</v>
      </c>
      <c r="G3162" s="32" t="s">
        <v>69</v>
      </c>
      <c r="H3162" s="32" t="s">
        <v>22</v>
      </c>
      <c r="I3162" s="32" t="s">
        <v>488</v>
      </c>
      <c r="J3162" s="32" t="s">
        <v>117</v>
      </c>
      <c r="K3162" s="32" t="s">
        <v>63</v>
      </c>
    </row>
    <row r="3163" customFormat="false" ht="13.5" hidden="false" customHeight="true" outlineLevel="0" collapsed="false">
      <c r="A3163" s="32" t="n">
        <v>5425</v>
      </c>
      <c r="B3163" s="32" t="s">
        <v>2586</v>
      </c>
      <c r="C3163" s="32" t="s">
        <v>2587</v>
      </c>
      <c r="D3163" s="32" t="s">
        <v>114</v>
      </c>
      <c r="E3163" s="32" t="s">
        <v>115</v>
      </c>
      <c r="F3163" s="33" t="n">
        <v>917710000000</v>
      </c>
      <c r="G3163" s="32" t="s">
        <v>69</v>
      </c>
      <c r="H3163" s="32" t="s">
        <v>22</v>
      </c>
      <c r="I3163" s="32" t="s">
        <v>409</v>
      </c>
      <c r="J3163" s="32" t="s">
        <v>410</v>
      </c>
      <c r="K3163" s="32" t="s">
        <v>63</v>
      </c>
    </row>
    <row r="3164" customFormat="false" ht="13.5" hidden="false" customHeight="true" outlineLevel="0" collapsed="false">
      <c r="A3164" s="32" t="n">
        <v>5427</v>
      </c>
      <c r="B3164" s="32" t="s">
        <v>2588</v>
      </c>
      <c r="C3164" s="32" t="s">
        <v>2589</v>
      </c>
      <c r="D3164" s="32" t="s">
        <v>114</v>
      </c>
      <c r="E3164" s="32" t="s">
        <v>124</v>
      </c>
      <c r="F3164" s="32" t="n">
        <v>8013290978</v>
      </c>
      <c r="G3164" s="32" t="s">
        <v>61</v>
      </c>
      <c r="H3164" s="32" t="s">
        <v>22</v>
      </c>
      <c r="I3164" s="32" t="s">
        <v>185</v>
      </c>
      <c r="J3164" s="32" t="s">
        <v>186</v>
      </c>
      <c r="K3164" s="32" t="s">
        <v>63</v>
      </c>
    </row>
    <row r="3165" customFormat="false" ht="13.5" hidden="false" customHeight="true" outlineLevel="0" collapsed="false">
      <c r="A3165" s="32" t="n">
        <v>5428</v>
      </c>
      <c r="B3165" s="32" t="s">
        <v>2588</v>
      </c>
      <c r="C3165" s="32" t="s">
        <v>2589</v>
      </c>
      <c r="D3165" s="32" t="s">
        <v>114</v>
      </c>
      <c r="E3165" s="32" t="s">
        <v>124</v>
      </c>
      <c r="F3165" s="32" t="n">
        <v>8013290978</v>
      </c>
      <c r="G3165" s="32" t="s">
        <v>61</v>
      </c>
      <c r="H3165" s="32" t="s">
        <v>22</v>
      </c>
      <c r="I3165" s="32" t="s">
        <v>231</v>
      </c>
      <c r="J3165" s="32" t="s">
        <v>228</v>
      </c>
      <c r="K3165" s="32" t="s">
        <v>63</v>
      </c>
    </row>
    <row r="3166" customFormat="false" ht="13.5" hidden="false" customHeight="true" outlineLevel="0" collapsed="false">
      <c r="A3166" s="32" t="n">
        <v>5429</v>
      </c>
      <c r="B3166" s="32" t="s">
        <v>2588</v>
      </c>
      <c r="C3166" s="32" t="s">
        <v>2589</v>
      </c>
      <c r="D3166" s="32" t="s">
        <v>114</v>
      </c>
      <c r="E3166" s="32" t="s">
        <v>124</v>
      </c>
      <c r="F3166" s="32" t="n">
        <v>8013290978</v>
      </c>
      <c r="G3166" s="32" t="s">
        <v>61</v>
      </c>
      <c r="H3166" s="32" t="s">
        <v>22</v>
      </c>
      <c r="I3166" s="32" t="s">
        <v>226</v>
      </c>
      <c r="J3166" s="32" t="s">
        <v>110</v>
      </c>
      <c r="K3166" s="32" t="s">
        <v>63</v>
      </c>
    </row>
    <row r="3167" customFormat="false" ht="13.5" hidden="false" customHeight="true" outlineLevel="0" collapsed="false">
      <c r="A3167" s="32" t="n">
        <v>5430</v>
      </c>
      <c r="B3167" s="32" t="s">
        <v>2588</v>
      </c>
      <c r="C3167" s="32" t="s">
        <v>2589</v>
      </c>
      <c r="D3167" s="32" t="s">
        <v>114</v>
      </c>
      <c r="E3167" s="32" t="s">
        <v>124</v>
      </c>
      <c r="F3167" s="32" t="n">
        <v>8013290978</v>
      </c>
      <c r="G3167" s="32" t="s">
        <v>61</v>
      </c>
      <c r="H3167" s="32" t="s">
        <v>22</v>
      </c>
      <c r="I3167" s="32" t="s">
        <v>549</v>
      </c>
      <c r="J3167" s="32" t="s">
        <v>110</v>
      </c>
      <c r="K3167" s="32" t="s">
        <v>63</v>
      </c>
    </row>
    <row r="3168" customFormat="false" ht="13.5" hidden="false" customHeight="true" outlineLevel="0" collapsed="false">
      <c r="A3168" s="32" t="n">
        <v>5435</v>
      </c>
      <c r="B3168" s="32" t="s">
        <v>2588</v>
      </c>
      <c r="C3168" s="32" t="s">
        <v>2589</v>
      </c>
      <c r="D3168" s="32" t="s">
        <v>114</v>
      </c>
      <c r="E3168" s="32" t="s">
        <v>124</v>
      </c>
      <c r="F3168" s="32" t="n">
        <v>8013290978</v>
      </c>
      <c r="G3168" s="32" t="s">
        <v>61</v>
      </c>
      <c r="H3168" s="32" t="s">
        <v>22</v>
      </c>
      <c r="I3168" s="32" t="s">
        <v>227</v>
      </c>
      <c r="J3168" s="32" t="s">
        <v>228</v>
      </c>
      <c r="K3168" s="32" t="s">
        <v>63</v>
      </c>
    </row>
    <row r="3169" customFormat="false" ht="13.5" hidden="false" customHeight="true" outlineLevel="0" collapsed="false">
      <c r="A3169" s="32" t="n">
        <v>5436</v>
      </c>
      <c r="B3169" s="32" t="s">
        <v>2588</v>
      </c>
      <c r="C3169" s="32" t="s">
        <v>2590</v>
      </c>
      <c r="D3169" s="32" t="s">
        <v>114</v>
      </c>
      <c r="E3169" s="32" t="s">
        <v>124</v>
      </c>
      <c r="F3169" s="32" t="n">
        <v>8013290978</v>
      </c>
      <c r="G3169" s="32" t="s">
        <v>61</v>
      </c>
      <c r="H3169" s="32" t="s">
        <v>22</v>
      </c>
      <c r="I3169" s="32" t="s">
        <v>826</v>
      </c>
      <c r="J3169" s="32" t="s">
        <v>84</v>
      </c>
      <c r="K3169" s="32" t="s">
        <v>63</v>
      </c>
    </row>
    <row r="3170" customFormat="false" ht="13.5" hidden="false" customHeight="true" outlineLevel="0" collapsed="false">
      <c r="A3170" s="32" t="n">
        <v>5437</v>
      </c>
      <c r="B3170" s="32" t="s">
        <v>2591</v>
      </c>
      <c r="C3170" s="32" t="s">
        <v>2592</v>
      </c>
      <c r="D3170" s="32" t="s">
        <v>59</v>
      </c>
      <c r="E3170" s="32" t="s">
        <v>107</v>
      </c>
      <c r="F3170" s="32" t="n">
        <v>9538175174</v>
      </c>
      <c r="G3170" s="32" t="s">
        <v>0</v>
      </c>
      <c r="H3170" s="32" t="s">
        <v>21</v>
      </c>
      <c r="I3170" s="32" t="s">
        <v>109</v>
      </c>
      <c r="J3170" s="32" t="s">
        <v>110</v>
      </c>
      <c r="K3170" s="32" t="s">
        <v>63</v>
      </c>
    </row>
    <row r="3171" customFormat="false" ht="13.5" hidden="false" customHeight="true" outlineLevel="0" collapsed="false">
      <c r="A3171" s="32" t="n">
        <v>5438</v>
      </c>
      <c r="B3171" s="32" t="s">
        <v>2591</v>
      </c>
      <c r="C3171" s="32" t="s">
        <v>2592</v>
      </c>
      <c r="D3171" s="32" t="s">
        <v>59</v>
      </c>
      <c r="E3171" s="32" t="s">
        <v>107</v>
      </c>
      <c r="F3171" s="32" t="n">
        <v>9538175174</v>
      </c>
      <c r="G3171" s="32" t="s">
        <v>0</v>
      </c>
      <c r="H3171" s="32" t="s">
        <v>21</v>
      </c>
      <c r="I3171" s="32" t="s">
        <v>121</v>
      </c>
      <c r="J3171" s="32" t="s">
        <v>110</v>
      </c>
      <c r="K3171" s="32" t="s">
        <v>63</v>
      </c>
    </row>
    <row r="3172" customFormat="false" ht="13.5" hidden="false" customHeight="true" outlineLevel="0" collapsed="false">
      <c r="A3172" s="32" t="n">
        <v>5439</v>
      </c>
      <c r="B3172" s="32" t="s">
        <v>2591</v>
      </c>
      <c r="C3172" s="32" t="s">
        <v>2593</v>
      </c>
      <c r="D3172" s="32" t="s">
        <v>59</v>
      </c>
      <c r="E3172" s="32" t="s">
        <v>107</v>
      </c>
      <c r="F3172" s="32" t="n">
        <v>9538175174</v>
      </c>
      <c r="G3172" s="32" t="s">
        <v>0</v>
      </c>
      <c r="H3172" s="32" t="s">
        <v>21</v>
      </c>
      <c r="I3172" s="32" t="s">
        <v>120</v>
      </c>
      <c r="J3172" s="32" t="s">
        <v>110</v>
      </c>
      <c r="K3172" s="32" t="s">
        <v>63</v>
      </c>
    </row>
    <row r="3173" customFormat="false" ht="13.5" hidden="false" customHeight="true" outlineLevel="0" collapsed="false">
      <c r="A3173" s="32" t="n">
        <v>5440</v>
      </c>
      <c r="B3173" s="32" t="s">
        <v>2591</v>
      </c>
      <c r="C3173" s="32" t="s">
        <v>2592</v>
      </c>
      <c r="D3173" s="32" t="s">
        <v>59</v>
      </c>
      <c r="E3173" s="32" t="s">
        <v>107</v>
      </c>
      <c r="F3173" s="32" t="n">
        <v>9538175174</v>
      </c>
      <c r="G3173" s="32" t="s">
        <v>0</v>
      </c>
      <c r="H3173" s="32" t="s">
        <v>21</v>
      </c>
      <c r="I3173" s="32" t="s">
        <v>145</v>
      </c>
      <c r="J3173" s="32" t="s">
        <v>117</v>
      </c>
      <c r="K3173" s="32" t="s">
        <v>63</v>
      </c>
    </row>
    <row r="3174" customFormat="false" ht="13.5" hidden="false" customHeight="true" outlineLevel="0" collapsed="false">
      <c r="A3174" s="32" t="n">
        <v>5441</v>
      </c>
      <c r="B3174" s="32" t="s">
        <v>2594</v>
      </c>
      <c r="C3174" s="32" t="s">
        <v>2595</v>
      </c>
      <c r="D3174" s="32" t="s">
        <v>59</v>
      </c>
      <c r="E3174" s="32" t="s">
        <v>143</v>
      </c>
      <c r="F3174" s="32" t="n">
        <v>9962244225</v>
      </c>
      <c r="G3174" s="32" t="s">
        <v>80</v>
      </c>
      <c r="H3174" s="32" t="s">
        <v>21</v>
      </c>
      <c r="I3174" s="32" t="s">
        <v>463</v>
      </c>
      <c r="J3174" s="32" t="s">
        <v>66</v>
      </c>
      <c r="K3174" s="32" t="s">
        <v>63</v>
      </c>
    </row>
    <row r="3175" customFormat="false" ht="13.5" hidden="false" customHeight="true" outlineLevel="0" collapsed="false">
      <c r="A3175" s="32" t="n">
        <v>5443</v>
      </c>
      <c r="B3175" s="32" t="s">
        <v>2594</v>
      </c>
      <c r="C3175" s="32" t="s">
        <v>2596</v>
      </c>
      <c r="D3175" s="32" t="s">
        <v>59</v>
      </c>
      <c r="E3175" s="32" t="s">
        <v>143</v>
      </c>
      <c r="F3175" s="32" t="n">
        <v>9962244225</v>
      </c>
      <c r="G3175" s="32" t="s">
        <v>80</v>
      </c>
      <c r="H3175" s="32" t="s">
        <v>21</v>
      </c>
      <c r="I3175" s="32" t="s">
        <v>14</v>
      </c>
      <c r="J3175" s="32" t="s">
        <v>66</v>
      </c>
      <c r="K3175" s="32" t="s">
        <v>63</v>
      </c>
    </row>
    <row r="3176" customFormat="false" ht="13.5" hidden="false" customHeight="true" outlineLevel="0" collapsed="false">
      <c r="A3176" s="32" t="n">
        <v>5444</v>
      </c>
      <c r="B3176" s="32" t="s">
        <v>2594</v>
      </c>
      <c r="C3176" s="32" t="s">
        <v>2597</v>
      </c>
      <c r="D3176" s="32" t="s">
        <v>59</v>
      </c>
      <c r="E3176" s="32" t="s">
        <v>143</v>
      </c>
      <c r="F3176" s="32" t="n">
        <v>9962244225</v>
      </c>
      <c r="G3176" s="32" t="s">
        <v>80</v>
      </c>
      <c r="H3176" s="32" t="s">
        <v>21</v>
      </c>
      <c r="I3176" s="32" t="s">
        <v>156</v>
      </c>
      <c r="J3176" s="32" t="s">
        <v>62</v>
      </c>
      <c r="K3176" s="32" t="s">
        <v>63</v>
      </c>
    </row>
    <row r="3177" customFormat="false" ht="13.5" hidden="false" customHeight="true" outlineLevel="0" collapsed="false">
      <c r="A3177" s="32" t="n">
        <v>5445</v>
      </c>
      <c r="B3177" s="32" t="s">
        <v>2594</v>
      </c>
      <c r="C3177" s="32" t="s">
        <v>2597</v>
      </c>
      <c r="D3177" s="32" t="s">
        <v>59</v>
      </c>
      <c r="E3177" s="32" t="s">
        <v>143</v>
      </c>
      <c r="F3177" s="32" t="n">
        <v>9962244225</v>
      </c>
      <c r="G3177" s="32" t="s">
        <v>80</v>
      </c>
      <c r="H3177" s="32" t="s">
        <v>21</v>
      </c>
      <c r="I3177" s="32" t="s">
        <v>1036</v>
      </c>
      <c r="J3177" s="32" t="s">
        <v>62</v>
      </c>
      <c r="K3177" s="32" t="s">
        <v>63</v>
      </c>
    </row>
    <row r="3178" customFormat="false" ht="13.5" hidden="false" customHeight="true" outlineLevel="0" collapsed="false">
      <c r="A3178" s="32" t="n">
        <v>5446</v>
      </c>
      <c r="B3178" s="32" t="s">
        <v>2598</v>
      </c>
      <c r="C3178" s="32" t="s">
        <v>2599</v>
      </c>
      <c r="D3178" s="32" t="s">
        <v>102</v>
      </c>
      <c r="E3178" s="32" t="s">
        <v>92</v>
      </c>
      <c r="F3178" s="32" t="n">
        <v>9176636924</v>
      </c>
      <c r="G3178" s="32" t="s">
        <v>0</v>
      </c>
      <c r="H3178" s="32" t="s">
        <v>21</v>
      </c>
      <c r="I3178" s="32" t="s">
        <v>717</v>
      </c>
      <c r="J3178" s="32" t="s">
        <v>89</v>
      </c>
      <c r="K3178" s="32" t="s">
        <v>63</v>
      </c>
    </row>
    <row r="3179" customFormat="false" ht="13.5" hidden="false" customHeight="true" outlineLevel="0" collapsed="false">
      <c r="A3179" s="32" t="n">
        <v>5447</v>
      </c>
      <c r="B3179" s="32" t="s">
        <v>2598</v>
      </c>
      <c r="C3179" s="32" t="s">
        <v>2599</v>
      </c>
      <c r="D3179" s="32" t="s">
        <v>102</v>
      </c>
      <c r="E3179" s="32" t="s">
        <v>92</v>
      </c>
      <c r="F3179" s="32" t="n">
        <v>9176636924</v>
      </c>
      <c r="G3179" s="32" t="s">
        <v>0</v>
      </c>
      <c r="H3179" s="32" t="s">
        <v>21</v>
      </c>
      <c r="I3179" s="32" t="s">
        <v>151</v>
      </c>
      <c r="J3179" s="32" t="s">
        <v>152</v>
      </c>
      <c r="K3179" s="32" t="s">
        <v>63</v>
      </c>
    </row>
    <row r="3180" customFormat="false" ht="13.5" hidden="false" customHeight="true" outlineLevel="0" collapsed="false">
      <c r="A3180" s="32" t="n">
        <v>5448</v>
      </c>
      <c r="B3180" s="32" t="s">
        <v>2598</v>
      </c>
      <c r="C3180" s="32" t="s">
        <v>2599</v>
      </c>
      <c r="D3180" s="32" t="s">
        <v>102</v>
      </c>
      <c r="E3180" s="32" t="s">
        <v>92</v>
      </c>
      <c r="F3180" s="32" t="n">
        <v>9176636924</v>
      </c>
      <c r="G3180" s="32" t="s">
        <v>0</v>
      </c>
      <c r="H3180" s="32" t="s">
        <v>21</v>
      </c>
      <c r="I3180" s="32" t="s">
        <v>690</v>
      </c>
      <c r="J3180" s="32" t="s">
        <v>117</v>
      </c>
      <c r="K3180" s="32" t="s">
        <v>63</v>
      </c>
    </row>
    <row r="3181" customFormat="false" ht="13.5" hidden="false" customHeight="true" outlineLevel="0" collapsed="false">
      <c r="A3181" s="32" t="n">
        <v>5449</v>
      </c>
      <c r="B3181" s="32" t="s">
        <v>2598</v>
      </c>
      <c r="C3181" s="32" t="s">
        <v>2599</v>
      </c>
      <c r="D3181" s="32" t="s">
        <v>102</v>
      </c>
      <c r="E3181" s="32" t="s">
        <v>92</v>
      </c>
      <c r="F3181" s="32" t="n">
        <v>9176636924</v>
      </c>
      <c r="G3181" s="32" t="s">
        <v>0</v>
      </c>
      <c r="H3181" s="32" t="s">
        <v>21</v>
      </c>
      <c r="I3181" s="32" t="s">
        <v>371</v>
      </c>
      <c r="J3181" s="32" t="s">
        <v>152</v>
      </c>
      <c r="K3181" s="32" t="s">
        <v>63</v>
      </c>
    </row>
    <row r="3182" customFormat="false" ht="13.5" hidden="false" customHeight="true" outlineLevel="0" collapsed="false">
      <c r="A3182" s="32" t="n">
        <v>5451</v>
      </c>
      <c r="B3182" s="32" t="s">
        <v>2600</v>
      </c>
      <c r="C3182" s="32" t="s">
        <v>2601</v>
      </c>
      <c r="D3182" s="32" t="s">
        <v>114</v>
      </c>
      <c r="E3182" s="32" t="s">
        <v>165</v>
      </c>
      <c r="F3182" s="32" t="n">
        <v>8147623621</v>
      </c>
      <c r="G3182" s="32" t="s">
        <v>80</v>
      </c>
      <c r="H3182" s="32" t="s">
        <v>22</v>
      </c>
      <c r="I3182" s="32" t="s">
        <v>16</v>
      </c>
      <c r="J3182" s="32" t="s">
        <v>73</v>
      </c>
      <c r="K3182" s="32" t="s">
        <v>63</v>
      </c>
    </row>
    <row r="3183" customFormat="false" ht="13.5" hidden="false" customHeight="true" outlineLevel="0" collapsed="false">
      <c r="A3183" s="32" t="n">
        <v>5453</v>
      </c>
      <c r="B3183" s="32" t="s">
        <v>2600</v>
      </c>
      <c r="C3183" s="32" t="s">
        <v>2602</v>
      </c>
      <c r="D3183" s="32" t="s">
        <v>114</v>
      </c>
      <c r="E3183" s="32" t="s">
        <v>165</v>
      </c>
      <c r="F3183" s="32" t="n">
        <v>8981849956</v>
      </c>
      <c r="G3183" s="32" t="s">
        <v>140</v>
      </c>
      <c r="H3183" s="32" t="s">
        <v>22</v>
      </c>
      <c r="I3183" s="32" t="s">
        <v>30</v>
      </c>
      <c r="J3183" s="32" t="s">
        <v>203</v>
      </c>
      <c r="K3183" s="32" t="s">
        <v>63</v>
      </c>
    </row>
    <row r="3184" customFormat="false" ht="13.5" hidden="false" customHeight="true" outlineLevel="0" collapsed="false">
      <c r="A3184" s="32" t="n">
        <v>5454</v>
      </c>
      <c r="B3184" s="32" t="s">
        <v>2600</v>
      </c>
      <c r="C3184" s="32" t="s">
        <v>2601</v>
      </c>
      <c r="D3184" s="32" t="s">
        <v>114</v>
      </c>
      <c r="E3184" s="32" t="s">
        <v>165</v>
      </c>
      <c r="F3184" s="32" t="n">
        <v>8147623621</v>
      </c>
      <c r="G3184" s="32" t="s">
        <v>80</v>
      </c>
      <c r="H3184" s="32" t="s">
        <v>22</v>
      </c>
      <c r="I3184" s="32" t="s">
        <v>516</v>
      </c>
      <c r="J3184" s="32" t="s">
        <v>66</v>
      </c>
      <c r="K3184" s="32" t="s">
        <v>63</v>
      </c>
    </row>
    <row r="3185" customFormat="false" ht="13.5" hidden="false" customHeight="true" outlineLevel="0" collapsed="false">
      <c r="A3185" s="32" t="n">
        <v>5455</v>
      </c>
      <c r="B3185" s="32" t="s">
        <v>2600</v>
      </c>
      <c r="C3185" s="32" t="s">
        <v>2601</v>
      </c>
      <c r="D3185" s="32" t="s">
        <v>114</v>
      </c>
      <c r="E3185" s="32" t="s">
        <v>165</v>
      </c>
      <c r="F3185" s="32" t="n">
        <v>8147623621</v>
      </c>
      <c r="G3185" s="32" t="s">
        <v>80</v>
      </c>
      <c r="H3185" s="32" t="s">
        <v>22</v>
      </c>
      <c r="I3185" s="32" t="s">
        <v>156</v>
      </c>
      <c r="J3185" s="32" t="s">
        <v>62</v>
      </c>
      <c r="K3185" s="32" t="s">
        <v>63</v>
      </c>
    </row>
    <row r="3186" customFormat="false" ht="13.5" hidden="false" customHeight="true" outlineLevel="0" collapsed="false">
      <c r="A3186" s="32" t="n">
        <v>5456</v>
      </c>
      <c r="B3186" s="32" t="s">
        <v>2600</v>
      </c>
      <c r="C3186" s="32" t="s">
        <v>2601</v>
      </c>
      <c r="D3186" s="32" t="s">
        <v>114</v>
      </c>
      <c r="E3186" s="32" t="s">
        <v>165</v>
      </c>
      <c r="F3186" s="32" t="n">
        <v>8147623621</v>
      </c>
      <c r="G3186" s="32" t="s">
        <v>80</v>
      </c>
      <c r="H3186" s="32" t="s">
        <v>22</v>
      </c>
      <c r="I3186" s="32" t="s">
        <v>29</v>
      </c>
      <c r="J3186" s="32" t="s">
        <v>62</v>
      </c>
      <c r="K3186" s="32" t="s">
        <v>63</v>
      </c>
    </row>
    <row r="3187" customFormat="false" ht="13.5" hidden="false" customHeight="true" outlineLevel="0" collapsed="false">
      <c r="A3187" s="32" t="n">
        <v>5457</v>
      </c>
      <c r="B3187" s="32" t="s">
        <v>2600</v>
      </c>
      <c r="C3187" s="32" t="s">
        <v>2601</v>
      </c>
      <c r="D3187" s="32" t="s">
        <v>114</v>
      </c>
      <c r="E3187" s="32" t="s">
        <v>165</v>
      </c>
      <c r="F3187" s="32" t="n">
        <v>8147623621</v>
      </c>
      <c r="G3187" s="32" t="s">
        <v>80</v>
      </c>
      <c r="H3187" s="32" t="s">
        <v>22</v>
      </c>
      <c r="I3187" s="32" t="s">
        <v>14</v>
      </c>
      <c r="J3187" s="32" t="s">
        <v>66</v>
      </c>
      <c r="K3187" s="32" t="s">
        <v>63</v>
      </c>
    </row>
    <row r="3188" customFormat="false" ht="13.5" hidden="false" customHeight="true" outlineLevel="0" collapsed="false">
      <c r="A3188" s="32" t="n">
        <v>5458</v>
      </c>
      <c r="B3188" s="32" t="s">
        <v>2600</v>
      </c>
      <c r="C3188" s="32" t="s">
        <v>2601</v>
      </c>
      <c r="D3188" s="32" t="s">
        <v>114</v>
      </c>
      <c r="E3188" s="32" t="s">
        <v>165</v>
      </c>
      <c r="F3188" s="32" t="n">
        <v>8147623621</v>
      </c>
      <c r="G3188" s="32" t="s">
        <v>80</v>
      </c>
      <c r="H3188" s="32" t="s">
        <v>22</v>
      </c>
      <c r="I3188" s="32" t="s">
        <v>166</v>
      </c>
      <c r="J3188" s="32" t="s">
        <v>66</v>
      </c>
      <c r="K3188" s="32" t="s">
        <v>63</v>
      </c>
    </row>
    <row r="3189" customFormat="false" ht="13.5" hidden="false" customHeight="true" outlineLevel="0" collapsed="false">
      <c r="A3189" s="32" t="n">
        <v>6886</v>
      </c>
      <c r="B3189" s="32" t="s">
        <v>2603</v>
      </c>
      <c r="C3189" s="32" t="s">
        <v>2604</v>
      </c>
      <c r="D3189" s="32" t="s">
        <v>59</v>
      </c>
      <c r="E3189" s="32" t="s">
        <v>107</v>
      </c>
      <c r="F3189" s="32" t="n">
        <v>8860555826</v>
      </c>
      <c r="G3189" s="32" t="s">
        <v>144</v>
      </c>
      <c r="H3189" s="32" t="s">
        <v>21</v>
      </c>
      <c r="I3189" s="32" t="s">
        <v>133</v>
      </c>
      <c r="J3189" s="32" t="s">
        <v>134</v>
      </c>
      <c r="K3189" s="32" t="s">
        <v>63</v>
      </c>
    </row>
    <row r="3190" customFormat="false" ht="13.5" hidden="false" customHeight="true" outlineLevel="0" collapsed="false">
      <c r="A3190" s="32" t="n">
        <v>6888</v>
      </c>
      <c r="B3190" s="32" t="s">
        <v>2603</v>
      </c>
      <c r="C3190" s="32" t="s">
        <v>2604</v>
      </c>
      <c r="D3190" s="32" t="s">
        <v>59</v>
      </c>
      <c r="E3190" s="32" t="s">
        <v>107</v>
      </c>
      <c r="F3190" s="32" t="n">
        <v>8860555826</v>
      </c>
      <c r="G3190" s="32" t="s">
        <v>144</v>
      </c>
      <c r="H3190" s="32" t="s">
        <v>21</v>
      </c>
      <c r="I3190" s="32" t="s">
        <v>2605</v>
      </c>
      <c r="J3190" s="32" t="s">
        <v>808</v>
      </c>
      <c r="K3190" s="32" t="s">
        <v>63</v>
      </c>
    </row>
    <row r="3191" customFormat="false" ht="13.5" hidden="false" customHeight="true" outlineLevel="0" collapsed="false">
      <c r="A3191" s="32" t="n">
        <v>6890</v>
      </c>
      <c r="B3191" s="32" t="s">
        <v>2603</v>
      </c>
      <c r="C3191" s="32" t="s">
        <v>2604</v>
      </c>
      <c r="D3191" s="32" t="s">
        <v>59</v>
      </c>
      <c r="E3191" s="32" t="s">
        <v>107</v>
      </c>
      <c r="F3191" s="32" t="n">
        <v>8860555826</v>
      </c>
      <c r="G3191" s="32" t="s">
        <v>144</v>
      </c>
      <c r="H3191" s="32" t="s">
        <v>21</v>
      </c>
      <c r="I3191" s="32" t="s">
        <v>121</v>
      </c>
      <c r="J3191" s="32" t="s">
        <v>110</v>
      </c>
      <c r="K3191" s="32" t="s">
        <v>63</v>
      </c>
    </row>
    <row r="3192" customFormat="false" ht="13.5" hidden="false" customHeight="true" outlineLevel="0" collapsed="false">
      <c r="A3192" s="32" t="n">
        <v>6892</v>
      </c>
      <c r="B3192" s="32" t="s">
        <v>2603</v>
      </c>
      <c r="C3192" s="32" t="s">
        <v>2604</v>
      </c>
      <c r="D3192" s="32" t="s">
        <v>59</v>
      </c>
      <c r="E3192" s="32" t="s">
        <v>107</v>
      </c>
      <c r="F3192" s="32" t="n">
        <v>8860555826</v>
      </c>
      <c r="G3192" s="32" t="s">
        <v>144</v>
      </c>
      <c r="H3192" s="32" t="s">
        <v>21</v>
      </c>
      <c r="I3192" s="32" t="s">
        <v>76</v>
      </c>
      <c r="J3192" s="32" t="s">
        <v>76</v>
      </c>
      <c r="K3192" s="32" t="s">
        <v>63</v>
      </c>
    </row>
    <row r="3193" customFormat="false" ht="13.5" hidden="false" customHeight="true" outlineLevel="0" collapsed="false">
      <c r="A3193" s="32" t="n">
        <v>5463</v>
      </c>
      <c r="B3193" s="32" t="s">
        <v>2606</v>
      </c>
      <c r="C3193" s="32" t="s">
        <v>2607</v>
      </c>
      <c r="D3193" s="32" t="s">
        <v>59</v>
      </c>
      <c r="E3193" s="32" t="s">
        <v>107</v>
      </c>
      <c r="F3193" s="32" t="n">
        <v>8895751665</v>
      </c>
      <c r="G3193" s="32" t="s">
        <v>61</v>
      </c>
      <c r="H3193" s="32" t="s">
        <v>21</v>
      </c>
      <c r="I3193" s="32" t="s">
        <v>172</v>
      </c>
      <c r="J3193" s="32" t="s">
        <v>152</v>
      </c>
      <c r="K3193" s="32" t="s">
        <v>63</v>
      </c>
    </row>
    <row r="3194" customFormat="false" ht="13.5" hidden="false" customHeight="true" outlineLevel="0" collapsed="false">
      <c r="A3194" s="32" t="n">
        <v>5464</v>
      </c>
      <c r="B3194" s="32" t="s">
        <v>2606</v>
      </c>
      <c r="C3194" s="32" t="s">
        <v>2608</v>
      </c>
      <c r="D3194" s="32" t="s">
        <v>59</v>
      </c>
      <c r="E3194" s="32" t="s">
        <v>107</v>
      </c>
      <c r="F3194" s="32" t="n">
        <v>8895751665</v>
      </c>
      <c r="G3194" s="32" t="s">
        <v>61</v>
      </c>
      <c r="H3194" s="32" t="s">
        <v>21</v>
      </c>
      <c r="I3194" s="32" t="s">
        <v>108</v>
      </c>
      <c r="J3194" s="32" t="s">
        <v>71</v>
      </c>
      <c r="K3194" s="32" t="s">
        <v>63</v>
      </c>
    </row>
    <row r="3195" customFormat="false" ht="13.5" hidden="false" customHeight="true" outlineLevel="0" collapsed="false">
      <c r="A3195" s="32" t="n">
        <v>5465</v>
      </c>
      <c r="B3195" s="32" t="s">
        <v>2606</v>
      </c>
      <c r="C3195" s="32" t="s">
        <v>2608</v>
      </c>
      <c r="D3195" s="32" t="s">
        <v>59</v>
      </c>
      <c r="E3195" s="32" t="s">
        <v>107</v>
      </c>
      <c r="F3195" s="32" t="n">
        <v>8895751665</v>
      </c>
      <c r="G3195" s="32" t="s">
        <v>61</v>
      </c>
      <c r="H3195" s="32" t="s">
        <v>21</v>
      </c>
      <c r="I3195" s="32" t="s">
        <v>393</v>
      </c>
      <c r="J3195" s="32" t="s">
        <v>73</v>
      </c>
      <c r="K3195" s="32" t="s">
        <v>63</v>
      </c>
    </row>
    <row r="3196" customFormat="false" ht="13.5" hidden="false" customHeight="true" outlineLevel="0" collapsed="false">
      <c r="A3196" s="32" t="n">
        <v>5466</v>
      </c>
      <c r="B3196" s="32" t="s">
        <v>2606</v>
      </c>
      <c r="C3196" s="32" t="s">
        <v>2608</v>
      </c>
      <c r="D3196" s="32" t="s">
        <v>59</v>
      </c>
      <c r="E3196" s="32" t="s">
        <v>107</v>
      </c>
      <c r="F3196" s="32" t="n">
        <v>8895751665</v>
      </c>
      <c r="G3196" s="32" t="s">
        <v>61</v>
      </c>
      <c r="H3196" s="32" t="s">
        <v>21</v>
      </c>
      <c r="I3196" s="32" t="s">
        <v>2609</v>
      </c>
      <c r="J3196" s="32" t="s">
        <v>319</v>
      </c>
      <c r="K3196" s="32" t="s">
        <v>63</v>
      </c>
    </row>
    <row r="3197" customFormat="false" ht="13.5" hidden="false" customHeight="true" outlineLevel="0" collapsed="false">
      <c r="A3197" s="32" t="n">
        <v>5467</v>
      </c>
      <c r="B3197" s="32" t="s">
        <v>2610</v>
      </c>
      <c r="C3197" s="32" t="s">
        <v>2611</v>
      </c>
      <c r="D3197" s="32" t="s">
        <v>114</v>
      </c>
      <c r="E3197" s="32" t="s">
        <v>115</v>
      </c>
      <c r="F3197" s="32" t="n">
        <v>9910867143</v>
      </c>
      <c r="G3197" s="32" t="s">
        <v>144</v>
      </c>
      <c r="H3197" s="32" t="s">
        <v>22</v>
      </c>
      <c r="I3197" s="32" t="s">
        <v>145</v>
      </c>
      <c r="J3197" s="32" t="s">
        <v>117</v>
      </c>
      <c r="K3197" s="32" t="s">
        <v>63</v>
      </c>
    </row>
    <row r="3198" customFormat="false" ht="13.5" hidden="false" customHeight="true" outlineLevel="0" collapsed="false">
      <c r="A3198" s="32" t="n">
        <v>5468</v>
      </c>
      <c r="B3198" s="32" t="s">
        <v>2610</v>
      </c>
      <c r="C3198" s="32" t="s">
        <v>2611</v>
      </c>
      <c r="D3198" s="32" t="s">
        <v>114</v>
      </c>
      <c r="E3198" s="32" t="s">
        <v>115</v>
      </c>
      <c r="F3198" s="32" t="n">
        <v>9910867143</v>
      </c>
      <c r="G3198" s="32" t="s">
        <v>144</v>
      </c>
      <c r="H3198" s="32" t="s">
        <v>22</v>
      </c>
      <c r="I3198" s="32" t="s">
        <v>121</v>
      </c>
      <c r="J3198" s="32" t="s">
        <v>110</v>
      </c>
      <c r="K3198" s="32" t="s">
        <v>63</v>
      </c>
    </row>
    <row r="3199" customFormat="false" ht="13.5" hidden="false" customHeight="true" outlineLevel="0" collapsed="false">
      <c r="A3199" s="32" t="n">
        <v>5469</v>
      </c>
      <c r="B3199" s="32" t="s">
        <v>2610</v>
      </c>
      <c r="C3199" s="32" t="s">
        <v>2611</v>
      </c>
      <c r="D3199" s="32" t="s">
        <v>114</v>
      </c>
      <c r="E3199" s="32" t="s">
        <v>115</v>
      </c>
      <c r="F3199" s="32" t="n">
        <v>9910867143</v>
      </c>
      <c r="G3199" s="32" t="s">
        <v>144</v>
      </c>
      <c r="H3199" s="32" t="s">
        <v>22</v>
      </c>
      <c r="I3199" s="32" t="s">
        <v>93</v>
      </c>
      <c r="J3199" s="32" t="s">
        <v>85</v>
      </c>
      <c r="K3199" s="32" t="s">
        <v>63</v>
      </c>
    </row>
    <row r="3200" customFormat="false" ht="13.5" hidden="false" customHeight="true" outlineLevel="0" collapsed="false">
      <c r="A3200" s="32" t="n">
        <v>5470</v>
      </c>
      <c r="B3200" s="32" t="s">
        <v>2610</v>
      </c>
      <c r="C3200" s="32" t="s">
        <v>2611</v>
      </c>
      <c r="D3200" s="32" t="s">
        <v>114</v>
      </c>
      <c r="E3200" s="32" t="s">
        <v>115</v>
      </c>
      <c r="F3200" s="32" t="n">
        <v>9910867143</v>
      </c>
      <c r="G3200" s="32" t="s">
        <v>144</v>
      </c>
      <c r="H3200" s="32" t="s">
        <v>22</v>
      </c>
      <c r="I3200" s="32" t="s">
        <v>133</v>
      </c>
      <c r="J3200" s="32" t="s">
        <v>134</v>
      </c>
      <c r="K3200" s="32" t="s">
        <v>63</v>
      </c>
    </row>
    <row r="3201" customFormat="false" ht="13.5" hidden="false" customHeight="true" outlineLevel="0" collapsed="false">
      <c r="A3201" s="32" t="n">
        <v>5471</v>
      </c>
      <c r="B3201" s="32" t="s">
        <v>2610</v>
      </c>
      <c r="C3201" s="32" t="s">
        <v>2611</v>
      </c>
      <c r="D3201" s="32" t="s">
        <v>114</v>
      </c>
      <c r="E3201" s="32" t="s">
        <v>115</v>
      </c>
      <c r="F3201" s="32" t="n">
        <v>9910867143</v>
      </c>
      <c r="G3201" s="32" t="s">
        <v>144</v>
      </c>
      <c r="H3201" s="32" t="s">
        <v>22</v>
      </c>
      <c r="I3201" s="32" t="s">
        <v>314</v>
      </c>
      <c r="J3201" s="32" t="s">
        <v>134</v>
      </c>
      <c r="K3201" s="32" t="s">
        <v>63</v>
      </c>
    </row>
    <row r="3202" customFormat="false" ht="13.5" hidden="false" customHeight="true" outlineLevel="0" collapsed="false">
      <c r="A3202" s="32" t="n">
        <v>5472</v>
      </c>
      <c r="B3202" s="32" t="s">
        <v>2612</v>
      </c>
      <c r="C3202" s="32" t="s">
        <v>2613</v>
      </c>
      <c r="D3202" s="32" t="s">
        <v>59</v>
      </c>
      <c r="E3202" s="32" t="s">
        <v>143</v>
      </c>
      <c r="F3202" s="32" t="n">
        <v>0</v>
      </c>
      <c r="G3202" s="32" t="s">
        <v>144</v>
      </c>
      <c r="H3202" s="32" t="s">
        <v>21</v>
      </c>
      <c r="I3202" s="32" t="s">
        <v>121</v>
      </c>
      <c r="J3202" s="32" t="s">
        <v>110</v>
      </c>
      <c r="K3202" s="32" t="s">
        <v>63</v>
      </c>
    </row>
    <row r="3203" customFormat="false" ht="13.5" hidden="false" customHeight="true" outlineLevel="0" collapsed="false">
      <c r="A3203" s="32" t="n">
        <v>5473</v>
      </c>
      <c r="B3203" s="32" t="s">
        <v>2612</v>
      </c>
      <c r="C3203" s="32" t="s">
        <v>2613</v>
      </c>
      <c r="D3203" s="32" t="s">
        <v>59</v>
      </c>
      <c r="E3203" s="32" t="s">
        <v>143</v>
      </c>
      <c r="F3203" s="32" t="n">
        <v>0</v>
      </c>
      <c r="G3203" s="32" t="s">
        <v>144</v>
      </c>
      <c r="H3203" s="32" t="s">
        <v>21</v>
      </c>
      <c r="I3203" s="32" t="s">
        <v>145</v>
      </c>
      <c r="J3203" s="32" t="s">
        <v>117</v>
      </c>
      <c r="K3203" s="32" t="s">
        <v>63</v>
      </c>
    </row>
    <row r="3204" customFormat="false" ht="13.5" hidden="false" customHeight="true" outlineLevel="0" collapsed="false">
      <c r="A3204" s="32" t="n">
        <v>5474</v>
      </c>
      <c r="B3204" s="32" t="s">
        <v>2612</v>
      </c>
      <c r="C3204" s="32" t="s">
        <v>2613</v>
      </c>
      <c r="D3204" s="32" t="s">
        <v>59</v>
      </c>
      <c r="E3204" s="32" t="s">
        <v>143</v>
      </c>
      <c r="F3204" s="32" t="n">
        <v>0</v>
      </c>
      <c r="G3204" s="32" t="s">
        <v>144</v>
      </c>
      <c r="H3204" s="32" t="s">
        <v>21</v>
      </c>
      <c r="I3204" s="32" t="s">
        <v>133</v>
      </c>
      <c r="J3204" s="32" t="s">
        <v>134</v>
      </c>
      <c r="K3204" s="32" t="s">
        <v>63</v>
      </c>
    </row>
    <row r="3205" customFormat="false" ht="13.5" hidden="false" customHeight="true" outlineLevel="0" collapsed="false">
      <c r="A3205" s="32" t="n">
        <v>5475</v>
      </c>
      <c r="B3205" s="32" t="s">
        <v>2614</v>
      </c>
      <c r="C3205" s="32" t="s">
        <v>2615</v>
      </c>
      <c r="D3205" s="32" t="s">
        <v>114</v>
      </c>
      <c r="E3205" s="32" t="s">
        <v>124</v>
      </c>
      <c r="F3205" s="32" t="n">
        <v>9663222044</v>
      </c>
      <c r="G3205" s="32" t="s">
        <v>144</v>
      </c>
      <c r="H3205" s="32" t="s">
        <v>22</v>
      </c>
      <c r="I3205" s="32" t="s">
        <v>227</v>
      </c>
      <c r="J3205" s="32" t="s">
        <v>228</v>
      </c>
      <c r="K3205" s="32" t="s">
        <v>63</v>
      </c>
    </row>
    <row r="3206" customFormat="false" ht="13.5" hidden="false" customHeight="true" outlineLevel="0" collapsed="false">
      <c r="A3206" s="32" t="n">
        <v>5476</v>
      </c>
      <c r="B3206" s="32" t="s">
        <v>2614</v>
      </c>
      <c r="C3206" s="32" t="s">
        <v>2615</v>
      </c>
      <c r="D3206" s="32" t="s">
        <v>114</v>
      </c>
      <c r="E3206" s="32" t="s">
        <v>124</v>
      </c>
      <c r="F3206" s="32" t="n">
        <v>9663222044</v>
      </c>
      <c r="G3206" s="32" t="s">
        <v>144</v>
      </c>
      <c r="H3206" s="32" t="s">
        <v>22</v>
      </c>
      <c r="I3206" s="32" t="s">
        <v>231</v>
      </c>
      <c r="J3206" s="32" t="s">
        <v>228</v>
      </c>
      <c r="K3206" s="32" t="s">
        <v>63</v>
      </c>
    </row>
    <row r="3207" customFormat="false" ht="13.5" hidden="false" customHeight="true" outlineLevel="0" collapsed="false">
      <c r="A3207" s="32" t="n">
        <v>5477</v>
      </c>
      <c r="B3207" s="32" t="s">
        <v>2616</v>
      </c>
      <c r="C3207" s="32" t="s">
        <v>2617</v>
      </c>
      <c r="D3207" s="32" t="s">
        <v>59</v>
      </c>
      <c r="E3207" s="32" t="s">
        <v>107</v>
      </c>
      <c r="F3207" s="32" t="n">
        <v>9810703682</v>
      </c>
      <c r="G3207" s="32" t="s">
        <v>144</v>
      </c>
      <c r="H3207" s="32" t="s">
        <v>21</v>
      </c>
      <c r="I3207" s="32" t="s">
        <v>386</v>
      </c>
      <c r="J3207" s="32" t="s">
        <v>132</v>
      </c>
      <c r="K3207" s="32" t="s">
        <v>63</v>
      </c>
    </row>
    <row r="3208" customFormat="false" ht="13.5" hidden="false" customHeight="true" outlineLevel="0" collapsed="false">
      <c r="A3208" s="32" t="n">
        <v>5478</v>
      </c>
      <c r="B3208" s="32" t="s">
        <v>2616</v>
      </c>
      <c r="C3208" s="32" t="s">
        <v>2618</v>
      </c>
      <c r="D3208" s="32" t="s">
        <v>59</v>
      </c>
      <c r="E3208" s="32" t="s">
        <v>107</v>
      </c>
      <c r="F3208" s="32" t="n">
        <v>9810703682</v>
      </c>
      <c r="G3208" s="32" t="s">
        <v>144</v>
      </c>
      <c r="H3208" s="32" t="s">
        <v>21</v>
      </c>
      <c r="I3208" s="32" t="s">
        <v>215</v>
      </c>
      <c r="J3208" s="32" t="s">
        <v>132</v>
      </c>
      <c r="K3208" s="32" t="s">
        <v>63</v>
      </c>
    </row>
    <row r="3209" customFormat="false" ht="13.5" hidden="false" customHeight="true" outlineLevel="0" collapsed="false">
      <c r="A3209" s="32" t="n">
        <v>5482</v>
      </c>
      <c r="B3209" s="32" t="s">
        <v>2616</v>
      </c>
      <c r="C3209" s="32" t="s">
        <v>2618</v>
      </c>
      <c r="D3209" s="32" t="s">
        <v>59</v>
      </c>
      <c r="E3209" s="32" t="s">
        <v>107</v>
      </c>
      <c r="F3209" s="32" t="n">
        <v>9810703682</v>
      </c>
      <c r="G3209" s="32" t="s">
        <v>144</v>
      </c>
      <c r="H3209" s="32" t="s">
        <v>21</v>
      </c>
      <c r="I3209" s="32" t="s">
        <v>2262</v>
      </c>
      <c r="J3209" s="32" t="s">
        <v>132</v>
      </c>
      <c r="K3209" s="32" t="s">
        <v>63</v>
      </c>
    </row>
    <row r="3210" customFormat="false" ht="13.5" hidden="false" customHeight="true" outlineLevel="0" collapsed="false">
      <c r="A3210" s="32" t="n">
        <v>5483</v>
      </c>
      <c r="B3210" s="32" t="s">
        <v>2616</v>
      </c>
      <c r="C3210" s="32" t="s">
        <v>2618</v>
      </c>
      <c r="D3210" s="32" t="s">
        <v>59</v>
      </c>
      <c r="E3210" s="32" t="s">
        <v>107</v>
      </c>
      <c r="F3210" s="32" t="n">
        <v>9810703682</v>
      </c>
      <c r="G3210" s="32" t="s">
        <v>144</v>
      </c>
      <c r="H3210" s="32" t="s">
        <v>21</v>
      </c>
      <c r="I3210" s="32" t="s">
        <v>825</v>
      </c>
      <c r="J3210" s="32" t="s">
        <v>132</v>
      </c>
      <c r="K3210" s="32" t="s">
        <v>63</v>
      </c>
    </row>
    <row r="3211" customFormat="false" ht="13.5" hidden="false" customHeight="true" outlineLevel="0" collapsed="false">
      <c r="A3211" s="32" t="n">
        <v>5485</v>
      </c>
      <c r="B3211" s="32" t="s">
        <v>2619</v>
      </c>
      <c r="C3211" s="32" t="s">
        <v>2620</v>
      </c>
      <c r="D3211" s="32" t="s">
        <v>59</v>
      </c>
      <c r="E3211" s="32" t="s">
        <v>79</v>
      </c>
      <c r="F3211" s="32" t="n">
        <v>9748280309</v>
      </c>
      <c r="G3211" s="32" t="s">
        <v>144</v>
      </c>
      <c r="H3211" s="32" t="s">
        <v>21</v>
      </c>
      <c r="I3211" s="32" t="s">
        <v>185</v>
      </c>
      <c r="J3211" s="32" t="s">
        <v>186</v>
      </c>
      <c r="K3211" s="32" t="s">
        <v>63</v>
      </c>
    </row>
    <row r="3212" customFormat="false" ht="13.5" hidden="false" customHeight="true" outlineLevel="0" collapsed="false">
      <c r="A3212" s="32" t="n">
        <v>5486</v>
      </c>
      <c r="B3212" s="32" t="s">
        <v>2619</v>
      </c>
      <c r="C3212" s="32" t="s">
        <v>2620</v>
      </c>
      <c r="D3212" s="32" t="s">
        <v>59</v>
      </c>
      <c r="E3212" s="32" t="s">
        <v>79</v>
      </c>
      <c r="F3212" s="32" t="n">
        <v>9748280309</v>
      </c>
      <c r="G3212" s="32" t="s">
        <v>144</v>
      </c>
      <c r="H3212" s="32" t="s">
        <v>21</v>
      </c>
      <c r="I3212" s="32" t="s">
        <v>284</v>
      </c>
      <c r="J3212" s="32" t="s">
        <v>117</v>
      </c>
      <c r="K3212" s="32" t="s">
        <v>63</v>
      </c>
    </row>
    <row r="3213" customFormat="false" ht="13.5" hidden="false" customHeight="true" outlineLevel="0" collapsed="false">
      <c r="A3213" s="32" t="n">
        <v>5487</v>
      </c>
      <c r="B3213" s="32" t="s">
        <v>2621</v>
      </c>
      <c r="C3213" s="32" t="s">
        <v>2622</v>
      </c>
      <c r="D3213" s="32" t="s">
        <v>114</v>
      </c>
      <c r="E3213" s="32" t="s">
        <v>124</v>
      </c>
      <c r="F3213" s="32" t="n">
        <v>8697124458</v>
      </c>
      <c r="G3213" s="32" t="s">
        <v>80</v>
      </c>
      <c r="H3213" s="32" t="s">
        <v>22</v>
      </c>
      <c r="I3213" s="32" t="s">
        <v>185</v>
      </c>
      <c r="J3213" s="32" t="s">
        <v>186</v>
      </c>
      <c r="K3213" s="32" t="s">
        <v>63</v>
      </c>
    </row>
    <row r="3214" customFormat="false" ht="13.5" hidden="false" customHeight="true" outlineLevel="0" collapsed="false">
      <c r="A3214" s="32" t="n">
        <v>5488</v>
      </c>
      <c r="B3214" s="32" t="s">
        <v>2621</v>
      </c>
      <c r="C3214" s="32" t="s">
        <v>2622</v>
      </c>
      <c r="D3214" s="32" t="s">
        <v>114</v>
      </c>
      <c r="E3214" s="32" t="s">
        <v>124</v>
      </c>
      <c r="F3214" s="32" t="n">
        <v>8697124458</v>
      </c>
      <c r="G3214" s="32" t="s">
        <v>80</v>
      </c>
      <c r="H3214" s="32" t="s">
        <v>22</v>
      </c>
      <c r="I3214" s="32" t="s">
        <v>29</v>
      </c>
      <c r="J3214" s="32" t="s">
        <v>62</v>
      </c>
      <c r="K3214" s="32" t="s">
        <v>63</v>
      </c>
    </row>
    <row r="3215" customFormat="false" ht="13.5" hidden="false" customHeight="true" outlineLevel="0" collapsed="false">
      <c r="A3215" s="32" t="n">
        <v>5489</v>
      </c>
      <c r="B3215" s="32" t="s">
        <v>2621</v>
      </c>
      <c r="C3215" s="32" t="s">
        <v>2622</v>
      </c>
      <c r="D3215" s="32" t="s">
        <v>114</v>
      </c>
      <c r="E3215" s="32" t="s">
        <v>124</v>
      </c>
      <c r="F3215" s="32" t="n">
        <v>8697124458</v>
      </c>
      <c r="G3215" s="32" t="s">
        <v>80</v>
      </c>
      <c r="H3215" s="32" t="s">
        <v>22</v>
      </c>
      <c r="I3215" s="32" t="s">
        <v>93</v>
      </c>
      <c r="J3215" s="32" t="s">
        <v>85</v>
      </c>
      <c r="K3215" s="32" t="s">
        <v>63</v>
      </c>
    </row>
    <row r="3216" customFormat="false" ht="13.5" hidden="false" customHeight="true" outlineLevel="0" collapsed="false">
      <c r="A3216" s="32" t="n">
        <v>5490</v>
      </c>
      <c r="B3216" s="32" t="s">
        <v>2621</v>
      </c>
      <c r="C3216" s="32" t="s">
        <v>2622</v>
      </c>
      <c r="D3216" s="32" t="s">
        <v>114</v>
      </c>
      <c r="E3216" s="32" t="s">
        <v>124</v>
      </c>
      <c r="F3216" s="32" t="n">
        <v>8697124458</v>
      </c>
      <c r="G3216" s="32" t="s">
        <v>80</v>
      </c>
      <c r="H3216" s="32" t="s">
        <v>22</v>
      </c>
      <c r="I3216" s="32" t="s">
        <v>280</v>
      </c>
      <c r="J3216" s="32" t="s">
        <v>76</v>
      </c>
      <c r="K3216" s="32" t="s">
        <v>63</v>
      </c>
    </row>
    <row r="3217" customFormat="false" ht="13.5" hidden="false" customHeight="true" outlineLevel="0" collapsed="false">
      <c r="A3217" s="32" t="n">
        <v>5491</v>
      </c>
      <c r="B3217" s="32" t="s">
        <v>2623</v>
      </c>
      <c r="C3217" s="32" t="s">
        <v>2624</v>
      </c>
      <c r="D3217" s="32" t="s">
        <v>102</v>
      </c>
      <c r="E3217" s="32" t="s">
        <v>155</v>
      </c>
      <c r="F3217" s="32" t="n">
        <v>0</v>
      </c>
      <c r="G3217" s="32" t="s">
        <v>144</v>
      </c>
      <c r="H3217" s="32" t="s">
        <v>21</v>
      </c>
      <c r="I3217" s="32" t="s">
        <v>156</v>
      </c>
      <c r="J3217" s="32" t="s">
        <v>62</v>
      </c>
      <c r="K3217" s="32" t="s">
        <v>63</v>
      </c>
    </row>
    <row r="3218" customFormat="false" ht="13.5" hidden="false" customHeight="true" outlineLevel="0" collapsed="false">
      <c r="A3218" s="32" t="n">
        <v>5492</v>
      </c>
      <c r="B3218" s="32" t="s">
        <v>2623</v>
      </c>
      <c r="C3218" s="32" t="s">
        <v>2624</v>
      </c>
      <c r="D3218" s="32" t="s">
        <v>102</v>
      </c>
      <c r="E3218" s="32" t="s">
        <v>155</v>
      </c>
      <c r="F3218" s="32" t="n">
        <v>0</v>
      </c>
      <c r="G3218" s="32" t="s">
        <v>144</v>
      </c>
      <c r="H3218" s="32" t="s">
        <v>21</v>
      </c>
      <c r="I3218" s="32" t="s">
        <v>29</v>
      </c>
      <c r="J3218" s="32" t="s">
        <v>62</v>
      </c>
      <c r="K3218" s="32" t="s">
        <v>63</v>
      </c>
    </row>
    <row r="3219" customFormat="false" ht="13.5" hidden="false" customHeight="true" outlineLevel="0" collapsed="false">
      <c r="A3219" s="32" t="n">
        <v>5493</v>
      </c>
      <c r="B3219" s="32" t="s">
        <v>2623</v>
      </c>
      <c r="C3219" s="32" t="s">
        <v>2624</v>
      </c>
      <c r="D3219" s="32" t="s">
        <v>102</v>
      </c>
      <c r="E3219" s="32" t="s">
        <v>155</v>
      </c>
      <c r="F3219" s="32" t="n">
        <v>0</v>
      </c>
      <c r="G3219" s="32" t="s">
        <v>144</v>
      </c>
      <c r="H3219" s="32" t="s">
        <v>21</v>
      </c>
      <c r="I3219" s="32" t="s">
        <v>14</v>
      </c>
      <c r="J3219" s="32" t="s">
        <v>66</v>
      </c>
      <c r="K3219" s="32" t="s">
        <v>63</v>
      </c>
    </row>
    <row r="3220" customFormat="false" ht="13.5" hidden="false" customHeight="true" outlineLevel="0" collapsed="false">
      <c r="A3220" s="32" t="n">
        <v>5494</v>
      </c>
      <c r="B3220" s="32" t="s">
        <v>2623</v>
      </c>
      <c r="C3220" s="32" t="s">
        <v>2624</v>
      </c>
      <c r="D3220" s="32" t="s">
        <v>102</v>
      </c>
      <c r="E3220" s="32" t="s">
        <v>155</v>
      </c>
      <c r="F3220" s="32" t="n">
        <v>0</v>
      </c>
      <c r="G3220" s="32" t="s">
        <v>144</v>
      </c>
      <c r="H3220" s="32" t="s">
        <v>21</v>
      </c>
      <c r="I3220" s="32" t="s">
        <v>64</v>
      </c>
      <c r="J3220" s="32" t="s">
        <v>62</v>
      </c>
      <c r="K3220" s="32" t="s">
        <v>63</v>
      </c>
    </row>
    <row r="3221" customFormat="false" ht="13.5" hidden="false" customHeight="true" outlineLevel="0" collapsed="false">
      <c r="A3221" s="32" t="n">
        <v>5495</v>
      </c>
      <c r="B3221" s="32" t="s">
        <v>2625</v>
      </c>
      <c r="C3221" s="32" t="s">
        <v>2626</v>
      </c>
      <c r="D3221" s="32" t="s">
        <v>59</v>
      </c>
      <c r="E3221" s="32" t="s">
        <v>107</v>
      </c>
      <c r="F3221" s="32" t="n">
        <v>8050173057</v>
      </c>
      <c r="G3221" s="32" t="s">
        <v>61</v>
      </c>
      <c r="H3221" s="32" t="s">
        <v>21</v>
      </c>
      <c r="I3221" s="32" t="s">
        <v>16</v>
      </c>
      <c r="J3221" s="32" t="s">
        <v>73</v>
      </c>
      <c r="K3221" s="32" t="s">
        <v>63</v>
      </c>
    </row>
    <row r="3222" customFormat="false" ht="13.5" hidden="false" customHeight="true" outlineLevel="0" collapsed="false">
      <c r="A3222" s="32" t="n">
        <v>5496</v>
      </c>
      <c r="B3222" s="32" t="s">
        <v>2625</v>
      </c>
      <c r="C3222" s="32" t="s">
        <v>2626</v>
      </c>
      <c r="D3222" s="32" t="s">
        <v>59</v>
      </c>
      <c r="E3222" s="32" t="s">
        <v>107</v>
      </c>
      <c r="F3222" s="32" t="n">
        <v>8050173057</v>
      </c>
      <c r="G3222" s="32" t="s">
        <v>61</v>
      </c>
      <c r="H3222" s="32" t="s">
        <v>21</v>
      </c>
      <c r="I3222" s="32" t="s">
        <v>150</v>
      </c>
      <c r="J3222" s="32" t="s">
        <v>73</v>
      </c>
      <c r="K3222" s="32" t="s">
        <v>63</v>
      </c>
    </row>
    <row r="3223" customFormat="false" ht="13.5" hidden="false" customHeight="true" outlineLevel="0" collapsed="false">
      <c r="A3223" s="32" t="n">
        <v>5497</v>
      </c>
      <c r="B3223" s="32" t="s">
        <v>2625</v>
      </c>
      <c r="C3223" s="32" t="s">
        <v>2627</v>
      </c>
      <c r="D3223" s="32" t="s">
        <v>59</v>
      </c>
      <c r="E3223" s="32" t="s">
        <v>107</v>
      </c>
      <c r="F3223" s="32" t="n">
        <v>8050173057</v>
      </c>
      <c r="G3223" s="32" t="s">
        <v>61</v>
      </c>
      <c r="H3223" s="32" t="s">
        <v>21</v>
      </c>
      <c r="I3223" s="32" t="s">
        <v>807</v>
      </c>
      <c r="J3223" s="32" t="s">
        <v>808</v>
      </c>
      <c r="K3223" s="32" t="s">
        <v>63</v>
      </c>
    </row>
    <row r="3224" customFormat="false" ht="13.5" hidden="false" customHeight="true" outlineLevel="0" collapsed="false">
      <c r="A3224" s="32" t="n">
        <v>5498</v>
      </c>
      <c r="B3224" s="32" t="s">
        <v>2625</v>
      </c>
      <c r="C3224" s="32" t="s">
        <v>2627</v>
      </c>
      <c r="D3224" s="32" t="s">
        <v>59</v>
      </c>
      <c r="E3224" s="32" t="s">
        <v>107</v>
      </c>
      <c r="F3224" s="32" t="n">
        <v>8050173057</v>
      </c>
      <c r="G3224" s="32" t="s">
        <v>61</v>
      </c>
      <c r="H3224" s="32" t="s">
        <v>21</v>
      </c>
      <c r="I3224" s="32" t="s">
        <v>108</v>
      </c>
      <c r="J3224" s="32" t="s">
        <v>71</v>
      </c>
      <c r="K3224" s="32" t="s">
        <v>63</v>
      </c>
    </row>
    <row r="3225" customFormat="false" ht="13.5" hidden="false" customHeight="true" outlineLevel="0" collapsed="false">
      <c r="A3225" s="32" t="n">
        <v>5499</v>
      </c>
      <c r="B3225" s="32" t="s">
        <v>2628</v>
      </c>
      <c r="C3225" s="32" t="s">
        <v>2629</v>
      </c>
      <c r="D3225" s="32" t="s">
        <v>59</v>
      </c>
      <c r="E3225" s="32" t="s">
        <v>143</v>
      </c>
      <c r="F3225" s="32" t="n">
        <v>8826530789</v>
      </c>
      <c r="G3225" s="32" t="s">
        <v>61</v>
      </c>
      <c r="H3225" s="32" t="s">
        <v>21</v>
      </c>
      <c r="I3225" s="32" t="s">
        <v>108</v>
      </c>
      <c r="J3225" s="32" t="s">
        <v>71</v>
      </c>
      <c r="K3225" s="32" t="s">
        <v>63</v>
      </c>
    </row>
    <row r="3226" customFormat="false" ht="13.5" hidden="false" customHeight="true" outlineLevel="0" collapsed="false">
      <c r="A3226" s="32" t="n">
        <v>5500</v>
      </c>
      <c r="B3226" s="32" t="s">
        <v>2628</v>
      </c>
      <c r="C3226" s="32" t="s">
        <v>2629</v>
      </c>
      <c r="D3226" s="32" t="s">
        <v>59</v>
      </c>
      <c r="E3226" s="32" t="s">
        <v>143</v>
      </c>
      <c r="F3226" s="32" t="n">
        <v>8826530789</v>
      </c>
      <c r="G3226" s="32" t="s">
        <v>61</v>
      </c>
      <c r="H3226" s="32" t="s">
        <v>21</v>
      </c>
      <c r="I3226" s="32" t="s">
        <v>145</v>
      </c>
      <c r="J3226" s="32" t="s">
        <v>117</v>
      </c>
      <c r="K3226" s="32" t="s">
        <v>63</v>
      </c>
    </row>
    <row r="3227" customFormat="false" ht="13.5" hidden="false" customHeight="true" outlineLevel="0" collapsed="false">
      <c r="A3227" s="32" t="n">
        <v>5502</v>
      </c>
      <c r="B3227" s="32" t="s">
        <v>2628</v>
      </c>
      <c r="C3227" s="32" t="s">
        <v>2629</v>
      </c>
      <c r="D3227" s="32" t="s">
        <v>59</v>
      </c>
      <c r="E3227" s="32" t="s">
        <v>143</v>
      </c>
      <c r="F3227" s="32" t="n">
        <v>8826530789</v>
      </c>
      <c r="G3227" s="32" t="s">
        <v>61</v>
      </c>
      <c r="H3227" s="32" t="s">
        <v>21</v>
      </c>
      <c r="I3227" s="32" t="s">
        <v>133</v>
      </c>
      <c r="J3227" s="32" t="s">
        <v>134</v>
      </c>
      <c r="K3227" s="32" t="s">
        <v>63</v>
      </c>
    </row>
    <row r="3228" customFormat="false" ht="13.5" hidden="false" customHeight="true" outlineLevel="0" collapsed="false">
      <c r="A3228" s="32" t="n">
        <v>5505</v>
      </c>
      <c r="B3228" s="32" t="s">
        <v>2630</v>
      </c>
      <c r="C3228" s="32" t="s">
        <v>2631</v>
      </c>
      <c r="D3228" s="32" t="s">
        <v>114</v>
      </c>
      <c r="E3228" s="32" t="s">
        <v>169</v>
      </c>
      <c r="F3228" s="33" t="n">
        <v>918887000000</v>
      </c>
      <c r="G3228" s="32" t="s">
        <v>144</v>
      </c>
      <c r="H3228" s="32" t="s">
        <v>22</v>
      </c>
      <c r="I3228" s="32" t="s">
        <v>239</v>
      </c>
      <c r="J3228" s="32" t="s">
        <v>132</v>
      </c>
      <c r="K3228" s="32" t="s">
        <v>63</v>
      </c>
    </row>
    <row r="3229" customFormat="false" ht="13.5" hidden="false" customHeight="true" outlineLevel="0" collapsed="false">
      <c r="A3229" s="32" t="n">
        <v>5506</v>
      </c>
      <c r="B3229" s="32" t="s">
        <v>2630</v>
      </c>
      <c r="C3229" s="32" t="s">
        <v>2632</v>
      </c>
      <c r="D3229" s="32" t="s">
        <v>114</v>
      </c>
      <c r="E3229" s="32" t="s">
        <v>169</v>
      </c>
      <c r="F3229" s="33" t="n">
        <v>918887000000</v>
      </c>
      <c r="G3229" s="32" t="s">
        <v>144</v>
      </c>
      <c r="H3229" s="32" t="s">
        <v>22</v>
      </c>
      <c r="I3229" s="32" t="s">
        <v>108</v>
      </c>
      <c r="J3229" s="32" t="s">
        <v>71</v>
      </c>
      <c r="K3229" s="32" t="s">
        <v>63</v>
      </c>
    </row>
    <row r="3230" customFormat="false" ht="13.5" hidden="false" customHeight="true" outlineLevel="0" collapsed="false">
      <c r="A3230" s="32" t="n">
        <v>5507</v>
      </c>
      <c r="B3230" s="32" t="s">
        <v>2630</v>
      </c>
      <c r="C3230" s="32" t="s">
        <v>2632</v>
      </c>
      <c r="D3230" s="32" t="s">
        <v>114</v>
      </c>
      <c r="E3230" s="32" t="s">
        <v>169</v>
      </c>
      <c r="F3230" s="33" t="n">
        <v>918887000000</v>
      </c>
      <c r="G3230" s="32" t="s">
        <v>144</v>
      </c>
      <c r="H3230" s="32" t="s">
        <v>22</v>
      </c>
      <c r="I3230" s="32" t="s">
        <v>93</v>
      </c>
      <c r="J3230" s="32" t="s">
        <v>85</v>
      </c>
      <c r="K3230" s="32" t="s">
        <v>63</v>
      </c>
    </row>
    <row r="3231" customFormat="false" ht="13.5" hidden="false" customHeight="true" outlineLevel="0" collapsed="false">
      <c r="A3231" s="32" t="n">
        <v>5508</v>
      </c>
      <c r="B3231" s="32" t="s">
        <v>2630</v>
      </c>
      <c r="C3231" s="32" t="s">
        <v>2632</v>
      </c>
      <c r="D3231" s="32" t="s">
        <v>114</v>
      </c>
      <c r="E3231" s="32" t="s">
        <v>169</v>
      </c>
      <c r="F3231" s="33" t="n">
        <v>918887000000</v>
      </c>
      <c r="G3231" s="32" t="s">
        <v>144</v>
      </c>
      <c r="H3231" s="32" t="s">
        <v>22</v>
      </c>
      <c r="I3231" s="32" t="s">
        <v>242</v>
      </c>
      <c r="J3231" s="32" t="s">
        <v>241</v>
      </c>
      <c r="K3231" s="32" t="s">
        <v>63</v>
      </c>
    </row>
    <row r="3232" customFormat="false" ht="13.5" hidden="false" customHeight="true" outlineLevel="0" collapsed="false">
      <c r="A3232" s="32" t="n">
        <v>5509</v>
      </c>
      <c r="B3232" s="32" t="s">
        <v>2633</v>
      </c>
      <c r="C3232" s="32" t="s">
        <v>2634</v>
      </c>
      <c r="D3232" s="32" t="s">
        <v>102</v>
      </c>
      <c r="E3232" s="32" t="s">
        <v>155</v>
      </c>
      <c r="F3232" s="32" t="n">
        <v>8944888669</v>
      </c>
      <c r="G3232" s="32" t="s">
        <v>140</v>
      </c>
      <c r="H3232" s="32" t="s">
        <v>21</v>
      </c>
      <c r="I3232" s="32" t="s">
        <v>108</v>
      </c>
      <c r="J3232" s="32" t="s">
        <v>71</v>
      </c>
      <c r="K3232" s="32" t="s">
        <v>63</v>
      </c>
    </row>
    <row r="3233" customFormat="false" ht="13.5" hidden="false" customHeight="true" outlineLevel="0" collapsed="false">
      <c r="A3233" s="32" t="n">
        <v>5510</v>
      </c>
      <c r="B3233" s="32" t="s">
        <v>2635</v>
      </c>
      <c r="C3233" s="32" t="s">
        <v>2636</v>
      </c>
      <c r="D3233" s="32" t="s">
        <v>59</v>
      </c>
      <c r="E3233" s="32" t="s">
        <v>143</v>
      </c>
      <c r="F3233" s="32" t="n">
        <v>9673982398</v>
      </c>
      <c r="G3233" s="32" t="s">
        <v>104</v>
      </c>
      <c r="H3233" s="32" t="s">
        <v>21</v>
      </c>
      <c r="I3233" s="32" t="s">
        <v>27</v>
      </c>
      <c r="J3233" s="32" t="s">
        <v>13</v>
      </c>
      <c r="K3233" s="32" t="s">
        <v>63</v>
      </c>
    </row>
    <row r="3234" customFormat="false" ht="13.5" hidden="false" customHeight="true" outlineLevel="0" collapsed="false">
      <c r="A3234" s="32" t="n">
        <v>5511</v>
      </c>
      <c r="B3234" s="32" t="s">
        <v>2635</v>
      </c>
      <c r="C3234" s="32" t="s">
        <v>2636</v>
      </c>
      <c r="D3234" s="32" t="s">
        <v>59</v>
      </c>
      <c r="E3234" s="32" t="s">
        <v>143</v>
      </c>
      <c r="F3234" s="32" t="n">
        <v>9673982398</v>
      </c>
      <c r="G3234" s="32" t="s">
        <v>104</v>
      </c>
      <c r="H3234" s="32" t="s">
        <v>21</v>
      </c>
      <c r="I3234" s="32" t="s">
        <v>133</v>
      </c>
      <c r="J3234" s="32" t="s">
        <v>134</v>
      </c>
      <c r="K3234" s="32" t="s">
        <v>63</v>
      </c>
    </row>
    <row r="3235" customFormat="false" ht="13.5" hidden="false" customHeight="true" outlineLevel="0" collapsed="false">
      <c r="A3235" s="32" t="n">
        <v>5512</v>
      </c>
      <c r="B3235" s="32" t="s">
        <v>2637</v>
      </c>
      <c r="C3235" s="32" t="s">
        <v>2638</v>
      </c>
      <c r="D3235" s="32" t="s">
        <v>114</v>
      </c>
      <c r="E3235" s="32" t="s">
        <v>115</v>
      </c>
      <c r="F3235" s="32" t="n">
        <v>8886522298</v>
      </c>
      <c r="G3235" s="32" t="s">
        <v>80</v>
      </c>
      <c r="H3235" s="32" t="s">
        <v>22</v>
      </c>
      <c r="I3235" s="32" t="s">
        <v>108</v>
      </c>
      <c r="J3235" s="32" t="s">
        <v>71</v>
      </c>
      <c r="K3235" s="32" t="s">
        <v>63</v>
      </c>
    </row>
    <row r="3236" customFormat="false" ht="13.5" hidden="false" customHeight="true" outlineLevel="0" collapsed="false">
      <c r="A3236" s="32" t="n">
        <v>5513</v>
      </c>
      <c r="B3236" s="32" t="s">
        <v>2637</v>
      </c>
      <c r="C3236" s="32" t="s">
        <v>2638</v>
      </c>
      <c r="D3236" s="32" t="s">
        <v>114</v>
      </c>
      <c r="E3236" s="32" t="s">
        <v>115</v>
      </c>
      <c r="F3236" s="32" t="n">
        <v>8886522298</v>
      </c>
      <c r="G3236" s="32" t="s">
        <v>80</v>
      </c>
      <c r="H3236" s="32" t="s">
        <v>22</v>
      </c>
      <c r="I3236" s="32" t="s">
        <v>549</v>
      </c>
      <c r="J3236" s="32" t="s">
        <v>110</v>
      </c>
      <c r="K3236" s="32" t="s">
        <v>63</v>
      </c>
    </row>
    <row r="3237" customFormat="false" ht="13.5" hidden="false" customHeight="true" outlineLevel="0" collapsed="false">
      <c r="A3237" s="32" t="n">
        <v>5514</v>
      </c>
      <c r="B3237" s="32" t="s">
        <v>2637</v>
      </c>
      <c r="C3237" s="32" t="s">
        <v>2639</v>
      </c>
      <c r="D3237" s="32" t="s">
        <v>114</v>
      </c>
      <c r="E3237" s="32" t="s">
        <v>115</v>
      </c>
      <c r="F3237" s="32" t="n">
        <v>8886522298</v>
      </c>
      <c r="G3237" s="32" t="s">
        <v>80</v>
      </c>
      <c r="H3237" s="32" t="s">
        <v>22</v>
      </c>
      <c r="I3237" s="32" t="s">
        <v>27</v>
      </c>
      <c r="J3237" s="32" t="s">
        <v>13</v>
      </c>
      <c r="K3237" s="32" t="s">
        <v>63</v>
      </c>
    </row>
    <row r="3238" customFormat="false" ht="13.5" hidden="false" customHeight="true" outlineLevel="0" collapsed="false">
      <c r="A3238" s="32" t="n">
        <v>5515</v>
      </c>
      <c r="B3238" s="32" t="s">
        <v>2637</v>
      </c>
      <c r="C3238" s="32" t="s">
        <v>2639</v>
      </c>
      <c r="D3238" s="32" t="s">
        <v>114</v>
      </c>
      <c r="E3238" s="32" t="s">
        <v>115</v>
      </c>
      <c r="F3238" s="32" t="n">
        <v>8886522298</v>
      </c>
      <c r="G3238" s="32" t="s">
        <v>80</v>
      </c>
      <c r="H3238" s="32" t="s">
        <v>22</v>
      </c>
      <c r="I3238" s="32" t="s">
        <v>109</v>
      </c>
      <c r="J3238" s="32" t="s">
        <v>110</v>
      </c>
      <c r="K3238" s="32" t="s">
        <v>63</v>
      </c>
    </row>
    <row r="3239" customFormat="false" ht="13.5" hidden="false" customHeight="true" outlineLevel="0" collapsed="false">
      <c r="A3239" s="32" t="n">
        <v>5516</v>
      </c>
      <c r="B3239" s="32" t="s">
        <v>2637</v>
      </c>
      <c r="C3239" s="32" t="s">
        <v>2639</v>
      </c>
      <c r="D3239" s="32" t="s">
        <v>114</v>
      </c>
      <c r="E3239" s="32" t="s">
        <v>115</v>
      </c>
      <c r="F3239" s="32" t="n">
        <v>8886522298</v>
      </c>
      <c r="G3239" s="32" t="s">
        <v>80</v>
      </c>
      <c r="H3239" s="32" t="s">
        <v>22</v>
      </c>
      <c r="I3239" s="32" t="s">
        <v>145</v>
      </c>
      <c r="J3239" s="32" t="s">
        <v>117</v>
      </c>
      <c r="K3239" s="32" t="s">
        <v>63</v>
      </c>
    </row>
    <row r="3240" customFormat="false" ht="13.5" hidden="false" customHeight="true" outlineLevel="0" collapsed="false">
      <c r="A3240" s="32" t="n">
        <v>5517</v>
      </c>
      <c r="B3240" s="32" t="s">
        <v>2640</v>
      </c>
      <c r="C3240" s="32" t="s">
        <v>2641</v>
      </c>
      <c r="D3240" s="32" t="s">
        <v>59</v>
      </c>
      <c r="E3240" s="32" t="s">
        <v>143</v>
      </c>
      <c r="F3240" s="32" t="n">
        <v>7447730111</v>
      </c>
      <c r="G3240" s="32" t="s">
        <v>61</v>
      </c>
      <c r="H3240" s="32" t="s">
        <v>21</v>
      </c>
      <c r="I3240" s="32" t="s">
        <v>28</v>
      </c>
      <c r="J3240" s="32" t="s">
        <v>82</v>
      </c>
      <c r="K3240" s="32" t="s">
        <v>63</v>
      </c>
    </row>
    <row r="3241" customFormat="false" ht="13.5" hidden="false" customHeight="true" outlineLevel="0" collapsed="false">
      <c r="A3241" s="32" t="n">
        <v>5518</v>
      </c>
      <c r="B3241" s="32" t="s">
        <v>2640</v>
      </c>
      <c r="C3241" s="32" t="s">
        <v>2641</v>
      </c>
      <c r="D3241" s="32" t="s">
        <v>59</v>
      </c>
      <c r="E3241" s="32" t="s">
        <v>143</v>
      </c>
      <c r="F3241" s="32" t="n">
        <v>7447730111</v>
      </c>
      <c r="G3241" s="32" t="s">
        <v>61</v>
      </c>
      <c r="H3241" s="32" t="s">
        <v>21</v>
      </c>
      <c r="I3241" s="32" t="s">
        <v>85</v>
      </c>
      <c r="J3241" s="32" t="s">
        <v>85</v>
      </c>
      <c r="K3241" s="32" t="s">
        <v>63</v>
      </c>
    </row>
    <row r="3242" customFormat="false" ht="13.5" hidden="false" customHeight="true" outlineLevel="0" collapsed="false">
      <c r="A3242" s="32" t="n">
        <v>5519</v>
      </c>
      <c r="B3242" s="32" t="s">
        <v>2640</v>
      </c>
      <c r="C3242" s="32" t="s">
        <v>2641</v>
      </c>
      <c r="D3242" s="32" t="s">
        <v>59</v>
      </c>
      <c r="E3242" s="32" t="s">
        <v>143</v>
      </c>
      <c r="F3242" s="32" t="n">
        <v>7447730111</v>
      </c>
      <c r="G3242" s="32" t="s">
        <v>61</v>
      </c>
      <c r="H3242" s="32" t="s">
        <v>21</v>
      </c>
      <c r="I3242" s="32" t="s">
        <v>387</v>
      </c>
      <c r="J3242" s="32" t="s">
        <v>388</v>
      </c>
      <c r="K3242" s="32" t="s">
        <v>63</v>
      </c>
    </row>
    <row r="3243" customFormat="false" ht="13.5" hidden="false" customHeight="true" outlineLevel="0" collapsed="false">
      <c r="A3243" s="32" t="n">
        <v>5520</v>
      </c>
      <c r="B3243" s="32" t="s">
        <v>2640</v>
      </c>
      <c r="C3243" s="32" t="s">
        <v>2641</v>
      </c>
      <c r="D3243" s="32" t="s">
        <v>59</v>
      </c>
      <c r="E3243" s="32" t="s">
        <v>143</v>
      </c>
      <c r="F3243" s="32" t="n">
        <v>7447730111</v>
      </c>
      <c r="G3243" s="32" t="s">
        <v>61</v>
      </c>
      <c r="H3243" s="32" t="s">
        <v>21</v>
      </c>
      <c r="I3243" s="32" t="s">
        <v>76</v>
      </c>
      <c r="J3243" s="32" t="s">
        <v>76</v>
      </c>
      <c r="K3243" s="32" t="s">
        <v>63</v>
      </c>
    </row>
    <row r="3244" customFormat="false" ht="13.5" hidden="false" customHeight="true" outlineLevel="0" collapsed="false">
      <c r="A3244" s="32" t="n">
        <v>5521</v>
      </c>
      <c r="B3244" s="32" t="s">
        <v>2642</v>
      </c>
      <c r="C3244" s="32" t="s">
        <v>2643</v>
      </c>
      <c r="D3244" s="32" t="s">
        <v>114</v>
      </c>
      <c r="E3244" s="32" t="s">
        <v>165</v>
      </c>
      <c r="F3244" s="32" t="n">
        <v>8977185887</v>
      </c>
      <c r="G3244" s="32" t="s">
        <v>80</v>
      </c>
      <c r="H3244" s="32" t="s">
        <v>22</v>
      </c>
      <c r="I3244" s="32" t="s">
        <v>93</v>
      </c>
      <c r="J3244" s="32" t="s">
        <v>85</v>
      </c>
      <c r="K3244" s="32" t="s">
        <v>63</v>
      </c>
    </row>
    <row r="3245" customFormat="false" ht="13.5" hidden="false" customHeight="true" outlineLevel="0" collapsed="false">
      <c r="A3245" s="32" t="n">
        <v>5522</v>
      </c>
      <c r="B3245" s="32" t="s">
        <v>2642</v>
      </c>
      <c r="C3245" s="32" t="s">
        <v>2644</v>
      </c>
      <c r="D3245" s="32" t="s">
        <v>114</v>
      </c>
      <c r="E3245" s="32" t="s">
        <v>165</v>
      </c>
      <c r="F3245" s="32" t="n">
        <v>8977185887</v>
      </c>
      <c r="G3245" s="32" t="s">
        <v>80</v>
      </c>
      <c r="H3245" s="32" t="s">
        <v>22</v>
      </c>
      <c r="I3245" s="32" t="s">
        <v>145</v>
      </c>
      <c r="J3245" s="32" t="s">
        <v>117</v>
      </c>
      <c r="K3245" s="32" t="s">
        <v>63</v>
      </c>
    </row>
    <row r="3246" customFormat="false" ht="13.5" hidden="false" customHeight="true" outlineLevel="0" collapsed="false">
      <c r="A3246" s="32" t="n">
        <v>5523</v>
      </c>
      <c r="B3246" s="32" t="s">
        <v>2642</v>
      </c>
      <c r="C3246" s="32" t="s">
        <v>2644</v>
      </c>
      <c r="D3246" s="32" t="s">
        <v>114</v>
      </c>
      <c r="E3246" s="32" t="s">
        <v>165</v>
      </c>
      <c r="F3246" s="32" t="n">
        <v>8977185887</v>
      </c>
      <c r="G3246" s="32" t="s">
        <v>80</v>
      </c>
      <c r="H3246" s="32" t="s">
        <v>22</v>
      </c>
      <c r="I3246" s="32" t="s">
        <v>133</v>
      </c>
      <c r="J3246" s="32" t="s">
        <v>134</v>
      </c>
      <c r="K3246" s="32" t="s">
        <v>63</v>
      </c>
    </row>
    <row r="3247" customFormat="false" ht="13.5" hidden="false" customHeight="true" outlineLevel="0" collapsed="false">
      <c r="A3247" s="32" t="n">
        <v>5524</v>
      </c>
      <c r="B3247" s="32" t="s">
        <v>2645</v>
      </c>
      <c r="C3247" s="32" t="s">
        <v>2646</v>
      </c>
      <c r="D3247" s="32" t="s">
        <v>59</v>
      </c>
      <c r="E3247" s="32" t="s">
        <v>2647</v>
      </c>
      <c r="F3247" s="32" t="n">
        <v>7875777880</v>
      </c>
      <c r="G3247" s="32" t="s">
        <v>104</v>
      </c>
      <c r="H3247" s="32" t="s">
        <v>21</v>
      </c>
      <c r="I3247" s="32" t="s">
        <v>85</v>
      </c>
      <c r="J3247" s="32" t="s">
        <v>85</v>
      </c>
      <c r="K3247" s="32" t="s">
        <v>63</v>
      </c>
    </row>
    <row r="3248" customFormat="false" ht="13.5" hidden="false" customHeight="true" outlineLevel="0" collapsed="false">
      <c r="A3248" s="32" t="n">
        <v>5525</v>
      </c>
      <c r="B3248" s="32" t="s">
        <v>2645</v>
      </c>
      <c r="C3248" s="32" t="s">
        <v>2646</v>
      </c>
      <c r="D3248" s="32" t="s">
        <v>59</v>
      </c>
      <c r="E3248" s="32" t="s">
        <v>2647</v>
      </c>
      <c r="F3248" s="32" t="n">
        <v>7875777880</v>
      </c>
      <c r="G3248" s="32" t="s">
        <v>104</v>
      </c>
      <c r="H3248" s="32" t="s">
        <v>21</v>
      </c>
      <c r="I3248" s="32" t="s">
        <v>95</v>
      </c>
      <c r="J3248" s="32" t="s">
        <v>96</v>
      </c>
      <c r="K3248" s="32" t="s">
        <v>63</v>
      </c>
    </row>
    <row r="3249" customFormat="false" ht="13.5" hidden="false" customHeight="true" outlineLevel="0" collapsed="false">
      <c r="A3249" s="32" t="n">
        <v>5526</v>
      </c>
      <c r="B3249" s="32" t="s">
        <v>2645</v>
      </c>
      <c r="C3249" s="32" t="s">
        <v>2646</v>
      </c>
      <c r="D3249" s="32" t="s">
        <v>59</v>
      </c>
      <c r="E3249" s="32" t="s">
        <v>2647</v>
      </c>
      <c r="F3249" s="32" t="n">
        <v>7875777880</v>
      </c>
      <c r="G3249" s="32" t="s">
        <v>104</v>
      </c>
      <c r="H3249" s="32" t="s">
        <v>21</v>
      </c>
      <c r="I3249" s="32" t="s">
        <v>678</v>
      </c>
      <c r="J3249" s="32" t="s">
        <v>152</v>
      </c>
      <c r="K3249" s="32" t="s">
        <v>63</v>
      </c>
    </row>
    <row r="3250" customFormat="false" ht="13.5" hidden="false" customHeight="true" outlineLevel="0" collapsed="false">
      <c r="A3250" s="32" t="n">
        <v>5527</v>
      </c>
      <c r="B3250" s="32" t="s">
        <v>2645</v>
      </c>
      <c r="C3250" s="32" t="s">
        <v>2646</v>
      </c>
      <c r="D3250" s="32" t="s">
        <v>59</v>
      </c>
      <c r="E3250" s="32" t="s">
        <v>2647</v>
      </c>
      <c r="F3250" s="32" t="n">
        <v>7875777880</v>
      </c>
      <c r="G3250" s="32" t="s">
        <v>104</v>
      </c>
      <c r="H3250" s="32" t="s">
        <v>21</v>
      </c>
      <c r="I3250" s="32" t="s">
        <v>151</v>
      </c>
      <c r="J3250" s="32" t="s">
        <v>152</v>
      </c>
      <c r="K3250" s="32" t="s">
        <v>63</v>
      </c>
    </row>
    <row r="3251" customFormat="false" ht="13.5" hidden="false" customHeight="true" outlineLevel="0" collapsed="false">
      <c r="A3251" s="32" t="n">
        <v>5528</v>
      </c>
      <c r="B3251" s="32" t="s">
        <v>2645</v>
      </c>
      <c r="C3251" s="32" t="s">
        <v>2646</v>
      </c>
      <c r="D3251" s="32" t="s">
        <v>59</v>
      </c>
      <c r="E3251" s="32" t="s">
        <v>2647</v>
      </c>
      <c r="F3251" s="32" t="n">
        <v>7875777880</v>
      </c>
      <c r="G3251" s="32" t="s">
        <v>104</v>
      </c>
      <c r="H3251" s="32" t="s">
        <v>21</v>
      </c>
      <c r="I3251" s="32" t="s">
        <v>76</v>
      </c>
      <c r="J3251" s="32" t="s">
        <v>76</v>
      </c>
      <c r="K3251" s="32" t="s">
        <v>63</v>
      </c>
    </row>
    <row r="3252" customFormat="false" ht="13.5" hidden="false" customHeight="true" outlineLevel="0" collapsed="false">
      <c r="A3252" s="32" t="n">
        <v>5529</v>
      </c>
      <c r="B3252" s="32" t="s">
        <v>2645</v>
      </c>
      <c r="C3252" s="32" t="s">
        <v>2646</v>
      </c>
      <c r="D3252" s="32" t="s">
        <v>59</v>
      </c>
      <c r="E3252" s="32" t="s">
        <v>2647</v>
      </c>
      <c r="F3252" s="32" t="n">
        <v>7875777880</v>
      </c>
      <c r="G3252" s="32" t="s">
        <v>104</v>
      </c>
      <c r="H3252" s="32" t="s">
        <v>21</v>
      </c>
      <c r="I3252" s="32" t="s">
        <v>284</v>
      </c>
      <c r="J3252" s="32" t="s">
        <v>117</v>
      </c>
      <c r="K3252" s="32" t="s">
        <v>63</v>
      </c>
    </row>
    <row r="3253" customFormat="false" ht="13.5" hidden="false" customHeight="true" outlineLevel="0" collapsed="false">
      <c r="A3253" s="32" t="n">
        <v>5530</v>
      </c>
      <c r="B3253" s="32" t="s">
        <v>2645</v>
      </c>
      <c r="C3253" s="32" t="s">
        <v>2646</v>
      </c>
      <c r="D3253" s="32" t="s">
        <v>59</v>
      </c>
      <c r="E3253" s="32" t="s">
        <v>2647</v>
      </c>
      <c r="F3253" s="32" t="n">
        <v>7875777880</v>
      </c>
      <c r="G3253" s="32" t="s">
        <v>104</v>
      </c>
      <c r="H3253" s="32" t="s">
        <v>21</v>
      </c>
      <c r="I3253" s="32" t="s">
        <v>371</v>
      </c>
      <c r="J3253" s="32" t="s">
        <v>152</v>
      </c>
      <c r="K3253" s="32" t="s">
        <v>63</v>
      </c>
    </row>
    <row r="3254" customFormat="false" ht="13.5" hidden="false" customHeight="true" outlineLevel="0" collapsed="false">
      <c r="A3254" s="32" t="n">
        <v>5536</v>
      </c>
      <c r="B3254" s="32" t="s">
        <v>2645</v>
      </c>
      <c r="C3254" s="32" t="s">
        <v>2646</v>
      </c>
      <c r="D3254" s="32" t="s">
        <v>59</v>
      </c>
      <c r="E3254" s="32" t="s">
        <v>2647</v>
      </c>
      <c r="F3254" s="32" t="n">
        <v>7875777880</v>
      </c>
      <c r="G3254" s="32" t="s">
        <v>104</v>
      </c>
      <c r="H3254" s="32" t="s">
        <v>21</v>
      </c>
      <c r="I3254" s="32" t="s">
        <v>30</v>
      </c>
      <c r="J3254" s="32" t="s">
        <v>203</v>
      </c>
      <c r="K3254" s="32" t="s">
        <v>63</v>
      </c>
    </row>
    <row r="3255" customFormat="false" ht="13.5" hidden="false" customHeight="true" outlineLevel="0" collapsed="false">
      <c r="A3255" s="32" t="n">
        <v>5537</v>
      </c>
      <c r="B3255" s="32" t="s">
        <v>2648</v>
      </c>
      <c r="C3255" s="32" t="s">
        <v>2649</v>
      </c>
      <c r="D3255" s="32" t="s">
        <v>114</v>
      </c>
      <c r="E3255" s="32" t="s">
        <v>165</v>
      </c>
      <c r="F3255" s="33" t="n">
        <v>919643000000</v>
      </c>
      <c r="G3255" s="32" t="s">
        <v>80</v>
      </c>
      <c r="H3255" s="32" t="s">
        <v>22</v>
      </c>
      <c r="I3255" s="32" t="s">
        <v>16</v>
      </c>
      <c r="J3255" s="32" t="s">
        <v>73</v>
      </c>
      <c r="K3255" s="32" t="s">
        <v>63</v>
      </c>
    </row>
    <row r="3256" customFormat="false" ht="13.5" hidden="false" customHeight="true" outlineLevel="0" collapsed="false">
      <c r="A3256" s="32" t="n">
        <v>5538</v>
      </c>
      <c r="B3256" s="32" t="s">
        <v>2648</v>
      </c>
      <c r="C3256" s="32" t="s">
        <v>2650</v>
      </c>
      <c r="D3256" s="32" t="s">
        <v>114</v>
      </c>
      <c r="E3256" s="32" t="s">
        <v>165</v>
      </c>
      <c r="F3256" s="33" t="n">
        <v>919643000000</v>
      </c>
      <c r="G3256" s="32" t="s">
        <v>80</v>
      </c>
      <c r="H3256" s="32" t="s">
        <v>22</v>
      </c>
      <c r="I3256" s="32" t="s">
        <v>137</v>
      </c>
      <c r="J3256" s="32" t="s">
        <v>13</v>
      </c>
      <c r="K3256" s="32" t="s">
        <v>63</v>
      </c>
    </row>
    <row r="3257" customFormat="false" ht="13.5" hidden="false" customHeight="true" outlineLevel="0" collapsed="false">
      <c r="A3257" s="32" t="n">
        <v>5541</v>
      </c>
      <c r="B3257" s="32" t="s">
        <v>2648</v>
      </c>
      <c r="C3257" s="32" t="s">
        <v>2650</v>
      </c>
      <c r="D3257" s="32" t="s">
        <v>114</v>
      </c>
      <c r="E3257" s="32" t="s">
        <v>165</v>
      </c>
      <c r="F3257" s="33" t="n">
        <v>919643000000</v>
      </c>
      <c r="G3257" s="32" t="s">
        <v>80</v>
      </c>
      <c r="H3257" s="32" t="s">
        <v>22</v>
      </c>
      <c r="I3257" s="32" t="s">
        <v>27</v>
      </c>
      <c r="J3257" s="32" t="s">
        <v>13</v>
      </c>
      <c r="K3257" s="32" t="s">
        <v>63</v>
      </c>
    </row>
    <row r="3258" customFormat="false" ht="13.5" hidden="false" customHeight="true" outlineLevel="0" collapsed="false">
      <c r="A3258" s="32" t="n">
        <v>5542</v>
      </c>
      <c r="B3258" s="32" t="s">
        <v>2648</v>
      </c>
      <c r="C3258" s="32" t="s">
        <v>2650</v>
      </c>
      <c r="D3258" s="32" t="s">
        <v>114</v>
      </c>
      <c r="E3258" s="32" t="s">
        <v>165</v>
      </c>
      <c r="F3258" s="32" t="n">
        <v>9642744429</v>
      </c>
      <c r="G3258" s="32" t="s">
        <v>80</v>
      </c>
      <c r="H3258" s="32" t="s">
        <v>22</v>
      </c>
      <c r="I3258" s="32" t="s">
        <v>30</v>
      </c>
      <c r="J3258" s="32" t="s">
        <v>203</v>
      </c>
      <c r="K3258" s="32" t="s">
        <v>63</v>
      </c>
    </row>
    <row r="3259" customFormat="false" ht="13.5" hidden="false" customHeight="true" outlineLevel="0" collapsed="false">
      <c r="A3259" s="32" t="n">
        <v>5543</v>
      </c>
      <c r="B3259" s="32" t="s">
        <v>2651</v>
      </c>
      <c r="C3259" s="32" t="s">
        <v>2652</v>
      </c>
      <c r="D3259" s="32" t="s">
        <v>59</v>
      </c>
      <c r="E3259" s="32" t="s">
        <v>107</v>
      </c>
      <c r="F3259" s="33" t="n">
        <v>918712000000</v>
      </c>
      <c r="G3259" s="32" t="s">
        <v>80</v>
      </c>
      <c r="H3259" s="32" t="s">
        <v>21</v>
      </c>
      <c r="I3259" s="32" t="s">
        <v>248</v>
      </c>
      <c r="J3259" s="32" t="s">
        <v>117</v>
      </c>
      <c r="K3259" s="32" t="s">
        <v>63</v>
      </c>
    </row>
    <row r="3260" customFormat="false" ht="13.5" hidden="false" customHeight="true" outlineLevel="0" collapsed="false">
      <c r="A3260" s="32" t="n">
        <v>5544</v>
      </c>
      <c r="B3260" s="32" t="s">
        <v>2651</v>
      </c>
      <c r="C3260" s="32" t="s">
        <v>2652</v>
      </c>
      <c r="D3260" s="32" t="s">
        <v>59</v>
      </c>
      <c r="E3260" s="32" t="s">
        <v>107</v>
      </c>
      <c r="F3260" s="33" t="n">
        <v>918712000000</v>
      </c>
      <c r="G3260" s="32" t="s">
        <v>80</v>
      </c>
      <c r="H3260" s="32" t="s">
        <v>21</v>
      </c>
      <c r="I3260" s="32" t="s">
        <v>93</v>
      </c>
      <c r="J3260" s="32" t="s">
        <v>85</v>
      </c>
      <c r="K3260" s="32" t="s">
        <v>63</v>
      </c>
    </row>
    <row r="3261" customFormat="false" ht="13.5" hidden="false" customHeight="true" outlineLevel="0" collapsed="false">
      <c r="A3261" s="32" t="n">
        <v>5545</v>
      </c>
      <c r="B3261" s="32" t="s">
        <v>2653</v>
      </c>
      <c r="C3261" s="32" t="s">
        <v>2654</v>
      </c>
      <c r="D3261" s="32" t="s">
        <v>114</v>
      </c>
      <c r="E3261" s="32" t="s">
        <v>115</v>
      </c>
      <c r="F3261" s="33" t="n">
        <v>917619000000</v>
      </c>
      <c r="G3261" s="32" t="s">
        <v>61</v>
      </c>
      <c r="H3261" s="32" t="s">
        <v>22</v>
      </c>
      <c r="I3261" s="32" t="s">
        <v>150</v>
      </c>
      <c r="J3261" s="32" t="s">
        <v>73</v>
      </c>
      <c r="K3261" s="32" t="s">
        <v>63</v>
      </c>
    </row>
    <row r="3262" customFormat="false" ht="13.5" hidden="false" customHeight="true" outlineLevel="0" collapsed="false">
      <c r="A3262" s="32" t="n">
        <v>5546</v>
      </c>
      <c r="B3262" s="32" t="s">
        <v>2653</v>
      </c>
      <c r="C3262" s="32" t="s">
        <v>2654</v>
      </c>
      <c r="D3262" s="32" t="s">
        <v>114</v>
      </c>
      <c r="E3262" s="32" t="s">
        <v>115</v>
      </c>
      <c r="F3262" s="33" t="n">
        <v>917619000000</v>
      </c>
      <c r="G3262" s="32" t="s">
        <v>61</v>
      </c>
      <c r="H3262" s="32" t="s">
        <v>22</v>
      </c>
      <c r="I3262" s="32" t="s">
        <v>16</v>
      </c>
      <c r="J3262" s="32" t="s">
        <v>73</v>
      </c>
      <c r="K3262" s="32" t="s">
        <v>63</v>
      </c>
    </row>
    <row r="3263" customFormat="false" ht="13.5" hidden="false" customHeight="true" outlineLevel="0" collapsed="false">
      <c r="A3263" s="32" t="n">
        <v>5547</v>
      </c>
      <c r="B3263" s="32" t="s">
        <v>2653</v>
      </c>
      <c r="C3263" s="32" t="s">
        <v>2655</v>
      </c>
      <c r="D3263" s="32" t="s">
        <v>114</v>
      </c>
      <c r="E3263" s="32" t="s">
        <v>115</v>
      </c>
      <c r="F3263" s="33" t="n">
        <v>917619000000</v>
      </c>
      <c r="G3263" s="32" t="s">
        <v>61</v>
      </c>
      <c r="H3263" s="32" t="s">
        <v>22</v>
      </c>
      <c r="I3263" s="32" t="s">
        <v>245</v>
      </c>
      <c r="J3263" s="32" t="s">
        <v>71</v>
      </c>
      <c r="K3263" s="32" t="s">
        <v>63</v>
      </c>
    </row>
    <row r="3264" customFormat="false" ht="13.5" hidden="false" customHeight="true" outlineLevel="0" collapsed="false">
      <c r="A3264" s="32" t="n">
        <v>5548</v>
      </c>
      <c r="B3264" s="32" t="s">
        <v>2653</v>
      </c>
      <c r="C3264" s="32" t="s">
        <v>2655</v>
      </c>
      <c r="D3264" s="32" t="s">
        <v>114</v>
      </c>
      <c r="E3264" s="32" t="s">
        <v>115</v>
      </c>
      <c r="F3264" s="33" t="n">
        <v>917619000000</v>
      </c>
      <c r="G3264" s="32" t="s">
        <v>61</v>
      </c>
      <c r="H3264" s="32" t="s">
        <v>22</v>
      </c>
      <c r="I3264" s="32" t="s">
        <v>393</v>
      </c>
      <c r="J3264" s="32" t="s">
        <v>73</v>
      </c>
      <c r="K3264" s="32" t="s">
        <v>63</v>
      </c>
    </row>
    <row r="3265" customFormat="false" ht="13.5" hidden="false" customHeight="true" outlineLevel="0" collapsed="false">
      <c r="A3265" s="32" t="n">
        <v>5549</v>
      </c>
      <c r="B3265" s="32" t="s">
        <v>2656</v>
      </c>
      <c r="C3265" s="32" t="s">
        <v>2657</v>
      </c>
      <c r="D3265" s="32" t="s">
        <v>114</v>
      </c>
      <c r="E3265" s="32" t="s">
        <v>165</v>
      </c>
      <c r="F3265" s="32" t="n">
        <v>9176353820</v>
      </c>
      <c r="G3265" s="32" t="s">
        <v>0</v>
      </c>
      <c r="H3265" s="32" t="s">
        <v>22</v>
      </c>
      <c r="I3265" s="32" t="s">
        <v>108</v>
      </c>
      <c r="J3265" s="32" t="s">
        <v>71</v>
      </c>
      <c r="K3265" s="32" t="s">
        <v>63</v>
      </c>
    </row>
    <row r="3266" customFormat="false" ht="13.5" hidden="false" customHeight="true" outlineLevel="0" collapsed="false">
      <c r="A3266" s="32" t="n">
        <v>5553</v>
      </c>
      <c r="B3266" s="32" t="s">
        <v>2656</v>
      </c>
      <c r="C3266" s="32" t="s">
        <v>2657</v>
      </c>
      <c r="D3266" s="32" t="s">
        <v>114</v>
      </c>
      <c r="E3266" s="32" t="s">
        <v>165</v>
      </c>
      <c r="F3266" s="32" t="n">
        <v>9176353820</v>
      </c>
      <c r="G3266" s="32" t="s">
        <v>0</v>
      </c>
      <c r="H3266" s="32" t="s">
        <v>22</v>
      </c>
      <c r="I3266" s="32" t="s">
        <v>108</v>
      </c>
      <c r="J3266" s="32" t="s">
        <v>71</v>
      </c>
      <c r="K3266" s="32" t="s">
        <v>63</v>
      </c>
    </row>
    <row r="3267" customFormat="false" ht="13.5" hidden="false" customHeight="true" outlineLevel="0" collapsed="false">
      <c r="A3267" s="32" t="n">
        <v>5554</v>
      </c>
      <c r="B3267" s="32" t="s">
        <v>2656</v>
      </c>
      <c r="C3267" s="32" t="s">
        <v>2657</v>
      </c>
      <c r="D3267" s="32" t="s">
        <v>114</v>
      </c>
      <c r="E3267" s="32" t="s">
        <v>165</v>
      </c>
      <c r="F3267" s="32" t="n">
        <v>9176353820</v>
      </c>
      <c r="G3267" s="32" t="s">
        <v>0</v>
      </c>
      <c r="H3267" s="32" t="s">
        <v>22</v>
      </c>
      <c r="I3267" s="32" t="s">
        <v>245</v>
      </c>
      <c r="J3267" s="32" t="s">
        <v>71</v>
      </c>
      <c r="K3267" s="32" t="s">
        <v>63</v>
      </c>
    </row>
    <row r="3268" customFormat="false" ht="13.5" hidden="false" customHeight="true" outlineLevel="0" collapsed="false">
      <c r="A3268" s="32" t="n">
        <v>5555</v>
      </c>
      <c r="B3268" s="32" t="s">
        <v>2656</v>
      </c>
      <c r="C3268" s="32" t="s">
        <v>2657</v>
      </c>
      <c r="D3268" s="32" t="s">
        <v>114</v>
      </c>
      <c r="E3268" s="32" t="s">
        <v>165</v>
      </c>
      <c r="F3268" s="32" t="n">
        <v>9176353820</v>
      </c>
      <c r="G3268" s="32" t="s">
        <v>0</v>
      </c>
      <c r="H3268" s="32" t="s">
        <v>22</v>
      </c>
      <c r="I3268" s="32" t="s">
        <v>81</v>
      </c>
      <c r="J3268" s="32" t="s">
        <v>82</v>
      </c>
      <c r="K3268" s="32" t="s">
        <v>63</v>
      </c>
    </row>
    <row r="3269" customFormat="false" ht="13.5" hidden="false" customHeight="true" outlineLevel="0" collapsed="false">
      <c r="A3269" s="32" t="n">
        <v>5556</v>
      </c>
      <c r="B3269" s="32" t="s">
        <v>2656</v>
      </c>
      <c r="C3269" s="32" t="s">
        <v>2657</v>
      </c>
      <c r="D3269" s="32" t="s">
        <v>114</v>
      </c>
      <c r="E3269" s="32" t="s">
        <v>165</v>
      </c>
      <c r="F3269" s="32" t="n">
        <v>9176353820</v>
      </c>
      <c r="G3269" s="32" t="s">
        <v>0</v>
      </c>
      <c r="H3269" s="32" t="s">
        <v>22</v>
      </c>
      <c r="I3269" s="32" t="s">
        <v>27</v>
      </c>
      <c r="J3269" s="32" t="s">
        <v>13</v>
      </c>
      <c r="K3269" s="32" t="s">
        <v>63</v>
      </c>
    </row>
    <row r="3270" customFormat="false" ht="13.5" hidden="false" customHeight="true" outlineLevel="0" collapsed="false">
      <c r="A3270" s="32" t="n">
        <v>5559</v>
      </c>
      <c r="B3270" s="32" t="s">
        <v>2658</v>
      </c>
      <c r="C3270" s="32" t="s">
        <v>2659</v>
      </c>
      <c r="D3270" s="32" t="s">
        <v>114</v>
      </c>
      <c r="E3270" s="32" t="s">
        <v>165</v>
      </c>
      <c r="F3270" s="32" t="n">
        <v>7995805315</v>
      </c>
      <c r="G3270" s="32" t="s">
        <v>80</v>
      </c>
      <c r="H3270" s="32" t="s">
        <v>22</v>
      </c>
      <c r="I3270" s="32" t="s">
        <v>121</v>
      </c>
      <c r="J3270" s="32" t="s">
        <v>110</v>
      </c>
      <c r="K3270" s="32" t="s">
        <v>63</v>
      </c>
    </row>
    <row r="3271" customFormat="false" ht="13.5" hidden="false" customHeight="true" outlineLevel="0" collapsed="false">
      <c r="A3271" s="32" t="n">
        <v>5560</v>
      </c>
      <c r="B3271" s="32" t="s">
        <v>2658</v>
      </c>
      <c r="C3271" s="32" t="s">
        <v>2659</v>
      </c>
      <c r="D3271" s="32" t="s">
        <v>114</v>
      </c>
      <c r="E3271" s="32" t="s">
        <v>165</v>
      </c>
      <c r="F3271" s="32" t="n">
        <v>7995805315</v>
      </c>
      <c r="G3271" s="32" t="s">
        <v>80</v>
      </c>
      <c r="H3271" s="32" t="s">
        <v>22</v>
      </c>
      <c r="I3271" s="32" t="s">
        <v>145</v>
      </c>
      <c r="J3271" s="32" t="s">
        <v>117</v>
      </c>
      <c r="K3271" s="32" t="s">
        <v>63</v>
      </c>
    </row>
    <row r="3272" customFormat="false" ht="13.5" hidden="false" customHeight="true" outlineLevel="0" collapsed="false">
      <c r="A3272" s="32" t="n">
        <v>5561</v>
      </c>
      <c r="B3272" s="32" t="s">
        <v>2660</v>
      </c>
      <c r="C3272" s="32" t="s">
        <v>2661</v>
      </c>
      <c r="D3272" s="32" t="s">
        <v>59</v>
      </c>
      <c r="E3272" s="32" t="s">
        <v>92</v>
      </c>
      <c r="F3272" s="33" t="n">
        <v>916310000000</v>
      </c>
      <c r="G3272" s="32" t="s">
        <v>80</v>
      </c>
      <c r="H3272" s="32" t="s">
        <v>21</v>
      </c>
      <c r="I3272" s="32" t="s">
        <v>245</v>
      </c>
      <c r="J3272" s="32" t="s">
        <v>71</v>
      </c>
      <c r="K3272" s="32" t="s">
        <v>63</v>
      </c>
    </row>
    <row r="3273" customFormat="false" ht="13.5" hidden="false" customHeight="true" outlineLevel="0" collapsed="false">
      <c r="A3273" s="32" t="n">
        <v>5562</v>
      </c>
      <c r="B3273" s="32" t="s">
        <v>2660</v>
      </c>
      <c r="C3273" s="32" t="s">
        <v>2661</v>
      </c>
      <c r="D3273" s="32" t="s">
        <v>59</v>
      </c>
      <c r="E3273" s="32" t="s">
        <v>92</v>
      </c>
      <c r="F3273" s="33" t="n">
        <v>916310000000</v>
      </c>
      <c r="G3273" s="32" t="s">
        <v>80</v>
      </c>
      <c r="H3273" s="32" t="s">
        <v>21</v>
      </c>
      <c r="I3273" s="32" t="s">
        <v>108</v>
      </c>
      <c r="J3273" s="32" t="s">
        <v>71</v>
      </c>
      <c r="K3273" s="32" t="s">
        <v>63</v>
      </c>
    </row>
    <row r="3274" customFormat="false" ht="13.5" hidden="false" customHeight="true" outlineLevel="0" collapsed="false">
      <c r="A3274" s="32" t="n">
        <v>5563</v>
      </c>
      <c r="B3274" s="32" t="s">
        <v>2660</v>
      </c>
      <c r="C3274" s="32" t="s">
        <v>2661</v>
      </c>
      <c r="D3274" s="32" t="s">
        <v>59</v>
      </c>
      <c r="E3274" s="32" t="s">
        <v>92</v>
      </c>
      <c r="F3274" s="33" t="n">
        <v>916310000000</v>
      </c>
      <c r="G3274" s="32" t="s">
        <v>80</v>
      </c>
      <c r="H3274" s="32" t="s">
        <v>21</v>
      </c>
      <c r="I3274" s="32" t="s">
        <v>393</v>
      </c>
      <c r="J3274" s="32" t="s">
        <v>73</v>
      </c>
      <c r="K3274" s="32" t="s">
        <v>63</v>
      </c>
    </row>
    <row r="3275" customFormat="false" ht="13.5" hidden="false" customHeight="true" outlineLevel="0" collapsed="false">
      <c r="A3275" s="32" t="n">
        <v>5564</v>
      </c>
      <c r="B3275" s="32" t="s">
        <v>2662</v>
      </c>
      <c r="C3275" s="32" t="s">
        <v>2663</v>
      </c>
      <c r="D3275" s="32" t="s">
        <v>59</v>
      </c>
      <c r="E3275" s="32" t="s">
        <v>79</v>
      </c>
      <c r="F3275" s="33" t="n">
        <v>919705000000</v>
      </c>
      <c r="G3275" s="32" t="s">
        <v>80</v>
      </c>
      <c r="H3275" s="32" t="s">
        <v>21</v>
      </c>
      <c r="I3275" s="32" t="s">
        <v>151</v>
      </c>
      <c r="J3275" s="32" t="s">
        <v>152</v>
      </c>
      <c r="K3275" s="32" t="s">
        <v>63</v>
      </c>
    </row>
    <row r="3276" customFormat="false" ht="13.5" hidden="false" customHeight="true" outlineLevel="0" collapsed="false">
      <c r="A3276" s="32" t="n">
        <v>5565</v>
      </c>
      <c r="B3276" s="32" t="s">
        <v>2664</v>
      </c>
      <c r="C3276" s="32" t="s">
        <v>2665</v>
      </c>
      <c r="D3276" s="32" t="s">
        <v>114</v>
      </c>
      <c r="E3276" s="32" t="n">
        <v>0</v>
      </c>
      <c r="F3276" s="32" t="n">
        <v>9945293898</v>
      </c>
      <c r="G3276" s="32" t="s">
        <v>80</v>
      </c>
      <c r="H3276" s="32" t="s">
        <v>22</v>
      </c>
      <c r="I3276" s="32" t="s">
        <v>424</v>
      </c>
      <c r="J3276" s="32" t="s">
        <v>73</v>
      </c>
      <c r="K3276" s="32" t="s">
        <v>63</v>
      </c>
    </row>
    <row r="3277" customFormat="false" ht="13.5" hidden="false" customHeight="true" outlineLevel="0" collapsed="false">
      <c r="A3277" s="32" t="n">
        <v>5566</v>
      </c>
      <c r="B3277" s="32" t="s">
        <v>2664</v>
      </c>
      <c r="C3277" s="32" t="s">
        <v>2665</v>
      </c>
      <c r="D3277" s="32" t="s">
        <v>114</v>
      </c>
      <c r="E3277" s="32" t="n">
        <v>0</v>
      </c>
      <c r="F3277" s="32" t="n">
        <v>9945293898</v>
      </c>
      <c r="G3277" s="32" t="s">
        <v>80</v>
      </c>
      <c r="H3277" s="32" t="s">
        <v>22</v>
      </c>
      <c r="I3277" s="32" t="s">
        <v>2666</v>
      </c>
      <c r="J3277" s="32" t="s">
        <v>89</v>
      </c>
      <c r="K3277" s="32" t="s">
        <v>63</v>
      </c>
    </row>
    <row r="3278" customFormat="false" ht="13.5" hidden="false" customHeight="true" outlineLevel="0" collapsed="false">
      <c r="A3278" s="32" t="n">
        <v>5567</v>
      </c>
      <c r="B3278" s="32" t="s">
        <v>2664</v>
      </c>
      <c r="C3278" s="32" t="s">
        <v>2667</v>
      </c>
      <c r="D3278" s="32" t="s">
        <v>114</v>
      </c>
      <c r="E3278" s="32" t="n">
        <v>0</v>
      </c>
      <c r="F3278" s="32" t="n">
        <v>9945293898</v>
      </c>
      <c r="G3278" s="32" t="s">
        <v>80</v>
      </c>
      <c r="H3278" s="32" t="s">
        <v>22</v>
      </c>
      <c r="I3278" s="32" t="s">
        <v>27</v>
      </c>
      <c r="J3278" s="32" t="s">
        <v>13</v>
      </c>
      <c r="K3278" s="32" t="s">
        <v>63</v>
      </c>
    </row>
    <row r="3279" customFormat="false" ht="13.5" hidden="false" customHeight="true" outlineLevel="0" collapsed="false">
      <c r="A3279" s="32" t="n">
        <v>5568</v>
      </c>
      <c r="B3279" s="32" t="s">
        <v>2664</v>
      </c>
      <c r="C3279" s="32" t="s">
        <v>2667</v>
      </c>
      <c r="D3279" s="32" t="s">
        <v>114</v>
      </c>
      <c r="E3279" s="32" t="n">
        <v>0</v>
      </c>
      <c r="F3279" s="32" t="n">
        <v>9945293898</v>
      </c>
      <c r="G3279" s="32" t="s">
        <v>80</v>
      </c>
      <c r="H3279" s="32" t="s">
        <v>22</v>
      </c>
      <c r="I3279" s="32" t="s">
        <v>111</v>
      </c>
      <c r="J3279" s="32" t="s">
        <v>73</v>
      </c>
      <c r="K3279" s="32" t="s">
        <v>63</v>
      </c>
    </row>
    <row r="3280" customFormat="false" ht="13.5" hidden="false" customHeight="true" outlineLevel="0" collapsed="false">
      <c r="A3280" s="32" t="n">
        <v>5569</v>
      </c>
      <c r="B3280" s="32" t="s">
        <v>2664</v>
      </c>
      <c r="C3280" s="32" t="s">
        <v>2667</v>
      </c>
      <c r="D3280" s="32" t="s">
        <v>114</v>
      </c>
      <c r="E3280" s="32" t="n">
        <v>0</v>
      </c>
      <c r="F3280" s="32" t="n">
        <v>9945293898</v>
      </c>
      <c r="G3280" s="32" t="s">
        <v>80</v>
      </c>
      <c r="H3280" s="32" t="s">
        <v>22</v>
      </c>
      <c r="I3280" s="32" t="s">
        <v>172</v>
      </c>
      <c r="J3280" s="32" t="s">
        <v>152</v>
      </c>
      <c r="K3280" s="32" t="s">
        <v>63</v>
      </c>
    </row>
    <row r="3281" customFormat="false" ht="13.5" hidden="false" customHeight="true" outlineLevel="0" collapsed="false">
      <c r="A3281" s="32" t="n">
        <v>5570</v>
      </c>
      <c r="B3281" s="32" t="s">
        <v>2668</v>
      </c>
      <c r="C3281" s="32" t="s">
        <v>2669</v>
      </c>
      <c r="D3281" s="32" t="s">
        <v>114</v>
      </c>
      <c r="E3281" s="32" t="s">
        <v>115</v>
      </c>
      <c r="F3281" s="32" t="n">
        <v>7406013478</v>
      </c>
      <c r="G3281" s="32" t="s">
        <v>61</v>
      </c>
      <c r="H3281" s="32" t="s">
        <v>22</v>
      </c>
      <c r="I3281" s="32" t="s">
        <v>145</v>
      </c>
      <c r="J3281" s="32" t="s">
        <v>117</v>
      </c>
      <c r="K3281" s="32" t="s">
        <v>63</v>
      </c>
    </row>
    <row r="3282" customFormat="false" ht="13.5" hidden="false" customHeight="true" outlineLevel="0" collapsed="false">
      <c r="A3282" s="32" t="n">
        <v>5571</v>
      </c>
      <c r="B3282" s="32" t="s">
        <v>2668</v>
      </c>
      <c r="C3282" s="32" t="s">
        <v>2669</v>
      </c>
      <c r="D3282" s="32" t="s">
        <v>114</v>
      </c>
      <c r="E3282" s="32" t="s">
        <v>115</v>
      </c>
      <c r="F3282" s="32" t="n">
        <v>7406013478</v>
      </c>
      <c r="G3282" s="32" t="s">
        <v>61</v>
      </c>
      <c r="H3282" s="32" t="s">
        <v>22</v>
      </c>
      <c r="I3282" s="32" t="s">
        <v>93</v>
      </c>
      <c r="J3282" s="32" t="s">
        <v>85</v>
      </c>
      <c r="K3282" s="32" t="s">
        <v>63</v>
      </c>
    </row>
    <row r="3283" customFormat="false" ht="13.5" hidden="false" customHeight="true" outlineLevel="0" collapsed="false">
      <c r="A3283" s="32" t="n">
        <v>5572</v>
      </c>
      <c r="B3283" s="32" t="s">
        <v>2670</v>
      </c>
      <c r="C3283" s="32" t="s">
        <v>2671</v>
      </c>
      <c r="D3283" s="32" t="s">
        <v>114</v>
      </c>
      <c r="E3283" s="32" t="s">
        <v>278</v>
      </c>
      <c r="F3283" s="32" t="n">
        <v>7601004742</v>
      </c>
      <c r="G3283" s="32" t="s">
        <v>80</v>
      </c>
      <c r="H3283" s="32" t="s">
        <v>22</v>
      </c>
      <c r="I3283" s="32" t="s">
        <v>111</v>
      </c>
      <c r="J3283" s="32" t="s">
        <v>73</v>
      </c>
      <c r="K3283" s="32" t="s">
        <v>63</v>
      </c>
    </row>
    <row r="3284" customFormat="false" ht="13.5" hidden="false" customHeight="true" outlineLevel="0" collapsed="false">
      <c r="A3284" s="32" t="n">
        <v>5573</v>
      </c>
      <c r="B3284" s="32" t="s">
        <v>2670</v>
      </c>
      <c r="C3284" s="32" t="s">
        <v>2671</v>
      </c>
      <c r="D3284" s="32" t="s">
        <v>114</v>
      </c>
      <c r="E3284" s="32" t="s">
        <v>278</v>
      </c>
      <c r="F3284" s="33" t="n">
        <v>917601000000</v>
      </c>
      <c r="G3284" s="32" t="s">
        <v>80</v>
      </c>
      <c r="H3284" s="32" t="s">
        <v>22</v>
      </c>
      <c r="I3284" s="32" t="s">
        <v>280</v>
      </c>
      <c r="J3284" s="32" t="s">
        <v>76</v>
      </c>
      <c r="K3284" s="32" t="s">
        <v>63</v>
      </c>
    </row>
    <row r="3285" customFormat="false" ht="13.5" hidden="false" customHeight="true" outlineLevel="0" collapsed="false">
      <c r="A3285" s="32" t="n">
        <v>5575</v>
      </c>
      <c r="B3285" s="32" t="s">
        <v>2670</v>
      </c>
      <c r="C3285" s="32" t="s">
        <v>2671</v>
      </c>
      <c r="D3285" s="32" t="s">
        <v>114</v>
      </c>
      <c r="E3285" s="32" t="s">
        <v>278</v>
      </c>
      <c r="F3285" s="33" t="n">
        <v>917601000000</v>
      </c>
      <c r="G3285" s="32" t="s">
        <v>80</v>
      </c>
      <c r="H3285" s="32" t="s">
        <v>22</v>
      </c>
      <c r="I3285" s="32" t="s">
        <v>133</v>
      </c>
      <c r="J3285" s="32" t="s">
        <v>134</v>
      </c>
      <c r="K3285" s="32" t="s">
        <v>63</v>
      </c>
    </row>
    <row r="3286" customFormat="false" ht="13.5" hidden="false" customHeight="true" outlineLevel="0" collapsed="false">
      <c r="A3286" s="32" t="n">
        <v>5576</v>
      </c>
      <c r="B3286" s="32" t="s">
        <v>2670</v>
      </c>
      <c r="C3286" s="32" t="s">
        <v>2672</v>
      </c>
      <c r="D3286" s="32" t="s">
        <v>114</v>
      </c>
      <c r="E3286" s="32" t="s">
        <v>278</v>
      </c>
      <c r="F3286" s="32" t="n">
        <v>7601004742</v>
      </c>
      <c r="G3286" s="32" t="s">
        <v>80</v>
      </c>
      <c r="H3286" s="32" t="s">
        <v>22</v>
      </c>
      <c r="I3286" s="32" t="s">
        <v>108</v>
      </c>
      <c r="J3286" s="32" t="s">
        <v>71</v>
      </c>
      <c r="K3286" s="32" t="s">
        <v>63</v>
      </c>
    </row>
    <row r="3287" customFormat="false" ht="13.5" hidden="false" customHeight="true" outlineLevel="0" collapsed="false">
      <c r="A3287" s="32" t="n">
        <v>5577</v>
      </c>
      <c r="B3287" s="32" t="s">
        <v>2670</v>
      </c>
      <c r="C3287" s="32" t="s">
        <v>2671</v>
      </c>
      <c r="D3287" s="32" t="s">
        <v>114</v>
      </c>
      <c r="E3287" s="32" t="s">
        <v>278</v>
      </c>
      <c r="F3287" s="33" t="n">
        <v>917601000000</v>
      </c>
      <c r="G3287" s="32" t="s">
        <v>80</v>
      </c>
      <c r="H3287" s="32" t="s">
        <v>22</v>
      </c>
      <c r="I3287" s="32" t="s">
        <v>245</v>
      </c>
      <c r="J3287" s="32" t="s">
        <v>71</v>
      </c>
      <c r="K3287" s="32" t="s">
        <v>63</v>
      </c>
    </row>
    <row r="3288" customFormat="false" ht="13.5" hidden="false" customHeight="true" outlineLevel="0" collapsed="false">
      <c r="A3288" s="32" t="n">
        <v>5578</v>
      </c>
      <c r="B3288" s="32" t="s">
        <v>2673</v>
      </c>
      <c r="C3288" s="32" t="s">
        <v>2674</v>
      </c>
      <c r="D3288" s="32" t="s">
        <v>114</v>
      </c>
      <c r="E3288" s="32" t="s">
        <v>115</v>
      </c>
      <c r="F3288" s="32" t="n">
        <v>9966180555</v>
      </c>
      <c r="G3288" s="32" t="s">
        <v>80</v>
      </c>
      <c r="H3288" s="32" t="s">
        <v>22</v>
      </c>
      <c r="I3288" s="32" t="s">
        <v>93</v>
      </c>
      <c r="J3288" s="32" t="s">
        <v>85</v>
      </c>
      <c r="K3288" s="32" t="s">
        <v>63</v>
      </c>
    </row>
    <row r="3289" customFormat="false" ht="13.5" hidden="false" customHeight="true" outlineLevel="0" collapsed="false">
      <c r="A3289" s="32" t="n">
        <v>5579</v>
      </c>
      <c r="B3289" s="32" t="s">
        <v>2673</v>
      </c>
      <c r="C3289" s="32" t="s">
        <v>2674</v>
      </c>
      <c r="D3289" s="32" t="s">
        <v>114</v>
      </c>
      <c r="E3289" s="32" t="s">
        <v>115</v>
      </c>
      <c r="F3289" s="32" t="n">
        <v>9966180555</v>
      </c>
      <c r="G3289" s="32" t="s">
        <v>80</v>
      </c>
      <c r="H3289" s="32" t="s">
        <v>22</v>
      </c>
      <c r="I3289" s="32" t="s">
        <v>1569</v>
      </c>
      <c r="J3289" s="32" t="s">
        <v>235</v>
      </c>
      <c r="K3289" s="32" t="s">
        <v>63</v>
      </c>
    </row>
    <row r="3290" customFormat="false" ht="13.5" hidden="false" customHeight="true" outlineLevel="0" collapsed="false">
      <c r="A3290" s="32" t="n">
        <v>5580</v>
      </c>
      <c r="B3290" s="32" t="s">
        <v>2673</v>
      </c>
      <c r="C3290" s="32" t="s">
        <v>2675</v>
      </c>
      <c r="D3290" s="32" t="s">
        <v>114</v>
      </c>
      <c r="E3290" s="32" t="s">
        <v>115</v>
      </c>
      <c r="F3290" s="32" t="n">
        <v>9966180555</v>
      </c>
      <c r="G3290" s="32" t="s">
        <v>80</v>
      </c>
      <c r="H3290" s="32" t="s">
        <v>22</v>
      </c>
      <c r="I3290" s="32" t="s">
        <v>145</v>
      </c>
      <c r="J3290" s="32" t="s">
        <v>117</v>
      </c>
      <c r="K3290" s="32" t="s">
        <v>63</v>
      </c>
    </row>
    <row r="3291" customFormat="false" ht="13.5" hidden="false" customHeight="true" outlineLevel="0" collapsed="false">
      <c r="A3291" s="32" t="n">
        <v>5581</v>
      </c>
      <c r="B3291" s="32" t="s">
        <v>2673</v>
      </c>
      <c r="C3291" s="32" t="s">
        <v>2675</v>
      </c>
      <c r="D3291" s="32" t="s">
        <v>114</v>
      </c>
      <c r="E3291" s="32" t="s">
        <v>115</v>
      </c>
      <c r="F3291" s="32" t="n">
        <v>9966180555</v>
      </c>
      <c r="G3291" s="32" t="s">
        <v>80</v>
      </c>
      <c r="H3291" s="32" t="s">
        <v>22</v>
      </c>
      <c r="I3291" s="32" t="s">
        <v>126</v>
      </c>
      <c r="J3291" s="32" t="s">
        <v>85</v>
      </c>
      <c r="K3291" s="32" t="s">
        <v>63</v>
      </c>
    </row>
    <row r="3292" customFormat="false" ht="13.5" hidden="false" customHeight="true" outlineLevel="0" collapsed="false">
      <c r="A3292" s="32" t="n">
        <v>5583</v>
      </c>
      <c r="B3292" s="32" t="s">
        <v>2673</v>
      </c>
      <c r="C3292" s="32" t="s">
        <v>2675</v>
      </c>
      <c r="D3292" s="32" t="s">
        <v>114</v>
      </c>
      <c r="E3292" s="32" t="s">
        <v>115</v>
      </c>
      <c r="F3292" s="32" t="n">
        <v>9966180555</v>
      </c>
      <c r="G3292" s="32" t="s">
        <v>80</v>
      </c>
      <c r="H3292" s="32" t="s">
        <v>22</v>
      </c>
      <c r="I3292" s="32" t="s">
        <v>108</v>
      </c>
      <c r="J3292" s="32" t="s">
        <v>71</v>
      </c>
      <c r="K3292" s="32" t="s">
        <v>63</v>
      </c>
    </row>
    <row r="3293" customFormat="false" ht="13.5" hidden="false" customHeight="true" outlineLevel="0" collapsed="false">
      <c r="A3293" s="32" t="n">
        <v>5584</v>
      </c>
      <c r="B3293" s="32" t="s">
        <v>2676</v>
      </c>
      <c r="C3293" s="32" t="s">
        <v>2677</v>
      </c>
      <c r="D3293" s="32" t="s">
        <v>114</v>
      </c>
      <c r="E3293" s="32" t="s">
        <v>165</v>
      </c>
      <c r="F3293" s="32" t="n">
        <v>7828148728</v>
      </c>
      <c r="G3293" s="32" t="s">
        <v>104</v>
      </c>
      <c r="H3293" s="32" t="s">
        <v>22</v>
      </c>
      <c r="I3293" s="32" t="s">
        <v>109</v>
      </c>
      <c r="J3293" s="32" t="s">
        <v>110</v>
      </c>
      <c r="K3293" s="32" t="s">
        <v>63</v>
      </c>
    </row>
    <row r="3294" customFormat="false" ht="13.5" hidden="false" customHeight="true" outlineLevel="0" collapsed="false">
      <c r="A3294" s="32" t="n">
        <v>5585</v>
      </c>
      <c r="B3294" s="32" t="s">
        <v>2676</v>
      </c>
      <c r="C3294" s="32" t="s">
        <v>2677</v>
      </c>
      <c r="D3294" s="32" t="s">
        <v>114</v>
      </c>
      <c r="E3294" s="32" t="s">
        <v>165</v>
      </c>
      <c r="F3294" s="32" t="n">
        <v>7828148728</v>
      </c>
      <c r="G3294" s="32" t="s">
        <v>104</v>
      </c>
      <c r="H3294" s="32" t="s">
        <v>22</v>
      </c>
      <c r="I3294" s="32" t="s">
        <v>145</v>
      </c>
      <c r="J3294" s="32" t="s">
        <v>117</v>
      </c>
      <c r="K3294" s="32" t="s">
        <v>63</v>
      </c>
    </row>
    <row r="3295" customFormat="false" ht="13.5" hidden="false" customHeight="true" outlineLevel="0" collapsed="false">
      <c r="A3295" s="32" t="n">
        <v>5586</v>
      </c>
      <c r="B3295" s="32" t="s">
        <v>2676</v>
      </c>
      <c r="C3295" s="32" t="s">
        <v>2677</v>
      </c>
      <c r="D3295" s="32" t="s">
        <v>114</v>
      </c>
      <c r="E3295" s="32" t="s">
        <v>165</v>
      </c>
      <c r="F3295" s="32" t="n">
        <v>7828148728</v>
      </c>
      <c r="G3295" s="32" t="s">
        <v>104</v>
      </c>
      <c r="H3295" s="32" t="s">
        <v>22</v>
      </c>
      <c r="I3295" s="32" t="s">
        <v>133</v>
      </c>
      <c r="J3295" s="32" t="s">
        <v>134</v>
      </c>
      <c r="K3295" s="32" t="s">
        <v>63</v>
      </c>
    </row>
    <row r="3296" customFormat="false" ht="13.5" hidden="false" customHeight="true" outlineLevel="0" collapsed="false">
      <c r="A3296" s="32" t="n">
        <v>5587</v>
      </c>
      <c r="B3296" s="32" t="s">
        <v>2676</v>
      </c>
      <c r="C3296" s="32" t="s">
        <v>2677</v>
      </c>
      <c r="D3296" s="32" t="s">
        <v>114</v>
      </c>
      <c r="E3296" s="32" t="s">
        <v>165</v>
      </c>
      <c r="F3296" s="32" t="n">
        <v>7828148728</v>
      </c>
      <c r="G3296" s="32" t="s">
        <v>69</v>
      </c>
      <c r="H3296" s="32" t="s">
        <v>22</v>
      </c>
      <c r="I3296" s="32" t="s">
        <v>108</v>
      </c>
      <c r="J3296" s="32" t="s">
        <v>71</v>
      </c>
      <c r="K3296" s="32" t="s">
        <v>63</v>
      </c>
    </row>
    <row r="3297" customFormat="false" ht="13.5" hidden="false" customHeight="true" outlineLevel="0" collapsed="false">
      <c r="A3297" s="32" t="n">
        <v>5588</v>
      </c>
      <c r="B3297" s="32" t="s">
        <v>2676</v>
      </c>
      <c r="C3297" s="32" t="s">
        <v>2677</v>
      </c>
      <c r="D3297" s="32" t="s">
        <v>114</v>
      </c>
      <c r="E3297" s="32" t="s">
        <v>165</v>
      </c>
      <c r="F3297" s="32" t="n">
        <v>7828148728</v>
      </c>
      <c r="G3297" s="32" t="s">
        <v>69</v>
      </c>
      <c r="H3297" s="32" t="s">
        <v>22</v>
      </c>
      <c r="I3297" s="32" t="s">
        <v>314</v>
      </c>
      <c r="J3297" s="32" t="s">
        <v>134</v>
      </c>
      <c r="K3297" s="32" t="s">
        <v>63</v>
      </c>
    </row>
    <row r="3298" customFormat="false" ht="13.5" hidden="false" customHeight="true" outlineLevel="0" collapsed="false">
      <c r="A3298" s="32" t="n">
        <v>5589</v>
      </c>
      <c r="B3298" s="32" t="s">
        <v>2678</v>
      </c>
      <c r="C3298" s="32" t="s">
        <v>2679</v>
      </c>
      <c r="D3298" s="32" t="s">
        <v>114</v>
      </c>
      <c r="E3298" s="32" t="s">
        <v>165</v>
      </c>
      <c r="F3298" s="32" t="n">
        <v>9731587711</v>
      </c>
      <c r="G3298" s="32" t="s">
        <v>61</v>
      </c>
      <c r="H3298" s="32" t="s">
        <v>22</v>
      </c>
      <c r="I3298" s="32" t="s">
        <v>16</v>
      </c>
      <c r="J3298" s="32" t="s">
        <v>73</v>
      </c>
      <c r="K3298" s="32" t="s">
        <v>63</v>
      </c>
    </row>
    <row r="3299" customFormat="false" ht="13.5" hidden="false" customHeight="true" outlineLevel="0" collapsed="false">
      <c r="A3299" s="32" t="n">
        <v>5590</v>
      </c>
      <c r="B3299" s="32" t="s">
        <v>2678</v>
      </c>
      <c r="C3299" s="32" t="s">
        <v>2679</v>
      </c>
      <c r="D3299" s="32" t="s">
        <v>114</v>
      </c>
      <c r="E3299" s="32" t="s">
        <v>165</v>
      </c>
      <c r="F3299" s="32" t="n">
        <v>9731587711</v>
      </c>
      <c r="G3299" s="32" t="s">
        <v>61</v>
      </c>
      <c r="H3299" s="32" t="s">
        <v>22</v>
      </c>
      <c r="I3299" s="32" t="s">
        <v>108</v>
      </c>
      <c r="J3299" s="32" t="s">
        <v>71</v>
      </c>
      <c r="K3299" s="32" t="s">
        <v>63</v>
      </c>
    </row>
    <row r="3300" customFormat="false" ht="13.5" hidden="false" customHeight="true" outlineLevel="0" collapsed="false">
      <c r="A3300" s="32" t="n">
        <v>5591</v>
      </c>
      <c r="B3300" s="32" t="s">
        <v>2678</v>
      </c>
      <c r="C3300" s="32" t="s">
        <v>2680</v>
      </c>
      <c r="D3300" s="32" t="s">
        <v>114</v>
      </c>
      <c r="E3300" s="32" t="s">
        <v>165</v>
      </c>
      <c r="F3300" s="32" t="n">
        <v>9731587711</v>
      </c>
      <c r="G3300" s="32" t="s">
        <v>61</v>
      </c>
      <c r="H3300" s="32" t="s">
        <v>22</v>
      </c>
      <c r="I3300" s="32" t="s">
        <v>245</v>
      </c>
      <c r="J3300" s="32" t="s">
        <v>71</v>
      </c>
      <c r="K3300" s="32" t="s">
        <v>63</v>
      </c>
    </row>
    <row r="3301" customFormat="false" ht="13.5" hidden="false" customHeight="true" outlineLevel="0" collapsed="false">
      <c r="A3301" s="32" t="n">
        <v>5592</v>
      </c>
      <c r="B3301" s="32" t="s">
        <v>2678</v>
      </c>
      <c r="C3301" s="32" t="s">
        <v>2680</v>
      </c>
      <c r="D3301" s="32" t="s">
        <v>114</v>
      </c>
      <c r="E3301" s="32" t="s">
        <v>165</v>
      </c>
      <c r="F3301" s="32" t="n">
        <v>9731587711</v>
      </c>
      <c r="G3301" s="32" t="s">
        <v>61</v>
      </c>
      <c r="H3301" s="32" t="s">
        <v>22</v>
      </c>
      <c r="I3301" s="32" t="s">
        <v>516</v>
      </c>
      <c r="J3301" s="32" t="s">
        <v>66</v>
      </c>
      <c r="K3301" s="32" t="s">
        <v>63</v>
      </c>
    </row>
    <row r="3302" customFormat="false" ht="13.5" hidden="false" customHeight="true" outlineLevel="0" collapsed="false">
      <c r="A3302" s="32" t="n">
        <v>5593</v>
      </c>
      <c r="B3302" s="32" t="s">
        <v>2678</v>
      </c>
      <c r="C3302" s="32" t="s">
        <v>2681</v>
      </c>
      <c r="D3302" s="32" t="s">
        <v>114</v>
      </c>
      <c r="E3302" s="32" t="s">
        <v>165</v>
      </c>
      <c r="F3302" s="32" t="n">
        <v>9731587711</v>
      </c>
      <c r="G3302" s="32" t="s">
        <v>61</v>
      </c>
      <c r="H3302" s="32" t="s">
        <v>22</v>
      </c>
      <c r="I3302" s="32" t="s">
        <v>14</v>
      </c>
      <c r="J3302" s="32" t="s">
        <v>66</v>
      </c>
      <c r="K3302" s="32" t="s">
        <v>63</v>
      </c>
    </row>
    <row r="3303" customFormat="false" ht="13.5" hidden="false" customHeight="true" outlineLevel="0" collapsed="false">
      <c r="A3303" s="32" t="n">
        <v>5594</v>
      </c>
      <c r="B3303" s="32" t="s">
        <v>2682</v>
      </c>
      <c r="C3303" s="32" t="s">
        <v>2683</v>
      </c>
      <c r="D3303" s="32" t="s">
        <v>114</v>
      </c>
      <c r="E3303" s="32" t="s">
        <v>124</v>
      </c>
      <c r="F3303" s="32" t="n">
        <v>9916384601</v>
      </c>
      <c r="G3303" s="32" t="s">
        <v>61</v>
      </c>
      <c r="H3303" s="32" t="s">
        <v>22</v>
      </c>
      <c r="I3303" s="32" t="s">
        <v>131</v>
      </c>
      <c r="J3303" s="32" t="s">
        <v>132</v>
      </c>
      <c r="K3303" s="32" t="s">
        <v>63</v>
      </c>
    </row>
    <row r="3304" customFormat="false" ht="13.5" hidden="false" customHeight="true" outlineLevel="0" collapsed="false">
      <c r="A3304" s="32" t="n">
        <v>5595</v>
      </c>
      <c r="B3304" s="32" t="s">
        <v>2682</v>
      </c>
      <c r="C3304" s="32" t="s">
        <v>2683</v>
      </c>
      <c r="D3304" s="32" t="s">
        <v>114</v>
      </c>
      <c r="E3304" s="32" t="s">
        <v>124</v>
      </c>
      <c r="F3304" s="32" t="n">
        <v>9916384601</v>
      </c>
      <c r="G3304" s="32" t="s">
        <v>61</v>
      </c>
      <c r="H3304" s="32" t="s">
        <v>22</v>
      </c>
      <c r="I3304" s="32" t="s">
        <v>386</v>
      </c>
      <c r="J3304" s="32" t="s">
        <v>132</v>
      </c>
      <c r="K3304" s="32" t="s">
        <v>63</v>
      </c>
    </row>
    <row r="3305" customFormat="false" ht="13.5" hidden="false" customHeight="true" outlineLevel="0" collapsed="false">
      <c r="A3305" s="32" t="n">
        <v>5596</v>
      </c>
      <c r="B3305" s="32" t="s">
        <v>2684</v>
      </c>
      <c r="C3305" s="32" t="s">
        <v>2685</v>
      </c>
      <c r="D3305" s="32" t="s">
        <v>59</v>
      </c>
      <c r="E3305" s="32" t="s">
        <v>143</v>
      </c>
      <c r="F3305" s="32" t="n">
        <v>0</v>
      </c>
      <c r="G3305" s="32" t="s">
        <v>61</v>
      </c>
      <c r="H3305" s="32" t="s">
        <v>21</v>
      </c>
      <c r="I3305" s="32" t="s">
        <v>27</v>
      </c>
      <c r="J3305" s="32" t="s">
        <v>13</v>
      </c>
      <c r="K3305" s="32" t="s">
        <v>63</v>
      </c>
    </row>
    <row r="3306" customFormat="false" ht="13.5" hidden="false" customHeight="true" outlineLevel="0" collapsed="false">
      <c r="A3306" s="32" t="n">
        <v>5597</v>
      </c>
      <c r="B3306" s="32" t="s">
        <v>2684</v>
      </c>
      <c r="C3306" s="32" t="s">
        <v>2685</v>
      </c>
      <c r="D3306" s="32" t="s">
        <v>59</v>
      </c>
      <c r="E3306" s="32" t="s">
        <v>143</v>
      </c>
      <c r="F3306" s="32" t="n">
        <v>0</v>
      </c>
      <c r="G3306" s="32" t="s">
        <v>61</v>
      </c>
      <c r="H3306" s="32" t="s">
        <v>21</v>
      </c>
      <c r="I3306" s="32" t="s">
        <v>81</v>
      </c>
      <c r="J3306" s="32" t="s">
        <v>82</v>
      </c>
      <c r="K3306" s="32" t="s">
        <v>63</v>
      </c>
    </row>
    <row r="3307" customFormat="false" ht="13.5" hidden="false" customHeight="true" outlineLevel="0" collapsed="false">
      <c r="A3307" s="32" t="n">
        <v>5598</v>
      </c>
      <c r="B3307" s="32" t="s">
        <v>2684</v>
      </c>
      <c r="C3307" s="32" t="s">
        <v>2685</v>
      </c>
      <c r="D3307" s="32" t="s">
        <v>59</v>
      </c>
      <c r="E3307" s="32" t="s">
        <v>143</v>
      </c>
      <c r="F3307" s="32" t="n">
        <v>0</v>
      </c>
      <c r="G3307" s="32" t="s">
        <v>61</v>
      </c>
      <c r="H3307" s="32" t="s">
        <v>21</v>
      </c>
      <c r="I3307" s="32" t="s">
        <v>284</v>
      </c>
      <c r="J3307" s="32" t="s">
        <v>117</v>
      </c>
      <c r="K3307" s="32" t="s">
        <v>63</v>
      </c>
    </row>
    <row r="3308" customFormat="false" ht="13.5" hidden="false" customHeight="true" outlineLevel="0" collapsed="false">
      <c r="A3308" s="32" t="n">
        <v>5599</v>
      </c>
      <c r="B3308" s="32" t="s">
        <v>2686</v>
      </c>
      <c r="C3308" s="32" t="s">
        <v>2687</v>
      </c>
      <c r="D3308" s="32" t="s">
        <v>331</v>
      </c>
      <c r="E3308" s="32" t="s">
        <v>278</v>
      </c>
      <c r="F3308" s="32" t="n">
        <v>7406880440</v>
      </c>
      <c r="G3308" s="32" t="s">
        <v>61</v>
      </c>
      <c r="H3308" s="32" t="s">
        <v>332</v>
      </c>
      <c r="I3308" s="32" t="s">
        <v>151</v>
      </c>
      <c r="J3308" s="32" t="s">
        <v>152</v>
      </c>
      <c r="K3308" s="32" t="s">
        <v>63</v>
      </c>
    </row>
    <row r="3309" customFormat="false" ht="13.5" hidden="false" customHeight="true" outlineLevel="0" collapsed="false">
      <c r="A3309" s="32" t="n">
        <v>5600</v>
      </c>
      <c r="B3309" s="32" t="s">
        <v>2686</v>
      </c>
      <c r="C3309" s="32" t="s">
        <v>2687</v>
      </c>
      <c r="D3309" s="32" t="s">
        <v>331</v>
      </c>
      <c r="E3309" s="32" t="s">
        <v>278</v>
      </c>
      <c r="F3309" s="32" t="n">
        <v>7406880440</v>
      </c>
      <c r="G3309" s="32" t="s">
        <v>61</v>
      </c>
      <c r="H3309" s="32" t="s">
        <v>332</v>
      </c>
      <c r="I3309" s="32" t="s">
        <v>133</v>
      </c>
      <c r="J3309" s="32" t="s">
        <v>134</v>
      </c>
      <c r="K3309" s="32" t="s">
        <v>63</v>
      </c>
    </row>
    <row r="3310" customFormat="false" ht="13.5" hidden="false" customHeight="true" outlineLevel="0" collapsed="false">
      <c r="A3310" s="32" t="n">
        <v>5601</v>
      </c>
      <c r="B3310" s="32" t="s">
        <v>2686</v>
      </c>
      <c r="C3310" s="32" t="s">
        <v>2687</v>
      </c>
      <c r="D3310" s="32" t="s">
        <v>331</v>
      </c>
      <c r="E3310" s="32" t="s">
        <v>278</v>
      </c>
      <c r="F3310" s="32" t="n">
        <v>7406880440</v>
      </c>
      <c r="G3310" s="32" t="s">
        <v>61</v>
      </c>
      <c r="H3310" s="32" t="s">
        <v>332</v>
      </c>
      <c r="I3310" s="32" t="s">
        <v>85</v>
      </c>
      <c r="J3310" s="32" t="s">
        <v>85</v>
      </c>
      <c r="K3310" s="32" t="s">
        <v>63</v>
      </c>
    </row>
    <row r="3311" customFormat="false" ht="13.5" hidden="false" customHeight="true" outlineLevel="0" collapsed="false">
      <c r="A3311" s="32" t="n">
        <v>5602</v>
      </c>
      <c r="B3311" s="32" t="s">
        <v>2686</v>
      </c>
      <c r="C3311" s="32" t="s">
        <v>2687</v>
      </c>
      <c r="D3311" s="32" t="s">
        <v>331</v>
      </c>
      <c r="E3311" s="32" t="s">
        <v>278</v>
      </c>
      <c r="F3311" s="32" t="n">
        <v>7406880440</v>
      </c>
      <c r="G3311" s="32" t="s">
        <v>61</v>
      </c>
      <c r="H3311" s="32" t="s">
        <v>332</v>
      </c>
      <c r="I3311" s="32" t="s">
        <v>488</v>
      </c>
      <c r="J3311" s="32" t="s">
        <v>117</v>
      </c>
      <c r="K3311" s="32" t="s">
        <v>63</v>
      </c>
    </row>
    <row r="3312" customFormat="false" ht="13.5" hidden="false" customHeight="true" outlineLevel="0" collapsed="false">
      <c r="A3312" s="32" t="n">
        <v>5603</v>
      </c>
      <c r="B3312" s="32" t="s">
        <v>2686</v>
      </c>
      <c r="C3312" s="32" t="s">
        <v>2687</v>
      </c>
      <c r="D3312" s="32" t="s">
        <v>331</v>
      </c>
      <c r="E3312" s="32" t="s">
        <v>278</v>
      </c>
      <c r="F3312" s="32" t="n">
        <v>7406880440</v>
      </c>
      <c r="G3312" s="32" t="s">
        <v>61</v>
      </c>
      <c r="H3312" s="32" t="s">
        <v>332</v>
      </c>
      <c r="I3312" s="32" t="s">
        <v>145</v>
      </c>
      <c r="J3312" s="32" t="s">
        <v>117</v>
      </c>
      <c r="K3312" s="32" t="s">
        <v>63</v>
      </c>
    </row>
    <row r="3313" customFormat="false" ht="13.5" hidden="false" customHeight="true" outlineLevel="0" collapsed="false">
      <c r="A3313" s="32" t="n">
        <v>5604</v>
      </c>
      <c r="B3313" s="32" t="s">
        <v>2686</v>
      </c>
      <c r="C3313" s="32" t="s">
        <v>2687</v>
      </c>
      <c r="D3313" s="32" t="s">
        <v>331</v>
      </c>
      <c r="E3313" s="32" t="s">
        <v>278</v>
      </c>
      <c r="F3313" s="32" t="n">
        <v>7406880440</v>
      </c>
      <c r="G3313" s="32" t="s">
        <v>61</v>
      </c>
      <c r="H3313" s="32" t="s">
        <v>332</v>
      </c>
      <c r="I3313" s="32" t="s">
        <v>93</v>
      </c>
      <c r="J3313" s="32" t="s">
        <v>85</v>
      </c>
      <c r="K3313" s="32" t="s">
        <v>63</v>
      </c>
    </row>
    <row r="3314" customFormat="false" ht="13.5" hidden="false" customHeight="true" outlineLevel="0" collapsed="false">
      <c r="A3314" s="32" t="n">
        <v>5605</v>
      </c>
      <c r="B3314" s="32" t="s">
        <v>2688</v>
      </c>
      <c r="C3314" s="32" t="s">
        <v>2689</v>
      </c>
      <c r="D3314" s="32" t="s">
        <v>114</v>
      </c>
      <c r="E3314" s="32" t="n">
        <v>0</v>
      </c>
      <c r="F3314" s="32" t="n">
        <v>7760077608</v>
      </c>
      <c r="G3314" s="32" t="s">
        <v>181</v>
      </c>
      <c r="H3314" s="32" t="s">
        <v>22</v>
      </c>
      <c r="I3314" s="32" t="s">
        <v>150</v>
      </c>
      <c r="J3314" s="32" t="s">
        <v>73</v>
      </c>
      <c r="K3314" s="32" t="s">
        <v>63</v>
      </c>
    </row>
    <row r="3315" customFormat="false" ht="13.5" hidden="false" customHeight="true" outlineLevel="0" collapsed="false">
      <c r="A3315" s="32" t="n">
        <v>5606</v>
      </c>
      <c r="B3315" s="32" t="s">
        <v>2688</v>
      </c>
      <c r="C3315" s="32" t="s">
        <v>2689</v>
      </c>
      <c r="D3315" s="32" t="s">
        <v>114</v>
      </c>
      <c r="E3315" s="32" t="n">
        <v>0</v>
      </c>
      <c r="F3315" s="32" t="n">
        <v>7760077608</v>
      </c>
      <c r="G3315" s="32" t="s">
        <v>181</v>
      </c>
      <c r="H3315" s="32" t="s">
        <v>22</v>
      </c>
      <c r="I3315" s="32" t="s">
        <v>16</v>
      </c>
      <c r="J3315" s="32" t="s">
        <v>73</v>
      </c>
      <c r="K3315" s="32" t="s">
        <v>63</v>
      </c>
    </row>
    <row r="3316" customFormat="false" ht="13.5" hidden="false" customHeight="true" outlineLevel="0" collapsed="false">
      <c r="A3316" s="32" t="n">
        <v>5607</v>
      </c>
      <c r="B3316" s="32" t="s">
        <v>2690</v>
      </c>
      <c r="C3316" s="32" t="s">
        <v>2689</v>
      </c>
      <c r="D3316" s="32" t="s">
        <v>114</v>
      </c>
      <c r="E3316" s="32" t="n">
        <v>0</v>
      </c>
      <c r="F3316" s="32" t="n">
        <v>7760077608</v>
      </c>
      <c r="G3316" s="32" t="s">
        <v>69</v>
      </c>
      <c r="H3316" s="32" t="s">
        <v>22</v>
      </c>
      <c r="I3316" s="32" t="s">
        <v>630</v>
      </c>
      <c r="J3316" s="32" t="s">
        <v>71</v>
      </c>
      <c r="K3316" s="32" t="s">
        <v>63</v>
      </c>
    </row>
    <row r="3317" customFormat="false" ht="13.5" hidden="false" customHeight="true" outlineLevel="0" collapsed="false">
      <c r="A3317" s="32" t="n">
        <v>5608</v>
      </c>
      <c r="B3317" s="32" t="s">
        <v>2688</v>
      </c>
      <c r="C3317" s="32" t="s">
        <v>2689</v>
      </c>
      <c r="D3317" s="32" t="s">
        <v>114</v>
      </c>
      <c r="E3317" s="32" t="n">
        <v>0</v>
      </c>
      <c r="F3317" s="32" t="n">
        <v>7760077608</v>
      </c>
      <c r="G3317" s="32" t="s">
        <v>181</v>
      </c>
      <c r="H3317" s="32" t="s">
        <v>22</v>
      </c>
      <c r="I3317" s="32" t="s">
        <v>212</v>
      </c>
      <c r="J3317" s="32" t="s">
        <v>73</v>
      </c>
      <c r="K3317" s="32" t="s">
        <v>63</v>
      </c>
    </row>
    <row r="3318" customFormat="false" ht="13.5" hidden="false" customHeight="true" outlineLevel="0" collapsed="false">
      <c r="A3318" s="32" t="n">
        <v>5609</v>
      </c>
      <c r="B3318" s="32" t="s">
        <v>2691</v>
      </c>
      <c r="C3318" s="32" t="s">
        <v>2692</v>
      </c>
      <c r="D3318" s="32" t="s">
        <v>59</v>
      </c>
      <c r="E3318" s="32" t="s">
        <v>143</v>
      </c>
      <c r="F3318" s="32" t="n">
        <v>9871137225</v>
      </c>
      <c r="G3318" s="32" t="s">
        <v>104</v>
      </c>
      <c r="H3318" s="32" t="s">
        <v>21</v>
      </c>
      <c r="I3318" s="32" t="s">
        <v>27</v>
      </c>
      <c r="J3318" s="32" t="s">
        <v>13</v>
      </c>
      <c r="K3318" s="32" t="s">
        <v>63</v>
      </c>
    </row>
    <row r="3319" customFormat="false" ht="13.5" hidden="false" customHeight="true" outlineLevel="0" collapsed="false">
      <c r="A3319" s="32" t="n">
        <v>5610</v>
      </c>
      <c r="B3319" s="32" t="s">
        <v>2691</v>
      </c>
      <c r="C3319" s="32" t="s">
        <v>2692</v>
      </c>
      <c r="D3319" s="32" t="s">
        <v>59</v>
      </c>
      <c r="E3319" s="32" t="s">
        <v>143</v>
      </c>
      <c r="F3319" s="32" t="n">
        <v>9871137225</v>
      </c>
      <c r="G3319" s="32" t="s">
        <v>104</v>
      </c>
      <c r="H3319" s="32" t="s">
        <v>21</v>
      </c>
      <c r="I3319" s="32" t="s">
        <v>678</v>
      </c>
      <c r="J3319" s="32" t="s">
        <v>152</v>
      </c>
      <c r="K3319" s="32" t="s">
        <v>63</v>
      </c>
    </row>
    <row r="3320" customFormat="false" ht="13.5" hidden="false" customHeight="true" outlineLevel="0" collapsed="false">
      <c r="A3320" s="32" t="n">
        <v>5611</v>
      </c>
      <c r="B3320" s="32" t="s">
        <v>2693</v>
      </c>
      <c r="C3320" s="32" t="s">
        <v>2694</v>
      </c>
      <c r="D3320" s="32" t="s">
        <v>114</v>
      </c>
      <c r="E3320" s="32" t="s">
        <v>278</v>
      </c>
      <c r="F3320" s="32" t="n">
        <v>9836282218</v>
      </c>
      <c r="G3320" s="32" t="s">
        <v>140</v>
      </c>
      <c r="H3320" s="32" t="s">
        <v>22</v>
      </c>
      <c r="I3320" s="32" t="s">
        <v>215</v>
      </c>
      <c r="J3320" s="32" t="s">
        <v>132</v>
      </c>
      <c r="K3320" s="32" t="s">
        <v>63</v>
      </c>
    </row>
    <row r="3321" customFormat="false" ht="13.5" hidden="false" customHeight="true" outlineLevel="0" collapsed="false">
      <c r="A3321" s="32" t="n">
        <v>5612</v>
      </c>
      <c r="B3321" s="32" t="s">
        <v>2693</v>
      </c>
      <c r="C3321" s="32" t="s">
        <v>2694</v>
      </c>
      <c r="D3321" s="32" t="s">
        <v>114</v>
      </c>
      <c r="E3321" s="32" t="s">
        <v>278</v>
      </c>
      <c r="F3321" s="32" t="n">
        <v>9836282218</v>
      </c>
      <c r="G3321" s="32" t="s">
        <v>140</v>
      </c>
      <c r="H3321" s="32" t="s">
        <v>22</v>
      </c>
      <c r="I3321" s="32" t="s">
        <v>217</v>
      </c>
      <c r="J3321" s="32" t="s">
        <v>132</v>
      </c>
      <c r="K3321" s="32" t="s">
        <v>63</v>
      </c>
    </row>
    <row r="3322" customFormat="false" ht="13.5" hidden="false" customHeight="true" outlineLevel="0" collapsed="false">
      <c r="A3322" s="32" t="n">
        <v>5613</v>
      </c>
      <c r="B3322" s="32" t="s">
        <v>2693</v>
      </c>
      <c r="C3322" s="32" t="s">
        <v>2694</v>
      </c>
      <c r="D3322" s="32" t="s">
        <v>114</v>
      </c>
      <c r="E3322" s="32" t="s">
        <v>278</v>
      </c>
      <c r="F3322" s="32" t="n">
        <v>9836282218</v>
      </c>
      <c r="G3322" s="32" t="s">
        <v>140</v>
      </c>
      <c r="H3322" s="32" t="s">
        <v>22</v>
      </c>
      <c r="I3322" s="32" t="s">
        <v>386</v>
      </c>
      <c r="J3322" s="32" t="s">
        <v>132</v>
      </c>
      <c r="K3322" s="32" t="s">
        <v>63</v>
      </c>
    </row>
    <row r="3323" customFormat="false" ht="13.5" hidden="false" customHeight="true" outlineLevel="0" collapsed="false">
      <c r="A3323" s="32" t="n">
        <v>5614</v>
      </c>
      <c r="B3323" s="32" t="s">
        <v>2695</v>
      </c>
      <c r="C3323" s="32" t="s">
        <v>2696</v>
      </c>
      <c r="D3323" s="32" t="s">
        <v>59</v>
      </c>
      <c r="E3323" s="32" t="s">
        <v>60</v>
      </c>
      <c r="F3323" s="32" t="n">
        <v>8340382976</v>
      </c>
      <c r="G3323" s="32" t="s">
        <v>144</v>
      </c>
      <c r="H3323" s="32" t="s">
        <v>21</v>
      </c>
      <c r="I3323" s="32" t="s">
        <v>333</v>
      </c>
      <c r="J3323" s="32" t="s">
        <v>235</v>
      </c>
      <c r="K3323" s="32" t="s">
        <v>63</v>
      </c>
    </row>
    <row r="3324" customFormat="false" ht="13.5" hidden="false" customHeight="true" outlineLevel="0" collapsed="false">
      <c r="A3324" s="32" t="n">
        <v>5615</v>
      </c>
      <c r="B3324" s="32" t="s">
        <v>2697</v>
      </c>
      <c r="C3324" s="32" t="s">
        <v>2698</v>
      </c>
      <c r="D3324" s="32" t="s">
        <v>114</v>
      </c>
      <c r="E3324" s="32" t="s">
        <v>165</v>
      </c>
      <c r="F3324" s="32" t="n">
        <v>9632877753</v>
      </c>
      <c r="G3324" s="32" t="s">
        <v>144</v>
      </c>
      <c r="H3324" s="32" t="s">
        <v>22</v>
      </c>
      <c r="I3324" s="32" t="s">
        <v>145</v>
      </c>
      <c r="J3324" s="32" t="s">
        <v>117</v>
      </c>
      <c r="K3324" s="32" t="s">
        <v>63</v>
      </c>
    </row>
    <row r="3325" customFormat="false" ht="13.5" hidden="false" customHeight="true" outlineLevel="0" collapsed="false">
      <c r="A3325" s="32" t="n">
        <v>5616</v>
      </c>
      <c r="B3325" s="32" t="s">
        <v>2697</v>
      </c>
      <c r="C3325" s="32" t="s">
        <v>2698</v>
      </c>
      <c r="D3325" s="32" t="s">
        <v>114</v>
      </c>
      <c r="E3325" s="32" t="s">
        <v>165</v>
      </c>
      <c r="F3325" s="33" t="n">
        <v>919633000000</v>
      </c>
      <c r="G3325" s="32" t="s">
        <v>144</v>
      </c>
      <c r="H3325" s="32" t="s">
        <v>22</v>
      </c>
      <c r="I3325" s="32" t="s">
        <v>826</v>
      </c>
      <c r="J3325" s="32" t="s">
        <v>84</v>
      </c>
      <c r="K3325" s="32" t="s">
        <v>63</v>
      </c>
    </row>
    <row r="3326" customFormat="false" ht="13.5" hidden="false" customHeight="true" outlineLevel="0" collapsed="false">
      <c r="A3326" s="32" t="n">
        <v>5617</v>
      </c>
      <c r="B3326" s="32" t="s">
        <v>2697</v>
      </c>
      <c r="C3326" s="32" t="s">
        <v>2698</v>
      </c>
      <c r="D3326" s="32" t="s">
        <v>114</v>
      </c>
      <c r="E3326" s="32" t="s">
        <v>165</v>
      </c>
      <c r="F3326" s="32" t="n">
        <v>9632877753</v>
      </c>
      <c r="G3326" s="32" t="s">
        <v>144</v>
      </c>
      <c r="H3326" s="32" t="s">
        <v>22</v>
      </c>
      <c r="I3326" s="32" t="s">
        <v>30</v>
      </c>
      <c r="J3326" s="32" t="s">
        <v>203</v>
      </c>
      <c r="K3326" s="32" t="s">
        <v>63</v>
      </c>
    </row>
    <row r="3327" customFormat="false" ht="13.5" hidden="false" customHeight="true" outlineLevel="0" collapsed="false">
      <c r="A3327" s="32" t="n">
        <v>5618</v>
      </c>
      <c r="B3327" s="32" t="s">
        <v>2699</v>
      </c>
      <c r="C3327" s="32" t="s">
        <v>2700</v>
      </c>
      <c r="D3327" s="32" t="s">
        <v>59</v>
      </c>
      <c r="E3327" s="32" t="s">
        <v>143</v>
      </c>
      <c r="F3327" s="32" t="n">
        <v>7738960960</v>
      </c>
      <c r="G3327" s="32" t="s">
        <v>104</v>
      </c>
      <c r="H3327" s="32" t="s">
        <v>21</v>
      </c>
      <c r="I3327" s="32" t="s">
        <v>128</v>
      </c>
      <c r="J3327" s="32" t="s">
        <v>89</v>
      </c>
      <c r="K3327" s="32" t="s">
        <v>63</v>
      </c>
    </row>
    <row r="3328" customFormat="false" ht="13.5" hidden="false" customHeight="true" outlineLevel="0" collapsed="false">
      <c r="A3328" s="32" t="n">
        <v>5619</v>
      </c>
      <c r="B3328" s="32" t="s">
        <v>2699</v>
      </c>
      <c r="C3328" s="32" t="s">
        <v>2700</v>
      </c>
      <c r="D3328" s="32" t="s">
        <v>59</v>
      </c>
      <c r="E3328" s="32" t="s">
        <v>143</v>
      </c>
      <c r="F3328" s="32" t="n">
        <v>7738960960</v>
      </c>
      <c r="G3328" s="32" t="s">
        <v>104</v>
      </c>
      <c r="H3328" s="32" t="s">
        <v>21</v>
      </c>
      <c r="I3328" s="32" t="s">
        <v>408</v>
      </c>
      <c r="J3328" s="32" t="s">
        <v>117</v>
      </c>
      <c r="K3328" s="32" t="s">
        <v>63</v>
      </c>
    </row>
    <row r="3329" customFormat="false" ht="13.5" hidden="false" customHeight="true" outlineLevel="0" collapsed="false">
      <c r="A3329" s="32" t="n">
        <v>5620</v>
      </c>
      <c r="B3329" s="32" t="s">
        <v>2699</v>
      </c>
      <c r="C3329" s="32" t="s">
        <v>2700</v>
      </c>
      <c r="D3329" s="32" t="s">
        <v>59</v>
      </c>
      <c r="E3329" s="32" t="s">
        <v>143</v>
      </c>
      <c r="F3329" s="32" t="n">
        <v>7738960960</v>
      </c>
      <c r="G3329" s="32" t="s">
        <v>104</v>
      </c>
      <c r="H3329" s="32" t="s">
        <v>21</v>
      </c>
      <c r="I3329" s="32" t="s">
        <v>93</v>
      </c>
      <c r="J3329" s="32" t="s">
        <v>85</v>
      </c>
      <c r="K3329" s="32" t="s">
        <v>63</v>
      </c>
    </row>
    <row r="3330" customFormat="false" ht="13.5" hidden="false" customHeight="true" outlineLevel="0" collapsed="false">
      <c r="A3330" s="32" t="n">
        <v>5621</v>
      </c>
      <c r="B3330" s="32" t="s">
        <v>2699</v>
      </c>
      <c r="C3330" s="32" t="s">
        <v>2700</v>
      </c>
      <c r="D3330" s="32" t="s">
        <v>59</v>
      </c>
      <c r="E3330" s="32" t="s">
        <v>143</v>
      </c>
      <c r="F3330" s="32" t="n">
        <v>7738960960</v>
      </c>
      <c r="G3330" s="32" t="s">
        <v>104</v>
      </c>
      <c r="H3330" s="32" t="s">
        <v>21</v>
      </c>
      <c r="I3330" s="32" t="s">
        <v>85</v>
      </c>
      <c r="J3330" s="32" t="s">
        <v>85</v>
      </c>
      <c r="K3330" s="32" t="s">
        <v>63</v>
      </c>
    </row>
    <row r="3331" customFormat="false" ht="13.5" hidden="false" customHeight="true" outlineLevel="0" collapsed="false">
      <c r="A3331" s="32" t="n">
        <v>5622</v>
      </c>
      <c r="B3331" s="32" t="s">
        <v>2701</v>
      </c>
      <c r="C3331" s="32" t="s">
        <v>2702</v>
      </c>
      <c r="D3331" s="32" t="s">
        <v>59</v>
      </c>
      <c r="E3331" s="32" t="s">
        <v>92</v>
      </c>
      <c r="F3331" s="32" t="n">
        <v>9711960104</v>
      </c>
      <c r="G3331" s="32" t="s">
        <v>144</v>
      </c>
      <c r="H3331" s="32" t="s">
        <v>21</v>
      </c>
      <c r="I3331" s="32" t="s">
        <v>239</v>
      </c>
      <c r="J3331" s="32" t="s">
        <v>132</v>
      </c>
      <c r="K3331" s="32" t="s">
        <v>63</v>
      </c>
    </row>
    <row r="3332" customFormat="false" ht="13.5" hidden="false" customHeight="true" outlineLevel="0" collapsed="false">
      <c r="A3332" s="32" t="n">
        <v>5623</v>
      </c>
      <c r="B3332" s="32" t="s">
        <v>2701</v>
      </c>
      <c r="C3332" s="32" t="s">
        <v>2702</v>
      </c>
      <c r="D3332" s="32" t="s">
        <v>59</v>
      </c>
      <c r="E3332" s="32" t="s">
        <v>92</v>
      </c>
      <c r="F3332" s="32" t="n">
        <v>9711960104</v>
      </c>
      <c r="G3332" s="32" t="s">
        <v>144</v>
      </c>
      <c r="H3332" s="32" t="s">
        <v>21</v>
      </c>
      <c r="I3332" s="32" t="s">
        <v>242</v>
      </c>
      <c r="J3332" s="32" t="s">
        <v>241</v>
      </c>
      <c r="K3332" s="32" t="s">
        <v>63</v>
      </c>
    </row>
    <row r="3333" customFormat="false" ht="13.5" hidden="false" customHeight="true" outlineLevel="0" collapsed="false">
      <c r="A3333" s="32" t="n">
        <v>5624</v>
      </c>
      <c r="B3333" s="32" t="s">
        <v>2701</v>
      </c>
      <c r="C3333" s="32" t="s">
        <v>2703</v>
      </c>
      <c r="D3333" s="32" t="s">
        <v>59</v>
      </c>
      <c r="E3333" s="32" t="s">
        <v>92</v>
      </c>
      <c r="F3333" s="32" t="n">
        <v>9711960104</v>
      </c>
      <c r="G3333" s="32" t="s">
        <v>144</v>
      </c>
      <c r="H3333" s="32" t="s">
        <v>21</v>
      </c>
      <c r="I3333" s="32" t="s">
        <v>145</v>
      </c>
      <c r="J3333" s="32" t="s">
        <v>117</v>
      </c>
      <c r="K3333" s="32" t="s">
        <v>63</v>
      </c>
    </row>
    <row r="3334" customFormat="false" ht="13.5" hidden="false" customHeight="true" outlineLevel="0" collapsed="false">
      <c r="A3334" s="32" t="n">
        <v>5625</v>
      </c>
      <c r="B3334" s="32" t="s">
        <v>2701</v>
      </c>
      <c r="C3334" s="32" t="s">
        <v>2703</v>
      </c>
      <c r="D3334" s="32" t="s">
        <v>59</v>
      </c>
      <c r="E3334" s="32" t="s">
        <v>92</v>
      </c>
      <c r="F3334" s="32" t="n">
        <v>9711960104</v>
      </c>
      <c r="G3334" s="32" t="s">
        <v>144</v>
      </c>
      <c r="H3334" s="32" t="s">
        <v>21</v>
      </c>
      <c r="I3334" s="32" t="s">
        <v>146</v>
      </c>
      <c r="J3334" s="32" t="s">
        <v>117</v>
      </c>
      <c r="K3334" s="32" t="s">
        <v>63</v>
      </c>
    </row>
    <row r="3335" customFormat="false" ht="13.5" hidden="false" customHeight="true" outlineLevel="0" collapsed="false">
      <c r="A3335" s="32" t="n">
        <v>5626</v>
      </c>
      <c r="B3335" s="32" t="s">
        <v>2701</v>
      </c>
      <c r="C3335" s="32" t="s">
        <v>2703</v>
      </c>
      <c r="D3335" s="32" t="s">
        <v>59</v>
      </c>
      <c r="E3335" s="32" t="s">
        <v>92</v>
      </c>
      <c r="F3335" s="32" t="n">
        <v>9711960104</v>
      </c>
      <c r="G3335" s="32" t="s">
        <v>144</v>
      </c>
      <c r="H3335" s="32" t="s">
        <v>21</v>
      </c>
      <c r="I3335" s="32" t="s">
        <v>1720</v>
      </c>
      <c r="J3335" s="32" t="s">
        <v>132</v>
      </c>
      <c r="K3335" s="32" t="s">
        <v>63</v>
      </c>
    </row>
    <row r="3336" customFormat="false" ht="13.5" hidden="false" customHeight="true" outlineLevel="0" collapsed="false">
      <c r="A3336" s="32" t="n">
        <v>5627</v>
      </c>
      <c r="B3336" s="32" t="s">
        <v>2704</v>
      </c>
      <c r="C3336" s="32" t="s">
        <v>2705</v>
      </c>
      <c r="D3336" s="32" t="s">
        <v>59</v>
      </c>
      <c r="E3336" s="32" t="s">
        <v>143</v>
      </c>
      <c r="F3336" s="33" t="n">
        <v>917989000000</v>
      </c>
      <c r="G3336" s="32" t="s">
        <v>80</v>
      </c>
      <c r="H3336" s="32" t="s">
        <v>21</v>
      </c>
      <c r="I3336" s="32" t="s">
        <v>2706</v>
      </c>
      <c r="J3336" s="32" t="s">
        <v>235</v>
      </c>
      <c r="K3336" s="32" t="s">
        <v>63</v>
      </c>
    </row>
    <row r="3337" customFormat="false" ht="13.5" hidden="false" customHeight="true" outlineLevel="0" collapsed="false">
      <c r="A3337" s="32" t="n">
        <v>5628</v>
      </c>
      <c r="B3337" s="32" t="s">
        <v>2704</v>
      </c>
      <c r="C3337" s="32" t="s">
        <v>2705</v>
      </c>
      <c r="D3337" s="32" t="s">
        <v>59</v>
      </c>
      <c r="E3337" s="32" t="s">
        <v>143</v>
      </c>
      <c r="F3337" s="33" t="n">
        <v>917989000000</v>
      </c>
      <c r="G3337" s="32" t="s">
        <v>80</v>
      </c>
      <c r="H3337" s="32" t="s">
        <v>21</v>
      </c>
      <c r="I3337" s="32" t="s">
        <v>1632</v>
      </c>
      <c r="J3337" s="32" t="s">
        <v>388</v>
      </c>
      <c r="K3337" s="32" t="s">
        <v>63</v>
      </c>
    </row>
    <row r="3338" customFormat="false" ht="13.5" hidden="false" customHeight="true" outlineLevel="0" collapsed="false">
      <c r="A3338" s="32" t="n">
        <v>5633</v>
      </c>
      <c r="B3338" s="32" t="s">
        <v>2704</v>
      </c>
      <c r="C3338" s="32" t="s">
        <v>2705</v>
      </c>
      <c r="D3338" s="32" t="s">
        <v>59</v>
      </c>
      <c r="E3338" s="32" t="s">
        <v>143</v>
      </c>
      <c r="F3338" s="33" t="n">
        <v>917989000000</v>
      </c>
      <c r="G3338" s="32" t="s">
        <v>80</v>
      </c>
      <c r="H3338" s="32" t="s">
        <v>21</v>
      </c>
      <c r="I3338" s="32" t="s">
        <v>85</v>
      </c>
      <c r="J3338" s="32" t="s">
        <v>85</v>
      </c>
      <c r="K3338" s="32" t="s">
        <v>63</v>
      </c>
    </row>
    <row r="3339" customFormat="false" ht="13.5" hidden="false" customHeight="true" outlineLevel="0" collapsed="false">
      <c r="A3339" s="32" t="n">
        <v>5634</v>
      </c>
      <c r="B3339" s="32" t="s">
        <v>2707</v>
      </c>
      <c r="C3339" s="32" t="s">
        <v>2708</v>
      </c>
      <c r="D3339" s="32" t="s">
        <v>114</v>
      </c>
      <c r="E3339" s="32" t="s">
        <v>366</v>
      </c>
      <c r="F3339" s="33" t="n">
        <v>919959000000</v>
      </c>
      <c r="G3339" s="32" t="s">
        <v>80</v>
      </c>
      <c r="H3339" s="32" t="s">
        <v>22</v>
      </c>
      <c r="I3339" s="32" t="s">
        <v>185</v>
      </c>
      <c r="J3339" s="32" t="s">
        <v>186</v>
      </c>
      <c r="K3339" s="32" t="s">
        <v>63</v>
      </c>
    </row>
    <row r="3340" customFormat="false" ht="13.5" hidden="false" customHeight="true" outlineLevel="0" collapsed="false">
      <c r="A3340" s="32" t="n">
        <v>5635</v>
      </c>
      <c r="B3340" s="32" t="s">
        <v>2707</v>
      </c>
      <c r="C3340" s="32" t="s">
        <v>2708</v>
      </c>
      <c r="D3340" s="32" t="s">
        <v>114</v>
      </c>
      <c r="E3340" s="32" t="s">
        <v>366</v>
      </c>
      <c r="F3340" s="33" t="n">
        <v>919959000000</v>
      </c>
      <c r="G3340" s="32" t="s">
        <v>80</v>
      </c>
      <c r="H3340" s="32" t="s">
        <v>22</v>
      </c>
      <c r="I3340" s="32" t="s">
        <v>226</v>
      </c>
      <c r="J3340" s="32" t="s">
        <v>110</v>
      </c>
      <c r="K3340" s="32" t="s">
        <v>63</v>
      </c>
    </row>
    <row r="3341" customFormat="false" ht="13.5" hidden="false" customHeight="true" outlineLevel="0" collapsed="false">
      <c r="A3341" s="32" t="n">
        <v>5636</v>
      </c>
      <c r="B3341" s="32" t="s">
        <v>2707</v>
      </c>
      <c r="C3341" s="32" t="s">
        <v>2709</v>
      </c>
      <c r="D3341" s="32" t="s">
        <v>114</v>
      </c>
      <c r="E3341" s="32" t="s">
        <v>366</v>
      </c>
      <c r="F3341" s="33" t="n">
        <v>919959000000</v>
      </c>
      <c r="G3341" s="32" t="s">
        <v>80</v>
      </c>
      <c r="H3341" s="32" t="s">
        <v>22</v>
      </c>
      <c r="I3341" s="32" t="s">
        <v>227</v>
      </c>
      <c r="J3341" s="32" t="s">
        <v>228</v>
      </c>
      <c r="K3341" s="32" t="s">
        <v>63</v>
      </c>
    </row>
    <row r="3342" customFormat="false" ht="13.5" hidden="false" customHeight="true" outlineLevel="0" collapsed="false">
      <c r="A3342" s="32" t="n">
        <v>5637</v>
      </c>
      <c r="B3342" s="32" t="s">
        <v>2707</v>
      </c>
      <c r="C3342" s="32" t="s">
        <v>2709</v>
      </c>
      <c r="D3342" s="32" t="s">
        <v>114</v>
      </c>
      <c r="E3342" s="32" t="s">
        <v>366</v>
      </c>
      <c r="F3342" s="33" t="n">
        <v>919959000000</v>
      </c>
      <c r="G3342" s="32" t="s">
        <v>80</v>
      </c>
      <c r="H3342" s="32" t="s">
        <v>22</v>
      </c>
      <c r="I3342" s="32" t="s">
        <v>133</v>
      </c>
      <c r="J3342" s="32" t="s">
        <v>134</v>
      </c>
      <c r="K3342" s="32" t="s">
        <v>63</v>
      </c>
    </row>
    <row r="3343" customFormat="false" ht="13.5" hidden="false" customHeight="true" outlineLevel="0" collapsed="false">
      <c r="A3343" s="32" t="n">
        <v>5638</v>
      </c>
      <c r="B3343" s="32" t="s">
        <v>2707</v>
      </c>
      <c r="C3343" s="32" t="s">
        <v>2709</v>
      </c>
      <c r="D3343" s="32" t="s">
        <v>114</v>
      </c>
      <c r="E3343" s="32" t="s">
        <v>366</v>
      </c>
      <c r="F3343" s="33" t="n">
        <v>919959000000</v>
      </c>
      <c r="G3343" s="32" t="s">
        <v>80</v>
      </c>
      <c r="H3343" s="32" t="s">
        <v>22</v>
      </c>
      <c r="I3343" s="32" t="s">
        <v>108</v>
      </c>
      <c r="J3343" s="32" t="s">
        <v>71</v>
      </c>
      <c r="K3343" s="32" t="s">
        <v>63</v>
      </c>
    </row>
    <row r="3344" customFormat="false" ht="13.5" hidden="false" customHeight="true" outlineLevel="0" collapsed="false">
      <c r="A3344" s="32" t="n">
        <v>5639</v>
      </c>
      <c r="B3344" s="32" t="s">
        <v>2710</v>
      </c>
      <c r="C3344" s="32" t="s">
        <v>2711</v>
      </c>
      <c r="D3344" s="32" t="s">
        <v>59</v>
      </c>
      <c r="E3344" s="32" t="s">
        <v>92</v>
      </c>
      <c r="F3344" s="33" t="n">
        <v>917278000000</v>
      </c>
      <c r="G3344" s="32" t="s">
        <v>140</v>
      </c>
      <c r="H3344" s="32" t="s">
        <v>21</v>
      </c>
      <c r="I3344" s="32" t="s">
        <v>227</v>
      </c>
      <c r="J3344" s="32" t="s">
        <v>228</v>
      </c>
      <c r="K3344" s="32" t="s">
        <v>63</v>
      </c>
    </row>
    <row r="3345" customFormat="false" ht="13.5" hidden="false" customHeight="true" outlineLevel="0" collapsed="false">
      <c r="A3345" s="32" t="n">
        <v>5640</v>
      </c>
      <c r="B3345" s="32" t="s">
        <v>2710</v>
      </c>
      <c r="C3345" s="32" t="s">
        <v>2712</v>
      </c>
      <c r="D3345" s="32" t="s">
        <v>59</v>
      </c>
      <c r="E3345" s="32" t="s">
        <v>92</v>
      </c>
      <c r="F3345" s="32" t="n">
        <v>7278346311</v>
      </c>
      <c r="G3345" s="32" t="s">
        <v>140</v>
      </c>
      <c r="H3345" s="32" t="s">
        <v>21</v>
      </c>
      <c r="I3345" s="32" t="s">
        <v>27</v>
      </c>
      <c r="J3345" s="32" t="s">
        <v>13</v>
      </c>
      <c r="K3345" s="32" t="s">
        <v>63</v>
      </c>
    </row>
    <row r="3346" customFormat="false" ht="13.5" hidden="false" customHeight="true" outlineLevel="0" collapsed="false">
      <c r="A3346" s="32" t="n">
        <v>5641</v>
      </c>
      <c r="B3346" s="32" t="s">
        <v>2710</v>
      </c>
      <c r="C3346" s="32" t="s">
        <v>2712</v>
      </c>
      <c r="D3346" s="32" t="s">
        <v>59</v>
      </c>
      <c r="E3346" s="32" t="s">
        <v>92</v>
      </c>
      <c r="F3346" s="32" t="n">
        <v>7278346311</v>
      </c>
      <c r="G3346" s="32" t="s">
        <v>140</v>
      </c>
      <c r="H3346" s="32" t="s">
        <v>21</v>
      </c>
      <c r="I3346" s="32" t="s">
        <v>121</v>
      </c>
      <c r="J3346" s="32" t="s">
        <v>110</v>
      </c>
      <c r="K3346" s="32" t="s">
        <v>63</v>
      </c>
    </row>
    <row r="3347" customFormat="false" ht="13.5" hidden="false" customHeight="true" outlineLevel="0" collapsed="false">
      <c r="A3347" s="32" t="n">
        <v>5642</v>
      </c>
      <c r="B3347" s="32" t="s">
        <v>2710</v>
      </c>
      <c r="C3347" s="32" t="s">
        <v>2712</v>
      </c>
      <c r="D3347" s="32" t="s">
        <v>59</v>
      </c>
      <c r="E3347" s="32" t="s">
        <v>92</v>
      </c>
      <c r="F3347" s="33" t="n">
        <v>917278000000</v>
      </c>
      <c r="G3347" s="32" t="s">
        <v>140</v>
      </c>
      <c r="H3347" s="32" t="s">
        <v>21</v>
      </c>
      <c r="I3347" s="32" t="s">
        <v>108</v>
      </c>
      <c r="J3347" s="32" t="s">
        <v>71</v>
      </c>
      <c r="K3347" s="32" t="s">
        <v>63</v>
      </c>
    </row>
    <row r="3348" customFormat="false" ht="13.5" hidden="false" customHeight="true" outlineLevel="0" collapsed="false">
      <c r="A3348" s="32" t="n">
        <v>5643</v>
      </c>
      <c r="B3348" s="32" t="s">
        <v>2710</v>
      </c>
      <c r="C3348" s="32" t="s">
        <v>2712</v>
      </c>
      <c r="D3348" s="32" t="s">
        <v>59</v>
      </c>
      <c r="E3348" s="32" t="s">
        <v>92</v>
      </c>
      <c r="F3348" s="33" t="n">
        <v>917278000000</v>
      </c>
      <c r="G3348" s="32" t="s">
        <v>140</v>
      </c>
      <c r="H3348" s="32" t="s">
        <v>21</v>
      </c>
      <c r="I3348" s="32" t="s">
        <v>669</v>
      </c>
      <c r="J3348" s="32" t="s">
        <v>388</v>
      </c>
      <c r="K3348" s="32" t="s">
        <v>63</v>
      </c>
    </row>
    <row r="3349" customFormat="false" ht="13.5" hidden="false" customHeight="true" outlineLevel="0" collapsed="false">
      <c r="A3349" s="32" t="n">
        <v>5644</v>
      </c>
      <c r="B3349" s="32" t="s">
        <v>2710</v>
      </c>
      <c r="C3349" s="32" t="s">
        <v>2712</v>
      </c>
      <c r="D3349" s="32" t="s">
        <v>59</v>
      </c>
      <c r="E3349" s="32" t="s">
        <v>92</v>
      </c>
      <c r="F3349" s="32" t="n">
        <v>7278346311</v>
      </c>
      <c r="G3349" s="32" t="s">
        <v>140</v>
      </c>
      <c r="H3349" s="32" t="s">
        <v>21</v>
      </c>
      <c r="I3349" s="32" t="s">
        <v>111</v>
      </c>
      <c r="J3349" s="32" t="s">
        <v>73</v>
      </c>
      <c r="K3349" s="32" t="s">
        <v>63</v>
      </c>
    </row>
    <row r="3350" customFormat="false" ht="13.5" hidden="false" customHeight="true" outlineLevel="0" collapsed="false">
      <c r="A3350" s="32" t="n">
        <v>5645</v>
      </c>
      <c r="B3350" s="32" t="s">
        <v>2713</v>
      </c>
      <c r="C3350" s="32" t="s">
        <v>2714</v>
      </c>
      <c r="D3350" s="32" t="s">
        <v>114</v>
      </c>
      <c r="E3350" s="32" t="s">
        <v>165</v>
      </c>
      <c r="F3350" s="32" t="n">
        <v>9886516985</v>
      </c>
      <c r="G3350" s="32" t="s">
        <v>61</v>
      </c>
      <c r="H3350" s="32" t="s">
        <v>22</v>
      </c>
      <c r="I3350" s="32" t="s">
        <v>27</v>
      </c>
      <c r="J3350" s="32" t="s">
        <v>13</v>
      </c>
      <c r="K3350" s="32" t="s">
        <v>63</v>
      </c>
    </row>
    <row r="3351" customFormat="false" ht="13.5" hidden="false" customHeight="true" outlineLevel="0" collapsed="false">
      <c r="A3351" s="32" t="n">
        <v>5646</v>
      </c>
      <c r="B3351" s="32" t="s">
        <v>2713</v>
      </c>
      <c r="C3351" s="32" t="s">
        <v>2714</v>
      </c>
      <c r="D3351" s="32" t="s">
        <v>114</v>
      </c>
      <c r="E3351" s="32" t="s">
        <v>165</v>
      </c>
      <c r="F3351" s="32" t="n">
        <v>9886516985</v>
      </c>
      <c r="G3351" s="32" t="s">
        <v>61</v>
      </c>
      <c r="H3351" s="32" t="s">
        <v>22</v>
      </c>
      <c r="I3351" s="32" t="s">
        <v>133</v>
      </c>
      <c r="J3351" s="32" t="s">
        <v>134</v>
      </c>
      <c r="K3351" s="32" t="s">
        <v>63</v>
      </c>
    </row>
    <row r="3352" customFormat="false" ht="13.5" hidden="false" customHeight="true" outlineLevel="0" collapsed="false">
      <c r="A3352" s="32" t="n">
        <v>5647</v>
      </c>
      <c r="B3352" s="32" t="s">
        <v>2713</v>
      </c>
      <c r="C3352" s="32" t="s">
        <v>2714</v>
      </c>
      <c r="D3352" s="32" t="s">
        <v>114</v>
      </c>
      <c r="E3352" s="32" t="s">
        <v>165</v>
      </c>
      <c r="F3352" s="32" t="n">
        <v>9886516985</v>
      </c>
      <c r="G3352" s="32" t="s">
        <v>61</v>
      </c>
      <c r="H3352" s="32" t="s">
        <v>22</v>
      </c>
      <c r="I3352" s="32" t="s">
        <v>30</v>
      </c>
      <c r="J3352" s="32" t="s">
        <v>203</v>
      </c>
      <c r="K3352" s="32" t="s">
        <v>63</v>
      </c>
    </row>
    <row r="3353" customFormat="false" ht="13.5" hidden="false" customHeight="true" outlineLevel="0" collapsed="false">
      <c r="A3353" s="32" t="n">
        <v>5648</v>
      </c>
      <c r="B3353" s="32" t="s">
        <v>2715</v>
      </c>
      <c r="C3353" s="32" t="s">
        <v>2716</v>
      </c>
      <c r="D3353" s="32" t="s">
        <v>59</v>
      </c>
      <c r="E3353" s="32" t="s">
        <v>107</v>
      </c>
      <c r="F3353" s="32" t="n">
        <v>7829411058</v>
      </c>
      <c r="G3353" s="32" t="s">
        <v>61</v>
      </c>
      <c r="H3353" s="32" t="s">
        <v>21</v>
      </c>
      <c r="I3353" s="32" t="s">
        <v>109</v>
      </c>
      <c r="J3353" s="32" t="s">
        <v>110</v>
      </c>
      <c r="K3353" s="32" t="s">
        <v>63</v>
      </c>
    </row>
    <row r="3354" customFormat="false" ht="13.5" hidden="false" customHeight="true" outlineLevel="0" collapsed="false">
      <c r="A3354" s="32" t="n">
        <v>5649</v>
      </c>
      <c r="B3354" s="32" t="s">
        <v>2715</v>
      </c>
      <c r="C3354" s="32" t="s">
        <v>2716</v>
      </c>
      <c r="D3354" s="32" t="s">
        <v>59</v>
      </c>
      <c r="E3354" s="32" t="s">
        <v>107</v>
      </c>
      <c r="F3354" s="32" t="n">
        <v>7829411058</v>
      </c>
      <c r="G3354" s="32" t="s">
        <v>61</v>
      </c>
      <c r="H3354" s="32" t="s">
        <v>21</v>
      </c>
      <c r="I3354" s="32" t="s">
        <v>121</v>
      </c>
      <c r="J3354" s="32" t="s">
        <v>110</v>
      </c>
      <c r="K3354" s="32" t="s">
        <v>63</v>
      </c>
    </row>
    <row r="3355" customFormat="false" ht="13.5" hidden="false" customHeight="true" outlineLevel="0" collapsed="false">
      <c r="A3355" s="32" t="n">
        <v>5650</v>
      </c>
      <c r="B3355" s="32" t="s">
        <v>2715</v>
      </c>
      <c r="C3355" s="32" t="s">
        <v>2716</v>
      </c>
      <c r="D3355" s="32" t="s">
        <v>59</v>
      </c>
      <c r="E3355" s="32" t="s">
        <v>107</v>
      </c>
      <c r="F3355" s="32" t="n">
        <v>7829411058</v>
      </c>
      <c r="G3355" s="32" t="s">
        <v>61</v>
      </c>
      <c r="H3355" s="32" t="s">
        <v>21</v>
      </c>
      <c r="I3355" s="32" t="s">
        <v>145</v>
      </c>
      <c r="J3355" s="32" t="s">
        <v>117</v>
      </c>
      <c r="K3355" s="32" t="s">
        <v>63</v>
      </c>
    </row>
    <row r="3356" customFormat="false" ht="13.5" hidden="false" customHeight="true" outlineLevel="0" collapsed="false">
      <c r="A3356" s="32" t="n">
        <v>5651</v>
      </c>
      <c r="B3356" s="32" t="s">
        <v>2717</v>
      </c>
      <c r="C3356" s="32" t="s">
        <v>2718</v>
      </c>
      <c r="D3356" s="32" t="s">
        <v>114</v>
      </c>
      <c r="E3356" s="32" t="s">
        <v>165</v>
      </c>
      <c r="F3356" s="32" t="n">
        <v>9713760700</v>
      </c>
      <c r="G3356" s="32" t="s">
        <v>69</v>
      </c>
      <c r="H3356" s="32" t="s">
        <v>22</v>
      </c>
      <c r="I3356" s="32" t="s">
        <v>145</v>
      </c>
      <c r="J3356" s="32" t="s">
        <v>117</v>
      </c>
      <c r="K3356" s="32" t="s">
        <v>63</v>
      </c>
    </row>
    <row r="3357" customFormat="false" ht="13.5" hidden="false" customHeight="true" outlineLevel="0" collapsed="false">
      <c r="A3357" s="32" t="n">
        <v>5653</v>
      </c>
      <c r="B3357" s="32" t="s">
        <v>2717</v>
      </c>
      <c r="C3357" s="32" t="s">
        <v>2719</v>
      </c>
      <c r="D3357" s="32" t="s">
        <v>114</v>
      </c>
      <c r="E3357" s="32" t="s">
        <v>165</v>
      </c>
      <c r="F3357" s="32" t="n">
        <v>9713760700</v>
      </c>
      <c r="G3357" s="32" t="s">
        <v>69</v>
      </c>
      <c r="H3357" s="32" t="s">
        <v>22</v>
      </c>
      <c r="I3357" s="32" t="s">
        <v>109</v>
      </c>
      <c r="J3357" s="32" t="s">
        <v>110</v>
      </c>
      <c r="K3357" s="32" t="s">
        <v>63</v>
      </c>
    </row>
    <row r="3358" customFormat="false" ht="13.5" hidden="false" customHeight="true" outlineLevel="0" collapsed="false">
      <c r="A3358" s="32" t="n">
        <v>5654</v>
      </c>
      <c r="B3358" s="32" t="s">
        <v>2717</v>
      </c>
      <c r="C3358" s="32" t="s">
        <v>2719</v>
      </c>
      <c r="D3358" s="32" t="s">
        <v>114</v>
      </c>
      <c r="E3358" s="32" t="s">
        <v>165</v>
      </c>
      <c r="F3358" s="32" t="n">
        <v>9713760700</v>
      </c>
      <c r="G3358" s="32" t="s">
        <v>69</v>
      </c>
      <c r="H3358" s="32" t="s">
        <v>22</v>
      </c>
      <c r="I3358" s="32" t="s">
        <v>30</v>
      </c>
      <c r="J3358" s="32" t="s">
        <v>203</v>
      </c>
      <c r="K3358" s="32" t="s">
        <v>63</v>
      </c>
    </row>
    <row r="3359" customFormat="false" ht="13.5" hidden="false" customHeight="true" outlineLevel="0" collapsed="false">
      <c r="A3359" s="32" t="n">
        <v>5655</v>
      </c>
      <c r="B3359" s="32" t="s">
        <v>2720</v>
      </c>
      <c r="C3359" s="32" t="s">
        <v>2721</v>
      </c>
      <c r="D3359" s="32" t="s">
        <v>59</v>
      </c>
      <c r="E3359" s="32" t="s">
        <v>143</v>
      </c>
      <c r="F3359" s="32" t="n">
        <v>9205337943</v>
      </c>
      <c r="G3359" s="32" t="s">
        <v>144</v>
      </c>
      <c r="H3359" s="32" t="s">
        <v>21</v>
      </c>
      <c r="I3359" s="32" t="s">
        <v>95</v>
      </c>
      <c r="J3359" s="32" t="s">
        <v>96</v>
      </c>
      <c r="K3359" s="32" t="s">
        <v>63</v>
      </c>
    </row>
    <row r="3360" customFormat="false" ht="13.5" hidden="false" customHeight="true" outlineLevel="0" collapsed="false">
      <c r="A3360" s="32" t="n">
        <v>5656</v>
      </c>
      <c r="B3360" s="32" t="s">
        <v>2720</v>
      </c>
      <c r="C3360" s="32" t="s">
        <v>2721</v>
      </c>
      <c r="D3360" s="32" t="s">
        <v>59</v>
      </c>
      <c r="E3360" s="32" t="s">
        <v>143</v>
      </c>
      <c r="F3360" s="32" t="n">
        <v>9205337943</v>
      </c>
      <c r="G3360" s="32" t="s">
        <v>144</v>
      </c>
      <c r="H3360" s="32" t="s">
        <v>21</v>
      </c>
      <c r="I3360" s="32" t="s">
        <v>393</v>
      </c>
      <c r="J3360" s="32" t="s">
        <v>73</v>
      </c>
      <c r="K3360" s="32" t="s">
        <v>63</v>
      </c>
    </row>
    <row r="3361" customFormat="false" ht="13.5" hidden="false" customHeight="true" outlineLevel="0" collapsed="false">
      <c r="A3361" s="32" t="n">
        <v>5657</v>
      </c>
      <c r="B3361" s="32" t="s">
        <v>2720</v>
      </c>
      <c r="C3361" s="32" t="s">
        <v>2721</v>
      </c>
      <c r="D3361" s="32" t="s">
        <v>59</v>
      </c>
      <c r="E3361" s="32" t="s">
        <v>143</v>
      </c>
      <c r="F3361" s="32" t="n">
        <v>9205337943</v>
      </c>
      <c r="G3361" s="32" t="s">
        <v>144</v>
      </c>
      <c r="H3361" s="32" t="s">
        <v>21</v>
      </c>
      <c r="I3361" s="32" t="s">
        <v>30</v>
      </c>
      <c r="J3361" s="32" t="s">
        <v>203</v>
      </c>
      <c r="K3361" s="32" t="s">
        <v>63</v>
      </c>
    </row>
    <row r="3362" customFormat="false" ht="13.5" hidden="false" customHeight="true" outlineLevel="0" collapsed="false">
      <c r="A3362" s="32" t="n">
        <v>5658</v>
      </c>
      <c r="B3362" s="32" t="s">
        <v>2722</v>
      </c>
      <c r="C3362" s="32" t="s">
        <v>2723</v>
      </c>
      <c r="D3362" s="32" t="s">
        <v>114</v>
      </c>
      <c r="E3362" s="32" t="n">
        <v>0</v>
      </c>
      <c r="F3362" s="32" t="n">
        <v>0</v>
      </c>
      <c r="G3362" s="32" t="s">
        <v>144</v>
      </c>
      <c r="H3362" s="32" t="s">
        <v>22</v>
      </c>
      <c r="I3362" s="32" t="s">
        <v>386</v>
      </c>
      <c r="J3362" s="32" t="s">
        <v>132</v>
      </c>
      <c r="K3362" s="32" t="s">
        <v>63</v>
      </c>
    </row>
    <row r="3363" customFormat="false" ht="13.5" hidden="false" customHeight="true" outlineLevel="0" collapsed="false">
      <c r="A3363" s="32" t="n">
        <v>5659</v>
      </c>
      <c r="B3363" s="32" t="s">
        <v>2722</v>
      </c>
      <c r="C3363" s="32" t="s">
        <v>2724</v>
      </c>
      <c r="D3363" s="32" t="s">
        <v>114</v>
      </c>
      <c r="E3363" s="32" t="n">
        <v>0</v>
      </c>
      <c r="F3363" s="32" t="n">
        <v>9810756775</v>
      </c>
      <c r="G3363" s="32" t="s">
        <v>144</v>
      </c>
      <c r="H3363" s="32" t="s">
        <v>22</v>
      </c>
      <c r="I3363" s="32" t="s">
        <v>829</v>
      </c>
      <c r="J3363" s="32" t="s">
        <v>134</v>
      </c>
      <c r="K3363" s="32" t="s">
        <v>63</v>
      </c>
    </row>
    <row r="3364" customFormat="false" ht="13.5" hidden="false" customHeight="true" outlineLevel="0" collapsed="false">
      <c r="A3364" s="32" t="n">
        <v>5660</v>
      </c>
      <c r="B3364" s="32" t="s">
        <v>2722</v>
      </c>
      <c r="C3364" s="32" t="s">
        <v>2724</v>
      </c>
      <c r="D3364" s="32" t="s">
        <v>114</v>
      </c>
      <c r="E3364" s="32" t="n">
        <v>0</v>
      </c>
      <c r="F3364" s="32" t="n">
        <v>9810756775</v>
      </c>
      <c r="G3364" s="32" t="s">
        <v>144</v>
      </c>
      <c r="H3364" s="32" t="s">
        <v>22</v>
      </c>
      <c r="I3364" s="32" t="s">
        <v>172</v>
      </c>
      <c r="J3364" s="32" t="s">
        <v>152</v>
      </c>
      <c r="K3364" s="32" t="s">
        <v>63</v>
      </c>
    </row>
    <row r="3365" customFormat="false" ht="13.5" hidden="false" customHeight="true" outlineLevel="0" collapsed="false">
      <c r="A3365" s="32" t="n">
        <v>5661</v>
      </c>
      <c r="B3365" s="32" t="s">
        <v>2722</v>
      </c>
      <c r="C3365" s="32" t="s">
        <v>2724</v>
      </c>
      <c r="D3365" s="32" t="s">
        <v>114</v>
      </c>
      <c r="E3365" s="32" t="n">
        <v>0</v>
      </c>
      <c r="F3365" s="32" t="n">
        <v>9810756775</v>
      </c>
      <c r="G3365" s="32" t="s">
        <v>144</v>
      </c>
      <c r="H3365" s="32" t="s">
        <v>22</v>
      </c>
      <c r="I3365" s="32" t="s">
        <v>145</v>
      </c>
      <c r="J3365" s="32" t="s">
        <v>117</v>
      </c>
      <c r="K3365" s="32" t="s">
        <v>63</v>
      </c>
    </row>
    <row r="3366" customFormat="false" ht="13.5" hidden="false" customHeight="true" outlineLevel="0" collapsed="false">
      <c r="A3366" s="32" t="n">
        <v>5662</v>
      </c>
      <c r="B3366" s="32" t="s">
        <v>2722</v>
      </c>
      <c r="C3366" s="32" t="s">
        <v>2724</v>
      </c>
      <c r="D3366" s="32" t="s">
        <v>114</v>
      </c>
      <c r="E3366" s="32" t="n">
        <v>0</v>
      </c>
      <c r="F3366" s="32" t="n">
        <v>9810756775</v>
      </c>
      <c r="G3366" s="32" t="s">
        <v>144</v>
      </c>
      <c r="H3366" s="32" t="s">
        <v>22</v>
      </c>
      <c r="I3366" s="32" t="s">
        <v>133</v>
      </c>
      <c r="J3366" s="32" t="s">
        <v>134</v>
      </c>
      <c r="K3366" s="32" t="s">
        <v>63</v>
      </c>
    </row>
    <row r="3367" customFormat="false" ht="13.5" hidden="false" customHeight="true" outlineLevel="0" collapsed="false">
      <c r="A3367" s="32" t="n">
        <v>5663</v>
      </c>
      <c r="B3367" s="32" t="s">
        <v>2725</v>
      </c>
      <c r="C3367" s="32" t="s">
        <v>2726</v>
      </c>
      <c r="D3367" s="32" t="s">
        <v>114</v>
      </c>
      <c r="E3367" s="32" t="s">
        <v>115</v>
      </c>
      <c r="F3367" s="32" t="n">
        <v>8407959924</v>
      </c>
      <c r="G3367" s="32" t="s">
        <v>144</v>
      </c>
      <c r="H3367" s="32" t="s">
        <v>22</v>
      </c>
      <c r="I3367" s="32" t="s">
        <v>145</v>
      </c>
      <c r="J3367" s="32" t="s">
        <v>117</v>
      </c>
      <c r="K3367" s="32" t="s">
        <v>63</v>
      </c>
    </row>
    <row r="3368" customFormat="false" ht="13.5" hidden="false" customHeight="true" outlineLevel="0" collapsed="false">
      <c r="A3368" s="32" t="n">
        <v>5664</v>
      </c>
      <c r="B3368" s="32" t="s">
        <v>2725</v>
      </c>
      <c r="C3368" s="32" t="s">
        <v>2726</v>
      </c>
      <c r="D3368" s="32" t="s">
        <v>114</v>
      </c>
      <c r="E3368" s="32" t="s">
        <v>115</v>
      </c>
      <c r="F3368" s="32" t="n">
        <v>8407959924</v>
      </c>
      <c r="G3368" s="32" t="s">
        <v>144</v>
      </c>
      <c r="H3368" s="32" t="s">
        <v>22</v>
      </c>
      <c r="I3368" s="32" t="s">
        <v>93</v>
      </c>
      <c r="J3368" s="32" t="s">
        <v>85</v>
      </c>
      <c r="K3368" s="32" t="s">
        <v>63</v>
      </c>
    </row>
    <row r="3369" customFormat="false" ht="13.5" hidden="false" customHeight="true" outlineLevel="0" collapsed="false">
      <c r="A3369" s="32" t="n">
        <v>5665</v>
      </c>
      <c r="B3369" s="32" t="s">
        <v>2727</v>
      </c>
      <c r="C3369" s="32" t="s">
        <v>2728</v>
      </c>
      <c r="D3369" s="32" t="s">
        <v>59</v>
      </c>
      <c r="E3369" s="32" t="s">
        <v>107</v>
      </c>
      <c r="F3369" s="32" t="n">
        <v>7381941003</v>
      </c>
      <c r="G3369" s="32" t="s">
        <v>61</v>
      </c>
      <c r="H3369" s="32" t="s">
        <v>21</v>
      </c>
      <c r="I3369" s="32" t="s">
        <v>108</v>
      </c>
      <c r="J3369" s="32" t="s">
        <v>71</v>
      </c>
      <c r="K3369" s="32" t="s">
        <v>63</v>
      </c>
    </row>
    <row r="3370" customFormat="false" ht="13.5" hidden="false" customHeight="true" outlineLevel="0" collapsed="false">
      <c r="A3370" s="32" t="n">
        <v>5666</v>
      </c>
      <c r="B3370" s="32" t="s">
        <v>2729</v>
      </c>
      <c r="C3370" s="32" t="s">
        <v>2730</v>
      </c>
      <c r="D3370" s="32" t="s">
        <v>59</v>
      </c>
      <c r="E3370" s="32" t="s">
        <v>79</v>
      </c>
      <c r="F3370" s="33" t="n">
        <v>918394000000</v>
      </c>
      <c r="G3370" s="32" t="s">
        <v>144</v>
      </c>
      <c r="H3370" s="32" t="s">
        <v>21</v>
      </c>
      <c r="I3370" s="32" t="s">
        <v>151</v>
      </c>
      <c r="J3370" s="32" t="s">
        <v>152</v>
      </c>
      <c r="K3370" s="32" t="s">
        <v>63</v>
      </c>
    </row>
    <row r="3371" customFormat="false" ht="13.5" hidden="false" customHeight="true" outlineLevel="0" collapsed="false">
      <c r="A3371" s="32" t="n">
        <v>5667</v>
      </c>
      <c r="B3371" s="32" t="s">
        <v>2729</v>
      </c>
      <c r="C3371" s="32" t="s">
        <v>2730</v>
      </c>
      <c r="D3371" s="32" t="s">
        <v>59</v>
      </c>
      <c r="E3371" s="32" t="s">
        <v>79</v>
      </c>
      <c r="F3371" s="33" t="n">
        <v>918394000000</v>
      </c>
      <c r="G3371" s="32" t="s">
        <v>144</v>
      </c>
      <c r="H3371" s="32" t="s">
        <v>21</v>
      </c>
      <c r="I3371" s="32" t="s">
        <v>146</v>
      </c>
      <c r="J3371" s="32" t="s">
        <v>117</v>
      </c>
      <c r="K3371" s="32" t="s">
        <v>63</v>
      </c>
    </row>
    <row r="3372" customFormat="false" ht="13.5" hidden="false" customHeight="true" outlineLevel="0" collapsed="false">
      <c r="A3372" s="32" t="n">
        <v>5668</v>
      </c>
      <c r="B3372" s="32" t="s">
        <v>2729</v>
      </c>
      <c r="C3372" s="32" t="s">
        <v>2730</v>
      </c>
      <c r="D3372" s="32" t="s">
        <v>59</v>
      </c>
      <c r="E3372" s="32" t="s">
        <v>79</v>
      </c>
      <c r="F3372" s="33" t="n">
        <v>918394000000</v>
      </c>
      <c r="G3372" s="32" t="s">
        <v>144</v>
      </c>
      <c r="H3372" s="32" t="s">
        <v>21</v>
      </c>
      <c r="I3372" s="32" t="s">
        <v>172</v>
      </c>
      <c r="J3372" s="32" t="s">
        <v>152</v>
      </c>
      <c r="K3372" s="32" t="s">
        <v>63</v>
      </c>
    </row>
    <row r="3373" customFormat="false" ht="13.5" hidden="false" customHeight="true" outlineLevel="0" collapsed="false">
      <c r="A3373" s="32" t="n">
        <v>5669</v>
      </c>
      <c r="B3373" s="32" t="s">
        <v>2731</v>
      </c>
      <c r="C3373" s="32" t="s">
        <v>2732</v>
      </c>
      <c r="D3373" s="32" t="s">
        <v>331</v>
      </c>
      <c r="E3373" s="32" t="s">
        <v>278</v>
      </c>
      <c r="F3373" s="33" t="n">
        <v>919820000000</v>
      </c>
      <c r="G3373" s="32" t="s">
        <v>104</v>
      </c>
      <c r="H3373" s="32" t="s">
        <v>332</v>
      </c>
      <c r="I3373" s="32" t="s">
        <v>149</v>
      </c>
      <c r="J3373" s="32" t="s">
        <v>73</v>
      </c>
      <c r="K3373" s="32" t="s">
        <v>63</v>
      </c>
    </row>
    <row r="3374" customFormat="false" ht="13.5" hidden="false" customHeight="true" outlineLevel="0" collapsed="false">
      <c r="A3374" s="32" t="n">
        <v>5670</v>
      </c>
      <c r="B3374" s="32" t="s">
        <v>2731</v>
      </c>
      <c r="C3374" s="32" t="s">
        <v>2732</v>
      </c>
      <c r="D3374" s="32" t="s">
        <v>331</v>
      </c>
      <c r="E3374" s="32" t="s">
        <v>278</v>
      </c>
      <c r="F3374" s="33" t="n">
        <v>919820000000</v>
      </c>
      <c r="G3374" s="32" t="s">
        <v>104</v>
      </c>
      <c r="H3374" s="32" t="s">
        <v>332</v>
      </c>
      <c r="I3374" s="32" t="s">
        <v>171</v>
      </c>
      <c r="J3374" s="32" t="s">
        <v>152</v>
      </c>
      <c r="K3374" s="32" t="s">
        <v>63</v>
      </c>
    </row>
    <row r="3375" customFormat="false" ht="13.5" hidden="false" customHeight="true" outlineLevel="0" collapsed="false">
      <c r="A3375" s="32" t="n">
        <v>5671</v>
      </c>
      <c r="B3375" s="32" t="s">
        <v>2731</v>
      </c>
      <c r="C3375" s="32" t="s">
        <v>2732</v>
      </c>
      <c r="D3375" s="32" t="s">
        <v>331</v>
      </c>
      <c r="E3375" s="32" t="s">
        <v>278</v>
      </c>
      <c r="F3375" s="33" t="n">
        <v>919820000000</v>
      </c>
      <c r="G3375" s="32" t="s">
        <v>104</v>
      </c>
      <c r="H3375" s="32" t="s">
        <v>332</v>
      </c>
      <c r="I3375" s="32" t="s">
        <v>248</v>
      </c>
      <c r="J3375" s="32" t="s">
        <v>117</v>
      </c>
      <c r="K3375" s="32" t="s">
        <v>63</v>
      </c>
    </row>
    <row r="3376" customFormat="false" ht="13.5" hidden="false" customHeight="true" outlineLevel="0" collapsed="false">
      <c r="A3376" s="32" t="n">
        <v>5672</v>
      </c>
      <c r="B3376" s="32" t="s">
        <v>2731</v>
      </c>
      <c r="C3376" s="32" t="s">
        <v>2732</v>
      </c>
      <c r="D3376" s="32" t="s">
        <v>331</v>
      </c>
      <c r="E3376" s="32" t="s">
        <v>278</v>
      </c>
      <c r="F3376" s="33" t="n">
        <v>919820000000</v>
      </c>
      <c r="G3376" s="32" t="s">
        <v>104</v>
      </c>
      <c r="H3376" s="32" t="s">
        <v>332</v>
      </c>
      <c r="I3376" s="32" t="s">
        <v>145</v>
      </c>
      <c r="J3376" s="32" t="s">
        <v>117</v>
      </c>
      <c r="K3376" s="32" t="s">
        <v>63</v>
      </c>
    </row>
    <row r="3377" customFormat="false" ht="13.5" hidden="false" customHeight="true" outlineLevel="0" collapsed="false">
      <c r="A3377" s="32" t="n">
        <v>5673</v>
      </c>
      <c r="B3377" s="32" t="s">
        <v>2731</v>
      </c>
      <c r="C3377" s="32" t="s">
        <v>2732</v>
      </c>
      <c r="D3377" s="32" t="s">
        <v>331</v>
      </c>
      <c r="E3377" s="32" t="s">
        <v>278</v>
      </c>
      <c r="F3377" s="33" t="n">
        <v>919820000000</v>
      </c>
      <c r="G3377" s="32" t="s">
        <v>104</v>
      </c>
      <c r="H3377" s="32" t="s">
        <v>332</v>
      </c>
      <c r="I3377" s="32" t="s">
        <v>30</v>
      </c>
      <c r="J3377" s="32" t="s">
        <v>203</v>
      </c>
      <c r="K3377" s="32" t="s">
        <v>63</v>
      </c>
    </row>
    <row r="3378" customFormat="false" ht="13.5" hidden="false" customHeight="true" outlineLevel="0" collapsed="false">
      <c r="A3378" s="32" t="n">
        <v>5674</v>
      </c>
      <c r="B3378" s="32" t="s">
        <v>2733</v>
      </c>
      <c r="C3378" s="32" t="s">
        <v>2734</v>
      </c>
      <c r="D3378" s="32" t="s">
        <v>59</v>
      </c>
      <c r="E3378" s="32" t="s">
        <v>107</v>
      </c>
      <c r="F3378" s="32" t="n">
        <v>9310747827</v>
      </c>
      <c r="G3378" s="32" t="s">
        <v>144</v>
      </c>
      <c r="H3378" s="32" t="s">
        <v>21</v>
      </c>
      <c r="I3378" s="32" t="s">
        <v>145</v>
      </c>
      <c r="J3378" s="32" t="s">
        <v>117</v>
      </c>
      <c r="K3378" s="32" t="s">
        <v>63</v>
      </c>
    </row>
    <row r="3379" customFormat="false" ht="13.5" hidden="false" customHeight="true" outlineLevel="0" collapsed="false">
      <c r="A3379" s="32" t="n">
        <v>5675</v>
      </c>
      <c r="B3379" s="32" t="s">
        <v>2733</v>
      </c>
      <c r="C3379" s="32" t="s">
        <v>2734</v>
      </c>
      <c r="D3379" s="32" t="s">
        <v>59</v>
      </c>
      <c r="E3379" s="32" t="s">
        <v>107</v>
      </c>
      <c r="F3379" s="32" t="n">
        <v>9310747827</v>
      </c>
      <c r="G3379" s="32" t="s">
        <v>144</v>
      </c>
      <c r="H3379" s="32" t="s">
        <v>21</v>
      </c>
      <c r="I3379" s="32" t="s">
        <v>85</v>
      </c>
      <c r="J3379" s="32" t="s">
        <v>85</v>
      </c>
      <c r="K3379" s="32" t="s">
        <v>63</v>
      </c>
    </row>
    <row r="3380" customFormat="false" ht="13.5" hidden="false" customHeight="true" outlineLevel="0" collapsed="false">
      <c r="A3380" s="32" t="n">
        <v>5676</v>
      </c>
      <c r="B3380" s="32" t="s">
        <v>2733</v>
      </c>
      <c r="C3380" s="32" t="s">
        <v>2734</v>
      </c>
      <c r="D3380" s="32" t="s">
        <v>59</v>
      </c>
      <c r="E3380" s="32" t="s">
        <v>107</v>
      </c>
      <c r="F3380" s="32" t="n">
        <v>9310747827</v>
      </c>
      <c r="G3380" s="32" t="s">
        <v>144</v>
      </c>
      <c r="H3380" s="32" t="s">
        <v>21</v>
      </c>
      <c r="I3380" s="32" t="s">
        <v>121</v>
      </c>
      <c r="J3380" s="32" t="s">
        <v>110</v>
      </c>
      <c r="K3380" s="32" t="s">
        <v>63</v>
      </c>
    </row>
    <row r="3381" customFormat="false" ht="13.5" hidden="false" customHeight="true" outlineLevel="0" collapsed="false">
      <c r="A3381" s="32" t="n">
        <v>5677</v>
      </c>
      <c r="B3381" s="32" t="s">
        <v>2733</v>
      </c>
      <c r="C3381" s="32" t="s">
        <v>2734</v>
      </c>
      <c r="D3381" s="32" t="s">
        <v>59</v>
      </c>
      <c r="E3381" s="32" t="s">
        <v>107</v>
      </c>
      <c r="F3381" s="32" t="n">
        <v>9310747827</v>
      </c>
      <c r="G3381" s="32" t="s">
        <v>144</v>
      </c>
      <c r="H3381" s="32" t="s">
        <v>21</v>
      </c>
      <c r="I3381" s="32" t="s">
        <v>396</v>
      </c>
      <c r="J3381" s="32" t="s">
        <v>132</v>
      </c>
      <c r="K3381" s="32" t="s">
        <v>63</v>
      </c>
    </row>
    <row r="3382" customFormat="false" ht="13.5" hidden="false" customHeight="true" outlineLevel="0" collapsed="false">
      <c r="A3382" s="32" t="n">
        <v>5678</v>
      </c>
      <c r="B3382" s="32" t="s">
        <v>2733</v>
      </c>
      <c r="C3382" s="32" t="s">
        <v>2734</v>
      </c>
      <c r="D3382" s="32" t="s">
        <v>59</v>
      </c>
      <c r="E3382" s="32" t="s">
        <v>107</v>
      </c>
      <c r="F3382" s="32" t="n">
        <v>9310747827</v>
      </c>
      <c r="G3382" s="32" t="s">
        <v>144</v>
      </c>
      <c r="H3382" s="32" t="s">
        <v>21</v>
      </c>
      <c r="I3382" s="32" t="s">
        <v>2735</v>
      </c>
      <c r="J3382" s="32" t="s">
        <v>235</v>
      </c>
      <c r="K3382" s="32" t="s">
        <v>63</v>
      </c>
    </row>
    <row r="3383" customFormat="false" ht="13.5" hidden="false" customHeight="true" outlineLevel="0" collapsed="false">
      <c r="A3383" s="32" t="n">
        <v>5679</v>
      </c>
      <c r="B3383" s="32" t="s">
        <v>2733</v>
      </c>
      <c r="C3383" s="32" t="s">
        <v>2734</v>
      </c>
      <c r="D3383" s="32" t="s">
        <v>59</v>
      </c>
      <c r="E3383" s="32" t="s">
        <v>107</v>
      </c>
      <c r="F3383" s="32" t="n">
        <v>9310747827</v>
      </c>
      <c r="G3383" s="32" t="s">
        <v>144</v>
      </c>
      <c r="H3383" s="32" t="s">
        <v>21</v>
      </c>
      <c r="I3383" s="32" t="s">
        <v>2736</v>
      </c>
      <c r="J3383" s="32" t="s">
        <v>307</v>
      </c>
      <c r="K3383" s="32" t="s">
        <v>63</v>
      </c>
    </row>
    <row r="3384" customFormat="false" ht="13.5" hidden="false" customHeight="true" outlineLevel="0" collapsed="false">
      <c r="A3384" s="32" t="n">
        <v>5680</v>
      </c>
      <c r="B3384" s="32" t="s">
        <v>2733</v>
      </c>
      <c r="C3384" s="32" t="s">
        <v>2734</v>
      </c>
      <c r="D3384" s="32" t="s">
        <v>59</v>
      </c>
      <c r="E3384" s="32" t="s">
        <v>107</v>
      </c>
      <c r="F3384" s="32" t="n">
        <v>9310747827</v>
      </c>
      <c r="G3384" s="32" t="s">
        <v>144</v>
      </c>
      <c r="H3384" s="32" t="s">
        <v>21</v>
      </c>
      <c r="I3384" s="32" t="s">
        <v>409</v>
      </c>
      <c r="J3384" s="32" t="s">
        <v>410</v>
      </c>
      <c r="K3384" s="32" t="s">
        <v>63</v>
      </c>
    </row>
    <row r="3385" customFormat="false" ht="13.5" hidden="false" customHeight="true" outlineLevel="0" collapsed="false">
      <c r="A3385" s="32" t="n">
        <v>5681</v>
      </c>
      <c r="B3385" s="32" t="s">
        <v>2733</v>
      </c>
      <c r="C3385" s="32" t="s">
        <v>2734</v>
      </c>
      <c r="D3385" s="32" t="s">
        <v>59</v>
      </c>
      <c r="E3385" s="32" t="s">
        <v>107</v>
      </c>
      <c r="F3385" s="32" t="n">
        <v>9310747827</v>
      </c>
      <c r="G3385" s="32" t="s">
        <v>144</v>
      </c>
      <c r="H3385" s="32" t="s">
        <v>21</v>
      </c>
      <c r="I3385" s="32" t="s">
        <v>2737</v>
      </c>
      <c r="J3385" s="32" t="s">
        <v>89</v>
      </c>
      <c r="K3385" s="32" t="s">
        <v>63</v>
      </c>
    </row>
    <row r="3386" customFormat="false" ht="13.5" hidden="false" customHeight="true" outlineLevel="0" collapsed="false">
      <c r="A3386" s="32" t="n">
        <v>5682</v>
      </c>
      <c r="B3386" s="32" t="s">
        <v>2733</v>
      </c>
      <c r="C3386" s="32" t="s">
        <v>2734</v>
      </c>
      <c r="D3386" s="32" t="s">
        <v>59</v>
      </c>
      <c r="E3386" s="32" t="s">
        <v>107</v>
      </c>
      <c r="F3386" s="32" t="n">
        <v>9310747827</v>
      </c>
      <c r="G3386" s="32" t="s">
        <v>144</v>
      </c>
      <c r="H3386" s="32" t="s">
        <v>21</v>
      </c>
      <c r="I3386" s="32" t="s">
        <v>1121</v>
      </c>
      <c r="J3386" s="32" t="s">
        <v>89</v>
      </c>
      <c r="K3386" s="32" t="s">
        <v>63</v>
      </c>
    </row>
    <row r="3387" customFormat="false" ht="13.5" hidden="false" customHeight="true" outlineLevel="0" collapsed="false">
      <c r="A3387" s="32" t="n">
        <v>5683</v>
      </c>
      <c r="B3387" s="32" t="s">
        <v>2738</v>
      </c>
      <c r="C3387" s="32" t="s">
        <v>2739</v>
      </c>
      <c r="D3387" s="32" t="s">
        <v>114</v>
      </c>
      <c r="E3387" s="32" t="s">
        <v>169</v>
      </c>
      <c r="F3387" s="32" t="n">
        <v>7387008342</v>
      </c>
      <c r="G3387" s="32" t="s">
        <v>104</v>
      </c>
      <c r="H3387" s="32" t="s">
        <v>22</v>
      </c>
      <c r="I3387" s="32" t="s">
        <v>386</v>
      </c>
      <c r="J3387" s="32" t="s">
        <v>132</v>
      </c>
      <c r="K3387" s="32" t="s">
        <v>63</v>
      </c>
    </row>
    <row r="3388" customFormat="false" ht="13.5" hidden="false" customHeight="true" outlineLevel="0" collapsed="false">
      <c r="A3388" s="32" t="n">
        <v>5684</v>
      </c>
      <c r="B3388" s="32" t="s">
        <v>2738</v>
      </c>
      <c r="C3388" s="32" t="s">
        <v>2739</v>
      </c>
      <c r="D3388" s="32" t="s">
        <v>114</v>
      </c>
      <c r="E3388" s="32" t="s">
        <v>169</v>
      </c>
      <c r="F3388" s="32" t="n">
        <v>7387008342</v>
      </c>
      <c r="G3388" s="32" t="s">
        <v>104</v>
      </c>
      <c r="H3388" s="32" t="s">
        <v>22</v>
      </c>
      <c r="I3388" s="32" t="s">
        <v>215</v>
      </c>
      <c r="J3388" s="32" t="s">
        <v>132</v>
      </c>
      <c r="K3388" s="32" t="s">
        <v>63</v>
      </c>
    </row>
    <row r="3389" customFormat="false" ht="13.5" hidden="false" customHeight="true" outlineLevel="0" collapsed="false">
      <c r="A3389" s="32" t="n">
        <v>5685</v>
      </c>
      <c r="B3389" s="32" t="s">
        <v>2738</v>
      </c>
      <c r="C3389" s="32" t="s">
        <v>2739</v>
      </c>
      <c r="D3389" s="32" t="s">
        <v>114</v>
      </c>
      <c r="E3389" s="32" t="s">
        <v>169</v>
      </c>
      <c r="F3389" s="32" t="n">
        <v>7387008342</v>
      </c>
      <c r="G3389" s="32" t="s">
        <v>104</v>
      </c>
      <c r="H3389" s="32" t="s">
        <v>22</v>
      </c>
      <c r="I3389" s="32" t="s">
        <v>728</v>
      </c>
      <c r="J3389" s="32" t="s">
        <v>132</v>
      </c>
      <c r="K3389" s="32" t="s">
        <v>63</v>
      </c>
    </row>
    <row r="3390" customFormat="false" ht="13.5" hidden="false" customHeight="true" outlineLevel="0" collapsed="false">
      <c r="A3390" s="32" t="n">
        <v>5686</v>
      </c>
      <c r="B3390" s="32" t="s">
        <v>2738</v>
      </c>
      <c r="C3390" s="32" t="s">
        <v>2739</v>
      </c>
      <c r="D3390" s="32" t="s">
        <v>114</v>
      </c>
      <c r="E3390" s="32" t="s">
        <v>169</v>
      </c>
      <c r="F3390" s="32" t="n">
        <v>7387008342</v>
      </c>
      <c r="G3390" s="32" t="s">
        <v>104</v>
      </c>
      <c r="H3390" s="32" t="s">
        <v>22</v>
      </c>
      <c r="I3390" s="32" t="s">
        <v>825</v>
      </c>
      <c r="J3390" s="32" t="s">
        <v>132</v>
      </c>
      <c r="K3390" s="32" t="s">
        <v>63</v>
      </c>
    </row>
    <row r="3391" customFormat="false" ht="13.5" hidden="false" customHeight="true" outlineLevel="0" collapsed="false">
      <c r="A3391" s="32" t="n">
        <v>5687</v>
      </c>
      <c r="B3391" s="32" t="s">
        <v>2740</v>
      </c>
      <c r="C3391" s="32" t="s">
        <v>2741</v>
      </c>
      <c r="D3391" s="32" t="s">
        <v>114</v>
      </c>
      <c r="E3391" s="32" t="s">
        <v>268</v>
      </c>
      <c r="F3391" s="32" t="n">
        <v>8692094117</v>
      </c>
      <c r="G3391" s="32" t="s">
        <v>104</v>
      </c>
      <c r="H3391" s="32" t="s">
        <v>22</v>
      </c>
      <c r="I3391" s="32" t="s">
        <v>93</v>
      </c>
      <c r="J3391" s="32" t="s">
        <v>85</v>
      </c>
      <c r="K3391" s="32" t="s">
        <v>63</v>
      </c>
    </row>
    <row r="3392" customFormat="false" ht="13.5" hidden="false" customHeight="true" outlineLevel="0" collapsed="false">
      <c r="A3392" s="32" t="n">
        <v>5688</v>
      </c>
      <c r="B3392" s="32" t="s">
        <v>2740</v>
      </c>
      <c r="C3392" s="32" t="s">
        <v>2742</v>
      </c>
      <c r="D3392" s="32" t="s">
        <v>114</v>
      </c>
      <c r="E3392" s="32" t="s">
        <v>268</v>
      </c>
      <c r="F3392" s="32" t="n">
        <v>8692094117</v>
      </c>
      <c r="G3392" s="32" t="s">
        <v>104</v>
      </c>
      <c r="H3392" s="32" t="s">
        <v>22</v>
      </c>
      <c r="I3392" s="32" t="s">
        <v>14</v>
      </c>
      <c r="J3392" s="32" t="s">
        <v>66</v>
      </c>
      <c r="K3392" s="32" t="s">
        <v>63</v>
      </c>
    </row>
    <row r="3393" customFormat="false" ht="13.5" hidden="false" customHeight="true" outlineLevel="0" collapsed="false">
      <c r="A3393" s="32" t="n">
        <v>5689</v>
      </c>
      <c r="B3393" s="32" t="s">
        <v>2740</v>
      </c>
      <c r="C3393" s="32" t="s">
        <v>2743</v>
      </c>
      <c r="D3393" s="32" t="s">
        <v>114</v>
      </c>
      <c r="E3393" s="32" t="s">
        <v>268</v>
      </c>
      <c r="F3393" s="32" t="n">
        <v>8692094117</v>
      </c>
      <c r="G3393" s="32" t="s">
        <v>104</v>
      </c>
      <c r="H3393" s="32" t="s">
        <v>22</v>
      </c>
      <c r="I3393" s="32" t="s">
        <v>1036</v>
      </c>
      <c r="J3393" s="32" t="s">
        <v>62</v>
      </c>
      <c r="K3393" s="32" t="s">
        <v>63</v>
      </c>
    </row>
    <row r="3394" customFormat="false" ht="13.5" hidden="false" customHeight="true" outlineLevel="0" collapsed="false">
      <c r="A3394" s="32" t="n">
        <v>5690</v>
      </c>
      <c r="B3394" s="32" t="s">
        <v>2740</v>
      </c>
      <c r="C3394" s="32" t="s">
        <v>2743</v>
      </c>
      <c r="D3394" s="32" t="s">
        <v>114</v>
      </c>
      <c r="E3394" s="32" t="s">
        <v>268</v>
      </c>
      <c r="F3394" s="32" t="n">
        <v>8692094117</v>
      </c>
      <c r="G3394" s="32" t="s">
        <v>104</v>
      </c>
      <c r="H3394" s="32" t="s">
        <v>22</v>
      </c>
      <c r="I3394" s="32" t="s">
        <v>156</v>
      </c>
      <c r="J3394" s="32" t="s">
        <v>62</v>
      </c>
      <c r="K3394" s="32" t="s">
        <v>63</v>
      </c>
    </row>
    <row r="3395" customFormat="false" ht="13.5" hidden="false" customHeight="true" outlineLevel="0" collapsed="false">
      <c r="A3395" s="32" t="n">
        <v>5691</v>
      </c>
      <c r="B3395" s="32" t="s">
        <v>2744</v>
      </c>
      <c r="C3395" s="32" t="s">
        <v>2745</v>
      </c>
      <c r="D3395" s="32" t="s">
        <v>59</v>
      </c>
      <c r="E3395" s="32" t="s">
        <v>107</v>
      </c>
      <c r="F3395" s="32" t="n">
        <v>9972444896</v>
      </c>
      <c r="G3395" s="32" t="s">
        <v>61</v>
      </c>
      <c r="H3395" s="32" t="s">
        <v>21</v>
      </c>
      <c r="I3395" s="32" t="s">
        <v>93</v>
      </c>
      <c r="J3395" s="32" t="s">
        <v>85</v>
      </c>
      <c r="K3395" s="32" t="s">
        <v>63</v>
      </c>
    </row>
    <row r="3396" customFormat="false" ht="13.5" hidden="false" customHeight="true" outlineLevel="0" collapsed="false">
      <c r="A3396" s="32" t="n">
        <v>5692</v>
      </c>
      <c r="B3396" s="32" t="s">
        <v>2746</v>
      </c>
      <c r="C3396" s="32" t="s">
        <v>2747</v>
      </c>
      <c r="D3396" s="32" t="s">
        <v>102</v>
      </c>
      <c r="E3396" s="32" t="s">
        <v>155</v>
      </c>
      <c r="F3396" s="32" t="n">
        <v>0</v>
      </c>
      <c r="G3396" s="32" t="s">
        <v>61</v>
      </c>
      <c r="H3396" s="32" t="s">
        <v>21</v>
      </c>
      <c r="I3396" s="32" t="s">
        <v>156</v>
      </c>
      <c r="J3396" s="32" t="s">
        <v>62</v>
      </c>
      <c r="K3396" s="32" t="s">
        <v>63</v>
      </c>
    </row>
    <row r="3397" customFormat="false" ht="13.5" hidden="false" customHeight="true" outlineLevel="0" collapsed="false">
      <c r="A3397" s="32" t="n">
        <v>5694</v>
      </c>
      <c r="B3397" s="32" t="s">
        <v>2746</v>
      </c>
      <c r="C3397" s="32" t="s">
        <v>2747</v>
      </c>
      <c r="D3397" s="32" t="s">
        <v>102</v>
      </c>
      <c r="E3397" s="32" t="s">
        <v>155</v>
      </c>
      <c r="F3397" s="32" t="n">
        <v>0</v>
      </c>
      <c r="G3397" s="32" t="s">
        <v>61</v>
      </c>
      <c r="H3397" s="32" t="s">
        <v>21</v>
      </c>
      <c r="I3397" s="32" t="s">
        <v>29</v>
      </c>
      <c r="J3397" s="32" t="s">
        <v>62</v>
      </c>
      <c r="K3397" s="32" t="s">
        <v>63</v>
      </c>
    </row>
    <row r="3398" customFormat="false" ht="13.5" hidden="false" customHeight="true" outlineLevel="0" collapsed="false">
      <c r="A3398" s="32" t="n">
        <v>5695</v>
      </c>
      <c r="B3398" s="32" t="s">
        <v>2746</v>
      </c>
      <c r="C3398" s="32" t="s">
        <v>2747</v>
      </c>
      <c r="D3398" s="32" t="s">
        <v>102</v>
      </c>
      <c r="E3398" s="32" t="s">
        <v>155</v>
      </c>
      <c r="F3398" s="32" t="n">
        <v>0</v>
      </c>
      <c r="G3398" s="32" t="s">
        <v>61</v>
      </c>
      <c r="H3398" s="32" t="s">
        <v>21</v>
      </c>
      <c r="I3398" s="32" t="s">
        <v>14</v>
      </c>
      <c r="J3398" s="32" t="s">
        <v>66</v>
      </c>
      <c r="K3398" s="32" t="s">
        <v>63</v>
      </c>
    </row>
    <row r="3399" customFormat="false" ht="13.5" hidden="false" customHeight="true" outlineLevel="0" collapsed="false">
      <c r="A3399" s="32" t="n">
        <v>5696</v>
      </c>
      <c r="B3399" s="32" t="s">
        <v>2748</v>
      </c>
      <c r="C3399" s="32" t="s">
        <v>2749</v>
      </c>
      <c r="D3399" s="32" t="s">
        <v>59</v>
      </c>
      <c r="E3399" s="32" t="s">
        <v>143</v>
      </c>
      <c r="F3399" s="32" t="n">
        <v>8050742977</v>
      </c>
      <c r="G3399" s="32" t="s">
        <v>61</v>
      </c>
      <c r="H3399" s="32" t="s">
        <v>21</v>
      </c>
      <c r="I3399" s="32" t="s">
        <v>85</v>
      </c>
      <c r="J3399" s="32" t="s">
        <v>85</v>
      </c>
      <c r="K3399" s="32" t="s">
        <v>63</v>
      </c>
    </row>
    <row r="3400" customFormat="false" ht="13.5" hidden="false" customHeight="true" outlineLevel="0" collapsed="false">
      <c r="A3400" s="32" t="n">
        <v>5697</v>
      </c>
      <c r="B3400" s="32" t="s">
        <v>2748</v>
      </c>
      <c r="C3400" s="32" t="s">
        <v>2749</v>
      </c>
      <c r="D3400" s="32" t="s">
        <v>59</v>
      </c>
      <c r="E3400" s="32" t="s">
        <v>143</v>
      </c>
      <c r="F3400" s="32" t="n">
        <v>8050742977</v>
      </c>
      <c r="G3400" s="32" t="s">
        <v>61</v>
      </c>
      <c r="H3400" s="32" t="s">
        <v>21</v>
      </c>
      <c r="I3400" s="32" t="s">
        <v>87</v>
      </c>
      <c r="J3400" s="32" t="s">
        <v>84</v>
      </c>
      <c r="K3400" s="32" t="s">
        <v>63</v>
      </c>
    </row>
    <row r="3401" customFormat="false" ht="13.5" hidden="false" customHeight="true" outlineLevel="0" collapsed="false">
      <c r="A3401" s="32" t="n">
        <v>5698</v>
      </c>
      <c r="B3401" s="32" t="s">
        <v>2750</v>
      </c>
      <c r="C3401" s="32" t="s">
        <v>2751</v>
      </c>
      <c r="D3401" s="32" t="s">
        <v>114</v>
      </c>
      <c r="E3401" s="32" t="n">
        <v>0</v>
      </c>
      <c r="F3401" s="32" t="n">
        <v>0</v>
      </c>
      <c r="G3401" s="32" t="s">
        <v>61</v>
      </c>
      <c r="H3401" s="32" t="s">
        <v>22</v>
      </c>
      <c r="I3401" s="32" t="s">
        <v>227</v>
      </c>
      <c r="J3401" s="32" t="s">
        <v>228</v>
      </c>
      <c r="K3401" s="32" t="s">
        <v>63</v>
      </c>
    </row>
    <row r="3402" customFormat="false" ht="13.5" hidden="false" customHeight="true" outlineLevel="0" collapsed="false">
      <c r="A3402" s="32" t="n">
        <v>5699</v>
      </c>
      <c r="B3402" s="32" t="s">
        <v>2750</v>
      </c>
      <c r="C3402" s="32" t="s">
        <v>2752</v>
      </c>
      <c r="D3402" s="32" t="s">
        <v>114</v>
      </c>
      <c r="E3402" s="32" t="n">
        <v>0</v>
      </c>
      <c r="F3402" s="32" t="n">
        <v>0</v>
      </c>
      <c r="G3402" s="32" t="s">
        <v>80</v>
      </c>
      <c r="H3402" s="32" t="s">
        <v>22</v>
      </c>
      <c r="I3402" s="32" t="s">
        <v>185</v>
      </c>
      <c r="J3402" s="32" t="s">
        <v>186</v>
      </c>
      <c r="K3402" s="32" t="s">
        <v>63</v>
      </c>
    </row>
    <row r="3403" customFormat="false" ht="13.5" hidden="false" customHeight="true" outlineLevel="0" collapsed="false">
      <c r="A3403" s="32" t="n">
        <v>5701</v>
      </c>
      <c r="B3403" s="32" t="s">
        <v>2750</v>
      </c>
      <c r="C3403" s="32" t="s">
        <v>2752</v>
      </c>
      <c r="D3403" s="32" t="s">
        <v>114</v>
      </c>
      <c r="E3403" s="32" t="n">
        <v>0</v>
      </c>
      <c r="F3403" s="32" t="n">
        <v>0</v>
      </c>
      <c r="G3403" s="32" t="s">
        <v>80</v>
      </c>
      <c r="H3403" s="32" t="s">
        <v>22</v>
      </c>
      <c r="I3403" s="32" t="s">
        <v>226</v>
      </c>
      <c r="J3403" s="32" t="s">
        <v>110</v>
      </c>
      <c r="K3403" s="32" t="s">
        <v>63</v>
      </c>
    </row>
    <row r="3404" customFormat="false" ht="13.5" hidden="false" customHeight="true" outlineLevel="0" collapsed="false">
      <c r="A3404" s="32" t="n">
        <v>5702</v>
      </c>
      <c r="B3404" s="32" t="s">
        <v>2753</v>
      </c>
      <c r="C3404" s="32" t="s">
        <v>2754</v>
      </c>
      <c r="D3404" s="32" t="s">
        <v>59</v>
      </c>
      <c r="E3404" s="32" t="s">
        <v>107</v>
      </c>
      <c r="F3404" s="33" t="n">
        <v>919565000000</v>
      </c>
      <c r="G3404" s="32" t="s">
        <v>144</v>
      </c>
      <c r="H3404" s="32" t="s">
        <v>21</v>
      </c>
      <c r="I3404" s="32" t="s">
        <v>121</v>
      </c>
      <c r="J3404" s="32" t="s">
        <v>110</v>
      </c>
      <c r="K3404" s="32" t="s">
        <v>63</v>
      </c>
    </row>
    <row r="3405" customFormat="false" ht="13.5" hidden="false" customHeight="true" outlineLevel="0" collapsed="false">
      <c r="A3405" s="32" t="n">
        <v>5703</v>
      </c>
      <c r="B3405" s="32" t="s">
        <v>2753</v>
      </c>
      <c r="C3405" s="32" t="s">
        <v>2754</v>
      </c>
      <c r="D3405" s="32" t="s">
        <v>59</v>
      </c>
      <c r="E3405" s="32" t="s">
        <v>107</v>
      </c>
      <c r="F3405" s="33" t="n">
        <v>919565000000</v>
      </c>
      <c r="G3405" s="32" t="s">
        <v>144</v>
      </c>
      <c r="H3405" s="32" t="s">
        <v>21</v>
      </c>
      <c r="I3405" s="32" t="s">
        <v>146</v>
      </c>
      <c r="J3405" s="32" t="s">
        <v>117</v>
      </c>
      <c r="K3405" s="32" t="s">
        <v>63</v>
      </c>
    </row>
    <row r="3406" customFormat="false" ht="13.5" hidden="false" customHeight="true" outlineLevel="0" collapsed="false">
      <c r="A3406" s="32" t="n">
        <v>5704</v>
      </c>
      <c r="B3406" s="32" t="s">
        <v>2753</v>
      </c>
      <c r="C3406" s="32" t="s">
        <v>2754</v>
      </c>
      <c r="D3406" s="32" t="s">
        <v>59</v>
      </c>
      <c r="E3406" s="32" t="s">
        <v>107</v>
      </c>
      <c r="F3406" s="33" t="n">
        <v>919565000000</v>
      </c>
      <c r="G3406" s="32" t="s">
        <v>144</v>
      </c>
      <c r="H3406" s="32" t="s">
        <v>21</v>
      </c>
      <c r="I3406" s="32" t="s">
        <v>133</v>
      </c>
      <c r="J3406" s="32" t="s">
        <v>134</v>
      </c>
      <c r="K3406" s="32" t="s">
        <v>63</v>
      </c>
    </row>
    <row r="3407" customFormat="false" ht="13.5" hidden="false" customHeight="true" outlineLevel="0" collapsed="false">
      <c r="A3407" s="32" t="n">
        <v>5705</v>
      </c>
      <c r="B3407" s="32" t="s">
        <v>2755</v>
      </c>
      <c r="C3407" s="32" t="s">
        <v>2756</v>
      </c>
      <c r="D3407" s="32" t="s">
        <v>102</v>
      </c>
      <c r="E3407" s="32" t="s">
        <v>155</v>
      </c>
      <c r="F3407" s="33" t="n">
        <v>919141000000</v>
      </c>
      <c r="G3407" s="32" t="s">
        <v>144</v>
      </c>
      <c r="H3407" s="32" t="s">
        <v>21</v>
      </c>
      <c r="I3407" s="32" t="s">
        <v>940</v>
      </c>
      <c r="J3407" s="32" t="s">
        <v>235</v>
      </c>
      <c r="K3407" s="32" t="s">
        <v>63</v>
      </c>
    </row>
    <row r="3408" customFormat="false" ht="13.5" hidden="false" customHeight="true" outlineLevel="0" collapsed="false">
      <c r="A3408" s="32" t="n">
        <v>5706</v>
      </c>
      <c r="B3408" s="32" t="s">
        <v>2757</v>
      </c>
      <c r="C3408" s="32" t="s">
        <v>2758</v>
      </c>
      <c r="D3408" s="32" t="s">
        <v>59</v>
      </c>
      <c r="E3408" s="32" t="s">
        <v>143</v>
      </c>
      <c r="F3408" s="32" t="n">
        <v>9770013682</v>
      </c>
      <c r="G3408" s="32" t="s">
        <v>104</v>
      </c>
      <c r="H3408" s="32" t="s">
        <v>21</v>
      </c>
      <c r="I3408" s="32" t="s">
        <v>75</v>
      </c>
      <c r="J3408" s="32" t="s">
        <v>76</v>
      </c>
      <c r="K3408" s="32" t="s">
        <v>63</v>
      </c>
    </row>
    <row r="3409" customFormat="false" ht="13.5" hidden="false" customHeight="true" outlineLevel="0" collapsed="false">
      <c r="A3409" s="32" t="n">
        <v>5707</v>
      </c>
      <c r="B3409" s="32" t="s">
        <v>2759</v>
      </c>
      <c r="C3409" s="32" t="s">
        <v>2760</v>
      </c>
      <c r="D3409" s="32" t="s">
        <v>114</v>
      </c>
      <c r="E3409" s="32" t="s">
        <v>115</v>
      </c>
      <c r="F3409" s="32" t="n">
        <v>9591935042</v>
      </c>
      <c r="G3409" s="32" t="s">
        <v>144</v>
      </c>
      <c r="H3409" s="32" t="s">
        <v>22</v>
      </c>
      <c r="I3409" s="32" t="s">
        <v>121</v>
      </c>
      <c r="J3409" s="32" t="s">
        <v>110</v>
      </c>
      <c r="K3409" s="32" t="s">
        <v>63</v>
      </c>
    </row>
    <row r="3410" customFormat="false" ht="13.5" hidden="false" customHeight="true" outlineLevel="0" collapsed="false">
      <c r="A3410" s="32" t="n">
        <v>5708</v>
      </c>
      <c r="B3410" s="32" t="s">
        <v>2759</v>
      </c>
      <c r="C3410" s="32" t="s">
        <v>2760</v>
      </c>
      <c r="D3410" s="32" t="s">
        <v>114</v>
      </c>
      <c r="E3410" s="32" t="s">
        <v>115</v>
      </c>
      <c r="F3410" s="32" t="n">
        <v>9591935042</v>
      </c>
      <c r="G3410" s="32" t="s">
        <v>144</v>
      </c>
      <c r="H3410" s="32" t="s">
        <v>22</v>
      </c>
      <c r="I3410" s="32" t="s">
        <v>145</v>
      </c>
      <c r="J3410" s="32" t="s">
        <v>117</v>
      </c>
      <c r="K3410" s="32" t="s">
        <v>63</v>
      </c>
    </row>
    <row r="3411" customFormat="false" ht="13.5" hidden="false" customHeight="true" outlineLevel="0" collapsed="false">
      <c r="A3411" s="32" t="n">
        <v>5709</v>
      </c>
      <c r="B3411" s="32" t="s">
        <v>2759</v>
      </c>
      <c r="C3411" s="32" t="s">
        <v>2760</v>
      </c>
      <c r="D3411" s="32" t="s">
        <v>114</v>
      </c>
      <c r="E3411" s="32" t="s">
        <v>115</v>
      </c>
      <c r="F3411" s="32" t="n">
        <v>9591935042</v>
      </c>
      <c r="G3411" s="32" t="s">
        <v>144</v>
      </c>
      <c r="H3411" s="32" t="s">
        <v>22</v>
      </c>
      <c r="I3411" s="32" t="s">
        <v>133</v>
      </c>
      <c r="J3411" s="32" t="s">
        <v>134</v>
      </c>
      <c r="K3411" s="32" t="s">
        <v>63</v>
      </c>
    </row>
    <row r="3412" customFormat="false" ht="13.5" hidden="false" customHeight="true" outlineLevel="0" collapsed="false">
      <c r="A3412" s="32" t="n">
        <v>5710</v>
      </c>
      <c r="B3412" s="32" t="s">
        <v>2761</v>
      </c>
      <c r="C3412" s="32" t="s">
        <v>2762</v>
      </c>
      <c r="D3412" s="32" t="s">
        <v>114</v>
      </c>
      <c r="E3412" s="32" t="s">
        <v>115</v>
      </c>
      <c r="F3412" s="32" t="n">
        <v>8860600231</v>
      </c>
      <c r="G3412" s="32" t="s">
        <v>144</v>
      </c>
      <c r="H3412" s="32" t="s">
        <v>22</v>
      </c>
      <c r="I3412" s="32" t="s">
        <v>185</v>
      </c>
      <c r="J3412" s="32" t="s">
        <v>186</v>
      </c>
      <c r="K3412" s="32" t="s">
        <v>63</v>
      </c>
    </row>
    <row r="3413" customFormat="false" ht="13.5" hidden="false" customHeight="true" outlineLevel="0" collapsed="false">
      <c r="A3413" s="32" t="n">
        <v>5711</v>
      </c>
      <c r="B3413" s="32" t="s">
        <v>2761</v>
      </c>
      <c r="C3413" s="32" t="s">
        <v>2762</v>
      </c>
      <c r="D3413" s="32" t="s">
        <v>114</v>
      </c>
      <c r="E3413" s="32" t="s">
        <v>115</v>
      </c>
      <c r="F3413" s="32" t="n">
        <v>8860600231</v>
      </c>
      <c r="G3413" s="32" t="s">
        <v>144</v>
      </c>
      <c r="H3413" s="32" t="s">
        <v>22</v>
      </c>
      <c r="I3413" s="32" t="s">
        <v>108</v>
      </c>
      <c r="J3413" s="32" t="s">
        <v>71</v>
      </c>
      <c r="K3413" s="32" t="s">
        <v>63</v>
      </c>
    </row>
    <row r="3414" customFormat="false" ht="13.5" hidden="false" customHeight="true" outlineLevel="0" collapsed="false">
      <c r="A3414" s="32" t="n">
        <v>5712</v>
      </c>
      <c r="B3414" s="32" t="s">
        <v>2761</v>
      </c>
      <c r="C3414" s="32" t="s">
        <v>2762</v>
      </c>
      <c r="D3414" s="32" t="s">
        <v>114</v>
      </c>
      <c r="E3414" s="32" t="s">
        <v>115</v>
      </c>
      <c r="F3414" s="32" t="n">
        <v>8860600231</v>
      </c>
      <c r="G3414" s="32" t="s">
        <v>144</v>
      </c>
      <c r="H3414" s="32" t="s">
        <v>22</v>
      </c>
      <c r="I3414" s="32" t="s">
        <v>156</v>
      </c>
      <c r="J3414" s="32" t="s">
        <v>62</v>
      </c>
      <c r="K3414" s="32" t="s">
        <v>63</v>
      </c>
    </row>
    <row r="3415" customFormat="false" ht="13.5" hidden="false" customHeight="true" outlineLevel="0" collapsed="false">
      <c r="A3415" s="32" t="n">
        <v>5713</v>
      </c>
      <c r="B3415" s="32" t="s">
        <v>2761</v>
      </c>
      <c r="C3415" s="32" t="s">
        <v>2762</v>
      </c>
      <c r="D3415" s="32" t="s">
        <v>114</v>
      </c>
      <c r="E3415" s="32" t="s">
        <v>115</v>
      </c>
      <c r="F3415" s="32" t="n">
        <v>8860600231</v>
      </c>
      <c r="G3415" s="32" t="s">
        <v>144</v>
      </c>
      <c r="H3415" s="32" t="s">
        <v>22</v>
      </c>
      <c r="I3415" s="32" t="s">
        <v>145</v>
      </c>
      <c r="J3415" s="32" t="s">
        <v>117</v>
      </c>
      <c r="K3415" s="32" t="s">
        <v>63</v>
      </c>
    </row>
    <row r="3416" customFormat="false" ht="13.5" hidden="false" customHeight="true" outlineLevel="0" collapsed="false">
      <c r="A3416" s="32" t="n">
        <v>5714</v>
      </c>
      <c r="B3416" s="32" t="s">
        <v>2763</v>
      </c>
      <c r="C3416" s="32" t="s">
        <v>2764</v>
      </c>
      <c r="D3416" s="32" t="s">
        <v>102</v>
      </c>
      <c r="E3416" s="32" t="s">
        <v>60</v>
      </c>
      <c r="F3416" s="32" t="n">
        <v>0</v>
      </c>
      <c r="G3416" s="32" t="s">
        <v>144</v>
      </c>
      <c r="H3416" s="32" t="s">
        <v>21</v>
      </c>
      <c r="I3416" s="32" t="s">
        <v>64</v>
      </c>
      <c r="J3416" s="32" t="s">
        <v>62</v>
      </c>
      <c r="K3416" s="32" t="s">
        <v>63</v>
      </c>
    </row>
    <row r="3417" customFormat="false" ht="13.5" hidden="false" customHeight="true" outlineLevel="0" collapsed="false">
      <c r="A3417" s="32" t="n">
        <v>5715</v>
      </c>
      <c r="B3417" s="32" t="s">
        <v>2763</v>
      </c>
      <c r="C3417" s="32" t="s">
        <v>2764</v>
      </c>
      <c r="D3417" s="32" t="s">
        <v>102</v>
      </c>
      <c r="E3417" s="32" t="s">
        <v>60</v>
      </c>
      <c r="F3417" s="32" t="n">
        <v>0</v>
      </c>
      <c r="G3417" s="32" t="s">
        <v>144</v>
      </c>
      <c r="H3417" s="32" t="s">
        <v>21</v>
      </c>
      <c r="I3417" s="32" t="s">
        <v>156</v>
      </c>
      <c r="J3417" s="32" t="s">
        <v>62</v>
      </c>
      <c r="K3417" s="32" t="s">
        <v>63</v>
      </c>
    </row>
    <row r="3418" customFormat="false" ht="13.5" hidden="false" customHeight="true" outlineLevel="0" collapsed="false">
      <c r="A3418" s="32" t="n">
        <v>5716</v>
      </c>
      <c r="B3418" s="32" t="s">
        <v>2763</v>
      </c>
      <c r="C3418" s="32" t="s">
        <v>2764</v>
      </c>
      <c r="D3418" s="32" t="s">
        <v>102</v>
      </c>
      <c r="E3418" s="32" t="s">
        <v>60</v>
      </c>
      <c r="F3418" s="32" t="n">
        <v>0</v>
      </c>
      <c r="G3418" s="32" t="s">
        <v>144</v>
      </c>
      <c r="H3418" s="32" t="s">
        <v>21</v>
      </c>
      <c r="I3418" s="32" t="s">
        <v>29</v>
      </c>
      <c r="J3418" s="32" t="s">
        <v>62</v>
      </c>
      <c r="K3418" s="32" t="s">
        <v>63</v>
      </c>
    </row>
    <row r="3419" customFormat="false" ht="13.5" hidden="false" customHeight="true" outlineLevel="0" collapsed="false">
      <c r="A3419" s="32" t="n">
        <v>5717</v>
      </c>
      <c r="B3419" s="32" t="s">
        <v>2763</v>
      </c>
      <c r="C3419" s="32" t="s">
        <v>2764</v>
      </c>
      <c r="D3419" s="32" t="s">
        <v>102</v>
      </c>
      <c r="E3419" s="32" t="s">
        <v>60</v>
      </c>
      <c r="F3419" s="32" t="n">
        <v>0</v>
      </c>
      <c r="G3419" s="32" t="s">
        <v>144</v>
      </c>
      <c r="H3419" s="32" t="s">
        <v>21</v>
      </c>
      <c r="I3419" s="32" t="s">
        <v>14</v>
      </c>
      <c r="J3419" s="32" t="s">
        <v>66</v>
      </c>
      <c r="K3419" s="32" t="s">
        <v>63</v>
      </c>
    </row>
    <row r="3420" customFormat="false" ht="13.5" hidden="false" customHeight="true" outlineLevel="0" collapsed="false">
      <c r="A3420" s="32" t="n">
        <v>5719</v>
      </c>
      <c r="B3420" s="32" t="s">
        <v>2765</v>
      </c>
      <c r="C3420" s="32" t="s">
        <v>2766</v>
      </c>
      <c r="D3420" s="32" t="s">
        <v>102</v>
      </c>
      <c r="E3420" s="32" t="s">
        <v>767</v>
      </c>
      <c r="F3420" s="32" t="n">
        <v>8446685598</v>
      </c>
      <c r="G3420" s="32" t="s">
        <v>61</v>
      </c>
      <c r="H3420" s="32" t="s">
        <v>21</v>
      </c>
      <c r="I3420" s="32" t="s">
        <v>325</v>
      </c>
      <c r="J3420" s="32" t="s">
        <v>326</v>
      </c>
      <c r="K3420" s="32" t="s">
        <v>63</v>
      </c>
    </row>
    <row r="3421" customFormat="false" ht="13.5" hidden="false" customHeight="true" outlineLevel="0" collapsed="false">
      <c r="A3421" s="32" t="n">
        <v>5720</v>
      </c>
      <c r="B3421" s="32" t="s">
        <v>2767</v>
      </c>
      <c r="C3421" s="32" t="s">
        <v>2768</v>
      </c>
      <c r="D3421" s="32" t="s">
        <v>59</v>
      </c>
      <c r="E3421" s="32" t="s">
        <v>107</v>
      </c>
      <c r="F3421" s="32" t="n">
        <v>7044578116</v>
      </c>
      <c r="G3421" s="32" t="s">
        <v>61</v>
      </c>
      <c r="H3421" s="32" t="s">
        <v>21</v>
      </c>
      <c r="I3421" s="32" t="s">
        <v>284</v>
      </c>
      <c r="J3421" s="32" t="s">
        <v>117</v>
      </c>
      <c r="K3421" s="32" t="s">
        <v>63</v>
      </c>
    </row>
    <row r="3422" customFormat="false" ht="13.5" hidden="false" customHeight="true" outlineLevel="0" collapsed="false">
      <c r="A3422" s="32" t="n">
        <v>5722</v>
      </c>
      <c r="B3422" s="32" t="s">
        <v>2767</v>
      </c>
      <c r="C3422" s="32" t="s">
        <v>2768</v>
      </c>
      <c r="D3422" s="32" t="s">
        <v>59</v>
      </c>
      <c r="E3422" s="32" t="s">
        <v>107</v>
      </c>
      <c r="F3422" s="32" t="n">
        <v>7044578116</v>
      </c>
      <c r="G3422" s="32" t="s">
        <v>61</v>
      </c>
      <c r="H3422" s="32" t="s">
        <v>21</v>
      </c>
      <c r="I3422" s="32" t="s">
        <v>687</v>
      </c>
      <c r="J3422" s="32" t="s">
        <v>85</v>
      </c>
      <c r="K3422" s="32" t="s">
        <v>63</v>
      </c>
    </row>
    <row r="3423" customFormat="false" ht="13.5" hidden="false" customHeight="true" outlineLevel="0" collapsed="false">
      <c r="A3423" s="32" t="n">
        <v>5723</v>
      </c>
      <c r="B3423" s="32" t="s">
        <v>2767</v>
      </c>
      <c r="C3423" s="32" t="s">
        <v>2768</v>
      </c>
      <c r="D3423" s="32" t="s">
        <v>59</v>
      </c>
      <c r="E3423" s="32" t="s">
        <v>107</v>
      </c>
      <c r="F3423" s="32" t="n">
        <v>7044578116</v>
      </c>
      <c r="G3423" s="32" t="s">
        <v>61</v>
      </c>
      <c r="H3423" s="32" t="s">
        <v>21</v>
      </c>
      <c r="I3423" s="32" t="s">
        <v>1410</v>
      </c>
      <c r="J3423" s="32" t="s">
        <v>13</v>
      </c>
      <c r="K3423" s="32" t="s">
        <v>63</v>
      </c>
    </row>
    <row r="3424" customFormat="false" ht="13.5" hidden="false" customHeight="true" outlineLevel="0" collapsed="false">
      <c r="A3424" s="32" t="n">
        <v>5724</v>
      </c>
      <c r="B3424" s="32" t="s">
        <v>2767</v>
      </c>
      <c r="C3424" s="32" t="s">
        <v>2768</v>
      </c>
      <c r="D3424" s="32" t="s">
        <v>59</v>
      </c>
      <c r="E3424" s="32" t="s">
        <v>107</v>
      </c>
      <c r="F3424" s="32" t="n">
        <v>7044578116</v>
      </c>
      <c r="G3424" s="32" t="s">
        <v>61</v>
      </c>
      <c r="H3424" s="32" t="s">
        <v>21</v>
      </c>
      <c r="I3424" s="32" t="s">
        <v>30</v>
      </c>
      <c r="J3424" s="32" t="s">
        <v>203</v>
      </c>
      <c r="K3424" s="32" t="s">
        <v>63</v>
      </c>
    </row>
    <row r="3425" customFormat="false" ht="13.5" hidden="false" customHeight="true" outlineLevel="0" collapsed="false">
      <c r="A3425" s="32" t="n">
        <v>5725</v>
      </c>
      <c r="B3425" s="32" t="s">
        <v>2769</v>
      </c>
      <c r="C3425" s="32" t="s">
        <v>2770</v>
      </c>
      <c r="D3425" s="32" t="s">
        <v>59</v>
      </c>
      <c r="E3425" s="32" t="s">
        <v>767</v>
      </c>
      <c r="F3425" s="32" t="n">
        <v>0</v>
      </c>
      <c r="G3425" s="32" t="s">
        <v>61</v>
      </c>
      <c r="H3425" s="32" t="s">
        <v>21</v>
      </c>
      <c r="I3425" s="32" t="s">
        <v>325</v>
      </c>
      <c r="J3425" s="32" t="s">
        <v>326</v>
      </c>
      <c r="K3425" s="32" t="s">
        <v>63</v>
      </c>
    </row>
    <row r="3426" customFormat="false" ht="13.5" hidden="false" customHeight="true" outlineLevel="0" collapsed="false">
      <c r="A3426" s="32" t="n">
        <v>5726</v>
      </c>
      <c r="B3426" s="32" t="s">
        <v>2771</v>
      </c>
      <c r="C3426" s="32" t="s">
        <v>2772</v>
      </c>
      <c r="D3426" s="32" t="s">
        <v>114</v>
      </c>
      <c r="E3426" s="32" t="s">
        <v>124</v>
      </c>
      <c r="F3426" s="33" t="n">
        <v>919620000000</v>
      </c>
      <c r="G3426" s="32" t="s">
        <v>61</v>
      </c>
      <c r="H3426" s="32" t="s">
        <v>22</v>
      </c>
      <c r="I3426" s="32" t="s">
        <v>131</v>
      </c>
      <c r="J3426" s="32" t="s">
        <v>132</v>
      </c>
      <c r="K3426" s="32" t="s">
        <v>63</v>
      </c>
    </row>
    <row r="3427" customFormat="false" ht="13.5" hidden="false" customHeight="true" outlineLevel="0" collapsed="false">
      <c r="A3427" s="32" t="n">
        <v>5727</v>
      </c>
      <c r="B3427" s="32" t="s">
        <v>2771</v>
      </c>
      <c r="C3427" s="32" t="s">
        <v>2773</v>
      </c>
      <c r="D3427" s="32" t="s">
        <v>114</v>
      </c>
      <c r="E3427" s="32" t="s">
        <v>124</v>
      </c>
      <c r="F3427" s="33" t="n">
        <v>919620000000</v>
      </c>
      <c r="G3427" s="32" t="s">
        <v>61</v>
      </c>
      <c r="H3427" s="32" t="s">
        <v>22</v>
      </c>
      <c r="I3427" s="32" t="s">
        <v>325</v>
      </c>
      <c r="J3427" s="32" t="s">
        <v>326</v>
      </c>
      <c r="K3427" s="32" t="s">
        <v>63</v>
      </c>
    </row>
    <row r="3428" customFormat="false" ht="13.5" hidden="false" customHeight="true" outlineLevel="0" collapsed="false">
      <c r="A3428" s="32" t="n">
        <v>5728</v>
      </c>
      <c r="B3428" s="32" t="s">
        <v>2774</v>
      </c>
      <c r="C3428" s="32" t="s">
        <v>2775</v>
      </c>
      <c r="D3428" s="32" t="s">
        <v>102</v>
      </c>
      <c r="E3428" s="32" t="s">
        <v>60</v>
      </c>
      <c r="F3428" s="33" t="n">
        <v>916356000000</v>
      </c>
      <c r="G3428" s="32" t="s">
        <v>61</v>
      </c>
      <c r="H3428" s="32" t="s">
        <v>21</v>
      </c>
      <c r="I3428" s="32" t="s">
        <v>156</v>
      </c>
      <c r="J3428" s="32" t="s">
        <v>62</v>
      </c>
      <c r="K3428" s="32" t="s">
        <v>63</v>
      </c>
    </row>
    <row r="3429" customFormat="false" ht="13.5" hidden="false" customHeight="true" outlineLevel="0" collapsed="false">
      <c r="A3429" s="32" t="n">
        <v>5729</v>
      </c>
      <c r="B3429" s="32" t="s">
        <v>2774</v>
      </c>
      <c r="C3429" s="32" t="s">
        <v>2775</v>
      </c>
      <c r="D3429" s="32" t="s">
        <v>102</v>
      </c>
      <c r="E3429" s="32" t="s">
        <v>60</v>
      </c>
      <c r="F3429" s="33" t="n">
        <v>916356000000</v>
      </c>
      <c r="G3429" s="32" t="s">
        <v>61</v>
      </c>
      <c r="H3429" s="32" t="s">
        <v>21</v>
      </c>
      <c r="I3429" s="32" t="s">
        <v>29</v>
      </c>
      <c r="J3429" s="32" t="s">
        <v>62</v>
      </c>
      <c r="K3429" s="32" t="s">
        <v>63</v>
      </c>
    </row>
    <row r="3430" customFormat="false" ht="13.5" hidden="false" customHeight="true" outlineLevel="0" collapsed="false">
      <c r="A3430" s="32" t="n">
        <v>5730</v>
      </c>
      <c r="B3430" s="32" t="s">
        <v>2774</v>
      </c>
      <c r="C3430" s="32" t="s">
        <v>2775</v>
      </c>
      <c r="D3430" s="32" t="s">
        <v>102</v>
      </c>
      <c r="E3430" s="32" t="s">
        <v>60</v>
      </c>
      <c r="F3430" s="33" t="n">
        <v>916356000000</v>
      </c>
      <c r="G3430" s="32" t="s">
        <v>61</v>
      </c>
      <c r="H3430" s="32" t="s">
        <v>21</v>
      </c>
      <c r="I3430" s="32" t="s">
        <v>14</v>
      </c>
      <c r="J3430" s="32" t="s">
        <v>66</v>
      </c>
      <c r="K3430" s="32" t="s">
        <v>63</v>
      </c>
    </row>
    <row r="3431" customFormat="false" ht="13.5" hidden="false" customHeight="true" outlineLevel="0" collapsed="false">
      <c r="A3431" s="32" t="n">
        <v>5731</v>
      </c>
      <c r="B3431" s="32" t="s">
        <v>2774</v>
      </c>
      <c r="C3431" s="32" t="s">
        <v>2775</v>
      </c>
      <c r="D3431" s="32" t="s">
        <v>102</v>
      </c>
      <c r="E3431" s="32" t="s">
        <v>60</v>
      </c>
      <c r="F3431" s="33" t="n">
        <v>916356000000</v>
      </c>
      <c r="G3431" s="32" t="s">
        <v>61</v>
      </c>
      <c r="H3431" s="32" t="s">
        <v>21</v>
      </c>
      <c r="I3431" s="32" t="s">
        <v>166</v>
      </c>
      <c r="J3431" s="32" t="s">
        <v>66</v>
      </c>
      <c r="K3431" s="32" t="s">
        <v>63</v>
      </c>
    </row>
    <row r="3432" customFormat="false" ht="13.5" hidden="false" customHeight="true" outlineLevel="0" collapsed="false">
      <c r="A3432" s="32" t="n">
        <v>5732</v>
      </c>
      <c r="B3432" s="32" t="s">
        <v>2776</v>
      </c>
      <c r="C3432" s="32" t="s">
        <v>2777</v>
      </c>
      <c r="D3432" s="32" t="s">
        <v>331</v>
      </c>
      <c r="E3432" s="32" t="s">
        <v>502</v>
      </c>
      <c r="F3432" s="33" t="n">
        <v>919711000000</v>
      </c>
      <c r="G3432" s="32" t="s">
        <v>144</v>
      </c>
      <c r="H3432" s="32" t="s">
        <v>332</v>
      </c>
      <c r="I3432" s="32" t="s">
        <v>421</v>
      </c>
      <c r="J3432" s="32" t="s">
        <v>235</v>
      </c>
      <c r="K3432" s="32" t="s">
        <v>63</v>
      </c>
    </row>
    <row r="3433" customFormat="false" ht="13.5" hidden="false" customHeight="true" outlineLevel="0" collapsed="false">
      <c r="A3433" s="32" t="n">
        <v>5733</v>
      </c>
      <c r="B3433" s="32" t="s">
        <v>2776</v>
      </c>
      <c r="C3433" s="32" t="s">
        <v>2777</v>
      </c>
      <c r="D3433" s="32" t="s">
        <v>331</v>
      </c>
      <c r="E3433" s="32" t="s">
        <v>502</v>
      </c>
      <c r="F3433" s="33" t="n">
        <v>919711000000</v>
      </c>
      <c r="G3433" s="32" t="s">
        <v>144</v>
      </c>
      <c r="H3433" s="32" t="s">
        <v>332</v>
      </c>
      <c r="I3433" s="32" t="s">
        <v>156</v>
      </c>
      <c r="J3433" s="32" t="s">
        <v>62</v>
      </c>
      <c r="K3433" s="32" t="s">
        <v>63</v>
      </c>
    </row>
    <row r="3434" customFormat="false" ht="13.5" hidden="false" customHeight="true" outlineLevel="0" collapsed="false">
      <c r="A3434" s="32" t="n">
        <v>5734</v>
      </c>
      <c r="B3434" s="32" t="s">
        <v>2776</v>
      </c>
      <c r="C3434" s="32" t="s">
        <v>2777</v>
      </c>
      <c r="D3434" s="32" t="s">
        <v>331</v>
      </c>
      <c r="E3434" s="32" t="s">
        <v>502</v>
      </c>
      <c r="F3434" s="33" t="n">
        <v>919711000000</v>
      </c>
      <c r="G3434" s="32" t="s">
        <v>144</v>
      </c>
      <c r="H3434" s="32" t="s">
        <v>332</v>
      </c>
      <c r="I3434" s="32" t="s">
        <v>29</v>
      </c>
      <c r="J3434" s="32" t="s">
        <v>62</v>
      </c>
      <c r="K3434" s="32" t="s">
        <v>63</v>
      </c>
    </row>
    <row r="3435" customFormat="false" ht="13.5" hidden="false" customHeight="true" outlineLevel="0" collapsed="false">
      <c r="A3435" s="32" t="n">
        <v>5735</v>
      </c>
      <c r="B3435" s="32" t="s">
        <v>2778</v>
      </c>
      <c r="C3435" s="32" t="s">
        <v>2779</v>
      </c>
      <c r="D3435" s="32" t="s">
        <v>114</v>
      </c>
      <c r="E3435" s="32" t="s">
        <v>115</v>
      </c>
      <c r="F3435" s="33" t="n">
        <v>918861000000</v>
      </c>
      <c r="G3435" s="32" t="s">
        <v>61</v>
      </c>
      <c r="H3435" s="32" t="s">
        <v>22</v>
      </c>
      <c r="I3435" s="32" t="s">
        <v>145</v>
      </c>
      <c r="J3435" s="32" t="s">
        <v>117</v>
      </c>
      <c r="K3435" s="32" t="s">
        <v>63</v>
      </c>
    </row>
    <row r="3436" customFormat="false" ht="13.5" hidden="false" customHeight="true" outlineLevel="0" collapsed="false">
      <c r="A3436" s="32" t="n">
        <v>5736</v>
      </c>
      <c r="B3436" s="32" t="s">
        <v>2778</v>
      </c>
      <c r="C3436" s="32" t="s">
        <v>2780</v>
      </c>
      <c r="D3436" s="32" t="s">
        <v>114</v>
      </c>
      <c r="E3436" s="32" t="s">
        <v>115</v>
      </c>
      <c r="F3436" s="32" t="n">
        <v>8861200851</v>
      </c>
      <c r="G3436" s="32" t="s">
        <v>61</v>
      </c>
      <c r="H3436" s="32" t="s">
        <v>22</v>
      </c>
      <c r="I3436" s="32" t="s">
        <v>27</v>
      </c>
      <c r="J3436" s="32" t="s">
        <v>13</v>
      </c>
      <c r="K3436" s="32" t="s">
        <v>63</v>
      </c>
    </row>
    <row r="3437" customFormat="false" ht="13.5" hidden="false" customHeight="true" outlineLevel="0" collapsed="false">
      <c r="A3437" s="32" t="n">
        <v>5737</v>
      </c>
      <c r="B3437" s="32" t="s">
        <v>2778</v>
      </c>
      <c r="C3437" s="32" t="s">
        <v>2780</v>
      </c>
      <c r="D3437" s="32" t="s">
        <v>114</v>
      </c>
      <c r="E3437" s="32" t="s">
        <v>115</v>
      </c>
      <c r="F3437" s="32" t="n">
        <v>8861200851</v>
      </c>
      <c r="G3437" s="32" t="s">
        <v>61</v>
      </c>
      <c r="H3437" s="32" t="s">
        <v>22</v>
      </c>
      <c r="I3437" s="32" t="s">
        <v>109</v>
      </c>
      <c r="J3437" s="32" t="s">
        <v>110</v>
      </c>
      <c r="K3437" s="32" t="s">
        <v>63</v>
      </c>
    </row>
    <row r="3438" customFormat="false" ht="13.5" hidden="false" customHeight="true" outlineLevel="0" collapsed="false">
      <c r="A3438" s="32" t="n">
        <v>5738</v>
      </c>
      <c r="B3438" s="32" t="s">
        <v>2778</v>
      </c>
      <c r="C3438" s="32" t="s">
        <v>2780</v>
      </c>
      <c r="D3438" s="32" t="s">
        <v>114</v>
      </c>
      <c r="E3438" s="32" t="s">
        <v>115</v>
      </c>
      <c r="F3438" s="32" t="n">
        <v>8861200851</v>
      </c>
      <c r="G3438" s="32" t="s">
        <v>61</v>
      </c>
      <c r="H3438" s="32" t="s">
        <v>22</v>
      </c>
      <c r="I3438" s="32" t="s">
        <v>16</v>
      </c>
      <c r="J3438" s="32" t="s">
        <v>73</v>
      </c>
      <c r="K3438" s="32" t="s">
        <v>63</v>
      </c>
    </row>
    <row r="3439" customFormat="false" ht="13.5" hidden="false" customHeight="true" outlineLevel="0" collapsed="false">
      <c r="A3439" s="32" t="n">
        <v>5739</v>
      </c>
      <c r="B3439" s="32" t="s">
        <v>2781</v>
      </c>
      <c r="C3439" s="32" t="s">
        <v>2782</v>
      </c>
      <c r="D3439" s="32" t="s">
        <v>114</v>
      </c>
      <c r="E3439" s="32" t="s">
        <v>165</v>
      </c>
      <c r="F3439" s="33" t="n">
        <v>918375000000</v>
      </c>
      <c r="G3439" s="32" t="s">
        <v>80</v>
      </c>
      <c r="H3439" s="32" t="s">
        <v>22</v>
      </c>
      <c r="I3439" s="32" t="s">
        <v>151</v>
      </c>
      <c r="J3439" s="32" t="s">
        <v>152</v>
      </c>
      <c r="K3439" s="32" t="s">
        <v>63</v>
      </c>
    </row>
    <row r="3440" customFormat="false" ht="13.5" hidden="false" customHeight="true" outlineLevel="0" collapsed="false">
      <c r="A3440" s="32" t="n">
        <v>5740</v>
      </c>
      <c r="B3440" s="32" t="s">
        <v>2781</v>
      </c>
      <c r="C3440" s="32" t="s">
        <v>2782</v>
      </c>
      <c r="D3440" s="32" t="s">
        <v>114</v>
      </c>
      <c r="E3440" s="32" t="s">
        <v>165</v>
      </c>
      <c r="F3440" s="32" t="n">
        <v>8374532323</v>
      </c>
      <c r="G3440" s="32" t="s">
        <v>80</v>
      </c>
      <c r="H3440" s="32" t="s">
        <v>22</v>
      </c>
      <c r="I3440" s="32" t="s">
        <v>133</v>
      </c>
      <c r="J3440" s="32" t="s">
        <v>134</v>
      </c>
      <c r="K3440" s="32" t="s">
        <v>63</v>
      </c>
    </row>
    <row r="3441" customFormat="false" ht="13.5" hidden="false" customHeight="true" outlineLevel="0" collapsed="false">
      <c r="A3441" s="32" t="n">
        <v>5741</v>
      </c>
      <c r="B3441" s="32" t="s">
        <v>2781</v>
      </c>
      <c r="C3441" s="32" t="s">
        <v>2782</v>
      </c>
      <c r="D3441" s="32" t="s">
        <v>114</v>
      </c>
      <c r="E3441" s="32" t="s">
        <v>165</v>
      </c>
      <c r="F3441" s="32" t="n">
        <v>8374532323</v>
      </c>
      <c r="G3441" s="32" t="s">
        <v>80</v>
      </c>
      <c r="H3441" s="32" t="s">
        <v>22</v>
      </c>
      <c r="I3441" s="32" t="s">
        <v>108</v>
      </c>
      <c r="J3441" s="32" t="s">
        <v>71</v>
      </c>
      <c r="K3441" s="32" t="s">
        <v>63</v>
      </c>
    </row>
    <row r="3442" customFormat="false" ht="13.5" hidden="false" customHeight="true" outlineLevel="0" collapsed="false">
      <c r="A3442" s="32" t="n">
        <v>5742</v>
      </c>
      <c r="B3442" s="32" t="s">
        <v>2783</v>
      </c>
      <c r="C3442" s="32" t="s">
        <v>2784</v>
      </c>
      <c r="D3442" s="32" t="s">
        <v>59</v>
      </c>
      <c r="E3442" s="32" t="s">
        <v>60</v>
      </c>
      <c r="F3442" s="32" t="n">
        <v>9437683409</v>
      </c>
      <c r="G3442" s="32" t="s">
        <v>69</v>
      </c>
      <c r="H3442" s="32" t="s">
        <v>21</v>
      </c>
      <c r="I3442" s="32" t="s">
        <v>75</v>
      </c>
      <c r="J3442" s="32" t="s">
        <v>76</v>
      </c>
      <c r="K3442" s="32" t="s">
        <v>63</v>
      </c>
    </row>
    <row r="3443" customFormat="false" ht="13.5" hidden="false" customHeight="true" outlineLevel="0" collapsed="false">
      <c r="A3443" s="32" t="n">
        <v>5743</v>
      </c>
      <c r="B3443" s="32" t="s">
        <v>2783</v>
      </c>
      <c r="C3443" s="32" t="s">
        <v>2784</v>
      </c>
      <c r="D3443" s="32" t="s">
        <v>59</v>
      </c>
      <c r="E3443" s="32" t="s">
        <v>60</v>
      </c>
      <c r="F3443" s="32" t="n">
        <v>9437683409</v>
      </c>
      <c r="G3443" s="32" t="s">
        <v>69</v>
      </c>
      <c r="H3443" s="32" t="s">
        <v>21</v>
      </c>
      <c r="I3443" s="32" t="s">
        <v>16</v>
      </c>
      <c r="J3443" s="32" t="s">
        <v>73</v>
      </c>
      <c r="K3443" s="32" t="s">
        <v>63</v>
      </c>
    </row>
    <row r="3444" customFormat="false" ht="13.5" hidden="false" customHeight="true" outlineLevel="0" collapsed="false">
      <c r="A3444" s="32" t="n">
        <v>5744</v>
      </c>
      <c r="B3444" s="32" t="s">
        <v>2783</v>
      </c>
      <c r="C3444" s="32" t="s">
        <v>2785</v>
      </c>
      <c r="D3444" s="32" t="s">
        <v>59</v>
      </c>
      <c r="E3444" s="32" t="s">
        <v>60</v>
      </c>
      <c r="F3444" s="32" t="n">
        <v>9437683409</v>
      </c>
      <c r="G3444" s="32" t="s">
        <v>69</v>
      </c>
      <c r="H3444" s="32" t="s">
        <v>21</v>
      </c>
      <c r="I3444" s="32" t="s">
        <v>108</v>
      </c>
      <c r="J3444" s="32" t="s">
        <v>71</v>
      </c>
      <c r="K3444" s="32" t="s">
        <v>63</v>
      </c>
    </row>
    <row r="3445" customFormat="false" ht="13.5" hidden="false" customHeight="true" outlineLevel="0" collapsed="false">
      <c r="A3445" s="32" t="n">
        <v>5745</v>
      </c>
      <c r="B3445" s="32" t="s">
        <v>2783</v>
      </c>
      <c r="C3445" s="32" t="s">
        <v>2785</v>
      </c>
      <c r="D3445" s="32" t="s">
        <v>59</v>
      </c>
      <c r="E3445" s="32" t="s">
        <v>60</v>
      </c>
      <c r="F3445" s="32" t="n">
        <v>9437683409</v>
      </c>
      <c r="G3445" s="32" t="s">
        <v>69</v>
      </c>
      <c r="H3445" s="32" t="s">
        <v>21</v>
      </c>
      <c r="I3445" s="32" t="s">
        <v>29</v>
      </c>
      <c r="J3445" s="32" t="s">
        <v>62</v>
      </c>
      <c r="K3445" s="32" t="s">
        <v>63</v>
      </c>
    </row>
    <row r="3446" customFormat="false" ht="13.5" hidden="false" customHeight="true" outlineLevel="0" collapsed="false">
      <c r="A3446" s="32" t="n">
        <v>5746</v>
      </c>
      <c r="B3446" s="32" t="s">
        <v>2783</v>
      </c>
      <c r="C3446" s="32" t="s">
        <v>2785</v>
      </c>
      <c r="D3446" s="32" t="s">
        <v>59</v>
      </c>
      <c r="E3446" s="32" t="s">
        <v>60</v>
      </c>
      <c r="F3446" s="32" t="n">
        <v>9437683409</v>
      </c>
      <c r="G3446" s="32" t="s">
        <v>69</v>
      </c>
      <c r="H3446" s="32" t="s">
        <v>21</v>
      </c>
      <c r="I3446" s="32" t="s">
        <v>280</v>
      </c>
      <c r="J3446" s="32" t="s">
        <v>76</v>
      </c>
      <c r="K3446" s="32" t="s">
        <v>63</v>
      </c>
    </row>
    <row r="3447" customFormat="false" ht="13.5" hidden="false" customHeight="true" outlineLevel="0" collapsed="false">
      <c r="A3447" s="32" t="n">
        <v>5747</v>
      </c>
      <c r="B3447" s="32" t="s">
        <v>2786</v>
      </c>
      <c r="C3447" s="32" t="s">
        <v>2787</v>
      </c>
      <c r="D3447" s="32" t="s">
        <v>59</v>
      </c>
      <c r="E3447" s="32" t="n">
        <v>0</v>
      </c>
      <c r="F3447" s="32" t="n">
        <v>9130016139</v>
      </c>
      <c r="G3447" s="32" t="s">
        <v>69</v>
      </c>
      <c r="H3447" s="32" t="s">
        <v>21</v>
      </c>
      <c r="I3447" s="32" t="s">
        <v>95</v>
      </c>
      <c r="J3447" s="32" t="s">
        <v>96</v>
      </c>
      <c r="K3447" s="32" t="s">
        <v>63</v>
      </c>
    </row>
    <row r="3448" customFormat="false" ht="13.5" hidden="false" customHeight="true" outlineLevel="0" collapsed="false">
      <c r="A3448" s="32" t="n">
        <v>5748</v>
      </c>
      <c r="B3448" s="32" t="s">
        <v>2786</v>
      </c>
      <c r="C3448" s="32" t="s">
        <v>2787</v>
      </c>
      <c r="D3448" s="32" t="s">
        <v>59</v>
      </c>
      <c r="E3448" s="32" t="n">
        <v>0</v>
      </c>
      <c r="F3448" s="32" t="n">
        <v>9130016139</v>
      </c>
      <c r="G3448" s="32" t="s">
        <v>69</v>
      </c>
      <c r="H3448" s="32" t="s">
        <v>21</v>
      </c>
      <c r="I3448" s="32" t="s">
        <v>93</v>
      </c>
      <c r="J3448" s="32" t="s">
        <v>85</v>
      </c>
      <c r="K3448" s="32" t="s">
        <v>63</v>
      </c>
    </row>
    <row r="3449" customFormat="false" ht="13.5" hidden="false" customHeight="true" outlineLevel="0" collapsed="false">
      <c r="A3449" s="32" t="n">
        <v>5749</v>
      </c>
      <c r="B3449" s="32" t="s">
        <v>2788</v>
      </c>
      <c r="C3449" s="32" t="s">
        <v>2789</v>
      </c>
      <c r="D3449" s="32" t="s">
        <v>59</v>
      </c>
      <c r="E3449" s="32" t="s">
        <v>143</v>
      </c>
      <c r="F3449" s="32" t="n">
        <v>9899333735</v>
      </c>
      <c r="G3449" s="32" t="s">
        <v>144</v>
      </c>
      <c r="H3449" s="32" t="s">
        <v>21</v>
      </c>
      <c r="I3449" s="32" t="s">
        <v>248</v>
      </c>
      <c r="J3449" s="32" t="s">
        <v>117</v>
      </c>
      <c r="K3449" s="32" t="s">
        <v>63</v>
      </c>
    </row>
    <row r="3450" customFormat="false" ht="13.5" hidden="false" customHeight="true" outlineLevel="0" collapsed="false">
      <c r="A3450" s="32" t="n">
        <v>5750</v>
      </c>
      <c r="B3450" s="32" t="s">
        <v>2788</v>
      </c>
      <c r="C3450" s="32" t="s">
        <v>2789</v>
      </c>
      <c r="D3450" s="32" t="s">
        <v>59</v>
      </c>
      <c r="E3450" s="32" t="s">
        <v>143</v>
      </c>
      <c r="F3450" s="32" t="n">
        <v>9899333735</v>
      </c>
      <c r="G3450" s="32" t="s">
        <v>144</v>
      </c>
      <c r="H3450" s="32" t="s">
        <v>21</v>
      </c>
      <c r="I3450" s="32" t="s">
        <v>133</v>
      </c>
      <c r="J3450" s="32" t="s">
        <v>134</v>
      </c>
      <c r="K3450" s="32" t="s">
        <v>63</v>
      </c>
    </row>
    <row r="3451" customFormat="false" ht="13.5" hidden="false" customHeight="true" outlineLevel="0" collapsed="false">
      <c r="A3451" s="32" t="n">
        <v>5751</v>
      </c>
      <c r="B3451" s="32" t="s">
        <v>2790</v>
      </c>
      <c r="C3451" s="32" t="s">
        <v>2791</v>
      </c>
      <c r="D3451" s="32" t="s">
        <v>114</v>
      </c>
      <c r="E3451" s="32" t="s">
        <v>502</v>
      </c>
      <c r="F3451" s="32" t="n">
        <v>9838571000</v>
      </c>
      <c r="G3451" s="32" t="s">
        <v>61</v>
      </c>
      <c r="H3451" s="32" t="s">
        <v>22</v>
      </c>
      <c r="I3451" s="32" t="s">
        <v>156</v>
      </c>
      <c r="J3451" s="32" t="s">
        <v>62</v>
      </c>
      <c r="K3451" s="32" t="s">
        <v>63</v>
      </c>
    </row>
    <row r="3452" customFormat="false" ht="13.5" hidden="false" customHeight="true" outlineLevel="0" collapsed="false">
      <c r="A3452" s="32" t="n">
        <v>5752</v>
      </c>
      <c r="B3452" s="32" t="s">
        <v>2790</v>
      </c>
      <c r="C3452" s="32" t="s">
        <v>2791</v>
      </c>
      <c r="D3452" s="32" t="s">
        <v>114</v>
      </c>
      <c r="E3452" s="32" t="s">
        <v>502</v>
      </c>
      <c r="F3452" s="32" t="n">
        <v>9838571000</v>
      </c>
      <c r="G3452" s="32" t="s">
        <v>61</v>
      </c>
      <c r="H3452" s="32" t="s">
        <v>22</v>
      </c>
      <c r="I3452" s="32" t="s">
        <v>29</v>
      </c>
      <c r="J3452" s="32" t="s">
        <v>62</v>
      </c>
      <c r="K3452" s="32" t="s">
        <v>63</v>
      </c>
    </row>
    <row r="3453" customFormat="false" ht="13.5" hidden="false" customHeight="true" outlineLevel="0" collapsed="false">
      <c r="A3453" s="32" t="n">
        <v>5753</v>
      </c>
      <c r="B3453" s="32" t="s">
        <v>2790</v>
      </c>
      <c r="C3453" s="32" t="s">
        <v>2791</v>
      </c>
      <c r="D3453" s="32" t="s">
        <v>114</v>
      </c>
      <c r="E3453" s="32" t="s">
        <v>502</v>
      </c>
      <c r="F3453" s="32" t="n">
        <v>9838571000</v>
      </c>
      <c r="G3453" s="32" t="s">
        <v>61</v>
      </c>
      <c r="H3453" s="32" t="s">
        <v>22</v>
      </c>
      <c r="I3453" s="32" t="s">
        <v>14</v>
      </c>
      <c r="J3453" s="32" t="s">
        <v>66</v>
      </c>
      <c r="K3453" s="32" t="s">
        <v>63</v>
      </c>
    </row>
    <row r="3454" customFormat="false" ht="13.5" hidden="false" customHeight="true" outlineLevel="0" collapsed="false">
      <c r="A3454" s="32" t="n">
        <v>5754</v>
      </c>
      <c r="B3454" s="32" t="s">
        <v>2790</v>
      </c>
      <c r="C3454" s="32" t="s">
        <v>2791</v>
      </c>
      <c r="D3454" s="32" t="s">
        <v>114</v>
      </c>
      <c r="E3454" s="32" t="s">
        <v>502</v>
      </c>
      <c r="F3454" s="32" t="n">
        <v>9838571000</v>
      </c>
      <c r="G3454" s="32" t="s">
        <v>61</v>
      </c>
      <c r="H3454" s="32" t="s">
        <v>22</v>
      </c>
      <c r="I3454" s="32" t="s">
        <v>166</v>
      </c>
      <c r="J3454" s="32" t="s">
        <v>66</v>
      </c>
      <c r="K3454" s="32" t="s">
        <v>63</v>
      </c>
    </row>
    <row r="3455" customFormat="false" ht="13.5" hidden="false" customHeight="true" outlineLevel="0" collapsed="false">
      <c r="A3455" s="32" t="n">
        <v>5755</v>
      </c>
      <c r="B3455" s="32" t="s">
        <v>2792</v>
      </c>
      <c r="C3455" s="32" t="s">
        <v>2793</v>
      </c>
      <c r="D3455" s="32" t="s">
        <v>59</v>
      </c>
      <c r="E3455" s="32" t="s">
        <v>143</v>
      </c>
      <c r="F3455" s="32" t="n">
        <v>7894519567</v>
      </c>
      <c r="G3455" s="32" t="s">
        <v>80</v>
      </c>
      <c r="H3455" s="32" t="s">
        <v>21</v>
      </c>
      <c r="I3455" s="32" t="s">
        <v>215</v>
      </c>
      <c r="J3455" s="32" t="s">
        <v>132</v>
      </c>
      <c r="K3455" s="32" t="s">
        <v>63</v>
      </c>
    </row>
    <row r="3456" customFormat="false" ht="13.5" hidden="false" customHeight="true" outlineLevel="0" collapsed="false">
      <c r="A3456" s="32" t="n">
        <v>5756</v>
      </c>
      <c r="B3456" s="32" t="s">
        <v>2792</v>
      </c>
      <c r="C3456" s="32" t="s">
        <v>2793</v>
      </c>
      <c r="D3456" s="32" t="s">
        <v>59</v>
      </c>
      <c r="E3456" s="32" t="s">
        <v>143</v>
      </c>
      <c r="F3456" s="32" t="n">
        <v>7894519567</v>
      </c>
      <c r="G3456" s="32" t="s">
        <v>80</v>
      </c>
      <c r="H3456" s="32" t="s">
        <v>21</v>
      </c>
      <c r="I3456" s="32" t="s">
        <v>2794</v>
      </c>
      <c r="J3456" s="32" t="s">
        <v>132</v>
      </c>
      <c r="K3456" s="32" t="s">
        <v>63</v>
      </c>
    </row>
    <row r="3457" customFormat="false" ht="13.5" hidden="false" customHeight="true" outlineLevel="0" collapsed="false">
      <c r="A3457" s="32" t="n">
        <v>5757</v>
      </c>
      <c r="B3457" s="32" t="s">
        <v>2792</v>
      </c>
      <c r="C3457" s="32" t="s">
        <v>2793</v>
      </c>
      <c r="D3457" s="32" t="s">
        <v>59</v>
      </c>
      <c r="E3457" s="32" t="s">
        <v>143</v>
      </c>
      <c r="F3457" s="32" t="n">
        <v>7894519567</v>
      </c>
      <c r="G3457" s="32" t="s">
        <v>80</v>
      </c>
      <c r="H3457" s="32" t="s">
        <v>21</v>
      </c>
      <c r="I3457" s="32" t="s">
        <v>217</v>
      </c>
      <c r="J3457" s="32" t="s">
        <v>132</v>
      </c>
      <c r="K3457" s="32" t="s">
        <v>63</v>
      </c>
    </row>
    <row r="3458" customFormat="false" ht="13.5" hidden="false" customHeight="true" outlineLevel="0" collapsed="false">
      <c r="A3458" s="32" t="n">
        <v>5758</v>
      </c>
      <c r="B3458" s="32" t="s">
        <v>2792</v>
      </c>
      <c r="C3458" s="32" t="s">
        <v>2793</v>
      </c>
      <c r="D3458" s="32" t="s">
        <v>59</v>
      </c>
      <c r="E3458" s="32" t="s">
        <v>143</v>
      </c>
      <c r="F3458" s="32" t="n">
        <v>7894519567</v>
      </c>
      <c r="G3458" s="32" t="s">
        <v>80</v>
      </c>
      <c r="H3458" s="32" t="s">
        <v>21</v>
      </c>
      <c r="I3458" s="32" t="s">
        <v>728</v>
      </c>
      <c r="J3458" s="32" t="s">
        <v>132</v>
      </c>
      <c r="K3458" s="32" t="s">
        <v>63</v>
      </c>
    </row>
    <row r="3459" customFormat="false" ht="13.5" hidden="false" customHeight="true" outlineLevel="0" collapsed="false">
      <c r="A3459" s="32" t="n">
        <v>5759</v>
      </c>
      <c r="B3459" s="32" t="s">
        <v>2795</v>
      </c>
      <c r="C3459" s="32" t="s">
        <v>2796</v>
      </c>
      <c r="D3459" s="32" t="s">
        <v>59</v>
      </c>
      <c r="E3459" s="32" t="n">
        <v>0</v>
      </c>
      <c r="F3459" s="32" t="n">
        <v>9552612617</v>
      </c>
      <c r="G3459" s="32" t="s">
        <v>144</v>
      </c>
      <c r="H3459" s="32" t="s">
        <v>21</v>
      </c>
      <c r="I3459" s="32" t="s">
        <v>95</v>
      </c>
      <c r="J3459" s="32" t="s">
        <v>96</v>
      </c>
      <c r="K3459" s="32" t="s">
        <v>63</v>
      </c>
    </row>
    <row r="3460" customFormat="false" ht="13.5" hidden="false" customHeight="true" outlineLevel="0" collapsed="false">
      <c r="A3460" s="32" t="n">
        <v>5760</v>
      </c>
      <c r="B3460" s="32" t="s">
        <v>2795</v>
      </c>
      <c r="C3460" s="32" t="s">
        <v>2796</v>
      </c>
      <c r="D3460" s="32" t="s">
        <v>59</v>
      </c>
      <c r="E3460" s="32" t="n">
        <v>0</v>
      </c>
      <c r="F3460" s="32" t="n">
        <v>9552612617</v>
      </c>
      <c r="G3460" s="32" t="s">
        <v>144</v>
      </c>
      <c r="H3460" s="32" t="s">
        <v>21</v>
      </c>
      <c r="I3460" s="32" t="s">
        <v>121</v>
      </c>
      <c r="J3460" s="32" t="s">
        <v>110</v>
      </c>
      <c r="K3460" s="32" t="s">
        <v>63</v>
      </c>
    </row>
    <row r="3461" customFormat="false" ht="13.5" hidden="false" customHeight="true" outlineLevel="0" collapsed="false">
      <c r="A3461" s="32" t="n">
        <v>5761</v>
      </c>
      <c r="B3461" s="32" t="s">
        <v>2795</v>
      </c>
      <c r="C3461" s="32" t="s">
        <v>2796</v>
      </c>
      <c r="D3461" s="32" t="s">
        <v>59</v>
      </c>
      <c r="E3461" s="32" t="n">
        <v>0</v>
      </c>
      <c r="F3461" s="32" t="n">
        <v>9552612617</v>
      </c>
      <c r="G3461" s="32" t="s">
        <v>144</v>
      </c>
      <c r="H3461" s="32" t="s">
        <v>21</v>
      </c>
      <c r="I3461" s="32" t="s">
        <v>145</v>
      </c>
      <c r="J3461" s="32" t="s">
        <v>117</v>
      </c>
      <c r="K3461" s="32" t="s">
        <v>63</v>
      </c>
    </row>
    <row r="3462" customFormat="false" ht="13.5" hidden="false" customHeight="true" outlineLevel="0" collapsed="false">
      <c r="A3462" s="32" t="n">
        <v>5762</v>
      </c>
      <c r="B3462" s="32" t="s">
        <v>2797</v>
      </c>
      <c r="C3462" s="32" t="s">
        <v>2798</v>
      </c>
      <c r="D3462" s="32" t="s">
        <v>59</v>
      </c>
      <c r="E3462" s="32" t="s">
        <v>143</v>
      </c>
      <c r="F3462" s="33" t="n">
        <v>919601000000</v>
      </c>
      <c r="G3462" s="32" t="s">
        <v>104</v>
      </c>
      <c r="H3462" s="32" t="s">
        <v>21</v>
      </c>
      <c r="I3462" s="32" t="s">
        <v>14</v>
      </c>
      <c r="J3462" s="32" t="s">
        <v>66</v>
      </c>
      <c r="K3462" s="32" t="s">
        <v>63</v>
      </c>
    </row>
    <row r="3463" customFormat="false" ht="13.5" hidden="false" customHeight="true" outlineLevel="0" collapsed="false">
      <c r="A3463" s="32" t="n">
        <v>5763</v>
      </c>
      <c r="B3463" s="32" t="s">
        <v>2797</v>
      </c>
      <c r="C3463" s="32" t="s">
        <v>2798</v>
      </c>
      <c r="D3463" s="32" t="s">
        <v>59</v>
      </c>
      <c r="E3463" s="32" t="s">
        <v>143</v>
      </c>
      <c r="F3463" s="33" t="n">
        <v>919601000000</v>
      </c>
      <c r="G3463" s="32" t="s">
        <v>104</v>
      </c>
      <c r="H3463" s="32" t="s">
        <v>21</v>
      </c>
      <c r="I3463" s="32" t="s">
        <v>610</v>
      </c>
      <c r="J3463" s="32" t="s">
        <v>82</v>
      </c>
      <c r="K3463" s="32" t="s">
        <v>63</v>
      </c>
    </row>
    <row r="3464" customFormat="false" ht="13.5" hidden="false" customHeight="true" outlineLevel="0" collapsed="false">
      <c r="A3464" s="32" t="n">
        <v>5764</v>
      </c>
      <c r="B3464" s="32" t="s">
        <v>2797</v>
      </c>
      <c r="C3464" s="32" t="s">
        <v>2798</v>
      </c>
      <c r="D3464" s="32" t="s">
        <v>59</v>
      </c>
      <c r="E3464" s="32" t="s">
        <v>143</v>
      </c>
      <c r="F3464" s="33" t="n">
        <v>919601000000</v>
      </c>
      <c r="G3464" s="32" t="s">
        <v>104</v>
      </c>
      <c r="H3464" s="32" t="s">
        <v>21</v>
      </c>
      <c r="I3464" s="32" t="s">
        <v>333</v>
      </c>
      <c r="J3464" s="32" t="s">
        <v>235</v>
      </c>
      <c r="K3464" s="32" t="s">
        <v>63</v>
      </c>
    </row>
    <row r="3465" customFormat="false" ht="13.5" hidden="false" customHeight="true" outlineLevel="0" collapsed="false">
      <c r="A3465" s="32" t="n">
        <v>5765</v>
      </c>
      <c r="B3465" s="32" t="s">
        <v>2799</v>
      </c>
      <c r="C3465" s="32" t="s">
        <v>2800</v>
      </c>
      <c r="D3465" s="32" t="s">
        <v>59</v>
      </c>
      <c r="E3465" s="32" t="s">
        <v>79</v>
      </c>
      <c r="F3465" s="32" t="n">
        <v>0</v>
      </c>
      <c r="G3465" s="32" t="s">
        <v>61</v>
      </c>
      <c r="H3465" s="32" t="s">
        <v>21</v>
      </c>
      <c r="I3465" s="32" t="s">
        <v>151</v>
      </c>
      <c r="J3465" s="32" t="s">
        <v>152</v>
      </c>
      <c r="K3465" s="32" t="s">
        <v>63</v>
      </c>
    </row>
    <row r="3466" customFormat="false" ht="13.5" hidden="false" customHeight="true" outlineLevel="0" collapsed="false">
      <c r="A3466" s="32" t="n">
        <v>5766</v>
      </c>
      <c r="B3466" s="32" t="s">
        <v>2799</v>
      </c>
      <c r="C3466" s="32" t="s">
        <v>2800</v>
      </c>
      <c r="D3466" s="32" t="s">
        <v>59</v>
      </c>
      <c r="E3466" s="32" t="s">
        <v>79</v>
      </c>
      <c r="F3466" s="32" t="n">
        <v>0</v>
      </c>
      <c r="G3466" s="32" t="s">
        <v>61</v>
      </c>
      <c r="H3466" s="32" t="s">
        <v>21</v>
      </c>
      <c r="I3466" s="32" t="s">
        <v>146</v>
      </c>
      <c r="J3466" s="32" t="s">
        <v>117</v>
      </c>
      <c r="K3466" s="32" t="s">
        <v>63</v>
      </c>
    </row>
    <row r="3467" customFormat="false" ht="13.5" hidden="false" customHeight="true" outlineLevel="0" collapsed="false">
      <c r="A3467" s="32" t="n">
        <v>5767</v>
      </c>
      <c r="B3467" s="32" t="s">
        <v>2799</v>
      </c>
      <c r="C3467" s="32" t="s">
        <v>2800</v>
      </c>
      <c r="D3467" s="32" t="s">
        <v>59</v>
      </c>
      <c r="E3467" s="32" t="s">
        <v>79</v>
      </c>
      <c r="F3467" s="32" t="n">
        <v>8939645993</v>
      </c>
      <c r="G3467" s="32" t="s">
        <v>61</v>
      </c>
      <c r="H3467" s="32" t="s">
        <v>21</v>
      </c>
      <c r="I3467" s="32" t="s">
        <v>172</v>
      </c>
      <c r="J3467" s="32" t="s">
        <v>152</v>
      </c>
      <c r="K3467" s="32" t="s">
        <v>63</v>
      </c>
    </row>
    <row r="3468" customFormat="false" ht="13.5" hidden="false" customHeight="true" outlineLevel="0" collapsed="false">
      <c r="A3468" s="32" t="n">
        <v>5768</v>
      </c>
      <c r="B3468" s="32" t="s">
        <v>2801</v>
      </c>
      <c r="C3468" s="32" t="s">
        <v>2802</v>
      </c>
      <c r="D3468" s="32" t="s">
        <v>114</v>
      </c>
      <c r="E3468" s="32" t="s">
        <v>165</v>
      </c>
      <c r="F3468" s="32" t="n">
        <v>8885684460</v>
      </c>
      <c r="G3468" s="32" t="s">
        <v>80</v>
      </c>
      <c r="H3468" s="32" t="s">
        <v>22</v>
      </c>
      <c r="I3468" s="32" t="s">
        <v>121</v>
      </c>
      <c r="J3468" s="32" t="s">
        <v>110</v>
      </c>
      <c r="K3468" s="32" t="s">
        <v>63</v>
      </c>
    </row>
    <row r="3469" customFormat="false" ht="13.5" hidden="false" customHeight="true" outlineLevel="0" collapsed="false">
      <c r="A3469" s="32" t="n">
        <v>5769</v>
      </c>
      <c r="B3469" s="32" t="s">
        <v>2801</v>
      </c>
      <c r="C3469" s="32" t="s">
        <v>2802</v>
      </c>
      <c r="D3469" s="32" t="s">
        <v>114</v>
      </c>
      <c r="E3469" s="32" t="s">
        <v>165</v>
      </c>
      <c r="F3469" s="32" t="n">
        <v>8885684460</v>
      </c>
      <c r="G3469" s="32" t="s">
        <v>80</v>
      </c>
      <c r="H3469" s="32" t="s">
        <v>22</v>
      </c>
      <c r="I3469" s="32" t="s">
        <v>145</v>
      </c>
      <c r="J3469" s="32" t="s">
        <v>117</v>
      </c>
      <c r="K3469" s="32" t="s">
        <v>63</v>
      </c>
    </row>
    <row r="3470" customFormat="false" ht="13.5" hidden="false" customHeight="true" outlineLevel="0" collapsed="false">
      <c r="A3470" s="32" t="n">
        <v>5770</v>
      </c>
      <c r="B3470" s="32" t="s">
        <v>2801</v>
      </c>
      <c r="C3470" s="32" t="s">
        <v>2803</v>
      </c>
      <c r="D3470" s="32" t="s">
        <v>114</v>
      </c>
      <c r="E3470" s="32" t="s">
        <v>165</v>
      </c>
      <c r="F3470" s="32" t="n">
        <v>8885684460</v>
      </c>
      <c r="G3470" s="32" t="s">
        <v>80</v>
      </c>
      <c r="H3470" s="32" t="s">
        <v>22</v>
      </c>
      <c r="I3470" s="32" t="s">
        <v>120</v>
      </c>
      <c r="J3470" s="32" t="s">
        <v>110</v>
      </c>
      <c r="K3470" s="32" t="s">
        <v>63</v>
      </c>
    </row>
    <row r="3471" customFormat="false" ht="13.5" hidden="false" customHeight="true" outlineLevel="0" collapsed="false">
      <c r="A3471" s="32" t="n">
        <v>5771</v>
      </c>
      <c r="B3471" s="32" t="s">
        <v>2801</v>
      </c>
      <c r="C3471" s="32" t="s">
        <v>2803</v>
      </c>
      <c r="D3471" s="32" t="s">
        <v>114</v>
      </c>
      <c r="E3471" s="32" t="s">
        <v>165</v>
      </c>
      <c r="F3471" s="32" t="n">
        <v>8885684460</v>
      </c>
      <c r="G3471" s="32" t="s">
        <v>80</v>
      </c>
      <c r="H3471" s="32" t="s">
        <v>22</v>
      </c>
      <c r="I3471" s="32" t="s">
        <v>185</v>
      </c>
      <c r="J3471" s="32" t="s">
        <v>186</v>
      </c>
      <c r="K3471" s="32" t="s">
        <v>63</v>
      </c>
    </row>
    <row r="3472" customFormat="false" ht="13.5" hidden="false" customHeight="true" outlineLevel="0" collapsed="false">
      <c r="A3472" s="32" t="n">
        <v>5772</v>
      </c>
      <c r="B3472" s="32" t="s">
        <v>2801</v>
      </c>
      <c r="C3472" s="32" t="s">
        <v>2803</v>
      </c>
      <c r="D3472" s="32" t="s">
        <v>114</v>
      </c>
      <c r="E3472" s="32" t="s">
        <v>165</v>
      </c>
      <c r="F3472" s="32" t="n">
        <v>8885684460</v>
      </c>
      <c r="G3472" s="32" t="s">
        <v>80</v>
      </c>
      <c r="H3472" s="32" t="s">
        <v>22</v>
      </c>
      <c r="I3472" s="32" t="s">
        <v>133</v>
      </c>
      <c r="J3472" s="32" t="s">
        <v>134</v>
      </c>
      <c r="K3472" s="32" t="s">
        <v>63</v>
      </c>
    </row>
    <row r="3473" customFormat="false" ht="13.5" hidden="false" customHeight="true" outlineLevel="0" collapsed="false">
      <c r="A3473" s="32" t="n">
        <v>5773</v>
      </c>
      <c r="B3473" s="32" t="s">
        <v>2804</v>
      </c>
      <c r="C3473" s="32" t="s">
        <v>2805</v>
      </c>
      <c r="D3473" s="32" t="s">
        <v>114</v>
      </c>
      <c r="E3473" s="32" t="s">
        <v>115</v>
      </c>
      <c r="F3473" s="32" t="n">
        <v>8336045607</v>
      </c>
      <c r="G3473" s="32" t="s">
        <v>80</v>
      </c>
      <c r="H3473" s="32" t="s">
        <v>22</v>
      </c>
      <c r="I3473" s="32" t="s">
        <v>217</v>
      </c>
      <c r="J3473" s="32" t="s">
        <v>132</v>
      </c>
      <c r="K3473" s="32" t="s">
        <v>63</v>
      </c>
    </row>
    <row r="3474" customFormat="false" ht="13.5" hidden="false" customHeight="true" outlineLevel="0" collapsed="false">
      <c r="A3474" s="32" t="n">
        <v>5774</v>
      </c>
      <c r="B3474" s="32" t="s">
        <v>2806</v>
      </c>
      <c r="C3474" s="32" t="s">
        <v>2807</v>
      </c>
      <c r="D3474" s="32" t="s">
        <v>102</v>
      </c>
      <c r="E3474" s="32" t="s">
        <v>155</v>
      </c>
      <c r="F3474" s="33" t="n">
        <v>918970000000</v>
      </c>
      <c r="G3474" s="32" t="s">
        <v>140</v>
      </c>
      <c r="H3474" s="32" t="s">
        <v>21</v>
      </c>
      <c r="I3474" s="32" t="s">
        <v>156</v>
      </c>
      <c r="J3474" s="32" t="s">
        <v>62</v>
      </c>
      <c r="K3474" s="32" t="s">
        <v>63</v>
      </c>
    </row>
    <row r="3475" customFormat="false" ht="13.5" hidden="false" customHeight="true" outlineLevel="0" collapsed="false">
      <c r="A3475" s="32" t="n">
        <v>5775</v>
      </c>
      <c r="B3475" s="32" t="s">
        <v>2806</v>
      </c>
      <c r="C3475" s="32" t="s">
        <v>2807</v>
      </c>
      <c r="D3475" s="32" t="s">
        <v>102</v>
      </c>
      <c r="E3475" s="32" t="s">
        <v>155</v>
      </c>
      <c r="F3475" s="33" t="n">
        <v>918970000000</v>
      </c>
      <c r="G3475" s="32" t="s">
        <v>140</v>
      </c>
      <c r="H3475" s="32" t="s">
        <v>21</v>
      </c>
      <c r="I3475" s="32" t="s">
        <v>29</v>
      </c>
      <c r="J3475" s="32" t="s">
        <v>62</v>
      </c>
      <c r="K3475" s="32" t="s">
        <v>63</v>
      </c>
    </row>
    <row r="3476" customFormat="false" ht="13.5" hidden="false" customHeight="true" outlineLevel="0" collapsed="false">
      <c r="A3476" s="32" t="n">
        <v>5776</v>
      </c>
      <c r="B3476" s="32" t="s">
        <v>2806</v>
      </c>
      <c r="C3476" s="32" t="s">
        <v>2807</v>
      </c>
      <c r="D3476" s="32" t="s">
        <v>102</v>
      </c>
      <c r="E3476" s="32" t="s">
        <v>155</v>
      </c>
      <c r="F3476" s="33" t="n">
        <v>918970000000</v>
      </c>
      <c r="G3476" s="32" t="s">
        <v>140</v>
      </c>
      <c r="H3476" s="32" t="s">
        <v>21</v>
      </c>
      <c r="I3476" s="32" t="s">
        <v>14</v>
      </c>
      <c r="J3476" s="32" t="s">
        <v>66</v>
      </c>
      <c r="K3476" s="32" t="s">
        <v>63</v>
      </c>
    </row>
    <row r="3477" customFormat="false" ht="13.5" hidden="false" customHeight="true" outlineLevel="0" collapsed="false">
      <c r="A3477" s="32" t="n">
        <v>5777</v>
      </c>
      <c r="B3477" s="32" t="s">
        <v>2808</v>
      </c>
      <c r="C3477" s="32" t="s">
        <v>2809</v>
      </c>
      <c r="D3477" s="32" t="s">
        <v>59</v>
      </c>
      <c r="E3477" s="32" t="s">
        <v>79</v>
      </c>
      <c r="F3477" s="32" t="n">
        <v>9629734108</v>
      </c>
      <c r="G3477" s="32" t="s">
        <v>0</v>
      </c>
      <c r="H3477" s="32" t="s">
        <v>21</v>
      </c>
      <c r="I3477" s="32" t="s">
        <v>678</v>
      </c>
      <c r="J3477" s="32" t="s">
        <v>152</v>
      </c>
      <c r="K3477" s="32" t="s">
        <v>63</v>
      </c>
    </row>
    <row r="3478" customFormat="false" ht="13.5" hidden="false" customHeight="true" outlineLevel="0" collapsed="false">
      <c r="A3478" s="32" t="n">
        <v>5778</v>
      </c>
      <c r="B3478" s="32" t="s">
        <v>2808</v>
      </c>
      <c r="C3478" s="32" t="s">
        <v>2809</v>
      </c>
      <c r="D3478" s="32" t="s">
        <v>59</v>
      </c>
      <c r="E3478" s="32" t="s">
        <v>79</v>
      </c>
      <c r="F3478" s="32" t="n">
        <v>9629734108</v>
      </c>
      <c r="G3478" s="32" t="s">
        <v>0</v>
      </c>
      <c r="H3478" s="32" t="s">
        <v>21</v>
      </c>
      <c r="I3478" s="32" t="s">
        <v>151</v>
      </c>
      <c r="J3478" s="32" t="s">
        <v>152</v>
      </c>
      <c r="K3478" s="32" t="s">
        <v>63</v>
      </c>
    </row>
    <row r="3479" customFormat="false" ht="13.5" hidden="false" customHeight="true" outlineLevel="0" collapsed="false">
      <c r="A3479" s="32" t="n">
        <v>5779</v>
      </c>
      <c r="B3479" s="32" t="s">
        <v>2808</v>
      </c>
      <c r="C3479" s="32" t="s">
        <v>2810</v>
      </c>
      <c r="D3479" s="32" t="s">
        <v>59</v>
      </c>
      <c r="E3479" s="32" t="s">
        <v>79</v>
      </c>
      <c r="F3479" s="32" t="n">
        <v>9629734108</v>
      </c>
      <c r="G3479" s="32" t="s">
        <v>0</v>
      </c>
      <c r="H3479" s="32" t="s">
        <v>21</v>
      </c>
      <c r="I3479" s="32" t="s">
        <v>128</v>
      </c>
      <c r="J3479" s="32" t="s">
        <v>89</v>
      </c>
      <c r="K3479" s="32" t="s">
        <v>63</v>
      </c>
    </row>
    <row r="3480" customFormat="false" ht="13.5" hidden="false" customHeight="true" outlineLevel="0" collapsed="false">
      <c r="A3480" s="32" t="n">
        <v>5780</v>
      </c>
      <c r="B3480" s="32" t="s">
        <v>2808</v>
      </c>
      <c r="C3480" s="32" t="s">
        <v>2810</v>
      </c>
      <c r="D3480" s="32" t="s">
        <v>59</v>
      </c>
      <c r="E3480" s="32" t="s">
        <v>79</v>
      </c>
      <c r="F3480" s="32" t="n">
        <v>9629734108</v>
      </c>
      <c r="G3480" s="32" t="s">
        <v>0</v>
      </c>
      <c r="H3480" s="32" t="s">
        <v>21</v>
      </c>
      <c r="I3480" s="32" t="s">
        <v>151</v>
      </c>
      <c r="J3480" s="32" t="s">
        <v>152</v>
      </c>
      <c r="K3480" s="32" t="s">
        <v>63</v>
      </c>
    </row>
    <row r="3481" customFormat="false" ht="13.5" hidden="false" customHeight="true" outlineLevel="0" collapsed="false">
      <c r="A3481" s="32" t="n">
        <v>5781</v>
      </c>
      <c r="B3481" s="32" t="s">
        <v>2808</v>
      </c>
      <c r="C3481" s="32" t="s">
        <v>2810</v>
      </c>
      <c r="D3481" s="32" t="s">
        <v>59</v>
      </c>
      <c r="E3481" s="32" t="s">
        <v>79</v>
      </c>
      <c r="F3481" s="32" t="n">
        <v>9629734108</v>
      </c>
      <c r="G3481" s="32" t="s">
        <v>0</v>
      </c>
      <c r="H3481" s="32" t="s">
        <v>21</v>
      </c>
      <c r="I3481" s="32" t="s">
        <v>146</v>
      </c>
      <c r="J3481" s="32" t="s">
        <v>117</v>
      </c>
      <c r="K3481" s="32" t="s">
        <v>63</v>
      </c>
    </row>
    <row r="3482" customFormat="false" ht="13.5" hidden="false" customHeight="true" outlineLevel="0" collapsed="false">
      <c r="A3482" s="32" t="n">
        <v>5783</v>
      </c>
      <c r="B3482" s="32" t="s">
        <v>2811</v>
      </c>
      <c r="C3482" s="32" t="s">
        <v>2812</v>
      </c>
      <c r="D3482" s="32" t="s">
        <v>59</v>
      </c>
      <c r="E3482" s="32" t="s">
        <v>143</v>
      </c>
      <c r="F3482" s="32" t="n">
        <v>7661866979</v>
      </c>
      <c r="G3482" s="32" t="s">
        <v>80</v>
      </c>
      <c r="H3482" s="32" t="s">
        <v>21</v>
      </c>
      <c r="I3482" s="32" t="s">
        <v>108</v>
      </c>
      <c r="J3482" s="32" t="s">
        <v>71</v>
      </c>
      <c r="K3482" s="32" t="s">
        <v>63</v>
      </c>
    </row>
    <row r="3483" customFormat="false" ht="13.5" hidden="false" customHeight="true" outlineLevel="0" collapsed="false">
      <c r="A3483" s="32" t="n">
        <v>5784</v>
      </c>
      <c r="B3483" s="32" t="s">
        <v>2811</v>
      </c>
      <c r="C3483" s="32" t="s">
        <v>2812</v>
      </c>
      <c r="D3483" s="32" t="s">
        <v>59</v>
      </c>
      <c r="E3483" s="32" t="s">
        <v>143</v>
      </c>
      <c r="F3483" s="32" t="n">
        <v>7661866979</v>
      </c>
      <c r="G3483" s="32" t="s">
        <v>80</v>
      </c>
      <c r="H3483" s="32" t="s">
        <v>21</v>
      </c>
      <c r="I3483" s="32" t="s">
        <v>109</v>
      </c>
      <c r="J3483" s="32" t="s">
        <v>110</v>
      </c>
      <c r="K3483" s="32" t="s">
        <v>63</v>
      </c>
    </row>
    <row r="3484" customFormat="false" ht="13.5" hidden="false" customHeight="true" outlineLevel="0" collapsed="false">
      <c r="A3484" s="32" t="n">
        <v>5785</v>
      </c>
      <c r="B3484" s="32" t="s">
        <v>2811</v>
      </c>
      <c r="C3484" s="32" t="s">
        <v>2812</v>
      </c>
      <c r="D3484" s="32" t="s">
        <v>59</v>
      </c>
      <c r="E3484" s="32" t="s">
        <v>143</v>
      </c>
      <c r="F3484" s="32" t="n">
        <v>7661866979</v>
      </c>
      <c r="G3484" s="32" t="s">
        <v>80</v>
      </c>
      <c r="H3484" s="32" t="s">
        <v>21</v>
      </c>
      <c r="I3484" s="32" t="s">
        <v>16</v>
      </c>
      <c r="J3484" s="32" t="s">
        <v>73</v>
      </c>
      <c r="K3484" s="32" t="s">
        <v>63</v>
      </c>
    </row>
    <row r="3485" customFormat="false" ht="13.5" hidden="false" customHeight="true" outlineLevel="0" collapsed="false">
      <c r="A3485" s="32" t="n">
        <v>5790</v>
      </c>
      <c r="B3485" s="32" t="s">
        <v>2813</v>
      </c>
      <c r="C3485" s="32" t="s">
        <v>2814</v>
      </c>
      <c r="D3485" s="32" t="s">
        <v>59</v>
      </c>
      <c r="E3485" s="32" t="s">
        <v>107</v>
      </c>
      <c r="F3485" s="33" t="n">
        <v>919033000000</v>
      </c>
      <c r="G3485" s="32" t="s">
        <v>80</v>
      </c>
      <c r="H3485" s="32" t="s">
        <v>21</v>
      </c>
      <c r="I3485" s="32" t="s">
        <v>126</v>
      </c>
      <c r="J3485" s="32" t="s">
        <v>85</v>
      </c>
      <c r="K3485" s="32" t="s">
        <v>63</v>
      </c>
    </row>
    <row r="3486" customFormat="false" ht="13.5" hidden="false" customHeight="true" outlineLevel="0" collapsed="false">
      <c r="A3486" s="32" t="n">
        <v>5791</v>
      </c>
      <c r="B3486" s="32" t="s">
        <v>2813</v>
      </c>
      <c r="C3486" s="32" t="s">
        <v>2815</v>
      </c>
      <c r="D3486" s="32" t="s">
        <v>59</v>
      </c>
      <c r="E3486" s="32" t="s">
        <v>107</v>
      </c>
      <c r="F3486" s="32" t="n">
        <v>9032906666</v>
      </c>
      <c r="G3486" s="32" t="s">
        <v>80</v>
      </c>
      <c r="H3486" s="32" t="s">
        <v>21</v>
      </c>
      <c r="I3486" s="32" t="s">
        <v>121</v>
      </c>
      <c r="J3486" s="32" t="s">
        <v>110</v>
      </c>
      <c r="K3486" s="32" t="s">
        <v>63</v>
      </c>
    </row>
    <row r="3487" customFormat="false" ht="13.5" hidden="false" customHeight="true" outlineLevel="0" collapsed="false">
      <c r="A3487" s="32" t="n">
        <v>5792</v>
      </c>
      <c r="B3487" s="32" t="s">
        <v>2813</v>
      </c>
      <c r="C3487" s="32" t="s">
        <v>2815</v>
      </c>
      <c r="D3487" s="32" t="s">
        <v>59</v>
      </c>
      <c r="E3487" s="32" t="s">
        <v>107</v>
      </c>
      <c r="F3487" s="32" t="n">
        <v>9032906666</v>
      </c>
      <c r="G3487" s="32" t="s">
        <v>80</v>
      </c>
      <c r="H3487" s="32" t="s">
        <v>21</v>
      </c>
      <c r="I3487" s="32" t="s">
        <v>145</v>
      </c>
      <c r="J3487" s="32" t="s">
        <v>117</v>
      </c>
      <c r="K3487" s="32" t="s">
        <v>63</v>
      </c>
    </row>
    <row r="3488" customFormat="false" ht="13.5" hidden="false" customHeight="true" outlineLevel="0" collapsed="false">
      <c r="A3488" s="32" t="n">
        <v>5793</v>
      </c>
      <c r="B3488" s="32" t="s">
        <v>2813</v>
      </c>
      <c r="C3488" s="32" t="s">
        <v>2815</v>
      </c>
      <c r="D3488" s="32" t="s">
        <v>59</v>
      </c>
      <c r="E3488" s="32" t="s">
        <v>107</v>
      </c>
      <c r="F3488" s="32" t="n">
        <v>9032906666</v>
      </c>
      <c r="G3488" s="32" t="s">
        <v>80</v>
      </c>
      <c r="H3488" s="32" t="s">
        <v>21</v>
      </c>
      <c r="I3488" s="32" t="s">
        <v>133</v>
      </c>
      <c r="J3488" s="32" t="s">
        <v>134</v>
      </c>
      <c r="K3488" s="32" t="s">
        <v>63</v>
      </c>
    </row>
    <row r="3489" customFormat="false" ht="13.5" hidden="false" customHeight="true" outlineLevel="0" collapsed="false">
      <c r="A3489" s="32" t="n">
        <v>5794</v>
      </c>
      <c r="B3489" s="32" t="s">
        <v>2813</v>
      </c>
      <c r="C3489" s="32" t="s">
        <v>2814</v>
      </c>
      <c r="D3489" s="32" t="s">
        <v>59</v>
      </c>
      <c r="E3489" s="32" t="s">
        <v>107</v>
      </c>
      <c r="F3489" s="32" t="n">
        <v>9032906666</v>
      </c>
      <c r="G3489" s="32" t="s">
        <v>80</v>
      </c>
      <c r="H3489" s="32" t="s">
        <v>21</v>
      </c>
      <c r="I3489" s="32" t="s">
        <v>1534</v>
      </c>
      <c r="J3489" s="32" t="s">
        <v>110</v>
      </c>
      <c r="K3489" s="32" t="s">
        <v>63</v>
      </c>
    </row>
    <row r="3490" customFormat="false" ht="13.5" hidden="false" customHeight="true" outlineLevel="0" collapsed="false">
      <c r="A3490" s="32" t="n">
        <v>5795</v>
      </c>
      <c r="B3490" s="32" t="s">
        <v>2816</v>
      </c>
      <c r="C3490" s="32" t="s">
        <v>2817</v>
      </c>
      <c r="D3490" s="32" t="s">
        <v>114</v>
      </c>
      <c r="E3490" s="32" t="s">
        <v>165</v>
      </c>
      <c r="F3490" s="32" t="n">
        <v>8105834009</v>
      </c>
      <c r="G3490" s="32" t="s">
        <v>61</v>
      </c>
      <c r="H3490" s="32" t="s">
        <v>22</v>
      </c>
      <c r="I3490" s="32" t="s">
        <v>16</v>
      </c>
      <c r="J3490" s="32" t="s">
        <v>73</v>
      </c>
      <c r="K3490" s="32" t="s">
        <v>63</v>
      </c>
    </row>
    <row r="3491" customFormat="false" ht="13.5" hidden="false" customHeight="true" outlineLevel="0" collapsed="false">
      <c r="A3491" s="32" t="n">
        <v>5796</v>
      </c>
      <c r="B3491" s="32" t="s">
        <v>2816</v>
      </c>
      <c r="C3491" s="32" t="s">
        <v>2817</v>
      </c>
      <c r="D3491" s="32" t="s">
        <v>114</v>
      </c>
      <c r="E3491" s="32" t="s">
        <v>165</v>
      </c>
      <c r="F3491" s="32" t="n">
        <v>8105834009</v>
      </c>
      <c r="G3491" s="32" t="s">
        <v>61</v>
      </c>
      <c r="H3491" s="32" t="s">
        <v>22</v>
      </c>
      <c r="I3491" s="32" t="s">
        <v>150</v>
      </c>
      <c r="J3491" s="32" t="s">
        <v>73</v>
      </c>
      <c r="K3491" s="32" t="s">
        <v>63</v>
      </c>
    </row>
    <row r="3492" customFormat="false" ht="13.5" hidden="false" customHeight="true" outlineLevel="0" collapsed="false">
      <c r="A3492" s="32" t="n">
        <v>5797</v>
      </c>
      <c r="B3492" s="32" t="s">
        <v>2816</v>
      </c>
      <c r="C3492" s="32" t="s">
        <v>2818</v>
      </c>
      <c r="D3492" s="32" t="s">
        <v>114</v>
      </c>
      <c r="E3492" s="32" t="s">
        <v>165</v>
      </c>
      <c r="F3492" s="32" t="n">
        <v>8105834009</v>
      </c>
      <c r="G3492" s="32" t="s">
        <v>61</v>
      </c>
      <c r="H3492" s="32" t="s">
        <v>22</v>
      </c>
      <c r="I3492" s="32" t="s">
        <v>393</v>
      </c>
      <c r="J3492" s="32" t="s">
        <v>73</v>
      </c>
      <c r="K3492" s="32" t="s">
        <v>63</v>
      </c>
    </row>
    <row r="3493" customFormat="false" ht="13.5" hidden="false" customHeight="true" outlineLevel="0" collapsed="false">
      <c r="A3493" s="32" t="n">
        <v>5798</v>
      </c>
      <c r="B3493" s="32" t="s">
        <v>2816</v>
      </c>
      <c r="C3493" s="32" t="s">
        <v>2818</v>
      </c>
      <c r="D3493" s="32" t="s">
        <v>114</v>
      </c>
      <c r="E3493" s="32" t="s">
        <v>165</v>
      </c>
      <c r="F3493" s="32" t="n">
        <v>8105834009</v>
      </c>
      <c r="G3493" s="32" t="s">
        <v>61</v>
      </c>
      <c r="H3493" s="32" t="s">
        <v>22</v>
      </c>
      <c r="I3493" s="32" t="s">
        <v>27</v>
      </c>
      <c r="J3493" s="32" t="s">
        <v>13</v>
      </c>
      <c r="K3493" s="32" t="s">
        <v>63</v>
      </c>
    </row>
    <row r="3494" customFormat="false" ht="13.5" hidden="false" customHeight="true" outlineLevel="0" collapsed="false">
      <c r="A3494" s="32" t="n">
        <v>5799</v>
      </c>
      <c r="B3494" s="32" t="s">
        <v>2816</v>
      </c>
      <c r="C3494" s="32" t="s">
        <v>2818</v>
      </c>
      <c r="D3494" s="32" t="s">
        <v>114</v>
      </c>
      <c r="E3494" s="32" t="s">
        <v>165</v>
      </c>
      <c r="F3494" s="32" t="n">
        <v>8105834009</v>
      </c>
      <c r="G3494" s="32" t="s">
        <v>61</v>
      </c>
      <c r="H3494" s="32" t="s">
        <v>22</v>
      </c>
      <c r="I3494" s="32" t="s">
        <v>30</v>
      </c>
      <c r="J3494" s="32" t="s">
        <v>203</v>
      </c>
      <c r="K3494" s="32" t="s">
        <v>63</v>
      </c>
    </row>
    <row r="3495" customFormat="false" ht="13.5" hidden="false" customHeight="true" outlineLevel="0" collapsed="false">
      <c r="A3495" s="32" t="n">
        <v>5800</v>
      </c>
      <c r="B3495" s="32" t="s">
        <v>2819</v>
      </c>
      <c r="C3495" s="32" t="s">
        <v>2820</v>
      </c>
      <c r="D3495" s="32" t="s">
        <v>114</v>
      </c>
      <c r="E3495" s="32" t="s">
        <v>165</v>
      </c>
      <c r="F3495" s="32" t="n">
        <v>0</v>
      </c>
      <c r="G3495" s="32" t="s">
        <v>104</v>
      </c>
      <c r="H3495" s="32" t="s">
        <v>22</v>
      </c>
      <c r="I3495" s="32" t="s">
        <v>2457</v>
      </c>
      <c r="J3495" s="32" t="s">
        <v>89</v>
      </c>
      <c r="K3495" s="32" t="s">
        <v>63</v>
      </c>
    </row>
    <row r="3496" customFormat="false" ht="13.5" hidden="false" customHeight="true" outlineLevel="0" collapsed="false">
      <c r="A3496" s="32" t="n">
        <v>5801</v>
      </c>
      <c r="B3496" s="32" t="s">
        <v>2819</v>
      </c>
      <c r="C3496" s="32" t="s">
        <v>2821</v>
      </c>
      <c r="D3496" s="32" t="s">
        <v>114</v>
      </c>
      <c r="E3496" s="32" t="s">
        <v>165</v>
      </c>
      <c r="F3496" s="32" t="n">
        <v>9833181524</v>
      </c>
      <c r="G3496" s="32" t="s">
        <v>104</v>
      </c>
      <c r="H3496" s="32" t="s">
        <v>22</v>
      </c>
      <c r="I3496" s="32" t="s">
        <v>108</v>
      </c>
      <c r="J3496" s="32" t="s">
        <v>71</v>
      </c>
      <c r="K3496" s="32" t="s">
        <v>63</v>
      </c>
    </row>
    <row r="3497" customFormat="false" ht="13.5" hidden="false" customHeight="true" outlineLevel="0" collapsed="false">
      <c r="A3497" s="32" t="n">
        <v>5802</v>
      </c>
      <c r="B3497" s="32" t="s">
        <v>2819</v>
      </c>
      <c r="C3497" s="32" t="s">
        <v>2821</v>
      </c>
      <c r="D3497" s="32" t="s">
        <v>114</v>
      </c>
      <c r="E3497" s="32" t="s">
        <v>165</v>
      </c>
      <c r="F3497" s="32" t="n">
        <v>9833181524</v>
      </c>
      <c r="G3497" s="32" t="s">
        <v>104</v>
      </c>
      <c r="H3497" s="32" t="s">
        <v>22</v>
      </c>
      <c r="I3497" s="32" t="s">
        <v>30</v>
      </c>
      <c r="J3497" s="32" t="s">
        <v>203</v>
      </c>
      <c r="K3497" s="32" t="s">
        <v>63</v>
      </c>
    </row>
    <row r="3498" customFormat="false" ht="13.5" hidden="false" customHeight="true" outlineLevel="0" collapsed="false">
      <c r="A3498" s="32" t="n">
        <v>5803</v>
      </c>
      <c r="B3498" s="32" t="s">
        <v>2819</v>
      </c>
      <c r="C3498" s="32" t="s">
        <v>2820</v>
      </c>
      <c r="D3498" s="32" t="s">
        <v>114</v>
      </c>
      <c r="E3498" s="32" t="s">
        <v>165</v>
      </c>
      <c r="F3498" s="32" t="n">
        <v>0</v>
      </c>
      <c r="G3498" s="32" t="s">
        <v>104</v>
      </c>
      <c r="H3498" s="32" t="s">
        <v>22</v>
      </c>
      <c r="I3498" s="32" t="s">
        <v>245</v>
      </c>
      <c r="J3498" s="32" t="s">
        <v>71</v>
      </c>
      <c r="K3498" s="32" t="s">
        <v>63</v>
      </c>
    </row>
    <row r="3499" customFormat="false" ht="13.5" hidden="false" customHeight="true" outlineLevel="0" collapsed="false">
      <c r="A3499" s="32" t="n">
        <v>5807</v>
      </c>
      <c r="B3499" s="32" t="s">
        <v>2819</v>
      </c>
      <c r="C3499" s="32" t="s">
        <v>2820</v>
      </c>
      <c r="D3499" s="32" t="s">
        <v>114</v>
      </c>
      <c r="E3499" s="32" t="s">
        <v>165</v>
      </c>
      <c r="F3499" s="32" t="n">
        <v>0</v>
      </c>
      <c r="G3499" s="32" t="s">
        <v>104</v>
      </c>
      <c r="H3499" s="32" t="s">
        <v>22</v>
      </c>
      <c r="I3499" s="32" t="s">
        <v>629</v>
      </c>
      <c r="J3499" s="32" t="s">
        <v>203</v>
      </c>
      <c r="K3499" s="32" t="s">
        <v>63</v>
      </c>
    </row>
    <row r="3500" customFormat="false" ht="13.5" hidden="false" customHeight="true" outlineLevel="0" collapsed="false">
      <c r="A3500" s="32" t="n">
        <v>5808</v>
      </c>
      <c r="B3500" s="32" t="s">
        <v>2822</v>
      </c>
      <c r="C3500" s="32" t="s">
        <v>2823</v>
      </c>
      <c r="D3500" s="32" t="s">
        <v>59</v>
      </c>
      <c r="E3500" s="32" t="s">
        <v>107</v>
      </c>
      <c r="F3500" s="32" t="n">
        <v>9449395855</v>
      </c>
      <c r="G3500" s="32" t="s">
        <v>61</v>
      </c>
      <c r="H3500" s="32" t="s">
        <v>21</v>
      </c>
      <c r="I3500" s="32" t="s">
        <v>70</v>
      </c>
      <c r="J3500" s="32" t="s">
        <v>71</v>
      </c>
      <c r="K3500" s="32" t="s">
        <v>63</v>
      </c>
    </row>
    <row r="3501" customFormat="false" ht="13.5" hidden="false" customHeight="true" outlineLevel="0" collapsed="false">
      <c r="A3501" s="32" t="n">
        <v>5809</v>
      </c>
      <c r="B3501" s="32" t="s">
        <v>2822</v>
      </c>
      <c r="C3501" s="32" t="s">
        <v>2823</v>
      </c>
      <c r="D3501" s="32" t="s">
        <v>59</v>
      </c>
      <c r="E3501" s="32" t="s">
        <v>107</v>
      </c>
      <c r="F3501" s="32" t="n">
        <v>9449395855</v>
      </c>
      <c r="G3501" s="32" t="s">
        <v>61</v>
      </c>
      <c r="H3501" s="32" t="s">
        <v>21</v>
      </c>
      <c r="I3501" s="32" t="s">
        <v>385</v>
      </c>
      <c r="J3501" s="32" t="s">
        <v>71</v>
      </c>
      <c r="K3501" s="32" t="s">
        <v>63</v>
      </c>
    </row>
    <row r="3502" customFormat="false" ht="13.5" hidden="false" customHeight="true" outlineLevel="0" collapsed="false">
      <c r="A3502" s="32" t="n">
        <v>5810</v>
      </c>
      <c r="B3502" s="32" t="s">
        <v>2824</v>
      </c>
      <c r="C3502" s="32" t="s">
        <v>2825</v>
      </c>
      <c r="D3502" s="32" t="s">
        <v>114</v>
      </c>
      <c r="E3502" s="32" t="s">
        <v>115</v>
      </c>
      <c r="F3502" s="32" t="n">
        <v>9663611911</v>
      </c>
      <c r="G3502" s="32" t="s">
        <v>61</v>
      </c>
      <c r="H3502" s="32" t="s">
        <v>22</v>
      </c>
      <c r="I3502" s="32" t="s">
        <v>95</v>
      </c>
      <c r="J3502" s="32" t="s">
        <v>96</v>
      </c>
      <c r="K3502" s="32" t="s">
        <v>63</v>
      </c>
    </row>
    <row r="3503" customFormat="false" ht="13.5" hidden="false" customHeight="true" outlineLevel="0" collapsed="false">
      <c r="A3503" s="32" t="n">
        <v>5811</v>
      </c>
      <c r="B3503" s="32" t="s">
        <v>2826</v>
      </c>
      <c r="C3503" s="32" t="s">
        <v>2827</v>
      </c>
      <c r="D3503" s="32" t="s">
        <v>59</v>
      </c>
      <c r="E3503" s="32" t="s">
        <v>107</v>
      </c>
      <c r="F3503" s="33" t="n">
        <v>919007000000</v>
      </c>
      <c r="G3503" s="32" t="s">
        <v>80</v>
      </c>
      <c r="H3503" s="32" t="s">
        <v>21</v>
      </c>
      <c r="I3503" s="32" t="s">
        <v>1410</v>
      </c>
      <c r="J3503" s="32" t="s">
        <v>13</v>
      </c>
      <c r="K3503" s="32" t="s">
        <v>63</v>
      </c>
    </row>
    <row r="3504" customFormat="false" ht="13.5" hidden="false" customHeight="true" outlineLevel="0" collapsed="false">
      <c r="A3504" s="32" t="n">
        <v>5812</v>
      </c>
      <c r="B3504" s="32" t="s">
        <v>2828</v>
      </c>
      <c r="C3504" s="32" t="s">
        <v>2829</v>
      </c>
      <c r="D3504" s="32" t="s">
        <v>114</v>
      </c>
      <c r="E3504" s="32" t="s">
        <v>169</v>
      </c>
      <c r="F3504" s="32" t="n">
        <v>9072987549</v>
      </c>
      <c r="G3504" s="32" t="s">
        <v>80</v>
      </c>
      <c r="H3504" s="32" t="s">
        <v>22</v>
      </c>
      <c r="I3504" s="32" t="s">
        <v>217</v>
      </c>
      <c r="J3504" s="32" t="s">
        <v>132</v>
      </c>
      <c r="K3504" s="32" t="s">
        <v>63</v>
      </c>
    </row>
    <row r="3505" customFormat="false" ht="13.5" hidden="false" customHeight="true" outlineLevel="0" collapsed="false">
      <c r="A3505" s="32" t="n">
        <v>5813</v>
      </c>
      <c r="B3505" s="32" t="s">
        <v>2828</v>
      </c>
      <c r="C3505" s="32" t="s">
        <v>2830</v>
      </c>
      <c r="D3505" s="32" t="s">
        <v>114</v>
      </c>
      <c r="E3505" s="32" t="s">
        <v>169</v>
      </c>
      <c r="F3505" s="32" t="n">
        <v>9072987549</v>
      </c>
      <c r="G3505" s="32" t="s">
        <v>80</v>
      </c>
      <c r="H3505" s="32" t="s">
        <v>22</v>
      </c>
      <c r="I3505" s="32" t="s">
        <v>386</v>
      </c>
      <c r="J3505" s="32" t="s">
        <v>132</v>
      </c>
      <c r="K3505" s="32" t="s">
        <v>63</v>
      </c>
    </row>
    <row r="3506" customFormat="false" ht="13.5" hidden="false" customHeight="true" outlineLevel="0" collapsed="false">
      <c r="A3506" s="32" t="n">
        <v>5814</v>
      </c>
      <c r="B3506" s="32" t="s">
        <v>2828</v>
      </c>
      <c r="C3506" s="32" t="s">
        <v>2831</v>
      </c>
      <c r="D3506" s="32" t="s">
        <v>114</v>
      </c>
      <c r="E3506" s="32" t="s">
        <v>169</v>
      </c>
      <c r="F3506" s="32" t="n">
        <v>9072987549</v>
      </c>
      <c r="G3506" s="32" t="s">
        <v>61</v>
      </c>
      <c r="H3506" s="32" t="s">
        <v>22</v>
      </c>
      <c r="I3506" s="32" t="s">
        <v>156</v>
      </c>
      <c r="J3506" s="32" t="s">
        <v>62</v>
      </c>
      <c r="K3506" s="32" t="s">
        <v>63</v>
      </c>
    </row>
    <row r="3507" customFormat="false" ht="13.5" hidden="false" customHeight="true" outlineLevel="0" collapsed="false">
      <c r="A3507" s="32" t="n">
        <v>5815</v>
      </c>
      <c r="B3507" s="32" t="s">
        <v>2828</v>
      </c>
      <c r="C3507" s="32" t="s">
        <v>2831</v>
      </c>
      <c r="D3507" s="32" t="s">
        <v>114</v>
      </c>
      <c r="E3507" s="32" t="s">
        <v>169</v>
      </c>
      <c r="F3507" s="32" t="n">
        <v>9072987549</v>
      </c>
      <c r="G3507" s="32" t="s">
        <v>80</v>
      </c>
      <c r="H3507" s="32" t="s">
        <v>22</v>
      </c>
      <c r="I3507" s="32" t="s">
        <v>215</v>
      </c>
      <c r="J3507" s="32" t="s">
        <v>132</v>
      </c>
      <c r="K3507" s="32" t="s">
        <v>63</v>
      </c>
    </row>
    <row r="3508" customFormat="false" ht="13.5" hidden="false" customHeight="true" outlineLevel="0" collapsed="false">
      <c r="A3508" s="32" t="n">
        <v>5816</v>
      </c>
      <c r="B3508" s="32" t="s">
        <v>2828</v>
      </c>
      <c r="C3508" s="32" t="s">
        <v>2831</v>
      </c>
      <c r="D3508" s="32" t="s">
        <v>114</v>
      </c>
      <c r="E3508" s="32" t="s">
        <v>169</v>
      </c>
      <c r="F3508" s="32" t="n">
        <v>9072987549</v>
      </c>
      <c r="G3508" s="32" t="s">
        <v>61</v>
      </c>
      <c r="H3508" s="32" t="s">
        <v>22</v>
      </c>
      <c r="I3508" s="32" t="s">
        <v>728</v>
      </c>
      <c r="J3508" s="32" t="s">
        <v>132</v>
      </c>
      <c r="K3508" s="32" t="s">
        <v>63</v>
      </c>
    </row>
    <row r="3509" customFormat="false" ht="13.5" hidden="false" customHeight="true" outlineLevel="0" collapsed="false">
      <c r="A3509" s="32" t="n">
        <v>5817</v>
      </c>
      <c r="B3509" s="32" t="s">
        <v>2832</v>
      </c>
      <c r="C3509" s="32" t="s">
        <v>2833</v>
      </c>
      <c r="D3509" s="32" t="s">
        <v>331</v>
      </c>
      <c r="E3509" s="32" t="s">
        <v>278</v>
      </c>
      <c r="F3509" s="33" t="n">
        <v>919000000000</v>
      </c>
      <c r="G3509" s="32" t="s">
        <v>80</v>
      </c>
      <c r="H3509" s="32" t="s">
        <v>332</v>
      </c>
      <c r="I3509" s="32" t="s">
        <v>145</v>
      </c>
      <c r="J3509" s="32" t="s">
        <v>117</v>
      </c>
      <c r="K3509" s="32" t="s">
        <v>63</v>
      </c>
    </row>
    <row r="3510" customFormat="false" ht="13.5" hidden="false" customHeight="true" outlineLevel="0" collapsed="false">
      <c r="A3510" s="32" t="n">
        <v>5818</v>
      </c>
      <c r="B3510" s="32" t="s">
        <v>2834</v>
      </c>
      <c r="C3510" s="32" t="s">
        <v>2835</v>
      </c>
      <c r="D3510" s="32" t="s">
        <v>59</v>
      </c>
      <c r="E3510" s="32" t="s">
        <v>60</v>
      </c>
      <c r="F3510" s="32" t="n">
        <v>9969770027</v>
      </c>
      <c r="G3510" s="32" t="s">
        <v>104</v>
      </c>
      <c r="H3510" s="32" t="s">
        <v>21</v>
      </c>
      <c r="I3510" s="32" t="s">
        <v>494</v>
      </c>
      <c r="J3510" s="32" t="s">
        <v>71</v>
      </c>
      <c r="K3510" s="32" t="s">
        <v>63</v>
      </c>
    </row>
    <row r="3511" customFormat="false" ht="13.5" hidden="false" customHeight="true" outlineLevel="0" collapsed="false">
      <c r="A3511" s="32" t="n">
        <v>5819</v>
      </c>
      <c r="B3511" s="32" t="s">
        <v>2834</v>
      </c>
      <c r="C3511" s="32" t="s">
        <v>2835</v>
      </c>
      <c r="D3511" s="32" t="s">
        <v>59</v>
      </c>
      <c r="E3511" s="32" t="s">
        <v>60</v>
      </c>
      <c r="F3511" s="32" t="n">
        <v>9969770027</v>
      </c>
      <c r="G3511" s="32" t="s">
        <v>104</v>
      </c>
      <c r="H3511" s="32" t="s">
        <v>21</v>
      </c>
      <c r="I3511" s="32" t="s">
        <v>516</v>
      </c>
      <c r="J3511" s="32" t="s">
        <v>66</v>
      </c>
      <c r="K3511" s="32" t="s">
        <v>63</v>
      </c>
    </row>
    <row r="3512" customFormat="false" ht="13.5" hidden="false" customHeight="true" outlineLevel="0" collapsed="false">
      <c r="A3512" s="32" t="n">
        <v>5820</v>
      </c>
      <c r="B3512" s="32" t="s">
        <v>2834</v>
      </c>
      <c r="C3512" s="32" t="s">
        <v>2835</v>
      </c>
      <c r="D3512" s="32" t="s">
        <v>59</v>
      </c>
      <c r="E3512" s="32" t="s">
        <v>60</v>
      </c>
      <c r="F3512" s="32" t="n">
        <v>9969770027</v>
      </c>
      <c r="G3512" s="32" t="s">
        <v>104</v>
      </c>
      <c r="H3512" s="32" t="s">
        <v>21</v>
      </c>
      <c r="I3512" s="32" t="s">
        <v>156</v>
      </c>
      <c r="J3512" s="32" t="s">
        <v>62</v>
      </c>
      <c r="K3512" s="32" t="s">
        <v>63</v>
      </c>
    </row>
    <row r="3513" customFormat="false" ht="13.5" hidden="false" customHeight="true" outlineLevel="0" collapsed="false">
      <c r="A3513" s="32" t="n">
        <v>5821</v>
      </c>
      <c r="B3513" s="32" t="s">
        <v>2834</v>
      </c>
      <c r="C3513" s="32" t="s">
        <v>2835</v>
      </c>
      <c r="D3513" s="32" t="s">
        <v>59</v>
      </c>
      <c r="E3513" s="32" t="s">
        <v>60</v>
      </c>
      <c r="F3513" s="32" t="n">
        <v>9969770027</v>
      </c>
      <c r="G3513" s="32" t="s">
        <v>104</v>
      </c>
      <c r="H3513" s="32" t="s">
        <v>21</v>
      </c>
      <c r="I3513" s="32" t="s">
        <v>610</v>
      </c>
      <c r="J3513" s="32" t="s">
        <v>82</v>
      </c>
      <c r="K3513" s="32" t="s">
        <v>63</v>
      </c>
    </row>
    <row r="3514" customFormat="false" ht="13.5" hidden="false" customHeight="true" outlineLevel="0" collapsed="false">
      <c r="A3514" s="32" t="n">
        <v>5822</v>
      </c>
      <c r="B3514" s="32" t="s">
        <v>2834</v>
      </c>
      <c r="C3514" s="32" t="s">
        <v>2835</v>
      </c>
      <c r="D3514" s="32" t="s">
        <v>59</v>
      </c>
      <c r="E3514" s="32" t="s">
        <v>60</v>
      </c>
      <c r="F3514" s="32" t="n">
        <v>9969770027</v>
      </c>
      <c r="G3514" s="32" t="s">
        <v>104</v>
      </c>
      <c r="H3514" s="32" t="s">
        <v>21</v>
      </c>
      <c r="I3514" s="32" t="s">
        <v>29</v>
      </c>
      <c r="J3514" s="32" t="s">
        <v>62</v>
      </c>
      <c r="K3514" s="32" t="s">
        <v>63</v>
      </c>
    </row>
    <row r="3515" customFormat="false" ht="13.5" hidden="false" customHeight="true" outlineLevel="0" collapsed="false">
      <c r="A3515" s="32" t="n">
        <v>5823</v>
      </c>
      <c r="B3515" s="32" t="s">
        <v>2834</v>
      </c>
      <c r="C3515" s="32" t="s">
        <v>2836</v>
      </c>
      <c r="D3515" s="32" t="s">
        <v>59</v>
      </c>
      <c r="E3515" s="32" t="s">
        <v>60</v>
      </c>
      <c r="F3515" s="32" t="n">
        <v>9969770027</v>
      </c>
      <c r="G3515" s="32" t="s">
        <v>61</v>
      </c>
      <c r="H3515" s="32" t="s">
        <v>21</v>
      </c>
      <c r="I3515" s="32" t="s">
        <v>14</v>
      </c>
      <c r="J3515" s="32" t="s">
        <v>66</v>
      </c>
      <c r="K3515" s="32" t="s">
        <v>63</v>
      </c>
    </row>
    <row r="3516" customFormat="false" ht="13.5" hidden="false" customHeight="true" outlineLevel="0" collapsed="false">
      <c r="A3516" s="32" t="n">
        <v>5824</v>
      </c>
      <c r="B3516" s="32" t="s">
        <v>2837</v>
      </c>
      <c r="C3516" s="32" t="s">
        <v>2838</v>
      </c>
      <c r="D3516" s="32" t="s">
        <v>114</v>
      </c>
      <c r="E3516" s="32" t="s">
        <v>115</v>
      </c>
      <c r="F3516" s="32" t="n">
        <v>0</v>
      </c>
      <c r="G3516" s="32" t="s">
        <v>104</v>
      </c>
      <c r="H3516" s="32" t="s">
        <v>22</v>
      </c>
      <c r="I3516" s="32" t="s">
        <v>149</v>
      </c>
      <c r="J3516" s="32" t="s">
        <v>73</v>
      </c>
      <c r="K3516" s="32" t="s">
        <v>63</v>
      </c>
    </row>
    <row r="3517" customFormat="false" ht="13.5" hidden="false" customHeight="true" outlineLevel="0" collapsed="false">
      <c r="A3517" s="32" t="n">
        <v>5825</v>
      </c>
      <c r="B3517" s="32" t="s">
        <v>2837</v>
      </c>
      <c r="C3517" s="32" t="s">
        <v>2839</v>
      </c>
      <c r="D3517" s="32" t="s">
        <v>114</v>
      </c>
      <c r="E3517" s="32" t="s">
        <v>115</v>
      </c>
      <c r="F3517" s="32" t="n">
        <v>0</v>
      </c>
      <c r="G3517" s="32" t="s">
        <v>104</v>
      </c>
      <c r="H3517" s="32" t="s">
        <v>22</v>
      </c>
      <c r="I3517" s="32" t="s">
        <v>30</v>
      </c>
      <c r="J3517" s="32" t="s">
        <v>203</v>
      </c>
      <c r="K3517" s="32" t="s">
        <v>63</v>
      </c>
    </row>
    <row r="3518" customFormat="false" ht="13.5" hidden="false" customHeight="true" outlineLevel="0" collapsed="false">
      <c r="A3518" s="32" t="n">
        <v>5826</v>
      </c>
      <c r="B3518" s="32" t="s">
        <v>2837</v>
      </c>
      <c r="C3518" s="32" t="s">
        <v>2839</v>
      </c>
      <c r="D3518" s="32" t="s">
        <v>114</v>
      </c>
      <c r="E3518" s="32" t="s">
        <v>115</v>
      </c>
      <c r="F3518" s="32" t="n">
        <v>0</v>
      </c>
      <c r="G3518" s="32" t="s">
        <v>104</v>
      </c>
      <c r="H3518" s="32" t="s">
        <v>22</v>
      </c>
      <c r="I3518" s="32" t="s">
        <v>393</v>
      </c>
      <c r="J3518" s="32" t="s">
        <v>73</v>
      </c>
      <c r="K3518" s="32" t="s">
        <v>63</v>
      </c>
    </row>
    <row r="3519" customFormat="false" ht="13.5" hidden="false" customHeight="true" outlineLevel="0" collapsed="false">
      <c r="A3519" s="32" t="n">
        <v>5827</v>
      </c>
      <c r="B3519" s="32" t="s">
        <v>2837</v>
      </c>
      <c r="C3519" s="32" t="s">
        <v>2839</v>
      </c>
      <c r="D3519" s="32" t="s">
        <v>114</v>
      </c>
      <c r="E3519" s="32" t="s">
        <v>115</v>
      </c>
      <c r="F3519" s="32" t="n">
        <v>0</v>
      </c>
      <c r="G3519" s="32" t="s">
        <v>104</v>
      </c>
      <c r="H3519" s="32" t="s">
        <v>22</v>
      </c>
      <c r="I3519" s="32" t="s">
        <v>116</v>
      </c>
      <c r="J3519" s="32" t="s">
        <v>117</v>
      </c>
      <c r="K3519" s="32" t="s">
        <v>63</v>
      </c>
    </row>
    <row r="3520" customFormat="false" ht="13.5" hidden="false" customHeight="true" outlineLevel="0" collapsed="false">
      <c r="A3520" s="32" t="n">
        <v>5828</v>
      </c>
      <c r="B3520" s="32" t="s">
        <v>2840</v>
      </c>
      <c r="C3520" s="32" t="s">
        <v>2841</v>
      </c>
      <c r="D3520" s="32" t="s">
        <v>114</v>
      </c>
      <c r="E3520" s="32" t="s">
        <v>115</v>
      </c>
      <c r="F3520" s="33" t="n">
        <v>917759000000</v>
      </c>
      <c r="G3520" s="32" t="s">
        <v>69</v>
      </c>
      <c r="H3520" s="32" t="s">
        <v>22</v>
      </c>
      <c r="I3520" s="32" t="s">
        <v>16</v>
      </c>
      <c r="J3520" s="32" t="s">
        <v>73</v>
      </c>
      <c r="K3520" s="32" t="s">
        <v>63</v>
      </c>
    </row>
    <row r="3521" customFormat="false" ht="13.5" hidden="false" customHeight="true" outlineLevel="0" collapsed="false">
      <c r="A3521" s="32" t="n">
        <v>5829</v>
      </c>
      <c r="B3521" s="32" t="s">
        <v>2840</v>
      </c>
      <c r="C3521" s="32" t="s">
        <v>2842</v>
      </c>
      <c r="D3521" s="32" t="s">
        <v>114</v>
      </c>
      <c r="E3521" s="32" t="s">
        <v>115</v>
      </c>
      <c r="F3521" s="33" t="n">
        <v>917759000000</v>
      </c>
      <c r="G3521" s="32" t="s">
        <v>69</v>
      </c>
      <c r="H3521" s="32" t="s">
        <v>22</v>
      </c>
      <c r="I3521" s="32" t="s">
        <v>30</v>
      </c>
      <c r="J3521" s="32" t="s">
        <v>203</v>
      </c>
      <c r="K3521" s="32" t="s">
        <v>63</v>
      </c>
    </row>
    <row r="3522" customFormat="false" ht="13.5" hidden="false" customHeight="true" outlineLevel="0" collapsed="false">
      <c r="A3522" s="32" t="n">
        <v>5830</v>
      </c>
      <c r="B3522" s="32" t="s">
        <v>2840</v>
      </c>
      <c r="C3522" s="32" t="s">
        <v>2842</v>
      </c>
      <c r="D3522" s="32" t="s">
        <v>114</v>
      </c>
      <c r="E3522" s="32" t="s">
        <v>115</v>
      </c>
      <c r="F3522" s="32" t="n">
        <v>7276368488</v>
      </c>
      <c r="G3522" s="32" t="s">
        <v>69</v>
      </c>
      <c r="H3522" s="32" t="s">
        <v>22</v>
      </c>
      <c r="I3522" s="32" t="s">
        <v>133</v>
      </c>
      <c r="J3522" s="32" t="s">
        <v>134</v>
      </c>
      <c r="K3522" s="32" t="s">
        <v>63</v>
      </c>
    </row>
    <row r="3523" customFormat="false" ht="13.5" hidden="false" customHeight="true" outlineLevel="0" collapsed="false">
      <c r="A3523" s="32" t="n">
        <v>5831</v>
      </c>
      <c r="B3523" s="32" t="s">
        <v>2840</v>
      </c>
      <c r="C3523" s="32" t="s">
        <v>2842</v>
      </c>
      <c r="D3523" s="32" t="s">
        <v>114</v>
      </c>
      <c r="E3523" s="32" t="s">
        <v>115</v>
      </c>
      <c r="F3523" s="33" t="n">
        <v>917759000000</v>
      </c>
      <c r="G3523" s="32" t="s">
        <v>69</v>
      </c>
      <c r="H3523" s="32" t="s">
        <v>22</v>
      </c>
      <c r="I3523" s="32" t="s">
        <v>116</v>
      </c>
      <c r="J3523" s="32" t="s">
        <v>117</v>
      </c>
      <c r="K3523" s="32" t="s">
        <v>63</v>
      </c>
    </row>
    <row r="3524" customFormat="false" ht="13.5" hidden="false" customHeight="true" outlineLevel="0" collapsed="false">
      <c r="A3524" s="32" t="n">
        <v>5832</v>
      </c>
      <c r="B3524" s="32" t="s">
        <v>2843</v>
      </c>
      <c r="C3524" s="32" t="s">
        <v>2844</v>
      </c>
      <c r="D3524" s="32" t="s">
        <v>59</v>
      </c>
      <c r="E3524" s="32" t="s">
        <v>107</v>
      </c>
      <c r="F3524" s="32" t="n">
        <v>6263515302</v>
      </c>
      <c r="G3524" s="32" t="s">
        <v>104</v>
      </c>
      <c r="H3524" s="32" t="s">
        <v>21</v>
      </c>
      <c r="I3524" s="32" t="s">
        <v>1632</v>
      </c>
      <c r="J3524" s="32" t="s">
        <v>388</v>
      </c>
      <c r="K3524" s="32" t="s">
        <v>63</v>
      </c>
    </row>
    <row r="3525" customFormat="false" ht="13.5" hidden="false" customHeight="true" outlineLevel="0" collapsed="false">
      <c r="A3525" s="32" t="n">
        <v>5833</v>
      </c>
      <c r="B3525" s="32" t="s">
        <v>2843</v>
      </c>
      <c r="C3525" s="32" t="s">
        <v>2844</v>
      </c>
      <c r="D3525" s="32" t="s">
        <v>59</v>
      </c>
      <c r="E3525" s="32" t="s">
        <v>107</v>
      </c>
      <c r="F3525" s="32" t="n">
        <v>6263515302</v>
      </c>
      <c r="G3525" s="32" t="s">
        <v>104</v>
      </c>
      <c r="H3525" s="32" t="s">
        <v>21</v>
      </c>
      <c r="I3525" s="32" t="s">
        <v>2845</v>
      </c>
      <c r="J3525" s="32" t="s">
        <v>290</v>
      </c>
      <c r="K3525" s="32" t="s">
        <v>63</v>
      </c>
    </row>
    <row r="3526" customFormat="false" ht="13.5" hidden="false" customHeight="true" outlineLevel="0" collapsed="false">
      <c r="A3526" s="32" t="n">
        <v>5834</v>
      </c>
      <c r="B3526" s="32" t="s">
        <v>2843</v>
      </c>
      <c r="C3526" s="32" t="s">
        <v>2844</v>
      </c>
      <c r="D3526" s="32" t="s">
        <v>59</v>
      </c>
      <c r="E3526" s="32" t="s">
        <v>107</v>
      </c>
      <c r="F3526" s="32" t="n">
        <v>6263515302</v>
      </c>
      <c r="G3526" s="32" t="s">
        <v>104</v>
      </c>
      <c r="H3526" s="32" t="s">
        <v>21</v>
      </c>
      <c r="I3526" s="32" t="s">
        <v>76</v>
      </c>
      <c r="J3526" s="32" t="s">
        <v>76</v>
      </c>
      <c r="K3526" s="32" t="s">
        <v>63</v>
      </c>
    </row>
    <row r="3527" customFormat="false" ht="13.5" hidden="false" customHeight="true" outlineLevel="0" collapsed="false">
      <c r="A3527" s="32" t="n">
        <v>5835</v>
      </c>
      <c r="B3527" s="32" t="s">
        <v>2843</v>
      </c>
      <c r="C3527" s="32" t="s">
        <v>2844</v>
      </c>
      <c r="D3527" s="32" t="s">
        <v>59</v>
      </c>
      <c r="E3527" s="32" t="s">
        <v>107</v>
      </c>
      <c r="F3527" s="32" t="n">
        <v>6263515302</v>
      </c>
      <c r="G3527" s="32" t="s">
        <v>104</v>
      </c>
      <c r="H3527" s="32" t="s">
        <v>21</v>
      </c>
      <c r="I3527" s="32" t="s">
        <v>289</v>
      </c>
      <c r="J3527" s="32" t="s">
        <v>290</v>
      </c>
      <c r="K3527" s="32" t="s">
        <v>63</v>
      </c>
    </row>
    <row r="3528" customFormat="false" ht="13.5" hidden="false" customHeight="true" outlineLevel="0" collapsed="false">
      <c r="A3528" s="32" t="n">
        <v>5836</v>
      </c>
      <c r="B3528" s="32" t="s">
        <v>2843</v>
      </c>
      <c r="C3528" s="32" t="s">
        <v>2844</v>
      </c>
      <c r="D3528" s="32" t="s">
        <v>59</v>
      </c>
      <c r="E3528" s="32" t="s">
        <v>107</v>
      </c>
      <c r="F3528" s="32" t="n">
        <v>6263515302</v>
      </c>
      <c r="G3528" s="32" t="s">
        <v>104</v>
      </c>
      <c r="H3528" s="32" t="s">
        <v>21</v>
      </c>
      <c r="I3528" s="32" t="s">
        <v>2846</v>
      </c>
      <c r="J3528" s="32" t="s">
        <v>76</v>
      </c>
      <c r="K3528" s="32" t="s">
        <v>63</v>
      </c>
    </row>
    <row r="3529" customFormat="false" ht="13.5" hidden="false" customHeight="true" outlineLevel="0" collapsed="false">
      <c r="A3529" s="32" t="n">
        <v>5837</v>
      </c>
      <c r="B3529" s="32" t="s">
        <v>2843</v>
      </c>
      <c r="C3529" s="32" t="s">
        <v>2844</v>
      </c>
      <c r="D3529" s="32" t="s">
        <v>59</v>
      </c>
      <c r="E3529" s="32" t="s">
        <v>107</v>
      </c>
      <c r="F3529" s="32" t="n">
        <v>6263515302</v>
      </c>
      <c r="G3529" s="32" t="s">
        <v>104</v>
      </c>
      <c r="H3529" s="32" t="s">
        <v>21</v>
      </c>
      <c r="I3529" s="32" t="s">
        <v>108</v>
      </c>
      <c r="J3529" s="32" t="s">
        <v>71</v>
      </c>
      <c r="K3529" s="32" t="s">
        <v>63</v>
      </c>
    </row>
    <row r="3530" customFormat="false" ht="13.5" hidden="false" customHeight="true" outlineLevel="0" collapsed="false">
      <c r="A3530" s="32" t="n">
        <v>5838</v>
      </c>
      <c r="B3530" s="32" t="s">
        <v>2843</v>
      </c>
      <c r="C3530" s="32" t="s">
        <v>2844</v>
      </c>
      <c r="D3530" s="32" t="s">
        <v>59</v>
      </c>
      <c r="E3530" s="32" t="s">
        <v>107</v>
      </c>
      <c r="F3530" s="32" t="n">
        <v>6263515302</v>
      </c>
      <c r="G3530" s="32" t="s">
        <v>104</v>
      </c>
      <c r="H3530" s="32" t="s">
        <v>21</v>
      </c>
      <c r="I3530" s="32" t="s">
        <v>2054</v>
      </c>
      <c r="J3530" s="32" t="s">
        <v>319</v>
      </c>
      <c r="K3530" s="32" t="s">
        <v>63</v>
      </c>
    </row>
    <row r="3531" customFormat="false" ht="13.5" hidden="false" customHeight="true" outlineLevel="0" collapsed="false">
      <c r="A3531" s="32" t="n">
        <v>5840</v>
      </c>
      <c r="B3531" s="32" t="s">
        <v>2843</v>
      </c>
      <c r="C3531" s="32" t="s">
        <v>2844</v>
      </c>
      <c r="D3531" s="32" t="s">
        <v>59</v>
      </c>
      <c r="E3531" s="32" t="s">
        <v>107</v>
      </c>
      <c r="F3531" s="32" t="n">
        <v>6263515302</v>
      </c>
      <c r="G3531" s="32" t="s">
        <v>104</v>
      </c>
      <c r="H3531" s="32" t="s">
        <v>21</v>
      </c>
      <c r="I3531" s="32" t="s">
        <v>111</v>
      </c>
      <c r="J3531" s="32" t="s">
        <v>73</v>
      </c>
      <c r="K3531" s="32" t="s">
        <v>63</v>
      </c>
    </row>
    <row r="3532" customFormat="false" ht="13.5" hidden="false" customHeight="true" outlineLevel="0" collapsed="false">
      <c r="A3532" s="32" t="n">
        <v>5841</v>
      </c>
      <c r="B3532" s="32" t="s">
        <v>2843</v>
      </c>
      <c r="C3532" s="32" t="s">
        <v>2844</v>
      </c>
      <c r="D3532" s="32" t="s">
        <v>59</v>
      </c>
      <c r="E3532" s="32" t="s">
        <v>107</v>
      </c>
      <c r="F3532" s="32" t="n">
        <v>6263515302</v>
      </c>
      <c r="G3532" s="32" t="s">
        <v>104</v>
      </c>
      <c r="H3532" s="32" t="s">
        <v>21</v>
      </c>
      <c r="I3532" s="32" t="s">
        <v>85</v>
      </c>
      <c r="J3532" s="32" t="s">
        <v>85</v>
      </c>
      <c r="K3532" s="32" t="s">
        <v>63</v>
      </c>
    </row>
    <row r="3533" customFormat="false" ht="13.5" hidden="false" customHeight="true" outlineLevel="0" collapsed="false">
      <c r="A3533" s="32" t="n">
        <v>5842</v>
      </c>
      <c r="B3533" s="32" t="s">
        <v>2843</v>
      </c>
      <c r="C3533" s="32" t="s">
        <v>2844</v>
      </c>
      <c r="D3533" s="32" t="s">
        <v>59</v>
      </c>
      <c r="E3533" s="32" t="s">
        <v>107</v>
      </c>
      <c r="F3533" s="32" t="n">
        <v>6263515302</v>
      </c>
      <c r="G3533" s="32" t="s">
        <v>104</v>
      </c>
      <c r="H3533" s="32" t="s">
        <v>21</v>
      </c>
      <c r="I3533" s="32" t="s">
        <v>133</v>
      </c>
      <c r="J3533" s="32" t="s">
        <v>134</v>
      </c>
      <c r="K3533" s="32" t="s">
        <v>63</v>
      </c>
    </row>
    <row r="3534" customFormat="false" ht="13.5" hidden="false" customHeight="true" outlineLevel="0" collapsed="false">
      <c r="A3534" s="32" t="n">
        <v>5843</v>
      </c>
      <c r="B3534" s="32" t="s">
        <v>2843</v>
      </c>
      <c r="C3534" s="32" t="s">
        <v>2844</v>
      </c>
      <c r="D3534" s="32" t="s">
        <v>59</v>
      </c>
      <c r="E3534" s="32" t="s">
        <v>107</v>
      </c>
      <c r="F3534" s="32" t="n">
        <v>6263515302</v>
      </c>
      <c r="G3534" s="32" t="s">
        <v>104</v>
      </c>
      <c r="H3534" s="32" t="s">
        <v>21</v>
      </c>
      <c r="I3534" s="32" t="s">
        <v>2847</v>
      </c>
      <c r="J3534" s="32" t="s">
        <v>85</v>
      </c>
      <c r="K3534" s="32" t="s">
        <v>63</v>
      </c>
    </row>
    <row r="3535" customFormat="false" ht="13.5" hidden="false" customHeight="true" outlineLevel="0" collapsed="false">
      <c r="A3535" s="32" t="n">
        <v>5844</v>
      </c>
      <c r="B3535" s="32" t="s">
        <v>2848</v>
      </c>
      <c r="C3535" s="32" t="s">
        <v>2849</v>
      </c>
      <c r="D3535" s="32" t="s">
        <v>114</v>
      </c>
      <c r="E3535" s="32" t="s">
        <v>165</v>
      </c>
      <c r="F3535" s="32" t="n">
        <v>8820165713</v>
      </c>
      <c r="G3535" s="32" t="s">
        <v>61</v>
      </c>
      <c r="H3535" s="32" t="s">
        <v>22</v>
      </c>
      <c r="I3535" s="32" t="s">
        <v>245</v>
      </c>
      <c r="J3535" s="32" t="s">
        <v>71</v>
      </c>
      <c r="K3535" s="32" t="s">
        <v>63</v>
      </c>
    </row>
    <row r="3536" customFormat="false" ht="13.5" hidden="false" customHeight="true" outlineLevel="0" collapsed="false">
      <c r="A3536" s="32" t="n">
        <v>5845</v>
      </c>
      <c r="B3536" s="32" t="s">
        <v>2848</v>
      </c>
      <c r="C3536" s="32" t="s">
        <v>2849</v>
      </c>
      <c r="D3536" s="32" t="s">
        <v>114</v>
      </c>
      <c r="E3536" s="32" t="s">
        <v>165</v>
      </c>
      <c r="F3536" s="32" t="n">
        <v>8820165713</v>
      </c>
      <c r="G3536" s="32" t="s">
        <v>61</v>
      </c>
      <c r="H3536" s="32" t="s">
        <v>22</v>
      </c>
      <c r="I3536" s="32" t="s">
        <v>108</v>
      </c>
      <c r="J3536" s="32" t="s">
        <v>71</v>
      </c>
      <c r="K3536" s="32" t="s">
        <v>63</v>
      </c>
    </row>
    <row r="3537" customFormat="false" ht="13.5" hidden="false" customHeight="true" outlineLevel="0" collapsed="false">
      <c r="A3537" s="32" t="n">
        <v>5846</v>
      </c>
      <c r="B3537" s="32" t="s">
        <v>2848</v>
      </c>
      <c r="C3537" s="32" t="s">
        <v>2850</v>
      </c>
      <c r="D3537" s="32" t="s">
        <v>114</v>
      </c>
      <c r="E3537" s="32" t="s">
        <v>165</v>
      </c>
      <c r="F3537" s="32" t="n">
        <v>8820165713</v>
      </c>
      <c r="G3537" s="32" t="s">
        <v>61</v>
      </c>
      <c r="H3537" s="32" t="s">
        <v>22</v>
      </c>
      <c r="I3537" s="32" t="s">
        <v>630</v>
      </c>
      <c r="J3537" s="32" t="s">
        <v>71</v>
      </c>
      <c r="K3537" s="32" t="s">
        <v>63</v>
      </c>
    </row>
    <row r="3538" customFormat="false" ht="13.5" hidden="false" customHeight="true" outlineLevel="0" collapsed="false">
      <c r="A3538" s="32" t="n">
        <v>5847</v>
      </c>
      <c r="B3538" s="32" t="s">
        <v>2848</v>
      </c>
      <c r="C3538" s="32" t="s">
        <v>2849</v>
      </c>
      <c r="D3538" s="32" t="s">
        <v>114</v>
      </c>
      <c r="E3538" s="32" t="s">
        <v>165</v>
      </c>
      <c r="F3538" s="32" t="n">
        <v>8820165713</v>
      </c>
      <c r="G3538" s="32" t="s">
        <v>61</v>
      </c>
      <c r="H3538" s="32" t="s">
        <v>22</v>
      </c>
      <c r="I3538" s="32" t="s">
        <v>111</v>
      </c>
      <c r="J3538" s="32" t="s">
        <v>73</v>
      </c>
      <c r="K3538" s="32" t="s">
        <v>63</v>
      </c>
    </row>
    <row r="3539" customFormat="false" ht="13.5" hidden="false" customHeight="true" outlineLevel="0" collapsed="false">
      <c r="A3539" s="32" t="n">
        <v>5848</v>
      </c>
      <c r="B3539" s="32" t="s">
        <v>2848</v>
      </c>
      <c r="C3539" s="32" t="s">
        <v>2849</v>
      </c>
      <c r="D3539" s="32" t="s">
        <v>114</v>
      </c>
      <c r="E3539" s="32" t="s">
        <v>165</v>
      </c>
      <c r="F3539" s="32" t="n">
        <v>8820165713</v>
      </c>
      <c r="G3539" s="32" t="s">
        <v>61</v>
      </c>
      <c r="H3539" s="32" t="s">
        <v>22</v>
      </c>
      <c r="I3539" s="32" t="s">
        <v>280</v>
      </c>
      <c r="J3539" s="32" t="s">
        <v>76</v>
      </c>
      <c r="K3539" s="32" t="s">
        <v>63</v>
      </c>
    </row>
    <row r="3540" customFormat="false" ht="13.5" hidden="false" customHeight="true" outlineLevel="0" collapsed="false">
      <c r="A3540" s="32" t="n">
        <v>5849</v>
      </c>
      <c r="B3540" s="32" t="s">
        <v>2851</v>
      </c>
      <c r="C3540" s="32" t="s">
        <v>2852</v>
      </c>
      <c r="D3540" s="32" t="s">
        <v>102</v>
      </c>
      <c r="E3540" s="32" t="s">
        <v>155</v>
      </c>
      <c r="F3540" s="33" t="n">
        <v>919610000000</v>
      </c>
      <c r="G3540" s="32" t="s">
        <v>140</v>
      </c>
      <c r="H3540" s="32" t="s">
        <v>21</v>
      </c>
      <c r="I3540" s="32" t="s">
        <v>76</v>
      </c>
      <c r="J3540" s="32" t="s">
        <v>76</v>
      </c>
      <c r="K3540" s="32" t="s">
        <v>63</v>
      </c>
    </row>
    <row r="3541" customFormat="false" ht="13.5" hidden="false" customHeight="true" outlineLevel="0" collapsed="false">
      <c r="A3541" s="32" t="n">
        <v>5850</v>
      </c>
      <c r="B3541" s="32" t="s">
        <v>2853</v>
      </c>
      <c r="C3541" s="32" t="s">
        <v>2854</v>
      </c>
      <c r="D3541" s="32" t="s">
        <v>331</v>
      </c>
      <c r="E3541" s="32" t="n">
        <v>0</v>
      </c>
      <c r="F3541" s="32" t="n">
        <v>9819024962</v>
      </c>
      <c r="G3541" s="32" t="s">
        <v>104</v>
      </c>
      <c r="H3541" s="32" t="s">
        <v>332</v>
      </c>
      <c r="I3541" s="32" t="s">
        <v>248</v>
      </c>
      <c r="J3541" s="32" t="s">
        <v>117</v>
      </c>
      <c r="K3541" s="32" t="s">
        <v>63</v>
      </c>
    </row>
    <row r="3542" customFormat="false" ht="13.5" hidden="false" customHeight="true" outlineLevel="0" collapsed="false">
      <c r="A3542" s="32" t="n">
        <v>5851</v>
      </c>
      <c r="B3542" s="32" t="s">
        <v>2853</v>
      </c>
      <c r="C3542" s="32" t="s">
        <v>2854</v>
      </c>
      <c r="D3542" s="32" t="s">
        <v>331</v>
      </c>
      <c r="E3542" s="32" t="n">
        <v>0</v>
      </c>
      <c r="F3542" s="32" t="n">
        <v>9819024962</v>
      </c>
      <c r="G3542" s="32" t="s">
        <v>104</v>
      </c>
      <c r="H3542" s="32" t="s">
        <v>332</v>
      </c>
      <c r="I3542" s="32" t="s">
        <v>85</v>
      </c>
      <c r="J3542" s="32" t="s">
        <v>85</v>
      </c>
      <c r="K3542" s="32" t="s">
        <v>63</v>
      </c>
    </row>
    <row r="3543" customFormat="false" ht="13.5" hidden="false" customHeight="true" outlineLevel="0" collapsed="false">
      <c r="A3543" s="32" t="n">
        <v>5852</v>
      </c>
      <c r="B3543" s="32" t="s">
        <v>2855</v>
      </c>
      <c r="C3543" s="32" t="s">
        <v>2856</v>
      </c>
      <c r="D3543" s="32" t="s">
        <v>59</v>
      </c>
      <c r="E3543" s="32" t="s">
        <v>107</v>
      </c>
      <c r="F3543" s="32" t="n">
        <v>8099725344</v>
      </c>
      <c r="G3543" s="32" t="s">
        <v>80</v>
      </c>
      <c r="H3543" s="32" t="s">
        <v>21</v>
      </c>
      <c r="I3543" s="32" t="s">
        <v>215</v>
      </c>
      <c r="J3543" s="32" t="s">
        <v>132</v>
      </c>
      <c r="K3543" s="32" t="s">
        <v>63</v>
      </c>
    </row>
    <row r="3544" customFormat="false" ht="13.5" hidden="false" customHeight="true" outlineLevel="0" collapsed="false">
      <c r="A3544" s="32" t="n">
        <v>5853</v>
      </c>
      <c r="B3544" s="32" t="s">
        <v>2855</v>
      </c>
      <c r="C3544" s="32" t="s">
        <v>2856</v>
      </c>
      <c r="D3544" s="32" t="s">
        <v>59</v>
      </c>
      <c r="E3544" s="32" t="s">
        <v>107</v>
      </c>
      <c r="F3544" s="32" t="n">
        <v>8099725344</v>
      </c>
      <c r="G3544" s="32" t="s">
        <v>80</v>
      </c>
      <c r="H3544" s="32" t="s">
        <v>21</v>
      </c>
      <c r="I3544" s="32" t="s">
        <v>386</v>
      </c>
      <c r="J3544" s="32" t="s">
        <v>132</v>
      </c>
      <c r="K3544" s="32" t="s">
        <v>63</v>
      </c>
    </row>
    <row r="3545" customFormat="false" ht="13.5" hidden="false" customHeight="true" outlineLevel="0" collapsed="false">
      <c r="A3545" s="32" t="n">
        <v>5854</v>
      </c>
      <c r="B3545" s="32" t="s">
        <v>2857</v>
      </c>
      <c r="C3545" s="32" t="s">
        <v>2858</v>
      </c>
      <c r="D3545" s="32" t="s">
        <v>114</v>
      </c>
      <c r="E3545" s="32" t="s">
        <v>115</v>
      </c>
      <c r="F3545" s="33" t="n">
        <v>919701000000</v>
      </c>
      <c r="G3545" s="32" t="s">
        <v>80</v>
      </c>
      <c r="H3545" s="32" t="s">
        <v>22</v>
      </c>
      <c r="I3545" s="32" t="s">
        <v>95</v>
      </c>
      <c r="J3545" s="32" t="s">
        <v>96</v>
      </c>
      <c r="K3545" s="32" t="s">
        <v>63</v>
      </c>
    </row>
    <row r="3546" customFormat="false" ht="13.5" hidden="false" customHeight="true" outlineLevel="0" collapsed="false">
      <c r="A3546" s="32" t="n">
        <v>5855</v>
      </c>
      <c r="B3546" s="32" t="s">
        <v>2857</v>
      </c>
      <c r="C3546" s="32" t="s">
        <v>2858</v>
      </c>
      <c r="D3546" s="32" t="s">
        <v>114</v>
      </c>
      <c r="E3546" s="32" t="s">
        <v>115</v>
      </c>
      <c r="F3546" s="33" t="n">
        <v>919701000000</v>
      </c>
      <c r="G3546" s="32" t="s">
        <v>80</v>
      </c>
      <c r="H3546" s="32" t="s">
        <v>22</v>
      </c>
      <c r="I3546" s="32" t="s">
        <v>145</v>
      </c>
      <c r="J3546" s="32" t="s">
        <v>117</v>
      </c>
      <c r="K3546" s="32" t="s">
        <v>63</v>
      </c>
    </row>
    <row r="3547" customFormat="false" ht="13.5" hidden="false" customHeight="true" outlineLevel="0" collapsed="false">
      <c r="A3547" s="32" t="n">
        <v>5856</v>
      </c>
      <c r="B3547" s="32" t="s">
        <v>2859</v>
      </c>
      <c r="C3547" s="32" t="s">
        <v>2860</v>
      </c>
      <c r="D3547" s="32" t="s">
        <v>59</v>
      </c>
      <c r="E3547" s="32" t="s">
        <v>107</v>
      </c>
      <c r="F3547" s="32" t="n">
        <v>8979668705</v>
      </c>
      <c r="G3547" s="32" t="s">
        <v>144</v>
      </c>
      <c r="H3547" s="32" t="s">
        <v>21</v>
      </c>
      <c r="I3547" s="32" t="s">
        <v>95</v>
      </c>
      <c r="J3547" s="32" t="s">
        <v>96</v>
      </c>
      <c r="K3547" s="32" t="s">
        <v>63</v>
      </c>
    </row>
    <row r="3548" customFormat="false" ht="13.5" hidden="false" customHeight="true" outlineLevel="0" collapsed="false">
      <c r="A3548" s="32" t="n">
        <v>5857</v>
      </c>
      <c r="B3548" s="32" t="s">
        <v>2859</v>
      </c>
      <c r="C3548" s="32" t="s">
        <v>2860</v>
      </c>
      <c r="D3548" s="32" t="s">
        <v>59</v>
      </c>
      <c r="E3548" s="32" t="s">
        <v>107</v>
      </c>
      <c r="F3548" s="32" t="n">
        <v>8979668705</v>
      </c>
      <c r="G3548" s="32" t="s">
        <v>144</v>
      </c>
      <c r="H3548" s="32" t="s">
        <v>21</v>
      </c>
      <c r="I3548" s="32" t="s">
        <v>629</v>
      </c>
      <c r="J3548" s="32" t="s">
        <v>203</v>
      </c>
      <c r="K3548" s="32" t="s">
        <v>63</v>
      </c>
    </row>
    <row r="3549" customFormat="false" ht="13.5" hidden="false" customHeight="true" outlineLevel="0" collapsed="false">
      <c r="A3549" s="32" t="n">
        <v>5858</v>
      </c>
      <c r="B3549" s="32" t="s">
        <v>2859</v>
      </c>
      <c r="C3549" s="32" t="s">
        <v>2860</v>
      </c>
      <c r="D3549" s="32" t="s">
        <v>59</v>
      </c>
      <c r="E3549" s="32" t="s">
        <v>107</v>
      </c>
      <c r="F3549" s="32" t="n">
        <v>8979668705</v>
      </c>
      <c r="G3549" s="32" t="s">
        <v>144</v>
      </c>
      <c r="H3549" s="32" t="s">
        <v>21</v>
      </c>
      <c r="I3549" s="32" t="s">
        <v>133</v>
      </c>
      <c r="J3549" s="32" t="s">
        <v>134</v>
      </c>
      <c r="K3549" s="32" t="s">
        <v>63</v>
      </c>
    </row>
    <row r="3550" customFormat="false" ht="13.5" hidden="false" customHeight="true" outlineLevel="0" collapsed="false">
      <c r="A3550" s="32" t="n">
        <v>5859</v>
      </c>
      <c r="B3550" s="32" t="s">
        <v>2859</v>
      </c>
      <c r="C3550" s="32" t="s">
        <v>2860</v>
      </c>
      <c r="D3550" s="32" t="s">
        <v>59</v>
      </c>
      <c r="E3550" s="32" t="s">
        <v>107</v>
      </c>
      <c r="F3550" s="32" t="n">
        <v>8979668705</v>
      </c>
      <c r="G3550" s="32" t="s">
        <v>144</v>
      </c>
      <c r="H3550" s="32" t="s">
        <v>21</v>
      </c>
      <c r="I3550" s="32" t="s">
        <v>116</v>
      </c>
      <c r="J3550" s="32" t="s">
        <v>117</v>
      </c>
      <c r="K3550" s="32" t="s">
        <v>63</v>
      </c>
    </row>
    <row r="3551" customFormat="false" ht="13.5" hidden="false" customHeight="true" outlineLevel="0" collapsed="false">
      <c r="A3551" s="32" t="n">
        <v>5860</v>
      </c>
      <c r="B3551" s="32" t="s">
        <v>2861</v>
      </c>
      <c r="C3551" s="32" t="s">
        <v>2862</v>
      </c>
      <c r="D3551" s="32" t="s">
        <v>59</v>
      </c>
      <c r="E3551" s="32" t="s">
        <v>107</v>
      </c>
      <c r="F3551" s="32" t="n">
        <v>9552723048</v>
      </c>
      <c r="G3551" s="32" t="s">
        <v>104</v>
      </c>
      <c r="H3551" s="32" t="s">
        <v>21</v>
      </c>
      <c r="I3551" s="32" t="s">
        <v>95</v>
      </c>
      <c r="J3551" s="32" t="s">
        <v>96</v>
      </c>
      <c r="K3551" s="32" t="s">
        <v>63</v>
      </c>
    </row>
    <row r="3552" customFormat="false" ht="13.5" hidden="false" customHeight="true" outlineLevel="0" collapsed="false">
      <c r="A3552" s="32" t="n">
        <v>5861</v>
      </c>
      <c r="B3552" s="32" t="s">
        <v>2861</v>
      </c>
      <c r="C3552" s="32" t="s">
        <v>2862</v>
      </c>
      <c r="D3552" s="32" t="s">
        <v>59</v>
      </c>
      <c r="E3552" s="32" t="s">
        <v>107</v>
      </c>
      <c r="F3552" s="32" t="n">
        <v>9552723048</v>
      </c>
      <c r="G3552" s="32" t="s">
        <v>104</v>
      </c>
      <c r="H3552" s="32" t="s">
        <v>21</v>
      </c>
      <c r="I3552" s="32" t="s">
        <v>456</v>
      </c>
      <c r="J3552" s="32" t="s">
        <v>66</v>
      </c>
      <c r="K3552" s="32" t="s">
        <v>63</v>
      </c>
    </row>
    <row r="3553" customFormat="false" ht="13.5" hidden="false" customHeight="true" outlineLevel="0" collapsed="false">
      <c r="A3553" s="32" t="n">
        <v>5862</v>
      </c>
      <c r="B3553" s="32" t="s">
        <v>2861</v>
      </c>
      <c r="C3553" s="32" t="s">
        <v>2862</v>
      </c>
      <c r="D3553" s="32" t="s">
        <v>59</v>
      </c>
      <c r="E3553" s="32" t="s">
        <v>107</v>
      </c>
      <c r="F3553" s="32" t="n">
        <v>9552723048</v>
      </c>
      <c r="G3553" s="32" t="s">
        <v>104</v>
      </c>
      <c r="H3553" s="32" t="s">
        <v>21</v>
      </c>
      <c r="I3553" s="32" t="s">
        <v>146</v>
      </c>
      <c r="J3553" s="32" t="s">
        <v>117</v>
      </c>
      <c r="K3553" s="32" t="s">
        <v>63</v>
      </c>
    </row>
    <row r="3554" customFormat="false" ht="13.5" hidden="false" customHeight="true" outlineLevel="0" collapsed="false">
      <c r="A3554" s="32" t="n">
        <v>5863</v>
      </c>
      <c r="B3554" s="32" t="s">
        <v>2863</v>
      </c>
      <c r="C3554" s="32" t="s">
        <v>2864</v>
      </c>
      <c r="D3554" s="32" t="s">
        <v>59</v>
      </c>
      <c r="E3554" s="32" t="s">
        <v>79</v>
      </c>
      <c r="F3554" s="33" t="n">
        <v>919739000000</v>
      </c>
      <c r="G3554" s="32" t="s">
        <v>61</v>
      </c>
      <c r="H3554" s="32" t="s">
        <v>21</v>
      </c>
      <c r="I3554" s="32" t="s">
        <v>151</v>
      </c>
      <c r="J3554" s="32" t="s">
        <v>152</v>
      </c>
      <c r="K3554" s="32" t="s">
        <v>63</v>
      </c>
    </row>
    <row r="3555" customFormat="false" ht="13.5" hidden="false" customHeight="true" outlineLevel="0" collapsed="false">
      <c r="A3555" s="32" t="n">
        <v>5864</v>
      </c>
      <c r="B3555" s="32" t="s">
        <v>2863</v>
      </c>
      <c r="C3555" s="32" t="s">
        <v>2864</v>
      </c>
      <c r="D3555" s="32" t="s">
        <v>59</v>
      </c>
      <c r="E3555" s="32" t="s">
        <v>79</v>
      </c>
      <c r="F3555" s="33" t="n">
        <v>919739000000</v>
      </c>
      <c r="G3555" s="32" t="s">
        <v>61</v>
      </c>
      <c r="H3555" s="32" t="s">
        <v>21</v>
      </c>
      <c r="I3555" s="32" t="s">
        <v>146</v>
      </c>
      <c r="J3555" s="32" t="s">
        <v>117</v>
      </c>
      <c r="K3555" s="32" t="s">
        <v>63</v>
      </c>
    </row>
    <row r="3556" customFormat="false" ht="13.5" hidden="false" customHeight="true" outlineLevel="0" collapsed="false">
      <c r="A3556" s="32" t="n">
        <v>5865</v>
      </c>
      <c r="B3556" s="32" t="s">
        <v>2863</v>
      </c>
      <c r="C3556" s="32" t="s">
        <v>2864</v>
      </c>
      <c r="D3556" s="32" t="s">
        <v>59</v>
      </c>
      <c r="E3556" s="32" t="s">
        <v>79</v>
      </c>
      <c r="F3556" s="33" t="n">
        <v>919739000000</v>
      </c>
      <c r="G3556" s="32" t="s">
        <v>61</v>
      </c>
      <c r="H3556" s="32" t="s">
        <v>21</v>
      </c>
      <c r="I3556" s="32" t="s">
        <v>172</v>
      </c>
      <c r="J3556" s="32" t="s">
        <v>152</v>
      </c>
      <c r="K3556" s="32" t="s">
        <v>63</v>
      </c>
    </row>
    <row r="3557" customFormat="false" ht="13.5" hidden="false" customHeight="true" outlineLevel="0" collapsed="false">
      <c r="A3557" s="32" t="n">
        <v>5866</v>
      </c>
      <c r="B3557" s="32" t="s">
        <v>2865</v>
      </c>
      <c r="C3557" s="32" t="s">
        <v>2866</v>
      </c>
      <c r="D3557" s="32" t="s">
        <v>114</v>
      </c>
      <c r="E3557" s="32" t="s">
        <v>124</v>
      </c>
      <c r="F3557" s="32" t="n">
        <v>8971012012</v>
      </c>
      <c r="G3557" s="32" t="s">
        <v>61</v>
      </c>
      <c r="H3557" s="32" t="s">
        <v>22</v>
      </c>
      <c r="I3557" s="32" t="s">
        <v>131</v>
      </c>
      <c r="J3557" s="32" t="s">
        <v>132</v>
      </c>
      <c r="K3557" s="32" t="s">
        <v>63</v>
      </c>
    </row>
    <row r="3558" customFormat="false" ht="13.5" hidden="false" customHeight="true" outlineLevel="0" collapsed="false">
      <c r="A3558" s="32" t="n">
        <v>5867</v>
      </c>
      <c r="B3558" s="32" t="s">
        <v>2865</v>
      </c>
      <c r="C3558" s="32" t="s">
        <v>2867</v>
      </c>
      <c r="D3558" s="32" t="s">
        <v>114</v>
      </c>
      <c r="E3558" s="32" t="s">
        <v>124</v>
      </c>
      <c r="F3558" s="32" t="n">
        <v>8971012012</v>
      </c>
      <c r="G3558" s="32" t="s">
        <v>61</v>
      </c>
      <c r="H3558" s="32" t="s">
        <v>22</v>
      </c>
      <c r="I3558" s="32" t="s">
        <v>325</v>
      </c>
      <c r="J3558" s="32" t="s">
        <v>326</v>
      </c>
      <c r="K3558" s="32" t="s">
        <v>63</v>
      </c>
    </row>
    <row r="3559" customFormat="false" ht="13.5" hidden="false" customHeight="true" outlineLevel="0" collapsed="false">
      <c r="A3559" s="32" t="n">
        <v>5868</v>
      </c>
      <c r="B3559" s="32" t="s">
        <v>2865</v>
      </c>
      <c r="C3559" s="32" t="s">
        <v>2868</v>
      </c>
      <c r="D3559" s="32" t="s">
        <v>114</v>
      </c>
      <c r="E3559" s="32" t="s">
        <v>124</v>
      </c>
      <c r="F3559" s="32" t="n">
        <v>8971012012</v>
      </c>
      <c r="G3559" s="32" t="s">
        <v>61</v>
      </c>
      <c r="H3559" s="32" t="s">
        <v>22</v>
      </c>
      <c r="I3559" s="32" t="s">
        <v>27</v>
      </c>
      <c r="J3559" s="32" t="s">
        <v>13</v>
      </c>
      <c r="K3559" s="32" t="s">
        <v>63</v>
      </c>
    </row>
    <row r="3560" customFormat="false" ht="13.5" hidden="false" customHeight="true" outlineLevel="0" collapsed="false">
      <c r="A3560" s="32" t="n">
        <v>5869</v>
      </c>
      <c r="B3560" s="32" t="s">
        <v>2869</v>
      </c>
      <c r="C3560" s="32" t="s">
        <v>2870</v>
      </c>
      <c r="D3560" s="32" t="s">
        <v>114</v>
      </c>
      <c r="E3560" s="32" t="s">
        <v>278</v>
      </c>
      <c r="F3560" s="32" t="n">
        <v>8433949539</v>
      </c>
      <c r="G3560" s="32" t="s">
        <v>104</v>
      </c>
      <c r="H3560" s="32" t="s">
        <v>22</v>
      </c>
      <c r="I3560" s="32" t="s">
        <v>121</v>
      </c>
      <c r="J3560" s="32" t="s">
        <v>110</v>
      </c>
      <c r="K3560" s="32" t="s">
        <v>63</v>
      </c>
    </row>
    <row r="3561" customFormat="false" ht="13.5" hidden="false" customHeight="true" outlineLevel="0" collapsed="false">
      <c r="A3561" s="32" t="n">
        <v>5870</v>
      </c>
      <c r="B3561" s="32" t="s">
        <v>2869</v>
      </c>
      <c r="C3561" s="32" t="s">
        <v>2870</v>
      </c>
      <c r="D3561" s="32" t="s">
        <v>114</v>
      </c>
      <c r="E3561" s="32" t="s">
        <v>278</v>
      </c>
      <c r="F3561" s="32" t="n">
        <v>8433949539</v>
      </c>
      <c r="G3561" s="32" t="s">
        <v>104</v>
      </c>
      <c r="H3561" s="32" t="s">
        <v>22</v>
      </c>
      <c r="I3561" s="32" t="s">
        <v>145</v>
      </c>
      <c r="J3561" s="32" t="s">
        <v>117</v>
      </c>
      <c r="K3561" s="32" t="s">
        <v>63</v>
      </c>
    </row>
    <row r="3562" customFormat="false" ht="13.5" hidden="false" customHeight="true" outlineLevel="0" collapsed="false">
      <c r="A3562" s="32" t="n">
        <v>5871</v>
      </c>
      <c r="B3562" s="32" t="s">
        <v>2869</v>
      </c>
      <c r="C3562" s="32" t="s">
        <v>2870</v>
      </c>
      <c r="D3562" s="32" t="s">
        <v>114</v>
      </c>
      <c r="E3562" s="32" t="s">
        <v>278</v>
      </c>
      <c r="F3562" s="32" t="n">
        <v>8433949539</v>
      </c>
      <c r="G3562" s="32" t="s">
        <v>104</v>
      </c>
      <c r="H3562" s="32" t="s">
        <v>22</v>
      </c>
      <c r="I3562" s="32" t="s">
        <v>16</v>
      </c>
      <c r="J3562" s="32" t="s">
        <v>73</v>
      </c>
      <c r="K3562" s="32" t="s">
        <v>63</v>
      </c>
    </row>
    <row r="3563" customFormat="false" ht="13.5" hidden="false" customHeight="true" outlineLevel="0" collapsed="false">
      <c r="A3563" s="32" t="n">
        <v>5872</v>
      </c>
      <c r="B3563" s="32" t="s">
        <v>2869</v>
      </c>
      <c r="C3563" s="32" t="s">
        <v>2870</v>
      </c>
      <c r="D3563" s="32" t="s">
        <v>114</v>
      </c>
      <c r="E3563" s="32" t="s">
        <v>278</v>
      </c>
      <c r="F3563" s="32" t="n">
        <v>8433949539</v>
      </c>
      <c r="G3563" s="32" t="s">
        <v>104</v>
      </c>
      <c r="H3563" s="32" t="s">
        <v>22</v>
      </c>
      <c r="I3563" s="32" t="s">
        <v>108</v>
      </c>
      <c r="J3563" s="32" t="s">
        <v>71</v>
      </c>
      <c r="K3563" s="32" t="s">
        <v>63</v>
      </c>
    </row>
    <row r="3564" customFormat="false" ht="13.5" hidden="false" customHeight="true" outlineLevel="0" collapsed="false">
      <c r="A3564" s="32" t="n">
        <v>5873</v>
      </c>
      <c r="B3564" s="32" t="s">
        <v>2871</v>
      </c>
      <c r="C3564" s="32" t="s">
        <v>2872</v>
      </c>
      <c r="D3564" s="32" t="s">
        <v>114</v>
      </c>
      <c r="E3564" s="32" t="s">
        <v>115</v>
      </c>
      <c r="F3564" s="33" t="n">
        <v>919867000000</v>
      </c>
      <c r="G3564" s="32" t="s">
        <v>80</v>
      </c>
      <c r="H3564" s="32" t="s">
        <v>22</v>
      </c>
      <c r="I3564" s="32" t="s">
        <v>27</v>
      </c>
      <c r="J3564" s="32" t="s">
        <v>13</v>
      </c>
      <c r="K3564" s="32" t="s">
        <v>63</v>
      </c>
    </row>
    <row r="3565" customFormat="false" ht="13.5" hidden="false" customHeight="true" outlineLevel="0" collapsed="false">
      <c r="A3565" s="32" t="n">
        <v>5874</v>
      </c>
      <c r="B3565" s="32" t="s">
        <v>2871</v>
      </c>
      <c r="C3565" s="32" t="s">
        <v>2872</v>
      </c>
      <c r="D3565" s="32" t="s">
        <v>114</v>
      </c>
      <c r="E3565" s="32" t="s">
        <v>115</v>
      </c>
      <c r="F3565" s="33" t="n">
        <v>919867000000</v>
      </c>
      <c r="G3565" s="32" t="s">
        <v>80</v>
      </c>
      <c r="H3565" s="32" t="s">
        <v>22</v>
      </c>
      <c r="I3565" s="32" t="s">
        <v>145</v>
      </c>
      <c r="J3565" s="32" t="s">
        <v>117</v>
      </c>
      <c r="K3565" s="32" t="s">
        <v>63</v>
      </c>
    </row>
    <row r="3566" customFormat="false" ht="13.5" hidden="false" customHeight="true" outlineLevel="0" collapsed="false">
      <c r="A3566" s="32" t="n">
        <v>5875</v>
      </c>
      <c r="B3566" s="32" t="s">
        <v>2871</v>
      </c>
      <c r="C3566" s="32" t="s">
        <v>2872</v>
      </c>
      <c r="D3566" s="32" t="s">
        <v>114</v>
      </c>
      <c r="E3566" s="32" t="s">
        <v>115</v>
      </c>
      <c r="F3566" s="33" t="n">
        <v>919867000000</v>
      </c>
      <c r="G3566" s="32" t="s">
        <v>80</v>
      </c>
      <c r="H3566" s="32" t="s">
        <v>22</v>
      </c>
      <c r="I3566" s="32" t="s">
        <v>30</v>
      </c>
      <c r="J3566" s="32" t="s">
        <v>203</v>
      </c>
      <c r="K3566" s="32" t="s">
        <v>63</v>
      </c>
    </row>
    <row r="3567" customFormat="false" ht="13.5" hidden="false" customHeight="true" outlineLevel="0" collapsed="false">
      <c r="A3567" s="32" t="n">
        <v>5876</v>
      </c>
      <c r="B3567" s="32" t="s">
        <v>2873</v>
      </c>
      <c r="C3567" s="32" t="s">
        <v>2874</v>
      </c>
      <c r="D3567" s="32" t="s">
        <v>59</v>
      </c>
      <c r="E3567" s="32" t="s">
        <v>107</v>
      </c>
      <c r="F3567" s="32" t="n">
        <v>0</v>
      </c>
      <c r="G3567" s="32" t="s">
        <v>104</v>
      </c>
      <c r="H3567" s="32" t="s">
        <v>21</v>
      </c>
      <c r="I3567" s="32" t="s">
        <v>217</v>
      </c>
      <c r="J3567" s="32" t="s">
        <v>132</v>
      </c>
      <c r="K3567" s="32" t="s">
        <v>63</v>
      </c>
    </row>
    <row r="3568" customFormat="false" ht="13.5" hidden="false" customHeight="true" outlineLevel="0" collapsed="false">
      <c r="A3568" s="32" t="n">
        <v>5877</v>
      </c>
      <c r="B3568" s="32" t="s">
        <v>2875</v>
      </c>
      <c r="C3568" s="32" t="s">
        <v>2876</v>
      </c>
      <c r="D3568" s="32" t="s">
        <v>114</v>
      </c>
      <c r="E3568" s="32" t="s">
        <v>268</v>
      </c>
      <c r="F3568" s="32" t="n">
        <v>8169467507</v>
      </c>
      <c r="G3568" s="32" t="s">
        <v>104</v>
      </c>
      <c r="H3568" s="32" t="s">
        <v>22</v>
      </c>
      <c r="I3568" s="32" t="s">
        <v>2877</v>
      </c>
      <c r="J3568" s="32" t="s">
        <v>66</v>
      </c>
      <c r="K3568" s="32" t="s">
        <v>63</v>
      </c>
    </row>
    <row r="3569" customFormat="false" ht="13.5" hidden="false" customHeight="true" outlineLevel="0" collapsed="false">
      <c r="A3569" s="32" t="n">
        <v>5878</v>
      </c>
      <c r="B3569" s="32" t="s">
        <v>2875</v>
      </c>
      <c r="C3569" s="32" t="s">
        <v>2876</v>
      </c>
      <c r="D3569" s="32" t="s">
        <v>114</v>
      </c>
      <c r="E3569" s="32" t="s">
        <v>268</v>
      </c>
      <c r="F3569" s="32" t="n">
        <v>8169467507</v>
      </c>
      <c r="G3569" s="32" t="s">
        <v>104</v>
      </c>
      <c r="H3569" s="32" t="s">
        <v>22</v>
      </c>
      <c r="I3569" s="32" t="s">
        <v>14</v>
      </c>
      <c r="J3569" s="32" t="s">
        <v>66</v>
      </c>
      <c r="K3569" s="32" t="s">
        <v>63</v>
      </c>
    </row>
    <row r="3570" customFormat="false" ht="13.5" hidden="false" customHeight="true" outlineLevel="0" collapsed="false">
      <c r="A3570" s="32" t="n">
        <v>5879</v>
      </c>
      <c r="B3570" s="32" t="s">
        <v>2878</v>
      </c>
      <c r="C3570" s="32" t="s">
        <v>2879</v>
      </c>
      <c r="D3570" s="32" t="s">
        <v>59</v>
      </c>
      <c r="E3570" s="32" t="s">
        <v>79</v>
      </c>
      <c r="F3570" s="32" t="n">
        <v>8082114790</v>
      </c>
      <c r="G3570" s="32" t="s">
        <v>104</v>
      </c>
      <c r="H3570" s="32" t="s">
        <v>21</v>
      </c>
      <c r="I3570" s="32" t="s">
        <v>386</v>
      </c>
      <c r="J3570" s="32" t="s">
        <v>132</v>
      </c>
      <c r="K3570" s="32" t="s">
        <v>63</v>
      </c>
    </row>
    <row r="3571" customFormat="false" ht="13.5" hidden="false" customHeight="true" outlineLevel="0" collapsed="false">
      <c r="A3571" s="32" t="n">
        <v>5880</v>
      </c>
      <c r="B3571" s="32" t="s">
        <v>2878</v>
      </c>
      <c r="C3571" s="32" t="s">
        <v>2879</v>
      </c>
      <c r="D3571" s="32" t="s">
        <v>59</v>
      </c>
      <c r="E3571" s="32" t="s">
        <v>79</v>
      </c>
      <c r="F3571" s="32" t="n">
        <v>8082114790</v>
      </c>
      <c r="G3571" s="32" t="s">
        <v>104</v>
      </c>
      <c r="H3571" s="32" t="s">
        <v>21</v>
      </c>
      <c r="I3571" s="32" t="s">
        <v>133</v>
      </c>
      <c r="J3571" s="32" t="s">
        <v>134</v>
      </c>
      <c r="K3571" s="32" t="s">
        <v>63</v>
      </c>
    </row>
    <row r="3572" customFormat="false" ht="13.5" hidden="false" customHeight="true" outlineLevel="0" collapsed="false">
      <c r="A3572" s="32" t="n">
        <v>5881</v>
      </c>
      <c r="B3572" s="32" t="s">
        <v>2880</v>
      </c>
      <c r="C3572" s="32" t="s">
        <v>2881</v>
      </c>
      <c r="D3572" s="32" t="s">
        <v>59</v>
      </c>
      <c r="E3572" s="32" t="s">
        <v>92</v>
      </c>
      <c r="F3572" s="33" t="n">
        <v>919667000000</v>
      </c>
      <c r="G3572" s="32" t="s">
        <v>80</v>
      </c>
      <c r="H3572" s="32" t="s">
        <v>21</v>
      </c>
      <c r="I3572" s="32" t="s">
        <v>95</v>
      </c>
      <c r="J3572" s="32" t="s">
        <v>96</v>
      </c>
      <c r="K3572" s="32" t="s">
        <v>63</v>
      </c>
    </row>
    <row r="3573" customFormat="false" ht="13.5" hidden="false" customHeight="true" outlineLevel="0" collapsed="false">
      <c r="A3573" s="32" t="n">
        <v>5882</v>
      </c>
      <c r="B3573" s="32" t="s">
        <v>2882</v>
      </c>
      <c r="C3573" s="32" t="s">
        <v>2883</v>
      </c>
      <c r="D3573" s="32" t="s">
        <v>114</v>
      </c>
      <c r="E3573" s="32" t="s">
        <v>124</v>
      </c>
      <c r="F3573" s="32" t="n">
        <v>7507067438</v>
      </c>
      <c r="G3573" s="32" t="s">
        <v>69</v>
      </c>
      <c r="H3573" s="32" t="s">
        <v>22</v>
      </c>
      <c r="I3573" s="32" t="s">
        <v>93</v>
      </c>
      <c r="J3573" s="32" t="s">
        <v>85</v>
      </c>
      <c r="K3573" s="32" t="s">
        <v>63</v>
      </c>
    </row>
    <row r="3574" customFormat="false" ht="13.5" hidden="false" customHeight="true" outlineLevel="0" collapsed="false">
      <c r="A3574" s="32" t="n">
        <v>5883</v>
      </c>
      <c r="B3574" s="32" t="s">
        <v>2882</v>
      </c>
      <c r="C3574" s="32" t="s">
        <v>2884</v>
      </c>
      <c r="D3574" s="32" t="s">
        <v>114</v>
      </c>
      <c r="E3574" s="32" t="s">
        <v>124</v>
      </c>
      <c r="F3574" s="32" t="n">
        <v>7507067438</v>
      </c>
      <c r="G3574" s="32" t="s">
        <v>69</v>
      </c>
      <c r="H3574" s="32" t="s">
        <v>22</v>
      </c>
      <c r="I3574" s="32" t="s">
        <v>98</v>
      </c>
      <c r="J3574" s="32" t="s">
        <v>99</v>
      </c>
      <c r="K3574" s="32" t="s">
        <v>63</v>
      </c>
    </row>
    <row r="3575" customFormat="false" ht="13.5" hidden="false" customHeight="true" outlineLevel="0" collapsed="false">
      <c r="A3575" s="32" t="n">
        <v>5884</v>
      </c>
      <c r="B3575" s="32" t="s">
        <v>2882</v>
      </c>
      <c r="C3575" s="32" t="s">
        <v>2884</v>
      </c>
      <c r="D3575" s="32" t="s">
        <v>114</v>
      </c>
      <c r="E3575" s="32" t="s">
        <v>124</v>
      </c>
      <c r="F3575" s="32" t="n">
        <v>7507067438</v>
      </c>
      <c r="G3575" s="32" t="s">
        <v>69</v>
      </c>
      <c r="H3575" s="32" t="s">
        <v>22</v>
      </c>
      <c r="I3575" s="32" t="s">
        <v>2040</v>
      </c>
      <c r="J3575" s="32" t="s">
        <v>85</v>
      </c>
      <c r="K3575" s="32" t="s">
        <v>63</v>
      </c>
    </row>
    <row r="3576" customFormat="false" ht="13.5" hidden="false" customHeight="true" outlineLevel="0" collapsed="false">
      <c r="A3576" s="32" t="n">
        <v>5885</v>
      </c>
      <c r="B3576" s="32" t="s">
        <v>2882</v>
      </c>
      <c r="C3576" s="32" t="s">
        <v>2884</v>
      </c>
      <c r="D3576" s="32" t="s">
        <v>114</v>
      </c>
      <c r="E3576" s="32" t="s">
        <v>124</v>
      </c>
      <c r="F3576" s="32" t="n">
        <v>7507067438</v>
      </c>
      <c r="G3576" s="32" t="s">
        <v>69</v>
      </c>
      <c r="H3576" s="32" t="s">
        <v>22</v>
      </c>
      <c r="I3576" s="32" t="s">
        <v>95</v>
      </c>
      <c r="J3576" s="32" t="s">
        <v>96</v>
      </c>
      <c r="K3576" s="32" t="s">
        <v>63</v>
      </c>
    </row>
    <row r="3577" customFormat="false" ht="13.5" hidden="false" customHeight="true" outlineLevel="0" collapsed="false">
      <c r="A3577" s="32" t="n">
        <v>5886</v>
      </c>
      <c r="B3577" s="32" t="s">
        <v>2882</v>
      </c>
      <c r="C3577" s="32" t="s">
        <v>2884</v>
      </c>
      <c r="D3577" s="32" t="s">
        <v>114</v>
      </c>
      <c r="E3577" s="32" t="s">
        <v>124</v>
      </c>
      <c r="F3577" s="32" t="n">
        <v>7507067438</v>
      </c>
      <c r="G3577" s="32" t="s">
        <v>69</v>
      </c>
      <c r="H3577" s="32" t="s">
        <v>22</v>
      </c>
      <c r="I3577" s="32" t="s">
        <v>1753</v>
      </c>
      <c r="J3577" s="32" t="s">
        <v>89</v>
      </c>
      <c r="K3577" s="32" t="s">
        <v>63</v>
      </c>
    </row>
    <row r="3578" customFormat="false" ht="13.5" hidden="false" customHeight="true" outlineLevel="0" collapsed="false">
      <c r="A3578" s="32" t="n">
        <v>5887</v>
      </c>
      <c r="B3578" s="32" t="s">
        <v>2882</v>
      </c>
      <c r="C3578" s="32" t="s">
        <v>2885</v>
      </c>
      <c r="D3578" s="32" t="s">
        <v>114</v>
      </c>
      <c r="E3578" s="32" t="s">
        <v>124</v>
      </c>
      <c r="F3578" s="32" t="n">
        <v>7507067438</v>
      </c>
      <c r="G3578" s="32" t="s">
        <v>69</v>
      </c>
      <c r="H3578" s="32" t="s">
        <v>22</v>
      </c>
      <c r="I3578" s="32" t="s">
        <v>146</v>
      </c>
      <c r="J3578" s="32" t="s">
        <v>117</v>
      </c>
      <c r="K3578" s="32" t="s">
        <v>63</v>
      </c>
    </row>
    <row r="3579" customFormat="false" ht="13.5" hidden="false" customHeight="true" outlineLevel="0" collapsed="false">
      <c r="A3579" s="32" t="n">
        <v>5888</v>
      </c>
      <c r="B3579" s="32" t="s">
        <v>2882</v>
      </c>
      <c r="C3579" s="32" t="s">
        <v>2885</v>
      </c>
      <c r="D3579" s="32" t="s">
        <v>114</v>
      </c>
      <c r="E3579" s="32" t="s">
        <v>124</v>
      </c>
      <c r="F3579" s="32" t="n">
        <v>7507067438</v>
      </c>
      <c r="G3579" s="32" t="s">
        <v>69</v>
      </c>
      <c r="H3579" s="32" t="s">
        <v>22</v>
      </c>
      <c r="I3579" s="32" t="s">
        <v>371</v>
      </c>
      <c r="J3579" s="32" t="s">
        <v>152</v>
      </c>
      <c r="K3579" s="32" t="s">
        <v>63</v>
      </c>
    </row>
    <row r="3580" customFormat="false" ht="13.5" hidden="false" customHeight="true" outlineLevel="0" collapsed="false">
      <c r="A3580" s="32" t="n">
        <v>5889</v>
      </c>
      <c r="B3580" s="32" t="s">
        <v>2882</v>
      </c>
      <c r="C3580" s="32" t="s">
        <v>2885</v>
      </c>
      <c r="D3580" s="32" t="s">
        <v>114</v>
      </c>
      <c r="E3580" s="32" t="s">
        <v>124</v>
      </c>
      <c r="F3580" s="32" t="n">
        <v>7507067438</v>
      </c>
      <c r="G3580" s="32" t="s">
        <v>69</v>
      </c>
      <c r="H3580" s="32" t="s">
        <v>22</v>
      </c>
      <c r="I3580" s="32" t="s">
        <v>98</v>
      </c>
      <c r="J3580" s="32" t="s">
        <v>99</v>
      </c>
      <c r="K3580" s="32" t="s">
        <v>63</v>
      </c>
    </row>
    <row r="3581" customFormat="false" ht="13.5" hidden="false" customHeight="true" outlineLevel="0" collapsed="false">
      <c r="A3581" s="32" t="n">
        <v>5890</v>
      </c>
      <c r="B3581" s="32" t="s">
        <v>2886</v>
      </c>
      <c r="C3581" s="32" t="s">
        <v>2887</v>
      </c>
      <c r="D3581" s="32" t="s">
        <v>59</v>
      </c>
      <c r="E3581" s="32" t="s">
        <v>107</v>
      </c>
      <c r="F3581" s="33" t="n">
        <v>918143000000</v>
      </c>
      <c r="G3581" s="32" t="s">
        <v>2888</v>
      </c>
      <c r="H3581" s="32" t="s">
        <v>21</v>
      </c>
      <c r="I3581" s="32" t="s">
        <v>215</v>
      </c>
      <c r="J3581" s="32" t="s">
        <v>132</v>
      </c>
      <c r="K3581" s="32" t="s">
        <v>63</v>
      </c>
    </row>
    <row r="3582" customFormat="false" ht="13.5" hidden="false" customHeight="true" outlineLevel="0" collapsed="false">
      <c r="A3582" s="32" t="n">
        <v>5891</v>
      </c>
      <c r="B3582" s="32" t="s">
        <v>2886</v>
      </c>
      <c r="C3582" s="32" t="s">
        <v>2887</v>
      </c>
      <c r="D3582" s="32" t="s">
        <v>59</v>
      </c>
      <c r="E3582" s="32" t="s">
        <v>107</v>
      </c>
      <c r="F3582" s="33" t="n">
        <v>918143000000</v>
      </c>
      <c r="G3582" s="32" t="s">
        <v>80</v>
      </c>
      <c r="H3582" s="32" t="s">
        <v>21</v>
      </c>
      <c r="I3582" s="32" t="s">
        <v>217</v>
      </c>
      <c r="J3582" s="32" t="s">
        <v>132</v>
      </c>
      <c r="K3582" s="32" t="s">
        <v>63</v>
      </c>
    </row>
    <row r="3583" customFormat="false" ht="13.5" hidden="false" customHeight="true" outlineLevel="0" collapsed="false">
      <c r="A3583" s="32" t="n">
        <v>5892</v>
      </c>
      <c r="B3583" s="32" t="s">
        <v>2886</v>
      </c>
      <c r="C3583" s="32" t="s">
        <v>2889</v>
      </c>
      <c r="D3583" s="32" t="s">
        <v>59</v>
      </c>
      <c r="E3583" s="32" t="s">
        <v>107</v>
      </c>
      <c r="F3583" s="32" t="n">
        <v>8142602822</v>
      </c>
      <c r="G3583" s="32" t="s">
        <v>80</v>
      </c>
      <c r="H3583" s="32" t="s">
        <v>21</v>
      </c>
      <c r="I3583" s="32" t="s">
        <v>728</v>
      </c>
      <c r="J3583" s="32" t="s">
        <v>132</v>
      </c>
      <c r="K3583" s="32" t="s">
        <v>63</v>
      </c>
    </row>
    <row r="3584" customFormat="false" ht="13.5" hidden="false" customHeight="true" outlineLevel="0" collapsed="false">
      <c r="A3584" s="32" t="n">
        <v>5893</v>
      </c>
      <c r="B3584" s="32" t="s">
        <v>2890</v>
      </c>
      <c r="C3584" s="32" t="s">
        <v>2891</v>
      </c>
      <c r="D3584" s="32" t="s">
        <v>114</v>
      </c>
      <c r="E3584" s="32" t="s">
        <v>124</v>
      </c>
      <c r="F3584" s="32" t="n">
        <v>7022244262</v>
      </c>
      <c r="G3584" s="32" t="s">
        <v>61</v>
      </c>
      <c r="H3584" s="32" t="s">
        <v>22</v>
      </c>
      <c r="I3584" s="32" t="s">
        <v>128</v>
      </c>
      <c r="J3584" s="32" t="s">
        <v>89</v>
      </c>
      <c r="K3584" s="32" t="s">
        <v>63</v>
      </c>
    </row>
    <row r="3585" customFormat="false" ht="13.5" hidden="false" customHeight="true" outlineLevel="0" collapsed="false">
      <c r="A3585" s="32" t="n">
        <v>5894</v>
      </c>
      <c r="B3585" s="32" t="s">
        <v>2890</v>
      </c>
      <c r="C3585" s="32" t="s">
        <v>2891</v>
      </c>
      <c r="D3585" s="32" t="s">
        <v>114</v>
      </c>
      <c r="E3585" s="32" t="s">
        <v>124</v>
      </c>
      <c r="F3585" s="32" t="n">
        <v>7022244262</v>
      </c>
      <c r="G3585" s="32" t="s">
        <v>61</v>
      </c>
      <c r="H3585" s="32" t="s">
        <v>22</v>
      </c>
      <c r="I3585" s="32" t="s">
        <v>145</v>
      </c>
      <c r="J3585" s="32" t="s">
        <v>117</v>
      </c>
      <c r="K3585" s="32" t="s">
        <v>63</v>
      </c>
    </row>
    <row r="3586" customFormat="false" ht="13.5" hidden="false" customHeight="true" outlineLevel="0" collapsed="false">
      <c r="A3586" s="32" t="n">
        <v>5895</v>
      </c>
      <c r="B3586" s="32" t="s">
        <v>2890</v>
      </c>
      <c r="C3586" s="32" t="s">
        <v>2891</v>
      </c>
      <c r="D3586" s="32" t="s">
        <v>114</v>
      </c>
      <c r="E3586" s="32" t="s">
        <v>124</v>
      </c>
      <c r="F3586" s="32" t="n">
        <v>7022244262</v>
      </c>
      <c r="G3586" s="32" t="s">
        <v>61</v>
      </c>
      <c r="H3586" s="32" t="s">
        <v>22</v>
      </c>
      <c r="I3586" s="32" t="s">
        <v>133</v>
      </c>
      <c r="J3586" s="32" t="s">
        <v>134</v>
      </c>
      <c r="K3586" s="32" t="s">
        <v>63</v>
      </c>
    </row>
    <row r="3587" customFormat="false" ht="13.5" hidden="false" customHeight="true" outlineLevel="0" collapsed="false">
      <c r="A3587" s="32" t="n">
        <v>5896</v>
      </c>
      <c r="B3587" s="32" t="s">
        <v>2890</v>
      </c>
      <c r="C3587" s="32" t="s">
        <v>2891</v>
      </c>
      <c r="D3587" s="32" t="s">
        <v>114</v>
      </c>
      <c r="E3587" s="32" t="s">
        <v>124</v>
      </c>
      <c r="F3587" s="32" t="n">
        <v>7022244262</v>
      </c>
      <c r="G3587" s="32" t="s">
        <v>61</v>
      </c>
      <c r="H3587" s="32" t="s">
        <v>22</v>
      </c>
      <c r="I3587" s="32" t="s">
        <v>1753</v>
      </c>
      <c r="J3587" s="32" t="s">
        <v>89</v>
      </c>
      <c r="K3587" s="32" t="s">
        <v>63</v>
      </c>
    </row>
    <row r="3588" customFormat="false" ht="13.5" hidden="false" customHeight="true" outlineLevel="0" collapsed="false">
      <c r="A3588" s="32" t="n">
        <v>5897</v>
      </c>
      <c r="B3588" s="32" t="s">
        <v>2890</v>
      </c>
      <c r="C3588" s="32" t="s">
        <v>2891</v>
      </c>
      <c r="D3588" s="32" t="s">
        <v>114</v>
      </c>
      <c r="E3588" s="32" t="s">
        <v>124</v>
      </c>
      <c r="F3588" s="32" t="n">
        <v>7022244262</v>
      </c>
      <c r="G3588" s="32" t="s">
        <v>61</v>
      </c>
      <c r="H3588" s="32" t="s">
        <v>22</v>
      </c>
      <c r="I3588" s="32" t="s">
        <v>186</v>
      </c>
      <c r="J3588" s="32" t="s">
        <v>186</v>
      </c>
      <c r="K3588" s="32" t="s">
        <v>63</v>
      </c>
    </row>
    <row r="3589" customFormat="false" ht="13.5" hidden="false" customHeight="true" outlineLevel="0" collapsed="false">
      <c r="A3589" s="32" t="n">
        <v>5899</v>
      </c>
      <c r="B3589" s="32" t="s">
        <v>2890</v>
      </c>
      <c r="C3589" s="32" t="s">
        <v>2891</v>
      </c>
      <c r="D3589" s="32" t="s">
        <v>114</v>
      </c>
      <c r="E3589" s="32" t="s">
        <v>124</v>
      </c>
      <c r="F3589" s="32" t="n">
        <v>7022244262</v>
      </c>
      <c r="G3589" s="32" t="s">
        <v>61</v>
      </c>
      <c r="H3589" s="32" t="s">
        <v>22</v>
      </c>
      <c r="I3589" s="32" t="s">
        <v>1237</v>
      </c>
      <c r="J3589" s="32" t="s">
        <v>89</v>
      </c>
      <c r="K3589" s="32" t="s">
        <v>63</v>
      </c>
    </row>
    <row r="3590" customFormat="false" ht="13.5" hidden="false" customHeight="true" outlineLevel="0" collapsed="false">
      <c r="A3590" s="32" t="n">
        <v>5900</v>
      </c>
      <c r="B3590" s="32" t="s">
        <v>2890</v>
      </c>
      <c r="C3590" s="32" t="s">
        <v>2891</v>
      </c>
      <c r="D3590" s="32" t="s">
        <v>114</v>
      </c>
      <c r="E3590" s="32" t="s">
        <v>124</v>
      </c>
      <c r="F3590" s="32" t="n">
        <v>7022244262</v>
      </c>
      <c r="G3590" s="32" t="s">
        <v>61</v>
      </c>
      <c r="H3590" s="32" t="s">
        <v>22</v>
      </c>
      <c r="I3590" s="32" t="s">
        <v>185</v>
      </c>
      <c r="J3590" s="32" t="s">
        <v>186</v>
      </c>
      <c r="K3590" s="32" t="s">
        <v>63</v>
      </c>
    </row>
    <row r="3591" customFormat="false" ht="13.5" hidden="false" customHeight="true" outlineLevel="0" collapsed="false">
      <c r="A3591" s="32" t="n">
        <v>5901</v>
      </c>
      <c r="B3591" s="32" t="s">
        <v>2892</v>
      </c>
      <c r="C3591" s="32" t="s">
        <v>2893</v>
      </c>
      <c r="D3591" s="32" t="s">
        <v>59</v>
      </c>
      <c r="E3591" s="32" t="s">
        <v>143</v>
      </c>
      <c r="F3591" s="33" t="n">
        <v>919123000000</v>
      </c>
      <c r="G3591" s="32" t="s">
        <v>80</v>
      </c>
      <c r="H3591" s="32" t="s">
        <v>21</v>
      </c>
      <c r="I3591" s="32" t="s">
        <v>27</v>
      </c>
      <c r="J3591" s="32" t="s">
        <v>13</v>
      </c>
      <c r="K3591" s="32" t="s">
        <v>63</v>
      </c>
    </row>
    <row r="3592" customFormat="false" ht="13.5" hidden="false" customHeight="true" outlineLevel="0" collapsed="false">
      <c r="A3592" s="32" t="n">
        <v>5902</v>
      </c>
      <c r="B3592" s="32" t="s">
        <v>2892</v>
      </c>
      <c r="C3592" s="32" t="s">
        <v>2893</v>
      </c>
      <c r="D3592" s="32" t="s">
        <v>59</v>
      </c>
      <c r="E3592" s="32" t="s">
        <v>143</v>
      </c>
      <c r="F3592" s="33" t="n">
        <v>919123000000</v>
      </c>
      <c r="G3592" s="32" t="s">
        <v>80</v>
      </c>
      <c r="H3592" s="32" t="s">
        <v>21</v>
      </c>
      <c r="I3592" s="32" t="s">
        <v>28</v>
      </c>
      <c r="J3592" s="32" t="s">
        <v>82</v>
      </c>
      <c r="K3592" s="32" t="s">
        <v>63</v>
      </c>
    </row>
    <row r="3593" customFormat="false" ht="13.5" hidden="false" customHeight="true" outlineLevel="0" collapsed="false">
      <c r="A3593" s="32" t="n">
        <v>5903</v>
      </c>
      <c r="B3593" s="32" t="s">
        <v>2892</v>
      </c>
      <c r="C3593" s="32" t="s">
        <v>2893</v>
      </c>
      <c r="D3593" s="32" t="s">
        <v>59</v>
      </c>
      <c r="E3593" s="32" t="s">
        <v>143</v>
      </c>
      <c r="F3593" s="33" t="n">
        <v>919123000000</v>
      </c>
      <c r="G3593" s="32" t="s">
        <v>80</v>
      </c>
      <c r="H3593" s="32" t="s">
        <v>21</v>
      </c>
      <c r="I3593" s="32" t="s">
        <v>30</v>
      </c>
      <c r="J3593" s="32" t="s">
        <v>203</v>
      </c>
      <c r="K3593" s="32" t="s">
        <v>63</v>
      </c>
    </row>
    <row r="3594" customFormat="false" ht="13.5" hidden="false" customHeight="true" outlineLevel="0" collapsed="false">
      <c r="A3594" s="32" t="n">
        <v>5904</v>
      </c>
      <c r="B3594" s="32" t="s">
        <v>2894</v>
      </c>
      <c r="C3594" s="32" t="s">
        <v>2895</v>
      </c>
      <c r="D3594" s="32" t="s">
        <v>59</v>
      </c>
      <c r="E3594" s="32" t="n">
        <v>0</v>
      </c>
      <c r="F3594" s="32" t="n">
        <v>9167214095</v>
      </c>
      <c r="G3594" s="32" t="s">
        <v>140</v>
      </c>
      <c r="H3594" s="32" t="s">
        <v>21</v>
      </c>
      <c r="I3594" s="32" t="s">
        <v>386</v>
      </c>
      <c r="J3594" s="32" t="s">
        <v>132</v>
      </c>
      <c r="K3594" s="32" t="s">
        <v>63</v>
      </c>
    </row>
    <row r="3595" customFormat="false" ht="13.5" hidden="false" customHeight="true" outlineLevel="0" collapsed="false">
      <c r="A3595" s="32" t="n">
        <v>5905</v>
      </c>
      <c r="B3595" s="32" t="s">
        <v>2894</v>
      </c>
      <c r="C3595" s="32" t="s">
        <v>2895</v>
      </c>
      <c r="D3595" s="32" t="s">
        <v>59</v>
      </c>
      <c r="E3595" s="32" t="n">
        <v>0</v>
      </c>
      <c r="F3595" s="32" t="n">
        <v>9167214095</v>
      </c>
      <c r="G3595" s="32" t="s">
        <v>140</v>
      </c>
      <c r="H3595" s="32" t="s">
        <v>21</v>
      </c>
      <c r="I3595" s="32" t="s">
        <v>251</v>
      </c>
      <c r="J3595" s="32" t="s">
        <v>152</v>
      </c>
      <c r="K3595" s="32" t="s">
        <v>63</v>
      </c>
    </row>
    <row r="3596" customFormat="false" ht="13.5" hidden="false" customHeight="true" outlineLevel="0" collapsed="false">
      <c r="A3596" s="32" t="n">
        <v>5906</v>
      </c>
      <c r="B3596" s="32" t="s">
        <v>2894</v>
      </c>
      <c r="C3596" s="32" t="s">
        <v>2895</v>
      </c>
      <c r="D3596" s="32" t="s">
        <v>59</v>
      </c>
      <c r="E3596" s="32" t="n">
        <v>0</v>
      </c>
      <c r="F3596" s="32" t="n">
        <v>9167214095</v>
      </c>
      <c r="G3596" s="32" t="s">
        <v>140</v>
      </c>
      <c r="H3596" s="32" t="s">
        <v>21</v>
      </c>
      <c r="I3596" s="32" t="s">
        <v>825</v>
      </c>
      <c r="J3596" s="32" t="s">
        <v>132</v>
      </c>
      <c r="K3596" s="32" t="s">
        <v>63</v>
      </c>
    </row>
    <row r="3597" customFormat="false" ht="13.5" hidden="false" customHeight="true" outlineLevel="0" collapsed="false">
      <c r="A3597" s="32" t="n">
        <v>5907</v>
      </c>
      <c r="B3597" s="32" t="s">
        <v>2894</v>
      </c>
      <c r="C3597" s="32" t="s">
        <v>2895</v>
      </c>
      <c r="D3597" s="32" t="s">
        <v>59</v>
      </c>
      <c r="E3597" s="32" t="n">
        <v>0</v>
      </c>
      <c r="F3597" s="32" t="n">
        <v>9167214095</v>
      </c>
      <c r="G3597" s="32" t="s">
        <v>140</v>
      </c>
      <c r="H3597" s="32" t="s">
        <v>21</v>
      </c>
      <c r="I3597" s="32" t="s">
        <v>251</v>
      </c>
      <c r="J3597" s="32" t="s">
        <v>152</v>
      </c>
      <c r="K3597" s="32" t="s">
        <v>63</v>
      </c>
    </row>
    <row r="3598" customFormat="false" ht="13.5" hidden="false" customHeight="true" outlineLevel="0" collapsed="false">
      <c r="A3598" s="32" t="n">
        <v>5908</v>
      </c>
      <c r="B3598" s="32" t="s">
        <v>2896</v>
      </c>
      <c r="C3598" s="32" t="s">
        <v>2897</v>
      </c>
      <c r="D3598" s="32" t="s">
        <v>59</v>
      </c>
      <c r="E3598" s="32" t="s">
        <v>92</v>
      </c>
      <c r="F3598" s="33" t="n">
        <v>919597000000</v>
      </c>
      <c r="G3598" s="32" t="s">
        <v>61</v>
      </c>
      <c r="H3598" s="32" t="s">
        <v>21</v>
      </c>
      <c r="I3598" s="32" t="s">
        <v>131</v>
      </c>
      <c r="J3598" s="32" t="s">
        <v>132</v>
      </c>
      <c r="K3598" s="32" t="s">
        <v>63</v>
      </c>
    </row>
    <row r="3599" customFormat="false" ht="13.5" hidden="false" customHeight="true" outlineLevel="0" collapsed="false">
      <c r="A3599" s="32" t="n">
        <v>5909</v>
      </c>
      <c r="B3599" s="32" t="s">
        <v>2898</v>
      </c>
      <c r="C3599" s="32" t="s">
        <v>2899</v>
      </c>
      <c r="D3599" s="32" t="s">
        <v>114</v>
      </c>
      <c r="E3599" s="32" t="s">
        <v>115</v>
      </c>
      <c r="F3599" s="32" t="n">
        <v>9765962834</v>
      </c>
      <c r="G3599" s="32" t="s">
        <v>144</v>
      </c>
      <c r="H3599" s="32" t="s">
        <v>22</v>
      </c>
      <c r="I3599" s="32" t="s">
        <v>93</v>
      </c>
      <c r="J3599" s="32" t="s">
        <v>85</v>
      </c>
      <c r="K3599" s="32" t="s">
        <v>63</v>
      </c>
    </row>
    <row r="3600" customFormat="false" ht="13.5" hidden="false" customHeight="true" outlineLevel="0" collapsed="false">
      <c r="A3600" s="32" t="n">
        <v>5910</v>
      </c>
      <c r="B3600" s="32" t="s">
        <v>2898</v>
      </c>
      <c r="C3600" s="32" t="s">
        <v>2900</v>
      </c>
      <c r="D3600" s="32" t="s">
        <v>114</v>
      </c>
      <c r="E3600" s="32" t="s">
        <v>115</v>
      </c>
      <c r="F3600" s="32" t="n">
        <v>9765962834</v>
      </c>
      <c r="G3600" s="32" t="s">
        <v>144</v>
      </c>
      <c r="H3600" s="32" t="s">
        <v>22</v>
      </c>
      <c r="I3600" s="32" t="s">
        <v>128</v>
      </c>
      <c r="J3600" s="32" t="s">
        <v>89</v>
      </c>
      <c r="K3600" s="32" t="s">
        <v>63</v>
      </c>
    </row>
    <row r="3601" customFormat="false" ht="13.5" hidden="false" customHeight="true" outlineLevel="0" collapsed="false">
      <c r="A3601" s="32" t="n">
        <v>5911</v>
      </c>
      <c r="B3601" s="32" t="s">
        <v>2898</v>
      </c>
      <c r="C3601" s="32" t="s">
        <v>2900</v>
      </c>
      <c r="D3601" s="32" t="s">
        <v>114</v>
      </c>
      <c r="E3601" s="32" t="s">
        <v>115</v>
      </c>
      <c r="F3601" s="32" t="n">
        <v>9765962834</v>
      </c>
      <c r="G3601" s="32" t="s">
        <v>144</v>
      </c>
      <c r="H3601" s="32" t="s">
        <v>22</v>
      </c>
      <c r="I3601" s="32" t="s">
        <v>145</v>
      </c>
      <c r="J3601" s="32" t="s">
        <v>117</v>
      </c>
      <c r="K3601" s="32" t="s">
        <v>63</v>
      </c>
    </row>
    <row r="3602" customFormat="false" ht="13.5" hidden="false" customHeight="true" outlineLevel="0" collapsed="false">
      <c r="A3602" s="32" t="n">
        <v>5912</v>
      </c>
      <c r="B3602" s="32" t="s">
        <v>2901</v>
      </c>
      <c r="C3602" s="32" t="s">
        <v>2902</v>
      </c>
      <c r="D3602" s="32" t="s">
        <v>114</v>
      </c>
      <c r="E3602" s="32" t="s">
        <v>115</v>
      </c>
      <c r="F3602" s="32" t="n">
        <v>9477423169</v>
      </c>
      <c r="G3602" s="32" t="s">
        <v>80</v>
      </c>
      <c r="H3602" s="32" t="s">
        <v>22</v>
      </c>
      <c r="I3602" s="32" t="s">
        <v>371</v>
      </c>
      <c r="J3602" s="32" t="s">
        <v>152</v>
      </c>
      <c r="K3602" s="32" t="s">
        <v>63</v>
      </c>
    </row>
    <row r="3603" customFormat="false" ht="13.5" hidden="false" customHeight="true" outlineLevel="0" collapsed="false">
      <c r="A3603" s="32" t="n">
        <v>5913</v>
      </c>
      <c r="B3603" s="32" t="s">
        <v>2901</v>
      </c>
      <c r="C3603" s="32" t="s">
        <v>2902</v>
      </c>
      <c r="D3603" s="32" t="s">
        <v>114</v>
      </c>
      <c r="E3603" s="32" t="s">
        <v>115</v>
      </c>
      <c r="F3603" s="32" t="n">
        <v>9477423169</v>
      </c>
      <c r="G3603" s="32" t="s">
        <v>80</v>
      </c>
      <c r="H3603" s="32" t="s">
        <v>22</v>
      </c>
      <c r="I3603" s="32" t="s">
        <v>284</v>
      </c>
      <c r="J3603" s="32" t="s">
        <v>117</v>
      </c>
      <c r="K3603" s="32" t="s">
        <v>63</v>
      </c>
    </row>
    <row r="3604" customFormat="false" ht="13.5" hidden="false" customHeight="true" outlineLevel="0" collapsed="false">
      <c r="A3604" s="32" t="n">
        <v>5915</v>
      </c>
      <c r="B3604" s="32" t="s">
        <v>2901</v>
      </c>
      <c r="C3604" s="32" t="s">
        <v>2902</v>
      </c>
      <c r="D3604" s="32" t="s">
        <v>114</v>
      </c>
      <c r="E3604" s="32" t="s">
        <v>115</v>
      </c>
      <c r="F3604" s="32" t="n">
        <v>9477423169</v>
      </c>
      <c r="G3604" s="32" t="s">
        <v>80</v>
      </c>
      <c r="H3604" s="32" t="s">
        <v>22</v>
      </c>
      <c r="I3604" s="32" t="s">
        <v>172</v>
      </c>
      <c r="J3604" s="32" t="s">
        <v>152</v>
      </c>
      <c r="K3604" s="32" t="s">
        <v>63</v>
      </c>
    </row>
    <row r="3605" customFormat="false" ht="13.5" hidden="false" customHeight="true" outlineLevel="0" collapsed="false">
      <c r="A3605" s="32" t="n">
        <v>5916</v>
      </c>
      <c r="B3605" s="32" t="s">
        <v>2903</v>
      </c>
      <c r="C3605" s="32" t="s">
        <v>2904</v>
      </c>
      <c r="D3605" s="32" t="s">
        <v>114</v>
      </c>
      <c r="E3605" s="32" t="s">
        <v>169</v>
      </c>
      <c r="F3605" s="32" t="n">
        <v>7795078793</v>
      </c>
      <c r="G3605" s="32" t="s">
        <v>61</v>
      </c>
      <c r="H3605" s="32" t="s">
        <v>22</v>
      </c>
      <c r="I3605" s="32" t="s">
        <v>151</v>
      </c>
      <c r="J3605" s="32" t="s">
        <v>152</v>
      </c>
      <c r="K3605" s="32" t="s">
        <v>63</v>
      </c>
    </row>
    <row r="3606" customFormat="false" ht="13.5" hidden="false" customHeight="true" outlineLevel="0" collapsed="false">
      <c r="A3606" s="32" t="n">
        <v>5917</v>
      </c>
      <c r="B3606" s="32" t="s">
        <v>2905</v>
      </c>
      <c r="C3606" s="32" t="s">
        <v>2906</v>
      </c>
      <c r="D3606" s="32" t="s">
        <v>59</v>
      </c>
      <c r="E3606" s="32" t="s">
        <v>107</v>
      </c>
      <c r="F3606" s="33" t="n">
        <v>919557000000</v>
      </c>
      <c r="G3606" s="32" t="s">
        <v>144</v>
      </c>
      <c r="H3606" s="32" t="s">
        <v>21</v>
      </c>
      <c r="I3606" s="32" t="s">
        <v>27</v>
      </c>
      <c r="J3606" s="32" t="s">
        <v>13</v>
      </c>
      <c r="K3606" s="32" t="s">
        <v>63</v>
      </c>
    </row>
    <row r="3607" customFormat="false" ht="13.5" hidden="false" customHeight="true" outlineLevel="0" collapsed="false">
      <c r="A3607" s="32" t="n">
        <v>5918</v>
      </c>
      <c r="B3607" s="32" t="s">
        <v>2905</v>
      </c>
      <c r="C3607" s="32" t="s">
        <v>2906</v>
      </c>
      <c r="D3607" s="32" t="s">
        <v>59</v>
      </c>
      <c r="E3607" s="32" t="s">
        <v>107</v>
      </c>
      <c r="F3607" s="33" t="n">
        <v>919557000000</v>
      </c>
      <c r="G3607" s="32" t="s">
        <v>144</v>
      </c>
      <c r="H3607" s="32" t="s">
        <v>21</v>
      </c>
      <c r="I3607" s="32" t="s">
        <v>30</v>
      </c>
      <c r="J3607" s="32" t="s">
        <v>203</v>
      </c>
      <c r="K3607" s="32" t="s">
        <v>63</v>
      </c>
    </row>
    <row r="3608" customFormat="false" ht="13.5" hidden="false" customHeight="true" outlineLevel="0" collapsed="false">
      <c r="A3608" s="32" t="n">
        <v>5919</v>
      </c>
      <c r="B3608" s="32" t="s">
        <v>2905</v>
      </c>
      <c r="C3608" s="32" t="s">
        <v>2906</v>
      </c>
      <c r="D3608" s="32" t="s">
        <v>59</v>
      </c>
      <c r="E3608" s="32" t="s">
        <v>107</v>
      </c>
      <c r="F3608" s="33" t="n">
        <v>919557000000</v>
      </c>
      <c r="G3608" s="32" t="s">
        <v>144</v>
      </c>
      <c r="H3608" s="32" t="s">
        <v>21</v>
      </c>
      <c r="I3608" s="32" t="s">
        <v>146</v>
      </c>
      <c r="J3608" s="32" t="s">
        <v>117</v>
      </c>
      <c r="K3608" s="32" t="s">
        <v>63</v>
      </c>
    </row>
    <row r="3609" customFormat="false" ht="13.5" hidden="false" customHeight="true" outlineLevel="0" collapsed="false">
      <c r="A3609" s="32" t="n">
        <v>5920</v>
      </c>
      <c r="B3609" s="32" t="s">
        <v>2907</v>
      </c>
      <c r="C3609" s="32" t="s">
        <v>2908</v>
      </c>
      <c r="D3609" s="32" t="s">
        <v>102</v>
      </c>
      <c r="E3609" s="32" t="s">
        <v>767</v>
      </c>
      <c r="F3609" s="32" t="n">
        <v>9304823896</v>
      </c>
      <c r="G3609" s="32" t="s">
        <v>61</v>
      </c>
      <c r="H3609" s="32" t="s">
        <v>21</v>
      </c>
      <c r="I3609" s="32" t="s">
        <v>291</v>
      </c>
      <c r="J3609" s="32" t="s">
        <v>132</v>
      </c>
      <c r="K3609" s="32" t="s">
        <v>63</v>
      </c>
    </row>
    <row r="3610" customFormat="false" ht="13.5" hidden="false" customHeight="true" outlineLevel="0" collapsed="false">
      <c r="A3610" s="32" t="n">
        <v>5921</v>
      </c>
      <c r="B3610" s="32" t="s">
        <v>2909</v>
      </c>
      <c r="C3610" s="32" t="s">
        <v>2910</v>
      </c>
      <c r="D3610" s="32" t="s">
        <v>114</v>
      </c>
      <c r="E3610" s="32" t="s">
        <v>115</v>
      </c>
      <c r="F3610" s="32" t="n">
        <v>0</v>
      </c>
      <c r="G3610" s="32" t="s">
        <v>61</v>
      </c>
      <c r="H3610" s="32" t="s">
        <v>22</v>
      </c>
      <c r="I3610" s="32" t="s">
        <v>30</v>
      </c>
      <c r="J3610" s="32" t="s">
        <v>203</v>
      </c>
      <c r="K3610" s="32" t="s">
        <v>63</v>
      </c>
    </row>
    <row r="3611" customFormat="false" ht="13.5" hidden="false" customHeight="true" outlineLevel="0" collapsed="false">
      <c r="A3611" s="32" t="n">
        <v>5922</v>
      </c>
      <c r="B3611" s="32" t="s">
        <v>2911</v>
      </c>
      <c r="C3611" s="32" t="s">
        <v>2912</v>
      </c>
      <c r="D3611" s="32" t="s">
        <v>114</v>
      </c>
      <c r="E3611" s="32" t="s">
        <v>115</v>
      </c>
      <c r="F3611" s="32" t="n">
        <v>9619622589</v>
      </c>
      <c r="G3611" s="32" t="s">
        <v>144</v>
      </c>
      <c r="H3611" s="32" t="s">
        <v>22</v>
      </c>
      <c r="I3611" s="32" t="s">
        <v>85</v>
      </c>
      <c r="J3611" s="32" t="s">
        <v>85</v>
      </c>
      <c r="K3611" s="32" t="s">
        <v>63</v>
      </c>
    </row>
    <row r="3612" customFormat="false" ht="13.5" hidden="false" customHeight="true" outlineLevel="0" collapsed="false">
      <c r="A3612" s="32" t="n">
        <v>5923</v>
      </c>
      <c r="B3612" s="32" t="s">
        <v>2911</v>
      </c>
      <c r="C3612" s="32" t="s">
        <v>2913</v>
      </c>
      <c r="D3612" s="32" t="s">
        <v>114</v>
      </c>
      <c r="E3612" s="32" t="s">
        <v>115</v>
      </c>
      <c r="F3612" s="32" t="n">
        <v>9619622589</v>
      </c>
      <c r="G3612" s="32" t="s">
        <v>144</v>
      </c>
      <c r="H3612" s="32" t="s">
        <v>22</v>
      </c>
      <c r="I3612" s="32" t="s">
        <v>145</v>
      </c>
      <c r="J3612" s="32" t="s">
        <v>117</v>
      </c>
      <c r="K3612" s="32" t="s">
        <v>63</v>
      </c>
    </row>
    <row r="3613" customFormat="false" ht="13.5" hidden="false" customHeight="true" outlineLevel="0" collapsed="false">
      <c r="A3613" s="32" t="n">
        <v>5924</v>
      </c>
      <c r="B3613" s="32" t="s">
        <v>2911</v>
      </c>
      <c r="C3613" s="32" t="s">
        <v>2913</v>
      </c>
      <c r="D3613" s="32" t="s">
        <v>114</v>
      </c>
      <c r="E3613" s="32" t="s">
        <v>115</v>
      </c>
      <c r="F3613" s="32" t="n">
        <v>9619622589</v>
      </c>
      <c r="G3613" s="32" t="s">
        <v>144</v>
      </c>
      <c r="H3613" s="32" t="s">
        <v>22</v>
      </c>
      <c r="I3613" s="32" t="s">
        <v>93</v>
      </c>
      <c r="J3613" s="32" t="s">
        <v>85</v>
      </c>
      <c r="K3613" s="32" t="s">
        <v>63</v>
      </c>
    </row>
    <row r="3614" customFormat="false" ht="13.5" hidden="false" customHeight="true" outlineLevel="0" collapsed="false">
      <c r="A3614" s="32" t="n">
        <v>5925</v>
      </c>
      <c r="B3614" s="32" t="s">
        <v>2911</v>
      </c>
      <c r="C3614" s="32" t="s">
        <v>2913</v>
      </c>
      <c r="D3614" s="32" t="s">
        <v>114</v>
      </c>
      <c r="E3614" s="32" t="s">
        <v>115</v>
      </c>
      <c r="F3614" s="32" t="n">
        <v>9619622589</v>
      </c>
      <c r="G3614" s="32" t="s">
        <v>144</v>
      </c>
      <c r="H3614" s="32" t="s">
        <v>22</v>
      </c>
      <c r="I3614" s="32" t="s">
        <v>133</v>
      </c>
      <c r="J3614" s="32" t="s">
        <v>134</v>
      </c>
      <c r="K3614" s="32" t="s">
        <v>63</v>
      </c>
    </row>
    <row r="3615" customFormat="false" ht="13.5" hidden="false" customHeight="true" outlineLevel="0" collapsed="false">
      <c r="A3615" s="32" t="n">
        <v>5926</v>
      </c>
      <c r="B3615" s="32" t="s">
        <v>2914</v>
      </c>
      <c r="C3615" s="32" t="s">
        <v>2915</v>
      </c>
      <c r="D3615" s="32" t="s">
        <v>102</v>
      </c>
      <c r="E3615" s="32" t="s">
        <v>155</v>
      </c>
      <c r="F3615" s="32" t="n">
        <v>7908751175</v>
      </c>
      <c r="G3615" s="32" t="s">
        <v>140</v>
      </c>
      <c r="H3615" s="32" t="s">
        <v>21</v>
      </c>
      <c r="I3615" s="32" t="s">
        <v>29</v>
      </c>
      <c r="J3615" s="32" t="s">
        <v>62</v>
      </c>
      <c r="K3615" s="32" t="s">
        <v>63</v>
      </c>
    </row>
    <row r="3616" customFormat="false" ht="13.5" hidden="false" customHeight="true" outlineLevel="0" collapsed="false">
      <c r="A3616" s="32" t="n">
        <v>5927</v>
      </c>
      <c r="B3616" s="32" t="s">
        <v>2916</v>
      </c>
      <c r="C3616" s="32" t="s">
        <v>2917</v>
      </c>
      <c r="D3616" s="32" t="s">
        <v>114</v>
      </c>
      <c r="E3616" s="32" t="s">
        <v>115</v>
      </c>
      <c r="F3616" s="33" t="n">
        <v>919804000000</v>
      </c>
      <c r="G3616" s="32" t="s">
        <v>80</v>
      </c>
      <c r="H3616" s="32" t="s">
        <v>22</v>
      </c>
      <c r="I3616" s="32" t="s">
        <v>149</v>
      </c>
      <c r="J3616" s="32" t="s">
        <v>73</v>
      </c>
      <c r="K3616" s="32" t="s">
        <v>63</v>
      </c>
    </row>
    <row r="3617" customFormat="false" ht="13.5" hidden="false" customHeight="true" outlineLevel="0" collapsed="false">
      <c r="A3617" s="32" t="n">
        <v>5928</v>
      </c>
      <c r="B3617" s="32" t="s">
        <v>2916</v>
      </c>
      <c r="C3617" s="32" t="s">
        <v>2917</v>
      </c>
      <c r="D3617" s="32" t="s">
        <v>114</v>
      </c>
      <c r="E3617" s="32" t="s">
        <v>115</v>
      </c>
      <c r="F3617" s="33" t="n">
        <v>919804000000</v>
      </c>
      <c r="G3617" s="32" t="s">
        <v>80</v>
      </c>
      <c r="H3617" s="32" t="s">
        <v>22</v>
      </c>
      <c r="I3617" s="32" t="s">
        <v>30</v>
      </c>
      <c r="J3617" s="32" t="s">
        <v>203</v>
      </c>
      <c r="K3617" s="32" t="s">
        <v>63</v>
      </c>
    </row>
    <row r="3618" customFormat="false" ht="13.5" hidden="false" customHeight="true" outlineLevel="0" collapsed="false">
      <c r="A3618" s="32" t="n">
        <v>5929</v>
      </c>
      <c r="B3618" s="32" t="s">
        <v>2918</v>
      </c>
      <c r="C3618" s="32" t="s">
        <v>2919</v>
      </c>
      <c r="D3618" s="32" t="s">
        <v>59</v>
      </c>
      <c r="E3618" s="32" t="s">
        <v>143</v>
      </c>
      <c r="F3618" s="33" t="n">
        <v>919837000000</v>
      </c>
      <c r="G3618" s="32" t="s">
        <v>140</v>
      </c>
      <c r="H3618" s="32" t="s">
        <v>21</v>
      </c>
      <c r="I3618" s="32" t="s">
        <v>227</v>
      </c>
      <c r="J3618" s="32" t="s">
        <v>228</v>
      </c>
      <c r="K3618" s="32" t="s">
        <v>63</v>
      </c>
    </row>
    <row r="3619" customFormat="false" ht="13.5" hidden="false" customHeight="true" outlineLevel="0" collapsed="false">
      <c r="A3619" s="32" t="n">
        <v>5930</v>
      </c>
      <c r="B3619" s="32" t="s">
        <v>2918</v>
      </c>
      <c r="C3619" s="32" t="s">
        <v>2919</v>
      </c>
      <c r="D3619" s="32" t="s">
        <v>59</v>
      </c>
      <c r="E3619" s="32" t="s">
        <v>143</v>
      </c>
      <c r="F3619" s="33" t="n">
        <v>919837000000</v>
      </c>
      <c r="G3619" s="32" t="s">
        <v>140</v>
      </c>
      <c r="H3619" s="32" t="s">
        <v>21</v>
      </c>
      <c r="I3619" s="32" t="s">
        <v>669</v>
      </c>
      <c r="J3619" s="32" t="s">
        <v>388</v>
      </c>
      <c r="K3619" s="32" t="s">
        <v>63</v>
      </c>
    </row>
    <row r="3620" customFormat="false" ht="13.5" hidden="false" customHeight="true" outlineLevel="0" collapsed="false">
      <c r="A3620" s="32" t="n">
        <v>5933</v>
      </c>
      <c r="B3620" s="32" t="s">
        <v>2918</v>
      </c>
      <c r="C3620" s="32" t="s">
        <v>2919</v>
      </c>
      <c r="D3620" s="32" t="s">
        <v>59</v>
      </c>
      <c r="E3620" s="32" t="s">
        <v>143</v>
      </c>
      <c r="F3620" s="33" t="n">
        <v>919837000000</v>
      </c>
      <c r="G3620" s="32" t="s">
        <v>140</v>
      </c>
      <c r="H3620" s="32" t="s">
        <v>21</v>
      </c>
      <c r="I3620" s="32" t="s">
        <v>231</v>
      </c>
      <c r="J3620" s="32" t="s">
        <v>228</v>
      </c>
      <c r="K3620" s="32" t="s">
        <v>63</v>
      </c>
    </row>
    <row r="3621" customFormat="false" ht="13.5" hidden="false" customHeight="true" outlineLevel="0" collapsed="false">
      <c r="A3621" s="32" t="n">
        <v>5934</v>
      </c>
      <c r="B3621" s="32" t="s">
        <v>2920</v>
      </c>
      <c r="C3621" s="32" t="s">
        <v>2921</v>
      </c>
      <c r="D3621" s="32" t="s">
        <v>331</v>
      </c>
      <c r="E3621" s="32" t="s">
        <v>620</v>
      </c>
      <c r="F3621" s="33" t="n">
        <v>919831000000</v>
      </c>
      <c r="G3621" s="32" t="s">
        <v>140</v>
      </c>
      <c r="H3621" s="32" t="s">
        <v>332</v>
      </c>
      <c r="I3621" s="32" t="s">
        <v>185</v>
      </c>
      <c r="J3621" s="32" t="s">
        <v>186</v>
      </c>
      <c r="K3621" s="32" t="s">
        <v>63</v>
      </c>
    </row>
    <row r="3622" customFormat="false" ht="13.5" hidden="false" customHeight="true" outlineLevel="0" collapsed="false">
      <c r="A3622" s="32" t="n">
        <v>5935</v>
      </c>
      <c r="B3622" s="32" t="s">
        <v>2920</v>
      </c>
      <c r="C3622" s="32" t="s">
        <v>2921</v>
      </c>
      <c r="D3622" s="32" t="s">
        <v>331</v>
      </c>
      <c r="E3622" s="32" t="s">
        <v>620</v>
      </c>
      <c r="F3622" s="33" t="n">
        <v>919831000000</v>
      </c>
      <c r="G3622" s="32" t="s">
        <v>140</v>
      </c>
      <c r="H3622" s="32" t="s">
        <v>332</v>
      </c>
      <c r="I3622" s="32" t="s">
        <v>221</v>
      </c>
      <c r="J3622" s="32" t="s">
        <v>222</v>
      </c>
      <c r="K3622" s="32" t="s">
        <v>63</v>
      </c>
    </row>
    <row r="3623" customFormat="false" ht="13.5" hidden="false" customHeight="true" outlineLevel="0" collapsed="false">
      <c r="A3623" s="32" t="n">
        <v>5936</v>
      </c>
      <c r="B3623" s="32" t="s">
        <v>2920</v>
      </c>
      <c r="C3623" s="32" t="s">
        <v>2921</v>
      </c>
      <c r="D3623" s="32" t="s">
        <v>331</v>
      </c>
      <c r="E3623" s="32" t="s">
        <v>620</v>
      </c>
      <c r="F3623" s="33" t="n">
        <v>919831000000</v>
      </c>
      <c r="G3623" s="32" t="s">
        <v>140</v>
      </c>
      <c r="H3623" s="32" t="s">
        <v>332</v>
      </c>
      <c r="I3623" s="32" t="s">
        <v>223</v>
      </c>
      <c r="J3623" s="32" t="s">
        <v>224</v>
      </c>
      <c r="K3623" s="32" t="s">
        <v>63</v>
      </c>
    </row>
    <row r="3624" customFormat="false" ht="13.5" hidden="false" customHeight="true" outlineLevel="0" collapsed="false">
      <c r="A3624" s="32" t="n">
        <v>5937</v>
      </c>
      <c r="B3624" s="32" t="s">
        <v>2920</v>
      </c>
      <c r="C3624" s="32" t="s">
        <v>2921</v>
      </c>
      <c r="D3624" s="32" t="s">
        <v>331</v>
      </c>
      <c r="E3624" s="32" t="s">
        <v>620</v>
      </c>
      <c r="F3624" s="33" t="n">
        <v>919831000000</v>
      </c>
      <c r="G3624" s="32" t="s">
        <v>140</v>
      </c>
      <c r="H3624" s="32" t="s">
        <v>332</v>
      </c>
      <c r="I3624" s="32" t="s">
        <v>145</v>
      </c>
      <c r="J3624" s="32" t="s">
        <v>117</v>
      </c>
      <c r="K3624" s="32" t="s">
        <v>63</v>
      </c>
    </row>
    <row r="3625" customFormat="false" ht="13.5" hidden="false" customHeight="true" outlineLevel="0" collapsed="false">
      <c r="A3625" s="32" t="n">
        <v>5938</v>
      </c>
      <c r="B3625" s="32" t="s">
        <v>2920</v>
      </c>
      <c r="C3625" s="32" t="s">
        <v>2921</v>
      </c>
      <c r="D3625" s="32" t="s">
        <v>331</v>
      </c>
      <c r="E3625" s="32" t="s">
        <v>620</v>
      </c>
      <c r="F3625" s="33" t="n">
        <v>919831000000</v>
      </c>
      <c r="G3625" s="32" t="s">
        <v>140</v>
      </c>
      <c r="H3625" s="32" t="s">
        <v>332</v>
      </c>
      <c r="I3625" s="32" t="s">
        <v>93</v>
      </c>
      <c r="J3625" s="32" t="s">
        <v>85</v>
      </c>
      <c r="K3625" s="32" t="s">
        <v>63</v>
      </c>
    </row>
    <row r="3626" customFormat="false" ht="13.5" hidden="false" customHeight="true" outlineLevel="0" collapsed="false">
      <c r="A3626" s="32" t="n">
        <v>5939</v>
      </c>
      <c r="B3626" s="32" t="s">
        <v>2920</v>
      </c>
      <c r="C3626" s="32" t="s">
        <v>2921</v>
      </c>
      <c r="D3626" s="32" t="s">
        <v>331</v>
      </c>
      <c r="E3626" s="32" t="s">
        <v>620</v>
      </c>
      <c r="F3626" s="33" t="n">
        <v>919831000000</v>
      </c>
      <c r="G3626" s="32" t="s">
        <v>140</v>
      </c>
      <c r="H3626" s="32" t="s">
        <v>332</v>
      </c>
      <c r="I3626" s="32" t="s">
        <v>126</v>
      </c>
      <c r="J3626" s="32" t="s">
        <v>85</v>
      </c>
      <c r="K3626" s="32" t="s">
        <v>63</v>
      </c>
    </row>
    <row r="3627" customFormat="false" ht="13.5" hidden="false" customHeight="true" outlineLevel="0" collapsed="false">
      <c r="A3627" s="32" t="n">
        <v>5940</v>
      </c>
      <c r="B3627" s="32" t="s">
        <v>2920</v>
      </c>
      <c r="C3627" s="32" t="s">
        <v>2921</v>
      </c>
      <c r="D3627" s="32" t="s">
        <v>331</v>
      </c>
      <c r="E3627" s="32" t="s">
        <v>620</v>
      </c>
      <c r="F3627" s="33" t="n">
        <v>919831000000</v>
      </c>
      <c r="G3627" s="32" t="s">
        <v>140</v>
      </c>
      <c r="H3627" s="32" t="s">
        <v>332</v>
      </c>
      <c r="I3627" s="32" t="s">
        <v>242</v>
      </c>
      <c r="J3627" s="32" t="s">
        <v>241</v>
      </c>
      <c r="K3627" s="32" t="s">
        <v>63</v>
      </c>
    </row>
    <row r="3628" customFormat="false" ht="13.5" hidden="false" customHeight="true" outlineLevel="0" collapsed="false">
      <c r="A3628" s="32" t="n">
        <v>5941</v>
      </c>
      <c r="B3628" s="32" t="s">
        <v>2922</v>
      </c>
      <c r="C3628" s="32" t="s">
        <v>2923</v>
      </c>
      <c r="D3628" s="32" t="s">
        <v>102</v>
      </c>
      <c r="E3628" s="32" t="s">
        <v>107</v>
      </c>
      <c r="F3628" s="32" t="n">
        <v>0</v>
      </c>
      <c r="G3628" s="32" t="s">
        <v>140</v>
      </c>
      <c r="H3628" s="32" t="s">
        <v>21</v>
      </c>
      <c r="I3628" s="32" t="s">
        <v>16</v>
      </c>
      <c r="J3628" s="32" t="s">
        <v>73</v>
      </c>
      <c r="K3628" s="32" t="s">
        <v>63</v>
      </c>
    </row>
    <row r="3629" customFormat="false" ht="13.5" hidden="false" customHeight="true" outlineLevel="0" collapsed="false">
      <c r="A3629" s="32" t="n">
        <v>5942</v>
      </c>
      <c r="B3629" s="32" t="s">
        <v>2922</v>
      </c>
      <c r="C3629" s="32" t="s">
        <v>2923</v>
      </c>
      <c r="D3629" s="32" t="s">
        <v>59</v>
      </c>
      <c r="E3629" s="32" t="s">
        <v>107</v>
      </c>
      <c r="F3629" s="32" t="n">
        <v>9962337967</v>
      </c>
      <c r="G3629" s="32" t="s">
        <v>140</v>
      </c>
      <c r="H3629" s="32" t="s">
        <v>21</v>
      </c>
      <c r="I3629" s="32" t="s">
        <v>27</v>
      </c>
      <c r="J3629" s="32" t="s">
        <v>13</v>
      </c>
      <c r="K3629" s="32" t="s">
        <v>63</v>
      </c>
    </row>
    <row r="3630" customFormat="false" ht="13.5" hidden="false" customHeight="true" outlineLevel="0" collapsed="false">
      <c r="A3630" s="32" t="n">
        <v>5943</v>
      </c>
      <c r="B3630" s="32" t="s">
        <v>2924</v>
      </c>
      <c r="C3630" s="32" t="s">
        <v>2925</v>
      </c>
      <c r="D3630" s="32" t="s">
        <v>59</v>
      </c>
      <c r="E3630" s="32" t="s">
        <v>107</v>
      </c>
      <c r="F3630" s="32" t="n">
        <v>8754572933</v>
      </c>
      <c r="G3630" s="32" t="s">
        <v>0</v>
      </c>
      <c r="H3630" s="32" t="s">
        <v>21</v>
      </c>
      <c r="I3630" s="32" t="s">
        <v>121</v>
      </c>
      <c r="J3630" s="32" t="s">
        <v>110</v>
      </c>
      <c r="K3630" s="32" t="s">
        <v>63</v>
      </c>
    </row>
    <row r="3631" customFormat="false" ht="13.5" hidden="false" customHeight="true" outlineLevel="0" collapsed="false">
      <c r="A3631" s="32" t="n">
        <v>5946</v>
      </c>
      <c r="B3631" s="32" t="s">
        <v>2924</v>
      </c>
      <c r="C3631" s="32" t="s">
        <v>2925</v>
      </c>
      <c r="D3631" s="32" t="s">
        <v>59</v>
      </c>
      <c r="E3631" s="32" t="s">
        <v>107</v>
      </c>
      <c r="F3631" s="32" t="n">
        <v>8754572933</v>
      </c>
      <c r="G3631" s="32" t="s">
        <v>0</v>
      </c>
      <c r="H3631" s="32" t="s">
        <v>21</v>
      </c>
      <c r="I3631" s="32" t="s">
        <v>145</v>
      </c>
      <c r="J3631" s="32" t="s">
        <v>117</v>
      </c>
      <c r="K3631" s="32" t="s">
        <v>63</v>
      </c>
    </row>
    <row r="3632" customFormat="false" ht="13.5" hidden="false" customHeight="true" outlineLevel="0" collapsed="false">
      <c r="A3632" s="32" t="n">
        <v>5952</v>
      </c>
      <c r="B3632" s="32" t="s">
        <v>2926</v>
      </c>
      <c r="C3632" s="32" t="s">
        <v>2927</v>
      </c>
      <c r="D3632" s="32" t="s">
        <v>59</v>
      </c>
      <c r="E3632" s="32" t="n">
        <v>0</v>
      </c>
      <c r="F3632" s="32" t="n">
        <v>8867230012</v>
      </c>
      <c r="G3632" s="32" t="s">
        <v>61</v>
      </c>
      <c r="H3632" s="32" t="s">
        <v>21</v>
      </c>
      <c r="I3632" s="32" t="s">
        <v>217</v>
      </c>
      <c r="J3632" s="32" t="s">
        <v>132</v>
      </c>
      <c r="K3632" s="32" t="s">
        <v>63</v>
      </c>
    </row>
    <row r="3633" customFormat="false" ht="13.5" hidden="false" customHeight="true" outlineLevel="0" collapsed="false">
      <c r="A3633" s="32" t="n">
        <v>5953</v>
      </c>
      <c r="B3633" s="32" t="s">
        <v>2926</v>
      </c>
      <c r="C3633" s="32" t="s">
        <v>2927</v>
      </c>
      <c r="D3633" s="32" t="s">
        <v>59</v>
      </c>
      <c r="E3633" s="32" t="n">
        <v>0</v>
      </c>
      <c r="F3633" s="32" t="n">
        <v>8867230012</v>
      </c>
      <c r="G3633" s="32" t="s">
        <v>61</v>
      </c>
      <c r="H3633" s="32" t="s">
        <v>21</v>
      </c>
      <c r="I3633" s="32" t="s">
        <v>133</v>
      </c>
      <c r="J3633" s="32" t="s">
        <v>134</v>
      </c>
      <c r="K3633" s="32" t="s">
        <v>63</v>
      </c>
    </row>
    <row r="3634" customFormat="false" ht="13.5" hidden="false" customHeight="true" outlineLevel="0" collapsed="false">
      <c r="A3634" s="32" t="n">
        <v>5954</v>
      </c>
      <c r="B3634" s="32" t="s">
        <v>2928</v>
      </c>
      <c r="C3634" s="32" t="s">
        <v>2929</v>
      </c>
      <c r="D3634" s="32" t="s">
        <v>59</v>
      </c>
      <c r="E3634" s="32" t="s">
        <v>107</v>
      </c>
      <c r="F3634" s="32" t="n">
        <v>9618853990</v>
      </c>
      <c r="G3634" s="32" t="s">
        <v>80</v>
      </c>
      <c r="H3634" s="32" t="s">
        <v>21</v>
      </c>
      <c r="I3634" s="32" t="s">
        <v>145</v>
      </c>
      <c r="J3634" s="32" t="s">
        <v>117</v>
      </c>
      <c r="K3634" s="32" t="s">
        <v>63</v>
      </c>
    </row>
    <row r="3635" customFormat="false" ht="13.5" hidden="false" customHeight="true" outlineLevel="0" collapsed="false">
      <c r="A3635" s="32" t="n">
        <v>5955</v>
      </c>
      <c r="B3635" s="32" t="s">
        <v>2928</v>
      </c>
      <c r="C3635" s="32" t="s">
        <v>2929</v>
      </c>
      <c r="D3635" s="32" t="s">
        <v>59</v>
      </c>
      <c r="E3635" s="32" t="s">
        <v>107</v>
      </c>
      <c r="F3635" s="32" t="n">
        <v>9618853990</v>
      </c>
      <c r="G3635" s="32" t="s">
        <v>80</v>
      </c>
      <c r="H3635" s="32" t="s">
        <v>21</v>
      </c>
      <c r="I3635" s="32" t="s">
        <v>126</v>
      </c>
      <c r="J3635" s="32" t="s">
        <v>85</v>
      </c>
      <c r="K3635" s="32" t="s">
        <v>63</v>
      </c>
    </row>
    <row r="3636" customFormat="false" ht="13.5" hidden="false" customHeight="true" outlineLevel="0" collapsed="false">
      <c r="A3636" s="32" t="n">
        <v>5956</v>
      </c>
      <c r="B3636" s="32" t="s">
        <v>2928</v>
      </c>
      <c r="C3636" s="32" t="s">
        <v>2930</v>
      </c>
      <c r="D3636" s="32" t="s">
        <v>59</v>
      </c>
      <c r="E3636" s="32" t="s">
        <v>107</v>
      </c>
      <c r="F3636" s="32" t="n">
        <v>9618853990</v>
      </c>
      <c r="G3636" s="32" t="s">
        <v>80</v>
      </c>
      <c r="H3636" s="32" t="s">
        <v>21</v>
      </c>
      <c r="I3636" s="32" t="s">
        <v>16</v>
      </c>
      <c r="J3636" s="32" t="s">
        <v>73</v>
      </c>
      <c r="K3636" s="32" t="s">
        <v>63</v>
      </c>
    </row>
    <row r="3637" customFormat="false" ht="13.5" hidden="false" customHeight="true" outlineLevel="0" collapsed="false">
      <c r="A3637" s="32" t="n">
        <v>5957</v>
      </c>
      <c r="B3637" s="32" t="s">
        <v>2928</v>
      </c>
      <c r="C3637" s="32" t="s">
        <v>2931</v>
      </c>
      <c r="D3637" s="32" t="s">
        <v>59</v>
      </c>
      <c r="E3637" s="32" t="s">
        <v>107</v>
      </c>
      <c r="F3637" s="32" t="n">
        <v>9618853990</v>
      </c>
      <c r="G3637" s="32" t="s">
        <v>80</v>
      </c>
      <c r="H3637" s="32" t="s">
        <v>21</v>
      </c>
      <c r="I3637" s="32" t="s">
        <v>27</v>
      </c>
      <c r="J3637" s="32" t="s">
        <v>13</v>
      </c>
      <c r="K3637" s="32" t="s">
        <v>63</v>
      </c>
    </row>
    <row r="3638" customFormat="false" ht="13.5" hidden="false" customHeight="true" outlineLevel="0" collapsed="false">
      <c r="A3638" s="32" t="n">
        <v>5958</v>
      </c>
      <c r="B3638" s="32" t="s">
        <v>2928</v>
      </c>
      <c r="C3638" s="32" t="s">
        <v>2931</v>
      </c>
      <c r="D3638" s="32" t="s">
        <v>59</v>
      </c>
      <c r="E3638" s="32" t="s">
        <v>107</v>
      </c>
      <c r="F3638" s="32" t="n">
        <v>9618853990</v>
      </c>
      <c r="G3638" s="32" t="s">
        <v>80</v>
      </c>
      <c r="H3638" s="32" t="s">
        <v>21</v>
      </c>
      <c r="I3638" s="32" t="s">
        <v>30</v>
      </c>
      <c r="J3638" s="32" t="s">
        <v>203</v>
      </c>
      <c r="K3638" s="32" t="s">
        <v>63</v>
      </c>
    </row>
    <row r="3639" customFormat="false" ht="13.5" hidden="false" customHeight="true" outlineLevel="0" collapsed="false">
      <c r="A3639" s="32" t="n">
        <v>5959</v>
      </c>
      <c r="B3639" s="32" t="s">
        <v>2928</v>
      </c>
      <c r="C3639" s="32" t="s">
        <v>2931</v>
      </c>
      <c r="D3639" s="32" t="s">
        <v>59</v>
      </c>
      <c r="E3639" s="32" t="s">
        <v>107</v>
      </c>
      <c r="F3639" s="32" t="n">
        <v>9618853990</v>
      </c>
      <c r="G3639" s="32" t="s">
        <v>80</v>
      </c>
      <c r="H3639" s="32" t="s">
        <v>21</v>
      </c>
      <c r="I3639" s="32" t="s">
        <v>111</v>
      </c>
      <c r="J3639" s="32" t="s">
        <v>73</v>
      </c>
      <c r="K3639" s="32" t="s">
        <v>63</v>
      </c>
    </row>
    <row r="3640" customFormat="false" ht="13.5" hidden="false" customHeight="true" outlineLevel="0" collapsed="false">
      <c r="A3640" s="32" t="n">
        <v>5960</v>
      </c>
      <c r="B3640" s="32" t="s">
        <v>2932</v>
      </c>
      <c r="C3640" s="32" t="s">
        <v>2933</v>
      </c>
      <c r="D3640" s="32" t="s">
        <v>59</v>
      </c>
      <c r="E3640" s="32" t="s">
        <v>107</v>
      </c>
      <c r="F3640" s="33" t="n">
        <v>919706000000</v>
      </c>
      <c r="G3640" s="32" t="s">
        <v>80</v>
      </c>
      <c r="H3640" s="32" t="s">
        <v>21</v>
      </c>
      <c r="I3640" s="32" t="s">
        <v>121</v>
      </c>
      <c r="J3640" s="32" t="s">
        <v>110</v>
      </c>
      <c r="K3640" s="32" t="s">
        <v>63</v>
      </c>
    </row>
    <row r="3641" customFormat="false" ht="13.5" hidden="false" customHeight="true" outlineLevel="0" collapsed="false">
      <c r="A3641" s="32" t="n">
        <v>5961</v>
      </c>
      <c r="B3641" s="32" t="s">
        <v>2932</v>
      </c>
      <c r="C3641" s="32" t="s">
        <v>2933</v>
      </c>
      <c r="D3641" s="32" t="s">
        <v>59</v>
      </c>
      <c r="E3641" s="32" t="s">
        <v>107</v>
      </c>
      <c r="F3641" s="33" t="n">
        <v>919706000000</v>
      </c>
      <c r="G3641" s="32" t="s">
        <v>80</v>
      </c>
      <c r="H3641" s="32" t="s">
        <v>21</v>
      </c>
      <c r="I3641" s="32" t="s">
        <v>116</v>
      </c>
      <c r="J3641" s="32" t="s">
        <v>117</v>
      </c>
      <c r="K3641" s="32" t="s">
        <v>63</v>
      </c>
    </row>
    <row r="3642" customFormat="false" ht="13.5" hidden="false" customHeight="true" outlineLevel="0" collapsed="false">
      <c r="A3642" s="32" t="n">
        <v>5962</v>
      </c>
      <c r="B3642" s="32" t="s">
        <v>2934</v>
      </c>
      <c r="C3642" s="32" t="s">
        <v>2935</v>
      </c>
      <c r="D3642" s="32" t="s">
        <v>114</v>
      </c>
      <c r="E3642" s="32" t="s">
        <v>115</v>
      </c>
      <c r="F3642" s="32" t="n">
        <v>8123468456</v>
      </c>
      <c r="G3642" s="32" t="s">
        <v>61</v>
      </c>
      <c r="H3642" s="32" t="s">
        <v>22</v>
      </c>
      <c r="I3642" s="32" t="s">
        <v>108</v>
      </c>
      <c r="J3642" s="32" t="s">
        <v>71</v>
      </c>
      <c r="K3642" s="32" t="s">
        <v>63</v>
      </c>
    </row>
    <row r="3643" customFormat="false" ht="13.5" hidden="false" customHeight="true" outlineLevel="0" collapsed="false">
      <c r="A3643" s="32" t="n">
        <v>5963</v>
      </c>
      <c r="B3643" s="32" t="s">
        <v>2934</v>
      </c>
      <c r="C3643" s="32" t="s">
        <v>2935</v>
      </c>
      <c r="D3643" s="32" t="s">
        <v>114</v>
      </c>
      <c r="E3643" s="32" t="s">
        <v>115</v>
      </c>
      <c r="F3643" s="32" t="n">
        <v>8123468456</v>
      </c>
      <c r="G3643" s="32" t="s">
        <v>61</v>
      </c>
      <c r="H3643" s="32" t="s">
        <v>22</v>
      </c>
      <c r="I3643" s="32" t="s">
        <v>16</v>
      </c>
      <c r="J3643" s="32" t="s">
        <v>73</v>
      </c>
      <c r="K3643" s="32" t="s">
        <v>63</v>
      </c>
    </row>
    <row r="3644" customFormat="false" ht="13.5" hidden="false" customHeight="true" outlineLevel="0" collapsed="false">
      <c r="A3644" s="32" t="n">
        <v>5964</v>
      </c>
      <c r="B3644" s="32" t="s">
        <v>2936</v>
      </c>
      <c r="C3644" s="32" t="s">
        <v>2937</v>
      </c>
      <c r="D3644" s="32" t="s">
        <v>59</v>
      </c>
      <c r="E3644" s="32" t="s">
        <v>107</v>
      </c>
      <c r="F3644" s="32" t="n">
        <v>7075211712</v>
      </c>
      <c r="G3644" s="32" t="s">
        <v>80</v>
      </c>
      <c r="H3644" s="32" t="s">
        <v>21</v>
      </c>
      <c r="I3644" s="32" t="s">
        <v>108</v>
      </c>
      <c r="J3644" s="32" t="s">
        <v>71</v>
      </c>
      <c r="K3644" s="32" t="s">
        <v>63</v>
      </c>
    </row>
    <row r="3645" customFormat="false" ht="13.5" hidden="false" customHeight="true" outlineLevel="0" collapsed="false">
      <c r="A3645" s="32" t="n">
        <v>5965</v>
      </c>
      <c r="B3645" s="32" t="s">
        <v>2936</v>
      </c>
      <c r="C3645" s="32" t="s">
        <v>2937</v>
      </c>
      <c r="D3645" s="32" t="s">
        <v>59</v>
      </c>
      <c r="E3645" s="32" t="s">
        <v>107</v>
      </c>
      <c r="F3645" s="32" t="n">
        <v>7075211712</v>
      </c>
      <c r="G3645" s="32" t="s">
        <v>80</v>
      </c>
      <c r="H3645" s="32" t="s">
        <v>21</v>
      </c>
      <c r="I3645" s="32" t="s">
        <v>385</v>
      </c>
      <c r="J3645" s="32" t="s">
        <v>71</v>
      </c>
      <c r="K3645" s="32" t="s">
        <v>63</v>
      </c>
    </row>
    <row r="3646" customFormat="false" ht="13.5" hidden="false" customHeight="true" outlineLevel="0" collapsed="false">
      <c r="A3646" s="32" t="n">
        <v>5966</v>
      </c>
      <c r="B3646" s="32" t="s">
        <v>2936</v>
      </c>
      <c r="C3646" s="32" t="s">
        <v>2937</v>
      </c>
      <c r="D3646" s="32" t="s">
        <v>59</v>
      </c>
      <c r="E3646" s="32" t="s">
        <v>107</v>
      </c>
      <c r="F3646" s="32" t="n">
        <v>7075211712</v>
      </c>
      <c r="G3646" s="32" t="s">
        <v>80</v>
      </c>
      <c r="H3646" s="32" t="s">
        <v>21</v>
      </c>
      <c r="I3646" s="32" t="s">
        <v>254</v>
      </c>
      <c r="J3646" s="32" t="s">
        <v>110</v>
      </c>
      <c r="K3646" s="32" t="s">
        <v>63</v>
      </c>
    </row>
    <row r="3647" customFormat="false" ht="13.5" hidden="false" customHeight="true" outlineLevel="0" collapsed="false">
      <c r="A3647" s="32" t="n">
        <v>5967</v>
      </c>
      <c r="B3647" s="32" t="s">
        <v>2936</v>
      </c>
      <c r="C3647" s="32" t="s">
        <v>2937</v>
      </c>
      <c r="D3647" s="32" t="s">
        <v>59</v>
      </c>
      <c r="E3647" s="32" t="s">
        <v>107</v>
      </c>
      <c r="F3647" s="32" t="n">
        <v>7075211712</v>
      </c>
      <c r="G3647" s="32" t="s">
        <v>80</v>
      </c>
      <c r="H3647" s="32" t="s">
        <v>21</v>
      </c>
      <c r="I3647" s="32" t="s">
        <v>829</v>
      </c>
      <c r="J3647" s="32" t="s">
        <v>134</v>
      </c>
      <c r="K3647" s="32" t="s">
        <v>63</v>
      </c>
    </row>
    <row r="3648" customFormat="false" ht="13.5" hidden="false" customHeight="true" outlineLevel="0" collapsed="false">
      <c r="A3648" s="32" t="n">
        <v>5968</v>
      </c>
      <c r="B3648" s="32" t="s">
        <v>2938</v>
      </c>
      <c r="C3648" s="32" t="s">
        <v>2939</v>
      </c>
      <c r="D3648" s="32" t="s">
        <v>114</v>
      </c>
      <c r="E3648" s="32" t="s">
        <v>115</v>
      </c>
      <c r="F3648" s="32" t="n">
        <v>8861188613</v>
      </c>
      <c r="G3648" s="32" t="s">
        <v>61</v>
      </c>
      <c r="H3648" s="32" t="s">
        <v>22</v>
      </c>
      <c r="I3648" s="32" t="s">
        <v>172</v>
      </c>
      <c r="J3648" s="32" t="s">
        <v>152</v>
      </c>
      <c r="K3648" s="32" t="s">
        <v>63</v>
      </c>
    </row>
    <row r="3649" customFormat="false" ht="13.5" hidden="false" customHeight="true" outlineLevel="0" collapsed="false">
      <c r="A3649" s="32" t="n">
        <v>5969</v>
      </c>
      <c r="B3649" s="32" t="s">
        <v>2938</v>
      </c>
      <c r="C3649" s="32" t="s">
        <v>2939</v>
      </c>
      <c r="D3649" s="32" t="s">
        <v>114</v>
      </c>
      <c r="E3649" s="32" t="s">
        <v>115</v>
      </c>
      <c r="F3649" s="32" t="n">
        <v>8861188613</v>
      </c>
      <c r="G3649" s="32" t="s">
        <v>61</v>
      </c>
      <c r="H3649" s="32" t="s">
        <v>22</v>
      </c>
      <c r="I3649" s="32" t="s">
        <v>2940</v>
      </c>
      <c r="J3649" s="32" t="s">
        <v>152</v>
      </c>
      <c r="K3649" s="32" t="s">
        <v>63</v>
      </c>
    </row>
    <row r="3650" customFormat="false" ht="13.5" hidden="false" customHeight="true" outlineLevel="0" collapsed="false">
      <c r="A3650" s="32" t="n">
        <v>5971</v>
      </c>
      <c r="B3650" s="32" t="s">
        <v>2938</v>
      </c>
      <c r="C3650" s="32" t="s">
        <v>2939</v>
      </c>
      <c r="D3650" s="32" t="s">
        <v>114</v>
      </c>
      <c r="E3650" s="32" t="s">
        <v>115</v>
      </c>
      <c r="F3650" s="32" t="n">
        <v>8861188613</v>
      </c>
      <c r="G3650" s="32" t="s">
        <v>61</v>
      </c>
      <c r="H3650" s="32" t="s">
        <v>22</v>
      </c>
      <c r="I3650" s="32" t="s">
        <v>371</v>
      </c>
      <c r="J3650" s="32" t="s">
        <v>152</v>
      </c>
      <c r="K3650" s="32" t="s">
        <v>63</v>
      </c>
    </row>
    <row r="3651" customFormat="false" ht="13.5" hidden="false" customHeight="true" outlineLevel="0" collapsed="false">
      <c r="A3651" s="32" t="n">
        <v>5972</v>
      </c>
      <c r="B3651" s="32" t="s">
        <v>2938</v>
      </c>
      <c r="C3651" s="32" t="s">
        <v>2939</v>
      </c>
      <c r="D3651" s="32" t="s">
        <v>114</v>
      </c>
      <c r="E3651" s="32" t="s">
        <v>115</v>
      </c>
      <c r="F3651" s="32" t="n">
        <v>8861188613</v>
      </c>
      <c r="G3651" s="32" t="s">
        <v>61</v>
      </c>
      <c r="H3651" s="32" t="s">
        <v>22</v>
      </c>
      <c r="I3651" s="32" t="s">
        <v>85</v>
      </c>
      <c r="J3651" s="32" t="s">
        <v>85</v>
      </c>
      <c r="K3651" s="32" t="s">
        <v>63</v>
      </c>
    </row>
    <row r="3652" customFormat="false" ht="13.5" hidden="false" customHeight="true" outlineLevel="0" collapsed="false">
      <c r="A3652" s="32" t="n">
        <v>5973</v>
      </c>
      <c r="B3652" s="32" t="s">
        <v>2938</v>
      </c>
      <c r="C3652" s="32" t="s">
        <v>2939</v>
      </c>
      <c r="D3652" s="32" t="s">
        <v>114</v>
      </c>
      <c r="E3652" s="32" t="s">
        <v>115</v>
      </c>
      <c r="F3652" s="32" t="n">
        <v>8861188613</v>
      </c>
      <c r="G3652" s="32" t="s">
        <v>61</v>
      </c>
      <c r="H3652" s="32" t="s">
        <v>22</v>
      </c>
      <c r="I3652" s="32" t="s">
        <v>121</v>
      </c>
      <c r="J3652" s="32" t="s">
        <v>110</v>
      </c>
      <c r="K3652" s="32" t="s">
        <v>63</v>
      </c>
    </row>
    <row r="3653" customFormat="false" ht="13.5" hidden="false" customHeight="true" outlineLevel="0" collapsed="false">
      <c r="A3653" s="32" t="n">
        <v>5974</v>
      </c>
      <c r="B3653" s="32" t="s">
        <v>2938</v>
      </c>
      <c r="C3653" s="32" t="s">
        <v>2941</v>
      </c>
      <c r="D3653" s="32" t="s">
        <v>114</v>
      </c>
      <c r="E3653" s="32" t="s">
        <v>115</v>
      </c>
      <c r="F3653" s="32" t="n">
        <v>8861188613</v>
      </c>
      <c r="G3653" s="32" t="s">
        <v>61</v>
      </c>
      <c r="H3653" s="32" t="s">
        <v>22</v>
      </c>
      <c r="I3653" s="32" t="s">
        <v>371</v>
      </c>
      <c r="J3653" s="32" t="s">
        <v>152</v>
      </c>
      <c r="K3653" s="32" t="s">
        <v>63</v>
      </c>
    </row>
    <row r="3654" customFormat="false" ht="13.5" hidden="false" customHeight="true" outlineLevel="0" collapsed="false">
      <c r="A3654" s="32" t="n">
        <v>5975</v>
      </c>
      <c r="B3654" s="32" t="s">
        <v>2938</v>
      </c>
      <c r="C3654" s="32" t="s">
        <v>2941</v>
      </c>
      <c r="D3654" s="32" t="s">
        <v>114</v>
      </c>
      <c r="E3654" s="32" t="s">
        <v>115</v>
      </c>
      <c r="F3654" s="32" t="n">
        <v>8861188613</v>
      </c>
      <c r="G3654" s="32" t="s">
        <v>61</v>
      </c>
      <c r="H3654" s="32" t="s">
        <v>22</v>
      </c>
      <c r="I3654" s="32" t="s">
        <v>408</v>
      </c>
      <c r="J3654" s="32" t="s">
        <v>117</v>
      </c>
      <c r="K3654" s="32" t="s">
        <v>63</v>
      </c>
    </row>
    <row r="3655" customFormat="false" ht="13.5" hidden="false" customHeight="true" outlineLevel="0" collapsed="false">
      <c r="A3655" s="32" t="n">
        <v>5976</v>
      </c>
      <c r="B3655" s="32" t="s">
        <v>2942</v>
      </c>
      <c r="C3655" s="32" t="s">
        <v>2943</v>
      </c>
      <c r="D3655" s="32" t="s">
        <v>59</v>
      </c>
      <c r="E3655" s="32" t="s">
        <v>107</v>
      </c>
      <c r="F3655" s="33" t="n">
        <v>918861000000</v>
      </c>
      <c r="G3655" s="32" t="s">
        <v>61</v>
      </c>
      <c r="H3655" s="32" t="s">
        <v>21</v>
      </c>
      <c r="I3655" s="32" t="s">
        <v>27</v>
      </c>
      <c r="J3655" s="32" t="s">
        <v>13</v>
      </c>
      <c r="K3655" s="32" t="s">
        <v>63</v>
      </c>
    </row>
    <row r="3656" customFormat="false" ht="13.5" hidden="false" customHeight="true" outlineLevel="0" collapsed="false">
      <c r="A3656" s="32" t="n">
        <v>5977</v>
      </c>
      <c r="B3656" s="32" t="s">
        <v>2942</v>
      </c>
      <c r="C3656" s="32" t="s">
        <v>2943</v>
      </c>
      <c r="D3656" s="32" t="s">
        <v>59</v>
      </c>
      <c r="E3656" s="32" t="s">
        <v>107</v>
      </c>
      <c r="F3656" s="33" t="n">
        <v>918861000000</v>
      </c>
      <c r="G3656" s="32" t="s">
        <v>61</v>
      </c>
      <c r="H3656" s="32" t="s">
        <v>21</v>
      </c>
      <c r="I3656" s="32" t="s">
        <v>133</v>
      </c>
      <c r="J3656" s="32" t="s">
        <v>134</v>
      </c>
      <c r="K3656" s="32" t="s">
        <v>63</v>
      </c>
    </row>
    <row r="3657" customFormat="false" ht="13.5" hidden="false" customHeight="true" outlineLevel="0" collapsed="false">
      <c r="A3657" s="32" t="n">
        <v>5978</v>
      </c>
      <c r="B3657" s="32" t="s">
        <v>2944</v>
      </c>
      <c r="C3657" s="32" t="s">
        <v>2945</v>
      </c>
      <c r="D3657" s="32" t="s">
        <v>114</v>
      </c>
      <c r="E3657" s="32" t="s">
        <v>115</v>
      </c>
      <c r="F3657" s="33" t="n">
        <v>917845000000</v>
      </c>
      <c r="G3657" s="32" t="s">
        <v>80</v>
      </c>
      <c r="H3657" s="32" t="s">
        <v>22</v>
      </c>
      <c r="I3657" s="32" t="s">
        <v>133</v>
      </c>
      <c r="J3657" s="32" t="s">
        <v>134</v>
      </c>
      <c r="K3657" s="32" t="s">
        <v>63</v>
      </c>
    </row>
    <row r="3658" customFormat="false" ht="13.5" hidden="false" customHeight="true" outlineLevel="0" collapsed="false">
      <c r="A3658" s="32" t="n">
        <v>5979</v>
      </c>
      <c r="B3658" s="32" t="s">
        <v>2944</v>
      </c>
      <c r="C3658" s="32" t="s">
        <v>2946</v>
      </c>
      <c r="D3658" s="32" t="s">
        <v>114</v>
      </c>
      <c r="E3658" s="32" t="s">
        <v>115</v>
      </c>
      <c r="F3658" s="33" t="n">
        <v>917845000000</v>
      </c>
      <c r="G3658" s="32" t="s">
        <v>80</v>
      </c>
      <c r="H3658" s="32" t="s">
        <v>22</v>
      </c>
      <c r="I3658" s="32" t="s">
        <v>245</v>
      </c>
      <c r="J3658" s="32" t="s">
        <v>71</v>
      </c>
      <c r="K3658" s="32" t="s">
        <v>63</v>
      </c>
    </row>
    <row r="3659" customFormat="false" ht="13.5" hidden="false" customHeight="true" outlineLevel="0" collapsed="false">
      <c r="A3659" s="32" t="n">
        <v>5980</v>
      </c>
      <c r="B3659" s="32" t="s">
        <v>2944</v>
      </c>
      <c r="C3659" s="32" t="s">
        <v>2946</v>
      </c>
      <c r="D3659" s="32" t="s">
        <v>114</v>
      </c>
      <c r="E3659" s="32" t="s">
        <v>115</v>
      </c>
      <c r="F3659" s="33" t="n">
        <v>917845000000</v>
      </c>
      <c r="G3659" s="32" t="s">
        <v>80</v>
      </c>
      <c r="H3659" s="32" t="s">
        <v>22</v>
      </c>
      <c r="I3659" s="32" t="s">
        <v>108</v>
      </c>
      <c r="J3659" s="32" t="s">
        <v>71</v>
      </c>
      <c r="K3659" s="32" t="s">
        <v>63</v>
      </c>
    </row>
    <row r="3660" customFormat="false" ht="13.5" hidden="false" customHeight="true" outlineLevel="0" collapsed="false">
      <c r="A3660" s="32" t="n">
        <v>5981</v>
      </c>
      <c r="B3660" s="32" t="s">
        <v>2944</v>
      </c>
      <c r="C3660" s="32" t="s">
        <v>2946</v>
      </c>
      <c r="D3660" s="32" t="s">
        <v>114</v>
      </c>
      <c r="E3660" s="32" t="s">
        <v>115</v>
      </c>
      <c r="F3660" s="33" t="n">
        <v>917845000000</v>
      </c>
      <c r="G3660" s="32" t="s">
        <v>80</v>
      </c>
      <c r="H3660" s="32" t="s">
        <v>22</v>
      </c>
      <c r="I3660" s="32" t="s">
        <v>111</v>
      </c>
      <c r="J3660" s="32" t="s">
        <v>73</v>
      </c>
      <c r="K3660" s="32" t="s">
        <v>63</v>
      </c>
    </row>
    <row r="3661" customFormat="false" ht="13.5" hidden="false" customHeight="true" outlineLevel="0" collapsed="false">
      <c r="A3661" s="32" t="n">
        <v>5987</v>
      </c>
      <c r="B3661" s="32" t="s">
        <v>2947</v>
      </c>
      <c r="C3661" s="32" t="s">
        <v>2948</v>
      </c>
      <c r="D3661" s="32" t="s">
        <v>114</v>
      </c>
      <c r="E3661" s="32" t="s">
        <v>115</v>
      </c>
      <c r="F3661" s="32" t="n">
        <v>8888815496</v>
      </c>
      <c r="G3661" s="32" t="s">
        <v>80</v>
      </c>
      <c r="H3661" s="32" t="s">
        <v>22</v>
      </c>
      <c r="I3661" s="32" t="s">
        <v>30</v>
      </c>
      <c r="J3661" s="32" t="s">
        <v>203</v>
      </c>
      <c r="K3661" s="32" t="s">
        <v>63</v>
      </c>
    </row>
    <row r="3662" customFormat="false" ht="13.5" hidden="false" customHeight="true" outlineLevel="0" collapsed="false">
      <c r="A3662" s="32" t="n">
        <v>5988</v>
      </c>
      <c r="B3662" s="32" t="s">
        <v>2947</v>
      </c>
      <c r="C3662" s="32" t="s">
        <v>2948</v>
      </c>
      <c r="D3662" s="32" t="s">
        <v>114</v>
      </c>
      <c r="E3662" s="32" t="s">
        <v>115</v>
      </c>
      <c r="F3662" s="32" t="n">
        <v>8888815496</v>
      </c>
      <c r="G3662" s="32" t="s">
        <v>80</v>
      </c>
      <c r="H3662" s="32" t="s">
        <v>22</v>
      </c>
      <c r="I3662" s="32" t="s">
        <v>76</v>
      </c>
      <c r="J3662" s="32" t="s">
        <v>76</v>
      </c>
      <c r="K3662" s="32" t="s">
        <v>63</v>
      </c>
    </row>
    <row r="3663" customFormat="false" ht="13.5" hidden="false" customHeight="true" outlineLevel="0" collapsed="false">
      <c r="A3663" s="32" t="n">
        <v>5990</v>
      </c>
      <c r="B3663" s="32" t="s">
        <v>2947</v>
      </c>
      <c r="C3663" s="32" t="s">
        <v>2949</v>
      </c>
      <c r="D3663" s="32" t="s">
        <v>114</v>
      </c>
      <c r="E3663" s="32" t="s">
        <v>115</v>
      </c>
      <c r="F3663" s="32" t="n">
        <v>8888815496</v>
      </c>
      <c r="G3663" s="32" t="s">
        <v>80</v>
      </c>
      <c r="H3663" s="32" t="s">
        <v>22</v>
      </c>
      <c r="I3663" s="32" t="s">
        <v>27</v>
      </c>
      <c r="J3663" s="32" t="s">
        <v>13</v>
      </c>
      <c r="K3663" s="32" t="s">
        <v>63</v>
      </c>
    </row>
    <row r="3664" customFormat="false" ht="13.5" hidden="false" customHeight="true" outlineLevel="0" collapsed="false">
      <c r="A3664" s="32" t="n">
        <v>5991</v>
      </c>
      <c r="B3664" s="32" t="s">
        <v>2947</v>
      </c>
      <c r="C3664" s="32" t="s">
        <v>2949</v>
      </c>
      <c r="D3664" s="32" t="s">
        <v>114</v>
      </c>
      <c r="E3664" s="32" t="s">
        <v>115</v>
      </c>
      <c r="F3664" s="32" t="n">
        <v>8888815496</v>
      </c>
      <c r="G3664" s="32" t="s">
        <v>80</v>
      </c>
      <c r="H3664" s="32" t="s">
        <v>22</v>
      </c>
      <c r="I3664" s="32" t="s">
        <v>111</v>
      </c>
      <c r="J3664" s="32" t="s">
        <v>73</v>
      </c>
      <c r="K3664" s="32" t="s">
        <v>63</v>
      </c>
    </row>
    <row r="3665" customFormat="false" ht="13.5" hidden="false" customHeight="true" outlineLevel="0" collapsed="false">
      <c r="A3665" s="32" t="n">
        <v>5992</v>
      </c>
      <c r="B3665" s="32" t="s">
        <v>2947</v>
      </c>
      <c r="C3665" s="32" t="s">
        <v>2949</v>
      </c>
      <c r="D3665" s="32" t="s">
        <v>114</v>
      </c>
      <c r="E3665" s="32" t="s">
        <v>115</v>
      </c>
      <c r="F3665" s="32" t="n">
        <v>8888815496</v>
      </c>
      <c r="G3665" s="32" t="s">
        <v>80</v>
      </c>
      <c r="H3665" s="32" t="s">
        <v>22</v>
      </c>
      <c r="I3665" s="32" t="s">
        <v>280</v>
      </c>
      <c r="J3665" s="32" t="s">
        <v>76</v>
      </c>
      <c r="K3665" s="32" t="s">
        <v>63</v>
      </c>
    </row>
    <row r="3666" customFormat="false" ht="13.5" hidden="false" customHeight="true" outlineLevel="0" collapsed="false">
      <c r="A3666" s="32" t="n">
        <v>5993</v>
      </c>
      <c r="B3666" s="32" t="s">
        <v>2950</v>
      </c>
      <c r="C3666" s="32" t="s">
        <v>2951</v>
      </c>
      <c r="D3666" s="32" t="s">
        <v>59</v>
      </c>
      <c r="E3666" s="32" t="s">
        <v>107</v>
      </c>
      <c r="F3666" s="33" t="n">
        <v>919554000000</v>
      </c>
      <c r="G3666" s="32" t="s">
        <v>61</v>
      </c>
      <c r="H3666" s="32" t="s">
        <v>21</v>
      </c>
      <c r="I3666" s="32" t="s">
        <v>145</v>
      </c>
      <c r="J3666" s="32" t="s">
        <v>117</v>
      </c>
      <c r="K3666" s="32" t="s">
        <v>63</v>
      </c>
    </row>
    <row r="3667" customFormat="false" ht="13.5" hidden="false" customHeight="true" outlineLevel="0" collapsed="false">
      <c r="A3667" s="32" t="n">
        <v>5994</v>
      </c>
      <c r="B3667" s="32" t="s">
        <v>2950</v>
      </c>
      <c r="C3667" s="32" t="s">
        <v>2951</v>
      </c>
      <c r="D3667" s="32" t="s">
        <v>59</v>
      </c>
      <c r="E3667" s="32" t="s">
        <v>107</v>
      </c>
      <c r="F3667" s="33" t="n">
        <v>919554000000</v>
      </c>
      <c r="G3667" s="32" t="s">
        <v>61</v>
      </c>
      <c r="H3667" s="32" t="s">
        <v>21</v>
      </c>
      <c r="I3667" s="32" t="s">
        <v>146</v>
      </c>
      <c r="J3667" s="32" t="s">
        <v>117</v>
      </c>
      <c r="K3667" s="32" t="s">
        <v>63</v>
      </c>
    </row>
    <row r="3668" customFormat="false" ht="13.5" hidden="false" customHeight="true" outlineLevel="0" collapsed="false">
      <c r="A3668" s="32" t="n">
        <v>5995</v>
      </c>
      <c r="B3668" s="32" t="s">
        <v>2950</v>
      </c>
      <c r="C3668" s="32" t="s">
        <v>2952</v>
      </c>
      <c r="D3668" s="32" t="s">
        <v>59</v>
      </c>
      <c r="E3668" s="32" t="s">
        <v>107</v>
      </c>
      <c r="F3668" s="33" t="n">
        <v>919554000000</v>
      </c>
      <c r="G3668" s="32" t="s">
        <v>61</v>
      </c>
      <c r="H3668" s="32" t="s">
        <v>21</v>
      </c>
      <c r="I3668" s="32" t="s">
        <v>95</v>
      </c>
      <c r="J3668" s="32" t="s">
        <v>96</v>
      </c>
      <c r="K3668" s="32" t="s">
        <v>63</v>
      </c>
    </row>
    <row r="3669" customFormat="false" ht="13.5" hidden="false" customHeight="true" outlineLevel="0" collapsed="false">
      <c r="A3669" s="32" t="n">
        <v>5996</v>
      </c>
      <c r="B3669" s="32" t="s">
        <v>2953</v>
      </c>
      <c r="C3669" s="32" t="s">
        <v>2954</v>
      </c>
      <c r="D3669" s="32" t="s">
        <v>59</v>
      </c>
      <c r="E3669" s="32" t="s">
        <v>107</v>
      </c>
      <c r="F3669" s="33" t="n">
        <v>919036000000</v>
      </c>
      <c r="G3669" s="32" t="s">
        <v>61</v>
      </c>
      <c r="H3669" s="32" t="s">
        <v>21</v>
      </c>
      <c r="I3669" s="32" t="s">
        <v>131</v>
      </c>
      <c r="J3669" s="32" t="s">
        <v>132</v>
      </c>
      <c r="K3669" s="32" t="s">
        <v>63</v>
      </c>
    </row>
    <row r="3670" customFormat="false" ht="13.5" hidden="false" customHeight="true" outlineLevel="0" collapsed="false">
      <c r="A3670" s="32" t="n">
        <v>5998</v>
      </c>
      <c r="B3670" s="32" t="s">
        <v>2953</v>
      </c>
      <c r="C3670" s="32" t="s">
        <v>2955</v>
      </c>
      <c r="D3670" s="32" t="s">
        <v>59</v>
      </c>
      <c r="E3670" s="32" t="s">
        <v>107</v>
      </c>
      <c r="F3670" s="32" t="n">
        <v>9036092154</v>
      </c>
      <c r="G3670" s="32" t="s">
        <v>61</v>
      </c>
      <c r="H3670" s="32" t="s">
        <v>21</v>
      </c>
      <c r="I3670" s="32" t="s">
        <v>95</v>
      </c>
      <c r="J3670" s="32" t="s">
        <v>96</v>
      </c>
      <c r="K3670" s="32" t="s">
        <v>63</v>
      </c>
    </row>
    <row r="3671" customFormat="false" ht="13.5" hidden="false" customHeight="true" outlineLevel="0" collapsed="false">
      <c r="A3671" s="32" t="n">
        <v>5999</v>
      </c>
      <c r="B3671" s="32" t="s">
        <v>2953</v>
      </c>
      <c r="C3671" s="32" t="s">
        <v>2955</v>
      </c>
      <c r="D3671" s="32" t="s">
        <v>59</v>
      </c>
      <c r="E3671" s="32" t="s">
        <v>107</v>
      </c>
      <c r="F3671" s="32" t="n">
        <v>9036092154</v>
      </c>
      <c r="G3671" s="32" t="s">
        <v>61</v>
      </c>
      <c r="H3671" s="32" t="s">
        <v>21</v>
      </c>
      <c r="I3671" s="32" t="s">
        <v>145</v>
      </c>
      <c r="J3671" s="32" t="s">
        <v>117</v>
      </c>
      <c r="K3671" s="32" t="s">
        <v>63</v>
      </c>
    </row>
    <row r="3672" customFormat="false" ht="13.5" hidden="false" customHeight="true" outlineLevel="0" collapsed="false">
      <c r="A3672" s="32" t="n">
        <v>6000</v>
      </c>
      <c r="B3672" s="32" t="s">
        <v>2953</v>
      </c>
      <c r="C3672" s="32" t="s">
        <v>2956</v>
      </c>
      <c r="D3672" s="32" t="s">
        <v>59</v>
      </c>
      <c r="E3672" s="32" t="s">
        <v>107</v>
      </c>
      <c r="F3672" s="33" t="n">
        <v>919036000000</v>
      </c>
      <c r="G3672" s="32" t="s">
        <v>61</v>
      </c>
      <c r="H3672" s="32" t="s">
        <v>21</v>
      </c>
      <c r="I3672" s="32" t="s">
        <v>108</v>
      </c>
      <c r="J3672" s="32" t="s">
        <v>71</v>
      </c>
      <c r="K3672" s="32" t="s">
        <v>63</v>
      </c>
    </row>
    <row r="3673" customFormat="false" ht="13.5" hidden="false" customHeight="true" outlineLevel="0" collapsed="false">
      <c r="A3673" s="32" t="n">
        <v>6001</v>
      </c>
      <c r="B3673" s="32" t="s">
        <v>2953</v>
      </c>
      <c r="C3673" s="32" t="s">
        <v>2955</v>
      </c>
      <c r="D3673" s="32" t="s">
        <v>59</v>
      </c>
      <c r="E3673" s="32" t="s">
        <v>107</v>
      </c>
      <c r="F3673" s="33" t="n">
        <v>919036000000</v>
      </c>
      <c r="G3673" s="32" t="s">
        <v>61</v>
      </c>
      <c r="H3673" s="32" t="s">
        <v>21</v>
      </c>
      <c r="I3673" s="32" t="s">
        <v>109</v>
      </c>
      <c r="J3673" s="32" t="s">
        <v>110</v>
      </c>
      <c r="K3673" s="32" t="s">
        <v>63</v>
      </c>
    </row>
    <row r="3674" customFormat="false" ht="13.5" hidden="false" customHeight="true" outlineLevel="0" collapsed="false">
      <c r="A3674" s="32" t="n">
        <v>6002</v>
      </c>
      <c r="B3674" s="32" t="s">
        <v>2953</v>
      </c>
      <c r="C3674" s="32" t="s">
        <v>2955</v>
      </c>
      <c r="D3674" s="32" t="s">
        <v>59</v>
      </c>
      <c r="E3674" s="32" t="s">
        <v>107</v>
      </c>
      <c r="F3674" s="32" t="n">
        <v>9036092154</v>
      </c>
      <c r="G3674" s="32" t="s">
        <v>61</v>
      </c>
      <c r="H3674" s="32" t="s">
        <v>21</v>
      </c>
      <c r="I3674" s="32" t="s">
        <v>133</v>
      </c>
      <c r="J3674" s="32" t="s">
        <v>134</v>
      </c>
      <c r="K3674" s="32" t="s">
        <v>63</v>
      </c>
    </row>
    <row r="3675" customFormat="false" ht="13.5" hidden="false" customHeight="true" outlineLevel="0" collapsed="false">
      <c r="A3675" s="32" t="n">
        <v>6003</v>
      </c>
      <c r="B3675" s="32" t="s">
        <v>2953</v>
      </c>
      <c r="C3675" s="32" t="s">
        <v>2955</v>
      </c>
      <c r="D3675" s="32" t="s">
        <v>59</v>
      </c>
      <c r="E3675" s="32" t="s">
        <v>107</v>
      </c>
      <c r="F3675" s="33" t="n">
        <v>919036000000</v>
      </c>
      <c r="G3675" s="32" t="s">
        <v>61</v>
      </c>
      <c r="H3675" s="32" t="s">
        <v>21</v>
      </c>
      <c r="I3675" s="32" t="s">
        <v>161</v>
      </c>
      <c r="J3675" s="32" t="s">
        <v>117</v>
      </c>
      <c r="K3675" s="32" t="s">
        <v>63</v>
      </c>
    </row>
    <row r="3676" customFormat="false" ht="13.5" hidden="false" customHeight="true" outlineLevel="0" collapsed="false">
      <c r="A3676" s="32" t="n">
        <v>6004</v>
      </c>
      <c r="B3676" s="32" t="s">
        <v>2957</v>
      </c>
      <c r="C3676" s="32" t="s">
        <v>2958</v>
      </c>
      <c r="D3676" s="32" t="s">
        <v>114</v>
      </c>
      <c r="E3676" s="32" t="s">
        <v>124</v>
      </c>
      <c r="F3676" s="33" t="n">
        <v>918198000000</v>
      </c>
      <c r="G3676" s="32" t="s">
        <v>61</v>
      </c>
      <c r="H3676" s="32" t="s">
        <v>22</v>
      </c>
      <c r="I3676" s="32" t="s">
        <v>108</v>
      </c>
      <c r="J3676" s="32" t="s">
        <v>71</v>
      </c>
      <c r="K3676" s="32" t="s">
        <v>63</v>
      </c>
    </row>
    <row r="3677" customFormat="false" ht="13.5" hidden="false" customHeight="true" outlineLevel="0" collapsed="false">
      <c r="A3677" s="32" t="n">
        <v>6005</v>
      </c>
      <c r="B3677" s="32" t="s">
        <v>2957</v>
      </c>
      <c r="C3677" s="32" t="s">
        <v>2958</v>
      </c>
      <c r="D3677" s="32" t="s">
        <v>114</v>
      </c>
      <c r="E3677" s="32" t="s">
        <v>124</v>
      </c>
      <c r="F3677" s="33" t="n">
        <v>918198000000</v>
      </c>
      <c r="G3677" s="32" t="s">
        <v>61</v>
      </c>
      <c r="H3677" s="32" t="s">
        <v>22</v>
      </c>
      <c r="I3677" s="32" t="s">
        <v>1541</v>
      </c>
      <c r="J3677" s="32" t="s">
        <v>117</v>
      </c>
      <c r="K3677" s="32" t="s">
        <v>63</v>
      </c>
    </row>
    <row r="3678" customFormat="false" ht="13.5" hidden="false" customHeight="true" outlineLevel="0" collapsed="false">
      <c r="A3678" s="32" t="n">
        <v>6006</v>
      </c>
      <c r="B3678" s="32" t="s">
        <v>2957</v>
      </c>
      <c r="C3678" s="32" t="s">
        <v>2958</v>
      </c>
      <c r="D3678" s="32" t="s">
        <v>114</v>
      </c>
      <c r="E3678" s="32" t="s">
        <v>124</v>
      </c>
      <c r="F3678" s="33" t="n">
        <v>918198000000</v>
      </c>
      <c r="G3678" s="32" t="s">
        <v>61</v>
      </c>
      <c r="H3678" s="32" t="s">
        <v>22</v>
      </c>
      <c r="I3678" s="32" t="s">
        <v>146</v>
      </c>
      <c r="J3678" s="32" t="s">
        <v>117</v>
      </c>
      <c r="K3678" s="32" t="s">
        <v>63</v>
      </c>
    </row>
    <row r="3679" customFormat="false" ht="13.5" hidden="false" customHeight="true" outlineLevel="0" collapsed="false">
      <c r="A3679" s="32" t="n">
        <v>6007</v>
      </c>
      <c r="B3679" s="32" t="s">
        <v>2959</v>
      </c>
      <c r="C3679" s="32" t="s">
        <v>2960</v>
      </c>
      <c r="D3679" s="32" t="s">
        <v>114</v>
      </c>
      <c r="E3679" s="32" t="s">
        <v>115</v>
      </c>
      <c r="F3679" s="33" t="n">
        <v>918020000000</v>
      </c>
      <c r="G3679" s="32" t="s">
        <v>80</v>
      </c>
      <c r="H3679" s="32" t="s">
        <v>22</v>
      </c>
      <c r="I3679" s="32" t="s">
        <v>149</v>
      </c>
      <c r="J3679" s="32" t="s">
        <v>73</v>
      </c>
      <c r="K3679" s="32" t="s">
        <v>63</v>
      </c>
    </row>
    <row r="3680" customFormat="false" ht="13.5" hidden="false" customHeight="true" outlineLevel="0" collapsed="false">
      <c r="A3680" s="32" t="n">
        <v>6008</v>
      </c>
      <c r="B3680" s="32" t="s">
        <v>2959</v>
      </c>
      <c r="C3680" s="32" t="s">
        <v>2961</v>
      </c>
      <c r="D3680" s="32" t="s">
        <v>114</v>
      </c>
      <c r="E3680" s="32" t="s">
        <v>115</v>
      </c>
      <c r="F3680" s="32" t="n">
        <v>8019583710</v>
      </c>
      <c r="G3680" s="32" t="s">
        <v>80</v>
      </c>
      <c r="H3680" s="32" t="s">
        <v>22</v>
      </c>
      <c r="I3680" s="32" t="s">
        <v>109</v>
      </c>
      <c r="J3680" s="32" t="s">
        <v>110</v>
      </c>
      <c r="K3680" s="32" t="s">
        <v>63</v>
      </c>
    </row>
    <row r="3681" customFormat="false" ht="13.5" hidden="false" customHeight="true" outlineLevel="0" collapsed="false">
      <c r="A3681" s="32" t="n">
        <v>6009</v>
      </c>
      <c r="B3681" s="32" t="s">
        <v>2959</v>
      </c>
      <c r="C3681" s="32" t="s">
        <v>2961</v>
      </c>
      <c r="D3681" s="32" t="s">
        <v>114</v>
      </c>
      <c r="E3681" s="32" t="s">
        <v>115</v>
      </c>
      <c r="F3681" s="32" t="n">
        <v>8019583710</v>
      </c>
      <c r="G3681" s="32" t="s">
        <v>80</v>
      </c>
      <c r="H3681" s="32" t="s">
        <v>22</v>
      </c>
      <c r="I3681" s="32" t="s">
        <v>145</v>
      </c>
      <c r="J3681" s="32" t="s">
        <v>117</v>
      </c>
      <c r="K3681" s="32" t="s">
        <v>63</v>
      </c>
    </row>
    <row r="3682" customFormat="false" ht="13.5" hidden="false" customHeight="true" outlineLevel="0" collapsed="false">
      <c r="A3682" s="32" t="n">
        <v>6010</v>
      </c>
      <c r="B3682" s="32" t="s">
        <v>2959</v>
      </c>
      <c r="C3682" s="32" t="s">
        <v>2961</v>
      </c>
      <c r="D3682" s="32" t="s">
        <v>114</v>
      </c>
      <c r="E3682" s="32" t="s">
        <v>115</v>
      </c>
      <c r="F3682" s="33" t="n">
        <v>918020000000</v>
      </c>
      <c r="G3682" s="32" t="s">
        <v>80</v>
      </c>
      <c r="H3682" s="32" t="s">
        <v>22</v>
      </c>
      <c r="I3682" s="32" t="s">
        <v>93</v>
      </c>
      <c r="J3682" s="32" t="s">
        <v>85</v>
      </c>
      <c r="K3682" s="32" t="s">
        <v>63</v>
      </c>
    </row>
    <row r="3683" customFormat="false" ht="13.5" hidden="false" customHeight="true" outlineLevel="0" collapsed="false">
      <c r="A3683" s="32" t="n">
        <v>6011</v>
      </c>
      <c r="B3683" s="32" t="s">
        <v>2962</v>
      </c>
      <c r="C3683" s="32" t="s">
        <v>2963</v>
      </c>
      <c r="D3683" s="32" t="s">
        <v>114</v>
      </c>
      <c r="E3683" s="32" t="s">
        <v>124</v>
      </c>
      <c r="F3683" s="32" t="n">
        <v>8861446146</v>
      </c>
      <c r="G3683" s="32" t="s">
        <v>61</v>
      </c>
      <c r="H3683" s="32" t="s">
        <v>22</v>
      </c>
      <c r="I3683" s="32" t="s">
        <v>131</v>
      </c>
      <c r="J3683" s="32" t="s">
        <v>132</v>
      </c>
      <c r="K3683" s="32" t="s">
        <v>63</v>
      </c>
    </row>
    <row r="3684" customFormat="false" ht="13.5" hidden="false" customHeight="true" outlineLevel="0" collapsed="false">
      <c r="A3684" s="32" t="n">
        <v>6012</v>
      </c>
      <c r="B3684" s="32" t="s">
        <v>2962</v>
      </c>
      <c r="C3684" s="32" t="s">
        <v>2964</v>
      </c>
      <c r="D3684" s="32" t="s">
        <v>114</v>
      </c>
      <c r="E3684" s="32" t="s">
        <v>124</v>
      </c>
      <c r="F3684" s="32" t="n">
        <v>8861446146</v>
      </c>
      <c r="G3684" s="32" t="s">
        <v>61</v>
      </c>
      <c r="H3684" s="32" t="s">
        <v>22</v>
      </c>
      <c r="I3684" s="32" t="s">
        <v>128</v>
      </c>
      <c r="J3684" s="32" t="s">
        <v>89</v>
      </c>
      <c r="K3684" s="32" t="s">
        <v>63</v>
      </c>
    </row>
    <row r="3685" customFormat="false" ht="13.5" hidden="false" customHeight="true" outlineLevel="0" collapsed="false">
      <c r="A3685" s="32" t="n">
        <v>6013</v>
      </c>
      <c r="B3685" s="32" t="s">
        <v>2962</v>
      </c>
      <c r="C3685" s="32" t="s">
        <v>2964</v>
      </c>
      <c r="D3685" s="32" t="s">
        <v>114</v>
      </c>
      <c r="E3685" s="32" t="s">
        <v>124</v>
      </c>
      <c r="F3685" s="32" t="n">
        <v>8861446146</v>
      </c>
      <c r="G3685" s="32" t="s">
        <v>61</v>
      </c>
      <c r="H3685" s="32" t="s">
        <v>22</v>
      </c>
      <c r="I3685" s="32" t="s">
        <v>109</v>
      </c>
      <c r="J3685" s="32" t="s">
        <v>110</v>
      </c>
      <c r="K3685" s="32" t="s">
        <v>63</v>
      </c>
    </row>
    <row r="3686" customFormat="false" ht="13.5" hidden="false" customHeight="true" outlineLevel="0" collapsed="false">
      <c r="A3686" s="32" t="n">
        <v>6014</v>
      </c>
      <c r="B3686" s="32" t="s">
        <v>2962</v>
      </c>
      <c r="C3686" s="32" t="s">
        <v>2964</v>
      </c>
      <c r="D3686" s="32" t="s">
        <v>114</v>
      </c>
      <c r="E3686" s="32" t="s">
        <v>124</v>
      </c>
      <c r="F3686" s="32" t="n">
        <v>8861446146</v>
      </c>
      <c r="G3686" s="32" t="s">
        <v>61</v>
      </c>
      <c r="H3686" s="32" t="s">
        <v>22</v>
      </c>
      <c r="I3686" s="32" t="s">
        <v>133</v>
      </c>
      <c r="J3686" s="32" t="s">
        <v>134</v>
      </c>
      <c r="K3686" s="32" t="s">
        <v>63</v>
      </c>
    </row>
    <row r="3687" customFormat="false" ht="13.5" hidden="false" customHeight="true" outlineLevel="0" collapsed="false">
      <c r="A3687" s="32" t="n">
        <v>6015</v>
      </c>
      <c r="B3687" s="32" t="s">
        <v>2962</v>
      </c>
      <c r="C3687" s="32" t="s">
        <v>2964</v>
      </c>
      <c r="D3687" s="32" t="s">
        <v>114</v>
      </c>
      <c r="E3687" s="32" t="s">
        <v>124</v>
      </c>
      <c r="F3687" s="32" t="n">
        <v>8861446146</v>
      </c>
      <c r="G3687" s="32" t="s">
        <v>61</v>
      </c>
      <c r="H3687" s="32" t="s">
        <v>22</v>
      </c>
      <c r="I3687" s="32" t="s">
        <v>126</v>
      </c>
      <c r="J3687" s="32" t="s">
        <v>85</v>
      </c>
      <c r="K3687" s="32" t="s">
        <v>63</v>
      </c>
    </row>
    <row r="3688" customFormat="false" ht="13.5" hidden="false" customHeight="true" outlineLevel="0" collapsed="false">
      <c r="A3688" s="32" t="n">
        <v>6016</v>
      </c>
      <c r="B3688" s="32" t="s">
        <v>2962</v>
      </c>
      <c r="C3688" s="32" t="s">
        <v>2963</v>
      </c>
      <c r="D3688" s="32" t="s">
        <v>114</v>
      </c>
      <c r="E3688" s="32" t="s">
        <v>124</v>
      </c>
      <c r="F3688" s="32" t="n">
        <v>8861446146</v>
      </c>
      <c r="G3688" s="32" t="s">
        <v>61</v>
      </c>
      <c r="H3688" s="32" t="s">
        <v>22</v>
      </c>
      <c r="I3688" s="32" t="s">
        <v>27</v>
      </c>
      <c r="J3688" s="32" t="s">
        <v>13</v>
      </c>
      <c r="K3688" s="32" t="s">
        <v>63</v>
      </c>
    </row>
    <row r="3689" customFormat="false" ht="13.5" hidden="false" customHeight="true" outlineLevel="0" collapsed="false">
      <c r="A3689" s="32" t="n">
        <v>6017</v>
      </c>
      <c r="B3689" s="32" t="s">
        <v>2962</v>
      </c>
      <c r="C3689" s="32" t="s">
        <v>2963</v>
      </c>
      <c r="D3689" s="32" t="s">
        <v>114</v>
      </c>
      <c r="E3689" s="32" t="s">
        <v>124</v>
      </c>
      <c r="F3689" s="32" t="n">
        <v>8861446146</v>
      </c>
      <c r="G3689" s="32" t="s">
        <v>61</v>
      </c>
      <c r="H3689" s="32" t="s">
        <v>22</v>
      </c>
      <c r="I3689" s="32" t="s">
        <v>87</v>
      </c>
      <c r="J3689" s="32" t="s">
        <v>84</v>
      </c>
      <c r="K3689" s="32" t="s">
        <v>63</v>
      </c>
    </row>
    <row r="3690" customFormat="false" ht="13.5" hidden="false" customHeight="true" outlineLevel="0" collapsed="false">
      <c r="A3690" s="32" t="n">
        <v>6018</v>
      </c>
      <c r="B3690" s="32" t="s">
        <v>2962</v>
      </c>
      <c r="C3690" s="32" t="s">
        <v>2963</v>
      </c>
      <c r="D3690" s="32" t="s">
        <v>114</v>
      </c>
      <c r="E3690" s="32" t="s">
        <v>124</v>
      </c>
      <c r="F3690" s="32" t="n">
        <v>8861446146</v>
      </c>
      <c r="G3690" s="32" t="s">
        <v>61</v>
      </c>
      <c r="H3690" s="32" t="s">
        <v>22</v>
      </c>
      <c r="I3690" s="32" t="s">
        <v>95</v>
      </c>
      <c r="J3690" s="32" t="s">
        <v>96</v>
      </c>
      <c r="K3690" s="32" t="s">
        <v>63</v>
      </c>
    </row>
    <row r="3691" customFormat="false" ht="13.5" hidden="false" customHeight="true" outlineLevel="0" collapsed="false">
      <c r="A3691" s="32" t="n">
        <v>6019</v>
      </c>
      <c r="B3691" s="32" t="s">
        <v>2962</v>
      </c>
      <c r="C3691" s="32" t="s">
        <v>2963</v>
      </c>
      <c r="D3691" s="32" t="s">
        <v>114</v>
      </c>
      <c r="E3691" s="32" t="s">
        <v>124</v>
      </c>
      <c r="F3691" s="32" t="n">
        <v>8861446146</v>
      </c>
      <c r="G3691" s="32" t="s">
        <v>61</v>
      </c>
      <c r="H3691" s="32" t="s">
        <v>22</v>
      </c>
      <c r="I3691" s="32" t="s">
        <v>76</v>
      </c>
      <c r="J3691" s="32" t="s">
        <v>76</v>
      </c>
      <c r="K3691" s="32" t="s">
        <v>63</v>
      </c>
    </row>
    <row r="3692" customFormat="false" ht="13.5" hidden="false" customHeight="true" outlineLevel="0" collapsed="false">
      <c r="A3692" s="32" t="n">
        <v>6020</v>
      </c>
      <c r="B3692" s="32" t="s">
        <v>2962</v>
      </c>
      <c r="C3692" s="32" t="s">
        <v>2963</v>
      </c>
      <c r="D3692" s="32" t="s">
        <v>114</v>
      </c>
      <c r="E3692" s="32" t="s">
        <v>124</v>
      </c>
      <c r="F3692" s="32" t="n">
        <v>8861446146</v>
      </c>
      <c r="G3692" s="32" t="s">
        <v>61</v>
      </c>
      <c r="H3692" s="32" t="s">
        <v>22</v>
      </c>
      <c r="I3692" s="32" t="s">
        <v>186</v>
      </c>
      <c r="J3692" s="32" t="s">
        <v>186</v>
      </c>
      <c r="K3692" s="32" t="s">
        <v>63</v>
      </c>
    </row>
    <row r="3693" customFormat="false" ht="13.5" hidden="false" customHeight="true" outlineLevel="0" collapsed="false">
      <c r="A3693" s="32" t="n">
        <v>6021</v>
      </c>
      <c r="B3693" s="32" t="s">
        <v>2965</v>
      </c>
      <c r="C3693" s="32" t="s">
        <v>2966</v>
      </c>
      <c r="D3693" s="32" t="s">
        <v>102</v>
      </c>
      <c r="E3693" s="32" t="s">
        <v>103</v>
      </c>
      <c r="F3693" s="32" t="n">
        <v>9488000000</v>
      </c>
      <c r="G3693" s="32" t="s">
        <v>0</v>
      </c>
      <c r="H3693" s="32" t="s">
        <v>21</v>
      </c>
      <c r="I3693" s="32" t="s">
        <v>145</v>
      </c>
      <c r="J3693" s="32" t="s">
        <v>117</v>
      </c>
      <c r="K3693" s="32" t="s">
        <v>63</v>
      </c>
    </row>
    <row r="3694" customFormat="false" ht="13.5" hidden="false" customHeight="true" outlineLevel="0" collapsed="false">
      <c r="A3694" s="32" t="n">
        <v>6022</v>
      </c>
      <c r="B3694" s="32" t="s">
        <v>2965</v>
      </c>
      <c r="C3694" s="32" t="s">
        <v>2966</v>
      </c>
      <c r="D3694" s="32" t="s">
        <v>102</v>
      </c>
      <c r="E3694" s="32" t="s">
        <v>103</v>
      </c>
      <c r="F3694" s="32" t="n">
        <v>9488000000</v>
      </c>
      <c r="G3694" s="32" t="s">
        <v>0</v>
      </c>
      <c r="H3694" s="32" t="s">
        <v>21</v>
      </c>
      <c r="I3694" s="32" t="s">
        <v>121</v>
      </c>
      <c r="J3694" s="32" t="s">
        <v>110</v>
      </c>
      <c r="K3694" s="32" t="s">
        <v>63</v>
      </c>
    </row>
    <row r="3695" customFormat="false" ht="13.5" hidden="false" customHeight="true" outlineLevel="0" collapsed="false">
      <c r="A3695" s="32" t="n">
        <v>6023</v>
      </c>
      <c r="B3695" s="32" t="s">
        <v>2965</v>
      </c>
      <c r="C3695" s="32" t="s">
        <v>2966</v>
      </c>
      <c r="D3695" s="32" t="s">
        <v>102</v>
      </c>
      <c r="E3695" s="32" t="s">
        <v>103</v>
      </c>
      <c r="F3695" s="32" t="n">
        <v>9488000000</v>
      </c>
      <c r="G3695" s="32" t="s">
        <v>0</v>
      </c>
      <c r="H3695" s="32" t="s">
        <v>21</v>
      </c>
      <c r="I3695" s="32" t="s">
        <v>151</v>
      </c>
      <c r="J3695" s="32" t="s">
        <v>152</v>
      </c>
      <c r="K3695" s="32" t="s">
        <v>63</v>
      </c>
    </row>
    <row r="3696" customFormat="false" ht="13.5" hidden="false" customHeight="true" outlineLevel="0" collapsed="false">
      <c r="A3696" s="32" t="n">
        <v>6024</v>
      </c>
      <c r="B3696" s="32" t="s">
        <v>2965</v>
      </c>
      <c r="C3696" s="32" t="s">
        <v>2966</v>
      </c>
      <c r="D3696" s="32" t="s">
        <v>102</v>
      </c>
      <c r="E3696" s="32" t="s">
        <v>103</v>
      </c>
      <c r="F3696" s="32" t="n">
        <v>9488000000</v>
      </c>
      <c r="G3696" s="32" t="s">
        <v>0</v>
      </c>
      <c r="H3696" s="32" t="s">
        <v>21</v>
      </c>
      <c r="I3696" s="32" t="s">
        <v>408</v>
      </c>
      <c r="J3696" s="32" t="s">
        <v>117</v>
      </c>
      <c r="K3696" s="32" t="s">
        <v>63</v>
      </c>
    </row>
    <row r="3697" customFormat="false" ht="13.5" hidden="false" customHeight="true" outlineLevel="0" collapsed="false">
      <c r="A3697" s="32" t="n">
        <v>6025</v>
      </c>
      <c r="B3697" s="32" t="s">
        <v>2967</v>
      </c>
      <c r="C3697" s="32" t="s">
        <v>2968</v>
      </c>
      <c r="D3697" s="32" t="s">
        <v>59</v>
      </c>
      <c r="E3697" s="32" t="s">
        <v>107</v>
      </c>
      <c r="F3697" s="32" t="n">
        <v>8861151122</v>
      </c>
      <c r="G3697" s="32" t="s">
        <v>144</v>
      </c>
      <c r="H3697" s="32" t="s">
        <v>21</v>
      </c>
      <c r="I3697" s="32" t="s">
        <v>95</v>
      </c>
      <c r="J3697" s="32" t="s">
        <v>96</v>
      </c>
      <c r="K3697" s="32" t="s">
        <v>63</v>
      </c>
    </row>
    <row r="3698" customFormat="false" ht="13.5" hidden="false" customHeight="true" outlineLevel="0" collapsed="false">
      <c r="A3698" s="32" t="n">
        <v>6026</v>
      </c>
      <c r="B3698" s="32" t="s">
        <v>2967</v>
      </c>
      <c r="C3698" s="32" t="s">
        <v>2968</v>
      </c>
      <c r="D3698" s="32" t="s">
        <v>59</v>
      </c>
      <c r="E3698" s="32" t="s">
        <v>107</v>
      </c>
      <c r="F3698" s="32" t="n">
        <v>8861151122</v>
      </c>
      <c r="G3698" s="32" t="s">
        <v>144</v>
      </c>
      <c r="H3698" s="32" t="s">
        <v>21</v>
      </c>
      <c r="I3698" s="32" t="s">
        <v>108</v>
      </c>
      <c r="J3698" s="32" t="s">
        <v>71</v>
      </c>
      <c r="K3698" s="32" t="s">
        <v>63</v>
      </c>
    </row>
    <row r="3699" customFormat="false" ht="13.5" hidden="false" customHeight="true" outlineLevel="0" collapsed="false">
      <c r="A3699" s="32" t="n">
        <v>6028</v>
      </c>
      <c r="B3699" s="32" t="s">
        <v>2967</v>
      </c>
      <c r="C3699" s="32" t="s">
        <v>2968</v>
      </c>
      <c r="D3699" s="32" t="s">
        <v>59</v>
      </c>
      <c r="E3699" s="32" t="s">
        <v>107</v>
      </c>
      <c r="F3699" s="32" t="n">
        <v>8861151122</v>
      </c>
      <c r="G3699" s="32" t="s">
        <v>144</v>
      </c>
      <c r="H3699" s="32" t="s">
        <v>21</v>
      </c>
      <c r="I3699" s="32" t="s">
        <v>111</v>
      </c>
      <c r="J3699" s="32" t="s">
        <v>73</v>
      </c>
      <c r="K3699" s="32" t="s">
        <v>63</v>
      </c>
    </row>
    <row r="3700" customFormat="false" ht="13.5" hidden="false" customHeight="true" outlineLevel="0" collapsed="false">
      <c r="A3700" s="32" t="n">
        <v>6029</v>
      </c>
      <c r="B3700" s="32" t="s">
        <v>2967</v>
      </c>
      <c r="C3700" s="32" t="s">
        <v>2968</v>
      </c>
      <c r="D3700" s="32" t="s">
        <v>59</v>
      </c>
      <c r="E3700" s="32" t="s">
        <v>107</v>
      </c>
      <c r="F3700" s="32" t="n">
        <v>8861151122</v>
      </c>
      <c r="G3700" s="32" t="s">
        <v>144</v>
      </c>
      <c r="H3700" s="32" t="s">
        <v>21</v>
      </c>
      <c r="I3700" s="32" t="s">
        <v>280</v>
      </c>
      <c r="J3700" s="32" t="s">
        <v>76</v>
      </c>
      <c r="K3700" s="32" t="s">
        <v>63</v>
      </c>
    </row>
    <row r="3701" customFormat="false" ht="13.5" hidden="false" customHeight="true" outlineLevel="0" collapsed="false">
      <c r="A3701" s="32" t="n">
        <v>6030</v>
      </c>
      <c r="B3701" s="32" t="s">
        <v>2969</v>
      </c>
      <c r="C3701" s="32" t="s">
        <v>2970</v>
      </c>
      <c r="D3701" s="32" t="s">
        <v>59</v>
      </c>
      <c r="E3701" s="32" t="s">
        <v>60</v>
      </c>
      <c r="F3701" s="32" t="n">
        <v>9095551667</v>
      </c>
      <c r="G3701" s="32" t="s">
        <v>61</v>
      </c>
      <c r="H3701" s="32" t="s">
        <v>21</v>
      </c>
      <c r="I3701" s="32" t="s">
        <v>610</v>
      </c>
      <c r="J3701" s="32" t="s">
        <v>82</v>
      </c>
      <c r="K3701" s="32" t="s">
        <v>63</v>
      </c>
    </row>
    <row r="3702" customFormat="false" ht="13.5" hidden="false" customHeight="true" outlineLevel="0" collapsed="false">
      <c r="A3702" s="32" t="n">
        <v>6031</v>
      </c>
      <c r="B3702" s="32" t="s">
        <v>2969</v>
      </c>
      <c r="C3702" s="32" t="s">
        <v>2971</v>
      </c>
      <c r="D3702" s="32" t="s">
        <v>59</v>
      </c>
      <c r="E3702" s="32" t="s">
        <v>60</v>
      </c>
      <c r="F3702" s="32" t="n">
        <v>9095551667</v>
      </c>
      <c r="G3702" s="32" t="s">
        <v>61</v>
      </c>
      <c r="H3702" s="32" t="s">
        <v>21</v>
      </c>
      <c r="I3702" s="32" t="s">
        <v>156</v>
      </c>
      <c r="J3702" s="32" t="s">
        <v>62</v>
      </c>
      <c r="K3702" s="32" t="s">
        <v>63</v>
      </c>
    </row>
    <row r="3703" customFormat="false" ht="13.5" hidden="false" customHeight="true" outlineLevel="0" collapsed="false">
      <c r="A3703" s="32" t="n">
        <v>6032</v>
      </c>
      <c r="B3703" s="32" t="s">
        <v>2969</v>
      </c>
      <c r="C3703" s="32" t="s">
        <v>2971</v>
      </c>
      <c r="D3703" s="32" t="s">
        <v>59</v>
      </c>
      <c r="E3703" s="32" t="s">
        <v>60</v>
      </c>
      <c r="F3703" s="32" t="n">
        <v>9095551667</v>
      </c>
      <c r="G3703" s="32" t="s">
        <v>61</v>
      </c>
      <c r="H3703" s="32" t="s">
        <v>21</v>
      </c>
      <c r="I3703" s="32" t="s">
        <v>14</v>
      </c>
      <c r="J3703" s="32" t="s">
        <v>66</v>
      </c>
      <c r="K3703" s="32" t="s">
        <v>63</v>
      </c>
    </row>
    <row r="3704" customFormat="false" ht="13.5" hidden="false" customHeight="true" outlineLevel="0" collapsed="false">
      <c r="A3704" s="32" t="n">
        <v>6033</v>
      </c>
      <c r="B3704" s="32" t="s">
        <v>2969</v>
      </c>
      <c r="C3704" s="32" t="s">
        <v>2971</v>
      </c>
      <c r="D3704" s="32" t="s">
        <v>59</v>
      </c>
      <c r="E3704" s="32" t="s">
        <v>60</v>
      </c>
      <c r="F3704" s="32" t="n">
        <v>9095551667</v>
      </c>
      <c r="G3704" s="32" t="s">
        <v>61</v>
      </c>
      <c r="H3704" s="32" t="s">
        <v>21</v>
      </c>
      <c r="I3704" s="32" t="s">
        <v>456</v>
      </c>
      <c r="J3704" s="32" t="s">
        <v>66</v>
      </c>
      <c r="K3704" s="32" t="s">
        <v>63</v>
      </c>
    </row>
    <row r="3705" customFormat="false" ht="13.5" hidden="false" customHeight="true" outlineLevel="0" collapsed="false">
      <c r="A3705" s="32" t="n">
        <v>6034</v>
      </c>
      <c r="B3705" s="32" t="s">
        <v>2969</v>
      </c>
      <c r="C3705" s="32" t="s">
        <v>2971</v>
      </c>
      <c r="D3705" s="32" t="s">
        <v>59</v>
      </c>
      <c r="E3705" s="32" t="s">
        <v>60</v>
      </c>
      <c r="F3705" s="32" t="n">
        <v>9095551667</v>
      </c>
      <c r="G3705" s="32" t="s">
        <v>61</v>
      </c>
      <c r="H3705" s="32" t="s">
        <v>21</v>
      </c>
      <c r="I3705" s="32" t="s">
        <v>463</v>
      </c>
      <c r="J3705" s="32" t="s">
        <v>66</v>
      </c>
      <c r="K3705" s="32" t="s">
        <v>63</v>
      </c>
    </row>
    <row r="3706" customFormat="false" ht="13.5" hidden="false" customHeight="true" outlineLevel="0" collapsed="false">
      <c r="A3706" s="32" t="n">
        <v>6035</v>
      </c>
      <c r="B3706" s="32" t="s">
        <v>2972</v>
      </c>
      <c r="C3706" s="32" t="s">
        <v>2973</v>
      </c>
      <c r="D3706" s="32" t="s">
        <v>331</v>
      </c>
      <c r="E3706" s="32" t="s">
        <v>502</v>
      </c>
      <c r="F3706" s="33" t="n">
        <v>919874000000</v>
      </c>
      <c r="G3706" s="32" t="s">
        <v>144</v>
      </c>
      <c r="H3706" s="32" t="s">
        <v>332</v>
      </c>
      <c r="I3706" s="32" t="s">
        <v>149</v>
      </c>
      <c r="J3706" s="32" t="s">
        <v>73</v>
      </c>
      <c r="K3706" s="32" t="s">
        <v>63</v>
      </c>
    </row>
    <row r="3707" customFormat="false" ht="13.5" hidden="false" customHeight="true" outlineLevel="0" collapsed="false">
      <c r="A3707" s="32" t="n">
        <v>6036</v>
      </c>
      <c r="B3707" s="32" t="s">
        <v>2972</v>
      </c>
      <c r="C3707" s="32" t="s">
        <v>2973</v>
      </c>
      <c r="D3707" s="32" t="s">
        <v>331</v>
      </c>
      <c r="E3707" s="32" t="s">
        <v>502</v>
      </c>
      <c r="F3707" s="33" t="n">
        <v>919874000000</v>
      </c>
      <c r="G3707" s="32" t="s">
        <v>144</v>
      </c>
      <c r="H3707" s="32" t="s">
        <v>332</v>
      </c>
      <c r="I3707" s="32" t="s">
        <v>227</v>
      </c>
      <c r="J3707" s="32" t="s">
        <v>228</v>
      </c>
      <c r="K3707" s="32" t="s">
        <v>63</v>
      </c>
    </row>
    <row r="3708" customFormat="false" ht="13.5" hidden="false" customHeight="true" outlineLevel="0" collapsed="false">
      <c r="A3708" s="32" t="n">
        <v>6037</v>
      </c>
      <c r="B3708" s="32" t="s">
        <v>2972</v>
      </c>
      <c r="C3708" s="32" t="s">
        <v>2974</v>
      </c>
      <c r="D3708" s="32" t="s">
        <v>331</v>
      </c>
      <c r="E3708" s="32" t="s">
        <v>502</v>
      </c>
      <c r="F3708" s="33" t="n">
        <v>919874000000</v>
      </c>
      <c r="G3708" s="32" t="s">
        <v>144</v>
      </c>
      <c r="H3708" s="32" t="s">
        <v>332</v>
      </c>
      <c r="I3708" s="32" t="s">
        <v>156</v>
      </c>
      <c r="J3708" s="32" t="s">
        <v>62</v>
      </c>
      <c r="K3708" s="32" t="s">
        <v>63</v>
      </c>
    </row>
    <row r="3709" customFormat="false" ht="13.5" hidden="false" customHeight="true" outlineLevel="0" collapsed="false">
      <c r="A3709" s="32" t="n">
        <v>6038</v>
      </c>
      <c r="B3709" s="32" t="s">
        <v>2972</v>
      </c>
      <c r="C3709" s="32" t="s">
        <v>2974</v>
      </c>
      <c r="D3709" s="32" t="s">
        <v>331</v>
      </c>
      <c r="E3709" s="32" t="s">
        <v>502</v>
      </c>
      <c r="F3709" s="33" t="n">
        <v>919874000000</v>
      </c>
      <c r="G3709" s="32" t="s">
        <v>144</v>
      </c>
      <c r="H3709" s="32" t="s">
        <v>332</v>
      </c>
      <c r="I3709" s="32" t="s">
        <v>14</v>
      </c>
      <c r="J3709" s="32" t="s">
        <v>66</v>
      </c>
      <c r="K3709" s="32" t="s">
        <v>63</v>
      </c>
    </row>
    <row r="3710" customFormat="false" ht="13.5" hidden="false" customHeight="true" outlineLevel="0" collapsed="false">
      <c r="A3710" s="32" t="n">
        <v>6039</v>
      </c>
      <c r="B3710" s="32" t="s">
        <v>2972</v>
      </c>
      <c r="C3710" s="32" t="s">
        <v>2974</v>
      </c>
      <c r="D3710" s="32" t="s">
        <v>331</v>
      </c>
      <c r="E3710" s="32" t="s">
        <v>502</v>
      </c>
      <c r="F3710" s="33" t="n">
        <v>919874000000</v>
      </c>
      <c r="G3710" s="32" t="s">
        <v>144</v>
      </c>
      <c r="H3710" s="32" t="s">
        <v>332</v>
      </c>
      <c r="I3710" s="32" t="s">
        <v>29</v>
      </c>
      <c r="J3710" s="32" t="s">
        <v>62</v>
      </c>
      <c r="K3710" s="32" t="s">
        <v>63</v>
      </c>
    </row>
    <row r="3711" customFormat="false" ht="13.5" hidden="false" customHeight="true" outlineLevel="0" collapsed="false">
      <c r="A3711" s="32" t="n">
        <v>6040</v>
      </c>
      <c r="B3711" s="32" t="s">
        <v>2975</v>
      </c>
      <c r="C3711" s="32" t="s">
        <v>2976</v>
      </c>
      <c r="D3711" s="32" t="s">
        <v>59</v>
      </c>
      <c r="E3711" s="32" t="s">
        <v>107</v>
      </c>
      <c r="F3711" s="32" t="n">
        <v>9441440419</v>
      </c>
      <c r="G3711" s="32" t="s">
        <v>80</v>
      </c>
      <c r="H3711" s="32" t="s">
        <v>21</v>
      </c>
      <c r="I3711" s="32" t="s">
        <v>16</v>
      </c>
      <c r="J3711" s="32" t="s">
        <v>73</v>
      </c>
      <c r="K3711" s="32" t="s">
        <v>63</v>
      </c>
    </row>
    <row r="3712" customFormat="false" ht="13.5" hidden="false" customHeight="true" outlineLevel="0" collapsed="false">
      <c r="A3712" s="32" t="n">
        <v>6041</v>
      </c>
      <c r="B3712" s="32" t="s">
        <v>2975</v>
      </c>
      <c r="C3712" s="32" t="s">
        <v>2976</v>
      </c>
      <c r="D3712" s="32" t="s">
        <v>59</v>
      </c>
      <c r="E3712" s="32" t="s">
        <v>107</v>
      </c>
      <c r="F3712" s="32" t="n">
        <v>9441440419</v>
      </c>
      <c r="G3712" s="32" t="s">
        <v>80</v>
      </c>
      <c r="H3712" s="32" t="s">
        <v>21</v>
      </c>
      <c r="I3712" s="32" t="s">
        <v>133</v>
      </c>
      <c r="J3712" s="32" t="s">
        <v>134</v>
      </c>
      <c r="K3712" s="32" t="s">
        <v>63</v>
      </c>
    </row>
    <row r="3713" customFormat="false" ht="13.5" hidden="false" customHeight="true" outlineLevel="0" collapsed="false">
      <c r="A3713" s="32" t="n">
        <v>6042</v>
      </c>
      <c r="B3713" s="32" t="s">
        <v>2975</v>
      </c>
      <c r="C3713" s="32" t="s">
        <v>2976</v>
      </c>
      <c r="D3713" s="32" t="s">
        <v>59</v>
      </c>
      <c r="E3713" s="32" t="s">
        <v>107</v>
      </c>
      <c r="F3713" s="32" t="n">
        <v>9441440419</v>
      </c>
      <c r="G3713" s="32" t="s">
        <v>80</v>
      </c>
      <c r="H3713" s="32" t="s">
        <v>21</v>
      </c>
      <c r="I3713" s="32" t="s">
        <v>150</v>
      </c>
      <c r="J3713" s="32" t="s">
        <v>73</v>
      </c>
      <c r="K3713" s="32" t="s">
        <v>63</v>
      </c>
    </row>
    <row r="3714" customFormat="false" ht="13.5" hidden="false" customHeight="true" outlineLevel="0" collapsed="false">
      <c r="A3714" s="32" t="n">
        <v>6043</v>
      </c>
      <c r="B3714" s="32" t="s">
        <v>2975</v>
      </c>
      <c r="C3714" s="32" t="s">
        <v>2976</v>
      </c>
      <c r="D3714" s="32" t="s">
        <v>59</v>
      </c>
      <c r="E3714" s="32" t="s">
        <v>107</v>
      </c>
      <c r="F3714" s="32" t="n">
        <v>9441440419</v>
      </c>
      <c r="G3714" s="32" t="s">
        <v>80</v>
      </c>
      <c r="H3714" s="32" t="s">
        <v>21</v>
      </c>
      <c r="I3714" s="32" t="s">
        <v>76</v>
      </c>
      <c r="J3714" s="32" t="s">
        <v>76</v>
      </c>
      <c r="K3714" s="32" t="s">
        <v>63</v>
      </c>
    </row>
    <row r="3715" customFormat="false" ht="13.5" hidden="false" customHeight="true" outlineLevel="0" collapsed="false">
      <c r="A3715" s="32" t="n">
        <v>6044</v>
      </c>
      <c r="B3715" s="32" t="s">
        <v>2977</v>
      </c>
      <c r="C3715" s="32" t="s">
        <v>2978</v>
      </c>
      <c r="D3715" s="32" t="s">
        <v>114</v>
      </c>
      <c r="E3715" s="32" t="s">
        <v>278</v>
      </c>
      <c r="F3715" s="32" t="n">
        <v>0</v>
      </c>
      <c r="G3715" s="32" t="s">
        <v>80</v>
      </c>
      <c r="H3715" s="32" t="s">
        <v>22</v>
      </c>
      <c r="I3715" s="32" t="s">
        <v>145</v>
      </c>
      <c r="J3715" s="32" t="s">
        <v>117</v>
      </c>
      <c r="K3715" s="32" t="s">
        <v>63</v>
      </c>
    </row>
    <row r="3716" customFormat="false" ht="13.5" hidden="false" customHeight="true" outlineLevel="0" collapsed="false">
      <c r="A3716" s="32" t="n">
        <v>6045</v>
      </c>
      <c r="B3716" s="32" t="s">
        <v>2977</v>
      </c>
      <c r="C3716" s="32" t="s">
        <v>2978</v>
      </c>
      <c r="D3716" s="32" t="s">
        <v>114</v>
      </c>
      <c r="E3716" s="32" t="s">
        <v>278</v>
      </c>
      <c r="F3716" s="32" t="n">
        <v>0</v>
      </c>
      <c r="G3716" s="32" t="s">
        <v>80</v>
      </c>
      <c r="H3716" s="32" t="s">
        <v>22</v>
      </c>
      <c r="I3716" s="32" t="s">
        <v>133</v>
      </c>
      <c r="J3716" s="32" t="s">
        <v>134</v>
      </c>
      <c r="K3716" s="32" t="s">
        <v>63</v>
      </c>
    </row>
    <row r="3717" customFormat="false" ht="13.5" hidden="false" customHeight="true" outlineLevel="0" collapsed="false">
      <c r="A3717" s="32" t="n">
        <v>6046</v>
      </c>
      <c r="B3717" s="32" t="s">
        <v>2979</v>
      </c>
      <c r="C3717" s="32" t="s">
        <v>2980</v>
      </c>
      <c r="D3717" s="32" t="s">
        <v>114</v>
      </c>
      <c r="E3717" s="32" t="s">
        <v>115</v>
      </c>
      <c r="F3717" s="33" t="n">
        <v>919967000000</v>
      </c>
      <c r="G3717" s="32" t="s">
        <v>80</v>
      </c>
      <c r="H3717" s="32" t="s">
        <v>22</v>
      </c>
      <c r="I3717" s="32" t="s">
        <v>150</v>
      </c>
      <c r="J3717" s="32" t="s">
        <v>73</v>
      </c>
      <c r="K3717" s="32" t="s">
        <v>63</v>
      </c>
    </row>
    <row r="3718" customFormat="false" ht="13.5" hidden="false" customHeight="true" outlineLevel="0" collapsed="false">
      <c r="A3718" s="32" t="n">
        <v>6048</v>
      </c>
      <c r="B3718" s="32" t="s">
        <v>2979</v>
      </c>
      <c r="C3718" s="32" t="s">
        <v>2980</v>
      </c>
      <c r="D3718" s="32" t="s">
        <v>114</v>
      </c>
      <c r="E3718" s="32" t="s">
        <v>115</v>
      </c>
      <c r="F3718" s="33" t="n">
        <v>919967000000</v>
      </c>
      <c r="G3718" s="32" t="s">
        <v>80</v>
      </c>
      <c r="H3718" s="32" t="s">
        <v>22</v>
      </c>
      <c r="I3718" s="32" t="s">
        <v>16</v>
      </c>
      <c r="J3718" s="32" t="s">
        <v>73</v>
      </c>
      <c r="K3718" s="32" t="s">
        <v>63</v>
      </c>
    </row>
    <row r="3719" customFormat="false" ht="13.5" hidden="false" customHeight="true" outlineLevel="0" collapsed="false">
      <c r="A3719" s="32" t="n">
        <v>6049</v>
      </c>
      <c r="B3719" s="32" t="s">
        <v>2979</v>
      </c>
      <c r="C3719" s="32" t="s">
        <v>2981</v>
      </c>
      <c r="D3719" s="32" t="s">
        <v>114</v>
      </c>
      <c r="E3719" s="32" t="s">
        <v>115</v>
      </c>
      <c r="F3719" s="33" t="n">
        <v>919967000000</v>
      </c>
      <c r="G3719" s="32" t="s">
        <v>80</v>
      </c>
      <c r="H3719" s="32" t="s">
        <v>22</v>
      </c>
      <c r="I3719" s="32" t="s">
        <v>393</v>
      </c>
      <c r="J3719" s="32" t="s">
        <v>73</v>
      </c>
      <c r="K3719" s="32" t="s">
        <v>63</v>
      </c>
    </row>
    <row r="3720" customFormat="false" ht="13.5" hidden="false" customHeight="true" outlineLevel="0" collapsed="false">
      <c r="A3720" s="32" t="n">
        <v>6050</v>
      </c>
      <c r="B3720" s="32" t="s">
        <v>2979</v>
      </c>
      <c r="C3720" s="32" t="s">
        <v>2981</v>
      </c>
      <c r="D3720" s="32" t="s">
        <v>114</v>
      </c>
      <c r="E3720" s="32" t="s">
        <v>115</v>
      </c>
      <c r="F3720" s="33" t="n">
        <v>919967000000</v>
      </c>
      <c r="G3720" s="32" t="s">
        <v>80</v>
      </c>
      <c r="H3720" s="32" t="s">
        <v>22</v>
      </c>
      <c r="I3720" s="32" t="s">
        <v>307</v>
      </c>
      <c r="J3720" s="32" t="s">
        <v>307</v>
      </c>
      <c r="K3720" s="32" t="s">
        <v>63</v>
      </c>
    </row>
    <row r="3721" customFormat="false" ht="13.5" hidden="false" customHeight="true" outlineLevel="0" collapsed="false">
      <c r="A3721" s="32" t="n">
        <v>6051</v>
      </c>
      <c r="B3721" s="32" t="s">
        <v>2979</v>
      </c>
      <c r="C3721" s="32" t="s">
        <v>2981</v>
      </c>
      <c r="D3721" s="32" t="s">
        <v>114</v>
      </c>
      <c r="E3721" s="32" t="s">
        <v>115</v>
      </c>
      <c r="F3721" s="33" t="n">
        <v>919967000000</v>
      </c>
      <c r="G3721" s="32" t="s">
        <v>80</v>
      </c>
      <c r="H3721" s="32" t="s">
        <v>22</v>
      </c>
      <c r="I3721" s="32" t="s">
        <v>111</v>
      </c>
      <c r="J3721" s="32" t="s">
        <v>73</v>
      </c>
      <c r="K3721" s="32" t="s">
        <v>63</v>
      </c>
    </row>
    <row r="3722" customFormat="false" ht="13.5" hidden="false" customHeight="true" outlineLevel="0" collapsed="false">
      <c r="A3722" s="32" t="n">
        <v>6054</v>
      </c>
      <c r="B3722" s="32" t="s">
        <v>2979</v>
      </c>
      <c r="C3722" s="32" t="s">
        <v>2981</v>
      </c>
      <c r="D3722" s="32" t="s">
        <v>114</v>
      </c>
      <c r="E3722" s="32" t="s">
        <v>115</v>
      </c>
      <c r="F3722" s="33" t="n">
        <v>919967000000</v>
      </c>
      <c r="G3722" s="32" t="s">
        <v>80</v>
      </c>
      <c r="H3722" s="32" t="s">
        <v>22</v>
      </c>
      <c r="I3722" s="32" t="s">
        <v>150</v>
      </c>
      <c r="J3722" s="32" t="s">
        <v>73</v>
      </c>
      <c r="K3722" s="32" t="s">
        <v>63</v>
      </c>
    </row>
    <row r="3723" customFormat="false" ht="13.5" hidden="false" customHeight="true" outlineLevel="0" collapsed="false">
      <c r="A3723" s="32" t="n">
        <v>6055</v>
      </c>
      <c r="B3723" s="32" t="s">
        <v>2979</v>
      </c>
      <c r="C3723" s="32" t="s">
        <v>2982</v>
      </c>
      <c r="D3723" s="32" t="s">
        <v>114</v>
      </c>
      <c r="E3723" s="32" t="s">
        <v>115</v>
      </c>
      <c r="F3723" s="32" t="n">
        <v>9966991396</v>
      </c>
      <c r="G3723" s="32" t="s">
        <v>80</v>
      </c>
      <c r="H3723" s="32" t="s">
        <v>22</v>
      </c>
      <c r="I3723" s="32" t="s">
        <v>27</v>
      </c>
      <c r="J3723" s="32" t="s">
        <v>13</v>
      </c>
      <c r="K3723" s="32" t="s">
        <v>63</v>
      </c>
    </row>
    <row r="3724" customFormat="false" ht="13.5" hidden="false" customHeight="true" outlineLevel="0" collapsed="false">
      <c r="A3724" s="32" t="n">
        <v>6056</v>
      </c>
      <c r="B3724" s="32" t="s">
        <v>2979</v>
      </c>
      <c r="C3724" s="32" t="s">
        <v>2981</v>
      </c>
      <c r="D3724" s="32" t="s">
        <v>114</v>
      </c>
      <c r="E3724" s="32" t="s">
        <v>115</v>
      </c>
      <c r="F3724" s="33" t="n">
        <v>919967000000</v>
      </c>
      <c r="G3724" s="32" t="s">
        <v>80</v>
      </c>
      <c r="H3724" s="32" t="s">
        <v>22</v>
      </c>
      <c r="I3724" s="32" t="s">
        <v>212</v>
      </c>
      <c r="J3724" s="32" t="s">
        <v>73</v>
      </c>
      <c r="K3724" s="32" t="s">
        <v>63</v>
      </c>
    </row>
    <row r="3725" customFormat="false" ht="13.5" hidden="false" customHeight="true" outlineLevel="0" collapsed="false">
      <c r="A3725" s="32" t="n">
        <v>6057</v>
      </c>
      <c r="B3725" s="32" t="s">
        <v>2983</v>
      </c>
      <c r="C3725" s="32" t="s">
        <v>2984</v>
      </c>
      <c r="D3725" s="32" t="s">
        <v>114</v>
      </c>
      <c r="E3725" s="32" t="s">
        <v>268</v>
      </c>
      <c r="F3725" s="32" t="n">
        <v>0</v>
      </c>
      <c r="G3725" s="32" t="s">
        <v>61</v>
      </c>
      <c r="H3725" s="32" t="s">
        <v>22</v>
      </c>
      <c r="I3725" s="32" t="s">
        <v>421</v>
      </c>
      <c r="J3725" s="32" t="s">
        <v>235</v>
      </c>
      <c r="K3725" s="32" t="s">
        <v>63</v>
      </c>
    </row>
    <row r="3726" customFormat="false" ht="13.5" hidden="false" customHeight="true" outlineLevel="0" collapsed="false">
      <c r="A3726" s="32" t="n">
        <v>6058</v>
      </c>
      <c r="B3726" s="32" t="s">
        <v>2983</v>
      </c>
      <c r="C3726" s="32" t="s">
        <v>2984</v>
      </c>
      <c r="D3726" s="32" t="s">
        <v>114</v>
      </c>
      <c r="E3726" s="32" t="s">
        <v>268</v>
      </c>
      <c r="F3726" s="32" t="n">
        <v>9903806499</v>
      </c>
      <c r="G3726" s="32" t="s">
        <v>61</v>
      </c>
      <c r="H3726" s="32" t="s">
        <v>22</v>
      </c>
      <c r="I3726" s="32" t="s">
        <v>350</v>
      </c>
      <c r="J3726" s="32" t="s">
        <v>235</v>
      </c>
      <c r="K3726" s="32" t="s">
        <v>63</v>
      </c>
    </row>
    <row r="3727" customFormat="false" ht="13.5" hidden="false" customHeight="true" outlineLevel="0" collapsed="false">
      <c r="A3727" s="32" t="n">
        <v>6059</v>
      </c>
      <c r="B3727" s="32" t="s">
        <v>2983</v>
      </c>
      <c r="C3727" s="32" t="s">
        <v>2984</v>
      </c>
      <c r="D3727" s="32" t="s">
        <v>114</v>
      </c>
      <c r="E3727" s="32" t="s">
        <v>268</v>
      </c>
      <c r="F3727" s="32" t="n">
        <v>0</v>
      </c>
      <c r="G3727" s="32" t="s">
        <v>61</v>
      </c>
      <c r="H3727" s="32" t="s">
        <v>22</v>
      </c>
      <c r="I3727" s="32" t="s">
        <v>333</v>
      </c>
      <c r="J3727" s="32" t="s">
        <v>235</v>
      </c>
      <c r="K3727" s="32" t="s">
        <v>63</v>
      </c>
    </row>
    <row r="3728" customFormat="false" ht="13.5" hidden="false" customHeight="true" outlineLevel="0" collapsed="false">
      <c r="A3728" s="32" t="n">
        <v>6061</v>
      </c>
      <c r="B3728" s="32" t="s">
        <v>2985</v>
      </c>
      <c r="C3728" s="32" t="s">
        <v>2986</v>
      </c>
      <c r="D3728" s="32" t="s">
        <v>59</v>
      </c>
      <c r="E3728" s="32" t="s">
        <v>79</v>
      </c>
      <c r="F3728" s="33" t="n">
        <v>918755000000</v>
      </c>
      <c r="G3728" s="32" t="s">
        <v>0</v>
      </c>
      <c r="H3728" s="32" t="s">
        <v>21</v>
      </c>
      <c r="I3728" s="32" t="s">
        <v>1690</v>
      </c>
      <c r="J3728" s="32" t="s">
        <v>13</v>
      </c>
      <c r="K3728" s="32" t="s">
        <v>63</v>
      </c>
    </row>
    <row r="3729" customFormat="false" ht="13.5" hidden="false" customHeight="true" outlineLevel="0" collapsed="false">
      <c r="A3729" s="32" t="n">
        <v>6062</v>
      </c>
      <c r="B3729" s="32" t="s">
        <v>2985</v>
      </c>
      <c r="C3729" s="32" t="s">
        <v>2986</v>
      </c>
      <c r="D3729" s="32" t="s">
        <v>59</v>
      </c>
      <c r="E3729" s="32" t="s">
        <v>79</v>
      </c>
      <c r="F3729" s="33" t="n">
        <v>918755000000</v>
      </c>
      <c r="G3729" s="32" t="s">
        <v>0</v>
      </c>
      <c r="H3729" s="32" t="s">
        <v>21</v>
      </c>
      <c r="I3729" s="32" t="s">
        <v>30</v>
      </c>
      <c r="J3729" s="32" t="s">
        <v>203</v>
      </c>
      <c r="K3729" s="32" t="s">
        <v>63</v>
      </c>
    </row>
    <row r="3730" customFormat="false" ht="13.5" hidden="false" customHeight="true" outlineLevel="0" collapsed="false">
      <c r="A3730" s="32" t="n">
        <v>6063</v>
      </c>
      <c r="B3730" s="32" t="s">
        <v>2985</v>
      </c>
      <c r="C3730" s="32" t="s">
        <v>2986</v>
      </c>
      <c r="D3730" s="32" t="s">
        <v>59</v>
      </c>
      <c r="E3730" s="32" t="s">
        <v>79</v>
      </c>
      <c r="F3730" s="33" t="n">
        <v>918755000000</v>
      </c>
      <c r="G3730" s="32" t="s">
        <v>0</v>
      </c>
      <c r="H3730" s="32" t="s">
        <v>21</v>
      </c>
      <c r="I3730" s="32" t="s">
        <v>151</v>
      </c>
      <c r="J3730" s="32" t="s">
        <v>152</v>
      </c>
      <c r="K3730" s="32" t="s">
        <v>63</v>
      </c>
    </row>
    <row r="3731" customFormat="false" ht="13.5" hidden="false" customHeight="true" outlineLevel="0" collapsed="false">
      <c r="A3731" s="32" t="n">
        <v>6064</v>
      </c>
      <c r="B3731" s="32" t="s">
        <v>2987</v>
      </c>
      <c r="C3731" s="32" t="s">
        <v>2988</v>
      </c>
      <c r="D3731" s="32" t="s">
        <v>331</v>
      </c>
      <c r="E3731" s="32" t="s">
        <v>278</v>
      </c>
      <c r="F3731" s="33" t="n">
        <v>919818000000</v>
      </c>
      <c r="G3731" s="32" t="s">
        <v>144</v>
      </c>
      <c r="H3731" s="32" t="s">
        <v>332</v>
      </c>
      <c r="I3731" s="32" t="s">
        <v>2389</v>
      </c>
      <c r="J3731" s="32" t="s">
        <v>89</v>
      </c>
      <c r="K3731" s="32" t="s">
        <v>63</v>
      </c>
    </row>
    <row r="3732" customFormat="false" ht="13.5" hidden="false" customHeight="true" outlineLevel="0" collapsed="false">
      <c r="A3732" s="32" t="n">
        <v>6065</v>
      </c>
      <c r="B3732" s="32" t="s">
        <v>2987</v>
      </c>
      <c r="C3732" s="32" t="s">
        <v>2988</v>
      </c>
      <c r="D3732" s="32" t="s">
        <v>331</v>
      </c>
      <c r="E3732" s="32" t="s">
        <v>278</v>
      </c>
      <c r="F3732" s="33" t="n">
        <v>919818000000</v>
      </c>
      <c r="G3732" s="32" t="s">
        <v>144</v>
      </c>
      <c r="H3732" s="32" t="s">
        <v>332</v>
      </c>
      <c r="I3732" s="32" t="s">
        <v>128</v>
      </c>
      <c r="J3732" s="32" t="s">
        <v>89</v>
      </c>
      <c r="K3732" s="32" t="s">
        <v>63</v>
      </c>
    </row>
    <row r="3733" customFormat="false" ht="13.5" hidden="false" customHeight="true" outlineLevel="0" collapsed="false">
      <c r="A3733" s="32" t="n">
        <v>6066</v>
      </c>
      <c r="B3733" s="32" t="s">
        <v>2987</v>
      </c>
      <c r="C3733" s="32" t="s">
        <v>2988</v>
      </c>
      <c r="D3733" s="32" t="s">
        <v>331</v>
      </c>
      <c r="E3733" s="32" t="s">
        <v>278</v>
      </c>
      <c r="F3733" s="33" t="n">
        <v>919818000000</v>
      </c>
      <c r="G3733" s="32" t="s">
        <v>144</v>
      </c>
      <c r="H3733" s="32" t="s">
        <v>332</v>
      </c>
      <c r="I3733" s="32" t="s">
        <v>145</v>
      </c>
      <c r="J3733" s="32" t="s">
        <v>117</v>
      </c>
      <c r="K3733" s="32" t="s">
        <v>63</v>
      </c>
    </row>
    <row r="3734" customFormat="false" ht="13.5" hidden="false" customHeight="true" outlineLevel="0" collapsed="false">
      <c r="A3734" s="32" t="n">
        <v>6067</v>
      </c>
      <c r="B3734" s="32" t="s">
        <v>2987</v>
      </c>
      <c r="C3734" s="32" t="s">
        <v>2988</v>
      </c>
      <c r="D3734" s="32" t="s">
        <v>331</v>
      </c>
      <c r="E3734" s="32" t="s">
        <v>278</v>
      </c>
      <c r="F3734" s="33" t="n">
        <v>919818000000</v>
      </c>
      <c r="G3734" s="32" t="s">
        <v>144</v>
      </c>
      <c r="H3734" s="32" t="s">
        <v>332</v>
      </c>
      <c r="I3734" s="32" t="s">
        <v>217</v>
      </c>
      <c r="J3734" s="32" t="s">
        <v>132</v>
      </c>
      <c r="K3734" s="32" t="s">
        <v>63</v>
      </c>
    </row>
    <row r="3735" customFormat="false" ht="13.5" hidden="false" customHeight="true" outlineLevel="0" collapsed="false">
      <c r="A3735" s="32" t="n">
        <v>6068</v>
      </c>
      <c r="B3735" s="32" t="s">
        <v>2987</v>
      </c>
      <c r="C3735" s="32" t="s">
        <v>2988</v>
      </c>
      <c r="D3735" s="32" t="s">
        <v>331</v>
      </c>
      <c r="E3735" s="32" t="s">
        <v>278</v>
      </c>
      <c r="F3735" s="33" t="n">
        <v>919818000000</v>
      </c>
      <c r="G3735" s="32" t="s">
        <v>144</v>
      </c>
      <c r="H3735" s="32" t="s">
        <v>332</v>
      </c>
      <c r="I3735" s="32" t="s">
        <v>386</v>
      </c>
      <c r="J3735" s="32" t="s">
        <v>132</v>
      </c>
      <c r="K3735" s="32" t="s">
        <v>63</v>
      </c>
    </row>
    <row r="3736" customFormat="false" ht="13.5" hidden="false" customHeight="true" outlineLevel="0" collapsed="false">
      <c r="A3736" s="32" t="n">
        <v>6069</v>
      </c>
      <c r="B3736" s="32" t="s">
        <v>2987</v>
      </c>
      <c r="C3736" s="32" t="s">
        <v>2988</v>
      </c>
      <c r="D3736" s="32" t="s">
        <v>331</v>
      </c>
      <c r="E3736" s="32" t="s">
        <v>278</v>
      </c>
      <c r="F3736" s="33" t="n">
        <v>919818000000</v>
      </c>
      <c r="G3736" s="32" t="s">
        <v>144</v>
      </c>
      <c r="H3736" s="32" t="s">
        <v>332</v>
      </c>
      <c r="I3736" s="32" t="s">
        <v>93</v>
      </c>
      <c r="J3736" s="32" t="s">
        <v>85</v>
      </c>
      <c r="K3736" s="32" t="s">
        <v>63</v>
      </c>
    </row>
    <row r="3737" customFormat="false" ht="13.5" hidden="false" customHeight="true" outlineLevel="0" collapsed="false">
      <c r="A3737" s="32" t="n">
        <v>6070</v>
      </c>
      <c r="B3737" s="32" t="s">
        <v>2987</v>
      </c>
      <c r="C3737" s="32" t="s">
        <v>2988</v>
      </c>
      <c r="D3737" s="32" t="s">
        <v>331</v>
      </c>
      <c r="E3737" s="32" t="s">
        <v>278</v>
      </c>
      <c r="F3737" s="33" t="n">
        <v>919818000000</v>
      </c>
      <c r="G3737" s="32" t="s">
        <v>144</v>
      </c>
      <c r="H3737" s="32" t="s">
        <v>332</v>
      </c>
      <c r="I3737" s="32" t="s">
        <v>2989</v>
      </c>
      <c r="J3737" s="32" t="s">
        <v>99</v>
      </c>
      <c r="K3737" s="32" t="s">
        <v>63</v>
      </c>
    </row>
    <row r="3738" customFormat="false" ht="13.5" hidden="false" customHeight="true" outlineLevel="0" collapsed="false">
      <c r="A3738" s="32" t="n">
        <v>6071</v>
      </c>
      <c r="B3738" s="32" t="s">
        <v>2987</v>
      </c>
      <c r="C3738" s="32" t="s">
        <v>2988</v>
      </c>
      <c r="D3738" s="32" t="s">
        <v>331</v>
      </c>
      <c r="E3738" s="32" t="s">
        <v>278</v>
      </c>
      <c r="F3738" s="33" t="n">
        <v>919818000000</v>
      </c>
      <c r="G3738" s="32" t="s">
        <v>144</v>
      </c>
      <c r="H3738" s="32" t="s">
        <v>332</v>
      </c>
      <c r="I3738" s="32" t="s">
        <v>239</v>
      </c>
      <c r="J3738" s="32" t="s">
        <v>132</v>
      </c>
      <c r="K3738" s="32" t="s">
        <v>63</v>
      </c>
    </row>
    <row r="3739" customFormat="false" ht="13.5" hidden="false" customHeight="true" outlineLevel="0" collapsed="false">
      <c r="A3739" s="32" t="n">
        <v>6072</v>
      </c>
      <c r="B3739" s="32" t="s">
        <v>2990</v>
      </c>
      <c r="C3739" s="32" t="s">
        <v>2991</v>
      </c>
      <c r="D3739" s="32" t="s">
        <v>114</v>
      </c>
      <c r="E3739" s="32" t="s">
        <v>115</v>
      </c>
      <c r="F3739" s="32" t="n">
        <v>7702050217</v>
      </c>
      <c r="G3739" s="32" t="s">
        <v>80</v>
      </c>
      <c r="H3739" s="32" t="s">
        <v>22</v>
      </c>
      <c r="I3739" s="32" t="s">
        <v>128</v>
      </c>
      <c r="J3739" s="32" t="s">
        <v>89</v>
      </c>
      <c r="K3739" s="32" t="s">
        <v>63</v>
      </c>
    </row>
    <row r="3740" customFormat="false" ht="13.5" hidden="false" customHeight="true" outlineLevel="0" collapsed="false">
      <c r="A3740" s="32" t="n">
        <v>6073</v>
      </c>
      <c r="B3740" s="32" t="s">
        <v>2990</v>
      </c>
      <c r="C3740" s="32" t="s">
        <v>2991</v>
      </c>
      <c r="D3740" s="32" t="s">
        <v>114</v>
      </c>
      <c r="E3740" s="32" t="s">
        <v>115</v>
      </c>
      <c r="F3740" s="32" t="n">
        <v>7702050217</v>
      </c>
      <c r="G3740" s="32" t="s">
        <v>80</v>
      </c>
      <c r="H3740" s="32" t="s">
        <v>22</v>
      </c>
      <c r="I3740" s="32" t="s">
        <v>133</v>
      </c>
      <c r="J3740" s="32" t="s">
        <v>134</v>
      </c>
      <c r="K3740" s="32" t="s">
        <v>63</v>
      </c>
    </row>
    <row r="3741" customFormat="false" ht="13.5" hidden="false" customHeight="true" outlineLevel="0" collapsed="false">
      <c r="A3741" s="32" t="n">
        <v>6077</v>
      </c>
      <c r="B3741" s="32" t="s">
        <v>2990</v>
      </c>
      <c r="C3741" s="32" t="s">
        <v>2991</v>
      </c>
      <c r="D3741" s="32" t="s">
        <v>114</v>
      </c>
      <c r="E3741" s="32" t="s">
        <v>115</v>
      </c>
      <c r="F3741" s="33" t="n">
        <v>917702000000</v>
      </c>
      <c r="G3741" s="32" t="s">
        <v>80</v>
      </c>
      <c r="H3741" s="32" t="s">
        <v>22</v>
      </c>
      <c r="I3741" s="32" t="s">
        <v>27</v>
      </c>
      <c r="J3741" s="32" t="s">
        <v>13</v>
      </c>
      <c r="K3741" s="32" t="s">
        <v>63</v>
      </c>
    </row>
    <row r="3742" customFormat="false" ht="13.5" hidden="false" customHeight="true" outlineLevel="0" collapsed="false">
      <c r="A3742" s="32" t="n">
        <v>6078</v>
      </c>
      <c r="B3742" s="32" t="s">
        <v>2990</v>
      </c>
      <c r="C3742" s="32" t="s">
        <v>2991</v>
      </c>
      <c r="D3742" s="32" t="s">
        <v>114</v>
      </c>
      <c r="E3742" s="32" t="s">
        <v>115</v>
      </c>
      <c r="F3742" s="33" t="n">
        <v>917702000000</v>
      </c>
      <c r="G3742" s="32" t="s">
        <v>80</v>
      </c>
      <c r="H3742" s="32" t="s">
        <v>22</v>
      </c>
      <c r="I3742" s="32" t="s">
        <v>161</v>
      </c>
      <c r="J3742" s="32" t="s">
        <v>117</v>
      </c>
      <c r="K3742" s="32" t="s">
        <v>63</v>
      </c>
    </row>
    <row r="3743" customFormat="false" ht="13.5" hidden="false" customHeight="true" outlineLevel="0" collapsed="false">
      <c r="A3743" s="32" t="n">
        <v>6079</v>
      </c>
      <c r="B3743" s="32" t="s">
        <v>2990</v>
      </c>
      <c r="C3743" s="32" t="s">
        <v>2991</v>
      </c>
      <c r="D3743" s="32" t="s">
        <v>114</v>
      </c>
      <c r="E3743" s="32" t="s">
        <v>115</v>
      </c>
      <c r="F3743" s="33" t="n">
        <v>917702000000</v>
      </c>
      <c r="G3743" s="32" t="s">
        <v>80</v>
      </c>
      <c r="H3743" s="32" t="s">
        <v>22</v>
      </c>
      <c r="I3743" s="32" t="s">
        <v>314</v>
      </c>
      <c r="J3743" s="32" t="s">
        <v>134</v>
      </c>
      <c r="K3743" s="32" t="s">
        <v>63</v>
      </c>
    </row>
    <row r="3744" customFormat="false" ht="13.5" hidden="false" customHeight="true" outlineLevel="0" collapsed="false">
      <c r="A3744" s="32" t="n">
        <v>6080</v>
      </c>
      <c r="B3744" s="32" t="s">
        <v>2992</v>
      </c>
      <c r="C3744" s="32" t="s">
        <v>2993</v>
      </c>
      <c r="D3744" s="32" t="s">
        <v>114</v>
      </c>
      <c r="E3744" s="32" t="s">
        <v>115</v>
      </c>
      <c r="F3744" s="32" t="n">
        <v>0</v>
      </c>
      <c r="G3744" s="32" t="s">
        <v>80</v>
      </c>
      <c r="H3744" s="32" t="s">
        <v>22</v>
      </c>
      <c r="I3744" s="32" t="s">
        <v>116</v>
      </c>
      <c r="J3744" s="32" t="s">
        <v>117</v>
      </c>
      <c r="K3744" s="32" t="s">
        <v>63</v>
      </c>
    </row>
    <row r="3745" customFormat="false" ht="13.5" hidden="false" customHeight="true" outlineLevel="0" collapsed="false">
      <c r="A3745" s="32" t="n">
        <v>6081</v>
      </c>
      <c r="B3745" s="32" t="s">
        <v>2994</v>
      </c>
      <c r="C3745" s="32" t="s">
        <v>2995</v>
      </c>
      <c r="D3745" s="32" t="s">
        <v>59</v>
      </c>
      <c r="E3745" s="32" t="s">
        <v>107</v>
      </c>
      <c r="F3745" s="32" t="n">
        <v>9938934411</v>
      </c>
      <c r="G3745" s="32" t="s">
        <v>61</v>
      </c>
      <c r="H3745" s="32" t="s">
        <v>21</v>
      </c>
      <c r="I3745" s="32" t="s">
        <v>121</v>
      </c>
      <c r="J3745" s="32" t="s">
        <v>110</v>
      </c>
      <c r="K3745" s="32" t="s">
        <v>63</v>
      </c>
    </row>
    <row r="3746" customFormat="false" ht="13.5" hidden="false" customHeight="true" outlineLevel="0" collapsed="false">
      <c r="A3746" s="32" t="n">
        <v>6082</v>
      </c>
      <c r="B3746" s="32" t="s">
        <v>2996</v>
      </c>
      <c r="C3746" s="32" t="s">
        <v>2997</v>
      </c>
      <c r="D3746" s="32" t="s">
        <v>102</v>
      </c>
      <c r="E3746" s="32" t="s">
        <v>103</v>
      </c>
      <c r="F3746" s="33" t="n">
        <v>919293000000</v>
      </c>
      <c r="G3746" s="32" t="s">
        <v>80</v>
      </c>
      <c r="H3746" s="32" t="s">
        <v>21</v>
      </c>
      <c r="I3746" s="32" t="s">
        <v>215</v>
      </c>
      <c r="J3746" s="32" t="s">
        <v>132</v>
      </c>
      <c r="K3746" s="32" t="s">
        <v>63</v>
      </c>
    </row>
    <row r="3747" customFormat="false" ht="13.5" hidden="false" customHeight="true" outlineLevel="0" collapsed="false">
      <c r="A3747" s="32" t="n">
        <v>6083</v>
      </c>
      <c r="B3747" s="32" t="s">
        <v>2996</v>
      </c>
      <c r="C3747" s="32" t="s">
        <v>2997</v>
      </c>
      <c r="D3747" s="32" t="s">
        <v>59</v>
      </c>
      <c r="E3747" s="32" t="s">
        <v>103</v>
      </c>
      <c r="F3747" s="32" t="n">
        <v>8142602822</v>
      </c>
      <c r="G3747" s="32" t="s">
        <v>80</v>
      </c>
      <c r="H3747" s="32" t="s">
        <v>21</v>
      </c>
      <c r="I3747" s="32" t="s">
        <v>728</v>
      </c>
      <c r="J3747" s="32" t="s">
        <v>132</v>
      </c>
      <c r="K3747" s="32" t="s">
        <v>63</v>
      </c>
    </row>
    <row r="3748" customFormat="false" ht="13.5" hidden="false" customHeight="true" outlineLevel="0" collapsed="false">
      <c r="A3748" s="32" t="n">
        <v>6084</v>
      </c>
      <c r="B3748" s="32" t="s">
        <v>2996</v>
      </c>
      <c r="C3748" s="32" t="s">
        <v>2997</v>
      </c>
      <c r="D3748" s="32" t="s">
        <v>59</v>
      </c>
      <c r="E3748" s="32" t="s">
        <v>103</v>
      </c>
      <c r="F3748" s="33" t="n">
        <v>919293000000</v>
      </c>
      <c r="G3748" s="32" t="s">
        <v>80</v>
      </c>
      <c r="H3748" s="32" t="s">
        <v>21</v>
      </c>
      <c r="I3748" s="32" t="s">
        <v>217</v>
      </c>
      <c r="J3748" s="32" t="s">
        <v>132</v>
      </c>
      <c r="K3748" s="32" t="s">
        <v>63</v>
      </c>
    </row>
    <row r="3749" customFormat="false" ht="13.5" hidden="false" customHeight="true" outlineLevel="0" collapsed="false">
      <c r="A3749" s="32" t="n">
        <v>6085</v>
      </c>
      <c r="B3749" s="32" t="s">
        <v>2998</v>
      </c>
      <c r="C3749" s="32" t="s">
        <v>2999</v>
      </c>
      <c r="D3749" s="32" t="s">
        <v>59</v>
      </c>
      <c r="E3749" s="32" t="s">
        <v>107</v>
      </c>
      <c r="F3749" s="33" t="n">
        <v>919886000000</v>
      </c>
      <c r="G3749" s="32" t="s">
        <v>80</v>
      </c>
      <c r="H3749" s="32" t="s">
        <v>21</v>
      </c>
      <c r="I3749" s="32" t="s">
        <v>245</v>
      </c>
      <c r="J3749" s="32" t="s">
        <v>71</v>
      </c>
      <c r="K3749" s="32" t="s">
        <v>63</v>
      </c>
    </row>
    <row r="3750" customFormat="false" ht="13.5" hidden="false" customHeight="true" outlineLevel="0" collapsed="false">
      <c r="A3750" s="32" t="n">
        <v>6086</v>
      </c>
      <c r="B3750" s="32" t="s">
        <v>2998</v>
      </c>
      <c r="C3750" s="32" t="s">
        <v>2999</v>
      </c>
      <c r="D3750" s="32" t="s">
        <v>59</v>
      </c>
      <c r="E3750" s="32" t="s">
        <v>107</v>
      </c>
      <c r="F3750" s="33" t="n">
        <v>919886000000</v>
      </c>
      <c r="G3750" s="32" t="s">
        <v>144</v>
      </c>
      <c r="H3750" s="32" t="s">
        <v>21</v>
      </c>
      <c r="I3750" s="32" t="s">
        <v>387</v>
      </c>
      <c r="J3750" s="32" t="s">
        <v>388</v>
      </c>
      <c r="K3750" s="32" t="s">
        <v>63</v>
      </c>
    </row>
    <row r="3751" customFormat="false" ht="13.5" hidden="false" customHeight="true" outlineLevel="0" collapsed="false">
      <c r="A3751" s="32" t="n">
        <v>6087</v>
      </c>
      <c r="B3751" s="32" t="s">
        <v>3000</v>
      </c>
      <c r="C3751" s="32" t="s">
        <v>3001</v>
      </c>
      <c r="D3751" s="32" t="s">
        <v>114</v>
      </c>
      <c r="E3751" s="32" t="s">
        <v>165</v>
      </c>
      <c r="F3751" s="32" t="n">
        <v>0</v>
      </c>
      <c r="G3751" s="32" t="s">
        <v>80</v>
      </c>
      <c r="H3751" s="32" t="s">
        <v>22</v>
      </c>
      <c r="I3751" s="32" t="s">
        <v>227</v>
      </c>
      <c r="J3751" s="32" t="s">
        <v>228</v>
      </c>
      <c r="K3751" s="32" t="s">
        <v>63</v>
      </c>
    </row>
    <row r="3752" customFormat="false" ht="13.5" hidden="false" customHeight="true" outlineLevel="0" collapsed="false">
      <c r="A3752" s="32" t="n">
        <v>6088</v>
      </c>
      <c r="B3752" s="32" t="s">
        <v>3000</v>
      </c>
      <c r="C3752" s="32" t="s">
        <v>3002</v>
      </c>
      <c r="D3752" s="32" t="s">
        <v>114</v>
      </c>
      <c r="E3752" s="32" t="s">
        <v>165</v>
      </c>
      <c r="F3752" s="32" t="n">
        <v>0</v>
      </c>
      <c r="G3752" s="32" t="s">
        <v>80</v>
      </c>
      <c r="H3752" s="32" t="s">
        <v>22</v>
      </c>
      <c r="I3752" s="32" t="s">
        <v>185</v>
      </c>
      <c r="J3752" s="32" t="s">
        <v>186</v>
      </c>
      <c r="K3752" s="32" t="s">
        <v>63</v>
      </c>
    </row>
    <row r="3753" customFormat="false" ht="13.5" hidden="false" customHeight="true" outlineLevel="0" collapsed="false">
      <c r="A3753" s="32" t="n">
        <v>6090</v>
      </c>
      <c r="B3753" s="32" t="s">
        <v>3000</v>
      </c>
      <c r="C3753" s="32" t="s">
        <v>3002</v>
      </c>
      <c r="D3753" s="32" t="s">
        <v>114</v>
      </c>
      <c r="E3753" s="32" t="s">
        <v>165</v>
      </c>
      <c r="F3753" s="32" t="n">
        <v>0</v>
      </c>
      <c r="G3753" s="32" t="s">
        <v>80</v>
      </c>
      <c r="H3753" s="32" t="s">
        <v>22</v>
      </c>
      <c r="I3753" s="32" t="s">
        <v>226</v>
      </c>
      <c r="J3753" s="32" t="s">
        <v>110</v>
      </c>
      <c r="K3753" s="32" t="s">
        <v>63</v>
      </c>
    </row>
    <row r="3754" customFormat="false" ht="13.5" hidden="false" customHeight="true" outlineLevel="0" collapsed="false">
      <c r="A3754" s="32" t="n">
        <v>6091</v>
      </c>
      <c r="B3754" s="32" t="s">
        <v>3003</v>
      </c>
      <c r="C3754" s="32" t="s">
        <v>3004</v>
      </c>
      <c r="D3754" s="32" t="s">
        <v>59</v>
      </c>
      <c r="E3754" s="32" t="s">
        <v>60</v>
      </c>
      <c r="F3754" s="32" t="n">
        <v>8285439505</v>
      </c>
      <c r="G3754" s="32" t="s">
        <v>144</v>
      </c>
      <c r="H3754" s="32" t="s">
        <v>21</v>
      </c>
      <c r="I3754" s="32" t="s">
        <v>350</v>
      </c>
      <c r="J3754" s="32" t="s">
        <v>235</v>
      </c>
      <c r="K3754" s="32" t="s">
        <v>63</v>
      </c>
    </row>
    <row r="3755" customFormat="false" ht="13.5" hidden="false" customHeight="true" outlineLevel="0" collapsed="false">
      <c r="A3755" s="32" t="n">
        <v>6092</v>
      </c>
      <c r="B3755" s="32" t="s">
        <v>3003</v>
      </c>
      <c r="C3755" s="32" t="s">
        <v>3004</v>
      </c>
      <c r="D3755" s="32" t="s">
        <v>59</v>
      </c>
      <c r="E3755" s="32" t="s">
        <v>60</v>
      </c>
      <c r="F3755" s="32" t="n">
        <v>8285439505</v>
      </c>
      <c r="G3755" s="32" t="s">
        <v>144</v>
      </c>
      <c r="H3755" s="32" t="s">
        <v>21</v>
      </c>
      <c r="I3755" s="32" t="s">
        <v>463</v>
      </c>
      <c r="J3755" s="32" t="s">
        <v>66</v>
      </c>
      <c r="K3755" s="32" t="s">
        <v>63</v>
      </c>
    </row>
    <row r="3756" customFormat="false" ht="13.5" hidden="false" customHeight="true" outlineLevel="0" collapsed="false">
      <c r="A3756" s="32" t="n">
        <v>6095</v>
      </c>
      <c r="B3756" s="32" t="s">
        <v>3003</v>
      </c>
      <c r="C3756" s="32" t="s">
        <v>3004</v>
      </c>
      <c r="D3756" s="32" t="s">
        <v>59</v>
      </c>
      <c r="E3756" s="32" t="s">
        <v>60</v>
      </c>
      <c r="F3756" s="32" t="n">
        <v>8285439505</v>
      </c>
      <c r="G3756" s="32" t="s">
        <v>144</v>
      </c>
      <c r="H3756" s="32" t="s">
        <v>21</v>
      </c>
      <c r="I3756" s="32" t="s">
        <v>333</v>
      </c>
      <c r="J3756" s="32" t="s">
        <v>235</v>
      </c>
      <c r="K3756" s="32" t="s">
        <v>63</v>
      </c>
    </row>
    <row r="3757" customFormat="false" ht="13.5" hidden="false" customHeight="true" outlineLevel="0" collapsed="false">
      <c r="A3757" s="32" t="n">
        <v>6096</v>
      </c>
      <c r="B3757" s="32" t="s">
        <v>3005</v>
      </c>
      <c r="C3757" s="32" t="s">
        <v>3006</v>
      </c>
      <c r="D3757" s="32" t="s">
        <v>114</v>
      </c>
      <c r="E3757" s="32" t="s">
        <v>165</v>
      </c>
      <c r="F3757" s="32" t="n">
        <v>9581028727</v>
      </c>
      <c r="G3757" s="32" t="s">
        <v>80</v>
      </c>
      <c r="H3757" s="32" t="s">
        <v>22</v>
      </c>
      <c r="I3757" s="32" t="s">
        <v>27</v>
      </c>
      <c r="J3757" s="32" t="s">
        <v>13</v>
      </c>
      <c r="K3757" s="32" t="s">
        <v>63</v>
      </c>
    </row>
    <row r="3758" customFormat="false" ht="13.5" hidden="false" customHeight="true" outlineLevel="0" collapsed="false">
      <c r="A3758" s="32" t="n">
        <v>6098</v>
      </c>
      <c r="B3758" s="32" t="s">
        <v>3005</v>
      </c>
      <c r="C3758" s="32" t="s">
        <v>3006</v>
      </c>
      <c r="D3758" s="32" t="s">
        <v>114</v>
      </c>
      <c r="E3758" s="32" t="s">
        <v>165</v>
      </c>
      <c r="F3758" s="32" t="n">
        <v>9581028727</v>
      </c>
      <c r="G3758" s="32" t="s">
        <v>80</v>
      </c>
      <c r="H3758" s="32" t="s">
        <v>22</v>
      </c>
      <c r="I3758" s="32" t="s">
        <v>16</v>
      </c>
      <c r="J3758" s="32" t="s">
        <v>73</v>
      </c>
      <c r="K3758" s="32" t="s">
        <v>63</v>
      </c>
    </row>
    <row r="3759" customFormat="false" ht="13.5" hidden="false" customHeight="true" outlineLevel="0" collapsed="false">
      <c r="A3759" s="32" t="n">
        <v>6099</v>
      </c>
      <c r="B3759" s="32" t="s">
        <v>3005</v>
      </c>
      <c r="C3759" s="32" t="s">
        <v>3006</v>
      </c>
      <c r="D3759" s="32" t="s">
        <v>114</v>
      </c>
      <c r="E3759" s="32" t="s">
        <v>165</v>
      </c>
      <c r="F3759" s="32" t="n">
        <v>9581028727</v>
      </c>
      <c r="G3759" s="32" t="s">
        <v>80</v>
      </c>
      <c r="H3759" s="32" t="s">
        <v>22</v>
      </c>
      <c r="I3759" s="32" t="s">
        <v>28</v>
      </c>
      <c r="J3759" s="32" t="s">
        <v>82</v>
      </c>
      <c r="K3759" s="32" t="s">
        <v>63</v>
      </c>
    </row>
    <row r="3760" customFormat="false" ht="13.5" hidden="false" customHeight="true" outlineLevel="0" collapsed="false">
      <c r="A3760" s="32" t="n">
        <v>6100</v>
      </c>
      <c r="B3760" s="32" t="s">
        <v>3005</v>
      </c>
      <c r="C3760" s="32" t="s">
        <v>3006</v>
      </c>
      <c r="D3760" s="32" t="s">
        <v>114</v>
      </c>
      <c r="E3760" s="32" t="s">
        <v>165</v>
      </c>
      <c r="F3760" s="32" t="n">
        <v>9581028727</v>
      </c>
      <c r="G3760" s="32" t="s">
        <v>80</v>
      </c>
      <c r="H3760" s="32" t="s">
        <v>22</v>
      </c>
      <c r="I3760" s="32" t="s">
        <v>610</v>
      </c>
      <c r="J3760" s="32" t="s">
        <v>82</v>
      </c>
      <c r="K3760" s="32" t="s">
        <v>63</v>
      </c>
    </row>
    <row r="3761" customFormat="false" ht="13.5" hidden="false" customHeight="true" outlineLevel="0" collapsed="false">
      <c r="A3761" s="32" t="n">
        <v>6101</v>
      </c>
      <c r="B3761" s="32" t="s">
        <v>3005</v>
      </c>
      <c r="C3761" s="32" t="s">
        <v>3007</v>
      </c>
      <c r="D3761" s="32" t="s">
        <v>114</v>
      </c>
      <c r="E3761" s="32" t="s">
        <v>165</v>
      </c>
      <c r="F3761" s="32" t="n">
        <v>9581028727</v>
      </c>
      <c r="G3761" s="32" t="s">
        <v>80</v>
      </c>
      <c r="H3761" s="32" t="s">
        <v>22</v>
      </c>
      <c r="I3761" s="32" t="s">
        <v>29</v>
      </c>
      <c r="J3761" s="32" t="s">
        <v>62</v>
      </c>
      <c r="K3761" s="32" t="s">
        <v>63</v>
      </c>
    </row>
    <row r="3762" customFormat="false" ht="13.5" hidden="false" customHeight="true" outlineLevel="0" collapsed="false">
      <c r="A3762" s="32" t="n">
        <v>6102</v>
      </c>
      <c r="B3762" s="32" t="s">
        <v>3005</v>
      </c>
      <c r="C3762" s="32" t="s">
        <v>3007</v>
      </c>
      <c r="D3762" s="32" t="s">
        <v>114</v>
      </c>
      <c r="E3762" s="32" t="s">
        <v>165</v>
      </c>
      <c r="F3762" s="32" t="n">
        <v>9581028727</v>
      </c>
      <c r="G3762" s="32" t="s">
        <v>80</v>
      </c>
      <c r="H3762" s="32" t="s">
        <v>22</v>
      </c>
      <c r="I3762" s="32" t="s">
        <v>14</v>
      </c>
      <c r="J3762" s="32" t="s">
        <v>66</v>
      </c>
      <c r="K3762" s="32" t="s">
        <v>63</v>
      </c>
    </row>
    <row r="3763" customFormat="false" ht="13.5" hidden="false" customHeight="true" outlineLevel="0" collapsed="false">
      <c r="A3763" s="32" t="n">
        <v>6103</v>
      </c>
      <c r="B3763" s="32" t="s">
        <v>3005</v>
      </c>
      <c r="C3763" s="32" t="s">
        <v>3007</v>
      </c>
      <c r="D3763" s="32" t="s">
        <v>114</v>
      </c>
      <c r="E3763" s="32" t="s">
        <v>165</v>
      </c>
      <c r="F3763" s="32" t="s">
        <v>3008</v>
      </c>
      <c r="G3763" s="32" t="s">
        <v>80</v>
      </c>
      <c r="H3763" s="32" t="s">
        <v>22</v>
      </c>
      <c r="I3763" s="32" t="s">
        <v>64</v>
      </c>
      <c r="J3763" s="32" t="s">
        <v>62</v>
      </c>
      <c r="K3763" s="32" t="s">
        <v>63</v>
      </c>
    </row>
    <row r="3764" customFormat="false" ht="13.5" hidden="false" customHeight="true" outlineLevel="0" collapsed="false">
      <c r="A3764" s="32" t="n">
        <v>6104</v>
      </c>
      <c r="B3764" s="32" t="s">
        <v>3009</v>
      </c>
      <c r="C3764" s="32" t="s">
        <v>3010</v>
      </c>
      <c r="D3764" s="32" t="s">
        <v>59</v>
      </c>
      <c r="E3764" s="32" t="s">
        <v>60</v>
      </c>
      <c r="F3764" s="32" t="n">
        <v>9623743477</v>
      </c>
      <c r="G3764" s="32" t="s">
        <v>69</v>
      </c>
      <c r="H3764" s="32" t="s">
        <v>21</v>
      </c>
      <c r="I3764" s="32" t="s">
        <v>128</v>
      </c>
      <c r="J3764" s="32" t="s">
        <v>89</v>
      </c>
      <c r="K3764" s="32" t="s">
        <v>63</v>
      </c>
    </row>
    <row r="3765" customFormat="false" ht="13.5" hidden="false" customHeight="true" outlineLevel="0" collapsed="false">
      <c r="A3765" s="32" t="n">
        <v>6105</v>
      </c>
      <c r="B3765" s="32" t="s">
        <v>3009</v>
      </c>
      <c r="C3765" s="32" t="s">
        <v>3010</v>
      </c>
      <c r="D3765" s="32" t="s">
        <v>59</v>
      </c>
      <c r="E3765" s="32" t="s">
        <v>60</v>
      </c>
      <c r="F3765" s="32" t="n">
        <v>9623743477</v>
      </c>
      <c r="G3765" s="32" t="s">
        <v>69</v>
      </c>
      <c r="H3765" s="32" t="s">
        <v>21</v>
      </c>
      <c r="I3765" s="32" t="s">
        <v>172</v>
      </c>
      <c r="J3765" s="32" t="s">
        <v>152</v>
      </c>
      <c r="K3765" s="32" t="s">
        <v>63</v>
      </c>
    </row>
    <row r="3766" customFormat="false" ht="13.5" hidden="false" customHeight="true" outlineLevel="0" collapsed="false">
      <c r="A3766" s="32" t="n">
        <v>6106</v>
      </c>
      <c r="B3766" s="32" t="s">
        <v>3009</v>
      </c>
      <c r="C3766" s="32" t="s">
        <v>3011</v>
      </c>
      <c r="D3766" s="32" t="s">
        <v>59</v>
      </c>
      <c r="E3766" s="32" t="s">
        <v>60</v>
      </c>
      <c r="F3766" s="32" t="n">
        <v>9623743477</v>
      </c>
      <c r="G3766" s="32" t="s">
        <v>69</v>
      </c>
      <c r="H3766" s="32" t="s">
        <v>21</v>
      </c>
      <c r="I3766" s="32" t="s">
        <v>14</v>
      </c>
      <c r="J3766" s="32" t="s">
        <v>66</v>
      </c>
      <c r="K3766" s="32" t="s">
        <v>63</v>
      </c>
    </row>
    <row r="3767" customFormat="false" ht="13.5" hidden="false" customHeight="true" outlineLevel="0" collapsed="false">
      <c r="A3767" s="32" t="n">
        <v>6107</v>
      </c>
      <c r="B3767" s="32" t="s">
        <v>3009</v>
      </c>
      <c r="C3767" s="32" t="s">
        <v>3012</v>
      </c>
      <c r="D3767" s="32" t="s">
        <v>59</v>
      </c>
      <c r="E3767" s="32" t="s">
        <v>60</v>
      </c>
      <c r="F3767" s="32" t="n">
        <v>9623743477</v>
      </c>
      <c r="G3767" s="32" t="s">
        <v>69</v>
      </c>
      <c r="H3767" s="32" t="s">
        <v>21</v>
      </c>
      <c r="I3767" s="32" t="s">
        <v>156</v>
      </c>
      <c r="J3767" s="32" t="s">
        <v>62</v>
      </c>
      <c r="K3767" s="32" t="s">
        <v>63</v>
      </c>
    </row>
    <row r="3768" customFormat="false" ht="13.5" hidden="false" customHeight="true" outlineLevel="0" collapsed="false">
      <c r="A3768" s="32" t="n">
        <v>6108</v>
      </c>
      <c r="B3768" s="32" t="s">
        <v>3009</v>
      </c>
      <c r="C3768" s="32" t="s">
        <v>3012</v>
      </c>
      <c r="D3768" s="32" t="s">
        <v>59</v>
      </c>
      <c r="E3768" s="32" t="s">
        <v>60</v>
      </c>
      <c r="F3768" s="32" t="n">
        <v>9623743477</v>
      </c>
      <c r="G3768" s="32" t="s">
        <v>69</v>
      </c>
      <c r="H3768" s="32" t="s">
        <v>21</v>
      </c>
      <c r="I3768" s="32" t="s">
        <v>1036</v>
      </c>
      <c r="J3768" s="32" t="s">
        <v>62</v>
      </c>
      <c r="K3768" s="32" t="s">
        <v>63</v>
      </c>
    </row>
    <row r="3769" customFormat="false" ht="13.5" hidden="false" customHeight="true" outlineLevel="0" collapsed="false">
      <c r="A3769" s="32" t="n">
        <v>6109</v>
      </c>
      <c r="B3769" s="32" t="s">
        <v>3013</v>
      </c>
      <c r="C3769" s="32" t="s">
        <v>3014</v>
      </c>
      <c r="D3769" s="32" t="s">
        <v>114</v>
      </c>
      <c r="E3769" s="32" t="s">
        <v>165</v>
      </c>
      <c r="F3769" s="33" t="n">
        <v>917839000000</v>
      </c>
      <c r="G3769" s="32" t="s">
        <v>144</v>
      </c>
      <c r="H3769" s="32" t="s">
        <v>22</v>
      </c>
      <c r="I3769" s="32" t="s">
        <v>149</v>
      </c>
      <c r="J3769" s="32" t="s">
        <v>73</v>
      </c>
      <c r="K3769" s="32" t="s">
        <v>63</v>
      </c>
    </row>
    <row r="3770" customFormat="false" ht="13.5" hidden="false" customHeight="true" outlineLevel="0" collapsed="false">
      <c r="A3770" s="32" t="n">
        <v>6110</v>
      </c>
      <c r="B3770" s="32" t="s">
        <v>3013</v>
      </c>
      <c r="C3770" s="32" t="s">
        <v>3015</v>
      </c>
      <c r="D3770" s="32" t="s">
        <v>114</v>
      </c>
      <c r="E3770" s="32" t="s">
        <v>165</v>
      </c>
      <c r="F3770" s="33" t="n">
        <v>917839000000</v>
      </c>
      <c r="G3770" s="32" t="s">
        <v>144</v>
      </c>
      <c r="H3770" s="32" t="s">
        <v>22</v>
      </c>
      <c r="I3770" s="32" t="s">
        <v>108</v>
      </c>
      <c r="J3770" s="32" t="s">
        <v>71</v>
      </c>
      <c r="K3770" s="32" t="s">
        <v>63</v>
      </c>
    </row>
    <row r="3771" customFormat="false" ht="13.5" hidden="false" customHeight="true" outlineLevel="0" collapsed="false">
      <c r="A3771" s="32" t="n">
        <v>6111</v>
      </c>
      <c r="B3771" s="32" t="s">
        <v>3013</v>
      </c>
      <c r="C3771" s="32" t="s">
        <v>3015</v>
      </c>
      <c r="D3771" s="32" t="s">
        <v>114</v>
      </c>
      <c r="E3771" s="32" t="s">
        <v>165</v>
      </c>
      <c r="F3771" s="32" t="n">
        <v>7838646253</v>
      </c>
      <c r="G3771" s="32" t="s">
        <v>144</v>
      </c>
      <c r="H3771" s="32" t="s">
        <v>22</v>
      </c>
      <c r="I3771" s="32" t="s">
        <v>111</v>
      </c>
      <c r="J3771" s="32" t="s">
        <v>73</v>
      </c>
      <c r="K3771" s="32" t="s">
        <v>63</v>
      </c>
    </row>
    <row r="3772" customFormat="false" ht="13.5" hidden="false" customHeight="true" outlineLevel="0" collapsed="false">
      <c r="A3772" s="32" t="n">
        <v>6112</v>
      </c>
      <c r="B3772" s="32" t="s">
        <v>3016</v>
      </c>
      <c r="C3772" s="32" t="s">
        <v>3017</v>
      </c>
      <c r="D3772" s="32" t="s">
        <v>102</v>
      </c>
      <c r="E3772" s="32" t="s">
        <v>155</v>
      </c>
      <c r="F3772" s="32" t="n">
        <v>7994562719</v>
      </c>
      <c r="G3772" s="32" t="s">
        <v>61</v>
      </c>
      <c r="H3772" s="32" t="s">
        <v>21</v>
      </c>
      <c r="I3772" s="32" t="s">
        <v>234</v>
      </c>
      <c r="J3772" s="32" t="s">
        <v>235</v>
      </c>
      <c r="K3772" s="32" t="s">
        <v>63</v>
      </c>
    </row>
    <row r="3773" customFormat="false" ht="13.5" hidden="false" customHeight="true" outlineLevel="0" collapsed="false">
      <c r="A3773" s="32" t="n">
        <v>6113</v>
      </c>
      <c r="B3773" s="32" t="s">
        <v>3018</v>
      </c>
      <c r="C3773" s="32" t="s">
        <v>3019</v>
      </c>
      <c r="D3773" s="32" t="s">
        <v>59</v>
      </c>
      <c r="E3773" s="32" t="s">
        <v>107</v>
      </c>
      <c r="F3773" s="33" t="n">
        <v>919705000000</v>
      </c>
      <c r="G3773" s="32" t="s">
        <v>80</v>
      </c>
      <c r="H3773" s="32" t="s">
        <v>21</v>
      </c>
      <c r="I3773" s="32" t="s">
        <v>98</v>
      </c>
      <c r="J3773" s="32" t="s">
        <v>99</v>
      </c>
      <c r="K3773" s="32" t="s">
        <v>63</v>
      </c>
    </row>
    <row r="3774" customFormat="false" ht="13.5" hidden="false" customHeight="true" outlineLevel="0" collapsed="false">
      <c r="A3774" s="32" t="n">
        <v>6114</v>
      </c>
      <c r="B3774" s="32" t="s">
        <v>3018</v>
      </c>
      <c r="C3774" s="32" t="s">
        <v>3020</v>
      </c>
      <c r="D3774" s="32" t="s">
        <v>59</v>
      </c>
      <c r="E3774" s="32" t="s">
        <v>107</v>
      </c>
      <c r="F3774" s="32" t="n">
        <v>9704608332</v>
      </c>
      <c r="G3774" s="32" t="s">
        <v>80</v>
      </c>
      <c r="H3774" s="32" t="s">
        <v>21</v>
      </c>
      <c r="I3774" s="32" t="s">
        <v>145</v>
      </c>
      <c r="J3774" s="32" t="s">
        <v>117</v>
      </c>
      <c r="K3774" s="32" t="s">
        <v>63</v>
      </c>
    </row>
    <row r="3775" customFormat="false" ht="13.5" hidden="false" customHeight="true" outlineLevel="0" collapsed="false">
      <c r="A3775" s="32" t="n">
        <v>6115</v>
      </c>
      <c r="B3775" s="32" t="s">
        <v>3021</v>
      </c>
      <c r="C3775" s="32" t="s">
        <v>3022</v>
      </c>
      <c r="D3775" s="32" t="s">
        <v>114</v>
      </c>
      <c r="E3775" s="32" t="n">
        <v>0</v>
      </c>
      <c r="F3775" s="32" t="n">
        <v>0</v>
      </c>
      <c r="G3775" s="32" t="s">
        <v>80</v>
      </c>
      <c r="H3775" s="32" t="s">
        <v>22</v>
      </c>
      <c r="I3775" s="32" t="s">
        <v>151</v>
      </c>
      <c r="J3775" s="32" t="s">
        <v>152</v>
      </c>
      <c r="K3775" s="32" t="s">
        <v>63</v>
      </c>
    </row>
    <row r="3776" customFormat="false" ht="13.5" hidden="false" customHeight="true" outlineLevel="0" collapsed="false">
      <c r="A3776" s="32" t="n">
        <v>6116</v>
      </c>
      <c r="B3776" s="32" t="s">
        <v>3021</v>
      </c>
      <c r="C3776" s="32" t="s">
        <v>3023</v>
      </c>
      <c r="D3776" s="32" t="s">
        <v>114</v>
      </c>
      <c r="E3776" s="32" t="n">
        <v>0</v>
      </c>
      <c r="F3776" s="32" t="n">
        <v>9866198139</v>
      </c>
      <c r="G3776" s="32" t="s">
        <v>80</v>
      </c>
      <c r="H3776" s="32" t="s">
        <v>22</v>
      </c>
      <c r="I3776" s="32" t="s">
        <v>128</v>
      </c>
      <c r="J3776" s="32" t="s">
        <v>89</v>
      </c>
      <c r="K3776" s="32" t="s">
        <v>63</v>
      </c>
    </row>
    <row r="3777" customFormat="false" ht="13.5" hidden="false" customHeight="true" outlineLevel="0" collapsed="false">
      <c r="A3777" s="32" t="n">
        <v>6117</v>
      </c>
      <c r="B3777" s="32" t="s">
        <v>3021</v>
      </c>
      <c r="C3777" s="32" t="s">
        <v>3023</v>
      </c>
      <c r="D3777" s="32" t="s">
        <v>114</v>
      </c>
      <c r="E3777" s="32" t="n">
        <v>0</v>
      </c>
      <c r="F3777" s="32" t="n">
        <v>9866198139</v>
      </c>
      <c r="G3777" s="32" t="s">
        <v>80</v>
      </c>
      <c r="H3777" s="32" t="s">
        <v>22</v>
      </c>
      <c r="I3777" s="32" t="s">
        <v>371</v>
      </c>
      <c r="J3777" s="32" t="s">
        <v>152</v>
      </c>
      <c r="K3777" s="32" t="s">
        <v>63</v>
      </c>
    </row>
    <row r="3778" customFormat="false" ht="13.5" hidden="false" customHeight="true" outlineLevel="0" collapsed="false">
      <c r="A3778" s="32" t="n">
        <v>6118</v>
      </c>
      <c r="B3778" s="32" t="s">
        <v>3021</v>
      </c>
      <c r="C3778" s="32" t="s">
        <v>3023</v>
      </c>
      <c r="D3778" s="32" t="s">
        <v>114</v>
      </c>
      <c r="E3778" s="32" t="n">
        <v>0</v>
      </c>
      <c r="F3778" s="32" t="n">
        <v>0</v>
      </c>
      <c r="G3778" s="32" t="s">
        <v>80</v>
      </c>
      <c r="H3778" s="32" t="s">
        <v>22</v>
      </c>
      <c r="I3778" s="32" t="s">
        <v>146</v>
      </c>
      <c r="J3778" s="32" t="s">
        <v>117</v>
      </c>
      <c r="K3778" s="32" t="s">
        <v>63</v>
      </c>
    </row>
    <row r="3779" customFormat="false" ht="13.5" hidden="false" customHeight="true" outlineLevel="0" collapsed="false">
      <c r="A3779" s="32" t="n">
        <v>6119</v>
      </c>
      <c r="B3779" s="32" t="s">
        <v>3021</v>
      </c>
      <c r="C3779" s="32" t="s">
        <v>3023</v>
      </c>
      <c r="D3779" s="32" t="s">
        <v>114</v>
      </c>
      <c r="E3779" s="32" t="n">
        <v>0</v>
      </c>
      <c r="F3779" s="32" t="n">
        <v>9866198139</v>
      </c>
      <c r="G3779" s="32" t="s">
        <v>80</v>
      </c>
      <c r="H3779" s="32" t="s">
        <v>22</v>
      </c>
      <c r="I3779" s="32" t="s">
        <v>284</v>
      </c>
      <c r="J3779" s="32" t="s">
        <v>117</v>
      </c>
      <c r="K3779" s="32" t="s">
        <v>63</v>
      </c>
    </row>
    <row r="3780" customFormat="false" ht="13.5" hidden="false" customHeight="true" outlineLevel="0" collapsed="false">
      <c r="A3780" s="32" t="n">
        <v>6120</v>
      </c>
      <c r="B3780" s="32" t="s">
        <v>3021</v>
      </c>
      <c r="C3780" s="32" t="s">
        <v>3023</v>
      </c>
      <c r="D3780" s="32" t="s">
        <v>114</v>
      </c>
      <c r="E3780" s="32" t="n">
        <v>0</v>
      </c>
      <c r="F3780" s="32" t="n">
        <v>9866198139</v>
      </c>
      <c r="G3780" s="32" t="s">
        <v>80</v>
      </c>
      <c r="H3780" s="32" t="s">
        <v>22</v>
      </c>
      <c r="I3780" s="32" t="s">
        <v>30</v>
      </c>
      <c r="J3780" s="32" t="s">
        <v>203</v>
      </c>
      <c r="K3780" s="32" t="s">
        <v>63</v>
      </c>
    </row>
    <row r="3781" customFormat="false" ht="13.5" hidden="false" customHeight="true" outlineLevel="0" collapsed="false">
      <c r="A3781" s="32" t="n">
        <v>6121</v>
      </c>
      <c r="B3781" s="32" t="s">
        <v>3024</v>
      </c>
      <c r="C3781" s="32" t="s">
        <v>3025</v>
      </c>
      <c r="D3781" s="32" t="s">
        <v>114</v>
      </c>
      <c r="E3781" s="32" t="s">
        <v>165</v>
      </c>
      <c r="F3781" s="32" t="n">
        <v>9995455746</v>
      </c>
      <c r="G3781" s="32" t="s">
        <v>61</v>
      </c>
      <c r="H3781" s="32" t="s">
        <v>22</v>
      </c>
      <c r="I3781" s="32" t="s">
        <v>149</v>
      </c>
      <c r="J3781" s="32" t="s">
        <v>73</v>
      </c>
      <c r="K3781" s="32" t="s">
        <v>63</v>
      </c>
    </row>
    <row r="3782" customFormat="false" ht="13.5" hidden="false" customHeight="true" outlineLevel="0" collapsed="false">
      <c r="A3782" s="32" t="n">
        <v>6122</v>
      </c>
      <c r="B3782" s="32" t="s">
        <v>3026</v>
      </c>
      <c r="C3782" s="32" t="s">
        <v>3025</v>
      </c>
      <c r="D3782" s="32" t="s">
        <v>114</v>
      </c>
      <c r="E3782" s="32" t="s">
        <v>165</v>
      </c>
      <c r="F3782" s="32" t="n">
        <v>9995455746</v>
      </c>
      <c r="G3782" s="32" t="s">
        <v>61</v>
      </c>
      <c r="H3782" s="32" t="s">
        <v>22</v>
      </c>
      <c r="I3782" s="32" t="s">
        <v>245</v>
      </c>
      <c r="J3782" s="32" t="s">
        <v>71</v>
      </c>
      <c r="K3782" s="32" t="s">
        <v>63</v>
      </c>
    </row>
    <row r="3783" customFormat="false" ht="13.5" hidden="false" customHeight="true" outlineLevel="0" collapsed="false">
      <c r="A3783" s="32" t="n">
        <v>6123</v>
      </c>
      <c r="B3783" s="32" t="s">
        <v>3024</v>
      </c>
      <c r="C3783" s="32" t="s">
        <v>3025</v>
      </c>
      <c r="D3783" s="32" t="s">
        <v>114</v>
      </c>
      <c r="E3783" s="32" t="s">
        <v>165</v>
      </c>
      <c r="F3783" s="32" t="n">
        <v>9995455746</v>
      </c>
      <c r="G3783" s="32" t="s">
        <v>61</v>
      </c>
      <c r="H3783" s="32" t="s">
        <v>22</v>
      </c>
      <c r="I3783" s="32" t="s">
        <v>1410</v>
      </c>
      <c r="J3783" s="32" t="s">
        <v>13</v>
      </c>
      <c r="K3783" s="32" t="s">
        <v>63</v>
      </c>
    </row>
    <row r="3784" customFormat="false" ht="13.5" hidden="false" customHeight="true" outlineLevel="0" collapsed="false">
      <c r="A3784" s="32" t="n">
        <v>6124</v>
      </c>
      <c r="B3784" s="32" t="s">
        <v>3027</v>
      </c>
      <c r="C3784" s="32" t="s">
        <v>3028</v>
      </c>
      <c r="D3784" s="32" t="s">
        <v>102</v>
      </c>
      <c r="E3784" s="32" t="s">
        <v>767</v>
      </c>
      <c r="F3784" s="33" t="n">
        <v>918249000000</v>
      </c>
      <c r="G3784" s="32" t="s">
        <v>61</v>
      </c>
      <c r="H3784" s="32" t="s">
        <v>21</v>
      </c>
      <c r="I3784" s="32" t="s">
        <v>325</v>
      </c>
      <c r="J3784" s="32" t="s">
        <v>326</v>
      </c>
      <c r="K3784" s="32" t="s">
        <v>63</v>
      </c>
    </row>
    <row r="3785" customFormat="false" ht="13.5" hidden="false" customHeight="true" outlineLevel="0" collapsed="false">
      <c r="A3785" s="32" t="n">
        <v>6125</v>
      </c>
      <c r="B3785" s="32" t="s">
        <v>3029</v>
      </c>
      <c r="C3785" s="32" t="s">
        <v>3030</v>
      </c>
      <c r="D3785" s="32" t="s">
        <v>114</v>
      </c>
      <c r="E3785" s="32" t="s">
        <v>115</v>
      </c>
      <c r="F3785" s="33" t="n">
        <v>919686000000</v>
      </c>
      <c r="G3785" s="32" t="s">
        <v>61</v>
      </c>
      <c r="H3785" s="32" t="s">
        <v>22</v>
      </c>
      <c r="I3785" s="32" t="s">
        <v>14</v>
      </c>
      <c r="J3785" s="32" t="s">
        <v>66</v>
      </c>
      <c r="K3785" s="32" t="s">
        <v>63</v>
      </c>
    </row>
    <row r="3786" customFormat="false" ht="13.5" hidden="false" customHeight="true" outlineLevel="0" collapsed="false">
      <c r="A3786" s="32" t="n">
        <v>6126</v>
      </c>
      <c r="B3786" s="32" t="s">
        <v>3029</v>
      </c>
      <c r="C3786" s="32" t="s">
        <v>3030</v>
      </c>
      <c r="D3786" s="32" t="s">
        <v>114</v>
      </c>
      <c r="E3786" s="32" t="s">
        <v>115</v>
      </c>
      <c r="F3786" s="33" t="n">
        <v>919686000000</v>
      </c>
      <c r="G3786" s="32" t="s">
        <v>61</v>
      </c>
      <c r="H3786" s="32" t="s">
        <v>22</v>
      </c>
      <c r="I3786" s="32" t="s">
        <v>166</v>
      </c>
      <c r="J3786" s="32" t="s">
        <v>66</v>
      </c>
      <c r="K3786" s="32" t="s">
        <v>63</v>
      </c>
    </row>
    <row r="3787" customFormat="false" ht="13.5" hidden="false" customHeight="true" outlineLevel="0" collapsed="false">
      <c r="A3787" s="32" t="n">
        <v>6127</v>
      </c>
      <c r="B3787" s="32" t="s">
        <v>3031</v>
      </c>
      <c r="C3787" s="32" t="s">
        <v>3032</v>
      </c>
      <c r="D3787" s="32" t="s">
        <v>59</v>
      </c>
      <c r="E3787" s="32" t="s">
        <v>60</v>
      </c>
      <c r="F3787" s="32" t="n">
        <v>8122255747</v>
      </c>
      <c r="G3787" s="32" t="s">
        <v>61</v>
      </c>
      <c r="H3787" s="32" t="s">
        <v>21</v>
      </c>
      <c r="I3787" s="32" t="s">
        <v>350</v>
      </c>
      <c r="J3787" s="32" t="s">
        <v>235</v>
      </c>
      <c r="K3787" s="32" t="s">
        <v>63</v>
      </c>
    </row>
    <row r="3788" customFormat="false" ht="13.5" hidden="false" customHeight="true" outlineLevel="0" collapsed="false">
      <c r="A3788" s="32" t="n">
        <v>6128</v>
      </c>
      <c r="B3788" s="32" t="s">
        <v>3031</v>
      </c>
      <c r="C3788" s="32" t="s">
        <v>3032</v>
      </c>
      <c r="D3788" s="32" t="s">
        <v>59</v>
      </c>
      <c r="E3788" s="32" t="s">
        <v>60</v>
      </c>
      <c r="F3788" s="32" t="n">
        <v>8122255747</v>
      </c>
      <c r="G3788" s="32" t="s">
        <v>61</v>
      </c>
      <c r="H3788" s="32" t="s">
        <v>21</v>
      </c>
      <c r="I3788" s="32" t="s">
        <v>234</v>
      </c>
      <c r="J3788" s="32" t="s">
        <v>235</v>
      </c>
      <c r="K3788" s="32" t="s">
        <v>63</v>
      </c>
    </row>
    <row r="3789" customFormat="false" ht="13.5" hidden="false" customHeight="true" outlineLevel="0" collapsed="false">
      <c r="A3789" s="32" t="n">
        <v>6130</v>
      </c>
      <c r="B3789" s="32" t="s">
        <v>3031</v>
      </c>
      <c r="C3789" s="32" t="s">
        <v>3032</v>
      </c>
      <c r="D3789" s="32" t="s">
        <v>59</v>
      </c>
      <c r="E3789" s="32" t="s">
        <v>60</v>
      </c>
      <c r="F3789" s="32" t="n">
        <v>8122255747</v>
      </c>
      <c r="G3789" s="32" t="s">
        <v>61</v>
      </c>
      <c r="H3789" s="32" t="s">
        <v>21</v>
      </c>
      <c r="I3789" s="32" t="s">
        <v>333</v>
      </c>
      <c r="J3789" s="32" t="s">
        <v>235</v>
      </c>
      <c r="K3789" s="32" t="s">
        <v>63</v>
      </c>
    </row>
    <row r="3790" customFormat="false" ht="13.5" hidden="false" customHeight="true" outlineLevel="0" collapsed="false">
      <c r="A3790" s="32" t="n">
        <v>6131</v>
      </c>
      <c r="B3790" s="32" t="s">
        <v>3031</v>
      </c>
      <c r="C3790" s="32" t="s">
        <v>3033</v>
      </c>
      <c r="D3790" s="32" t="s">
        <v>59</v>
      </c>
      <c r="E3790" s="32" t="s">
        <v>60</v>
      </c>
      <c r="F3790" s="32" t="n">
        <v>8122255747</v>
      </c>
      <c r="G3790" s="32" t="s">
        <v>61</v>
      </c>
      <c r="H3790" s="32" t="s">
        <v>21</v>
      </c>
      <c r="I3790" s="32" t="s">
        <v>991</v>
      </c>
      <c r="J3790" s="32" t="s">
        <v>505</v>
      </c>
      <c r="K3790" s="32" t="s">
        <v>63</v>
      </c>
    </row>
    <row r="3791" customFormat="false" ht="13.5" hidden="false" customHeight="true" outlineLevel="0" collapsed="false">
      <c r="A3791" s="32" t="n">
        <v>6132</v>
      </c>
      <c r="B3791" s="32" t="s">
        <v>3034</v>
      </c>
      <c r="C3791" s="32" t="s">
        <v>3035</v>
      </c>
      <c r="D3791" s="32" t="s">
        <v>59</v>
      </c>
      <c r="E3791" s="32" t="s">
        <v>79</v>
      </c>
      <c r="F3791" s="33" t="n">
        <v>919664000000</v>
      </c>
      <c r="G3791" s="32" t="s">
        <v>61</v>
      </c>
      <c r="H3791" s="32" t="s">
        <v>21</v>
      </c>
      <c r="I3791" s="32" t="s">
        <v>171</v>
      </c>
      <c r="J3791" s="32" t="s">
        <v>152</v>
      </c>
      <c r="K3791" s="32" t="s">
        <v>63</v>
      </c>
    </row>
    <row r="3792" customFormat="false" ht="13.5" hidden="false" customHeight="true" outlineLevel="0" collapsed="false">
      <c r="A3792" s="32" t="n">
        <v>6133</v>
      </c>
      <c r="B3792" s="32" t="s">
        <v>3034</v>
      </c>
      <c r="C3792" s="32" t="s">
        <v>3035</v>
      </c>
      <c r="D3792" s="32" t="s">
        <v>59</v>
      </c>
      <c r="E3792" s="32" t="s">
        <v>79</v>
      </c>
      <c r="F3792" s="33" t="n">
        <v>919664000000</v>
      </c>
      <c r="G3792" s="32" t="s">
        <v>61</v>
      </c>
      <c r="H3792" s="32" t="s">
        <v>21</v>
      </c>
      <c r="I3792" s="32" t="s">
        <v>265</v>
      </c>
      <c r="J3792" s="32" t="s">
        <v>152</v>
      </c>
      <c r="K3792" s="32" t="s">
        <v>63</v>
      </c>
    </row>
    <row r="3793" customFormat="false" ht="13.5" hidden="false" customHeight="true" outlineLevel="0" collapsed="false">
      <c r="A3793" s="32" t="n">
        <v>6134</v>
      </c>
      <c r="B3793" s="32" t="s">
        <v>3034</v>
      </c>
      <c r="C3793" s="32" t="s">
        <v>3035</v>
      </c>
      <c r="D3793" s="32" t="s">
        <v>59</v>
      </c>
      <c r="E3793" s="32" t="s">
        <v>79</v>
      </c>
      <c r="F3793" s="33" t="n">
        <v>919664000000</v>
      </c>
      <c r="G3793" s="32" t="s">
        <v>61</v>
      </c>
      <c r="H3793" s="32" t="s">
        <v>21</v>
      </c>
      <c r="I3793" s="32" t="s">
        <v>172</v>
      </c>
      <c r="J3793" s="32" t="s">
        <v>152</v>
      </c>
      <c r="K3793" s="32" t="s">
        <v>63</v>
      </c>
    </row>
    <row r="3794" customFormat="false" ht="13.5" hidden="false" customHeight="true" outlineLevel="0" collapsed="false">
      <c r="A3794" s="32" t="n">
        <v>6135</v>
      </c>
      <c r="B3794" s="32" t="s">
        <v>3036</v>
      </c>
      <c r="C3794" s="32" t="s">
        <v>3037</v>
      </c>
      <c r="D3794" s="32" t="s">
        <v>114</v>
      </c>
      <c r="E3794" s="32" t="s">
        <v>115</v>
      </c>
      <c r="F3794" s="32" t="n">
        <v>7760517241</v>
      </c>
      <c r="G3794" s="32" t="s">
        <v>61</v>
      </c>
      <c r="H3794" s="32" t="s">
        <v>22</v>
      </c>
      <c r="I3794" s="32" t="s">
        <v>95</v>
      </c>
      <c r="J3794" s="32" t="s">
        <v>96</v>
      </c>
      <c r="K3794" s="32" t="s">
        <v>63</v>
      </c>
    </row>
    <row r="3795" customFormat="false" ht="13.5" hidden="false" customHeight="true" outlineLevel="0" collapsed="false">
      <c r="A3795" s="32" t="n">
        <v>6136</v>
      </c>
      <c r="B3795" s="32" t="s">
        <v>3036</v>
      </c>
      <c r="C3795" s="32" t="s">
        <v>3037</v>
      </c>
      <c r="D3795" s="32" t="s">
        <v>114</v>
      </c>
      <c r="E3795" s="32" t="s">
        <v>115</v>
      </c>
      <c r="F3795" s="32" t="n">
        <v>7760517241</v>
      </c>
      <c r="G3795" s="32" t="s">
        <v>61</v>
      </c>
      <c r="H3795" s="32" t="s">
        <v>22</v>
      </c>
      <c r="I3795" s="32" t="s">
        <v>108</v>
      </c>
      <c r="J3795" s="32" t="s">
        <v>71</v>
      </c>
      <c r="K3795" s="32" t="s">
        <v>63</v>
      </c>
    </row>
    <row r="3796" customFormat="false" ht="13.5" hidden="false" customHeight="true" outlineLevel="0" collapsed="false">
      <c r="A3796" s="32" t="n">
        <v>6137</v>
      </c>
      <c r="B3796" s="32" t="s">
        <v>3036</v>
      </c>
      <c r="C3796" s="32" t="s">
        <v>3037</v>
      </c>
      <c r="D3796" s="32" t="s">
        <v>114</v>
      </c>
      <c r="E3796" s="32" t="s">
        <v>115</v>
      </c>
      <c r="F3796" s="32" t="n">
        <v>7760517241</v>
      </c>
      <c r="G3796" s="32" t="s">
        <v>61</v>
      </c>
      <c r="H3796" s="32" t="s">
        <v>22</v>
      </c>
      <c r="I3796" s="32" t="s">
        <v>28</v>
      </c>
      <c r="J3796" s="32" t="s">
        <v>82</v>
      </c>
      <c r="K3796" s="32" t="s">
        <v>63</v>
      </c>
    </row>
    <row r="3797" customFormat="false" ht="13.5" hidden="false" customHeight="true" outlineLevel="0" collapsed="false">
      <c r="A3797" s="32" t="n">
        <v>6138</v>
      </c>
      <c r="B3797" s="32" t="s">
        <v>3038</v>
      </c>
      <c r="C3797" s="32" t="s">
        <v>3039</v>
      </c>
      <c r="D3797" s="32" t="s">
        <v>59</v>
      </c>
      <c r="E3797" s="32" t="s">
        <v>107</v>
      </c>
      <c r="F3797" s="32" t="n">
        <v>9900821034</v>
      </c>
      <c r="G3797" s="32" t="s">
        <v>61</v>
      </c>
      <c r="H3797" s="32" t="s">
        <v>21</v>
      </c>
      <c r="I3797" s="32" t="s">
        <v>145</v>
      </c>
      <c r="J3797" s="32" t="s">
        <v>117</v>
      </c>
      <c r="K3797" s="32" t="s">
        <v>63</v>
      </c>
    </row>
    <row r="3798" customFormat="false" ht="13.5" hidden="false" customHeight="true" outlineLevel="0" collapsed="false">
      <c r="A3798" s="32" t="n">
        <v>6139</v>
      </c>
      <c r="B3798" s="32" t="s">
        <v>3040</v>
      </c>
      <c r="C3798" s="32" t="s">
        <v>3041</v>
      </c>
      <c r="D3798" s="32" t="s">
        <v>59</v>
      </c>
      <c r="E3798" s="32" t="s">
        <v>107</v>
      </c>
      <c r="F3798" s="33" t="n">
        <v>919765000000</v>
      </c>
      <c r="G3798" s="32" t="s">
        <v>144</v>
      </c>
      <c r="H3798" s="32" t="s">
        <v>21</v>
      </c>
      <c r="I3798" s="32" t="s">
        <v>27</v>
      </c>
      <c r="J3798" s="32" t="s">
        <v>13</v>
      </c>
      <c r="K3798" s="32" t="s">
        <v>63</v>
      </c>
    </row>
    <row r="3799" customFormat="false" ht="13.5" hidden="false" customHeight="true" outlineLevel="0" collapsed="false">
      <c r="A3799" s="32" t="n">
        <v>6140</v>
      </c>
      <c r="B3799" s="32" t="s">
        <v>3040</v>
      </c>
      <c r="C3799" s="32" t="s">
        <v>3041</v>
      </c>
      <c r="D3799" s="32" t="s">
        <v>59</v>
      </c>
      <c r="E3799" s="32" t="s">
        <v>107</v>
      </c>
      <c r="F3799" s="33" t="n">
        <v>919765000000</v>
      </c>
      <c r="G3799" s="32" t="s">
        <v>144</v>
      </c>
      <c r="H3799" s="32" t="s">
        <v>21</v>
      </c>
      <c r="I3799" s="32" t="s">
        <v>121</v>
      </c>
      <c r="J3799" s="32" t="s">
        <v>110</v>
      </c>
      <c r="K3799" s="32" t="s">
        <v>63</v>
      </c>
    </row>
    <row r="3800" customFormat="false" ht="13.5" hidden="false" customHeight="true" outlineLevel="0" collapsed="false">
      <c r="A3800" s="32" t="n">
        <v>6141</v>
      </c>
      <c r="B3800" s="32" t="s">
        <v>3040</v>
      </c>
      <c r="C3800" s="32" t="s">
        <v>3041</v>
      </c>
      <c r="D3800" s="32" t="s">
        <v>59</v>
      </c>
      <c r="E3800" s="32" t="s">
        <v>107</v>
      </c>
      <c r="F3800" s="33" t="n">
        <v>919765000000</v>
      </c>
      <c r="G3800" s="32" t="s">
        <v>144</v>
      </c>
      <c r="H3800" s="32" t="s">
        <v>21</v>
      </c>
      <c r="I3800" s="32" t="s">
        <v>145</v>
      </c>
      <c r="J3800" s="32" t="s">
        <v>117</v>
      </c>
      <c r="K3800" s="32" t="s">
        <v>63</v>
      </c>
    </row>
    <row r="3801" customFormat="false" ht="13.5" hidden="false" customHeight="true" outlineLevel="0" collapsed="false">
      <c r="A3801" s="32" t="n">
        <v>6142</v>
      </c>
      <c r="B3801" s="32" t="s">
        <v>3042</v>
      </c>
      <c r="C3801" s="32" t="s">
        <v>3043</v>
      </c>
      <c r="D3801" s="32" t="s">
        <v>114</v>
      </c>
      <c r="E3801" s="32" t="s">
        <v>169</v>
      </c>
      <c r="F3801" s="32" t="n">
        <v>9160119777</v>
      </c>
      <c r="G3801" s="32" t="s">
        <v>144</v>
      </c>
      <c r="H3801" s="32" t="s">
        <v>22</v>
      </c>
      <c r="I3801" s="32" t="s">
        <v>251</v>
      </c>
      <c r="J3801" s="32" t="s">
        <v>152</v>
      </c>
      <c r="K3801" s="32" t="s">
        <v>63</v>
      </c>
    </row>
    <row r="3802" customFormat="false" ht="13.5" hidden="false" customHeight="true" outlineLevel="0" collapsed="false">
      <c r="A3802" s="32" t="n">
        <v>6143</v>
      </c>
      <c r="B3802" s="32" t="s">
        <v>3042</v>
      </c>
      <c r="C3802" s="32" t="s">
        <v>3044</v>
      </c>
      <c r="D3802" s="32" t="s">
        <v>114</v>
      </c>
      <c r="E3802" s="32" t="s">
        <v>169</v>
      </c>
      <c r="F3802" s="32" t="n">
        <v>9160119777</v>
      </c>
      <c r="G3802" s="32" t="s">
        <v>144</v>
      </c>
      <c r="H3802" s="32" t="s">
        <v>22</v>
      </c>
      <c r="I3802" s="32" t="s">
        <v>151</v>
      </c>
      <c r="J3802" s="32" t="s">
        <v>152</v>
      </c>
      <c r="K3802" s="32" t="s">
        <v>63</v>
      </c>
    </row>
    <row r="3803" customFormat="false" ht="13.5" hidden="false" customHeight="true" outlineLevel="0" collapsed="false">
      <c r="A3803" s="32" t="n">
        <v>6145</v>
      </c>
      <c r="B3803" s="32" t="s">
        <v>3042</v>
      </c>
      <c r="C3803" s="32" t="s">
        <v>3044</v>
      </c>
      <c r="D3803" s="32" t="s">
        <v>114</v>
      </c>
      <c r="E3803" s="32" t="s">
        <v>169</v>
      </c>
      <c r="F3803" s="32" t="n">
        <v>9160119777</v>
      </c>
      <c r="G3803" s="32" t="s">
        <v>144</v>
      </c>
      <c r="H3803" s="32" t="s">
        <v>22</v>
      </c>
      <c r="I3803" s="32" t="s">
        <v>251</v>
      </c>
      <c r="J3803" s="32" t="s">
        <v>152</v>
      </c>
      <c r="K3803" s="32" t="s">
        <v>63</v>
      </c>
    </row>
    <row r="3804" customFormat="false" ht="13.5" hidden="false" customHeight="true" outlineLevel="0" collapsed="false">
      <c r="A3804" s="32" t="n">
        <v>6146</v>
      </c>
      <c r="B3804" s="32" t="s">
        <v>3042</v>
      </c>
      <c r="C3804" s="32" t="s">
        <v>3044</v>
      </c>
      <c r="D3804" s="32" t="s">
        <v>114</v>
      </c>
      <c r="E3804" s="32" t="s">
        <v>169</v>
      </c>
      <c r="F3804" s="32" t="n">
        <v>9160119777</v>
      </c>
      <c r="G3804" s="32" t="s">
        <v>144</v>
      </c>
      <c r="H3804" s="32" t="s">
        <v>22</v>
      </c>
      <c r="I3804" s="32" t="s">
        <v>172</v>
      </c>
      <c r="J3804" s="32" t="s">
        <v>152</v>
      </c>
      <c r="K3804" s="32" t="s">
        <v>63</v>
      </c>
    </row>
    <row r="3805" customFormat="false" ht="13.5" hidden="false" customHeight="true" outlineLevel="0" collapsed="false">
      <c r="A3805" s="32" t="n">
        <v>6147</v>
      </c>
      <c r="B3805" s="32" t="s">
        <v>3045</v>
      </c>
      <c r="C3805" s="32" t="s">
        <v>3046</v>
      </c>
      <c r="D3805" s="32" t="s">
        <v>59</v>
      </c>
      <c r="E3805" s="32" t="s">
        <v>107</v>
      </c>
      <c r="F3805" s="32" t="n">
        <v>8080580940</v>
      </c>
      <c r="G3805" s="32" t="s">
        <v>104</v>
      </c>
      <c r="H3805" s="32" t="s">
        <v>21</v>
      </c>
      <c r="I3805" s="32" t="s">
        <v>145</v>
      </c>
      <c r="J3805" s="32" t="s">
        <v>117</v>
      </c>
      <c r="K3805" s="32" t="s">
        <v>63</v>
      </c>
    </row>
    <row r="3806" customFormat="false" ht="13.5" hidden="false" customHeight="true" outlineLevel="0" collapsed="false">
      <c r="A3806" s="32" t="n">
        <v>6148</v>
      </c>
      <c r="B3806" s="32" t="s">
        <v>3045</v>
      </c>
      <c r="C3806" s="32" t="s">
        <v>3046</v>
      </c>
      <c r="D3806" s="32" t="s">
        <v>59</v>
      </c>
      <c r="E3806" s="32" t="s">
        <v>107</v>
      </c>
      <c r="F3806" s="32" t="n">
        <v>8080580940</v>
      </c>
      <c r="G3806" s="32" t="s">
        <v>104</v>
      </c>
      <c r="H3806" s="32" t="s">
        <v>21</v>
      </c>
      <c r="I3806" s="32" t="s">
        <v>386</v>
      </c>
      <c r="J3806" s="32" t="s">
        <v>132</v>
      </c>
      <c r="K3806" s="32" t="s">
        <v>63</v>
      </c>
    </row>
    <row r="3807" customFormat="false" ht="13.5" hidden="false" customHeight="true" outlineLevel="0" collapsed="false">
      <c r="A3807" s="32" t="n">
        <v>6149</v>
      </c>
      <c r="B3807" s="32" t="s">
        <v>3047</v>
      </c>
      <c r="C3807" s="32" t="s">
        <v>3048</v>
      </c>
      <c r="D3807" s="32" t="s">
        <v>59</v>
      </c>
      <c r="E3807" s="32" t="n">
        <v>0</v>
      </c>
      <c r="F3807" s="32" t="n">
        <v>9632696068</v>
      </c>
      <c r="G3807" s="32" t="s">
        <v>61</v>
      </c>
      <c r="H3807" s="32" t="s">
        <v>21</v>
      </c>
      <c r="I3807" s="32" t="s">
        <v>284</v>
      </c>
      <c r="J3807" s="32" t="s">
        <v>117</v>
      </c>
      <c r="K3807" s="32" t="s">
        <v>63</v>
      </c>
    </row>
    <row r="3808" customFormat="false" ht="13.5" hidden="false" customHeight="true" outlineLevel="0" collapsed="false">
      <c r="A3808" s="32" t="n">
        <v>6150</v>
      </c>
      <c r="B3808" s="32" t="s">
        <v>3047</v>
      </c>
      <c r="C3808" s="32" t="s">
        <v>3048</v>
      </c>
      <c r="D3808" s="32" t="s">
        <v>59</v>
      </c>
      <c r="E3808" s="32" t="n">
        <v>0</v>
      </c>
      <c r="F3808" s="32" t="n">
        <v>9632696068</v>
      </c>
      <c r="G3808" s="32" t="s">
        <v>61</v>
      </c>
      <c r="H3808" s="32" t="s">
        <v>21</v>
      </c>
      <c r="I3808" s="32" t="s">
        <v>371</v>
      </c>
      <c r="J3808" s="32" t="s">
        <v>152</v>
      </c>
      <c r="K3808" s="32" t="s">
        <v>63</v>
      </c>
    </row>
    <row r="3809" customFormat="false" ht="13.5" hidden="false" customHeight="true" outlineLevel="0" collapsed="false">
      <c r="A3809" s="32" t="n">
        <v>6151</v>
      </c>
      <c r="B3809" s="32" t="s">
        <v>3047</v>
      </c>
      <c r="C3809" s="32" t="s">
        <v>3048</v>
      </c>
      <c r="D3809" s="32" t="s">
        <v>59</v>
      </c>
      <c r="E3809" s="32" t="n">
        <v>0</v>
      </c>
      <c r="F3809" s="32" t="n">
        <v>9632696068</v>
      </c>
      <c r="G3809" s="32" t="s">
        <v>61</v>
      </c>
      <c r="H3809" s="32" t="s">
        <v>21</v>
      </c>
      <c r="I3809" s="32" t="s">
        <v>27</v>
      </c>
      <c r="J3809" s="32" t="s">
        <v>13</v>
      </c>
      <c r="K3809" s="32" t="s">
        <v>63</v>
      </c>
    </row>
    <row r="3810" customFormat="false" ht="13.5" hidden="false" customHeight="true" outlineLevel="0" collapsed="false">
      <c r="A3810" s="32" t="n">
        <v>6152</v>
      </c>
      <c r="B3810" s="32" t="s">
        <v>3047</v>
      </c>
      <c r="C3810" s="32" t="s">
        <v>3048</v>
      </c>
      <c r="D3810" s="32" t="s">
        <v>59</v>
      </c>
      <c r="E3810" s="32" t="n">
        <v>0</v>
      </c>
      <c r="F3810" s="32" t="n">
        <v>9632696068</v>
      </c>
      <c r="G3810" s="32" t="s">
        <v>61</v>
      </c>
      <c r="H3810" s="32" t="s">
        <v>21</v>
      </c>
      <c r="I3810" s="32" t="s">
        <v>30</v>
      </c>
      <c r="J3810" s="32" t="s">
        <v>203</v>
      </c>
      <c r="K3810" s="32" t="s">
        <v>63</v>
      </c>
    </row>
    <row r="3811" customFormat="false" ht="13.5" hidden="false" customHeight="true" outlineLevel="0" collapsed="false">
      <c r="A3811" s="32" t="n">
        <v>6153</v>
      </c>
      <c r="B3811" s="32" t="s">
        <v>3047</v>
      </c>
      <c r="C3811" s="32" t="s">
        <v>3048</v>
      </c>
      <c r="D3811" s="32" t="s">
        <v>59</v>
      </c>
      <c r="E3811" s="32" t="n">
        <v>0</v>
      </c>
      <c r="F3811" s="32" t="n">
        <v>9632696068</v>
      </c>
      <c r="G3811" s="32" t="s">
        <v>61</v>
      </c>
      <c r="H3811" s="32" t="s">
        <v>21</v>
      </c>
      <c r="I3811" s="32" t="s">
        <v>111</v>
      </c>
      <c r="J3811" s="32" t="s">
        <v>73</v>
      </c>
      <c r="K3811" s="32" t="s">
        <v>63</v>
      </c>
    </row>
    <row r="3812" customFormat="false" ht="13.5" hidden="false" customHeight="true" outlineLevel="0" collapsed="false">
      <c r="A3812" s="32" t="n">
        <v>6154</v>
      </c>
      <c r="B3812" s="32" t="s">
        <v>3049</v>
      </c>
      <c r="C3812" s="32" t="s">
        <v>3050</v>
      </c>
      <c r="D3812" s="32" t="s">
        <v>114</v>
      </c>
      <c r="E3812" s="32" t="s">
        <v>165</v>
      </c>
      <c r="F3812" s="32" t="n">
        <v>8500343521</v>
      </c>
      <c r="G3812" s="32" t="s">
        <v>80</v>
      </c>
      <c r="H3812" s="32" t="s">
        <v>22</v>
      </c>
      <c r="I3812" s="32" t="s">
        <v>108</v>
      </c>
      <c r="J3812" s="32" t="s">
        <v>71</v>
      </c>
      <c r="K3812" s="32" t="s">
        <v>63</v>
      </c>
    </row>
    <row r="3813" customFormat="false" ht="13.5" hidden="false" customHeight="true" outlineLevel="0" collapsed="false">
      <c r="A3813" s="32" t="n">
        <v>6155</v>
      </c>
      <c r="B3813" s="32" t="s">
        <v>3049</v>
      </c>
      <c r="C3813" s="32" t="s">
        <v>3050</v>
      </c>
      <c r="D3813" s="32" t="s">
        <v>114</v>
      </c>
      <c r="E3813" s="32" t="s">
        <v>165</v>
      </c>
      <c r="F3813" s="32" t="n">
        <v>8500343521</v>
      </c>
      <c r="G3813" s="32" t="s">
        <v>80</v>
      </c>
      <c r="H3813" s="32" t="s">
        <v>22</v>
      </c>
      <c r="I3813" s="32" t="s">
        <v>3051</v>
      </c>
      <c r="J3813" s="32" t="s">
        <v>117</v>
      </c>
      <c r="K3813" s="32" t="s">
        <v>63</v>
      </c>
    </row>
    <row r="3814" customFormat="false" ht="13.5" hidden="false" customHeight="true" outlineLevel="0" collapsed="false">
      <c r="A3814" s="32" t="n">
        <v>6156</v>
      </c>
      <c r="B3814" s="32" t="s">
        <v>3052</v>
      </c>
      <c r="C3814" s="32" t="s">
        <v>3053</v>
      </c>
      <c r="D3814" s="32" t="s">
        <v>114</v>
      </c>
      <c r="E3814" s="32" t="s">
        <v>115</v>
      </c>
      <c r="F3814" s="32" t="n">
        <v>9930104629</v>
      </c>
      <c r="G3814" s="32" t="s">
        <v>104</v>
      </c>
      <c r="H3814" s="32" t="s">
        <v>22</v>
      </c>
      <c r="I3814" s="32" t="s">
        <v>150</v>
      </c>
      <c r="J3814" s="32" t="s">
        <v>73</v>
      </c>
      <c r="K3814" s="32" t="s">
        <v>63</v>
      </c>
    </row>
    <row r="3815" customFormat="false" ht="13.5" hidden="false" customHeight="true" outlineLevel="0" collapsed="false">
      <c r="A3815" s="32" t="n">
        <v>6157</v>
      </c>
      <c r="B3815" s="32" t="s">
        <v>3052</v>
      </c>
      <c r="C3815" s="32" t="s">
        <v>3054</v>
      </c>
      <c r="D3815" s="32" t="s">
        <v>114</v>
      </c>
      <c r="E3815" s="32" t="s">
        <v>115</v>
      </c>
      <c r="F3815" s="32" t="n">
        <v>9930104629</v>
      </c>
      <c r="G3815" s="32" t="s">
        <v>104</v>
      </c>
      <c r="H3815" s="32" t="s">
        <v>22</v>
      </c>
      <c r="I3815" s="32" t="s">
        <v>245</v>
      </c>
      <c r="J3815" s="32" t="s">
        <v>71</v>
      </c>
      <c r="K3815" s="32" t="s">
        <v>63</v>
      </c>
    </row>
    <row r="3816" customFormat="false" ht="13.5" hidden="false" customHeight="true" outlineLevel="0" collapsed="false">
      <c r="A3816" s="32" t="n">
        <v>6158</v>
      </c>
      <c r="B3816" s="32" t="s">
        <v>3052</v>
      </c>
      <c r="C3816" s="32" t="s">
        <v>3054</v>
      </c>
      <c r="D3816" s="32" t="s">
        <v>114</v>
      </c>
      <c r="E3816" s="32" t="s">
        <v>115</v>
      </c>
      <c r="F3816" s="32" t="n">
        <v>9930104629</v>
      </c>
      <c r="G3816" s="32" t="s">
        <v>104</v>
      </c>
      <c r="H3816" s="32" t="s">
        <v>22</v>
      </c>
      <c r="I3816" s="32" t="s">
        <v>108</v>
      </c>
      <c r="J3816" s="32" t="s">
        <v>71</v>
      </c>
      <c r="K3816" s="32" t="s">
        <v>63</v>
      </c>
    </row>
    <row r="3817" customFormat="false" ht="13.5" hidden="false" customHeight="true" outlineLevel="0" collapsed="false">
      <c r="A3817" s="32" t="n">
        <v>6159</v>
      </c>
      <c r="B3817" s="32" t="s">
        <v>3052</v>
      </c>
      <c r="C3817" s="32" t="s">
        <v>3054</v>
      </c>
      <c r="D3817" s="32" t="s">
        <v>114</v>
      </c>
      <c r="E3817" s="32" t="s">
        <v>115</v>
      </c>
      <c r="F3817" s="32" t="n">
        <v>9930104629</v>
      </c>
      <c r="G3817" s="32" t="s">
        <v>104</v>
      </c>
      <c r="H3817" s="32" t="s">
        <v>22</v>
      </c>
      <c r="I3817" s="32" t="s">
        <v>111</v>
      </c>
      <c r="J3817" s="32" t="s">
        <v>73</v>
      </c>
      <c r="K3817" s="32" t="s">
        <v>63</v>
      </c>
    </row>
    <row r="3818" customFormat="false" ht="13.5" hidden="false" customHeight="true" outlineLevel="0" collapsed="false">
      <c r="A3818" s="32" t="n">
        <v>6160</v>
      </c>
      <c r="B3818" s="32" t="s">
        <v>3055</v>
      </c>
      <c r="C3818" s="32" t="s">
        <v>3056</v>
      </c>
      <c r="D3818" s="32" t="s">
        <v>59</v>
      </c>
      <c r="E3818" s="32" t="s">
        <v>143</v>
      </c>
      <c r="F3818" s="32" t="n">
        <v>0</v>
      </c>
      <c r="G3818" s="32" t="s">
        <v>61</v>
      </c>
      <c r="H3818" s="32" t="s">
        <v>21</v>
      </c>
      <c r="I3818" s="32" t="s">
        <v>145</v>
      </c>
      <c r="J3818" s="32" t="s">
        <v>117</v>
      </c>
      <c r="K3818" s="32" t="s">
        <v>63</v>
      </c>
    </row>
    <row r="3819" customFormat="false" ht="13.5" hidden="false" customHeight="true" outlineLevel="0" collapsed="false">
      <c r="A3819" s="32" t="n">
        <v>6162</v>
      </c>
      <c r="B3819" s="32" t="s">
        <v>3055</v>
      </c>
      <c r="C3819" s="32" t="s">
        <v>3056</v>
      </c>
      <c r="D3819" s="32" t="s">
        <v>59</v>
      </c>
      <c r="E3819" s="32" t="s">
        <v>143</v>
      </c>
      <c r="F3819" s="32" t="n">
        <v>0</v>
      </c>
      <c r="G3819" s="32" t="s">
        <v>61</v>
      </c>
      <c r="H3819" s="32" t="s">
        <v>21</v>
      </c>
      <c r="I3819" s="32" t="s">
        <v>133</v>
      </c>
      <c r="J3819" s="32" t="s">
        <v>134</v>
      </c>
      <c r="K3819" s="32" t="s">
        <v>63</v>
      </c>
    </row>
    <row r="3820" customFormat="false" ht="13.5" hidden="false" customHeight="true" outlineLevel="0" collapsed="false">
      <c r="A3820" s="32" t="n">
        <v>6166</v>
      </c>
      <c r="B3820" s="32" t="s">
        <v>3057</v>
      </c>
      <c r="C3820" s="32" t="s">
        <v>3058</v>
      </c>
      <c r="D3820" s="32" t="s">
        <v>59</v>
      </c>
      <c r="E3820" s="32" t="s">
        <v>92</v>
      </c>
      <c r="F3820" s="32" t="n">
        <v>0</v>
      </c>
      <c r="G3820" s="32" t="s">
        <v>61</v>
      </c>
      <c r="H3820" s="32" t="s">
        <v>21</v>
      </c>
      <c r="I3820" s="32" t="s">
        <v>95</v>
      </c>
      <c r="J3820" s="32" t="s">
        <v>96</v>
      </c>
      <c r="K3820" s="32" t="s">
        <v>63</v>
      </c>
    </row>
    <row r="3821" customFormat="false" ht="13.5" hidden="false" customHeight="true" outlineLevel="0" collapsed="false">
      <c r="A3821" s="32" t="n">
        <v>6167</v>
      </c>
      <c r="B3821" s="32" t="s">
        <v>3059</v>
      </c>
      <c r="C3821" s="32" t="s">
        <v>3060</v>
      </c>
      <c r="D3821" s="32" t="s">
        <v>59</v>
      </c>
      <c r="E3821" s="32" t="s">
        <v>107</v>
      </c>
      <c r="F3821" s="33" t="n">
        <v>918977000000</v>
      </c>
      <c r="G3821" s="32" t="s">
        <v>104</v>
      </c>
      <c r="H3821" s="32" t="s">
        <v>21</v>
      </c>
      <c r="I3821" s="32" t="s">
        <v>27</v>
      </c>
      <c r="J3821" s="32" t="s">
        <v>13</v>
      </c>
      <c r="K3821" s="32" t="s">
        <v>63</v>
      </c>
    </row>
    <row r="3822" customFormat="false" ht="13.5" hidden="false" customHeight="true" outlineLevel="0" collapsed="false">
      <c r="A3822" s="32" t="n">
        <v>6168</v>
      </c>
      <c r="B3822" s="32" t="s">
        <v>3059</v>
      </c>
      <c r="C3822" s="32" t="s">
        <v>3060</v>
      </c>
      <c r="D3822" s="32" t="s">
        <v>59</v>
      </c>
      <c r="E3822" s="32" t="s">
        <v>107</v>
      </c>
      <c r="F3822" s="33" t="n">
        <v>918977000000</v>
      </c>
      <c r="G3822" s="32" t="s">
        <v>104</v>
      </c>
      <c r="H3822" s="32" t="s">
        <v>21</v>
      </c>
      <c r="I3822" s="32" t="s">
        <v>30</v>
      </c>
      <c r="J3822" s="32" t="s">
        <v>203</v>
      </c>
      <c r="K3822" s="32" t="s">
        <v>63</v>
      </c>
    </row>
    <row r="3823" customFormat="false" ht="13.5" hidden="false" customHeight="true" outlineLevel="0" collapsed="false">
      <c r="A3823" s="32" t="n">
        <v>6169</v>
      </c>
      <c r="B3823" s="32" t="s">
        <v>3059</v>
      </c>
      <c r="C3823" s="32" t="s">
        <v>3060</v>
      </c>
      <c r="D3823" s="32" t="s">
        <v>59</v>
      </c>
      <c r="E3823" s="32" t="s">
        <v>107</v>
      </c>
      <c r="F3823" s="33" t="n">
        <v>918977000000</v>
      </c>
      <c r="G3823" s="32" t="s">
        <v>104</v>
      </c>
      <c r="H3823" s="32" t="s">
        <v>21</v>
      </c>
      <c r="I3823" s="32" t="s">
        <v>826</v>
      </c>
      <c r="J3823" s="32" t="s">
        <v>84</v>
      </c>
      <c r="K3823" s="32" t="s">
        <v>63</v>
      </c>
    </row>
    <row r="3824" customFormat="false" ht="13.5" hidden="false" customHeight="true" outlineLevel="0" collapsed="false">
      <c r="A3824" s="32" t="n">
        <v>6172</v>
      </c>
      <c r="B3824" s="32" t="s">
        <v>3061</v>
      </c>
      <c r="C3824" s="32" t="s">
        <v>3062</v>
      </c>
      <c r="D3824" s="32" t="s">
        <v>59</v>
      </c>
      <c r="E3824" s="32" t="s">
        <v>107</v>
      </c>
      <c r="F3824" s="32" t="n">
        <v>0</v>
      </c>
      <c r="G3824" s="32" t="s">
        <v>104</v>
      </c>
      <c r="H3824" s="32" t="s">
        <v>21</v>
      </c>
      <c r="I3824" s="32" t="s">
        <v>95</v>
      </c>
      <c r="J3824" s="32" t="s">
        <v>96</v>
      </c>
      <c r="K3824" s="32" t="s">
        <v>63</v>
      </c>
    </row>
    <row r="3825" customFormat="false" ht="13.5" hidden="false" customHeight="true" outlineLevel="0" collapsed="false">
      <c r="A3825" s="32" t="n">
        <v>6173</v>
      </c>
      <c r="B3825" s="32" t="s">
        <v>3063</v>
      </c>
      <c r="C3825" s="32" t="s">
        <v>3064</v>
      </c>
      <c r="D3825" s="32" t="s">
        <v>59</v>
      </c>
      <c r="E3825" s="32" t="s">
        <v>155</v>
      </c>
      <c r="F3825" s="33" t="n">
        <v>918270000000</v>
      </c>
      <c r="G3825" s="32" t="s">
        <v>80</v>
      </c>
      <c r="H3825" s="32" t="s">
        <v>21</v>
      </c>
      <c r="I3825" s="32" t="s">
        <v>14</v>
      </c>
      <c r="J3825" s="32" t="s">
        <v>66</v>
      </c>
      <c r="K3825" s="32" t="s">
        <v>63</v>
      </c>
    </row>
    <row r="3826" customFormat="false" ht="13.5" hidden="false" customHeight="true" outlineLevel="0" collapsed="false">
      <c r="A3826" s="32" t="n">
        <v>6174</v>
      </c>
      <c r="B3826" s="32" t="s">
        <v>3063</v>
      </c>
      <c r="C3826" s="32" t="s">
        <v>3065</v>
      </c>
      <c r="D3826" s="32" t="s">
        <v>102</v>
      </c>
      <c r="E3826" s="32" t="s">
        <v>155</v>
      </c>
      <c r="F3826" s="33" t="n">
        <v>918270000000</v>
      </c>
      <c r="G3826" s="32" t="s">
        <v>80</v>
      </c>
      <c r="H3826" s="32" t="s">
        <v>21</v>
      </c>
      <c r="I3826" s="32" t="s">
        <v>29</v>
      </c>
      <c r="J3826" s="32" t="s">
        <v>62</v>
      </c>
      <c r="K3826" s="32" t="s">
        <v>63</v>
      </c>
    </row>
    <row r="3827" customFormat="false" ht="13.5" hidden="false" customHeight="true" outlineLevel="0" collapsed="false">
      <c r="A3827" s="32" t="n">
        <v>6178</v>
      </c>
      <c r="B3827" s="32" t="s">
        <v>3066</v>
      </c>
      <c r="C3827" s="32" t="s">
        <v>3067</v>
      </c>
      <c r="D3827" s="32" t="s">
        <v>114</v>
      </c>
      <c r="E3827" s="32" t="s">
        <v>165</v>
      </c>
      <c r="F3827" s="32" t="n">
        <v>8197788811</v>
      </c>
      <c r="G3827" s="32" t="s">
        <v>61</v>
      </c>
      <c r="H3827" s="32" t="s">
        <v>22</v>
      </c>
      <c r="I3827" s="32" t="s">
        <v>227</v>
      </c>
      <c r="J3827" s="32" t="s">
        <v>228</v>
      </c>
      <c r="K3827" s="32" t="s">
        <v>63</v>
      </c>
    </row>
    <row r="3828" customFormat="false" ht="13.5" hidden="false" customHeight="true" outlineLevel="0" collapsed="false">
      <c r="A3828" s="32" t="n">
        <v>6179</v>
      </c>
      <c r="B3828" s="32" t="s">
        <v>3066</v>
      </c>
      <c r="C3828" s="32" t="s">
        <v>3068</v>
      </c>
      <c r="D3828" s="32" t="s">
        <v>114</v>
      </c>
      <c r="E3828" s="32" t="s">
        <v>165</v>
      </c>
      <c r="F3828" s="32" t="n">
        <v>8197788811</v>
      </c>
      <c r="G3828" s="32" t="s">
        <v>61</v>
      </c>
      <c r="H3828" s="32" t="s">
        <v>22</v>
      </c>
      <c r="I3828" s="32" t="s">
        <v>231</v>
      </c>
      <c r="J3828" s="32" t="s">
        <v>228</v>
      </c>
      <c r="K3828" s="32" t="s">
        <v>63</v>
      </c>
    </row>
    <row r="3829" customFormat="false" ht="13.5" hidden="false" customHeight="true" outlineLevel="0" collapsed="false">
      <c r="A3829" s="32" t="n">
        <v>6180</v>
      </c>
      <c r="B3829" s="32" t="s">
        <v>3066</v>
      </c>
      <c r="C3829" s="32" t="s">
        <v>3068</v>
      </c>
      <c r="D3829" s="32" t="s">
        <v>114</v>
      </c>
      <c r="E3829" s="32" t="s">
        <v>165</v>
      </c>
      <c r="F3829" s="32" t="n">
        <v>8197788811</v>
      </c>
      <c r="G3829" s="32" t="s">
        <v>61</v>
      </c>
      <c r="H3829" s="32" t="s">
        <v>22</v>
      </c>
      <c r="I3829" s="32" t="s">
        <v>108</v>
      </c>
      <c r="J3829" s="32" t="s">
        <v>71</v>
      </c>
      <c r="K3829" s="32" t="s">
        <v>63</v>
      </c>
    </row>
    <row r="3830" customFormat="false" ht="13.5" hidden="false" customHeight="true" outlineLevel="0" collapsed="false">
      <c r="A3830" s="32" t="n">
        <v>6182</v>
      </c>
      <c r="B3830" s="32" t="s">
        <v>3069</v>
      </c>
      <c r="C3830" s="32" t="s">
        <v>3070</v>
      </c>
      <c r="D3830" s="32" t="s">
        <v>59</v>
      </c>
      <c r="E3830" s="32" t="s">
        <v>107</v>
      </c>
      <c r="F3830" s="32" t="n">
        <v>9545351609</v>
      </c>
      <c r="G3830" s="32" t="s">
        <v>80</v>
      </c>
      <c r="H3830" s="32" t="s">
        <v>21</v>
      </c>
      <c r="I3830" s="32" t="s">
        <v>98</v>
      </c>
      <c r="J3830" s="32" t="s">
        <v>99</v>
      </c>
      <c r="K3830" s="32" t="s">
        <v>63</v>
      </c>
    </row>
    <row r="3831" customFormat="false" ht="13.5" hidden="false" customHeight="true" outlineLevel="0" collapsed="false">
      <c r="A3831" s="32" t="n">
        <v>6184</v>
      </c>
      <c r="B3831" s="32" t="s">
        <v>3069</v>
      </c>
      <c r="C3831" s="32" t="s">
        <v>3071</v>
      </c>
      <c r="D3831" s="32" t="s">
        <v>59</v>
      </c>
      <c r="E3831" s="32" t="s">
        <v>107</v>
      </c>
      <c r="F3831" s="32" t="n">
        <v>9545351609</v>
      </c>
      <c r="G3831" s="32" t="s">
        <v>80</v>
      </c>
      <c r="H3831" s="32" t="s">
        <v>21</v>
      </c>
      <c r="I3831" s="32" t="s">
        <v>145</v>
      </c>
      <c r="J3831" s="32" t="s">
        <v>117</v>
      </c>
      <c r="K3831" s="32" t="s">
        <v>63</v>
      </c>
    </row>
    <row r="3832" customFormat="false" ht="13.5" hidden="false" customHeight="true" outlineLevel="0" collapsed="false">
      <c r="A3832" s="32" t="n">
        <v>6185</v>
      </c>
      <c r="B3832" s="32" t="s">
        <v>3072</v>
      </c>
      <c r="C3832" s="32" t="s">
        <v>3073</v>
      </c>
      <c r="D3832" s="32" t="s">
        <v>59</v>
      </c>
      <c r="E3832" s="32" t="s">
        <v>60</v>
      </c>
      <c r="F3832" s="32" t="n">
        <v>8019355193</v>
      </c>
      <c r="G3832" s="32" t="s">
        <v>80</v>
      </c>
      <c r="H3832" s="32" t="s">
        <v>21</v>
      </c>
      <c r="I3832" s="32" t="s">
        <v>421</v>
      </c>
      <c r="J3832" s="32" t="s">
        <v>235</v>
      </c>
      <c r="K3832" s="32" t="s">
        <v>63</v>
      </c>
    </row>
    <row r="3833" customFormat="false" ht="13.5" hidden="false" customHeight="true" outlineLevel="0" collapsed="false">
      <c r="A3833" s="32" t="n">
        <v>6186</v>
      </c>
      <c r="B3833" s="32" t="s">
        <v>3074</v>
      </c>
      <c r="C3833" s="32" t="s">
        <v>3075</v>
      </c>
      <c r="D3833" s="32" t="s">
        <v>59</v>
      </c>
      <c r="E3833" s="32" t="n">
        <v>0</v>
      </c>
      <c r="F3833" s="32" t="n">
        <v>9986736660</v>
      </c>
      <c r="G3833" s="32" t="s">
        <v>61</v>
      </c>
      <c r="H3833" s="32" t="s">
        <v>21</v>
      </c>
      <c r="I3833" s="32" t="s">
        <v>121</v>
      </c>
      <c r="J3833" s="32" t="s">
        <v>110</v>
      </c>
      <c r="K3833" s="32" t="s">
        <v>63</v>
      </c>
    </row>
    <row r="3834" customFormat="false" ht="13.5" hidden="false" customHeight="true" outlineLevel="0" collapsed="false">
      <c r="A3834" s="32" t="n">
        <v>6187</v>
      </c>
      <c r="B3834" s="32" t="s">
        <v>3074</v>
      </c>
      <c r="C3834" s="32" t="s">
        <v>3075</v>
      </c>
      <c r="D3834" s="32" t="s">
        <v>59</v>
      </c>
      <c r="E3834" s="32" t="n">
        <v>0</v>
      </c>
      <c r="F3834" s="32" t="n">
        <v>9986736660</v>
      </c>
      <c r="G3834" s="32" t="s">
        <v>61</v>
      </c>
      <c r="H3834" s="32" t="s">
        <v>21</v>
      </c>
      <c r="I3834" s="32" t="s">
        <v>145</v>
      </c>
      <c r="J3834" s="32" t="s">
        <v>117</v>
      </c>
      <c r="K3834" s="32" t="s">
        <v>63</v>
      </c>
    </row>
    <row r="3835" customFormat="false" ht="13.5" hidden="false" customHeight="true" outlineLevel="0" collapsed="false">
      <c r="A3835" s="32" t="n">
        <v>6192</v>
      </c>
      <c r="B3835" s="32" t="s">
        <v>3076</v>
      </c>
      <c r="C3835" s="32" t="s">
        <v>3077</v>
      </c>
      <c r="D3835" s="32" t="s">
        <v>114</v>
      </c>
      <c r="E3835" s="32" t="s">
        <v>268</v>
      </c>
      <c r="F3835" s="32" t="n">
        <v>9666229916</v>
      </c>
      <c r="G3835" s="32" t="s">
        <v>80</v>
      </c>
      <c r="H3835" s="32" t="s">
        <v>22</v>
      </c>
      <c r="I3835" s="32" t="s">
        <v>350</v>
      </c>
      <c r="J3835" s="32" t="s">
        <v>235</v>
      </c>
      <c r="K3835" s="32" t="s">
        <v>63</v>
      </c>
    </row>
    <row r="3836" customFormat="false" ht="13.5" hidden="false" customHeight="true" outlineLevel="0" collapsed="false">
      <c r="A3836" s="32" t="n">
        <v>6193</v>
      </c>
      <c r="B3836" s="32" t="s">
        <v>3076</v>
      </c>
      <c r="C3836" s="32" t="s">
        <v>3077</v>
      </c>
      <c r="D3836" s="32" t="s">
        <v>114</v>
      </c>
      <c r="E3836" s="32" t="s">
        <v>268</v>
      </c>
      <c r="F3836" s="32" t="n">
        <v>9666229916</v>
      </c>
      <c r="G3836" s="32" t="s">
        <v>80</v>
      </c>
      <c r="H3836" s="32" t="s">
        <v>22</v>
      </c>
      <c r="I3836" s="32" t="s">
        <v>76</v>
      </c>
      <c r="J3836" s="32" t="s">
        <v>76</v>
      </c>
      <c r="K3836" s="32" t="s">
        <v>63</v>
      </c>
    </row>
    <row r="3837" customFormat="false" ht="13.5" hidden="false" customHeight="true" outlineLevel="0" collapsed="false">
      <c r="A3837" s="32" t="n">
        <v>6194</v>
      </c>
      <c r="B3837" s="32" t="s">
        <v>3076</v>
      </c>
      <c r="C3837" s="32" t="s">
        <v>3077</v>
      </c>
      <c r="D3837" s="32" t="s">
        <v>114</v>
      </c>
      <c r="E3837" s="32" t="s">
        <v>268</v>
      </c>
      <c r="F3837" s="32" t="n">
        <v>9666229916</v>
      </c>
      <c r="G3837" s="32" t="s">
        <v>80</v>
      </c>
      <c r="H3837" s="32" t="s">
        <v>22</v>
      </c>
      <c r="I3837" s="32" t="s">
        <v>333</v>
      </c>
      <c r="J3837" s="32" t="s">
        <v>235</v>
      </c>
      <c r="K3837" s="32" t="s">
        <v>63</v>
      </c>
    </row>
    <row r="3838" customFormat="false" ht="13.5" hidden="false" customHeight="true" outlineLevel="0" collapsed="false">
      <c r="A3838" s="32" t="n">
        <v>6195</v>
      </c>
      <c r="B3838" s="32" t="s">
        <v>3078</v>
      </c>
      <c r="C3838" s="32" t="s">
        <v>3079</v>
      </c>
      <c r="D3838" s="32" t="s">
        <v>59</v>
      </c>
      <c r="E3838" s="32" t="s">
        <v>60</v>
      </c>
      <c r="F3838" s="33" t="n">
        <v>919167000000</v>
      </c>
      <c r="G3838" s="32" t="s">
        <v>104</v>
      </c>
      <c r="H3838" s="32" t="s">
        <v>21</v>
      </c>
      <c r="I3838" s="32" t="s">
        <v>3080</v>
      </c>
      <c r="J3838" s="32" t="s">
        <v>96</v>
      </c>
      <c r="K3838" s="32" t="s">
        <v>63</v>
      </c>
    </row>
    <row r="3839" customFormat="false" ht="13.5" hidden="false" customHeight="true" outlineLevel="0" collapsed="false">
      <c r="A3839" s="32" t="n">
        <v>6196</v>
      </c>
      <c r="B3839" s="32" t="s">
        <v>3078</v>
      </c>
      <c r="C3839" s="32" t="s">
        <v>3079</v>
      </c>
      <c r="D3839" s="32" t="s">
        <v>59</v>
      </c>
      <c r="E3839" s="32" t="s">
        <v>60</v>
      </c>
      <c r="F3839" s="32" t="n">
        <v>9167180108</v>
      </c>
      <c r="G3839" s="32" t="s">
        <v>104</v>
      </c>
      <c r="H3839" s="32" t="s">
        <v>21</v>
      </c>
      <c r="I3839" s="32" t="s">
        <v>333</v>
      </c>
      <c r="J3839" s="32" t="s">
        <v>235</v>
      </c>
      <c r="K3839" s="32" t="s">
        <v>63</v>
      </c>
    </row>
    <row r="3840" customFormat="false" ht="13.5" hidden="false" customHeight="true" outlineLevel="0" collapsed="false">
      <c r="A3840" s="32" t="n">
        <v>6197</v>
      </c>
      <c r="B3840" s="32" t="s">
        <v>3081</v>
      </c>
      <c r="C3840" s="32" t="s">
        <v>3082</v>
      </c>
      <c r="D3840" s="32" t="s">
        <v>114</v>
      </c>
      <c r="E3840" s="32" t="s">
        <v>165</v>
      </c>
      <c r="F3840" s="32" t="n">
        <v>0</v>
      </c>
      <c r="G3840" s="32" t="s">
        <v>140</v>
      </c>
      <c r="H3840" s="32" t="s">
        <v>22</v>
      </c>
      <c r="I3840" s="32" t="s">
        <v>108</v>
      </c>
      <c r="J3840" s="32" t="s">
        <v>71</v>
      </c>
      <c r="K3840" s="32" t="s">
        <v>63</v>
      </c>
    </row>
    <row r="3841" customFormat="false" ht="13.5" hidden="false" customHeight="true" outlineLevel="0" collapsed="false">
      <c r="A3841" s="32" t="n">
        <v>6198</v>
      </c>
      <c r="B3841" s="32" t="s">
        <v>3083</v>
      </c>
      <c r="C3841" s="32" t="s">
        <v>3084</v>
      </c>
      <c r="D3841" s="32" t="s">
        <v>114</v>
      </c>
      <c r="E3841" s="32" t="s">
        <v>165</v>
      </c>
      <c r="F3841" s="33" t="n">
        <v>917893000000</v>
      </c>
      <c r="G3841" s="32" t="s">
        <v>69</v>
      </c>
      <c r="H3841" s="32" t="s">
        <v>22</v>
      </c>
      <c r="I3841" s="32" t="s">
        <v>991</v>
      </c>
      <c r="J3841" s="32" t="s">
        <v>505</v>
      </c>
      <c r="K3841" s="32" t="s">
        <v>63</v>
      </c>
    </row>
    <row r="3842" customFormat="false" ht="13.5" hidden="false" customHeight="true" outlineLevel="0" collapsed="false">
      <c r="A3842" s="32" t="n">
        <v>6199</v>
      </c>
      <c r="B3842" s="32" t="s">
        <v>3083</v>
      </c>
      <c r="C3842" s="32" t="s">
        <v>3085</v>
      </c>
      <c r="D3842" s="32" t="s">
        <v>114</v>
      </c>
      <c r="E3842" s="32" t="s">
        <v>165</v>
      </c>
      <c r="F3842" s="33" t="n">
        <v>917893000000</v>
      </c>
      <c r="G3842" s="32" t="s">
        <v>69</v>
      </c>
      <c r="H3842" s="32" t="s">
        <v>22</v>
      </c>
      <c r="I3842" s="32" t="s">
        <v>350</v>
      </c>
      <c r="J3842" s="32" t="s">
        <v>235</v>
      </c>
      <c r="K3842" s="32" t="s">
        <v>63</v>
      </c>
    </row>
    <row r="3843" customFormat="false" ht="13.5" hidden="false" customHeight="true" outlineLevel="0" collapsed="false">
      <c r="A3843" s="32" t="n">
        <v>6200</v>
      </c>
      <c r="B3843" s="32" t="s">
        <v>3083</v>
      </c>
      <c r="C3843" s="32" t="s">
        <v>3085</v>
      </c>
      <c r="D3843" s="32" t="s">
        <v>114</v>
      </c>
      <c r="E3843" s="32" t="s">
        <v>165</v>
      </c>
      <c r="F3843" s="33" t="n">
        <v>917893000000</v>
      </c>
      <c r="G3843" s="32" t="s">
        <v>69</v>
      </c>
      <c r="H3843" s="32" t="s">
        <v>22</v>
      </c>
      <c r="I3843" s="32" t="s">
        <v>991</v>
      </c>
      <c r="J3843" s="32" t="s">
        <v>505</v>
      </c>
      <c r="K3843" s="32" t="s">
        <v>63</v>
      </c>
    </row>
    <row r="3844" customFormat="false" ht="13.5" hidden="false" customHeight="true" outlineLevel="0" collapsed="false">
      <c r="A3844" s="32" t="n">
        <v>6201</v>
      </c>
      <c r="B3844" s="32" t="s">
        <v>3083</v>
      </c>
      <c r="C3844" s="32" t="s">
        <v>3085</v>
      </c>
      <c r="D3844" s="32" t="s">
        <v>114</v>
      </c>
      <c r="E3844" s="32" t="s">
        <v>165</v>
      </c>
      <c r="F3844" s="32" t="n">
        <v>7892919211</v>
      </c>
      <c r="G3844" s="32" t="s">
        <v>69</v>
      </c>
      <c r="H3844" s="32" t="s">
        <v>22</v>
      </c>
      <c r="I3844" s="32" t="s">
        <v>333</v>
      </c>
      <c r="J3844" s="32" t="s">
        <v>235</v>
      </c>
      <c r="K3844" s="32" t="s">
        <v>63</v>
      </c>
    </row>
    <row r="3845" customFormat="false" ht="13.5" hidden="false" customHeight="true" outlineLevel="0" collapsed="false">
      <c r="A3845" s="32" t="n">
        <v>6202</v>
      </c>
      <c r="B3845" s="32" t="s">
        <v>3086</v>
      </c>
      <c r="C3845" s="32" t="s">
        <v>3087</v>
      </c>
      <c r="D3845" s="32" t="s">
        <v>59</v>
      </c>
      <c r="E3845" s="32" t="s">
        <v>143</v>
      </c>
      <c r="F3845" s="32" t="n">
        <v>8978218325</v>
      </c>
      <c r="G3845" s="32" t="s">
        <v>80</v>
      </c>
      <c r="H3845" s="32" t="s">
        <v>21</v>
      </c>
      <c r="I3845" s="32" t="s">
        <v>109</v>
      </c>
      <c r="J3845" s="32" t="s">
        <v>110</v>
      </c>
      <c r="K3845" s="32" t="s">
        <v>63</v>
      </c>
    </row>
    <row r="3846" customFormat="false" ht="13.5" hidden="false" customHeight="true" outlineLevel="0" collapsed="false">
      <c r="A3846" s="32" t="n">
        <v>6203</v>
      </c>
      <c r="B3846" s="32" t="s">
        <v>3086</v>
      </c>
      <c r="C3846" s="32" t="s">
        <v>3087</v>
      </c>
      <c r="D3846" s="32" t="s">
        <v>59</v>
      </c>
      <c r="E3846" s="32" t="s">
        <v>143</v>
      </c>
      <c r="F3846" s="32" t="n">
        <v>8978218325</v>
      </c>
      <c r="G3846" s="32" t="s">
        <v>80</v>
      </c>
      <c r="H3846" s="32" t="s">
        <v>21</v>
      </c>
      <c r="I3846" s="32" t="s">
        <v>30</v>
      </c>
      <c r="J3846" s="32" t="s">
        <v>203</v>
      </c>
      <c r="K3846" s="32" t="s">
        <v>63</v>
      </c>
    </row>
    <row r="3847" customFormat="false" ht="13.5" hidden="false" customHeight="true" outlineLevel="0" collapsed="false">
      <c r="A3847" s="32" t="n">
        <v>6204</v>
      </c>
      <c r="B3847" s="32" t="s">
        <v>3086</v>
      </c>
      <c r="C3847" s="32" t="s">
        <v>3087</v>
      </c>
      <c r="D3847" s="32" t="s">
        <v>59</v>
      </c>
      <c r="E3847" s="32" t="s">
        <v>143</v>
      </c>
      <c r="F3847" s="32" t="n">
        <v>8978218325</v>
      </c>
      <c r="G3847" s="32" t="s">
        <v>80</v>
      </c>
      <c r="H3847" s="32" t="s">
        <v>21</v>
      </c>
      <c r="I3847" s="32" t="s">
        <v>16</v>
      </c>
      <c r="J3847" s="32" t="s">
        <v>73</v>
      </c>
      <c r="K3847" s="32" t="s">
        <v>63</v>
      </c>
    </row>
    <row r="3848" customFormat="false" ht="13.5" hidden="false" customHeight="true" outlineLevel="0" collapsed="false">
      <c r="A3848" s="32" t="n">
        <v>6205</v>
      </c>
      <c r="B3848" s="32" t="s">
        <v>3086</v>
      </c>
      <c r="C3848" s="32" t="s">
        <v>3088</v>
      </c>
      <c r="D3848" s="32" t="s">
        <v>59</v>
      </c>
      <c r="E3848" s="32" t="s">
        <v>143</v>
      </c>
      <c r="F3848" s="32" t="n">
        <v>8978218325</v>
      </c>
      <c r="G3848" s="32" t="s">
        <v>80</v>
      </c>
      <c r="H3848" s="32" t="s">
        <v>21</v>
      </c>
      <c r="I3848" s="32" t="s">
        <v>27</v>
      </c>
      <c r="J3848" s="32" t="s">
        <v>13</v>
      </c>
      <c r="K3848" s="32" t="s">
        <v>63</v>
      </c>
    </row>
    <row r="3849" customFormat="false" ht="13.5" hidden="false" customHeight="true" outlineLevel="0" collapsed="false">
      <c r="A3849" s="32" t="n">
        <v>6206</v>
      </c>
      <c r="B3849" s="32" t="s">
        <v>3086</v>
      </c>
      <c r="C3849" s="32" t="s">
        <v>3088</v>
      </c>
      <c r="D3849" s="32" t="s">
        <v>59</v>
      </c>
      <c r="E3849" s="32" t="s">
        <v>143</v>
      </c>
      <c r="F3849" s="32" t="n">
        <v>8978218325</v>
      </c>
      <c r="G3849" s="32" t="s">
        <v>80</v>
      </c>
      <c r="H3849" s="32" t="s">
        <v>21</v>
      </c>
      <c r="I3849" s="32" t="s">
        <v>150</v>
      </c>
      <c r="J3849" s="32" t="s">
        <v>73</v>
      </c>
      <c r="K3849" s="32" t="s">
        <v>63</v>
      </c>
    </row>
    <row r="3850" customFormat="false" ht="13.5" hidden="false" customHeight="true" outlineLevel="0" collapsed="false">
      <c r="A3850" s="32" t="n">
        <v>6212</v>
      </c>
      <c r="B3850" s="32" t="s">
        <v>3086</v>
      </c>
      <c r="C3850" s="32" t="s">
        <v>3088</v>
      </c>
      <c r="D3850" s="32" t="s">
        <v>59</v>
      </c>
      <c r="E3850" s="32" t="s">
        <v>143</v>
      </c>
      <c r="F3850" s="32" t="n">
        <v>8978218325</v>
      </c>
      <c r="G3850" s="32" t="s">
        <v>80</v>
      </c>
      <c r="H3850" s="32" t="s">
        <v>21</v>
      </c>
      <c r="I3850" s="32" t="s">
        <v>212</v>
      </c>
      <c r="J3850" s="32" t="s">
        <v>73</v>
      </c>
      <c r="K3850" s="32" t="s">
        <v>63</v>
      </c>
    </row>
    <row r="3851" customFormat="false" ht="13.5" hidden="false" customHeight="true" outlineLevel="0" collapsed="false">
      <c r="A3851" s="32" t="n">
        <v>6213</v>
      </c>
      <c r="B3851" s="32" t="s">
        <v>3089</v>
      </c>
      <c r="C3851" s="32" t="s">
        <v>3090</v>
      </c>
      <c r="D3851" s="32" t="s">
        <v>59</v>
      </c>
      <c r="E3851" s="32" t="s">
        <v>143</v>
      </c>
      <c r="F3851" s="32" t="n">
        <v>9538443294</v>
      </c>
      <c r="G3851" s="32" t="s">
        <v>61</v>
      </c>
      <c r="H3851" s="32" t="s">
        <v>21</v>
      </c>
      <c r="I3851" s="32" t="s">
        <v>226</v>
      </c>
      <c r="J3851" s="32" t="s">
        <v>110</v>
      </c>
      <c r="K3851" s="32" t="s">
        <v>63</v>
      </c>
    </row>
    <row r="3852" customFormat="false" ht="13.5" hidden="false" customHeight="true" outlineLevel="0" collapsed="false">
      <c r="A3852" s="32" t="n">
        <v>6214</v>
      </c>
      <c r="B3852" s="32" t="s">
        <v>3089</v>
      </c>
      <c r="C3852" s="32" t="s">
        <v>3091</v>
      </c>
      <c r="D3852" s="32" t="s">
        <v>59</v>
      </c>
      <c r="E3852" s="32" t="s">
        <v>143</v>
      </c>
      <c r="F3852" s="32" t="n">
        <v>9538443294</v>
      </c>
      <c r="G3852" s="32" t="s">
        <v>61</v>
      </c>
      <c r="H3852" s="32" t="s">
        <v>21</v>
      </c>
      <c r="I3852" s="32" t="s">
        <v>95</v>
      </c>
      <c r="J3852" s="32" t="s">
        <v>96</v>
      </c>
      <c r="K3852" s="32" t="s">
        <v>63</v>
      </c>
    </row>
    <row r="3853" customFormat="false" ht="13.5" hidden="false" customHeight="true" outlineLevel="0" collapsed="false">
      <c r="A3853" s="32" t="n">
        <v>6215</v>
      </c>
      <c r="B3853" s="32" t="s">
        <v>3089</v>
      </c>
      <c r="C3853" s="32" t="s">
        <v>3091</v>
      </c>
      <c r="D3853" s="32" t="s">
        <v>59</v>
      </c>
      <c r="E3853" s="32" t="s">
        <v>143</v>
      </c>
      <c r="F3853" s="32" t="n">
        <v>9538443294</v>
      </c>
      <c r="G3853" s="32" t="s">
        <v>61</v>
      </c>
      <c r="H3853" s="32" t="s">
        <v>21</v>
      </c>
      <c r="I3853" s="32" t="s">
        <v>108</v>
      </c>
      <c r="J3853" s="32" t="s">
        <v>71</v>
      </c>
      <c r="K3853" s="32" t="s">
        <v>63</v>
      </c>
    </row>
    <row r="3854" customFormat="false" ht="13.5" hidden="false" customHeight="true" outlineLevel="0" collapsed="false">
      <c r="A3854" s="32" t="n">
        <v>6216</v>
      </c>
      <c r="B3854" s="32" t="s">
        <v>3089</v>
      </c>
      <c r="C3854" s="32" t="s">
        <v>3091</v>
      </c>
      <c r="D3854" s="32" t="s">
        <v>59</v>
      </c>
      <c r="E3854" s="32" t="s">
        <v>143</v>
      </c>
      <c r="F3854" s="32" t="n">
        <v>9538443294</v>
      </c>
      <c r="G3854" s="32" t="s">
        <v>61</v>
      </c>
      <c r="H3854" s="32" t="s">
        <v>21</v>
      </c>
      <c r="I3854" s="32" t="s">
        <v>146</v>
      </c>
      <c r="J3854" s="32" t="s">
        <v>117</v>
      </c>
      <c r="K3854" s="32" t="s">
        <v>63</v>
      </c>
    </row>
    <row r="3855" customFormat="false" ht="13.5" hidden="false" customHeight="true" outlineLevel="0" collapsed="false">
      <c r="A3855" s="32" t="n">
        <v>6217</v>
      </c>
      <c r="B3855" s="32" t="s">
        <v>3092</v>
      </c>
      <c r="C3855" s="32" t="s">
        <v>3093</v>
      </c>
      <c r="D3855" s="32" t="s">
        <v>114</v>
      </c>
      <c r="E3855" s="32" t="s">
        <v>115</v>
      </c>
      <c r="F3855" s="32" t="n">
        <v>9886334561</v>
      </c>
      <c r="G3855" s="32" t="s">
        <v>61</v>
      </c>
      <c r="H3855" s="32" t="s">
        <v>22</v>
      </c>
      <c r="I3855" s="32" t="s">
        <v>145</v>
      </c>
      <c r="J3855" s="32" t="s">
        <v>117</v>
      </c>
      <c r="K3855" s="32" t="s">
        <v>63</v>
      </c>
    </row>
    <row r="3856" customFormat="false" ht="13.5" hidden="false" customHeight="true" outlineLevel="0" collapsed="false">
      <c r="A3856" s="32" t="n">
        <v>6218</v>
      </c>
      <c r="B3856" s="32" t="s">
        <v>3092</v>
      </c>
      <c r="C3856" s="32" t="s">
        <v>3094</v>
      </c>
      <c r="D3856" s="32" t="s">
        <v>114</v>
      </c>
      <c r="E3856" s="32" t="s">
        <v>115</v>
      </c>
      <c r="F3856" s="32" t="n">
        <v>9886334561</v>
      </c>
      <c r="G3856" s="32" t="s">
        <v>61</v>
      </c>
      <c r="H3856" s="32" t="s">
        <v>22</v>
      </c>
      <c r="I3856" s="32" t="s">
        <v>108</v>
      </c>
      <c r="J3856" s="32" t="s">
        <v>71</v>
      </c>
      <c r="K3856" s="32" t="s">
        <v>63</v>
      </c>
    </row>
    <row r="3857" customFormat="false" ht="13.5" hidden="false" customHeight="true" outlineLevel="0" collapsed="false">
      <c r="A3857" s="32" t="n">
        <v>6219</v>
      </c>
      <c r="B3857" s="32" t="s">
        <v>3092</v>
      </c>
      <c r="C3857" s="32" t="s">
        <v>3094</v>
      </c>
      <c r="D3857" s="32" t="s">
        <v>114</v>
      </c>
      <c r="E3857" s="32" t="s">
        <v>115</v>
      </c>
      <c r="F3857" s="32" t="n">
        <v>9886334561</v>
      </c>
      <c r="G3857" s="32" t="s">
        <v>61</v>
      </c>
      <c r="H3857" s="32" t="s">
        <v>22</v>
      </c>
      <c r="I3857" s="32" t="s">
        <v>133</v>
      </c>
      <c r="J3857" s="32" t="s">
        <v>134</v>
      </c>
      <c r="K3857" s="32" t="s">
        <v>63</v>
      </c>
    </row>
    <row r="3858" customFormat="false" ht="13.5" hidden="false" customHeight="true" outlineLevel="0" collapsed="false">
      <c r="A3858" s="32" t="n">
        <v>6220</v>
      </c>
      <c r="B3858" s="32" t="s">
        <v>3092</v>
      </c>
      <c r="C3858" s="32" t="s">
        <v>3094</v>
      </c>
      <c r="D3858" s="32" t="s">
        <v>114</v>
      </c>
      <c r="E3858" s="32" t="s">
        <v>115</v>
      </c>
      <c r="F3858" s="32" t="n">
        <v>9886334561</v>
      </c>
      <c r="G3858" s="32" t="s">
        <v>61</v>
      </c>
      <c r="H3858" s="32" t="s">
        <v>22</v>
      </c>
      <c r="I3858" s="32" t="s">
        <v>314</v>
      </c>
      <c r="J3858" s="32" t="s">
        <v>134</v>
      </c>
      <c r="K3858" s="32" t="s">
        <v>63</v>
      </c>
    </row>
    <row r="3859" customFormat="false" ht="13.5" hidden="false" customHeight="true" outlineLevel="0" collapsed="false">
      <c r="A3859" s="32" t="n">
        <v>6221</v>
      </c>
      <c r="B3859" s="32" t="s">
        <v>3092</v>
      </c>
      <c r="C3859" s="32" t="s">
        <v>3094</v>
      </c>
      <c r="D3859" s="32" t="s">
        <v>114</v>
      </c>
      <c r="E3859" s="32" t="s">
        <v>115</v>
      </c>
      <c r="F3859" s="32" t="n">
        <v>9886334561</v>
      </c>
      <c r="G3859" s="32" t="s">
        <v>61</v>
      </c>
      <c r="H3859" s="32" t="s">
        <v>22</v>
      </c>
      <c r="I3859" s="32" t="s">
        <v>261</v>
      </c>
      <c r="J3859" s="32" t="s">
        <v>73</v>
      </c>
      <c r="K3859" s="32" t="s">
        <v>63</v>
      </c>
    </row>
    <row r="3860" customFormat="false" ht="13.5" hidden="false" customHeight="true" outlineLevel="0" collapsed="false">
      <c r="A3860" s="32" t="n">
        <v>6222</v>
      </c>
      <c r="B3860" s="32" t="s">
        <v>3095</v>
      </c>
      <c r="C3860" s="32" t="s">
        <v>3096</v>
      </c>
      <c r="D3860" s="32" t="s">
        <v>114</v>
      </c>
      <c r="E3860" s="32" t="s">
        <v>169</v>
      </c>
      <c r="F3860" s="32" t="n">
        <v>9674331966</v>
      </c>
      <c r="G3860" s="32" t="s">
        <v>140</v>
      </c>
      <c r="H3860" s="32" t="s">
        <v>22</v>
      </c>
      <c r="I3860" s="32" t="s">
        <v>251</v>
      </c>
      <c r="J3860" s="32" t="s">
        <v>152</v>
      </c>
      <c r="K3860" s="32" t="s">
        <v>63</v>
      </c>
    </row>
    <row r="3861" customFormat="false" ht="13.5" hidden="false" customHeight="true" outlineLevel="0" collapsed="false">
      <c r="A3861" s="32" t="n">
        <v>6223</v>
      </c>
      <c r="B3861" s="32" t="s">
        <v>3095</v>
      </c>
      <c r="C3861" s="32" t="s">
        <v>3096</v>
      </c>
      <c r="D3861" s="32" t="s">
        <v>114</v>
      </c>
      <c r="E3861" s="32" t="s">
        <v>169</v>
      </c>
      <c r="F3861" s="32" t="n">
        <v>9674331966</v>
      </c>
      <c r="G3861" s="32" t="s">
        <v>140</v>
      </c>
      <c r="H3861" s="32" t="s">
        <v>22</v>
      </c>
      <c r="I3861" s="32" t="s">
        <v>27</v>
      </c>
      <c r="J3861" s="32" t="s">
        <v>13</v>
      </c>
      <c r="K3861" s="32" t="s">
        <v>63</v>
      </c>
    </row>
    <row r="3862" customFormat="false" ht="13.5" hidden="false" customHeight="true" outlineLevel="0" collapsed="false">
      <c r="A3862" s="32" t="n">
        <v>6224</v>
      </c>
      <c r="B3862" s="32" t="s">
        <v>3095</v>
      </c>
      <c r="C3862" s="32" t="s">
        <v>3096</v>
      </c>
      <c r="D3862" s="32" t="s">
        <v>114</v>
      </c>
      <c r="E3862" s="32" t="s">
        <v>169</v>
      </c>
      <c r="F3862" s="32" t="n">
        <v>9674331966</v>
      </c>
      <c r="G3862" s="32" t="s">
        <v>140</v>
      </c>
      <c r="H3862" s="32" t="s">
        <v>22</v>
      </c>
      <c r="I3862" s="32" t="s">
        <v>251</v>
      </c>
      <c r="J3862" s="32" t="s">
        <v>152</v>
      </c>
      <c r="K3862" s="32" t="s">
        <v>63</v>
      </c>
    </row>
    <row r="3863" customFormat="false" ht="13.5" hidden="false" customHeight="true" outlineLevel="0" collapsed="false">
      <c r="A3863" s="32" t="n">
        <v>6225</v>
      </c>
      <c r="B3863" s="32" t="s">
        <v>3095</v>
      </c>
      <c r="C3863" s="32" t="s">
        <v>3096</v>
      </c>
      <c r="D3863" s="32" t="s">
        <v>114</v>
      </c>
      <c r="E3863" s="32" t="s">
        <v>169</v>
      </c>
      <c r="F3863" s="32" t="n">
        <v>9674331966</v>
      </c>
      <c r="G3863" s="32" t="s">
        <v>140</v>
      </c>
      <c r="H3863" s="32" t="s">
        <v>22</v>
      </c>
      <c r="I3863" s="32" t="s">
        <v>172</v>
      </c>
      <c r="J3863" s="32" t="s">
        <v>152</v>
      </c>
      <c r="K3863" s="32" t="s">
        <v>63</v>
      </c>
    </row>
    <row r="3864" customFormat="false" ht="13.5" hidden="false" customHeight="true" outlineLevel="0" collapsed="false">
      <c r="A3864" s="32" t="n">
        <v>6226</v>
      </c>
      <c r="B3864" s="32" t="s">
        <v>3097</v>
      </c>
      <c r="C3864" s="32" t="s">
        <v>3098</v>
      </c>
      <c r="D3864" s="32" t="s">
        <v>331</v>
      </c>
      <c r="E3864" s="32" t="s">
        <v>278</v>
      </c>
      <c r="F3864" s="32" t="s">
        <v>3099</v>
      </c>
      <c r="G3864" s="32" t="s">
        <v>80</v>
      </c>
      <c r="H3864" s="32" t="s">
        <v>332</v>
      </c>
      <c r="I3864" s="32" t="s">
        <v>150</v>
      </c>
      <c r="J3864" s="32" t="s">
        <v>73</v>
      </c>
      <c r="K3864" s="32" t="s">
        <v>63</v>
      </c>
    </row>
    <row r="3865" customFormat="false" ht="13.5" hidden="false" customHeight="true" outlineLevel="0" collapsed="false">
      <c r="A3865" s="32" t="n">
        <v>6227</v>
      </c>
      <c r="B3865" s="32" t="s">
        <v>3097</v>
      </c>
      <c r="C3865" s="32" t="s">
        <v>3098</v>
      </c>
      <c r="D3865" s="32" t="s">
        <v>331</v>
      </c>
      <c r="E3865" s="32" t="s">
        <v>278</v>
      </c>
      <c r="F3865" s="32" t="s">
        <v>3099</v>
      </c>
      <c r="G3865" s="32" t="s">
        <v>80</v>
      </c>
      <c r="H3865" s="32" t="s">
        <v>332</v>
      </c>
      <c r="I3865" s="32" t="s">
        <v>145</v>
      </c>
      <c r="J3865" s="32" t="s">
        <v>117</v>
      </c>
      <c r="K3865" s="32" t="s">
        <v>63</v>
      </c>
    </row>
    <row r="3866" customFormat="false" ht="13.5" hidden="false" customHeight="true" outlineLevel="0" collapsed="false">
      <c r="A3866" s="32" t="n">
        <v>6228</v>
      </c>
      <c r="B3866" s="32" t="s">
        <v>3097</v>
      </c>
      <c r="C3866" s="32" t="s">
        <v>3098</v>
      </c>
      <c r="D3866" s="32" t="s">
        <v>331</v>
      </c>
      <c r="E3866" s="32" t="s">
        <v>278</v>
      </c>
      <c r="F3866" s="32" t="s">
        <v>3099</v>
      </c>
      <c r="G3866" s="32" t="s">
        <v>80</v>
      </c>
      <c r="H3866" s="32" t="s">
        <v>332</v>
      </c>
      <c r="I3866" s="32" t="s">
        <v>16</v>
      </c>
      <c r="J3866" s="32" t="s">
        <v>73</v>
      </c>
      <c r="K3866" s="32" t="s">
        <v>63</v>
      </c>
    </row>
    <row r="3867" customFormat="false" ht="13.5" hidden="false" customHeight="true" outlineLevel="0" collapsed="false">
      <c r="A3867" s="32" t="n">
        <v>6229</v>
      </c>
      <c r="B3867" s="32" t="s">
        <v>3097</v>
      </c>
      <c r="C3867" s="32" t="s">
        <v>3098</v>
      </c>
      <c r="D3867" s="32" t="s">
        <v>331</v>
      </c>
      <c r="E3867" s="32" t="s">
        <v>278</v>
      </c>
      <c r="F3867" s="32" t="s">
        <v>3099</v>
      </c>
      <c r="G3867" s="32" t="s">
        <v>80</v>
      </c>
      <c r="H3867" s="32" t="s">
        <v>332</v>
      </c>
      <c r="I3867" s="32" t="s">
        <v>30</v>
      </c>
      <c r="J3867" s="32" t="s">
        <v>203</v>
      </c>
      <c r="K3867" s="32" t="s">
        <v>63</v>
      </c>
    </row>
    <row r="3868" customFormat="false" ht="13.5" hidden="false" customHeight="true" outlineLevel="0" collapsed="false">
      <c r="A3868" s="32" t="n">
        <v>6231</v>
      </c>
      <c r="B3868" s="32" t="s">
        <v>3097</v>
      </c>
      <c r="C3868" s="32" t="s">
        <v>3098</v>
      </c>
      <c r="D3868" s="32" t="s">
        <v>331</v>
      </c>
      <c r="E3868" s="32" t="s">
        <v>278</v>
      </c>
      <c r="F3868" s="32" t="s">
        <v>3099</v>
      </c>
      <c r="G3868" s="32" t="s">
        <v>80</v>
      </c>
      <c r="H3868" s="32" t="s">
        <v>332</v>
      </c>
      <c r="I3868" s="32" t="s">
        <v>212</v>
      </c>
      <c r="J3868" s="32" t="s">
        <v>73</v>
      </c>
      <c r="K3868" s="32" t="s">
        <v>63</v>
      </c>
    </row>
    <row r="3869" customFormat="false" ht="13.5" hidden="false" customHeight="true" outlineLevel="0" collapsed="false">
      <c r="A3869" s="32" t="n">
        <v>6233</v>
      </c>
      <c r="B3869" s="32" t="s">
        <v>3100</v>
      </c>
      <c r="C3869" s="32" t="s">
        <v>3101</v>
      </c>
      <c r="D3869" s="32" t="s">
        <v>59</v>
      </c>
      <c r="E3869" s="32" t="s">
        <v>59</v>
      </c>
      <c r="F3869" s="32" t="n">
        <v>9703500473</v>
      </c>
      <c r="G3869" s="32" t="s">
        <v>80</v>
      </c>
      <c r="H3869" s="32" t="s">
        <v>21</v>
      </c>
      <c r="I3869" s="32" t="s">
        <v>95</v>
      </c>
      <c r="J3869" s="32" t="s">
        <v>96</v>
      </c>
      <c r="K3869" s="32" t="s">
        <v>63</v>
      </c>
    </row>
    <row r="3870" customFormat="false" ht="13.5" hidden="false" customHeight="true" outlineLevel="0" collapsed="false">
      <c r="A3870" s="32" t="n">
        <v>6234</v>
      </c>
      <c r="B3870" s="32" t="s">
        <v>3100</v>
      </c>
      <c r="C3870" s="32" t="s">
        <v>3101</v>
      </c>
      <c r="D3870" s="32" t="s">
        <v>59</v>
      </c>
      <c r="E3870" s="32" t="s">
        <v>59</v>
      </c>
      <c r="F3870" s="32" t="n">
        <v>9703500473</v>
      </c>
      <c r="G3870" s="32" t="s">
        <v>80</v>
      </c>
      <c r="H3870" s="32" t="s">
        <v>21</v>
      </c>
      <c r="I3870" s="32" t="s">
        <v>217</v>
      </c>
      <c r="J3870" s="32" t="s">
        <v>132</v>
      </c>
      <c r="K3870" s="32" t="s">
        <v>63</v>
      </c>
    </row>
    <row r="3871" customFormat="false" ht="13.5" hidden="false" customHeight="true" outlineLevel="0" collapsed="false">
      <c r="A3871" s="32" t="n">
        <v>6235</v>
      </c>
      <c r="B3871" s="32" t="s">
        <v>3102</v>
      </c>
      <c r="C3871" s="32" t="s">
        <v>3103</v>
      </c>
      <c r="D3871" s="32" t="s">
        <v>59</v>
      </c>
      <c r="E3871" s="32" t="s">
        <v>143</v>
      </c>
      <c r="F3871" s="33" t="n">
        <v>919618000000</v>
      </c>
      <c r="G3871" s="32" t="s">
        <v>80</v>
      </c>
      <c r="H3871" s="32" t="s">
        <v>21</v>
      </c>
      <c r="I3871" s="32" t="s">
        <v>108</v>
      </c>
      <c r="J3871" s="32" t="s">
        <v>71</v>
      </c>
      <c r="K3871" s="32" t="s">
        <v>63</v>
      </c>
    </row>
    <row r="3872" customFormat="false" ht="13.5" hidden="false" customHeight="true" outlineLevel="0" collapsed="false">
      <c r="A3872" s="32" t="n">
        <v>6236</v>
      </c>
      <c r="B3872" s="32" t="s">
        <v>3102</v>
      </c>
      <c r="C3872" s="32" t="s">
        <v>3103</v>
      </c>
      <c r="D3872" s="32" t="s">
        <v>59</v>
      </c>
      <c r="E3872" s="32" t="s">
        <v>143</v>
      </c>
      <c r="F3872" s="33" t="n">
        <v>919618000000</v>
      </c>
      <c r="G3872" s="32" t="s">
        <v>80</v>
      </c>
      <c r="H3872" s="32" t="s">
        <v>21</v>
      </c>
      <c r="I3872" s="32" t="s">
        <v>27</v>
      </c>
      <c r="J3872" s="32" t="s">
        <v>13</v>
      </c>
      <c r="K3872" s="32" t="s">
        <v>63</v>
      </c>
    </row>
    <row r="3873" customFormat="false" ht="13.5" hidden="false" customHeight="true" outlineLevel="0" collapsed="false">
      <c r="A3873" s="32" t="n">
        <v>6237</v>
      </c>
      <c r="B3873" s="32" t="s">
        <v>3102</v>
      </c>
      <c r="C3873" s="32" t="s">
        <v>3103</v>
      </c>
      <c r="D3873" s="32" t="s">
        <v>59</v>
      </c>
      <c r="E3873" s="32" t="s">
        <v>143</v>
      </c>
      <c r="F3873" s="33" t="n">
        <v>919618000000</v>
      </c>
      <c r="G3873" s="32" t="s">
        <v>80</v>
      </c>
      <c r="H3873" s="32" t="s">
        <v>21</v>
      </c>
      <c r="I3873" s="32" t="s">
        <v>28</v>
      </c>
      <c r="J3873" s="32" t="s">
        <v>82</v>
      </c>
      <c r="K3873" s="32" t="s">
        <v>63</v>
      </c>
    </row>
    <row r="3874" customFormat="false" ht="13.5" hidden="false" customHeight="true" outlineLevel="0" collapsed="false">
      <c r="A3874" s="32" t="n">
        <v>6238</v>
      </c>
      <c r="B3874" s="32" t="s">
        <v>3104</v>
      </c>
      <c r="C3874" s="32" t="s">
        <v>3105</v>
      </c>
      <c r="D3874" s="32" t="s">
        <v>114</v>
      </c>
      <c r="E3874" s="32" t="s">
        <v>115</v>
      </c>
      <c r="F3874" s="33" t="n">
        <v>919999000000</v>
      </c>
      <c r="G3874" s="32" t="s">
        <v>144</v>
      </c>
      <c r="H3874" s="32" t="s">
        <v>22</v>
      </c>
      <c r="I3874" s="32" t="s">
        <v>109</v>
      </c>
      <c r="J3874" s="32" t="s">
        <v>110</v>
      </c>
      <c r="K3874" s="32" t="s">
        <v>63</v>
      </c>
    </row>
    <row r="3875" customFormat="false" ht="13.5" hidden="false" customHeight="true" outlineLevel="0" collapsed="false">
      <c r="A3875" s="32" t="n">
        <v>6239</v>
      </c>
      <c r="B3875" s="32" t="s">
        <v>3104</v>
      </c>
      <c r="C3875" s="32" t="s">
        <v>3105</v>
      </c>
      <c r="D3875" s="32" t="s">
        <v>114</v>
      </c>
      <c r="E3875" s="32" t="s">
        <v>115</v>
      </c>
      <c r="F3875" s="33" t="n">
        <v>919999000000</v>
      </c>
      <c r="G3875" s="32" t="s">
        <v>144</v>
      </c>
      <c r="H3875" s="32" t="s">
        <v>22</v>
      </c>
      <c r="I3875" s="32" t="s">
        <v>126</v>
      </c>
      <c r="J3875" s="32" t="s">
        <v>85</v>
      </c>
      <c r="K3875" s="32" t="s">
        <v>63</v>
      </c>
    </row>
    <row r="3876" customFormat="false" ht="13.5" hidden="false" customHeight="true" outlineLevel="0" collapsed="false">
      <c r="A3876" s="32" t="n">
        <v>6240</v>
      </c>
      <c r="B3876" s="32" t="s">
        <v>3104</v>
      </c>
      <c r="C3876" s="32" t="s">
        <v>3105</v>
      </c>
      <c r="D3876" s="32" t="s">
        <v>114</v>
      </c>
      <c r="E3876" s="32" t="s">
        <v>115</v>
      </c>
      <c r="F3876" s="33" t="n">
        <v>919999000000</v>
      </c>
      <c r="G3876" s="32" t="s">
        <v>144</v>
      </c>
      <c r="H3876" s="32" t="s">
        <v>22</v>
      </c>
      <c r="I3876" s="32" t="s">
        <v>133</v>
      </c>
      <c r="J3876" s="32" t="s">
        <v>134</v>
      </c>
      <c r="K3876" s="32" t="s">
        <v>63</v>
      </c>
    </row>
    <row r="3877" customFormat="false" ht="13.5" hidden="false" customHeight="true" outlineLevel="0" collapsed="false">
      <c r="A3877" s="32" t="n">
        <v>6241</v>
      </c>
      <c r="B3877" s="32" t="s">
        <v>3104</v>
      </c>
      <c r="C3877" s="32" t="s">
        <v>3105</v>
      </c>
      <c r="D3877" s="32" t="s">
        <v>114</v>
      </c>
      <c r="E3877" s="32" t="s">
        <v>115</v>
      </c>
      <c r="F3877" s="33" t="n">
        <v>919999000000</v>
      </c>
      <c r="G3877" s="32" t="s">
        <v>144</v>
      </c>
      <c r="H3877" s="32" t="s">
        <v>22</v>
      </c>
      <c r="I3877" s="32" t="s">
        <v>108</v>
      </c>
      <c r="J3877" s="32" t="s">
        <v>71</v>
      </c>
      <c r="K3877" s="32" t="s">
        <v>63</v>
      </c>
    </row>
    <row r="3878" customFormat="false" ht="13.5" hidden="false" customHeight="true" outlineLevel="0" collapsed="false">
      <c r="A3878" s="32" t="n">
        <v>6242</v>
      </c>
      <c r="B3878" s="32" t="s">
        <v>3104</v>
      </c>
      <c r="C3878" s="32" t="s">
        <v>3106</v>
      </c>
      <c r="D3878" s="32" t="s">
        <v>114</v>
      </c>
      <c r="E3878" s="32" t="s">
        <v>115</v>
      </c>
      <c r="F3878" s="33" t="n">
        <v>919999000000</v>
      </c>
      <c r="G3878" s="32" t="s">
        <v>144</v>
      </c>
      <c r="H3878" s="32" t="s">
        <v>22</v>
      </c>
      <c r="I3878" s="32" t="s">
        <v>14</v>
      </c>
      <c r="J3878" s="32" t="s">
        <v>66</v>
      </c>
      <c r="K3878" s="32" t="s">
        <v>63</v>
      </c>
    </row>
    <row r="3879" customFormat="false" ht="13.5" hidden="false" customHeight="true" outlineLevel="0" collapsed="false">
      <c r="A3879" s="32" t="n">
        <v>6243</v>
      </c>
      <c r="B3879" s="32" t="s">
        <v>3104</v>
      </c>
      <c r="C3879" s="32" t="s">
        <v>3106</v>
      </c>
      <c r="D3879" s="32" t="s">
        <v>114</v>
      </c>
      <c r="E3879" s="32" t="s">
        <v>115</v>
      </c>
      <c r="F3879" s="33" t="n">
        <v>919999000000</v>
      </c>
      <c r="G3879" s="32" t="s">
        <v>144</v>
      </c>
      <c r="H3879" s="32" t="s">
        <v>22</v>
      </c>
      <c r="I3879" s="32" t="s">
        <v>120</v>
      </c>
      <c r="J3879" s="32" t="s">
        <v>110</v>
      </c>
      <c r="K3879" s="32" t="s">
        <v>63</v>
      </c>
    </row>
    <row r="3880" customFormat="false" ht="13.5" hidden="false" customHeight="true" outlineLevel="0" collapsed="false">
      <c r="A3880" s="32" t="n">
        <v>6244</v>
      </c>
      <c r="B3880" s="32" t="s">
        <v>3104</v>
      </c>
      <c r="C3880" s="32" t="s">
        <v>3106</v>
      </c>
      <c r="D3880" s="32" t="s">
        <v>114</v>
      </c>
      <c r="E3880" s="32" t="s">
        <v>115</v>
      </c>
      <c r="F3880" s="33" t="n">
        <v>919999000000</v>
      </c>
      <c r="G3880" s="32" t="s">
        <v>144</v>
      </c>
      <c r="H3880" s="32" t="s">
        <v>22</v>
      </c>
      <c r="I3880" s="32" t="s">
        <v>245</v>
      </c>
      <c r="J3880" s="32" t="s">
        <v>71</v>
      </c>
      <c r="K3880" s="32" t="s">
        <v>63</v>
      </c>
    </row>
    <row r="3881" customFormat="false" ht="13.5" hidden="false" customHeight="true" outlineLevel="0" collapsed="false">
      <c r="A3881" s="32" t="n">
        <v>6245</v>
      </c>
      <c r="B3881" s="32" t="s">
        <v>3107</v>
      </c>
      <c r="C3881" s="32" t="s">
        <v>3108</v>
      </c>
      <c r="D3881" s="32" t="s">
        <v>114</v>
      </c>
      <c r="E3881" s="32" t="s">
        <v>165</v>
      </c>
      <c r="F3881" s="32" t="n">
        <v>9878049341</v>
      </c>
      <c r="G3881" s="32" t="s">
        <v>144</v>
      </c>
      <c r="H3881" s="32" t="s">
        <v>22</v>
      </c>
      <c r="I3881" s="32" t="s">
        <v>108</v>
      </c>
      <c r="J3881" s="32" t="s">
        <v>71</v>
      </c>
      <c r="K3881" s="32" t="s">
        <v>63</v>
      </c>
    </row>
    <row r="3882" customFormat="false" ht="13.5" hidden="false" customHeight="true" outlineLevel="0" collapsed="false">
      <c r="A3882" s="32" t="n">
        <v>6246</v>
      </c>
      <c r="B3882" s="32" t="s">
        <v>3107</v>
      </c>
      <c r="C3882" s="32" t="s">
        <v>3108</v>
      </c>
      <c r="D3882" s="32" t="s">
        <v>114</v>
      </c>
      <c r="E3882" s="32" t="s">
        <v>165</v>
      </c>
      <c r="F3882" s="32" t="n">
        <v>9878049341</v>
      </c>
      <c r="G3882" s="32" t="s">
        <v>144</v>
      </c>
      <c r="H3882" s="32" t="s">
        <v>22</v>
      </c>
      <c r="I3882" s="32" t="s">
        <v>27</v>
      </c>
      <c r="J3882" s="32" t="s">
        <v>13</v>
      </c>
      <c r="K3882" s="32" t="s">
        <v>63</v>
      </c>
    </row>
    <row r="3883" customFormat="false" ht="13.5" hidden="false" customHeight="true" outlineLevel="0" collapsed="false">
      <c r="A3883" s="32" t="n">
        <v>6247</v>
      </c>
      <c r="B3883" s="32" t="s">
        <v>3107</v>
      </c>
      <c r="C3883" s="32" t="s">
        <v>3108</v>
      </c>
      <c r="D3883" s="32" t="s">
        <v>114</v>
      </c>
      <c r="E3883" s="32" t="s">
        <v>165</v>
      </c>
      <c r="F3883" s="32" t="n">
        <v>9878049341</v>
      </c>
      <c r="G3883" s="32" t="s">
        <v>144</v>
      </c>
      <c r="H3883" s="32" t="s">
        <v>22</v>
      </c>
      <c r="I3883" s="32" t="s">
        <v>133</v>
      </c>
      <c r="J3883" s="32" t="s">
        <v>134</v>
      </c>
      <c r="K3883" s="32" t="s">
        <v>63</v>
      </c>
    </row>
    <row r="3884" customFormat="false" ht="13.5" hidden="false" customHeight="true" outlineLevel="0" collapsed="false">
      <c r="A3884" s="32" t="n">
        <v>6248</v>
      </c>
      <c r="B3884" s="32" t="s">
        <v>3109</v>
      </c>
      <c r="C3884" s="32" t="s">
        <v>3110</v>
      </c>
      <c r="D3884" s="32" t="s">
        <v>59</v>
      </c>
      <c r="E3884" s="32" t="s">
        <v>79</v>
      </c>
      <c r="F3884" s="33" t="n">
        <v>918317000000</v>
      </c>
      <c r="G3884" s="32" t="s">
        <v>61</v>
      </c>
      <c r="H3884" s="32" t="s">
        <v>21</v>
      </c>
      <c r="I3884" s="32" t="s">
        <v>151</v>
      </c>
      <c r="J3884" s="32" t="s">
        <v>152</v>
      </c>
      <c r="K3884" s="32" t="s">
        <v>63</v>
      </c>
    </row>
    <row r="3885" customFormat="false" ht="13.5" hidden="false" customHeight="true" outlineLevel="0" collapsed="false">
      <c r="A3885" s="32" t="n">
        <v>6249</v>
      </c>
      <c r="B3885" s="32" t="s">
        <v>3111</v>
      </c>
      <c r="C3885" s="32" t="s">
        <v>3112</v>
      </c>
      <c r="D3885" s="32" t="s">
        <v>59</v>
      </c>
      <c r="E3885" s="32" t="s">
        <v>107</v>
      </c>
      <c r="F3885" s="32" t="n">
        <v>9052050442</v>
      </c>
      <c r="G3885" s="32" t="s">
        <v>140</v>
      </c>
      <c r="H3885" s="32" t="s">
        <v>21</v>
      </c>
      <c r="I3885" s="32" t="s">
        <v>145</v>
      </c>
      <c r="J3885" s="32" t="s">
        <v>117</v>
      </c>
      <c r="K3885" s="32" t="s">
        <v>63</v>
      </c>
    </row>
    <row r="3886" customFormat="false" ht="13.5" hidden="false" customHeight="true" outlineLevel="0" collapsed="false">
      <c r="A3886" s="32" t="n">
        <v>6250</v>
      </c>
      <c r="B3886" s="32" t="s">
        <v>3111</v>
      </c>
      <c r="C3886" s="32" t="s">
        <v>3112</v>
      </c>
      <c r="D3886" s="32" t="s">
        <v>59</v>
      </c>
      <c r="E3886" s="32" t="s">
        <v>107</v>
      </c>
      <c r="F3886" s="32" t="n">
        <v>9052050442</v>
      </c>
      <c r="G3886" s="32" t="s">
        <v>140</v>
      </c>
      <c r="H3886" s="32" t="s">
        <v>21</v>
      </c>
      <c r="I3886" s="32" t="s">
        <v>93</v>
      </c>
      <c r="J3886" s="32" t="s">
        <v>85</v>
      </c>
      <c r="K3886" s="32" t="s">
        <v>63</v>
      </c>
    </row>
    <row r="3887" customFormat="false" ht="13.5" hidden="false" customHeight="true" outlineLevel="0" collapsed="false">
      <c r="A3887" s="32" t="n">
        <v>6251</v>
      </c>
      <c r="B3887" s="32" t="s">
        <v>3111</v>
      </c>
      <c r="C3887" s="32" t="s">
        <v>3112</v>
      </c>
      <c r="D3887" s="32" t="s">
        <v>59</v>
      </c>
      <c r="E3887" s="32" t="s">
        <v>107</v>
      </c>
      <c r="F3887" s="32" t="n">
        <v>9052050442</v>
      </c>
      <c r="G3887" s="32" t="s">
        <v>140</v>
      </c>
      <c r="H3887" s="32" t="s">
        <v>21</v>
      </c>
      <c r="I3887" s="32" t="s">
        <v>409</v>
      </c>
      <c r="J3887" s="32" t="s">
        <v>410</v>
      </c>
      <c r="K3887" s="32" t="s">
        <v>63</v>
      </c>
    </row>
    <row r="3888" customFormat="false" ht="13.5" hidden="false" customHeight="true" outlineLevel="0" collapsed="false">
      <c r="A3888" s="32" t="n">
        <v>6252</v>
      </c>
      <c r="B3888" s="32" t="s">
        <v>3113</v>
      </c>
      <c r="C3888" s="32" t="s">
        <v>3114</v>
      </c>
      <c r="D3888" s="32" t="s">
        <v>114</v>
      </c>
      <c r="E3888" s="32" t="s">
        <v>268</v>
      </c>
      <c r="F3888" s="32" t="n">
        <v>9582818083</v>
      </c>
      <c r="G3888" s="32" t="s">
        <v>144</v>
      </c>
      <c r="H3888" s="32" t="s">
        <v>22</v>
      </c>
      <c r="I3888" s="32" t="s">
        <v>108</v>
      </c>
      <c r="J3888" s="32" t="s">
        <v>71</v>
      </c>
      <c r="K3888" s="32" t="s">
        <v>63</v>
      </c>
    </row>
    <row r="3889" customFormat="false" ht="13.5" hidden="false" customHeight="true" outlineLevel="0" collapsed="false">
      <c r="A3889" s="32" t="n">
        <v>6253</v>
      </c>
      <c r="B3889" s="32" t="s">
        <v>3113</v>
      </c>
      <c r="C3889" s="32" t="s">
        <v>3115</v>
      </c>
      <c r="D3889" s="32" t="s">
        <v>114</v>
      </c>
      <c r="E3889" s="32" t="s">
        <v>268</v>
      </c>
      <c r="F3889" s="32" t="n">
        <v>9582818083</v>
      </c>
      <c r="G3889" s="32" t="s">
        <v>144</v>
      </c>
      <c r="H3889" s="32" t="s">
        <v>22</v>
      </c>
      <c r="I3889" s="32" t="s">
        <v>156</v>
      </c>
      <c r="J3889" s="32" t="s">
        <v>62</v>
      </c>
      <c r="K3889" s="32" t="s">
        <v>63</v>
      </c>
    </row>
    <row r="3890" customFormat="false" ht="13.5" hidden="false" customHeight="true" outlineLevel="0" collapsed="false">
      <c r="A3890" s="32" t="n">
        <v>6254</v>
      </c>
      <c r="B3890" s="32" t="s">
        <v>3113</v>
      </c>
      <c r="C3890" s="32" t="s">
        <v>3115</v>
      </c>
      <c r="D3890" s="32" t="s">
        <v>114</v>
      </c>
      <c r="E3890" s="32" t="s">
        <v>268</v>
      </c>
      <c r="F3890" s="32" t="n">
        <v>9582818083</v>
      </c>
      <c r="G3890" s="32" t="s">
        <v>144</v>
      </c>
      <c r="H3890" s="32" t="s">
        <v>22</v>
      </c>
      <c r="I3890" s="32" t="s">
        <v>75</v>
      </c>
      <c r="J3890" s="32" t="s">
        <v>76</v>
      </c>
      <c r="K3890" s="32" t="s">
        <v>63</v>
      </c>
    </row>
    <row r="3891" customFormat="false" ht="13.5" hidden="false" customHeight="true" outlineLevel="0" collapsed="false">
      <c r="A3891" s="32" t="n">
        <v>6255</v>
      </c>
      <c r="B3891" s="32" t="s">
        <v>3113</v>
      </c>
      <c r="C3891" s="32" t="s">
        <v>3115</v>
      </c>
      <c r="D3891" s="32" t="s">
        <v>114</v>
      </c>
      <c r="E3891" s="32" t="s">
        <v>268</v>
      </c>
      <c r="F3891" s="32" t="n">
        <v>9582818083</v>
      </c>
      <c r="G3891" s="32" t="s">
        <v>144</v>
      </c>
      <c r="H3891" s="32" t="s">
        <v>22</v>
      </c>
      <c r="I3891" s="32" t="s">
        <v>1108</v>
      </c>
      <c r="J3891" s="32" t="s">
        <v>66</v>
      </c>
      <c r="K3891" s="32" t="s">
        <v>63</v>
      </c>
    </row>
    <row r="3892" customFormat="false" ht="13.5" hidden="false" customHeight="true" outlineLevel="0" collapsed="false">
      <c r="A3892" s="32" t="n">
        <v>6257</v>
      </c>
      <c r="B3892" s="32" t="s">
        <v>3113</v>
      </c>
      <c r="C3892" s="32" t="s">
        <v>3114</v>
      </c>
      <c r="D3892" s="32" t="s">
        <v>114</v>
      </c>
      <c r="E3892" s="32" t="s">
        <v>268</v>
      </c>
      <c r="F3892" s="32" t="n">
        <v>9582818083</v>
      </c>
      <c r="G3892" s="32" t="s">
        <v>144</v>
      </c>
      <c r="H3892" s="32" t="s">
        <v>22</v>
      </c>
      <c r="I3892" s="32" t="s">
        <v>14</v>
      </c>
      <c r="J3892" s="32" t="s">
        <v>66</v>
      </c>
      <c r="K3892" s="32" t="s">
        <v>63</v>
      </c>
    </row>
    <row r="3893" customFormat="false" ht="13.5" hidden="false" customHeight="true" outlineLevel="0" collapsed="false">
      <c r="A3893" s="32" t="n">
        <v>6258</v>
      </c>
      <c r="B3893" s="32" t="s">
        <v>3113</v>
      </c>
      <c r="C3893" s="32" t="s">
        <v>3114</v>
      </c>
      <c r="D3893" s="32" t="s">
        <v>114</v>
      </c>
      <c r="E3893" s="32" t="s">
        <v>268</v>
      </c>
      <c r="F3893" s="32" t="n">
        <v>9582818083</v>
      </c>
      <c r="G3893" s="32" t="s">
        <v>144</v>
      </c>
      <c r="H3893" s="32" t="s">
        <v>22</v>
      </c>
      <c r="I3893" s="32" t="s">
        <v>1309</v>
      </c>
      <c r="J3893" s="32" t="s">
        <v>66</v>
      </c>
      <c r="K3893" s="32" t="s">
        <v>63</v>
      </c>
    </row>
    <row r="3894" customFormat="false" ht="13.5" hidden="false" customHeight="true" outlineLevel="0" collapsed="false">
      <c r="A3894" s="32" t="n">
        <v>6259</v>
      </c>
      <c r="B3894" s="32" t="s">
        <v>3116</v>
      </c>
      <c r="C3894" s="32" t="s">
        <v>3117</v>
      </c>
      <c r="D3894" s="32" t="s">
        <v>59</v>
      </c>
      <c r="E3894" s="32" t="s">
        <v>107</v>
      </c>
      <c r="F3894" s="33" t="n">
        <v>919160000000</v>
      </c>
      <c r="G3894" s="32" t="s">
        <v>80</v>
      </c>
      <c r="H3894" s="32" t="s">
        <v>21</v>
      </c>
      <c r="I3894" s="32" t="s">
        <v>95</v>
      </c>
      <c r="J3894" s="32" t="s">
        <v>96</v>
      </c>
      <c r="K3894" s="32" t="s">
        <v>63</v>
      </c>
    </row>
    <row r="3895" customFormat="false" ht="13.5" hidden="false" customHeight="true" outlineLevel="0" collapsed="false">
      <c r="A3895" s="32" t="n">
        <v>6260</v>
      </c>
      <c r="B3895" s="32" t="s">
        <v>3116</v>
      </c>
      <c r="C3895" s="32" t="s">
        <v>3117</v>
      </c>
      <c r="D3895" s="32" t="s">
        <v>59</v>
      </c>
      <c r="E3895" s="32" t="s">
        <v>107</v>
      </c>
      <c r="F3895" s="33" t="n">
        <v>919160000000</v>
      </c>
      <c r="G3895" s="32" t="s">
        <v>80</v>
      </c>
      <c r="H3895" s="32" t="s">
        <v>21</v>
      </c>
      <c r="I3895" s="32" t="s">
        <v>833</v>
      </c>
      <c r="J3895" s="32" t="s">
        <v>203</v>
      </c>
      <c r="K3895" s="32" t="s">
        <v>63</v>
      </c>
    </row>
    <row r="3896" customFormat="false" ht="13.5" hidden="false" customHeight="true" outlineLevel="0" collapsed="false">
      <c r="A3896" s="32" t="n">
        <v>6264</v>
      </c>
      <c r="B3896" s="32" t="s">
        <v>3116</v>
      </c>
      <c r="C3896" s="32" t="s">
        <v>3117</v>
      </c>
      <c r="D3896" s="32" t="s">
        <v>59</v>
      </c>
      <c r="E3896" s="32" t="s">
        <v>107</v>
      </c>
      <c r="F3896" s="33" t="n">
        <v>919160000000</v>
      </c>
      <c r="G3896" s="32" t="s">
        <v>80</v>
      </c>
      <c r="H3896" s="32" t="s">
        <v>21</v>
      </c>
      <c r="I3896" s="32" t="s">
        <v>146</v>
      </c>
      <c r="J3896" s="32" t="s">
        <v>117</v>
      </c>
      <c r="K3896" s="32" t="s">
        <v>63</v>
      </c>
    </row>
    <row r="3897" customFormat="false" ht="13.5" hidden="false" customHeight="true" outlineLevel="0" collapsed="false">
      <c r="A3897" s="32" t="n">
        <v>6265</v>
      </c>
      <c r="B3897" s="32" t="s">
        <v>3118</v>
      </c>
      <c r="C3897" s="32" t="s">
        <v>3119</v>
      </c>
      <c r="D3897" s="32" t="s">
        <v>114</v>
      </c>
      <c r="E3897" s="32" t="s">
        <v>115</v>
      </c>
      <c r="F3897" s="32" t="n">
        <v>9873079234</v>
      </c>
      <c r="G3897" s="32" t="s">
        <v>144</v>
      </c>
      <c r="H3897" s="32" t="s">
        <v>22</v>
      </c>
      <c r="I3897" s="32" t="s">
        <v>121</v>
      </c>
      <c r="J3897" s="32" t="s">
        <v>110</v>
      </c>
      <c r="K3897" s="32" t="s">
        <v>63</v>
      </c>
    </row>
    <row r="3898" customFormat="false" ht="13.5" hidden="false" customHeight="true" outlineLevel="0" collapsed="false">
      <c r="A3898" s="32" t="n">
        <v>6267</v>
      </c>
      <c r="B3898" s="32" t="s">
        <v>3118</v>
      </c>
      <c r="C3898" s="32" t="s">
        <v>3119</v>
      </c>
      <c r="D3898" s="32" t="s">
        <v>114</v>
      </c>
      <c r="E3898" s="32" t="s">
        <v>115</v>
      </c>
      <c r="F3898" s="32" t="n">
        <v>9873079234</v>
      </c>
      <c r="G3898" s="32" t="s">
        <v>144</v>
      </c>
      <c r="H3898" s="32" t="s">
        <v>22</v>
      </c>
      <c r="I3898" s="32" t="s">
        <v>145</v>
      </c>
      <c r="J3898" s="32" t="s">
        <v>117</v>
      </c>
      <c r="K3898" s="32" t="s">
        <v>63</v>
      </c>
    </row>
    <row r="3899" customFormat="false" ht="13.5" hidden="false" customHeight="true" outlineLevel="0" collapsed="false">
      <c r="A3899" s="32" t="n">
        <v>6268</v>
      </c>
      <c r="B3899" s="32" t="s">
        <v>3120</v>
      </c>
      <c r="C3899" s="32" t="s">
        <v>3121</v>
      </c>
      <c r="D3899" s="32" t="s">
        <v>114</v>
      </c>
      <c r="E3899" s="32" t="s">
        <v>115</v>
      </c>
      <c r="F3899" s="32" t="n">
        <v>9886634520</v>
      </c>
      <c r="G3899" s="32" t="s">
        <v>61</v>
      </c>
      <c r="H3899" s="32" t="s">
        <v>22</v>
      </c>
      <c r="I3899" s="32" t="s">
        <v>128</v>
      </c>
      <c r="J3899" s="32" t="s">
        <v>89</v>
      </c>
      <c r="K3899" s="32" t="s">
        <v>63</v>
      </c>
    </row>
    <row r="3900" customFormat="false" ht="13.5" hidden="false" customHeight="true" outlineLevel="0" collapsed="false">
      <c r="A3900" s="32" t="n">
        <v>6269</v>
      </c>
      <c r="B3900" s="32" t="s">
        <v>3120</v>
      </c>
      <c r="C3900" s="32" t="s">
        <v>3121</v>
      </c>
      <c r="D3900" s="32" t="s">
        <v>114</v>
      </c>
      <c r="E3900" s="32" t="s">
        <v>115</v>
      </c>
      <c r="F3900" s="32" t="n">
        <v>9886634520</v>
      </c>
      <c r="G3900" s="32" t="s">
        <v>61</v>
      </c>
      <c r="H3900" s="32" t="s">
        <v>22</v>
      </c>
      <c r="I3900" s="32" t="s">
        <v>95</v>
      </c>
      <c r="J3900" s="32" t="s">
        <v>96</v>
      </c>
      <c r="K3900" s="32" t="s">
        <v>63</v>
      </c>
    </row>
    <row r="3901" customFormat="false" ht="13.5" hidden="false" customHeight="true" outlineLevel="0" collapsed="false">
      <c r="A3901" s="32" t="n">
        <v>6270</v>
      </c>
      <c r="B3901" s="32" t="s">
        <v>3120</v>
      </c>
      <c r="C3901" s="32" t="s">
        <v>3121</v>
      </c>
      <c r="D3901" s="32" t="s">
        <v>114</v>
      </c>
      <c r="E3901" s="32" t="s">
        <v>115</v>
      </c>
      <c r="F3901" s="32" t="n">
        <v>9886634520</v>
      </c>
      <c r="G3901" s="32" t="s">
        <v>61</v>
      </c>
      <c r="H3901" s="32" t="s">
        <v>22</v>
      </c>
      <c r="I3901" s="32" t="s">
        <v>185</v>
      </c>
      <c r="J3901" s="32" t="s">
        <v>186</v>
      </c>
      <c r="K3901" s="32" t="s">
        <v>63</v>
      </c>
    </row>
    <row r="3902" customFormat="false" ht="13.5" hidden="false" customHeight="true" outlineLevel="0" collapsed="false">
      <c r="A3902" s="32" t="n">
        <v>6271</v>
      </c>
      <c r="B3902" s="32" t="s">
        <v>3120</v>
      </c>
      <c r="C3902" s="32" t="s">
        <v>3121</v>
      </c>
      <c r="D3902" s="32" t="s">
        <v>114</v>
      </c>
      <c r="E3902" s="32" t="s">
        <v>115</v>
      </c>
      <c r="F3902" s="32" t="n">
        <v>9886634520</v>
      </c>
      <c r="G3902" s="32" t="s">
        <v>61</v>
      </c>
      <c r="H3902" s="32" t="s">
        <v>22</v>
      </c>
      <c r="I3902" s="32" t="s">
        <v>145</v>
      </c>
      <c r="J3902" s="32" t="s">
        <v>117</v>
      </c>
      <c r="K3902" s="32" t="s">
        <v>63</v>
      </c>
    </row>
    <row r="3903" customFormat="false" ht="13.5" hidden="false" customHeight="true" outlineLevel="0" collapsed="false">
      <c r="A3903" s="32" t="n">
        <v>6272</v>
      </c>
      <c r="B3903" s="32" t="s">
        <v>3120</v>
      </c>
      <c r="C3903" s="32" t="s">
        <v>3121</v>
      </c>
      <c r="D3903" s="32" t="s">
        <v>114</v>
      </c>
      <c r="E3903" s="32" t="s">
        <v>115</v>
      </c>
      <c r="F3903" s="32" t="n">
        <v>9886634520</v>
      </c>
      <c r="G3903" s="32" t="s">
        <v>61</v>
      </c>
      <c r="H3903" s="32" t="s">
        <v>22</v>
      </c>
      <c r="I3903" s="32" t="s">
        <v>108</v>
      </c>
      <c r="J3903" s="32" t="s">
        <v>71</v>
      </c>
      <c r="K3903" s="32" t="s">
        <v>63</v>
      </c>
    </row>
    <row r="3904" customFormat="false" ht="13.5" hidden="false" customHeight="true" outlineLevel="0" collapsed="false">
      <c r="A3904" s="32" t="n">
        <v>6273</v>
      </c>
      <c r="B3904" s="32" t="s">
        <v>3120</v>
      </c>
      <c r="C3904" s="32" t="s">
        <v>3121</v>
      </c>
      <c r="D3904" s="32" t="s">
        <v>114</v>
      </c>
      <c r="E3904" s="32" t="s">
        <v>115</v>
      </c>
      <c r="F3904" s="32" t="n">
        <v>9886634520</v>
      </c>
      <c r="G3904" s="32" t="s">
        <v>61</v>
      </c>
      <c r="H3904" s="32" t="s">
        <v>22</v>
      </c>
      <c r="I3904" s="32" t="s">
        <v>245</v>
      </c>
      <c r="J3904" s="32" t="s">
        <v>71</v>
      </c>
      <c r="K3904" s="32" t="s">
        <v>63</v>
      </c>
    </row>
    <row r="3905" customFormat="false" ht="13.5" hidden="false" customHeight="true" outlineLevel="0" collapsed="false">
      <c r="A3905" s="32" t="n">
        <v>6274</v>
      </c>
      <c r="B3905" s="32" t="s">
        <v>3122</v>
      </c>
      <c r="C3905" s="32" t="s">
        <v>3123</v>
      </c>
      <c r="D3905" s="32" t="s">
        <v>114</v>
      </c>
      <c r="E3905" s="32" t="s">
        <v>124</v>
      </c>
      <c r="F3905" s="32" t="n">
        <v>9886666753</v>
      </c>
      <c r="G3905" s="32" t="s">
        <v>61</v>
      </c>
      <c r="H3905" s="32" t="s">
        <v>22</v>
      </c>
      <c r="I3905" s="32" t="s">
        <v>172</v>
      </c>
      <c r="J3905" s="32" t="s">
        <v>152</v>
      </c>
      <c r="K3905" s="32" t="s">
        <v>63</v>
      </c>
    </row>
    <row r="3906" customFormat="false" ht="13.5" hidden="false" customHeight="true" outlineLevel="0" collapsed="false">
      <c r="A3906" s="32" t="n">
        <v>6275</v>
      </c>
      <c r="B3906" s="32" t="s">
        <v>3122</v>
      </c>
      <c r="C3906" s="32" t="s">
        <v>3123</v>
      </c>
      <c r="D3906" s="32" t="s">
        <v>114</v>
      </c>
      <c r="E3906" s="32" t="s">
        <v>124</v>
      </c>
      <c r="F3906" s="32" t="n">
        <v>9886666752</v>
      </c>
      <c r="G3906" s="32" t="s">
        <v>61</v>
      </c>
      <c r="H3906" s="32" t="s">
        <v>22</v>
      </c>
      <c r="I3906" s="32" t="s">
        <v>95</v>
      </c>
      <c r="J3906" s="32" t="s">
        <v>96</v>
      </c>
      <c r="K3906" s="32" t="s">
        <v>63</v>
      </c>
    </row>
    <row r="3907" customFormat="false" ht="13.5" hidden="false" customHeight="true" outlineLevel="0" collapsed="false">
      <c r="A3907" s="32" t="n">
        <v>6276</v>
      </c>
      <c r="B3907" s="32" t="s">
        <v>3122</v>
      </c>
      <c r="C3907" s="32" t="s">
        <v>3123</v>
      </c>
      <c r="D3907" s="32" t="s">
        <v>114</v>
      </c>
      <c r="E3907" s="32" t="s">
        <v>124</v>
      </c>
      <c r="F3907" s="32" t="n">
        <v>9886666752</v>
      </c>
      <c r="G3907" s="32" t="s">
        <v>61</v>
      </c>
      <c r="H3907" s="32" t="s">
        <v>22</v>
      </c>
      <c r="I3907" s="32" t="s">
        <v>151</v>
      </c>
      <c r="J3907" s="32" t="s">
        <v>152</v>
      </c>
      <c r="K3907" s="32" t="s">
        <v>63</v>
      </c>
    </row>
    <row r="3908" customFormat="false" ht="13.5" hidden="false" customHeight="true" outlineLevel="0" collapsed="false">
      <c r="A3908" s="32" t="n">
        <v>6277</v>
      </c>
      <c r="B3908" s="32" t="s">
        <v>3124</v>
      </c>
      <c r="C3908" s="32" t="s">
        <v>3125</v>
      </c>
      <c r="D3908" s="32" t="s">
        <v>114</v>
      </c>
      <c r="E3908" s="32" t="s">
        <v>165</v>
      </c>
      <c r="F3908" s="32" t="n">
        <v>8373937619</v>
      </c>
      <c r="G3908" s="32" t="s">
        <v>144</v>
      </c>
      <c r="H3908" s="32" t="s">
        <v>22</v>
      </c>
      <c r="I3908" s="32" t="s">
        <v>85</v>
      </c>
      <c r="J3908" s="32" t="s">
        <v>85</v>
      </c>
      <c r="K3908" s="32" t="s">
        <v>63</v>
      </c>
    </row>
    <row r="3909" customFormat="false" ht="13.5" hidden="false" customHeight="true" outlineLevel="0" collapsed="false">
      <c r="A3909" s="32" t="n">
        <v>6278</v>
      </c>
      <c r="B3909" s="32" t="s">
        <v>3124</v>
      </c>
      <c r="C3909" s="32" t="s">
        <v>3126</v>
      </c>
      <c r="D3909" s="32" t="s">
        <v>114</v>
      </c>
      <c r="E3909" s="32" t="s">
        <v>165</v>
      </c>
      <c r="F3909" s="32" t="n">
        <v>8373937619</v>
      </c>
      <c r="G3909" s="32" t="s">
        <v>144</v>
      </c>
      <c r="H3909" s="32" t="s">
        <v>22</v>
      </c>
      <c r="I3909" s="32" t="s">
        <v>93</v>
      </c>
      <c r="J3909" s="32" t="s">
        <v>85</v>
      </c>
      <c r="K3909" s="32" t="s">
        <v>63</v>
      </c>
    </row>
    <row r="3910" customFormat="false" ht="13.5" hidden="false" customHeight="true" outlineLevel="0" collapsed="false">
      <c r="A3910" s="32" t="n">
        <v>6279</v>
      </c>
      <c r="B3910" s="32" t="s">
        <v>3124</v>
      </c>
      <c r="C3910" s="32" t="s">
        <v>3126</v>
      </c>
      <c r="D3910" s="32" t="s">
        <v>114</v>
      </c>
      <c r="E3910" s="32" t="s">
        <v>165</v>
      </c>
      <c r="F3910" s="32" t="n">
        <v>8373937619</v>
      </c>
      <c r="G3910" s="32" t="s">
        <v>144</v>
      </c>
      <c r="H3910" s="32" t="s">
        <v>22</v>
      </c>
      <c r="I3910" s="32" t="s">
        <v>111</v>
      </c>
      <c r="J3910" s="32" t="s">
        <v>73</v>
      </c>
      <c r="K3910" s="32" t="s">
        <v>63</v>
      </c>
    </row>
    <row r="3911" customFormat="false" ht="13.5" hidden="false" customHeight="true" outlineLevel="0" collapsed="false">
      <c r="A3911" s="32" t="n">
        <v>6280</v>
      </c>
      <c r="B3911" s="32" t="s">
        <v>3124</v>
      </c>
      <c r="C3911" s="32" t="s">
        <v>3126</v>
      </c>
      <c r="D3911" s="32" t="s">
        <v>114</v>
      </c>
      <c r="E3911" s="32" t="s">
        <v>165</v>
      </c>
      <c r="F3911" s="32" t="n">
        <v>8373937619</v>
      </c>
      <c r="G3911" s="32" t="s">
        <v>144</v>
      </c>
      <c r="H3911" s="32" t="s">
        <v>22</v>
      </c>
      <c r="I3911" s="32" t="s">
        <v>108</v>
      </c>
      <c r="J3911" s="32" t="s">
        <v>71</v>
      </c>
      <c r="K3911" s="32" t="s">
        <v>63</v>
      </c>
    </row>
    <row r="3912" customFormat="false" ht="13.5" hidden="false" customHeight="true" outlineLevel="0" collapsed="false">
      <c r="A3912" s="32" t="n">
        <v>6281</v>
      </c>
      <c r="B3912" s="32" t="s">
        <v>3127</v>
      </c>
      <c r="C3912" s="32" t="s">
        <v>3128</v>
      </c>
      <c r="D3912" s="32" t="s">
        <v>59</v>
      </c>
      <c r="E3912" s="32" t="s">
        <v>79</v>
      </c>
      <c r="F3912" s="32" t="n">
        <v>0</v>
      </c>
      <c r="G3912" s="32" t="s">
        <v>61</v>
      </c>
      <c r="H3912" s="32" t="s">
        <v>21</v>
      </c>
      <c r="I3912" s="32" t="s">
        <v>151</v>
      </c>
      <c r="J3912" s="32" t="s">
        <v>152</v>
      </c>
      <c r="K3912" s="32" t="s">
        <v>63</v>
      </c>
    </row>
    <row r="3913" customFormat="false" ht="13.5" hidden="false" customHeight="true" outlineLevel="0" collapsed="false">
      <c r="A3913" s="32" t="n">
        <v>6282</v>
      </c>
      <c r="B3913" s="32" t="s">
        <v>3127</v>
      </c>
      <c r="C3913" s="32" t="s">
        <v>3128</v>
      </c>
      <c r="D3913" s="32" t="s">
        <v>59</v>
      </c>
      <c r="E3913" s="32" t="s">
        <v>79</v>
      </c>
      <c r="F3913" s="32" t="n">
        <v>0</v>
      </c>
      <c r="G3913" s="32" t="s">
        <v>61</v>
      </c>
      <c r="H3913" s="32" t="s">
        <v>21</v>
      </c>
      <c r="I3913" s="32" t="s">
        <v>93</v>
      </c>
      <c r="J3913" s="32" t="s">
        <v>85</v>
      </c>
      <c r="K3913" s="32" t="s">
        <v>63</v>
      </c>
    </row>
    <row r="3914" customFormat="false" ht="13.5" hidden="false" customHeight="true" outlineLevel="0" collapsed="false">
      <c r="A3914" s="32" t="n">
        <v>6283</v>
      </c>
      <c r="B3914" s="32" t="s">
        <v>3127</v>
      </c>
      <c r="C3914" s="32" t="s">
        <v>3128</v>
      </c>
      <c r="D3914" s="32" t="s">
        <v>59</v>
      </c>
      <c r="E3914" s="32" t="s">
        <v>79</v>
      </c>
      <c r="F3914" s="32" t="n">
        <v>0</v>
      </c>
      <c r="G3914" s="32" t="s">
        <v>61</v>
      </c>
      <c r="H3914" s="32" t="s">
        <v>21</v>
      </c>
      <c r="I3914" s="32" t="s">
        <v>172</v>
      </c>
      <c r="J3914" s="32" t="s">
        <v>152</v>
      </c>
      <c r="K3914" s="32" t="s">
        <v>63</v>
      </c>
    </row>
    <row r="3915" customFormat="false" ht="13.5" hidden="false" customHeight="true" outlineLevel="0" collapsed="false">
      <c r="A3915" s="32" t="n">
        <v>6284</v>
      </c>
      <c r="B3915" s="32" t="s">
        <v>3129</v>
      </c>
      <c r="C3915" s="32" t="s">
        <v>3130</v>
      </c>
      <c r="D3915" s="32" t="s">
        <v>59</v>
      </c>
      <c r="E3915" s="32" t="s">
        <v>107</v>
      </c>
      <c r="F3915" s="33" t="n">
        <v>917205000000</v>
      </c>
      <c r="G3915" s="32" t="s">
        <v>80</v>
      </c>
      <c r="H3915" s="32" t="s">
        <v>21</v>
      </c>
      <c r="I3915" s="32" t="s">
        <v>145</v>
      </c>
      <c r="J3915" s="32" t="s">
        <v>117</v>
      </c>
      <c r="K3915" s="32" t="s">
        <v>63</v>
      </c>
    </row>
    <row r="3916" customFormat="false" ht="13.5" hidden="false" customHeight="true" outlineLevel="0" collapsed="false">
      <c r="A3916" s="32" t="n">
        <v>6285</v>
      </c>
      <c r="B3916" s="32" t="s">
        <v>3129</v>
      </c>
      <c r="C3916" s="32" t="s">
        <v>3130</v>
      </c>
      <c r="D3916" s="32" t="s">
        <v>59</v>
      </c>
      <c r="E3916" s="32" t="s">
        <v>107</v>
      </c>
      <c r="F3916" s="33" t="n">
        <v>917205000000</v>
      </c>
      <c r="G3916" s="32" t="s">
        <v>80</v>
      </c>
      <c r="H3916" s="32" t="s">
        <v>21</v>
      </c>
      <c r="I3916" s="32" t="s">
        <v>133</v>
      </c>
      <c r="J3916" s="32" t="s">
        <v>134</v>
      </c>
      <c r="K3916" s="32" t="s">
        <v>63</v>
      </c>
    </row>
    <row r="3917" customFormat="false" ht="13.5" hidden="false" customHeight="true" outlineLevel="0" collapsed="false">
      <c r="A3917" s="32" t="n">
        <v>6286</v>
      </c>
      <c r="B3917" s="32" t="s">
        <v>3129</v>
      </c>
      <c r="C3917" s="32" t="s">
        <v>3130</v>
      </c>
      <c r="D3917" s="32" t="s">
        <v>59</v>
      </c>
      <c r="E3917" s="32" t="s">
        <v>107</v>
      </c>
      <c r="F3917" s="33" t="n">
        <v>917205000000</v>
      </c>
      <c r="G3917" s="32" t="s">
        <v>80</v>
      </c>
      <c r="H3917" s="32" t="s">
        <v>21</v>
      </c>
      <c r="I3917" s="32" t="s">
        <v>116</v>
      </c>
      <c r="J3917" s="32" t="s">
        <v>117</v>
      </c>
      <c r="K3917" s="32" t="s">
        <v>63</v>
      </c>
    </row>
    <row r="3918" customFormat="false" ht="13.5" hidden="false" customHeight="true" outlineLevel="0" collapsed="false">
      <c r="A3918" s="32" t="n">
        <v>6289</v>
      </c>
      <c r="B3918" s="32" t="s">
        <v>3131</v>
      </c>
      <c r="C3918" s="32" t="s">
        <v>3132</v>
      </c>
      <c r="D3918" s="32" t="s">
        <v>59</v>
      </c>
      <c r="E3918" s="32" t="s">
        <v>79</v>
      </c>
      <c r="F3918" s="33" t="n">
        <v>920000000000</v>
      </c>
      <c r="G3918" s="32" t="s">
        <v>144</v>
      </c>
      <c r="H3918" s="32" t="s">
        <v>21</v>
      </c>
      <c r="I3918" s="32" t="s">
        <v>265</v>
      </c>
      <c r="J3918" s="32" t="s">
        <v>152</v>
      </c>
      <c r="K3918" s="32" t="s">
        <v>63</v>
      </c>
    </row>
    <row r="3919" customFormat="false" ht="13.5" hidden="false" customHeight="true" outlineLevel="0" collapsed="false">
      <c r="A3919" s="32" t="n">
        <v>6290</v>
      </c>
      <c r="B3919" s="32" t="s">
        <v>3131</v>
      </c>
      <c r="C3919" s="32" t="s">
        <v>3132</v>
      </c>
      <c r="D3919" s="32" t="s">
        <v>59</v>
      </c>
      <c r="E3919" s="32" t="s">
        <v>79</v>
      </c>
      <c r="F3919" s="33" t="n">
        <v>920000000000</v>
      </c>
      <c r="G3919" s="32" t="s">
        <v>144</v>
      </c>
      <c r="H3919" s="32" t="s">
        <v>21</v>
      </c>
      <c r="I3919" s="32" t="s">
        <v>491</v>
      </c>
      <c r="J3919" s="32" t="s">
        <v>152</v>
      </c>
      <c r="K3919" s="32" t="s">
        <v>63</v>
      </c>
    </row>
    <row r="3920" customFormat="false" ht="13.5" hidden="false" customHeight="true" outlineLevel="0" collapsed="false">
      <c r="A3920" s="32" t="n">
        <v>6291</v>
      </c>
      <c r="B3920" s="32" t="s">
        <v>3131</v>
      </c>
      <c r="C3920" s="32" t="s">
        <v>3132</v>
      </c>
      <c r="D3920" s="32" t="s">
        <v>59</v>
      </c>
      <c r="E3920" s="32" t="s">
        <v>79</v>
      </c>
      <c r="F3920" s="33" t="n">
        <v>920000000000</v>
      </c>
      <c r="G3920" s="32" t="s">
        <v>144</v>
      </c>
      <c r="H3920" s="32" t="s">
        <v>21</v>
      </c>
      <c r="I3920" s="32" t="s">
        <v>172</v>
      </c>
      <c r="J3920" s="32" t="s">
        <v>152</v>
      </c>
      <c r="K3920" s="32" t="s">
        <v>63</v>
      </c>
    </row>
    <row r="3921" customFormat="false" ht="13.5" hidden="false" customHeight="true" outlineLevel="0" collapsed="false">
      <c r="A3921" s="32" t="n">
        <v>6292</v>
      </c>
      <c r="B3921" s="32" t="s">
        <v>3131</v>
      </c>
      <c r="C3921" s="32" t="s">
        <v>3132</v>
      </c>
      <c r="D3921" s="32" t="s">
        <v>59</v>
      </c>
      <c r="E3921" s="32" t="s">
        <v>79</v>
      </c>
      <c r="F3921" s="33" t="n">
        <v>920000000000</v>
      </c>
      <c r="G3921" s="32" t="s">
        <v>144</v>
      </c>
      <c r="H3921" s="32" t="s">
        <v>21</v>
      </c>
      <c r="I3921" s="32" t="s">
        <v>85</v>
      </c>
      <c r="J3921" s="32" t="s">
        <v>85</v>
      </c>
      <c r="K3921" s="32" t="s">
        <v>63</v>
      </c>
    </row>
    <row r="3922" customFormat="false" ht="13.5" hidden="false" customHeight="true" outlineLevel="0" collapsed="false">
      <c r="A3922" s="32" t="n">
        <v>6293</v>
      </c>
      <c r="B3922" s="32" t="s">
        <v>3133</v>
      </c>
      <c r="C3922" s="32" t="s">
        <v>3134</v>
      </c>
      <c r="D3922" s="32" t="s">
        <v>114</v>
      </c>
      <c r="E3922" s="32" t="s">
        <v>169</v>
      </c>
      <c r="F3922" s="32" t="n">
        <v>9599436226</v>
      </c>
      <c r="G3922" s="32" t="s">
        <v>144</v>
      </c>
      <c r="H3922" s="32" t="s">
        <v>22</v>
      </c>
      <c r="I3922" s="32" t="s">
        <v>108</v>
      </c>
      <c r="J3922" s="32" t="s">
        <v>71</v>
      </c>
      <c r="K3922" s="32" t="s">
        <v>63</v>
      </c>
    </row>
    <row r="3923" customFormat="false" ht="13.5" hidden="false" customHeight="true" outlineLevel="0" collapsed="false">
      <c r="A3923" s="32" t="n">
        <v>6294</v>
      </c>
      <c r="B3923" s="32" t="s">
        <v>3133</v>
      </c>
      <c r="C3923" s="32" t="s">
        <v>3134</v>
      </c>
      <c r="D3923" s="32" t="s">
        <v>114</v>
      </c>
      <c r="E3923" s="32" t="s">
        <v>169</v>
      </c>
      <c r="F3923" s="32" t="n">
        <v>9599436226</v>
      </c>
      <c r="G3923" s="32" t="s">
        <v>144</v>
      </c>
      <c r="H3923" s="32" t="s">
        <v>22</v>
      </c>
      <c r="I3923" s="32" t="s">
        <v>133</v>
      </c>
      <c r="J3923" s="32" t="s">
        <v>134</v>
      </c>
      <c r="K3923" s="32" t="s">
        <v>63</v>
      </c>
    </row>
    <row r="3924" customFormat="false" ht="13.5" hidden="false" customHeight="true" outlineLevel="0" collapsed="false">
      <c r="A3924" s="32" t="n">
        <v>6295</v>
      </c>
      <c r="B3924" s="32" t="s">
        <v>3133</v>
      </c>
      <c r="C3924" s="32" t="s">
        <v>3134</v>
      </c>
      <c r="D3924" s="32" t="s">
        <v>114</v>
      </c>
      <c r="E3924" s="32" t="s">
        <v>169</v>
      </c>
      <c r="F3924" s="32" t="n">
        <v>9599436226</v>
      </c>
      <c r="G3924" s="32" t="s">
        <v>144</v>
      </c>
      <c r="H3924" s="32" t="s">
        <v>22</v>
      </c>
      <c r="I3924" s="32" t="s">
        <v>161</v>
      </c>
      <c r="J3924" s="32" t="s">
        <v>117</v>
      </c>
      <c r="K3924" s="32" t="s">
        <v>63</v>
      </c>
    </row>
    <row r="3925" customFormat="false" ht="13.5" hidden="false" customHeight="true" outlineLevel="0" collapsed="false">
      <c r="A3925" s="32" t="n">
        <v>6296</v>
      </c>
      <c r="B3925" s="32" t="s">
        <v>3133</v>
      </c>
      <c r="C3925" s="32" t="s">
        <v>3134</v>
      </c>
      <c r="D3925" s="32" t="s">
        <v>114</v>
      </c>
      <c r="E3925" s="32" t="s">
        <v>169</v>
      </c>
      <c r="F3925" s="32" t="n">
        <v>9599436226</v>
      </c>
      <c r="G3925" s="32" t="s">
        <v>144</v>
      </c>
      <c r="H3925" s="32" t="s">
        <v>22</v>
      </c>
      <c r="I3925" s="32" t="s">
        <v>85</v>
      </c>
      <c r="J3925" s="32" t="s">
        <v>85</v>
      </c>
      <c r="K3925" s="32" t="s">
        <v>63</v>
      </c>
    </row>
    <row r="3926" customFormat="false" ht="13.5" hidden="false" customHeight="true" outlineLevel="0" collapsed="false">
      <c r="A3926" s="32" t="n">
        <v>6297</v>
      </c>
      <c r="B3926" s="32" t="s">
        <v>3133</v>
      </c>
      <c r="C3926" s="32" t="s">
        <v>3134</v>
      </c>
      <c r="D3926" s="32" t="s">
        <v>114</v>
      </c>
      <c r="E3926" s="32" t="s">
        <v>169</v>
      </c>
      <c r="F3926" s="32" t="n">
        <v>9599436226</v>
      </c>
      <c r="G3926" s="32" t="s">
        <v>144</v>
      </c>
      <c r="H3926" s="32" t="s">
        <v>22</v>
      </c>
      <c r="I3926" s="32" t="s">
        <v>93</v>
      </c>
      <c r="J3926" s="32" t="s">
        <v>85</v>
      </c>
      <c r="K3926" s="32" t="s">
        <v>63</v>
      </c>
    </row>
    <row r="3927" customFormat="false" ht="13.5" hidden="false" customHeight="true" outlineLevel="0" collapsed="false">
      <c r="A3927" s="32" t="n">
        <v>6298</v>
      </c>
      <c r="B3927" s="32" t="s">
        <v>3133</v>
      </c>
      <c r="C3927" s="32" t="s">
        <v>3134</v>
      </c>
      <c r="D3927" s="32" t="s">
        <v>114</v>
      </c>
      <c r="E3927" s="32" t="s">
        <v>169</v>
      </c>
      <c r="F3927" s="32" t="n">
        <v>9599436226</v>
      </c>
      <c r="G3927" s="32" t="s">
        <v>144</v>
      </c>
      <c r="H3927" s="32" t="s">
        <v>22</v>
      </c>
      <c r="I3927" s="32" t="s">
        <v>2605</v>
      </c>
      <c r="J3927" s="32" t="s">
        <v>808</v>
      </c>
      <c r="K3927" s="32" t="s">
        <v>63</v>
      </c>
    </row>
    <row r="3928" customFormat="false" ht="13.5" hidden="false" customHeight="true" outlineLevel="0" collapsed="false">
      <c r="A3928" s="32" t="n">
        <v>6300</v>
      </c>
      <c r="B3928" s="32" t="s">
        <v>3133</v>
      </c>
      <c r="C3928" s="32" t="s">
        <v>3134</v>
      </c>
      <c r="D3928" s="32" t="s">
        <v>114</v>
      </c>
      <c r="E3928" s="32" t="s">
        <v>169</v>
      </c>
      <c r="F3928" s="32" t="n">
        <v>9599436226</v>
      </c>
      <c r="G3928" s="32" t="s">
        <v>144</v>
      </c>
      <c r="H3928" s="32" t="s">
        <v>22</v>
      </c>
      <c r="I3928" s="32" t="s">
        <v>128</v>
      </c>
      <c r="J3928" s="32" t="s">
        <v>89</v>
      </c>
      <c r="K3928" s="32" t="s">
        <v>63</v>
      </c>
    </row>
    <row r="3929" customFormat="false" ht="13.5" hidden="false" customHeight="true" outlineLevel="0" collapsed="false">
      <c r="A3929" s="32" t="n">
        <v>6301</v>
      </c>
      <c r="B3929" s="32" t="s">
        <v>3133</v>
      </c>
      <c r="C3929" s="32" t="s">
        <v>3134</v>
      </c>
      <c r="D3929" s="32" t="s">
        <v>114</v>
      </c>
      <c r="E3929" s="32" t="s">
        <v>169</v>
      </c>
      <c r="F3929" s="32" t="n">
        <v>9599436226</v>
      </c>
      <c r="G3929" s="32" t="s">
        <v>144</v>
      </c>
      <c r="H3929" s="32" t="s">
        <v>22</v>
      </c>
      <c r="I3929" s="32" t="s">
        <v>239</v>
      </c>
      <c r="J3929" s="32" t="s">
        <v>132</v>
      </c>
      <c r="K3929" s="32" t="s">
        <v>63</v>
      </c>
    </row>
    <row r="3930" customFormat="false" ht="13.5" hidden="false" customHeight="true" outlineLevel="0" collapsed="false">
      <c r="A3930" s="32" t="n">
        <v>6302</v>
      </c>
      <c r="B3930" s="32" t="s">
        <v>3133</v>
      </c>
      <c r="C3930" s="32" t="s">
        <v>3134</v>
      </c>
      <c r="D3930" s="32" t="s">
        <v>114</v>
      </c>
      <c r="E3930" s="32" t="s">
        <v>169</v>
      </c>
      <c r="F3930" s="32" t="n">
        <v>9599436226</v>
      </c>
      <c r="G3930" s="32" t="s">
        <v>144</v>
      </c>
      <c r="H3930" s="32" t="s">
        <v>22</v>
      </c>
      <c r="I3930" s="32" t="s">
        <v>240</v>
      </c>
      <c r="J3930" s="32" t="s">
        <v>241</v>
      </c>
      <c r="K3930" s="32" t="s">
        <v>63</v>
      </c>
    </row>
    <row r="3931" customFormat="false" ht="13.5" hidden="false" customHeight="true" outlineLevel="0" collapsed="false">
      <c r="A3931" s="32" t="n">
        <v>6303</v>
      </c>
      <c r="B3931" s="32" t="s">
        <v>3133</v>
      </c>
      <c r="C3931" s="32" t="s">
        <v>3134</v>
      </c>
      <c r="D3931" s="32" t="s">
        <v>114</v>
      </c>
      <c r="E3931" s="32" t="s">
        <v>169</v>
      </c>
      <c r="F3931" s="32" t="n">
        <v>9599436226</v>
      </c>
      <c r="G3931" s="32" t="s">
        <v>144</v>
      </c>
      <c r="H3931" s="32" t="s">
        <v>22</v>
      </c>
      <c r="I3931" s="32" t="s">
        <v>95</v>
      </c>
      <c r="J3931" s="32" t="s">
        <v>96</v>
      </c>
      <c r="K3931" s="32" t="s">
        <v>63</v>
      </c>
    </row>
    <row r="3932" customFormat="false" ht="13.5" hidden="false" customHeight="true" outlineLevel="0" collapsed="false">
      <c r="A3932" s="32" t="n">
        <v>6304</v>
      </c>
      <c r="B3932" s="32" t="s">
        <v>3135</v>
      </c>
      <c r="C3932" s="32" t="s">
        <v>3136</v>
      </c>
      <c r="D3932" s="32" t="s">
        <v>59</v>
      </c>
      <c r="E3932" s="32" t="s">
        <v>79</v>
      </c>
      <c r="F3932" s="32" t="n">
        <v>8144981227</v>
      </c>
      <c r="G3932" s="32" t="s">
        <v>61</v>
      </c>
      <c r="H3932" s="32" t="s">
        <v>21</v>
      </c>
      <c r="I3932" s="32" t="s">
        <v>215</v>
      </c>
      <c r="J3932" s="32" t="s">
        <v>132</v>
      </c>
      <c r="K3932" s="32" t="s">
        <v>63</v>
      </c>
    </row>
    <row r="3933" customFormat="false" ht="13.5" hidden="false" customHeight="true" outlineLevel="0" collapsed="false">
      <c r="A3933" s="32" t="n">
        <v>6306</v>
      </c>
      <c r="B3933" s="32" t="s">
        <v>3135</v>
      </c>
      <c r="C3933" s="32" t="s">
        <v>3136</v>
      </c>
      <c r="D3933" s="32" t="s">
        <v>59</v>
      </c>
      <c r="E3933" s="32" t="s">
        <v>79</v>
      </c>
      <c r="F3933" s="32" t="n">
        <v>8144981227</v>
      </c>
      <c r="G3933" s="32" t="s">
        <v>61</v>
      </c>
      <c r="H3933" s="32" t="s">
        <v>21</v>
      </c>
      <c r="I3933" s="32" t="s">
        <v>728</v>
      </c>
      <c r="J3933" s="32" t="s">
        <v>132</v>
      </c>
      <c r="K3933" s="32" t="s">
        <v>63</v>
      </c>
    </row>
    <row r="3934" customFormat="false" ht="13.5" hidden="false" customHeight="true" outlineLevel="0" collapsed="false">
      <c r="A3934" s="32" t="n">
        <v>6307</v>
      </c>
      <c r="B3934" s="32" t="s">
        <v>3137</v>
      </c>
      <c r="C3934" s="32" t="s">
        <v>3138</v>
      </c>
      <c r="D3934" s="32" t="s">
        <v>102</v>
      </c>
      <c r="E3934" s="32" t="s">
        <v>103</v>
      </c>
      <c r="F3934" s="32" t="n">
        <v>8763644393</v>
      </c>
      <c r="G3934" s="32" t="s">
        <v>144</v>
      </c>
      <c r="H3934" s="32" t="s">
        <v>21</v>
      </c>
      <c r="I3934" s="32" t="s">
        <v>217</v>
      </c>
      <c r="J3934" s="32" t="s">
        <v>132</v>
      </c>
      <c r="K3934" s="32" t="s">
        <v>63</v>
      </c>
    </row>
    <row r="3935" customFormat="false" ht="13.5" hidden="false" customHeight="true" outlineLevel="0" collapsed="false">
      <c r="A3935" s="32" t="n">
        <v>6308</v>
      </c>
      <c r="B3935" s="32" t="s">
        <v>3139</v>
      </c>
      <c r="C3935" s="32" t="s">
        <v>3140</v>
      </c>
      <c r="D3935" s="32" t="s">
        <v>59</v>
      </c>
      <c r="E3935" s="32" t="s">
        <v>107</v>
      </c>
      <c r="F3935" s="32" t="n">
        <v>9999314282</v>
      </c>
      <c r="G3935" s="32" t="s">
        <v>144</v>
      </c>
      <c r="H3935" s="32" t="s">
        <v>21</v>
      </c>
      <c r="I3935" s="32" t="s">
        <v>149</v>
      </c>
      <c r="J3935" s="32" t="s">
        <v>73</v>
      </c>
      <c r="K3935" s="32" t="s">
        <v>63</v>
      </c>
    </row>
    <row r="3936" customFormat="false" ht="13.5" hidden="false" customHeight="true" outlineLevel="0" collapsed="false">
      <c r="A3936" s="32" t="n">
        <v>6309</v>
      </c>
      <c r="B3936" s="32" t="s">
        <v>3139</v>
      </c>
      <c r="C3936" s="32" t="s">
        <v>3140</v>
      </c>
      <c r="D3936" s="32" t="s">
        <v>59</v>
      </c>
      <c r="E3936" s="32" t="s">
        <v>107</v>
      </c>
      <c r="F3936" s="32" t="n">
        <v>9999314282</v>
      </c>
      <c r="G3936" s="32" t="s">
        <v>144</v>
      </c>
      <c r="H3936" s="32" t="s">
        <v>21</v>
      </c>
      <c r="I3936" s="32" t="s">
        <v>16</v>
      </c>
      <c r="J3936" s="32" t="s">
        <v>73</v>
      </c>
      <c r="K3936" s="32" t="s">
        <v>63</v>
      </c>
    </row>
    <row r="3937" customFormat="false" ht="13.5" hidden="false" customHeight="true" outlineLevel="0" collapsed="false">
      <c r="A3937" s="32" t="n">
        <v>6310</v>
      </c>
      <c r="B3937" s="32" t="s">
        <v>3139</v>
      </c>
      <c r="C3937" s="32" t="s">
        <v>3141</v>
      </c>
      <c r="D3937" s="32" t="s">
        <v>59</v>
      </c>
      <c r="E3937" s="32" t="s">
        <v>107</v>
      </c>
      <c r="F3937" s="32" t="n">
        <v>9999314282</v>
      </c>
      <c r="G3937" s="32" t="s">
        <v>144</v>
      </c>
      <c r="H3937" s="32" t="s">
        <v>21</v>
      </c>
      <c r="I3937" s="32" t="s">
        <v>150</v>
      </c>
      <c r="J3937" s="32" t="s">
        <v>73</v>
      </c>
      <c r="K3937" s="32" t="s">
        <v>63</v>
      </c>
    </row>
    <row r="3938" customFormat="false" ht="13.5" hidden="false" customHeight="true" outlineLevel="0" collapsed="false">
      <c r="A3938" s="32" t="n">
        <v>6311</v>
      </c>
      <c r="B3938" s="32" t="s">
        <v>3139</v>
      </c>
      <c r="C3938" s="32" t="s">
        <v>3141</v>
      </c>
      <c r="D3938" s="32" t="s">
        <v>59</v>
      </c>
      <c r="E3938" s="32" t="s">
        <v>107</v>
      </c>
      <c r="F3938" s="32" t="n">
        <v>9999314282</v>
      </c>
      <c r="G3938" s="32" t="s">
        <v>144</v>
      </c>
      <c r="H3938" s="32" t="s">
        <v>21</v>
      </c>
      <c r="I3938" s="32" t="s">
        <v>212</v>
      </c>
      <c r="J3938" s="32" t="s">
        <v>73</v>
      </c>
      <c r="K3938" s="32" t="s">
        <v>63</v>
      </c>
    </row>
    <row r="3939" customFormat="false" ht="13.5" hidden="false" customHeight="true" outlineLevel="0" collapsed="false">
      <c r="A3939" s="32" t="n">
        <v>6312</v>
      </c>
      <c r="B3939" s="32" t="s">
        <v>3142</v>
      </c>
      <c r="C3939" s="32" t="s">
        <v>3143</v>
      </c>
      <c r="D3939" s="32" t="s">
        <v>59</v>
      </c>
      <c r="E3939" s="32" t="s">
        <v>143</v>
      </c>
      <c r="F3939" s="32" t="n">
        <v>9790157222</v>
      </c>
      <c r="G3939" s="32" t="s">
        <v>0</v>
      </c>
      <c r="H3939" s="32" t="s">
        <v>21</v>
      </c>
      <c r="I3939" s="32" t="s">
        <v>108</v>
      </c>
      <c r="J3939" s="32" t="s">
        <v>71</v>
      </c>
      <c r="K3939" s="32" t="s">
        <v>63</v>
      </c>
    </row>
    <row r="3940" customFormat="false" ht="13.5" hidden="false" customHeight="true" outlineLevel="0" collapsed="false">
      <c r="A3940" s="32" t="n">
        <v>6313</v>
      </c>
      <c r="B3940" s="32" t="s">
        <v>3142</v>
      </c>
      <c r="C3940" s="32" t="s">
        <v>3143</v>
      </c>
      <c r="D3940" s="32" t="s">
        <v>59</v>
      </c>
      <c r="E3940" s="32" t="s">
        <v>143</v>
      </c>
      <c r="F3940" s="32" t="n">
        <v>9790157222</v>
      </c>
      <c r="G3940" s="32" t="s">
        <v>0</v>
      </c>
      <c r="H3940" s="32" t="s">
        <v>21</v>
      </c>
      <c r="I3940" s="32" t="s">
        <v>28</v>
      </c>
      <c r="J3940" s="32" t="s">
        <v>82</v>
      </c>
      <c r="K3940" s="32" t="s">
        <v>63</v>
      </c>
    </row>
    <row r="3941" customFormat="false" ht="13.5" hidden="false" customHeight="true" outlineLevel="0" collapsed="false">
      <c r="A3941" s="32" t="n">
        <v>6314</v>
      </c>
      <c r="B3941" s="32" t="s">
        <v>3142</v>
      </c>
      <c r="C3941" s="32" t="s">
        <v>3143</v>
      </c>
      <c r="D3941" s="32" t="s">
        <v>59</v>
      </c>
      <c r="E3941" s="32" t="s">
        <v>143</v>
      </c>
      <c r="F3941" s="32" t="n">
        <v>9790157222</v>
      </c>
      <c r="G3941" s="32" t="s">
        <v>0</v>
      </c>
      <c r="H3941" s="32" t="s">
        <v>21</v>
      </c>
      <c r="I3941" s="32" t="s">
        <v>93</v>
      </c>
      <c r="J3941" s="32" t="s">
        <v>85</v>
      </c>
      <c r="K3941" s="32" t="s">
        <v>63</v>
      </c>
    </row>
    <row r="3942" customFormat="false" ht="13.5" hidden="false" customHeight="true" outlineLevel="0" collapsed="false">
      <c r="A3942" s="32" t="n">
        <v>6315</v>
      </c>
      <c r="B3942" s="32" t="s">
        <v>3144</v>
      </c>
      <c r="C3942" s="32" t="s">
        <v>3145</v>
      </c>
      <c r="D3942" s="32" t="s">
        <v>114</v>
      </c>
      <c r="E3942" s="32" t="s">
        <v>165</v>
      </c>
      <c r="F3942" s="32" t="n">
        <v>7358471184</v>
      </c>
      <c r="G3942" s="32" t="s">
        <v>61</v>
      </c>
      <c r="H3942" s="32" t="s">
        <v>22</v>
      </c>
      <c r="I3942" s="32" t="s">
        <v>126</v>
      </c>
      <c r="J3942" s="32" t="s">
        <v>85</v>
      </c>
      <c r="K3942" s="32" t="s">
        <v>63</v>
      </c>
    </row>
    <row r="3943" customFormat="false" ht="13.5" hidden="false" customHeight="true" outlineLevel="0" collapsed="false">
      <c r="A3943" s="32" t="n">
        <v>6318</v>
      </c>
      <c r="B3943" s="32" t="s">
        <v>3144</v>
      </c>
      <c r="C3943" s="32" t="s">
        <v>3145</v>
      </c>
      <c r="D3943" s="32" t="s">
        <v>114</v>
      </c>
      <c r="E3943" s="32" t="s">
        <v>165</v>
      </c>
      <c r="F3943" s="32" t="n">
        <v>7358471184</v>
      </c>
      <c r="G3943" s="32" t="s">
        <v>61</v>
      </c>
      <c r="H3943" s="32" t="s">
        <v>22</v>
      </c>
      <c r="I3943" s="32" t="s">
        <v>161</v>
      </c>
      <c r="J3943" s="32" t="s">
        <v>117</v>
      </c>
      <c r="K3943" s="32" t="s">
        <v>63</v>
      </c>
    </row>
    <row r="3944" customFormat="false" ht="13.5" hidden="false" customHeight="true" outlineLevel="0" collapsed="false">
      <c r="A3944" s="32" t="n">
        <v>6319</v>
      </c>
      <c r="B3944" s="32" t="s">
        <v>3144</v>
      </c>
      <c r="C3944" s="32" t="s">
        <v>3145</v>
      </c>
      <c r="D3944" s="32" t="s">
        <v>114</v>
      </c>
      <c r="E3944" s="32" t="s">
        <v>165</v>
      </c>
      <c r="F3944" s="32" t="n">
        <v>7358471184</v>
      </c>
      <c r="G3944" s="32" t="s">
        <v>61</v>
      </c>
      <c r="H3944" s="32" t="s">
        <v>22</v>
      </c>
      <c r="I3944" s="32" t="s">
        <v>261</v>
      </c>
      <c r="J3944" s="32" t="s">
        <v>73</v>
      </c>
      <c r="K3944" s="32" t="s">
        <v>63</v>
      </c>
    </row>
    <row r="3945" customFormat="false" ht="13.5" hidden="false" customHeight="true" outlineLevel="0" collapsed="false">
      <c r="A3945" s="32" t="n">
        <v>6320</v>
      </c>
      <c r="B3945" s="32" t="s">
        <v>3144</v>
      </c>
      <c r="C3945" s="32" t="s">
        <v>3146</v>
      </c>
      <c r="D3945" s="32" t="s">
        <v>114</v>
      </c>
      <c r="E3945" s="32" t="s">
        <v>165</v>
      </c>
      <c r="F3945" s="32" t="n">
        <v>7358471184</v>
      </c>
      <c r="G3945" s="32" t="s">
        <v>61</v>
      </c>
      <c r="H3945" s="32" t="s">
        <v>22</v>
      </c>
      <c r="I3945" s="32" t="s">
        <v>111</v>
      </c>
      <c r="J3945" s="32" t="s">
        <v>73</v>
      </c>
      <c r="K3945" s="32" t="s">
        <v>63</v>
      </c>
    </row>
    <row r="3946" customFormat="false" ht="13.5" hidden="false" customHeight="true" outlineLevel="0" collapsed="false">
      <c r="A3946" s="32" t="n">
        <v>6323</v>
      </c>
      <c r="B3946" s="32" t="s">
        <v>3144</v>
      </c>
      <c r="C3946" s="32" t="s">
        <v>3146</v>
      </c>
      <c r="D3946" s="32" t="s">
        <v>114</v>
      </c>
      <c r="E3946" s="32" t="s">
        <v>165</v>
      </c>
      <c r="F3946" s="32" t="n">
        <v>7358471184</v>
      </c>
      <c r="G3946" s="32" t="s">
        <v>61</v>
      </c>
      <c r="H3946" s="32" t="s">
        <v>22</v>
      </c>
      <c r="I3946" s="32" t="s">
        <v>133</v>
      </c>
      <c r="J3946" s="32" t="s">
        <v>134</v>
      </c>
      <c r="K3946" s="32" t="s">
        <v>63</v>
      </c>
    </row>
    <row r="3947" customFormat="false" ht="13.5" hidden="false" customHeight="true" outlineLevel="0" collapsed="false">
      <c r="A3947" s="32" t="n">
        <v>6324</v>
      </c>
      <c r="B3947" s="32" t="s">
        <v>3144</v>
      </c>
      <c r="C3947" s="32" t="s">
        <v>3146</v>
      </c>
      <c r="D3947" s="32" t="s">
        <v>114</v>
      </c>
      <c r="E3947" s="32" t="s">
        <v>165</v>
      </c>
      <c r="F3947" s="32" t="n">
        <v>0</v>
      </c>
      <c r="G3947" s="32" t="s">
        <v>61</v>
      </c>
      <c r="H3947" s="32" t="s">
        <v>22</v>
      </c>
      <c r="I3947" s="32" t="s">
        <v>150</v>
      </c>
      <c r="J3947" s="32" t="s">
        <v>73</v>
      </c>
      <c r="K3947" s="32" t="s">
        <v>63</v>
      </c>
    </row>
    <row r="3948" customFormat="false" ht="13.5" hidden="false" customHeight="true" outlineLevel="0" collapsed="false">
      <c r="A3948" s="32" t="n">
        <v>6325</v>
      </c>
      <c r="B3948" s="32" t="s">
        <v>3144</v>
      </c>
      <c r="C3948" s="32" t="s">
        <v>3146</v>
      </c>
      <c r="D3948" s="32" t="s">
        <v>114</v>
      </c>
      <c r="E3948" s="32" t="s">
        <v>165</v>
      </c>
      <c r="F3948" s="32" t="n">
        <v>0</v>
      </c>
      <c r="G3948" s="32" t="s">
        <v>61</v>
      </c>
      <c r="H3948" s="32" t="s">
        <v>22</v>
      </c>
      <c r="I3948" s="32" t="s">
        <v>27</v>
      </c>
      <c r="J3948" s="32" t="s">
        <v>13</v>
      </c>
      <c r="K3948" s="32" t="s">
        <v>63</v>
      </c>
    </row>
    <row r="3949" customFormat="false" ht="13.5" hidden="false" customHeight="true" outlineLevel="0" collapsed="false">
      <c r="A3949" s="32" t="n">
        <v>6326</v>
      </c>
      <c r="B3949" s="32" t="s">
        <v>3144</v>
      </c>
      <c r="C3949" s="32" t="s">
        <v>3146</v>
      </c>
      <c r="D3949" s="32" t="s">
        <v>114</v>
      </c>
      <c r="E3949" s="32" t="s">
        <v>165</v>
      </c>
      <c r="F3949" s="32" t="n">
        <v>0</v>
      </c>
      <c r="G3949" s="32" t="s">
        <v>61</v>
      </c>
      <c r="H3949" s="32" t="s">
        <v>22</v>
      </c>
      <c r="I3949" s="32" t="s">
        <v>212</v>
      </c>
      <c r="J3949" s="32" t="s">
        <v>73</v>
      </c>
      <c r="K3949" s="32" t="s">
        <v>63</v>
      </c>
    </row>
    <row r="3950" customFormat="false" ht="13.5" hidden="false" customHeight="true" outlineLevel="0" collapsed="false">
      <c r="A3950" s="32" t="n">
        <v>6327</v>
      </c>
      <c r="B3950" s="32" t="s">
        <v>3147</v>
      </c>
      <c r="C3950" s="32" t="s">
        <v>3148</v>
      </c>
      <c r="D3950" s="32" t="s">
        <v>59</v>
      </c>
      <c r="E3950" s="32" t="s">
        <v>92</v>
      </c>
      <c r="F3950" s="32" t="n">
        <v>9952154236</v>
      </c>
      <c r="G3950" s="32" t="s">
        <v>61</v>
      </c>
      <c r="H3950" s="32" t="s">
        <v>21</v>
      </c>
      <c r="I3950" s="32" t="s">
        <v>85</v>
      </c>
      <c r="J3950" s="32" t="s">
        <v>85</v>
      </c>
      <c r="K3950" s="32" t="s">
        <v>63</v>
      </c>
    </row>
    <row r="3951" customFormat="false" ht="13.5" hidden="false" customHeight="true" outlineLevel="0" collapsed="false">
      <c r="A3951" s="32" t="n">
        <v>6328</v>
      </c>
      <c r="B3951" s="32" t="s">
        <v>3147</v>
      </c>
      <c r="C3951" s="32" t="s">
        <v>3148</v>
      </c>
      <c r="D3951" s="32" t="s">
        <v>59</v>
      </c>
      <c r="E3951" s="32" t="s">
        <v>92</v>
      </c>
      <c r="F3951" s="32" t="n">
        <v>9952154236</v>
      </c>
      <c r="G3951" s="32" t="s">
        <v>61</v>
      </c>
      <c r="H3951" s="32" t="s">
        <v>21</v>
      </c>
      <c r="I3951" s="32" t="s">
        <v>226</v>
      </c>
      <c r="J3951" s="32" t="s">
        <v>110</v>
      </c>
      <c r="K3951" s="32" t="s">
        <v>63</v>
      </c>
    </row>
    <row r="3952" customFormat="false" ht="13.5" hidden="false" customHeight="true" outlineLevel="0" collapsed="false">
      <c r="A3952" s="32" t="n">
        <v>6329</v>
      </c>
      <c r="B3952" s="32" t="s">
        <v>3147</v>
      </c>
      <c r="C3952" s="32" t="s">
        <v>3148</v>
      </c>
      <c r="D3952" s="32" t="s">
        <v>59</v>
      </c>
      <c r="E3952" s="32" t="s">
        <v>92</v>
      </c>
      <c r="F3952" s="32" t="n">
        <v>9952154236</v>
      </c>
      <c r="G3952" s="32" t="s">
        <v>61</v>
      </c>
      <c r="H3952" s="32" t="s">
        <v>21</v>
      </c>
      <c r="I3952" s="32" t="s">
        <v>27</v>
      </c>
      <c r="J3952" s="32" t="s">
        <v>13</v>
      </c>
      <c r="K3952" s="32" t="s">
        <v>63</v>
      </c>
    </row>
    <row r="3953" customFormat="false" ht="13.5" hidden="false" customHeight="true" outlineLevel="0" collapsed="false">
      <c r="A3953" s="32" t="n">
        <v>6330</v>
      </c>
      <c r="B3953" s="32" t="s">
        <v>3147</v>
      </c>
      <c r="C3953" s="32" t="s">
        <v>3148</v>
      </c>
      <c r="D3953" s="32" t="s">
        <v>59</v>
      </c>
      <c r="E3953" s="32" t="s">
        <v>92</v>
      </c>
      <c r="F3953" s="32" t="n">
        <v>9952154236</v>
      </c>
      <c r="G3953" s="32" t="s">
        <v>61</v>
      </c>
      <c r="H3953" s="32" t="s">
        <v>21</v>
      </c>
      <c r="I3953" s="32" t="s">
        <v>16</v>
      </c>
      <c r="J3953" s="32" t="s">
        <v>73</v>
      </c>
      <c r="K3953" s="32" t="s">
        <v>63</v>
      </c>
    </row>
    <row r="3954" customFormat="false" ht="13.5" hidden="false" customHeight="true" outlineLevel="0" collapsed="false">
      <c r="A3954" s="32" t="n">
        <v>6331</v>
      </c>
      <c r="B3954" s="32" t="s">
        <v>3149</v>
      </c>
      <c r="C3954" s="32" t="s">
        <v>3150</v>
      </c>
      <c r="D3954" s="32" t="s">
        <v>59</v>
      </c>
      <c r="E3954" s="32" t="s">
        <v>60</v>
      </c>
      <c r="F3954" s="32" t="n">
        <v>8122882659</v>
      </c>
      <c r="G3954" s="32" t="s">
        <v>0</v>
      </c>
      <c r="H3954" s="32" t="s">
        <v>21</v>
      </c>
      <c r="I3954" s="32" t="s">
        <v>350</v>
      </c>
      <c r="J3954" s="32" t="s">
        <v>235</v>
      </c>
      <c r="K3954" s="32" t="s">
        <v>63</v>
      </c>
    </row>
    <row r="3955" customFormat="false" ht="13.5" hidden="false" customHeight="true" outlineLevel="0" collapsed="false">
      <c r="A3955" s="32" t="n">
        <v>6332</v>
      </c>
      <c r="B3955" s="32" t="s">
        <v>3149</v>
      </c>
      <c r="C3955" s="32" t="s">
        <v>3150</v>
      </c>
      <c r="D3955" s="32" t="s">
        <v>59</v>
      </c>
      <c r="E3955" s="32" t="s">
        <v>60</v>
      </c>
      <c r="F3955" s="32" t="n">
        <v>8122882659</v>
      </c>
      <c r="G3955" s="32" t="s">
        <v>0</v>
      </c>
      <c r="H3955" s="32" t="s">
        <v>21</v>
      </c>
      <c r="I3955" s="32" t="s">
        <v>333</v>
      </c>
      <c r="J3955" s="32" t="s">
        <v>235</v>
      </c>
      <c r="K3955" s="32" t="s">
        <v>63</v>
      </c>
    </row>
    <row r="3956" customFormat="false" ht="13.5" hidden="false" customHeight="true" outlineLevel="0" collapsed="false">
      <c r="A3956" s="32" t="n">
        <v>6333</v>
      </c>
      <c r="B3956" s="32" t="s">
        <v>3151</v>
      </c>
      <c r="C3956" s="32" t="s">
        <v>3152</v>
      </c>
      <c r="D3956" s="32" t="s">
        <v>114</v>
      </c>
      <c r="E3956" s="32" t="s">
        <v>115</v>
      </c>
      <c r="F3956" s="32" t="n">
        <v>9515172884</v>
      </c>
      <c r="G3956" s="32" t="s">
        <v>80</v>
      </c>
      <c r="H3956" s="32" t="s">
        <v>22</v>
      </c>
      <c r="I3956" s="32" t="s">
        <v>150</v>
      </c>
      <c r="J3956" s="32" t="s">
        <v>73</v>
      </c>
      <c r="K3956" s="32" t="s">
        <v>63</v>
      </c>
    </row>
    <row r="3957" customFormat="false" ht="13.5" hidden="false" customHeight="true" outlineLevel="0" collapsed="false">
      <c r="A3957" s="32" t="n">
        <v>6334</v>
      </c>
      <c r="B3957" s="32" t="s">
        <v>3151</v>
      </c>
      <c r="C3957" s="32" t="s">
        <v>2514</v>
      </c>
      <c r="D3957" s="32" t="s">
        <v>114</v>
      </c>
      <c r="E3957" s="32" t="s">
        <v>115</v>
      </c>
      <c r="F3957" s="32" t="n">
        <v>9441443610</v>
      </c>
      <c r="G3957" s="32" t="s">
        <v>80</v>
      </c>
      <c r="H3957" s="32" t="s">
        <v>22</v>
      </c>
      <c r="I3957" s="32" t="s">
        <v>70</v>
      </c>
      <c r="J3957" s="32" t="s">
        <v>71</v>
      </c>
      <c r="K3957" s="32" t="s">
        <v>63</v>
      </c>
    </row>
    <row r="3958" customFormat="false" ht="13.5" hidden="false" customHeight="true" outlineLevel="0" collapsed="false">
      <c r="A3958" s="32" t="n">
        <v>6335</v>
      </c>
      <c r="B3958" s="32" t="s">
        <v>3151</v>
      </c>
      <c r="C3958" s="32" t="s">
        <v>3153</v>
      </c>
      <c r="D3958" s="32" t="s">
        <v>114</v>
      </c>
      <c r="E3958" s="32" t="s">
        <v>115</v>
      </c>
      <c r="F3958" s="32" t="n">
        <v>9515172884</v>
      </c>
      <c r="G3958" s="32" t="s">
        <v>80</v>
      </c>
      <c r="H3958" s="32" t="s">
        <v>22</v>
      </c>
      <c r="I3958" s="32" t="s">
        <v>393</v>
      </c>
      <c r="J3958" s="32" t="s">
        <v>73</v>
      </c>
      <c r="K3958" s="32" t="s">
        <v>63</v>
      </c>
    </row>
    <row r="3959" customFormat="false" ht="13.5" hidden="false" customHeight="true" outlineLevel="0" collapsed="false">
      <c r="A3959" s="32" t="n">
        <v>6336</v>
      </c>
      <c r="B3959" s="32" t="s">
        <v>3151</v>
      </c>
      <c r="C3959" s="32" t="s">
        <v>3153</v>
      </c>
      <c r="D3959" s="32" t="s">
        <v>114</v>
      </c>
      <c r="E3959" s="32" t="s">
        <v>115</v>
      </c>
      <c r="F3959" s="32" t="n">
        <v>9515172884</v>
      </c>
      <c r="G3959" s="32" t="s">
        <v>80</v>
      </c>
      <c r="H3959" s="32" t="s">
        <v>22</v>
      </c>
      <c r="I3959" s="32" t="s">
        <v>27</v>
      </c>
      <c r="J3959" s="32" t="s">
        <v>13</v>
      </c>
      <c r="K3959" s="32" t="s">
        <v>63</v>
      </c>
    </row>
    <row r="3960" customFormat="false" ht="13.5" hidden="false" customHeight="true" outlineLevel="0" collapsed="false">
      <c r="A3960" s="32" t="n">
        <v>6337</v>
      </c>
      <c r="B3960" s="32" t="s">
        <v>3151</v>
      </c>
      <c r="C3960" s="32" t="s">
        <v>3153</v>
      </c>
      <c r="D3960" s="32" t="s">
        <v>114</v>
      </c>
      <c r="E3960" s="32" t="s">
        <v>115</v>
      </c>
      <c r="F3960" s="32" t="n">
        <v>9515172884</v>
      </c>
      <c r="G3960" s="32" t="s">
        <v>80</v>
      </c>
      <c r="H3960" s="32" t="s">
        <v>22</v>
      </c>
      <c r="I3960" s="32" t="s">
        <v>116</v>
      </c>
      <c r="J3960" s="32" t="s">
        <v>117</v>
      </c>
      <c r="K3960" s="32" t="s">
        <v>63</v>
      </c>
    </row>
    <row r="3961" customFormat="false" ht="13.5" hidden="false" customHeight="true" outlineLevel="0" collapsed="false">
      <c r="A3961" s="32" t="n">
        <v>6338</v>
      </c>
      <c r="B3961" s="32" t="s">
        <v>3154</v>
      </c>
      <c r="C3961" s="32" t="s">
        <v>3155</v>
      </c>
      <c r="D3961" s="32" t="s">
        <v>114</v>
      </c>
      <c r="E3961" s="32" t="s">
        <v>165</v>
      </c>
      <c r="F3961" s="32" t="n">
        <v>8008918941</v>
      </c>
      <c r="G3961" s="32" t="s">
        <v>80</v>
      </c>
      <c r="H3961" s="32" t="s">
        <v>22</v>
      </c>
      <c r="I3961" s="32" t="s">
        <v>27</v>
      </c>
      <c r="J3961" s="32" t="s">
        <v>13</v>
      </c>
      <c r="K3961" s="32" t="s">
        <v>63</v>
      </c>
    </row>
    <row r="3962" customFormat="false" ht="13.5" hidden="false" customHeight="true" outlineLevel="0" collapsed="false">
      <c r="A3962" s="32" t="n">
        <v>6339</v>
      </c>
      <c r="B3962" s="32" t="s">
        <v>3154</v>
      </c>
      <c r="C3962" s="32" t="s">
        <v>3155</v>
      </c>
      <c r="D3962" s="32" t="s">
        <v>114</v>
      </c>
      <c r="E3962" s="32" t="s">
        <v>165</v>
      </c>
      <c r="F3962" s="32" t="n">
        <v>8008918941</v>
      </c>
      <c r="G3962" s="32" t="s">
        <v>80</v>
      </c>
      <c r="H3962" s="32" t="s">
        <v>22</v>
      </c>
      <c r="I3962" s="32" t="s">
        <v>28</v>
      </c>
      <c r="J3962" s="32" t="s">
        <v>82</v>
      </c>
      <c r="K3962" s="32" t="s">
        <v>63</v>
      </c>
    </row>
    <row r="3963" customFormat="false" ht="13.5" hidden="false" customHeight="true" outlineLevel="0" collapsed="false">
      <c r="A3963" s="32" t="n">
        <v>6340</v>
      </c>
      <c r="B3963" s="32" t="s">
        <v>3156</v>
      </c>
      <c r="C3963" s="34" t="s">
        <v>3157</v>
      </c>
      <c r="D3963" s="32" t="s">
        <v>114</v>
      </c>
      <c r="E3963" s="32" t="s">
        <v>165</v>
      </c>
      <c r="F3963" s="33" t="n">
        <v>918490000000</v>
      </c>
      <c r="G3963" s="32" t="s">
        <v>80</v>
      </c>
      <c r="H3963" s="32" t="s">
        <v>22</v>
      </c>
      <c r="I3963" s="32" t="s">
        <v>840</v>
      </c>
      <c r="J3963" s="32" t="s">
        <v>89</v>
      </c>
      <c r="K3963" s="32" t="s">
        <v>63</v>
      </c>
    </row>
    <row r="3964" customFormat="false" ht="13.5" hidden="false" customHeight="true" outlineLevel="0" collapsed="false">
      <c r="A3964" s="32" t="n">
        <v>6341</v>
      </c>
      <c r="B3964" s="32" t="s">
        <v>3156</v>
      </c>
      <c r="C3964" s="34" t="s">
        <v>3157</v>
      </c>
      <c r="D3964" s="32" t="s">
        <v>114</v>
      </c>
      <c r="E3964" s="32" t="s">
        <v>165</v>
      </c>
      <c r="F3964" s="33" t="n">
        <v>918490000000</v>
      </c>
      <c r="G3964" s="32" t="s">
        <v>80</v>
      </c>
      <c r="H3964" s="32" t="s">
        <v>22</v>
      </c>
      <c r="I3964" s="32" t="s">
        <v>146</v>
      </c>
      <c r="J3964" s="32" t="s">
        <v>117</v>
      </c>
      <c r="K3964" s="32" t="s">
        <v>63</v>
      </c>
    </row>
    <row r="3965" customFormat="false" ht="13.5" hidden="false" customHeight="true" outlineLevel="0" collapsed="false">
      <c r="A3965" s="32" t="n">
        <v>6342</v>
      </c>
      <c r="B3965" s="32" t="s">
        <v>3156</v>
      </c>
      <c r="C3965" s="32" t="s">
        <v>3157</v>
      </c>
      <c r="D3965" s="32" t="s">
        <v>114</v>
      </c>
      <c r="E3965" s="32" t="s">
        <v>165</v>
      </c>
      <c r="F3965" s="33" t="n">
        <v>918490000000</v>
      </c>
      <c r="G3965" s="32" t="s">
        <v>80</v>
      </c>
      <c r="H3965" s="32" t="s">
        <v>22</v>
      </c>
      <c r="I3965" s="32" t="s">
        <v>629</v>
      </c>
      <c r="J3965" s="32" t="s">
        <v>203</v>
      </c>
      <c r="K3965" s="32" t="s">
        <v>63</v>
      </c>
    </row>
    <row r="3966" customFormat="false" ht="13.5" hidden="false" customHeight="true" outlineLevel="0" collapsed="false">
      <c r="A3966" s="32" t="n">
        <v>6343</v>
      </c>
      <c r="B3966" s="32" t="s">
        <v>3158</v>
      </c>
      <c r="C3966" s="32" t="s">
        <v>3159</v>
      </c>
      <c r="D3966" s="32" t="s">
        <v>114</v>
      </c>
      <c r="E3966" s="32" t="s">
        <v>165</v>
      </c>
      <c r="F3966" s="32" t="n">
        <v>9953477183</v>
      </c>
      <c r="G3966" s="32" t="s">
        <v>80</v>
      </c>
      <c r="H3966" s="32" t="s">
        <v>22</v>
      </c>
      <c r="I3966" s="32" t="s">
        <v>30</v>
      </c>
      <c r="J3966" s="32" t="s">
        <v>203</v>
      </c>
      <c r="K3966" s="32" t="s">
        <v>63</v>
      </c>
    </row>
    <row r="3967" customFormat="false" ht="13.5" hidden="false" customHeight="true" outlineLevel="0" collapsed="false">
      <c r="A3967" s="32" t="n">
        <v>6345</v>
      </c>
      <c r="B3967" s="32" t="s">
        <v>3158</v>
      </c>
      <c r="C3967" s="32" t="s">
        <v>3159</v>
      </c>
      <c r="D3967" s="32" t="s">
        <v>114</v>
      </c>
      <c r="E3967" s="32" t="s">
        <v>165</v>
      </c>
      <c r="F3967" s="32" t="n">
        <v>9953477183</v>
      </c>
      <c r="G3967" s="32" t="s">
        <v>80</v>
      </c>
      <c r="H3967" s="32" t="s">
        <v>22</v>
      </c>
      <c r="I3967" s="32" t="s">
        <v>1242</v>
      </c>
      <c r="J3967" s="32" t="s">
        <v>62</v>
      </c>
      <c r="K3967" s="32" t="s">
        <v>63</v>
      </c>
    </row>
    <row r="3968" customFormat="false" ht="13.5" hidden="false" customHeight="true" outlineLevel="0" collapsed="false">
      <c r="A3968" s="32" t="n">
        <v>6348</v>
      </c>
      <c r="B3968" s="32" t="s">
        <v>3158</v>
      </c>
      <c r="C3968" s="32" t="s">
        <v>3159</v>
      </c>
      <c r="D3968" s="32" t="s">
        <v>114</v>
      </c>
      <c r="E3968" s="32" t="s">
        <v>165</v>
      </c>
      <c r="F3968" s="32" t="n">
        <v>9953477183</v>
      </c>
      <c r="G3968" s="32" t="s">
        <v>80</v>
      </c>
      <c r="H3968" s="32" t="s">
        <v>22</v>
      </c>
      <c r="I3968" s="32" t="s">
        <v>16</v>
      </c>
      <c r="J3968" s="32" t="s">
        <v>73</v>
      </c>
      <c r="K3968" s="32" t="s">
        <v>63</v>
      </c>
    </row>
    <row r="3969" customFormat="false" ht="13.5" hidden="false" customHeight="true" outlineLevel="0" collapsed="false">
      <c r="A3969" s="32" t="n">
        <v>6349</v>
      </c>
      <c r="B3969" s="32" t="s">
        <v>3158</v>
      </c>
      <c r="C3969" s="32" t="s">
        <v>3160</v>
      </c>
      <c r="D3969" s="32" t="s">
        <v>114</v>
      </c>
      <c r="E3969" s="32" t="s">
        <v>165</v>
      </c>
      <c r="F3969" s="32" t="n">
        <v>9953477183</v>
      </c>
      <c r="G3969" s="32" t="s">
        <v>3161</v>
      </c>
      <c r="H3969" s="32" t="s">
        <v>22</v>
      </c>
      <c r="I3969" s="32" t="s">
        <v>75</v>
      </c>
      <c r="J3969" s="32" t="s">
        <v>76</v>
      </c>
      <c r="K3969" s="32" t="s">
        <v>63</v>
      </c>
    </row>
    <row r="3970" customFormat="false" ht="13.5" hidden="false" customHeight="true" outlineLevel="0" collapsed="false">
      <c r="A3970" s="32" t="n">
        <v>6350</v>
      </c>
      <c r="B3970" s="32" t="s">
        <v>3158</v>
      </c>
      <c r="C3970" s="32" t="s">
        <v>3162</v>
      </c>
      <c r="D3970" s="32" t="s">
        <v>114</v>
      </c>
      <c r="E3970" s="32" t="s">
        <v>165</v>
      </c>
      <c r="F3970" s="32" t="n">
        <v>9953477183</v>
      </c>
      <c r="G3970" s="32" t="s">
        <v>3161</v>
      </c>
      <c r="H3970" s="32" t="s">
        <v>22</v>
      </c>
      <c r="I3970" s="32" t="s">
        <v>307</v>
      </c>
      <c r="J3970" s="32" t="s">
        <v>307</v>
      </c>
      <c r="K3970" s="32" t="s">
        <v>63</v>
      </c>
    </row>
    <row r="3971" customFormat="false" ht="13.5" hidden="false" customHeight="true" outlineLevel="0" collapsed="false">
      <c r="A3971" s="32" t="n">
        <v>6351</v>
      </c>
      <c r="B3971" s="32" t="s">
        <v>3158</v>
      </c>
      <c r="C3971" s="32" t="s">
        <v>3162</v>
      </c>
      <c r="D3971" s="32" t="s">
        <v>114</v>
      </c>
      <c r="E3971" s="32" t="s">
        <v>165</v>
      </c>
      <c r="F3971" s="32" t="n">
        <v>9953477183</v>
      </c>
      <c r="G3971" s="32" t="s">
        <v>3161</v>
      </c>
      <c r="H3971" s="32" t="s">
        <v>22</v>
      </c>
      <c r="I3971" s="32" t="s">
        <v>64</v>
      </c>
      <c r="J3971" s="32" t="s">
        <v>62</v>
      </c>
      <c r="K3971" s="32" t="s">
        <v>63</v>
      </c>
    </row>
    <row r="3972" customFormat="false" ht="13.5" hidden="false" customHeight="true" outlineLevel="0" collapsed="false">
      <c r="A3972" s="32" t="n">
        <v>6352</v>
      </c>
      <c r="B3972" s="32" t="s">
        <v>3158</v>
      </c>
      <c r="C3972" s="32" t="s">
        <v>3162</v>
      </c>
      <c r="D3972" s="32" t="s">
        <v>114</v>
      </c>
      <c r="E3972" s="32" t="s">
        <v>165</v>
      </c>
      <c r="F3972" s="32" t="n">
        <v>9953477183</v>
      </c>
      <c r="G3972" s="32" t="s">
        <v>3161</v>
      </c>
      <c r="H3972" s="32" t="s">
        <v>22</v>
      </c>
      <c r="I3972" s="32" t="s">
        <v>629</v>
      </c>
      <c r="J3972" s="32" t="s">
        <v>203</v>
      </c>
      <c r="K3972" s="32" t="s">
        <v>63</v>
      </c>
    </row>
    <row r="3973" customFormat="false" ht="13.5" hidden="false" customHeight="true" outlineLevel="0" collapsed="false">
      <c r="A3973" s="32" t="n">
        <v>6353</v>
      </c>
      <c r="B3973" s="32" t="s">
        <v>3163</v>
      </c>
      <c r="C3973" s="32" t="s">
        <v>3164</v>
      </c>
      <c r="D3973" s="32" t="s">
        <v>59</v>
      </c>
      <c r="E3973" s="32" t="s">
        <v>107</v>
      </c>
      <c r="F3973" s="32" t="n">
        <v>7411170348</v>
      </c>
      <c r="G3973" s="32" t="s">
        <v>61</v>
      </c>
      <c r="H3973" s="32" t="s">
        <v>21</v>
      </c>
      <c r="I3973" s="32" t="s">
        <v>28</v>
      </c>
      <c r="J3973" s="32" t="s">
        <v>82</v>
      </c>
      <c r="K3973" s="32" t="s">
        <v>63</v>
      </c>
    </row>
    <row r="3974" customFormat="false" ht="13.5" hidden="false" customHeight="true" outlineLevel="0" collapsed="false">
      <c r="A3974" s="32" t="n">
        <v>6354</v>
      </c>
      <c r="B3974" s="32" t="s">
        <v>3165</v>
      </c>
      <c r="C3974" s="32" t="s">
        <v>3166</v>
      </c>
      <c r="D3974" s="32" t="s">
        <v>114</v>
      </c>
      <c r="E3974" s="32" t="s">
        <v>165</v>
      </c>
      <c r="F3974" s="32" t="n">
        <v>8015381313</v>
      </c>
      <c r="G3974" s="32" t="s">
        <v>80</v>
      </c>
      <c r="H3974" s="32" t="s">
        <v>22</v>
      </c>
      <c r="I3974" s="32" t="s">
        <v>16</v>
      </c>
      <c r="J3974" s="32" t="s">
        <v>73</v>
      </c>
      <c r="K3974" s="32" t="s">
        <v>63</v>
      </c>
    </row>
    <row r="3975" customFormat="false" ht="13.5" hidden="false" customHeight="true" outlineLevel="0" collapsed="false">
      <c r="A3975" s="32" t="n">
        <v>6355</v>
      </c>
      <c r="B3975" s="32" t="s">
        <v>3165</v>
      </c>
      <c r="C3975" s="32" t="s">
        <v>3167</v>
      </c>
      <c r="D3975" s="32" t="s">
        <v>114</v>
      </c>
      <c r="E3975" s="32" t="s">
        <v>165</v>
      </c>
      <c r="F3975" s="32" t="n">
        <v>8015381313</v>
      </c>
      <c r="G3975" s="32" t="s">
        <v>80</v>
      </c>
      <c r="H3975" s="32" t="s">
        <v>22</v>
      </c>
      <c r="I3975" s="32" t="s">
        <v>76</v>
      </c>
      <c r="J3975" s="32" t="s">
        <v>76</v>
      </c>
      <c r="K3975" s="32" t="s">
        <v>63</v>
      </c>
    </row>
    <row r="3976" customFormat="false" ht="13.5" hidden="false" customHeight="true" outlineLevel="0" collapsed="false">
      <c r="A3976" s="32" t="n">
        <v>6356</v>
      </c>
      <c r="B3976" s="32" t="s">
        <v>3165</v>
      </c>
      <c r="C3976" s="32" t="s">
        <v>3168</v>
      </c>
      <c r="D3976" s="32" t="s">
        <v>114</v>
      </c>
      <c r="E3976" s="32" t="s">
        <v>165</v>
      </c>
      <c r="F3976" s="32" t="n">
        <v>8015381313</v>
      </c>
      <c r="G3976" s="32" t="s">
        <v>80</v>
      </c>
      <c r="H3976" s="32" t="s">
        <v>22</v>
      </c>
      <c r="I3976" s="32" t="s">
        <v>149</v>
      </c>
      <c r="J3976" s="32" t="s">
        <v>73</v>
      </c>
      <c r="K3976" s="32" t="s">
        <v>63</v>
      </c>
    </row>
    <row r="3977" customFormat="false" ht="13.5" hidden="false" customHeight="true" outlineLevel="0" collapsed="false">
      <c r="A3977" s="32" t="n">
        <v>6357</v>
      </c>
      <c r="B3977" s="32" t="s">
        <v>3165</v>
      </c>
      <c r="C3977" s="32" t="s">
        <v>3168</v>
      </c>
      <c r="D3977" s="32" t="s">
        <v>114</v>
      </c>
      <c r="E3977" s="32" t="s">
        <v>165</v>
      </c>
      <c r="F3977" s="32" t="n">
        <v>8015381313</v>
      </c>
      <c r="G3977" s="32" t="s">
        <v>80</v>
      </c>
      <c r="H3977" s="32" t="s">
        <v>22</v>
      </c>
      <c r="I3977" s="32" t="s">
        <v>393</v>
      </c>
      <c r="J3977" s="32" t="s">
        <v>73</v>
      </c>
      <c r="K3977" s="32" t="s">
        <v>63</v>
      </c>
    </row>
    <row r="3978" customFormat="false" ht="13.5" hidden="false" customHeight="true" outlineLevel="0" collapsed="false">
      <c r="A3978" s="32" t="n">
        <v>6358</v>
      </c>
      <c r="B3978" s="32" t="s">
        <v>3165</v>
      </c>
      <c r="C3978" s="32" t="s">
        <v>3168</v>
      </c>
      <c r="D3978" s="32" t="s">
        <v>114</v>
      </c>
      <c r="E3978" s="32" t="s">
        <v>165</v>
      </c>
      <c r="F3978" s="32" t="n">
        <v>8015381313</v>
      </c>
      <c r="G3978" s="32" t="s">
        <v>80</v>
      </c>
      <c r="H3978" s="32" t="s">
        <v>22</v>
      </c>
      <c r="I3978" s="32" t="s">
        <v>245</v>
      </c>
      <c r="J3978" s="32" t="s">
        <v>71</v>
      </c>
      <c r="K3978" s="32" t="s">
        <v>63</v>
      </c>
    </row>
    <row r="3979" customFormat="false" ht="13.5" hidden="false" customHeight="true" outlineLevel="0" collapsed="false">
      <c r="A3979" s="32" t="n">
        <v>6359</v>
      </c>
      <c r="B3979" s="32" t="s">
        <v>3169</v>
      </c>
      <c r="C3979" s="32" t="s">
        <v>3170</v>
      </c>
      <c r="D3979" s="32" t="s">
        <v>59</v>
      </c>
      <c r="E3979" s="32" t="s">
        <v>107</v>
      </c>
      <c r="F3979" s="32" t="n">
        <v>9019783434</v>
      </c>
      <c r="G3979" s="32" t="s">
        <v>61</v>
      </c>
      <c r="H3979" s="32" t="s">
        <v>21</v>
      </c>
      <c r="I3979" s="32" t="s">
        <v>85</v>
      </c>
      <c r="J3979" s="32" t="s">
        <v>85</v>
      </c>
      <c r="K3979" s="32" t="s">
        <v>63</v>
      </c>
    </row>
    <row r="3980" customFormat="false" ht="13.5" hidden="false" customHeight="true" outlineLevel="0" collapsed="false">
      <c r="A3980" s="32" t="n">
        <v>6360</v>
      </c>
      <c r="B3980" s="32" t="s">
        <v>3169</v>
      </c>
      <c r="C3980" s="32" t="s">
        <v>3170</v>
      </c>
      <c r="D3980" s="32" t="s">
        <v>59</v>
      </c>
      <c r="E3980" s="32" t="s">
        <v>107</v>
      </c>
      <c r="F3980" s="32" t="n">
        <v>9019783434</v>
      </c>
      <c r="G3980" s="32" t="s">
        <v>61</v>
      </c>
      <c r="H3980" s="32" t="s">
        <v>21</v>
      </c>
      <c r="I3980" s="32" t="s">
        <v>261</v>
      </c>
      <c r="J3980" s="32" t="s">
        <v>73</v>
      </c>
      <c r="K3980" s="32" t="s">
        <v>63</v>
      </c>
    </row>
    <row r="3981" customFormat="false" ht="13.5" hidden="false" customHeight="true" outlineLevel="0" collapsed="false">
      <c r="A3981" s="32" t="n">
        <v>6361</v>
      </c>
      <c r="B3981" s="32" t="s">
        <v>3171</v>
      </c>
      <c r="C3981" s="32" t="s">
        <v>3172</v>
      </c>
      <c r="D3981" s="32" t="s">
        <v>114</v>
      </c>
      <c r="E3981" s="32" t="s">
        <v>165</v>
      </c>
      <c r="F3981" s="32" t="s">
        <v>3173</v>
      </c>
      <c r="G3981" s="32" t="s">
        <v>144</v>
      </c>
      <c r="H3981" s="32" t="s">
        <v>22</v>
      </c>
      <c r="I3981" s="32" t="s">
        <v>245</v>
      </c>
      <c r="J3981" s="32" t="s">
        <v>71</v>
      </c>
      <c r="K3981" s="32" t="s">
        <v>63</v>
      </c>
    </row>
    <row r="3982" customFormat="false" ht="13.5" hidden="false" customHeight="true" outlineLevel="0" collapsed="false">
      <c r="A3982" s="32" t="n">
        <v>6362</v>
      </c>
      <c r="B3982" s="32" t="s">
        <v>3171</v>
      </c>
      <c r="C3982" s="32" t="s">
        <v>3172</v>
      </c>
      <c r="D3982" s="32" t="s">
        <v>114</v>
      </c>
      <c r="E3982" s="32" t="s">
        <v>165</v>
      </c>
      <c r="F3982" s="32" t="s">
        <v>3173</v>
      </c>
      <c r="G3982" s="32" t="s">
        <v>144</v>
      </c>
      <c r="H3982" s="32" t="s">
        <v>22</v>
      </c>
      <c r="I3982" s="32" t="s">
        <v>151</v>
      </c>
      <c r="J3982" s="32" t="s">
        <v>152</v>
      </c>
      <c r="K3982" s="32" t="s">
        <v>63</v>
      </c>
    </row>
    <row r="3983" customFormat="false" ht="13.5" hidden="false" customHeight="true" outlineLevel="0" collapsed="false">
      <c r="A3983" s="32" t="n">
        <v>6363</v>
      </c>
      <c r="B3983" s="32" t="s">
        <v>3171</v>
      </c>
      <c r="C3983" s="32" t="s">
        <v>3172</v>
      </c>
      <c r="D3983" s="32" t="s">
        <v>114</v>
      </c>
      <c r="E3983" s="32" t="s">
        <v>165</v>
      </c>
      <c r="F3983" s="32" t="n">
        <v>9971798736</v>
      </c>
      <c r="G3983" s="32" t="s">
        <v>144</v>
      </c>
      <c r="H3983" s="32" t="s">
        <v>22</v>
      </c>
      <c r="I3983" s="32" t="s">
        <v>172</v>
      </c>
      <c r="J3983" s="32" t="s">
        <v>152</v>
      </c>
      <c r="K3983" s="32" t="s">
        <v>63</v>
      </c>
    </row>
    <row r="3984" customFormat="false" ht="13.5" hidden="false" customHeight="true" outlineLevel="0" collapsed="false">
      <c r="A3984" s="32" t="n">
        <v>6366</v>
      </c>
      <c r="B3984" s="32" t="s">
        <v>3174</v>
      </c>
      <c r="C3984" s="32" t="s">
        <v>3175</v>
      </c>
      <c r="D3984" s="32" t="s">
        <v>59</v>
      </c>
      <c r="E3984" s="32" t="s">
        <v>143</v>
      </c>
      <c r="F3984" s="32" t="n">
        <v>9880271855</v>
      </c>
      <c r="G3984" s="32" t="s">
        <v>61</v>
      </c>
      <c r="H3984" s="32" t="s">
        <v>21</v>
      </c>
      <c r="I3984" s="32" t="s">
        <v>16</v>
      </c>
      <c r="J3984" s="32" t="s">
        <v>73</v>
      </c>
      <c r="K3984" s="32" t="s">
        <v>63</v>
      </c>
    </row>
    <row r="3985" customFormat="false" ht="13.5" hidden="false" customHeight="true" outlineLevel="0" collapsed="false">
      <c r="A3985" s="32" t="n">
        <v>6367</v>
      </c>
      <c r="B3985" s="32" t="s">
        <v>3176</v>
      </c>
      <c r="C3985" s="32" t="s">
        <v>3177</v>
      </c>
      <c r="D3985" s="32" t="s">
        <v>114</v>
      </c>
      <c r="E3985" s="32" t="s">
        <v>165</v>
      </c>
      <c r="F3985" s="33" t="n">
        <v>919433000000</v>
      </c>
      <c r="G3985" s="32" t="s">
        <v>140</v>
      </c>
      <c r="H3985" s="32" t="s">
        <v>22</v>
      </c>
      <c r="I3985" s="32" t="s">
        <v>133</v>
      </c>
      <c r="J3985" s="32" t="s">
        <v>134</v>
      </c>
      <c r="K3985" s="32" t="s">
        <v>63</v>
      </c>
    </row>
    <row r="3986" customFormat="false" ht="13.5" hidden="false" customHeight="true" outlineLevel="0" collapsed="false">
      <c r="A3986" s="32" t="n">
        <v>6368</v>
      </c>
      <c r="B3986" s="32" t="s">
        <v>3178</v>
      </c>
      <c r="C3986" s="32" t="s">
        <v>3177</v>
      </c>
      <c r="D3986" s="32" t="s">
        <v>114</v>
      </c>
      <c r="E3986" s="32" t="s">
        <v>165</v>
      </c>
      <c r="F3986" s="33" t="n">
        <v>919433000000</v>
      </c>
      <c r="G3986" s="32" t="s">
        <v>140</v>
      </c>
      <c r="H3986" s="32" t="s">
        <v>22</v>
      </c>
      <c r="I3986" s="32" t="s">
        <v>245</v>
      </c>
      <c r="J3986" s="32" t="s">
        <v>71</v>
      </c>
      <c r="K3986" s="32" t="s">
        <v>63</v>
      </c>
    </row>
    <row r="3987" customFormat="false" ht="13.5" hidden="false" customHeight="true" outlineLevel="0" collapsed="false">
      <c r="A3987" s="32" t="n">
        <v>6369</v>
      </c>
      <c r="B3987" s="32" t="s">
        <v>3179</v>
      </c>
      <c r="C3987" s="32" t="s">
        <v>3180</v>
      </c>
      <c r="D3987" s="32" t="s">
        <v>114</v>
      </c>
      <c r="E3987" s="32" t="s">
        <v>169</v>
      </c>
      <c r="F3987" s="32" t="n">
        <v>0</v>
      </c>
      <c r="G3987" s="32" t="s">
        <v>80</v>
      </c>
      <c r="H3987" s="32" t="s">
        <v>22</v>
      </c>
      <c r="I3987" s="32" t="s">
        <v>570</v>
      </c>
      <c r="J3987" s="32" t="s">
        <v>99</v>
      </c>
      <c r="K3987" s="32" t="s">
        <v>63</v>
      </c>
    </row>
    <row r="3988" customFormat="false" ht="13.5" hidden="false" customHeight="true" outlineLevel="0" collapsed="false">
      <c r="A3988" s="32" t="n">
        <v>6371</v>
      </c>
      <c r="B3988" s="32" t="s">
        <v>3179</v>
      </c>
      <c r="C3988" s="32" t="s">
        <v>3181</v>
      </c>
      <c r="D3988" s="32" t="s">
        <v>114</v>
      </c>
      <c r="E3988" s="32" t="s">
        <v>169</v>
      </c>
      <c r="F3988" s="32" t="n">
        <v>9676707878</v>
      </c>
      <c r="G3988" s="32" t="s">
        <v>80</v>
      </c>
      <c r="H3988" s="32" t="s">
        <v>22</v>
      </c>
      <c r="I3988" s="32" t="s">
        <v>145</v>
      </c>
      <c r="J3988" s="32" t="s">
        <v>117</v>
      </c>
      <c r="K3988" s="32" t="s">
        <v>63</v>
      </c>
    </row>
    <row r="3989" customFormat="false" ht="13.5" hidden="false" customHeight="true" outlineLevel="0" collapsed="false">
      <c r="A3989" s="32" t="n">
        <v>6372</v>
      </c>
      <c r="B3989" s="32" t="s">
        <v>3179</v>
      </c>
      <c r="C3989" s="32" t="s">
        <v>3181</v>
      </c>
      <c r="D3989" s="32" t="s">
        <v>114</v>
      </c>
      <c r="E3989" s="32" t="s">
        <v>169</v>
      </c>
      <c r="F3989" s="32" t="n">
        <v>0</v>
      </c>
      <c r="G3989" s="32" t="s">
        <v>80</v>
      </c>
      <c r="H3989" s="32" t="s">
        <v>22</v>
      </c>
      <c r="I3989" s="32" t="s">
        <v>151</v>
      </c>
      <c r="J3989" s="32" t="s">
        <v>152</v>
      </c>
      <c r="K3989" s="32" t="s">
        <v>63</v>
      </c>
    </row>
    <row r="3990" customFormat="false" ht="13.5" hidden="false" customHeight="true" outlineLevel="0" collapsed="false">
      <c r="A3990" s="32" t="n">
        <v>6373</v>
      </c>
      <c r="B3990" s="32" t="s">
        <v>3179</v>
      </c>
      <c r="C3990" s="32" t="s">
        <v>3181</v>
      </c>
      <c r="D3990" s="32" t="s">
        <v>114</v>
      </c>
      <c r="E3990" s="32" t="s">
        <v>169</v>
      </c>
      <c r="F3990" s="32" t="n">
        <v>0</v>
      </c>
      <c r="G3990" s="32" t="s">
        <v>80</v>
      </c>
      <c r="H3990" s="32" t="s">
        <v>22</v>
      </c>
      <c r="I3990" s="32" t="s">
        <v>251</v>
      </c>
      <c r="J3990" s="32" t="s">
        <v>152</v>
      </c>
      <c r="K3990" s="32" t="s">
        <v>63</v>
      </c>
    </row>
    <row r="3991" customFormat="false" ht="13.5" hidden="false" customHeight="true" outlineLevel="0" collapsed="false">
      <c r="A3991" s="32" t="n">
        <v>6374</v>
      </c>
      <c r="B3991" s="32" t="s">
        <v>3182</v>
      </c>
      <c r="C3991" s="32" t="s">
        <v>3183</v>
      </c>
      <c r="D3991" s="32" t="s">
        <v>59</v>
      </c>
      <c r="E3991" s="32" t="n">
        <v>0</v>
      </c>
      <c r="F3991" s="32" t="n">
        <v>9880873081</v>
      </c>
      <c r="G3991" s="32" t="s">
        <v>0</v>
      </c>
      <c r="H3991" s="32" t="s">
        <v>21</v>
      </c>
      <c r="I3991" s="32" t="s">
        <v>128</v>
      </c>
      <c r="J3991" s="32" t="s">
        <v>89</v>
      </c>
      <c r="K3991" s="32" t="s">
        <v>63</v>
      </c>
    </row>
    <row r="3992" customFormat="false" ht="13.5" hidden="false" customHeight="true" outlineLevel="0" collapsed="false">
      <c r="A3992" s="32" t="n">
        <v>6375</v>
      </c>
      <c r="B3992" s="32" t="s">
        <v>3182</v>
      </c>
      <c r="C3992" s="32" t="s">
        <v>3183</v>
      </c>
      <c r="D3992" s="32" t="s">
        <v>59</v>
      </c>
      <c r="E3992" s="32" t="n">
        <v>0</v>
      </c>
      <c r="F3992" s="32" t="n">
        <v>9880873081</v>
      </c>
      <c r="G3992" s="32" t="s">
        <v>0</v>
      </c>
      <c r="H3992" s="32" t="s">
        <v>21</v>
      </c>
      <c r="I3992" s="32" t="s">
        <v>145</v>
      </c>
      <c r="J3992" s="32" t="s">
        <v>117</v>
      </c>
      <c r="K3992" s="32" t="s">
        <v>63</v>
      </c>
    </row>
    <row r="3993" customFormat="false" ht="13.5" hidden="false" customHeight="true" outlineLevel="0" collapsed="false">
      <c r="A3993" s="32" t="n">
        <v>6376</v>
      </c>
      <c r="B3993" s="32" t="s">
        <v>3182</v>
      </c>
      <c r="C3993" s="32" t="s">
        <v>3183</v>
      </c>
      <c r="D3993" s="32" t="s">
        <v>59</v>
      </c>
      <c r="E3993" s="32" t="n">
        <v>0</v>
      </c>
      <c r="F3993" s="32" t="n">
        <v>9880873081</v>
      </c>
      <c r="G3993" s="32" t="s">
        <v>0</v>
      </c>
      <c r="H3993" s="32" t="s">
        <v>21</v>
      </c>
      <c r="I3993" s="32" t="s">
        <v>133</v>
      </c>
      <c r="J3993" s="32" t="s">
        <v>134</v>
      </c>
      <c r="K3993" s="32" t="s">
        <v>63</v>
      </c>
    </row>
    <row r="3994" customFormat="false" ht="13.5" hidden="false" customHeight="true" outlineLevel="0" collapsed="false">
      <c r="A3994" s="32" t="n">
        <v>6377</v>
      </c>
      <c r="B3994" s="32" t="s">
        <v>3184</v>
      </c>
      <c r="C3994" s="32" t="s">
        <v>3185</v>
      </c>
      <c r="D3994" s="32" t="s">
        <v>102</v>
      </c>
      <c r="E3994" s="32" t="s">
        <v>107</v>
      </c>
      <c r="F3994" s="32" t="n">
        <v>7981010137</v>
      </c>
      <c r="G3994" s="32" t="s">
        <v>80</v>
      </c>
      <c r="H3994" s="32" t="s">
        <v>21</v>
      </c>
      <c r="I3994" s="32" t="s">
        <v>27</v>
      </c>
      <c r="J3994" s="32" t="s">
        <v>13</v>
      </c>
      <c r="K3994" s="32" t="s">
        <v>63</v>
      </c>
    </row>
    <row r="3995" customFormat="false" ht="13.5" hidden="false" customHeight="true" outlineLevel="0" collapsed="false">
      <c r="A3995" s="32" t="n">
        <v>6378</v>
      </c>
      <c r="B3995" s="32" t="s">
        <v>3184</v>
      </c>
      <c r="C3995" s="32" t="s">
        <v>3185</v>
      </c>
      <c r="D3995" s="32" t="s">
        <v>102</v>
      </c>
      <c r="E3995" s="32" t="s">
        <v>107</v>
      </c>
      <c r="F3995" s="32" t="n">
        <v>7981010137</v>
      </c>
      <c r="G3995" s="32" t="s">
        <v>80</v>
      </c>
      <c r="H3995" s="32" t="s">
        <v>21</v>
      </c>
      <c r="I3995" s="32" t="s">
        <v>16</v>
      </c>
      <c r="J3995" s="32" t="s">
        <v>73</v>
      </c>
      <c r="K3995" s="32" t="s">
        <v>63</v>
      </c>
    </row>
    <row r="3996" customFormat="false" ht="13.5" hidden="false" customHeight="true" outlineLevel="0" collapsed="false">
      <c r="A3996" s="32" t="n">
        <v>6379</v>
      </c>
      <c r="B3996" s="32" t="s">
        <v>3186</v>
      </c>
      <c r="C3996" s="32" t="s">
        <v>3187</v>
      </c>
      <c r="D3996" s="32" t="s">
        <v>59</v>
      </c>
      <c r="E3996" s="32" t="s">
        <v>107</v>
      </c>
      <c r="F3996" s="32" t="n">
        <v>9599646005</v>
      </c>
      <c r="G3996" s="32" t="s">
        <v>144</v>
      </c>
      <c r="H3996" s="32" t="s">
        <v>21</v>
      </c>
      <c r="I3996" s="32" t="s">
        <v>93</v>
      </c>
      <c r="J3996" s="32" t="s">
        <v>85</v>
      </c>
      <c r="K3996" s="32" t="s">
        <v>63</v>
      </c>
    </row>
    <row r="3997" customFormat="false" ht="13.5" hidden="false" customHeight="true" outlineLevel="0" collapsed="false">
      <c r="A3997" s="32" t="n">
        <v>6380</v>
      </c>
      <c r="B3997" s="32" t="s">
        <v>3186</v>
      </c>
      <c r="C3997" s="32" t="s">
        <v>3188</v>
      </c>
      <c r="D3997" s="32" t="s">
        <v>59</v>
      </c>
      <c r="E3997" s="32" t="s">
        <v>107</v>
      </c>
      <c r="F3997" s="32" t="n">
        <v>9599646005</v>
      </c>
      <c r="G3997" s="32" t="s">
        <v>144</v>
      </c>
      <c r="H3997" s="32" t="s">
        <v>21</v>
      </c>
      <c r="I3997" s="32" t="s">
        <v>87</v>
      </c>
      <c r="J3997" s="32" t="s">
        <v>84</v>
      </c>
      <c r="K3997" s="32" t="s">
        <v>63</v>
      </c>
    </row>
    <row r="3998" customFormat="false" ht="13.5" hidden="false" customHeight="true" outlineLevel="0" collapsed="false">
      <c r="A3998" s="32" t="n">
        <v>6381</v>
      </c>
      <c r="B3998" s="32" t="s">
        <v>3186</v>
      </c>
      <c r="C3998" s="32" t="s">
        <v>3188</v>
      </c>
      <c r="D3998" s="32" t="s">
        <v>59</v>
      </c>
      <c r="E3998" s="32" t="s">
        <v>107</v>
      </c>
      <c r="F3998" s="32" t="n">
        <v>9599646005</v>
      </c>
      <c r="G3998" s="32" t="s">
        <v>144</v>
      </c>
      <c r="H3998" s="32" t="s">
        <v>21</v>
      </c>
      <c r="I3998" s="32" t="s">
        <v>226</v>
      </c>
      <c r="J3998" s="32" t="s">
        <v>110</v>
      </c>
      <c r="K3998" s="32" t="s">
        <v>63</v>
      </c>
    </row>
    <row r="3999" customFormat="false" ht="13.5" hidden="false" customHeight="true" outlineLevel="0" collapsed="false">
      <c r="A3999" s="32" t="n">
        <v>6382</v>
      </c>
      <c r="B3999" s="32" t="s">
        <v>3186</v>
      </c>
      <c r="C3999" s="32" t="s">
        <v>3188</v>
      </c>
      <c r="D3999" s="32" t="s">
        <v>59</v>
      </c>
      <c r="E3999" s="32" t="s">
        <v>107</v>
      </c>
      <c r="F3999" s="32" t="n">
        <v>9599646005</v>
      </c>
      <c r="G3999" s="32" t="s">
        <v>144</v>
      </c>
      <c r="H3999" s="32" t="s">
        <v>21</v>
      </c>
      <c r="I3999" s="32" t="s">
        <v>408</v>
      </c>
      <c r="J3999" s="32" t="s">
        <v>117</v>
      </c>
      <c r="K3999" s="32" t="s">
        <v>63</v>
      </c>
    </row>
    <row r="4000" customFormat="false" ht="13.5" hidden="false" customHeight="true" outlineLevel="0" collapsed="false">
      <c r="A4000" s="32" t="n">
        <v>6383</v>
      </c>
      <c r="B4000" s="32" t="s">
        <v>3189</v>
      </c>
      <c r="C4000" s="32" t="s">
        <v>3190</v>
      </c>
      <c r="D4000" s="32" t="s">
        <v>59</v>
      </c>
      <c r="E4000" s="32" t="s">
        <v>60</v>
      </c>
      <c r="F4000" s="32" t="n">
        <v>0</v>
      </c>
      <c r="G4000" s="32" t="s">
        <v>140</v>
      </c>
      <c r="H4000" s="32" t="s">
        <v>21</v>
      </c>
      <c r="I4000" s="32" t="s">
        <v>14</v>
      </c>
      <c r="J4000" s="32" t="s">
        <v>66</v>
      </c>
      <c r="K4000" s="32" t="s">
        <v>63</v>
      </c>
    </row>
    <row r="4001" customFormat="false" ht="13.5" hidden="false" customHeight="true" outlineLevel="0" collapsed="false">
      <c r="A4001" s="32" t="n">
        <v>6385</v>
      </c>
      <c r="B4001" s="32" t="s">
        <v>3191</v>
      </c>
      <c r="C4001" s="32" t="s">
        <v>3192</v>
      </c>
      <c r="D4001" s="32" t="s">
        <v>59</v>
      </c>
      <c r="E4001" s="32" t="s">
        <v>60</v>
      </c>
      <c r="F4001" s="33" t="n">
        <v>919995000000</v>
      </c>
      <c r="G4001" s="32" t="s">
        <v>61</v>
      </c>
      <c r="H4001" s="32" t="s">
        <v>21</v>
      </c>
      <c r="I4001" s="32" t="s">
        <v>14</v>
      </c>
      <c r="J4001" s="32" t="s">
        <v>66</v>
      </c>
      <c r="K4001" s="32" t="s">
        <v>63</v>
      </c>
    </row>
    <row r="4002" customFormat="false" ht="13.5" hidden="false" customHeight="true" outlineLevel="0" collapsed="false">
      <c r="A4002" s="32" t="n">
        <v>6386</v>
      </c>
      <c r="B4002" s="32" t="s">
        <v>3191</v>
      </c>
      <c r="C4002" s="32" t="s">
        <v>3192</v>
      </c>
      <c r="D4002" s="32" t="s">
        <v>59</v>
      </c>
      <c r="E4002" s="32" t="s">
        <v>60</v>
      </c>
      <c r="F4002" s="33" t="n">
        <v>919995000000</v>
      </c>
      <c r="G4002" s="32" t="s">
        <v>61</v>
      </c>
      <c r="H4002" s="32" t="s">
        <v>21</v>
      </c>
      <c r="I4002" s="32" t="s">
        <v>156</v>
      </c>
      <c r="J4002" s="32" t="s">
        <v>62</v>
      </c>
      <c r="K4002" s="32" t="s">
        <v>63</v>
      </c>
    </row>
    <row r="4003" customFormat="false" ht="13.5" hidden="false" customHeight="true" outlineLevel="0" collapsed="false">
      <c r="A4003" s="32" t="n">
        <v>6387</v>
      </c>
      <c r="B4003" s="32" t="s">
        <v>3191</v>
      </c>
      <c r="C4003" s="32" t="s">
        <v>3192</v>
      </c>
      <c r="D4003" s="32" t="s">
        <v>59</v>
      </c>
      <c r="E4003" s="32" t="s">
        <v>60</v>
      </c>
      <c r="F4003" s="33" t="n">
        <v>919995000000</v>
      </c>
      <c r="G4003" s="32" t="s">
        <v>61</v>
      </c>
      <c r="H4003" s="32" t="s">
        <v>21</v>
      </c>
      <c r="I4003" s="32" t="s">
        <v>29</v>
      </c>
      <c r="J4003" s="32" t="s">
        <v>62</v>
      </c>
      <c r="K4003" s="32" t="s">
        <v>63</v>
      </c>
    </row>
    <row r="4004" customFormat="false" ht="13.5" hidden="false" customHeight="true" outlineLevel="0" collapsed="false">
      <c r="A4004" s="32" t="n">
        <v>6388</v>
      </c>
      <c r="B4004" s="32" t="s">
        <v>3193</v>
      </c>
      <c r="C4004" s="32" t="s">
        <v>3194</v>
      </c>
      <c r="D4004" s="32" t="s">
        <v>59</v>
      </c>
      <c r="E4004" s="32" t="n">
        <v>0</v>
      </c>
      <c r="F4004" s="32" t="n">
        <v>9900578238</v>
      </c>
      <c r="G4004" s="32" t="s">
        <v>61</v>
      </c>
      <c r="H4004" s="32" t="s">
        <v>21</v>
      </c>
      <c r="I4004" s="32" t="s">
        <v>386</v>
      </c>
      <c r="J4004" s="32" t="s">
        <v>132</v>
      </c>
      <c r="K4004" s="32" t="s">
        <v>63</v>
      </c>
    </row>
    <row r="4005" customFormat="false" ht="13.5" hidden="false" customHeight="true" outlineLevel="0" collapsed="false">
      <c r="A4005" s="32" t="n">
        <v>6389</v>
      </c>
      <c r="B4005" s="32" t="s">
        <v>3195</v>
      </c>
      <c r="C4005" s="32" t="s">
        <v>3196</v>
      </c>
      <c r="D4005" s="32" t="s">
        <v>114</v>
      </c>
      <c r="E4005" s="32" t="s">
        <v>124</v>
      </c>
      <c r="F4005" s="32" t="n">
        <v>8197494585</v>
      </c>
      <c r="G4005" s="32" t="s">
        <v>61</v>
      </c>
      <c r="H4005" s="32" t="s">
        <v>22</v>
      </c>
      <c r="I4005" s="32" t="s">
        <v>227</v>
      </c>
      <c r="J4005" s="32" t="s">
        <v>228</v>
      </c>
      <c r="K4005" s="32" t="s">
        <v>63</v>
      </c>
    </row>
    <row r="4006" customFormat="false" ht="13.5" hidden="false" customHeight="true" outlineLevel="0" collapsed="false">
      <c r="A4006" s="32" t="n">
        <v>6390</v>
      </c>
      <c r="B4006" s="32" t="s">
        <v>3195</v>
      </c>
      <c r="C4006" s="32" t="s">
        <v>3196</v>
      </c>
      <c r="D4006" s="32" t="s">
        <v>114</v>
      </c>
      <c r="E4006" s="32" t="s">
        <v>124</v>
      </c>
      <c r="F4006" s="32" t="n">
        <v>8197494585</v>
      </c>
      <c r="G4006" s="32" t="s">
        <v>61</v>
      </c>
      <c r="H4006" s="32" t="s">
        <v>22</v>
      </c>
      <c r="I4006" s="32" t="s">
        <v>93</v>
      </c>
      <c r="J4006" s="32" t="s">
        <v>85</v>
      </c>
      <c r="K4006" s="32" t="s">
        <v>63</v>
      </c>
    </row>
    <row r="4007" customFormat="false" ht="13.5" hidden="false" customHeight="true" outlineLevel="0" collapsed="false">
      <c r="A4007" s="32" t="n">
        <v>6391</v>
      </c>
      <c r="B4007" s="32" t="s">
        <v>3195</v>
      </c>
      <c r="C4007" s="32" t="s">
        <v>3197</v>
      </c>
      <c r="D4007" s="32" t="s">
        <v>114</v>
      </c>
      <c r="E4007" s="32" t="s">
        <v>124</v>
      </c>
      <c r="F4007" s="32" t="n">
        <v>8197494585</v>
      </c>
      <c r="G4007" s="32" t="s">
        <v>61</v>
      </c>
      <c r="H4007" s="32" t="s">
        <v>22</v>
      </c>
      <c r="I4007" s="32" t="s">
        <v>185</v>
      </c>
      <c r="J4007" s="32" t="s">
        <v>186</v>
      </c>
      <c r="K4007" s="32" t="s">
        <v>63</v>
      </c>
    </row>
    <row r="4008" customFormat="false" ht="13.5" hidden="false" customHeight="true" outlineLevel="0" collapsed="false">
      <c r="A4008" s="32" t="n">
        <v>6392</v>
      </c>
      <c r="B4008" s="32" t="s">
        <v>3195</v>
      </c>
      <c r="C4008" s="32" t="s">
        <v>3197</v>
      </c>
      <c r="D4008" s="32" t="s">
        <v>114</v>
      </c>
      <c r="E4008" s="32" t="s">
        <v>124</v>
      </c>
      <c r="F4008" s="32" t="n">
        <v>8197494585</v>
      </c>
      <c r="G4008" s="32" t="s">
        <v>61</v>
      </c>
      <c r="H4008" s="32" t="s">
        <v>22</v>
      </c>
      <c r="I4008" s="32" t="s">
        <v>226</v>
      </c>
      <c r="J4008" s="32" t="s">
        <v>110</v>
      </c>
      <c r="K4008" s="32" t="s">
        <v>63</v>
      </c>
    </row>
    <row r="4009" customFormat="false" ht="13.5" hidden="false" customHeight="true" outlineLevel="0" collapsed="false">
      <c r="A4009" s="32" t="n">
        <v>6393</v>
      </c>
      <c r="B4009" s="32" t="s">
        <v>3198</v>
      </c>
      <c r="C4009" s="32" t="s">
        <v>3199</v>
      </c>
      <c r="D4009" s="32" t="s">
        <v>59</v>
      </c>
      <c r="E4009" s="32" t="s">
        <v>107</v>
      </c>
      <c r="F4009" s="33" t="n">
        <v>919885000000</v>
      </c>
      <c r="G4009" s="32" t="s">
        <v>61</v>
      </c>
      <c r="H4009" s="32" t="s">
        <v>21</v>
      </c>
      <c r="I4009" s="32" t="s">
        <v>95</v>
      </c>
      <c r="J4009" s="32" t="s">
        <v>96</v>
      </c>
      <c r="K4009" s="32" t="s">
        <v>63</v>
      </c>
    </row>
    <row r="4010" customFormat="false" ht="13.5" hidden="false" customHeight="true" outlineLevel="0" collapsed="false">
      <c r="A4010" s="32" t="n">
        <v>6394</v>
      </c>
      <c r="B4010" s="32" t="s">
        <v>3198</v>
      </c>
      <c r="C4010" s="32" t="s">
        <v>3199</v>
      </c>
      <c r="D4010" s="32" t="s">
        <v>59</v>
      </c>
      <c r="E4010" s="32" t="s">
        <v>107</v>
      </c>
      <c r="F4010" s="33" t="n">
        <v>919885000000</v>
      </c>
      <c r="G4010" s="32" t="s">
        <v>61</v>
      </c>
      <c r="H4010" s="32" t="s">
        <v>21</v>
      </c>
      <c r="I4010" s="32" t="s">
        <v>145</v>
      </c>
      <c r="J4010" s="32" t="s">
        <v>117</v>
      </c>
      <c r="K4010" s="32" t="s">
        <v>63</v>
      </c>
    </row>
    <row r="4011" customFormat="false" ht="13.5" hidden="false" customHeight="true" outlineLevel="0" collapsed="false">
      <c r="A4011" s="32" t="n">
        <v>6395</v>
      </c>
      <c r="B4011" s="32" t="s">
        <v>3198</v>
      </c>
      <c r="C4011" s="32" t="s">
        <v>3199</v>
      </c>
      <c r="D4011" s="32" t="s">
        <v>59</v>
      </c>
      <c r="E4011" s="32" t="s">
        <v>107</v>
      </c>
      <c r="F4011" s="33" t="n">
        <v>919885000000</v>
      </c>
      <c r="G4011" s="32" t="s">
        <v>61</v>
      </c>
      <c r="H4011" s="32" t="s">
        <v>21</v>
      </c>
      <c r="I4011" s="32" t="s">
        <v>146</v>
      </c>
      <c r="J4011" s="32" t="s">
        <v>117</v>
      </c>
      <c r="K4011" s="32" t="s">
        <v>63</v>
      </c>
    </row>
    <row r="4012" customFormat="false" ht="13.5" hidden="false" customHeight="true" outlineLevel="0" collapsed="false">
      <c r="A4012" s="32" t="n">
        <v>6396</v>
      </c>
      <c r="B4012" s="32" t="s">
        <v>3200</v>
      </c>
      <c r="C4012" s="32" t="s">
        <v>3201</v>
      </c>
      <c r="D4012" s="32" t="s">
        <v>331</v>
      </c>
      <c r="E4012" s="32" t="s">
        <v>620</v>
      </c>
      <c r="F4012" s="33" t="n">
        <v>919812000000</v>
      </c>
      <c r="G4012" s="32" t="s">
        <v>144</v>
      </c>
      <c r="H4012" s="32" t="s">
        <v>332</v>
      </c>
      <c r="I4012" s="32" t="s">
        <v>145</v>
      </c>
      <c r="J4012" s="32" t="s">
        <v>117</v>
      </c>
      <c r="K4012" s="32" t="s">
        <v>63</v>
      </c>
    </row>
    <row r="4013" customFormat="false" ht="13.5" hidden="false" customHeight="true" outlineLevel="0" collapsed="false">
      <c r="A4013" s="32" t="n">
        <v>6397</v>
      </c>
      <c r="B4013" s="32" t="s">
        <v>3200</v>
      </c>
      <c r="C4013" s="32" t="s">
        <v>3201</v>
      </c>
      <c r="D4013" s="32" t="s">
        <v>331</v>
      </c>
      <c r="E4013" s="32" t="s">
        <v>620</v>
      </c>
      <c r="F4013" s="33" t="n">
        <v>919812000000</v>
      </c>
      <c r="G4013" s="32" t="s">
        <v>144</v>
      </c>
      <c r="H4013" s="32" t="s">
        <v>332</v>
      </c>
      <c r="I4013" s="32" t="s">
        <v>98</v>
      </c>
      <c r="J4013" s="32" t="s">
        <v>99</v>
      </c>
      <c r="K4013" s="32" t="s">
        <v>63</v>
      </c>
    </row>
    <row r="4014" customFormat="false" ht="13.5" hidden="false" customHeight="true" outlineLevel="0" collapsed="false">
      <c r="A4014" s="32" t="n">
        <v>6398</v>
      </c>
      <c r="B4014" s="32" t="s">
        <v>3200</v>
      </c>
      <c r="C4014" s="32" t="s">
        <v>3201</v>
      </c>
      <c r="D4014" s="32" t="s">
        <v>331</v>
      </c>
      <c r="E4014" s="32" t="s">
        <v>620</v>
      </c>
      <c r="F4014" s="33" t="n">
        <v>919812000000</v>
      </c>
      <c r="G4014" s="32" t="s">
        <v>144</v>
      </c>
      <c r="H4014" s="32" t="s">
        <v>332</v>
      </c>
      <c r="I4014" s="32" t="s">
        <v>93</v>
      </c>
      <c r="J4014" s="32" t="s">
        <v>85</v>
      </c>
      <c r="K4014" s="32" t="s">
        <v>63</v>
      </c>
    </row>
    <row r="4015" customFormat="false" ht="13.5" hidden="false" customHeight="true" outlineLevel="0" collapsed="false">
      <c r="A4015" s="32" t="n">
        <v>6399</v>
      </c>
      <c r="B4015" s="32" t="s">
        <v>3202</v>
      </c>
      <c r="C4015" s="32" t="s">
        <v>3203</v>
      </c>
      <c r="D4015" s="32" t="s">
        <v>114</v>
      </c>
      <c r="E4015" s="32" t="s">
        <v>115</v>
      </c>
      <c r="F4015" s="32" t="n">
        <v>8971832817</v>
      </c>
      <c r="G4015" s="32" t="s">
        <v>104</v>
      </c>
      <c r="H4015" s="32" t="s">
        <v>22</v>
      </c>
      <c r="I4015" s="32" t="s">
        <v>75</v>
      </c>
      <c r="J4015" s="32" t="s">
        <v>76</v>
      </c>
      <c r="K4015" s="32" t="s">
        <v>63</v>
      </c>
    </row>
    <row r="4016" customFormat="false" ht="13.5" hidden="false" customHeight="true" outlineLevel="0" collapsed="false">
      <c r="A4016" s="32" t="n">
        <v>6400</v>
      </c>
      <c r="B4016" s="32" t="s">
        <v>3202</v>
      </c>
      <c r="C4016" s="32" t="s">
        <v>3203</v>
      </c>
      <c r="D4016" s="32" t="s">
        <v>114</v>
      </c>
      <c r="E4016" s="32" t="s">
        <v>115</v>
      </c>
      <c r="F4016" s="32" t="n">
        <v>8971832817</v>
      </c>
      <c r="G4016" s="32" t="s">
        <v>104</v>
      </c>
      <c r="H4016" s="32" t="s">
        <v>22</v>
      </c>
      <c r="I4016" s="32" t="s">
        <v>16</v>
      </c>
      <c r="J4016" s="32" t="s">
        <v>73</v>
      </c>
      <c r="K4016" s="32" t="s">
        <v>63</v>
      </c>
    </row>
    <row r="4017" customFormat="false" ht="13.5" hidden="false" customHeight="true" outlineLevel="0" collapsed="false">
      <c r="A4017" s="32" t="n">
        <v>6401</v>
      </c>
      <c r="B4017" s="32" t="s">
        <v>3202</v>
      </c>
      <c r="C4017" s="32" t="s">
        <v>3203</v>
      </c>
      <c r="D4017" s="32" t="s">
        <v>114</v>
      </c>
      <c r="E4017" s="32" t="s">
        <v>115</v>
      </c>
      <c r="F4017" s="32" t="n">
        <v>8971832817</v>
      </c>
      <c r="G4017" s="32" t="s">
        <v>104</v>
      </c>
      <c r="H4017" s="32" t="s">
        <v>22</v>
      </c>
      <c r="I4017" s="32" t="s">
        <v>150</v>
      </c>
      <c r="J4017" s="32" t="s">
        <v>73</v>
      </c>
      <c r="K4017" s="32" t="s">
        <v>63</v>
      </c>
    </row>
    <row r="4018" customFormat="false" ht="13.5" hidden="false" customHeight="true" outlineLevel="0" collapsed="false">
      <c r="A4018" s="32" t="n">
        <v>6402</v>
      </c>
      <c r="B4018" s="32" t="s">
        <v>3204</v>
      </c>
      <c r="C4018" s="32" t="s">
        <v>3205</v>
      </c>
      <c r="D4018" s="32" t="s">
        <v>114</v>
      </c>
      <c r="E4018" s="32" t="s">
        <v>115</v>
      </c>
      <c r="F4018" s="32" t="n">
        <v>7507665930</v>
      </c>
      <c r="G4018" s="32" t="s">
        <v>80</v>
      </c>
      <c r="H4018" s="32" t="s">
        <v>22</v>
      </c>
      <c r="I4018" s="32" t="s">
        <v>109</v>
      </c>
      <c r="J4018" s="32" t="s">
        <v>110</v>
      </c>
      <c r="K4018" s="32" t="s">
        <v>63</v>
      </c>
    </row>
    <row r="4019" customFormat="false" ht="13.5" hidden="false" customHeight="true" outlineLevel="0" collapsed="false">
      <c r="A4019" s="32" t="n">
        <v>6403</v>
      </c>
      <c r="B4019" s="32" t="s">
        <v>3204</v>
      </c>
      <c r="C4019" s="32" t="s">
        <v>3205</v>
      </c>
      <c r="D4019" s="32" t="s">
        <v>114</v>
      </c>
      <c r="E4019" s="32" t="s">
        <v>115</v>
      </c>
      <c r="F4019" s="32" t="n">
        <v>7507665930</v>
      </c>
      <c r="G4019" s="32" t="s">
        <v>80</v>
      </c>
      <c r="H4019" s="32" t="s">
        <v>22</v>
      </c>
      <c r="I4019" s="32" t="s">
        <v>121</v>
      </c>
      <c r="J4019" s="32" t="s">
        <v>110</v>
      </c>
      <c r="K4019" s="32" t="s">
        <v>63</v>
      </c>
    </row>
    <row r="4020" customFormat="false" ht="13.5" hidden="false" customHeight="true" outlineLevel="0" collapsed="false">
      <c r="A4020" s="32" t="n">
        <v>6404</v>
      </c>
      <c r="B4020" s="32" t="s">
        <v>3204</v>
      </c>
      <c r="C4020" s="32" t="s">
        <v>3205</v>
      </c>
      <c r="D4020" s="32" t="s">
        <v>114</v>
      </c>
      <c r="E4020" s="32" t="s">
        <v>115</v>
      </c>
      <c r="F4020" s="32" t="n">
        <v>7507665930</v>
      </c>
      <c r="G4020" s="32" t="s">
        <v>80</v>
      </c>
      <c r="H4020" s="32" t="s">
        <v>22</v>
      </c>
      <c r="I4020" s="32" t="s">
        <v>145</v>
      </c>
      <c r="J4020" s="32" t="s">
        <v>117</v>
      </c>
      <c r="K4020" s="32" t="s">
        <v>63</v>
      </c>
    </row>
    <row r="4021" customFormat="false" ht="13.5" hidden="false" customHeight="true" outlineLevel="0" collapsed="false">
      <c r="A4021" s="32" t="n">
        <v>6405</v>
      </c>
      <c r="B4021" s="32" t="s">
        <v>3206</v>
      </c>
      <c r="C4021" s="32" t="s">
        <v>3207</v>
      </c>
      <c r="D4021" s="32" t="s">
        <v>59</v>
      </c>
      <c r="E4021" s="32" t="s">
        <v>107</v>
      </c>
      <c r="F4021" s="32" t="n">
        <v>9010034400</v>
      </c>
      <c r="G4021" s="32" t="s">
        <v>69</v>
      </c>
      <c r="H4021" s="32" t="s">
        <v>21</v>
      </c>
      <c r="I4021" s="32" t="s">
        <v>93</v>
      </c>
      <c r="J4021" s="32" t="s">
        <v>85</v>
      </c>
      <c r="K4021" s="32" t="s">
        <v>63</v>
      </c>
    </row>
    <row r="4022" customFormat="false" ht="13.5" hidden="false" customHeight="true" outlineLevel="0" collapsed="false">
      <c r="A4022" s="32" t="n">
        <v>6406</v>
      </c>
      <c r="B4022" s="32" t="s">
        <v>3208</v>
      </c>
      <c r="C4022" s="32" t="s">
        <v>3209</v>
      </c>
      <c r="D4022" s="32" t="s">
        <v>59</v>
      </c>
      <c r="E4022" s="32" t="s">
        <v>143</v>
      </c>
      <c r="F4022" s="32" t="n">
        <v>9916940907</v>
      </c>
      <c r="G4022" s="32" t="s">
        <v>61</v>
      </c>
      <c r="H4022" s="32" t="s">
        <v>21</v>
      </c>
      <c r="I4022" s="32" t="s">
        <v>108</v>
      </c>
      <c r="J4022" s="32" t="s">
        <v>71</v>
      </c>
      <c r="K4022" s="32" t="s">
        <v>63</v>
      </c>
    </row>
    <row r="4023" customFormat="false" ht="13.5" hidden="false" customHeight="true" outlineLevel="0" collapsed="false">
      <c r="A4023" s="32" t="n">
        <v>6407</v>
      </c>
      <c r="B4023" s="32" t="s">
        <v>3208</v>
      </c>
      <c r="C4023" s="32" t="s">
        <v>3210</v>
      </c>
      <c r="D4023" s="32" t="s">
        <v>59</v>
      </c>
      <c r="E4023" s="32" t="s">
        <v>143</v>
      </c>
      <c r="F4023" s="32" t="n">
        <v>9916940907</v>
      </c>
      <c r="G4023" s="32" t="s">
        <v>61</v>
      </c>
      <c r="H4023" s="32" t="s">
        <v>21</v>
      </c>
      <c r="I4023" s="32" t="s">
        <v>280</v>
      </c>
      <c r="J4023" s="32" t="s">
        <v>76</v>
      </c>
      <c r="K4023" s="32" t="s">
        <v>63</v>
      </c>
    </row>
    <row r="4024" customFormat="false" ht="13.5" hidden="false" customHeight="true" outlineLevel="0" collapsed="false">
      <c r="A4024" s="32" t="n">
        <v>6408</v>
      </c>
      <c r="B4024" s="32" t="s">
        <v>3208</v>
      </c>
      <c r="C4024" s="32" t="s">
        <v>3209</v>
      </c>
      <c r="D4024" s="32" t="s">
        <v>59</v>
      </c>
      <c r="E4024" s="32" t="s">
        <v>143</v>
      </c>
      <c r="F4024" s="32" t="n">
        <v>9916940907</v>
      </c>
      <c r="G4024" s="32" t="s">
        <v>61</v>
      </c>
      <c r="H4024" s="32" t="s">
        <v>21</v>
      </c>
      <c r="I4024" s="32" t="s">
        <v>133</v>
      </c>
      <c r="J4024" s="32" t="s">
        <v>134</v>
      </c>
      <c r="K4024" s="32" t="s">
        <v>63</v>
      </c>
    </row>
    <row r="4025" customFormat="false" ht="13.5" hidden="false" customHeight="true" outlineLevel="0" collapsed="false">
      <c r="A4025" s="32" t="n">
        <v>6409</v>
      </c>
      <c r="B4025" s="32" t="s">
        <v>3211</v>
      </c>
      <c r="C4025" s="32" t="s">
        <v>3212</v>
      </c>
      <c r="D4025" s="32" t="s">
        <v>59</v>
      </c>
      <c r="E4025" s="32" t="s">
        <v>107</v>
      </c>
      <c r="F4025" s="32" t="n">
        <v>7795737875</v>
      </c>
      <c r="G4025" s="32" t="s">
        <v>61</v>
      </c>
      <c r="H4025" s="32" t="s">
        <v>21</v>
      </c>
      <c r="I4025" s="32" t="s">
        <v>95</v>
      </c>
      <c r="J4025" s="32" t="s">
        <v>96</v>
      </c>
      <c r="K4025" s="32" t="s">
        <v>63</v>
      </c>
    </row>
    <row r="4026" customFormat="false" ht="13.5" hidden="false" customHeight="true" outlineLevel="0" collapsed="false">
      <c r="A4026" s="32" t="n">
        <v>6410</v>
      </c>
      <c r="B4026" s="32" t="s">
        <v>3211</v>
      </c>
      <c r="C4026" s="32" t="s">
        <v>3212</v>
      </c>
      <c r="D4026" s="32" t="s">
        <v>59</v>
      </c>
      <c r="E4026" s="32" t="s">
        <v>107</v>
      </c>
      <c r="F4026" s="32" t="n">
        <v>7795737875</v>
      </c>
      <c r="G4026" s="32" t="s">
        <v>61</v>
      </c>
      <c r="H4026" s="32" t="s">
        <v>21</v>
      </c>
      <c r="I4026" s="32" t="s">
        <v>145</v>
      </c>
      <c r="J4026" s="32" t="s">
        <v>117</v>
      </c>
      <c r="K4026" s="32" t="s">
        <v>63</v>
      </c>
    </row>
    <row r="4027" customFormat="false" ht="13.5" hidden="false" customHeight="true" outlineLevel="0" collapsed="false">
      <c r="A4027" s="32" t="n">
        <v>6411</v>
      </c>
      <c r="B4027" s="32" t="s">
        <v>3213</v>
      </c>
      <c r="C4027" s="32" t="s">
        <v>3214</v>
      </c>
      <c r="D4027" s="32" t="s">
        <v>114</v>
      </c>
      <c r="E4027" s="32" t="s">
        <v>268</v>
      </c>
      <c r="F4027" s="33" t="n">
        <v>919989000000</v>
      </c>
      <c r="G4027" s="32" t="s">
        <v>80</v>
      </c>
      <c r="H4027" s="32" t="s">
        <v>22</v>
      </c>
      <c r="I4027" s="32" t="s">
        <v>1188</v>
      </c>
      <c r="J4027" s="32" t="s">
        <v>84</v>
      </c>
      <c r="K4027" s="32" t="s">
        <v>63</v>
      </c>
    </row>
    <row r="4028" customFormat="false" ht="13.5" hidden="false" customHeight="true" outlineLevel="0" collapsed="false">
      <c r="A4028" s="32" t="n">
        <v>6413</v>
      </c>
      <c r="B4028" s="32" t="s">
        <v>3213</v>
      </c>
      <c r="C4028" s="32" t="s">
        <v>3214</v>
      </c>
      <c r="D4028" s="32" t="s">
        <v>114</v>
      </c>
      <c r="E4028" s="32" t="s">
        <v>268</v>
      </c>
      <c r="F4028" s="33" t="n">
        <v>919989000000</v>
      </c>
      <c r="G4028" s="32" t="s">
        <v>80</v>
      </c>
      <c r="H4028" s="32" t="s">
        <v>22</v>
      </c>
      <c r="I4028" s="32" t="s">
        <v>826</v>
      </c>
      <c r="J4028" s="32" t="s">
        <v>84</v>
      </c>
      <c r="K4028" s="32" t="s">
        <v>63</v>
      </c>
    </row>
    <row r="4029" customFormat="false" ht="13.5" hidden="false" customHeight="true" outlineLevel="0" collapsed="false">
      <c r="A4029" s="32" t="n">
        <v>6414</v>
      </c>
      <c r="B4029" s="32" t="s">
        <v>3213</v>
      </c>
      <c r="C4029" s="32" t="s">
        <v>3214</v>
      </c>
      <c r="D4029" s="32" t="s">
        <v>114</v>
      </c>
      <c r="E4029" s="32" t="s">
        <v>268</v>
      </c>
      <c r="F4029" s="33" t="n">
        <v>919989000000</v>
      </c>
      <c r="G4029" s="32" t="s">
        <v>80</v>
      </c>
      <c r="H4029" s="32" t="s">
        <v>22</v>
      </c>
      <c r="I4029" s="32" t="s">
        <v>95</v>
      </c>
      <c r="J4029" s="32" t="s">
        <v>96</v>
      </c>
      <c r="K4029" s="32" t="s">
        <v>63</v>
      </c>
    </row>
    <row r="4030" customFormat="false" ht="13.5" hidden="false" customHeight="true" outlineLevel="0" collapsed="false">
      <c r="A4030" s="32" t="n">
        <v>6415</v>
      </c>
      <c r="B4030" s="32" t="s">
        <v>3215</v>
      </c>
      <c r="C4030" s="32" t="s">
        <v>3216</v>
      </c>
      <c r="D4030" s="32" t="s">
        <v>114</v>
      </c>
      <c r="E4030" s="32" t="s">
        <v>268</v>
      </c>
      <c r="F4030" s="32" t="n">
        <v>0</v>
      </c>
      <c r="G4030" s="32" t="s">
        <v>144</v>
      </c>
      <c r="H4030" s="32" t="s">
        <v>22</v>
      </c>
      <c r="I4030" s="32" t="s">
        <v>516</v>
      </c>
      <c r="J4030" s="32" t="s">
        <v>66</v>
      </c>
      <c r="K4030" s="32" t="s">
        <v>63</v>
      </c>
    </row>
    <row r="4031" customFormat="false" ht="13.5" hidden="false" customHeight="true" outlineLevel="0" collapsed="false">
      <c r="A4031" s="32" t="n">
        <v>6416</v>
      </c>
      <c r="B4031" s="32" t="s">
        <v>3215</v>
      </c>
      <c r="C4031" s="32" t="s">
        <v>3216</v>
      </c>
      <c r="D4031" s="32" t="s">
        <v>114</v>
      </c>
      <c r="E4031" s="32" t="s">
        <v>268</v>
      </c>
      <c r="F4031" s="32" t="n">
        <v>0</v>
      </c>
      <c r="G4031" s="32" t="s">
        <v>144</v>
      </c>
      <c r="H4031" s="32" t="s">
        <v>22</v>
      </c>
      <c r="I4031" s="32" t="s">
        <v>156</v>
      </c>
      <c r="J4031" s="32" t="s">
        <v>62</v>
      </c>
      <c r="K4031" s="32" t="s">
        <v>63</v>
      </c>
    </row>
    <row r="4032" customFormat="false" ht="13.5" hidden="false" customHeight="true" outlineLevel="0" collapsed="false">
      <c r="A4032" s="32" t="n">
        <v>6417</v>
      </c>
      <c r="B4032" s="32" t="s">
        <v>3215</v>
      </c>
      <c r="C4032" s="32" t="s">
        <v>3217</v>
      </c>
      <c r="D4032" s="32" t="s">
        <v>114</v>
      </c>
      <c r="E4032" s="32" t="s">
        <v>268</v>
      </c>
      <c r="F4032" s="32" t="n">
        <v>0</v>
      </c>
      <c r="G4032" s="32" t="s">
        <v>144</v>
      </c>
      <c r="H4032" s="32" t="s">
        <v>22</v>
      </c>
      <c r="I4032" s="32" t="s">
        <v>14</v>
      </c>
      <c r="J4032" s="32" t="s">
        <v>66</v>
      </c>
      <c r="K4032" s="32" t="s">
        <v>63</v>
      </c>
    </row>
    <row r="4033" customFormat="false" ht="13.5" hidden="false" customHeight="true" outlineLevel="0" collapsed="false">
      <c r="A4033" s="32" t="n">
        <v>6418</v>
      </c>
      <c r="B4033" s="32" t="s">
        <v>3215</v>
      </c>
      <c r="C4033" s="32" t="s">
        <v>3217</v>
      </c>
      <c r="D4033" s="32" t="s">
        <v>114</v>
      </c>
      <c r="E4033" s="32" t="s">
        <v>268</v>
      </c>
      <c r="F4033" s="32" t="n">
        <v>0</v>
      </c>
      <c r="G4033" s="32" t="s">
        <v>144</v>
      </c>
      <c r="H4033" s="32" t="s">
        <v>22</v>
      </c>
      <c r="I4033" s="32" t="s">
        <v>166</v>
      </c>
      <c r="J4033" s="32" t="s">
        <v>66</v>
      </c>
      <c r="K4033" s="32" t="s">
        <v>63</v>
      </c>
    </row>
    <row r="4034" customFormat="false" ht="13.5" hidden="false" customHeight="true" outlineLevel="0" collapsed="false">
      <c r="A4034" s="32" t="n">
        <v>6419</v>
      </c>
      <c r="B4034" s="32" t="s">
        <v>3218</v>
      </c>
      <c r="C4034" s="32" t="s">
        <v>3219</v>
      </c>
      <c r="D4034" s="32" t="s">
        <v>331</v>
      </c>
      <c r="E4034" s="32" t="s">
        <v>278</v>
      </c>
      <c r="F4034" s="32" t="n">
        <v>9949736649</v>
      </c>
      <c r="G4034" s="32" t="s">
        <v>80</v>
      </c>
      <c r="H4034" s="32" t="s">
        <v>332</v>
      </c>
      <c r="I4034" s="32" t="s">
        <v>95</v>
      </c>
      <c r="J4034" s="32" t="s">
        <v>96</v>
      </c>
      <c r="K4034" s="32" t="s">
        <v>63</v>
      </c>
    </row>
    <row r="4035" customFormat="false" ht="13.5" hidden="false" customHeight="true" outlineLevel="0" collapsed="false">
      <c r="A4035" s="32" t="n">
        <v>6420</v>
      </c>
      <c r="B4035" s="32" t="s">
        <v>3218</v>
      </c>
      <c r="C4035" s="32" t="s">
        <v>3219</v>
      </c>
      <c r="D4035" s="32" t="s">
        <v>331</v>
      </c>
      <c r="E4035" s="32" t="s">
        <v>278</v>
      </c>
      <c r="F4035" s="32" t="n">
        <v>9949736649</v>
      </c>
      <c r="G4035" s="32" t="s">
        <v>80</v>
      </c>
      <c r="H4035" s="32" t="s">
        <v>332</v>
      </c>
      <c r="I4035" s="32" t="s">
        <v>185</v>
      </c>
      <c r="J4035" s="32" t="s">
        <v>186</v>
      </c>
      <c r="K4035" s="32" t="s">
        <v>63</v>
      </c>
    </row>
    <row r="4036" customFormat="false" ht="13.5" hidden="false" customHeight="true" outlineLevel="0" collapsed="false">
      <c r="A4036" s="32" t="n">
        <v>6421</v>
      </c>
      <c r="B4036" s="32" t="s">
        <v>3218</v>
      </c>
      <c r="C4036" s="32" t="s">
        <v>3219</v>
      </c>
      <c r="D4036" s="32" t="s">
        <v>331</v>
      </c>
      <c r="E4036" s="32" t="s">
        <v>278</v>
      </c>
      <c r="F4036" s="32" t="n">
        <v>9949736649</v>
      </c>
      <c r="G4036" s="32" t="s">
        <v>80</v>
      </c>
      <c r="H4036" s="32" t="s">
        <v>332</v>
      </c>
      <c r="I4036" s="32" t="s">
        <v>145</v>
      </c>
      <c r="J4036" s="32" t="s">
        <v>117</v>
      </c>
      <c r="K4036" s="32" t="s">
        <v>63</v>
      </c>
    </row>
    <row r="4037" customFormat="false" ht="13.5" hidden="false" customHeight="true" outlineLevel="0" collapsed="false">
      <c r="A4037" s="32" t="n">
        <v>6422</v>
      </c>
      <c r="B4037" s="32" t="s">
        <v>3218</v>
      </c>
      <c r="C4037" s="32" t="s">
        <v>3219</v>
      </c>
      <c r="D4037" s="32" t="s">
        <v>331</v>
      </c>
      <c r="E4037" s="32" t="s">
        <v>278</v>
      </c>
      <c r="F4037" s="32" t="n">
        <v>9949736649</v>
      </c>
      <c r="G4037" s="32" t="s">
        <v>80</v>
      </c>
      <c r="H4037" s="32" t="s">
        <v>332</v>
      </c>
      <c r="I4037" s="32" t="s">
        <v>172</v>
      </c>
      <c r="J4037" s="32" t="s">
        <v>152</v>
      </c>
      <c r="K4037" s="32" t="s">
        <v>63</v>
      </c>
    </row>
    <row r="4038" customFormat="false" ht="13.5" hidden="false" customHeight="true" outlineLevel="0" collapsed="false">
      <c r="A4038" s="32" t="n">
        <v>6423</v>
      </c>
      <c r="B4038" s="32" t="s">
        <v>3218</v>
      </c>
      <c r="C4038" s="32" t="s">
        <v>3219</v>
      </c>
      <c r="D4038" s="32" t="s">
        <v>331</v>
      </c>
      <c r="E4038" s="32" t="s">
        <v>278</v>
      </c>
      <c r="F4038" s="32" t="n">
        <v>9949736649</v>
      </c>
      <c r="G4038" s="32" t="s">
        <v>80</v>
      </c>
      <c r="H4038" s="32" t="s">
        <v>332</v>
      </c>
      <c r="I4038" s="32" t="s">
        <v>116</v>
      </c>
      <c r="J4038" s="32" t="s">
        <v>117</v>
      </c>
      <c r="K4038" s="32" t="s">
        <v>63</v>
      </c>
    </row>
    <row r="4039" customFormat="false" ht="13.5" hidden="false" customHeight="true" outlineLevel="0" collapsed="false">
      <c r="A4039" s="32" t="n">
        <v>6424</v>
      </c>
      <c r="B4039" s="32" t="s">
        <v>3220</v>
      </c>
      <c r="C4039" s="32" t="s">
        <v>3221</v>
      </c>
      <c r="D4039" s="32" t="s">
        <v>331</v>
      </c>
      <c r="E4039" s="32" t="n">
        <v>0</v>
      </c>
      <c r="F4039" s="32" t="n">
        <v>8095899299</v>
      </c>
      <c r="G4039" s="32" t="s">
        <v>80</v>
      </c>
      <c r="H4039" s="32" t="s">
        <v>332</v>
      </c>
      <c r="I4039" s="32" t="s">
        <v>2389</v>
      </c>
      <c r="J4039" s="32" t="s">
        <v>89</v>
      </c>
      <c r="K4039" s="32" t="s">
        <v>63</v>
      </c>
    </row>
    <row r="4040" customFormat="false" ht="13.5" hidden="false" customHeight="true" outlineLevel="0" collapsed="false">
      <c r="A4040" s="32" t="n">
        <v>6425</v>
      </c>
      <c r="B4040" s="32" t="s">
        <v>3222</v>
      </c>
      <c r="C4040" s="32" t="s">
        <v>3223</v>
      </c>
      <c r="D4040" s="32" t="s">
        <v>331</v>
      </c>
      <c r="E4040" s="32" t="n">
        <v>0</v>
      </c>
      <c r="F4040" s="32" t="n">
        <v>8095899299</v>
      </c>
      <c r="G4040" s="32" t="s">
        <v>80</v>
      </c>
      <c r="H4040" s="32" t="s">
        <v>332</v>
      </c>
      <c r="I4040" s="32" t="s">
        <v>156</v>
      </c>
      <c r="J4040" s="32" t="s">
        <v>62</v>
      </c>
      <c r="K4040" s="32" t="s">
        <v>63</v>
      </c>
    </row>
    <row r="4041" customFormat="false" ht="13.5" hidden="false" customHeight="true" outlineLevel="0" collapsed="false">
      <c r="A4041" s="32" t="n">
        <v>6426</v>
      </c>
      <c r="B4041" s="32" t="s">
        <v>3222</v>
      </c>
      <c r="C4041" s="32" t="s">
        <v>3223</v>
      </c>
      <c r="D4041" s="32" t="s">
        <v>331</v>
      </c>
      <c r="E4041" s="32" t="n">
        <v>0</v>
      </c>
      <c r="F4041" s="32" t="n">
        <v>8095899299</v>
      </c>
      <c r="G4041" s="32" t="s">
        <v>80</v>
      </c>
      <c r="H4041" s="32" t="s">
        <v>332</v>
      </c>
      <c r="I4041" s="32" t="s">
        <v>29</v>
      </c>
      <c r="J4041" s="32" t="s">
        <v>62</v>
      </c>
      <c r="K4041" s="32" t="s">
        <v>63</v>
      </c>
    </row>
    <row r="4042" customFormat="false" ht="13.5" hidden="false" customHeight="true" outlineLevel="0" collapsed="false">
      <c r="A4042" s="32" t="n">
        <v>6427</v>
      </c>
      <c r="B4042" s="32" t="s">
        <v>3222</v>
      </c>
      <c r="C4042" s="32" t="s">
        <v>3223</v>
      </c>
      <c r="D4042" s="32" t="s">
        <v>331</v>
      </c>
      <c r="E4042" s="32" t="n">
        <v>0</v>
      </c>
      <c r="F4042" s="32" t="n">
        <v>8095899299</v>
      </c>
      <c r="G4042" s="32" t="s">
        <v>80</v>
      </c>
      <c r="H4042" s="32" t="s">
        <v>332</v>
      </c>
      <c r="I4042" s="32" t="s">
        <v>14</v>
      </c>
      <c r="J4042" s="32" t="s">
        <v>66</v>
      </c>
      <c r="K4042" s="32" t="s">
        <v>63</v>
      </c>
    </row>
    <row r="4043" customFormat="false" ht="13.5" hidden="false" customHeight="true" outlineLevel="0" collapsed="false">
      <c r="A4043" s="32" t="n">
        <v>6428</v>
      </c>
      <c r="B4043" s="32" t="s">
        <v>3222</v>
      </c>
      <c r="C4043" s="32" t="s">
        <v>3223</v>
      </c>
      <c r="D4043" s="32" t="s">
        <v>331</v>
      </c>
      <c r="E4043" s="32" t="n">
        <v>0</v>
      </c>
      <c r="F4043" s="32" t="n">
        <v>8095899299</v>
      </c>
      <c r="G4043" s="32" t="s">
        <v>80</v>
      </c>
      <c r="H4043" s="32" t="s">
        <v>332</v>
      </c>
      <c r="I4043" s="32" t="s">
        <v>166</v>
      </c>
      <c r="J4043" s="32" t="s">
        <v>66</v>
      </c>
      <c r="K4043" s="32" t="s">
        <v>63</v>
      </c>
    </row>
    <row r="4044" customFormat="false" ht="13.5" hidden="false" customHeight="true" outlineLevel="0" collapsed="false">
      <c r="A4044" s="32" t="n">
        <v>6429</v>
      </c>
      <c r="B4044" s="32" t="s">
        <v>3222</v>
      </c>
      <c r="C4044" s="32" t="s">
        <v>3223</v>
      </c>
      <c r="D4044" s="32" t="s">
        <v>331</v>
      </c>
      <c r="E4044" s="32" t="n">
        <v>0</v>
      </c>
      <c r="F4044" s="32" t="n">
        <v>8095899299</v>
      </c>
      <c r="G4044" s="32" t="s">
        <v>80</v>
      </c>
      <c r="H4044" s="32" t="s">
        <v>332</v>
      </c>
      <c r="I4044" s="32" t="s">
        <v>1400</v>
      </c>
      <c r="J4044" s="32" t="s">
        <v>66</v>
      </c>
      <c r="K4044" s="32" t="s">
        <v>63</v>
      </c>
    </row>
    <row r="4045" customFormat="false" ht="13.5" hidden="false" customHeight="true" outlineLevel="0" collapsed="false">
      <c r="A4045" s="32" t="n">
        <v>6430</v>
      </c>
      <c r="B4045" s="32" t="s">
        <v>3224</v>
      </c>
      <c r="C4045" s="32" t="s">
        <v>3225</v>
      </c>
      <c r="D4045" s="32" t="s">
        <v>114</v>
      </c>
      <c r="E4045" s="32" t="s">
        <v>115</v>
      </c>
      <c r="F4045" s="33" t="n">
        <v>919902000000</v>
      </c>
      <c r="G4045" s="32" t="s">
        <v>181</v>
      </c>
      <c r="H4045" s="32" t="s">
        <v>22</v>
      </c>
      <c r="I4045" s="32" t="s">
        <v>95</v>
      </c>
      <c r="J4045" s="32" t="s">
        <v>96</v>
      </c>
      <c r="K4045" s="32" t="s">
        <v>63</v>
      </c>
    </row>
    <row r="4046" customFormat="false" ht="13.5" hidden="false" customHeight="true" outlineLevel="0" collapsed="false">
      <c r="A4046" s="32" t="n">
        <v>6431</v>
      </c>
      <c r="B4046" s="32" t="s">
        <v>3226</v>
      </c>
      <c r="C4046" s="32" t="s">
        <v>3227</v>
      </c>
      <c r="D4046" s="32" t="s">
        <v>114</v>
      </c>
      <c r="E4046" s="32" t="s">
        <v>1983</v>
      </c>
      <c r="F4046" s="32" t="s">
        <v>3228</v>
      </c>
      <c r="G4046" s="32" t="s">
        <v>61</v>
      </c>
      <c r="H4046" s="32" t="s">
        <v>22</v>
      </c>
      <c r="I4046" s="32" t="s">
        <v>109</v>
      </c>
      <c r="J4046" s="32" t="s">
        <v>110</v>
      </c>
      <c r="K4046" s="32" t="s">
        <v>63</v>
      </c>
    </row>
    <row r="4047" customFormat="false" ht="13.5" hidden="false" customHeight="true" outlineLevel="0" collapsed="false">
      <c r="A4047" s="32" t="n">
        <v>6432</v>
      </c>
      <c r="B4047" s="32" t="s">
        <v>3226</v>
      </c>
      <c r="C4047" s="32" t="s">
        <v>3227</v>
      </c>
      <c r="D4047" s="32" t="s">
        <v>114</v>
      </c>
      <c r="E4047" s="32" t="s">
        <v>1983</v>
      </c>
      <c r="F4047" s="32" t="s">
        <v>3228</v>
      </c>
      <c r="G4047" s="32" t="s">
        <v>61</v>
      </c>
      <c r="H4047" s="32" t="s">
        <v>22</v>
      </c>
      <c r="I4047" s="32" t="s">
        <v>145</v>
      </c>
      <c r="J4047" s="32" t="s">
        <v>117</v>
      </c>
      <c r="K4047" s="32" t="s">
        <v>63</v>
      </c>
    </row>
    <row r="4048" customFormat="false" ht="13.5" hidden="false" customHeight="true" outlineLevel="0" collapsed="false">
      <c r="A4048" s="32" t="n">
        <v>6433</v>
      </c>
      <c r="B4048" s="32" t="s">
        <v>3226</v>
      </c>
      <c r="C4048" s="32" t="s">
        <v>3227</v>
      </c>
      <c r="D4048" s="32" t="s">
        <v>114</v>
      </c>
      <c r="E4048" s="32" t="s">
        <v>1983</v>
      </c>
      <c r="F4048" s="32" t="s">
        <v>3228</v>
      </c>
      <c r="G4048" s="32" t="s">
        <v>61</v>
      </c>
      <c r="H4048" s="32" t="s">
        <v>22</v>
      </c>
      <c r="I4048" s="32" t="s">
        <v>16</v>
      </c>
      <c r="J4048" s="32" t="s">
        <v>73</v>
      </c>
      <c r="K4048" s="32" t="s">
        <v>63</v>
      </c>
    </row>
    <row r="4049" customFormat="false" ht="13.5" hidden="false" customHeight="true" outlineLevel="0" collapsed="false">
      <c r="A4049" s="32" t="n">
        <v>6436</v>
      </c>
      <c r="B4049" s="32" t="s">
        <v>3226</v>
      </c>
      <c r="C4049" s="32" t="s">
        <v>3227</v>
      </c>
      <c r="D4049" s="32" t="s">
        <v>114</v>
      </c>
      <c r="E4049" s="32" t="s">
        <v>1983</v>
      </c>
      <c r="F4049" s="32" t="n">
        <v>8105617617</v>
      </c>
      <c r="G4049" s="32" t="s">
        <v>61</v>
      </c>
      <c r="H4049" s="32" t="s">
        <v>22</v>
      </c>
      <c r="I4049" s="32" t="s">
        <v>27</v>
      </c>
      <c r="J4049" s="32" t="s">
        <v>13</v>
      </c>
      <c r="K4049" s="32" t="s">
        <v>63</v>
      </c>
    </row>
    <row r="4050" customFormat="false" ht="13.5" hidden="false" customHeight="true" outlineLevel="0" collapsed="false">
      <c r="A4050" s="32" t="n">
        <v>6437</v>
      </c>
      <c r="B4050" s="32" t="s">
        <v>3229</v>
      </c>
      <c r="C4050" s="32" t="s">
        <v>3230</v>
      </c>
      <c r="D4050" s="32" t="s">
        <v>59</v>
      </c>
      <c r="E4050" s="32" t="s">
        <v>143</v>
      </c>
      <c r="F4050" s="32" t="n">
        <v>7760214631</v>
      </c>
      <c r="G4050" s="32" t="s">
        <v>144</v>
      </c>
      <c r="H4050" s="32" t="s">
        <v>21</v>
      </c>
      <c r="I4050" s="32" t="s">
        <v>93</v>
      </c>
      <c r="J4050" s="32" t="s">
        <v>85</v>
      </c>
      <c r="K4050" s="32" t="s">
        <v>63</v>
      </c>
    </row>
    <row r="4051" customFormat="false" ht="13.5" hidden="false" customHeight="true" outlineLevel="0" collapsed="false">
      <c r="A4051" s="32" t="n">
        <v>6438</v>
      </c>
      <c r="B4051" s="32" t="s">
        <v>3229</v>
      </c>
      <c r="C4051" s="32" t="s">
        <v>3230</v>
      </c>
      <c r="D4051" s="32" t="s">
        <v>59</v>
      </c>
      <c r="E4051" s="32" t="s">
        <v>143</v>
      </c>
      <c r="F4051" s="32" t="n">
        <v>7760214631</v>
      </c>
      <c r="G4051" s="32" t="s">
        <v>144</v>
      </c>
      <c r="H4051" s="32" t="s">
        <v>21</v>
      </c>
      <c r="I4051" s="32" t="s">
        <v>111</v>
      </c>
      <c r="J4051" s="32" t="s">
        <v>73</v>
      </c>
      <c r="K4051" s="32" t="s">
        <v>63</v>
      </c>
    </row>
    <row r="4052" customFormat="false" ht="13.5" hidden="false" customHeight="true" outlineLevel="0" collapsed="false">
      <c r="A4052" s="32" t="n">
        <v>6439</v>
      </c>
      <c r="B4052" s="32" t="s">
        <v>3231</v>
      </c>
      <c r="C4052" s="32" t="s">
        <v>3232</v>
      </c>
      <c r="D4052" s="32" t="s">
        <v>59</v>
      </c>
      <c r="E4052" s="32" t="s">
        <v>60</v>
      </c>
      <c r="F4052" s="32" t="n">
        <v>9810037709</v>
      </c>
      <c r="G4052" s="32" t="s">
        <v>104</v>
      </c>
      <c r="H4052" s="32" t="s">
        <v>21</v>
      </c>
      <c r="I4052" s="32" t="s">
        <v>151</v>
      </c>
      <c r="J4052" s="32" t="s">
        <v>152</v>
      </c>
      <c r="K4052" s="32" t="s">
        <v>63</v>
      </c>
    </row>
    <row r="4053" customFormat="false" ht="13.5" hidden="false" customHeight="true" outlineLevel="0" collapsed="false">
      <c r="A4053" s="32" t="n">
        <v>6440</v>
      </c>
      <c r="B4053" s="32" t="s">
        <v>3231</v>
      </c>
      <c r="C4053" s="32" t="s">
        <v>3233</v>
      </c>
      <c r="D4053" s="32" t="s">
        <v>59</v>
      </c>
      <c r="E4053" s="32" t="s">
        <v>60</v>
      </c>
      <c r="F4053" s="32" t="n">
        <v>9810037709</v>
      </c>
      <c r="G4053" s="32" t="s">
        <v>104</v>
      </c>
      <c r="H4053" s="32" t="s">
        <v>21</v>
      </c>
      <c r="I4053" s="32" t="s">
        <v>156</v>
      </c>
      <c r="J4053" s="32" t="s">
        <v>62</v>
      </c>
      <c r="K4053" s="32" t="s">
        <v>63</v>
      </c>
    </row>
    <row r="4054" customFormat="false" ht="13.5" hidden="false" customHeight="true" outlineLevel="0" collapsed="false">
      <c r="A4054" s="32" t="n">
        <v>6441</v>
      </c>
      <c r="B4054" s="32" t="s">
        <v>3231</v>
      </c>
      <c r="C4054" s="32" t="s">
        <v>3233</v>
      </c>
      <c r="D4054" s="32" t="s">
        <v>59</v>
      </c>
      <c r="E4054" s="32" t="s">
        <v>60</v>
      </c>
      <c r="F4054" s="32" t="n">
        <v>9810037709</v>
      </c>
      <c r="G4054" s="32" t="s">
        <v>104</v>
      </c>
      <c r="H4054" s="32" t="s">
        <v>21</v>
      </c>
      <c r="I4054" s="32" t="s">
        <v>29</v>
      </c>
      <c r="J4054" s="32" t="s">
        <v>62</v>
      </c>
      <c r="K4054" s="32" t="s">
        <v>63</v>
      </c>
    </row>
    <row r="4055" customFormat="false" ht="13.5" hidden="false" customHeight="true" outlineLevel="0" collapsed="false">
      <c r="A4055" s="32" t="n">
        <v>6443</v>
      </c>
      <c r="B4055" s="32" t="s">
        <v>3231</v>
      </c>
      <c r="C4055" s="32" t="s">
        <v>3233</v>
      </c>
      <c r="D4055" s="32" t="s">
        <v>59</v>
      </c>
      <c r="E4055" s="32" t="s">
        <v>60</v>
      </c>
      <c r="F4055" s="32" t="n">
        <v>9810037709</v>
      </c>
      <c r="G4055" s="32" t="s">
        <v>104</v>
      </c>
      <c r="H4055" s="32" t="s">
        <v>21</v>
      </c>
      <c r="I4055" s="32" t="s">
        <v>773</v>
      </c>
      <c r="J4055" s="32" t="s">
        <v>66</v>
      </c>
      <c r="K4055" s="32" t="s">
        <v>63</v>
      </c>
    </row>
    <row r="4056" customFormat="false" ht="13.5" hidden="false" customHeight="true" outlineLevel="0" collapsed="false">
      <c r="A4056" s="32" t="n">
        <v>6444</v>
      </c>
      <c r="B4056" s="32" t="s">
        <v>3234</v>
      </c>
      <c r="C4056" s="32" t="s">
        <v>3235</v>
      </c>
      <c r="D4056" s="32" t="s">
        <v>59</v>
      </c>
      <c r="E4056" s="32" t="s">
        <v>60</v>
      </c>
      <c r="F4056" s="33" t="n">
        <v>919873000000</v>
      </c>
      <c r="G4056" s="32" t="s">
        <v>104</v>
      </c>
      <c r="H4056" s="32" t="s">
        <v>21</v>
      </c>
      <c r="I4056" s="32" t="s">
        <v>156</v>
      </c>
      <c r="J4056" s="32" t="s">
        <v>62</v>
      </c>
      <c r="K4056" s="32" t="s">
        <v>63</v>
      </c>
    </row>
    <row r="4057" customFormat="false" ht="13.5" hidden="false" customHeight="true" outlineLevel="0" collapsed="false">
      <c r="A4057" s="32" t="n">
        <v>6445</v>
      </c>
      <c r="B4057" s="32" t="s">
        <v>3234</v>
      </c>
      <c r="C4057" s="32" t="s">
        <v>3235</v>
      </c>
      <c r="D4057" s="32" t="s">
        <v>59</v>
      </c>
      <c r="E4057" s="32" t="s">
        <v>60</v>
      </c>
      <c r="F4057" s="33" t="n">
        <v>919873000000</v>
      </c>
      <c r="G4057" s="32" t="s">
        <v>104</v>
      </c>
      <c r="H4057" s="32" t="s">
        <v>21</v>
      </c>
      <c r="I4057" s="32" t="s">
        <v>29</v>
      </c>
      <c r="J4057" s="32" t="s">
        <v>62</v>
      </c>
      <c r="K4057" s="32" t="s">
        <v>63</v>
      </c>
    </row>
    <row r="4058" customFormat="false" ht="13.5" hidden="false" customHeight="true" outlineLevel="0" collapsed="false">
      <c r="A4058" s="32" t="n">
        <v>6447</v>
      </c>
      <c r="B4058" s="32" t="s">
        <v>3234</v>
      </c>
      <c r="C4058" s="32" t="s">
        <v>3235</v>
      </c>
      <c r="D4058" s="32" t="s">
        <v>59</v>
      </c>
      <c r="E4058" s="32" t="s">
        <v>60</v>
      </c>
      <c r="F4058" s="33" t="n">
        <v>919873000000</v>
      </c>
      <c r="G4058" s="32" t="s">
        <v>104</v>
      </c>
      <c r="H4058" s="32" t="s">
        <v>21</v>
      </c>
      <c r="I4058" s="32" t="s">
        <v>773</v>
      </c>
      <c r="J4058" s="32" t="s">
        <v>66</v>
      </c>
      <c r="K4058" s="32" t="s">
        <v>63</v>
      </c>
    </row>
    <row r="4059" customFormat="false" ht="13.5" hidden="false" customHeight="true" outlineLevel="0" collapsed="false">
      <c r="A4059" s="32" t="n">
        <v>6448</v>
      </c>
      <c r="B4059" s="32" t="s">
        <v>3236</v>
      </c>
      <c r="C4059" s="32" t="s">
        <v>3237</v>
      </c>
      <c r="D4059" s="32" t="s">
        <v>114</v>
      </c>
      <c r="E4059" s="32" t="s">
        <v>165</v>
      </c>
      <c r="F4059" s="32" t="n">
        <v>0</v>
      </c>
      <c r="G4059" s="32" t="s">
        <v>140</v>
      </c>
      <c r="H4059" s="32" t="s">
        <v>22</v>
      </c>
      <c r="I4059" s="32" t="s">
        <v>231</v>
      </c>
      <c r="J4059" s="32" t="s">
        <v>228</v>
      </c>
      <c r="K4059" s="32" t="s">
        <v>63</v>
      </c>
    </row>
    <row r="4060" customFormat="false" ht="13.5" hidden="false" customHeight="true" outlineLevel="0" collapsed="false">
      <c r="A4060" s="32" t="n">
        <v>6449</v>
      </c>
      <c r="B4060" s="32" t="s">
        <v>3236</v>
      </c>
      <c r="C4060" s="32" t="s">
        <v>3237</v>
      </c>
      <c r="D4060" s="32" t="s">
        <v>114</v>
      </c>
      <c r="E4060" s="32" t="s">
        <v>165</v>
      </c>
      <c r="F4060" s="32" t="n">
        <v>0</v>
      </c>
      <c r="G4060" s="32" t="s">
        <v>140</v>
      </c>
      <c r="H4060" s="32" t="s">
        <v>22</v>
      </c>
      <c r="I4060" s="32" t="s">
        <v>516</v>
      </c>
      <c r="J4060" s="32" t="s">
        <v>66</v>
      </c>
      <c r="K4060" s="32" t="s">
        <v>63</v>
      </c>
    </row>
    <row r="4061" customFormat="false" ht="13.5" hidden="false" customHeight="true" outlineLevel="0" collapsed="false">
      <c r="A4061" s="32" t="n">
        <v>6450</v>
      </c>
      <c r="B4061" s="32" t="s">
        <v>3236</v>
      </c>
      <c r="C4061" s="32" t="s">
        <v>3237</v>
      </c>
      <c r="D4061" s="32" t="s">
        <v>114</v>
      </c>
      <c r="E4061" s="32" t="s">
        <v>165</v>
      </c>
      <c r="F4061" s="32" t="n">
        <v>0</v>
      </c>
      <c r="G4061" s="32" t="s">
        <v>140</v>
      </c>
      <c r="H4061" s="32" t="s">
        <v>22</v>
      </c>
      <c r="I4061" s="32" t="s">
        <v>156</v>
      </c>
      <c r="J4061" s="32" t="s">
        <v>62</v>
      </c>
      <c r="K4061" s="32" t="s">
        <v>63</v>
      </c>
    </row>
    <row r="4062" customFormat="false" ht="13.5" hidden="false" customHeight="true" outlineLevel="0" collapsed="false">
      <c r="A4062" s="32" t="n">
        <v>6451</v>
      </c>
      <c r="B4062" s="32" t="s">
        <v>3236</v>
      </c>
      <c r="C4062" s="32" t="s">
        <v>3237</v>
      </c>
      <c r="D4062" s="32" t="s">
        <v>114</v>
      </c>
      <c r="E4062" s="32" t="s">
        <v>165</v>
      </c>
      <c r="F4062" s="32" t="n">
        <v>0</v>
      </c>
      <c r="G4062" s="32" t="s">
        <v>140</v>
      </c>
      <c r="H4062" s="32" t="s">
        <v>22</v>
      </c>
      <c r="I4062" s="32" t="s">
        <v>867</v>
      </c>
      <c r="J4062" s="32" t="s">
        <v>66</v>
      </c>
      <c r="K4062" s="32" t="s">
        <v>63</v>
      </c>
    </row>
    <row r="4063" customFormat="false" ht="13.5" hidden="false" customHeight="true" outlineLevel="0" collapsed="false">
      <c r="A4063" s="32" t="n">
        <v>6452</v>
      </c>
      <c r="B4063" s="32" t="s">
        <v>3236</v>
      </c>
      <c r="C4063" s="32" t="s">
        <v>3237</v>
      </c>
      <c r="D4063" s="32" t="s">
        <v>114</v>
      </c>
      <c r="E4063" s="32" t="s">
        <v>165</v>
      </c>
      <c r="F4063" s="32" t="n">
        <v>0</v>
      </c>
      <c r="G4063" s="32" t="s">
        <v>140</v>
      </c>
      <c r="H4063" s="32" t="s">
        <v>22</v>
      </c>
      <c r="I4063" s="32" t="s">
        <v>610</v>
      </c>
      <c r="J4063" s="32" t="s">
        <v>82</v>
      </c>
      <c r="K4063" s="32" t="s">
        <v>63</v>
      </c>
    </row>
    <row r="4064" customFormat="false" ht="13.5" hidden="false" customHeight="true" outlineLevel="0" collapsed="false">
      <c r="A4064" s="32" t="n">
        <v>6453</v>
      </c>
      <c r="B4064" s="32" t="s">
        <v>3236</v>
      </c>
      <c r="C4064" s="32" t="s">
        <v>3238</v>
      </c>
      <c r="D4064" s="32" t="s">
        <v>114</v>
      </c>
      <c r="E4064" s="32" t="s">
        <v>165</v>
      </c>
      <c r="F4064" s="32" t="n">
        <v>0</v>
      </c>
      <c r="G4064" s="32" t="s">
        <v>140</v>
      </c>
      <c r="H4064" s="32" t="s">
        <v>22</v>
      </c>
      <c r="I4064" s="32" t="s">
        <v>14</v>
      </c>
      <c r="J4064" s="32" t="s">
        <v>66</v>
      </c>
      <c r="K4064" s="32" t="s">
        <v>63</v>
      </c>
    </row>
    <row r="4065" customFormat="false" ht="13.5" hidden="false" customHeight="true" outlineLevel="0" collapsed="false">
      <c r="A4065" s="32" t="n">
        <v>6454</v>
      </c>
      <c r="B4065" s="32" t="s">
        <v>3236</v>
      </c>
      <c r="C4065" s="32" t="s">
        <v>3238</v>
      </c>
      <c r="D4065" s="32" t="s">
        <v>114</v>
      </c>
      <c r="E4065" s="32" t="s">
        <v>165</v>
      </c>
      <c r="F4065" s="32" t="n">
        <v>0</v>
      </c>
      <c r="G4065" s="32" t="s">
        <v>140</v>
      </c>
      <c r="H4065" s="32" t="s">
        <v>22</v>
      </c>
      <c r="I4065" s="32" t="s">
        <v>166</v>
      </c>
      <c r="J4065" s="32" t="s">
        <v>66</v>
      </c>
      <c r="K4065" s="32" t="s">
        <v>63</v>
      </c>
    </row>
    <row r="4066" customFormat="false" ht="13.5" hidden="false" customHeight="true" outlineLevel="0" collapsed="false">
      <c r="A4066" s="32" t="n">
        <v>6455</v>
      </c>
      <c r="B4066" s="32" t="s">
        <v>3239</v>
      </c>
      <c r="C4066" s="32" t="s">
        <v>3240</v>
      </c>
      <c r="D4066" s="32" t="s">
        <v>114</v>
      </c>
      <c r="E4066" s="32" t="s">
        <v>165</v>
      </c>
      <c r="F4066" s="33" t="n">
        <v>919664000000</v>
      </c>
      <c r="G4066" s="32" t="s">
        <v>104</v>
      </c>
      <c r="H4066" s="32" t="s">
        <v>22</v>
      </c>
      <c r="I4066" s="32" t="s">
        <v>98</v>
      </c>
      <c r="J4066" s="32" t="s">
        <v>99</v>
      </c>
      <c r="K4066" s="32" t="s">
        <v>63</v>
      </c>
    </row>
    <row r="4067" customFormat="false" ht="13.5" hidden="false" customHeight="true" outlineLevel="0" collapsed="false">
      <c r="A4067" s="32" t="n">
        <v>6456</v>
      </c>
      <c r="B4067" s="32" t="s">
        <v>3239</v>
      </c>
      <c r="C4067" s="32" t="s">
        <v>3241</v>
      </c>
      <c r="D4067" s="32" t="s">
        <v>114</v>
      </c>
      <c r="E4067" s="32" t="s">
        <v>165</v>
      </c>
      <c r="F4067" s="32" t="n">
        <v>9664028811</v>
      </c>
      <c r="G4067" s="32" t="s">
        <v>104</v>
      </c>
      <c r="H4067" s="32" t="s">
        <v>22</v>
      </c>
      <c r="I4067" s="32" t="s">
        <v>128</v>
      </c>
      <c r="J4067" s="32" t="s">
        <v>89</v>
      </c>
      <c r="K4067" s="32" t="s">
        <v>63</v>
      </c>
    </row>
    <row r="4068" customFormat="false" ht="13.5" hidden="false" customHeight="true" outlineLevel="0" collapsed="false">
      <c r="A4068" s="32" t="n">
        <v>6457</v>
      </c>
      <c r="B4068" s="32" t="s">
        <v>3239</v>
      </c>
      <c r="C4068" s="32" t="s">
        <v>3241</v>
      </c>
      <c r="D4068" s="32" t="s">
        <v>114</v>
      </c>
      <c r="E4068" s="32" t="s">
        <v>165</v>
      </c>
      <c r="F4068" s="32" t="n">
        <v>9664028811</v>
      </c>
      <c r="G4068" s="32" t="s">
        <v>104</v>
      </c>
      <c r="H4068" s="32" t="s">
        <v>22</v>
      </c>
      <c r="I4068" s="32" t="s">
        <v>371</v>
      </c>
      <c r="J4068" s="32" t="s">
        <v>152</v>
      </c>
      <c r="K4068" s="32" t="s">
        <v>63</v>
      </c>
    </row>
    <row r="4069" customFormat="false" ht="13.5" hidden="false" customHeight="true" outlineLevel="0" collapsed="false">
      <c r="A4069" s="32" t="n">
        <v>6458</v>
      </c>
      <c r="B4069" s="32" t="s">
        <v>3239</v>
      </c>
      <c r="C4069" s="32" t="s">
        <v>3241</v>
      </c>
      <c r="D4069" s="32" t="s">
        <v>114</v>
      </c>
      <c r="E4069" s="32" t="s">
        <v>165</v>
      </c>
      <c r="F4069" s="32" t="n">
        <v>9664028811</v>
      </c>
      <c r="G4069" s="32" t="s">
        <v>104</v>
      </c>
      <c r="H4069" s="32" t="s">
        <v>22</v>
      </c>
      <c r="I4069" s="32" t="s">
        <v>172</v>
      </c>
      <c r="J4069" s="32" t="s">
        <v>152</v>
      </c>
      <c r="K4069" s="32" t="s">
        <v>63</v>
      </c>
    </row>
    <row r="4070" customFormat="false" ht="13.5" hidden="false" customHeight="true" outlineLevel="0" collapsed="false">
      <c r="A4070" s="32" t="n">
        <v>6459</v>
      </c>
      <c r="B4070" s="32" t="s">
        <v>3239</v>
      </c>
      <c r="C4070" s="32" t="s">
        <v>3242</v>
      </c>
      <c r="D4070" s="32" t="s">
        <v>114</v>
      </c>
      <c r="E4070" s="32" t="s">
        <v>165</v>
      </c>
      <c r="F4070" s="32" t="n">
        <v>9664028811</v>
      </c>
      <c r="G4070" s="32" t="s">
        <v>104</v>
      </c>
      <c r="H4070" s="32" t="s">
        <v>22</v>
      </c>
      <c r="I4070" s="32" t="s">
        <v>146</v>
      </c>
      <c r="J4070" s="32" t="s">
        <v>117</v>
      </c>
      <c r="K4070" s="32" t="s">
        <v>63</v>
      </c>
    </row>
    <row r="4071" customFormat="false" ht="13.5" hidden="false" customHeight="true" outlineLevel="0" collapsed="false">
      <c r="A4071" s="32" t="n">
        <v>6460</v>
      </c>
      <c r="B4071" s="32" t="s">
        <v>3243</v>
      </c>
      <c r="C4071" s="32" t="s">
        <v>3244</v>
      </c>
      <c r="D4071" s="32" t="s">
        <v>59</v>
      </c>
      <c r="E4071" s="32" t="s">
        <v>107</v>
      </c>
      <c r="F4071" s="33" t="n">
        <v>919791000000</v>
      </c>
      <c r="G4071" s="32" t="s">
        <v>61</v>
      </c>
      <c r="H4071" s="32" t="s">
        <v>21</v>
      </c>
      <c r="I4071" s="32" t="s">
        <v>108</v>
      </c>
      <c r="J4071" s="32" t="s">
        <v>71</v>
      </c>
      <c r="K4071" s="32" t="s">
        <v>63</v>
      </c>
    </row>
    <row r="4072" customFormat="false" ht="13.5" hidden="false" customHeight="true" outlineLevel="0" collapsed="false">
      <c r="A4072" s="32" t="n">
        <v>6461</v>
      </c>
      <c r="B4072" s="32" t="s">
        <v>3243</v>
      </c>
      <c r="C4072" s="32" t="s">
        <v>3244</v>
      </c>
      <c r="D4072" s="32" t="s">
        <v>59</v>
      </c>
      <c r="E4072" s="32" t="s">
        <v>107</v>
      </c>
      <c r="F4072" s="33" t="n">
        <v>919791000000</v>
      </c>
      <c r="G4072" s="32" t="s">
        <v>61</v>
      </c>
      <c r="H4072" s="32" t="s">
        <v>21</v>
      </c>
      <c r="I4072" s="32" t="s">
        <v>76</v>
      </c>
      <c r="J4072" s="32" t="s">
        <v>76</v>
      </c>
      <c r="K4072" s="32" t="s">
        <v>63</v>
      </c>
    </row>
    <row r="4073" customFormat="false" ht="13.5" hidden="false" customHeight="true" outlineLevel="0" collapsed="false">
      <c r="A4073" s="32" t="n">
        <v>6462</v>
      </c>
      <c r="B4073" s="32" t="s">
        <v>3243</v>
      </c>
      <c r="C4073" s="32" t="s">
        <v>3244</v>
      </c>
      <c r="D4073" s="32" t="s">
        <v>59</v>
      </c>
      <c r="E4073" s="32" t="s">
        <v>107</v>
      </c>
      <c r="F4073" s="33" t="n">
        <v>919791000000</v>
      </c>
      <c r="G4073" s="32" t="s">
        <v>80</v>
      </c>
      <c r="H4073" s="32" t="s">
        <v>21</v>
      </c>
      <c r="I4073" s="32" t="s">
        <v>149</v>
      </c>
      <c r="J4073" s="32" t="s">
        <v>73</v>
      </c>
      <c r="K4073" s="32" t="s">
        <v>63</v>
      </c>
    </row>
    <row r="4074" customFormat="false" ht="13.5" hidden="false" customHeight="true" outlineLevel="0" collapsed="false">
      <c r="A4074" s="32" t="n">
        <v>6463</v>
      </c>
      <c r="B4074" s="32" t="s">
        <v>3243</v>
      </c>
      <c r="C4074" s="32" t="s">
        <v>3244</v>
      </c>
      <c r="D4074" s="32" t="s">
        <v>59</v>
      </c>
      <c r="E4074" s="32" t="s">
        <v>107</v>
      </c>
      <c r="F4074" s="32" t="n">
        <v>8328612950</v>
      </c>
      <c r="G4074" s="32" t="s">
        <v>61</v>
      </c>
      <c r="H4074" s="32" t="s">
        <v>21</v>
      </c>
      <c r="I4074" s="32" t="s">
        <v>121</v>
      </c>
      <c r="J4074" s="32" t="s">
        <v>110</v>
      </c>
      <c r="K4074" s="32" t="s">
        <v>63</v>
      </c>
    </row>
    <row r="4075" customFormat="false" ht="13.5" hidden="false" customHeight="true" outlineLevel="0" collapsed="false">
      <c r="A4075" s="32" t="n">
        <v>6464</v>
      </c>
      <c r="B4075" s="32" t="s">
        <v>3243</v>
      </c>
      <c r="C4075" s="32" t="s">
        <v>3244</v>
      </c>
      <c r="D4075" s="32" t="s">
        <v>59</v>
      </c>
      <c r="E4075" s="32" t="s">
        <v>107</v>
      </c>
      <c r="F4075" s="33" t="n">
        <v>919791000000</v>
      </c>
      <c r="G4075" s="32" t="s">
        <v>80</v>
      </c>
      <c r="H4075" s="32" t="s">
        <v>21</v>
      </c>
      <c r="I4075" s="32" t="s">
        <v>145</v>
      </c>
      <c r="J4075" s="32" t="s">
        <v>117</v>
      </c>
      <c r="K4075" s="32" t="s">
        <v>63</v>
      </c>
    </row>
    <row r="4076" customFormat="false" ht="13.5" hidden="false" customHeight="true" outlineLevel="0" collapsed="false">
      <c r="A4076" s="32" t="n">
        <v>6466</v>
      </c>
      <c r="B4076" s="32" t="s">
        <v>3245</v>
      </c>
      <c r="C4076" s="32" t="s">
        <v>3246</v>
      </c>
      <c r="D4076" s="32" t="s">
        <v>102</v>
      </c>
      <c r="E4076" s="32" t="s">
        <v>103</v>
      </c>
      <c r="F4076" s="32" t="n">
        <v>0</v>
      </c>
      <c r="G4076" s="32" t="s">
        <v>0</v>
      </c>
      <c r="H4076" s="32" t="s">
        <v>21</v>
      </c>
      <c r="I4076" s="32" t="s">
        <v>215</v>
      </c>
      <c r="J4076" s="32" t="s">
        <v>132</v>
      </c>
      <c r="K4076" s="32" t="s">
        <v>63</v>
      </c>
    </row>
    <row r="4077" customFormat="false" ht="13.5" hidden="false" customHeight="true" outlineLevel="0" collapsed="false">
      <c r="A4077" s="32" t="n">
        <v>6467</v>
      </c>
      <c r="B4077" s="32" t="s">
        <v>3245</v>
      </c>
      <c r="C4077" s="32" t="s">
        <v>3246</v>
      </c>
      <c r="D4077" s="32" t="s">
        <v>59</v>
      </c>
      <c r="E4077" s="32" t="s">
        <v>103</v>
      </c>
      <c r="F4077" s="32" t="n">
        <v>0</v>
      </c>
      <c r="G4077" s="32" t="s">
        <v>0</v>
      </c>
      <c r="H4077" s="32" t="s">
        <v>21</v>
      </c>
      <c r="I4077" s="32" t="s">
        <v>728</v>
      </c>
      <c r="J4077" s="32" t="s">
        <v>132</v>
      </c>
      <c r="K4077" s="32" t="s">
        <v>63</v>
      </c>
    </row>
    <row r="4078" customFormat="false" ht="13.5" hidden="false" customHeight="true" outlineLevel="0" collapsed="false">
      <c r="A4078" s="32" t="n">
        <v>6468</v>
      </c>
      <c r="B4078" s="32" t="s">
        <v>3247</v>
      </c>
      <c r="C4078" s="32" t="s">
        <v>3248</v>
      </c>
      <c r="D4078" s="32" t="s">
        <v>114</v>
      </c>
      <c r="E4078" s="32" t="n">
        <v>0</v>
      </c>
      <c r="F4078" s="32" t="n">
        <v>9836355536</v>
      </c>
      <c r="G4078" s="32" t="s">
        <v>61</v>
      </c>
      <c r="H4078" s="32" t="s">
        <v>22</v>
      </c>
      <c r="I4078" s="32" t="s">
        <v>128</v>
      </c>
      <c r="J4078" s="32" t="s">
        <v>89</v>
      </c>
      <c r="K4078" s="32" t="s">
        <v>63</v>
      </c>
    </row>
    <row r="4079" customFormat="false" ht="13.5" hidden="false" customHeight="true" outlineLevel="0" collapsed="false">
      <c r="A4079" s="32" t="n">
        <v>6469</v>
      </c>
      <c r="B4079" s="32" t="s">
        <v>3247</v>
      </c>
      <c r="C4079" s="32" t="s">
        <v>3248</v>
      </c>
      <c r="D4079" s="32" t="s">
        <v>114</v>
      </c>
      <c r="E4079" s="32" t="n">
        <v>0</v>
      </c>
      <c r="F4079" s="32" t="n">
        <v>9836355536</v>
      </c>
      <c r="G4079" s="32" t="s">
        <v>61</v>
      </c>
      <c r="H4079" s="32" t="s">
        <v>22</v>
      </c>
      <c r="I4079" s="32" t="s">
        <v>185</v>
      </c>
      <c r="J4079" s="32" t="s">
        <v>186</v>
      </c>
      <c r="K4079" s="32" t="s">
        <v>63</v>
      </c>
    </row>
    <row r="4080" customFormat="false" ht="13.5" hidden="false" customHeight="true" outlineLevel="0" collapsed="false">
      <c r="A4080" s="32" t="n">
        <v>6470</v>
      </c>
      <c r="B4080" s="32" t="s">
        <v>3247</v>
      </c>
      <c r="C4080" s="32" t="s">
        <v>3248</v>
      </c>
      <c r="D4080" s="32" t="s">
        <v>114</v>
      </c>
      <c r="E4080" s="32" t="n">
        <v>0</v>
      </c>
      <c r="F4080" s="32" t="n">
        <v>9836355536</v>
      </c>
      <c r="G4080" s="32" t="s">
        <v>61</v>
      </c>
      <c r="H4080" s="32" t="s">
        <v>22</v>
      </c>
      <c r="I4080" s="32" t="s">
        <v>121</v>
      </c>
      <c r="J4080" s="32" t="s">
        <v>110</v>
      </c>
      <c r="K4080" s="32" t="s">
        <v>63</v>
      </c>
    </row>
    <row r="4081" customFormat="false" ht="13.5" hidden="false" customHeight="true" outlineLevel="0" collapsed="false">
      <c r="A4081" s="32" t="n">
        <v>6471</v>
      </c>
      <c r="B4081" s="32" t="s">
        <v>3247</v>
      </c>
      <c r="C4081" s="32" t="s">
        <v>3248</v>
      </c>
      <c r="D4081" s="32" t="s">
        <v>114</v>
      </c>
      <c r="E4081" s="32" t="n">
        <v>0</v>
      </c>
      <c r="F4081" s="32" t="n">
        <v>9836355536</v>
      </c>
      <c r="G4081" s="32" t="s">
        <v>61</v>
      </c>
      <c r="H4081" s="32" t="s">
        <v>22</v>
      </c>
      <c r="I4081" s="32" t="s">
        <v>145</v>
      </c>
      <c r="J4081" s="32" t="s">
        <v>117</v>
      </c>
      <c r="K4081" s="32" t="s">
        <v>63</v>
      </c>
    </row>
    <row r="4082" customFormat="false" ht="13.5" hidden="false" customHeight="true" outlineLevel="0" collapsed="false">
      <c r="A4082" s="32" t="n">
        <v>6472</v>
      </c>
      <c r="B4082" s="32" t="s">
        <v>3247</v>
      </c>
      <c r="C4082" s="32" t="s">
        <v>3248</v>
      </c>
      <c r="D4082" s="32" t="s">
        <v>114</v>
      </c>
      <c r="E4082" s="32" t="n">
        <v>0</v>
      </c>
      <c r="F4082" s="32" t="n">
        <v>9836355536</v>
      </c>
      <c r="G4082" s="32" t="s">
        <v>61</v>
      </c>
      <c r="H4082" s="32" t="s">
        <v>22</v>
      </c>
      <c r="I4082" s="32" t="s">
        <v>116</v>
      </c>
      <c r="J4082" s="32" t="s">
        <v>117</v>
      </c>
      <c r="K4082" s="32" t="s">
        <v>63</v>
      </c>
    </row>
    <row r="4083" customFormat="false" ht="13.5" hidden="false" customHeight="true" outlineLevel="0" collapsed="false">
      <c r="A4083" s="32" t="n">
        <v>6473</v>
      </c>
      <c r="B4083" s="32" t="s">
        <v>3249</v>
      </c>
      <c r="C4083" s="32" t="s">
        <v>3250</v>
      </c>
      <c r="D4083" s="32" t="s">
        <v>114</v>
      </c>
      <c r="E4083" s="32" t="s">
        <v>165</v>
      </c>
      <c r="F4083" s="32" t="n">
        <v>8940360656</v>
      </c>
      <c r="G4083" s="32" t="s">
        <v>69</v>
      </c>
      <c r="H4083" s="32" t="s">
        <v>22</v>
      </c>
      <c r="I4083" s="32" t="s">
        <v>108</v>
      </c>
      <c r="J4083" s="32" t="s">
        <v>71</v>
      </c>
      <c r="K4083" s="32" t="s">
        <v>63</v>
      </c>
    </row>
    <row r="4084" customFormat="false" ht="13.5" hidden="false" customHeight="true" outlineLevel="0" collapsed="false">
      <c r="A4084" s="32" t="n">
        <v>6474</v>
      </c>
      <c r="B4084" s="32" t="s">
        <v>3249</v>
      </c>
      <c r="C4084" s="32" t="s">
        <v>3250</v>
      </c>
      <c r="D4084" s="32" t="s">
        <v>114</v>
      </c>
      <c r="E4084" s="32" t="s">
        <v>165</v>
      </c>
      <c r="F4084" s="32" t="n">
        <v>8940360656</v>
      </c>
      <c r="G4084" s="32" t="s">
        <v>80</v>
      </c>
      <c r="H4084" s="32" t="s">
        <v>22</v>
      </c>
      <c r="I4084" s="32" t="s">
        <v>630</v>
      </c>
      <c r="J4084" s="32" t="s">
        <v>71</v>
      </c>
      <c r="K4084" s="32" t="s">
        <v>63</v>
      </c>
    </row>
    <row r="4085" customFormat="false" ht="13.5" hidden="false" customHeight="true" outlineLevel="0" collapsed="false">
      <c r="A4085" s="32" t="n">
        <v>6475</v>
      </c>
      <c r="B4085" s="32" t="s">
        <v>3251</v>
      </c>
      <c r="C4085" s="32" t="s">
        <v>3252</v>
      </c>
      <c r="D4085" s="32" t="s">
        <v>59</v>
      </c>
      <c r="E4085" s="32" t="n">
        <v>0</v>
      </c>
      <c r="F4085" s="33" t="n">
        <v>918179000000</v>
      </c>
      <c r="G4085" s="32" t="s">
        <v>80</v>
      </c>
      <c r="H4085" s="32" t="s">
        <v>21</v>
      </c>
      <c r="I4085" s="32" t="s">
        <v>16</v>
      </c>
      <c r="J4085" s="32" t="s">
        <v>73</v>
      </c>
      <c r="K4085" s="32" t="s">
        <v>63</v>
      </c>
    </row>
    <row r="4086" customFormat="false" ht="13.5" hidden="false" customHeight="true" outlineLevel="0" collapsed="false">
      <c r="A4086" s="32" t="n">
        <v>6476</v>
      </c>
      <c r="B4086" s="32" t="s">
        <v>3251</v>
      </c>
      <c r="C4086" s="32" t="s">
        <v>3253</v>
      </c>
      <c r="D4086" s="32" t="s">
        <v>59</v>
      </c>
      <c r="E4086" s="32" t="n">
        <v>0</v>
      </c>
      <c r="F4086" s="32" t="n">
        <v>8179465654</v>
      </c>
      <c r="G4086" s="32" t="s">
        <v>80</v>
      </c>
      <c r="H4086" s="32" t="s">
        <v>21</v>
      </c>
      <c r="I4086" s="32" t="s">
        <v>494</v>
      </c>
      <c r="J4086" s="32" t="s">
        <v>71</v>
      </c>
      <c r="K4086" s="32" t="s">
        <v>63</v>
      </c>
    </row>
    <row r="4087" customFormat="false" ht="13.5" hidden="false" customHeight="true" outlineLevel="0" collapsed="false">
      <c r="A4087" s="32" t="n">
        <v>6477</v>
      </c>
      <c r="B4087" s="32" t="s">
        <v>3251</v>
      </c>
      <c r="C4087" s="32" t="s">
        <v>3253</v>
      </c>
      <c r="D4087" s="32" t="s">
        <v>59</v>
      </c>
      <c r="E4087" s="32" t="n">
        <v>0</v>
      </c>
      <c r="F4087" s="32" t="n">
        <v>8179465654</v>
      </c>
      <c r="G4087" s="32" t="s">
        <v>80</v>
      </c>
      <c r="H4087" s="32" t="s">
        <v>21</v>
      </c>
      <c r="I4087" s="32" t="s">
        <v>156</v>
      </c>
      <c r="J4087" s="32" t="s">
        <v>62</v>
      </c>
      <c r="K4087" s="32" t="s">
        <v>63</v>
      </c>
    </row>
    <row r="4088" customFormat="false" ht="13.5" hidden="false" customHeight="true" outlineLevel="0" collapsed="false">
      <c r="A4088" s="32" t="n">
        <v>6478</v>
      </c>
      <c r="B4088" s="32" t="s">
        <v>3251</v>
      </c>
      <c r="C4088" s="32" t="s">
        <v>3254</v>
      </c>
      <c r="D4088" s="32" t="s">
        <v>59</v>
      </c>
      <c r="E4088" s="32" t="n">
        <v>0</v>
      </c>
      <c r="F4088" s="33" t="n">
        <v>918179000000</v>
      </c>
      <c r="G4088" s="32" t="s">
        <v>80</v>
      </c>
      <c r="H4088" s="32" t="s">
        <v>21</v>
      </c>
      <c r="I4088" s="32" t="s">
        <v>14</v>
      </c>
      <c r="J4088" s="32" t="s">
        <v>66</v>
      </c>
      <c r="K4088" s="32" t="s">
        <v>63</v>
      </c>
    </row>
    <row r="4089" customFormat="false" ht="13.5" hidden="false" customHeight="true" outlineLevel="0" collapsed="false">
      <c r="A4089" s="32" t="n">
        <v>6479</v>
      </c>
      <c r="B4089" s="32" t="s">
        <v>3251</v>
      </c>
      <c r="C4089" s="32" t="s">
        <v>3254</v>
      </c>
      <c r="D4089" s="32" t="s">
        <v>59</v>
      </c>
      <c r="E4089" s="32" t="n">
        <v>0</v>
      </c>
      <c r="F4089" s="33" t="n">
        <v>918179000000</v>
      </c>
      <c r="G4089" s="32" t="s">
        <v>80</v>
      </c>
      <c r="H4089" s="32" t="s">
        <v>21</v>
      </c>
      <c r="I4089" s="32" t="s">
        <v>1036</v>
      </c>
      <c r="J4089" s="32" t="s">
        <v>62</v>
      </c>
      <c r="K4089" s="32" t="s">
        <v>63</v>
      </c>
    </row>
    <row r="4090" customFormat="false" ht="13.5" hidden="false" customHeight="true" outlineLevel="0" collapsed="false">
      <c r="A4090" s="32" t="n">
        <v>6480</v>
      </c>
      <c r="B4090" s="32" t="s">
        <v>3255</v>
      </c>
      <c r="C4090" s="32" t="s">
        <v>3256</v>
      </c>
      <c r="D4090" s="32" t="s">
        <v>59</v>
      </c>
      <c r="E4090" s="32" t="s">
        <v>107</v>
      </c>
      <c r="F4090" s="32" t="n">
        <v>9940237014</v>
      </c>
      <c r="G4090" s="32" t="s">
        <v>61</v>
      </c>
      <c r="H4090" s="32" t="s">
        <v>21</v>
      </c>
      <c r="I4090" s="32" t="s">
        <v>109</v>
      </c>
      <c r="J4090" s="32" t="s">
        <v>110</v>
      </c>
      <c r="K4090" s="32" t="s">
        <v>63</v>
      </c>
    </row>
    <row r="4091" customFormat="false" ht="13.5" hidden="false" customHeight="true" outlineLevel="0" collapsed="false">
      <c r="A4091" s="32" t="n">
        <v>6481</v>
      </c>
      <c r="B4091" s="32" t="s">
        <v>3255</v>
      </c>
      <c r="C4091" s="32" t="s">
        <v>3257</v>
      </c>
      <c r="D4091" s="32" t="s">
        <v>59</v>
      </c>
      <c r="E4091" s="32" t="s">
        <v>107</v>
      </c>
      <c r="F4091" s="32" t="n">
        <v>9940237014</v>
      </c>
      <c r="G4091" s="32" t="s">
        <v>61</v>
      </c>
      <c r="H4091" s="32" t="s">
        <v>21</v>
      </c>
      <c r="I4091" s="32" t="s">
        <v>121</v>
      </c>
      <c r="J4091" s="32" t="s">
        <v>110</v>
      </c>
      <c r="K4091" s="32" t="s">
        <v>63</v>
      </c>
    </row>
    <row r="4092" customFormat="false" ht="13.5" hidden="false" customHeight="true" outlineLevel="0" collapsed="false">
      <c r="A4092" s="32" t="n">
        <v>6482</v>
      </c>
      <c r="B4092" s="32" t="s">
        <v>3255</v>
      </c>
      <c r="C4092" s="32" t="s">
        <v>3257</v>
      </c>
      <c r="D4092" s="32" t="s">
        <v>59</v>
      </c>
      <c r="E4092" s="32" t="s">
        <v>107</v>
      </c>
      <c r="F4092" s="32" t="n">
        <v>9940237014</v>
      </c>
      <c r="G4092" s="32" t="s">
        <v>61</v>
      </c>
      <c r="H4092" s="32" t="s">
        <v>21</v>
      </c>
      <c r="I4092" s="32" t="s">
        <v>145</v>
      </c>
      <c r="J4092" s="32" t="s">
        <v>117</v>
      </c>
      <c r="K4092" s="32" t="s">
        <v>63</v>
      </c>
    </row>
    <row r="4093" customFormat="false" ht="13.5" hidden="false" customHeight="true" outlineLevel="0" collapsed="false">
      <c r="A4093" s="32" t="n">
        <v>6483</v>
      </c>
      <c r="B4093" s="32" t="s">
        <v>3255</v>
      </c>
      <c r="C4093" s="32" t="s">
        <v>3257</v>
      </c>
      <c r="D4093" s="32" t="s">
        <v>59</v>
      </c>
      <c r="E4093" s="32" t="s">
        <v>107</v>
      </c>
      <c r="F4093" s="32" t="n">
        <v>9940237014</v>
      </c>
      <c r="G4093" s="32" t="s">
        <v>61</v>
      </c>
      <c r="H4093" s="32" t="s">
        <v>21</v>
      </c>
      <c r="I4093" s="32" t="s">
        <v>93</v>
      </c>
      <c r="J4093" s="32" t="s">
        <v>85</v>
      </c>
      <c r="K4093" s="32" t="s">
        <v>63</v>
      </c>
    </row>
    <row r="4094" customFormat="false" ht="13.5" hidden="false" customHeight="true" outlineLevel="0" collapsed="false">
      <c r="A4094" s="32" t="n">
        <v>6484</v>
      </c>
      <c r="B4094" s="32" t="s">
        <v>3258</v>
      </c>
      <c r="C4094" s="32" t="s">
        <v>3259</v>
      </c>
      <c r="D4094" s="32" t="s">
        <v>59</v>
      </c>
      <c r="E4094" s="32" t="s">
        <v>107</v>
      </c>
      <c r="F4094" s="33" t="n">
        <v>919490000000</v>
      </c>
      <c r="G4094" s="32" t="s">
        <v>80</v>
      </c>
      <c r="H4094" s="32" t="s">
        <v>21</v>
      </c>
      <c r="I4094" s="32" t="s">
        <v>393</v>
      </c>
      <c r="J4094" s="32" t="s">
        <v>73</v>
      </c>
      <c r="K4094" s="32" t="s">
        <v>63</v>
      </c>
    </row>
    <row r="4095" customFormat="false" ht="13.5" hidden="false" customHeight="true" outlineLevel="0" collapsed="false">
      <c r="A4095" s="32" t="n">
        <v>6485</v>
      </c>
      <c r="B4095" s="32" t="s">
        <v>3258</v>
      </c>
      <c r="C4095" s="32" t="s">
        <v>3259</v>
      </c>
      <c r="D4095" s="32" t="s">
        <v>59</v>
      </c>
      <c r="E4095" s="32" t="s">
        <v>107</v>
      </c>
      <c r="F4095" s="33" t="n">
        <v>919490000000</v>
      </c>
      <c r="G4095" s="32" t="s">
        <v>80</v>
      </c>
      <c r="H4095" s="32" t="s">
        <v>21</v>
      </c>
      <c r="I4095" s="32" t="s">
        <v>28</v>
      </c>
      <c r="J4095" s="32" t="s">
        <v>82</v>
      </c>
      <c r="K4095" s="32" t="s">
        <v>63</v>
      </c>
    </row>
    <row r="4096" customFormat="false" ht="13.5" hidden="false" customHeight="true" outlineLevel="0" collapsed="false">
      <c r="A4096" s="32" t="n">
        <v>6486</v>
      </c>
      <c r="B4096" s="32" t="s">
        <v>3258</v>
      </c>
      <c r="C4096" s="32" t="s">
        <v>3259</v>
      </c>
      <c r="D4096" s="32" t="s">
        <v>59</v>
      </c>
      <c r="E4096" s="32" t="s">
        <v>107</v>
      </c>
      <c r="F4096" s="33" t="n">
        <v>919490000000</v>
      </c>
      <c r="G4096" s="32" t="s">
        <v>80</v>
      </c>
      <c r="H4096" s="32" t="s">
        <v>21</v>
      </c>
      <c r="I4096" s="32" t="s">
        <v>111</v>
      </c>
      <c r="J4096" s="32" t="s">
        <v>73</v>
      </c>
      <c r="K4096" s="32" t="s">
        <v>63</v>
      </c>
    </row>
    <row r="4097" customFormat="false" ht="13.5" hidden="false" customHeight="true" outlineLevel="0" collapsed="false">
      <c r="A4097" s="32" t="n">
        <v>6487</v>
      </c>
      <c r="B4097" s="32" t="s">
        <v>3258</v>
      </c>
      <c r="C4097" s="32" t="s">
        <v>3259</v>
      </c>
      <c r="D4097" s="32" t="s">
        <v>59</v>
      </c>
      <c r="E4097" s="32" t="s">
        <v>107</v>
      </c>
      <c r="F4097" s="33" t="n">
        <v>919490000000</v>
      </c>
      <c r="G4097" s="32" t="s">
        <v>80</v>
      </c>
      <c r="H4097" s="32" t="s">
        <v>21</v>
      </c>
      <c r="I4097" s="32" t="s">
        <v>280</v>
      </c>
      <c r="J4097" s="32" t="s">
        <v>76</v>
      </c>
      <c r="K4097" s="32" t="s">
        <v>63</v>
      </c>
    </row>
    <row r="4098" customFormat="false" ht="13.5" hidden="false" customHeight="true" outlineLevel="0" collapsed="false">
      <c r="A4098" s="32" t="n">
        <v>6488</v>
      </c>
      <c r="B4098" s="32" t="s">
        <v>3260</v>
      </c>
      <c r="C4098" s="32" t="s">
        <v>3261</v>
      </c>
      <c r="D4098" s="32" t="s">
        <v>59</v>
      </c>
      <c r="E4098" s="32" t="s">
        <v>60</v>
      </c>
      <c r="F4098" s="32" t="n">
        <v>7676564475</v>
      </c>
      <c r="G4098" s="32" t="s">
        <v>61</v>
      </c>
      <c r="H4098" s="32" t="s">
        <v>21</v>
      </c>
      <c r="I4098" s="32" t="s">
        <v>14</v>
      </c>
      <c r="J4098" s="32" t="s">
        <v>66</v>
      </c>
      <c r="K4098" s="32" t="s">
        <v>63</v>
      </c>
    </row>
    <row r="4099" customFormat="false" ht="13.5" hidden="false" customHeight="true" outlineLevel="0" collapsed="false">
      <c r="A4099" s="32" t="n">
        <v>6489</v>
      </c>
      <c r="B4099" s="32" t="s">
        <v>3260</v>
      </c>
      <c r="C4099" s="32" t="s">
        <v>3261</v>
      </c>
      <c r="D4099" s="32" t="s">
        <v>59</v>
      </c>
      <c r="E4099" s="32" t="s">
        <v>60</v>
      </c>
      <c r="F4099" s="32" t="n">
        <v>7676564475</v>
      </c>
      <c r="G4099" s="32" t="s">
        <v>61</v>
      </c>
      <c r="H4099" s="32" t="s">
        <v>21</v>
      </c>
      <c r="I4099" s="32" t="s">
        <v>456</v>
      </c>
      <c r="J4099" s="32" t="s">
        <v>66</v>
      </c>
      <c r="K4099" s="32" t="s">
        <v>63</v>
      </c>
    </row>
    <row r="4100" customFormat="false" ht="13.5" hidden="false" customHeight="true" outlineLevel="0" collapsed="false">
      <c r="A4100" s="32" t="n">
        <v>6490</v>
      </c>
      <c r="B4100" s="32" t="s">
        <v>3260</v>
      </c>
      <c r="C4100" s="32" t="s">
        <v>3261</v>
      </c>
      <c r="D4100" s="32" t="s">
        <v>59</v>
      </c>
      <c r="E4100" s="32" t="s">
        <v>60</v>
      </c>
      <c r="F4100" s="32" t="n">
        <v>7676564475</v>
      </c>
      <c r="G4100" s="32" t="s">
        <v>61</v>
      </c>
      <c r="H4100" s="32" t="s">
        <v>21</v>
      </c>
      <c r="I4100" s="32" t="s">
        <v>280</v>
      </c>
      <c r="J4100" s="32" t="s">
        <v>76</v>
      </c>
      <c r="K4100" s="32" t="s">
        <v>63</v>
      </c>
    </row>
    <row r="4101" customFormat="false" ht="13.5" hidden="false" customHeight="true" outlineLevel="0" collapsed="false">
      <c r="A4101" s="32" t="n">
        <v>6491</v>
      </c>
      <c r="B4101" s="32" t="s">
        <v>3262</v>
      </c>
      <c r="C4101" s="32" t="s">
        <v>3263</v>
      </c>
      <c r="D4101" s="32" t="s">
        <v>114</v>
      </c>
      <c r="E4101" s="32" t="s">
        <v>268</v>
      </c>
      <c r="F4101" s="32" t="n">
        <v>8050501437</v>
      </c>
      <c r="G4101" s="32" t="s">
        <v>61</v>
      </c>
      <c r="H4101" s="32" t="s">
        <v>22</v>
      </c>
      <c r="I4101" s="32" t="s">
        <v>1108</v>
      </c>
      <c r="J4101" s="32" t="s">
        <v>66</v>
      </c>
      <c r="K4101" s="32" t="s">
        <v>63</v>
      </c>
    </row>
    <row r="4102" customFormat="false" ht="13.5" hidden="false" customHeight="true" outlineLevel="0" collapsed="false">
      <c r="A4102" s="32" t="n">
        <v>6492</v>
      </c>
      <c r="B4102" s="32" t="s">
        <v>3262</v>
      </c>
      <c r="C4102" s="32" t="s">
        <v>3263</v>
      </c>
      <c r="D4102" s="32" t="s">
        <v>114</v>
      </c>
      <c r="E4102" s="32" t="s">
        <v>268</v>
      </c>
      <c r="F4102" s="32" t="n">
        <v>8050501437</v>
      </c>
      <c r="G4102" s="32" t="s">
        <v>61</v>
      </c>
      <c r="H4102" s="32" t="s">
        <v>22</v>
      </c>
      <c r="I4102" s="32" t="s">
        <v>14</v>
      </c>
      <c r="J4102" s="32" t="s">
        <v>66</v>
      </c>
      <c r="K4102" s="32" t="s">
        <v>63</v>
      </c>
    </row>
    <row r="4103" customFormat="false" ht="13.5" hidden="false" customHeight="true" outlineLevel="0" collapsed="false">
      <c r="A4103" s="32" t="n">
        <v>6493</v>
      </c>
      <c r="B4103" s="32" t="s">
        <v>3262</v>
      </c>
      <c r="C4103" s="32" t="s">
        <v>3263</v>
      </c>
      <c r="D4103" s="32" t="s">
        <v>114</v>
      </c>
      <c r="E4103" s="32" t="s">
        <v>268</v>
      </c>
      <c r="F4103" s="32" t="n">
        <v>8050501437</v>
      </c>
      <c r="G4103" s="32" t="s">
        <v>61</v>
      </c>
      <c r="H4103" s="32" t="s">
        <v>22</v>
      </c>
      <c r="I4103" s="32" t="s">
        <v>826</v>
      </c>
      <c r="J4103" s="32" t="s">
        <v>84</v>
      </c>
      <c r="K4103" s="32" t="s">
        <v>63</v>
      </c>
    </row>
    <row r="4104" customFormat="false" ht="13.5" hidden="false" customHeight="true" outlineLevel="0" collapsed="false">
      <c r="A4104" s="32" t="n">
        <v>6494</v>
      </c>
      <c r="B4104" s="32" t="s">
        <v>3264</v>
      </c>
      <c r="C4104" s="32" t="s">
        <v>3265</v>
      </c>
      <c r="D4104" s="32" t="s">
        <v>59</v>
      </c>
      <c r="E4104" s="32" t="s">
        <v>79</v>
      </c>
      <c r="F4104" s="32" t="n">
        <v>8149510626</v>
      </c>
      <c r="G4104" s="32" t="s">
        <v>69</v>
      </c>
      <c r="H4104" s="32" t="s">
        <v>21</v>
      </c>
      <c r="I4104" s="32" t="s">
        <v>151</v>
      </c>
      <c r="J4104" s="32" t="s">
        <v>152</v>
      </c>
      <c r="K4104" s="32" t="s">
        <v>63</v>
      </c>
    </row>
    <row r="4105" customFormat="false" ht="13.5" hidden="false" customHeight="true" outlineLevel="0" collapsed="false">
      <c r="A4105" s="32" t="n">
        <v>6495</v>
      </c>
      <c r="B4105" s="32" t="s">
        <v>3264</v>
      </c>
      <c r="C4105" s="32" t="s">
        <v>3265</v>
      </c>
      <c r="D4105" s="32" t="s">
        <v>59</v>
      </c>
      <c r="E4105" s="32" t="s">
        <v>79</v>
      </c>
      <c r="F4105" s="32" t="n">
        <v>8149510626</v>
      </c>
      <c r="G4105" s="32" t="s">
        <v>69</v>
      </c>
      <c r="H4105" s="32" t="s">
        <v>21</v>
      </c>
      <c r="I4105" s="32" t="s">
        <v>1121</v>
      </c>
      <c r="J4105" s="32" t="s">
        <v>89</v>
      </c>
      <c r="K4105" s="32" t="s">
        <v>63</v>
      </c>
    </row>
    <row r="4106" customFormat="false" ht="13.5" hidden="false" customHeight="true" outlineLevel="0" collapsed="false">
      <c r="A4106" s="32" t="n">
        <v>6496</v>
      </c>
      <c r="B4106" s="32" t="s">
        <v>3264</v>
      </c>
      <c r="C4106" s="32" t="s">
        <v>3265</v>
      </c>
      <c r="D4106" s="32" t="s">
        <v>59</v>
      </c>
      <c r="E4106" s="32" t="s">
        <v>79</v>
      </c>
      <c r="F4106" s="32" t="n">
        <v>8149510626</v>
      </c>
      <c r="G4106" s="32" t="s">
        <v>69</v>
      </c>
      <c r="H4106" s="32" t="s">
        <v>21</v>
      </c>
      <c r="I4106" s="32" t="s">
        <v>146</v>
      </c>
      <c r="J4106" s="32" t="s">
        <v>117</v>
      </c>
      <c r="K4106" s="32" t="s">
        <v>63</v>
      </c>
    </row>
    <row r="4107" customFormat="false" ht="13.5" hidden="false" customHeight="true" outlineLevel="0" collapsed="false">
      <c r="A4107" s="32" t="n">
        <v>6497</v>
      </c>
      <c r="B4107" s="32" t="s">
        <v>3264</v>
      </c>
      <c r="C4107" s="32" t="s">
        <v>3265</v>
      </c>
      <c r="D4107" s="32" t="s">
        <v>59</v>
      </c>
      <c r="E4107" s="32" t="s">
        <v>79</v>
      </c>
      <c r="F4107" s="32" t="n">
        <v>8149510626</v>
      </c>
      <c r="G4107" s="32" t="s">
        <v>69</v>
      </c>
      <c r="H4107" s="32" t="s">
        <v>21</v>
      </c>
      <c r="I4107" s="32" t="s">
        <v>172</v>
      </c>
      <c r="J4107" s="32" t="s">
        <v>152</v>
      </c>
      <c r="K4107" s="32" t="s">
        <v>63</v>
      </c>
    </row>
    <row r="4108" customFormat="false" ht="13.5" hidden="false" customHeight="true" outlineLevel="0" collapsed="false">
      <c r="A4108" s="32" t="n">
        <v>6498</v>
      </c>
      <c r="B4108" s="32" t="s">
        <v>3266</v>
      </c>
      <c r="C4108" s="32" t="s">
        <v>3267</v>
      </c>
      <c r="D4108" s="32" t="s">
        <v>114</v>
      </c>
      <c r="E4108" s="32" t="n">
        <v>0</v>
      </c>
      <c r="F4108" s="32" t="n">
        <v>8978277765</v>
      </c>
      <c r="G4108" s="32" t="s">
        <v>80</v>
      </c>
      <c r="H4108" s="32" t="s">
        <v>22</v>
      </c>
      <c r="I4108" s="32" t="s">
        <v>392</v>
      </c>
      <c r="J4108" s="32" t="s">
        <v>99</v>
      </c>
      <c r="K4108" s="32" t="s">
        <v>63</v>
      </c>
    </row>
    <row r="4109" customFormat="false" ht="13.5" hidden="false" customHeight="true" outlineLevel="0" collapsed="false">
      <c r="A4109" s="32" t="n">
        <v>6499</v>
      </c>
      <c r="B4109" s="32" t="s">
        <v>3266</v>
      </c>
      <c r="C4109" s="32" t="s">
        <v>3267</v>
      </c>
      <c r="D4109" s="32" t="s">
        <v>114</v>
      </c>
      <c r="E4109" s="32" t="n">
        <v>0</v>
      </c>
      <c r="F4109" s="32" t="n">
        <v>8978277765</v>
      </c>
      <c r="G4109" s="32" t="s">
        <v>80</v>
      </c>
      <c r="H4109" s="32" t="s">
        <v>22</v>
      </c>
      <c r="I4109" s="32" t="s">
        <v>212</v>
      </c>
      <c r="J4109" s="32" t="s">
        <v>73</v>
      </c>
      <c r="K4109" s="32" t="s">
        <v>63</v>
      </c>
    </row>
    <row r="4110" customFormat="false" ht="13.5" hidden="false" customHeight="true" outlineLevel="0" collapsed="false">
      <c r="A4110" s="32" t="n">
        <v>6500</v>
      </c>
      <c r="B4110" s="32" t="s">
        <v>3266</v>
      </c>
      <c r="C4110" s="32" t="s">
        <v>3267</v>
      </c>
      <c r="D4110" s="32" t="s">
        <v>114</v>
      </c>
      <c r="E4110" s="32" t="n">
        <v>0</v>
      </c>
      <c r="F4110" s="32" t="n">
        <v>8978277765</v>
      </c>
      <c r="G4110" s="32" t="s">
        <v>80</v>
      </c>
      <c r="H4110" s="32" t="s">
        <v>22</v>
      </c>
      <c r="I4110" s="32" t="s">
        <v>150</v>
      </c>
      <c r="J4110" s="32" t="s">
        <v>73</v>
      </c>
      <c r="K4110" s="32" t="s">
        <v>63</v>
      </c>
    </row>
    <row r="4111" customFormat="false" ht="13.5" hidden="false" customHeight="true" outlineLevel="0" collapsed="false">
      <c r="A4111" s="32" t="n">
        <v>6501</v>
      </c>
      <c r="B4111" s="32" t="s">
        <v>3266</v>
      </c>
      <c r="C4111" s="32" t="s">
        <v>3267</v>
      </c>
      <c r="D4111" s="32" t="s">
        <v>114</v>
      </c>
      <c r="E4111" s="32" t="n">
        <v>0</v>
      </c>
      <c r="F4111" s="32" t="n">
        <v>8978277765</v>
      </c>
      <c r="G4111" s="32" t="s">
        <v>80</v>
      </c>
      <c r="H4111" s="32" t="s">
        <v>22</v>
      </c>
      <c r="I4111" s="32" t="s">
        <v>16</v>
      </c>
      <c r="J4111" s="32" t="s">
        <v>73</v>
      </c>
      <c r="K4111" s="32" t="s">
        <v>63</v>
      </c>
    </row>
    <row r="4112" customFormat="false" ht="13.5" hidden="false" customHeight="true" outlineLevel="0" collapsed="false">
      <c r="A4112" s="32" t="n">
        <v>6502</v>
      </c>
      <c r="B4112" s="32" t="s">
        <v>3268</v>
      </c>
      <c r="C4112" s="32" t="s">
        <v>3268</v>
      </c>
      <c r="D4112" s="32" t="s">
        <v>114</v>
      </c>
      <c r="E4112" s="32" t="n">
        <v>0</v>
      </c>
      <c r="F4112" s="32" t="n">
        <v>8978277765</v>
      </c>
      <c r="G4112" s="32" t="s">
        <v>80</v>
      </c>
      <c r="H4112" s="32" t="s">
        <v>22</v>
      </c>
      <c r="I4112" s="32" t="s">
        <v>108</v>
      </c>
      <c r="J4112" s="32" t="s">
        <v>71</v>
      </c>
      <c r="K4112" s="32" t="s">
        <v>63</v>
      </c>
    </row>
    <row r="4113" customFormat="false" ht="13.5" hidden="false" customHeight="true" outlineLevel="0" collapsed="false">
      <c r="A4113" s="32" t="n">
        <v>6503</v>
      </c>
      <c r="B4113" s="32" t="s">
        <v>3269</v>
      </c>
      <c r="C4113" s="32" t="s">
        <v>3267</v>
      </c>
      <c r="D4113" s="32" t="s">
        <v>114</v>
      </c>
      <c r="E4113" s="32" t="n">
        <v>0</v>
      </c>
      <c r="F4113" s="32" t="n">
        <v>8978277765</v>
      </c>
      <c r="G4113" s="32" t="s">
        <v>80</v>
      </c>
      <c r="H4113" s="32" t="s">
        <v>22</v>
      </c>
      <c r="I4113" s="32" t="s">
        <v>245</v>
      </c>
      <c r="J4113" s="32" t="s">
        <v>71</v>
      </c>
      <c r="K4113" s="32" t="s">
        <v>63</v>
      </c>
    </row>
    <row r="4114" customFormat="false" ht="13.5" hidden="false" customHeight="true" outlineLevel="0" collapsed="false">
      <c r="A4114" s="32" t="n">
        <v>6504</v>
      </c>
      <c r="B4114" s="32" t="s">
        <v>3270</v>
      </c>
      <c r="C4114" s="32" t="s">
        <v>3271</v>
      </c>
      <c r="D4114" s="32" t="s">
        <v>59</v>
      </c>
      <c r="E4114" s="32" t="s">
        <v>107</v>
      </c>
      <c r="F4114" s="32" t="n">
        <v>0</v>
      </c>
      <c r="G4114" s="32" t="s">
        <v>140</v>
      </c>
      <c r="H4114" s="32" t="s">
        <v>21</v>
      </c>
      <c r="I4114" s="32" t="s">
        <v>145</v>
      </c>
      <c r="J4114" s="32" t="s">
        <v>117</v>
      </c>
      <c r="K4114" s="32" t="s">
        <v>63</v>
      </c>
    </row>
    <row r="4115" customFormat="false" ht="13.5" hidden="false" customHeight="true" outlineLevel="0" collapsed="false">
      <c r="A4115" s="32" t="n">
        <v>6505</v>
      </c>
      <c r="B4115" s="32" t="s">
        <v>3270</v>
      </c>
      <c r="C4115" s="32" t="s">
        <v>3271</v>
      </c>
      <c r="D4115" s="32" t="s">
        <v>59</v>
      </c>
      <c r="E4115" s="32" t="s">
        <v>107</v>
      </c>
      <c r="F4115" s="32" t="n">
        <v>0</v>
      </c>
      <c r="G4115" s="32" t="s">
        <v>140</v>
      </c>
      <c r="H4115" s="32" t="s">
        <v>21</v>
      </c>
      <c r="I4115" s="32" t="s">
        <v>133</v>
      </c>
      <c r="J4115" s="32" t="s">
        <v>134</v>
      </c>
      <c r="K4115" s="32" t="s">
        <v>63</v>
      </c>
    </row>
    <row r="4116" customFormat="false" ht="13.5" hidden="false" customHeight="true" outlineLevel="0" collapsed="false">
      <c r="A4116" s="32" t="n">
        <v>6506</v>
      </c>
      <c r="B4116" s="32" t="s">
        <v>3272</v>
      </c>
      <c r="C4116" s="32" t="s">
        <v>3273</v>
      </c>
      <c r="D4116" s="32" t="s">
        <v>59</v>
      </c>
      <c r="E4116" s="32" t="n">
        <v>0</v>
      </c>
      <c r="F4116" s="33" t="n">
        <v>918754000000</v>
      </c>
      <c r="G4116" s="32" t="s">
        <v>0</v>
      </c>
      <c r="H4116" s="32" t="s">
        <v>21</v>
      </c>
      <c r="I4116" s="32" t="s">
        <v>29</v>
      </c>
      <c r="J4116" s="32" t="s">
        <v>62</v>
      </c>
      <c r="K4116" s="32" t="s">
        <v>63</v>
      </c>
    </row>
    <row r="4117" customFormat="false" ht="13.5" hidden="false" customHeight="true" outlineLevel="0" collapsed="false">
      <c r="A4117" s="32" t="n">
        <v>6507</v>
      </c>
      <c r="B4117" s="32" t="s">
        <v>3272</v>
      </c>
      <c r="C4117" s="32" t="s">
        <v>3273</v>
      </c>
      <c r="D4117" s="32" t="s">
        <v>59</v>
      </c>
      <c r="E4117" s="32" t="n">
        <v>0</v>
      </c>
      <c r="F4117" s="33" t="n">
        <v>918754000000</v>
      </c>
      <c r="G4117" s="32" t="s">
        <v>0</v>
      </c>
      <c r="H4117" s="32" t="s">
        <v>21</v>
      </c>
      <c r="I4117" s="32" t="s">
        <v>463</v>
      </c>
      <c r="J4117" s="32" t="s">
        <v>66</v>
      </c>
      <c r="K4117" s="32" t="s">
        <v>63</v>
      </c>
    </row>
    <row r="4118" customFormat="false" ht="13.5" hidden="false" customHeight="true" outlineLevel="0" collapsed="false">
      <c r="A4118" s="32" t="n">
        <v>6508</v>
      </c>
      <c r="B4118" s="32" t="s">
        <v>3272</v>
      </c>
      <c r="C4118" s="32" t="s">
        <v>3273</v>
      </c>
      <c r="D4118" s="32" t="s">
        <v>59</v>
      </c>
      <c r="E4118" s="32" t="n">
        <v>0</v>
      </c>
      <c r="F4118" s="33" t="n">
        <v>918754000000</v>
      </c>
      <c r="G4118" s="32" t="s">
        <v>0</v>
      </c>
      <c r="H4118" s="32" t="s">
        <v>21</v>
      </c>
      <c r="I4118" s="32" t="s">
        <v>456</v>
      </c>
      <c r="J4118" s="32" t="s">
        <v>66</v>
      </c>
      <c r="K4118" s="32" t="s">
        <v>63</v>
      </c>
    </row>
    <row r="4119" customFormat="false" ht="13.5" hidden="false" customHeight="true" outlineLevel="0" collapsed="false">
      <c r="A4119" s="32" t="n">
        <v>6509</v>
      </c>
      <c r="B4119" s="32" t="s">
        <v>3272</v>
      </c>
      <c r="C4119" s="32" t="s">
        <v>3273</v>
      </c>
      <c r="D4119" s="32" t="s">
        <v>59</v>
      </c>
      <c r="E4119" s="32" t="n">
        <v>0</v>
      </c>
      <c r="F4119" s="33" t="n">
        <v>918754000000</v>
      </c>
      <c r="G4119" s="32" t="s">
        <v>0</v>
      </c>
      <c r="H4119" s="32" t="s">
        <v>21</v>
      </c>
      <c r="I4119" s="32" t="s">
        <v>3274</v>
      </c>
      <c r="J4119" s="32" t="s">
        <v>203</v>
      </c>
      <c r="K4119" s="32" t="s">
        <v>63</v>
      </c>
    </row>
    <row r="4120" customFormat="false" ht="13.5" hidden="false" customHeight="true" outlineLevel="0" collapsed="false">
      <c r="A4120" s="32" t="n">
        <v>6510</v>
      </c>
      <c r="B4120" s="32" t="s">
        <v>3272</v>
      </c>
      <c r="C4120" s="32" t="s">
        <v>3275</v>
      </c>
      <c r="D4120" s="32" t="s">
        <v>59</v>
      </c>
      <c r="E4120" s="32" t="n">
        <v>0</v>
      </c>
      <c r="F4120" s="33" t="n">
        <v>918754000000</v>
      </c>
      <c r="G4120" s="32" t="s">
        <v>0</v>
      </c>
      <c r="H4120" s="32" t="s">
        <v>21</v>
      </c>
      <c r="I4120" s="32" t="s">
        <v>64</v>
      </c>
      <c r="J4120" s="32" t="s">
        <v>62</v>
      </c>
      <c r="K4120" s="32" t="s">
        <v>63</v>
      </c>
    </row>
    <row r="4121" customFormat="false" ht="13.5" hidden="false" customHeight="true" outlineLevel="0" collapsed="false">
      <c r="A4121" s="32" t="n">
        <v>6511</v>
      </c>
      <c r="B4121" s="32" t="s">
        <v>3276</v>
      </c>
      <c r="C4121" s="32" t="s">
        <v>3277</v>
      </c>
      <c r="D4121" s="32" t="s">
        <v>114</v>
      </c>
      <c r="E4121" s="32" t="n">
        <v>0</v>
      </c>
      <c r="F4121" s="32" t="n">
        <v>0</v>
      </c>
      <c r="G4121" s="32" t="s">
        <v>61</v>
      </c>
      <c r="H4121" s="32" t="s">
        <v>22</v>
      </c>
      <c r="I4121" s="32" t="s">
        <v>149</v>
      </c>
      <c r="J4121" s="32" t="s">
        <v>73</v>
      </c>
      <c r="K4121" s="32" t="s">
        <v>63</v>
      </c>
    </row>
    <row r="4122" customFormat="false" ht="13.5" hidden="false" customHeight="true" outlineLevel="0" collapsed="false">
      <c r="A4122" s="32" t="n">
        <v>6512</v>
      </c>
      <c r="B4122" s="32" t="s">
        <v>3278</v>
      </c>
      <c r="C4122" s="32" t="s">
        <v>3279</v>
      </c>
      <c r="D4122" s="32" t="s">
        <v>114</v>
      </c>
      <c r="E4122" s="32" t="n">
        <v>0</v>
      </c>
      <c r="F4122" s="32" t="n">
        <v>7378812298</v>
      </c>
      <c r="G4122" s="32" t="s">
        <v>69</v>
      </c>
      <c r="H4122" s="32" t="s">
        <v>22</v>
      </c>
      <c r="I4122" s="32" t="s">
        <v>128</v>
      </c>
      <c r="J4122" s="32" t="s">
        <v>89</v>
      </c>
      <c r="K4122" s="32" t="s">
        <v>63</v>
      </c>
    </row>
    <row r="4123" customFormat="false" ht="13.5" hidden="false" customHeight="true" outlineLevel="0" collapsed="false">
      <c r="A4123" s="32" t="n">
        <v>6513</v>
      </c>
      <c r="B4123" s="32" t="s">
        <v>3278</v>
      </c>
      <c r="C4123" s="32" t="s">
        <v>3280</v>
      </c>
      <c r="D4123" s="32" t="s">
        <v>114</v>
      </c>
      <c r="E4123" s="32" t="n">
        <v>0</v>
      </c>
      <c r="F4123" s="32" t="n">
        <v>7378812298</v>
      </c>
      <c r="G4123" s="32" t="s">
        <v>69</v>
      </c>
      <c r="H4123" s="32" t="s">
        <v>22</v>
      </c>
      <c r="I4123" s="32" t="s">
        <v>128</v>
      </c>
      <c r="J4123" s="32" t="s">
        <v>89</v>
      </c>
      <c r="K4123" s="32" t="s">
        <v>63</v>
      </c>
    </row>
    <row r="4124" customFormat="false" ht="13.5" hidden="false" customHeight="true" outlineLevel="0" collapsed="false">
      <c r="A4124" s="32" t="n">
        <v>6514</v>
      </c>
      <c r="B4124" s="32" t="s">
        <v>3278</v>
      </c>
      <c r="C4124" s="32" t="s">
        <v>3280</v>
      </c>
      <c r="D4124" s="32" t="s">
        <v>114</v>
      </c>
      <c r="E4124" s="32" t="n">
        <v>0</v>
      </c>
      <c r="F4124" s="32" t="n">
        <v>7378812298</v>
      </c>
      <c r="G4124" s="32" t="s">
        <v>69</v>
      </c>
      <c r="H4124" s="32" t="s">
        <v>22</v>
      </c>
      <c r="I4124" s="32" t="s">
        <v>93</v>
      </c>
      <c r="J4124" s="32" t="s">
        <v>85</v>
      </c>
      <c r="K4124" s="32" t="s">
        <v>63</v>
      </c>
    </row>
    <row r="4125" customFormat="false" ht="13.5" hidden="false" customHeight="true" outlineLevel="0" collapsed="false">
      <c r="A4125" s="32" t="n">
        <v>6515</v>
      </c>
      <c r="B4125" s="32" t="s">
        <v>3281</v>
      </c>
      <c r="C4125" s="32" t="s">
        <v>3282</v>
      </c>
      <c r="D4125" s="32" t="s">
        <v>59</v>
      </c>
      <c r="E4125" s="32" t="s">
        <v>79</v>
      </c>
      <c r="F4125" s="32" t="n">
        <v>9880410123</v>
      </c>
      <c r="G4125" s="32" t="s">
        <v>61</v>
      </c>
      <c r="H4125" s="32" t="s">
        <v>21</v>
      </c>
      <c r="I4125" s="32" t="s">
        <v>386</v>
      </c>
      <c r="J4125" s="32" t="s">
        <v>132</v>
      </c>
      <c r="K4125" s="32" t="s">
        <v>63</v>
      </c>
    </row>
    <row r="4126" customFormat="false" ht="13.5" hidden="false" customHeight="true" outlineLevel="0" collapsed="false">
      <c r="A4126" s="32" t="n">
        <v>6516</v>
      </c>
      <c r="B4126" s="32" t="s">
        <v>3281</v>
      </c>
      <c r="C4126" s="32" t="s">
        <v>3282</v>
      </c>
      <c r="D4126" s="32" t="s">
        <v>59</v>
      </c>
      <c r="E4126" s="32" t="s">
        <v>79</v>
      </c>
      <c r="F4126" s="32" t="n">
        <v>9880410123</v>
      </c>
      <c r="G4126" s="32" t="s">
        <v>61</v>
      </c>
      <c r="H4126" s="32" t="s">
        <v>21</v>
      </c>
      <c r="I4126" s="32" t="s">
        <v>215</v>
      </c>
      <c r="J4126" s="32" t="s">
        <v>132</v>
      </c>
      <c r="K4126" s="32" t="s">
        <v>63</v>
      </c>
    </row>
    <row r="4127" customFormat="false" ht="13.5" hidden="false" customHeight="true" outlineLevel="0" collapsed="false">
      <c r="A4127" s="32" t="n">
        <v>6517</v>
      </c>
      <c r="B4127" s="32" t="s">
        <v>3281</v>
      </c>
      <c r="C4127" s="32" t="s">
        <v>3282</v>
      </c>
      <c r="D4127" s="32" t="s">
        <v>59</v>
      </c>
      <c r="E4127" s="32" t="s">
        <v>79</v>
      </c>
      <c r="F4127" s="32" t="n">
        <v>9880410123</v>
      </c>
      <c r="G4127" s="32" t="s">
        <v>61</v>
      </c>
      <c r="H4127" s="32" t="s">
        <v>21</v>
      </c>
      <c r="I4127" s="32" t="s">
        <v>728</v>
      </c>
      <c r="J4127" s="32" t="s">
        <v>132</v>
      </c>
      <c r="K4127" s="32" t="s">
        <v>63</v>
      </c>
    </row>
    <row r="4128" customFormat="false" ht="13.5" hidden="false" customHeight="true" outlineLevel="0" collapsed="false">
      <c r="A4128" s="32" t="n">
        <v>6518</v>
      </c>
      <c r="B4128" s="32" t="s">
        <v>3281</v>
      </c>
      <c r="C4128" s="32" t="s">
        <v>3282</v>
      </c>
      <c r="D4128" s="32" t="s">
        <v>59</v>
      </c>
      <c r="E4128" s="32" t="s">
        <v>79</v>
      </c>
      <c r="F4128" s="32" t="n">
        <v>9880410123</v>
      </c>
      <c r="G4128" s="32" t="s">
        <v>61</v>
      </c>
      <c r="H4128" s="32" t="s">
        <v>21</v>
      </c>
      <c r="I4128" s="32" t="s">
        <v>825</v>
      </c>
      <c r="J4128" s="32" t="s">
        <v>132</v>
      </c>
      <c r="K4128" s="32" t="s">
        <v>63</v>
      </c>
    </row>
    <row r="4129" customFormat="false" ht="13.5" hidden="false" customHeight="true" outlineLevel="0" collapsed="false">
      <c r="A4129" s="32" t="n">
        <v>6522</v>
      </c>
      <c r="B4129" s="32" t="s">
        <v>3283</v>
      </c>
      <c r="C4129" s="32" t="s">
        <v>3284</v>
      </c>
      <c r="D4129" s="32" t="s">
        <v>114</v>
      </c>
      <c r="E4129" s="32" t="s">
        <v>165</v>
      </c>
      <c r="F4129" s="32" t="n">
        <v>9999355159</v>
      </c>
      <c r="G4129" s="32" t="s">
        <v>144</v>
      </c>
      <c r="H4129" s="32" t="s">
        <v>22</v>
      </c>
      <c r="I4129" s="32" t="s">
        <v>248</v>
      </c>
      <c r="J4129" s="32" t="s">
        <v>117</v>
      </c>
      <c r="K4129" s="32" t="s">
        <v>63</v>
      </c>
    </row>
    <row r="4130" customFormat="false" ht="13.5" hidden="false" customHeight="true" outlineLevel="0" collapsed="false">
      <c r="A4130" s="32" t="n">
        <v>6523</v>
      </c>
      <c r="B4130" s="32" t="s">
        <v>3283</v>
      </c>
      <c r="C4130" s="32" t="s">
        <v>3284</v>
      </c>
      <c r="D4130" s="32" t="s">
        <v>114</v>
      </c>
      <c r="E4130" s="32" t="s">
        <v>165</v>
      </c>
      <c r="F4130" s="32" t="n">
        <v>9999355159</v>
      </c>
      <c r="G4130" s="32" t="s">
        <v>144</v>
      </c>
      <c r="H4130" s="32" t="s">
        <v>22</v>
      </c>
      <c r="I4130" s="32" t="s">
        <v>16</v>
      </c>
      <c r="J4130" s="32" t="s">
        <v>73</v>
      </c>
      <c r="K4130" s="32" t="s">
        <v>63</v>
      </c>
    </row>
    <row r="4131" customFormat="false" ht="13.5" hidden="false" customHeight="true" outlineLevel="0" collapsed="false">
      <c r="A4131" s="32" t="n">
        <v>6524</v>
      </c>
      <c r="B4131" s="32" t="s">
        <v>3283</v>
      </c>
      <c r="C4131" s="32" t="s">
        <v>3284</v>
      </c>
      <c r="D4131" s="32" t="s">
        <v>114</v>
      </c>
      <c r="E4131" s="32" t="s">
        <v>165</v>
      </c>
      <c r="F4131" s="32" t="n">
        <v>9999355159</v>
      </c>
      <c r="G4131" s="32" t="s">
        <v>144</v>
      </c>
      <c r="H4131" s="32" t="s">
        <v>22</v>
      </c>
      <c r="I4131" s="32" t="s">
        <v>28</v>
      </c>
      <c r="J4131" s="32" t="s">
        <v>82</v>
      </c>
      <c r="K4131" s="32" t="s">
        <v>63</v>
      </c>
    </row>
    <row r="4132" customFormat="false" ht="13.5" hidden="false" customHeight="true" outlineLevel="0" collapsed="false">
      <c r="A4132" s="32" t="n">
        <v>6525</v>
      </c>
      <c r="B4132" s="32" t="s">
        <v>3285</v>
      </c>
      <c r="C4132" s="32" t="s">
        <v>3286</v>
      </c>
      <c r="D4132" s="32" t="s">
        <v>114</v>
      </c>
      <c r="E4132" s="32" t="s">
        <v>169</v>
      </c>
      <c r="F4132" s="32" t="n">
        <v>9423207509</v>
      </c>
      <c r="G4132" s="32" t="s">
        <v>69</v>
      </c>
      <c r="H4132" s="32" t="s">
        <v>22</v>
      </c>
      <c r="I4132" s="32" t="s">
        <v>93</v>
      </c>
      <c r="J4132" s="32" t="s">
        <v>85</v>
      </c>
      <c r="K4132" s="32" t="s">
        <v>63</v>
      </c>
    </row>
    <row r="4133" customFormat="false" ht="13.5" hidden="false" customHeight="true" outlineLevel="0" collapsed="false">
      <c r="A4133" s="32" t="n">
        <v>6526</v>
      </c>
      <c r="B4133" s="32" t="s">
        <v>3285</v>
      </c>
      <c r="C4133" s="32" t="s">
        <v>3287</v>
      </c>
      <c r="D4133" s="32" t="s">
        <v>114</v>
      </c>
      <c r="E4133" s="32" t="s">
        <v>169</v>
      </c>
      <c r="F4133" s="32" t="n">
        <v>9423207509</v>
      </c>
      <c r="G4133" s="32" t="s">
        <v>69</v>
      </c>
      <c r="H4133" s="32" t="s">
        <v>22</v>
      </c>
      <c r="I4133" s="32" t="s">
        <v>145</v>
      </c>
      <c r="J4133" s="32" t="s">
        <v>117</v>
      </c>
      <c r="K4133" s="32" t="s">
        <v>63</v>
      </c>
    </row>
    <row r="4134" customFormat="false" ht="13.5" hidden="false" customHeight="true" outlineLevel="0" collapsed="false">
      <c r="A4134" s="32" t="n">
        <v>6527</v>
      </c>
      <c r="B4134" s="32" t="s">
        <v>3285</v>
      </c>
      <c r="C4134" s="32" t="s">
        <v>3287</v>
      </c>
      <c r="D4134" s="32" t="s">
        <v>114</v>
      </c>
      <c r="E4134" s="32" t="s">
        <v>169</v>
      </c>
      <c r="F4134" s="32" t="n">
        <v>9423207509</v>
      </c>
      <c r="G4134" s="32" t="s">
        <v>69</v>
      </c>
      <c r="H4134" s="32" t="s">
        <v>22</v>
      </c>
      <c r="I4134" s="32" t="s">
        <v>146</v>
      </c>
      <c r="J4134" s="32" t="s">
        <v>117</v>
      </c>
      <c r="K4134" s="32" t="s">
        <v>63</v>
      </c>
    </row>
    <row r="4135" customFormat="false" ht="13.5" hidden="false" customHeight="true" outlineLevel="0" collapsed="false">
      <c r="A4135" s="32" t="n">
        <v>6528</v>
      </c>
      <c r="B4135" s="32" t="s">
        <v>3285</v>
      </c>
      <c r="C4135" s="32" t="s">
        <v>3287</v>
      </c>
      <c r="D4135" s="32" t="s">
        <v>114</v>
      </c>
      <c r="E4135" s="32" t="s">
        <v>169</v>
      </c>
      <c r="F4135" s="32" t="n">
        <v>9423207509</v>
      </c>
      <c r="G4135" s="32" t="s">
        <v>69</v>
      </c>
      <c r="H4135" s="32" t="s">
        <v>22</v>
      </c>
      <c r="I4135" s="32" t="s">
        <v>172</v>
      </c>
      <c r="J4135" s="32" t="s">
        <v>152</v>
      </c>
      <c r="K4135" s="32" t="s">
        <v>63</v>
      </c>
    </row>
    <row r="4136" customFormat="false" ht="13.5" hidden="false" customHeight="true" outlineLevel="0" collapsed="false">
      <c r="A4136" s="32" t="n">
        <v>6529</v>
      </c>
      <c r="B4136" s="32" t="s">
        <v>3288</v>
      </c>
      <c r="C4136" s="32" t="s">
        <v>3289</v>
      </c>
      <c r="D4136" s="32" t="s">
        <v>114</v>
      </c>
      <c r="E4136" s="32" t="s">
        <v>115</v>
      </c>
      <c r="F4136" s="33" t="n">
        <v>919730000000</v>
      </c>
      <c r="G4136" s="32" t="s">
        <v>80</v>
      </c>
      <c r="H4136" s="32" t="s">
        <v>22</v>
      </c>
      <c r="I4136" s="32" t="s">
        <v>172</v>
      </c>
      <c r="J4136" s="32" t="s">
        <v>152</v>
      </c>
      <c r="K4136" s="32" t="s">
        <v>63</v>
      </c>
    </row>
    <row r="4137" customFormat="false" ht="13.5" hidden="false" customHeight="true" outlineLevel="0" collapsed="false">
      <c r="A4137" s="32" t="n">
        <v>6530</v>
      </c>
      <c r="B4137" s="32" t="s">
        <v>3288</v>
      </c>
      <c r="C4137" s="32" t="s">
        <v>3290</v>
      </c>
      <c r="D4137" s="32" t="s">
        <v>114</v>
      </c>
      <c r="E4137" s="32" t="s">
        <v>115</v>
      </c>
      <c r="F4137" s="32" t="n">
        <v>9730301695</v>
      </c>
      <c r="G4137" s="32" t="s">
        <v>80</v>
      </c>
      <c r="H4137" s="32" t="s">
        <v>22</v>
      </c>
      <c r="I4137" s="32" t="s">
        <v>95</v>
      </c>
      <c r="J4137" s="32" t="s">
        <v>96</v>
      </c>
      <c r="K4137" s="32" t="s">
        <v>63</v>
      </c>
    </row>
    <row r="4138" customFormat="false" ht="13.5" hidden="false" customHeight="true" outlineLevel="0" collapsed="false">
      <c r="A4138" s="32" t="n">
        <v>6531</v>
      </c>
      <c r="B4138" s="32" t="s">
        <v>3288</v>
      </c>
      <c r="C4138" s="32" t="s">
        <v>3290</v>
      </c>
      <c r="D4138" s="32" t="s">
        <v>114</v>
      </c>
      <c r="E4138" s="32" t="s">
        <v>115</v>
      </c>
      <c r="F4138" s="32" t="n">
        <v>9730301695</v>
      </c>
      <c r="G4138" s="32" t="s">
        <v>80</v>
      </c>
      <c r="H4138" s="32" t="s">
        <v>22</v>
      </c>
      <c r="I4138" s="32" t="s">
        <v>145</v>
      </c>
      <c r="J4138" s="32" t="s">
        <v>117</v>
      </c>
      <c r="K4138" s="32" t="s">
        <v>63</v>
      </c>
    </row>
    <row r="4139" customFormat="false" ht="13.5" hidden="false" customHeight="true" outlineLevel="0" collapsed="false">
      <c r="A4139" s="32" t="n">
        <v>6532</v>
      </c>
      <c r="B4139" s="32" t="s">
        <v>3288</v>
      </c>
      <c r="C4139" s="32" t="s">
        <v>3290</v>
      </c>
      <c r="D4139" s="32" t="s">
        <v>114</v>
      </c>
      <c r="E4139" s="32" t="s">
        <v>115</v>
      </c>
      <c r="F4139" s="32" t="n">
        <v>9730301695</v>
      </c>
      <c r="G4139" s="32" t="s">
        <v>80</v>
      </c>
      <c r="H4139" s="32" t="s">
        <v>22</v>
      </c>
      <c r="I4139" s="32" t="s">
        <v>120</v>
      </c>
      <c r="J4139" s="32" t="s">
        <v>110</v>
      </c>
      <c r="K4139" s="32" t="s">
        <v>63</v>
      </c>
    </row>
    <row r="4140" customFormat="false" ht="13.5" hidden="false" customHeight="true" outlineLevel="0" collapsed="false">
      <c r="A4140" s="32" t="n">
        <v>6533</v>
      </c>
      <c r="B4140" s="32" t="s">
        <v>3288</v>
      </c>
      <c r="C4140" s="32" t="s">
        <v>3291</v>
      </c>
      <c r="D4140" s="32" t="s">
        <v>114</v>
      </c>
      <c r="E4140" s="32" t="s">
        <v>115</v>
      </c>
      <c r="F4140" s="32" t="n">
        <v>9730301695</v>
      </c>
      <c r="G4140" s="32" t="s">
        <v>80</v>
      </c>
      <c r="H4140" s="32" t="s">
        <v>22</v>
      </c>
      <c r="I4140" s="32" t="s">
        <v>121</v>
      </c>
      <c r="J4140" s="32" t="s">
        <v>110</v>
      </c>
      <c r="K4140" s="32" t="s">
        <v>63</v>
      </c>
    </row>
    <row r="4141" customFormat="false" ht="13.5" hidden="false" customHeight="true" outlineLevel="0" collapsed="false">
      <c r="A4141" s="32" t="n">
        <v>6534</v>
      </c>
      <c r="B4141" s="32" t="s">
        <v>3288</v>
      </c>
      <c r="C4141" s="32" t="s">
        <v>3291</v>
      </c>
      <c r="D4141" s="32" t="s">
        <v>114</v>
      </c>
      <c r="E4141" s="32" t="s">
        <v>115</v>
      </c>
      <c r="F4141" s="33" t="n">
        <v>919730000000</v>
      </c>
      <c r="G4141" s="32" t="s">
        <v>80</v>
      </c>
      <c r="H4141" s="32" t="s">
        <v>22</v>
      </c>
      <c r="I4141" s="32" t="s">
        <v>280</v>
      </c>
      <c r="J4141" s="32" t="s">
        <v>76</v>
      </c>
      <c r="K4141" s="32" t="s">
        <v>63</v>
      </c>
    </row>
    <row r="4142" customFormat="false" ht="13.5" hidden="false" customHeight="true" outlineLevel="0" collapsed="false">
      <c r="A4142" s="32" t="n">
        <v>6535</v>
      </c>
      <c r="B4142" s="32" t="s">
        <v>3288</v>
      </c>
      <c r="C4142" s="32" t="s">
        <v>3290</v>
      </c>
      <c r="D4142" s="32" t="s">
        <v>114</v>
      </c>
      <c r="E4142" s="32" t="s">
        <v>115</v>
      </c>
      <c r="F4142" s="32" t="n">
        <v>9730301695</v>
      </c>
      <c r="G4142" s="32" t="s">
        <v>80</v>
      </c>
      <c r="H4142" s="32" t="s">
        <v>22</v>
      </c>
      <c r="I4142" s="32" t="s">
        <v>30</v>
      </c>
      <c r="J4142" s="32" t="s">
        <v>203</v>
      </c>
      <c r="K4142" s="32" t="s">
        <v>63</v>
      </c>
    </row>
    <row r="4143" customFormat="false" ht="13.5" hidden="false" customHeight="true" outlineLevel="0" collapsed="false">
      <c r="A4143" s="32" t="n">
        <v>6536</v>
      </c>
      <c r="B4143" s="32" t="s">
        <v>3288</v>
      </c>
      <c r="C4143" s="32" t="s">
        <v>3291</v>
      </c>
      <c r="D4143" s="32" t="s">
        <v>114</v>
      </c>
      <c r="E4143" s="32" t="s">
        <v>115</v>
      </c>
      <c r="F4143" s="33" t="n">
        <v>919730000000</v>
      </c>
      <c r="G4143" s="32" t="s">
        <v>80</v>
      </c>
      <c r="H4143" s="32" t="s">
        <v>22</v>
      </c>
      <c r="I4143" s="32" t="s">
        <v>108</v>
      </c>
      <c r="J4143" s="32" t="s">
        <v>71</v>
      </c>
      <c r="K4143" s="32" t="s">
        <v>63</v>
      </c>
    </row>
    <row r="4144" customFormat="false" ht="13.5" hidden="false" customHeight="true" outlineLevel="0" collapsed="false">
      <c r="A4144" s="32" t="n">
        <v>6537</v>
      </c>
      <c r="B4144" s="32" t="s">
        <v>3292</v>
      </c>
      <c r="C4144" s="32" t="s">
        <v>3293</v>
      </c>
      <c r="D4144" s="32" t="s">
        <v>114</v>
      </c>
      <c r="E4144" s="32" t="s">
        <v>115</v>
      </c>
      <c r="F4144" s="32" t="n">
        <v>9901079797</v>
      </c>
      <c r="G4144" s="32" t="s">
        <v>80</v>
      </c>
      <c r="H4144" s="32" t="s">
        <v>22</v>
      </c>
      <c r="I4144" s="32" t="s">
        <v>217</v>
      </c>
      <c r="J4144" s="32" t="s">
        <v>132</v>
      </c>
      <c r="K4144" s="32" t="s">
        <v>63</v>
      </c>
    </row>
    <row r="4145" customFormat="false" ht="13.5" hidden="false" customHeight="true" outlineLevel="0" collapsed="false">
      <c r="A4145" s="32" t="n">
        <v>6538</v>
      </c>
      <c r="B4145" s="32" t="s">
        <v>3294</v>
      </c>
      <c r="C4145" s="32" t="s">
        <v>3295</v>
      </c>
      <c r="D4145" s="32" t="s">
        <v>59</v>
      </c>
      <c r="E4145" s="32" t="s">
        <v>107</v>
      </c>
      <c r="F4145" s="33" t="n">
        <v>919551000000</v>
      </c>
      <c r="G4145" s="32" t="s">
        <v>80</v>
      </c>
      <c r="H4145" s="32" t="s">
        <v>21</v>
      </c>
      <c r="I4145" s="32" t="s">
        <v>145</v>
      </c>
      <c r="J4145" s="32" t="s">
        <v>117</v>
      </c>
      <c r="K4145" s="32" t="s">
        <v>63</v>
      </c>
    </row>
    <row r="4146" customFormat="false" ht="13.5" hidden="false" customHeight="true" outlineLevel="0" collapsed="false">
      <c r="A4146" s="32" t="n">
        <v>6539</v>
      </c>
      <c r="B4146" s="32" t="s">
        <v>3294</v>
      </c>
      <c r="C4146" s="32" t="s">
        <v>3295</v>
      </c>
      <c r="D4146" s="32" t="s">
        <v>59</v>
      </c>
      <c r="E4146" s="32" t="s">
        <v>107</v>
      </c>
      <c r="F4146" s="33" t="n">
        <v>919551000000</v>
      </c>
      <c r="G4146" s="32" t="s">
        <v>80</v>
      </c>
      <c r="H4146" s="32" t="s">
        <v>21</v>
      </c>
      <c r="I4146" s="32" t="s">
        <v>695</v>
      </c>
      <c r="J4146" s="32" t="s">
        <v>695</v>
      </c>
      <c r="K4146" s="32" t="s">
        <v>63</v>
      </c>
    </row>
    <row r="4147" customFormat="false" ht="13.5" hidden="false" customHeight="true" outlineLevel="0" collapsed="false">
      <c r="A4147" s="32" t="n">
        <v>6540</v>
      </c>
      <c r="B4147" s="32" t="s">
        <v>3296</v>
      </c>
      <c r="C4147" s="32" t="s">
        <v>3297</v>
      </c>
      <c r="D4147" s="32" t="s">
        <v>114</v>
      </c>
      <c r="E4147" s="32" t="s">
        <v>165</v>
      </c>
      <c r="F4147" s="33" t="n">
        <v>919884000000</v>
      </c>
      <c r="G4147" s="32" t="s">
        <v>80</v>
      </c>
      <c r="H4147" s="32" t="s">
        <v>22</v>
      </c>
      <c r="I4147" s="32" t="s">
        <v>549</v>
      </c>
      <c r="J4147" s="32" t="s">
        <v>110</v>
      </c>
      <c r="K4147" s="32" t="s">
        <v>63</v>
      </c>
    </row>
    <row r="4148" customFormat="false" ht="13.5" hidden="false" customHeight="true" outlineLevel="0" collapsed="false">
      <c r="A4148" s="32" t="n">
        <v>6541</v>
      </c>
      <c r="B4148" s="32" t="s">
        <v>3296</v>
      </c>
      <c r="C4148" s="32" t="s">
        <v>3297</v>
      </c>
      <c r="D4148" s="32" t="s">
        <v>114</v>
      </c>
      <c r="E4148" s="32" t="s">
        <v>165</v>
      </c>
      <c r="F4148" s="33" t="n">
        <v>919884000000</v>
      </c>
      <c r="G4148" s="32" t="s">
        <v>80</v>
      </c>
      <c r="H4148" s="32" t="s">
        <v>22</v>
      </c>
      <c r="I4148" s="32" t="s">
        <v>231</v>
      </c>
      <c r="J4148" s="32" t="s">
        <v>228</v>
      </c>
      <c r="K4148" s="32" t="s">
        <v>63</v>
      </c>
    </row>
    <row r="4149" customFormat="false" ht="13.5" hidden="false" customHeight="true" outlineLevel="0" collapsed="false">
      <c r="A4149" s="32" t="n">
        <v>6543</v>
      </c>
      <c r="B4149" s="32" t="s">
        <v>3296</v>
      </c>
      <c r="C4149" s="32" t="s">
        <v>3297</v>
      </c>
      <c r="D4149" s="32" t="s">
        <v>114</v>
      </c>
      <c r="E4149" s="32" t="s">
        <v>165</v>
      </c>
      <c r="F4149" s="33" t="n">
        <v>919884000000</v>
      </c>
      <c r="G4149" s="32" t="s">
        <v>80</v>
      </c>
      <c r="H4149" s="32" t="s">
        <v>22</v>
      </c>
      <c r="I4149" s="32" t="s">
        <v>510</v>
      </c>
      <c r="J4149" s="32" t="s">
        <v>186</v>
      </c>
      <c r="K4149" s="32" t="s">
        <v>63</v>
      </c>
    </row>
    <row r="4150" customFormat="false" ht="13.5" hidden="false" customHeight="true" outlineLevel="0" collapsed="false">
      <c r="A4150" s="32" t="n">
        <v>6544</v>
      </c>
      <c r="B4150" s="32" t="s">
        <v>3298</v>
      </c>
      <c r="C4150" s="32" t="s">
        <v>3299</v>
      </c>
      <c r="D4150" s="32" t="s">
        <v>114</v>
      </c>
      <c r="E4150" s="32" t="s">
        <v>169</v>
      </c>
      <c r="F4150" s="32" t="n">
        <v>9096899667</v>
      </c>
      <c r="G4150" s="32" t="s">
        <v>104</v>
      </c>
      <c r="H4150" s="32" t="s">
        <v>22</v>
      </c>
      <c r="I4150" s="32" t="s">
        <v>172</v>
      </c>
      <c r="J4150" s="32" t="s">
        <v>152</v>
      </c>
      <c r="K4150" s="32" t="s">
        <v>63</v>
      </c>
    </row>
    <row r="4151" customFormat="false" ht="13.5" hidden="false" customHeight="true" outlineLevel="0" collapsed="false">
      <c r="A4151" s="32" t="n">
        <v>6545</v>
      </c>
      <c r="B4151" s="32" t="s">
        <v>3298</v>
      </c>
      <c r="C4151" s="32" t="s">
        <v>3300</v>
      </c>
      <c r="D4151" s="32" t="s">
        <v>114</v>
      </c>
      <c r="E4151" s="32" t="s">
        <v>169</v>
      </c>
      <c r="F4151" s="32" t="n">
        <v>9096899667</v>
      </c>
      <c r="G4151" s="32" t="s">
        <v>104</v>
      </c>
      <c r="H4151" s="32" t="s">
        <v>22</v>
      </c>
      <c r="I4151" s="32" t="s">
        <v>95</v>
      </c>
      <c r="J4151" s="32" t="s">
        <v>96</v>
      </c>
      <c r="K4151" s="32" t="s">
        <v>63</v>
      </c>
    </row>
    <row r="4152" customFormat="false" ht="13.5" hidden="false" customHeight="true" outlineLevel="0" collapsed="false">
      <c r="A4152" s="32" t="n">
        <v>6546</v>
      </c>
      <c r="B4152" s="32" t="s">
        <v>3298</v>
      </c>
      <c r="C4152" s="32" t="s">
        <v>3300</v>
      </c>
      <c r="D4152" s="32" t="s">
        <v>114</v>
      </c>
      <c r="E4152" s="32" t="s">
        <v>169</v>
      </c>
      <c r="F4152" s="32" t="n">
        <v>9096899667</v>
      </c>
      <c r="G4152" s="32" t="s">
        <v>104</v>
      </c>
      <c r="H4152" s="32" t="s">
        <v>22</v>
      </c>
      <c r="I4152" s="32" t="s">
        <v>171</v>
      </c>
      <c r="J4152" s="32" t="s">
        <v>152</v>
      </c>
      <c r="K4152" s="32" t="s">
        <v>63</v>
      </c>
    </row>
    <row r="4153" customFormat="false" ht="13.5" hidden="false" customHeight="true" outlineLevel="0" collapsed="false">
      <c r="A4153" s="32" t="n">
        <v>6547</v>
      </c>
      <c r="B4153" s="32" t="s">
        <v>3298</v>
      </c>
      <c r="C4153" s="32" t="s">
        <v>3300</v>
      </c>
      <c r="D4153" s="32" t="s">
        <v>114</v>
      </c>
      <c r="E4153" s="32" t="s">
        <v>169</v>
      </c>
      <c r="F4153" s="32" t="n">
        <v>9096899667</v>
      </c>
      <c r="G4153" s="32" t="s">
        <v>104</v>
      </c>
      <c r="H4153" s="32" t="s">
        <v>22</v>
      </c>
      <c r="I4153" s="32" t="s">
        <v>172</v>
      </c>
      <c r="J4153" s="32" t="s">
        <v>152</v>
      </c>
      <c r="K4153" s="32" t="s">
        <v>63</v>
      </c>
    </row>
    <row r="4154" customFormat="false" ht="13.5" hidden="false" customHeight="true" outlineLevel="0" collapsed="false">
      <c r="A4154" s="32" t="n">
        <v>6548</v>
      </c>
      <c r="B4154" s="32" t="s">
        <v>3301</v>
      </c>
      <c r="C4154" s="32" t="s">
        <v>3302</v>
      </c>
      <c r="D4154" s="32" t="s">
        <v>59</v>
      </c>
      <c r="E4154" s="32" t="s">
        <v>143</v>
      </c>
      <c r="F4154" s="33" t="n">
        <v>918137000000</v>
      </c>
      <c r="G4154" s="32" t="s">
        <v>80</v>
      </c>
      <c r="H4154" s="32" t="s">
        <v>21</v>
      </c>
      <c r="I4154" s="32" t="s">
        <v>133</v>
      </c>
      <c r="J4154" s="32" t="s">
        <v>134</v>
      </c>
      <c r="K4154" s="32" t="s">
        <v>63</v>
      </c>
    </row>
    <row r="4155" customFormat="false" ht="13.5" hidden="false" customHeight="true" outlineLevel="0" collapsed="false">
      <c r="A4155" s="32" t="n">
        <v>6549</v>
      </c>
      <c r="B4155" s="32" t="s">
        <v>3301</v>
      </c>
      <c r="C4155" s="32" t="s">
        <v>3302</v>
      </c>
      <c r="D4155" s="32" t="s">
        <v>59</v>
      </c>
      <c r="E4155" s="32" t="s">
        <v>143</v>
      </c>
      <c r="F4155" s="33" t="n">
        <v>918137000000</v>
      </c>
      <c r="G4155" s="32" t="s">
        <v>80</v>
      </c>
      <c r="H4155" s="32" t="s">
        <v>21</v>
      </c>
      <c r="I4155" s="32" t="s">
        <v>161</v>
      </c>
      <c r="J4155" s="32" t="s">
        <v>117</v>
      </c>
      <c r="K4155" s="32" t="s">
        <v>63</v>
      </c>
    </row>
    <row r="4156" customFormat="false" ht="13.5" hidden="false" customHeight="true" outlineLevel="0" collapsed="false">
      <c r="A4156" s="32" t="n">
        <v>6550</v>
      </c>
      <c r="B4156" s="32" t="s">
        <v>3303</v>
      </c>
      <c r="C4156" s="32" t="s">
        <v>3304</v>
      </c>
      <c r="D4156" s="32" t="s">
        <v>59</v>
      </c>
      <c r="E4156" s="32" t="s">
        <v>107</v>
      </c>
      <c r="F4156" s="32" t="n">
        <v>9398161575</v>
      </c>
      <c r="G4156" s="32" t="s">
        <v>61</v>
      </c>
      <c r="H4156" s="32" t="s">
        <v>21</v>
      </c>
      <c r="I4156" s="32" t="s">
        <v>149</v>
      </c>
      <c r="J4156" s="32" t="s">
        <v>73</v>
      </c>
      <c r="K4156" s="32" t="s">
        <v>63</v>
      </c>
    </row>
    <row r="4157" customFormat="false" ht="13.5" hidden="false" customHeight="true" outlineLevel="0" collapsed="false">
      <c r="A4157" s="32" t="n">
        <v>6551</v>
      </c>
      <c r="B4157" s="32" t="s">
        <v>3305</v>
      </c>
      <c r="C4157" s="32" t="s">
        <v>3306</v>
      </c>
      <c r="D4157" s="32" t="s">
        <v>59</v>
      </c>
      <c r="E4157" s="32" t="s">
        <v>60</v>
      </c>
      <c r="F4157" s="32" t="n">
        <v>0</v>
      </c>
      <c r="G4157" s="32" t="s">
        <v>144</v>
      </c>
      <c r="H4157" s="32" t="s">
        <v>21</v>
      </c>
      <c r="I4157" s="32" t="s">
        <v>156</v>
      </c>
      <c r="J4157" s="32" t="s">
        <v>62</v>
      </c>
      <c r="K4157" s="32" t="s">
        <v>63</v>
      </c>
    </row>
    <row r="4158" customFormat="false" ht="13.5" hidden="false" customHeight="true" outlineLevel="0" collapsed="false">
      <c r="A4158" s="32" t="n">
        <v>6552</v>
      </c>
      <c r="B4158" s="32" t="s">
        <v>3305</v>
      </c>
      <c r="C4158" s="32" t="s">
        <v>3306</v>
      </c>
      <c r="D4158" s="32" t="s">
        <v>59</v>
      </c>
      <c r="E4158" s="32" t="s">
        <v>60</v>
      </c>
      <c r="F4158" s="32" t="n">
        <v>0</v>
      </c>
      <c r="G4158" s="32" t="s">
        <v>144</v>
      </c>
      <c r="H4158" s="32" t="s">
        <v>21</v>
      </c>
      <c r="I4158" s="32" t="s">
        <v>29</v>
      </c>
      <c r="J4158" s="32" t="s">
        <v>62</v>
      </c>
      <c r="K4158" s="32" t="s">
        <v>63</v>
      </c>
    </row>
    <row r="4159" customFormat="false" ht="13.5" hidden="false" customHeight="true" outlineLevel="0" collapsed="false">
      <c r="A4159" s="32" t="n">
        <v>6558</v>
      </c>
      <c r="B4159" s="32" t="s">
        <v>3305</v>
      </c>
      <c r="C4159" s="32" t="s">
        <v>3306</v>
      </c>
      <c r="D4159" s="32" t="s">
        <v>59</v>
      </c>
      <c r="E4159" s="32" t="s">
        <v>60</v>
      </c>
      <c r="F4159" s="32" t="n">
        <v>0</v>
      </c>
      <c r="G4159" s="32" t="s">
        <v>144</v>
      </c>
      <c r="H4159" s="32" t="s">
        <v>21</v>
      </c>
      <c r="I4159" s="32" t="s">
        <v>14</v>
      </c>
      <c r="J4159" s="32" t="s">
        <v>66</v>
      </c>
      <c r="K4159" s="32" t="s">
        <v>63</v>
      </c>
    </row>
    <row r="4160" customFormat="false" ht="13.5" hidden="false" customHeight="true" outlineLevel="0" collapsed="false">
      <c r="A4160" s="32" t="n">
        <v>6559</v>
      </c>
      <c r="B4160" s="32" t="s">
        <v>3307</v>
      </c>
      <c r="C4160" s="32" t="s">
        <v>3308</v>
      </c>
      <c r="D4160" s="32" t="s">
        <v>114</v>
      </c>
      <c r="E4160" s="32" t="s">
        <v>115</v>
      </c>
      <c r="F4160" s="32" t="n">
        <v>9040869539</v>
      </c>
      <c r="G4160" s="32" t="s">
        <v>140</v>
      </c>
      <c r="H4160" s="32" t="s">
        <v>22</v>
      </c>
      <c r="I4160" s="32" t="s">
        <v>109</v>
      </c>
      <c r="J4160" s="32" t="s">
        <v>110</v>
      </c>
      <c r="K4160" s="32" t="s">
        <v>63</v>
      </c>
    </row>
    <row r="4161" customFormat="false" ht="13.5" hidden="false" customHeight="true" outlineLevel="0" collapsed="false">
      <c r="A4161" s="32" t="n">
        <v>6560</v>
      </c>
      <c r="B4161" s="32" t="s">
        <v>3307</v>
      </c>
      <c r="C4161" s="32" t="s">
        <v>3308</v>
      </c>
      <c r="D4161" s="32" t="s">
        <v>114</v>
      </c>
      <c r="E4161" s="32" t="s">
        <v>115</v>
      </c>
      <c r="F4161" s="32" t="n">
        <v>9040869539</v>
      </c>
      <c r="G4161" s="32" t="s">
        <v>140</v>
      </c>
      <c r="H4161" s="32" t="s">
        <v>22</v>
      </c>
      <c r="I4161" s="32" t="s">
        <v>145</v>
      </c>
      <c r="J4161" s="32" t="s">
        <v>117</v>
      </c>
      <c r="K4161" s="32" t="s">
        <v>63</v>
      </c>
    </row>
    <row r="4162" customFormat="false" ht="13.5" hidden="false" customHeight="true" outlineLevel="0" collapsed="false">
      <c r="A4162" s="32" t="n">
        <v>6561</v>
      </c>
      <c r="B4162" s="32" t="s">
        <v>3307</v>
      </c>
      <c r="C4162" s="32" t="s">
        <v>3308</v>
      </c>
      <c r="D4162" s="32" t="s">
        <v>114</v>
      </c>
      <c r="E4162" s="32" t="s">
        <v>115</v>
      </c>
      <c r="F4162" s="32" t="n">
        <v>9040869539</v>
      </c>
      <c r="G4162" s="32" t="s">
        <v>140</v>
      </c>
      <c r="H4162" s="32" t="s">
        <v>22</v>
      </c>
      <c r="I4162" s="32" t="s">
        <v>16</v>
      </c>
      <c r="J4162" s="32" t="s">
        <v>73</v>
      </c>
      <c r="K4162" s="32" t="s">
        <v>63</v>
      </c>
    </row>
    <row r="4163" customFormat="false" ht="13.5" hidden="false" customHeight="true" outlineLevel="0" collapsed="false">
      <c r="A4163" s="32" t="n">
        <v>6563</v>
      </c>
      <c r="B4163" s="32" t="s">
        <v>3309</v>
      </c>
      <c r="C4163" s="32" t="s">
        <v>3310</v>
      </c>
      <c r="D4163" s="32" t="s">
        <v>114</v>
      </c>
      <c r="E4163" s="32" t="s">
        <v>169</v>
      </c>
      <c r="F4163" s="32" t="n">
        <v>9922998710</v>
      </c>
      <c r="G4163" s="32" t="s">
        <v>69</v>
      </c>
      <c r="H4163" s="32" t="s">
        <v>22</v>
      </c>
      <c r="I4163" s="32" t="s">
        <v>95</v>
      </c>
      <c r="J4163" s="32" t="s">
        <v>96</v>
      </c>
      <c r="K4163" s="32" t="s">
        <v>63</v>
      </c>
    </row>
    <row r="4164" customFormat="false" ht="13.5" hidden="false" customHeight="true" outlineLevel="0" collapsed="false">
      <c r="A4164" s="32" t="n">
        <v>6564</v>
      </c>
      <c r="B4164" s="32" t="s">
        <v>3309</v>
      </c>
      <c r="C4164" s="32" t="s">
        <v>3310</v>
      </c>
      <c r="D4164" s="32" t="s">
        <v>114</v>
      </c>
      <c r="E4164" s="32" t="s">
        <v>169</v>
      </c>
      <c r="F4164" s="32" t="n">
        <v>9922998710</v>
      </c>
      <c r="G4164" s="32" t="s">
        <v>69</v>
      </c>
      <c r="H4164" s="32" t="s">
        <v>22</v>
      </c>
      <c r="I4164" s="32" t="s">
        <v>371</v>
      </c>
      <c r="J4164" s="32" t="s">
        <v>152</v>
      </c>
      <c r="K4164" s="32" t="s">
        <v>63</v>
      </c>
    </row>
    <row r="4165" customFormat="false" ht="13.5" hidden="false" customHeight="true" outlineLevel="0" collapsed="false">
      <c r="A4165" s="32" t="n">
        <v>6565</v>
      </c>
      <c r="B4165" s="32" t="s">
        <v>3311</v>
      </c>
      <c r="C4165" s="32" t="s">
        <v>3312</v>
      </c>
      <c r="D4165" s="32" t="s">
        <v>331</v>
      </c>
      <c r="E4165" s="32" t="s">
        <v>278</v>
      </c>
      <c r="F4165" s="33" t="n">
        <v>919705000000</v>
      </c>
      <c r="G4165" s="32" t="s">
        <v>80</v>
      </c>
      <c r="H4165" s="32" t="s">
        <v>332</v>
      </c>
      <c r="I4165" s="32" t="s">
        <v>156</v>
      </c>
      <c r="J4165" s="32" t="s">
        <v>62</v>
      </c>
      <c r="K4165" s="32" t="s">
        <v>63</v>
      </c>
    </row>
    <row r="4166" customFormat="false" ht="13.5" hidden="false" customHeight="true" outlineLevel="0" collapsed="false">
      <c r="A4166" s="32" t="n">
        <v>6566</v>
      </c>
      <c r="B4166" s="32" t="s">
        <v>3311</v>
      </c>
      <c r="C4166" s="32" t="s">
        <v>3312</v>
      </c>
      <c r="D4166" s="32" t="s">
        <v>331</v>
      </c>
      <c r="E4166" s="32" t="s">
        <v>278</v>
      </c>
      <c r="F4166" s="33" t="n">
        <v>919705000000</v>
      </c>
      <c r="G4166" s="32" t="s">
        <v>80</v>
      </c>
      <c r="H4166" s="32" t="s">
        <v>332</v>
      </c>
      <c r="I4166" s="32" t="s">
        <v>30</v>
      </c>
      <c r="J4166" s="32" t="s">
        <v>203</v>
      </c>
      <c r="K4166" s="32" t="s">
        <v>63</v>
      </c>
    </row>
    <row r="4167" customFormat="false" ht="13.5" hidden="false" customHeight="true" outlineLevel="0" collapsed="false">
      <c r="A4167" s="32" t="n">
        <v>6567</v>
      </c>
      <c r="B4167" s="32" t="s">
        <v>3311</v>
      </c>
      <c r="C4167" s="32" t="s">
        <v>3312</v>
      </c>
      <c r="D4167" s="32" t="s">
        <v>331</v>
      </c>
      <c r="E4167" s="32" t="s">
        <v>278</v>
      </c>
      <c r="F4167" s="33" t="n">
        <v>919705000000</v>
      </c>
      <c r="G4167" s="32" t="s">
        <v>80</v>
      </c>
      <c r="H4167" s="32" t="s">
        <v>332</v>
      </c>
      <c r="I4167" s="32" t="s">
        <v>28</v>
      </c>
      <c r="J4167" s="32" t="s">
        <v>82</v>
      </c>
      <c r="K4167" s="32" t="s">
        <v>63</v>
      </c>
    </row>
    <row r="4168" customFormat="false" ht="13.5" hidden="false" customHeight="true" outlineLevel="0" collapsed="false">
      <c r="A4168" s="32" t="n">
        <v>6568</v>
      </c>
      <c r="B4168" s="32" t="s">
        <v>3313</v>
      </c>
      <c r="C4168" s="32" t="s">
        <v>3314</v>
      </c>
      <c r="D4168" s="32" t="s">
        <v>59</v>
      </c>
      <c r="E4168" s="32" t="s">
        <v>107</v>
      </c>
      <c r="F4168" s="32" t="n">
        <v>8886026000</v>
      </c>
      <c r="G4168" s="32" t="s">
        <v>80</v>
      </c>
      <c r="H4168" s="32" t="s">
        <v>21</v>
      </c>
      <c r="I4168" s="32" t="s">
        <v>30</v>
      </c>
      <c r="J4168" s="32" t="s">
        <v>203</v>
      </c>
      <c r="K4168" s="32" t="s">
        <v>63</v>
      </c>
    </row>
    <row r="4169" customFormat="false" ht="13.5" hidden="false" customHeight="true" outlineLevel="0" collapsed="false">
      <c r="A4169" s="32" t="n">
        <v>6569</v>
      </c>
      <c r="B4169" s="32" t="s">
        <v>3313</v>
      </c>
      <c r="C4169" s="32" t="s">
        <v>3314</v>
      </c>
      <c r="D4169" s="32" t="s">
        <v>59</v>
      </c>
      <c r="E4169" s="32" t="s">
        <v>107</v>
      </c>
      <c r="F4169" s="32" t="n">
        <v>8886026000</v>
      </c>
      <c r="G4169" s="32" t="s">
        <v>80</v>
      </c>
      <c r="H4169" s="32" t="s">
        <v>21</v>
      </c>
      <c r="I4169" s="32" t="s">
        <v>85</v>
      </c>
      <c r="J4169" s="32" t="s">
        <v>85</v>
      </c>
      <c r="K4169" s="32" t="s">
        <v>63</v>
      </c>
    </row>
    <row r="4170" customFormat="false" ht="13.5" hidden="false" customHeight="true" outlineLevel="0" collapsed="false">
      <c r="A4170" s="32" t="n">
        <v>6570</v>
      </c>
      <c r="B4170" s="32" t="s">
        <v>3313</v>
      </c>
      <c r="C4170" s="32" t="s">
        <v>3314</v>
      </c>
      <c r="D4170" s="32" t="s">
        <v>59</v>
      </c>
      <c r="E4170" s="32" t="s">
        <v>107</v>
      </c>
      <c r="F4170" s="32" t="n">
        <v>8886026000</v>
      </c>
      <c r="G4170" s="32" t="s">
        <v>80</v>
      </c>
      <c r="H4170" s="32" t="s">
        <v>21</v>
      </c>
      <c r="I4170" s="32" t="s">
        <v>3315</v>
      </c>
      <c r="J4170" s="32" t="s">
        <v>89</v>
      </c>
      <c r="K4170" s="32" t="s">
        <v>63</v>
      </c>
    </row>
    <row r="4171" customFormat="false" ht="13.5" hidden="false" customHeight="true" outlineLevel="0" collapsed="false">
      <c r="A4171" s="32" t="n">
        <v>6571</v>
      </c>
      <c r="B4171" s="32" t="s">
        <v>3313</v>
      </c>
      <c r="C4171" s="32" t="s">
        <v>3314</v>
      </c>
      <c r="D4171" s="32" t="s">
        <v>59</v>
      </c>
      <c r="E4171" s="32" t="s">
        <v>107</v>
      </c>
      <c r="F4171" s="32" t="n">
        <v>8886026000</v>
      </c>
      <c r="G4171" s="32" t="s">
        <v>80</v>
      </c>
      <c r="H4171" s="32" t="s">
        <v>21</v>
      </c>
      <c r="I4171" s="32" t="s">
        <v>95</v>
      </c>
      <c r="J4171" s="32" t="s">
        <v>96</v>
      </c>
      <c r="K4171" s="32" t="s">
        <v>63</v>
      </c>
    </row>
    <row r="4172" customFormat="false" ht="13.5" hidden="false" customHeight="true" outlineLevel="0" collapsed="false">
      <c r="A4172" s="32" t="n">
        <v>6572</v>
      </c>
      <c r="B4172" s="32" t="s">
        <v>3313</v>
      </c>
      <c r="C4172" s="32" t="s">
        <v>3314</v>
      </c>
      <c r="D4172" s="32" t="s">
        <v>59</v>
      </c>
      <c r="E4172" s="32" t="s">
        <v>107</v>
      </c>
      <c r="F4172" s="32" t="n">
        <v>8886026000</v>
      </c>
      <c r="G4172" s="32" t="s">
        <v>80</v>
      </c>
      <c r="H4172" s="32" t="s">
        <v>21</v>
      </c>
      <c r="I4172" s="32" t="s">
        <v>1632</v>
      </c>
      <c r="J4172" s="32" t="s">
        <v>388</v>
      </c>
      <c r="K4172" s="32" t="s">
        <v>63</v>
      </c>
    </row>
    <row r="4173" customFormat="false" ht="13.5" hidden="false" customHeight="true" outlineLevel="0" collapsed="false">
      <c r="A4173" s="32" t="n">
        <v>6573</v>
      </c>
      <c r="B4173" s="32" t="s">
        <v>3316</v>
      </c>
      <c r="C4173" s="32" t="s">
        <v>3317</v>
      </c>
      <c r="D4173" s="32" t="s">
        <v>59</v>
      </c>
      <c r="E4173" s="32" t="s">
        <v>143</v>
      </c>
      <c r="F4173" s="32" t="n">
        <v>0</v>
      </c>
      <c r="G4173" s="32" t="s">
        <v>61</v>
      </c>
      <c r="H4173" s="32" t="s">
        <v>21</v>
      </c>
      <c r="I4173" s="32" t="s">
        <v>93</v>
      </c>
      <c r="J4173" s="32" t="s">
        <v>85</v>
      </c>
      <c r="K4173" s="32" t="s">
        <v>63</v>
      </c>
    </row>
    <row r="4174" customFormat="false" ht="13.5" hidden="false" customHeight="true" outlineLevel="0" collapsed="false">
      <c r="A4174" s="32" t="n">
        <v>6574</v>
      </c>
      <c r="B4174" s="32" t="s">
        <v>3316</v>
      </c>
      <c r="C4174" s="32" t="s">
        <v>3317</v>
      </c>
      <c r="D4174" s="32" t="s">
        <v>59</v>
      </c>
      <c r="E4174" s="32" t="s">
        <v>143</v>
      </c>
      <c r="F4174" s="32" t="n">
        <v>0</v>
      </c>
      <c r="G4174" s="32" t="s">
        <v>61</v>
      </c>
      <c r="H4174" s="32" t="s">
        <v>21</v>
      </c>
      <c r="I4174" s="32" t="s">
        <v>30</v>
      </c>
      <c r="J4174" s="32" t="s">
        <v>203</v>
      </c>
      <c r="K4174" s="32" t="s">
        <v>63</v>
      </c>
    </row>
    <row r="4175" customFormat="false" ht="13.5" hidden="false" customHeight="true" outlineLevel="0" collapsed="false">
      <c r="A4175" s="32" t="n">
        <v>6575</v>
      </c>
      <c r="B4175" s="32" t="s">
        <v>3316</v>
      </c>
      <c r="C4175" s="32" t="s">
        <v>3317</v>
      </c>
      <c r="D4175" s="32" t="s">
        <v>59</v>
      </c>
      <c r="E4175" s="32" t="s">
        <v>143</v>
      </c>
      <c r="F4175" s="32" t="n">
        <v>0</v>
      </c>
      <c r="G4175" s="32" t="s">
        <v>61</v>
      </c>
      <c r="H4175" s="32" t="s">
        <v>21</v>
      </c>
      <c r="I4175" s="32" t="s">
        <v>133</v>
      </c>
      <c r="J4175" s="32" t="s">
        <v>134</v>
      </c>
      <c r="K4175" s="32" t="s">
        <v>63</v>
      </c>
    </row>
    <row r="4176" customFormat="false" ht="13.5" hidden="false" customHeight="true" outlineLevel="0" collapsed="false">
      <c r="A4176" s="32" t="n">
        <v>6576</v>
      </c>
      <c r="B4176" s="32" t="s">
        <v>3316</v>
      </c>
      <c r="C4176" s="32" t="s">
        <v>3317</v>
      </c>
      <c r="D4176" s="32" t="s">
        <v>59</v>
      </c>
      <c r="E4176" s="32" t="s">
        <v>143</v>
      </c>
      <c r="F4176" s="32" t="n">
        <v>0</v>
      </c>
      <c r="G4176" s="32" t="s">
        <v>61</v>
      </c>
      <c r="H4176" s="32" t="s">
        <v>21</v>
      </c>
      <c r="I4176" s="32" t="s">
        <v>85</v>
      </c>
      <c r="J4176" s="32" t="s">
        <v>85</v>
      </c>
      <c r="K4176" s="32" t="s">
        <v>63</v>
      </c>
    </row>
    <row r="4177" customFormat="false" ht="13.5" hidden="false" customHeight="true" outlineLevel="0" collapsed="false">
      <c r="A4177" s="32" t="n">
        <v>6577</v>
      </c>
      <c r="B4177" s="32" t="s">
        <v>3316</v>
      </c>
      <c r="C4177" s="32" t="s">
        <v>3318</v>
      </c>
      <c r="D4177" s="32" t="s">
        <v>59</v>
      </c>
      <c r="E4177" s="32" t="s">
        <v>143</v>
      </c>
      <c r="F4177" s="32" t="n">
        <v>0</v>
      </c>
      <c r="G4177" s="32" t="s">
        <v>61</v>
      </c>
      <c r="H4177" s="32" t="s">
        <v>21</v>
      </c>
      <c r="I4177" s="32" t="s">
        <v>161</v>
      </c>
      <c r="J4177" s="32" t="s">
        <v>117</v>
      </c>
      <c r="K4177" s="32" t="s">
        <v>63</v>
      </c>
    </row>
    <row r="4178" customFormat="false" ht="13.5" hidden="false" customHeight="true" outlineLevel="0" collapsed="false">
      <c r="A4178" s="32" t="n">
        <v>6578</v>
      </c>
      <c r="B4178" s="32" t="s">
        <v>3319</v>
      </c>
      <c r="C4178" s="32" t="s">
        <v>3320</v>
      </c>
      <c r="D4178" s="32" t="s">
        <v>114</v>
      </c>
      <c r="E4178" s="32" t="s">
        <v>124</v>
      </c>
      <c r="F4178" s="32" t="n">
        <v>0</v>
      </c>
      <c r="G4178" s="32" t="s">
        <v>144</v>
      </c>
      <c r="H4178" s="32" t="s">
        <v>22</v>
      </c>
      <c r="I4178" s="32" t="s">
        <v>185</v>
      </c>
      <c r="J4178" s="32" t="s">
        <v>186</v>
      </c>
      <c r="K4178" s="32" t="s">
        <v>63</v>
      </c>
    </row>
    <row r="4179" customFormat="false" ht="13.5" hidden="false" customHeight="true" outlineLevel="0" collapsed="false">
      <c r="A4179" s="32" t="n">
        <v>6580</v>
      </c>
      <c r="B4179" s="32" t="s">
        <v>3321</v>
      </c>
      <c r="C4179" s="32" t="s">
        <v>3322</v>
      </c>
      <c r="D4179" s="32" t="s">
        <v>114</v>
      </c>
      <c r="E4179" s="32" t="s">
        <v>124</v>
      </c>
      <c r="F4179" s="32" t="n">
        <v>0</v>
      </c>
      <c r="G4179" s="32" t="s">
        <v>144</v>
      </c>
      <c r="H4179" s="32" t="s">
        <v>22</v>
      </c>
      <c r="I4179" s="32" t="s">
        <v>227</v>
      </c>
      <c r="J4179" s="32" t="s">
        <v>228</v>
      </c>
      <c r="K4179" s="32" t="s">
        <v>63</v>
      </c>
    </row>
    <row r="4180" customFormat="false" ht="13.5" hidden="false" customHeight="true" outlineLevel="0" collapsed="false">
      <c r="A4180" s="32" t="n">
        <v>6581</v>
      </c>
      <c r="B4180" s="32" t="s">
        <v>3321</v>
      </c>
      <c r="C4180" s="32" t="s">
        <v>3322</v>
      </c>
      <c r="D4180" s="32" t="s">
        <v>114</v>
      </c>
      <c r="E4180" s="32" t="s">
        <v>124</v>
      </c>
      <c r="F4180" s="32" t="n">
        <v>0</v>
      </c>
      <c r="G4180" s="32" t="s">
        <v>144</v>
      </c>
      <c r="H4180" s="32" t="s">
        <v>22</v>
      </c>
      <c r="I4180" s="32" t="s">
        <v>226</v>
      </c>
      <c r="J4180" s="32" t="s">
        <v>110</v>
      </c>
      <c r="K4180" s="32" t="s">
        <v>63</v>
      </c>
    </row>
    <row r="4181" customFormat="false" ht="13.5" hidden="false" customHeight="true" outlineLevel="0" collapsed="false">
      <c r="A4181" s="32" t="n">
        <v>6582</v>
      </c>
      <c r="B4181" s="32" t="s">
        <v>3323</v>
      </c>
      <c r="C4181" s="32" t="s">
        <v>3324</v>
      </c>
      <c r="D4181" s="32" t="s">
        <v>59</v>
      </c>
      <c r="E4181" s="32" t="s">
        <v>107</v>
      </c>
      <c r="F4181" s="32" t="n">
        <v>0</v>
      </c>
      <c r="G4181" s="32" t="s">
        <v>144</v>
      </c>
      <c r="H4181" s="32" t="s">
        <v>21</v>
      </c>
      <c r="I4181" s="32" t="s">
        <v>416</v>
      </c>
      <c r="J4181" s="32" t="s">
        <v>82</v>
      </c>
      <c r="K4181" s="32" t="s">
        <v>63</v>
      </c>
    </row>
    <row r="4182" customFormat="false" ht="13.5" hidden="false" customHeight="true" outlineLevel="0" collapsed="false">
      <c r="A4182" s="32" t="n">
        <v>6583</v>
      </c>
      <c r="B4182" s="32" t="s">
        <v>3323</v>
      </c>
      <c r="C4182" s="32" t="s">
        <v>3324</v>
      </c>
      <c r="D4182" s="32" t="s">
        <v>59</v>
      </c>
      <c r="E4182" s="32" t="s">
        <v>107</v>
      </c>
      <c r="F4182" s="32" t="n">
        <v>0</v>
      </c>
      <c r="G4182" s="32" t="s">
        <v>144</v>
      </c>
      <c r="H4182" s="32" t="s">
        <v>21</v>
      </c>
      <c r="I4182" s="32" t="s">
        <v>120</v>
      </c>
      <c r="J4182" s="32" t="s">
        <v>110</v>
      </c>
      <c r="K4182" s="32" t="s">
        <v>63</v>
      </c>
    </row>
    <row r="4183" customFormat="false" ht="13.5" hidden="false" customHeight="true" outlineLevel="0" collapsed="false">
      <c r="A4183" s="32" t="n">
        <v>6586</v>
      </c>
      <c r="B4183" s="32" t="s">
        <v>3323</v>
      </c>
      <c r="C4183" s="32" t="s">
        <v>3324</v>
      </c>
      <c r="D4183" s="32" t="s">
        <v>59</v>
      </c>
      <c r="E4183" s="32" t="s">
        <v>107</v>
      </c>
      <c r="F4183" s="32" t="n">
        <v>7017626309</v>
      </c>
      <c r="G4183" s="32" t="s">
        <v>144</v>
      </c>
      <c r="H4183" s="32" t="s">
        <v>21</v>
      </c>
      <c r="I4183" s="32" t="s">
        <v>254</v>
      </c>
      <c r="J4183" s="32" t="s">
        <v>110</v>
      </c>
      <c r="K4183" s="32" t="s">
        <v>63</v>
      </c>
    </row>
    <row r="4184" customFormat="false" ht="13.5" hidden="false" customHeight="true" outlineLevel="0" collapsed="false">
      <c r="A4184" s="32" t="n">
        <v>6587</v>
      </c>
      <c r="B4184" s="32" t="s">
        <v>3323</v>
      </c>
      <c r="C4184" s="32" t="s">
        <v>3325</v>
      </c>
      <c r="D4184" s="32" t="s">
        <v>59</v>
      </c>
      <c r="E4184" s="32" t="s">
        <v>107</v>
      </c>
      <c r="F4184" s="32" t="n">
        <v>0</v>
      </c>
      <c r="G4184" s="32" t="s">
        <v>144</v>
      </c>
      <c r="H4184" s="32" t="s">
        <v>21</v>
      </c>
      <c r="I4184" s="32" t="s">
        <v>28</v>
      </c>
      <c r="J4184" s="32" t="s">
        <v>82</v>
      </c>
      <c r="K4184" s="32" t="s">
        <v>63</v>
      </c>
    </row>
    <row r="4185" customFormat="false" ht="13.5" hidden="false" customHeight="true" outlineLevel="0" collapsed="false">
      <c r="A4185" s="32" t="n">
        <v>6589</v>
      </c>
      <c r="B4185" s="32" t="s">
        <v>3326</v>
      </c>
      <c r="C4185" s="32" t="s">
        <v>3327</v>
      </c>
      <c r="D4185" s="32" t="s">
        <v>114</v>
      </c>
      <c r="E4185" s="32" t="s">
        <v>268</v>
      </c>
      <c r="F4185" s="32" t="n">
        <v>9611642300</v>
      </c>
      <c r="G4185" s="32" t="s">
        <v>61</v>
      </c>
      <c r="H4185" s="32" t="s">
        <v>22</v>
      </c>
      <c r="I4185" s="32" t="s">
        <v>1242</v>
      </c>
      <c r="J4185" s="32" t="s">
        <v>62</v>
      </c>
      <c r="K4185" s="32" t="s">
        <v>63</v>
      </c>
    </row>
    <row r="4186" customFormat="false" ht="13.5" hidden="false" customHeight="true" outlineLevel="0" collapsed="false">
      <c r="A4186" s="32" t="n">
        <v>6590</v>
      </c>
      <c r="B4186" s="32" t="s">
        <v>3326</v>
      </c>
      <c r="C4186" s="32" t="s">
        <v>3328</v>
      </c>
      <c r="D4186" s="32" t="s">
        <v>114</v>
      </c>
      <c r="E4186" s="32" t="s">
        <v>268</v>
      </c>
      <c r="F4186" s="32" t="n">
        <v>9611642300</v>
      </c>
      <c r="G4186" s="32" t="s">
        <v>61</v>
      </c>
      <c r="H4186" s="32" t="s">
        <v>22</v>
      </c>
      <c r="I4186" s="32" t="s">
        <v>421</v>
      </c>
      <c r="J4186" s="32" t="s">
        <v>235</v>
      </c>
      <c r="K4186" s="32" t="s">
        <v>63</v>
      </c>
    </row>
    <row r="4187" customFormat="false" ht="13.5" hidden="false" customHeight="true" outlineLevel="0" collapsed="false">
      <c r="A4187" s="32" t="n">
        <v>6591</v>
      </c>
      <c r="B4187" s="32" t="s">
        <v>3326</v>
      </c>
      <c r="C4187" s="32" t="s">
        <v>3328</v>
      </c>
      <c r="D4187" s="32" t="s">
        <v>114</v>
      </c>
      <c r="E4187" s="32" t="s">
        <v>268</v>
      </c>
      <c r="F4187" s="33" t="n">
        <v>919612000000</v>
      </c>
      <c r="G4187" s="32" t="s">
        <v>61</v>
      </c>
      <c r="H4187" s="32" t="s">
        <v>22</v>
      </c>
      <c r="I4187" s="32" t="s">
        <v>14</v>
      </c>
      <c r="J4187" s="32" t="s">
        <v>66</v>
      </c>
      <c r="K4187" s="32" t="s">
        <v>63</v>
      </c>
    </row>
    <row r="4188" customFormat="false" ht="13.5" hidden="false" customHeight="true" outlineLevel="0" collapsed="false">
      <c r="A4188" s="32" t="n">
        <v>6592</v>
      </c>
      <c r="B4188" s="32" t="s">
        <v>3326</v>
      </c>
      <c r="C4188" s="32" t="s">
        <v>3328</v>
      </c>
      <c r="D4188" s="32" t="s">
        <v>114</v>
      </c>
      <c r="E4188" s="32" t="s">
        <v>268</v>
      </c>
      <c r="F4188" s="32" t="n">
        <v>9611642300</v>
      </c>
      <c r="G4188" s="32" t="s">
        <v>61</v>
      </c>
      <c r="H4188" s="32" t="s">
        <v>22</v>
      </c>
      <c r="I4188" s="32" t="s">
        <v>333</v>
      </c>
      <c r="J4188" s="32" t="s">
        <v>235</v>
      </c>
      <c r="K4188" s="32" t="s">
        <v>63</v>
      </c>
    </row>
    <row r="4189" customFormat="false" ht="13.5" hidden="false" customHeight="true" outlineLevel="0" collapsed="false">
      <c r="A4189" s="32" t="n">
        <v>6593</v>
      </c>
      <c r="B4189" s="32" t="s">
        <v>3326</v>
      </c>
      <c r="C4189" s="32" t="s">
        <v>3328</v>
      </c>
      <c r="D4189" s="32" t="s">
        <v>114</v>
      </c>
      <c r="E4189" s="32" t="s">
        <v>268</v>
      </c>
      <c r="F4189" s="33" t="n">
        <v>919612000000</v>
      </c>
      <c r="G4189" s="32" t="s">
        <v>61</v>
      </c>
      <c r="H4189" s="32" t="s">
        <v>22</v>
      </c>
      <c r="I4189" s="32" t="s">
        <v>610</v>
      </c>
      <c r="J4189" s="32" t="s">
        <v>82</v>
      </c>
      <c r="K4189" s="32" t="s">
        <v>63</v>
      </c>
    </row>
    <row r="4190" customFormat="false" ht="13.5" hidden="false" customHeight="true" outlineLevel="0" collapsed="false">
      <c r="A4190" s="32" t="n">
        <v>6594</v>
      </c>
      <c r="B4190" s="32" t="s">
        <v>3329</v>
      </c>
      <c r="C4190" s="32" t="s">
        <v>3330</v>
      </c>
      <c r="D4190" s="32" t="s">
        <v>59</v>
      </c>
      <c r="E4190" s="32" t="s">
        <v>143</v>
      </c>
      <c r="F4190" s="33" t="n">
        <v>918948000000</v>
      </c>
      <c r="G4190" s="32" t="s">
        <v>80</v>
      </c>
      <c r="H4190" s="32" t="s">
        <v>21</v>
      </c>
      <c r="I4190" s="32" t="s">
        <v>27</v>
      </c>
      <c r="J4190" s="32" t="s">
        <v>13</v>
      </c>
      <c r="K4190" s="32" t="s">
        <v>63</v>
      </c>
    </row>
    <row r="4191" customFormat="false" ht="13.5" hidden="false" customHeight="true" outlineLevel="0" collapsed="false">
      <c r="A4191" s="32" t="n">
        <v>6595</v>
      </c>
      <c r="B4191" s="32" t="s">
        <v>3329</v>
      </c>
      <c r="C4191" s="32" t="s">
        <v>3330</v>
      </c>
      <c r="D4191" s="32" t="s">
        <v>59</v>
      </c>
      <c r="E4191" s="32" t="s">
        <v>143</v>
      </c>
      <c r="F4191" s="33" t="n">
        <v>918948000000</v>
      </c>
      <c r="G4191" s="32" t="s">
        <v>80</v>
      </c>
      <c r="H4191" s="32" t="s">
        <v>21</v>
      </c>
      <c r="I4191" s="32" t="s">
        <v>30</v>
      </c>
      <c r="J4191" s="32" t="s">
        <v>203</v>
      </c>
      <c r="K4191" s="32" t="s">
        <v>63</v>
      </c>
    </row>
    <row r="4192" customFormat="false" ht="13.5" hidden="false" customHeight="true" outlineLevel="0" collapsed="false">
      <c r="A4192" s="32" t="n">
        <v>6596</v>
      </c>
      <c r="B4192" s="32" t="s">
        <v>3329</v>
      </c>
      <c r="C4192" s="32" t="s">
        <v>3330</v>
      </c>
      <c r="D4192" s="32" t="s">
        <v>59</v>
      </c>
      <c r="E4192" s="32" t="s">
        <v>143</v>
      </c>
      <c r="F4192" s="33" t="n">
        <v>918948000000</v>
      </c>
      <c r="G4192" s="32" t="s">
        <v>80</v>
      </c>
      <c r="H4192" s="32" t="s">
        <v>21</v>
      </c>
      <c r="I4192" s="32" t="s">
        <v>150</v>
      </c>
      <c r="J4192" s="32" t="s">
        <v>73</v>
      </c>
      <c r="K4192" s="32" t="s">
        <v>63</v>
      </c>
    </row>
    <row r="4193" customFormat="false" ht="13.5" hidden="false" customHeight="true" outlineLevel="0" collapsed="false">
      <c r="A4193" s="32" t="n">
        <v>6597</v>
      </c>
      <c r="B4193" s="32" t="s">
        <v>3329</v>
      </c>
      <c r="C4193" s="32" t="s">
        <v>3331</v>
      </c>
      <c r="D4193" s="32" t="s">
        <v>59</v>
      </c>
      <c r="E4193" s="32" t="s">
        <v>143</v>
      </c>
      <c r="F4193" s="32" t="n">
        <v>8948067792</v>
      </c>
      <c r="G4193" s="32" t="s">
        <v>80</v>
      </c>
      <c r="H4193" s="32" t="s">
        <v>21</v>
      </c>
      <c r="I4193" s="32" t="s">
        <v>108</v>
      </c>
      <c r="J4193" s="32" t="s">
        <v>71</v>
      </c>
      <c r="K4193" s="32" t="s">
        <v>63</v>
      </c>
    </row>
    <row r="4194" customFormat="false" ht="13.5" hidden="false" customHeight="true" outlineLevel="0" collapsed="false">
      <c r="A4194" s="32" t="n">
        <v>6598</v>
      </c>
      <c r="B4194" s="32" t="s">
        <v>3329</v>
      </c>
      <c r="C4194" s="32" t="s">
        <v>3330</v>
      </c>
      <c r="D4194" s="32" t="s">
        <v>59</v>
      </c>
      <c r="E4194" s="32" t="s">
        <v>143</v>
      </c>
      <c r="F4194" s="33" t="n">
        <v>918948000000</v>
      </c>
      <c r="G4194" s="32" t="s">
        <v>80</v>
      </c>
      <c r="H4194" s="32" t="s">
        <v>21</v>
      </c>
      <c r="I4194" s="32" t="s">
        <v>212</v>
      </c>
      <c r="J4194" s="32" t="s">
        <v>73</v>
      </c>
      <c r="K4194" s="32" t="s">
        <v>63</v>
      </c>
    </row>
    <row r="4195" customFormat="false" ht="13.5" hidden="false" customHeight="true" outlineLevel="0" collapsed="false">
      <c r="A4195" s="32" t="n">
        <v>6599</v>
      </c>
      <c r="B4195" s="32" t="s">
        <v>3332</v>
      </c>
      <c r="C4195" s="32" t="s">
        <v>3333</v>
      </c>
      <c r="D4195" s="32" t="s">
        <v>59</v>
      </c>
      <c r="E4195" s="32" t="n">
        <v>0</v>
      </c>
      <c r="F4195" s="32" t="n">
        <v>7676447972</v>
      </c>
      <c r="G4195" s="32" t="s">
        <v>61</v>
      </c>
      <c r="H4195" s="32" t="s">
        <v>21</v>
      </c>
      <c r="I4195" s="32" t="s">
        <v>121</v>
      </c>
      <c r="J4195" s="32" t="s">
        <v>110</v>
      </c>
      <c r="K4195" s="32" t="s">
        <v>63</v>
      </c>
    </row>
    <row r="4196" customFormat="false" ht="13.5" hidden="false" customHeight="true" outlineLevel="0" collapsed="false">
      <c r="A4196" s="32" t="n">
        <v>6600</v>
      </c>
      <c r="B4196" s="32" t="s">
        <v>3332</v>
      </c>
      <c r="C4196" s="32" t="s">
        <v>3333</v>
      </c>
      <c r="D4196" s="32" t="s">
        <v>59</v>
      </c>
      <c r="E4196" s="32" t="n">
        <v>0</v>
      </c>
      <c r="F4196" s="32" t="n">
        <v>7676447972</v>
      </c>
      <c r="G4196" s="32" t="s">
        <v>61</v>
      </c>
      <c r="H4196" s="32" t="s">
        <v>21</v>
      </c>
      <c r="I4196" s="32" t="s">
        <v>145</v>
      </c>
      <c r="J4196" s="32" t="s">
        <v>117</v>
      </c>
      <c r="K4196" s="32" t="s">
        <v>63</v>
      </c>
    </row>
    <row r="4197" customFormat="false" ht="13.5" hidden="false" customHeight="true" outlineLevel="0" collapsed="false">
      <c r="A4197" s="32" t="n">
        <v>6601</v>
      </c>
      <c r="B4197" s="32" t="s">
        <v>3332</v>
      </c>
      <c r="C4197" s="32" t="s">
        <v>3333</v>
      </c>
      <c r="D4197" s="32" t="s">
        <v>59</v>
      </c>
      <c r="E4197" s="32" t="n">
        <v>0</v>
      </c>
      <c r="F4197" s="32" t="n">
        <v>7676447972</v>
      </c>
      <c r="G4197" s="32" t="s">
        <v>61</v>
      </c>
      <c r="H4197" s="32" t="s">
        <v>21</v>
      </c>
      <c r="I4197" s="32" t="s">
        <v>133</v>
      </c>
      <c r="J4197" s="32" t="s">
        <v>134</v>
      </c>
      <c r="K4197" s="32" t="s">
        <v>63</v>
      </c>
    </row>
    <row r="4198" customFormat="false" ht="13.5" hidden="false" customHeight="true" outlineLevel="0" collapsed="false">
      <c r="A4198" s="32" t="n">
        <v>6602</v>
      </c>
      <c r="B4198" s="32" t="s">
        <v>3334</v>
      </c>
      <c r="C4198" s="32" t="s">
        <v>3335</v>
      </c>
      <c r="D4198" s="32" t="s">
        <v>59</v>
      </c>
      <c r="E4198" s="32" t="s">
        <v>79</v>
      </c>
      <c r="F4198" s="32" t="n">
        <v>8087803244</v>
      </c>
      <c r="G4198" s="32" t="s">
        <v>104</v>
      </c>
      <c r="H4198" s="32" t="s">
        <v>21</v>
      </c>
      <c r="I4198" s="32" t="s">
        <v>151</v>
      </c>
      <c r="J4198" s="32" t="s">
        <v>152</v>
      </c>
      <c r="K4198" s="32" t="s">
        <v>63</v>
      </c>
    </row>
    <row r="4199" customFormat="false" ht="13.5" hidden="false" customHeight="true" outlineLevel="0" collapsed="false">
      <c r="A4199" s="32" t="n">
        <v>6603</v>
      </c>
      <c r="B4199" s="32" t="s">
        <v>3334</v>
      </c>
      <c r="C4199" s="32" t="s">
        <v>3335</v>
      </c>
      <c r="D4199" s="32" t="s">
        <v>59</v>
      </c>
      <c r="E4199" s="32" t="s">
        <v>79</v>
      </c>
      <c r="F4199" s="32" t="n">
        <v>8087803244</v>
      </c>
      <c r="G4199" s="32" t="s">
        <v>104</v>
      </c>
      <c r="H4199" s="32" t="s">
        <v>21</v>
      </c>
      <c r="I4199" s="32" t="s">
        <v>234</v>
      </c>
      <c r="J4199" s="32" t="s">
        <v>235</v>
      </c>
      <c r="K4199" s="32" t="s">
        <v>63</v>
      </c>
    </row>
    <row r="4200" customFormat="false" ht="13.5" hidden="false" customHeight="true" outlineLevel="0" collapsed="false">
      <c r="A4200" s="32" t="n">
        <v>6604</v>
      </c>
      <c r="B4200" s="32" t="s">
        <v>3334</v>
      </c>
      <c r="C4200" s="32" t="s">
        <v>3335</v>
      </c>
      <c r="D4200" s="32" t="s">
        <v>59</v>
      </c>
      <c r="E4200" s="32" t="s">
        <v>79</v>
      </c>
      <c r="F4200" s="32" t="n">
        <v>8087803244</v>
      </c>
      <c r="G4200" s="32" t="s">
        <v>104</v>
      </c>
      <c r="H4200" s="32" t="s">
        <v>21</v>
      </c>
      <c r="I4200" s="32" t="s">
        <v>85</v>
      </c>
      <c r="J4200" s="32" t="s">
        <v>85</v>
      </c>
      <c r="K4200" s="32" t="s">
        <v>63</v>
      </c>
    </row>
    <row r="4201" customFormat="false" ht="13.5" hidden="false" customHeight="true" outlineLevel="0" collapsed="false">
      <c r="A4201" s="32" t="n">
        <v>6605</v>
      </c>
      <c r="B4201" s="32" t="s">
        <v>3334</v>
      </c>
      <c r="C4201" s="32" t="s">
        <v>3335</v>
      </c>
      <c r="D4201" s="32" t="s">
        <v>59</v>
      </c>
      <c r="E4201" s="32" t="s">
        <v>79</v>
      </c>
      <c r="F4201" s="32" t="n">
        <v>8087803244</v>
      </c>
      <c r="G4201" s="32" t="s">
        <v>104</v>
      </c>
      <c r="H4201" s="32" t="s">
        <v>21</v>
      </c>
      <c r="I4201" s="32" t="s">
        <v>3336</v>
      </c>
      <c r="J4201" s="32" t="s">
        <v>152</v>
      </c>
      <c r="K4201" s="32" t="s">
        <v>63</v>
      </c>
    </row>
    <row r="4202" customFormat="false" ht="13.5" hidden="false" customHeight="true" outlineLevel="0" collapsed="false">
      <c r="A4202" s="32" t="n">
        <v>6606</v>
      </c>
      <c r="B4202" s="32" t="s">
        <v>3334</v>
      </c>
      <c r="C4202" s="32" t="s">
        <v>3335</v>
      </c>
      <c r="D4202" s="32" t="s">
        <v>59</v>
      </c>
      <c r="E4202" s="32" t="s">
        <v>79</v>
      </c>
      <c r="F4202" s="32" t="n">
        <v>8087803244</v>
      </c>
      <c r="G4202" s="32" t="s">
        <v>104</v>
      </c>
      <c r="H4202" s="32" t="s">
        <v>21</v>
      </c>
      <c r="I4202" s="32" t="s">
        <v>2190</v>
      </c>
      <c r="J4202" s="32" t="s">
        <v>89</v>
      </c>
      <c r="K4202" s="32" t="s">
        <v>63</v>
      </c>
    </row>
    <row r="4203" customFormat="false" ht="13.5" hidden="false" customHeight="true" outlineLevel="0" collapsed="false">
      <c r="A4203" s="32" t="n">
        <v>6607</v>
      </c>
      <c r="B4203" s="32" t="s">
        <v>3334</v>
      </c>
      <c r="C4203" s="32" t="s">
        <v>3335</v>
      </c>
      <c r="D4203" s="32" t="s">
        <v>59</v>
      </c>
      <c r="E4203" s="32" t="s">
        <v>79</v>
      </c>
      <c r="F4203" s="32" t="n">
        <v>8087803244</v>
      </c>
      <c r="G4203" s="32" t="s">
        <v>104</v>
      </c>
      <c r="H4203" s="32" t="s">
        <v>21</v>
      </c>
      <c r="I4203" s="32" t="s">
        <v>284</v>
      </c>
      <c r="J4203" s="32" t="s">
        <v>117</v>
      </c>
      <c r="K4203" s="32" t="s">
        <v>63</v>
      </c>
    </row>
    <row r="4204" customFormat="false" ht="13.5" hidden="false" customHeight="true" outlineLevel="0" collapsed="false">
      <c r="A4204" s="32" t="n">
        <v>6608</v>
      </c>
      <c r="B4204" s="32" t="s">
        <v>3334</v>
      </c>
      <c r="C4204" s="32" t="s">
        <v>3335</v>
      </c>
      <c r="D4204" s="32" t="s">
        <v>59</v>
      </c>
      <c r="E4204" s="32" t="s">
        <v>79</v>
      </c>
      <c r="F4204" s="32" t="n">
        <v>8087803244</v>
      </c>
      <c r="G4204" s="32" t="s">
        <v>104</v>
      </c>
      <c r="H4204" s="32" t="s">
        <v>21</v>
      </c>
      <c r="I4204" s="32" t="s">
        <v>678</v>
      </c>
      <c r="J4204" s="32" t="s">
        <v>152</v>
      </c>
      <c r="K4204" s="32" t="s">
        <v>63</v>
      </c>
    </row>
    <row r="4205" customFormat="false" ht="13.5" hidden="false" customHeight="true" outlineLevel="0" collapsed="false">
      <c r="A4205" s="32" t="n">
        <v>6609</v>
      </c>
      <c r="B4205" s="32" t="s">
        <v>3334</v>
      </c>
      <c r="C4205" s="32" t="s">
        <v>3335</v>
      </c>
      <c r="D4205" s="32" t="s">
        <v>59</v>
      </c>
      <c r="E4205" s="32" t="s">
        <v>79</v>
      </c>
      <c r="F4205" s="32" t="n">
        <v>8087803244</v>
      </c>
      <c r="G4205" s="32" t="s">
        <v>104</v>
      </c>
      <c r="H4205" s="32" t="s">
        <v>21</v>
      </c>
      <c r="I4205" s="32" t="s">
        <v>371</v>
      </c>
      <c r="J4205" s="32" t="s">
        <v>152</v>
      </c>
      <c r="K4205" s="32" t="s">
        <v>63</v>
      </c>
    </row>
    <row r="4206" customFormat="false" ht="13.5" hidden="false" customHeight="true" outlineLevel="0" collapsed="false">
      <c r="A4206" s="32" t="n">
        <v>6610</v>
      </c>
      <c r="B4206" s="32" t="s">
        <v>3334</v>
      </c>
      <c r="C4206" s="32" t="s">
        <v>3335</v>
      </c>
      <c r="D4206" s="32" t="s">
        <v>59</v>
      </c>
      <c r="E4206" s="32" t="s">
        <v>79</v>
      </c>
      <c r="F4206" s="32" t="n">
        <v>8087803244</v>
      </c>
      <c r="G4206" s="32" t="s">
        <v>104</v>
      </c>
      <c r="H4206" s="32" t="s">
        <v>21</v>
      </c>
      <c r="I4206" s="32" t="s">
        <v>3337</v>
      </c>
      <c r="J4206" s="32" t="s">
        <v>203</v>
      </c>
      <c r="K4206" s="32" t="s">
        <v>63</v>
      </c>
    </row>
    <row r="4207" customFormat="false" ht="13.5" hidden="false" customHeight="true" outlineLevel="0" collapsed="false">
      <c r="A4207" s="32" t="n">
        <v>6611</v>
      </c>
      <c r="B4207" s="32" t="s">
        <v>3334</v>
      </c>
      <c r="C4207" s="32" t="s">
        <v>3338</v>
      </c>
      <c r="D4207" s="32" t="s">
        <v>59</v>
      </c>
      <c r="E4207" s="32" t="s">
        <v>79</v>
      </c>
      <c r="F4207" s="32" t="n">
        <v>8087803244</v>
      </c>
      <c r="G4207" s="32" t="s">
        <v>104</v>
      </c>
      <c r="H4207" s="32" t="s">
        <v>21</v>
      </c>
      <c r="I4207" s="32" t="s">
        <v>128</v>
      </c>
      <c r="J4207" s="32" t="s">
        <v>89</v>
      </c>
      <c r="K4207" s="32" t="s">
        <v>63</v>
      </c>
    </row>
    <row r="4208" customFormat="false" ht="13.5" hidden="false" customHeight="true" outlineLevel="0" collapsed="false">
      <c r="A4208" s="32" t="n">
        <v>6612</v>
      </c>
      <c r="B4208" s="32" t="s">
        <v>3334</v>
      </c>
      <c r="C4208" s="32" t="s">
        <v>3338</v>
      </c>
      <c r="D4208" s="32" t="s">
        <v>59</v>
      </c>
      <c r="E4208" s="32" t="s">
        <v>3339</v>
      </c>
      <c r="F4208" s="32"/>
      <c r="G4208" s="32" t="s">
        <v>104</v>
      </c>
      <c r="H4208" s="32" t="s">
        <v>21</v>
      </c>
      <c r="I4208" s="32" t="s">
        <v>151</v>
      </c>
      <c r="J4208" s="32" t="s">
        <v>152</v>
      </c>
      <c r="K4208" s="32" t="s">
        <v>63</v>
      </c>
    </row>
    <row r="4209" customFormat="false" ht="13.5" hidden="false" customHeight="true" outlineLevel="0" collapsed="false">
      <c r="A4209" s="32" t="n">
        <v>6613</v>
      </c>
      <c r="B4209" s="32" t="s">
        <v>3334</v>
      </c>
      <c r="C4209" s="32" t="s">
        <v>3338</v>
      </c>
      <c r="D4209" s="32" t="s">
        <v>59</v>
      </c>
      <c r="E4209" s="32" t="s">
        <v>3339</v>
      </c>
      <c r="F4209" s="32"/>
      <c r="G4209" s="32" t="s">
        <v>104</v>
      </c>
      <c r="H4209" s="32" t="s">
        <v>21</v>
      </c>
      <c r="I4209" s="32" t="s">
        <v>172</v>
      </c>
      <c r="J4209" s="32" t="s">
        <v>152</v>
      </c>
      <c r="K4209" s="32" t="s">
        <v>63</v>
      </c>
    </row>
    <row r="4210" customFormat="false" ht="13.5" hidden="false" customHeight="true" outlineLevel="0" collapsed="false">
      <c r="A4210" s="32" t="n">
        <v>6614</v>
      </c>
      <c r="B4210" s="32" t="s">
        <v>3334</v>
      </c>
      <c r="C4210" s="32" t="s">
        <v>3338</v>
      </c>
      <c r="D4210" s="32" t="s">
        <v>59</v>
      </c>
      <c r="E4210" s="32" t="s">
        <v>3339</v>
      </c>
      <c r="F4210" s="32"/>
      <c r="G4210" s="32" t="s">
        <v>104</v>
      </c>
      <c r="H4210" s="32" t="s">
        <v>21</v>
      </c>
      <c r="I4210" s="32" t="s">
        <v>95</v>
      </c>
      <c r="J4210" s="32" t="s">
        <v>96</v>
      </c>
      <c r="K4210" s="32" t="s">
        <v>63</v>
      </c>
    </row>
    <row r="4211" customFormat="false" ht="13.5" hidden="false" customHeight="true" outlineLevel="0" collapsed="false">
      <c r="A4211" s="32" t="n">
        <v>6615</v>
      </c>
      <c r="B4211" s="32" t="s">
        <v>3334</v>
      </c>
      <c r="C4211" s="32" t="s">
        <v>3338</v>
      </c>
      <c r="D4211" s="32" t="s">
        <v>59</v>
      </c>
      <c r="E4211" s="32" t="s">
        <v>3339</v>
      </c>
      <c r="F4211" s="32"/>
      <c r="G4211" s="32" t="s">
        <v>104</v>
      </c>
      <c r="H4211" s="32" t="s">
        <v>21</v>
      </c>
      <c r="I4211" s="32" t="s">
        <v>85</v>
      </c>
      <c r="J4211" s="32" t="s">
        <v>85</v>
      </c>
      <c r="K4211" s="32" t="s">
        <v>63</v>
      </c>
    </row>
    <row r="4212" customFormat="false" ht="13.5" hidden="false" customHeight="true" outlineLevel="0" collapsed="false">
      <c r="A4212" s="32" t="n">
        <v>6616</v>
      </c>
      <c r="B4212" s="32" t="s">
        <v>3340</v>
      </c>
      <c r="C4212" s="32" t="s">
        <v>3341</v>
      </c>
      <c r="D4212" s="32" t="s">
        <v>59</v>
      </c>
      <c r="E4212" s="32" t="s">
        <v>107</v>
      </c>
      <c r="F4212" s="32" t="n">
        <v>9515013900</v>
      </c>
      <c r="G4212" s="32" t="s">
        <v>61</v>
      </c>
      <c r="H4212" s="32" t="s">
        <v>21</v>
      </c>
      <c r="I4212" s="32" t="s">
        <v>108</v>
      </c>
      <c r="J4212" s="32" t="s">
        <v>71</v>
      </c>
      <c r="K4212" s="32" t="s">
        <v>63</v>
      </c>
    </row>
    <row r="4213" customFormat="false" ht="13.5" hidden="false" customHeight="true" outlineLevel="0" collapsed="false">
      <c r="A4213" s="32" t="n">
        <v>6617</v>
      </c>
      <c r="B4213" s="32" t="s">
        <v>3342</v>
      </c>
      <c r="C4213" s="32" t="s">
        <v>3343</v>
      </c>
      <c r="D4213" s="32" t="s">
        <v>114</v>
      </c>
      <c r="E4213" s="32" t="s">
        <v>165</v>
      </c>
      <c r="F4213" s="32" t="n">
        <v>0</v>
      </c>
      <c r="G4213" s="32" t="s">
        <v>144</v>
      </c>
      <c r="H4213" s="32" t="s">
        <v>22</v>
      </c>
      <c r="I4213" s="32" t="s">
        <v>1346</v>
      </c>
      <c r="J4213" s="32" t="s">
        <v>132</v>
      </c>
      <c r="K4213" s="32" t="s">
        <v>63</v>
      </c>
    </row>
    <row r="4214" customFormat="false" ht="13.5" hidden="false" customHeight="true" outlineLevel="0" collapsed="false">
      <c r="A4214" s="32" t="n">
        <v>6618</v>
      </c>
      <c r="B4214" s="32" t="s">
        <v>3342</v>
      </c>
      <c r="C4214" s="32" t="s">
        <v>3344</v>
      </c>
      <c r="D4214" s="32" t="s">
        <v>114</v>
      </c>
      <c r="E4214" s="32" t="s">
        <v>165</v>
      </c>
      <c r="F4214" s="32" t="n">
        <v>9779585766</v>
      </c>
      <c r="G4214" s="32" t="s">
        <v>144</v>
      </c>
      <c r="H4214" s="32" t="s">
        <v>22</v>
      </c>
      <c r="I4214" s="32" t="s">
        <v>128</v>
      </c>
      <c r="J4214" s="32" t="s">
        <v>89</v>
      </c>
      <c r="K4214" s="32" t="s">
        <v>63</v>
      </c>
    </row>
    <row r="4215" customFormat="false" ht="13.5" hidden="false" customHeight="true" outlineLevel="0" collapsed="false">
      <c r="A4215" s="32" t="n">
        <v>6619</v>
      </c>
      <c r="B4215" s="32" t="s">
        <v>3342</v>
      </c>
      <c r="C4215" s="32" t="s">
        <v>3344</v>
      </c>
      <c r="D4215" s="32" t="s">
        <v>114</v>
      </c>
      <c r="E4215" s="32" t="s">
        <v>165</v>
      </c>
      <c r="F4215" s="32" t="n">
        <v>9779585766</v>
      </c>
      <c r="G4215" s="32" t="s">
        <v>144</v>
      </c>
      <c r="H4215" s="32" t="s">
        <v>22</v>
      </c>
      <c r="I4215" s="32" t="s">
        <v>215</v>
      </c>
      <c r="J4215" s="32" t="s">
        <v>132</v>
      </c>
      <c r="K4215" s="32" t="s">
        <v>63</v>
      </c>
    </row>
    <row r="4216" customFormat="false" ht="13.5" hidden="false" customHeight="true" outlineLevel="0" collapsed="false">
      <c r="A4216" s="32" t="n">
        <v>6620</v>
      </c>
      <c r="B4216" s="32" t="s">
        <v>3342</v>
      </c>
      <c r="C4216" s="32" t="s">
        <v>3344</v>
      </c>
      <c r="D4216" s="32" t="s">
        <v>114</v>
      </c>
      <c r="E4216" s="32" t="s">
        <v>165</v>
      </c>
      <c r="F4216" s="32" t="n">
        <v>9779585766</v>
      </c>
      <c r="G4216" s="32" t="s">
        <v>144</v>
      </c>
      <c r="H4216" s="32" t="s">
        <v>22</v>
      </c>
      <c r="I4216" s="32" t="s">
        <v>728</v>
      </c>
      <c r="J4216" s="32" t="s">
        <v>132</v>
      </c>
      <c r="K4216" s="32" t="s">
        <v>63</v>
      </c>
    </row>
    <row r="4217" customFormat="false" ht="13.5" hidden="false" customHeight="true" outlineLevel="0" collapsed="false">
      <c r="A4217" s="32" t="n">
        <v>6621</v>
      </c>
      <c r="B4217" s="32" t="s">
        <v>3342</v>
      </c>
      <c r="C4217" s="32" t="s">
        <v>3344</v>
      </c>
      <c r="D4217" s="32" t="s">
        <v>114</v>
      </c>
      <c r="E4217" s="32" t="s">
        <v>165</v>
      </c>
      <c r="F4217" s="32" t="n">
        <v>9779585766</v>
      </c>
      <c r="G4217" s="32" t="s">
        <v>144</v>
      </c>
      <c r="H4217" s="32" t="s">
        <v>22</v>
      </c>
      <c r="I4217" s="32" t="s">
        <v>386</v>
      </c>
      <c r="J4217" s="32" t="s">
        <v>132</v>
      </c>
      <c r="K4217" s="32" t="s">
        <v>63</v>
      </c>
    </row>
    <row r="4218" customFormat="false" ht="13.5" hidden="false" customHeight="true" outlineLevel="0" collapsed="false">
      <c r="A4218" s="32" t="n">
        <v>6622</v>
      </c>
      <c r="B4218" s="32" t="s">
        <v>3342</v>
      </c>
      <c r="C4218" s="32" t="s">
        <v>3343</v>
      </c>
      <c r="D4218" s="32" t="s">
        <v>114</v>
      </c>
      <c r="E4218" s="32" t="s">
        <v>165</v>
      </c>
      <c r="F4218" s="32" t="n">
        <v>0</v>
      </c>
      <c r="G4218" s="32" t="s">
        <v>2888</v>
      </c>
      <c r="H4218" s="32" t="s">
        <v>22</v>
      </c>
      <c r="I4218" s="32" t="s">
        <v>245</v>
      </c>
      <c r="J4218" s="32" t="s">
        <v>71</v>
      </c>
      <c r="K4218" s="32" t="s">
        <v>63</v>
      </c>
    </row>
    <row r="4219" customFormat="false" ht="13.5" hidden="false" customHeight="true" outlineLevel="0" collapsed="false">
      <c r="A4219" s="32" t="n">
        <v>6623</v>
      </c>
      <c r="B4219" s="32" t="s">
        <v>3345</v>
      </c>
      <c r="C4219" s="32" t="s">
        <v>3346</v>
      </c>
      <c r="D4219" s="32" t="s">
        <v>114</v>
      </c>
      <c r="E4219" s="32" t="s">
        <v>124</v>
      </c>
      <c r="F4219" s="32" t="n">
        <v>8057186581</v>
      </c>
      <c r="G4219" s="32" t="s">
        <v>80</v>
      </c>
      <c r="H4219" s="32" t="s">
        <v>22</v>
      </c>
      <c r="I4219" s="32" t="s">
        <v>146</v>
      </c>
      <c r="J4219" s="32" t="s">
        <v>117</v>
      </c>
      <c r="K4219" s="32" t="s">
        <v>63</v>
      </c>
    </row>
    <row r="4220" customFormat="false" ht="13.5" hidden="false" customHeight="true" outlineLevel="0" collapsed="false">
      <c r="A4220" s="32" t="n">
        <v>6624</v>
      </c>
      <c r="B4220" s="32" t="s">
        <v>3345</v>
      </c>
      <c r="C4220" s="32" t="s">
        <v>3346</v>
      </c>
      <c r="D4220" s="32" t="s">
        <v>114</v>
      </c>
      <c r="E4220" s="32" t="s">
        <v>124</v>
      </c>
      <c r="F4220" s="32" t="n">
        <v>8057186581</v>
      </c>
      <c r="G4220" s="32" t="s">
        <v>80</v>
      </c>
      <c r="H4220" s="32" t="s">
        <v>22</v>
      </c>
      <c r="I4220" s="32" t="s">
        <v>284</v>
      </c>
      <c r="J4220" s="32" t="s">
        <v>117</v>
      </c>
      <c r="K4220" s="32" t="s">
        <v>63</v>
      </c>
    </row>
    <row r="4221" customFormat="false" ht="13.5" hidden="false" customHeight="true" outlineLevel="0" collapsed="false">
      <c r="A4221" s="32" t="n">
        <v>6625</v>
      </c>
      <c r="B4221" s="32" t="s">
        <v>3345</v>
      </c>
      <c r="C4221" s="32" t="s">
        <v>3346</v>
      </c>
      <c r="D4221" s="32" t="s">
        <v>114</v>
      </c>
      <c r="E4221" s="32" t="s">
        <v>124</v>
      </c>
      <c r="F4221" s="32" t="n">
        <v>8057186581</v>
      </c>
      <c r="G4221" s="32" t="s">
        <v>80</v>
      </c>
      <c r="H4221" s="32" t="s">
        <v>22</v>
      </c>
      <c r="I4221" s="32" t="s">
        <v>172</v>
      </c>
      <c r="J4221" s="32" t="s">
        <v>152</v>
      </c>
      <c r="K4221" s="32" t="s">
        <v>63</v>
      </c>
    </row>
    <row r="4222" customFormat="false" ht="13.5" hidden="false" customHeight="true" outlineLevel="0" collapsed="false">
      <c r="A4222" s="32" t="n">
        <v>6626</v>
      </c>
      <c r="B4222" s="32" t="s">
        <v>3345</v>
      </c>
      <c r="C4222" s="32" t="s">
        <v>3346</v>
      </c>
      <c r="D4222" s="32" t="s">
        <v>114</v>
      </c>
      <c r="E4222" s="32" t="s">
        <v>124</v>
      </c>
      <c r="F4222" s="32" t="n">
        <v>8057186581</v>
      </c>
      <c r="G4222" s="32" t="s">
        <v>80</v>
      </c>
      <c r="H4222" s="32" t="s">
        <v>22</v>
      </c>
      <c r="I4222" s="32" t="s">
        <v>385</v>
      </c>
      <c r="J4222" s="32" t="s">
        <v>71</v>
      </c>
      <c r="K4222" s="32" t="s">
        <v>63</v>
      </c>
    </row>
    <row r="4223" customFormat="false" ht="13.5" hidden="false" customHeight="true" outlineLevel="0" collapsed="false">
      <c r="A4223" s="32" t="n">
        <v>6627</v>
      </c>
      <c r="B4223" s="32" t="s">
        <v>3347</v>
      </c>
      <c r="C4223" s="32" t="s">
        <v>3348</v>
      </c>
      <c r="D4223" s="32" t="s">
        <v>114</v>
      </c>
      <c r="E4223" s="32" t="s">
        <v>268</v>
      </c>
      <c r="F4223" s="32" t="n">
        <v>7737399940</v>
      </c>
      <c r="G4223" s="32" t="s">
        <v>104</v>
      </c>
      <c r="H4223" s="32" t="s">
        <v>22</v>
      </c>
      <c r="I4223" s="32" t="s">
        <v>14</v>
      </c>
      <c r="J4223" s="32" t="s">
        <v>66</v>
      </c>
      <c r="K4223" s="32" t="s">
        <v>63</v>
      </c>
    </row>
    <row r="4224" customFormat="false" ht="13.5" hidden="false" customHeight="true" outlineLevel="0" collapsed="false">
      <c r="A4224" s="32" t="n">
        <v>6628</v>
      </c>
      <c r="B4224" s="32" t="s">
        <v>3347</v>
      </c>
      <c r="C4224" s="32" t="s">
        <v>3348</v>
      </c>
      <c r="D4224" s="32" t="s">
        <v>114</v>
      </c>
      <c r="E4224" s="32" t="s">
        <v>268</v>
      </c>
      <c r="F4224" s="32" t="n">
        <v>7737399940</v>
      </c>
      <c r="G4224" s="32" t="s">
        <v>104</v>
      </c>
      <c r="H4224" s="32" t="s">
        <v>22</v>
      </c>
      <c r="I4224" s="32" t="s">
        <v>75</v>
      </c>
      <c r="J4224" s="32" t="s">
        <v>76</v>
      </c>
      <c r="K4224" s="32" t="s">
        <v>63</v>
      </c>
    </row>
    <row r="4225" customFormat="false" ht="13.5" hidden="false" customHeight="true" outlineLevel="0" collapsed="false">
      <c r="A4225" s="32" t="n">
        <v>6629</v>
      </c>
      <c r="B4225" s="32" t="s">
        <v>3347</v>
      </c>
      <c r="C4225" s="32" t="s">
        <v>3348</v>
      </c>
      <c r="D4225" s="32" t="s">
        <v>114</v>
      </c>
      <c r="E4225" s="32" t="s">
        <v>268</v>
      </c>
      <c r="F4225" s="32" t="n">
        <v>7737399940</v>
      </c>
      <c r="G4225" s="32" t="s">
        <v>104</v>
      </c>
      <c r="H4225" s="32" t="s">
        <v>22</v>
      </c>
      <c r="I4225" s="32" t="s">
        <v>463</v>
      </c>
      <c r="J4225" s="32" t="s">
        <v>66</v>
      </c>
      <c r="K4225" s="32" t="s">
        <v>63</v>
      </c>
    </row>
    <row r="4226" customFormat="false" ht="13.5" hidden="false" customHeight="true" outlineLevel="0" collapsed="false">
      <c r="A4226" s="32" t="n">
        <v>6630</v>
      </c>
      <c r="B4226" s="32" t="s">
        <v>3347</v>
      </c>
      <c r="C4226" s="32" t="s">
        <v>3349</v>
      </c>
      <c r="D4226" s="32" t="s">
        <v>114</v>
      </c>
      <c r="E4226" s="32" t="s">
        <v>268</v>
      </c>
      <c r="F4226" s="32" t="n">
        <v>7737399940</v>
      </c>
      <c r="G4226" s="32" t="s">
        <v>104</v>
      </c>
      <c r="H4226" s="32" t="s">
        <v>22</v>
      </c>
      <c r="I4226" s="32" t="s">
        <v>14</v>
      </c>
      <c r="J4226" s="32" t="s">
        <v>66</v>
      </c>
      <c r="K4226" s="32" t="s">
        <v>63</v>
      </c>
    </row>
    <row r="4227" customFormat="false" ht="13.5" hidden="false" customHeight="true" outlineLevel="0" collapsed="false">
      <c r="A4227" s="32" t="n">
        <v>6631</v>
      </c>
      <c r="B4227" s="32" t="s">
        <v>3350</v>
      </c>
      <c r="C4227" s="32" t="s">
        <v>3351</v>
      </c>
      <c r="D4227" s="32" t="s">
        <v>331</v>
      </c>
      <c r="E4227" s="32" t="s">
        <v>278</v>
      </c>
      <c r="F4227" s="33" t="n">
        <v>919885000000</v>
      </c>
      <c r="G4227" s="32" t="s">
        <v>80</v>
      </c>
      <c r="H4227" s="32" t="s">
        <v>332</v>
      </c>
      <c r="I4227" s="32" t="s">
        <v>145</v>
      </c>
      <c r="J4227" s="32" t="s">
        <v>117</v>
      </c>
      <c r="K4227" s="32" t="s">
        <v>63</v>
      </c>
    </row>
    <row r="4228" customFormat="false" ht="13.5" hidden="false" customHeight="true" outlineLevel="0" collapsed="false">
      <c r="A4228" s="32" t="n">
        <v>6632</v>
      </c>
      <c r="B4228" s="32" t="s">
        <v>3352</v>
      </c>
      <c r="C4228" s="32" t="s">
        <v>3353</v>
      </c>
      <c r="D4228" s="32" t="s">
        <v>59</v>
      </c>
      <c r="E4228" s="32" t="s">
        <v>60</v>
      </c>
      <c r="F4228" s="32" t="n">
        <v>0</v>
      </c>
      <c r="G4228" s="32" t="s">
        <v>80</v>
      </c>
      <c r="H4228" s="32" t="s">
        <v>21</v>
      </c>
      <c r="I4228" s="32" t="s">
        <v>156</v>
      </c>
      <c r="J4228" s="32" t="s">
        <v>62</v>
      </c>
      <c r="K4228" s="32" t="s">
        <v>63</v>
      </c>
    </row>
    <row r="4229" customFormat="false" ht="13.5" hidden="false" customHeight="true" outlineLevel="0" collapsed="false">
      <c r="A4229" s="32" t="n">
        <v>6633</v>
      </c>
      <c r="B4229" s="32" t="s">
        <v>3352</v>
      </c>
      <c r="C4229" s="32" t="s">
        <v>3353</v>
      </c>
      <c r="D4229" s="32" t="s">
        <v>59</v>
      </c>
      <c r="E4229" s="32" t="s">
        <v>60</v>
      </c>
      <c r="F4229" s="32" t="n">
        <v>0</v>
      </c>
      <c r="G4229" s="32" t="s">
        <v>80</v>
      </c>
      <c r="H4229" s="32" t="s">
        <v>21</v>
      </c>
      <c r="I4229" s="32" t="s">
        <v>29</v>
      </c>
      <c r="J4229" s="32" t="s">
        <v>62</v>
      </c>
      <c r="K4229" s="32" t="s">
        <v>63</v>
      </c>
    </row>
    <row r="4230" customFormat="false" ht="13.5" hidden="false" customHeight="true" outlineLevel="0" collapsed="false">
      <c r="A4230" s="32" t="n">
        <v>6634</v>
      </c>
      <c r="B4230" s="32" t="s">
        <v>3352</v>
      </c>
      <c r="C4230" s="32" t="s">
        <v>3353</v>
      </c>
      <c r="D4230" s="32" t="s">
        <v>59</v>
      </c>
      <c r="E4230" s="32" t="s">
        <v>60</v>
      </c>
      <c r="F4230" s="32" t="n">
        <v>0</v>
      </c>
      <c r="G4230" s="32" t="s">
        <v>80</v>
      </c>
      <c r="H4230" s="32" t="s">
        <v>21</v>
      </c>
      <c r="I4230" s="32" t="s">
        <v>14</v>
      </c>
      <c r="J4230" s="32" t="s">
        <v>66</v>
      </c>
      <c r="K4230" s="32" t="s">
        <v>63</v>
      </c>
    </row>
    <row r="4231" customFormat="false" ht="13.5" hidden="false" customHeight="true" outlineLevel="0" collapsed="false">
      <c r="A4231" s="32" t="n">
        <v>6635</v>
      </c>
      <c r="B4231" s="32" t="s">
        <v>3352</v>
      </c>
      <c r="C4231" s="32" t="s">
        <v>3353</v>
      </c>
      <c r="D4231" s="32" t="s">
        <v>59</v>
      </c>
      <c r="E4231" s="32" t="s">
        <v>60</v>
      </c>
      <c r="F4231" s="32" t="n">
        <v>0</v>
      </c>
      <c r="G4231" s="32" t="s">
        <v>80</v>
      </c>
      <c r="H4231" s="32" t="s">
        <v>21</v>
      </c>
      <c r="I4231" s="32" t="s">
        <v>1309</v>
      </c>
      <c r="J4231" s="32" t="s">
        <v>66</v>
      </c>
      <c r="K4231" s="32" t="s">
        <v>63</v>
      </c>
    </row>
    <row r="4232" customFormat="false" ht="13.5" hidden="false" customHeight="true" outlineLevel="0" collapsed="false">
      <c r="A4232" s="32" t="n">
        <v>6636</v>
      </c>
      <c r="B4232" s="32" t="s">
        <v>3354</v>
      </c>
      <c r="C4232" s="32" t="s">
        <v>3355</v>
      </c>
      <c r="D4232" s="32" t="s">
        <v>59</v>
      </c>
      <c r="E4232" s="32" t="s">
        <v>107</v>
      </c>
      <c r="F4232" s="33" t="n">
        <v>916305000000</v>
      </c>
      <c r="G4232" s="32" t="s">
        <v>80</v>
      </c>
      <c r="H4232" s="32" t="s">
        <v>21</v>
      </c>
      <c r="I4232" s="32" t="s">
        <v>385</v>
      </c>
      <c r="J4232" s="32" t="s">
        <v>71</v>
      </c>
      <c r="K4232" s="32" t="s">
        <v>63</v>
      </c>
    </row>
    <row r="4233" customFormat="false" ht="13.5" hidden="false" customHeight="true" outlineLevel="0" collapsed="false">
      <c r="A4233" s="32" t="n">
        <v>6637</v>
      </c>
      <c r="B4233" s="32" t="s">
        <v>3354</v>
      </c>
      <c r="C4233" s="32" t="s">
        <v>3355</v>
      </c>
      <c r="D4233" s="32" t="s">
        <v>59</v>
      </c>
      <c r="E4233" s="32" t="s">
        <v>107</v>
      </c>
      <c r="F4233" s="33" t="n">
        <v>916305000000</v>
      </c>
      <c r="G4233" s="32" t="s">
        <v>80</v>
      </c>
      <c r="H4233" s="32" t="s">
        <v>21</v>
      </c>
      <c r="I4233" s="32" t="s">
        <v>307</v>
      </c>
      <c r="J4233" s="32" t="s">
        <v>307</v>
      </c>
      <c r="K4233" s="32" t="s">
        <v>63</v>
      </c>
    </row>
    <row r="4234" customFormat="false" ht="13.5" hidden="false" customHeight="true" outlineLevel="0" collapsed="false">
      <c r="A4234" s="32" t="n">
        <v>6638</v>
      </c>
      <c r="B4234" s="32" t="s">
        <v>3354</v>
      </c>
      <c r="C4234" s="32" t="s">
        <v>3355</v>
      </c>
      <c r="D4234" s="32" t="s">
        <v>59</v>
      </c>
      <c r="E4234" s="32" t="s">
        <v>107</v>
      </c>
      <c r="F4234" s="33" t="n">
        <v>916305000000</v>
      </c>
      <c r="G4234" s="32" t="s">
        <v>80</v>
      </c>
      <c r="H4234" s="32" t="s">
        <v>21</v>
      </c>
      <c r="I4234" s="32" t="s">
        <v>3356</v>
      </c>
      <c r="J4234" s="32" t="s">
        <v>319</v>
      </c>
      <c r="K4234" s="32" t="s">
        <v>63</v>
      </c>
    </row>
    <row r="4235" customFormat="false" ht="13.5" hidden="false" customHeight="true" outlineLevel="0" collapsed="false">
      <c r="A4235" s="32" t="n">
        <v>6639</v>
      </c>
      <c r="B4235" s="32" t="s">
        <v>3354</v>
      </c>
      <c r="C4235" s="32" t="s">
        <v>3355</v>
      </c>
      <c r="D4235" s="32" t="s">
        <v>59</v>
      </c>
      <c r="E4235" s="32" t="s">
        <v>107</v>
      </c>
      <c r="F4235" s="33" t="n">
        <v>916305000000</v>
      </c>
      <c r="G4235" s="32" t="s">
        <v>80</v>
      </c>
      <c r="H4235" s="32" t="s">
        <v>21</v>
      </c>
      <c r="I4235" s="32" t="s">
        <v>3357</v>
      </c>
      <c r="J4235" s="32" t="s">
        <v>319</v>
      </c>
      <c r="K4235" s="32" t="s">
        <v>63</v>
      </c>
    </row>
    <row r="4236" customFormat="false" ht="13.5" hidden="false" customHeight="true" outlineLevel="0" collapsed="false">
      <c r="A4236" s="32" t="n">
        <v>6640</v>
      </c>
      <c r="B4236" s="32" t="s">
        <v>3354</v>
      </c>
      <c r="C4236" s="32" t="s">
        <v>3355</v>
      </c>
      <c r="D4236" s="32" t="s">
        <v>59</v>
      </c>
      <c r="E4236" s="32" t="s">
        <v>107</v>
      </c>
      <c r="F4236" s="33" t="n">
        <v>916305000000</v>
      </c>
      <c r="G4236" s="32" t="s">
        <v>80</v>
      </c>
      <c r="H4236" s="32" t="s">
        <v>21</v>
      </c>
      <c r="I4236" s="32" t="s">
        <v>3358</v>
      </c>
      <c r="J4236" s="32" t="s">
        <v>319</v>
      </c>
      <c r="K4236" s="32" t="s">
        <v>63</v>
      </c>
    </row>
    <row r="4237" customFormat="false" ht="13.5" hidden="false" customHeight="true" outlineLevel="0" collapsed="false">
      <c r="A4237" s="32" t="n">
        <v>6641</v>
      </c>
      <c r="B4237" s="32" t="s">
        <v>3359</v>
      </c>
      <c r="C4237" s="32" t="s">
        <v>3360</v>
      </c>
      <c r="D4237" s="32" t="s">
        <v>114</v>
      </c>
      <c r="E4237" s="32" t="s">
        <v>268</v>
      </c>
      <c r="F4237" s="32" t="n">
        <v>9819135612</v>
      </c>
      <c r="G4237" s="32" t="s">
        <v>69</v>
      </c>
      <c r="H4237" s="32" t="s">
        <v>22</v>
      </c>
      <c r="I4237" s="32" t="s">
        <v>463</v>
      </c>
      <c r="J4237" s="32" t="s">
        <v>66</v>
      </c>
      <c r="K4237" s="32" t="s">
        <v>63</v>
      </c>
    </row>
    <row r="4238" customFormat="false" ht="13.5" hidden="false" customHeight="true" outlineLevel="0" collapsed="false">
      <c r="A4238" s="32" t="n">
        <v>6642</v>
      </c>
      <c r="B4238" s="32" t="s">
        <v>3359</v>
      </c>
      <c r="C4238" s="32" t="s">
        <v>3360</v>
      </c>
      <c r="D4238" s="32" t="s">
        <v>114</v>
      </c>
      <c r="E4238" s="32" t="s">
        <v>268</v>
      </c>
      <c r="F4238" s="32" t="n">
        <v>9819135612</v>
      </c>
      <c r="G4238" s="32" t="s">
        <v>69</v>
      </c>
      <c r="H4238" s="32" t="s">
        <v>22</v>
      </c>
      <c r="I4238" s="32" t="s">
        <v>172</v>
      </c>
      <c r="J4238" s="32" t="s">
        <v>152</v>
      </c>
      <c r="K4238" s="32" t="s">
        <v>63</v>
      </c>
    </row>
    <row r="4239" customFormat="false" ht="13.5" hidden="false" customHeight="true" outlineLevel="0" collapsed="false">
      <c r="A4239" s="32" t="n">
        <v>6643</v>
      </c>
      <c r="B4239" s="32" t="s">
        <v>3359</v>
      </c>
      <c r="C4239" s="32" t="s">
        <v>3361</v>
      </c>
      <c r="D4239" s="32" t="s">
        <v>114</v>
      </c>
      <c r="E4239" s="32" t="s">
        <v>268</v>
      </c>
      <c r="F4239" s="32" t="n">
        <v>9819135612</v>
      </c>
      <c r="G4239" s="32" t="s">
        <v>69</v>
      </c>
      <c r="H4239" s="32" t="s">
        <v>22</v>
      </c>
      <c r="I4239" s="32" t="s">
        <v>14</v>
      </c>
      <c r="J4239" s="32" t="s">
        <v>66</v>
      </c>
      <c r="K4239" s="32" t="s">
        <v>63</v>
      </c>
    </row>
    <row r="4240" customFormat="false" ht="13.5" hidden="false" customHeight="true" outlineLevel="0" collapsed="false">
      <c r="A4240" s="32" t="n">
        <v>6644</v>
      </c>
      <c r="B4240" s="32" t="s">
        <v>3359</v>
      </c>
      <c r="C4240" s="32" t="s">
        <v>3362</v>
      </c>
      <c r="D4240" s="32" t="s">
        <v>114</v>
      </c>
      <c r="E4240" s="32" t="s">
        <v>268</v>
      </c>
      <c r="F4240" s="32" t="n">
        <v>9819135612</v>
      </c>
      <c r="G4240" s="32" t="s">
        <v>69</v>
      </c>
      <c r="H4240" s="32" t="s">
        <v>22</v>
      </c>
      <c r="I4240" s="32" t="s">
        <v>156</v>
      </c>
      <c r="J4240" s="32" t="s">
        <v>62</v>
      </c>
      <c r="K4240" s="32" t="s">
        <v>63</v>
      </c>
    </row>
    <row r="4241" customFormat="false" ht="13.5" hidden="false" customHeight="true" outlineLevel="0" collapsed="false">
      <c r="A4241" s="32" t="n">
        <v>6645</v>
      </c>
      <c r="B4241" s="32" t="s">
        <v>3359</v>
      </c>
      <c r="C4241" s="32" t="s">
        <v>3362</v>
      </c>
      <c r="D4241" s="32" t="s">
        <v>114</v>
      </c>
      <c r="E4241" s="32" t="s">
        <v>268</v>
      </c>
      <c r="F4241" s="32" t="n">
        <v>9819135612</v>
      </c>
      <c r="G4241" s="32" t="s">
        <v>69</v>
      </c>
      <c r="H4241" s="32" t="s">
        <v>22</v>
      </c>
      <c r="I4241" s="32" t="s">
        <v>1036</v>
      </c>
      <c r="J4241" s="32" t="s">
        <v>62</v>
      </c>
      <c r="K4241" s="32" t="s">
        <v>63</v>
      </c>
    </row>
    <row r="4242" customFormat="false" ht="13.5" hidden="false" customHeight="true" outlineLevel="0" collapsed="false">
      <c r="A4242" s="32" t="n">
        <v>6646</v>
      </c>
      <c r="B4242" s="32" t="s">
        <v>3363</v>
      </c>
      <c r="C4242" s="32" t="s">
        <v>3364</v>
      </c>
      <c r="D4242" s="32" t="s">
        <v>114</v>
      </c>
      <c r="E4242" s="32" t="s">
        <v>165</v>
      </c>
      <c r="F4242" s="32" t="n">
        <v>9703924546</v>
      </c>
      <c r="G4242" s="32" t="s">
        <v>61</v>
      </c>
      <c r="H4242" s="32" t="s">
        <v>22</v>
      </c>
      <c r="I4242" s="32" t="s">
        <v>128</v>
      </c>
      <c r="J4242" s="32" t="s">
        <v>89</v>
      </c>
      <c r="K4242" s="32" t="s">
        <v>63</v>
      </c>
    </row>
    <row r="4243" customFormat="false" ht="13.5" hidden="false" customHeight="true" outlineLevel="0" collapsed="false">
      <c r="A4243" s="32" t="n">
        <v>6647</v>
      </c>
      <c r="B4243" s="32" t="s">
        <v>3363</v>
      </c>
      <c r="C4243" s="32" t="s">
        <v>3364</v>
      </c>
      <c r="D4243" s="32" t="s">
        <v>114</v>
      </c>
      <c r="E4243" s="32" t="s">
        <v>165</v>
      </c>
      <c r="F4243" s="32" t="n">
        <v>9703924546</v>
      </c>
      <c r="G4243" s="32" t="s">
        <v>61</v>
      </c>
      <c r="H4243" s="32" t="s">
        <v>22</v>
      </c>
      <c r="I4243" s="32" t="s">
        <v>145</v>
      </c>
      <c r="J4243" s="32" t="s">
        <v>117</v>
      </c>
      <c r="K4243" s="32" t="s">
        <v>63</v>
      </c>
    </row>
    <row r="4244" customFormat="false" ht="13.5" hidden="false" customHeight="true" outlineLevel="0" collapsed="false">
      <c r="A4244" s="32" t="n">
        <v>6648</v>
      </c>
      <c r="B4244" s="32" t="s">
        <v>3363</v>
      </c>
      <c r="C4244" s="32" t="s">
        <v>3364</v>
      </c>
      <c r="D4244" s="32" t="s">
        <v>114</v>
      </c>
      <c r="E4244" s="32" t="s">
        <v>165</v>
      </c>
      <c r="F4244" s="32" t="n">
        <v>9703924546</v>
      </c>
      <c r="G4244" s="32" t="s">
        <v>61</v>
      </c>
      <c r="H4244" s="32" t="s">
        <v>22</v>
      </c>
      <c r="I4244" s="32" t="s">
        <v>76</v>
      </c>
      <c r="J4244" s="32" t="s">
        <v>76</v>
      </c>
      <c r="K4244" s="32" t="s">
        <v>63</v>
      </c>
    </row>
    <row r="4245" customFormat="false" ht="13.5" hidden="false" customHeight="true" outlineLevel="0" collapsed="false">
      <c r="A4245" s="32" t="n">
        <v>6649</v>
      </c>
      <c r="B4245" s="32" t="s">
        <v>3363</v>
      </c>
      <c r="C4245" s="32" t="s">
        <v>3364</v>
      </c>
      <c r="D4245" s="32" t="s">
        <v>114</v>
      </c>
      <c r="E4245" s="32" t="s">
        <v>165</v>
      </c>
      <c r="F4245" s="32" t="n">
        <v>9703924546</v>
      </c>
      <c r="G4245" s="32" t="s">
        <v>61</v>
      </c>
      <c r="H4245" s="32" t="s">
        <v>22</v>
      </c>
      <c r="I4245" s="32" t="s">
        <v>109</v>
      </c>
      <c r="J4245" s="32" t="s">
        <v>110</v>
      </c>
      <c r="K4245" s="32" t="s">
        <v>63</v>
      </c>
    </row>
    <row r="4246" customFormat="false" ht="13.5" hidden="false" customHeight="true" outlineLevel="0" collapsed="false">
      <c r="A4246" s="32" t="n">
        <v>6650</v>
      </c>
      <c r="B4246" s="32" t="s">
        <v>3363</v>
      </c>
      <c r="C4246" s="32" t="s">
        <v>3364</v>
      </c>
      <c r="D4246" s="32" t="s">
        <v>114</v>
      </c>
      <c r="E4246" s="32" t="s">
        <v>165</v>
      </c>
      <c r="F4246" s="33" t="n">
        <v>919704000000</v>
      </c>
      <c r="G4246" s="32" t="s">
        <v>61</v>
      </c>
      <c r="H4246" s="32" t="s">
        <v>22</v>
      </c>
      <c r="I4246" s="32" t="s">
        <v>172</v>
      </c>
      <c r="J4246" s="32" t="s">
        <v>152</v>
      </c>
      <c r="K4246" s="32" t="s">
        <v>63</v>
      </c>
    </row>
    <row r="4247" customFormat="false" ht="13.5" hidden="false" customHeight="true" outlineLevel="0" collapsed="false">
      <c r="A4247" s="32" t="n">
        <v>6651</v>
      </c>
      <c r="B4247" s="32" t="s">
        <v>3363</v>
      </c>
      <c r="C4247" s="32" t="s">
        <v>3364</v>
      </c>
      <c r="D4247" s="32" t="s">
        <v>114</v>
      </c>
      <c r="E4247" s="32" t="s">
        <v>165</v>
      </c>
      <c r="F4247" s="32" t="n">
        <v>9703924546</v>
      </c>
      <c r="G4247" s="32" t="s">
        <v>61</v>
      </c>
      <c r="H4247" s="32" t="s">
        <v>22</v>
      </c>
      <c r="I4247" s="32" t="s">
        <v>108</v>
      </c>
      <c r="J4247" s="32" t="s">
        <v>71</v>
      </c>
      <c r="K4247" s="32" t="s">
        <v>63</v>
      </c>
    </row>
    <row r="4248" customFormat="false" ht="13.5" hidden="false" customHeight="true" outlineLevel="0" collapsed="false">
      <c r="A4248" s="32" t="n">
        <v>6652</v>
      </c>
      <c r="B4248" s="32" t="s">
        <v>3365</v>
      </c>
      <c r="C4248" s="32" t="s">
        <v>3366</v>
      </c>
      <c r="D4248" s="32" t="s">
        <v>331</v>
      </c>
      <c r="E4248" s="32" t="s">
        <v>278</v>
      </c>
      <c r="F4248" s="33" t="n">
        <v>919867000000</v>
      </c>
      <c r="G4248" s="32" t="s">
        <v>80</v>
      </c>
      <c r="H4248" s="32" t="s">
        <v>332</v>
      </c>
      <c r="I4248" s="32" t="s">
        <v>386</v>
      </c>
      <c r="J4248" s="32" t="s">
        <v>132</v>
      </c>
      <c r="K4248" s="32" t="s">
        <v>63</v>
      </c>
    </row>
    <row r="4249" customFormat="false" ht="13.5" hidden="false" customHeight="true" outlineLevel="0" collapsed="false">
      <c r="A4249" s="32" t="n">
        <v>6654</v>
      </c>
      <c r="B4249" s="32" t="s">
        <v>3365</v>
      </c>
      <c r="C4249" s="32" t="s">
        <v>3367</v>
      </c>
      <c r="D4249" s="32" t="s">
        <v>331</v>
      </c>
      <c r="E4249" s="32" t="s">
        <v>278</v>
      </c>
      <c r="F4249" s="32" t="n">
        <v>9866540620</v>
      </c>
      <c r="G4249" s="32" t="s">
        <v>80</v>
      </c>
      <c r="H4249" s="32" t="s">
        <v>332</v>
      </c>
      <c r="I4249" s="32" t="s">
        <v>728</v>
      </c>
      <c r="J4249" s="32" t="s">
        <v>132</v>
      </c>
      <c r="K4249" s="32" t="s">
        <v>63</v>
      </c>
    </row>
    <row r="4250" customFormat="false" ht="13.5" hidden="false" customHeight="true" outlineLevel="0" collapsed="false">
      <c r="A4250" s="32" t="n">
        <v>6655</v>
      </c>
      <c r="B4250" s="32" t="s">
        <v>3368</v>
      </c>
      <c r="C4250" s="32" t="s">
        <v>3369</v>
      </c>
      <c r="D4250" s="32" t="s">
        <v>114</v>
      </c>
      <c r="E4250" s="32" t="s">
        <v>169</v>
      </c>
      <c r="F4250" s="32" t="n">
        <v>8588831049</v>
      </c>
      <c r="G4250" s="32" t="s">
        <v>144</v>
      </c>
      <c r="H4250" s="32" t="s">
        <v>22</v>
      </c>
      <c r="I4250" s="32" t="s">
        <v>251</v>
      </c>
      <c r="J4250" s="32" t="s">
        <v>152</v>
      </c>
      <c r="K4250" s="32" t="s">
        <v>63</v>
      </c>
    </row>
    <row r="4251" customFormat="false" ht="13.5" hidden="false" customHeight="true" outlineLevel="0" collapsed="false">
      <c r="A4251" s="32" t="n">
        <v>6656</v>
      </c>
      <c r="B4251" s="32" t="s">
        <v>3368</v>
      </c>
      <c r="C4251" s="32" t="s">
        <v>3369</v>
      </c>
      <c r="D4251" s="32" t="s">
        <v>114</v>
      </c>
      <c r="E4251" s="32" t="s">
        <v>169</v>
      </c>
      <c r="F4251" s="32" t="n">
        <v>8588831049</v>
      </c>
      <c r="G4251" s="32" t="s">
        <v>144</v>
      </c>
      <c r="H4251" s="32" t="s">
        <v>22</v>
      </c>
      <c r="I4251" s="32" t="s">
        <v>172</v>
      </c>
      <c r="J4251" s="32" t="s">
        <v>152</v>
      </c>
      <c r="K4251" s="32" t="s">
        <v>63</v>
      </c>
    </row>
    <row r="4252" customFormat="false" ht="13.5" hidden="false" customHeight="true" outlineLevel="0" collapsed="false">
      <c r="A4252" s="32" t="n">
        <v>6657</v>
      </c>
      <c r="B4252" s="32" t="s">
        <v>3370</v>
      </c>
      <c r="C4252" s="32" t="s">
        <v>3371</v>
      </c>
      <c r="D4252" s="32" t="s">
        <v>59</v>
      </c>
      <c r="E4252" s="32" t="s">
        <v>143</v>
      </c>
      <c r="F4252" s="32" t="n">
        <v>8919205452</v>
      </c>
      <c r="G4252" s="32" t="s">
        <v>80</v>
      </c>
      <c r="H4252" s="32" t="s">
        <v>21</v>
      </c>
      <c r="I4252" s="32" t="s">
        <v>261</v>
      </c>
      <c r="J4252" s="32" t="s">
        <v>73</v>
      </c>
      <c r="K4252" s="32" t="s">
        <v>63</v>
      </c>
    </row>
    <row r="4253" customFormat="false" ht="13.5" hidden="false" customHeight="true" outlineLevel="0" collapsed="false">
      <c r="A4253" s="32" t="n">
        <v>6658</v>
      </c>
      <c r="B4253" s="32" t="s">
        <v>3370</v>
      </c>
      <c r="C4253" s="32" t="s">
        <v>3372</v>
      </c>
      <c r="D4253" s="32" t="s">
        <v>59</v>
      </c>
      <c r="E4253" s="32" t="s">
        <v>143</v>
      </c>
      <c r="F4253" s="32" t="n">
        <v>8919205452</v>
      </c>
      <c r="G4253" s="32" t="s">
        <v>80</v>
      </c>
      <c r="H4253" s="32" t="s">
        <v>21</v>
      </c>
      <c r="I4253" s="32" t="s">
        <v>145</v>
      </c>
      <c r="J4253" s="32" t="s">
        <v>117</v>
      </c>
      <c r="K4253" s="32" t="s">
        <v>63</v>
      </c>
    </row>
    <row r="4254" customFormat="false" ht="13.5" hidden="false" customHeight="true" outlineLevel="0" collapsed="false">
      <c r="A4254" s="32" t="n">
        <v>6659</v>
      </c>
      <c r="B4254" s="32" t="s">
        <v>3370</v>
      </c>
      <c r="C4254" s="32" t="s">
        <v>3372</v>
      </c>
      <c r="D4254" s="32" t="s">
        <v>59</v>
      </c>
      <c r="E4254" s="32" t="s">
        <v>143</v>
      </c>
      <c r="F4254" s="32" t="n">
        <v>8919205452</v>
      </c>
      <c r="G4254" s="32" t="s">
        <v>80</v>
      </c>
      <c r="H4254" s="32" t="s">
        <v>21</v>
      </c>
      <c r="I4254" s="32" t="s">
        <v>16</v>
      </c>
      <c r="J4254" s="32" t="s">
        <v>73</v>
      </c>
      <c r="K4254" s="32" t="s">
        <v>63</v>
      </c>
    </row>
    <row r="4255" customFormat="false" ht="13.5" hidden="false" customHeight="true" outlineLevel="0" collapsed="false">
      <c r="A4255" s="32" t="n">
        <v>6660</v>
      </c>
      <c r="B4255" s="32" t="s">
        <v>3370</v>
      </c>
      <c r="C4255" s="32" t="s">
        <v>3373</v>
      </c>
      <c r="D4255" s="32" t="s">
        <v>59</v>
      </c>
      <c r="E4255" s="32" t="s">
        <v>143</v>
      </c>
      <c r="F4255" s="32" t="n">
        <v>8919205452</v>
      </c>
      <c r="G4255" s="32" t="s">
        <v>80</v>
      </c>
      <c r="H4255" s="32" t="s">
        <v>21</v>
      </c>
      <c r="I4255" s="32" t="s">
        <v>108</v>
      </c>
      <c r="J4255" s="32" t="s">
        <v>71</v>
      </c>
      <c r="K4255" s="32" t="s">
        <v>63</v>
      </c>
    </row>
    <row r="4256" customFormat="false" ht="13.5" hidden="false" customHeight="true" outlineLevel="0" collapsed="false">
      <c r="A4256" s="32" t="n">
        <v>6662</v>
      </c>
      <c r="B4256" s="32" t="s">
        <v>3370</v>
      </c>
      <c r="C4256" s="32" t="s">
        <v>3373</v>
      </c>
      <c r="D4256" s="32" t="s">
        <v>59</v>
      </c>
      <c r="E4256" s="32" t="s">
        <v>143</v>
      </c>
      <c r="F4256" s="32" t="n">
        <v>8919205452</v>
      </c>
      <c r="G4256" s="32" t="s">
        <v>80</v>
      </c>
      <c r="H4256" s="32" t="s">
        <v>21</v>
      </c>
      <c r="I4256" s="32" t="s">
        <v>280</v>
      </c>
      <c r="J4256" s="32" t="s">
        <v>76</v>
      </c>
      <c r="K4256" s="32" t="s">
        <v>63</v>
      </c>
    </row>
    <row r="4257" customFormat="false" ht="13.5" hidden="false" customHeight="true" outlineLevel="0" collapsed="false">
      <c r="A4257" s="32" t="n">
        <v>6663</v>
      </c>
      <c r="B4257" s="32" t="s">
        <v>3374</v>
      </c>
      <c r="C4257" s="32" t="s">
        <v>3375</v>
      </c>
      <c r="D4257" s="32" t="s">
        <v>114</v>
      </c>
      <c r="E4257" s="32" t="s">
        <v>169</v>
      </c>
      <c r="F4257" s="33" t="n">
        <v>919821000000</v>
      </c>
      <c r="G4257" s="32" t="s">
        <v>104</v>
      </c>
      <c r="H4257" s="32" t="s">
        <v>22</v>
      </c>
      <c r="I4257" s="32" t="s">
        <v>171</v>
      </c>
      <c r="J4257" s="32" t="s">
        <v>152</v>
      </c>
      <c r="K4257" s="32" t="s">
        <v>63</v>
      </c>
    </row>
    <row r="4258" customFormat="false" ht="13.5" hidden="false" customHeight="true" outlineLevel="0" collapsed="false">
      <c r="A4258" s="32" t="n">
        <v>6664</v>
      </c>
      <c r="B4258" s="32" t="s">
        <v>3374</v>
      </c>
      <c r="C4258" s="32" t="s">
        <v>3376</v>
      </c>
      <c r="D4258" s="32" t="s">
        <v>114</v>
      </c>
      <c r="E4258" s="32" t="s">
        <v>169</v>
      </c>
      <c r="F4258" s="32" t="n">
        <v>9820995214</v>
      </c>
      <c r="G4258" s="32" t="s">
        <v>104</v>
      </c>
      <c r="H4258" s="32" t="s">
        <v>22</v>
      </c>
      <c r="I4258" s="32" t="s">
        <v>128</v>
      </c>
      <c r="J4258" s="32" t="s">
        <v>89</v>
      </c>
      <c r="K4258" s="32" t="s">
        <v>63</v>
      </c>
    </row>
    <row r="4259" customFormat="false" ht="13.5" hidden="false" customHeight="true" outlineLevel="0" collapsed="false">
      <c r="A4259" s="32" t="n">
        <v>6665</v>
      </c>
      <c r="B4259" s="32" t="s">
        <v>3374</v>
      </c>
      <c r="C4259" s="32" t="s">
        <v>3376</v>
      </c>
      <c r="D4259" s="32" t="s">
        <v>114</v>
      </c>
      <c r="E4259" s="32" t="s">
        <v>169</v>
      </c>
      <c r="F4259" s="32" t="n">
        <v>9820995214</v>
      </c>
      <c r="G4259" s="32" t="s">
        <v>104</v>
      </c>
      <c r="H4259" s="32" t="s">
        <v>22</v>
      </c>
      <c r="I4259" s="32" t="s">
        <v>172</v>
      </c>
      <c r="J4259" s="32" t="s">
        <v>152</v>
      </c>
      <c r="K4259" s="32" t="s">
        <v>63</v>
      </c>
    </row>
    <row r="4260" customFormat="false" ht="13.5" hidden="false" customHeight="true" outlineLevel="0" collapsed="false">
      <c r="A4260" s="32" t="n">
        <v>6666</v>
      </c>
      <c r="B4260" s="32" t="s">
        <v>3377</v>
      </c>
      <c r="C4260" s="32" t="s">
        <v>3378</v>
      </c>
      <c r="D4260" s="32" t="s">
        <v>59</v>
      </c>
      <c r="E4260" s="32" t="s">
        <v>60</v>
      </c>
      <c r="F4260" s="32" t="n">
        <v>8892500253</v>
      </c>
      <c r="G4260" s="32" t="s">
        <v>61</v>
      </c>
      <c r="H4260" s="32" t="s">
        <v>21</v>
      </c>
      <c r="I4260" s="32" t="s">
        <v>350</v>
      </c>
      <c r="J4260" s="32" t="s">
        <v>235</v>
      </c>
      <c r="K4260" s="32" t="s">
        <v>63</v>
      </c>
    </row>
    <row r="4261" customFormat="false" ht="13.5" hidden="false" customHeight="true" outlineLevel="0" collapsed="false">
      <c r="A4261" s="32" t="n">
        <v>6667</v>
      </c>
      <c r="B4261" s="32" t="s">
        <v>3377</v>
      </c>
      <c r="C4261" s="32" t="s">
        <v>3378</v>
      </c>
      <c r="D4261" s="32" t="s">
        <v>59</v>
      </c>
      <c r="E4261" s="32" t="s">
        <v>60</v>
      </c>
      <c r="F4261" s="32" t="n">
        <v>8892500253</v>
      </c>
      <c r="G4261" s="32" t="s">
        <v>61</v>
      </c>
      <c r="H4261" s="32" t="s">
        <v>21</v>
      </c>
      <c r="I4261" s="32" t="s">
        <v>75</v>
      </c>
      <c r="J4261" s="32" t="s">
        <v>76</v>
      </c>
      <c r="K4261" s="32" t="s">
        <v>63</v>
      </c>
    </row>
    <row r="4262" customFormat="false" ht="13.5" hidden="false" customHeight="true" outlineLevel="0" collapsed="false">
      <c r="A4262" s="32" t="n">
        <v>6668</v>
      </c>
      <c r="B4262" s="32" t="s">
        <v>3377</v>
      </c>
      <c r="C4262" s="32" t="s">
        <v>3378</v>
      </c>
      <c r="D4262" s="32" t="s">
        <v>59</v>
      </c>
      <c r="E4262" s="32" t="s">
        <v>60</v>
      </c>
      <c r="F4262" s="32" t="n">
        <v>8892500253</v>
      </c>
      <c r="G4262" s="32" t="s">
        <v>61</v>
      </c>
      <c r="H4262" s="32" t="s">
        <v>21</v>
      </c>
      <c r="I4262" s="32" t="s">
        <v>333</v>
      </c>
      <c r="J4262" s="32" t="s">
        <v>235</v>
      </c>
      <c r="K4262" s="32" t="s">
        <v>63</v>
      </c>
    </row>
    <row r="4263" customFormat="false" ht="13.5" hidden="false" customHeight="true" outlineLevel="0" collapsed="false">
      <c r="A4263" s="32" t="n">
        <v>6669</v>
      </c>
      <c r="B4263" s="32" t="s">
        <v>3379</v>
      </c>
      <c r="C4263" s="32" t="s">
        <v>3380</v>
      </c>
      <c r="D4263" s="32" t="s">
        <v>59</v>
      </c>
      <c r="E4263" s="32" t="s">
        <v>92</v>
      </c>
      <c r="F4263" s="32" t="n">
        <v>9573011546</v>
      </c>
      <c r="G4263" s="32" t="s">
        <v>80</v>
      </c>
      <c r="H4263" s="32" t="s">
        <v>21</v>
      </c>
      <c r="I4263" s="32" t="s">
        <v>226</v>
      </c>
      <c r="J4263" s="32" t="s">
        <v>110</v>
      </c>
      <c r="K4263" s="32" t="s">
        <v>63</v>
      </c>
    </row>
    <row r="4264" customFormat="false" ht="13.5" hidden="false" customHeight="true" outlineLevel="0" collapsed="false">
      <c r="A4264" s="32" t="n">
        <v>6670</v>
      </c>
      <c r="B4264" s="32" t="s">
        <v>3379</v>
      </c>
      <c r="C4264" s="32" t="s">
        <v>3380</v>
      </c>
      <c r="D4264" s="32" t="s">
        <v>59</v>
      </c>
      <c r="E4264" s="32" t="s">
        <v>92</v>
      </c>
      <c r="F4264" s="32" t="n">
        <v>9573011546</v>
      </c>
      <c r="G4264" s="32" t="s">
        <v>80</v>
      </c>
      <c r="H4264" s="32" t="s">
        <v>21</v>
      </c>
      <c r="I4264" s="32" t="s">
        <v>227</v>
      </c>
      <c r="J4264" s="32" t="s">
        <v>228</v>
      </c>
      <c r="K4264" s="32" t="s">
        <v>63</v>
      </c>
    </row>
    <row r="4265" customFormat="false" ht="13.5" hidden="false" customHeight="true" outlineLevel="0" collapsed="false">
      <c r="A4265" s="32" t="n">
        <v>6671</v>
      </c>
      <c r="B4265" s="32" t="s">
        <v>3381</v>
      </c>
      <c r="C4265" s="32" t="s">
        <v>3382</v>
      </c>
      <c r="D4265" s="32" t="s">
        <v>114</v>
      </c>
      <c r="E4265" s="32" t="s">
        <v>165</v>
      </c>
      <c r="F4265" s="32" t="n">
        <v>0</v>
      </c>
      <c r="G4265" s="32" t="s">
        <v>144</v>
      </c>
      <c r="H4265" s="32" t="s">
        <v>22</v>
      </c>
      <c r="I4265" s="32" t="s">
        <v>239</v>
      </c>
      <c r="J4265" s="32" t="s">
        <v>132</v>
      </c>
      <c r="K4265" s="32" t="s">
        <v>63</v>
      </c>
    </row>
    <row r="4266" customFormat="false" ht="13.5" hidden="false" customHeight="true" outlineLevel="0" collapsed="false">
      <c r="A4266" s="32" t="n">
        <v>6672</v>
      </c>
      <c r="B4266" s="32" t="s">
        <v>3381</v>
      </c>
      <c r="C4266" s="32" t="s">
        <v>3382</v>
      </c>
      <c r="D4266" s="32" t="s">
        <v>114</v>
      </c>
      <c r="E4266" s="32" t="s">
        <v>165</v>
      </c>
      <c r="F4266" s="32" t="n">
        <v>0</v>
      </c>
      <c r="G4266" s="32" t="s">
        <v>144</v>
      </c>
      <c r="H4266" s="32" t="s">
        <v>22</v>
      </c>
      <c r="I4266" s="32" t="s">
        <v>242</v>
      </c>
      <c r="J4266" s="32" t="s">
        <v>241</v>
      </c>
      <c r="K4266" s="32" t="s">
        <v>63</v>
      </c>
    </row>
    <row r="4267" customFormat="false" ht="13.5" hidden="false" customHeight="true" outlineLevel="0" collapsed="false">
      <c r="A4267" s="32" t="n">
        <v>6673</v>
      </c>
      <c r="B4267" s="32" t="s">
        <v>3381</v>
      </c>
      <c r="C4267" s="32" t="s">
        <v>3383</v>
      </c>
      <c r="D4267" s="32" t="s">
        <v>114</v>
      </c>
      <c r="E4267" s="32" t="s">
        <v>165</v>
      </c>
      <c r="F4267" s="32" t="n">
        <v>0</v>
      </c>
      <c r="G4267" s="32" t="s">
        <v>144</v>
      </c>
      <c r="H4267" s="32" t="s">
        <v>22</v>
      </c>
      <c r="I4267" s="32" t="s">
        <v>146</v>
      </c>
      <c r="J4267" s="32" t="s">
        <v>117</v>
      </c>
      <c r="K4267" s="32" t="s">
        <v>63</v>
      </c>
    </row>
    <row r="4268" customFormat="false" ht="13.5" hidden="false" customHeight="true" outlineLevel="0" collapsed="false">
      <c r="A4268" s="32" t="n">
        <v>6674</v>
      </c>
      <c r="B4268" s="32" t="s">
        <v>3381</v>
      </c>
      <c r="C4268" s="32" t="s">
        <v>3383</v>
      </c>
      <c r="D4268" s="32" t="s">
        <v>114</v>
      </c>
      <c r="E4268" s="32" t="s">
        <v>165</v>
      </c>
      <c r="F4268" s="32" t="n">
        <v>0</v>
      </c>
      <c r="G4268" s="32" t="s">
        <v>144</v>
      </c>
      <c r="H4268" s="32" t="s">
        <v>22</v>
      </c>
      <c r="I4268" s="32" t="s">
        <v>1720</v>
      </c>
      <c r="J4268" s="32" t="s">
        <v>132</v>
      </c>
      <c r="K4268" s="32" t="s">
        <v>63</v>
      </c>
    </row>
    <row r="4269" customFormat="false" ht="13.5" hidden="false" customHeight="true" outlineLevel="0" collapsed="false">
      <c r="A4269" s="32" t="n">
        <v>6675</v>
      </c>
      <c r="B4269" s="32" t="s">
        <v>3381</v>
      </c>
      <c r="C4269" s="32" t="s">
        <v>3384</v>
      </c>
      <c r="D4269" s="32" t="s">
        <v>114</v>
      </c>
      <c r="E4269" s="32" t="s">
        <v>165</v>
      </c>
      <c r="F4269" s="32" t="n">
        <v>0</v>
      </c>
      <c r="G4269" s="32" t="s">
        <v>144</v>
      </c>
      <c r="H4269" s="32" t="s">
        <v>22</v>
      </c>
      <c r="I4269" s="32" t="s">
        <v>93</v>
      </c>
      <c r="J4269" s="32" t="s">
        <v>85</v>
      </c>
      <c r="K4269" s="32" t="s">
        <v>63</v>
      </c>
    </row>
    <row r="4270" customFormat="false" ht="13.5" hidden="false" customHeight="true" outlineLevel="0" collapsed="false">
      <c r="A4270" s="32" t="n">
        <v>6676</v>
      </c>
      <c r="B4270" s="32" t="s">
        <v>3381</v>
      </c>
      <c r="C4270" s="32" t="s">
        <v>3384</v>
      </c>
      <c r="D4270" s="32" t="s">
        <v>114</v>
      </c>
      <c r="E4270" s="32" t="s">
        <v>165</v>
      </c>
      <c r="F4270" s="32" t="n">
        <v>0</v>
      </c>
      <c r="G4270" s="32" t="s">
        <v>144</v>
      </c>
      <c r="H4270" s="32" t="s">
        <v>22</v>
      </c>
      <c r="I4270" s="32" t="s">
        <v>85</v>
      </c>
      <c r="J4270" s="32" t="s">
        <v>85</v>
      </c>
      <c r="K4270" s="32" t="s">
        <v>63</v>
      </c>
    </row>
    <row r="4271" customFormat="false" ht="13.5" hidden="false" customHeight="true" outlineLevel="0" collapsed="false">
      <c r="A4271" s="32" t="n">
        <v>6677</v>
      </c>
      <c r="B4271" s="32" t="s">
        <v>3381</v>
      </c>
      <c r="C4271" s="32" t="s">
        <v>3384</v>
      </c>
      <c r="D4271" s="32" t="s">
        <v>114</v>
      </c>
      <c r="E4271" s="32" t="s">
        <v>165</v>
      </c>
      <c r="F4271" s="32" t="n">
        <v>0</v>
      </c>
      <c r="G4271" s="32" t="s">
        <v>144</v>
      </c>
      <c r="H4271" s="32" t="s">
        <v>22</v>
      </c>
      <c r="I4271" s="32" t="s">
        <v>76</v>
      </c>
      <c r="J4271" s="32" t="s">
        <v>76</v>
      </c>
      <c r="K4271" s="32" t="s">
        <v>63</v>
      </c>
    </row>
    <row r="4272" customFormat="false" ht="13.5" hidden="false" customHeight="true" outlineLevel="0" collapsed="false">
      <c r="A4272" s="32" t="n">
        <v>6678</v>
      </c>
      <c r="B4272" s="32" t="s">
        <v>3385</v>
      </c>
      <c r="C4272" s="32" t="s">
        <v>3386</v>
      </c>
      <c r="D4272" s="32" t="s">
        <v>59</v>
      </c>
      <c r="E4272" s="32" t="s">
        <v>60</v>
      </c>
      <c r="F4272" s="32" t="n">
        <v>9698874875</v>
      </c>
      <c r="G4272" s="32" t="s">
        <v>0</v>
      </c>
      <c r="H4272" s="32" t="s">
        <v>21</v>
      </c>
      <c r="I4272" s="32" t="s">
        <v>14</v>
      </c>
      <c r="J4272" s="32" t="s">
        <v>66</v>
      </c>
      <c r="K4272" s="32" t="s">
        <v>63</v>
      </c>
    </row>
    <row r="4273" customFormat="false" ht="13.5" hidden="false" customHeight="true" outlineLevel="0" collapsed="false">
      <c r="A4273" s="32" t="n">
        <v>6679</v>
      </c>
      <c r="B4273" s="32" t="s">
        <v>3385</v>
      </c>
      <c r="C4273" s="32" t="s">
        <v>3386</v>
      </c>
      <c r="D4273" s="32" t="s">
        <v>59</v>
      </c>
      <c r="E4273" s="32" t="s">
        <v>60</v>
      </c>
      <c r="F4273" s="32" t="n">
        <v>9698874875</v>
      </c>
      <c r="G4273" s="32" t="s">
        <v>0</v>
      </c>
      <c r="H4273" s="32" t="s">
        <v>21</v>
      </c>
      <c r="I4273" s="32" t="s">
        <v>29</v>
      </c>
      <c r="J4273" s="32" t="s">
        <v>62</v>
      </c>
      <c r="K4273" s="32" t="s">
        <v>63</v>
      </c>
    </row>
    <row r="4274" customFormat="false" ht="13.5" hidden="false" customHeight="true" outlineLevel="0" collapsed="false">
      <c r="A4274" s="32" t="n">
        <v>6680</v>
      </c>
      <c r="B4274" s="32" t="s">
        <v>3385</v>
      </c>
      <c r="C4274" s="32" t="s">
        <v>3386</v>
      </c>
      <c r="D4274" s="32" t="s">
        <v>59</v>
      </c>
      <c r="E4274" s="32" t="s">
        <v>60</v>
      </c>
      <c r="F4274" s="32" t="n">
        <v>9698874875</v>
      </c>
      <c r="G4274" s="32" t="s">
        <v>0</v>
      </c>
      <c r="H4274" s="32" t="s">
        <v>21</v>
      </c>
      <c r="I4274" s="32" t="s">
        <v>156</v>
      </c>
      <c r="J4274" s="32" t="s">
        <v>62</v>
      </c>
      <c r="K4274" s="32" t="s">
        <v>63</v>
      </c>
    </row>
    <row r="4275" customFormat="false" ht="13.5" hidden="false" customHeight="true" outlineLevel="0" collapsed="false">
      <c r="A4275" s="32" t="n">
        <v>6681</v>
      </c>
      <c r="B4275" s="32" t="s">
        <v>3387</v>
      </c>
      <c r="C4275" s="32" t="s">
        <v>3388</v>
      </c>
      <c r="D4275" s="32" t="s">
        <v>59</v>
      </c>
      <c r="E4275" s="32" t="s">
        <v>107</v>
      </c>
      <c r="F4275" s="32" t="n">
        <v>0</v>
      </c>
      <c r="G4275" s="32" t="s">
        <v>61</v>
      </c>
      <c r="H4275" s="32" t="s">
        <v>21</v>
      </c>
      <c r="I4275" s="32" t="s">
        <v>95</v>
      </c>
      <c r="J4275" s="32" t="s">
        <v>96</v>
      </c>
      <c r="K4275" s="32" t="s">
        <v>63</v>
      </c>
    </row>
    <row r="4276" customFormat="false" ht="13.5" hidden="false" customHeight="true" outlineLevel="0" collapsed="false">
      <c r="A4276" s="32" t="n">
        <v>6682</v>
      </c>
      <c r="B4276" s="32" t="s">
        <v>3387</v>
      </c>
      <c r="C4276" s="32" t="s">
        <v>3388</v>
      </c>
      <c r="D4276" s="32" t="s">
        <v>59</v>
      </c>
      <c r="E4276" s="32" t="s">
        <v>107</v>
      </c>
      <c r="F4276" s="32" t="n">
        <v>0</v>
      </c>
      <c r="G4276" s="32" t="s">
        <v>61</v>
      </c>
      <c r="H4276" s="32" t="s">
        <v>21</v>
      </c>
      <c r="I4276" s="32" t="s">
        <v>30</v>
      </c>
      <c r="J4276" s="32" t="s">
        <v>203</v>
      </c>
      <c r="K4276" s="32" t="s">
        <v>63</v>
      </c>
    </row>
    <row r="4277" customFormat="false" ht="13.5" hidden="false" customHeight="true" outlineLevel="0" collapsed="false">
      <c r="A4277" s="32" t="n">
        <v>6683</v>
      </c>
      <c r="B4277" s="32" t="s">
        <v>3387</v>
      </c>
      <c r="C4277" s="32" t="s">
        <v>3388</v>
      </c>
      <c r="D4277" s="32" t="s">
        <v>59</v>
      </c>
      <c r="E4277" s="32" t="s">
        <v>107</v>
      </c>
      <c r="F4277" s="32" t="n">
        <v>0</v>
      </c>
      <c r="G4277" s="32" t="s">
        <v>61</v>
      </c>
      <c r="H4277" s="32" t="s">
        <v>21</v>
      </c>
      <c r="I4277" s="32" t="s">
        <v>146</v>
      </c>
      <c r="J4277" s="32" t="s">
        <v>117</v>
      </c>
      <c r="K4277" s="32" t="s">
        <v>63</v>
      </c>
    </row>
    <row r="4278" customFormat="false" ht="13.5" hidden="false" customHeight="true" outlineLevel="0" collapsed="false">
      <c r="A4278" s="32" t="n">
        <v>6684</v>
      </c>
      <c r="B4278" s="32" t="s">
        <v>3389</v>
      </c>
      <c r="C4278" s="32" t="s">
        <v>3390</v>
      </c>
      <c r="D4278" s="32" t="s">
        <v>59</v>
      </c>
      <c r="E4278" s="32" t="s">
        <v>143</v>
      </c>
      <c r="F4278" s="33" t="n">
        <v>919398000000</v>
      </c>
      <c r="G4278" s="32" t="s">
        <v>80</v>
      </c>
      <c r="H4278" s="32" t="s">
        <v>21</v>
      </c>
      <c r="I4278" s="32" t="s">
        <v>108</v>
      </c>
      <c r="J4278" s="32" t="s">
        <v>71</v>
      </c>
      <c r="K4278" s="32" t="s">
        <v>63</v>
      </c>
    </row>
    <row r="4279" customFormat="false" ht="13.5" hidden="false" customHeight="true" outlineLevel="0" collapsed="false">
      <c r="A4279" s="32" t="n">
        <v>6685</v>
      </c>
      <c r="B4279" s="32" t="s">
        <v>3389</v>
      </c>
      <c r="C4279" s="32" t="s">
        <v>3390</v>
      </c>
      <c r="D4279" s="32" t="s">
        <v>59</v>
      </c>
      <c r="E4279" s="32" t="s">
        <v>143</v>
      </c>
      <c r="F4279" s="33" t="n">
        <v>919398000000</v>
      </c>
      <c r="G4279" s="32" t="s">
        <v>80</v>
      </c>
      <c r="H4279" s="32" t="s">
        <v>21</v>
      </c>
      <c r="I4279" s="32" t="s">
        <v>280</v>
      </c>
      <c r="J4279" s="32" t="s">
        <v>76</v>
      </c>
      <c r="K4279" s="32" t="s">
        <v>63</v>
      </c>
    </row>
    <row r="4280" customFormat="false" ht="13.5" hidden="false" customHeight="true" outlineLevel="0" collapsed="false">
      <c r="A4280" s="32" t="n">
        <v>6686</v>
      </c>
      <c r="B4280" s="32" t="s">
        <v>3391</v>
      </c>
      <c r="C4280" s="32" t="s">
        <v>3392</v>
      </c>
      <c r="D4280" s="32" t="s">
        <v>59</v>
      </c>
      <c r="E4280" s="32" t="s">
        <v>60</v>
      </c>
      <c r="F4280" s="33" t="n">
        <v>919866000000</v>
      </c>
      <c r="G4280" s="32" t="s">
        <v>61</v>
      </c>
      <c r="H4280" s="32" t="s">
        <v>21</v>
      </c>
      <c r="I4280" s="32" t="s">
        <v>494</v>
      </c>
      <c r="J4280" s="32" t="s">
        <v>71</v>
      </c>
      <c r="K4280" s="32" t="s">
        <v>63</v>
      </c>
    </row>
    <row r="4281" customFormat="false" ht="13.5" hidden="false" customHeight="true" outlineLevel="0" collapsed="false">
      <c r="A4281" s="32" t="n">
        <v>6687</v>
      </c>
      <c r="B4281" s="32" t="s">
        <v>3391</v>
      </c>
      <c r="C4281" s="32" t="s">
        <v>3392</v>
      </c>
      <c r="D4281" s="32" t="s">
        <v>59</v>
      </c>
      <c r="E4281" s="32" t="s">
        <v>60</v>
      </c>
      <c r="F4281" s="33" t="n">
        <v>919866000000</v>
      </c>
      <c r="G4281" s="32" t="s">
        <v>61</v>
      </c>
      <c r="H4281" s="32" t="s">
        <v>21</v>
      </c>
      <c r="I4281" s="32" t="s">
        <v>156</v>
      </c>
      <c r="J4281" s="32" t="s">
        <v>62</v>
      </c>
      <c r="K4281" s="32" t="s">
        <v>63</v>
      </c>
    </row>
    <row r="4282" customFormat="false" ht="13.5" hidden="false" customHeight="true" outlineLevel="0" collapsed="false">
      <c r="A4282" s="32" t="n">
        <v>6688</v>
      </c>
      <c r="B4282" s="32" t="s">
        <v>3391</v>
      </c>
      <c r="C4282" s="32" t="s">
        <v>3392</v>
      </c>
      <c r="D4282" s="32" t="s">
        <v>59</v>
      </c>
      <c r="E4282" s="32" t="s">
        <v>60</v>
      </c>
      <c r="F4282" s="33" t="n">
        <v>919866000000</v>
      </c>
      <c r="G4282" s="32" t="s">
        <v>61</v>
      </c>
      <c r="H4282" s="32" t="s">
        <v>21</v>
      </c>
      <c r="I4282" s="32" t="s">
        <v>111</v>
      </c>
      <c r="J4282" s="32" t="s">
        <v>73</v>
      </c>
      <c r="K4282" s="32" t="s">
        <v>63</v>
      </c>
    </row>
    <row r="4283" customFormat="false" ht="13.5" hidden="false" customHeight="true" outlineLevel="0" collapsed="false">
      <c r="A4283" s="32" t="n">
        <v>6689</v>
      </c>
      <c r="B4283" s="32" t="s">
        <v>3393</v>
      </c>
      <c r="C4283" s="32" t="s">
        <v>3394</v>
      </c>
      <c r="D4283" s="32" t="s">
        <v>59</v>
      </c>
      <c r="E4283" s="32" t="s">
        <v>143</v>
      </c>
      <c r="F4283" s="32" t="n">
        <v>0</v>
      </c>
      <c r="G4283" s="32" t="s">
        <v>80</v>
      </c>
      <c r="H4283" s="32" t="s">
        <v>21</v>
      </c>
      <c r="I4283" s="32" t="s">
        <v>120</v>
      </c>
      <c r="J4283" s="32" t="s">
        <v>110</v>
      </c>
      <c r="K4283" s="32" t="s">
        <v>63</v>
      </c>
    </row>
    <row r="4284" customFormat="false" ht="13.5" hidden="false" customHeight="true" outlineLevel="0" collapsed="false">
      <c r="A4284" s="32" t="n">
        <v>6690</v>
      </c>
      <c r="B4284" s="32" t="s">
        <v>3393</v>
      </c>
      <c r="C4284" s="32" t="s">
        <v>3394</v>
      </c>
      <c r="D4284" s="32" t="s">
        <v>59</v>
      </c>
      <c r="E4284" s="32" t="s">
        <v>143</v>
      </c>
      <c r="F4284" s="32" t="n">
        <v>0</v>
      </c>
      <c r="G4284" s="32" t="s">
        <v>80</v>
      </c>
      <c r="H4284" s="32" t="s">
        <v>21</v>
      </c>
      <c r="I4284" s="32" t="s">
        <v>254</v>
      </c>
      <c r="J4284" s="32" t="s">
        <v>110</v>
      </c>
      <c r="K4284" s="32" t="s">
        <v>63</v>
      </c>
    </row>
    <row r="4285" customFormat="false" ht="13.5" hidden="false" customHeight="true" outlineLevel="0" collapsed="false">
      <c r="A4285" s="32" t="n">
        <v>6691</v>
      </c>
      <c r="B4285" s="32" t="s">
        <v>3393</v>
      </c>
      <c r="C4285" s="32" t="s">
        <v>3394</v>
      </c>
      <c r="D4285" s="32" t="s">
        <v>59</v>
      </c>
      <c r="E4285" s="32" t="s">
        <v>143</v>
      </c>
      <c r="F4285" s="32" t="n">
        <v>0</v>
      </c>
      <c r="G4285" s="32" t="s">
        <v>80</v>
      </c>
      <c r="H4285" s="32" t="s">
        <v>21</v>
      </c>
      <c r="I4285" s="32" t="s">
        <v>109</v>
      </c>
      <c r="J4285" s="32" t="s">
        <v>110</v>
      </c>
      <c r="K4285" s="32" t="s">
        <v>63</v>
      </c>
    </row>
    <row r="4286" customFormat="false" ht="13.5" hidden="false" customHeight="true" outlineLevel="0" collapsed="false">
      <c r="A4286" s="32" t="n">
        <v>6692</v>
      </c>
      <c r="B4286" s="32" t="s">
        <v>3395</v>
      </c>
      <c r="C4286" s="32" t="s">
        <v>3396</v>
      </c>
      <c r="D4286" s="32" t="s">
        <v>114</v>
      </c>
      <c r="E4286" s="32" t="s">
        <v>169</v>
      </c>
      <c r="F4286" s="32" t="n">
        <v>0</v>
      </c>
      <c r="G4286" s="32" t="s">
        <v>144</v>
      </c>
      <c r="H4286" s="32" t="s">
        <v>22</v>
      </c>
      <c r="I4286" s="32" t="s">
        <v>251</v>
      </c>
      <c r="J4286" s="32" t="s">
        <v>152</v>
      </c>
      <c r="K4286" s="32" t="s">
        <v>63</v>
      </c>
    </row>
    <row r="4287" customFormat="false" ht="13.5" hidden="false" customHeight="true" outlineLevel="0" collapsed="false">
      <c r="A4287" s="32" t="n">
        <v>6693</v>
      </c>
      <c r="B4287" s="32" t="s">
        <v>3395</v>
      </c>
      <c r="C4287" s="32" t="s">
        <v>3396</v>
      </c>
      <c r="D4287" s="32" t="s">
        <v>114</v>
      </c>
      <c r="E4287" s="32" t="s">
        <v>169</v>
      </c>
      <c r="F4287" s="32" t="n">
        <v>0</v>
      </c>
      <c r="G4287" s="32" t="s">
        <v>144</v>
      </c>
      <c r="H4287" s="32" t="s">
        <v>22</v>
      </c>
      <c r="I4287" s="32" t="s">
        <v>76</v>
      </c>
      <c r="J4287" s="32" t="s">
        <v>76</v>
      </c>
      <c r="K4287" s="32" t="s">
        <v>63</v>
      </c>
    </row>
    <row r="4288" customFormat="false" ht="13.5" hidden="false" customHeight="true" outlineLevel="0" collapsed="false">
      <c r="A4288" s="32" t="n">
        <v>6694</v>
      </c>
      <c r="B4288" s="32" t="s">
        <v>3395</v>
      </c>
      <c r="C4288" s="32" t="s">
        <v>3396</v>
      </c>
      <c r="D4288" s="32" t="s">
        <v>114</v>
      </c>
      <c r="E4288" s="32" t="s">
        <v>169</v>
      </c>
      <c r="F4288" s="32" t="n">
        <v>0</v>
      </c>
      <c r="G4288" s="32" t="s">
        <v>144</v>
      </c>
      <c r="H4288" s="32" t="s">
        <v>22</v>
      </c>
      <c r="I4288" s="32" t="s">
        <v>151</v>
      </c>
      <c r="J4288" s="32" t="s">
        <v>152</v>
      </c>
      <c r="K4288" s="32" t="s">
        <v>63</v>
      </c>
    </row>
    <row r="4289" customFormat="false" ht="13.5" hidden="false" customHeight="true" outlineLevel="0" collapsed="false">
      <c r="A4289" s="32" t="n">
        <v>6695</v>
      </c>
      <c r="B4289" s="32" t="s">
        <v>3395</v>
      </c>
      <c r="C4289" s="32" t="s">
        <v>3397</v>
      </c>
      <c r="D4289" s="32" t="s">
        <v>114</v>
      </c>
      <c r="E4289" s="32" t="s">
        <v>169</v>
      </c>
      <c r="F4289" s="32" t="n">
        <v>0</v>
      </c>
      <c r="G4289" s="32" t="s">
        <v>144</v>
      </c>
      <c r="H4289" s="32" t="s">
        <v>22</v>
      </c>
      <c r="I4289" s="32" t="s">
        <v>251</v>
      </c>
      <c r="J4289" s="32" t="s">
        <v>152</v>
      </c>
      <c r="K4289" s="32" t="s">
        <v>63</v>
      </c>
    </row>
    <row r="4290" customFormat="false" ht="13.5" hidden="false" customHeight="true" outlineLevel="0" collapsed="false">
      <c r="A4290" s="32" t="n">
        <v>6696</v>
      </c>
      <c r="B4290" s="32" t="s">
        <v>3395</v>
      </c>
      <c r="C4290" s="32" t="s">
        <v>3397</v>
      </c>
      <c r="D4290" s="32" t="s">
        <v>114</v>
      </c>
      <c r="E4290" s="32" t="s">
        <v>169</v>
      </c>
      <c r="F4290" s="32" t="n">
        <v>0</v>
      </c>
      <c r="G4290" s="32" t="s">
        <v>144</v>
      </c>
      <c r="H4290" s="32" t="s">
        <v>22</v>
      </c>
      <c r="I4290" s="32" t="s">
        <v>85</v>
      </c>
      <c r="J4290" s="32" t="s">
        <v>85</v>
      </c>
      <c r="K4290" s="32" t="s">
        <v>63</v>
      </c>
    </row>
    <row r="4291" customFormat="false" ht="13.5" hidden="false" customHeight="true" outlineLevel="0" collapsed="false">
      <c r="A4291" s="32" t="n">
        <v>6697</v>
      </c>
      <c r="B4291" s="32" t="s">
        <v>3395</v>
      </c>
      <c r="C4291" s="32" t="s">
        <v>3397</v>
      </c>
      <c r="D4291" s="32" t="s">
        <v>114</v>
      </c>
      <c r="E4291" s="32" t="s">
        <v>169</v>
      </c>
      <c r="F4291" s="32" t="n">
        <v>0</v>
      </c>
      <c r="G4291" s="32" t="s">
        <v>144</v>
      </c>
      <c r="H4291" s="32" t="s">
        <v>22</v>
      </c>
      <c r="I4291" s="32" t="s">
        <v>172</v>
      </c>
      <c r="J4291" s="32" t="s">
        <v>152</v>
      </c>
      <c r="K4291" s="32" t="s">
        <v>63</v>
      </c>
    </row>
    <row r="4292" customFormat="false" ht="13.5" hidden="false" customHeight="true" outlineLevel="0" collapsed="false">
      <c r="A4292" s="32" t="n">
        <v>6698</v>
      </c>
      <c r="B4292" s="32" t="s">
        <v>3398</v>
      </c>
      <c r="C4292" s="32" t="s">
        <v>3399</v>
      </c>
      <c r="D4292" s="32" t="s">
        <v>59</v>
      </c>
      <c r="E4292" s="32" t="s">
        <v>107</v>
      </c>
      <c r="F4292" s="32" t="n">
        <v>9456800538</v>
      </c>
      <c r="G4292" s="32" t="s">
        <v>144</v>
      </c>
      <c r="H4292" s="32" t="s">
        <v>21</v>
      </c>
      <c r="I4292" s="32" t="s">
        <v>109</v>
      </c>
      <c r="J4292" s="32" t="s">
        <v>110</v>
      </c>
      <c r="K4292" s="32" t="s">
        <v>63</v>
      </c>
    </row>
    <row r="4293" customFormat="false" ht="13.5" hidden="false" customHeight="true" outlineLevel="0" collapsed="false">
      <c r="A4293" s="32" t="n">
        <v>6699</v>
      </c>
      <c r="B4293" s="32" t="s">
        <v>3398</v>
      </c>
      <c r="C4293" s="32" t="s">
        <v>3399</v>
      </c>
      <c r="D4293" s="32" t="s">
        <v>59</v>
      </c>
      <c r="E4293" s="32" t="s">
        <v>107</v>
      </c>
      <c r="F4293" s="32" t="n">
        <v>9456800538</v>
      </c>
      <c r="G4293" s="32" t="s">
        <v>144</v>
      </c>
      <c r="H4293" s="32" t="s">
        <v>21</v>
      </c>
      <c r="I4293" s="32" t="s">
        <v>108</v>
      </c>
      <c r="J4293" s="32" t="s">
        <v>71</v>
      </c>
      <c r="K4293" s="32" t="s">
        <v>63</v>
      </c>
    </row>
    <row r="4294" customFormat="false" ht="13.5" hidden="false" customHeight="true" outlineLevel="0" collapsed="false">
      <c r="A4294" s="32" t="n">
        <v>6700</v>
      </c>
      <c r="B4294" s="32" t="s">
        <v>3398</v>
      </c>
      <c r="C4294" s="32" t="s">
        <v>3399</v>
      </c>
      <c r="D4294" s="32" t="s">
        <v>59</v>
      </c>
      <c r="E4294" s="32" t="s">
        <v>107</v>
      </c>
      <c r="F4294" s="32" t="n">
        <v>9456800538</v>
      </c>
      <c r="G4294" s="32" t="s">
        <v>144</v>
      </c>
      <c r="H4294" s="32" t="s">
        <v>21</v>
      </c>
      <c r="I4294" s="32" t="s">
        <v>121</v>
      </c>
      <c r="J4294" s="32" t="s">
        <v>110</v>
      </c>
      <c r="K4294" s="32" t="s">
        <v>63</v>
      </c>
    </row>
    <row r="4295" customFormat="false" ht="13.5" hidden="false" customHeight="true" outlineLevel="0" collapsed="false">
      <c r="A4295" s="32" t="n">
        <v>6701</v>
      </c>
      <c r="B4295" s="32" t="s">
        <v>3398</v>
      </c>
      <c r="C4295" s="32" t="s">
        <v>3399</v>
      </c>
      <c r="D4295" s="32" t="s">
        <v>59</v>
      </c>
      <c r="E4295" s="32" t="s">
        <v>107</v>
      </c>
      <c r="F4295" s="32" t="n">
        <v>9456800538</v>
      </c>
      <c r="G4295" s="32" t="s">
        <v>144</v>
      </c>
      <c r="H4295" s="32" t="s">
        <v>21</v>
      </c>
      <c r="I4295" s="32" t="s">
        <v>145</v>
      </c>
      <c r="J4295" s="32" t="s">
        <v>117</v>
      </c>
      <c r="K4295" s="32" t="s">
        <v>63</v>
      </c>
    </row>
    <row r="4296" customFormat="false" ht="13.5" hidden="false" customHeight="true" outlineLevel="0" collapsed="false">
      <c r="A4296" s="32" t="n">
        <v>6702</v>
      </c>
      <c r="B4296" s="32" t="s">
        <v>3400</v>
      </c>
      <c r="C4296" s="32" t="s">
        <v>3401</v>
      </c>
      <c r="D4296" s="32" t="s">
        <v>114</v>
      </c>
      <c r="E4296" s="32" t="s">
        <v>165</v>
      </c>
      <c r="F4296" s="33" t="n">
        <v>919921000000</v>
      </c>
      <c r="G4296" s="32" t="s">
        <v>104</v>
      </c>
      <c r="H4296" s="32" t="s">
        <v>22</v>
      </c>
      <c r="I4296" s="32" t="s">
        <v>76</v>
      </c>
      <c r="J4296" s="32" t="s">
        <v>76</v>
      </c>
      <c r="K4296" s="32" t="s">
        <v>63</v>
      </c>
    </row>
    <row r="4297" customFormat="false" ht="13.5" hidden="false" customHeight="true" outlineLevel="0" collapsed="false">
      <c r="A4297" s="32" t="n">
        <v>6703</v>
      </c>
      <c r="B4297" s="32" t="s">
        <v>3400</v>
      </c>
      <c r="C4297" s="32" t="s">
        <v>3401</v>
      </c>
      <c r="D4297" s="32" t="s">
        <v>114</v>
      </c>
      <c r="E4297" s="32" t="s">
        <v>165</v>
      </c>
      <c r="F4297" s="33" t="n">
        <v>919921000000</v>
      </c>
      <c r="G4297" s="32" t="s">
        <v>104</v>
      </c>
      <c r="H4297" s="32" t="s">
        <v>22</v>
      </c>
      <c r="I4297" s="32" t="s">
        <v>149</v>
      </c>
      <c r="J4297" s="32" t="s">
        <v>73</v>
      </c>
      <c r="K4297" s="32" t="s">
        <v>63</v>
      </c>
    </row>
    <row r="4298" customFormat="false" ht="13.5" hidden="false" customHeight="true" outlineLevel="0" collapsed="false">
      <c r="A4298" s="32" t="n">
        <v>6704</v>
      </c>
      <c r="B4298" s="32" t="s">
        <v>3400</v>
      </c>
      <c r="C4298" s="32" t="s">
        <v>3401</v>
      </c>
      <c r="D4298" s="32" t="s">
        <v>114</v>
      </c>
      <c r="E4298" s="32" t="s">
        <v>165</v>
      </c>
      <c r="F4298" s="33" t="n">
        <v>919921000000</v>
      </c>
      <c r="G4298" s="32" t="s">
        <v>104</v>
      </c>
      <c r="H4298" s="32" t="s">
        <v>22</v>
      </c>
      <c r="I4298" s="32" t="s">
        <v>150</v>
      </c>
      <c r="J4298" s="32" t="s">
        <v>73</v>
      </c>
      <c r="K4298" s="32" t="s">
        <v>63</v>
      </c>
    </row>
    <row r="4299" customFormat="false" ht="13.5" hidden="false" customHeight="true" outlineLevel="0" collapsed="false">
      <c r="A4299" s="32" t="n">
        <v>6705</v>
      </c>
      <c r="B4299" s="32" t="s">
        <v>3400</v>
      </c>
      <c r="C4299" s="32" t="s">
        <v>3402</v>
      </c>
      <c r="D4299" s="32" t="s">
        <v>114</v>
      </c>
      <c r="E4299" s="32" t="s">
        <v>165</v>
      </c>
      <c r="F4299" s="33" t="n">
        <v>919921000000</v>
      </c>
      <c r="G4299" s="32" t="s">
        <v>104</v>
      </c>
      <c r="H4299" s="32" t="s">
        <v>22</v>
      </c>
      <c r="I4299" s="32" t="s">
        <v>111</v>
      </c>
      <c r="J4299" s="32" t="s">
        <v>73</v>
      </c>
      <c r="K4299" s="32" t="s">
        <v>63</v>
      </c>
    </row>
    <row r="4300" customFormat="false" ht="13.5" hidden="false" customHeight="true" outlineLevel="0" collapsed="false">
      <c r="A4300" s="32" t="n">
        <v>6706</v>
      </c>
      <c r="B4300" s="32" t="s">
        <v>3400</v>
      </c>
      <c r="C4300" s="32" t="s">
        <v>3401</v>
      </c>
      <c r="D4300" s="32" t="s">
        <v>114</v>
      </c>
      <c r="E4300" s="32" t="s">
        <v>165</v>
      </c>
      <c r="F4300" s="33" t="n">
        <v>919921000000</v>
      </c>
      <c r="G4300" s="32" t="s">
        <v>104</v>
      </c>
      <c r="H4300" s="32" t="s">
        <v>22</v>
      </c>
      <c r="I4300" s="32" t="s">
        <v>108</v>
      </c>
      <c r="J4300" s="32" t="s">
        <v>71</v>
      </c>
      <c r="K4300" s="32" t="s">
        <v>63</v>
      </c>
    </row>
    <row r="4301" customFormat="false" ht="13.5" hidden="false" customHeight="true" outlineLevel="0" collapsed="false">
      <c r="A4301" s="32" t="n">
        <v>6707</v>
      </c>
      <c r="B4301" s="32" t="s">
        <v>3400</v>
      </c>
      <c r="C4301" s="32" t="s">
        <v>3402</v>
      </c>
      <c r="D4301" s="32" t="s">
        <v>114</v>
      </c>
      <c r="E4301" s="32" t="s">
        <v>165</v>
      </c>
      <c r="F4301" s="33" t="n">
        <v>919921000000</v>
      </c>
      <c r="G4301" s="32" t="s">
        <v>104</v>
      </c>
      <c r="H4301" s="32" t="s">
        <v>22</v>
      </c>
      <c r="I4301" s="32" t="s">
        <v>245</v>
      </c>
      <c r="J4301" s="32" t="s">
        <v>71</v>
      </c>
      <c r="K4301" s="32" t="s">
        <v>63</v>
      </c>
    </row>
    <row r="4302" customFormat="false" ht="13.5" hidden="false" customHeight="true" outlineLevel="0" collapsed="false">
      <c r="A4302" s="32" t="n">
        <v>6708</v>
      </c>
      <c r="B4302" s="32" t="s">
        <v>3403</v>
      </c>
      <c r="C4302" s="32" t="s">
        <v>3404</v>
      </c>
      <c r="D4302" s="32" t="s">
        <v>114</v>
      </c>
      <c r="E4302" s="32" t="s">
        <v>268</v>
      </c>
      <c r="F4302" s="32" t="n">
        <v>9791924329</v>
      </c>
      <c r="G4302" s="32" t="s">
        <v>205</v>
      </c>
      <c r="H4302" s="32" t="s">
        <v>22</v>
      </c>
      <c r="I4302" s="32" t="s">
        <v>421</v>
      </c>
      <c r="J4302" s="32" t="s">
        <v>235</v>
      </c>
      <c r="K4302" s="32" t="s">
        <v>63</v>
      </c>
    </row>
    <row r="4303" customFormat="false" ht="13.5" hidden="false" customHeight="true" outlineLevel="0" collapsed="false">
      <c r="A4303" s="32" t="n">
        <v>6709</v>
      </c>
      <c r="B4303" s="32" t="s">
        <v>3403</v>
      </c>
      <c r="C4303" s="32" t="s">
        <v>3404</v>
      </c>
      <c r="D4303" s="32" t="s">
        <v>114</v>
      </c>
      <c r="E4303" s="32" t="s">
        <v>268</v>
      </c>
      <c r="F4303" s="32" t="n">
        <v>9791924329</v>
      </c>
      <c r="G4303" s="32" t="s">
        <v>144</v>
      </c>
      <c r="H4303" s="32" t="s">
        <v>22</v>
      </c>
      <c r="I4303" s="32" t="s">
        <v>350</v>
      </c>
      <c r="J4303" s="32" t="s">
        <v>235</v>
      </c>
      <c r="K4303" s="32" t="s">
        <v>63</v>
      </c>
    </row>
    <row r="4304" customFormat="false" ht="13.5" hidden="false" customHeight="true" outlineLevel="0" collapsed="false">
      <c r="A4304" s="32" t="n">
        <v>6710</v>
      </c>
      <c r="B4304" s="32" t="s">
        <v>3403</v>
      </c>
      <c r="C4304" s="32" t="s">
        <v>3404</v>
      </c>
      <c r="D4304" s="32" t="s">
        <v>114</v>
      </c>
      <c r="E4304" s="32" t="s">
        <v>268</v>
      </c>
      <c r="F4304" s="32" t="n">
        <v>9791924329</v>
      </c>
      <c r="G4304" s="32" t="s">
        <v>61</v>
      </c>
      <c r="H4304" s="32" t="s">
        <v>22</v>
      </c>
      <c r="I4304" s="32" t="s">
        <v>1569</v>
      </c>
      <c r="J4304" s="32" t="s">
        <v>235</v>
      </c>
      <c r="K4304" s="32" t="s">
        <v>63</v>
      </c>
    </row>
    <row r="4305" customFormat="false" ht="13.5" hidden="false" customHeight="true" outlineLevel="0" collapsed="false">
      <c r="A4305" s="32" t="n">
        <v>6711</v>
      </c>
      <c r="B4305" s="32" t="s">
        <v>3405</v>
      </c>
      <c r="C4305" s="32" t="s">
        <v>3406</v>
      </c>
      <c r="D4305" s="32" t="s">
        <v>59</v>
      </c>
      <c r="E4305" s="32" t="s">
        <v>60</v>
      </c>
      <c r="F4305" s="32" t="n">
        <v>0</v>
      </c>
      <c r="G4305" s="32" t="s">
        <v>144</v>
      </c>
      <c r="H4305" s="32" t="s">
        <v>21</v>
      </c>
      <c r="I4305" s="32" t="s">
        <v>108</v>
      </c>
      <c r="J4305" s="32" t="s">
        <v>71</v>
      </c>
      <c r="K4305" s="32" t="s">
        <v>63</v>
      </c>
    </row>
    <row r="4306" customFormat="false" ht="13.5" hidden="false" customHeight="true" outlineLevel="0" collapsed="false">
      <c r="A4306" s="32" t="n">
        <v>6712</v>
      </c>
      <c r="B4306" s="32" t="s">
        <v>3405</v>
      </c>
      <c r="C4306" s="32" t="s">
        <v>3406</v>
      </c>
      <c r="D4306" s="32" t="s">
        <v>59</v>
      </c>
      <c r="E4306" s="32" t="s">
        <v>60</v>
      </c>
      <c r="F4306" s="32" t="n">
        <v>0</v>
      </c>
      <c r="G4306" s="32" t="s">
        <v>144</v>
      </c>
      <c r="H4306" s="32" t="s">
        <v>21</v>
      </c>
      <c r="I4306" s="32" t="s">
        <v>280</v>
      </c>
      <c r="J4306" s="32" t="s">
        <v>76</v>
      </c>
      <c r="K4306" s="32" t="s">
        <v>63</v>
      </c>
    </row>
    <row r="4307" customFormat="false" ht="13.5" hidden="false" customHeight="true" outlineLevel="0" collapsed="false">
      <c r="A4307" s="32" t="n">
        <v>6713</v>
      </c>
      <c r="B4307" s="32" t="s">
        <v>3407</v>
      </c>
      <c r="C4307" s="32" t="s">
        <v>3408</v>
      </c>
      <c r="D4307" s="32" t="s">
        <v>59</v>
      </c>
      <c r="E4307" s="32" t="s">
        <v>79</v>
      </c>
      <c r="F4307" s="33" t="n">
        <v>917004000000</v>
      </c>
      <c r="G4307" s="32" t="s">
        <v>140</v>
      </c>
      <c r="H4307" s="32" t="s">
        <v>21</v>
      </c>
      <c r="I4307" s="32" t="s">
        <v>27</v>
      </c>
      <c r="J4307" s="32" t="s">
        <v>13</v>
      </c>
      <c r="K4307" s="32" t="s">
        <v>63</v>
      </c>
    </row>
    <row r="4308" customFormat="false" ht="13.5" hidden="false" customHeight="true" outlineLevel="0" collapsed="false">
      <c r="A4308" s="32" t="n">
        <v>6714</v>
      </c>
      <c r="B4308" s="32" t="s">
        <v>3407</v>
      </c>
      <c r="C4308" s="32" t="s">
        <v>3408</v>
      </c>
      <c r="D4308" s="32" t="s">
        <v>59</v>
      </c>
      <c r="E4308" s="32" t="s">
        <v>79</v>
      </c>
      <c r="F4308" s="33" t="n">
        <v>917004000000</v>
      </c>
      <c r="G4308" s="32" t="s">
        <v>140</v>
      </c>
      <c r="H4308" s="32" t="s">
        <v>21</v>
      </c>
      <c r="I4308" s="32" t="s">
        <v>151</v>
      </c>
      <c r="J4308" s="32" t="s">
        <v>152</v>
      </c>
      <c r="K4308" s="32" t="s">
        <v>63</v>
      </c>
    </row>
    <row r="4309" customFormat="false" ht="13.5" hidden="false" customHeight="true" outlineLevel="0" collapsed="false">
      <c r="A4309" s="32" t="n">
        <v>6715</v>
      </c>
      <c r="B4309" s="32" t="s">
        <v>3407</v>
      </c>
      <c r="C4309" s="32" t="s">
        <v>3408</v>
      </c>
      <c r="D4309" s="32" t="s">
        <v>59</v>
      </c>
      <c r="E4309" s="32" t="s">
        <v>79</v>
      </c>
      <c r="F4309" s="33" t="n">
        <v>917004000000</v>
      </c>
      <c r="G4309" s="32" t="s">
        <v>140</v>
      </c>
      <c r="H4309" s="32" t="s">
        <v>21</v>
      </c>
      <c r="I4309" s="32" t="s">
        <v>251</v>
      </c>
      <c r="J4309" s="32" t="s">
        <v>152</v>
      </c>
      <c r="K4309" s="32" t="s">
        <v>63</v>
      </c>
    </row>
    <row r="4310" customFormat="false" ht="13.5" hidden="false" customHeight="true" outlineLevel="0" collapsed="false">
      <c r="A4310" s="32" t="n">
        <v>6716</v>
      </c>
      <c r="B4310" s="32" t="s">
        <v>3409</v>
      </c>
      <c r="C4310" s="32" t="s">
        <v>3410</v>
      </c>
      <c r="D4310" s="32" t="s">
        <v>59</v>
      </c>
      <c r="E4310" s="32" t="s">
        <v>107</v>
      </c>
      <c r="F4310" s="32" t="n">
        <v>8880438460</v>
      </c>
      <c r="G4310" s="32" t="s">
        <v>140</v>
      </c>
      <c r="H4310" s="32" t="s">
        <v>21</v>
      </c>
      <c r="I4310" s="32" t="s">
        <v>145</v>
      </c>
      <c r="J4310" s="32" t="s">
        <v>117</v>
      </c>
      <c r="K4310" s="32" t="s">
        <v>63</v>
      </c>
    </row>
    <row r="4311" customFormat="false" ht="13.5" hidden="false" customHeight="true" outlineLevel="0" collapsed="false">
      <c r="A4311" s="32" t="n">
        <v>6717</v>
      </c>
      <c r="B4311" s="32" t="s">
        <v>3411</v>
      </c>
      <c r="C4311" s="32" t="s">
        <v>3412</v>
      </c>
      <c r="D4311" s="32" t="s">
        <v>114</v>
      </c>
      <c r="E4311" s="32" t="s">
        <v>115</v>
      </c>
      <c r="F4311" s="33" t="n">
        <v>919901000000</v>
      </c>
      <c r="G4311" s="32" t="s">
        <v>61</v>
      </c>
      <c r="H4311" s="32" t="s">
        <v>22</v>
      </c>
      <c r="I4311" s="32" t="s">
        <v>145</v>
      </c>
      <c r="J4311" s="32" t="s">
        <v>117</v>
      </c>
      <c r="K4311" s="32" t="s">
        <v>63</v>
      </c>
    </row>
    <row r="4312" customFormat="false" ht="13.5" hidden="false" customHeight="true" outlineLevel="0" collapsed="false">
      <c r="A4312" s="32" t="n">
        <v>6718</v>
      </c>
      <c r="B4312" s="32" t="s">
        <v>3413</v>
      </c>
      <c r="C4312" s="32" t="s">
        <v>3414</v>
      </c>
      <c r="D4312" s="32" t="s">
        <v>114</v>
      </c>
      <c r="E4312" s="32" t="s">
        <v>124</v>
      </c>
      <c r="F4312" s="33" t="n">
        <v>919849000000</v>
      </c>
      <c r="G4312" s="32" t="s">
        <v>80</v>
      </c>
      <c r="H4312" s="32" t="s">
        <v>22</v>
      </c>
      <c r="I4312" s="32" t="s">
        <v>392</v>
      </c>
      <c r="J4312" s="32" t="s">
        <v>99</v>
      </c>
      <c r="K4312" s="32" t="s">
        <v>63</v>
      </c>
    </row>
    <row r="4313" customFormat="false" ht="13.5" hidden="false" customHeight="true" outlineLevel="0" collapsed="false">
      <c r="A4313" s="32" t="n">
        <v>6719</v>
      </c>
      <c r="B4313" s="32" t="s">
        <v>3413</v>
      </c>
      <c r="C4313" s="32" t="s">
        <v>3415</v>
      </c>
      <c r="D4313" s="32" t="s">
        <v>114</v>
      </c>
      <c r="E4313" s="32" t="s">
        <v>124</v>
      </c>
      <c r="F4313" s="32" t="n">
        <v>9849228804</v>
      </c>
      <c r="G4313" s="32" t="s">
        <v>80</v>
      </c>
      <c r="H4313" s="32" t="s">
        <v>22</v>
      </c>
      <c r="I4313" s="32" t="s">
        <v>151</v>
      </c>
      <c r="J4313" s="32" t="s">
        <v>152</v>
      </c>
      <c r="K4313" s="32" t="s">
        <v>63</v>
      </c>
    </row>
    <row r="4314" customFormat="false" ht="13.5" hidden="false" customHeight="true" outlineLevel="0" collapsed="false">
      <c r="A4314" s="32" t="n">
        <v>6720</v>
      </c>
      <c r="B4314" s="32" t="s">
        <v>3413</v>
      </c>
      <c r="C4314" s="32" t="s">
        <v>3416</v>
      </c>
      <c r="D4314" s="32" t="s">
        <v>114</v>
      </c>
      <c r="E4314" s="32" t="s">
        <v>124</v>
      </c>
      <c r="F4314" s="33" t="n">
        <v>919849000000</v>
      </c>
      <c r="G4314" s="32" t="s">
        <v>80</v>
      </c>
      <c r="H4314" s="32" t="s">
        <v>22</v>
      </c>
      <c r="I4314" s="32" t="s">
        <v>151</v>
      </c>
      <c r="J4314" s="32" t="s">
        <v>152</v>
      </c>
      <c r="K4314" s="32" t="s">
        <v>63</v>
      </c>
    </row>
    <row r="4315" customFormat="false" ht="13.5" hidden="false" customHeight="true" outlineLevel="0" collapsed="false">
      <c r="A4315" s="32" t="n">
        <v>6721</v>
      </c>
      <c r="B4315" s="32" t="s">
        <v>3413</v>
      </c>
      <c r="C4315" s="32" t="s">
        <v>3416</v>
      </c>
      <c r="D4315" s="32" t="s">
        <v>114</v>
      </c>
      <c r="E4315" s="32" t="s">
        <v>124</v>
      </c>
      <c r="F4315" s="33" t="n">
        <v>919849000000</v>
      </c>
      <c r="G4315" s="32" t="s">
        <v>80</v>
      </c>
      <c r="H4315" s="32" t="s">
        <v>22</v>
      </c>
      <c r="I4315" s="32" t="s">
        <v>491</v>
      </c>
      <c r="J4315" s="32" t="s">
        <v>152</v>
      </c>
      <c r="K4315" s="32" t="s">
        <v>63</v>
      </c>
    </row>
    <row r="4316" customFormat="false" ht="13.5" hidden="false" customHeight="true" outlineLevel="0" collapsed="false">
      <c r="A4316" s="32" t="n">
        <v>6722</v>
      </c>
      <c r="B4316" s="32" t="s">
        <v>3413</v>
      </c>
      <c r="C4316" s="32" t="s">
        <v>3416</v>
      </c>
      <c r="D4316" s="32" t="s">
        <v>114</v>
      </c>
      <c r="E4316" s="32" t="s">
        <v>124</v>
      </c>
      <c r="F4316" s="32" t="n">
        <v>9849228804</v>
      </c>
      <c r="G4316" s="32" t="s">
        <v>80</v>
      </c>
      <c r="H4316" s="32" t="s">
        <v>22</v>
      </c>
      <c r="I4316" s="32" t="s">
        <v>172</v>
      </c>
      <c r="J4316" s="32" t="s">
        <v>152</v>
      </c>
      <c r="K4316" s="32" t="s">
        <v>63</v>
      </c>
    </row>
    <row r="4317" customFormat="false" ht="13.5" hidden="false" customHeight="true" outlineLevel="0" collapsed="false">
      <c r="A4317" s="32" t="n">
        <v>6723</v>
      </c>
      <c r="B4317" s="32" t="s">
        <v>3417</v>
      </c>
      <c r="C4317" s="32" t="s">
        <v>3418</v>
      </c>
      <c r="D4317" s="32" t="s">
        <v>59</v>
      </c>
      <c r="E4317" s="32" t="s">
        <v>92</v>
      </c>
      <c r="F4317" s="32" t="n">
        <v>9164567377</v>
      </c>
      <c r="G4317" s="32" t="s">
        <v>61</v>
      </c>
      <c r="H4317" s="32" t="s">
        <v>21</v>
      </c>
      <c r="I4317" s="32" t="s">
        <v>227</v>
      </c>
      <c r="J4317" s="32" t="s">
        <v>228</v>
      </c>
      <c r="K4317" s="32" t="s">
        <v>63</v>
      </c>
    </row>
    <row r="4318" customFormat="false" ht="13.5" hidden="false" customHeight="true" outlineLevel="0" collapsed="false">
      <c r="A4318" s="32" t="n">
        <v>6724</v>
      </c>
      <c r="B4318" s="32" t="s">
        <v>3417</v>
      </c>
      <c r="C4318" s="32" t="s">
        <v>3419</v>
      </c>
      <c r="D4318" s="32" t="s">
        <v>59</v>
      </c>
      <c r="E4318" s="32" t="s">
        <v>92</v>
      </c>
      <c r="F4318" s="32" t="n">
        <v>9164567377</v>
      </c>
      <c r="G4318" s="32" t="s">
        <v>61</v>
      </c>
      <c r="H4318" s="32" t="s">
        <v>21</v>
      </c>
      <c r="I4318" s="32" t="s">
        <v>108</v>
      </c>
      <c r="J4318" s="32" t="s">
        <v>71</v>
      </c>
      <c r="K4318" s="32" t="s">
        <v>63</v>
      </c>
    </row>
    <row r="4319" customFormat="false" ht="13.5" hidden="false" customHeight="true" outlineLevel="0" collapsed="false">
      <c r="A4319" s="32" t="n">
        <v>6725</v>
      </c>
      <c r="B4319" s="32" t="s">
        <v>3420</v>
      </c>
      <c r="C4319" s="32" t="s">
        <v>3421</v>
      </c>
      <c r="D4319" s="32" t="s">
        <v>59</v>
      </c>
      <c r="E4319" s="32" t="n">
        <v>0</v>
      </c>
      <c r="F4319" s="32" t="n">
        <v>0</v>
      </c>
      <c r="G4319" s="32" t="s">
        <v>144</v>
      </c>
      <c r="H4319" s="32" t="s">
        <v>21</v>
      </c>
      <c r="I4319" s="32" t="s">
        <v>333</v>
      </c>
      <c r="J4319" s="32" t="s">
        <v>235</v>
      </c>
      <c r="K4319" s="32" t="s">
        <v>63</v>
      </c>
    </row>
    <row r="4320" customFormat="false" ht="13.5" hidden="false" customHeight="true" outlineLevel="0" collapsed="false">
      <c r="A4320" s="32" t="n">
        <v>6726</v>
      </c>
      <c r="B4320" s="32" t="s">
        <v>3422</v>
      </c>
      <c r="C4320" s="32" t="s">
        <v>3423</v>
      </c>
      <c r="D4320" s="32" t="s">
        <v>59</v>
      </c>
      <c r="E4320" s="32" t="s">
        <v>60</v>
      </c>
      <c r="F4320" s="32" t="n">
        <v>8962252508</v>
      </c>
      <c r="G4320" s="32" t="s">
        <v>144</v>
      </c>
      <c r="H4320" s="32" t="s">
        <v>21</v>
      </c>
      <c r="I4320" s="32" t="s">
        <v>678</v>
      </c>
      <c r="J4320" s="32" t="s">
        <v>152</v>
      </c>
      <c r="K4320" s="32" t="s">
        <v>63</v>
      </c>
    </row>
    <row r="4321" customFormat="false" ht="13.5" hidden="false" customHeight="true" outlineLevel="0" collapsed="false">
      <c r="A4321" s="32" t="n">
        <v>6727</v>
      </c>
      <c r="B4321" s="32" t="s">
        <v>3422</v>
      </c>
      <c r="C4321" s="32" t="s">
        <v>3423</v>
      </c>
      <c r="D4321" s="32" t="s">
        <v>59</v>
      </c>
      <c r="E4321" s="32" t="s">
        <v>60</v>
      </c>
      <c r="F4321" s="32" t="n">
        <v>8962252508</v>
      </c>
      <c r="G4321" s="32" t="s">
        <v>144</v>
      </c>
      <c r="H4321" s="32" t="s">
        <v>21</v>
      </c>
      <c r="I4321" s="32" t="s">
        <v>151</v>
      </c>
      <c r="J4321" s="32" t="s">
        <v>152</v>
      </c>
      <c r="K4321" s="32" t="s">
        <v>63</v>
      </c>
    </row>
    <row r="4322" customFormat="false" ht="13.5" hidden="false" customHeight="true" outlineLevel="0" collapsed="false">
      <c r="A4322" s="32" t="n">
        <v>6728</v>
      </c>
      <c r="B4322" s="32" t="s">
        <v>3422</v>
      </c>
      <c r="C4322" s="32" t="s">
        <v>3424</v>
      </c>
      <c r="D4322" s="32" t="s">
        <v>59</v>
      </c>
      <c r="E4322" s="32" t="s">
        <v>60</v>
      </c>
      <c r="F4322" s="32" t="n">
        <v>8962252508</v>
      </c>
      <c r="G4322" s="32" t="s">
        <v>144</v>
      </c>
      <c r="H4322" s="32" t="s">
        <v>21</v>
      </c>
      <c r="I4322" s="32" t="s">
        <v>156</v>
      </c>
      <c r="J4322" s="32" t="s">
        <v>62</v>
      </c>
      <c r="K4322" s="32" t="s">
        <v>63</v>
      </c>
    </row>
    <row r="4323" customFormat="false" ht="13.5" hidden="false" customHeight="true" outlineLevel="0" collapsed="false">
      <c r="A4323" s="32" t="n">
        <v>6729</v>
      </c>
      <c r="B4323" s="32" t="s">
        <v>3422</v>
      </c>
      <c r="C4323" s="32" t="s">
        <v>3424</v>
      </c>
      <c r="D4323" s="32" t="s">
        <v>59</v>
      </c>
      <c r="E4323" s="32" t="s">
        <v>60</v>
      </c>
      <c r="F4323" s="32" t="n">
        <v>8962252508</v>
      </c>
      <c r="G4323" s="32" t="s">
        <v>144</v>
      </c>
      <c r="H4323" s="32" t="s">
        <v>21</v>
      </c>
      <c r="I4323" s="32" t="s">
        <v>29</v>
      </c>
      <c r="J4323" s="32" t="s">
        <v>62</v>
      </c>
      <c r="K4323" s="32" t="s">
        <v>63</v>
      </c>
    </row>
    <row r="4324" customFormat="false" ht="13.5" hidden="false" customHeight="true" outlineLevel="0" collapsed="false">
      <c r="A4324" s="32" t="n">
        <v>6730</v>
      </c>
      <c r="B4324" s="32" t="s">
        <v>3422</v>
      </c>
      <c r="C4324" s="32" t="s">
        <v>3424</v>
      </c>
      <c r="D4324" s="32" t="s">
        <v>59</v>
      </c>
      <c r="E4324" s="32" t="s">
        <v>60</v>
      </c>
      <c r="F4324" s="32" t="n">
        <v>8962252508</v>
      </c>
      <c r="G4324" s="32" t="s">
        <v>144</v>
      </c>
      <c r="H4324" s="32" t="s">
        <v>21</v>
      </c>
      <c r="I4324" s="32" t="s">
        <v>14</v>
      </c>
      <c r="J4324" s="32" t="s">
        <v>66</v>
      </c>
      <c r="K4324" s="32" t="s">
        <v>63</v>
      </c>
    </row>
    <row r="4325" customFormat="false" ht="13.5" hidden="false" customHeight="true" outlineLevel="0" collapsed="false">
      <c r="A4325" s="32" t="n">
        <v>6731</v>
      </c>
      <c r="B4325" s="32" t="s">
        <v>3425</v>
      </c>
      <c r="C4325" s="32" t="s">
        <v>3426</v>
      </c>
      <c r="D4325" s="32" t="s">
        <v>114</v>
      </c>
      <c r="E4325" s="32" t="s">
        <v>165</v>
      </c>
      <c r="F4325" s="32" t="n">
        <v>9650333355</v>
      </c>
      <c r="G4325" s="32" t="s">
        <v>144</v>
      </c>
      <c r="H4325" s="32" t="s">
        <v>22</v>
      </c>
      <c r="I4325" s="32" t="s">
        <v>215</v>
      </c>
      <c r="J4325" s="32" t="s">
        <v>132</v>
      </c>
      <c r="K4325" s="32" t="s">
        <v>63</v>
      </c>
    </row>
    <row r="4326" customFormat="false" ht="13.5" hidden="false" customHeight="true" outlineLevel="0" collapsed="false">
      <c r="A4326" s="32" t="n">
        <v>6732</v>
      </c>
      <c r="B4326" s="32" t="s">
        <v>3425</v>
      </c>
      <c r="C4326" s="32" t="s">
        <v>3426</v>
      </c>
      <c r="D4326" s="32" t="s">
        <v>114</v>
      </c>
      <c r="E4326" s="32" t="s">
        <v>165</v>
      </c>
      <c r="F4326" s="32" t="n">
        <v>9650333355</v>
      </c>
      <c r="G4326" s="32" t="s">
        <v>144</v>
      </c>
      <c r="H4326" s="32" t="s">
        <v>22</v>
      </c>
      <c r="I4326" s="32" t="s">
        <v>386</v>
      </c>
      <c r="J4326" s="32" t="s">
        <v>132</v>
      </c>
      <c r="K4326" s="32" t="s">
        <v>63</v>
      </c>
    </row>
    <row r="4327" customFormat="false" ht="13.5" hidden="false" customHeight="true" outlineLevel="0" collapsed="false">
      <c r="A4327" s="32" t="n">
        <v>6733</v>
      </c>
      <c r="B4327" s="32" t="s">
        <v>3425</v>
      </c>
      <c r="C4327" s="32" t="s">
        <v>3426</v>
      </c>
      <c r="D4327" s="32" t="s">
        <v>114</v>
      </c>
      <c r="E4327" s="32" t="s">
        <v>165</v>
      </c>
      <c r="F4327" s="32" t="n">
        <v>9650333355</v>
      </c>
      <c r="G4327" s="32" t="s">
        <v>144</v>
      </c>
      <c r="H4327" s="32" t="s">
        <v>22</v>
      </c>
      <c r="I4327" s="32" t="s">
        <v>151</v>
      </c>
      <c r="J4327" s="32" t="s">
        <v>152</v>
      </c>
      <c r="K4327" s="32" t="s">
        <v>63</v>
      </c>
    </row>
    <row r="4328" customFormat="false" ht="13.5" hidden="false" customHeight="true" outlineLevel="0" collapsed="false">
      <c r="A4328" s="32" t="n">
        <v>6734</v>
      </c>
      <c r="B4328" s="32" t="s">
        <v>3427</v>
      </c>
      <c r="C4328" s="32" t="s">
        <v>3428</v>
      </c>
      <c r="D4328" s="32" t="s">
        <v>114</v>
      </c>
      <c r="E4328" s="32" t="s">
        <v>169</v>
      </c>
      <c r="F4328" s="32" t="n">
        <v>9901140022</v>
      </c>
      <c r="G4328" s="32" t="s">
        <v>61</v>
      </c>
      <c r="H4328" s="32" t="s">
        <v>22</v>
      </c>
      <c r="I4328" s="32" t="s">
        <v>265</v>
      </c>
      <c r="J4328" s="32" t="s">
        <v>152</v>
      </c>
      <c r="K4328" s="32" t="s">
        <v>63</v>
      </c>
    </row>
    <row r="4329" customFormat="false" ht="13.5" hidden="false" customHeight="true" outlineLevel="0" collapsed="false">
      <c r="A4329" s="32" t="n">
        <v>6735</v>
      </c>
      <c r="B4329" s="32" t="s">
        <v>3429</v>
      </c>
      <c r="C4329" s="32" t="s">
        <v>3430</v>
      </c>
      <c r="D4329" s="32" t="s">
        <v>114</v>
      </c>
      <c r="E4329" s="32" t="s">
        <v>115</v>
      </c>
      <c r="F4329" s="33" t="n">
        <v>919986000000</v>
      </c>
      <c r="G4329" s="32" t="s">
        <v>61</v>
      </c>
      <c r="H4329" s="32" t="s">
        <v>22</v>
      </c>
      <c r="I4329" s="32" t="s">
        <v>93</v>
      </c>
      <c r="J4329" s="32" t="s">
        <v>85</v>
      </c>
      <c r="K4329" s="32" t="s">
        <v>63</v>
      </c>
    </row>
    <row r="4330" customFormat="false" ht="13.5" hidden="false" customHeight="true" outlineLevel="0" collapsed="false">
      <c r="A4330" s="32" t="n">
        <v>6736</v>
      </c>
      <c r="B4330" s="32" t="s">
        <v>3429</v>
      </c>
      <c r="C4330" s="32" t="s">
        <v>3430</v>
      </c>
      <c r="D4330" s="32" t="s">
        <v>114</v>
      </c>
      <c r="E4330" s="32" t="s">
        <v>115</v>
      </c>
      <c r="F4330" s="33" t="n">
        <v>919986000000</v>
      </c>
      <c r="G4330" s="32" t="s">
        <v>61</v>
      </c>
      <c r="H4330" s="32" t="s">
        <v>22</v>
      </c>
      <c r="I4330" s="32" t="s">
        <v>111</v>
      </c>
      <c r="J4330" s="32" t="s">
        <v>73</v>
      </c>
      <c r="K4330" s="32" t="s">
        <v>63</v>
      </c>
    </row>
    <row r="4331" customFormat="false" ht="13.5" hidden="false" customHeight="true" outlineLevel="0" collapsed="false">
      <c r="A4331" s="32" t="n">
        <v>6737</v>
      </c>
      <c r="B4331" s="32" t="s">
        <v>3429</v>
      </c>
      <c r="C4331" s="32" t="s">
        <v>3430</v>
      </c>
      <c r="D4331" s="32" t="s">
        <v>114</v>
      </c>
      <c r="E4331" s="32" t="s">
        <v>115</v>
      </c>
      <c r="F4331" s="33" t="n">
        <v>919986000000</v>
      </c>
      <c r="G4331" s="32" t="s">
        <v>61</v>
      </c>
      <c r="H4331" s="32" t="s">
        <v>22</v>
      </c>
      <c r="I4331" s="32" t="s">
        <v>126</v>
      </c>
      <c r="J4331" s="32" t="s">
        <v>85</v>
      </c>
      <c r="K4331" s="32" t="s">
        <v>63</v>
      </c>
    </row>
    <row r="4332" customFormat="false" ht="13.5" hidden="false" customHeight="true" outlineLevel="0" collapsed="false">
      <c r="A4332" s="32" t="n">
        <v>6738</v>
      </c>
      <c r="B4332" s="32" t="s">
        <v>3431</v>
      </c>
      <c r="C4332" s="32" t="s">
        <v>3432</v>
      </c>
      <c r="D4332" s="32" t="s">
        <v>114</v>
      </c>
      <c r="E4332" s="32" t="s">
        <v>115</v>
      </c>
      <c r="F4332" s="32" t="n">
        <v>8308738765</v>
      </c>
      <c r="G4332" s="32" t="s">
        <v>181</v>
      </c>
      <c r="H4332" s="32" t="s">
        <v>22</v>
      </c>
      <c r="I4332" s="32" t="s">
        <v>145</v>
      </c>
      <c r="J4332" s="32" t="s">
        <v>117</v>
      </c>
      <c r="K4332" s="32" t="s">
        <v>63</v>
      </c>
    </row>
    <row r="4333" customFormat="false" ht="13.5" hidden="false" customHeight="true" outlineLevel="0" collapsed="false">
      <c r="A4333" s="32" t="n">
        <v>6739</v>
      </c>
      <c r="B4333" s="32" t="s">
        <v>3431</v>
      </c>
      <c r="C4333" s="32" t="s">
        <v>3433</v>
      </c>
      <c r="D4333" s="32" t="s">
        <v>114</v>
      </c>
      <c r="E4333" s="32" t="s">
        <v>115</v>
      </c>
      <c r="F4333" s="32" t="n">
        <v>8308738765</v>
      </c>
      <c r="G4333" s="32" t="s">
        <v>3434</v>
      </c>
      <c r="H4333" s="32" t="s">
        <v>22</v>
      </c>
      <c r="I4333" s="32" t="s">
        <v>1343</v>
      </c>
      <c r="J4333" s="32" t="s">
        <v>117</v>
      </c>
      <c r="K4333" s="32" t="s">
        <v>63</v>
      </c>
    </row>
    <row r="4334" customFormat="false" ht="13.5" hidden="false" customHeight="true" outlineLevel="0" collapsed="false">
      <c r="A4334" s="32" t="n">
        <v>6740</v>
      </c>
      <c r="B4334" s="32" t="s">
        <v>3431</v>
      </c>
      <c r="C4334" s="32" t="s">
        <v>3433</v>
      </c>
      <c r="D4334" s="32" t="s">
        <v>114</v>
      </c>
      <c r="E4334" s="32" t="s">
        <v>115</v>
      </c>
      <c r="F4334" s="32" t="n">
        <v>8308738765</v>
      </c>
      <c r="G4334" s="32" t="s">
        <v>3434</v>
      </c>
      <c r="H4334" s="32" t="s">
        <v>22</v>
      </c>
      <c r="I4334" s="32" t="s">
        <v>98</v>
      </c>
      <c r="J4334" s="32" t="s">
        <v>99</v>
      </c>
      <c r="K4334" s="32" t="s">
        <v>63</v>
      </c>
    </row>
    <row r="4335" customFormat="false" ht="13.5" hidden="false" customHeight="true" outlineLevel="0" collapsed="false">
      <c r="A4335" s="32" t="n">
        <v>6741</v>
      </c>
      <c r="B4335" s="32" t="s">
        <v>3431</v>
      </c>
      <c r="C4335" s="32" t="s">
        <v>3433</v>
      </c>
      <c r="D4335" s="32" t="s">
        <v>114</v>
      </c>
      <c r="E4335" s="32" t="s">
        <v>115</v>
      </c>
      <c r="F4335" s="32" t="n">
        <v>8308738765</v>
      </c>
      <c r="G4335" s="32" t="s">
        <v>3434</v>
      </c>
      <c r="H4335" s="32" t="s">
        <v>22</v>
      </c>
      <c r="I4335" s="32" t="s">
        <v>3435</v>
      </c>
      <c r="J4335" s="32" t="s">
        <v>326</v>
      </c>
      <c r="K4335" s="32" t="s">
        <v>63</v>
      </c>
    </row>
    <row r="4336" customFormat="false" ht="13.5" hidden="false" customHeight="true" outlineLevel="0" collapsed="false">
      <c r="A4336" s="32" t="n">
        <v>6742</v>
      </c>
      <c r="B4336" s="32" t="s">
        <v>3436</v>
      </c>
      <c r="C4336" s="32" t="s">
        <v>3437</v>
      </c>
      <c r="D4336" s="32" t="s">
        <v>59</v>
      </c>
      <c r="E4336" s="32" t="s">
        <v>92</v>
      </c>
      <c r="F4336" s="32" t="n">
        <v>9962298550</v>
      </c>
      <c r="G4336" s="32" t="s">
        <v>140</v>
      </c>
      <c r="H4336" s="32" t="s">
        <v>21</v>
      </c>
      <c r="I4336" s="32" t="s">
        <v>284</v>
      </c>
      <c r="J4336" s="32" t="s">
        <v>117</v>
      </c>
      <c r="K4336" s="32" t="s">
        <v>63</v>
      </c>
    </row>
    <row r="4337" customFormat="false" ht="13.5" hidden="false" customHeight="true" outlineLevel="0" collapsed="false">
      <c r="A4337" s="32" t="n">
        <v>6743</v>
      </c>
      <c r="B4337" s="32" t="s">
        <v>3436</v>
      </c>
      <c r="C4337" s="32" t="s">
        <v>3437</v>
      </c>
      <c r="D4337" s="32" t="s">
        <v>59</v>
      </c>
      <c r="E4337" s="32" t="s">
        <v>92</v>
      </c>
      <c r="F4337" s="32" t="n">
        <v>9962298550</v>
      </c>
      <c r="G4337" s="32" t="s">
        <v>140</v>
      </c>
      <c r="H4337" s="32" t="s">
        <v>21</v>
      </c>
      <c r="I4337" s="32" t="s">
        <v>151</v>
      </c>
      <c r="J4337" s="32" t="s">
        <v>152</v>
      </c>
      <c r="K4337" s="32" t="s">
        <v>63</v>
      </c>
    </row>
    <row r="4338" customFormat="false" ht="13.5" hidden="false" customHeight="true" outlineLevel="0" collapsed="false">
      <c r="A4338" s="32" t="n">
        <v>6744</v>
      </c>
      <c r="B4338" s="32" t="s">
        <v>3436</v>
      </c>
      <c r="C4338" s="32" t="s">
        <v>3437</v>
      </c>
      <c r="D4338" s="32" t="s">
        <v>59</v>
      </c>
      <c r="E4338" s="32" t="s">
        <v>92</v>
      </c>
      <c r="F4338" s="32" t="n">
        <v>9962298550</v>
      </c>
      <c r="G4338" s="32" t="s">
        <v>140</v>
      </c>
      <c r="H4338" s="32" t="s">
        <v>21</v>
      </c>
      <c r="I4338" s="32" t="s">
        <v>371</v>
      </c>
      <c r="J4338" s="32" t="s">
        <v>152</v>
      </c>
      <c r="K4338" s="32" t="s">
        <v>63</v>
      </c>
    </row>
    <row r="4339" customFormat="false" ht="13.5" hidden="false" customHeight="true" outlineLevel="0" collapsed="false">
      <c r="A4339" s="32" t="n">
        <v>6745</v>
      </c>
      <c r="B4339" s="32" t="s">
        <v>3436</v>
      </c>
      <c r="C4339" s="32" t="s">
        <v>3437</v>
      </c>
      <c r="D4339" s="32" t="s">
        <v>59</v>
      </c>
      <c r="E4339" s="32" t="s">
        <v>92</v>
      </c>
      <c r="F4339" s="32" t="n">
        <v>9962298550</v>
      </c>
      <c r="G4339" s="32" t="s">
        <v>140</v>
      </c>
      <c r="H4339" s="32" t="s">
        <v>21</v>
      </c>
      <c r="I4339" s="32" t="s">
        <v>27</v>
      </c>
      <c r="J4339" s="32" t="s">
        <v>13</v>
      </c>
      <c r="K4339" s="32" t="s">
        <v>63</v>
      </c>
    </row>
    <row r="4340" customFormat="false" ht="13.5" hidden="false" customHeight="true" outlineLevel="0" collapsed="false">
      <c r="A4340" s="32" t="n">
        <v>6746</v>
      </c>
      <c r="B4340" s="32" t="s">
        <v>3436</v>
      </c>
      <c r="C4340" s="32" t="s">
        <v>3437</v>
      </c>
      <c r="D4340" s="32" t="s">
        <v>59</v>
      </c>
      <c r="E4340" s="32" t="s">
        <v>92</v>
      </c>
      <c r="F4340" s="32" t="n">
        <v>9962298550</v>
      </c>
      <c r="G4340" s="32" t="s">
        <v>140</v>
      </c>
      <c r="H4340" s="32" t="s">
        <v>21</v>
      </c>
      <c r="I4340" s="32" t="s">
        <v>629</v>
      </c>
      <c r="J4340" s="32" t="s">
        <v>203</v>
      </c>
      <c r="K4340" s="32" t="s">
        <v>63</v>
      </c>
    </row>
    <row r="4341" customFormat="false" ht="13.5" hidden="false" customHeight="true" outlineLevel="0" collapsed="false">
      <c r="A4341" s="32" t="n">
        <v>6747</v>
      </c>
      <c r="B4341" s="32" t="s">
        <v>3436</v>
      </c>
      <c r="C4341" s="32" t="s">
        <v>3437</v>
      </c>
      <c r="D4341" s="32" t="s">
        <v>59</v>
      </c>
      <c r="E4341" s="32" t="s">
        <v>92</v>
      </c>
      <c r="F4341" s="32" t="n">
        <v>9962298550</v>
      </c>
      <c r="G4341" s="32" t="s">
        <v>140</v>
      </c>
      <c r="H4341" s="32" t="s">
        <v>21</v>
      </c>
      <c r="I4341" s="32" t="s">
        <v>151</v>
      </c>
      <c r="J4341" s="32" t="s">
        <v>152</v>
      </c>
      <c r="K4341" s="32" t="s">
        <v>63</v>
      </c>
    </row>
    <row r="4342" customFormat="false" ht="13.5" hidden="false" customHeight="true" outlineLevel="0" collapsed="false">
      <c r="A4342" s="32" t="n">
        <v>6748</v>
      </c>
      <c r="B4342" s="32" t="s">
        <v>3438</v>
      </c>
      <c r="C4342" s="32" t="s">
        <v>3439</v>
      </c>
      <c r="D4342" s="32" t="s">
        <v>114</v>
      </c>
      <c r="E4342" s="32" t="s">
        <v>115</v>
      </c>
      <c r="F4342" s="32" t="n">
        <v>9440476525</v>
      </c>
      <c r="G4342" s="32" t="s">
        <v>80</v>
      </c>
      <c r="H4342" s="32" t="s">
        <v>22</v>
      </c>
      <c r="I4342" s="32" t="s">
        <v>98</v>
      </c>
      <c r="J4342" s="32" t="s">
        <v>99</v>
      </c>
      <c r="K4342" s="32" t="s">
        <v>63</v>
      </c>
    </row>
    <row r="4343" customFormat="false" ht="13.5" hidden="false" customHeight="true" outlineLevel="0" collapsed="false">
      <c r="A4343" s="32" t="n">
        <v>6749</v>
      </c>
      <c r="B4343" s="32" t="s">
        <v>3438</v>
      </c>
      <c r="C4343" s="32" t="s">
        <v>3439</v>
      </c>
      <c r="D4343" s="32" t="s">
        <v>114</v>
      </c>
      <c r="E4343" s="32" t="s">
        <v>115</v>
      </c>
      <c r="F4343" s="32" t="n">
        <v>9440476525</v>
      </c>
      <c r="G4343" s="32" t="s">
        <v>80</v>
      </c>
      <c r="H4343" s="32" t="s">
        <v>22</v>
      </c>
      <c r="I4343" s="32" t="s">
        <v>3440</v>
      </c>
      <c r="J4343" s="32" t="s">
        <v>99</v>
      </c>
      <c r="K4343" s="32" t="s">
        <v>63</v>
      </c>
    </row>
    <row r="4344" customFormat="false" ht="13.5" hidden="false" customHeight="true" outlineLevel="0" collapsed="false">
      <c r="A4344" s="32" t="n">
        <v>6750</v>
      </c>
      <c r="B4344" s="32" t="s">
        <v>3438</v>
      </c>
      <c r="C4344" s="32" t="s">
        <v>3439</v>
      </c>
      <c r="D4344" s="32" t="s">
        <v>114</v>
      </c>
      <c r="E4344" s="32" t="s">
        <v>115</v>
      </c>
      <c r="F4344" s="32" t="n">
        <v>9440476525</v>
      </c>
      <c r="G4344" s="32" t="s">
        <v>80</v>
      </c>
      <c r="H4344" s="32" t="s">
        <v>22</v>
      </c>
      <c r="I4344" s="32" t="s">
        <v>783</v>
      </c>
      <c r="J4344" s="32" t="s">
        <v>99</v>
      </c>
      <c r="K4344" s="32" t="s">
        <v>63</v>
      </c>
    </row>
    <row r="4345" customFormat="false" ht="13.5" hidden="false" customHeight="true" outlineLevel="0" collapsed="false">
      <c r="A4345" s="32" t="n">
        <v>6751</v>
      </c>
      <c r="B4345" s="32" t="s">
        <v>3441</v>
      </c>
      <c r="C4345" s="32" t="s">
        <v>3442</v>
      </c>
      <c r="D4345" s="32" t="s">
        <v>59</v>
      </c>
      <c r="E4345" s="32" t="s">
        <v>107</v>
      </c>
      <c r="F4345" s="32" t="n">
        <v>9959563741</v>
      </c>
      <c r="G4345" s="32" t="s">
        <v>80</v>
      </c>
      <c r="H4345" s="32" t="s">
        <v>21</v>
      </c>
      <c r="I4345" s="32" t="s">
        <v>248</v>
      </c>
      <c r="J4345" s="32" t="s">
        <v>117</v>
      </c>
      <c r="K4345" s="32" t="s">
        <v>63</v>
      </c>
    </row>
    <row r="4346" customFormat="false" ht="13.5" hidden="false" customHeight="true" outlineLevel="0" collapsed="false">
      <c r="A4346" s="32" t="n">
        <v>6752</v>
      </c>
      <c r="B4346" s="32" t="s">
        <v>3441</v>
      </c>
      <c r="C4346" s="32" t="s">
        <v>3443</v>
      </c>
      <c r="D4346" s="32" t="s">
        <v>59</v>
      </c>
      <c r="E4346" s="32" t="s">
        <v>107</v>
      </c>
      <c r="F4346" s="32" t="n">
        <v>9959563741</v>
      </c>
      <c r="G4346" s="32" t="s">
        <v>80</v>
      </c>
      <c r="H4346" s="32" t="s">
        <v>21</v>
      </c>
      <c r="I4346" s="32" t="s">
        <v>93</v>
      </c>
      <c r="J4346" s="32" t="s">
        <v>85</v>
      </c>
      <c r="K4346" s="32" t="s">
        <v>63</v>
      </c>
    </row>
    <row r="4347" customFormat="false" ht="13.5" hidden="false" customHeight="true" outlineLevel="0" collapsed="false">
      <c r="A4347" s="32" t="n">
        <v>6753</v>
      </c>
      <c r="B4347" s="32" t="s">
        <v>3444</v>
      </c>
      <c r="C4347" s="32" t="s">
        <v>3445</v>
      </c>
      <c r="D4347" s="32" t="s">
        <v>114</v>
      </c>
      <c r="E4347" s="32" t="s">
        <v>165</v>
      </c>
      <c r="F4347" s="32" t="n">
        <v>0</v>
      </c>
      <c r="G4347" s="32" t="s">
        <v>61</v>
      </c>
      <c r="H4347" s="32" t="s">
        <v>22</v>
      </c>
      <c r="I4347" s="32" t="s">
        <v>76</v>
      </c>
      <c r="J4347" s="32" t="s">
        <v>76</v>
      </c>
      <c r="K4347" s="32" t="s">
        <v>63</v>
      </c>
    </row>
    <row r="4348" customFormat="false" ht="13.5" hidden="false" customHeight="true" outlineLevel="0" collapsed="false">
      <c r="A4348" s="32" t="n">
        <v>6754</v>
      </c>
      <c r="B4348" s="32" t="s">
        <v>3444</v>
      </c>
      <c r="C4348" s="32" t="s">
        <v>3446</v>
      </c>
      <c r="D4348" s="32" t="s">
        <v>114</v>
      </c>
      <c r="E4348" s="32" t="s">
        <v>165</v>
      </c>
      <c r="F4348" s="32" t="n">
        <v>0</v>
      </c>
      <c r="G4348" s="32" t="s">
        <v>61</v>
      </c>
      <c r="H4348" s="32" t="s">
        <v>22</v>
      </c>
      <c r="I4348" s="32" t="s">
        <v>381</v>
      </c>
      <c r="J4348" s="32" t="s">
        <v>66</v>
      </c>
      <c r="K4348" s="32" t="s">
        <v>63</v>
      </c>
    </row>
    <row r="4349" customFormat="false" ht="13.5" hidden="false" customHeight="true" outlineLevel="0" collapsed="false">
      <c r="A4349" s="32" t="n">
        <v>6755</v>
      </c>
      <c r="B4349" s="32" t="s">
        <v>3444</v>
      </c>
      <c r="C4349" s="32" t="s">
        <v>3446</v>
      </c>
      <c r="D4349" s="32" t="s">
        <v>114</v>
      </c>
      <c r="E4349" s="32" t="s">
        <v>165</v>
      </c>
      <c r="F4349" s="32" t="n">
        <v>0</v>
      </c>
      <c r="G4349" s="32" t="s">
        <v>61</v>
      </c>
      <c r="H4349" s="32" t="s">
        <v>22</v>
      </c>
      <c r="I4349" s="32" t="s">
        <v>14</v>
      </c>
      <c r="J4349" s="32" t="s">
        <v>66</v>
      </c>
      <c r="K4349" s="32" t="s">
        <v>63</v>
      </c>
    </row>
    <row r="4350" customFormat="false" ht="13.5" hidden="false" customHeight="true" outlineLevel="0" collapsed="false">
      <c r="A4350" s="32" t="n">
        <v>6756</v>
      </c>
      <c r="B4350" s="32" t="s">
        <v>3444</v>
      </c>
      <c r="C4350" s="32" t="s">
        <v>3445</v>
      </c>
      <c r="D4350" s="32" t="s">
        <v>114</v>
      </c>
      <c r="E4350" s="32" t="s">
        <v>165</v>
      </c>
      <c r="F4350" s="32" t="n">
        <v>0</v>
      </c>
      <c r="G4350" s="32" t="s">
        <v>61</v>
      </c>
      <c r="H4350" s="32" t="s">
        <v>22</v>
      </c>
      <c r="I4350" s="32" t="s">
        <v>156</v>
      </c>
      <c r="J4350" s="32" t="s">
        <v>62</v>
      </c>
      <c r="K4350" s="32" t="s">
        <v>63</v>
      </c>
    </row>
    <row r="4351" customFormat="false" ht="13.5" hidden="false" customHeight="true" outlineLevel="0" collapsed="false">
      <c r="A4351" s="32" t="n">
        <v>6757</v>
      </c>
      <c r="B4351" s="32" t="s">
        <v>3444</v>
      </c>
      <c r="C4351" s="32" t="s">
        <v>3445</v>
      </c>
      <c r="D4351" s="32" t="s">
        <v>114</v>
      </c>
      <c r="E4351" s="32" t="s">
        <v>165</v>
      </c>
      <c r="F4351" s="32" t="n">
        <v>0</v>
      </c>
      <c r="G4351" s="32" t="s">
        <v>61</v>
      </c>
      <c r="H4351" s="32" t="s">
        <v>22</v>
      </c>
      <c r="I4351" s="32" t="s">
        <v>29</v>
      </c>
      <c r="J4351" s="32" t="s">
        <v>62</v>
      </c>
      <c r="K4351" s="32" t="s">
        <v>63</v>
      </c>
    </row>
    <row r="4352" customFormat="false" ht="13.5" hidden="false" customHeight="true" outlineLevel="0" collapsed="false">
      <c r="A4352" s="32" t="n">
        <v>6758</v>
      </c>
      <c r="B4352" s="32" t="s">
        <v>3447</v>
      </c>
      <c r="C4352" s="32" t="s">
        <v>3448</v>
      </c>
      <c r="D4352" s="32" t="s">
        <v>114</v>
      </c>
      <c r="E4352" s="32" t="s">
        <v>115</v>
      </c>
      <c r="F4352" s="32" t="n">
        <v>9967389999</v>
      </c>
      <c r="G4352" s="32" t="s">
        <v>144</v>
      </c>
      <c r="H4352" s="32" t="s">
        <v>22</v>
      </c>
      <c r="I4352" s="32" t="s">
        <v>248</v>
      </c>
      <c r="J4352" s="32" t="s">
        <v>117</v>
      </c>
      <c r="K4352" s="32" t="s">
        <v>63</v>
      </c>
    </row>
    <row r="4353" customFormat="false" ht="13.5" hidden="false" customHeight="true" outlineLevel="0" collapsed="false">
      <c r="A4353" s="32" t="n">
        <v>6759</v>
      </c>
      <c r="B4353" s="32" t="s">
        <v>3447</v>
      </c>
      <c r="C4353" s="32" t="s">
        <v>3448</v>
      </c>
      <c r="D4353" s="32" t="s">
        <v>114</v>
      </c>
      <c r="E4353" s="32" t="s">
        <v>115</v>
      </c>
      <c r="F4353" s="32" t="n">
        <v>9967389992</v>
      </c>
      <c r="G4353" s="32" t="s">
        <v>144</v>
      </c>
      <c r="H4353" s="32" t="s">
        <v>22</v>
      </c>
      <c r="I4353" s="32" t="s">
        <v>98</v>
      </c>
      <c r="J4353" s="32" t="s">
        <v>99</v>
      </c>
      <c r="K4353" s="32" t="s">
        <v>63</v>
      </c>
    </row>
    <row r="4354" customFormat="false" ht="13.5" hidden="false" customHeight="true" outlineLevel="0" collapsed="false">
      <c r="A4354" s="32" t="n">
        <v>6760</v>
      </c>
      <c r="B4354" s="32" t="s">
        <v>3449</v>
      </c>
      <c r="C4354" s="32" t="s">
        <v>3450</v>
      </c>
      <c r="D4354" s="32" t="s">
        <v>59</v>
      </c>
      <c r="E4354" s="32" t="s">
        <v>79</v>
      </c>
      <c r="F4354" s="32" t="n">
        <v>9545656143</v>
      </c>
      <c r="G4354" s="32" t="s">
        <v>69</v>
      </c>
      <c r="H4354" s="32" t="s">
        <v>21</v>
      </c>
      <c r="I4354" s="32" t="s">
        <v>172</v>
      </c>
      <c r="J4354" s="32" t="s">
        <v>152</v>
      </c>
      <c r="K4354" s="32" t="s">
        <v>63</v>
      </c>
    </row>
    <row r="4355" customFormat="false" ht="13.5" hidden="false" customHeight="true" outlineLevel="0" collapsed="false">
      <c r="A4355" s="32" t="n">
        <v>6761</v>
      </c>
      <c r="B4355" s="32" t="s">
        <v>3449</v>
      </c>
      <c r="C4355" s="32" t="s">
        <v>3450</v>
      </c>
      <c r="D4355" s="32" t="s">
        <v>59</v>
      </c>
      <c r="E4355" s="32" t="s">
        <v>79</v>
      </c>
      <c r="F4355" s="32" t="n">
        <v>9545656143</v>
      </c>
      <c r="G4355" s="32" t="s">
        <v>69</v>
      </c>
      <c r="H4355" s="32" t="s">
        <v>21</v>
      </c>
      <c r="I4355" s="32" t="s">
        <v>151</v>
      </c>
      <c r="J4355" s="32" t="s">
        <v>152</v>
      </c>
      <c r="K4355" s="32" t="s">
        <v>63</v>
      </c>
    </row>
    <row r="4356" customFormat="false" ht="13.5" hidden="false" customHeight="true" outlineLevel="0" collapsed="false">
      <c r="A4356" s="32" t="n">
        <v>6762</v>
      </c>
      <c r="B4356" s="32" t="s">
        <v>3451</v>
      </c>
      <c r="C4356" s="32" t="s">
        <v>3452</v>
      </c>
      <c r="D4356" s="32" t="s">
        <v>59</v>
      </c>
      <c r="E4356" s="32" t="s">
        <v>60</v>
      </c>
      <c r="F4356" s="32" t="n">
        <v>8652060009</v>
      </c>
      <c r="G4356" s="32" t="s">
        <v>104</v>
      </c>
      <c r="H4356" s="32" t="s">
        <v>21</v>
      </c>
      <c r="I4356" s="32" t="s">
        <v>133</v>
      </c>
      <c r="J4356" s="32" t="s">
        <v>134</v>
      </c>
      <c r="K4356" s="32" t="s">
        <v>63</v>
      </c>
    </row>
    <row r="4357" customFormat="false" ht="13.5" hidden="false" customHeight="true" outlineLevel="0" collapsed="false">
      <c r="A4357" s="32" t="n">
        <v>6763</v>
      </c>
      <c r="B4357" s="32" t="s">
        <v>3451</v>
      </c>
      <c r="C4357" s="32" t="s">
        <v>3452</v>
      </c>
      <c r="D4357" s="32" t="s">
        <v>59</v>
      </c>
      <c r="E4357" s="32" t="s">
        <v>60</v>
      </c>
      <c r="F4357" s="33" t="n">
        <v>918652000000</v>
      </c>
      <c r="G4357" s="32" t="s">
        <v>104</v>
      </c>
      <c r="H4357" s="32" t="s">
        <v>21</v>
      </c>
      <c r="I4357" s="32" t="s">
        <v>108</v>
      </c>
      <c r="J4357" s="32" t="s">
        <v>71</v>
      </c>
      <c r="K4357" s="32" t="s">
        <v>63</v>
      </c>
    </row>
    <row r="4358" customFormat="false" ht="13.5" hidden="false" customHeight="true" outlineLevel="0" collapsed="false">
      <c r="A4358" s="32" t="n">
        <v>6764</v>
      </c>
      <c r="B4358" s="32" t="s">
        <v>3451</v>
      </c>
      <c r="C4358" s="32" t="s">
        <v>3452</v>
      </c>
      <c r="D4358" s="32" t="s">
        <v>59</v>
      </c>
      <c r="E4358" s="32" t="s">
        <v>60</v>
      </c>
      <c r="F4358" s="33" t="n">
        <v>918652000000</v>
      </c>
      <c r="G4358" s="32" t="s">
        <v>104</v>
      </c>
      <c r="H4358" s="32" t="s">
        <v>21</v>
      </c>
      <c r="I4358" s="32" t="s">
        <v>494</v>
      </c>
      <c r="J4358" s="32" t="s">
        <v>71</v>
      </c>
      <c r="K4358" s="32" t="s">
        <v>63</v>
      </c>
    </row>
    <row r="4359" customFormat="false" ht="13.5" hidden="false" customHeight="true" outlineLevel="0" collapsed="false">
      <c r="A4359" s="32" t="n">
        <v>6765</v>
      </c>
      <c r="B4359" s="32" t="s">
        <v>3451</v>
      </c>
      <c r="C4359" s="32" t="s">
        <v>3452</v>
      </c>
      <c r="D4359" s="32" t="s">
        <v>59</v>
      </c>
      <c r="E4359" s="32" t="s">
        <v>60</v>
      </c>
      <c r="F4359" s="33" t="n">
        <v>918652000000</v>
      </c>
      <c r="G4359" s="32" t="s">
        <v>104</v>
      </c>
      <c r="H4359" s="32" t="s">
        <v>21</v>
      </c>
      <c r="I4359" s="32" t="s">
        <v>156</v>
      </c>
      <c r="J4359" s="32" t="s">
        <v>62</v>
      </c>
      <c r="K4359" s="32" t="s">
        <v>63</v>
      </c>
    </row>
    <row r="4360" customFormat="false" ht="13.5" hidden="false" customHeight="true" outlineLevel="0" collapsed="false">
      <c r="A4360" s="32" t="n">
        <v>6767</v>
      </c>
      <c r="B4360" s="32" t="s">
        <v>3451</v>
      </c>
      <c r="C4360" s="32" t="s">
        <v>3452</v>
      </c>
      <c r="D4360" s="32" t="s">
        <v>59</v>
      </c>
      <c r="E4360" s="32" t="s">
        <v>60</v>
      </c>
      <c r="F4360" s="33" t="n">
        <v>918652000000</v>
      </c>
      <c r="G4360" s="32" t="s">
        <v>104</v>
      </c>
      <c r="H4360" s="32" t="s">
        <v>21</v>
      </c>
      <c r="I4360" s="32" t="s">
        <v>314</v>
      </c>
      <c r="J4360" s="32" t="s">
        <v>134</v>
      </c>
      <c r="K4360" s="32" t="s">
        <v>63</v>
      </c>
    </row>
    <row r="4361" customFormat="false" ht="13.5" hidden="false" customHeight="true" outlineLevel="0" collapsed="false">
      <c r="A4361" s="32" t="n">
        <v>6768</v>
      </c>
      <c r="B4361" s="32" t="s">
        <v>3453</v>
      </c>
      <c r="C4361" s="32" t="s">
        <v>3454</v>
      </c>
      <c r="D4361" s="32" t="s">
        <v>114</v>
      </c>
      <c r="E4361" s="32" t="s">
        <v>115</v>
      </c>
      <c r="F4361" s="32" t="n">
        <v>9790943826</v>
      </c>
      <c r="G4361" s="32" t="s">
        <v>80</v>
      </c>
      <c r="H4361" s="32" t="s">
        <v>22</v>
      </c>
      <c r="I4361" s="32" t="s">
        <v>185</v>
      </c>
      <c r="J4361" s="32" t="s">
        <v>186</v>
      </c>
      <c r="K4361" s="32" t="s">
        <v>63</v>
      </c>
    </row>
    <row r="4362" customFormat="false" ht="13.5" hidden="false" customHeight="true" outlineLevel="0" collapsed="false">
      <c r="A4362" s="32" t="n">
        <v>6769</v>
      </c>
      <c r="B4362" s="32" t="s">
        <v>3453</v>
      </c>
      <c r="C4362" s="32" t="s">
        <v>3454</v>
      </c>
      <c r="D4362" s="32" t="s">
        <v>114</v>
      </c>
      <c r="E4362" s="32" t="s">
        <v>115</v>
      </c>
      <c r="F4362" s="32" t="n">
        <v>7678088368</v>
      </c>
      <c r="G4362" s="32" t="s">
        <v>104</v>
      </c>
      <c r="H4362" s="32" t="s">
        <v>22</v>
      </c>
      <c r="I4362" s="32" t="s">
        <v>28</v>
      </c>
      <c r="J4362" s="32" t="s">
        <v>82</v>
      </c>
      <c r="K4362" s="32" t="s">
        <v>63</v>
      </c>
    </row>
    <row r="4363" customFormat="false" ht="13.5" hidden="false" customHeight="true" outlineLevel="0" collapsed="false">
      <c r="A4363" s="32" t="n">
        <v>6770</v>
      </c>
      <c r="B4363" s="32" t="s">
        <v>3453</v>
      </c>
      <c r="C4363" s="32" t="s">
        <v>3455</v>
      </c>
      <c r="D4363" s="32" t="s">
        <v>114</v>
      </c>
      <c r="E4363" s="32" t="s">
        <v>115</v>
      </c>
      <c r="F4363" s="32" t="n">
        <v>9790943826</v>
      </c>
      <c r="G4363" s="32" t="s">
        <v>80</v>
      </c>
      <c r="H4363" s="32" t="s">
        <v>22</v>
      </c>
      <c r="I4363" s="32" t="s">
        <v>145</v>
      </c>
      <c r="J4363" s="32" t="s">
        <v>117</v>
      </c>
      <c r="K4363" s="32" t="s">
        <v>63</v>
      </c>
    </row>
    <row r="4364" customFormat="false" ht="13.5" hidden="false" customHeight="true" outlineLevel="0" collapsed="false">
      <c r="A4364" s="32" t="n">
        <v>6771</v>
      </c>
      <c r="B4364" s="32" t="s">
        <v>3453</v>
      </c>
      <c r="C4364" s="32" t="s">
        <v>3455</v>
      </c>
      <c r="D4364" s="32" t="s">
        <v>114</v>
      </c>
      <c r="E4364" s="32" t="s">
        <v>115</v>
      </c>
      <c r="F4364" s="32" t="n">
        <v>9790943826</v>
      </c>
      <c r="G4364" s="32" t="s">
        <v>80</v>
      </c>
      <c r="H4364" s="32" t="s">
        <v>22</v>
      </c>
      <c r="I4364" s="32" t="s">
        <v>111</v>
      </c>
      <c r="J4364" s="32" t="s">
        <v>73</v>
      </c>
      <c r="K4364" s="32" t="s">
        <v>63</v>
      </c>
    </row>
    <row r="4365" customFormat="false" ht="13.5" hidden="false" customHeight="true" outlineLevel="0" collapsed="false">
      <c r="A4365" s="32" t="n">
        <v>6772</v>
      </c>
      <c r="B4365" s="32" t="s">
        <v>3453</v>
      </c>
      <c r="C4365" s="32" t="s">
        <v>3455</v>
      </c>
      <c r="D4365" s="32" t="s">
        <v>114</v>
      </c>
      <c r="E4365" s="32" t="s">
        <v>115</v>
      </c>
      <c r="F4365" s="32" t="n">
        <v>9790943826</v>
      </c>
      <c r="G4365" s="32" t="s">
        <v>80</v>
      </c>
      <c r="H4365" s="32" t="s">
        <v>22</v>
      </c>
      <c r="I4365" s="32" t="s">
        <v>172</v>
      </c>
      <c r="J4365" s="32" t="s">
        <v>152</v>
      </c>
      <c r="K4365" s="32" t="s">
        <v>63</v>
      </c>
    </row>
    <row r="4366" customFormat="false" ht="13.5" hidden="false" customHeight="true" outlineLevel="0" collapsed="false">
      <c r="A4366" s="32" t="n">
        <v>6773</v>
      </c>
      <c r="B4366" s="32" t="s">
        <v>3456</v>
      </c>
      <c r="C4366" s="32" t="s">
        <v>3457</v>
      </c>
      <c r="D4366" s="32" t="s">
        <v>102</v>
      </c>
      <c r="E4366" s="32" t="s">
        <v>107</v>
      </c>
      <c r="F4366" s="33" t="n">
        <v>919014000000</v>
      </c>
      <c r="G4366" s="32" t="s">
        <v>80</v>
      </c>
      <c r="H4366" s="32" t="s">
        <v>21</v>
      </c>
      <c r="I4366" s="32" t="s">
        <v>156</v>
      </c>
      <c r="J4366" s="32" t="s">
        <v>62</v>
      </c>
      <c r="K4366" s="32" t="s">
        <v>63</v>
      </c>
    </row>
    <row r="4367" customFormat="false" ht="13.5" hidden="false" customHeight="true" outlineLevel="0" collapsed="false">
      <c r="A4367" s="32" t="n">
        <v>6774</v>
      </c>
      <c r="B4367" s="32" t="s">
        <v>3458</v>
      </c>
      <c r="C4367" s="32" t="s">
        <v>3459</v>
      </c>
      <c r="D4367" s="32" t="s">
        <v>59</v>
      </c>
      <c r="E4367" s="32" t="s">
        <v>143</v>
      </c>
      <c r="F4367" s="32" t="n">
        <v>9440867379</v>
      </c>
      <c r="G4367" s="32" t="s">
        <v>80</v>
      </c>
      <c r="H4367" s="32" t="s">
        <v>21</v>
      </c>
      <c r="I4367" s="32" t="s">
        <v>248</v>
      </c>
      <c r="J4367" s="32" t="s">
        <v>117</v>
      </c>
      <c r="K4367" s="32" t="s">
        <v>63</v>
      </c>
    </row>
    <row r="4368" customFormat="false" ht="13.5" hidden="false" customHeight="true" outlineLevel="0" collapsed="false">
      <c r="A4368" s="32" t="n">
        <v>6775</v>
      </c>
      <c r="B4368" s="32" t="s">
        <v>3458</v>
      </c>
      <c r="C4368" s="32" t="s">
        <v>3460</v>
      </c>
      <c r="D4368" s="32" t="s">
        <v>59</v>
      </c>
      <c r="E4368" s="32" t="s">
        <v>143</v>
      </c>
      <c r="F4368" s="32" t="n">
        <v>9440867379</v>
      </c>
      <c r="G4368" s="32" t="s">
        <v>80</v>
      </c>
      <c r="H4368" s="32" t="s">
        <v>21</v>
      </c>
      <c r="I4368" s="32" t="s">
        <v>95</v>
      </c>
      <c r="J4368" s="32" t="s">
        <v>96</v>
      </c>
      <c r="K4368" s="32" t="s">
        <v>63</v>
      </c>
    </row>
    <row r="4369" customFormat="false" ht="13.5" hidden="false" customHeight="true" outlineLevel="0" collapsed="false">
      <c r="A4369" s="32" t="n">
        <v>6776</v>
      </c>
      <c r="B4369" s="32" t="s">
        <v>3458</v>
      </c>
      <c r="C4369" s="32" t="s">
        <v>3460</v>
      </c>
      <c r="D4369" s="32" t="s">
        <v>59</v>
      </c>
      <c r="E4369" s="32" t="s">
        <v>143</v>
      </c>
      <c r="F4369" s="32" t="n">
        <v>9440867379</v>
      </c>
      <c r="G4369" s="32" t="s">
        <v>80</v>
      </c>
      <c r="H4369" s="32" t="s">
        <v>21</v>
      </c>
      <c r="I4369" s="32" t="s">
        <v>133</v>
      </c>
      <c r="J4369" s="32" t="s">
        <v>134</v>
      </c>
      <c r="K4369" s="32" t="s">
        <v>63</v>
      </c>
    </row>
    <row r="4370" customFormat="false" ht="13.5" hidden="false" customHeight="true" outlineLevel="0" collapsed="false">
      <c r="A4370" s="32" t="n">
        <v>6777</v>
      </c>
      <c r="B4370" s="32" t="s">
        <v>3458</v>
      </c>
      <c r="C4370" s="32" t="s">
        <v>3460</v>
      </c>
      <c r="D4370" s="32" t="s">
        <v>59</v>
      </c>
      <c r="E4370" s="32" t="s">
        <v>143</v>
      </c>
      <c r="F4370" s="32" t="n">
        <v>9440867379</v>
      </c>
      <c r="G4370" s="32" t="s">
        <v>80</v>
      </c>
      <c r="H4370" s="32" t="s">
        <v>21</v>
      </c>
      <c r="I4370" s="32" t="s">
        <v>172</v>
      </c>
      <c r="J4370" s="32" t="s">
        <v>152</v>
      </c>
      <c r="K4370" s="32" t="s">
        <v>63</v>
      </c>
    </row>
    <row r="4371" customFormat="false" ht="13.5" hidden="false" customHeight="true" outlineLevel="0" collapsed="false">
      <c r="A4371" s="32" t="n">
        <v>6778</v>
      </c>
      <c r="B4371" s="32" t="s">
        <v>3461</v>
      </c>
      <c r="C4371" s="32" t="s">
        <v>3462</v>
      </c>
      <c r="D4371" s="32" t="s">
        <v>114</v>
      </c>
      <c r="E4371" s="32" t="n">
        <v>0</v>
      </c>
      <c r="F4371" s="32" t="n">
        <v>0</v>
      </c>
      <c r="G4371" s="32" t="s">
        <v>61</v>
      </c>
      <c r="H4371" s="32" t="s">
        <v>22</v>
      </c>
      <c r="I4371" s="32" t="s">
        <v>14</v>
      </c>
      <c r="J4371" s="32" t="s">
        <v>66</v>
      </c>
      <c r="K4371" s="32" t="s">
        <v>63</v>
      </c>
    </row>
    <row r="4372" customFormat="false" ht="13.5" hidden="false" customHeight="true" outlineLevel="0" collapsed="false">
      <c r="A4372" s="32" t="n">
        <v>6779</v>
      </c>
      <c r="B4372" s="32" t="s">
        <v>3463</v>
      </c>
      <c r="C4372" s="32" t="s">
        <v>3464</v>
      </c>
      <c r="D4372" s="32" t="s">
        <v>114</v>
      </c>
      <c r="E4372" s="32" t="s">
        <v>124</v>
      </c>
      <c r="F4372" s="32" t="n">
        <v>12677393244</v>
      </c>
      <c r="G4372" s="32" t="s">
        <v>0</v>
      </c>
      <c r="H4372" s="32" t="s">
        <v>22</v>
      </c>
      <c r="I4372" s="32" t="s">
        <v>131</v>
      </c>
      <c r="J4372" s="32" t="s">
        <v>132</v>
      </c>
      <c r="K4372" s="32" t="s">
        <v>63</v>
      </c>
    </row>
    <row r="4373" customFormat="false" ht="13.5" hidden="false" customHeight="true" outlineLevel="0" collapsed="false">
      <c r="A4373" s="32" t="n">
        <v>6780</v>
      </c>
      <c r="B4373" s="32" t="s">
        <v>3463</v>
      </c>
      <c r="C4373" s="32" t="s">
        <v>3464</v>
      </c>
      <c r="D4373" s="32" t="s">
        <v>114</v>
      </c>
      <c r="E4373" s="32" t="s">
        <v>124</v>
      </c>
      <c r="F4373" s="32" t="n">
        <v>12677393244</v>
      </c>
      <c r="G4373" s="32" t="s">
        <v>0</v>
      </c>
      <c r="H4373" s="32" t="s">
        <v>22</v>
      </c>
      <c r="I4373" s="32" t="s">
        <v>16</v>
      </c>
      <c r="J4373" s="32" t="s">
        <v>73</v>
      </c>
      <c r="K4373" s="32" t="s">
        <v>63</v>
      </c>
    </row>
    <row r="4374" customFormat="false" ht="13.5" hidden="false" customHeight="true" outlineLevel="0" collapsed="false">
      <c r="A4374" s="32" t="n">
        <v>6781</v>
      </c>
      <c r="B4374" s="32" t="s">
        <v>3463</v>
      </c>
      <c r="C4374" s="32" t="s">
        <v>3464</v>
      </c>
      <c r="D4374" s="32" t="s">
        <v>114</v>
      </c>
      <c r="E4374" s="32" t="s">
        <v>124</v>
      </c>
      <c r="F4374" s="32" t="n">
        <v>12677393244</v>
      </c>
      <c r="G4374" s="32" t="s">
        <v>0</v>
      </c>
      <c r="H4374" s="32" t="s">
        <v>22</v>
      </c>
      <c r="I4374" s="32" t="s">
        <v>30</v>
      </c>
      <c r="J4374" s="32" t="s">
        <v>203</v>
      </c>
      <c r="K4374" s="32" t="s">
        <v>63</v>
      </c>
    </row>
    <row r="4375" customFormat="false" ht="13.5" hidden="false" customHeight="true" outlineLevel="0" collapsed="false">
      <c r="A4375" s="32" t="n">
        <v>6782</v>
      </c>
      <c r="B4375" s="32" t="s">
        <v>3463</v>
      </c>
      <c r="C4375" s="32" t="s">
        <v>3465</v>
      </c>
      <c r="D4375" s="32" t="s">
        <v>114</v>
      </c>
      <c r="E4375" s="32" t="s">
        <v>124</v>
      </c>
      <c r="F4375" s="33" t="n">
        <v>919677000000</v>
      </c>
      <c r="G4375" s="32" t="s">
        <v>0</v>
      </c>
      <c r="H4375" s="32" t="s">
        <v>22</v>
      </c>
      <c r="I4375" s="32" t="s">
        <v>27</v>
      </c>
      <c r="J4375" s="32" t="s">
        <v>13</v>
      </c>
      <c r="K4375" s="32" t="s">
        <v>63</v>
      </c>
    </row>
    <row r="4376" customFormat="false" ht="13.5" hidden="false" customHeight="true" outlineLevel="0" collapsed="false">
      <c r="A4376" s="32" t="n">
        <v>6783</v>
      </c>
      <c r="B4376" s="32" t="s">
        <v>3463</v>
      </c>
      <c r="C4376" s="32" t="s">
        <v>3465</v>
      </c>
      <c r="D4376" s="32" t="s">
        <v>114</v>
      </c>
      <c r="E4376" s="32" t="s">
        <v>124</v>
      </c>
      <c r="F4376" s="33" t="n">
        <v>919677000000</v>
      </c>
      <c r="G4376" s="32" t="s">
        <v>0</v>
      </c>
      <c r="H4376" s="32" t="s">
        <v>22</v>
      </c>
      <c r="I4376" s="32" t="s">
        <v>28</v>
      </c>
      <c r="J4376" s="32" t="s">
        <v>82</v>
      </c>
      <c r="K4376" s="32" t="s">
        <v>63</v>
      </c>
    </row>
    <row r="4377" customFormat="false" ht="13.5" hidden="false" customHeight="true" outlineLevel="0" collapsed="false">
      <c r="A4377" s="32" t="n">
        <v>6784</v>
      </c>
      <c r="B4377" s="32" t="s">
        <v>3463</v>
      </c>
      <c r="C4377" s="32" t="s">
        <v>3465</v>
      </c>
      <c r="D4377" s="32" t="s">
        <v>114</v>
      </c>
      <c r="E4377" s="32" t="s">
        <v>124</v>
      </c>
      <c r="F4377" s="32" t="n">
        <v>9677250840</v>
      </c>
      <c r="G4377" s="32" t="s">
        <v>0</v>
      </c>
      <c r="H4377" s="32" t="s">
        <v>22</v>
      </c>
      <c r="I4377" s="32" t="s">
        <v>133</v>
      </c>
      <c r="J4377" s="32" t="s">
        <v>134</v>
      </c>
      <c r="K4377" s="32" t="s">
        <v>63</v>
      </c>
    </row>
    <row r="4378" customFormat="false" ht="13.5" hidden="false" customHeight="true" outlineLevel="0" collapsed="false">
      <c r="A4378" s="32" t="n">
        <v>6785</v>
      </c>
      <c r="B4378" s="32" t="s">
        <v>3466</v>
      </c>
      <c r="C4378" s="32" t="s">
        <v>3467</v>
      </c>
      <c r="D4378" s="32" t="s">
        <v>59</v>
      </c>
      <c r="E4378" s="32" t="s">
        <v>107</v>
      </c>
      <c r="F4378" s="32" t="n">
        <v>9985262855</v>
      </c>
      <c r="G4378" s="32" t="s">
        <v>80</v>
      </c>
      <c r="H4378" s="32" t="s">
        <v>21</v>
      </c>
      <c r="I4378" s="32" t="s">
        <v>133</v>
      </c>
      <c r="J4378" s="32" t="s">
        <v>134</v>
      </c>
      <c r="K4378" s="32" t="s">
        <v>63</v>
      </c>
    </row>
    <row r="4379" customFormat="false" ht="13.5" hidden="false" customHeight="true" outlineLevel="0" collapsed="false">
      <c r="A4379" s="32" t="n">
        <v>6786</v>
      </c>
      <c r="B4379" s="32" t="s">
        <v>3468</v>
      </c>
      <c r="C4379" s="32" t="s">
        <v>3469</v>
      </c>
      <c r="D4379" s="32" t="s">
        <v>114</v>
      </c>
      <c r="E4379" s="32" t="s">
        <v>115</v>
      </c>
      <c r="F4379" s="32" t="n">
        <v>9703373437</v>
      </c>
      <c r="G4379" s="32" t="s">
        <v>80</v>
      </c>
      <c r="H4379" s="32" t="s">
        <v>22</v>
      </c>
      <c r="I4379" s="32" t="s">
        <v>248</v>
      </c>
      <c r="J4379" s="32" t="s">
        <v>117</v>
      </c>
      <c r="K4379" s="32" t="s">
        <v>63</v>
      </c>
    </row>
    <row r="4380" customFormat="false" ht="13.5" hidden="false" customHeight="true" outlineLevel="0" collapsed="false">
      <c r="A4380" s="32" t="n">
        <v>6787</v>
      </c>
      <c r="B4380" s="32" t="s">
        <v>3468</v>
      </c>
      <c r="C4380" s="32" t="s">
        <v>3469</v>
      </c>
      <c r="D4380" s="32" t="s">
        <v>114</v>
      </c>
      <c r="E4380" s="32" t="s">
        <v>115</v>
      </c>
      <c r="F4380" s="32" t="n">
        <v>9703373437</v>
      </c>
      <c r="G4380" s="32" t="s">
        <v>80</v>
      </c>
      <c r="H4380" s="32" t="s">
        <v>22</v>
      </c>
      <c r="I4380" s="32" t="s">
        <v>133</v>
      </c>
      <c r="J4380" s="32" t="s">
        <v>134</v>
      </c>
      <c r="K4380" s="32" t="s">
        <v>63</v>
      </c>
    </row>
    <row r="4381" customFormat="false" ht="13.5" hidden="false" customHeight="true" outlineLevel="0" collapsed="false">
      <c r="A4381" s="32" t="n">
        <v>6788</v>
      </c>
      <c r="B4381" s="32" t="s">
        <v>3468</v>
      </c>
      <c r="C4381" s="32" t="s">
        <v>3469</v>
      </c>
      <c r="D4381" s="32" t="s">
        <v>114</v>
      </c>
      <c r="E4381" s="32" t="s">
        <v>115</v>
      </c>
      <c r="F4381" s="32" t="n">
        <v>9703373437</v>
      </c>
      <c r="G4381" s="32" t="s">
        <v>80</v>
      </c>
      <c r="H4381" s="32" t="s">
        <v>22</v>
      </c>
      <c r="I4381" s="32" t="s">
        <v>126</v>
      </c>
      <c r="J4381" s="32" t="s">
        <v>85</v>
      </c>
      <c r="K4381" s="32" t="s">
        <v>63</v>
      </c>
    </row>
    <row r="4382" customFormat="false" ht="13.5" hidden="false" customHeight="true" outlineLevel="0" collapsed="false">
      <c r="A4382" s="32" t="n">
        <v>6790</v>
      </c>
      <c r="B4382" s="32" t="s">
        <v>3470</v>
      </c>
      <c r="C4382" s="32" t="s">
        <v>3471</v>
      </c>
      <c r="D4382" s="32" t="s">
        <v>114</v>
      </c>
      <c r="E4382" s="32" t="s">
        <v>268</v>
      </c>
      <c r="F4382" s="32" t="n">
        <v>9676493303</v>
      </c>
      <c r="G4382" s="32" t="s">
        <v>80</v>
      </c>
      <c r="H4382" s="32" t="s">
        <v>22</v>
      </c>
      <c r="I4382" s="32" t="s">
        <v>516</v>
      </c>
      <c r="J4382" s="32" t="s">
        <v>66</v>
      </c>
      <c r="K4382" s="32" t="s">
        <v>63</v>
      </c>
    </row>
    <row r="4383" customFormat="false" ht="13.5" hidden="false" customHeight="true" outlineLevel="0" collapsed="false">
      <c r="A4383" s="32" t="n">
        <v>6791</v>
      </c>
      <c r="B4383" s="32" t="s">
        <v>3470</v>
      </c>
      <c r="C4383" s="32" t="s">
        <v>3471</v>
      </c>
      <c r="D4383" s="32" t="s">
        <v>114</v>
      </c>
      <c r="E4383" s="32" t="s">
        <v>268</v>
      </c>
      <c r="F4383" s="32" t="n">
        <v>9676493303</v>
      </c>
      <c r="G4383" s="32" t="s">
        <v>80</v>
      </c>
      <c r="H4383" s="32" t="s">
        <v>22</v>
      </c>
      <c r="I4383" s="32" t="s">
        <v>156</v>
      </c>
      <c r="J4383" s="32" t="s">
        <v>62</v>
      </c>
      <c r="K4383" s="32" t="s">
        <v>63</v>
      </c>
    </row>
    <row r="4384" customFormat="false" ht="13.5" hidden="false" customHeight="true" outlineLevel="0" collapsed="false">
      <c r="A4384" s="32" t="n">
        <v>6792</v>
      </c>
      <c r="B4384" s="32" t="s">
        <v>3470</v>
      </c>
      <c r="C4384" s="32" t="s">
        <v>3472</v>
      </c>
      <c r="D4384" s="32" t="s">
        <v>114</v>
      </c>
      <c r="E4384" s="32" t="s">
        <v>268</v>
      </c>
      <c r="F4384" s="32" t="n">
        <v>9676493303</v>
      </c>
      <c r="G4384" s="32" t="s">
        <v>80</v>
      </c>
      <c r="H4384" s="32" t="s">
        <v>22</v>
      </c>
      <c r="I4384" s="32" t="s">
        <v>14</v>
      </c>
      <c r="J4384" s="32" t="s">
        <v>66</v>
      </c>
      <c r="K4384" s="32" t="s">
        <v>63</v>
      </c>
    </row>
    <row r="4385" customFormat="false" ht="13.5" hidden="false" customHeight="true" outlineLevel="0" collapsed="false">
      <c r="A4385" s="32" t="n">
        <v>6793</v>
      </c>
      <c r="B4385" s="32" t="s">
        <v>3470</v>
      </c>
      <c r="C4385" s="32" t="s">
        <v>3472</v>
      </c>
      <c r="D4385" s="32" t="s">
        <v>114</v>
      </c>
      <c r="E4385" s="32" t="s">
        <v>268</v>
      </c>
      <c r="F4385" s="32" t="n">
        <v>9676493303</v>
      </c>
      <c r="G4385" s="32" t="s">
        <v>80</v>
      </c>
      <c r="H4385" s="32" t="s">
        <v>22</v>
      </c>
      <c r="I4385" s="32" t="s">
        <v>166</v>
      </c>
      <c r="J4385" s="32" t="s">
        <v>66</v>
      </c>
      <c r="K4385" s="32" t="s">
        <v>63</v>
      </c>
    </row>
    <row r="4386" customFormat="false" ht="13.5" hidden="false" customHeight="true" outlineLevel="0" collapsed="false">
      <c r="A4386" s="32" t="n">
        <v>6794</v>
      </c>
      <c r="B4386" s="32" t="s">
        <v>3473</v>
      </c>
      <c r="C4386" s="32" t="s">
        <v>3474</v>
      </c>
      <c r="D4386" s="32" t="s">
        <v>114</v>
      </c>
      <c r="E4386" s="32" t="s">
        <v>124</v>
      </c>
      <c r="F4386" s="32" t="n">
        <v>9676493303</v>
      </c>
      <c r="G4386" s="32" t="s">
        <v>80</v>
      </c>
      <c r="H4386" s="32" t="s">
        <v>22</v>
      </c>
      <c r="I4386" s="32" t="s">
        <v>227</v>
      </c>
      <c r="J4386" s="32" t="s">
        <v>228</v>
      </c>
      <c r="K4386" s="32" t="s">
        <v>63</v>
      </c>
    </row>
    <row r="4387" customFormat="false" ht="13.5" hidden="false" customHeight="true" outlineLevel="0" collapsed="false">
      <c r="A4387" s="32" t="n">
        <v>6795</v>
      </c>
      <c r="B4387" s="32" t="s">
        <v>3475</v>
      </c>
      <c r="C4387" s="32" t="s">
        <v>3476</v>
      </c>
      <c r="D4387" s="32" t="s">
        <v>114</v>
      </c>
      <c r="E4387" s="32" t="s">
        <v>115</v>
      </c>
      <c r="F4387" s="32" t="n">
        <v>9642496428</v>
      </c>
      <c r="G4387" s="32" t="s">
        <v>80</v>
      </c>
      <c r="H4387" s="32" t="s">
        <v>22</v>
      </c>
      <c r="I4387" s="32" t="s">
        <v>386</v>
      </c>
      <c r="J4387" s="32" t="s">
        <v>132</v>
      </c>
      <c r="K4387" s="32" t="s">
        <v>63</v>
      </c>
    </row>
    <row r="4388" customFormat="false" ht="13.5" hidden="false" customHeight="true" outlineLevel="0" collapsed="false">
      <c r="A4388" s="32" t="n">
        <v>6796</v>
      </c>
      <c r="B4388" s="32" t="s">
        <v>3475</v>
      </c>
      <c r="C4388" s="32" t="s">
        <v>3476</v>
      </c>
      <c r="D4388" s="32" t="s">
        <v>114</v>
      </c>
      <c r="E4388" s="32" t="s">
        <v>115</v>
      </c>
      <c r="F4388" s="32" t="n">
        <v>9642496428</v>
      </c>
      <c r="G4388" s="32" t="s">
        <v>80</v>
      </c>
      <c r="H4388" s="32" t="s">
        <v>22</v>
      </c>
      <c r="I4388" s="32" t="s">
        <v>728</v>
      </c>
      <c r="J4388" s="32" t="s">
        <v>132</v>
      </c>
      <c r="K4388" s="32" t="s">
        <v>63</v>
      </c>
    </row>
    <row r="4389" customFormat="false" ht="13.5" hidden="false" customHeight="true" outlineLevel="0" collapsed="false">
      <c r="A4389" s="32" t="n">
        <v>6797</v>
      </c>
      <c r="B4389" s="32" t="s">
        <v>3475</v>
      </c>
      <c r="C4389" s="32" t="s">
        <v>3476</v>
      </c>
      <c r="D4389" s="32" t="s">
        <v>114</v>
      </c>
      <c r="E4389" s="32" t="s">
        <v>115</v>
      </c>
      <c r="F4389" s="32" t="n">
        <v>9642496428</v>
      </c>
      <c r="G4389" s="32" t="s">
        <v>80</v>
      </c>
      <c r="H4389" s="32" t="s">
        <v>22</v>
      </c>
      <c r="I4389" s="32" t="s">
        <v>3477</v>
      </c>
      <c r="J4389" s="32" t="s">
        <v>132</v>
      </c>
      <c r="K4389" s="32" t="s">
        <v>63</v>
      </c>
    </row>
    <row r="4390" customFormat="false" ht="13.5" hidden="false" customHeight="true" outlineLevel="0" collapsed="false">
      <c r="A4390" s="32" t="n">
        <v>6798</v>
      </c>
      <c r="B4390" s="32" t="s">
        <v>3475</v>
      </c>
      <c r="C4390" s="32" t="s">
        <v>3478</v>
      </c>
      <c r="D4390" s="32" t="s">
        <v>114</v>
      </c>
      <c r="E4390" s="32" t="s">
        <v>115</v>
      </c>
      <c r="F4390" s="32" t="n">
        <v>9642496428</v>
      </c>
      <c r="G4390" s="32" t="s">
        <v>80</v>
      </c>
      <c r="H4390" s="32" t="s">
        <v>22</v>
      </c>
      <c r="I4390" s="32" t="s">
        <v>151</v>
      </c>
      <c r="J4390" s="32" t="s">
        <v>152</v>
      </c>
      <c r="K4390" s="32" t="s">
        <v>63</v>
      </c>
    </row>
    <row r="4391" customFormat="false" ht="13.5" hidden="false" customHeight="true" outlineLevel="0" collapsed="false">
      <c r="A4391" s="32" t="n">
        <v>6799</v>
      </c>
      <c r="B4391" s="32" t="s">
        <v>3475</v>
      </c>
      <c r="C4391" s="32" t="s">
        <v>3476</v>
      </c>
      <c r="D4391" s="32" t="s">
        <v>114</v>
      </c>
      <c r="E4391" s="32" t="s">
        <v>115</v>
      </c>
      <c r="F4391" s="32" t="n">
        <v>9642496428</v>
      </c>
      <c r="G4391" s="32" t="s">
        <v>80</v>
      </c>
      <c r="H4391" s="32" t="s">
        <v>22</v>
      </c>
      <c r="I4391" s="32" t="s">
        <v>215</v>
      </c>
      <c r="J4391" s="32" t="s">
        <v>132</v>
      </c>
      <c r="K4391" s="32" t="s">
        <v>63</v>
      </c>
    </row>
    <row r="4392" customFormat="false" ht="13.5" hidden="false" customHeight="true" outlineLevel="0" collapsed="false">
      <c r="A4392" s="32" t="n">
        <v>6800</v>
      </c>
      <c r="B4392" s="32" t="s">
        <v>3475</v>
      </c>
      <c r="C4392" s="32" t="s">
        <v>3478</v>
      </c>
      <c r="D4392" s="32" t="s">
        <v>114</v>
      </c>
      <c r="E4392" s="32" t="s">
        <v>115</v>
      </c>
      <c r="F4392" s="32" t="n">
        <v>9642496428</v>
      </c>
      <c r="G4392" s="32" t="s">
        <v>80</v>
      </c>
      <c r="H4392" s="32" t="s">
        <v>22</v>
      </c>
      <c r="I4392" s="32" t="s">
        <v>826</v>
      </c>
      <c r="J4392" s="32" t="s">
        <v>84</v>
      </c>
      <c r="K4392" s="32" t="s">
        <v>63</v>
      </c>
    </row>
    <row r="4393" customFormat="false" ht="13.5" hidden="false" customHeight="true" outlineLevel="0" collapsed="false">
      <c r="A4393" s="32" t="n">
        <v>6801</v>
      </c>
      <c r="B4393" s="32" t="s">
        <v>3479</v>
      </c>
      <c r="C4393" s="32" t="s">
        <v>3480</v>
      </c>
      <c r="D4393" s="32" t="s">
        <v>59</v>
      </c>
      <c r="E4393" s="32" t="s">
        <v>143</v>
      </c>
      <c r="F4393" s="32" t="n">
        <v>9393336593</v>
      </c>
      <c r="G4393" s="32" t="s">
        <v>80</v>
      </c>
      <c r="H4393" s="32" t="s">
        <v>21</v>
      </c>
      <c r="I4393" s="32" t="s">
        <v>3481</v>
      </c>
      <c r="J4393" s="32" t="s">
        <v>808</v>
      </c>
      <c r="K4393" s="32" t="s">
        <v>63</v>
      </c>
    </row>
    <row r="4394" customFormat="false" ht="13.5" hidden="false" customHeight="true" outlineLevel="0" collapsed="false">
      <c r="A4394" s="32" t="n">
        <v>6802</v>
      </c>
      <c r="B4394" s="32" t="s">
        <v>3479</v>
      </c>
      <c r="C4394" s="32" t="s">
        <v>3480</v>
      </c>
      <c r="D4394" s="32" t="s">
        <v>59</v>
      </c>
      <c r="E4394" s="32" t="s">
        <v>143</v>
      </c>
      <c r="F4394" s="32" t="n">
        <v>9393336593</v>
      </c>
      <c r="G4394" s="32" t="s">
        <v>80</v>
      </c>
      <c r="H4394" s="32" t="s">
        <v>21</v>
      </c>
      <c r="I4394" s="32" t="s">
        <v>840</v>
      </c>
      <c r="J4394" s="32" t="s">
        <v>89</v>
      </c>
      <c r="K4394" s="32" t="s">
        <v>63</v>
      </c>
    </row>
    <row r="4395" customFormat="false" ht="13.5" hidden="false" customHeight="true" outlineLevel="0" collapsed="false">
      <c r="A4395" s="32" t="n">
        <v>6803</v>
      </c>
      <c r="B4395" s="32" t="s">
        <v>3479</v>
      </c>
      <c r="C4395" s="32" t="s">
        <v>3480</v>
      </c>
      <c r="D4395" s="32" t="s">
        <v>59</v>
      </c>
      <c r="E4395" s="32" t="s">
        <v>143</v>
      </c>
      <c r="F4395" s="32" t="n">
        <v>9393336593</v>
      </c>
      <c r="G4395" s="32" t="s">
        <v>80</v>
      </c>
      <c r="H4395" s="32" t="s">
        <v>21</v>
      </c>
      <c r="I4395" s="32" t="s">
        <v>629</v>
      </c>
      <c r="J4395" s="32" t="s">
        <v>203</v>
      </c>
      <c r="K4395" s="32" t="s">
        <v>63</v>
      </c>
    </row>
    <row r="4396" customFormat="false" ht="13.5" hidden="false" customHeight="true" outlineLevel="0" collapsed="false">
      <c r="A4396" s="32" t="n">
        <v>6805</v>
      </c>
      <c r="B4396" s="32" t="s">
        <v>3479</v>
      </c>
      <c r="C4396" s="32" t="s">
        <v>3482</v>
      </c>
      <c r="D4396" s="32" t="s">
        <v>59</v>
      </c>
      <c r="E4396" s="32" t="s">
        <v>143</v>
      </c>
      <c r="F4396" s="32" t="n">
        <v>9393336593</v>
      </c>
      <c r="G4396" s="32" t="s">
        <v>80</v>
      </c>
      <c r="H4396" s="32" t="s">
        <v>21</v>
      </c>
      <c r="I4396" s="32" t="s">
        <v>3483</v>
      </c>
      <c r="J4396" s="32" t="s">
        <v>307</v>
      </c>
      <c r="K4396" s="32" t="s">
        <v>63</v>
      </c>
    </row>
    <row r="4397" customFormat="false" ht="13.5" hidden="false" customHeight="true" outlineLevel="0" collapsed="false">
      <c r="A4397" s="32" t="n">
        <v>6806</v>
      </c>
      <c r="B4397" s="32" t="s">
        <v>3484</v>
      </c>
      <c r="C4397" s="32" t="s">
        <v>3485</v>
      </c>
      <c r="D4397" s="32" t="s">
        <v>331</v>
      </c>
      <c r="E4397" s="32" t="s">
        <v>278</v>
      </c>
      <c r="F4397" s="32" t="n">
        <v>9819758968</v>
      </c>
      <c r="G4397" s="32" t="s">
        <v>104</v>
      </c>
      <c r="H4397" s="32" t="s">
        <v>332</v>
      </c>
      <c r="I4397" s="32" t="s">
        <v>145</v>
      </c>
      <c r="J4397" s="32" t="s">
        <v>117</v>
      </c>
      <c r="K4397" s="32" t="s">
        <v>63</v>
      </c>
    </row>
    <row r="4398" customFormat="false" ht="13.5" hidden="false" customHeight="true" outlineLevel="0" collapsed="false">
      <c r="A4398" s="32" t="n">
        <v>6807</v>
      </c>
      <c r="B4398" s="32" t="s">
        <v>3484</v>
      </c>
      <c r="C4398" s="32" t="s">
        <v>3485</v>
      </c>
      <c r="D4398" s="32" t="s">
        <v>331</v>
      </c>
      <c r="E4398" s="32" t="s">
        <v>278</v>
      </c>
      <c r="F4398" s="32" t="n">
        <v>9819758968</v>
      </c>
      <c r="G4398" s="32" t="s">
        <v>104</v>
      </c>
      <c r="H4398" s="32" t="s">
        <v>332</v>
      </c>
      <c r="I4398" s="32" t="s">
        <v>239</v>
      </c>
      <c r="J4398" s="32" t="s">
        <v>132</v>
      </c>
      <c r="K4398" s="32" t="s">
        <v>63</v>
      </c>
    </row>
    <row r="4399" customFormat="false" ht="13.5" hidden="false" customHeight="true" outlineLevel="0" collapsed="false">
      <c r="A4399" s="32" t="n">
        <v>6808</v>
      </c>
      <c r="B4399" s="32" t="s">
        <v>3486</v>
      </c>
      <c r="C4399" s="32" t="s">
        <v>3487</v>
      </c>
      <c r="D4399" s="32" t="s">
        <v>59</v>
      </c>
      <c r="E4399" s="32" t="s">
        <v>107</v>
      </c>
      <c r="F4399" s="32" t="n">
        <v>0</v>
      </c>
      <c r="G4399" s="32" t="s">
        <v>69</v>
      </c>
      <c r="H4399" s="32" t="s">
        <v>21</v>
      </c>
      <c r="I4399" s="32" t="s">
        <v>27</v>
      </c>
      <c r="J4399" s="32" t="s">
        <v>13</v>
      </c>
      <c r="K4399" s="32" t="s">
        <v>63</v>
      </c>
    </row>
    <row r="4400" customFormat="false" ht="13.5" hidden="false" customHeight="true" outlineLevel="0" collapsed="false">
      <c r="A4400" s="32" t="n">
        <v>6809</v>
      </c>
      <c r="B4400" s="32" t="s">
        <v>3486</v>
      </c>
      <c r="C4400" s="32" t="s">
        <v>3487</v>
      </c>
      <c r="D4400" s="32" t="s">
        <v>59</v>
      </c>
      <c r="E4400" s="32" t="s">
        <v>107</v>
      </c>
      <c r="F4400" s="32" t="n">
        <v>0</v>
      </c>
      <c r="G4400" s="32" t="s">
        <v>69</v>
      </c>
      <c r="H4400" s="32" t="s">
        <v>21</v>
      </c>
      <c r="I4400" s="32" t="s">
        <v>109</v>
      </c>
      <c r="J4400" s="32" t="s">
        <v>110</v>
      </c>
      <c r="K4400" s="32" t="s">
        <v>63</v>
      </c>
    </row>
    <row r="4401" customFormat="false" ht="13.5" hidden="false" customHeight="true" outlineLevel="0" collapsed="false">
      <c r="A4401" s="32" t="n">
        <v>6810</v>
      </c>
      <c r="B4401" s="32" t="s">
        <v>3488</v>
      </c>
      <c r="C4401" s="32" t="s">
        <v>3489</v>
      </c>
      <c r="D4401" s="32" t="s">
        <v>59</v>
      </c>
      <c r="E4401" s="32" t="s">
        <v>107</v>
      </c>
      <c r="F4401" s="32" t="n">
        <v>0</v>
      </c>
      <c r="G4401" s="32" t="s">
        <v>61</v>
      </c>
      <c r="H4401" s="32" t="s">
        <v>21</v>
      </c>
      <c r="I4401" s="32" t="s">
        <v>27</v>
      </c>
      <c r="J4401" s="32" t="s">
        <v>13</v>
      </c>
      <c r="K4401" s="32" t="s">
        <v>63</v>
      </c>
    </row>
    <row r="4402" customFormat="false" ht="13.5" hidden="false" customHeight="true" outlineLevel="0" collapsed="false">
      <c r="A4402" s="32" t="n">
        <v>6811</v>
      </c>
      <c r="B4402" s="32" t="s">
        <v>3488</v>
      </c>
      <c r="C4402" s="32" t="s">
        <v>3489</v>
      </c>
      <c r="D4402" s="32" t="s">
        <v>59</v>
      </c>
      <c r="E4402" s="32" t="s">
        <v>107</v>
      </c>
      <c r="F4402" s="32" t="n">
        <v>0</v>
      </c>
      <c r="G4402" s="32" t="s">
        <v>61</v>
      </c>
      <c r="H4402" s="32" t="s">
        <v>21</v>
      </c>
      <c r="I4402" s="32" t="s">
        <v>30</v>
      </c>
      <c r="J4402" s="32" t="s">
        <v>203</v>
      </c>
      <c r="K4402" s="32" t="s">
        <v>63</v>
      </c>
    </row>
    <row r="4403" customFormat="false" ht="13.5" hidden="false" customHeight="true" outlineLevel="0" collapsed="false">
      <c r="A4403" s="32" t="n">
        <v>6812</v>
      </c>
      <c r="B4403" s="32" t="s">
        <v>3488</v>
      </c>
      <c r="C4403" s="32" t="s">
        <v>3489</v>
      </c>
      <c r="D4403" s="32" t="s">
        <v>59</v>
      </c>
      <c r="E4403" s="32" t="s">
        <v>107</v>
      </c>
      <c r="F4403" s="32" t="n">
        <v>0</v>
      </c>
      <c r="G4403" s="32" t="s">
        <v>61</v>
      </c>
      <c r="H4403" s="32" t="s">
        <v>21</v>
      </c>
      <c r="I4403" s="32" t="s">
        <v>151</v>
      </c>
      <c r="J4403" s="32" t="s">
        <v>152</v>
      </c>
      <c r="K4403" s="32" t="s">
        <v>63</v>
      </c>
    </row>
    <row r="4404" customFormat="false" ht="13.5" hidden="false" customHeight="true" outlineLevel="0" collapsed="false">
      <c r="A4404" s="32" t="n">
        <v>6813</v>
      </c>
      <c r="B4404" s="32" t="s">
        <v>3490</v>
      </c>
      <c r="C4404" s="32" t="s">
        <v>3491</v>
      </c>
      <c r="D4404" s="32" t="s">
        <v>59</v>
      </c>
      <c r="E4404" s="32" t="s">
        <v>107</v>
      </c>
      <c r="F4404" s="32" t="n">
        <v>9986968844</v>
      </c>
      <c r="G4404" s="32" t="s">
        <v>61</v>
      </c>
      <c r="H4404" s="32" t="s">
        <v>21</v>
      </c>
      <c r="I4404" s="32" t="s">
        <v>108</v>
      </c>
      <c r="J4404" s="32" t="s">
        <v>71</v>
      </c>
      <c r="K4404" s="32" t="s">
        <v>63</v>
      </c>
    </row>
    <row r="4405" customFormat="false" ht="13.5" hidden="false" customHeight="true" outlineLevel="0" collapsed="false">
      <c r="A4405" s="32" t="n">
        <v>6814</v>
      </c>
      <c r="B4405" s="32" t="s">
        <v>3490</v>
      </c>
      <c r="C4405" s="32" t="s">
        <v>3491</v>
      </c>
      <c r="D4405" s="32" t="s">
        <v>59</v>
      </c>
      <c r="E4405" s="32" t="s">
        <v>107</v>
      </c>
      <c r="F4405" s="32" t="n">
        <v>9986968844</v>
      </c>
      <c r="G4405" s="32" t="s">
        <v>61</v>
      </c>
      <c r="H4405" s="32" t="s">
        <v>21</v>
      </c>
      <c r="I4405" s="32" t="s">
        <v>630</v>
      </c>
      <c r="J4405" s="32" t="s">
        <v>71</v>
      </c>
      <c r="K4405" s="32" t="s">
        <v>63</v>
      </c>
    </row>
    <row r="4406" customFormat="false" ht="13.5" hidden="false" customHeight="true" outlineLevel="0" collapsed="false">
      <c r="A4406" s="32" t="n">
        <v>6815</v>
      </c>
      <c r="B4406" s="32" t="s">
        <v>3492</v>
      </c>
      <c r="C4406" s="32" t="s">
        <v>3493</v>
      </c>
      <c r="D4406" s="32" t="s">
        <v>59</v>
      </c>
      <c r="E4406" s="32" t="s">
        <v>60</v>
      </c>
      <c r="F4406" s="32" t="n">
        <v>8088141099</v>
      </c>
      <c r="G4406" s="32" t="s">
        <v>61</v>
      </c>
      <c r="H4406" s="32" t="s">
        <v>21</v>
      </c>
      <c r="I4406" s="32" t="s">
        <v>85</v>
      </c>
      <c r="J4406" s="32" t="s">
        <v>85</v>
      </c>
      <c r="K4406" s="32" t="s">
        <v>63</v>
      </c>
    </row>
    <row r="4407" customFormat="false" ht="13.5" hidden="false" customHeight="true" outlineLevel="0" collapsed="false">
      <c r="A4407" s="32" t="n">
        <v>6816</v>
      </c>
      <c r="B4407" s="32" t="s">
        <v>3492</v>
      </c>
      <c r="C4407" s="32" t="s">
        <v>3493</v>
      </c>
      <c r="D4407" s="32" t="s">
        <v>59</v>
      </c>
      <c r="E4407" s="32" t="s">
        <v>60</v>
      </c>
      <c r="F4407" s="32" t="n">
        <v>8088141099</v>
      </c>
      <c r="G4407" s="32" t="s">
        <v>61</v>
      </c>
      <c r="H4407" s="32" t="s">
        <v>21</v>
      </c>
      <c r="I4407" s="32" t="s">
        <v>16</v>
      </c>
      <c r="J4407" s="32" t="s">
        <v>73</v>
      </c>
      <c r="K4407" s="32" t="s">
        <v>63</v>
      </c>
    </row>
    <row r="4408" customFormat="false" ht="13.5" hidden="false" customHeight="true" outlineLevel="0" collapsed="false">
      <c r="A4408" s="32" t="n">
        <v>6817</v>
      </c>
      <c r="B4408" s="32" t="s">
        <v>3492</v>
      </c>
      <c r="C4408" s="32" t="s">
        <v>3493</v>
      </c>
      <c r="D4408" s="32" t="s">
        <v>59</v>
      </c>
      <c r="E4408" s="32" t="s">
        <v>60</v>
      </c>
      <c r="F4408" s="32" t="n">
        <v>8088141099</v>
      </c>
      <c r="G4408" s="32" t="s">
        <v>61</v>
      </c>
      <c r="H4408" s="32" t="s">
        <v>21</v>
      </c>
      <c r="I4408" s="32" t="s">
        <v>108</v>
      </c>
      <c r="J4408" s="32" t="s">
        <v>71</v>
      </c>
      <c r="K4408" s="32" t="s">
        <v>63</v>
      </c>
    </row>
    <row r="4409" customFormat="false" ht="13.5" hidden="false" customHeight="true" outlineLevel="0" collapsed="false">
      <c r="A4409" s="32" t="n">
        <v>6818</v>
      </c>
      <c r="B4409" s="32" t="s">
        <v>3492</v>
      </c>
      <c r="C4409" s="32" t="s">
        <v>3493</v>
      </c>
      <c r="D4409" s="32" t="s">
        <v>59</v>
      </c>
      <c r="E4409" s="32" t="s">
        <v>60</v>
      </c>
      <c r="F4409" s="32" t="n">
        <v>8088141099</v>
      </c>
      <c r="G4409" s="32" t="s">
        <v>61</v>
      </c>
      <c r="H4409" s="32" t="s">
        <v>21</v>
      </c>
      <c r="I4409" s="32" t="s">
        <v>76</v>
      </c>
      <c r="J4409" s="32" t="s">
        <v>76</v>
      </c>
      <c r="K4409" s="32" t="s">
        <v>63</v>
      </c>
    </row>
    <row r="4410" customFormat="false" ht="13.5" hidden="false" customHeight="true" outlineLevel="0" collapsed="false">
      <c r="A4410" s="32" t="n">
        <v>6819</v>
      </c>
      <c r="B4410" s="32" t="s">
        <v>3494</v>
      </c>
      <c r="C4410" s="32" t="s">
        <v>3495</v>
      </c>
      <c r="D4410" s="32" t="s">
        <v>114</v>
      </c>
      <c r="E4410" s="32" t="s">
        <v>124</v>
      </c>
      <c r="F4410" s="32" t="n">
        <v>0</v>
      </c>
      <c r="G4410" s="32" t="s">
        <v>80</v>
      </c>
      <c r="H4410" s="32" t="s">
        <v>22</v>
      </c>
      <c r="I4410" s="32" t="s">
        <v>185</v>
      </c>
      <c r="J4410" s="32" t="s">
        <v>186</v>
      </c>
      <c r="K4410" s="32" t="s">
        <v>63</v>
      </c>
    </row>
    <row r="4411" customFormat="false" ht="13.5" hidden="false" customHeight="true" outlineLevel="0" collapsed="false">
      <c r="A4411" s="32" t="n">
        <v>6820</v>
      </c>
      <c r="B4411" s="32" t="s">
        <v>3494</v>
      </c>
      <c r="C4411" s="32" t="s">
        <v>3495</v>
      </c>
      <c r="D4411" s="32" t="s">
        <v>114</v>
      </c>
      <c r="E4411" s="32" t="s">
        <v>124</v>
      </c>
      <c r="F4411" s="32" t="n">
        <v>0</v>
      </c>
      <c r="G4411" s="32" t="s">
        <v>80</v>
      </c>
      <c r="H4411" s="32" t="s">
        <v>22</v>
      </c>
      <c r="I4411" s="32" t="s">
        <v>226</v>
      </c>
      <c r="J4411" s="32" t="s">
        <v>110</v>
      </c>
      <c r="K4411" s="32" t="s">
        <v>63</v>
      </c>
    </row>
    <row r="4412" customFormat="false" ht="13.5" hidden="false" customHeight="true" outlineLevel="0" collapsed="false">
      <c r="A4412" s="32" t="n">
        <v>6821</v>
      </c>
      <c r="B4412" s="32" t="s">
        <v>3494</v>
      </c>
      <c r="C4412" s="32" t="s">
        <v>3495</v>
      </c>
      <c r="D4412" s="32" t="s">
        <v>114</v>
      </c>
      <c r="E4412" s="32" t="s">
        <v>124</v>
      </c>
      <c r="F4412" s="32" t="n">
        <v>0</v>
      </c>
      <c r="G4412" s="32" t="s">
        <v>80</v>
      </c>
      <c r="H4412" s="32" t="s">
        <v>22</v>
      </c>
      <c r="I4412" s="32" t="s">
        <v>227</v>
      </c>
      <c r="J4412" s="32" t="s">
        <v>228</v>
      </c>
      <c r="K4412" s="32" t="s">
        <v>63</v>
      </c>
    </row>
    <row r="4413" customFormat="false" ht="13.5" hidden="false" customHeight="true" outlineLevel="0" collapsed="false">
      <c r="A4413" s="32" t="n">
        <v>6822</v>
      </c>
      <c r="B4413" s="32" t="s">
        <v>3494</v>
      </c>
      <c r="C4413" s="32" t="s">
        <v>3495</v>
      </c>
      <c r="D4413" s="32" t="s">
        <v>114</v>
      </c>
      <c r="E4413" s="32" t="s">
        <v>124</v>
      </c>
      <c r="F4413" s="32" t="n">
        <v>0</v>
      </c>
      <c r="G4413" s="32" t="s">
        <v>80</v>
      </c>
      <c r="H4413" s="32" t="s">
        <v>22</v>
      </c>
      <c r="I4413" s="32" t="s">
        <v>231</v>
      </c>
      <c r="J4413" s="32" t="s">
        <v>228</v>
      </c>
      <c r="K4413" s="32" t="s">
        <v>63</v>
      </c>
    </row>
    <row r="4414" customFormat="false" ht="13.5" hidden="false" customHeight="true" outlineLevel="0" collapsed="false">
      <c r="A4414" s="32" t="n">
        <v>6823</v>
      </c>
      <c r="B4414" s="32" t="s">
        <v>3496</v>
      </c>
      <c r="C4414" s="32" t="s">
        <v>3497</v>
      </c>
      <c r="D4414" s="32" t="s">
        <v>59</v>
      </c>
      <c r="E4414" s="32" t="s">
        <v>107</v>
      </c>
      <c r="F4414" s="32" t="n">
        <v>9893055999</v>
      </c>
      <c r="G4414" s="32" t="s">
        <v>69</v>
      </c>
      <c r="H4414" s="32" t="s">
        <v>21</v>
      </c>
      <c r="I4414" s="32" t="s">
        <v>108</v>
      </c>
      <c r="J4414" s="32" t="s">
        <v>71</v>
      </c>
      <c r="K4414" s="32" t="s">
        <v>63</v>
      </c>
    </row>
    <row r="4415" customFormat="false" ht="13.5" hidden="false" customHeight="true" outlineLevel="0" collapsed="false">
      <c r="A4415" s="32" t="n">
        <v>6824</v>
      </c>
      <c r="B4415" s="32" t="s">
        <v>3496</v>
      </c>
      <c r="C4415" s="32" t="s">
        <v>3497</v>
      </c>
      <c r="D4415" s="32" t="s">
        <v>59</v>
      </c>
      <c r="E4415" s="32" t="s">
        <v>107</v>
      </c>
      <c r="F4415" s="32" t="n">
        <v>9893055999</v>
      </c>
      <c r="G4415" s="32" t="s">
        <v>69</v>
      </c>
      <c r="H4415" s="32" t="s">
        <v>21</v>
      </c>
      <c r="I4415" s="32" t="s">
        <v>27</v>
      </c>
      <c r="J4415" s="32" t="s">
        <v>13</v>
      </c>
      <c r="K4415" s="32" t="s">
        <v>63</v>
      </c>
    </row>
    <row r="4416" customFormat="false" ht="13.5" hidden="false" customHeight="true" outlineLevel="0" collapsed="false">
      <c r="A4416" s="32" t="n">
        <v>6825</v>
      </c>
      <c r="B4416" s="32" t="s">
        <v>3496</v>
      </c>
      <c r="C4416" s="32" t="s">
        <v>3497</v>
      </c>
      <c r="D4416" s="32" t="s">
        <v>59</v>
      </c>
      <c r="E4416" s="32" t="s">
        <v>107</v>
      </c>
      <c r="F4416" s="32" t="n">
        <v>9893055999</v>
      </c>
      <c r="G4416" s="32" t="s">
        <v>69</v>
      </c>
      <c r="H4416" s="32" t="s">
        <v>21</v>
      </c>
      <c r="I4416" s="32" t="s">
        <v>111</v>
      </c>
      <c r="J4416" s="32" t="s">
        <v>73</v>
      </c>
      <c r="K4416" s="32" t="s">
        <v>63</v>
      </c>
    </row>
    <row r="4417" customFormat="false" ht="13.5" hidden="false" customHeight="true" outlineLevel="0" collapsed="false">
      <c r="A4417" s="32" t="n">
        <v>6826</v>
      </c>
      <c r="B4417" s="32" t="s">
        <v>3496</v>
      </c>
      <c r="C4417" s="32" t="s">
        <v>3497</v>
      </c>
      <c r="D4417" s="32" t="s">
        <v>59</v>
      </c>
      <c r="E4417" s="32" t="s">
        <v>107</v>
      </c>
      <c r="F4417" s="32" t="n">
        <v>9893055999</v>
      </c>
      <c r="G4417" s="32" t="s">
        <v>69</v>
      </c>
      <c r="H4417" s="32" t="s">
        <v>21</v>
      </c>
      <c r="I4417" s="32" t="s">
        <v>280</v>
      </c>
      <c r="J4417" s="32" t="s">
        <v>76</v>
      </c>
      <c r="K4417" s="32" t="s">
        <v>63</v>
      </c>
    </row>
    <row r="4418" customFormat="false" ht="13.5" hidden="false" customHeight="true" outlineLevel="0" collapsed="false">
      <c r="A4418" s="32" t="n">
        <v>6827</v>
      </c>
      <c r="B4418" s="32" t="s">
        <v>3498</v>
      </c>
      <c r="C4418" s="32" t="s">
        <v>3499</v>
      </c>
      <c r="D4418" s="32" t="s">
        <v>59</v>
      </c>
      <c r="E4418" s="32" t="s">
        <v>79</v>
      </c>
      <c r="F4418" s="32" t="n">
        <v>9082888259</v>
      </c>
      <c r="G4418" s="32" t="s">
        <v>104</v>
      </c>
      <c r="H4418" s="32" t="s">
        <v>21</v>
      </c>
      <c r="I4418" s="32" t="s">
        <v>678</v>
      </c>
      <c r="J4418" s="32" t="s">
        <v>152</v>
      </c>
      <c r="K4418" s="32" t="s">
        <v>63</v>
      </c>
    </row>
    <row r="4419" customFormat="false" ht="13.5" hidden="false" customHeight="true" outlineLevel="0" collapsed="false">
      <c r="A4419" s="32" t="n">
        <v>6828</v>
      </c>
      <c r="B4419" s="32" t="s">
        <v>3498</v>
      </c>
      <c r="C4419" s="32" t="s">
        <v>3499</v>
      </c>
      <c r="D4419" s="32" t="s">
        <v>59</v>
      </c>
      <c r="E4419" s="32" t="s">
        <v>79</v>
      </c>
      <c r="F4419" s="32" t="n">
        <v>9082888259</v>
      </c>
      <c r="G4419" s="32" t="s">
        <v>104</v>
      </c>
      <c r="H4419" s="32" t="s">
        <v>21</v>
      </c>
      <c r="I4419" s="32" t="s">
        <v>151</v>
      </c>
      <c r="J4419" s="32" t="s">
        <v>152</v>
      </c>
      <c r="K4419" s="32" t="s">
        <v>63</v>
      </c>
    </row>
    <row r="4420" customFormat="false" ht="13.5" hidden="false" customHeight="true" outlineLevel="0" collapsed="false">
      <c r="A4420" s="32" t="n">
        <v>6829</v>
      </c>
      <c r="B4420" s="32" t="s">
        <v>3500</v>
      </c>
      <c r="C4420" s="32" t="s">
        <v>3501</v>
      </c>
      <c r="D4420" s="32" t="s">
        <v>114</v>
      </c>
      <c r="E4420" s="32" t="s">
        <v>115</v>
      </c>
      <c r="F4420" s="32" t="n">
        <v>9885839438</v>
      </c>
      <c r="G4420" s="32" t="s">
        <v>80</v>
      </c>
      <c r="H4420" s="32" t="s">
        <v>22</v>
      </c>
      <c r="I4420" s="32" t="s">
        <v>133</v>
      </c>
      <c r="J4420" s="32" t="s">
        <v>134</v>
      </c>
      <c r="K4420" s="32" t="s">
        <v>63</v>
      </c>
    </row>
    <row r="4421" customFormat="false" ht="13.5" hidden="false" customHeight="true" outlineLevel="0" collapsed="false">
      <c r="A4421" s="32" t="n">
        <v>6830</v>
      </c>
      <c r="B4421" s="32" t="s">
        <v>3500</v>
      </c>
      <c r="C4421" s="32" t="s">
        <v>3501</v>
      </c>
      <c r="D4421" s="32" t="s">
        <v>114</v>
      </c>
      <c r="E4421" s="32" t="s">
        <v>115</v>
      </c>
      <c r="F4421" s="32" t="n">
        <v>9885839438</v>
      </c>
      <c r="G4421" s="32" t="s">
        <v>80</v>
      </c>
      <c r="H4421" s="32" t="s">
        <v>22</v>
      </c>
      <c r="I4421" s="32" t="s">
        <v>314</v>
      </c>
      <c r="J4421" s="32" t="s">
        <v>134</v>
      </c>
      <c r="K4421" s="32" t="s">
        <v>63</v>
      </c>
    </row>
    <row r="4422" customFormat="false" ht="13.5" hidden="false" customHeight="true" outlineLevel="0" collapsed="false">
      <c r="A4422" s="32" t="n">
        <v>6831</v>
      </c>
      <c r="B4422" s="32" t="s">
        <v>3500</v>
      </c>
      <c r="C4422" s="32" t="s">
        <v>3501</v>
      </c>
      <c r="D4422" s="32" t="s">
        <v>114</v>
      </c>
      <c r="E4422" s="32" t="s">
        <v>115</v>
      </c>
      <c r="F4422" s="32" t="n">
        <v>9885839438</v>
      </c>
      <c r="G4422" s="32" t="s">
        <v>80</v>
      </c>
      <c r="H4422" s="32" t="s">
        <v>22</v>
      </c>
      <c r="I4422" s="32" t="s">
        <v>126</v>
      </c>
      <c r="J4422" s="32" t="s">
        <v>85</v>
      </c>
      <c r="K4422" s="32" t="s">
        <v>63</v>
      </c>
    </row>
    <row r="4423" customFormat="false" ht="13.5" hidden="false" customHeight="true" outlineLevel="0" collapsed="false">
      <c r="A4423" s="32" t="n">
        <v>6832</v>
      </c>
      <c r="B4423" s="32" t="s">
        <v>3502</v>
      </c>
      <c r="C4423" s="32" t="s">
        <v>3503</v>
      </c>
      <c r="D4423" s="32" t="s">
        <v>59</v>
      </c>
      <c r="E4423" s="32" t="s">
        <v>107</v>
      </c>
      <c r="F4423" s="32" t="n">
        <v>9573627999</v>
      </c>
      <c r="G4423" s="32" t="s">
        <v>80</v>
      </c>
      <c r="H4423" s="32" t="s">
        <v>21</v>
      </c>
      <c r="I4423" s="32" t="s">
        <v>386</v>
      </c>
      <c r="J4423" s="32" t="s">
        <v>132</v>
      </c>
      <c r="K4423" s="32" t="s">
        <v>63</v>
      </c>
    </row>
    <row r="4424" customFormat="false" ht="13.5" hidden="false" customHeight="true" outlineLevel="0" collapsed="false">
      <c r="A4424" s="32" t="n">
        <v>6833</v>
      </c>
      <c r="B4424" s="32" t="s">
        <v>3502</v>
      </c>
      <c r="C4424" s="32" t="s">
        <v>3503</v>
      </c>
      <c r="D4424" s="32" t="s">
        <v>59</v>
      </c>
      <c r="E4424" s="32" t="s">
        <v>107</v>
      </c>
      <c r="F4424" s="32" t="n">
        <v>9573627999</v>
      </c>
      <c r="G4424" s="32" t="s">
        <v>80</v>
      </c>
      <c r="H4424" s="32" t="s">
        <v>21</v>
      </c>
      <c r="I4424" s="32" t="s">
        <v>215</v>
      </c>
      <c r="J4424" s="32" t="s">
        <v>132</v>
      </c>
      <c r="K4424" s="32" t="s">
        <v>63</v>
      </c>
    </row>
    <row r="4425" customFormat="false" ht="13.5" hidden="false" customHeight="true" outlineLevel="0" collapsed="false">
      <c r="A4425" s="32" t="n">
        <v>6834</v>
      </c>
      <c r="B4425" s="32" t="s">
        <v>3502</v>
      </c>
      <c r="C4425" s="32" t="s">
        <v>3503</v>
      </c>
      <c r="D4425" s="32" t="s">
        <v>59</v>
      </c>
      <c r="E4425" s="32" t="s">
        <v>107</v>
      </c>
      <c r="F4425" s="32" t="n">
        <v>9573627999</v>
      </c>
      <c r="G4425" s="32" t="s">
        <v>80</v>
      </c>
      <c r="H4425" s="32" t="s">
        <v>21</v>
      </c>
      <c r="I4425" s="32" t="s">
        <v>728</v>
      </c>
      <c r="J4425" s="32" t="s">
        <v>132</v>
      </c>
      <c r="K4425" s="32" t="s">
        <v>63</v>
      </c>
    </row>
    <row r="4426" customFormat="false" ht="13.5" hidden="false" customHeight="true" outlineLevel="0" collapsed="false">
      <c r="A4426" s="32" t="n">
        <v>6835</v>
      </c>
      <c r="B4426" s="32" t="s">
        <v>3504</v>
      </c>
      <c r="C4426" s="32" t="s">
        <v>3505</v>
      </c>
      <c r="D4426" s="32" t="s">
        <v>59</v>
      </c>
      <c r="E4426" s="32" t="s">
        <v>92</v>
      </c>
      <c r="F4426" s="32" t="n">
        <v>9553340011</v>
      </c>
      <c r="G4426" s="32" t="s">
        <v>80</v>
      </c>
      <c r="H4426" s="32" t="s">
        <v>21</v>
      </c>
      <c r="I4426" s="32" t="s">
        <v>3506</v>
      </c>
      <c r="J4426" s="32" t="s">
        <v>1571</v>
      </c>
      <c r="K4426" s="32" t="s">
        <v>63</v>
      </c>
    </row>
    <row r="4427" customFormat="false" ht="13.5" hidden="false" customHeight="true" outlineLevel="0" collapsed="false">
      <c r="A4427" s="32" t="n">
        <v>6836</v>
      </c>
      <c r="B4427" s="32" t="s">
        <v>3504</v>
      </c>
      <c r="C4427" s="32" t="s">
        <v>3505</v>
      </c>
      <c r="D4427" s="32" t="s">
        <v>59</v>
      </c>
      <c r="E4427" s="32" t="s">
        <v>92</v>
      </c>
      <c r="F4427" s="32" t="n">
        <v>9553340011</v>
      </c>
      <c r="G4427" s="32" t="s">
        <v>80</v>
      </c>
      <c r="H4427" s="32" t="s">
        <v>21</v>
      </c>
      <c r="I4427" s="32" t="s">
        <v>234</v>
      </c>
      <c r="J4427" s="32" t="s">
        <v>235</v>
      </c>
      <c r="K4427" s="32" t="s">
        <v>63</v>
      </c>
    </row>
    <row r="4428" customFormat="false" ht="13.5" hidden="false" customHeight="true" outlineLevel="0" collapsed="false">
      <c r="A4428" s="32" t="n">
        <v>6837</v>
      </c>
      <c r="B4428" s="32" t="s">
        <v>3507</v>
      </c>
      <c r="C4428" s="32" t="s">
        <v>3508</v>
      </c>
      <c r="D4428" s="32" t="s">
        <v>331</v>
      </c>
      <c r="E4428" s="32" t="s">
        <v>278</v>
      </c>
      <c r="F4428" s="32" t="n">
        <v>9704456012</v>
      </c>
      <c r="G4428" s="32" t="s">
        <v>80</v>
      </c>
      <c r="H4428" s="32" t="s">
        <v>332</v>
      </c>
      <c r="I4428" s="32" t="s">
        <v>392</v>
      </c>
      <c r="J4428" s="32" t="s">
        <v>99</v>
      </c>
      <c r="K4428" s="32" t="s">
        <v>63</v>
      </c>
    </row>
    <row r="4429" customFormat="false" ht="13.5" hidden="false" customHeight="true" outlineLevel="0" collapsed="false">
      <c r="A4429" s="32" t="n">
        <v>6838</v>
      </c>
      <c r="B4429" s="32" t="s">
        <v>3507</v>
      </c>
      <c r="C4429" s="32" t="s">
        <v>3508</v>
      </c>
      <c r="D4429" s="32" t="s">
        <v>331</v>
      </c>
      <c r="E4429" s="32" t="s">
        <v>278</v>
      </c>
      <c r="F4429" s="32" t="n">
        <v>9704456012</v>
      </c>
      <c r="G4429" s="32" t="s">
        <v>80</v>
      </c>
      <c r="H4429" s="32" t="s">
        <v>332</v>
      </c>
      <c r="I4429" s="32" t="s">
        <v>98</v>
      </c>
      <c r="J4429" s="32" t="s">
        <v>99</v>
      </c>
      <c r="K4429" s="32" t="s">
        <v>63</v>
      </c>
    </row>
    <row r="4430" customFormat="false" ht="13.5" hidden="false" customHeight="true" outlineLevel="0" collapsed="false">
      <c r="A4430" s="32" t="n">
        <v>6839</v>
      </c>
      <c r="B4430" s="32" t="s">
        <v>3509</v>
      </c>
      <c r="C4430" s="32" t="s">
        <v>3510</v>
      </c>
      <c r="D4430" s="32" t="s">
        <v>114</v>
      </c>
      <c r="E4430" s="32" t="s">
        <v>124</v>
      </c>
      <c r="F4430" s="32" t="n">
        <v>8976198935</v>
      </c>
      <c r="G4430" s="32" t="s">
        <v>104</v>
      </c>
      <c r="H4430" s="32" t="s">
        <v>22</v>
      </c>
      <c r="I4430" s="32" t="s">
        <v>221</v>
      </c>
      <c r="J4430" s="32" t="s">
        <v>222</v>
      </c>
      <c r="K4430" s="32" t="s">
        <v>63</v>
      </c>
    </row>
    <row r="4431" customFormat="false" ht="13.5" hidden="false" customHeight="true" outlineLevel="0" collapsed="false">
      <c r="A4431" s="32" t="n">
        <v>6840</v>
      </c>
      <c r="B4431" s="32" t="s">
        <v>3509</v>
      </c>
      <c r="C4431" s="32" t="s">
        <v>3510</v>
      </c>
      <c r="D4431" s="32" t="s">
        <v>114</v>
      </c>
      <c r="E4431" s="32" t="s">
        <v>124</v>
      </c>
      <c r="F4431" s="32" t="n">
        <v>8976198935</v>
      </c>
      <c r="G4431" s="32" t="s">
        <v>104</v>
      </c>
      <c r="H4431" s="32" t="s">
        <v>22</v>
      </c>
      <c r="I4431" s="32" t="s">
        <v>185</v>
      </c>
      <c r="J4431" s="32" t="s">
        <v>186</v>
      </c>
      <c r="K4431" s="32" t="s">
        <v>63</v>
      </c>
    </row>
    <row r="4432" customFormat="false" ht="13.5" hidden="false" customHeight="true" outlineLevel="0" collapsed="false">
      <c r="A4432" s="32" t="n">
        <v>6841</v>
      </c>
      <c r="B4432" s="32" t="s">
        <v>3509</v>
      </c>
      <c r="C4432" s="32" t="s">
        <v>3510</v>
      </c>
      <c r="D4432" s="32" t="s">
        <v>114</v>
      </c>
      <c r="E4432" s="32" t="s">
        <v>124</v>
      </c>
      <c r="F4432" s="32" t="n">
        <v>8976198935</v>
      </c>
      <c r="G4432" s="32" t="s">
        <v>104</v>
      </c>
      <c r="H4432" s="32" t="s">
        <v>22</v>
      </c>
      <c r="I4432" s="32" t="s">
        <v>223</v>
      </c>
      <c r="J4432" s="32" t="s">
        <v>224</v>
      </c>
      <c r="K4432" s="32" t="s">
        <v>63</v>
      </c>
    </row>
    <row r="4433" customFormat="false" ht="13.5" hidden="false" customHeight="true" outlineLevel="0" collapsed="false">
      <c r="A4433" s="32" t="n">
        <v>6842</v>
      </c>
      <c r="B4433" s="32" t="s">
        <v>3509</v>
      </c>
      <c r="C4433" s="32" t="s">
        <v>3510</v>
      </c>
      <c r="D4433" s="32" t="s">
        <v>114</v>
      </c>
      <c r="E4433" s="32" t="s">
        <v>124</v>
      </c>
      <c r="F4433" s="32" t="n">
        <v>8976198935</v>
      </c>
      <c r="G4433" s="32" t="s">
        <v>104</v>
      </c>
      <c r="H4433" s="32" t="s">
        <v>22</v>
      </c>
      <c r="I4433" s="32" t="s">
        <v>325</v>
      </c>
      <c r="J4433" s="32" t="s">
        <v>326</v>
      </c>
      <c r="K4433" s="32" t="s">
        <v>63</v>
      </c>
    </row>
    <row r="4434" customFormat="false" ht="13.5" hidden="false" customHeight="true" outlineLevel="0" collapsed="false">
      <c r="A4434" s="32" t="n">
        <v>6843</v>
      </c>
      <c r="B4434" s="32" t="s">
        <v>3511</v>
      </c>
      <c r="C4434" s="32" t="s">
        <v>3512</v>
      </c>
      <c r="D4434" s="32" t="s">
        <v>331</v>
      </c>
      <c r="E4434" s="32" t="n">
        <v>0</v>
      </c>
      <c r="F4434" s="32" t="n">
        <v>9560536222</v>
      </c>
      <c r="G4434" s="32" t="s">
        <v>144</v>
      </c>
      <c r="H4434" s="32" t="s">
        <v>332</v>
      </c>
      <c r="I4434" s="32" t="s">
        <v>108</v>
      </c>
      <c r="J4434" s="32" t="s">
        <v>71</v>
      </c>
      <c r="K4434" s="32" t="s">
        <v>63</v>
      </c>
    </row>
    <row r="4435" customFormat="false" ht="13.5" hidden="false" customHeight="true" outlineLevel="0" collapsed="false">
      <c r="A4435" s="32" t="n">
        <v>6844</v>
      </c>
      <c r="B4435" s="32" t="s">
        <v>3511</v>
      </c>
      <c r="C4435" s="32" t="s">
        <v>3512</v>
      </c>
      <c r="D4435" s="32" t="s">
        <v>331</v>
      </c>
      <c r="E4435" s="32" t="n">
        <v>0</v>
      </c>
      <c r="F4435" s="32" t="n">
        <v>9560536222</v>
      </c>
      <c r="G4435" s="32" t="s">
        <v>144</v>
      </c>
      <c r="H4435" s="32" t="s">
        <v>332</v>
      </c>
      <c r="I4435" s="32" t="s">
        <v>133</v>
      </c>
      <c r="J4435" s="32" t="s">
        <v>134</v>
      </c>
      <c r="K4435" s="32" t="s">
        <v>63</v>
      </c>
    </row>
    <row r="4436" customFormat="false" ht="13.5" hidden="false" customHeight="true" outlineLevel="0" collapsed="false">
      <c r="A4436" s="32" t="n">
        <v>6845</v>
      </c>
      <c r="B4436" s="32" t="s">
        <v>3511</v>
      </c>
      <c r="C4436" s="32" t="s">
        <v>3512</v>
      </c>
      <c r="D4436" s="32" t="s">
        <v>331</v>
      </c>
      <c r="E4436" s="32" t="n">
        <v>0</v>
      </c>
      <c r="F4436" s="32" t="n">
        <v>9560536222</v>
      </c>
      <c r="G4436" s="32" t="s">
        <v>144</v>
      </c>
      <c r="H4436" s="32" t="s">
        <v>332</v>
      </c>
      <c r="I4436" s="32" t="s">
        <v>95</v>
      </c>
      <c r="J4436" s="32" t="s">
        <v>96</v>
      </c>
      <c r="K4436" s="32" t="s">
        <v>63</v>
      </c>
    </row>
    <row r="4437" customFormat="false" ht="13.5" hidden="false" customHeight="true" outlineLevel="0" collapsed="false">
      <c r="A4437" s="32" t="n">
        <v>6846</v>
      </c>
      <c r="B4437" s="32" t="s">
        <v>3511</v>
      </c>
      <c r="C4437" s="32" t="s">
        <v>3512</v>
      </c>
      <c r="D4437" s="32" t="s">
        <v>331</v>
      </c>
      <c r="E4437" s="32" t="n">
        <v>0</v>
      </c>
      <c r="F4437" s="32" t="n">
        <v>9560536222</v>
      </c>
      <c r="G4437" s="32" t="s">
        <v>144</v>
      </c>
      <c r="H4437" s="32" t="s">
        <v>332</v>
      </c>
      <c r="I4437" s="32" t="s">
        <v>248</v>
      </c>
      <c r="J4437" s="32" t="s">
        <v>117</v>
      </c>
      <c r="K4437" s="32" t="s">
        <v>63</v>
      </c>
    </row>
    <row r="4438" customFormat="false" ht="13.5" hidden="false" customHeight="true" outlineLevel="0" collapsed="false">
      <c r="A4438" s="32" t="n">
        <v>6847</v>
      </c>
      <c r="B4438" s="32" t="s">
        <v>3511</v>
      </c>
      <c r="C4438" s="32" t="s">
        <v>3512</v>
      </c>
      <c r="D4438" s="32" t="s">
        <v>331</v>
      </c>
      <c r="E4438" s="32" t="n">
        <v>0</v>
      </c>
      <c r="F4438" s="32" t="n">
        <v>9560536222</v>
      </c>
      <c r="G4438" s="32" t="s">
        <v>144</v>
      </c>
      <c r="H4438" s="32" t="s">
        <v>332</v>
      </c>
      <c r="I4438" s="32" t="s">
        <v>796</v>
      </c>
      <c r="J4438" s="32" t="s">
        <v>186</v>
      </c>
      <c r="K4438" s="32" t="s">
        <v>63</v>
      </c>
    </row>
    <row r="4439" customFormat="false" ht="13.5" hidden="false" customHeight="true" outlineLevel="0" collapsed="false">
      <c r="A4439" s="32" t="n">
        <v>6848</v>
      </c>
      <c r="B4439" s="32" t="s">
        <v>3511</v>
      </c>
      <c r="C4439" s="32" t="s">
        <v>3512</v>
      </c>
      <c r="D4439" s="32" t="s">
        <v>331</v>
      </c>
      <c r="E4439" s="32" t="n">
        <v>0</v>
      </c>
      <c r="F4439" s="32" t="n">
        <v>9560536222</v>
      </c>
      <c r="G4439" s="32" t="s">
        <v>144</v>
      </c>
      <c r="H4439" s="32" t="s">
        <v>332</v>
      </c>
      <c r="I4439" s="32" t="s">
        <v>16</v>
      </c>
      <c r="J4439" s="32" t="s">
        <v>73</v>
      </c>
      <c r="K4439" s="32" t="s">
        <v>63</v>
      </c>
    </row>
    <row r="4440" customFormat="false" ht="13.5" hidden="false" customHeight="true" outlineLevel="0" collapsed="false">
      <c r="A4440" s="32" t="n">
        <v>6849</v>
      </c>
      <c r="B4440" s="32" t="s">
        <v>3513</v>
      </c>
      <c r="C4440" s="32" t="s">
        <v>3514</v>
      </c>
      <c r="D4440" s="32" t="s">
        <v>114</v>
      </c>
      <c r="E4440" s="32" t="s">
        <v>165</v>
      </c>
      <c r="F4440" s="32" t="n">
        <v>9986518534</v>
      </c>
      <c r="G4440" s="32" t="s">
        <v>61</v>
      </c>
      <c r="H4440" s="32" t="s">
        <v>22</v>
      </c>
      <c r="I4440" s="32" t="s">
        <v>248</v>
      </c>
      <c r="J4440" s="32" t="s">
        <v>117</v>
      </c>
      <c r="K4440" s="32" t="s">
        <v>63</v>
      </c>
    </row>
    <row r="4441" customFormat="false" ht="13.5" hidden="false" customHeight="true" outlineLevel="0" collapsed="false">
      <c r="A4441" s="32" t="n">
        <v>6850</v>
      </c>
      <c r="B4441" s="32" t="s">
        <v>3513</v>
      </c>
      <c r="C4441" s="32" t="s">
        <v>3514</v>
      </c>
      <c r="D4441" s="32" t="s">
        <v>114</v>
      </c>
      <c r="E4441" s="32" t="s">
        <v>165</v>
      </c>
      <c r="F4441" s="32" t="n">
        <v>9986518534</v>
      </c>
      <c r="G4441" s="32" t="s">
        <v>61</v>
      </c>
      <c r="H4441" s="32" t="s">
        <v>22</v>
      </c>
      <c r="I4441" s="32" t="s">
        <v>93</v>
      </c>
      <c r="J4441" s="32" t="s">
        <v>85</v>
      </c>
      <c r="K4441" s="32" t="s">
        <v>63</v>
      </c>
    </row>
    <row r="4442" customFormat="false" ht="13.5" hidden="false" customHeight="true" outlineLevel="0" collapsed="false">
      <c r="A4442" s="32" t="n">
        <v>6851</v>
      </c>
      <c r="B4442" s="32" t="s">
        <v>3513</v>
      </c>
      <c r="C4442" s="32" t="s">
        <v>3514</v>
      </c>
      <c r="D4442" s="32" t="s">
        <v>114</v>
      </c>
      <c r="E4442" s="32" t="s">
        <v>165</v>
      </c>
      <c r="F4442" s="32" t="n">
        <v>9986518534</v>
      </c>
      <c r="G4442" s="32" t="s">
        <v>61</v>
      </c>
      <c r="H4442" s="32" t="s">
        <v>22</v>
      </c>
      <c r="I4442" s="32" t="s">
        <v>108</v>
      </c>
      <c r="J4442" s="32" t="s">
        <v>71</v>
      </c>
      <c r="K4442" s="32" t="s">
        <v>63</v>
      </c>
    </row>
    <row r="4443" customFormat="false" ht="13.5" hidden="false" customHeight="true" outlineLevel="0" collapsed="false">
      <c r="A4443" s="32" t="n">
        <v>6852</v>
      </c>
      <c r="B4443" s="32" t="s">
        <v>3515</v>
      </c>
      <c r="C4443" s="32" t="s">
        <v>3516</v>
      </c>
      <c r="D4443" s="32" t="s">
        <v>114</v>
      </c>
      <c r="E4443" s="32" t="s">
        <v>115</v>
      </c>
      <c r="F4443" s="32" t="n">
        <v>8139999122</v>
      </c>
      <c r="G4443" s="32" t="s">
        <v>0</v>
      </c>
      <c r="H4443" s="32" t="s">
        <v>22</v>
      </c>
      <c r="I4443" s="32" t="s">
        <v>120</v>
      </c>
      <c r="J4443" s="32" t="s">
        <v>110</v>
      </c>
      <c r="K4443" s="32" t="s">
        <v>63</v>
      </c>
    </row>
    <row r="4444" customFormat="false" ht="13.5" hidden="false" customHeight="true" outlineLevel="0" collapsed="false">
      <c r="A4444" s="32" t="n">
        <v>6853</v>
      </c>
      <c r="B4444" s="32" t="s">
        <v>3515</v>
      </c>
      <c r="C4444" s="32" t="s">
        <v>3516</v>
      </c>
      <c r="D4444" s="32" t="s">
        <v>114</v>
      </c>
      <c r="E4444" s="32" t="s">
        <v>115</v>
      </c>
      <c r="F4444" s="32" t="n">
        <v>8139999122</v>
      </c>
      <c r="G4444" s="32" t="s">
        <v>0</v>
      </c>
      <c r="H4444" s="32" t="s">
        <v>22</v>
      </c>
      <c r="I4444" s="32" t="s">
        <v>145</v>
      </c>
      <c r="J4444" s="32" t="s">
        <v>117</v>
      </c>
      <c r="K4444" s="32" t="s">
        <v>63</v>
      </c>
    </row>
    <row r="4445" customFormat="false" ht="13.5" hidden="false" customHeight="true" outlineLevel="0" collapsed="false">
      <c r="A4445" s="32" t="n">
        <v>6854</v>
      </c>
      <c r="B4445" s="32" t="s">
        <v>3515</v>
      </c>
      <c r="C4445" s="32" t="s">
        <v>3516</v>
      </c>
      <c r="D4445" s="32" t="s">
        <v>114</v>
      </c>
      <c r="E4445" s="32" t="s">
        <v>115</v>
      </c>
      <c r="F4445" s="32" t="n">
        <v>8139999122</v>
      </c>
      <c r="G4445" s="32" t="s">
        <v>0</v>
      </c>
      <c r="H4445" s="32" t="s">
        <v>22</v>
      </c>
      <c r="I4445" s="32" t="s">
        <v>133</v>
      </c>
      <c r="J4445" s="32" t="s">
        <v>134</v>
      </c>
      <c r="K4445" s="32" t="s">
        <v>63</v>
      </c>
    </row>
    <row r="4446" customFormat="false" ht="13.5" hidden="false" customHeight="true" outlineLevel="0" collapsed="false">
      <c r="A4446" s="32" t="n">
        <v>6855</v>
      </c>
      <c r="B4446" s="32" t="s">
        <v>3517</v>
      </c>
      <c r="C4446" s="32" t="s">
        <v>3518</v>
      </c>
      <c r="D4446" s="32" t="s">
        <v>114</v>
      </c>
      <c r="E4446" s="32" t="s">
        <v>115</v>
      </c>
      <c r="F4446" s="32" t="n">
        <v>19453710473</v>
      </c>
      <c r="G4446" s="32" t="e">
        <f aca="false">#N/A</f>
        <v>#N/A</v>
      </c>
      <c r="H4446" s="32" t="s">
        <v>22</v>
      </c>
      <c r="I4446" s="32" t="s">
        <v>137</v>
      </c>
      <c r="J4446" s="32" t="s">
        <v>13</v>
      </c>
      <c r="K4446" s="32" t="s">
        <v>63</v>
      </c>
    </row>
    <row r="4447" customFormat="false" ht="13.5" hidden="false" customHeight="true" outlineLevel="0" collapsed="false">
      <c r="A4447" s="32" t="n">
        <v>6856</v>
      </c>
      <c r="B4447" s="32" t="s">
        <v>3517</v>
      </c>
      <c r="C4447" s="32" t="s">
        <v>3518</v>
      </c>
      <c r="D4447" s="32" t="s">
        <v>114</v>
      </c>
      <c r="E4447" s="32" t="s">
        <v>115</v>
      </c>
      <c r="F4447" s="32" t="n">
        <v>9453710473</v>
      </c>
      <c r="G4447" s="32" t="e">
        <f aca="false">#N/A</f>
        <v>#N/A</v>
      </c>
      <c r="H4447" s="32" t="s">
        <v>22</v>
      </c>
      <c r="I4447" s="32" t="s">
        <v>161</v>
      </c>
      <c r="J4447" s="32" t="s">
        <v>117</v>
      </c>
      <c r="K4447" s="32" t="s">
        <v>63</v>
      </c>
    </row>
    <row r="4448" customFormat="false" ht="13.5" hidden="false" customHeight="true" outlineLevel="0" collapsed="false">
      <c r="A4448" s="32" t="n">
        <v>6857</v>
      </c>
      <c r="B4448" s="32" t="s">
        <v>3517</v>
      </c>
      <c r="C4448" s="32" t="s">
        <v>3518</v>
      </c>
      <c r="D4448" s="32" t="s">
        <v>114</v>
      </c>
      <c r="E4448" s="32" t="s">
        <v>115</v>
      </c>
      <c r="F4448" s="32" t="n">
        <v>9453710473</v>
      </c>
      <c r="G4448" s="32" t="e">
        <f aca="false">#N/A</f>
        <v>#N/A</v>
      </c>
      <c r="H4448" s="32" t="s">
        <v>22</v>
      </c>
      <c r="I4448" s="32" t="s">
        <v>314</v>
      </c>
      <c r="J4448" s="32" t="s">
        <v>134</v>
      </c>
      <c r="K4448" s="32" t="s">
        <v>63</v>
      </c>
    </row>
    <row r="4449" customFormat="false" ht="13.5" hidden="false" customHeight="true" outlineLevel="0" collapsed="false">
      <c r="A4449" s="32" t="n">
        <v>6858</v>
      </c>
      <c r="B4449" s="32" t="s">
        <v>3519</v>
      </c>
      <c r="C4449" s="32" t="s">
        <v>3520</v>
      </c>
      <c r="D4449" s="32" t="s">
        <v>114</v>
      </c>
      <c r="E4449" s="32" t="s">
        <v>115</v>
      </c>
      <c r="F4449" s="32" t="n">
        <v>9676497123</v>
      </c>
      <c r="G4449" s="32" t="s">
        <v>80</v>
      </c>
      <c r="H4449" s="32" t="s">
        <v>22</v>
      </c>
      <c r="I4449" s="32" t="s">
        <v>72</v>
      </c>
      <c r="J4449" s="32" t="s">
        <v>73</v>
      </c>
      <c r="K4449" s="32" t="s">
        <v>63</v>
      </c>
    </row>
    <row r="4450" customFormat="false" ht="13.5" hidden="false" customHeight="true" outlineLevel="0" collapsed="false">
      <c r="A4450" s="32" t="n">
        <v>6859</v>
      </c>
      <c r="B4450" s="32" t="s">
        <v>3519</v>
      </c>
      <c r="C4450" s="32" t="s">
        <v>3520</v>
      </c>
      <c r="D4450" s="32" t="s">
        <v>114</v>
      </c>
      <c r="E4450" s="32" t="s">
        <v>115</v>
      </c>
      <c r="F4450" s="32" t="n">
        <v>9676497123</v>
      </c>
      <c r="G4450" s="32" t="s">
        <v>80</v>
      </c>
      <c r="H4450" s="32" t="s">
        <v>22</v>
      </c>
      <c r="I4450" s="32" t="s">
        <v>690</v>
      </c>
      <c r="J4450" s="32" t="s">
        <v>117</v>
      </c>
      <c r="K4450" s="32" t="s">
        <v>63</v>
      </c>
    </row>
    <row r="4451" customFormat="false" ht="13.5" hidden="false" customHeight="true" outlineLevel="0" collapsed="false">
      <c r="A4451" s="32" t="n">
        <v>6860</v>
      </c>
      <c r="B4451" s="32" t="s">
        <v>3521</v>
      </c>
      <c r="C4451" s="32" t="s">
        <v>3522</v>
      </c>
      <c r="D4451" s="32" t="s">
        <v>59</v>
      </c>
      <c r="E4451" s="32" t="s">
        <v>143</v>
      </c>
      <c r="F4451" s="32" t="n">
        <v>8978493802</v>
      </c>
      <c r="G4451" s="32" t="s">
        <v>80</v>
      </c>
      <c r="H4451" s="32" t="s">
        <v>21</v>
      </c>
      <c r="I4451" s="32" t="s">
        <v>128</v>
      </c>
      <c r="J4451" s="32" t="s">
        <v>89</v>
      </c>
      <c r="K4451" s="32" t="s">
        <v>63</v>
      </c>
    </row>
    <row r="4452" customFormat="false" ht="13.5" hidden="false" customHeight="true" outlineLevel="0" collapsed="false">
      <c r="A4452" s="32" t="n">
        <v>6861</v>
      </c>
      <c r="B4452" s="32" t="s">
        <v>3521</v>
      </c>
      <c r="C4452" s="32" t="s">
        <v>3522</v>
      </c>
      <c r="D4452" s="32" t="s">
        <v>59</v>
      </c>
      <c r="E4452" s="32" t="s">
        <v>143</v>
      </c>
      <c r="F4452" s="32" t="n">
        <v>8978493802</v>
      </c>
      <c r="G4452" s="32" t="s">
        <v>80</v>
      </c>
      <c r="H4452" s="32" t="s">
        <v>21</v>
      </c>
      <c r="I4452" s="32" t="s">
        <v>30</v>
      </c>
      <c r="J4452" s="32" t="s">
        <v>203</v>
      </c>
      <c r="K4452" s="32" t="s">
        <v>63</v>
      </c>
    </row>
    <row r="4453" customFormat="false" ht="13.5" hidden="false" customHeight="true" outlineLevel="0" collapsed="false">
      <c r="A4453" s="32" t="n">
        <v>6862</v>
      </c>
      <c r="B4453" s="32" t="s">
        <v>3521</v>
      </c>
      <c r="C4453" s="32" t="s">
        <v>3522</v>
      </c>
      <c r="D4453" s="32" t="s">
        <v>59</v>
      </c>
      <c r="E4453" s="32" t="s">
        <v>143</v>
      </c>
      <c r="F4453" s="32" t="n">
        <v>8978493802</v>
      </c>
      <c r="G4453" s="32" t="s">
        <v>80</v>
      </c>
      <c r="H4453" s="32" t="s">
        <v>21</v>
      </c>
      <c r="I4453" s="32" t="s">
        <v>284</v>
      </c>
      <c r="J4453" s="32" t="s">
        <v>117</v>
      </c>
      <c r="K4453" s="32" t="s">
        <v>63</v>
      </c>
    </row>
    <row r="4454" customFormat="false" ht="13.5" hidden="false" customHeight="true" outlineLevel="0" collapsed="false">
      <c r="A4454" s="32" t="n">
        <v>6863</v>
      </c>
      <c r="B4454" s="32" t="s">
        <v>3523</v>
      </c>
      <c r="C4454" s="32" t="s">
        <v>3524</v>
      </c>
      <c r="D4454" s="32" t="s">
        <v>102</v>
      </c>
      <c r="E4454" s="32" t="s">
        <v>155</v>
      </c>
      <c r="F4454" s="32" t="n">
        <v>9989509390</v>
      </c>
      <c r="G4454" s="32" t="s">
        <v>61</v>
      </c>
      <c r="H4454" s="32" t="s">
        <v>21</v>
      </c>
      <c r="I4454" s="32" t="s">
        <v>75</v>
      </c>
      <c r="J4454" s="32" t="s">
        <v>76</v>
      </c>
      <c r="K4454" s="32" t="s">
        <v>63</v>
      </c>
    </row>
    <row r="4455" customFormat="false" ht="13.5" hidden="false" customHeight="true" outlineLevel="0" collapsed="false">
      <c r="A4455" s="32" t="n">
        <v>6864</v>
      </c>
      <c r="B4455" s="32" t="s">
        <v>3525</v>
      </c>
      <c r="C4455" s="32" t="s">
        <v>3526</v>
      </c>
      <c r="D4455" s="32" t="s">
        <v>59</v>
      </c>
      <c r="E4455" s="32" t="s">
        <v>107</v>
      </c>
      <c r="F4455" s="32" t="n">
        <v>7579282425</v>
      </c>
      <c r="G4455" s="32" t="s">
        <v>144</v>
      </c>
      <c r="H4455" s="32" t="s">
        <v>21</v>
      </c>
      <c r="I4455" s="32" t="s">
        <v>109</v>
      </c>
      <c r="J4455" s="32" t="s">
        <v>110</v>
      </c>
      <c r="K4455" s="32" t="s">
        <v>63</v>
      </c>
    </row>
    <row r="4456" customFormat="false" ht="13.5" hidden="false" customHeight="true" outlineLevel="0" collapsed="false">
      <c r="A4456" s="32" t="n">
        <v>6865</v>
      </c>
      <c r="B4456" s="32" t="s">
        <v>3527</v>
      </c>
      <c r="C4456" s="32" t="s">
        <v>3528</v>
      </c>
      <c r="D4456" s="32" t="s">
        <v>59</v>
      </c>
      <c r="E4456" s="32" t="s">
        <v>143</v>
      </c>
      <c r="F4456" s="32" t="n">
        <v>9222257414</v>
      </c>
      <c r="G4456" s="32" t="s">
        <v>104</v>
      </c>
      <c r="H4456" s="32" t="s">
        <v>21</v>
      </c>
      <c r="I4456" s="32" t="s">
        <v>29</v>
      </c>
      <c r="J4456" s="32" t="s">
        <v>62</v>
      </c>
      <c r="K4456" s="32" t="s">
        <v>63</v>
      </c>
    </row>
    <row r="4457" customFormat="false" ht="13.5" hidden="false" customHeight="true" outlineLevel="0" collapsed="false">
      <c r="A4457" s="32" t="n">
        <v>6866</v>
      </c>
      <c r="B4457" s="32" t="s">
        <v>3527</v>
      </c>
      <c r="C4457" s="32" t="s">
        <v>3528</v>
      </c>
      <c r="D4457" s="32" t="s">
        <v>59</v>
      </c>
      <c r="E4457" s="32" t="s">
        <v>143</v>
      </c>
      <c r="F4457" s="32" t="n">
        <v>9222257414</v>
      </c>
      <c r="G4457" s="32" t="s">
        <v>104</v>
      </c>
      <c r="H4457" s="32" t="s">
        <v>21</v>
      </c>
      <c r="I4457" s="32" t="s">
        <v>14</v>
      </c>
      <c r="J4457" s="32" t="s">
        <v>66</v>
      </c>
      <c r="K4457" s="32" t="s">
        <v>63</v>
      </c>
    </row>
    <row r="4458" customFormat="false" ht="13.5" hidden="false" customHeight="true" outlineLevel="0" collapsed="false">
      <c r="A4458" s="32" t="n">
        <v>6867</v>
      </c>
      <c r="B4458" s="32" t="s">
        <v>3527</v>
      </c>
      <c r="C4458" s="32" t="s">
        <v>3528</v>
      </c>
      <c r="D4458" s="32" t="s">
        <v>59</v>
      </c>
      <c r="E4458" s="32" t="s">
        <v>143</v>
      </c>
      <c r="F4458" s="32" t="n">
        <v>9222257414</v>
      </c>
      <c r="G4458" s="32" t="s">
        <v>104</v>
      </c>
      <c r="H4458" s="32" t="s">
        <v>21</v>
      </c>
      <c r="I4458" s="32" t="s">
        <v>64</v>
      </c>
      <c r="J4458" s="32" t="s">
        <v>62</v>
      </c>
      <c r="K4458" s="32" t="s">
        <v>63</v>
      </c>
    </row>
    <row r="4459" customFormat="false" ht="13.5" hidden="false" customHeight="true" outlineLevel="0" collapsed="false">
      <c r="A4459" s="32" t="n">
        <v>6868</v>
      </c>
      <c r="B4459" s="32" t="s">
        <v>3529</v>
      </c>
      <c r="C4459" s="32" t="s">
        <v>3530</v>
      </c>
      <c r="D4459" s="32" t="s">
        <v>59</v>
      </c>
      <c r="E4459" s="32" t="s">
        <v>107</v>
      </c>
      <c r="F4459" s="32" t="n">
        <v>688636968</v>
      </c>
      <c r="G4459" s="32" t="s">
        <v>80</v>
      </c>
      <c r="H4459" s="32" t="s">
        <v>21</v>
      </c>
      <c r="I4459" s="32" t="s">
        <v>108</v>
      </c>
      <c r="J4459" s="32" t="s">
        <v>71</v>
      </c>
      <c r="K4459" s="32" t="s">
        <v>63</v>
      </c>
    </row>
    <row r="4460" customFormat="false" ht="13.5" hidden="false" customHeight="true" outlineLevel="0" collapsed="false">
      <c r="A4460" s="32" t="n">
        <v>6869</v>
      </c>
      <c r="B4460" s="32" t="s">
        <v>3529</v>
      </c>
      <c r="C4460" s="32" t="s">
        <v>3530</v>
      </c>
      <c r="D4460" s="32" t="s">
        <v>59</v>
      </c>
      <c r="E4460" s="32" t="s">
        <v>107</v>
      </c>
      <c r="F4460" s="32" t="n">
        <v>688636968</v>
      </c>
      <c r="G4460" s="32" t="s">
        <v>80</v>
      </c>
      <c r="H4460" s="32" t="s">
        <v>21</v>
      </c>
      <c r="I4460" s="32" t="s">
        <v>76</v>
      </c>
      <c r="J4460" s="32" t="s">
        <v>76</v>
      </c>
      <c r="K4460" s="32" t="s">
        <v>63</v>
      </c>
    </row>
    <row r="4461" customFormat="false" ht="13.5" hidden="false" customHeight="true" outlineLevel="0" collapsed="false">
      <c r="A4461" s="32" t="n">
        <v>6870</v>
      </c>
      <c r="B4461" s="32" t="s">
        <v>3529</v>
      </c>
      <c r="C4461" s="32" t="s">
        <v>3530</v>
      </c>
      <c r="D4461" s="32" t="s">
        <v>59</v>
      </c>
      <c r="E4461" s="32" t="s">
        <v>107</v>
      </c>
      <c r="F4461" s="32" t="n">
        <v>688636968</v>
      </c>
      <c r="G4461" s="32" t="s">
        <v>80</v>
      </c>
      <c r="H4461" s="32" t="s">
        <v>21</v>
      </c>
      <c r="I4461" s="32" t="s">
        <v>16</v>
      </c>
      <c r="J4461" s="32" t="s">
        <v>73</v>
      </c>
      <c r="K4461" s="32" t="s">
        <v>63</v>
      </c>
    </row>
    <row r="4462" customFormat="false" ht="13.5" hidden="false" customHeight="true" outlineLevel="0" collapsed="false">
      <c r="A4462" s="32" t="n">
        <v>6871</v>
      </c>
      <c r="B4462" s="32" t="s">
        <v>3531</v>
      </c>
      <c r="C4462" s="32" t="s">
        <v>3532</v>
      </c>
      <c r="D4462" s="32" t="s">
        <v>102</v>
      </c>
      <c r="E4462" s="32" t="s">
        <v>155</v>
      </c>
      <c r="F4462" s="33" t="n">
        <v>918141000000</v>
      </c>
      <c r="G4462" s="32" t="s">
        <v>69</v>
      </c>
      <c r="H4462" s="32" t="s">
        <v>21</v>
      </c>
      <c r="I4462" s="32" t="s">
        <v>156</v>
      </c>
      <c r="J4462" s="32" t="s">
        <v>62</v>
      </c>
      <c r="K4462" s="32" t="s">
        <v>63</v>
      </c>
    </row>
    <row r="4463" customFormat="false" ht="13.5" hidden="false" customHeight="true" outlineLevel="0" collapsed="false">
      <c r="A4463" s="32" t="n">
        <v>6872</v>
      </c>
      <c r="B4463" s="32" t="s">
        <v>3531</v>
      </c>
      <c r="C4463" s="32" t="s">
        <v>3532</v>
      </c>
      <c r="D4463" s="32" t="s">
        <v>102</v>
      </c>
      <c r="E4463" s="32" t="s">
        <v>155</v>
      </c>
      <c r="F4463" s="33" t="n">
        <v>918141000000</v>
      </c>
      <c r="G4463" s="32" t="s">
        <v>69</v>
      </c>
      <c r="H4463" s="32" t="s">
        <v>21</v>
      </c>
      <c r="I4463" s="32" t="s">
        <v>29</v>
      </c>
      <c r="J4463" s="32" t="s">
        <v>62</v>
      </c>
      <c r="K4463" s="32" t="s">
        <v>63</v>
      </c>
    </row>
    <row r="4464" customFormat="false" ht="13.5" hidden="false" customHeight="true" outlineLevel="0" collapsed="false">
      <c r="A4464" s="32" t="n">
        <v>6873</v>
      </c>
      <c r="B4464" s="32" t="s">
        <v>3533</v>
      </c>
      <c r="C4464" s="32" t="s">
        <v>3534</v>
      </c>
      <c r="D4464" s="32" t="s">
        <v>102</v>
      </c>
      <c r="E4464" s="32" t="s">
        <v>103</v>
      </c>
      <c r="F4464" s="32" t="n">
        <v>9580000000</v>
      </c>
      <c r="G4464" s="32" t="s">
        <v>61</v>
      </c>
      <c r="H4464" s="32" t="s">
        <v>21</v>
      </c>
      <c r="I4464" s="32" t="s">
        <v>1255</v>
      </c>
      <c r="J4464" s="32" t="s">
        <v>66</v>
      </c>
      <c r="K4464" s="32" t="s">
        <v>63</v>
      </c>
    </row>
    <row r="4465" customFormat="false" ht="13.5" hidden="false" customHeight="true" outlineLevel="0" collapsed="false">
      <c r="A4465" s="32" t="n">
        <v>6874</v>
      </c>
      <c r="B4465" s="32" t="s">
        <v>1625</v>
      </c>
      <c r="C4465" s="32" t="s">
        <v>1626</v>
      </c>
      <c r="D4465" s="32" t="s">
        <v>59</v>
      </c>
      <c r="E4465" s="32" t="s">
        <v>60</v>
      </c>
      <c r="F4465" s="32" t="n">
        <v>9760000000</v>
      </c>
      <c r="G4465" s="32" t="s">
        <v>61</v>
      </c>
      <c r="H4465" s="32" t="s">
        <v>21</v>
      </c>
      <c r="I4465" s="32" t="s">
        <v>1255</v>
      </c>
      <c r="J4465" s="32" t="s">
        <v>66</v>
      </c>
      <c r="K4465" s="32" t="s">
        <v>63</v>
      </c>
    </row>
    <row r="4466" customFormat="false" ht="13.5" hidden="false" customHeight="true" outlineLevel="0" collapsed="false">
      <c r="A4466" s="32" t="n">
        <v>6875</v>
      </c>
      <c r="B4466" s="32" t="s">
        <v>3535</v>
      </c>
      <c r="C4466" s="35" t="s">
        <v>3536</v>
      </c>
      <c r="D4466" s="32" t="s">
        <v>102</v>
      </c>
      <c r="E4466" s="32" t="s">
        <v>103</v>
      </c>
      <c r="F4466" s="32"/>
      <c r="G4466" s="32" t="s">
        <v>61</v>
      </c>
      <c r="H4466" s="32" t="s">
        <v>21</v>
      </c>
      <c r="I4466" s="32" t="s">
        <v>1255</v>
      </c>
      <c r="J4466" s="32" t="s">
        <v>66</v>
      </c>
      <c r="K4466" s="32" t="s">
        <v>63</v>
      </c>
    </row>
    <row r="4467" customFormat="false" ht="13.5" hidden="false" customHeight="true" outlineLevel="0" collapsed="false">
      <c r="A4467" s="32" t="n">
        <v>6876</v>
      </c>
      <c r="B4467" s="32" t="s">
        <v>1881</v>
      </c>
      <c r="C4467" s="32" t="s">
        <v>1882</v>
      </c>
      <c r="D4467" s="32" t="s">
        <v>114</v>
      </c>
      <c r="E4467" s="32" t="s">
        <v>115</v>
      </c>
      <c r="F4467" s="32"/>
      <c r="G4467" s="32" t="s">
        <v>144</v>
      </c>
      <c r="H4467" s="32" t="s">
        <v>22</v>
      </c>
      <c r="I4467" s="32" t="s">
        <v>1255</v>
      </c>
      <c r="J4467" s="32" t="s">
        <v>66</v>
      </c>
      <c r="K4467" s="32" t="s">
        <v>63</v>
      </c>
    </row>
    <row r="4468" customFormat="false" ht="13.5" hidden="false" customHeight="true" outlineLevel="0" collapsed="false">
      <c r="A4468" s="32" t="n">
        <v>6877</v>
      </c>
      <c r="B4468" s="32" t="s">
        <v>3537</v>
      </c>
      <c r="C4468" s="32" t="s">
        <v>3538</v>
      </c>
      <c r="D4468" s="32" t="s">
        <v>59</v>
      </c>
      <c r="E4468" s="32" t="s">
        <v>107</v>
      </c>
      <c r="F4468" s="32" t="n">
        <v>8130192982</v>
      </c>
      <c r="G4468" s="32" t="s">
        <v>144</v>
      </c>
      <c r="H4468" s="32" t="s">
        <v>21</v>
      </c>
      <c r="I4468" s="32" t="s">
        <v>172</v>
      </c>
      <c r="J4468" s="32" t="s">
        <v>152</v>
      </c>
      <c r="K4468" s="32" t="s">
        <v>63</v>
      </c>
    </row>
    <row r="4469" customFormat="false" ht="13.5" hidden="false" customHeight="true" outlineLevel="0" collapsed="false">
      <c r="A4469" s="32" t="n">
        <v>6878</v>
      </c>
      <c r="B4469" s="32" t="s">
        <v>3539</v>
      </c>
      <c r="C4469" s="32" t="s">
        <v>3540</v>
      </c>
      <c r="D4469" s="32" t="s">
        <v>59</v>
      </c>
      <c r="E4469" s="32" t="s">
        <v>60</v>
      </c>
      <c r="F4469" s="32" t="n">
        <v>7845129000</v>
      </c>
      <c r="G4469" s="32" t="s">
        <v>0</v>
      </c>
      <c r="H4469" s="32" t="s">
        <v>21</v>
      </c>
      <c r="I4469" s="32" t="s">
        <v>95</v>
      </c>
      <c r="J4469" s="32" t="s">
        <v>96</v>
      </c>
      <c r="K4469" s="32" t="s">
        <v>63</v>
      </c>
    </row>
    <row r="4470" customFormat="false" ht="13.5" hidden="false" customHeight="true" outlineLevel="0" collapsed="false">
      <c r="A4470" s="32" t="n">
        <v>6879</v>
      </c>
      <c r="B4470" s="32" t="s">
        <v>1775</v>
      </c>
      <c r="C4470" s="32" t="s">
        <v>1776</v>
      </c>
      <c r="D4470" s="32" t="s">
        <v>114</v>
      </c>
      <c r="E4470" s="32" t="s">
        <v>124</v>
      </c>
      <c r="F4470" s="32"/>
      <c r="G4470" s="32" t="s">
        <v>144</v>
      </c>
      <c r="H4470" s="32" t="s">
        <v>22</v>
      </c>
      <c r="I4470" s="32" t="s">
        <v>14</v>
      </c>
      <c r="J4470" s="32" t="s">
        <v>66</v>
      </c>
      <c r="K4470" s="32" t="s">
        <v>63</v>
      </c>
    </row>
    <row r="4471" customFormat="false" ht="13.5" hidden="false" customHeight="true" outlineLevel="0" collapsed="false">
      <c r="A4471" s="32" t="n">
        <v>6880</v>
      </c>
      <c r="B4471" s="32" t="s">
        <v>3541</v>
      </c>
      <c r="C4471" s="32" t="s">
        <v>3542</v>
      </c>
      <c r="D4471" s="32" t="s">
        <v>59</v>
      </c>
      <c r="E4471" s="32" t="s">
        <v>79</v>
      </c>
      <c r="F4471" s="32" t="n">
        <v>9999513742</v>
      </c>
      <c r="G4471" s="32" t="s">
        <v>144</v>
      </c>
      <c r="H4471" s="32" t="s">
        <v>21</v>
      </c>
      <c r="I4471" s="32" t="s">
        <v>172</v>
      </c>
      <c r="J4471" s="32" t="s">
        <v>152</v>
      </c>
      <c r="K4471" s="32" t="s">
        <v>63</v>
      </c>
    </row>
    <row r="4472" customFormat="false" ht="13.5" hidden="false" customHeight="true" outlineLevel="0" collapsed="false">
      <c r="A4472" s="32" t="n">
        <v>6881</v>
      </c>
      <c r="B4472" s="32" t="s">
        <v>3541</v>
      </c>
      <c r="C4472" s="32" t="s">
        <v>3542</v>
      </c>
      <c r="D4472" s="32" t="s">
        <v>59</v>
      </c>
      <c r="E4472" s="32" t="s">
        <v>79</v>
      </c>
      <c r="F4472" s="32" t="n">
        <v>9999513742</v>
      </c>
      <c r="G4472" s="32" t="s">
        <v>144</v>
      </c>
      <c r="H4472" s="32" t="s">
        <v>21</v>
      </c>
      <c r="I4472" s="32" t="s">
        <v>151</v>
      </c>
      <c r="J4472" s="32" t="s">
        <v>152</v>
      </c>
      <c r="K4472" s="32" t="s">
        <v>63</v>
      </c>
    </row>
    <row r="4473" customFormat="false" ht="13.5" hidden="false" customHeight="true" outlineLevel="0" collapsed="false">
      <c r="A4473" s="32" t="n">
        <v>6882</v>
      </c>
      <c r="B4473" s="32" t="s">
        <v>3539</v>
      </c>
      <c r="C4473" s="32" t="s">
        <v>3540</v>
      </c>
      <c r="D4473" s="32" t="s">
        <v>59</v>
      </c>
      <c r="E4473" s="32" t="s">
        <v>60</v>
      </c>
      <c r="F4473" s="32" t="n">
        <v>7845129000</v>
      </c>
      <c r="G4473" s="32" t="s">
        <v>0</v>
      </c>
      <c r="H4473" s="32" t="s">
        <v>21</v>
      </c>
      <c r="I4473" s="32" t="s">
        <v>133</v>
      </c>
      <c r="J4473" s="32" t="s">
        <v>134</v>
      </c>
      <c r="K4473" s="32" t="s">
        <v>63</v>
      </c>
    </row>
    <row r="4474" customFormat="false" ht="13.5" hidden="false" customHeight="true" outlineLevel="0" collapsed="false">
      <c r="A4474" s="32" t="n">
        <v>6883</v>
      </c>
      <c r="B4474" s="32" t="s">
        <v>1223</v>
      </c>
      <c r="C4474" s="32" t="s">
        <v>1224</v>
      </c>
      <c r="D4474" s="32" t="s">
        <v>114</v>
      </c>
      <c r="E4474" s="32" t="s">
        <v>115</v>
      </c>
      <c r="F4474" s="32" t="n">
        <v>9769565369</v>
      </c>
      <c r="G4474" s="32" t="s">
        <v>104</v>
      </c>
      <c r="H4474" s="32" t="s">
        <v>22</v>
      </c>
      <c r="I4474" s="32" t="s">
        <v>630</v>
      </c>
      <c r="J4474" s="32" t="s">
        <v>71</v>
      </c>
      <c r="K4474" s="32" t="s">
        <v>63</v>
      </c>
    </row>
    <row r="4475" customFormat="false" ht="13.5" hidden="false" customHeight="true" outlineLevel="0" collapsed="false">
      <c r="A4475" s="32" t="n">
        <v>6884</v>
      </c>
      <c r="B4475" s="32" t="s">
        <v>1223</v>
      </c>
      <c r="C4475" s="32" t="s">
        <v>1224</v>
      </c>
      <c r="D4475" s="32" t="s">
        <v>114</v>
      </c>
      <c r="E4475" s="32" t="s">
        <v>115</v>
      </c>
      <c r="F4475" s="32" t="n">
        <v>9769565369</v>
      </c>
      <c r="G4475" s="32" t="s">
        <v>104</v>
      </c>
      <c r="H4475" s="32" t="s">
        <v>22</v>
      </c>
      <c r="I4475" s="32" t="s">
        <v>137</v>
      </c>
      <c r="J4475" s="32" t="s">
        <v>13</v>
      </c>
      <c r="K4475" s="32" t="s">
        <v>63</v>
      </c>
    </row>
    <row r="4476" customFormat="false" ht="13.5" hidden="false" customHeight="true" outlineLevel="0" collapsed="false">
      <c r="A4476" s="32" t="n">
        <v>6885</v>
      </c>
      <c r="B4476" s="32" t="s">
        <v>1223</v>
      </c>
      <c r="C4476" s="32" t="s">
        <v>1224</v>
      </c>
      <c r="D4476" s="32" t="s">
        <v>114</v>
      </c>
      <c r="E4476" s="32" t="s">
        <v>115</v>
      </c>
      <c r="F4476" s="32" t="n">
        <v>9769565369</v>
      </c>
      <c r="G4476" s="32" t="s">
        <v>104</v>
      </c>
      <c r="H4476" s="32" t="s">
        <v>22</v>
      </c>
      <c r="I4476" s="32" t="s">
        <v>95</v>
      </c>
      <c r="J4476" s="32" t="s">
        <v>96</v>
      </c>
      <c r="K4476" s="32" t="s">
        <v>63</v>
      </c>
    </row>
    <row r="4477" customFormat="false" ht="13.5" hidden="false" customHeight="true" outlineLevel="0" collapsed="false">
      <c r="A4477" s="32" t="n">
        <v>6886</v>
      </c>
      <c r="B4477" s="32" t="s">
        <v>1223</v>
      </c>
      <c r="C4477" s="32" t="s">
        <v>1224</v>
      </c>
      <c r="D4477" s="32" t="s">
        <v>114</v>
      </c>
      <c r="E4477" s="32" t="s">
        <v>115</v>
      </c>
      <c r="F4477" s="32" t="n">
        <v>9769565369</v>
      </c>
      <c r="G4477" s="32" t="s">
        <v>104</v>
      </c>
      <c r="H4477" s="32" t="s">
        <v>22</v>
      </c>
      <c r="I4477" s="32" t="s">
        <v>468</v>
      </c>
      <c r="J4477" s="32" t="s">
        <v>89</v>
      </c>
      <c r="K4477" s="32" t="s">
        <v>63</v>
      </c>
    </row>
    <row r="4478" customFormat="false" ht="13.5" hidden="false" customHeight="true" outlineLevel="0" collapsed="false">
      <c r="A4478" s="32" t="n">
        <v>6887</v>
      </c>
      <c r="B4478" s="32" t="s">
        <v>1223</v>
      </c>
      <c r="C4478" s="32" t="s">
        <v>1224</v>
      </c>
      <c r="D4478" s="32" t="s">
        <v>114</v>
      </c>
      <c r="E4478" s="32" t="s">
        <v>115</v>
      </c>
      <c r="F4478" s="32" t="n">
        <v>9769565369</v>
      </c>
      <c r="G4478" s="32" t="s">
        <v>104</v>
      </c>
      <c r="H4478" s="32" t="s">
        <v>22</v>
      </c>
      <c r="I4478" s="32" t="s">
        <v>16</v>
      </c>
      <c r="J4478" s="32" t="s">
        <v>73</v>
      </c>
      <c r="K4478" s="32" t="s">
        <v>63</v>
      </c>
    </row>
    <row r="4479" customFormat="false" ht="13.5" hidden="false" customHeight="true" outlineLevel="0" collapsed="false">
      <c r="A4479" s="32" t="n">
        <v>6888</v>
      </c>
      <c r="B4479" s="32" t="s">
        <v>1223</v>
      </c>
      <c r="C4479" s="32" t="s">
        <v>1224</v>
      </c>
      <c r="D4479" s="32" t="s">
        <v>114</v>
      </c>
      <c r="E4479" s="32" t="s">
        <v>115</v>
      </c>
      <c r="F4479" s="32" t="n">
        <v>9769565369</v>
      </c>
      <c r="G4479" s="32" t="s">
        <v>104</v>
      </c>
      <c r="H4479" s="32" t="s">
        <v>22</v>
      </c>
      <c r="I4479" s="32" t="s">
        <v>76</v>
      </c>
      <c r="J4479" s="32" t="s">
        <v>76</v>
      </c>
      <c r="K4479" s="32" t="s">
        <v>63</v>
      </c>
    </row>
    <row r="4480" customFormat="false" ht="13.5" hidden="false" customHeight="true" outlineLevel="0" collapsed="false">
      <c r="A4480" s="32" t="n">
        <v>6889</v>
      </c>
      <c r="B4480" s="32" t="s">
        <v>1179</v>
      </c>
      <c r="C4480" s="32" t="s">
        <v>3543</v>
      </c>
      <c r="D4480" s="32" t="s">
        <v>114</v>
      </c>
      <c r="E4480" s="32" t="s">
        <v>165</v>
      </c>
      <c r="F4480" s="32" t="n">
        <v>9044280185</v>
      </c>
      <c r="G4480" s="32" t="s">
        <v>144</v>
      </c>
      <c r="H4480" s="32" t="s">
        <v>22</v>
      </c>
      <c r="I4480" s="32" t="s">
        <v>16</v>
      </c>
      <c r="J4480" s="32" t="s">
        <v>73</v>
      </c>
      <c r="K4480" s="32" t="s">
        <v>63</v>
      </c>
    </row>
    <row r="4481" customFormat="false" ht="13.5" hidden="false" customHeight="true" outlineLevel="0" collapsed="false">
      <c r="A4481" s="32" t="n">
        <v>6890</v>
      </c>
      <c r="B4481" s="32" t="s">
        <v>3544</v>
      </c>
      <c r="C4481" s="32" t="s">
        <v>3545</v>
      </c>
      <c r="D4481" s="32" t="s">
        <v>59</v>
      </c>
      <c r="E4481" s="32" t="s">
        <v>60</v>
      </c>
      <c r="F4481" s="32" t="n">
        <v>9822529493</v>
      </c>
      <c r="G4481" s="32" t="s">
        <v>69</v>
      </c>
      <c r="H4481" s="32" t="s">
        <v>21</v>
      </c>
      <c r="I4481" s="32" t="s">
        <v>14</v>
      </c>
      <c r="J4481" s="32" t="s">
        <v>66</v>
      </c>
      <c r="K4481" s="32" t="s">
        <v>63</v>
      </c>
    </row>
    <row r="4482" customFormat="false" ht="13.5" hidden="false" customHeight="true" outlineLevel="0" collapsed="false">
      <c r="A4482" s="32" t="n">
        <v>6891</v>
      </c>
      <c r="B4482" s="32" t="s">
        <v>3544</v>
      </c>
      <c r="C4482" s="32" t="s">
        <v>3545</v>
      </c>
      <c r="D4482" s="32" t="s">
        <v>59</v>
      </c>
      <c r="E4482" s="32" t="s">
        <v>60</v>
      </c>
      <c r="F4482" s="32" t="n">
        <v>9822529493</v>
      </c>
      <c r="G4482" s="32" t="s">
        <v>69</v>
      </c>
      <c r="H4482" s="32" t="s">
        <v>21</v>
      </c>
      <c r="I4482" s="32" t="s">
        <v>29</v>
      </c>
      <c r="J4482" s="32" t="s">
        <v>62</v>
      </c>
      <c r="K4482" s="32" t="s">
        <v>63</v>
      </c>
    </row>
    <row r="4483" customFormat="false" ht="13.5" hidden="false" customHeight="true" outlineLevel="0" collapsed="false">
      <c r="A4483" s="32" t="n">
        <v>6892</v>
      </c>
      <c r="B4483" s="32" t="s">
        <v>3544</v>
      </c>
      <c r="C4483" s="32" t="s">
        <v>3545</v>
      </c>
      <c r="D4483" s="32" t="s">
        <v>59</v>
      </c>
      <c r="E4483" s="32" t="s">
        <v>60</v>
      </c>
      <c r="F4483" s="32" t="n">
        <v>9822529493</v>
      </c>
      <c r="G4483" s="32" t="s">
        <v>69</v>
      </c>
      <c r="H4483" s="32" t="s">
        <v>21</v>
      </c>
      <c r="I4483" s="32" t="s">
        <v>76</v>
      </c>
      <c r="J4483" s="32" t="s">
        <v>76</v>
      </c>
      <c r="K4483" s="32" t="s">
        <v>63</v>
      </c>
    </row>
    <row r="4484" customFormat="false" ht="13.5" hidden="false" customHeight="true" outlineLevel="0" collapsed="false">
      <c r="A4484" s="32" t="n">
        <v>6893</v>
      </c>
      <c r="B4484" s="32" t="s">
        <v>1183</v>
      </c>
      <c r="C4484" s="32" t="s">
        <v>1184</v>
      </c>
      <c r="D4484" s="32" t="s">
        <v>59</v>
      </c>
      <c r="E4484" s="32" t="s">
        <v>107</v>
      </c>
      <c r="F4484" s="32" t="n">
        <v>7899941432</v>
      </c>
      <c r="G4484" s="32" t="s">
        <v>144</v>
      </c>
      <c r="H4484" s="32" t="s">
        <v>21</v>
      </c>
      <c r="I4484" s="32" t="s">
        <v>27</v>
      </c>
      <c r="J4484" s="32" t="s">
        <v>13</v>
      </c>
      <c r="K4484" s="32" t="s">
        <v>63</v>
      </c>
    </row>
    <row r="4485" customFormat="false" ht="13.5" hidden="false" customHeight="true" outlineLevel="0" collapsed="false">
      <c r="A4485" s="32" t="n">
        <v>6894</v>
      </c>
      <c r="B4485" s="32" t="s">
        <v>3069</v>
      </c>
      <c r="C4485" s="32" t="s">
        <v>3071</v>
      </c>
      <c r="D4485" s="32" t="s">
        <v>59</v>
      </c>
      <c r="E4485" s="32" t="s">
        <v>3546</v>
      </c>
      <c r="F4485" s="32" t="n">
        <v>9545351609</v>
      </c>
      <c r="G4485" s="32" t="s">
        <v>80</v>
      </c>
      <c r="H4485" s="32" t="s">
        <v>21</v>
      </c>
      <c r="I4485" s="32" t="s">
        <v>120</v>
      </c>
      <c r="J4485" s="32" t="s">
        <v>110</v>
      </c>
      <c r="K4485" s="32" t="s">
        <v>63</v>
      </c>
    </row>
    <row r="4486" customFormat="false" ht="13.5" hidden="false" customHeight="true" outlineLevel="0" collapsed="false">
      <c r="A4486" s="32" t="n">
        <v>6895</v>
      </c>
      <c r="B4486" s="32" t="s">
        <v>3069</v>
      </c>
      <c r="C4486" s="32" t="s">
        <v>3071</v>
      </c>
      <c r="D4486" s="32" t="s">
        <v>59</v>
      </c>
      <c r="E4486" s="32" t="s">
        <v>3546</v>
      </c>
      <c r="F4486" s="32" t="n">
        <v>9545351609</v>
      </c>
      <c r="G4486" s="32" t="s">
        <v>80</v>
      </c>
      <c r="H4486" s="32" t="s">
        <v>21</v>
      </c>
      <c r="I4486" s="32" t="s">
        <v>145</v>
      </c>
      <c r="J4486" s="32" t="s">
        <v>117</v>
      </c>
      <c r="K4486" s="32" t="s">
        <v>63</v>
      </c>
    </row>
    <row r="4487" customFormat="false" ht="13.5" hidden="false" customHeight="true" outlineLevel="0" collapsed="false">
      <c r="A4487" s="32" t="n">
        <v>6896</v>
      </c>
      <c r="B4487" s="32" t="s">
        <v>3069</v>
      </c>
      <c r="C4487" s="32" t="s">
        <v>3071</v>
      </c>
      <c r="D4487" s="32" t="s">
        <v>59</v>
      </c>
      <c r="E4487" s="32" t="s">
        <v>3546</v>
      </c>
      <c r="F4487" s="32" t="n">
        <v>9545351609</v>
      </c>
      <c r="G4487" s="32" t="s">
        <v>80</v>
      </c>
      <c r="H4487" s="32" t="s">
        <v>21</v>
      </c>
      <c r="I4487" s="32" t="s">
        <v>121</v>
      </c>
      <c r="J4487" s="32" t="s">
        <v>110</v>
      </c>
      <c r="K4487" s="32" t="s">
        <v>63</v>
      </c>
    </row>
    <row r="4488" customFormat="false" ht="13.5" hidden="false" customHeight="true" outlineLevel="0" collapsed="false">
      <c r="A4488" s="32" t="n">
        <v>6897</v>
      </c>
      <c r="B4488" s="32" t="s">
        <v>2073</v>
      </c>
      <c r="C4488" s="32" t="s">
        <v>2074</v>
      </c>
      <c r="D4488" s="32" t="s">
        <v>59</v>
      </c>
      <c r="E4488" s="32" t="s">
        <v>3546</v>
      </c>
      <c r="F4488" s="32" t="n">
        <v>9494805883</v>
      </c>
      <c r="G4488" s="32" t="s">
        <v>80</v>
      </c>
      <c r="H4488" s="32" t="s">
        <v>21</v>
      </c>
      <c r="I4488" s="32" t="s">
        <v>120</v>
      </c>
      <c r="J4488" s="32" t="s">
        <v>110</v>
      </c>
      <c r="K4488" s="32" t="s">
        <v>63</v>
      </c>
    </row>
    <row r="4489" customFormat="false" ht="13.5" hidden="false" customHeight="true" outlineLevel="0" collapsed="false">
      <c r="A4489" s="32" t="n">
        <v>6898</v>
      </c>
      <c r="B4489" s="32" t="s">
        <v>2239</v>
      </c>
      <c r="C4489" s="35" t="s">
        <v>3547</v>
      </c>
      <c r="D4489" s="32" t="s">
        <v>59</v>
      </c>
      <c r="E4489" s="32" t="s">
        <v>165</v>
      </c>
      <c r="F4489" s="32" t="n">
        <v>9515972782</v>
      </c>
      <c r="G4489" s="32" t="s">
        <v>80</v>
      </c>
      <c r="H4489" s="32" t="s">
        <v>21</v>
      </c>
      <c r="I4489" s="32" t="s">
        <v>27</v>
      </c>
      <c r="J4489" s="32" t="s">
        <v>13</v>
      </c>
      <c r="K4489" s="32" t="s">
        <v>63</v>
      </c>
    </row>
    <row r="4490" customFormat="false" ht="13.5" hidden="false" customHeight="true" outlineLevel="0" collapsed="false">
      <c r="A4490" s="32" t="n">
        <v>6899</v>
      </c>
      <c r="B4490" s="32" t="s">
        <v>1118</v>
      </c>
      <c r="C4490" s="32" t="s">
        <v>1119</v>
      </c>
      <c r="D4490" s="32" t="s">
        <v>114</v>
      </c>
      <c r="E4490" s="32" t="s">
        <v>124</v>
      </c>
      <c r="F4490" s="32" t="n">
        <v>7022960666</v>
      </c>
      <c r="G4490" s="32" t="s">
        <v>61</v>
      </c>
      <c r="H4490" s="32" t="s">
        <v>22</v>
      </c>
      <c r="I4490" s="32" t="s">
        <v>108</v>
      </c>
      <c r="J4490" s="32" t="s">
        <v>71</v>
      </c>
      <c r="K4490" s="32" t="s">
        <v>63</v>
      </c>
    </row>
    <row r="4491" customFormat="false" ht="13.5" hidden="false" customHeight="true" outlineLevel="0" collapsed="false">
      <c r="A4491" s="32" t="n">
        <v>6900</v>
      </c>
      <c r="B4491" s="32" t="s">
        <v>1334</v>
      </c>
      <c r="C4491" s="32" t="s">
        <v>3548</v>
      </c>
      <c r="D4491" s="32" t="s">
        <v>59</v>
      </c>
      <c r="E4491" s="32" t="s">
        <v>60</v>
      </c>
      <c r="F4491" s="32"/>
      <c r="G4491" s="32" t="s">
        <v>61</v>
      </c>
      <c r="H4491" s="32" t="s">
        <v>21</v>
      </c>
      <c r="I4491" s="32" t="s">
        <v>14</v>
      </c>
      <c r="J4491" s="32" t="s">
        <v>66</v>
      </c>
      <c r="K4491" s="32" t="s">
        <v>63</v>
      </c>
    </row>
    <row r="4492" customFormat="false" ht="13.5" hidden="false" customHeight="true" outlineLevel="0" collapsed="false">
      <c r="A4492" s="32" t="n">
        <v>6901</v>
      </c>
      <c r="B4492" s="32" t="s">
        <v>1334</v>
      </c>
      <c r="C4492" s="32" t="s">
        <v>3548</v>
      </c>
      <c r="D4492" s="32" t="s">
        <v>59</v>
      </c>
      <c r="E4492" s="32" t="s">
        <v>60</v>
      </c>
      <c r="F4492" s="32"/>
      <c r="G4492" s="32" t="s">
        <v>61</v>
      </c>
      <c r="H4492" s="32" t="s">
        <v>21</v>
      </c>
      <c r="I4492" s="32" t="s">
        <v>29</v>
      </c>
      <c r="J4492" s="32" t="s">
        <v>62</v>
      </c>
      <c r="K4492" s="32" t="s">
        <v>63</v>
      </c>
    </row>
    <row r="4493" customFormat="false" ht="13.5" hidden="false" customHeight="true" outlineLevel="0" collapsed="false">
      <c r="A4493" s="32" t="n">
        <v>6902</v>
      </c>
      <c r="B4493" s="32" t="s">
        <v>2757</v>
      </c>
      <c r="C4493" s="32" t="s">
        <v>3549</v>
      </c>
      <c r="D4493" s="32" t="s">
        <v>59</v>
      </c>
      <c r="E4493" s="32" t="s">
        <v>3550</v>
      </c>
      <c r="F4493" s="32"/>
      <c r="G4493" s="32" t="s">
        <v>61</v>
      </c>
      <c r="H4493" s="32" t="s">
        <v>21</v>
      </c>
      <c r="I4493" s="32" t="s">
        <v>133</v>
      </c>
      <c r="J4493" s="32" t="s">
        <v>134</v>
      </c>
      <c r="K4493" s="32" t="s">
        <v>63</v>
      </c>
    </row>
    <row r="4494" customFormat="false" ht="13.5" hidden="false" customHeight="true" outlineLevel="0" collapsed="false">
      <c r="A4494" s="32" t="n">
        <v>6903</v>
      </c>
      <c r="B4494" s="32" t="s">
        <v>1866</v>
      </c>
      <c r="C4494" s="32" t="s">
        <v>3551</v>
      </c>
      <c r="D4494" s="32" t="s">
        <v>59</v>
      </c>
      <c r="E4494" s="32" t="s">
        <v>3546</v>
      </c>
      <c r="F4494" s="32" t="n">
        <v>8767223673</v>
      </c>
      <c r="G4494" s="32" t="s">
        <v>104</v>
      </c>
      <c r="H4494" s="32" t="s">
        <v>21</v>
      </c>
      <c r="I4494" s="32" t="s">
        <v>108</v>
      </c>
      <c r="J4494" s="32" t="s">
        <v>71</v>
      </c>
      <c r="K4494" s="32" t="s">
        <v>63</v>
      </c>
    </row>
    <row r="4495" customFormat="false" ht="13.5" hidden="false" customHeight="true" outlineLevel="0" collapsed="false">
      <c r="A4495" s="32" t="n">
        <v>6904</v>
      </c>
      <c r="B4495" s="32" t="s">
        <v>2494</v>
      </c>
      <c r="C4495" s="32" t="s">
        <v>2495</v>
      </c>
      <c r="D4495" s="32" t="s">
        <v>114</v>
      </c>
      <c r="E4495" s="32" t="s">
        <v>115</v>
      </c>
      <c r="F4495" s="32" t="n">
        <v>9167902871</v>
      </c>
      <c r="G4495" s="32" t="s">
        <v>104</v>
      </c>
      <c r="H4495" s="32" t="s">
        <v>22</v>
      </c>
      <c r="I4495" s="32" t="s">
        <v>27</v>
      </c>
      <c r="J4495" s="32" t="s">
        <v>13</v>
      </c>
      <c r="K4495" s="32" t="s">
        <v>63</v>
      </c>
    </row>
    <row r="4496" customFormat="false" ht="13.5" hidden="false" customHeight="true" outlineLevel="0" collapsed="false">
      <c r="A4496" s="32" t="n">
        <v>6905</v>
      </c>
      <c r="B4496" s="32" t="s">
        <v>3552</v>
      </c>
      <c r="C4496" s="32" t="s">
        <v>3553</v>
      </c>
      <c r="D4496" s="32" t="s">
        <v>102</v>
      </c>
      <c r="E4496" s="32" t="s">
        <v>103</v>
      </c>
      <c r="F4496" s="32"/>
      <c r="G4496" s="32" t="s">
        <v>140</v>
      </c>
      <c r="H4496" s="32" t="s">
        <v>21</v>
      </c>
      <c r="I4496" s="32" t="s">
        <v>16</v>
      </c>
      <c r="J4496" s="32" t="s">
        <v>73</v>
      </c>
      <c r="K4496" s="32" t="s">
        <v>63</v>
      </c>
    </row>
    <row r="4497" customFormat="false" ht="13.5" hidden="false" customHeight="true" outlineLevel="0" collapsed="false">
      <c r="A4497" s="32" t="n">
        <v>6906</v>
      </c>
      <c r="B4497" s="32" t="s">
        <v>3552</v>
      </c>
      <c r="C4497" s="32" t="s">
        <v>3553</v>
      </c>
      <c r="D4497" s="32" t="s">
        <v>102</v>
      </c>
      <c r="E4497" s="32" t="s">
        <v>103</v>
      </c>
      <c r="F4497" s="32"/>
      <c r="G4497" s="32" t="s">
        <v>140</v>
      </c>
      <c r="H4497" s="32" t="s">
        <v>21</v>
      </c>
      <c r="I4497" s="32" t="s">
        <v>2605</v>
      </c>
      <c r="J4497" s="32" t="s">
        <v>808</v>
      </c>
      <c r="K4497" s="32" t="s">
        <v>63</v>
      </c>
    </row>
    <row r="4498" customFormat="false" ht="13.5" hidden="false" customHeight="true" outlineLevel="0" collapsed="false">
      <c r="A4498" s="32" t="n">
        <v>6907</v>
      </c>
      <c r="B4498" s="32" t="s">
        <v>3552</v>
      </c>
      <c r="C4498" s="32" t="s">
        <v>3553</v>
      </c>
      <c r="D4498" s="32" t="s">
        <v>102</v>
      </c>
      <c r="E4498" s="32" t="s">
        <v>103</v>
      </c>
      <c r="F4498" s="32"/>
      <c r="G4498" s="32" t="s">
        <v>140</v>
      </c>
      <c r="H4498" s="32" t="s">
        <v>21</v>
      </c>
      <c r="I4498" s="32" t="s">
        <v>28</v>
      </c>
      <c r="J4498" s="32" t="s">
        <v>82</v>
      </c>
      <c r="K4498" s="32" t="s">
        <v>63</v>
      </c>
    </row>
    <row r="4499" customFormat="false" ht="13.5" hidden="false" customHeight="true" outlineLevel="0" collapsed="false">
      <c r="A4499" s="32" t="n">
        <v>6908</v>
      </c>
      <c r="B4499" s="32" t="s">
        <v>3554</v>
      </c>
      <c r="C4499" s="32" t="s">
        <v>3555</v>
      </c>
      <c r="D4499" s="32" t="s">
        <v>59</v>
      </c>
      <c r="E4499" s="32" t="s">
        <v>3546</v>
      </c>
      <c r="F4499" s="32"/>
      <c r="G4499" s="32" t="s">
        <v>61</v>
      </c>
      <c r="H4499" s="32" t="s">
        <v>21</v>
      </c>
      <c r="I4499" s="32" t="s">
        <v>121</v>
      </c>
      <c r="J4499" s="32" t="s">
        <v>110</v>
      </c>
      <c r="K4499" s="32" t="s">
        <v>63</v>
      </c>
    </row>
    <row r="4500" customFormat="false" ht="13.5" hidden="false" customHeight="true" outlineLevel="0" collapsed="false">
      <c r="A4500" s="32" t="n">
        <v>6909</v>
      </c>
      <c r="B4500" s="32" t="s">
        <v>3554</v>
      </c>
      <c r="C4500" s="32" t="s">
        <v>3555</v>
      </c>
      <c r="D4500" s="32" t="s">
        <v>59</v>
      </c>
      <c r="E4500" s="32" t="s">
        <v>3546</v>
      </c>
      <c r="F4500" s="32"/>
      <c r="G4500" s="32" t="s">
        <v>61</v>
      </c>
      <c r="H4500" s="32" t="s">
        <v>21</v>
      </c>
      <c r="I4500" s="32" t="s">
        <v>172</v>
      </c>
      <c r="J4500" s="32" t="s">
        <v>152</v>
      </c>
      <c r="K4500" s="32" t="s">
        <v>63</v>
      </c>
    </row>
    <row r="4501" customFormat="false" ht="13.5" hidden="false" customHeight="true" outlineLevel="0" collapsed="false">
      <c r="A4501" s="32" t="n">
        <v>6910</v>
      </c>
      <c r="B4501" s="32" t="s">
        <v>746</v>
      </c>
      <c r="C4501" s="32" t="s">
        <v>3556</v>
      </c>
      <c r="D4501" s="32" t="s">
        <v>59</v>
      </c>
      <c r="E4501" s="32" t="s">
        <v>3546</v>
      </c>
      <c r="F4501" s="32" t="n">
        <v>9038368843</v>
      </c>
      <c r="G4501" s="32" t="s">
        <v>140</v>
      </c>
      <c r="H4501" s="32" t="s">
        <v>21</v>
      </c>
      <c r="I4501" s="32" t="s">
        <v>108</v>
      </c>
      <c r="J4501" s="32" t="s">
        <v>71</v>
      </c>
      <c r="K4501" s="32" t="s">
        <v>63</v>
      </c>
    </row>
    <row r="4502" customFormat="false" ht="13.5" hidden="false" customHeight="true" outlineLevel="0" collapsed="false">
      <c r="A4502" s="32" t="n">
        <v>6911</v>
      </c>
      <c r="B4502" s="32" t="s">
        <v>2914</v>
      </c>
      <c r="C4502" s="32" t="s">
        <v>2915</v>
      </c>
      <c r="D4502" s="32" t="s">
        <v>102</v>
      </c>
      <c r="E4502" s="32" t="s">
        <v>155</v>
      </c>
      <c r="F4502" s="32" t="n">
        <v>7908751175</v>
      </c>
      <c r="G4502" s="32" t="s">
        <v>140</v>
      </c>
      <c r="H4502" s="32" t="s">
        <v>21</v>
      </c>
      <c r="I4502" s="32" t="s">
        <v>14</v>
      </c>
      <c r="J4502" s="32" t="s">
        <v>62</v>
      </c>
      <c r="K4502" s="32" t="s">
        <v>63</v>
      </c>
    </row>
    <row r="4503" customFormat="false" ht="13.5" hidden="false" customHeight="true" outlineLevel="0" collapsed="false">
      <c r="A4503" s="32" t="n">
        <v>6912</v>
      </c>
      <c r="B4503" s="32" t="s">
        <v>3557</v>
      </c>
      <c r="C4503" s="32" t="s">
        <v>3558</v>
      </c>
      <c r="D4503" s="32" t="s">
        <v>59</v>
      </c>
      <c r="E4503" s="32"/>
      <c r="F4503" s="32" t="n">
        <v>8670306334</v>
      </c>
      <c r="G4503" s="32" t="s">
        <v>140</v>
      </c>
      <c r="H4503" s="32" t="s">
        <v>21</v>
      </c>
      <c r="I4503" s="32" t="s">
        <v>76</v>
      </c>
      <c r="J4503" s="32" t="s">
        <v>76</v>
      </c>
      <c r="K4503" s="32" t="s">
        <v>63</v>
      </c>
    </row>
    <row r="4504" customFormat="false" ht="13.5" hidden="false" customHeight="true" outlineLevel="0" collapsed="false">
      <c r="A4504" s="32" t="n">
        <v>6913</v>
      </c>
      <c r="B4504" s="32" t="s">
        <v>3557</v>
      </c>
      <c r="C4504" s="32" t="s">
        <v>3558</v>
      </c>
      <c r="D4504" s="32" t="s">
        <v>59</v>
      </c>
      <c r="E4504" s="32"/>
      <c r="F4504" s="32" t="n">
        <v>8670306334</v>
      </c>
      <c r="G4504" s="32" t="s">
        <v>140</v>
      </c>
      <c r="H4504" s="32" t="s">
        <v>21</v>
      </c>
      <c r="I4504" s="32" t="s">
        <v>16</v>
      </c>
      <c r="J4504" s="32" t="s">
        <v>73</v>
      </c>
      <c r="K4504" s="32" t="s">
        <v>63</v>
      </c>
    </row>
    <row r="4505" customFormat="false" ht="13.5" hidden="false" customHeight="true" outlineLevel="0" collapsed="false">
      <c r="A4505" s="32" t="n">
        <v>6914</v>
      </c>
      <c r="B4505" s="32" t="s">
        <v>3559</v>
      </c>
      <c r="C4505" s="32" t="s">
        <v>3560</v>
      </c>
      <c r="D4505" s="32" t="s">
        <v>59</v>
      </c>
      <c r="E4505" s="32" t="s">
        <v>107</v>
      </c>
      <c r="F4505" s="32" t="n">
        <v>9035933402</v>
      </c>
      <c r="G4505" s="32" t="s">
        <v>80</v>
      </c>
      <c r="H4505" s="32" t="s">
        <v>21</v>
      </c>
      <c r="I4505" s="32" t="s">
        <v>108</v>
      </c>
      <c r="J4505" s="32" t="s">
        <v>71</v>
      </c>
      <c r="K4505" s="32" t="s">
        <v>63</v>
      </c>
    </row>
    <row r="4506" customFormat="false" ht="13.5" hidden="false" customHeight="true" outlineLevel="0" collapsed="false">
      <c r="A4506" s="32" t="n">
        <v>6915</v>
      </c>
      <c r="B4506" s="32" t="s">
        <v>3427</v>
      </c>
      <c r="C4506" s="32" t="s">
        <v>3561</v>
      </c>
      <c r="D4506" s="32" t="s">
        <v>114</v>
      </c>
      <c r="E4506" s="32" t="s">
        <v>169</v>
      </c>
      <c r="F4506" s="32" t="n">
        <v>9901140022</v>
      </c>
      <c r="G4506" s="32" t="s">
        <v>3562</v>
      </c>
      <c r="H4506" s="32" t="s">
        <v>22</v>
      </c>
      <c r="I4506" s="32" t="s">
        <v>172</v>
      </c>
      <c r="J4506" s="32" t="s">
        <v>152</v>
      </c>
      <c r="K4506" s="32" t="s">
        <v>63</v>
      </c>
    </row>
    <row r="4507" customFormat="false" ht="13.5" hidden="false" customHeight="true" outlineLevel="0" collapsed="false">
      <c r="A4507" s="32" t="n">
        <v>6916</v>
      </c>
      <c r="B4507" s="32" t="s">
        <v>1006</v>
      </c>
      <c r="C4507" s="32" t="s">
        <v>1008</v>
      </c>
      <c r="D4507" s="32" t="s">
        <v>114</v>
      </c>
      <c r="E4507" s="32" t="s">
        <v>115</v>
      </c>
      <c r="F4507" s="32" t="n">
        <v>7893077720</v>
      </c>
      <c r="G4507" s="32" t="s">
        <v>80</v>
      </c>
      <c r="H4507" s="32" t="s">
        <v>22</v>
      </c>
      <c r="I4507" s="32" t="s">
        <v>120</v>
      </c>
      <c r="J4507" s="32" t="s">
        <v>110</v>
      </c>
      <c r="K4507" s="32" t="s">
        <v>63</v>
      </c>
    </row>
    <row r="4508" customFormat="false" ht="13.5" hidden="false" customHeight="true" outlineLevel="0" collapsed="false">
      <c r="A4508" s="32" t="n">
        <v>6917</v>
      </c>
      <c r="B4508" s="32" t="s">
        <v>3563</v>
      </c>
      <c r="C4508" s="32" t="s">
        <v>3564</v>
      </c>
      <c r="D4508" s="32" t="s">
        <v>59</v>
      </c>
      <c r="E4508" s="32" t="s">
        <v>143</v>
      </c>
      <c r="F4508" s="32" t="n">
        <v>9038195645</v>
      </c>
      <c r="G4508" s="32" t="s">
        <v>80</v>
      </c>
      <c r="H4508" s="32" t="s">
        <v>21</v>
      </c>
      <c r="I4508" s="32" t="s">
        <v>120</v>
      </c>
      <c r="J4508" s="32" t="s">
        <v>110</v>
      </c>
      <c r="K4508" s="32" t="s">
        <v>63</v>
      </c>
    </row>
    <row r="4509" customFormat="false" ht="13.5" hidden="false" customHeight="true" outlineLevel="0" collapsed="false">
      <c r="A4509" s="32" t="n">
        <v>6918</v>
      </c>
      <c r="B4509" s="32" t="s">
        <v>3565</v>
      </c>
      <c r="C4509" s="32" t="s">
        <v>3566</v>
      </c>
      <c r="D4509" s="32" t="s">
        <v>59</v>
      </c>
      <c r="E4509" s="32" t="s">
        <v>143</v>
      </c>
      <c r="F4509" s="32" t="n">
        <v>8551980630</v>
      </c>
      <c r="G4509" s="32" t="s">
        <v>69</v>
      </c>
      <c r="H4509" s="32" t="s">
        <v>21</v>
      </c>
      <c r="I4509" s="32" t="s">
        <v>3567</v>
      </c>
      <c r="J4509" s="32" t="e">
        <f aca="false">#N/A</f>
        <v>#N/A</v>
      </c>
      <c r="K4509" s="32" t="s">
        <v>63</v>
      </c>
    </row>
    <row r="4510" customFormat="false" ht="13.5" hidden="false" customHeight="true" outlineLevel="0" collapsed="false">
      <c r="A4510" s="32" t="n">
        <v>6919</v>
      </c>
      <c r="B4510" s="32" t="s">
        <v>3568</v>
      </c>
      <c r="C4510" s="32" t="s">
        <v>3569</v>
      </c>
      <c r="D4510" s="32" t="s">
        <v>59</v>
      </c>
      <c r="E4510" s="32" t="s">
        <v>143</v>
      </c>
      <c r="F4510" s="32" t="n">
        <v>7780729197</v>
      </c>
      <c r="G4510" s="32" t="s">
        <v>140</v>
      </c>
      <c r="H4510" s="32" t="s">
        <v>21</v>
      </c>
      <c r="I4510" s="32" t="s">
        <v>3567</v>
      </c>
      <c r="J4510" s="32" t="e">
        <f aca="false">#N/A</f>
        <v>#N/A</v>
      </c>
      <c r="K4510" s="32" t="s">
        <v>63</v>
      </c>
    </row>
    <row r="4511" customFormat="false" ht="13.5" hidden="false" customHeight="true" outlineLevel="0" collapsed="false">
      <c r="A4511" s="32" t="n">
        <v>6920</v>
      </c>
      <c r="B4511" s="32" t="s">
        <v>2254</v>
      </c>
      <c r="C4511" s="32" t="s">
        <v>2256</v>
      </c>
      <c r="D4511" s="32" t="s">
        <v>59</v>
      </c>
      <c r="E4511" s="32" t="s">
        <v>107</v>
      </c>
      <c r="F4511" s="32" t="n">
        <v>9130011844</v>
      </c>
      <c r="G4511" s="32" t="s">
        <v>144</v>
      </c>
      <c r="H4511" s="32" t="s">
        <v>21</v>
      </c>
      <c r="I4511" s="32" t="s">
        <v>27</v>
      </c>
      <c r="J4511" s="32" t="s">
        <v>13</v>
      </c>
      <c r="K4511" s="32" t="s">
        <v>63</v>
      </c>
    </row>
    <row r="4512" customFormat="false" ht="13.5" hidden="false" customHeight="true" outlineLevel="0" collapsed="false">
      <c r="A4512" s="32" t="n">
        <v>6921</v>
      </c>
      <c r="B4512" s="32" t="s">
        <v>3003</v>
      </c>
      <c r="C4512" s="32" t="s">
        <v>3004</v>
      </c>
      <c r="D4512" s="32" t="s">
        <v>59</v>
      </c>
      <c r="E4512" s="32" t="s">
        <v>60</v>
      </c>
      <c r="F4512" s="32" t="n">
        <v>8285439505</v>
      </c>
      <c r="G4512" s="32" t="s">
        <v>144</v>
      </c>
      <c r="H4512" s="32" t="s">
        <v>21</v>
      </c>
      <c r="I4512" s="32" t="s">
        <v>14</v>
      </c>
      <c r="J4512" s="32" t="s">
        <v>66</v>
      </c>
      <c r="K4512" s="32" t="s">
        <v>63</v>
      </c>
    </row>
    <row r="4513" customFormat="false" ht="13.5" hidden="false" customHeight="true" outlineLevel="0" collapsed="false">
      <c r="A4513" s="32" t="n">
        <v>6922</v>
      </c>
      <c r="B4513" s="32" t="s">
        <v>1629</v>
      </c>
      <c r="C4513" s="32" t="s">
        <v>1633</v>
      </c>
      <c r="D4513" s="32" t="s">
        <v>59</v>
      </c>
      <c r="E4513" s="32" t="s">
        <v>143</v>
      </c>
      <c r="F4513" s="32" t="n">
        <v>9773256359</v>
      </c>
      <c r="G4513" s="32" t="s">
        <v>61</v>
      </c>
      <c r="H4513" s="32" t="s">
        <v>21</v>
      </c>
      <c r="I4513" s="32" t="s">
        <v>28</v>
      </c>
      <c r="J4513" s="32" t="s">
        <v>82</v>
      </c>
      <c r="K4513" s="32" t="s">
        <v>63</v>
      </c>
    </row>
    <row r="4514" customFormat="false" ht="13.5" hidden="false" customHeight="true" outlineLevel="0" collapsed="false">
      <c r="A4514" s="32" t="n">
        <v>6923</v>
      </c>
      <c r="B4514" s="32" t="s">
        <v>3570</v>
      </c>
      <c r="C4514" s="32" t="s">
        <v>3571</v>
      </c>
      <c r="D4514" s="32" t="s">
        <v>102</v>
      </c>
      <c r="E4514" s="32" t="s">
        <v>155</v>
      </c>
      <c r="F4514" s="32"/>
      <c r="G4514" s="32" t="s">
        <v>61</v>
      </c>
      <c r="H4514" s="32" t="s">
        <v>21</v>
      </c>
      <c r="I4514" s="32" t="s">
        <v>14</v>
      </c>
      <c r="J4514" s="32" t="s">
        <v>66</v>
      </c>
      <c r="K4514" s="32" t="s">
        <v>63</v>
      </c>
    </row>
    <row r="4515" customFormat="false" ht="13.5" hidden="false" customHeight="true" outlineLevel="0" collapsed="false">
      <c r="A4515" s="32" t="n">
        <v>6924</v>
      </c>
      <c r="B4515" s="32" t="s">
        <v>3570</v>
      </c>
      <c r="C4515" s="32" t="s">
        <v>3571</v>
      </c>
      <c r="D4515" s="32" t="s">
        <v>102</v>
      </c>
      <c r="E4515" s="32" t="s">
        <v>155</v>
      </c>
      <c r="F4515" s="32"/>
      <c r="G4515" s="32" t="s">
        <v>61</v>
      </c>
      <c r="H4515" s="32" t="s">
        <v>21</v>
      </c>
      <c r="I4515" s="32" t="s">
        <v>166</v>
      </c>
      <c r="J4515" s="32" t="s">
        <v>66</v>
      </c>
      <c r="K4515" s="32" t="s">
        <v>63</v>
      </c>
    </row>
    <row r="4516" customFormat="false" ht="13.5" hidden="false" customHeight="true" outlineLevel="0" collapsed="false">
      <c r="A4516" s="32" t="n">
        <v>6925</v>
      </c>
      <c r="B4516" s="32" t="s">
        <v>252</v>
      </c>
      <c r="C4516" s="32" t="s">
        <v>253</v>
      </c>
      <c r="D4516" s="32" t="s">
        <v>59</v>
      </c>
      <c r="E4516" s="32" t="s">
        <v>143</v>
      </c>
      <c r="F4516" s="33" t="n">
        <v>918790000000</v>
      </c>
      <c r="G4516" s="32" t="s">
        <v>80</v>
      </c>
      <c r="H4516" s="32" t="s">
        <v>21</v>
      </c>
      <c r="I4516" s="32" t="s">
        <v>3572</v>
      </c>
      <c r="J4516" s="32" t="s">
        <v>110</v>
      </c>
      <c r="K4516" s="32" t="s">
        <v>63</v>
      </c>
    </row>
    <row r="4517" customFormat="false" ht="13.5" hidden="false" customHeight="true" outlineLevel="0" collapsed="false">
      <c r="A4517" s="32" t="n">
        <v>6926</v>
      </c>
      <c r="B4517" s="32" t="s">
        <v>394</v>
      </c>
      <c r="C4517" s="32" t="s">
        <v>395</v>
      </c>
      <c r="D4517" s="32" t="s">
        <v>59</v>
      </c>
      <c r="E4517" s="32" t="s">
        <v>92</v>
      </c>
      <c r="F4517" s="32" t="n">
        <v>7439286171</v>
      </c>
      <c r="G4517" s="32" t="s">
        <v>140</v>
      </c>
      <c r="H4517" s="32" t="s">
        <v>21</v>
      </c>
      <c r="I4517" s="32" t="s">
        <v>3573</v>
      </c>
      <c r="J4517" s="32" t="s">
        <v>110</v>
      </c>
      <c r="K4517" s="32" t="s">
        <v>63</v>
      </c>
    </row>
    <row r="4518" customFormat="false" ht="13.5" hidden="false" customHeight="true" outlineLevel="0" collapsed="false">
      <c r="A4518" s="32" t="n">
        <v>6927</v>
      </c>
      <c r="B4518" s="32" t="s">
        <v>3574</v>
      </c>
      <c r="C4518" s="32" t="s">
        <v>3575</v>
      </c>
      <c r="D4518" s="32" t="s">
        <v>59</v>
      </c>
      <c r="E4518" s="32" t="s">
        <v>3576</v>
      </c>
      <c r="F4518" s="32"/>
      <c r="G4518" s="32" t="s">
        <v>80</v>
      </c>
      <c r="H4518" s="32" t="s">
        <v>21</v>
      </c>
      <c r="I4518" s="32" t="s">
        <v>27</v>
      </c>
      <c r="J4518" s="32" t="s">
        <v>13</v>
      </c>
      <c r="K4518" s="32" t="s">
        <v>63</v>
      </c>
    </row>
    <row r="4519" customFormat="false" ht="13.5" hidden="false" customHeight="true" outlineLevel="0" collapsed="false">
      <c r="A4519" s="32" t="n">
        <v>6928</v>
      </c>
      <c r="B4519" s="32" t="s">
        <v>3574</v>
      </c>
      <c r="C4519" s="32" t="s">
        <v>3575</v>
      </c>
      <c r="D4519" s="32" t="s">
        <v>59</v>
      </c>
      <c r="E4519" s="32" t="s">
        <v>3576</v>
      </c>
      <c r="F4519" s="32"/>
      <c r="G4519" s="32" t="s">
        <v>80</v>
      </c>
      <c r="H4519" s="32" t="s">
        <v>21</v>
      </c>
      <c r="I4519" s="32" t="s">
        <v>16</v>
      </c>
      <c r="J4519" s="32" t="s">
        <v>73</v>
      </c>
      <c r="K4519" s="32" t="s">
        <v>63</v>
      </c>
    </row>
    <row r="4520" customFormat="false" ht="13.5" hidden="false" customHeight="true" outlineLevel="0" collapsed="false">
      <c r="A4520" s="32" t="n">
        <v>6929</v>
      </c>
      <c r="B4520" s="32" t="s">
        <v>2642</v>
      </c>
      <c r="C4520" s="32" t="s">
        <v>2643</v>
      </c>
      <c r="D4520" s="32" t="s">
        <v>114</v>
      </c>
      <c r="E4520" s="32" t="s">
        <v>165</v>
      </c>
      <c r="F4520" s="32" t="n">
        <v>8977185887</v>
      </c>
      <c r="G4520" s="32" t="s">
        <v>80</v>
      </c>
      <c r="H4520" s="32" t="s">
        <v>22</v>
      </c>
      <c r="I4520" s="32" t="s">
        <v>27</v>
      </c>
      <c r="J4520" s="32" t="s">
        <v>13</v>
      </c>
      <c r="K4520" s="32" t="s">
        <v>63</v>
      </c>
    </row>
    <row r="4521" customFormat="false" ht="13.5" hidden="false" customHeight="true" outlineLevel="0" collapsed="false">
      <c r="A4521" s="32" t="n">
        <v>6930</v>
      </c>
      <c r="B4521" s="32" t="s">
        <v>2582</v>
      </c>
      <c r="C4521" s="32" t="s">
        <v>2583</v>
      </c>
      <c r="D4521" s="32" t="s">
        <v>114</v>
      </c>
      <c r="E4521" s="32" t="s">
        <v>165</v>
      </c>
      <c r="F4521" s="33" t="n">
        <v>918588000000</v>
      </c>
      <c r="G4521" s="32" t="s">
        <v>80</v>
      </c>
      <c r="H4521" s="32" t="s">
        <v>22</v>
      </c>
      <c r="I4521" s="32" t="s">
        <v>14</v>
      </c>
      <c r="J4521" s="32" t="s">
        <v>66</v>
      </c>
      <c r="K4521" s="32" t="s">
        <v>63</v>
      </c>
    </row>
    <row r="4522" customFormat="false" ht="13.5" hidden="false" customHeight="true" outlineLevel="0" collapsed="false">
      <c r="A4522" s="32" t="n">
        <v>6931</v>
      </c>
      <c r="B4522" s="32" t="s">
        <v>855</v>
      </c>
      <c r="C4522" s="32" t="s">
        <v>856</v>
      </c>
      <c r="D4522" s="32" t="s">
        <v>59</v>
      </c>
      <c r="E4522" s="32" t="s">
        <v>92</v>
      </c>
      <c r="F4522" s="33" t="n">
        <v>918082000000</v>
      </c>
      <c r="G4522" s="32" t="s">
        <v>104</v>
      </c>
      <c r="H4522" s="32" t="s">
        <v>21</v>
      </c>
      <c r="I4522" s="32" t="s">
        <v>3573</v>
      </c>
      <c r="J4522" s="32" t="s">
        <v>110</v>
      </c>
      <c r="K4522" s="32" t="s">
        <v>63</v>
      </c>
    </row>
    <row r="4523" customFormat="false" ht="13.5" hidden="false" customHeight="true" outlineLevel="0" collapsed="false">
      <c r="A4523" s="32" t="n">
        <v>6932</v>
      </c>
      <c r="B4523" s="32" t="s">
        <v>560</v>
      </c>
      <c r="C4523" s="32" t="s">
        <v>561</v>
      </c>
      <c r="D4523" s="32" t="s">
        <v>59</v>
      </c>
      <c r="E4523" s="32" t="s">
        <v>92</v>
      </c>
      <c r="F4523" s="32" t="n">
        <v>9916413671</v>
      </c>
      <c r="G4523" s="32" t="s">
        <v>61</v>
      </c>
      <c r="H4523" s="32" t="s">
        <v>21</v>
      </c>
      <c r="I4523" s="32" t="s">
        <v>3573</v>
      </c>
      <c r="J4523" s="32" t="s">
        <v>110</v>
      </c>
      <c r="K4523" s="32" t="s">
        <v>63</v>
      </c>
    </row>
    <row r="4524" customFormat="false" ht="13.5" hidden="false" customHeight="true" outlineLevel="0" collapsed="false">
      <c r="A4524" s="32" t="n">
        <v>6933</v>
      </c>
      <c r="B4524" s="32" t="s">
        <v>2167</v>
      </c>
      <c r="C4524" s="32" t="s">
        <v>2168</v>
      </c>
      <c r="D4524" s="32" t="s">
        <v>59</v>
      </c>
      <c r="E4524" s="32" t="s">
        <v>92</v>
      </c>
      <c r="F4524" s="32" t="n">
        <v>7795580868</v>
      </c>
      <c r="G4524" s="32" t="s">
        <v>144</v>
      </c>
      <c r="H4524" s="32" t="s">
        <v>21</v>
      </c>
      <c r="I4524" s="32" t="s">
        <v>3573</v>
      </c>
      <c r="J4524" s="32" t="s">
        <v>110</v>
      </c>
      <c r="K4524" s="32" t="s">
        <v>63</v>
      </c>
    </row>
    <row r="4525" customFormat="false" ht="13.5" hidden="false" customHeight="true" outlineLevel="0" collapsed="false">
      <c r="A4525" s="32" t="n">
        <v>6934</v>
      </c>
      <c r="B4525" s="32" t="s">
        <v>2291</v>
      </c>
      <c r="C4525" s="32" t="s">
        <v>2292</v>
      </c>
      <c r="D4525" s="32" t="s">
        <v>59</v>
      </c>
      <c r="E4525" s="32" t="s">
        <v>92</v>
      </c>
      <c r="F4525" s="33" t="n">
        <v>918427000000</v>
      </c>
      <c r="G4525" s="32" t="s">
        <v>144</v>
      </c>
      <c r="H4525" s="32" t="s">
        <v>21</v>
      </c>
      <c r="I4525" s="32" t="s">
        <v>3573</v>
      </c>
      <c r="J4525" s="32" t="s">
        <v>110</v>
      </c>
      <c r="K4525" s="32" t="s">
        <v>63</v>
      </c>
    </row>
    <row r="4526" customFormat="false" ht="13.5" hidden="false" customHeight="true" outlineLevel="0" collapsed="false">
      <c r="A4526" s="32" t="n">
        <v>6935</v>
      </c>
      <c r="B4526" s="32" t="s">
        <v>2273</v>
      </c>
      <c r="C4526" s="32" t="s">
        <v>2274</v>
      </c>
      <c r="D4526" s="32" t="s">
        <v>114</v>
      </c>
      <c r="E4526" s="32" t="s">
        <v>124</v>
      </c>
      <c r="F4526" s="32" t="n">
        <v>9784691823</v>
      </c>
      <c r="G4526" s="32" t="s">
        <v>69</v>
      </c>
      <c r="H4526" s="32" t="s">
        <v>22</v>
      </c>
      <c r="I4526" s="32" t="s">
        <v>3573</v>
      </c>
      <c r="J4526" s="32" t="s">
        <v>110</v>
      </c>
      <c r="K4526" s="32" t="s">
        <v>63</v>
      </c>
    </row>
    <row r="4527" customFormat="false" ht="13.5" hidden="false" customHeight="true" outlineLevel="0" collapsed="false">
      <c r="A4527" s="32" t="n">
        <v>6936</v>
      </c>
      <c r="B4527" s="32" t="s">
        <v>1198</v>
      </c>
      <c r="C4527" s="32" t="s">
        <v>1199</v>
      </c>
      <c r="D4527" s="32" t="s">
        <v>114</v>
      </c>
      <c r="E4527" s="32" t="s">
        <v>124</v>
      </c>
      <c r="F4527" s="33" t="n">
        <v>920000000000</v>
      </c>
      <c r="G4527" s="32" t="s">
        <v>144</v>
      </c>
      <c r="H4527" s="32" t="s">
        <v>22</v>
      </c>
      <c r="I4527" s="32" t="s">
        <v>3573</v>
      </c>
      <c r="J4527" s="32" t="s">
        <v>110</v>
      </c>
      <c r="K4527" s="32" t="s">
        <v>63</v>
      </c>
    </row>
    <row r="4528" customFormat="false" ht="13.5" hidden="false" customHeight="true" outlineLevel="0" collapsed="false">
      <c r="A4528" s="32" t="n">
        <v>6937</v>
      </c>
      <c r="B4528" s="32" t="s">
        <v>3577</v>
      </c>
      <c r="C4528" s="32" t="s">
        <v>3578</v>
      </c>
      <c r="D4528" s="32" t="s">
        <v>114</v>
      </c>
      <c r="E4528" s="32" t="s">
        <v>124</v>
      </c>
      <c r="F4528" s="32"/>
      <c r="G4528" s="32" t="s">
        <v>144</v>
      </c>
      <c r="H4528" s="32" t="s">
        <v>22</v>
      </c>
      <c r="I4528" s="32" t="s">
        <v>3573</v>
      </c>
      <c r="J4528" s="32" t="s">
        <v>110</v>
      </c>
      <c r="K4528" s="32" t="s">
        <v>63</v>
      </c>
    </row>
    <row r="4529" customFormat="false" ht="13.5" hidden="false" customHeight="true" outlineLevel="0" collapsed="false">
      <c r="A4529" s="32" t="n">
        <v>6938</v>
      </c>
      <c r="B4529" s="32" t="s">
        <v>1344</v>
      </c>
      <c r="C4529" s="32" t="s">
        <v>1345</v>
      </c>
      <c r="D4529" s="32" t="s">
        <v>114</v>
      </c>
      <c r="E4529" s="32" t="s">
        <v>124</v>
      </c>
      <c r="F4529" s="33" t="n">
        <v>919916000000</v>
      </c>
      <c r="G4529" s="32" t="s">
        <v>61</v>
      </c>
      <c r="H4529" s="32" t="s">
        <v>22</v>
      </c>
      <c r="I4529" s="32" t="s">
        <v>3573</v>
      </c>
      <c r="J4529" s="32" t="s">
        <v>110</v>
      </c>
      <c r="K4529" s="32" t="s">
        <v>63</v>
      </c>
    </row>
    <row r="4530" customFormat="false" ht="13.5" hidden="false" customHeight="true" outlineLevel="0" collapsed="false">
      <c r="A4530" s="32" t="n">
        <v>6939</v>
      </c>
      <c r="B4530" s="32" t="s">
        <v>1101</v>
      </c>
      <c r="C4530" s="32" t="s">
        <v>1102</v>
      </c>
      <c r="D4530" s="32" t="s">
        <v>114</v>
      </c>
      <c r="E4530" s="32" t="s">
        <v>124</v>
      </c>
      <c r="F4530" s="32" t="n">
        <v>9741737106</v>
      </c>
      <c r="G4530" s="32" t="s">
        <v>61</v>
      </c>
      <c r="H4530" s="32" t="s">
        <v>22</v>
      </c>
      <c r="I4530" s="32" t="s">
        <v>3573</v>
      </c>
      <c r="J4530" s="32" t="s">
        <v>110</v>
      </c>
      <c r="K4530" s="32" t="s">
        <v>63</v>
      </c>
    </row>
    <row r="4531" customFormat="false" ht="13.5" hidden="false" customHeight="true" outlineLevel="0" collapsed="false">
      <c r="A4531" s="32" t="n">
        <v>6940</v>
      </c>
      <c r="B4531" s="32" t="s">
        <v>738</v>
      </c>
      <c r="C4531" s="32" t="s">
        <v>739</v>
      </c>
      <c r="D4531" s="32" t="s">
        <v>114</v>
      </c>
      <c r="E4531" s="32" t="s">
        <v>124</v>
      </c>
      <c r="F4531" s="32" t="n">
        <v>7355320852</v>
      </c>
      <c r="G4531" s="32" t="s">
        <v>144</v>
      </c>
      <c r="H4531" s="32" t="s">
        <v>22</v>
      </c>
      <c r="I4531" s="32" t="s">
        <v>314</v>
      </c>
      <c r="J4531" s="32" t="s">
        <v>134</v>
      </c>
      <c r="K4531" s="32" t="s">
        <v>63</v>
      </c>
    </row>
    <row r="4532" customFormat="false" ht="13.5" hidden="false" customHeight="true" outlineLevel="0" collapsed="false">
      <c r="A4532" s="32" t="n">
        <v>6941</v>
      </c>
      <c r="B4532" s="32" t="s">
        <v>2099</v>
      </c>
      <c r="C4532" s="32" t="s">
        <v>2100</v>
      </c>
      <c r="D4532" s="32" t="s">
        <v>114</v>
      </c>
      <c r="E4532" s="32" t="s">
        <v>115</v>
      </c>
      <c r="F4532" s="32" t="n">
        <v>8976374199</v>
      </c>
      <c r="G4532" s="32" t="s">
        <v>104</v>
      </c>
      <c r="H4532" s="32" t="s">
        <v>22</v>
      </c>
      <c r="I4532" s="32" t="s">
        <v>1255</v>
      </c>
      <c r="J4532" s="32" t="s">
        <v>66</v>
      </c>
      <c r="K4532" s="32" t="s">
        <v>63</v>
      </c>
    </row>
    <row r="4533" customFormat="false" ht="13.5" hidden="false" customHeight="true" outlineLevel="0" collapsed="false">
      <c r="A4533" s="32" t="n">
        <v>6942</v>
      </c>
      <c r="B4533" s="32" t="s">
        <v>3579</v>
      </c>
      <c r="C4533" s="32" t="s">
        <v>3580</v>
      </c>
      <c r="D4533" s="32" t="s">
        <v>114</v>
      </c>
      <c r="E4533" s="32" t="s">
        <v>115</v>
      </c>
      <c r="F4533" s="32" t="n">
        <v>8801315563</v>
      </c>
      <c r="G4533" s="32" t="s">
        <v>80</v>
      </c>
      <c r="H4533" s="32" t="s">
        <v>22</v>
      </c>
      <c r="I4533" s="32" t="s">
        <v>231</v>
      </c>
      <c r="J4533" s="32" t="s">
        <v>228</v>
      </c>
      <c r="K4533" s="32" t="s">
        <v>63</v>
      </c>
    </row>
    <row r="4534" customFormat="false" ht="13.5" hidden="false" customHeight="true" outlineLevel="0" collapsed="false">
      <c r="A4534" s="32" t="n">
        <v>6943</v>
      </c>
      <c r="B4534" s="32" t="s">
        <v>3581</v>
      </c>
      <c r="C4534" s="32" t="s">
        <v>3582</v>
      </c>
      <c r="D4534" s="32" t="s">
        <v>102</v>
      </c>
      <c r="E4534" s="32" t="s">
        <v>767</v>
      </c>
      <c r="F4534" s="32"/>
      <c r="G4534" s="32" t="s">
        <v>144</v>
      </c>
      <c r="H4534" s="32" t="s">
        <v>21</v>
      </c>
      <c r="I4534" s="32" t="s">
        <v>231</v>
      </c>
      <c r="J4534" s="32" t="s">
        <v>228</v>
      </c>
      <c r="K4534" s="32" t="s">
        <v>63</v>
      </c>
    </row>
    <row r="4535" customFormat="false" ht="13.5" hidden="false" customHeight="true" outlineLevel="0" collapsed="false">
      <c r="A4535" s="32" t="n">
        <v>6944</v>
      </c>
      <c r="B4535" s="32" t="s">
        <v>3583</v>
      </c>
      <c r="C4535" s="32" t="s">
        <v>3584</v>
      </c>
      <c r="D4535" s="32" t="s">
        <v>59</v>
      </c>
      <c r="E4535" s="32" t="s">
        <v>107</v>
      </c>
      <c r="F4535" s="32"/>
      <c r="G4535" s="32" t="s">
        <v>61</v>
      </c>
      <c r="H4535" s="32" t="s">
        <v>21</v>
      </c>
      <c r="I4535" s="32" t="s">
        <v>28</v>
      </c>
      <c r="J4535" s="32" t="s">
        <v>82</v>
      </c>
      <c r="K4535" s="32" t="s">
        <v>63</v>
      </c>
    </row>
    <row r="4536" customFormat="false" ht="13.5" hidden="false" customHeight="true" outlineLevel="0" collapsed="false">
      <c r="A4536" s="32" t="n">
        <v>6945</v>
      </c>
      <c r="B4536" s="32" t="s">
        <v>2001</v>
      </c>
      <c r="C4536" s="32" t="s">
        <v>2003</v>
      </c>
      <c r="D4536" s="32" t="s">
        <v>114</v>
      </c>
      <c r="E4536" s="32" t="s">
        <v>115</v>
      </c>
      <c r="F4536" s="32" t="n">
        <v>9652451100</v>
      </c>
      <c r="G4536" s="32" t="s">
        <v>80</v>
      </c>
      <c r="H4536" s="32" t="s">
        <v>22</v>
      </c>
      <c r="I4536" s="32" t="s">
        <v>27</v>
      </c>
      <c r="J4536" s="32" t="s">
        <v>13</v>
      </c>
      <c r="K4536" s="32" t="s">
        <v>63</v>
      </c>
    </row>
    <row r="4537" customFormat="false" ht="13.5" hidden="false" customHeight="true" outlineLevel="0" collapsed="false">
      <c r="A4537" s="32" t="n">
        <v>6946</v>
      </c>
      <c r="B4537" s="32" t="s">
        <v>3585</v>
      </c>
      <c r="C4537" s="32" t="s">
        <v>3586</v>
      </c>
      <c r="D4537" s="32" t="s">
        <v>59</v>
      </c>
      <c r="E4537" s="32" t="s">
        <v>143</v>
      </c>
      <c r="F4537" s="32"/>
      <c r="G4537" s="32" t="s">
        <v>144</v>
      </c>
      <c r="H4537" s="32" t="s">
        <v>21</v>
      </c>
      <c r="I4537" s="32" t="s">
        <v>16</v>
      </c>
      <c r="J4537" s="32" t="s">
        <v>73</v>
      </c>
      <c r="K4537" s="32" t="s">
        <v>63</v>
      </c>
    </row>
    <row r="4538" customFormat="false" ht="13.5" hidden="false" customHeight="true" outlineLevel="0" collapsed="false">
      <c r="A4538" s="32" t="n">
        <v>6947</v>
      </c>
      <c r="B4538" s="32" t="s">
        <v>2001</v>
      </c>
      <c r="C4538" s="32" t="s">
        <v>2003</v>
      </c>
      <c r="D4538" s="32" t="s">
        <v>114</v>
      </c>
      <c r="E4538" s="32" t="s">
        <v>115</v>
      </c>
      <c r="F4538" s="32" t="n">
        <v>9652451100</v>
      </c>
      <c r="G4538" s="32" t="s">
        <v>80</v>
      </c>
      <c r="H4538" s="32" t="s">
        <v>22</v>
      </c>
      <c r="I4538" s="32" t="s">
        <v>137</v>
      </c>
      <c r="J4538" s="32" t="s">
        <v>13</v>
      </c>
      <c r="K4538" s="32" t="s">
        <v>63</v>
      </c>
    </row>
    <row r="4539" customFormat="false" ht="13.5" hidden="false" customHeight="true" outlineLevel="0" collapsed="false">
      <c r="A4539" s="32" t="n">
        <v>6948</v>
      </c>
      <c r="B4539" s="32" t="s">
        <v>3587</v>
      </c>
      <c r="C4539" s="32" t="s">
        <v>3588</v>
      </c>
      <c r="D4539" s="32" t="s">
        <v>59</v>
      </c>
      <c r="E4539" s="32" t="s">
        <v>107</v>
      </c>
      <c r="F4539" s="32"/>
      <c r="G4539" s="32" t="s">
        <v>61</v>
      </c>
      <c r="H4539" s="32" t="s">
        <v>21</v>
      </c>
      <c r="I4539" s="32" t="s">
        <v>27</v>
      </c>
      <c r="J4539" s="32" t="s">
        <v>13</v>
      </c>
      <c r="K4539" s="32" t="s">
        <v>63</v>
      </c>
    </row>
    <row r="4540" customFormat="false" ht="13.5" hidden="false" customHeight="true" outlineLevel="0" collapsed="false">
      <c r="A4540" s="32" t="n">
        <v>6949</v>
      </c>
      <c r="B4540" s="32" t="s">
        <v>3307</v>
      </c>
      <c r="C4540" s="32" t="s">
        <v>3308</v>
      </c>
      <c r="D4540" s="32" t="s">
        <v>114</v>
      </c>
      <c r="E4540" s="32" t="s">
        <v>115</v>
      </c>
      <c r="F4540" s="32" t="n">
        <v>9040869539</v>
      </c>
      <c r="G4540" s="32" t="s">
        <v>140</v>
      </c>
      <c r="H4540" s="32" t="s">
        <v>22</v>
      </c>
      <c r="I4540" s="32" t="s">
        <v>133</v>
      </c>
      <c r="J4540" s="32" t="s">
        <v>134</v>
      </c>
      <c r="K4540" s="32" t="s">
        <v>63</v>
      </c>
    </row>
    <row r="4541" customFormat="false" ht="13.5" hidden="false" customHeight="true" outlineLevel="0" collapsed="false">
      <c r="A4541" s="32" t="n">
        <v>6950</v>
      </c>
      <c r="B4541" s="32" t="s">
        <v>3307</v>
      </c>
      <c r="C4541" s="32" t="s">
        <v>3308</v>
      </c>
      <c r="D4541" s="32" t="s">
        <v>114</v>
      </c>
      <c r="E4541" s="32" t="s">
        <v>115</v>
      </c>
      <c r="F4541" s="32" t="n">
        <v>9040869539</v>
      </c>
      <c r="G4541" s="32" t="s">
        <v>140</v>
      </c>
      <c r="H4541" s="32" t="s">
        <v>22</v>
      </c>
      <c r="I4541" s="32" t="s">
        <v>280</v>
      </c>
      <c r="J4541" s="32" t="s">
        <v>76</v>
      </c>
      <c r="K4541" s="32" t="s">
        <v>63</v>
      </c>
    </row>
    <row r="4542" customFormat="false" ht="13.5" hidden="false" customHeight="true" outlineLevel="0" collapsed="false">
      <c r="A4542" s="32" t="n">
        <v>6951</v>
      </c>
      <c r="B4542" s="32" t="s">
        <v>670</v>
      </c>
      <c r="C4542" s="32" t="s">
        <v>3589</v>
      </c>
      <c r="D4542" s="32" t="s">
        <v>114</v>
      </c>
      <c r="E4542" s="32" t="s">
        <v>165</v>
      </c>
      <c r="F4542" s="32" t="n">
        <v>9344454942</v>
      </c>
      <c r="G4542" s="32" t="s">
        <v>0</v>
      </c>
      <c r="H4542" s="32" t="s">
        <v>22</v>
      </c>
      <c r="I4542" s="32" t="s">
        <v>28</v>
      </c>
      <c r="J4542" s="32" t="s">
        <v>82</v>
      </c>
      <c r="K4542" s="32" t="s">
        <v>63</v>
      </c>
    </row>
    <row r="4543" customFormat="false" ht="13.5" hidden="false" customHeight="true" outlineLevel="0" collapsed="false">
      <c r="A4543" s="32" t="n">
        <v>6952</v>
      </c>
      <c r="B4543" s="32" t="s">
        <v>3590</v>
      </c>
      <c r="C4543" s="32" t="s">
        <v>3591</v>
      </c>
      <c r="D4543" s="32" t="s">
        <v>102</v>
      </c>
      <c r="E4543" s="32" t="s">
        <v>103</v>
      </c>
      <c r="F4543" s="32"/>
      <c r="G4543" s="32" t="s">
        <v>69</v>
      </c>
      <c r="H4543" s="32" t="s">
        <v>21</v>
      </c>
      <c r="I4543" s="32" t="s">
        <v>133</v>
      </c>
      <c r="J4543" s="32" t="s">
        <v>134</v>
      </c>
      <c r="K4543" s="32" t="s">
        <v>63</v>
      </c>
    </row>
    <row r="4544" customFormat="false" ht="13.5" hidden="false" customHeight="true" outlineLevel="0" collapsed="false">
      <c r="A4544" s="32" t="n">
        <v>6953</v>
      </c>
      <c r="B4544" s="32" t="s">
        <v>1118</v>
      </c>
      <c r="C4544" s="32" t="s">
        <v>1119</v>
      </c>
      <c r="D4544" s="32" t="s">
        <v>114</v>
      </c>
      <c r="E4544" s="32" t="s">
        <v>124</v>
      </c>
      <c r="F4544" s="32" t="n">
        <v>7022960666</v>
      </c>
      <c r="G4544" s="32" t="s">
        <v>3562</v>
      </c>
      <c r="H4544" s="32" t="s">
        <v>22</v>
      </c>
      <c r="I4544" s="32" t="s">
        <v>28</v>
      </c>
      <c r="J4544" s="32" t="s">
        <v>82</v>
      </c>
      <c r="K4544" s="32" t="s">
        <v>63</v>
      </c>
    </row>
    <row r="4545" customFormat="false" ht="13.5" hidden="false" customHeight="true" outlineLevel="0" collapsed="false">
      <c r="A4545" s="32" t="n">
        <v>6954</v>
      </c>
      <c r="B4545" s="32" t="s">
        <v>3592</v>
      </c>
      <c r="C4545" s="32" t="s">
        <v>3593</v>
      </c>
      <c r="D4545" s="32" t="s">
        <v>102</v>
      </c>
      <c r="E4545" s="32" t="s">
        <v>103</v>
      </c>
      <c r="F4545" s="32"/>
      <c r="G4545" s="32" t="s">
        <v>3594</v>
      </c>
      <c r="H4545" s="32" t="s">
        <v>21</v>
      </c>
      <c r="I4545" s="32" t="s">
        <v>28</v>
      </c>
      <c r="J4545" s="32" t="s">
        <v>82</v>
      </c>
      <c r="K4545" s="32" t="s">
        <v>63</v>
      </c>
    </row>
    <row r="4546" customFormat="false" ht="13.5" hidden="false" customHeight="true" outlineLevel="0" collapsed="false">
      <c r="A4546" s="32" t="n">
        <v>6955</v>
      </c>
      <c r="B4546" s="32" t="s">
        <v>3595</v>
      </c>
      <c r="C4546" s="32" t="s">
        <v>3596</v>
      </c>
      <c r="D4546" s="32" t="s">
        <v>59</v>
      </c>
      <c r="E4546" s="32" t="s">
        <v>107</v>
      </c>
      <c r="F4546" s="32" t="n">
        <v>8779606554</v>
      </c>
      <c r="G4546" s="32" t="s">
        <v>69</v>
      </c>
      <c r="H4546" s="32" t="s">
        <v>21</v>
      </c>
      <c r="I4546" s="32" t="s">
        <v>133</v>
      </c>
      <c r="J4546" s="32" t="s">
        <v>134</v>
      </c>
      <c r="K4546" s="32" t="s">
        <v>63</v>
      </c>
    </row>
    <row r="4547" customFormat="false" ht="13.5" hidden="false" customHeight="true" outlineLevel="0" collapsed="false">
      <c r="A4547" s="32" t="n">
        <v>6956</v>
      </c>
      <c r="B4547" s="32" t="s">
        <v>3405</v>
      </c>
      <c r="C4547" s="32" t="s">
        <v>3406</v>
      </c>
      <c r="D4547" s="32" t="s">
        <v>59</v>
      </c>
      <c r="E4547" s="32" t="s">
        <v>60</v>
      </c>
      <c r="F4547" s="32" t="n">
        <v>0</v>
      </c>
      <c r="G4547" s="32" t="s">
        <v>144</v>
      </c>
      <c r="H4547" s="32" t="s">
        <v>21</v>
      </c>
      <c r="I4547" s="32" t="s">
        <v>27</v>
      </c>
      <c r="J4547" s="32" t="s">
        <v>13</v>
      </c>
      <c r="K4547" s="32" t="s">
        <v>63</v>
      </c>
    </row>
    <row r="4548" customFormat="false" ht="13.5" hidden="false" customHeight="true" outlineLevel="0" collapsed="false">
      <c r="A4548" s="32" t="n">
        <v>6957</v>
      </c>
      <c r="B4548" s="32" t="s">
        <v>3597</v>
      </c>
      <c r="C4548" s="32" t="s">
        <v>3598</v>
      </c>
      <c r="D4548" s="32" t="s">
        <v>59</v>
      </c>
      <c r="E4548" s="32" t="s">
        <v>60</v>
      </c>
      <c r="F4548" s="32" t="n">
        <v>8447006623</v>
      </c>
      <c r="G4548" s="32" t="s">
        <v>144</v>
      </c>
      <c r="H4548" s="32" t="s">
        <v>21</v>
      </c>
      <c r="I4548" s="32" t="s">
        <v>29</v>
      </c>
      <c r="J4548" s="32" t="s">
        <v>62</v>
      </c>
      <c r="K4548" s="32" t="s">
        <v>63</v>
      </c>
    </row>
    <row r="4549" customFormat="false" ht="13.5" hidden="false" customHeight="true" outlineLevel="0" collapsed="false">
      <c r="A4549" s="32" t="n">
        <v>6958</v>
      </c>
      <c r="B4549" s="32" t="s">
        <v>3597</v>
      </c>
      <c r="C4549" s="32" t="s">
        <v>3598</v>
      </c>
      <c r="D4549" s="32" t="s">
        <v>59</v>
      </c>
      <c r="E4549" s="32" t="s">
        <v>60</v>
      </c>
      <c r="F4549" s="32" t="n">
        <v>8447006623</v>
      </c>
      <c r="G4549" s="32" t="s">
        <v>144</v>
      </c>
      <c r="H4549" s="32" t="s">
        <v>21</v>
      </c>
      <c r="I4549" s="32" t="s">
        <v>14</v>
      </c>
      <c r="J4549" s="32" t="s">
        <v>66</v>
      </c>
      <c r="K4549" s="32" t="s">
        <v>63</v>
      </c>
    </row>
    <row r="4550" customFormat="false" ht="13.5" hidden="false" customHeight="true" outlineLevel="0" collapsed="false">
      <c r="A4550" s="32" t="n">
        <v>6959</v>
      </c>
      <c r="B4550" s="32" t="s">
        <v>3599</v>
      </c>
      <c r="C4550" s="32" t="s">
        <v>3600</v>
      </c>
      <c r="D4550" s="32" t="s">
        <v>59</v>
      </c>
      <c r="E4550" s="32" t="s">
        <v>92</v>
      </c>
      <c r="F4550" s="32" t="n">
        <v>7727049002</v>
      </c>
      <c r="G4550" s="32" t="s">
        <v>144</v>
      </c>
      <c r="H4550" s="32" t="s">
        <v>21</v>
      </c>
      <c r="I4550" s="32" t="s">
        <v>826</v>
      </c>
      <c r="J4550" s="32" t="s">
        <v>84</v>
      </c>
      <c r="K4550" s="32" t="s">
        <v>63</v>
      </c>
    </row>
    <row r="4551" customFormat="false" ht="13.5" hidden="false" customHeight="true" outlineLevel="0" collapsed="false">
      <c r="A4551" s="32" t="n">
        <v>6960</v>
      </c>
      <c r="B4551" s="32" t="s">
        <v>3599</v>
      </c>
      <c r="C4551" s="32" t="s">
        <v>3600</v>
      </c>
      <c r="D4551" s="32" t="s">
        <v>59</v>
      </c>
      <c r="E4551" s="32" t="s">
        <v>92</v>
      </c>
      <c r="F4551" s="32" t="n">
        <v>7727049002</v>
      </c>
      <c r="G4551" s="32" t="s">
        <v>144</v>
      </c>
      <c r="H4551" s="32" t="s">
        <v>21</v>
      </c>
      <c r="I4551" s="32" t="s">
        <v>87</v>
      </c>
      <c r="J4551" s="32" t="s">
        <v>84</v>
      </c>
      <c r="K4551" s="32" t="s">
        <v>63</v>
      </c>
    </row>
    <row r="4552" customFormat="false" ht="13.5" hidden="false" customHeight="true" outlineLevel="0" collapsed="false">
      <c r="A4552" s="32" t="n">
        <v>6961</v>
      </c>
      <c r="B4552" s="32" t="s">
        <v>3599</v>
      </c>
      <c r="C4552" s="32" t="s">
        <v>3600</v>
      </c>
      <c r="D4552" s="32" t="s">
        <v>59</v>
      </c>
      <c r="E4552" s="32" t="s">
        <v>92</v>
      </c>
      <c r="F4552" s="32" t="n">
        <v>7727049002</v>
      </c>
      <c r="G4552" s="32" t="s">
        <v>144</v>
      </c>
      <c r="H4552" s="32" t="s">
        <v>21</v>
      </c>
      <c r="I4552" s="32" t="s">
        <v>3601</v>
      </c>
      <c r="J4552" s="32" t="s">
        <v>235</v>
      </c>
      <c r="K4552" s="32" t="s">
        <v>63</v>
      </c>
    </row>
    <row r="4553" customFormat="false" ht="13.5" hidden="false" customHeight="true" outlineLevel="0" collapsed="false">
      <c r="A4553" s="32" t="n">
        <v>6962</v>
      </c>
      <c r="B4553" s="32" t="s">
        <v>3599</v>
      </c>
      <c r="C4553" s="32" t="s">
        <v>3600</v>
      </c>
      <c r="D4553" s="32" t="s">
        <v>59</v>
      </c>
      <c r="E4553" s="32" t="s">
        <v>92</v>
      </c>
      <c r="F4553" s="32" t="n">
        <v>7727049002</v>
      </c>
      <c r="G4553" s="32" t="s">
        <v>144</v>
      </c>
      <c r="H4553" s="32" t="s">
        <v>21</v>
      </c>
      <c r="I4553" s="32" t="s">
        <v>421</v>
      </c>
      <c r="J4553" s="32" t="s">
        <v>235</v>
      </c>
      <c r="K4553" s="32" t="s">
        <v>63</v>
      </c>
    </row>
    <row r="4554" customFormat="false" ht="13.5" hidden="false" customHeight="true" outlineLevel="0" collapsed="false">
      <c r="A4554" s="32" t="n">
        <v>6963</v>
      </c>
      <c r="B4554" s="32" t="s">
        <v>3599</v>
      </c>
      <c r="C4554" s="32" t="s">
        <v>3600</v>
      </c>
      <c r="D4554" s="32" t="s">
        <v>59</v>
      </c>
      <c r="E4554" s="32" t="s">
        <v>92</v>
      </c>
      <c r="F4554" s="32" t="n">
        <v>7727049002</v>
      </c>
      <c r="G4554" s="32" t="s">
        <v>144</v>
      </c>
      <c r="H4554" s="32" t="s">
        <v>21</v>
      </c>
      <c r="I4554" s="32" t="s">
        <v>280</v>
      </c>
      <c r="J4554" s="32" t="s">
        <v>76</v>
      </c>
      <c r="K4554" s="32" t="s">
        <v>63</v>
      </c>
    </row>
    <row r="4555" customFormat="false" ht="13.5" hidden="false" customHeight="true" outlineLevel="0" collapsed="false">
      <c r="A4555" s="32" t="n">
        <v>6964</v>
      </c>
      <c r="B4555" s="32" t="s">
        <v>3602</v>
      </c>
      <c r="C4555" s="32" t="s">
        <v>3603</v>
      </c>
      <c r="D4555" s="32" t="s">
        <v>59</v>
      </c>
      <c r="E4555" s="32" t="s">
        <v>79</v>
      </c>
      <c r="F4555" s="32"/>
      <c r="G4555" s="32"/>
      <c r="H4555" s="32" t="s">
        <v>21</v>
      </c>
      <c r="I4555" s="32" t="s">
        <v>151</v>
      </c>
      <c r="J4555" s="32" t="s">
        <v>152</v>
      </c>
      <c r="K4555" s="32" t="s">
        <v>63</v>
      </c>
    </row>
    <row r="4556" customFormat="false" ht="13.5" hidden="false" customHeight="true" outlineLevel="0" collapsed="false">
      <c r="A4556" s="32" t="n">
        <v>6965</v>
      </c>
      <c r="B4556" s="32" t="s">
        <v>3604</v>
      </c>
      <c r="C4556" s="32" t="s">
        <v>3605</v>
      </c>
      <c r="D4556" s="32" t="s">
        <v>102</v>
      </c>
      <c r="E4556" s="32" t="s">
        <v>103</v>
      </c>
      <c r="F4556" s="32" t="n">
        <v>7030153006</v>
      </c>
      <c r="G4556" s="32" t="s">
        <v>69</v>
      </c>
      <c r="H4556" s="32" t="s">
        <v>21</v>
      </c>
      <c r="I4556" s="32" t="s">
        <v>133</v>
      </c>
      <c r="J4556" s="32" t="s">
        <v>134</v>
      </c>
      <c r="K4556" s="32" t="s">
        <v>63</v>
      </c>
    </row>
    <row r="4557" customFormat="false" ht="13.5" hidden="false" customHeight="true" outlineLevel="0" collapsed="false">
      <c r="A4557" s="32" t="n">
        <v>6966</v>
      </c>
      <c r="B4557" s="32" t="s">
        <v>3604</v>
      </c>
      <c r="C4557" s="32" t="s">
        <v>3605</v>
      </c>
      <c r="D4557" s="32" t="s">
        <v>102</v>
      </c>
      <c r="E4557" s="32" t="s">
        <v>103</v>
      </c>
      <c r="F4557" s="32" t="n">
        <v>7030153006</v>
      </c>
      <c r="G4557" s="32" t="s">
        <v>69</v>
      </c>
      <c r="H4557" s="32" t="s">
        <v>21</v>
      </c>
      <c r="I4557" s="32" t="s">
        <v>108</v>
      </c>
      <c r="J4557" s="32" t="s">
        <v>71</v>
      </c>
      <c r="K4557" s="32" t="s">
        <v>63</v>
      </c>
    </row>
    <row r="4558" customFormat="false" ht="13.5" hidden="false" customHeight="true" outlineLevel="0" collapsed="false">
      <c r="A4558" s="32" t="n">
        <v>6967</v>
      </c>
      <c r="B4558" s="32" t="s">
        <v>3604</v>
      </c>
      <c r="C4558" s="32" t="s">
        <v>3605</v>
      </c>
      <c r="D4558" s="32" t="s">
        <v>102</v>
      </c>
      <c r="E4558" s="32" t="s">
        <v>103</v>
      </c>
      <c r="F4558" s="32" t="n">
        <v>7030153006</v>
      </c>
      <c r="G4558" s="32" t="s">
        <v>69</v>
      </c>
      <c r="H4558" s="32" t="s">
        <v>21</v>
      </c>
      <c r="I4558" s="32" t="s">
        <v>280</v>
      </c>
      <c r="J4558" s="32" t="s">
        <v>76</v>
      </c>
      <c r="K4558" s="32" t="s">
        <v>63</v>
      </c>
    </row>
    <row r="4559" customFormat="false" ht="13.5" hidden="false" customHeight="true" outlineLevel="0" collapsed="false">
      <c r="A4559" s="32" t="n">
        <v>6968</v>
      </c>
      <c r="B4559" s="32" t="s">
        <v>3604</v>
      </c>
      <c r="C4559" s="32" t="s">
        <v>3605</v>
      </c>
      <c r="D4559" s="32" t="s">
        <v>102</v>
      </c>
      <c r="E4559" s="32" t="s">
        <v>103</v>
      </c>
      <c r="F4559" s="32" t="n">
        <v>7030153006</v>
      </c>
      <c r="G4559" s="32" t="s">
        <v>69</v>
      </c>
      <c r="H4559" s="32" t="s">
        <v>21</v>
      </c>
      <c r="I4559" s="32" t="s">
        <v>16</v>
      </c>
      <c r="J4559" s="32" t="s">
        <v>73</v>
      </c>
      <c r="K4559" s="32" t="s">
        <v>63</v>
      </c>
    </row>
    <row r="4560" customFormat="false" ht="13.5" hidden="false" customHeight="true" outlineLevel="0" collapsed="false">
      <c r="A4560" s="32" t="n">
        <v>6969</v>
      </c>
      <c r="B4560" s="32" t="s">
        <v>3604</v>
      </c>
      <c r="C4560" s="32" t="s">
        <v>3605</v>
      </c>
      <c r="D4560" s="32" t="s">
        <v>102</v>
      </c>
      <c r="E4560" s="32" t="s">
        <v>103</v>
      </c>
      <c r="F4560" s="32" t="n">
        <v>7030153006</v>
      </c>
      <c r="G4560" s="32" t="s">
        <v>69</v>
      </c>
      <c r="H4560" s="32" t="s">
        <v>21</v>
      </c>
      <c r="I4560" s="32" t="s">
        <v>85</v>
      </c>
      <c r="J4560" s="32" t="s">
        <v>85</v>
      </c>
      <c r="K4560" s="32" t="s">
        <v>63</v>
      </c>
    </row>
    <row r="4561" customFormat="false" ht="13.5" hidden="false" customHeight="true" outlineLevel="0" collapsed="false">
      <c r="A4561" s="32" t="n">
        <v>6970</v>
      </c>
      <c r="B4561" s="32" t="s">
        <v>3606</v>
      </c>
      <c r="C4561" s="32" t="s">
        <v>3607</v>
      </c>
      <c r="D4561" s="32" t="s">
        <v>102</v>
      </c>
      <c r="E4561" s="32" t="s">
        <v>155</v>
      </c>
      <c r="F4561" s="32"/>
      <c r="G4561" s="32" t="s">
        <v>80</v>
      </c>
      <c r="H4561" s="32" t="s">
        <v>21</v>
      </c>
      <c r="I4561" s="32" t="s">
        <v>14</v>
      </c>
      <c r="J4561" s="32" t="s">
        <v>66</v>
      </c>
      <c r="K4561" s="32" t="s">
        <v>63</v>
      </c>
    </row>
    <row r="4562" customFormat="false" ht="13.5" hidden="false" customHeight="true" outlineLevel="0" collapsed="false">
      <c r="A4562" s="32" t="n">
        <v>6971</v>
      </c>
      <c r="B4562" s="32" t="s">
        <v>3608</v>
      </c>
      <c r="C4562" s="32" t="s">
        <v>3609</v>
      </c>
      <c r="D4562" s="32" t="s">
        <v>102</v>
      </c>
      <c r="E4562" s="32" t="s">
        <v>155</v>
      </c>
      <c r="F4562" s="32"/>
      <c r="G4562" s="32" t="s">
        <v>140</v>
      </c>
      <c r="H4562" s="32" t="s">
        <v>21</v>
      </c>
      <c r="I4562" s="32" t="s">
        <v>14</v>
      </c>
      <c r="J4562" s="32" t="s">
        <v>66</v>
      </c>
      <c r="K4562" s="32" t="s">
        <v>63</v>
      </c>
    </row>
    <row r="4563" customFormat="false" ht="13.5" hidden="false" customHeight="true" outlineLevel="0" collapsed="false">
      <c r="A4563" s="32" t="n">
        <v>6972</v>
      </c>
      <c r="B4563" s="32" t="s">
        <v>3610</v>
      </c>
      <c r="C4563" s="32" t="s">
        <v>3611</v>
      </c>
      <c r="D4563" s="32" t="s">
        <v>102</v>
      </c>
      <c r="E4563" s="32" t="s">
        <v>103</v>
      </c>
      <c r="F4563" s="32"/>
      <c r="G4563" s="32" t="s">
        <v>3562</v>
      </c>
      <c r="H4563" s="32" t="s">
        <v>21</v>
      </c>
      <c r="I4563" s="32" t="s">
        <v>14</v>
      </c>
      <c r="J4563" s="32" t="s">
        <v>66</v>
      </c>
      <c r="K4563" s="32" t="s">
        <v>63</v>
      </c>
    </row>
    <row r="4564" customFormat="false" ht="13.5" hidden="false" customHeight="true" outlineLevel="0" collapsed="false">
      <c r="A4564" s="32" t="n">
        <v>6973</v>
      </c>
      <c r="B4564" s="32" t="s">
        <v>3612</v>
      </c>
      <c r="C4564" s="32" t="s">
        <v>3613</v>
      </c>
      <c r="D4564" s="32" t="s">
        <v>114</v>
      </c>
      <c r="E4564" s="32" t="s">
        <v>115</v>
      </c>
      <c r="F4564" s="32"/>
      <c r="G4564" s="32" t="s">
        <v>61</v>
      </c>
      <c r="H4564" s="32" t="s">
        <v>22</v>
      </c>
      <c r="I4564" s="32" t="s">
        <v>133</v>
      </c>
      <c r="J4564" s="32" t="s">
        <v>134</v>
      </c>
      <c r="K4564" s="32" t="s">
        <v>63</v>
      </c>
    </row>
    <row r="4565" customFormat="false" ht="13.5" hidden="false" customHeight="true" outlineLevel="0" collapsed="false">
      <c r="A4565" s="32" t="n">
        <v>6974</v>
      </c>
      <c r="B4565" s="32" t="s">
        <v>3614</v>
      </c>
      <c r="C4565" s="32" t="s">
        <v>3615</v>
      </c>
      <c r="D4565" s="32" t="s">
        <v>59</v>
      </c>
      <c r="E4565" s="32" t="s">
        <v>92</v>
      </c>
      <c r="F4565" s="32" t="n">
        <v>9840089352</v>
      </c>
      <c r="G4565" s="32" t="s">
        <v>80</v>
      </c>
      <c r="H4565" s="32" t="s">
        <v>21</v>
      </c>
      <c r="I4565" s="32" t="s">
        <v>27</v>
      </c>
      <c r="J4565" s="32" t="s">
        <v>13</v>
      </c>
      <c r="K4565" s="32" t="s">
        <v>63</v>
      </c>
    </row>
    <row r="4566" customFormat="false" ht="13.5" hidden="false" customHeight="true" outlineLevel="0" collapsed="false">
      <c r="A4566" s="32" t="n">
        <v>6975</v>
      </c>
      <c r="B4566" s="32" t="s">
        <v>3154</v>
      </c>
      <c r="C4566" s="32" t="s">
        <v>3616</v>
      </c>
      <c r="D4566" s="32" t="s">
        <v>114</v>
      </c>
      <c r="E4566" s="32" t="s">
        <v>165</v>
      </c>
      <c r="F4566" s="32" t="n">
        <v>8008918941</v>
      </c>
      <c r="G4566" s="32"/>
      <c r="H4566" s="32" t="s">
        <v>22</v>
      </c>
      <c r="I4566" s="32" t="s">
        <v>28</v>
      </c>
      <c r="J4566" s="32" t="s">
        <v>82</v>
      </c>
      <c r="K4566" s="32" t="s">
        <v>63</v>
      </c>
    </row>
    <row r="4567" customFormat="false" ht="13.5" hidden="false" customHeight="true" outlineLevel="0" collapsed="false">
      <c r="A4567" s="32" t="n">
        <v>6976</v>
      </c>
      <c r="B4567" s="32" t="s">
        <v>2909</v>
      </c>
      <c r="C4567" s="32" t="s">
        <v>2910</v>
      </c>
      <c r="D4567" s="32" t="s">
        <v>114</v>
      </c>
      <c r="E4567" s="32" t="s">
        <v>115</v>
      </c>
      <c r="F4567" s="32"/>
      <c r="G4567" s="32" t="s">
        <v>61</v>
      </c>
      <c r="H4567" s="32" t="s">
        <v>22</v>
      </c>
      <c r="I4567" s="32" t="s">
        <v>108</v>
      </c>
      <c r="J4567" s="32" t="s">
        <v>71</v>
      </c>
      <c r="K4567" s="32" t="s">
        <v>63</v>
      </c>
    </row>
    <row r="4568" customFormat="false" ht="13.5" hidden="false" customHeight="true" outlineLevel="0" collapsed="false">
      <c r="A4568" s="32" t="n">
        <v>6977</v>
      </c>
      <c r="B4568" s="32" t="s">
        <v>2431</v>
      </c>
      <c r="C4568" s="32" t="s">
        <v>3617</v>
      </c>
      <c r="D4568" s="32" t="s">
        <v>114</v>
      </c>
      <c r="E4568" s="32" t="s">
        <v>165</v>
      </c>
      <c r="F4568" s="32" t="n">
        <v>9908576375</v>
      </c>
      <c r="G4568" s="32" t="s">
        <v>80</v>
      </c>
      <c r="H4568" s="32" t="s">
        <v>22</v>
      </c>
      <c r="I4568" s="32" t="s">
        <v>133</v>
      </c>
      <c r="J4568" s="32" t="s">
        <v>134</v>
      </c>
      <c r="K4568" s="32" t="s">
        <v>63</v>
      </c>
    </row>
    <row r="4569" customFormat="false" ht="13.5" hidden="false" customHeight="true" outlineLevel="0" collapsed="false">
      <c r="A4569" s="32" t="n">
        <v>6978</v>
      </c>
      <c r="B4569" s="32" t="s">
        <v>3618</v>
      </c>
      <c r="C4569" s="32" t="s">
        <v>3619</v>
      </c>
      <c r="D4569" s="32" t="s">
        <v>102</v>
      </c>
      <c r="E4569" s="32" t="s">
        <v>3620</v>
      </c>
      <c r="F4569" s="32" t="n">
        <v>8302813727</v>
      </c>
      <c r="G4569" s="32" t="s">
        <v>61</v>
      </c>
      <c r="H4569" s="32" t="s">
        <v>21</v>
      </c>
      <c r="I4569" s="32" t="s">
        <v>325</v>
      </c>
      <c r="J4569" s="32" t="s">
        <v>326</v>
      </c>
      <c r="K4569" s="32" t="s">
        <v>63</v>
      </c>
    </row>
    <row r="4570" customFormat="false" ht="13.5" hidden="false" customHeight="true" outlineLevel="0" collapsed="false">
      <c r="A4570" s="32" t="n">
        <v>6979</v>
      </c>
      <c r="B4570" s="32" t="s">
        <v>3621</v>
      </c>
      <c r="C4570" s="32" t="s">
        <v>3622</v>
      </c>
      <c r="D4570" s="32" t="s">
        <v>102</v>
      </c>
      <c r="E4570" s="32" t="s">
        <v>767</v>
      </c>
      <c r="F4570" s="32" t="n">
        <v>6293037704</v>
      </c>
      <c r="G4570" s="32" t="s">
        <v>61</v>
      </c>
      <c r="H4570" s="32" t="s">
        <v>21</v>
      </c>
      <c r="I4570" s="32" t="s">
        <v>325</v>
      </c>
      <c r="J4570" s="32" t="s">
        <v>326</v>
      </c>
      <c r="K4570" s="32" t="s">
        <v>63</v>
      </c>
    </row>
    <row r="4571" customFormat="false" ht="13.5" hidden="false" customHeight="true" outlineLevel="0" collapsed="false">
      <c r="A4571" s="32" t="n">
        <v>6980</v>
      </c>
      <c r="B4571" s="32" t="s">
        <v>3623</v>
      </c>
      <c r="C4571" s="32" t="s">
        <v>3624</v>
      </c>
      <c r="D4571" s="32" t="s">
        <v>102</v>
      </c>
      <c r="E4571" s="32" t="s">
        <v>767</v>
      </c>
      <c r="F4571" s="32" t="n">
        <v>9755109686</v>
      </c>
      <c r="G4571" s="35" t="s">
        <v>61</v>
      </c>
      <c r="H4571" s="32" t="s">
        <v>21</v>
      </c>
      <c r="I4571" s="32" t="s">
        <v>325</v>
      </c>
      <c r="J4571" s="32" t="s">
        <v>326</v>
      </c>
      <c r="K4571" s="32" t="s">
        <v>63</v>
      </c>
    </row>
    <row r="4572" customFormat="false" ht="13.5" hidden="false" customHeight="true" outlineLevel="0" collapsed="false">
      <c r="A4572" s="32" t="n">
        <v>6981</v>
      </c>
      <c r="B4572" s="32" t="s">
        <v>3625</v>
      </c>
      <c r="C4572" s="32" t="s">
        <v>3626</v>
      </c>
      <c r="D4572" s="32" t="s">
        <v>102</v>
      </c>
      <c r="E4572" s="32" t="s">
        <v>767</v>
      </c>
      <c r="F4572" s="32" t="n">
        <v>7004079388</v>
      </c>
      <c r="G4572" s="32" t="s">
        <v>61</v>
      </c>
      <c r="H4572" s="32" t="s">
        <v>21</v>
      </c>
      <c r="I4572" s="32" t="s">
        <v>325</v>
      </c>
      <c r="J4572" s="32" t="s">
        <v>326</v>
      </c>
      <c r="K4572" s="32" t="s">
        <v>63</v>
      </c>
    </row>
    <row r="4573" customFormat="false" ht="13.5" hidden="false" customHeight="true" outlineLevel="0" collapsed="false">
      <c r="A4573" s="32" t="n">
        <v>6982</v>
      </c>
      <c r="B4573" s="32" t="s">
        <v>3627</v>
      </c>
      <c r="C4573" s="32" t="s">
        <v>3628</v>
      </c>
      <c r="D4573" s="32" t="s">
        <v>102</v>
      </c>
      <c r="E4573" s="32" t="s">
        <v>3629</v>
      </c>
      <c r="F4573" s="32" t="n">
        <v>9439129246</v>
      </c>
      <c r="G4573" s="32" t="s">
        <v>61</v>
      </c>
      <c r="H4573" s="32" t="s">
        <v>21</v>
      </c>
      <c r="I4573" s="32" t="s">
        <v>325</v>
      </c>
      <c r="J4573" s="32" t="s">
        <v>326</v>
      </c>
      <c r="K4573" s="32" t="s">
        <v>63</v>
      </c>
    </row>
    <row r="4574" customFormat="false" ht="13.5" hidden="false" customHeight="true" outlineLevel="0" collapsed="false">
      <c r="A4574" s="32" t="n">
        <v>6983</v>
      </c>
      <c r="B4574" s="32" t="s">
        <v>3630</v>
      </c>
      <c r="C4574" s="32" t="s">
        <v>3631</v>
      </c>
      <c r="D4574" s="32" t="s">
        <v>59</v>
      </c>
      <c r="E4574" s="32" t="s">
        <v>107</v>
      </c>
      <c r="F4574" s="32" t="n">
        <v>8939508038</v>
      </c>
      <c r="G4574" s="32" t="s">
        <v>0</v>
      </c>
      <c r="H4574" s="32" t="s">
        <v>21</v>
      </c>
      <c r="I4574" s="32" t="s">
        <v>28</v>
      </c>
      <c r="J4574" s="32" t="s">
        <v>82</v>
      </c>
      <c r="K4574" s="32" t="s">
        <v>63</v>
      </c>
    </row>
    <row r="4575" customFormat="false" ht="13.5" hidden="false" customHeight="true" outlineLevel="0" collapsed="false">
      <c r="A4575" s="32" t="n">
        <v>6984</v>
      </c>
      <c r="B4575" s="32" t="s">
        <v>105</v>
      </c>
      <c r="C4575" s="32" t="s">
        <v>3632</v>
      </c>
      <c r="D4575" s="32" t="s">
        <v>59</v>
      </c>
      <c r="E4575" s="32" t="s">
        <v>107</v>
      </c>
      <c r="F4575" s="32" t="n">
        <v>8446510778</v>
      </c>
      <c r="G4575" s="32" t="s">
        <v>80</v>
      </c>
      <c r="H4575" s="32" t="s">
        <v>21</v>
      </c>
      <c r="I4575" s="32" t="s">
        <v>27</v>
      </c>
      <c r="J4575" s="32" t="s">
        <v>13</v>
      </c>
      <c r="K4575" s="32" t="s">
        <v>63</v>
      </c>
    </row>
    <row r="4576" customFormat="false" ht="13.5" hidden="false" customHeight="true" outlineLevel="0" collapsed="false">
      <c r="A4576" s="32" t="n">
        <v>6985</v>
      </c>
      <c r="B4576" s="32" t="s">
        <v>550</v>
      </c>
      <c r="C4576" s="32" t="s">
        <v>3633</v>
      </c>
      <c r="D4576" s="32" t="s">
        <v>114</v>
      </c>
      <c r="E4576" s="32" t="s">
        <v>165</v>
      </c>
      <c r="F4576" s="32" t="n">
        <v>9561091331</v>
      </c>
      <c r="G4576" s="32" t="s">
        <v>80</v>
      </c>
      <c r="H4576" s="32" t="s">
        <v>22</v>
      </c>
      <c r="I4576" s="32" t="s">
        <v>27</v>
      </c>
      <c r="J4576" s="32" t="s">
        <v>13</v>
      </c>
      <c r="K4576" s="32" t="s">
        <v>63</v>
      </c>
    </row>
    <row r="4577" customFormat="false" ht="13.5" hidden="false" customHeight="true" outlineLevel="0" collapsed="false">
      <c r="A4577" s="32" t="n">
        <v>6986</v>
      </c>
      <c r="B4577" s="32" t="s">
        <v>3634</v>
      </c>
      <c r="C4577" s="32" t="s">
        <v>3635</v>
      </c>
      <c r="D4577" s="32" t="s">
        <v>102</v>
      </c>
      <c r="E4577" s="32" t="s">
        <v>103</v>
      </c>
      <c r="F4577" s="32"/>
      <c r="G4577" s="32" t="s">
        <v>144</v>
      </c>
      <c r="H4577" s="32" t="s">
        <v>21</v>
      </c>
      <c r="I4577" s="32" t="s">
        <v>280</v>
      </c>
      <c r="J4577" s="32" t="s">
        <v>76</v>
      </c>
      <c r="K4577" s="32" t="s">
        <v>63</v>
      </c>
    </row>
    <row r="4578" customFormat="false" ht="13.5" hidden="false" customHeight="true" outlineLevel="0" collapsed="false">
      <c r="A4578" s="32" t="n">
        <v>6987</v>
      </c>
      <c r="B4578" s="32" t="s">
        <v>3636</v>
      </c>
      <c r="C4578" s="32" t="s">
        <v>3637</v>
      </c>
      <c r="D4578" s="32" t="s">
        <v>102</v>
      </c>
      <c r="E4578" s="32" t="s">
        <v>155</v>
      </c>
      <c r="F4578" s="32"/>
      <c r="G4578" s="32" t="s">
        <v>80</v>
      </c>
      <c r="H4578" s="32" t="s">
        <v>21</v>
      </c>
      <c r="I4578" s="32" t="s">
        <v>14</v>
      </c>
      <c r="J4578" s="32" t="s">
        <v>66</v>
      </c>
      <c r="K4578" s="32" t="s">
        <v>63</v>
      </c>
    </row>
    <row r="4579" customFormat="false" ht="13.5" hidden="false" customHeight="true" outlineLevel="0" collapsed="false">
      <c r="A4579" s="32" t="n">
        <v>6988</v>
      </c>
      <c r="B4579" s="32" t="s">
        <v>3636</v>
      </c>
      <c r="C4579" s="32" t="s">
        <v>3637</v>
      </c>
      <c r="D4579" s="32" t="s">
        <v>102</v>
      </c>
      <c r="E4579" s="32" t="s">
        <v>155</v>
      </c>
      <c r="F4579" s="32"/>
      <c r="G4579" s="32" t="s">
        <v>80</v>
      </c>
      <c r="H4579" s="32" t="s">
        <v>21</v>
      </c>
      <c r="I4579" s="32" t="s">
        <v>29</v>
      </c>
      <c r="J4579" s="32" t="s">
        <v>62</v>
      </c>
      <c r="K4579" s="32" t="s">
        <v>63</v>
      </c>
    </row>
    <row r="4580" customFormat="false" ht="13.5" hidden="false" customHeight="true" outlineLevel="0" collapsed="false">
      <c r="A4580" s="32" t="n">
        <v>6989</v>
      </c>
      <c r="B4580" s="32" t="s">
        <v>3638</v>
      </c>
      <c r="C4580" s="32" t="s">
        <v>3639</v>
      </c>
      <c r="D4580" s="32" t="s">
        <v>102</v>
      </c>
      <c r="E4580" s="32" t="s">
        <v>107</v>
      </c>
      <c r="F4580" s="32" t="n">
        <v>8870525517</v>
      </c>
      <c r="G4580" s="32" t="s">
        <v>3562</v>
      </c>
      <c r="H4580" s="32" t="s">
        <v>21</v>
      </c>
      <c r="I4580" s="32" t="s">
        <v>28</v>
      </c>
      <c r="J4580" s="32" t="s">
        <v>82</v>
      </c>
      <c r="K4580" s="32" t="s">
        <v>63</v>
      </c>
    </row>
    <row r="4581" customFormat="false" ht="13.5" hidden="false" customHeight="true" outlineLevel="0" collapsed="false">
      <c r="A4581" s="32" t="n">
        <v>6990</v>
      </c>
      <c r="B4581" s="32" t="s">
        <v>3640</v>
      </c>
      <c r="C4581" s="32" t="s">
        <v>3641</v>
      </c>
      <c r="D4581" s="32" t="s">
        <v>59</v>
      </c>
      <c r="E4581" s="32" t="s">
        <v>1086</v>
      </c>
      <c r="F4581" s="32" t="n">
        <v>9960137602</v>
      </c>
      <c r="G4581" s="32" t="s">
        <v>80</v>
      </c>
      <c r="H4581" s="32" t="s">
        <v>21</v>
      </c>
      <c r="I4581" s="32" t="s">
        <v>28</v>
      </c>
      <c r="J4581" s="32" t="s">
        <v>82</v>
      </c>
      <c r="K4581" s="32" t="s">
        <v>63</v>
      </c>
    </row>
    <row r="4582" customFormat="false" ht="13.5" hidden="false" customHeight="true" outlineLevel="0" collapsed="false">
      <c r="A4582" s="32" t="n">
        <v>6991</v>
      </c>
      <c r="B4582" s="32" t="s">
        <v>3642</v>
      </c>
      <c r="C4582" s="32" t="s">
        <v>3643</v>
      </c>
      <c r="D4582" s="32" t="s">
        <v>102</v>
      </c>
      <c r="E4582" s="32" t="s">
        <v>155</v>
      </c>
      <c r="F4582" s="32"/>
      <c r="G4582" s="32" t="s">
        <v>61</v>
      </c>
      <c r="H4582" s="32" t="s">
        <v>21</v>
      </c>
      <c r="I4582" s="32" t="s">
        <v>28</v>
      </c>
      <c r="J4582" s="32" t="s">
        <v>82</v>
      </c>
      <c r="K4582" s="32" t="s">
        <v>63</v>
      </c>
    </row>
    <row r="4583" customFormat="false" ht="13.5" hidden="false" customHeight="true" outlineLevel="0" collapsed="false">
      <c r="A4583" s="32" t="n">
        <v>6992</v>
      </c>
      <c r="B4583" s="32" t="s">
        <v>1281</v>
      </c>
      <c r="C4583" s="32" t="s">
        <v>1282</v>
      </c>
      <c r="D4583" s="32" t="s">
        <v>114</v>
      </c>
      <c r="E4583" s="32" t="s">
        <v>115</v>
      </c>
      <c r="F4583" s="32" t="n">
        <v>7768870346</v>
      </c>
      <c r="G4583" s="32" t="s">
        <v>80</v>
      </c>
      <c r="H4583" s="32" t="s">
        <v>22</v>
      </c>
      <c r="I4583" s="32" t="s">
        <v>30</v>
      </c>
      <c r="J4583" s="32" t="s">
        <v>203</v>
      </c>
      <c r="K4583" s="32" t="s">
        <v>63</v>
      </c>
    </row>
    <row r="4584" customFormat="false" ht="13.5" hidden="false" customHeight="true" outlineLevel="0" collapsed="false">
      <c r="A4584" s="32" t="n">
        <v>6993</v>
      </c>
      <c r="B4584" s="32" t="s">
        <v>1403</v>
      </c>
      <c r="C4584" s="32" t="s">
        <v>3644</v>
      </c>
      <c r="D4584" s="32" t="s">
        <v>59</v>
      </c>
      <c r="E4584" s="32" t="s">
        <v>79</v>
      </c>
      <c r="F4584" s="32" t="n">
        <v>9966617257</v>
      </c>
      <c r="G4584" s="32" t="s">
        <v>80</v>
      </c>
      <c r="H4584" s="32" t="s">
        <v>21</v>
      </c>
      <c r="I4584" s="32" t="s">
        <v>27</v>
      </c>
      <c r="J4584" s="32" t="s">
        <v>13</v>
      </c>
      <c r="K4584" s="32" t="s">
        <v>63</v>
      </c>
    </row>
    <row r="4585" customFormat="false" ht="13.5" hidden="false" customHeight="true" outlineLevel="0" collapsed="false">
      <c r="A4585" s="32" t="n">
        <v>6994</v>
      </c>
      <c r="B4585" s="32" t="s">
        <v>662</v>
      </c>
      <c r="C4585" s="32" t="s">
        <v>663</v>
      </c>
      <c r="D4585" s="32" t="s">
        <v>59</v>
      </c>
      <c r="E4585" s="32" t="s">
        <v>107</v>
      </c>
      <c r="F4585" s="32"/>
      <c r="G4585" s="32" t="s">
        <v>144</v>
      </c>
      <c r="H4585" s="32" t="s">
        <v>21</v>
      </c>
      <c r="I4585" s="32" t="s">
        <v>27</v>
      </c>
      <c r="J4585" s="32" t="s">
        <v>13</v>
      </c>
      <c r="K4585" s="32" t="s">
        <v>63</v>
      </c>
    </row>
    <row r="4586" customFormat="false" ht="13.5" hidden="false" customHeight="true" outlineLevel="0" collapsed="false">
      <c r="A4586" s="32" t="n">
        <v>6995</v>
      </c>
      <c r="B4586" s="32" t="s">
        <v>662</v>
      </c>
      <c r="C4586" s="32" t="s">
        <v>663</v>
      </c>
      <c r="D4586" s="32" t="s">
        <v>59</v>
      </c>
      <c r="E4586" s="32" t="s">
        <v>107</v>
      </c>
      <c r="F4586" s="32"/>
      <c r="G4586" s="32" t="s">
        <v>144</v>
      </c>
      <c r="H4586" s="32" t="s">
        <v>21</v>
      </c>
      <c r="I4586" s="32" t="s">
        <v>28</v>
      </c>
      <c r="J4586" s="32" t="s">
        <v>82</v>
      </c>
      <c r="K4586" s="32" t="s">
        <v>63</v>
      </c>
    </row>
    <row r="4587" customFormat="false" ht="13.5" hidden="false" customHeight="true" outlineLevel="0" collapsed="false">
      <c r="A4587" s="32" t="n">
        <v>6996</v>
      </c>
      <c r="B4587" s="32" t="s">
        <v>1668</v>
      </c>
      <c r="C4587" s="32" t="s">
        <v>3645</v>
      </c>
      <c r="D4587" s="32" t="s">
        <v>114</v>
      </c>
      <c r="E4587" s="32" t="s">
        <v>124</v>
      </c>
      <c r="F4587" s="32"/>
      <c r="G4587" s="32" t="s">
        <v>144</v>
      </c>
      <c r="H4587" s="32" t="s">
        <v>22</v>
      </c>
      <c r="I4587" s="32" t="s">
        <v>108</v>
      </c>
      <c r="J4587" s="32" t="s">
        <v>71</v>
      </c>
      <c r="K4587" s="32" t="s">
        <v>63</v>
      </c>
    </row>
    <row r="4588" customFormat="false" ht="13.5" hidden="false" customHeight="true" outlineLevel="0" collapsed="false">
      <c r="A4588" s="32" t="n">
        <v>6997</v>
      </c>
      <c r="B4588" s="32" t="s">
        <v>2759</v>
      </c>
      <c r="C4588" s="32" t="s">
        <v>3646</v>
      </c>
      <c r="D4588" s="32" t="s">
        <v>114</v>
      </c>
      <c r="E4588" s="32" t="s">
        <v>115</v>
      </c>
      <c r="F4588" s="32" t="n">
        <v>9591935042</v>
      </c>
      <c r="G4588" s="32" t="s">
        <v>144</v>
      </c>
      <c r="H4588" s="32" t="s">
        <v>22</v>
      </c>
      <c r="I4588" s="32" t="s">
        <v>30</v>
      </c>
      <c r="J4588" s="32" t="s">
        <v>203</v>
      </c>
      <c r="K4588" s="32" t="s">
        <v>63</v>
      </c>
    </row>
    <row r="4589" customFormat="false" ht="13.5" hidden="false" customHeight="true" outlineLevel="0" collapsed="false">
      <c r="A4589" s="32" t="n">
        <v>6998</v>
      </c>
      <c r="B4589" s="32" t="s">
        <v>988</v>
      </c>
      <c r="C4589" s="32" t="s">
        <v>3647</v>
      </c>
      <c r="D4589" s="32" t="s">
        <v>59</v>
      </c>
      <c r="E4589" s="32" t="s">
        <v>60</v>
      </c>
      <c r="F4589" s="32" t="n">
        <v>6292537883</v>
      </c>
      <c r="G4589" s="32" t="s">
        <v>144</v>
      </c>
      <c r="H4589" s="32" t="s">
        <v>21</v>
      </c>
      <c r="I4589" s="32" t="s">
        <v>133</v>
      </c>
      <c r="J4589" s="32" t="s">
        <v>134</v>
      </c>
      <c r="K4589" s="32" t="s">
        <v>63</v>
      </c>
    </row>
    <row r="4590" customFormat="false" ht="13.5" hidden="false" customHeight="true" outlineLevel="0" collapsed="false">
      <c r="A4590" s="32" t="n">
        <v>6999</v>
      </c>
      <c r="B4590" s="32" t="s">
        <v>2206</v>
      </c>
      <c r="C4590" s="32" t="s">
        <v>2209</v>
      </c>
      <c r="D4590" s="32" t="s">
        <v>114</v>
      </c>
      <c r="E4590" s="32" t="s">
        <v>124</v>
      </c>
      <c r="F4590" s="32" t="n">
        <v>919550778282</v>
      </c>
      <c r="G4590" s="32" t="s">
        <v>80</v>
      </c>
      <c r="H4590" s="32" t="s">
        <v>22</v>
      </c>
      <c r="I4590" s="32" t="s">
        <v>151</v>
      </c>
      <c r="J4590" s="32" t="s">
        <v>152</v>
      </c>
      <c r="K4590" s="32" t="s">
        <v>63</v>
      </c>
    </row>
    <row r="4591" customFormat="false" ht="13.5" hidden="false" customHeight="true" outlineLevel="0" collapsed="false">
      <c r="A4591" s="32" t="n">
        <v>7000</v>
      </c>
      <c r="B4591" s="32" t="s">
        <v>3492</v>
      </c>
      <c r="C4591" s="32" t="s">
        <v>3493</v>
      </c>
      <c r="D4591" s="32" t="s">
        <v>59</v>
      </c>
      <c r="E4591" s="32" t="s">
        <v>107</v>
      </c>
      <c r="F4591" s="32" t="n">
        <v>8088141099</v>
      </c>
      <c r="G4591" s="32" t="s">
        <v>3562</v>
      </c>
      <c r="H4591" s="32" t="s">
        <v>21</v>
      </c>
      <c r="I4591" s="32" t="s">
        <v>133</v>
      </c>
      <c r="J4591" s="32" t="s">
        <v>134</v>
      </c>
      <c r="K4591" s="32" t="s">
        <v>63</v>
      </c>
    </row>
    <row r="4592" customFormat="false" ht="13.5" hidden="false" customHeight="true" outlineLevel="0" collapsed="false">
      <c r="A4592" s="32" t="n">
        <v>7001</v>
      </c>
      <c r="B4592" s="32" t="s">
        <v>3648</v>
      </c>
      <c r="C4592" s="32" t="s">
        <v>3649</v>
      </c>
      <c r="D4592" s="32" t="s">
        <v>114</v>
      </c>
      <c r="E4592" s="32" t="s">
        <v>115</v>
      </c>
      <c r="F4592" s="32"/>
      <c r="G4592" s="35" t="s">
        <v>80</v>
      </c>
      <c r="H4592" s="32" t="s">
        <v>22</v>
      </c>
      <c r="I4592" s="32" t="s">
        <v>133</v>
      </c>
      <c r="J4592" s="32" t="s">
        <v>134</v>
      </c>
      <c r="K4592" s="32" t="s">
        <v>63</v>
      </c>
    </row>
    <row r="4593" customFormat="false" ht="13.5" hidden="false" customHeight="true" outlineLevel="0" collapsed="false">
      <c r="A4593" s="32" t="n">
        <v>7002</v>
      </c>
      <c r="B4593" s="32" t="s">
        <v>3648</v>
      </c>
      <c r="C4593" s="32" t="s">
        <v>3649</v>
      </c>
      <c r="D4593" s="32" t="s">
        <v>114</v>
      </c>
      <c r="E4593" s="32" t="s">
        <v>115</v>
      </c>
      <c r="F4593" s="32"/>
      <c r="G4593" s="35" t="s">
        <v>80</v>
      </c>
      <c r="H4593" s="32" t="s">
        <v>22</v>
      </c>
      <c r="I4593" s="32" t="s">
        <v>161</v>
      </c>
      <c r="J4593" s="32" t="s">
        <v>117</v>
      </c>
      <c r="K4593" s="32" t="s">
        <v>63</v>
      </c>
    </row>
    <row r="4594" customFormat="false" ht="13.5" hidden="false" customHeight="true" outlineLevel="0" collapsed="false">
      <c r="A4594" s="32" t="n">
        <v>7003</v>
      </c>
      <c r="B4594" s="32" t="s">
        <v>2633</v>
      </c>
      <c r="C4594" s="32" t="s">
        <v>2634</v>
      </c>
      <c r="D4594" s="32" t="s">
        <v>102</v>
      </c>
      <c r="E4594" s="32" t="s">
        <v>155</v>
      </c>
      <c r="F4594" s="32" t="n">
        <v>8944888669</v>
      </c>
      <c r="G4594" s="32" t="s">
        <v>140</v>
      </c>
      <c r="H4594" s="32" t="s">
        <v>21</v>
      </c>
      <c r="I4594" s="32" t="s">
        <v>27</v>
      </c>
      <c r="J4594" s="32" t="s">
        <v>13</v>
      </c>
      <c r="K4594" s="32" t="s">
        <v>63</v>
      </c>
    </row>
    <row r="4595" customFormat="false" ht="13.5" hidden="false" customHeight="true" outlineLevel="0" collapsed="false">
      <c r="A4595" s="32" t="n">
        <v>7004</v>
      </c>
      <c r="B4595" s="32" t="s">
        <v>2633</v>
      </c>
      <c r="C4595" s="32" t="s">
        <v>2634</v>
      </c>
      <c r="D4595" s="32" t="s">
        <v>102</v>
      </c>
      <c r="E4595" s="32" t="s">
        <v>155</v>
      </c>
      <c r="F4595" s="32" t="n">
        <v>8944888669</v>
      </c>
      <c r="G4595" s="32" t="s">
        <v>140</v>
      </c>
      <c r="H4595" s="32" t="s">
        <v>21</v>
      </c>
      <c r="I4595" s="32" t="s">
        <v>16</v>
      </c>
      <c r="J4595" s="32" t="s">
        <v>73</v>
      </c>
      <c r="K4595" s="32" t="s">
        <v>63</v>
      </c>
    </row>
    <row r="4596" customFormat="false" ht="13.5" hidden="false" customHeight="true" outlineLevel="0" collapsed="false">
      <c r="A4596" s="32" t="n">
        <v>7005</v>
      </c>
      <c r="B4596" s="32" t="s">
        <v>2431</v>
      </c>
      <c r="C4596" s="32" t="s">
        <v>3617</v>
      </c>
      <c r="D4596" s="32" t="s">
        <v>114</v>
      </c>
      <c r="E4596" s="32" t="s">
        <v>165</v>
      </c>
      <c r="F4596" s="32" t="n">
        <v>9908576375</v>
      </c>
      <c r="G4596" s="32" t="s">
        <v>3562</v>
      </c>
      <c r="H4596" s="32" t="s">
        <v>22</v>
      </c>
      <c r="I4596" s="32" t="s">
        <v>16</v>
      </c>
      <c r="J4596" s="32" t="s">
        <v>73</v>
      </c>
      <c r="K4596" s="32" t="s">
        <v>63</v>
      </c>
    </row>
    <row r="4597" customFormat="false" ht="13.5" hidden="false" customHeight="true" outlineLevel="0" collapsed="false">
      <c r="A4597" s="32" t="n">
        <v>7006</v>
      </c>
      <c r="B4597" s="32" t="s">
        <v>1772</v>
      </c>
      <c r="C4597" s="35" t="s">
        <v>3650</v>
      </c>
      <c r="D4597" s="32" t="s">
        <v>59</v>
      </c>
      <c r="E4597" s="32" t="s">
        <v>60</v>
      </c>
      <c r="F4597" s="32"/>
      <c r="G4597" s="32" t="s">
        <v>144</v>
      </c>
      <c r="H4597" s="32" t="s">
        <v>21</v>
      </c>
      <c r="I4597" s="32" t="s">
        <v>14</v>
      </c>
      <c r="J4597" s="32" t="s">
        <v>66</v>
      </c>
      <c r="K4597" s="32" t="s">
        <v>63</v>
      </c>
    </row>
    <row r="4598" customFormat="false" ht="13.5" hidden="false" customHeight="true" outlineLevel="0" collapsed="false">
      <c r="A4598" s="32" t="n">
        <v>7007</v>
      </c>
      <c r="B4598" s="32" t="s">
        <v>1513</v>
      </c>
      <c r="C4598" s="32" t="s">
        <v>3651</v>
      </c>
      <c r="D4598" s="32" t="s">
        <v>59</v>
      </c>
      <c r="E4598" s="32" t="s">
        <v>143</v>
      </c>
      <c r="F4598" s="32" t="n">
        <v>9530383516</v>
      </c>
      <c r="G4598" s="32" t="s">
        <v>144</v>
      </c>
      <c r="H4598" s="32" t="s">
        <v>21</v>
      </c>
      <c r="I4598" s="32" t="s">
        <v>27</v>
      </c>
      <c r="J4598" s="32" t="s">
        <v>13</v>
      </c>
      <c r="K4598" s="32" t="s">
        <v>63</v>
      </c>
    </row>
    <row r="4599" customFormat="false" ht="13.5" hidden="false" customHeight="true" outlineLevel="0" collapsed="false">
      <c r="A4599" s="32" t="n">
        <v>7008</v>
      </c>
      <c r="B4599" s="32" t="s">
        <v>3652</v>
      </c>
      <c r="C4599" s="32" t="s">
        <v>3653</v>
      </c>
      <c r="D4599" s="32" t="s">
        <v>59</v>
      </c>
      <c r="E4599" s="32" t="s">
        <v>79</v>
      </c>
      <c r="F4599" s="32"/>
      <c r="G4599" s="32"/>
      <c r="H4599" s="32" t="s">
        <v>21</v>
      </c>
      <c r="I4599" s="32" t="s">
        <v>151</v>
      </c>
      <c r="J4599" s="32" t="s">
        <v>152</v>
      </c>
      <c r="K4599" s="32" t="s">
        <v>63</v>
      </c>
    </row>
    <row r="4600" customFormat="false" ht="13.5" hidden="false" customHeight="true" outlineLevel="0" collapsed="false">
      <c r="A4600" s="32" t="n">
        <v>7009</v>
      </c>
      <c r="B4600" s="32" t="s">
        <v>2771</v>
      </c>
      <c r="C4600" s="32" t="s">
        <v>2772</v>
      </c>
      <c r="D4600" s="32" t="s">
        <v>114</v>
      </c>
      <c r="E4600" s="32" t="s">
        <v>124</v>
      </c>
      <c r="F4600" s="32"/>
      <c r="G4600" s="32" t="s">
        <v>3562</v>
      </c>
      <c r="H4600" s="32" t="s">
        <v>22</v>
      </c>
      <c r="I4600" s="32" t="s">
        <v>27</v>
      </c>
      <c r="J4600" s="32" t="s">
        <v>13</v>
      </c>
      <c r="K4600" s="32" t="s">
        <v>63</v>
      </c>
    </row>
    <row r="4601" customFormat="false" ht="13.5" hidden="false" customHeight="true" outlineLevel="0" collapsed="false">
      <c r="A4601" s="32" t="n">
        <v>7010</v>
      </c>
      <c r="B4601" s="32" t="s">
        <v>2771</v>
      </c>
      <c r="C4601" s="32" t="s">
        <v>2772</v>
      </c>
      <c r="D4601" s="32" t="s">
        <v>114</v>
      </c>
      <c r="E4601" s="32" t="s">
        <v>124</v>
      </c>
      <c r="F4601" s="32"/>
      <c r="G4601" s="32" t="s">
        <v>3562</v>
      </c>
      <c r="H4601" s="32" t="s">
        <v>22</v>
      </c>
      <c r="I4601" s="32" t="s">
        <v>30</v>
      </c>
      <c r="J4601" s="32" t="s">
        <v>203</v>
      </c>
      <c r="K4601" s="32" t="s">
        <v>63</v>
      </c>
    </row>
    <row r="4602" customFormat="false" ht="13.5" hidden="false" customHeight="true" outlineLevel="0" collapsed="false">
      <c r="A4602" s="32" t="n">
        <v>7011</v>
      </c>
      <c r="B4602" s="32" t="s">
        <v>3654</v>
      </c>
      <c r="C4602" s="32" t="s">
        <v>3655</v>
      </c>
      <c r="D4602" s="32" t="s">
        <v>102</v>
      </c>
      <c r="E4602" s="32" t="s">
        <v>103</v>
      </c>
      <c r="F4602" s="32" t="n">
        <v>8009220801</v>
      </c>
      <c r="G4602" s="32" t="s">
        <v>144</v>
      </c>
      <c r="H4602" s="32" t="s">
        <v>21</v>
      </c>
      <c r="I4602" s="32" t="s">
        <v>28</v>
      </c>
      <c r="J4602" s="32" t="s">
        <v>82</v>
      </c>
      <c r="K4602" s="32" t="s">
        <v>63</v>
      </c>
    </row>
    <row r="4603" customFormat="false" ht="13.5" hidden="false" customHeight="true" outlineLevel="0" collapsed="false">
      <c r="A4603" s="32" t="n">
        <v>7012</v>
      </c>
      <c r="B4603" s="32" t="s">
        <v>3654</v>
      </c>
      <c r="C4603" s="32" t="s">
        <v>3655</v>
      </c>
      <c r="D4603" s="32" t="s">
        <v>102</v>
      </c>
      <c r="E4603" s="32" t="s">
        <v>103</v>
      </c>
      <c r="F4603" s="32" t="n">
        <v>8009220801</v>
      </c>
      <c r="G4603" s="32" t="s">
        <v>144</v>
      </c>
      <c r="H4603" s="32" t="s">
        <v>21</v>
      </c>
      <c r="I4603" s="32" t="s">
        <v>108</v>
      </c>
      <c r="J4603" s="32" t="s">
        <v>71</v>
      </c>
      <c r="K4603" s="32" t="s">
        <v>63</v>
      </c>
    </row>
    <row r="4604" customFormat="false" ht="13.5" hidden="false" customHeight="true" outlineLevel="0" collapsed="false">
      <c r="A4604" s="32" t="n">
        <v>7013</v>
      </c>
      <c r="B4604" s="32" t="s">
        <v>3656</v>
      </c>
      <c r="C4604" s="32" t="s">
        <v>3657</v>
      </c>
      <c r="D4604" s="32" t="s">
        <v>114</v>
      </c>
      <c r="E4604" s="32" t="s">
        <v>115</v>
      </c>
      <c r="F4604" s="32" t="n">
        <v>9618538987</v>
      </c>
      <c r="G4604" s="32" t="s">
        <v>61</v>
      </c>
      <c r="H4604" s="32" t="s">
        <v>22</v>
      </c>
      <c r="I4604" s="32" t="s">
        <v>14</v>
      </c>
      <c r="J4604" s="32" t="s">
        <v>66</v>
      </c>
      <c r="K4604" s="32" t="s">
        <v>63</v>
      </c>
    </row>
    <row r="4605" customFormat="false" ht="13.5" hidden="false" customHeight="true" outlineLevel="0" collapsed="false">
      <c r="A4605" s="32" t="n">
        <v>7014</v>
      </c>
      <c r="B4605" s="32" t="s">
        <v>3656</v>
      </c>
      <c r="C4605" s="32" t="s">
        <v>3657</v>
      </c>
      <c r="D4605" s="32" t="s">
        <v>114</v>
      </c>
      <c r="E4605" s="32" t="s">
        <v>115</v>
      </c>
      <c r="F4605" s="32" t="n">
        <v>9618538987</v>
      </c>
      <c r="G4605" s="32" t="s">
        <v>61</v>
      </c>
      <c r="H4605" s="32" t="s">
        <v>22</v>
      </c>
      <c r="I4605" s="32" t="s">
        <v>166</v>
      </c>
      <c r="J4605" s="32" t="s">
        <v>66</v>
      </c>
      <c r="K4605" s="32" t="s">
        <v>63</v>
      </c>
    </row>
    <row r="4606" customFormat="false" ht="13.5" hidden="false" customHeight="true" outlineLevel="0" collapsed="false">
      <c r="A4606" s="32" t="n">
        <v>7015</v>
      </c>
      <c r="B4606" s="32" t="s">
        <v>3658</v>
      </c>
      <c r="C4606" s="32" t="s">
        <v>3659</v>
      </c>
      <c r="D4606" s="32" t="s">
        <v>102</v>
      </c>
      <c r="E4606" s="32" t="s">
        <v>107</v>
      </c>
      <c r="F4606" s="32"/>
      <c r="G4606" s="32" t="s">
        <v>61</v>
      </c>
      <c r="H4606" s="32" t="s">
        <v>21</v>
      </c>
      <c r="I4606" s="32" t="s">
        <v>133</v>
      </c>
      <c r="J4606" s="32" t="s">
        <v>134</v>
      </c>
      <c r="K4606" s="32" t="s">
        <v>63</v>
      </c>
    </row>
    <row r="4607" customFormat="false" ht="13.5" hidden="false" customHeight="true" outlineLevel="0" collapsed="false">
      <c r="A4607" s="32" t="n">
        <v>7016</v>
      </c>
      <c r="B4607" s="32" t="s">
        <v>3658</v>
      </c>
      <c r="C4607" s="32" t="s">
        <v>3659</v>
      </c>
      <c r="D4607" s="32" t="s">
        <v>102</v>
      </c>
      <c r="E4607" s="32" t="s">
        <v>107</v>
      </c>
      <c r="F4607" s="32"/>
      <c r="G4607" s="32" t="s">
        <v>61</v>
      </c>
      <c r="H4607" s="32" t="s">
        <v>21</v>
      </c>
      <c r="I4607" s="32" t="s">
        <v>30</v>
      </c>
      <c r="J4607" s="32" t="s">
        <v>203</v>
      </c>
      <c r="K4607" s="32" t="s">
        <v>63</v>
      </c>
    </row>
    <row r="4608" customFormat="false" ht="13.5" hidden="false" customHeight="true" outlineLevel="0" collapsed="false">
      <c r="A4608" s="32" t="n">
        <v>7017</v>
      </c>
      <c r="B4608" s="32" t="s">
        <v>3658</v>
      </c>
      <c r="C4608" s="32" t="s">
        <v>3659</v>
      </c>
      <c r="D4608" s="32" t="s">
        <v>102</v>
      </c>
      <c r="E4608" s="32" t="s">
        <v>107</v>
      </c>
      <c r="F4608" s="32"/>
      <c r="G4608" s="32" t="s">
        <v>61</v>
      </c>
      <c r="H4608" s="32" t="s">
        <v>21</v>
      </c>
      <c r="I4608" s="32" t="s">
        <v>121</v>
      </c>
      <c r="J4608" s="32" t="s">
        <v>110</v>
      </c>
      <c r="K4608" s="32" t="s">
        <v>63</v>
      </c>
    </row>
    <row r="4609" customFormat="false" ht="13.5" hidden="false" customHeight="true" outlineLevel="0" collapsed="false">
      <c r="A4609" s="32" t="n">
        <v>7018</v>
      </c>
      <c r="B4609" s="32" t="s">
        <v>3658</v>
      </c>
      <c r="C4609" s="32" t="s">
        <v>3659</v>
      </c>
      <c r="D4609" s="32" t="s">
        <v>102</v>
      </c>
      <c r="E4609" s="32" t="s">
        <v>107</v>
      </c>
      <c r="F4609" s="32"/>
      <c r="G4609" s="32" t="s">
        <v>61</v>
      </c>
      <c r="H4609" s="32" t="s">
        <v>21</v>
      </c>
      <c r="I4609" s="32" t="s">
        <v>161</v>
      </c>
      <c r="J4609" s="32" t="s">
        <v>117</v>
      </c>
      <c r="K4609" s="32" t="s">
        <v>63</v>
      </c>
    </row>
    <row r="4610" customFormat="false" ht="13.5" hidden="false" customHeight="true" outlineLevel="0" collapsed="false">
      <c r="A4610" s="32" t="n">
        <v>7019</v>
      </c>
      <c r="B4610" s="32" t="s">
        <v>3658</v>
      </c>
      <c r="C4610" s="32" t="s">
        <v>3659</v>
      </c>
      <c r="D4610" s="32" t="s">
        <v>102</v>
      </c>
      <c r="E4610" s="32" t="s">
        <v>107</v>
      </c>
      <c r="F4610" s="32"/>
      <c r="G4610" s="32" t="s">
        <v>61</v>
      </c>
      <c r="H4610" s="32" t="s">
        <v>21</v>
      </c>
      <c r="I4610" s="32" t="s">
        <v>95</v>
      </c>
      <c r="J4610" s="32" t="s">
        <v>96</v>
      </c>
      <c r="K4610" s="32" t="s">
        <v>63</v>
      </c>
    </row>
    <row r="4611" customFormat="false" ht="13.5" hidden="false" customHeight="true" outlineLevel="0" collapsed="false">
      <c r="A4611" s="32" t="n">
        <v>7020</v>
      </c>
      <c r="B4611" s="32" t="s">
        <v>3660</v>
      </c>
      <c r="C4611" s="32" t="s">
        <v>3661</v>
      </c>
      <c r="D4611" s="32" t="s">
        <v>102</v>
      </c>
      <c r="E4611" s="32" t="s">
        <v>107</v>
      </c>
      <c r="F4611" s="32" t="n">
        <v>9944415381</v>
      </c>
      <c r="G4611" s="32" t="s">
        <v>61</v>
      </c>
      <c r="H4611" s="32" t="s">
        <v>21</v>
      </c>
      <c r="I4611" s="32" t="s">
        <v>133</v>
      </c>
      <c r="J4611" s="32" t="s">
        <v>134</v>
      </c>
      <c r="K4611" s="32" t="s">
        <v>63</v>
      </c>
    </row>
    <row r="4612" customFormat="false" ht="13.5" hidden="false" customHeight="true" outlineLevel="0" collapsed="false">
      <c r="A4612" s="32" t="n">
        <v>7021</v>
      </c>
      <c r="B4612" s="32" t="s">
        <v>3660</v>
      </c>
      <c r="C4612" s="32" t="s">
        <v>3661</v>
      </c>
      <c r="D4612" s="32" t="s">
        <v>102</v>
      </c>
      <c r="E4612" s="32" t="s">
        <v>107</v>
      </c>
      <c r="F4612" s="32" t="n">
        <v>9944415381</v>
      </c>
      <c r="G4612" s="32" t="s">
        <v>61</v>
      </c>
      <c r="H4612" s="32" t="s">
        <v>21</v>
      </c>
      <c r="I4612" s="32" t="s">
        <v>30</v>
      </c>
      <c r="J4612" s="32" t="s">
        <v>203</v>
      </c>
      <c r="K4612" s="32" t="s">
        <v>63</v>
      </c>
    </row>
    <row r="4613" customFormat="false" ht="13.5" hidden="false" customHeight="true" outlineLevel="0" collapsed="false">
      <c r="A4613" s="32" t="n">
        <v>7022</v>
      </c>
      <c r="B4613" s="32" t="s">
        <v>3660</v>
      </c>
      <c r="C4613" s="32" t="s">
        <v>3661</v>
      </c>
      <c r="D4613" s="32" t="s">
        <v>102</v>
      </c>
      <c r="E4613" s="32" t="s">
        <v>107</v>
      </c>
      <c r="F4613" s="32" t="n">
        <v>9944415381</v>
      </c>
      <c r="G4613" s="32" t="s">
        <v>61</v>
      </c>
      <c r="H4613" s="32" t="s">
        <v>21</v>
      </c>
      <c r="I4613" s="32" t="s">
        <v>121</v>
      </c>
      <c r="J4613" s="32" t="s">
        <v>110</v>
      </c>
      <c r="K4613" s="32" t="s">
        <v>63</v>
      </c>
    </row>
    <row r="4614" customFormat="false" ht="13.5" hidden="false" customHeight="true" outlineLevel="0" collapsed="false">
      <c r="A4614" s="32" t="n">
        <v>7023</v>
      </c>
      <c r="B4614" s="32" t="s">
        <v>3660</v>
      </c>
      <c r="C4614" s="32" t="s">
        <v>3661</v>
      </c>
      <c r="D4614" s="32" t="s">
        <v>102</v>
      </c>
      <c r="E4614" s="32" t="s">
        <v>107</v>
      </c>
      <c r="F4614" s="32" t="n">
        <v>9944415381</v>
      </c>
      <c r="G4614" s="32" t="s">
        <v>61</v>
      </c>
      <c r="H4614" s="32" t="s">
        <v>21</v>
      </c>
      <c r="I4614" s="32" t="s">
        <v>161</v>
      </c>
      <c r="J4614" s="32" t="s">
        <v>117</v>
      </c>
      <c r="K4614" s="32" t="s">
        <v>63</v>
      </c>
    </row>
    <row r="4615" customFormat="false" ht="13.5" hidden="false" customHeight="true" outlineLevel="0" collapsed="false">
      <c r="A4615" s="32" t="n">
        <v>7024</v>
      </c>
      <c r="B4615" s="32" t="s">
        <v>3660</v>
      </c>
      <c r="C4615" s="32" t="s">
        <v>3661</v>
      </c>
      <c r="D4615" s="32" t="s">
        <v>102</v>
      </c>
      <c r="E4615" s="32" t="s">
        <v>107</v>
      </c>
      <c r="F4615" s="32" t="n">
        <v>9944415381</v>
      </c>
      <c r="G4615" s="32" t="s">
        <v>61</v>
      </c>
      <c r="H4615" s="32" t="s">
        <v>21</v>
      </c>
      <c r="I4615" s="32" t="s">
        <v>95</v>
      </c>
      <c r="J4615" s="32" t="s">
        <v>96</v>
      </c>
      <c r="K4615" s="32" t="s">
        <v>63</v>
      </c>
    </row>
    <row r="4616" customFormat="false" ht="13.5" hidden="false" customHeight="true" outlineLevel="0" collapsed="false">
      <c r="A4616" s="32" t="n">
        <v>7025</v>
      </c>
      <c r="B4616" s="32" t="s">
        <v>2771</v>
      </c>
      <c r="C4616" s="32" t="s">
        <v>2772</v>
      </c>
      <c r="D4616" s="32" t="s">
        <v>114</v>
      </c>
      <c r="E4616" s="32" t="s">
        <v>124</v>
      </c>
      <c r="F4616" s="32" t="n">
        <v>9620185814</v>
      </c>
      <c r="G4616" s="32" t="s">
        <v>61</v>
      </c>
      <c r="H4616" s="32" t="s">
        <v>22</v>
      </c>
      <c r="I4616" s="32" t="s">
        <v>27</v>
      </c>
      <c r="J4616" s="32" t="s">
        <v>13</v>
      </c>
      <c r="K4616" s="32" t="s">
        <v>63</v>
      </c>
    </row>
    <row r="4617" customFormat="false" ht="13.5" hidden="false" customHeight="true" outlineLevel="0" collapsed="false">
      <c r="A4617" s="32" t="n">
        <v>7026</v>
      </c>
      <c r="B4617" s="32" t="s">
        <v>2771</v>
      </c>
      <c r="C4617" s="32" t="s">
        <v>2772</v>
      </c>
      <c r="D4617" s="32" t="s">
        <v>114</v>
      </c>
      <c r="E4617" s="32" t="s">
        <v>124</v>
      </c>
      <c r="F4617" s="32" t="n">
        <v>9620185814</v>
      </c>
      <c r="G4617" s="32" t="s">
        <v>61</v>
      </c>
      <c r="H4617" s="32" t="s">
        <v>22</v>
      </c>
      <c r="I4617" s="32" t="s">
        <v>30</v>
      </c>
      <c r="J4617" s="32" t="s">
        <v>203</v>
      </c>
      <c r="K4617" s="32" t="s">
        <v>63</v>
      </c>
    </row>
    <row r="4618" customFormat="false" ht="13.5" hidden="false" customHeight="true" outlineLevel="0" collapsed="false">
      <c r="A4618" s="32" t="n">
        <v>7027</v>
      </c>
      <c r="B4618" s="32" t="s">
        <v>2673</v>
      </c>
      <c r="C4618" s="32" t="s">
        <v>2675</v>
      </c>
      <c r="D4618" s="32" t="s">
        <v>114</v>
      </c>
      <c r="E4618" s="32" t="s">
        <v>115</v>
      </c>
      <c r="F4618" s="32" t="n">
        <v>9966180555</v>
      </c>
      <c r="G4618" s="32" t="s">
        <v>80</v>
      </c>
      <c r="H4618" s="32" t="s">
        <v>22</v>
      </c>
      <c r="I4618" s="32" t="s">
        <v>27</v>
      </c>
      <c r="J4618" s="32" t="s">
        <v>13</v>
      </c>
      <c r="K4618" s="32" t="s">
        <v>63</v>
      </c>
    </row>
    <row r="4619" customFormat="false" ht="13.5" hidden="false" customHeight="true" outlineLevel="0" collapsed="false">
      <c r="A4619" s="32" t="n">
        <v>7028</v>
      </c>
      <c r="B4619" s="32" t="s">
        <v>759</v>
      </c>
      <c r="C4619" s="32" t="s">
        <v>761</v>
      </c>
      <c r="D4619" s="32" t="s">
        <v>114</v>
      </c>
      <c r="E4619" s="32" t="s">
        <v>165</v>
      </c>
      <c r="F4619" s="32" t="n">
        <v>7396797799</v>
      </c>
      <c r="G4619" s="32" t="s">
        <v>80</v>
      </c>
      <c r="H4619" s="32" t="s">
        <v>22</v>
      </c>
      <c r="I4619" s="32" t="s">
        <v>30</v>
      </c>
      <c r="J4619" s="32" t="s">
        <v>203</v>
      </c>
      <c r="K4619" s="32" t="s">
        <v>63</v>
      </c>
    </row>
    <row r="4620" customFormat="false" ht="13.5" hidden="false" customHeight="true" outlineLevel="0" collapsed="false">
      <c r="A4620" s="32" t="n">
        <v>7029</v>
      </c>
      <c r="B4620" s="32" t="s">
        <v>173</v>
      </c>
      <c r="C4620" s="32" t="s">
        <v>3662</v>
      </c>
      <c r="D4620" s="32" t="s">
        <v>59</v>
      </c>
      <c r="E4620" s="32" t="s">
        <v>79</v>
      </c>
      <c r="F4620" s="32" t="n">
        <v>8888319723</v>
      </c>
      <c r="G4620" s="32" t="s">
        <v>140</v>
      </c>
      <c r="H4620" s="32" t="s">
        <v>21</v>
      </c>
      <c r="I4620" s="32" t="s">
        <v>95</v>
      </c>
      <c r="J4620" s="32" t="s">
        <v>96</v>
      </c>
      <c r="K4620" s="32" t="s">
        <v>63</v>
      </c>
    </row>
    <row r="4621" customFormat="false" ht="13.5" hidden="false" customHeight="true" outlineLevel="0" collapsed="false">
      <c r="A4621" s="32" t="n">
        <v>7030</v>
      </c>
      <c r="B4621" s="32" t="s">
        <v>3663</v>
      </c>
      <c r="C4621" s="32" t="s">
        <v>3664</v>
      </c>
      <c r="D4621" s="32" t="s">
        <v>59</v>
      </c>
      <c r="E4621" s="32" t="s">
        <v>107</v>
      </c>
      <c r="F4621" s="32" t="n">
        <v>9483764440</v>
      </c>
      <c r="G4621" s="32" t="s">
        <v>61</v>
      </c>
      <c r="H4621" s="32" t="s">
        <v>21</v>
      </c>
      <c r="I4621" s="32" t="s">
        <v>87</v>
      </c>
      <c r="J4621" s="32" t="s">
        <v>84</v>
      </c>
      <c r="K4621" s="32" t="s">
        <v>63</v>
      </c>
    </row>
    <row r="4622" customFormat="false" ht="13.5" hidden="false" customHeight="true" outlineLevel="0" collapsed="false">
      <c r="A4622" s="32" t="n">
        <v>7031</v>
      </c>
      <c r="B4622" s="32" t="s">
        <v>3663</v>
      </c>
      <c r="C4622" s="32" t="s">
        <v>3664</v>
      </c>
      <c r="D4622" s="32" t="s">
        <v>59</v>
      </c>
      <c r="E4622" s="32" t="s">
        <v>107</v>
      </c>
      <c r="F4622" s="32" t="n">
        <v>9483764440</v>
      </c>
      <c r="G4622" s="32" t="s">
        <v>61</v>
      </c>
      <c r="H4622" s="32" t="s">
        <v>21</v>
      </c>
      <c r="I4622" s="32" t="s">
        <v>95</v>
      </c>
      <c r="J4622" s="32" t="s">
        <v>96</v>
      </c>
      <c r="K4622" s="32" t="s">
        <v>63</v>
      </c>
    </row>
    <row r="4623" customFormat="false" ht="13.5" hidden="false" customHeight="true" outlineLevel="0" collapsed="false">
      <c r="A4623" s="32" t="n">
        <v>7032</v>
      </c>
      <c r="B4623" s="32" t="s">
        <v>343</v>
      </c>
      <c r="C4623" s="32" t="s">
        <v>344</v>
      </c>
      <c r="D4623" s="32" t="s">
        <v>114</v>
      </c>
      <c r="E4623" s="32" t="s">
        <v>124</v>
      </c>
      <c r="F4623" s="32" t="n">
        <v>9289404222</v>
      </c>
      <c r="G4623" s="32" t="s">
        <v>144</v>
      </c>
      <c r="H4623" s="32" t="s">
        <v>22</v>
      </c>
      <c r="I4623" s="32" t="s">
        <v>166</v>
      </c>
      <c r="J4623" s="32" t="s">
        <v>66</v>
      </c>
      <c r="K4623" s="32" t="s">
        <v>63</v>
      </c>
    </row>
    <row r="4624" customFormat="false" ht="13.5" hidden="false" customHeight="true" outlineLevel="0" collapsed="false">
      <c r="A4624" s="32" t="n">
        <v>7033</v>
      </c>
      <c r="B4624" s="32" t="s">
        <v>3281</v>
      </c>
      <c r="C4624" s="32" t="s">
        <v>3665</v>
      </c>
      <c r="D4624" s="32" t="s">
        <v>59</v>
      </c>
      <c r="E4624" s="32" t="s">
        <v>79</v>
      </c>
      <c r="F4624" s="32" t="n">
        <v>9880410123</v>
      </c>
      <c r="G4624" s="32" t="s">
        <v>3562</v>
      </c>
      <c r="H4624" s="32" t="s">
        <v>21</v>
      </c>
      <c r="I4624" s="32" t="s">
        <v>728</v>
      </c>
      <c r="J4624" s="32" t="s">
        <v>132</v>
      </c>
      <c r="K4624" s="32" t="s">
        <v>63</v>
      </c>
    </row>
    <row r="4625" customFormat="false" ht="13.5" hidden="false" customHeight="true" outlineLevel="0" collapsed="false">
      <c r="A4625" s="32" t="n">
        <v>7034</v>
      </c>
      <c r="B4625" s="32" t="s">
        <v>3666</v>
      </c>
      <c r="C4625" s="32" t="s">
        <v>3667</v>
      </c>
      <c r="D4625" s="32" t="s">
        <v>59</v>
      </c>
      <c r="E4625" s="32" t="s">
        <v>107</v>
      </c>
      <c r="F4625" s="32" t="n">
        <v>7008688410</v>
      </c>
      <c r="G4625" s="32" t="s">
        <v>3562</v>
      </c>
      <c r="H4625" s="32" t="s">
        <v>21</v>
      </c>
      <c r="I4625" s="32" t="s">
        <v>215</v>
      </c>
      <c r="J4625" s="32" t="s">
        <v>132</v>
      </c>
      <c r="K4625" s="32" t="s">
        <v>63</v>
      </c>
    </row>
    <row r="4626" customFormat="false" ht="13.5" hidden="false" customHeight="true" outlineLevel="0" collapsed="false">
      <c r="A4626" s="32" t="n">
        <v>7035</v>
      </c>
      <c r="B4626" s="32" t="s">
        <v>3281</v>
      </c>
      <c r="C4626" s="32" t="s">
        <v>3665</v>
      </c>
      <c r="D4626" s="32" t="s">
        <v>59</v>
      </c>
      <c r="E4626" s="32" t="s">
        <v>79</v>
      </c>
      <c r="F4626" s="32" t="n">
        <v>9880410123</v>
      </c>
      <c r="G4626" s="32" t="s">
        <v>3562</v>
      </c>
      <c r="H4626" s="32" t="s">
        <v>21</v>
      </c>
      <c r="I4626" s="32" t="s">
        <v>728</v>
      </c>
      <c r="J4626" s="32" t="s">
        <v>132</v>
      </c>
      <c r="K4626" s="32" t="s">
        <v>63</v>
      </c>
    </row>
    <row r="4627" customFormat="false" ht="13.5" hidden="false" customHeight="true" outlineLevel="0" collapsed="false">
      <c r="A4627" s="32" t="n">
        <v>7036</v>
      </c>
      <c r="B4627" s="32" t="s">
        <v>3666</v>
      </c>
      <c r="C4627" s="32" t="s">
        <v>3667</v>
      </c>
      <c r="D4627" s="32" t="s">
        <v>59</v>
      </c>
      <c r="E4627" s="32" t="s">
        <v>107</v>
      </c>
      <c r="F4627" s="32" t="n">
        <v>7008688410</v>
      </c>
      <c r="G4627" s="32" t="s">
        <v>3562</v>
      </c>
      <c r="H4627" s="32" t="s">
        <v>21</v>
      </c>
      <c r="I4627" s="32" t="s">
        <v>215</v>
      </c>
      <c r="J4627" s="32" t="s">
        <v>132</v>
      </c>
      <c r="K4627" s="32" t="s">
        <v>63</v>
      </c>
    </row>
    <row r="4628" customFormat="false" ht="13.5" hidden="false" customHeight="true" outlineLevel="0" collapsed="false">
      <c r="A4628" s="32" t="n">
        <v>7037</v>
      </c>
      <c r="B4628" s="32" t="s">
        <v>2204</v>
      </c>
      <c r="C4628" s="32" t="s">
        <v>3668</v>
      </c>
      <c r="D4628" s="32" t="s">
        <v>114</v>
      </c>
      <c r="E4628" s="32" t="s">
        <v>169</v>
      </c>
      <c r="F4628" s="32" t="n">
        <v>6782999858</v>
      </c>
      <c r="G4628" s="32" t="s">
        <v>104</v>
      </c>
      <c r="H4628" s="32" t="s">
        <v>22</v>
      </c>
      <c r="I4628" s="32" t="s">
        <v>728</v>
      </c>
      <c r="J4628" s="32" t="s">
        <v>132</v>
      </c>
      <c r="K4628" s="32" t="s">
        <v>63</v>
      </c>
    </row>
    <row r="4629" customFormat="false" ht="13.5" hidden="false" customHeight="true" outlineLevel="0" collapsed="false">
      <c r="A4629" s="32" t="n">
        <v>7038</v>
      </c>
      <c r="B4629" s="32" t="s">
        <v>2204</v>
      </c>
      <c r="C4629" s="32" t="s">
        <v>3668</v>
      </c>
      <c r="D4629" s="32" t="s">
        <v>114</v>
      </c>
      <c r="E4629" s="32" t="s">
        <v>169</v>
      </c>
      <c r="F4629" s="32" t="n">
        <v>6782999858</v>
      </c>
      <c r="G4629" s="32" t="s">
        <v>104</v>
      </c>
      <c r="H4629" s="32" t="s">
        <v>22</v>
      </c>
      <c r="I4629" s="32" t="s">
        <v>215</v>
      </c>
      <c r="J4629" s="32" t="s">
        <v>132</v>
      </c>
      <c r="K4629" s="32" t="s">
        <v>63</v>
      </c>
    </row>
    <row r="4630" customFormat="false" ht="13.5" hidden="false" customHeight="true" outlineLevel="0" collapsed="false">
      <c r="A4630" s="32" t="n">
        <v>7039</v>
      </c>
      <c r="B4630" s="32" t="s">
        <v>1352</v>
      </c>
      <c r="C4630" s="32" t="s">
        <v>3669</v>
      </c>
      <c r="D4630" s="32" t="s">
        <v>59</v>
      </c>
      <c r="E4630" s="32" t="s">
        <v>107</v>
      </c>
      <c r="F4630" s="32"/>
      <c r="G4630" s="32" t="s">
        <v>104</v>
      </c>
      <c r="H4630" s="32" t="s">
        <v>21</v>
      </c>
      <c r="I4630" s="32" t="s">
        <v>133</v>
      </c>
      <c r="J4630" s="32" t="s">
        <v>134</v>
      </c>
      <c r="K4630" s="32" t="s">
        <v>63</v>
      </c>
    </row>
    <row r="4631" customFormat="false" ht="13.5" hidden="false" customHeight="true" outlineLevel="0" collapsed="false">
      <c r="A4631" s="32" t="n">
        <v>7040</v>
      </c>
      <c r="B4631" s="35" t="s">
        <v>3670</v>
      </c>
      <c r="C4631" s="32" t="s">
        <v>3671</v>
      </c>
      <c r="D4631" s="32" t="s">
        <v>59</v>
      </c>
      <c r="E4631" s="32" t="s">
        <v>107</v>
      </c>
      <c r="F4631" s="32"/>
      <c r="G4631" s="32" t="s">
        <v>80</v>
      </c>
      <c r="H4631" s="32" t="s">
        <v>21</v>
      </c>
      <c r="I4631" s="32" t="s">
        <v>212</v>
      </c>
      <c r="J4631" s="32" t="s">
        <v>73</v>
      </c>
      <c r="K4631" s="32" t="s">
        <v>63</v>
      </c>
    </row>
    <row r="4632" customFormat="false" ht="13.5" hidden="false" customHeight="true" outlineLevel="0" collapsed="false">
      <c r="A4632" s="32" t="n">
        <v>7041</v>
      </c>
      <c r="B4632" s="35" t="s">
        <v>3672</v>
      </c>
      <c r="C4632" s="32" t="s">
        <v>3673</v>
      </c>
      <c r="D4632" s="32" t="s">
        <v>59</v>
      </c>
      <c r="E4632" s="32" t="s">
        <v>107</v>
      </c>
      <c r="F4632" s="32" t="n">
        <v>7730848894</v>
      </c>
      <c r="G4632" s="32" t="s">
        <v>80</v>
      </c>
      <c r="H4632" s="32" t="s">
        <v>21</v>
      </c>
      <c r="I4632" s="32" t="s">
        <v>212</v>
      </c>
      <c r="J4632" s="32" t="s">
        <v>73</v>
      </c>
      <c r="K4632" s="32" t="s">
        <v>63</v>
      </c>
    </row>
    <row r="4633" customFormat="false" ht="13.5" hidden="false" customHeight="true" outlineLevel="0" collapsed="false">
      <c r="A4633" s="32" t="n">
        <v>7042</v>
      </c>
      <c r="B4633" s="35" t="s">
        <v>3674</v>
      </c>
      <c r="C4633" s="32" t="s">
        <v>3675</v>
      </c>
      <c r="D4633" s="32" t="s">
        <v>59</v>
      </c>
      <c r="E4633" s="32" t="s">
        <v>107</v>
      </c>
      <c r="F4633" s="32"/>
      <c r="G4633" s="32" t="s">
        <v>80</v>
      </c>
      <c r="H4633" s="32" t="s">
        <v>21</v>
      </c>
      <c r="I4633" s="32" t="s">
        <v>212</v>
      </c>
      <c r="J4633" s="32" t="s">
        <v>73</v>
      </c>
      <c r="K4633" s="32" t="s">
        <v>63</v>
      </c>
    </row>
    <row r="4634" customFormat="false" ht="13.5" hidden="false" customHeight="true" outlineLevel="0" collapsed="false">
      <c r="A4634" s="32" t="n">
        <v>7043</v>
      </c>
      <c r="B4634" s="35" t="s">
        <v>3676</v>
      </c>
      <c r="C4634" s="32" t="s">
        <v>3677</v>
      </c>
      <c r="D4634" s="32" t="s">
        <v>59</v>
      </c>
      <c r="E4634" s="32" t="s">
        <v>107</v>
      </c>
      <c r="F4634" s="32" t="n">
        <v>8017116104</v>
      </c>
      <c r="G4634" s="32" t="s">
        <v>61</v>
      </c>
      <c r="H4634" s="32" t="s">
        <v>21</v>
      </c>
      <c r="I4634" s="32" t="s">
        <v>212</v>
      </c>
      <c r="J4634" s="32" t="s">
        <v>73</v>
      </c>
      <c r="K4634" s="32" t="s">
        <v>63</v>
      </c>
    </row>
    <row r="4635" customFormat="false" ht="13.5" hidden="false" customHeight="true" outlineLevel="0" collapsed="false">
      <c r="A4635" s="32" t="n">
        <v>7044</v>
      </c>
      <c r="B4635" s="35" t="s">
        <v>2623</v>
      </c>
      <c r="C4635" s="32" t="s">
        <v>2624</v>
      </c>
      <c r="D4635" s="32" t="s">
        <v>102</v>
      </c>
      <c r="E4635" s="32" t="s">
        <v>155</v>
      </c>
      <c r="F4635" s="32"/>
      <c r="G4635" s="32" t="s">
        <v>144</v>
      </c>
      <c r="H4635" s="32" t="s">
        <v>21</v>
      </c>
      <c r="I4635" s="32" t="s">
        <v>166</v>
      </c>
      <c r="J4635" s="32" t="s">
        <v>66</v>
      </c>
      <c r="K4635" s="32" t="s">
        <v>63</v>
      </c>
    </row>
    <row r="4636" customFormat="false" ht="13.5" hidden="false" customHeight="true" outlineLevel="0" collapsed="false">
      <c r="A4636" s="32" t="n">
        <v>7045</v>
      </c>
      <c r="B4636" s="35" t="s">
        <v>3678</v>
      </c>
      <c r="C4636" s="32" t="s">
        <v>3679</v>
      </c>
      <c r="D4636" s="32" t="s">
        <v>59</v>
      </c>
      <c r="E4636" s="32" t="s">
        <v>143</v>
      </c>
      <c r="F4636" s="32" t="n">
        <v>9966384517</v>
      </c>
      <c r="G4636" s="32" t="s">
        <v>80</v>
      </c>
      <c r="H4636" s="32" t="s">
        <v>21</v>
      </c>
      <c r="I4636" s="32" t="s">
        <v>30</v>
      </c>
      <c r="J4636" s="32" t="s">
        <v>203</v>
      </c>
      <c r="K4636" s="32" t="s">
        <v>63</v>
      </c>
    </row>
    <row r="4637" customFormat="false" ht="14.25" hidden="false" customHeight="true" outlineLevel="0" collapsed="false">
      <c r="A4637" s="32" t="n">
        <v>7046</v>
      </c>
      <c r="B4637" s="36" t="s">
        <v>3680</v>
      </c>
      <c r="C4637" s="36" t="s">
        <v>3681</v>
      </c>
      <c r="D4637" s="32" t="s">
        <v>114</v>
      </c>
      <c r="E4637" s="32" t="s">
        <v>124</v>
      </c>
      <c r="F4637" s="32"/>
      <c r="G4637" s="32" t="s">
        <v>69</v>
      </c>
      <c r="H4637" s="32" t="s">
        <v>22</v>
      </c>
      <c r="I4637" s="32" t="s">
        <v>728</v>
      </c>
      <c r="J4637" s="32" t="s">
        <v>132</v>
      </c>
      <c r="K4637" s="32" t="s">
        <v>63</v>
      </c>
    </row>
    <row r="4638" customFormat="false" ht="14.25" hidden="false" customHeight="true" outlineLevel="0" collapsed="false">
      <c r="A4638" s="32" t="n">
        <v>7047</v>
      </c>
      <c r="B4638" s="36" t="s">
        <v>3680</v>
      </c>
      <c r="C4638" s="36" t="s">
        <v>3681</v>
      </c>
      <c r="D4638" s="32" t="s">
        <v>114</v>
      </c>
      <c r="E4638" s="32" t="s">
        <v>124</v>
      </c>
      <c r="F4638" s="32"/>
      <c r="G4638" s="32" t="s">
        <v>69</v>
      </c>
      <c r="H4638" s="32" t="s">
        <v>22</v>
      </c>
      <c r="I4638" s="32" t="s">
        <v>215</v>
      </c>
      <c r="J4638" s="32" t="s">
        <v>132</v>
      </c>
      <c r="K4638" s="32" t="s">
        <v>63</v>
      </c>
    </row>
    <row r="4639" customFormat="false" ht="13.5" hidden="false" customHeight="true" outlineLevel="0" collapsed="false">
      <c r="A4639" s="32" t="n">
        <v>7048</v>
      </c>
      <c r="B4639" s="35" t="s">
        <v>1030</v>
      </c>
      <c r="C4639" s="32" t="s">
        <v>3682</v>
      </c>
      <c r="D4639" s="32" t="s">
        <v>114</v>
      </c>
      <c r="E4639" s="32" t="s">
        <v>165</v>
      </c>
      <c r="F4639" s="32" t="n">
        <v>9553005757</v>
      </c>
      <c r="G4639" s="32" t="s">
        <v>80</v>
      </c>
      <c r="H4639" s="32" t="s">
        <v>22</v>
      </c>
      <c r="I4639" s="32" t="s">
        <v>1255</v>
      </c>
      <c r="J4639" s="32" t="s">
        <v>66</v>
      </c>
      <c r="K4639" s="32" t="s">
        <v>63</v>
      </c>
    </row>
    <row r="4640" customFormat="false" ht="13.5" hidden="false" customHeight="true" outlineLevel="0" collapsed="false">
      <c r="A4640" s="37" t="n">
        <v>7049</v>
      </c>
      <c r="B4640" s="38" t="s">
        <v>2049</v>
      </c>
      <c r="C4640" s="37" t="s">
        <v>3683</v>
      </c>
      <c r="D4640" s="37" t="s">
        <v>114</v>
      </c>
      <c r="E4640" s="37" t="s">
        <v>115</v>
      </c>
      <c r="F4640" s="37" t="n">
        <v>7093903019</v>
      </c>
      <c r="G4640" s="37" t="s">
        <v>80</v>
      </c>
      <c r="H4640" s="37" t="s">
        <v>22</v>
      </c>
      <c r="I4640" s="37" t="s">
        <v>1255</v>
      </c>
      <c r="J4640" s="37" t="s">
        <v>66</v>
      </c>
      <c r="K4640" s="37" t="s">
        <v>63</v>
      </c>
    </row>
  </sheetData>
  <hyperlinks>
    <hyperlink ref="C4466" r:id="rId1" display="R, Shashishekar"/>
    <hyperlink ref="C4489" r:id="rId2" display="Venkata Hema Latha, Paravada"/>
    <hyperlink ref="G4571" r:id="rId3" display="Bengaluru"/>
    <hyperlink ref="G4592" r:id="rId4" display="Hyderabad"/>
    <hyperlink ref="G4593" r:id="rId5" display="Hyderabad"/>
    <hyperlink ref="C4597" r:id="rId6" display="Fnu, Mukul"/>
    <hyperlink ref="B4631" r:id="rId7" display="maranga@deloitte.com"/>
    <hyperlink ref="B4632" r:id="rId8" display="namrathasingh@deloitte.com"/>
    <hyperlink ref="B4633" r:id="rId9" display="basirisha@deloitte.com"/>
    <hyperlink ref="B4634" r:id="rId10" display="tisengupta@deloitte.com"/>
    <hyperlink ref="B4635" r:id="rId11" display="sauravgupta4@deloitte.com"/>
    <hyperlink ref="B4636" r:id="rId12" display="kdrudra@deloitte.com"/>
    <hyperlink ref="B4639" r:id="rId13" display="dyarramsetty@deloitte.com"/>
    <hyperlink ref="B4640" r:id="rId14" display="pmandarapu@deloitt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S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7.5" defaultRowHeight="13.5" zeroHeight="false" outlineLevelRow="0" outlineLevelCol="0"/>
  <cols>
    <col collapsed="false" customWidth="true" hidden="false" outlineLevel="0" max="1" min="1" style="14" width="3.57"/>
    <col collapsed="false" customWidth="true" hidden="false" outlineLevel="0" max="3" min="2" style="14" width="15.29"/>
    <col collapsed="false" customWidth="true" hidden="false" outlineLevel="0" max="4" min="4" style="14" width="27.57"/>
    <col collapsed="false" customWidth="true" hidden="false" outlineLevel="0" max="5" min="5" style="14" width="23.14"/>
    <col collapsed="false" customWidth="true" hidden="false" outlineLevel="0" max="6" min="6" style="14" width="12.43"/>
    <col collapsed="false" customWidth="true" hidden="false" outlineLevel="0" max="7" min="7" style="14" width="10.93"/>
    <col collapsed="false" customWidth="true" hidden="false" outlineLevel="0" max="8" min="8" style="14" width="16.72"/>
    <col collapsed="false" customWidth="true" hidden="false" outlineLevel="0" max="9" min="9" style="14" width="53.43"/>
    <col collapsed="false" customWidth="true" hidden="false" outlineLevel="0" max="10" min="10" style="14" width="20"/>
    <col collapsed="false" customWidth="true" hidden="false" outlineLevel="0" max="11" min="11" style="14" width="19.64"/>
    <col collapsed="false" customWidth="true" hidden="false" outlineLevel="0" max="12" min="12" style="14" width="20.22"/>
    <col collapsed="false" customWidth="true" hidden="false" outlineLevel="0" max="13" min="13" style="14" width="18.71"/>
  </cols>
  <sheetData>
    <row r="1" customFormat="false" ht="14.25" hidden="false" customHeight="true" outlineLevel="0" collapsed="false">
      <c r="A1" s="39" t="s">
        <v>31</v>
      </c>
      <c r="B1" s="39" t="s">
        <v>3684</v>
      </c>
      <c r="C1" s="39" t="s">
        <v>3685</v>
      </c>
      <c r="D1" s="39" t="s">
        <v>32</v>
      </c>
      <c r="E1" s="39" t="s">
        <v>33</v>
      </c>
      <c r="F1" s="39" t="s">
        <v>3686</v>
      </c>
      <c r="G1" s="39" t="s">
        <v>3687</v>
      </c>
      <c r="H1" s="39" t="s">
        <v>3688</v>
      </c>
      <c r="I1" s="39" t="s">
        <v>3689</v>
      </c>
      <c r="J1" s="39" t="s">
        <v>3690</v>
      </c>
      <c r="K1" s="39" t="s">
        <v>3691</v>
      </c>
      <c r="L1" s="39" t="s">
        <v>3692</v>
      </c>
      <c r="M1" s="39" t="s">
        <v>3693</v>
      </c>
      <c r="R1" s="40"/>
      <c r="S1" s="40"/>
    </row>
    <row r="2" customFormat="false" ht="13.5" hidden="false" customHeight="true" outlineLevel="0" collapsed="false">
      <c r="B2" s="41"/>
      <c r="C2" s="41"/>
      <c r="F2" s="41"/>
    </row>
    <row r="3" customFormat="false" ht="13.5" hidden="false" customHeight="true" outlineLevel="0" collapsed="false">
      <c r="B3" s="41"/>
      <c r="C3" s="41"/>
      <c r="F3" s="41"/>
    </row>
    <row r="4" customFormat="false" ht="13.5" hidden="false" customHeight="true" outlineLevel="0" collapsed="false">
      <c r="B4" s="41"/>
      <c r="C4" s="41"/>
      <c r="F4" s="41"/>
    </row>
    <row r="5" customFormat="false" ht="13.5" hidden="false" customHeight="true" outlineLevel="0" collapsed="false">
      <c r="B5" s="41"/>
      <c r="C5" s="41"/>
      <c r="F5" s="41"/>
    </row>
    <row r="6" customFormat="false" ht="13.5" hidden="false" customHeight="true" outlineLevel="0" collapsed="false">
      <c r="B6" s="41"/>
      <c r="C6" s="41"/>
      <c r="F6" s="41"/>
    </row>
    <row r="7" customFormat="false" ht="13.5" hidden="false" customHeight="true" outlineLevel="0" collapsed="false">
      <c r="B7" s="41"/>
      <c r="C7" s="41"/>
      <c r="F7" s="41"/>
    </row>
    <row r="8" customFormat="false" ht="13.5" hidden="false" customHeight="true" outlineLevel="0" collapsed="false">
      <c r="B8" s="41"/>
      <c r="C8" s="41"/>
      <c r="F8" s="41"/>
    </row>
    <row r="9" customFormat="false" ht="13.5" hidden="false" customHeight="true" outlineLevel="0" collapsed="false">
      <c r="B9" s="41"/>
      <c r="C9" s="41"/>
      <c r="F9" s="41"/>
    </row>
    <row r="10" customFormat="false" ht="13.5" hidden="false" customHeight="true" outlineLevel="0" collapsed="false">
      <c r="B10" s="41"/>
      <c r="C10" s="41"/>
      <c r="F10" s="41"/>
    </row>
    <row r="11" customFormat="false" ht="13.5" hidden="false" customHeight="true" outlineLevel="0" collapsed="false">
      <c r="B11" s="41"/>
      <c r="C11" s="41"/>
      <c r="F11" s="41"/>
    </row>
    <row r="12" customFormat="false" ht="13.5" hidden="false" customHeight="true" outlineLevel="0" collapsed="false">
      <c r="B12" s="41"/>
      <c r="C12" s="41"/>
      <c r="F12" s="41"/>
    </row>
    <row r="13" customFormat="false" ht="13.5" hidden="false" customHeight="true" outlineLevel="0" collapsed="false">
      <c r="B13" s="41"/>
      <c r="C13" s="41"/>
      <c r="F13" s="41"/>
    </row>
    <row r="14" customFormat="false" ht="13.5" hidden="false" customHeight="true" outlineLevel="0" collapsed="false">
      <c r="B14" s="41"/>
      <c r="C14" s="41"/>
      <c r="F14" s="41"/>
    </row>
    <row r="15" customFormat="false" ht="13.5" hidden="false" customHeight="true" outlineLevel="0" collapsed="false">
      <c r="B15" s="41"/>
      <c r="C15" s="41"/>
      <c r="F15" s="41"/>
    </row>
    <row r="16" customFormat="false" ht="13.5" hidden="false" customHeight="true" outlineLevel="0" collapsed="false">
      <c r="B16" s="41"/>
      <c r="C16" s="41"/>
      <c r="F16" s="41"/>
    </row>
    <row r="17" customFormat="false" ht="13.5" hidden="false" customHeight="true" outlineLevel="0" collapsed="false">
      <c r="B17" s="41"/>
      <c r="C17" s="41"/>
      <c r="F17" s="41"/>
    </row>
    <row r="18" customFormat="false" ht="13.5" hidden="false" customHeight="true" outlineLevel="0" collapsed="false">
      <c r="B18" s="41"/>
      <c r="C18" s="41"/>
      <c r="F18" s="41"/>
    </row>
    <row r="19" customFormat="false" ht="13.5" hidden="false" customHeight="true" outlineLevel="0" collapsed="false">
      <c r="B19" s="41"/>
      <c r="C19" s="41"/>
      <c r="F19" s="41"/>
    </row>
    <row r="20" customFormat="false" ht="13.5" hidden="false" customHeight="true" outlineLevel="0" collapsed="false">
      <c r="B20" s="41"/>
      <c r="C20" s="41"/>
      <c r="F20" s="41"/>
    </row>
    <row r="21" customFormat="false" ht="13.5" hidden="false" customHeight="true" outlineLevel="0" collapsed="false">
      <c r="B21" s="41"/>
      <c r="C21" s="41"/>
      <c r="F21" s="41"/>
    </row>
    <row r="22" customFormat="false" ht="13.5" hidden="false" customHeight="true" outlineLevel="0" collapsed="false">
      <c r="B22" s="41"/>
      <c r="C22" s="41"/>
      <c r="F22" s="41"/>
    </row>
    <row r="23" customFormat="false" ht="13.5" hidden="false" customHeight="true" outlineLevel="0" collapsed="false">
      <c r="B23" s="41"/>
      <c r="C23" s="41"/>
      <c r="F23" s="41"/>
    </row>
    <row r="24" customFormat="false" ht="13.5" hidden="false" customHeight="true" outlineLevel="0" collapsed="false">
      <c r="B24" s="41"/>
      <c r="C24" s="41"/>
      <c r="F24" s="41"/>
    </row>
    <row r="25" customFormat="false" ht="13.5" hidden="false" customHeight="true" outlineLevel="0" collapsed="false">
      <c r="B25" s="41"/>
      <c r="C25" s="41"/>
      <c r="F25" s="41"/>
    </row>
    <row r="26" customFormat="false" ht="13.5" hidden="false" customHeight="true" outlineLevel="0" collapsed="false">
      <c r="B26" s="41"/>
      <c r="C26" s="41"/>
      <c r="F26" s="41"/>
    </row>
    <row r="27" customFormat="false" ht="13.5" hidden="false" customHeight="true" outlineLevel="0" collapsed="false">
      <c r="B27" s="41"/>
      <c r="C27" s="41"/>
      <c r="F27" s="41"/>
    </row>
    <row r="28" customFormat="false" ht="13.5" hidden="false" customHeight="true" outlineLevel="0" collapsed="false">
      <c r="B28" s="41"/>
      <c r="C28" s="41"/>
      <c r="F28" s="41"/>
    </row>
    <row r="29" customFormat="false" ht="13.5" hidden="false" customHeight="true" outlineLevel="0" collapsed="false">
      <c r="B29" s="41"/>
      <c r="C29" s="41"/>
      <c r="F29" s="41"/>
    </row>
    <row r="30" customFormat="false" ht="13.5" hidden="false" customHeight="true" outlineLevel="0" collapsed="false">
      <c r="B30" s="41"/>
      <c r="C30" s="41"/>
      <c r="F30" s="41"/>
    </row>
    <row r="31" customFormat="false" ht="13.5" hidden="false" customHeight="true" outlineLevel="0" collapsed="false">
      <c r="B31" s="41"/>
      <c r="C31" s="41"/>
      <c r="F31" s="41"/>
    </row>
    <row r="32" customFormat="false" ht="13.5" hidden="false" customHeight="true" outlineLevel="0" collapsed="false">
      <c r="B32" s="41"/>
      <c r="C32" s="41"/>
      <c r="F32" s="41"/>
    </row>
    <row r="33" customFormat="false" ht="13.5" hidden="false" customHeight="true" outlineLevel="0" collapsed="false">
      <c r="B33" s="41"/>
      <c r="C33" s="41"/>
      <c r="F33" s="41"/>
    </row>
    <row r="34" customFormat="false" ht="13.5" hidden="false" customHeight="true" outlineLevel="0" collapsed="false">
      <c r="B34" s="41"/>
      <c r="C34" s="41"/>
      <c r="F34" s="41"/>
    </row>
    <row r="35" customFormat="false" ht="13.5" hidden="false" customHeight="true" outlineLevel="0" collapsed="false">
      <c r="B35" s="41"/>
      <c r="C35" s="41"/>
      <c r="F35" s="41"/>
    </row>
    <row r="36" customFormat="false" ht="13.5" hidden="false" customHeight="true" outlineLevel="0" collapsed="false">
      <c r="B36" s="41"/>
      <c r="C36" s="41"/>
      <c r="F36" s="41"/>
    </row>
    <row r="37" customFormat="false" ht="13.5" hidden="false" customHeight="true" outlineLevel="0" collapsed="false">
      <c r="B37" s="41"/>
      <c r="C37" s="41"/>
      <c r="F37" s="41"/>
    </row>
    <row r="38" customFormat="false" ht="13.5" hidden="false" customHeight="true" outlineLevel="0" collapsed="false">
      <c r="B38" s="41"/>
      <c r="C38" s="41"/>
      <c r="F38" s="41"/>
    </row>
    <row r="39" customFormat="false" ht="13.5" hidden="false" customHeight="true" outlineLevel="0" collapsed="false">
      <c r="B39" s="41"/>
      <c r="C39" s="41"/>
      <c r="F39" s="41"/>
    </row>
    <row r="40" customFormat="false" ht="13.5" hidden="false" customHeight="true" outlineLevel="0" collapsed="false">
      <c r="B40" s="41"/>
      <c r="C40" s="41"/>
      <c r="F40" s="41"/>
    </row>
    <row r="41" customFormat="false" ht="13.5" hidden="false" customHeight="true" outlineLevel="0" collapsed="false">
      <c r="B41" s="41"/>
      <c r="C41" s="41"/>
      <c r="F41" s="41"/>
    </row>
    <row r="42" customFormat="false" ht="13.5" hidden="false" customHeight="true" outlineLevel="0" collapsed="false">
      <c r="B42" s="41"/>
      <c r="C42" s="41"/>
      <c r="F42" s="41"/>
    </row>
    <row r="43" customFormat="false" ht="13.5" hidden="false" customHeight="true" outlineLevel="0" collapsed="false">
      <c r="B43" s="41"/>
      <c r="C43" s="41"/>
      <c r="F43" s="41"/>
    </row>
    <row r="44" customFormat="false" ht="13.5" hidden="false" customHeight="true" outlineLevel="0" collapsed="false">
      <c r="B44" s="41"/>
      <c r="C44" s="41"/>
      <c r="F44" s="41"/>
    </row>
    <row r="45" customFormat="false" ht="13.5" hidden="false" customHeight="true" outlineLevel="0" collapsed="false">
      <c r="B45" s="41"/>
      <c r="C45" s="41"/>
      <c r="F45" s="41"/>
    </row>
    <row r="46" customFormat="false" ht="13.5" hidden="false" customHeight="true" outlineLevel="0" collapsed="false">
      <c r="B46" s="41"/>
      <c r="C46" s="41"/>
      <c r="F46" s="41"/>
    </row>
    <row r="47" customFormat="false" ht="13.5" hidden="false" customHeight="true" outlineLevel="0" collapsed="false">
      <c r="B47" s="41"/>
      <c r="C47" s="41"/>
      <c r="F47" s="41"/>
    </row>
    <row r="48" customFormat="false" ht="13.5" hidden="false" customHeight="true" outlineLevel="0" collapsed="false">
      <c r="B48" s="41"/>
      <c r="C48" s="41"/>
      <c r="F48" s="41"/>
    </row>
    <row r="49" customFormat="false" ht="13.5" hidden="false" customHeight="true" outlineLevel="0" collapsed="false">
      <c r="B49" s="41"/>
      <c r="C49" s="41"/>
      <c r="F49" s="41"/>
    </row>
    <row r="50" customFormat="false" ht="13.5" hidden="false" customHeight="true" outlineLevel="0" collapsed="false">
      <c r="B50" s="41"/>
      <c r="C50" s="41"/>
      <c r="F50" s="41"/>
    </row>
    <row r="51" customFormat="false" ht="13.5" hidden="false" customHeight="true" outlineLevel="0" collapsed="false">
      <c r="B51" s="41"/>
      <c r="C51" s="41"/>
      <c r="F51" s="41"/>
    </row>
    <row r="52" customFormat="false" ht="13.5" hidden="false" customHeight="true" outlineLevel="0" collapsed="false">
      <c r="B52" s="41"/>
      <c r="C52" s="41"/>
      <c r="F52" s="41"/>
    </row>
    <row r="53" customFormat="false" ht="13.5" hidden="false" customHeight="true" outlineLevel="0" collapsed="false">
      <c r="B53" s="41"/>
      <c r="C53" s="41"/>
      <c r="F53" s="41"/>
    </row>
    <row r="54" customFormat="false" ht="13.5" hidden="false" customHeight="true" outlineLevel="0" collapsed="false">
      <c r="B54" s="41"/>
      <c r="C54" s="41"/>
      <c r="F54" s="41"/>
    </row>
    <row r="55" customFormat="false" ht="13.5" hidden="false" customHeight="true" outlineLevel="0" collapsed="false">
      <c r="B55" s="41"/>
      <c r="C55" s="41"/>
      <c r="F55" s="41"/>
    </row>
    <row r="56" customFormat="false" ht="13.5" hidden="false" customHeight="true" outlineLevel="0" collapsed="false">
      <c r="B56" s="41"/>
      <c r="C56" s="41"/>
      <c r="F56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4" width="24"/>
    <col collapsed="false" customWidth="true" hidden="false" outlineLevel="0" max="7" min="3" style="14" width="14"/>
    <col collapsed="false" customWidth="true" hidden="false" outlineLevel="0" max="8" min="8" style="14" width="24"/>
    <col collapsed="false" customWidth="true" hidden="false" outlineLevel="0" max="10" min="9" style="14" width="14"/>
    <col collapsed="false" customWidth="true" hidden="false" outlineLevel="0" max="11" min="11" style="14" width="24"/>
    <col collapsed="false" customWidth="true" hidden="false" outlineLevel="0" max="12" min="12" style="14" width="14"/>
    <col collapsed="false" customWidth="true" hidden="false" outlineLevel="0" max="13" min="13" style="14" width="24"/>
    <col collapsed="false" customWidth="true" hidden="false" outlineLevel="0" max="17" min="14" style="14" width="14"/>
    <col collapsed="false" customWidth="true" hidden="false" outlineLevel="0" max="18" min="18" style="14" width="24"/>
    <col collapsed="false" customWidth="true" hidden="false" outlineLevel="0" max="22" min="19" style="14" width="14"/>
    <col collapsed="false" customWidth="true" hidden="false" outlineLevel="0" max="23" min="23" style="14" width="24"/>
    <col collapsed="false" customWidth="true" hidden="false" outlineLevel="0" max="26" min="24" style="14" width="14"/>
    <col collapsed="false" customWidth="true" hidden="false" outlineLevel="0" max="28" min="27" style="14" width="24"/>
    <col collapsed="false" customWidth="true" hidden="false" outlineLevel="0" max="49" min="29" style="14" width="14"/>
  </cols>
  <sheetData>
    <row r="1" customFormat="false" ht="15" hidden="false" customHeight="true" outlineLevel="0" collapsed="false">
      <c r="A1" s="42" t="s">
        <v>3694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</row>
    <row r="2" customFormat="false" ht="15" hidden="false" customHeight="true" outlineLevel="0" collapsed="false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</row>
    <row r="3" customFormat="false" ht="39.75" hidden="false" customHeight="true" outlineLevel="0" collapsed="false">
      <c r="A3" s="43" t="s">
        <v>3695</v>
      </c>
      <c r="B3" s="43" t="s">
        <v>3696</v>
      </c>
      <c r="C3" s="43" t="s">
        <v>3697</v>
      </c>
      <c r="D3" s="43" t="s">
        <v>3698</v>
      </c>
      <c r="E3" s="43" t="s">
        <v>3699</v>
      </c>
      <c r="F3" s="43" t="s">
        <v>3700</v>
      </c>
      <c r="G3" s="43" t="s">
        <v>3701</v>
      </c>
      <c r="H3" s="43" t="s">
        <v>3702</v>
      </c>
      <c r="I3" s="43" t="s">
        <v>3703</v>
      </c>
      <c r="J3" s="43" t="s">
        <v>3704</v>
      </c>
      <c r="K3" s="43" t="s">
        <v>3705</v>
      </c>
      <c r="L3" s="43" t="s">
        <v>3706</v>
      </c>
      <c r="M3" s="43" t="s">
        <v>3707</v>
      </c>
      <c r="N3" s="43" t="s">
        <v>38</v>
      </c>
      <c r="O3" s="43" t="s">
        <v>39</v>
      </c>
      <c r="P3" s="43" t="s">
        <v>3708</v>
      </c>
      <c r="Q3" s="43" t="s">
        <v>3709</v>
      </c>
      <c r="R3" s="43" t="s">
        <v>3710</v>
      </c>
      <c r="S3" s="43" t="s">
        <v>3711</v>
      </c>
      <c r="T3" s="43" t="s">
        <v>3712</v>
      </c>
      <c r="U3" s="43" t="s">
        <v>3713</v>
      </c>
      <c r="V3" s="43" t="s">
        <v>3714</v>
      </c>
      <c r="W3" s="43" t="s">
        <v>3715</v>
      </c>
      <c r="X3" s="43" t="s">
        <v>3716</v>
      </c>
      <c r="Y3" s="43" t="s">
        <v>3717</v>
      </c>
      <c r="Z3" s="43" t="s">
        <v>3718</v>
      </c>
      <c r="AA3" s="43" t="s">
        <v>3719</v>
      </c>
      <c r="AB3" s="43" t="s">
        <v>3720</v>
      </c>
      <c r="AC3" s="44" t="s">
        <v>31</v>
      </c>
      <c r="AD3" s="44" t="s">
        <v>32</v>
      </c>
      <c r="AE3" s="44" t="s">
        <v>33</v>
      </c>
      <c r="AF3" s="44" t="s">
        <v>34</v>
      </c>
      <c r="AG3" s="44" t="s">
        <v>35</v>
      </c>
      <c r="AH3" s="44" t="s">
        <v>36</v>
      </c>
      <c r="AI3" s="44" t="s">
        <v>37</v>
      </c>
      <c r="AJ3" s="44" t="s">
        <v>38</v>
      </c>
      <c r="AK3" s="44" t="s">
        <v>39</v>
      </c>
      <c r="AL3" s="44" t="s">
        <v>40</v>
      </c>
      <c r="AM3" s="44" t="s">
        <v>41</v>
      </c>
      <c r="AN3" s="44" t="s">
        <v>42</v>
      </c>
      <c r="AO3" s="44" t="s">
        <v>43</v>
      </c>
      <c r="AP3" s="45" t="s">
        <v>32</v>
      </c>
      <c r="AQ3" s="45" t="s">
        <v>33</v>
      </c>
      <c r="AR3" s="45" t="s">
        <v>34</v>
      </c>
      <c r="AS3" s="45" t="s">
        <v>37</v>
      </c>
      <c r="AT3" s="45" t="s">
        <v>38</v>
      </c>
      <c r="AU3" s="45" t="s">
        <v>45</v>
      </c>
      <c r="AV3" s="45" t="s">
        <v>46</v>
      </c>
      <c r="AW3" s="45" t="s">
        <v>47</v>
      </c>
    </row>
    <row r="4" customFormat="false" ht="15" hidden="false" customHeight="true" outlineLevel="0" collapsed="false">
      <c r="A4" s="46" t="str">
        <f aca="false">IF('Survey Response'!$D2="","",'Survey Response'!$A2&amp;"|"&amp;LOWER(TRIM('Survey Response'!$D2)))</f>
        <v/>
      </c>
      <c r="B4" s="46" t="str">
        <f aca="false">IF($H4="","",$F4&amp;"|"&amp;$H4)</f>
        <v/>
      </c>
      <c r="C4" s="46" t="str">
        <f aca="false">IF($H4="","",$A4=$B4)</f>
        <v/>
      </c>
      <c r="D4" s="46" t="str">
        <f aca="false">IF($H4="","",IF($E4&lt;&gt;"Yes","Superseded",IF($I4&lt;&gt;"Yes, I'm available for in-person interviews at Chennai","Not Available",IF($Z4&lt;&gt;"","Panel Details","Followup"))))</f>
        <v/>
      </c>
      <c r="E4" s="46" t="str">
        <f aca="false">IF($H4="","",IF(SUMPRODUCT(($H$4:$H$503=$H4)*(($G$4:$G$503&gt;$G4)+($G$4:$G$503=$G4)*($F$4:$F$503&gt;$F4)))=0,"Yes","No"))</f>
        <v/>
      </c>
      <c r="F4" s="47" t="str">
        <f aca="false">IF('Survey Response'!$D2="","",INT('Survey Response'!$A2))</f>
        <v/>
      </c>
      <c r="G4" s="48" t="str">
        <f aca="false">IF('Survey Response'!$D2="","",'Survey Response'!$C2)</f>
        <v/>
      </c>
      <c r="H4" s="46" t="str">
        <f aca="false">IF('Survey Response'!$D2="","",LOWER(TRIM('Survey Response'!$D2)))</f>
        <v/>
      </c>
      <c r="I4" s="46" t="str">
        <f aca="false">IF($H4="","",'Survey Response'!$I2)</f>
        <v/>
      </c>
      <c r="J4" s="46" t="str">
        <f aca="false">IF($H4="","",'Survey Response'!$K2)</f>
        <v/>
      </c>
      <c r="K4" s="46" t="str">
        <f aca="false">IF($J4="","",IF(COUNTIF('Skill Mapping'!$A$2:$A$7,TRIM($J4))=0,"",INDEX('Skill Mapping'!$B$2:$B$7,MATCH(TRIM($J4),'Skill Mapping'!$A$2:$A$7,0))))</f>
        <v/>
      </c>
      <c r="L4" s="46" t="str">
        <f aca="false">IF($H4="","",'Survey Response'!$L2)</f>
        <v/>
      </c>
      <c r="M4" s="46" t="str">
        <f aca="false">IF($L4="","",IF(COUNTIF('Skill Mapping'!$A$2:$A$7,TRIM($L4))=0,"",INDEX('Skill Mapping'!$B$2:$B$7,MATCH(TRIM($L4),'Skill Mapping'!$A$2:$A$7,0))))</f>
        <v/>
      </c>
      <c r="N4" s="46" t="str">
        <f aca="false">IF($H4="","",'Survey Response'!$M2)</f>
        <v/>
      </c>
      <c r="O4" s="46" t="str">
        <f aca="false">IF($H4="","",IF('Survey Response'!$M2="Manager","R2","R1"))</f>
        <v/>
      </c>
      <c r="P4" s="46" t="str">
        <f aca="false">IF($K4="","No",IF(COUNTIFS(MasterPanel!$B:$B,$H4,MasterPanel!$I:$I,$K4,MasterPanel!$K:$K,"Y")&gt;0,"Yes","No"))</f>
        <v>No</v>
      </c>
      <c r="Q4" s="46" t="n">
        <f aca="false">IF($K4="",0,IF(COUNTIF('Gap Sheet'!$A$6:$A$11,TRIM($J4))=0,0,IF($O4="R1",INDEX('Gap Sheet'!$C$6:$C$11,MATCH(TRIM($J4),'Gap Sheet'!$A$6:$A$11,0)),INDEX('Gap Sheet'!$G$6:$G$11,MATCH(TRIM($J4),'Gap Sheet'!$A$6:$A$11,0)))))</f>
        <v>0</v>
      </c>
      <c r="R4" s="46" t="str">
        <f aca="false">IF($K4="","",$K4&amp;"|"&amp;$O4)</f>
        <v/>
      </c>
      <c r="S4" s="46" t="n">
        <f aca="false">0</f>
        <v>0</v>
      </c>
      <c r="T4" s="46" t="str">
        <f aca="false">IF(OR($I4&lt;&gt;"Yes, I'm available for in-person interviews at Chennai",$E4&lt;&gt;"Yes",$P4&lt;&gt;"Yes"),"No",IF(($Q4-$S4)&gt;0,"Yes","No"))</f>
        <v>No</v>
      </c>
      <c r="U4" s="46" t="str">
        <f aca="false">IF($M4="","No",IF(COUNTIFS(MasterPanel!$B:$B,$H4,MasterPanel!$I:$I,$M4,MasterPanel!$K:$K,"Y")&gt;0,"Yes","No"))</f>
        <v>No</v>
      </c>
      <c r="V4" s="46" t="n">
        <f aca="false">IF($M4="",0,IF(COUNTIF('Gap Sheet'!$A$6:$A$11,TRIM($L4))=0,0,IF($O4="R1",INDEX('Gap Sheet'!$C$6:$C$11,MATCH(TRIM($L4),'Gap Sheet'!$A$6:$A$11,0)),INDEX('Gap Sheet'!$G$6:$G$11,MATCH(TRIM($L4),'Gap Sheet'!$A$6:$A$11,0)))))</f>
        <v>0</v>
      </c>
      <c r="W4" s="46" t="str">
        <f aca="false">IF($M4="","",$M4&amp;"|"&amp;$O4)</f>
        <v/>
      </c>
      <c r="X4" s="46" t="n">
        <f aca="false">0</f>
        <v>0</v>
      </c>
      <c r="Y4" s="46" t="str">
        <f aca="false">IF(OR($I4&lt;&gt;"Yes, I'm available for in-person interviews at Chennai",$E4&lt;&gt;"Yes",$T4="Yes",$U4&lt;&gt;"Yes"),"No",IF(($V4-$X4)&gt;0,"Yes","No"))</f>
        <v>No</v>
      </c>
      <c r="Z4" s="46" t="str">
        <f aca="false">IF($T4="Yes","Primary",IF($Y4="Yes","Secondary",""))</f>
        <v/>
      </c>
      <c r="AA4" s="46" t="str">
        <f aca="false">IF($Z4="Primary",$R4,IF($Z4="Secondary",$W4,""))</f>
        <v/>
      </c>
      <c r="AB4" s="46" t="str">
        <f aca="false">IF($Z4="Primary","Matched on primary skill",IF($Z4="Secondary","Matched on secondary skill (primary not approved or not required)",""))</f>
        <v/>
      </c>
      <c r="AC4" s="47" t="str">
        <f aca="false">IF($D4="Panel Details",$F4,"")</f>
        <v/>
      </c>
      <c r="AD4" s="46" t="str">
        <f aca="false">IF($D4="Panel Details",'Survey Response'!$D2,"")</f>
        <v/>
      </c>
      <c r="AE4" s="46" t="str">
        <f aca="false">IF($D4="Panel Details",'Survey Response'!$E2,"")</f>
        <v/>
      </c>
      <c r="AF4" s="46" t="str">
        <f aca="false">IF($D4="Panel Details",'Survey Response'!$G2,"")</f>
        <v/>
      </c>
      <c r="AG4" s="46" t="str">
        <f aca="false">IF($D4="Panel Details",IF($Z4="Primary",$J4,$L4),"")</f>
        <v/>
      </c>
      <c r="AH4" s="46" t="str">
        <f aca="false">IF($D4="Panel Details",IF($Z4="Primary",$L4,$J4),"")</f>
        <v/>
      </c>
      <c r="AI4" s="46" t="str">
        <f aca="false">IF($D4="Panel Details",'Survey Response'!$H2,"")</f>
        <v/>
      </c>
      <c r="AJ4" s="46" t="str">
        <f aca="false">IF($D4="Panel Details",'Survey Response'!$M2,"")</f>
        <v/>
      </c>
      <c r="AK4" s="46" t="str">
        <f aca="false">IF($D4="Panel Details",$O4,"")</f>
        <v/>
      </c>
      <c r="AL4" s="46" t="str">
        <f aca="false">IF($D4="Panel Details",8,"")</f>
        <v/>
      </c>
      <c r="AM4" s="46" t="str">
        <f aca="false">IF($D4="Panel Details",$AB4,"")</f>
        <v/>
      </c>
      <c r="AN4" s="46" t="str">
        <f aca="false">IF($D4="Panel Details","Yes","")</f>
        <v/>
      </c>
      <c r="AO4" s="46"/>
      <c r="AP4" s="46" t="str">
        <f aca="false">IF($D4="Followup",'Survey Response'!$D2,"")</f>
        <v/>
      </c>
      <c r="AQ4" s="46" t="str">
        <f aca="false">IF($D4="Followup",'Survey Response'!$E2,"")</f>
        <v/>
      </c>
      <c r="AR4" s="46" t="str">
        <f aca="false">IF($D4="Followup",'Survey Response'!$G2,"")</f>
        <v/>
      </c>
      <c r="AS4" s="46" t="str">
        <f aca="false">IF($D4="Followup",'Survey Response'!$H2,"")</f>
        <v/>
      </c>
      <c r="AT4" s="46" t="str">
        <f aca="false">IF($D4="Followup",'Survey Response'!$M2,"")</f>
        <v/>
      </c>
      <c r="AU4" s="46" t="str">
        <f aca="false">IF($D4="Followup",'Survey Response'!$K2,"")</f>
        <v/>
      </c>
      <c r="AV4" s="46" t="str">
        <f aca="false">IF($D4="Followup",'Survey Response'!$L2,"")</f>
        <v/>
      </c>
      <c r="AW4" s="46" t="str">
        <f aca="false">IF($D4="Followup",IF(AND($P4&lt;&gt;"Yes",$U4&lt;&gt;"Yes"),"Not approved for primary or secondary skill","Approved, but skill(s) no longer have capacity (fully staffed)"),"")</f>
        <v/>
      </c>
    </row>
    <row r="5" customFormat="false" ht="15" hidden="false" customHeight="true" outlineLevel="0" collapsed="false">
      <c r="A5" s="46" t="str">
        <f aca="false">IF('Survey Response'!$D3="","",'Survey Response'!$A3&amp;"|"&amp;LOWER(TRIM('Survey Response'!$D3)))</f>
        <v/>
      </c>
      <c r="B5" s="46" t="str">
        <f aca="false">IF($H5="","",$F5&amp;"|"&amp;$H5)</f>
        <v/>
      </c>
      <c r="C5" s="46" t="str">
        <f aca="false">IF($H5="","",$A5=$B5)</f>
        <v/>
      </c>
      <c r="D5" s="46" t="str">
        <f aca="false">IF($H5="","",IF($E5&lt;&gt;"Yes","Superseded",IF($I5&lt;&gt;"Yes, I'm available for in-person interviews at Chennai","Not Available",IF($Z5&lt;&gt;"","Panel Details","Followup"))))</f>
        <v/>
      </c>
      <c r="E5" s="46" t="str">
        <f aca="false">IF($H5="","",IF(SUMPRODUCT(($H$4:$H$503=$H5)*(($G$4:$G$503&gt;$G5)+($G$4:$G$503=$G5)*($F$4:$F$503&gt;$F5)))=0,"Yes","No"))</f>
        <v/>
      </c>
      <c r="F5" s="47" t="str">
        <f aca="false">IF('Survey Response'!$D3="","",INT('Survey Response'!$A3))</f>
        <v/>
      </c>
      <c r="G5" s="48" t="str">
        <f aca="false">IF('Survey Response'!$D3="","",'Survey Response'!$C3)</f>
        <v/>
      </c>
      <c r="H5" s="46" t="str">
        <f aca="false">IF('Survey Response'!$D3="","",LOWER(TRIM('Survey Response'!$D3)))</f>
        <v/>
      </c>
      <c r="I5" s="46" t="str">
        <f aca="false">IF($H5="","",'Survey Response'!$I3)</f>
        <v/>
      </c>
      <c r="J5" s="46" t="str">
        <f aca="false">IF($H5="","",'Survey Response'!$K3)</f>
        <v/>
      </c>
      <c r="K5" s="46" t="str">
        <f aca="false">IF($J5="","",IF(COUNTIF('Skill Mapping'!$A$2:$A$7,TRIM($J5))=0,"",INDEX('Skill Mapping'!$B$2:$B$7,MATCH(TRIM($J5),'Skill Mapping'!$A$2:$A$7,0))))</f>
        <v/>
      </c>
      <c r="L5" s="46" t="str">
        <f aca="false">IF($H5="","",'Survey Response'!$L3)</f>
        <v/>
      </c>
      <c r="M5" s="46" t="str">
        <f aca="false">IF($L5="","",IF(COUNTIF('Skill Mapping'!$A$2:$A$7,TRIM($L5))=0,"",INDEX('Skill Mapping'!$B$2:$B$7,MATCH(TRIM($L5),'Skill Mapping'!$A$2:$A$7,0))))</f>
        <v/>
      </c>
      <c r="N5" s="46" t="str">
        <f aca="false">IF($H5="","",'Survey Response'!$M3)</f>
        <v/>
      </c>
      <c r="O5" s="46" t="str">
        <f aca="false">IF($H5="","",IF('Survey Response'!$M3="Manager","R2","R1"))</f>
        <v/>
      </c>
      <c r="P5" s="46" t="str">
        <f aca="false">IF($K5="","No",IF(COUNTIFS(MasterPanel!$B:$B,$H5,MasterPanel!$I:$I,$K5,MasterPanel!$K:$K,"Y")&gt;0,"Yes","No"))</f>
        <v>No</v>
      </c>
      <c r="Q5" s="46" t="n">
        <f aca="false">IF($K5="",0,IF(COUNTIF('Gap Sheet'!$A$6:$A$11,TRIM($J5))=0,0,IF($O5="R1",INDEX('Gap Sheet'!$C$6:$C$11,MATCH(TRIM($J5),'Gap Sheet'!$A$6:$A$11,0)),INDEX('Gap Sheet'!$G$6:$G$11,MATCH(TRIM($J5),'Gap Sheet'!$A$6:$A$11,0)))))</f>
        <v>0</v>
      </c>
      <c r="R5" s="46" t="str">
        <f aca="false">IF($K5="","",$K5&amp;"|"&amp;$O5)</f>
        <v/>
      </c>
      <c r="S5" s="46" t="n">
        <f aca="false">IF($R5="",0,COUNTIF($AA$4:$AA4,$R5))</f>
        <v>0</v>
      </c>
      <c r="T5" s="46" t="str">
        <f aca="false">IF(OR($I5&lt;&gt;"Yes, I'm available for in-person interviews at Chennai",$E5&lt;&gt;"Yes",$P5&lt;&gt;"Yes"),"No",IF(($Q5-$S5)&gt;0,"Yes","No"))</f>
        <v>No</v>
      </c>
      <c r="U5" s="46" t="str">
        <f aca="false">IF($M5="","No",IF(COUNTIFS(MasterPanel!$B:$B,$H5,MasterPanel!$I:$I,$M5,MasterPanel!$K:$K,"Y")&gt;0,"Yes","No"))</f>
        <v>No</v>
      </c>
      <c r="V5" s="46" t="n">
        <f aca="false">IF($M5="",0,IF(COUNTIF('Gap Sheet'!$A$6:$A$11,TRIM($L5))=0,0,IF($O5="R1",INDEX('Gap Sheet'!$C$6:$C$11,MATCH(TRIM($L5),'Gap Sheet'!$A$6:$A$11,0)),INDEX('Gap Sheet'!$G$6:$G$11,MATCH(TRIM($L5),'Gap Sheet'!$A$6:$A$11,0)))))</f>
        <v>0</v>
      </c>
      <c r="W5" s="46" t="str">
        <f aca="false">IF($M5="","",$M5&amp;"|"&amp;$O5)</f>
        <v/>
      </c>
      <c r="X5" s="46" t="n">
        <f aca="false">IF($W5="",0,COUNTIF($AA$4:$AA4,$W5))</f>
        <v>0</v>
      </c>
      <c r="Y5" s="46" t="str">
        <f aca="false">IF(OR($I5&lt;&gt;"Yes, I'm available for in-person interviews at Chennai",$E5&lt;&gt;"Yes",$T5="Yes",$U5&lt;&gt;"Yes"),"No",IF(($V5-$X5)&gt;0,"Yes","No"))</f>
        <v>No</v>
      </c>
      <c r="Z5" s="46" t="str">
        <f aca="false">IF($T5="Yes","Primary",IF($Y5="Yes","Secondary",""))</f>
        <v/>
      </c>
      <c r="AA5" s="46" t="str">
        <f aca="false">IF($Z5="Primary",$R5,IF($Z5="Secondary",$W5,""))</f>
        <v/>
      </c>
      <c r="AB5" s="46" t="str">
        <f aca="false">IF($Z5="Primary","Matched on primary skill",IF($Z5="Secondary","Matched on secondary skill (primary not approved or not required)",""))</f>
        <v/>
      </c>
      <c r="AC5" s="47" t="str">
        <f aca="false">IF($D5="Panel Details",$F5,"")</f>
        <v/>
      </c>
      <c r="AD5" s="46" t="str">
        <f aca="false">IF($D5="Panel Details",'Survey Response'!$D3,"")</f>
        <v/>
      </c>
      <c r="AE5" s="46" t="str">
        <f aca="false">IF($D5="Panel Details",'Survey Response'!$E3,"")</f>
        <v/>
      </c>
      <c r="AF5" s="46" t="str">
        <f aca="false">IF($D5="Panel Details",'Survey Response'!$G3,"")</f>
        <v/>
      </c>
      <c r="AG5" s="46" t="str">
        <f aca="false">IF($D5="Panel Details",IF($Z5="Primary",$J5,$L5),"")</f>
        <v/>
      </c>
      <c r="AH5" s="46" t="str">
        <f aca="false">IF($D5="Panel Details",IF($Z5="Primary",$L5,$J5),"")</f>
        <v/>
      </c>
      <c r="AI5" s="46" t="str">
        <f aca="false">IF($D5="Panel Details",'Survey Response'!$H3,"")</f>
        <v/>
      </c>
      <c r="AJ5" s="46" t="str">
        <f aca="false">IF($D5="Panel Details",'Survey Response'!$M3,"")</f>
        <v/>
      </c>
      <c r="AK5" s="46" t="str">
        <f aca="false">IF($D5="Panel Details",$O5,"")</f>
        <v/>
      </c>
      <c r="AL5" s="46" t="str">
        <f aca="false">IF($D5="Panel Details",8,"")</f>
        <v/>
      </c>
      <c r="AM5" s="46" t="str">
        <f aca="false">IF($D5="Panel Details",$AB5,"")</f>
        <v/>
      </c>
      <c r="AN5" s="46" t="str">
        <f aca="false">IF($D5="Panel Details","Yes","")</f>
        <v/>
      </c>
      <c r="AO5" s="46"/>
      <c r="AP5" s="46" t="str">
        <f aca="false">IF($D5="Followup",'Survey Response'!$D3,"")</f>
        <v/>
      </c>
      <c r="AQ5" s="46" t="str">
        <f aca="false">IF($D5="Followup",'Survey Response'!$E3,"")</f>
        <v/>
      </c>
      <c r="AR5" s="46" t="str">
        <f aca="false">IF($D5="Followup",'Survey Response'!$G3,"")</f>
        <v/>
      </c>
      <c r="AS5" s="46" t="str">
        <f aca="false">IF($D5="Followup",'Survey Response'!$H3,"")</f>
        <v/>
      </c>
      <c r="AT5" s="46" t="str">
        <f aca="false">IF($D5="Followup",'Survey Response'!$M3,"")</f>
        <v/>
      </c>
      <c r="AU5" s="46" t="str">
        <f aca="false">IF($D5="Followup",'Survey Response'!$K3,"")</f>
        <v/>
      </c>
      <c r="AV5" s="46" t="str">
        <f aca="false">IF($D5="Followup",'Survey Response'!$L3,"")</f>
        <v/>
      </c>
      <c r="AW5" s="46" t="str">
        <f aca="false">IF($D5="Followup",IF(AND($P5&lt;&gt;"Yes",$U5&lt;&gt;"Yes"),"Not approved for primary or secondary skill","Approved, but skill(s) no longer have capacity (fully staffed)"),"")</f>
        <v/>
      </c>
    </row>
    <row r="6" customFormat="false" ht="15" hidden="false" customHeight="true" outlineLevel="0" collapsed="false">
      <c r="A6" s="46" t="str">
        <f aca="false">IF('Survey Response'!$D4="","",'Survey Response'!$A4&amp;"|"&amp;LOWER(TRIM('Survey Response'!$D4)))</f>
        <v/>
      </c>
      <c r="B6" s="46" t="str">
        <f aca="false">IF($H6="","",$F6&amp;"|"&amp;$H6)</f>
        <v/>
      </c>
      <c r="C6" s="46" t="str">
        <f aca="false">IF($H6="","",$A6=$B6)</f>
        <v/>
      </c>
      <c r="D6" s="46" t="str">
        <f aca="false">IF($H6="","",IF($E6&lt;&gt;"Yes","Superseded",IF($I6&lt;&gt;"Yes, I'm available for in-person interviews at Chennai","Not Available",IF($Z6&lt;&gt;"","Panel Details","Followup"))))</f>
        <v/>
      </c>
      <c r="E6" s="46" t="str">
        <f aca="false">IF($H6="","",IF(SUMPRODUCT(($H$4:$H$503=$H6)*(($G$4:$G$503&gt;$G6)+($G$4:$G$503=$G6)*($F$4:$F$503&gt;$F6)))=0,"Yes","No"))</f>
        <v/>
      </c>
      <c r="F6" s="47" t="str">
        <f aca="false">IF('Survey Response'!$D4="","",INT('Survey Response'!$A4))</f>
        <v/>
      </c>
      <c r="G6" s="48" t="str">
        <f aca="false">IF('Survey Response'!$D4="","",'Survey Response'!$C4)</f>
        <v/>
      </c>
      <c r="H6" s="46" t="str">
        <f aca="false">IF('Survey Response'!$D4="","",LOWER(TRIM('Survey Response'!$D4)))</f>
        <v/>
      </c>
      <c r="I6" s="46" t="str">
        <f aca="false">IF($H6="","",'Survey Response'!$I4)</f>
        <v/>
      </c>
      <c r="J6" s="46" t="str">
        <f aca="false">IF($H6="","",'Survey Response'!$K4)</f>
        <v/>
      </c>
      <c r="K6" s="46" t="str">
        <f aca="false">IF($J6="","",IF(COUNTIF('Skill Mapping'!$A$2:$A$7,TRIM($J6))=0,"",INDEX('Skill Mapping'!$B$2:$B$7,MATCH(TRIM($J6),'Skill Mapping'!$A$2:$A$7,0))))</f>
        <v/>
      </c>
      <c r="L6" s="46" t="str">
        <f aca="false">IF($H6="","",'Survey Response'!$L4)</f>
        <v/>
      </c>
      <c r="M6" s="46" t="str">
        <f aca="false">IF($L6="","",IF(COUNTIF('Skill Mapping'!$A$2:$A$7,TRIM($L6))=0,"",INDEX('Skill Mapping'!$B$2:$B$7,MATCH(TRIM($L6),'Skill Mapping'!$A$2:$A$7,0))))</f>
        <v/>
      </c>
      <c r="N6" s="46" t="str">
        <f aca="false">IF($H6="","",'Survey Response'!$M4)</f>
        <v/>
      </c>
      <c r="O6" s="46" t="str">
        <f aca="false">IF($H6="","",IF('Survey Response'!$M4="Manager","R2","R1"))</f>
        <v/>
      </c>
      <c r="P6" s="46" t="str">
        <f aca="false">IF($K6="","No",IF(COUNTIFS(MasterPanel!$B:$B,$H6,MasterPanel!$I:$I,$K6,MasterPanel!$K:$K,"Y")&gt;0,"Yes","No"))</f>
        <v>No</v>
      </c>
      <c r="Q6" s="46" t="n">
        <f aca="false">IF($K6="",0,IF(COUNTIF('Gap Sheet'!$A$6:$A$11,TRIM($J6))=0,0,IF($O6="R1",INDEX('Gap Sheet'!$C$6:$C$11,MATCH(TRIM($J6),'Gap Sheet'!$A$6:$A$11,0)),INDEX('Gap Sheet'!$G$6:$G$11,MATCH(TRIM($J6),'Gap Sheet'!$A$6:$A$11,0)))))</f>
        <v>0</v>
      </c>
      <c r="R6" s="46" t="str">
        <f aca="false">IF($K6="","",$K6&amp;"|"&amp;$O6)</f>
        <v/>
      </c>
      <c r="S6" s="46" t="n">
        <f aca="false">IF($R6="",0,COUNTIF($AA$4:$AA5,$R6))</f>
        <v>0</v>
      </c>
      <c r="T6" s="46" t="str">
        <f aca="false">IF(OR($I6&lt;&gt;"Yes, I'm available for in-person interviews at Chennai",$E6&lt;&gt;"Yes",$P6&lt;&gt;"Yes"),"No",IF(($Q6-$S6)&gt;0,"Yes","No"))</f>
        <v>No</v>
      </c>
      <c r="U6" s="46" t="str">
        <f aca="false">IF($M6="","No",IF(COUNTIFS(MasterPanel!$B:$B,$H6,MasterPanel!$I:$I,$M6,MasterPanel!$K:$K,"Y")&gt;0,"Yes","No"))</f>
        <v>No</v>
      </c>
      <c r="V6" s="46" t="n">
        <f aca="false">IF($M6="",0,IF(COUNTIF('Gap Sheet'!$A$6:$A$11,TRIM($L6))=0,0,IF($O6="R1",INDEX('Gap Sheet'!$C$6:$C$11,MATCH(TRIM($L6),'Gap Sheet'!$A$6:$A$11,0)),INDEX('Gap Sheet'!$G$6:$G$11,MATCH(TRIM($L6),'Gap Sheet'!$A$6:$A$11,0)))))</f>
        <v>0</v>
      </c>
      <c r="W6" s="46" t="str">
        <f aca="false">IF($M6="","",$M6&amp;"|"&amp;$O6)</f>
        <v/>
      </c>
      <c r="X6" s="46" t="n">
        <f aca="false">IF($W6="",0,COUNTIF($AA$4:$AA5,$W6))</f>
        <v>0</v>
      </c>
      <c r="Y6" s="46" t="str">
        <f aca="false">IF(OR($I6&lt;&gt;"Yes, I'm available for in-person interviews at Chennai",$E6&lt;&gt;"Yes",$T6="Yes",$U6&lt;&gt;"Yes"),"No",IF(($V6-$X6)&gt;0,"Yes","No"))</f>
        <v>No</v>
      </c>
      <c r="Z6" s="46" t="str">
        <f aca="false">IF($T6="Yes","Primary",IF($Y6="Yes","Secondary",""))</f>
        <v/>
      </c>
      <c r="AA6" s="46" t="str">
        <f aca="false">IF($Z6="Primary",$R6,IF($Z6="Secondary",$W6,""))</f>
        <v/>
      </c>
      <c r="AB6" s="46" t="str">
        <f aca="false">IF($Z6="Primary","Matched on primary skill",IF($Z6="Secondary","Matched on secondary skill (primary not approved or not required)",""))</f>
        <v/>
      </c>
      <c r="AC6" s="47" t="str">
        <f aca="false">IF($D6="Panel Details",$F6,"")</f>
        <v/>
      </c>
      <c r="AD6" s="46" t="str">
        <f aca="false">IF($D6="Panel Details",'Survey Response'!$D4,"")</f>
        <v/>
      </c>
      <c r="AE6" s="46" t="str">
        <f aca="false">IF($D6="Panel Details",'Survey Response'!$E4,"")</f>
        <v/>
      </c>
      <c r="AF6" s="46" t="str">
        <f aca="false">IF($D6="Panel Details",'Survey Response'!$G4,"")</f>
        <v/>
      </c>
      <c r="AG6" s="46" t="str">
        <f aca="false">IF($D6="Panel Details",IF($Z6="Primary",$J6,$L6),"")</f>
        <v/>
      </c>
      <c r="AH6" s="46" t="str">
        <f aca="false">IF($D6="Panel Details",IF($Z6="Primary",$L6,$J6),"")</f>
        <v/>
      </c>
      <c r="AI6" s="46" t="str">
        <f aca="false">IF($D6="Panel Details",'Survey Response'!$H4,"")</f>
        <v/>
      </c>
      <c r="AJ6" s="46" t="str">
        <f aca="false">IF($D6="Panel Details",'Survey Response'!$M4,"")</f>
        <v/>
      </c>
      <c r="AK6" s="46" t="str">
        <f aca="false">IF($D6="Panel Details",$O6,"")</f>
        <v/>
      </c>
      <c r="AL6" s="46" t="str">
        <f aca="false">IF($D6="Panel Details",8,"")</f>
        <v/>
      </c>
      <c r="AM6" s="46" t="str">
        <f aca="false">IF($D6="Panel Details",$AB6,"")</f>
        <v/>
      </c>
      <c r="AN6" s="46" t="str">
        <f aca="false">IF($D6="Panel Details","Yes","")</f>
        <v/>
      </c>
      <c r="AO6" s="46"/>
      <c r="AP6" s="46" t="str">
        <f aca="false">IF($D6="Followup",'Survey Response'!$D4,"")</f>
        <v/>
      </c>
      <c r="AQ6" s="46" t="str">
        <f aca="false">IF($D6="Followup",'Survey Response'!$E4,"")</f>
        <v/>
      </c>
      <c r="AR6" s="46" t="str">
        <f aca="false">IF($D6="Followup",'Survey Response'!$G4,"")</f>
        <v/>
      </c>
      <c r="AS6" s="46" t="str">
        <f aca="false">IF($D6="Followup",'Survey Response'!$H4,"")</f>
        <v/>
      </c>
      <c r="AT6" s="46" t="str">
        <f aca="false">IF($D6="Followup",'Survey Response'!$M4,"")</f>
        <v/>
      </c>
      <c r="AU6" s="46" t="str">
        <f aca="false">IF($D6="Followup",'Survey Response'!$K4,"")</f>
        <v/>
      </c>
      <c r="AV6" s="46" t="str">
        <f aca="false">IF($D6="Followup",'Survey Response'!$L4,"")</f>
        <v/>
      </c>
      <c r="AW6" s="46" t="str">
        <f aca="false">IF($D6="Followup",IF(AND($P6&lt;&gt;"Yes",$U6&lt;&gt;"Yes"),"Not approved for primary or secondary skill","Approved, but skill(s) no longer have capacity (fully staffed)"),"")</f>
        <v/>
      </c>
    </row>
    <row r="7" customFormat="false" ht="15" hidden="false" customHeight="true" outlineLevel="0" collapsed="false">
      <c r="A7" s="46" t="str">
        <f aca="false">IF('Survey Response'!$D5="","",'Survey Response'!$A5&amp;"|"&amp;LOWER(TRIM('Survey Response'!$D5)))</f>
        <v/>
      </c>
      <c r="B7" s="46" t="str">
        <f aca="false">IF($H7="","",$F7&amp;"|"&amp;$H7)</f>
        <v/>
      </c>
      <c r="C7" s="46" t="str">
        <f aca="false">IF($H7="","",$A7=$B7)</f>
        <v/>
      </c>
      <c r="D7" s="46" t="str">
        <f aca="false">IF($H7="","",IF($E7&lt;&gt;"Yes","Superseded",IF($I7&lt;&gt;"Yes, I'm available for in-person interviews at Chennai","Not Available",IF($Z7&lt;&gt;"","Panel Details","Followup"))))</f>
        <v/>
      </c>
      <c r="E7" s="46" t="str">
        <f aca="false">IF($H7="","",IF(SUMPRODUCT(($H$4:$H$503=$H7)*(($G$4:$G$503&gt;$G7)+($G$4:$G$503=$G7)*($F$4:$F$503&gt;$F7)))=0,"Yes","No"))</f>
        <v/>
      </c>
      <c r="F7" s="47" t="str">
        <f aca="false">IF('Survey Response'!$D5="","",INT('Survey Response'!$A5))</f>
        <v/>
      </c>
      <c r="G7" s="48" t="str">
        <f aca="false">IF('Survey Response'!$D5="","",'Survey Response'!$C5)</f>
        <v/>
      </c>
      <c r="H7" s="46" t="str">
        <f aca="false">IF('Survey Response'!$D5="","",LOWER(TRIM('Survey Response'!$D5)))</f>
        <v/>
      </c>
      <c r="I7" s="46" t="str">
        <f aca="false">IF($H7="","",'Survey Response'!$I5)</f>
        <v/>
      </c>
      <c r="J7" s="46" t="str">
        <f aca="false">IF($H7="","",'Survey Response'!$K5)</f>
        <v/>
      </c>
      <c r="K7" s="46" t="str">
        <f aca="false">IF($J7="","",IF(COUNTIF('Skill Mapping'!$A$2:$A$7,TRIM($J7))=0,"",INDEX('Skill Mapping'!$B$2:$B$7,MATCH(TRIM($J7),'Skill Mapping'!$A$2:$A$7,0))))</f>
        <v/>
      </c>
      <c r="L7" s="46" t="str">
        <f aca="false">IF($H7="","",'Survey Response'!$L5)</f>
        <v/>
      </c>
      <c r="M7" s="46" t="str">
        <f aca="false">IF($L7="","",IF(COUNTIF('Skill Mapping'!$A$2:$A$7,TRIM($L7))=0,"",INDEX('Skill Mapping'!$B$2:$B$7,MATCH(TRIM($L7),'Skill Mapping'!$A$2:$A$7,0))))</f>
        <v/>
      </c>
      <c r="N7" s="46" t="str">
        <f aca="false">IF($H7="","",'Survey Response'!$M5)</f>
        <v/>
      </c>
      <c r="O7" s="46" t="str">
        <f aca="false">IF($H7="","",IF('Survey Response'!$M5="Manager","R2","R1"))</f>
        <v/>
      </c>
      <c r="P7" s="46" t="str">
        <f aca="false">IF($K7="","No",IF(COUNTIFS(MasterPanel!$B:$B,$H7,MasterPanel!$I:$I,$K7,MasterPanel!$K:$K,"Y")&gt;0,"Yes","No"))</f>
        <v>No</v>
      </c>
      <c r="Q7" s="46" t="n">
        <f aca="false">IF($K7="",0,IF(COUNTIF('Gap Sheet'!$A$6:$A$11,TRIM($J7))=0,0,IF($O7="R1",INDEX('Gap Sheet'!$C$6:$C$11,MATCH(TRIM($J7),'Gap Sheet'!$A$6:$A$11,0)),INDEX('Gap Sheet'!$G$6:$G$11,MATCH(TRIM($J7),'Gap Sheet'!$A$6:$A$11,0)))))</f>
        <v>0</v>
      </c>
      <c r="R7" s="46" t="str">
        <f aca="false">IF($K7="","",$K7&amp;"|"&amp;$O7)</f>
        <v/>
      </c>
      <c r="S7" s="46" t="n">
        <f aca="false">IF($R7="",0,COUNTIF($AA$4:$AA6,$R7))</f>
        <v>0</v>
      </c>
      <c r="T7" s="46" t="str">
        <f aca="false">IF(OR($I7&lt;&gt;"Yes, I'm available for in-person interviews at Chennai",$E7&lt;&gt;"Yes",$P7&lt;&gt;"Yes"),"No",IF(($Q7-$S7)&gt;0,"Yes","No"))</f>
        <v>No</v>
      </c>
      <c r="U7" s="46" t="str">
        <f aca="false">IF($M7="","No",IF(COUNTIFS(MasterPanel!$B:$B,$H7,MasterPanel!$I:$I,$M7,MasterPanel!$K:$K,"Y")&gt;0,"Yes","No"))</f>
        <v>No</v>
      </c>
      <c r="V7" s="46" t="n">
        <f aca="false">IF($M7="",0,IF(COUNTIF('Gap Sheet'!$A$6:$A$11,TRIM($L7))=0,0,IF($O7="R1",INDEX('Gap Sheet'!$C$6:$C$11,MATCH(TRIM($L7),'Gap Sheet'!$A$6:$A$11,0)),INDEX('Gap Sheet'!$G$6:$G$11,MATCH(TRIM($L7),'Gap Sheet'!$A$6:$A$11,0)))))</f>
        <v>0</v>
      </c>
      <c r="W7" s="46" t="str">
        <f aca="false">IF($M7="","",$M7&amp;"|"&amp;$O7)</f>
        <v/>
      </c>
      <c r="X7" s="46" t="n">
        <f aca="false">IF($W7="",0,COUNTIF($AA$4:$AA6,$W7))</f>
        <v>0</v>
      </c>
      <c r="Y7" s="46" t="str">
        <f aca="false">IF(OR($I7&lt;&gt;"Yes, I'm available for in-person interviews at Chennai",$E7&lt;&gt;"Yes",$T7="Yes",$U7&lt;&gt;"Yes"),"No",IF(($V7-$X7)&gt;0,"Yes","No"))</f>
        <v>No</v>
      </c>
      <c r="Z7" s="46" t="str">
        <f aca="false">IF($T7="Yes","Primary",IF($Y7="Yes","Secondary",""))</f>
        <v/>
      </c>
      <c r="AA7" s="46" t="str">
        <f aca="false">IF($Z7="Primary",$R7,IF($Z7="Secondary",$W7,""))</f>
        <v/>
      </c>
      <c r="AB7" s="46" t="str">
        <f aca="false">IF($Z7="Primary","Matched on primary skill",IF($Z7="Secondary","Matched on secondary skill (primary not approved or not required)",""))</f>
        <v/>
      </c>
      <c r="AC7" s="47" t="str">
        <f aca="false">IF($D7="Panel Details",$F7,"")</f>
        <v/>
      </c>
      <c r="AD7" s="46" t="str">
        <f aca="false">IF($D7="Panel Details",'Survey Response'!$D5,"")</f>
        <v/>
      </c>
      <c r="AE7" s="46" t="str">
        <f aca="false">IF($D7="Panel Details",'Survey Response'!$E5,"")</f>
        <v/>
      </c>
      <c r="AF7" s="46" t="str">
        <f aca="false">IF($D7="Panel Details",'Survey Response'!$G5,"")</f>
        <v/>
      </c>
      <c r="AG7" s="46" t="str">
        <f aca="false">IF($D7="Panel Details",IF($Z7="Primary",$J7,$L7),"")</f>
        <v/>
      </c>
      <c r="AH7" s="46" t="str">
        <f aca="false">IF($D7="Panel Details",IF($Z7="Primary",$L7,$J7),"")</f>
        <v/>
      </c>
      <c r="AI7" s="46" t="str">
        <f aca="false">IF($D7="Panel Details",'Survey Response'!$H5,"")</f>
        <v/>
      </c>
      <c r="AJ7" s="46" t="str">
        <f aca="false">IF($D7="Panel Details",'Survey Response'!$M5,"")</f>
        <v/>
      </c>
      <c r="AK7" s="46" t="str">
        <f aca="false">IF($D7="Panel Details",$O7,"")</f>
        <v/>
      </c>
      <c r="AL7" s="46" t="str">
        <f aca="false">IF($D7="Panel Details",8,"")</f>
        <v/>
      </c>
      <c r="AM7" s="46" t="str">
        <f aca="false">IF($D7="Panel Details",$AB7,"")</f>
        <v/>
      </c>
      <c r="AN7" s="46" t="str">
        <f aca="false">IF($D7="Panel Details","Yes","")</f>
        <v/>
      </c>
      <c r="AO7" s="46"/>
      <c r="AP7" s="46" t="str">
        <f aca="false">IF($D7="Followup",'Survey Response'!$D5,"")</f>
        <v/>
      </c>
      <c r="AQ7" s="46" t="str">
        <f aca="false">IF($D7="Followup",'Survey Response'!$E5,"")</f>
        <v/>
      </c>
      <c r="AR7" s="46" t="str">
        <f aca="false">IF($D7="Followup",'Survey Response'!$G5,"")</f>
        <v/>
      </c>
      <c r="AS7" s="46" t="str">
        <f aca="false">IF($D7="Followup",'Survey Response'!$H5,"")</f>
        <v/>
      </c>
      <c r="AT7" s="46" t="str">
        <f aca="false">IF($D7="Followup",'Survey Response'!$M5,"")</f>
        <v/>
      </c>
      <c r="AU7" s="46" t="str">
        <f aca="false">IF($D7="Followup",'Survey Response'!$K5,"")</f>
        <v/>
      </c>
      <c r="AV7" s="46" t="str">
        <f aca="false">IF($D7="Followup",'Survey Response'!$L5,"")</f>
        <v/>
      </c>
      <c r="AW7" s="46" t="str">
        <f aca="false">IF($D7="Followup",IF(AND($P7&lt;&gt;"Yes",$U7&lt;&gt;"Yes"),"Not approved for primary or secondary skill","Approved, but skill(s) no longer have capacity (fully staffed)"),"")</f>
        <v/>
      </c>
    </row>
    <row r="8" customFormat="false" ht="15" hidden="false" customHeight="true" outlineLevel="0" collapsed="false">
      <c r="A8" s="46" t="str">
        <f aca="false">IF('Survey Response'!$D6="","",'Survey Response'!$A6&amp;"|"&amp;LOWER(TRIM('Survey Response'!$D6)))</f>
        <v/>
      </c>
      <c r="B8" s="46" t="str">
        <f aca="false">IF($H8="","",$F8&amp;"|"&amp;$H8)</f>
        <v/>
      </c>
      <c r="C8" s="46" t="str">
        <f aca="false">IF($H8="","",$A8=$B8)</f>
        <v/>
      </c>
      <c r="D8" s="46" t="str">
        <f aca="false">IF($H8="","",IF($E8&lt;&gt;"Yes","Superseded",IF($I8&lt;&gt;"Yes, I'm available for in-person interviews at Chennai","Not Available",IF($Z8&lt;&gt;"","Panel Details","Followup"))))</f>
        <v/>
      </c>
      <c r="E8" s="46" t="str">
        <f aca="false">IF($H8="","",IF(SUMPRODUCT(($H$4:$H$503=$H8)*(($G$4:$G$503&gt;$G8)+($G$4:$G$503=$G8)*($F$4:$F$503&gt;$F8)))=0,"Yes","No"))</f>
        <v/>
      </c>
      <c r="F8" s="47" t="str">
        <f aca="false">IF('Survey Response'!$D6="","",INT('Survey Response'!$A6))</f>
        <v/>
      </c>
      <c r="G8" s="48" t="str">
        <f aca="false">IF('Survey Response'!$D6="","",'Survey Response'!$C6)</f>
        <v/>
      </c>
      <c r="H8" s="46" t="str">
        <f aca="false">IF('Survey Response'!$D6="","",LOWER(TRIM('Survey Response'!$D6)))</f>
        <v/>
      </c>
      <c r="I8" s="46" t="str">
        <f aca="false">IF($H8="","",'Survey Response'!$I6)</f>
        <v/>
      </c>
      <c r="J8" s="46" t="str">
        <f aca="false">IF($H8="","",'Survey Response'!$K6)</f>
        <v/>
      </c>
      <c r="K8" s="46" t="str">
        <f aca="false">IF($J8="","",IF(COUNTIF('Skill Mapping'!$A$2:$A$7,TRIM($J8))=0,"",INDEX('Skill Mapping'!$B$2:$B$7,MATCH(TRIM($J8),'Skill Mapping'!$A$2:$A$7,0))))</f>
        <v/>
      </c>
      <c r="L8" s="46" t="str">
        <f aca="false">IF($H8="","",'Survey Response'!$L6)</f>
        <v/>
      </c>
      <c r="M8" s="46" t="str">
        <f aca="false">IF($L8="","",IF(COUNTIF('Skill Mapping'!$A$2:$A$7,TRIM($L8))=0,"",INDEX('Skill Mapping'!$B$2:$B$7,MATCH(TRIM($L8),'Skill Mapping'!$A$2:$A$7,0))))</f>
        <v/>
      </c>
      <c r="N8" s="46" t="str">
        <f aca="false">IF($H8="","",'Survey Response'!$M6)</f>
        <v/>
      </c>
      <c r="O8" s="46" t="str">
        <f aca="false">IF($H8="","",IF('Survey Response'!$M6="Manager","R2","R1"))</f>
        <v/>
      </c>
      <c r="P8" s="46" t="str">
        <f aca="false">IF($K8="","No",IF(COUNTIFS(MasterPanel!$B:$B,$H8,MasterPanel!$I:$I,$K8,MasterPanel!$K:$K,"Y")&gt;0,"Yes","No"))</f>
        <v>No</v>
      </c>
      <c r="Q8" s="46" t="n">
        <f aca="false">IF($K8="",0,IF(COUNTIF('Gap Sheet'!$A$6:$A$11,TRIM($J8))=0,0,IF($O8="R1",INDEX('Gap Sheet'!$C$6:$C$11,MATCH(TRIM($J8),'Gap Sheet'!$A$6:$A$11,0)),INDEX('Gap Sheet'!$G$6:$G$11,MATCH(TRIM($J8),'Gap Sheet'!$A$6:$A$11,0)))))</f>
        <v>0</v>
      </c>
      <c r="R8" s="46" t="str">
        <f aca="false">IF($K8="","",$K8&amp;"|"&amp;$O8)</f>
        <v/>
      </c>
      <c r="S8" s="46" t="n">
        <f aca="false">IF($R8="",0,COUNTIF($AA$4:$AA7,$R8))</f>
        <v>0</v>
      </c>
      <c r="T8" s="46" t="str">
        <f aca="false">IF(OR($I8&lt;&gt;"Yes, I'm available for in-person interviews at Chennai",$E8&lt;&gt;"Yes",$P8&lt;&gt;"Yes"),"No",IF(($Q8-$S8)&gt;0,"Yes","No"))</f>
        <v>No</v>
      </c>
      <c r="U8" s="46" t="str">
        <f aca="false">IF($M8="","No",IF(COUNTIFS(MasterPanel!$B:$B,$H8,MasterPanel!$I:$I,$M8,MasterPanel!$K:$K,"Y")&gt;0,"Yes","No"))</f>
        <v>No</v>
      </c>
      <c r="V8" s="46" t="n">
        <f aca="false">IF($M8="",0,IF(COUNTIF('Gap Sheet'!$A$6:$A$11,TRIM($L8))=0,0,IF($O8="R1",INDEX('Gap Sheet'!$C$6:$C$11,MATCH(TRIM($L8),'Gap Sheet'!$A$6:$A$11,0)),INDEX('Gap Sheet'!$G$6:$G$11,MATCH(TRIM($L8),'Gap Sheet'!$A$6:$A$11,0)))))</f>
        <v>0</v>
      </c>
      <c r="W8" s="46" t="str">
        <f aca="false">IF($M8="","",$M8&amp;"|"&amp;$O8)</f>
        <v/>
      </c>
      <c r="X8" s="46" t="n">
        <f aca="false">IF($W8="",0,COUNTIF($AA$4:$AA7,$W8))</f>
        <v>0</v>
      </c>
      <c r="Y8" s="46" t="str">
        <f aca="false">IF(OR($I8&lt;&gt;"Yes, I'm available for in-person interviews at Chennai",$E8&lt;&gt;"Yes",$T8="Yes",$U8&lt;&gt;"Yes"),"No",IF(($V8-$X8)&gt;0,"Yes","No"))</f>
        <v>No</v>
      </c>
      <c r="Z8" s="46" t="str">
        <f aca="false">IF($T8="Yes","Primary",IF($Y8="Yes","Secondary",""))</f>
        <v/>
      </c>
      <c r="AA8" s="46" t="str">
        <f aca="false">IF($Z8="Primary",$R8,IF($Z8="Secondary",$W8,""))</f>
        <v/>
      </c>
      <c r="AB8" s="46" t="str">
        <f aca="false">IF($Z8="Primary","Matched on primary skill",IF($Z8="Secondary","Matched on secondary skill (primary not approved or not required)",""))</f>
        <v/>
      </c>
      <c r="AC8" s="47" t="str">
        <f aca="false">IF($D8="Panel Details",$F8,"")</f>
        <v/>
      </c>
      <c r="AD8" s="46" t="str">
        <f aca="false">IF($D8="Panel Details",'Survey Response'!$D6,"")</f>
        <v/>
      </c>
      <c r="AE8" s="46" t="str">
        <f aca="false">IF($D8="Panel Details",'Survey Response'!$E6,"")</f>
        <v/>
      </c>
      <c r="AF8" s="46" t="str">
        <f aca="false">IF($D8="Panel Details",'Survey Response'!$G6,"")</f>
        <v/>
      </c>
      <c r="AG8" s="46" t="str">
        <f aca="false">IF($D8="Panel Details",IF($Z8="Primary",$J8,$L8),"")</f>
        <v/>
      </c>
      <c r="AH8" s="46" t="str">
        <f aca="false">IF($D8="Panel Details",IF($Z8="Primary",$L8,$J8),"")</f>
        <v/>
      </c>
      <c r="AI8" s="46" t="str">
        <f aca="false">IF($D8="Panel Details",'Survey Response'!$H6,"")</f>
        <v/>
      </c>
      <c r="AJ8" s="46" t="str">
        <f aca="false">IF($D8="Panel Details",'Survey Response'!$M6,"")</f>
        <v/>
      </c>
      <c r="AK8" s="46" t="str">
        <f aca="false">IF($D8="Panel Details",$O8,"")</f>
        <v/>
      </c>
      <c r="AL8" s="46" t="str">
        <f aca="false">IF($D8="Panel Details",8,"")</f>
        <v/>
      </c>
      <c r="AM8" s="46" t="str">
        <f aca="false">IF($D8="Panel Details",$AB8,"")</f>
        <v/>
      </c>
      <c r="AN8" s="46" t="str">
        <f aca="false">IF($D8="Panel Details","Yes","")</f>
        <v/>
      </c>
      <c r="AO8" s="46"/>
      <c r="AP8" s="46" t="str">
        <f aca="false">IF($D8="Followup",'Survey Response'!$D6,"")</f>
        <v/>
      </c>
      <c r="AQ8" s="46" t="str">
        <f aca="false">IF($D8="Followup",'Survey Response'!$E6,"")</f>
        <v/>
      </c>
      <c r="AR8" s="46" t="str">
        <f aca="false">IF($D8="Followup",'Survey Response'!$G6,"")</f>
        <v/>
      </c>
      <c r="AS8" s="46" t="str">
        <f aca="false">IF($D8="Followup",'Survey Response'!$H6,"")</f>
        <v/>
      </c>
      <c r="AT8" s="46" t="str">
        <f aca="false">IF($D8="Followup",'Survey Response'!$M6,"")</f>
        <v/>
      </c>
      <c r="AU8" s="46" t="str">
        <f aca="false">IF($D8="Followup",'Survey Response'!$K6,"")</f>
        <v/>
      </c>
      <c r="AV8" s="46" t="str">
        <f aca="false">IF($D8="Followup",'Survey Response'!$L6,"")</f>
        <v/>
      </c>
      <c r="AW8" s="46" t="str">
        <f aca="false">IF($D8="Followup",IF(AND($P8&lt;&gt;"Yes",$U8&lt;&gt;"Yes"),"Not approved for primary or secondary skill","Approved, but skill(s) no longer have capacity (fully staffed)"),"")</f>
        <v/>
      </c>
    </row>
    <row r="9" customFormat="false" ht="15" hidden="false" customHeight="true" outlineLevel="0" collapsed="false">
      <c r="A9" s="46" t="str">
        <f aca="false">IF('Survey Response'!$D7="","",'Survey Response'!$A7&amp;"|"&amp;LOWER(TRIM('Survey Response'!$D7)))</f>
        <v/>
      </c>
      <c r="B9" s="46" t="str">
        <f aca="false">IF($H9="","",$F9&amp;"|"&amp;$H9)</f>
        <v/>
      </c>
      <c r="C9" s="46" t="str">
        <f aca="false">IF($H9="","",$A9=$B9)</f>
        <v/>
      </c>
      <c r="D9" s="46" t="str">
        <f aca="false">IF($H9="","",IF($E9&lt;&gt;"Yes","Superseded",IF($I9&lt;&gt;"Yes, I'm available for in-person interviews at Chennai","Not Available",IF($Z9&lt;&gt;"","Panel Details","Followup"))))</f>
        <v/>
      </c>
      <c r="E9" s="46" t="str">
        <f aca="false">IF($H9="","",IF(SUMPRODUCT(($H$4:$H$503=$H9)*(($G$4:$G$503&gt;$G9)+($G$4:$G$503=$G9)*($F$4:$F$503&gt;$F9)))=0,"Yes","No"))</f>
        <v/>
      </c>
      <c r="F9" s="47" t="str">
        <f aca="false">IF('Survey Response'!$D7="","",INT('Survey Response'!$A7))</f>
        <v/>
      </c>
      <c r="G9" s="48" t="str">
        <f aca="false">IF('Survey Response'!$D7="","",'Survey Response'!$C7)</f>
        <v/>
      </c>
      <c r="H9" s="46" t="str">
        <f aca="false">IF('Survey Response'!$D7="","",LOWER(TRIM('Survey Response'!$D7)))</f>
        <v/>
      </c>
      <c r="I9" s="46" t="str">
        <f aca="false">IF($H9="","",'Survey Response'!$I7)</f>
        <v/>
      </c>
      <c r="J9" s="46" t="str">
        <f aca="false">IF($H9="","",'Survey Response'!$K7)</f>
        <v/>
      </c>
      <c r="K9" s="46" t="str">
        <f aca="false">IF($J9="","",IF(COUNTIF('Skill Mapping'!$A$2:$A$7,TRIM($J9))=0,"",INDEX('Skill Mapping'!$B$2:$B$7,MATCH(TRIM($J9),'Skill Mapping'!$A$2:$A$7,0))))</f>
        <v/>
      </c>
      <c r="L9" s="46" t="str">
        <f aca="false">IF($H9="","",'Survey Response'!$L7)</f>
        <v/>
      </c>
      <c r="M9" s="46" t="str">
        <f aca="false">IF($L9="","",IF(COUNTIF('Skill Mapping'!$A$2:$A$7,TRIM($L9))=0,"",INDEX('Skill Mapping'!$B$2:$B$7,MATCH(TRIM($L9),'Skill Mapping'!$A$2:$A$7,0))))</f>
        <v/>
      </c>
      <c r="N9" s="46" t="str">
        <f aca="false">IF($H9="","",'Survey Response'!$M7)</f>
        <v/>
      </c>
      <c r="O9" s="46" t="str">
        <f aca="false">IF($H9="","",IF('Survey Response'!$M7="Manager","R2","R1"))</f>
        <v/>
      </c>
      <c r="P9" s="46" t="str">
        <f aca="false">IF($K9="","No",IF(COUNTIFS(MasterPanel!$B:$B,$H9,MasterPanel!$I:$I,$K9,MasterPanel!$K:$K,"Y")&gt;0,"Yes","No"))</f>
        <v>No</v>
      </c>
      <c r="Q9" s="46" t="n">
        <f aca="false">IF($K9="",0,IF(COUNTIF('Gap Sheet'!$A$6:$A$11,TRIM($J9))=0,0,IF($O9="R1",INDEX('Gap Sheet'!$C$6:$C$11,MATCH(TRIM($J9),'Gap Sheet'!$A$6:$A$11,0)),INDEX('Gap Sheet'!$G$6:$G$11,MATCH(TRIM($J9),'Gap Sheet'!$A$6:$A$11,0)))))</f>
        <v>0</v>
      </c>
      <c r="R9" s="46" t="str">
        <f aca="false">IF($K9="","",$K9&amp;"|"&amp;$O9)</f>
        <v/>
      </c>
      <c r="S9" s="46" t="n">
        <f aca="false">IF($R9="",0,COUNTIF($AA$4:$AA8,$R9))</f>
        <v>0</v>
      </c>
      <c r="T9" s="46" t="str">
        <f aca="false">IF(OR($I9&lt;&gt;"Yes, I'm available for in-person interviews at Chennai",$E9&lt;&gt;"Yes",$P9&lt;&gt;"Yes"),"No",IF(($Q9-$S9)&gt;0,"Yes","No"))</f>
        <v>No</v>
      </c>
      <c r="U9" s="46" t="str">
        <f aca="false">IF($M9="","No",IF(COUNTIFS(MasterPanel!$B:$B,$H9,MasterPanel!$I:$I,$M9,MasterPanel!$K:$K,"Y")&gt;0,"Yes","No"))</f>
        <v>No</v>
      </c>
      <c r="V9" s="46" t="n">
        <f aca="false">IF($M9="",0,IF(COUNTIF('Gap Sheet'!$A$6:$A$11,TRIM($L9))=0,0,IF($O9="R1",INDEX('Gap Sheet'!$C$6:$C$11,MATCH(TRIM($L9),'Gap Sheet'!$A$6:$A$11,0)),INDEX('Gap Sheet'!$G$6:$G$11,MATCH(TRIM($L9),'Gap Sheet'!$A$6:$A$11,0)))))</f>
        <v>0</v>
      </c>
      <c r="W9" s="46" t="str">
        <f aca="false">IF($M9="","",$M9&amp;"|"&amp;$O9)</f>
        <v/>
      </c>
      <c r="X9" s="46" t="n">
        <f aca="false">IF($W9="",0,COUNTIF($AA$4:$AA8,$W9))</f>
        <v>0</v>
      </c>
      <c r="Y9" s="46" t="str">
        <f aca="false">IF(OR($I9&lt;&gt;"Yes, I'm available for in-person interviews at Chennai",$E9&lt;&gt;"Yes",$T9="Yes",$U9&lt;&gt;"Yes"),"No",IF(($V9-$X9)&gt;0,"Yes","No"))</f>
        <v>No</v>
      </c>
      <c r="Z9" s="46" t="str">
        <f aca="false">IF($T9="Yes","Primary",IF($Y9="Yes","Secondary",""))</f>
        <v/>
      </c>
      <c r="AA9" s="46" t="str">
        <f aca="false">IF($Z9="Primary",$R9,IF($Z9="Secondary",$W9,""))</f>
        <v/>
      </c>
      <c r="AB9" s="46" t="str">
        <f aca="false">IF($Z9="Primary","Matched on primary skill",IF($Z9="Secondary","Matched on secondary skill (primary not approved or not required)",""))</f>
        <v/>
      </c>
      <c r="AC9" s="47" t="str">
        <f aca="false">IF($D9="Panel Details",$F9,"")</f>
        <v/>
      </c>
      <c r="AD9" s="46" t="str">
        <f aca="false">IF($D9="Panel Details",'Survey Response'!$D7,"")</f>
        <v/>
      </c>
      <c r="AE9" s="46" t="str">
        <f aca="false">IF($D9="Panel Details",'Survey Response'!$E7,"")</f>
        <v/>
      </c>
      <c r="AF9" s="46" t="str">
        <f aca="false">IF($D9="Panel Details",'Survey Response'!$G7,"")</f>
        <v/>
      </c>
      <c r="AG9" s="46" t="str">
        <f aca="false">IF($D9="Panel Details",IF($Z9="Primary",$J9,$L9),"")</f>
        <v/>
      </c>
      <c r="AH9" s="46" t="str">
        <f aca="false">IF($D9="Panel Details",IF($Z9="Primary",$L9,$J9),"")</f>
        <v/>
      </c>
      <c r="AI9" s="46" t="str">
        <f aca="false">IF($D9="Panel Details",'Survey Response'!$H7,"")</f>
        <v/>
      </c>
      <c r="AJ9" s="46" t="str">
        <f aca="false">IF($D9="Panel Details",'Survey Response'!$M7,"")</f>
        <v/>
      </c>
      <c r="AK9" s="46" t="str">
        <f aca="false">IF($D9="Panel Details",$O9,"")</f>
        <v/>
      </c>
      <c r="AL9" s="46" t="str">
        <f aca="false">IF($D9="Panel Details",8,"")</f>
        <v/>
      </c>
      <c r="AM9" s="46" t="str">
        <f aca="false">IF($D9="Panel Details",$AB9,"")</f>
        <v/>
      </c>
      <c r="AN9" s="46" t="str">
        <f aca="false">IF($D9="Panel Details","Yes","")</f>
        <v/>
      </c>
      <c r="AO9" s="46"/>
      <c r="AP9" s="46" t="str">
        <f aca="false">IF($D9="Followup",'Survey Response'!$D7,"")</f>
        <v/>
      </c>
      <c r="AQ9" s="46" t="str">
        <f aca="false">IF($D9="Followup",'Survey Response'!$E7,"")</f>
        <v/>
      </c>
      <c r="AR9" s="46" t="str">
        <f aca="false">IF($D9="Followup",'Survey Response'!$G7,"")</f>
        <v/>
      </c>
      <c r="AS9" s="46" t="str">
        <f aca="false">IF($D9="Followup",'Survey Response'!$H7,"")</f>
        <v/>
      </c>
      <c r="AT9" s="46" t="str">
        <f aca="false">IF($D9="Followup",'Survey Response'!$M7,"")</f>
        <v/>
      </c>
      <c r="AU9" s="46" t="str">
        <f aca="false">IF($D9="Followup",'Survey Response'!$K7,"")</f>
        <v/>
      </c>
      <c r="AV9" s="46" t="str">
        <f aca="false">IF($D9="Followup",'Survey Response'!$L7,"")</f>
        <v/>
      </c>
      <c r="AW9" s="46" t="str">
        <f aca="false">IF($D9="Followup",IF(AND($P9&lt;&gt;"Yes",$U9&lt;&gt;"Yes"),"Not approved for primary or secondary skill","Approved, but skill(s) no longer have capacity (fully staffed)"),"")</f>
        <v/>
      </c>
    </row>
    <row r="10" customFormat="false" ht="15" hidden="false" customHeight="true" outlineLevel="0" collapsed="false">
      <c r="A10" s="46" t="str">
        <f aca="false">IF('Survey Response'!$D8="","",'Survey Response'!$A8&amp;"|"&amp;LOWER(TRIM('Survey Response'!$D8)))</f>
        <v/>
      </c>
      <c r="B10" s="46" t="str">
        <f aca="false">IF($H10="","",$F10&amp;"|"&amp;$H10)</f>
        <v/>
      </c>
      <c r="C10" s="46" t="str">
        <f aca="false">IF($H10="","",$A10=$B10)</f>
        <v/>
      </c>
      <c r="D10" s="46" t="str">
        <f aca="false">IF($H10="","",IF($E10&lt;&gt;"Yes","Superseded",IF($I10&lt;&gt;"Yes, I'm available for in-person interviews at Chennai","Not Available",IF($Z10&lt;&gt;"","Panel Details","Followup"))))</f>
        <v/>
      </c>
      <c r="E10" s="46" t="str">
        <f aca="false">IF($H10="","",IF(SUMPRODUCT(($H$4:$H$503=$H10)*(($G$4:$G$503&gt;$G10)+($G$4:$G$503=$G10)*($F$4:$F$503&gt;$F10)))=0,"Yes","No"))</f>
        <v/>
      </c>
      <c r="F10" s="47" t="str">
        <f aca="false">IF('Survey Response'!$D8="","",INT('Survey Response'!$A8))</f>
        <v/>
      </c>
      <c r="G10" s="48" t="str">
        <f aca="false">IF('Survey Response'!$D8="","",'Survey Response'!$C8)</f>
        <v/>
      </c>
      <c r="H10" s="46" t="str">
        <f aca="false">IF('Survey Response'!$D8="","",LOWER(TRIM('Survey Response'!$D8)))</f>
        <v/>
      </c>
      <c r="I10" s="46" t="str">
        <f aca="false">IF($H10="","",'Survey Response'!$I8)</f>
        <v/>
      </c>
      <c r="J10" s="46" t="str">
        <f aca="false">IF($H10="","",'Survey Response'!$K8)</f>
        <v/>
      </c>
      <c r="K10" s="46" t="str">
        <f aca="false">IF($J10="","",IF(COUNTIF('Skill Mapping'!$A$2:$A$7,TRIM($J10))=0,"",INDEX('Skill Mapping'!$B$2:$B$7,MATCH(TRIM($J10),'Skill Mapping'!$A$2:$A$7,0))))</f>
        <v/>
      </c>
      <c r="L10" s="46" t="str">
        <f aca="false">IF($H10="","",'Survey Response'!$L8)</f>
        <v/>
      </c>
      <c r="M10" s="46" t="str">
        <f aca="false">IF($L10="","",IF(COUNTIF('Skill Mapping'!$A$2:$A$7,TRIM($L10))=0,"",INDEX('Skill Mapping'!$B$2:$B$7,MATCH(TRIM($L10),'Skill Mapping'!$A$2:$A$7,0))))</f>
        <v/>
      </c>
      <c r="N10" s="46" t="str">
        <f aca="false">IF($H10="","",'Survey Response'!$M8)</f>
        <v/>
      </c>
      <c r="O10" s="46" t="str">
        <f aca="false">IF($H10="","",IF('Survey Response'!$M8="Manager","R2","R1"))</f>
        <v/>
      </c>
      <c r="P10" s="46" t="str">
        <f aca="false">IF($K10="","No",IF(COUNTIFS(MasterPanel!$B:$B,$H10,MasterPanel!$I:$I,$K10,MasterPanel!$K:$K,"Y")&gt;0,"Yes","No"))</f>
        <v>No</v>
      </c>
      <c r="Q10" s="46" t="n">
        <f aca="false">IF($K10="",0,IF(COUNTIF('Gap Sheet'!$A$6:$A$11,TRIM($J10))=0,0,IF($O10="R1",INDEX('Gap Sheet'!$C$6:$C$11,MATCH(TRIM($J10),'Gap Sheet'!$A$6:$A$11,0)),INDEX('Gap Sheet'!$G$6:$G$11,MATCH(TRIM($J10),'Gap Sheet'!$A$6:$A$11,0)))))</f>
        <v>0</v>
      </c>
      <c r="R10" s="46" t="str">
        <f aca="false">IF($K10="","",$K10&amp;"|"&amp;$O10)</f>
        <v/>
      </c>
      <c r="S10" s="46" t="n">
        <f aca="false">IF($R10="",0,COUNTIF($AA$4:$AA9,$R10))</f>
        <v>0</v>
      </c>
      <c r="T10" s="46" t="str">
        <f aca="false">IF(OR($I10&lt;&gt;"Yes, I'm available for in-person interviews at Chennai",$E10&lt;&gt;"Yes",$P10&lt;&gt;"Yes"),"No",IF(($Q10-$S10)&gt;0,"Yes","No"))</f>
        <v>No</v>
      </c>
      <c r="U10" s="46" t="str">
        <f aca="false">IF($M10="","No",IF(COUNTIFS(MasterPanel!$B:$B,$H10,MasterPanel!$I:$I,$M10,MasterPanel!$K:$K,"Y")&gt;0,"Yes","No"))</f>
        <v>No</v>
      </c>
      <c r="V10" s="46" t="n">
        <f aca="false">IF($M10="",0,IF(COUNTIF('Gap Sheet'!$A$6:$A$11,TRIM($L10))=0,0,IF($O10="R1",INDEX('Gap Sheet'!$C$6:$C$11,MATCH(TRIM($L10),'Gap Sheet'!$A$6:$A$11,0)),INDEX('Gap Sheet'!$G$6:$G$11,MATCH(TRIM($L10),'Gap Sheet'!$A$6:$A$11,0)))))</f>
        <v>0</v>
      </c>
      <c r="W10" s="46" t="str">
        <f aca="false">IF($M10="","",$M10&amp;"|"&amp;$O10)</f>
        <v/>
      </c>
      <c r="X10" s="46" t="n">
        <f aca="false">IF($W10="",0,COUNTIF($AA$4:$AA9,$W10))</f>
        <v>0</v>
      </c>
      <c r="Y10" s="46" t="str">
        <f aca="false">IF(OR($I10&lt;&gt;"Yes, I'm available for in-person interviews at Chennai",$E10&lt;&gt;"Yes",$T10="Yes",$U10&lt;&gt;"Yes"),"No",IF(($V10-$X10)&gt;0,"Yes","No"))</f>
        <v>No</v>
      </c>
      <c r="Z10" s="46" t="str">
        <f aca="false">IF($T10="Yes","Primary",IF($Y10="Yes","Secondary",""))</f>
        <v/>
      </c>
      <c r="AA10" s="46" t="str">
        <f aca="false">IF($Z10="Primary",$R10,IF($Z10="Secondary",$W10,""))</f>
        <v/>
      </c>
      <c r="AB10" s="46" t="str">
        <f aca="false">IF($Z10="Primary","Matched on primary skill",IF($Z10="Secondary","Matched on secondary skill (primary not approved or not required)",""))</f>
        <v/>
      </c>
      <c r="AC10" s="47" t="str">
        <f aca="false">IF($D10="Panel Details",$F10,"")</f>
        <v/>
      </c>
      <c r="AD10" s="46" t="str">
        <f aca="false">IF($D10="Panel Details",'Survey Response'!$D8,"")</f>
        <v/>
      </c>
      <c r="AE10" s="46" t="str">
        <f aca="false">IF($D10="Panel Details",'Survey Response'!$E8,"")</f>
        <v/>
      </c>
      <c r="AF10" s="46" t="str">
        <f aca="false">IF($D10="Panel Details",'Survey Response'!$G8,"")</f>
        <v/>
      </c>
      <c r="AG10" s="46" t="str">
        <f aca="false">IF($D10="Panel Details",IF($Z10="Primary",$J10,$L10),"")</f>
        <v/>
      </c>
      <c r="AH10" s="46" t="str">
        <f aca="false">IF($D10="Panel Details",IF($Z10="Primary",$L10,$J10),"")</f>
        <v/>
      </c>
      <c r="AI10" s="46" t="str">
        <f aca="false">IF($D10="Panel Details",'Survey Response'!$H8,"")</f>
        <v/>
      </c>
      <c r="AJ10" s="46" t="str">
        <f aca="false">IF($D10="Panel Details",'Survey Response'!$M8,"")</f>
        <v/>
      </c>
      <c r="AK10" s="46" t="str">
        <f aca="false">IF($D10="Panel Details",$O10,"")</f>
        <v/>
      </c>
      <c r="AL10" s="46" t="str">
        <f aca="false">IF($D10="Panel Details",8,"")</f>
        <v/>
      </c>
      <c r="AM10" s="46" t="str">
        <f aca="false">IF($D10="Panel Details",$AB10,"")</f>
        <v/>
      </c>
      <c r="AN10" s="46" t="str">
        <f aca="false">IF($D10="Panel Details","Yes","")</f>
        <v/>
      </c>
      <c r="AO10" s="46"/>
      <c r="AP10" s="46" t="str">
        <f aca="false">IF($D10="Followup",'Survey Response'!$D8,"")</f>
        <v/>
      </c>
      <c r="AQ10" s="46" t="str">
        <f aca="false">IF($D10="Followup",'Survey Response'!$E8,"")</f>
        <v/>
      </c>
      <c r="AR10" s="46" t="str">
        <f aca="false">IF($D10="Followup",'Survey Response'!$G8,"")</f>
        <v/>
      </c>
      <c r="AS10" s="46" t="str">
        <f aca="false">IF($D10="Followup",'Survey Response'!$H8,"")</f>
        <v/>
      </c>
      <c r="AT10" s="46" t="str">
        <f aca="false">IF($D10="Followup",'Survey Response'!$M8,"")</f>
        <v/>
      </c>
      <c r="AU10" s="46" t="str">
        <f aca="false">IF($D10="Followup",'Survey Response'!$K8,"")</f>
        <v/>
      </c>
      <c r="AV10" s="46" t="str">
        <f aca="false">IF($D10="Followup",'Survey Response'!$L8,"")</f>
        <v/>
      </c>
      <c r="AW10" s="46" t="str">
        <f aca="false">IF($D10="Followup",IF(AND($P10&lt;&gt;"Yes",$U10&lt;&gt;"Yes"),"Not approved for primary or secondary skill","Approved, but skill(s) no longer have capacity (fully staffed)"),"")</f>
        <v/>
      </c>
    </row>
    <row r="11" customFormat="false" ht="15" hidden="false" customHeight="true" outlineLevel="0" collapsed="false">
      <c r="A11" s="46" t="str">
        <f aca="false">IF('Survey Response'!$D9="","",'Survey Response'!$A9&amp;"|"&amp;LOWER(TRIM('Survey Response'!$D9)))</f>
        <v/>
      </c>
      <c r="B11" s="46" t="str">
        <f aca="false">IF($H11="","",$F11&amp;"|"&amp;$H11)</f>
        <v/>
      </c>
      <c r="C11" s="46" t="str">
        <f aca="false">IF($H11="","",$A11=$B11)</f>
        <v/>
      </c>
      <c r="D11" s="46" t="str">
        <f aca="false">IF($H11="","",IF($E11&lt;&gt;"Yes","Superseded",IF($I11&lt;&gt;"Yes, I'm available for in-person interviews at Chennai","Not Available",IF($Z11&lt;&gt;"","Panel Details","Followup"))))</f>
        <v/>
      </c>
      <c r="E11" s="46" t="str">
        <f aca="false">IF($H11="","",IF(SUMPRODUCT(($H$4:$H$503=$H11)*(($G$4:$G$503&gt;$G11)+($G$4:$G$503=$G11)*($F$4:$F$503&gt;$F11)))=0,"Yes","No"))</f>
        <v/>
      </c>
      <c r="F11" s="47" t="str">
        <f aca="false">IF('Survey Response'!$D9="","",INT('Survey Response'!$A9))</f>
        <v/>
      </c>
      <c r="G11" s="48" t="str">
        <f aca="false">IF('Survey Response'!$D9="","",'Survey Response'!$C9)</f>
        <v/>
      </c>
      <c r="H11" s="46" t="str">
        <f aca="false">IF('Survey Response'!$D9="","",LOWER(TRIM('Survey Response'!$D9)))</f>
        <v/>
      </c>
      <c r="I11" s="46" t="str">
        <f aca="false">IF($H11="","",'Survey Response'!$I9)</f>
        <v/>
      </c>
      <c r="J11" s="46" t="str">
        <f aca="false">IF($H11="","",'Survey Response'!$K9)</f>
        <v/>
      </c>
      <c r="K11" s="46" t="str">
        <f aca="false">IF($J11="","",IF(COUNTIF('Skill Mapping'!$A$2:$A$7,TRIM($J11))=0,"",INDEX('Skill Mapping'!$B$2:$B$7,MATCH(TRIM($J11),'Skill Mapping'!$A$2:$A$7,0))))</f>
        <v/>
      </c>
      <c r="L11" s="46" t="str">
        <f aca="false">IF($H11="","",'Survey Response'!$L9)</f>
        <v/>
      </c>
      <c r="M11" s="46" t="str">
        <f aca="false">IF($L11="","",IF(COUNTIF('Skill Mapping'!$A$2:$A$7,TRIM($L11))=0,"",INDEX('Skill Mapping'!$B$2:$B$7,MATCH(TRIM($L11),'Skill Mapping'!$A$2:$A$7,0))))</f>
        <v/>
      </c>
      <c r="N11" s="46" t="str">
        <f aca="false">IF($H11="","",'Survey Response'!$M9)</f>
        <v/>
      </c>
      <c r="O11" s="46" t="str">
        <f aca="false">IF($H11="","",IF('Survey Response'!$M9="Manager","R2","R1"))</f>
        <v/>
      </c>
      <c r="P11" s="46" t="str">
        <f aca="false">IF($K11="","No",IF(COUNTIFS(MasterPanel!$B:$B,$H11,MasterPanel!$I:$I,$K11,MasterPanel!$K:$K,"Y")&gt;0,"Yes","No"))</f>
        <v>No</v>
      </c>
      <c r="Q11" s="46" t="n">
        <f aca="false">IF($K11="",0,IF(COUNTIF('Gap Sheet'!$A$6:$A$11,TRIM($J11))=0,0,IF($O11="R1",INDEX('Gap Sheet'!$C$6:$C$11,MATCH(TRIM($J11),'Gap Sheet'!$A$6:$A$11,0)),INDEX('Gap Sheet'!$G$6:$G$11,MATCH(TRIM($J11),'Gap Sheet'!$A$6:$A$11,0)))))</f>
        <v>0</v>
      </c>
      <c r="R11" s="46" t="str">
        <f aca="false">IF($K11="","",$K11&amp;"|"&amp;$O11)</f>
        <v/>
      </c>
      <c r="S11" s="46" t="n">
        <f aca="false">IF($R11="",0,COUNTIF($AA$4:$AA10,$R11))</f>
        <v>0</v>
      </c>
      <c r="T11" s="46" t="str">
        <f aca="false">IF(OR($I11&lt;&gt;"Yes, I'm available for in-person interviews at Chennai",$E11&lt;&gt;"Yes",$P11&lt;&gt;"Yes"),"No",IF(($Q11-$S11)&gt;0,"Yes","No"))</f>
        <v>No</v>
      </c>
      <c r="U11" s="46" t="str">
        <f aca="false">IF($M11="","No",IF(COUNTIFS(MasterPanel!$B:$B,$H11,MasterPanel!$I:$I,$M11,MasterPanel!$K:$K,"Y")&gt;0,"Yes","No"))</f>
        <v>No</v>
      </c>
      <c r="V11" s="46" t="n">
        <f aca="false">IF($M11="",0,IF(COUNTIF('Gap Sheet'!$A$6:$A$11,TRIM($L11))=0,0,IF($O11="R1",INDEX('Gap Sheet'!$C$6:$C$11,MATCH(TRIM($L11),'Gap Sheet'!$A$6:$A$11,0)),INDEX('Gap Sheet'!$G$6:$G$11,MATCH(TRIM($L11),'Gap Sheet'!$A$6:$A$11,0)))))</f>
        <v>0</v>
      </c>
      <c r="W11" s="46" t="str">
        <f aca="false">IF($M11="","",$M11&amp;"|"&amp;$O11)</f>
        <v/>
      </c>
      <c r="X11" s="46" t="n">
        <f aca="false">IF($W11="",0,COUNTIF($AA$4:$AA10,$W11))</f>
        <v>0</v>
      </c>
      <c r="Y11" s="46" t="str">
        <f aca="false">IF(OR($I11&lt;&gt;"Yes, I'm available for in-person interviews at Chennai",$E11&lt;&gt;"Yes",$T11="Yes",$U11&lt;&gt;"Yes"),"No",IF(($V11-$X11)&gt;0,"Yes","No"))</f>
        <v>No</v>
      </c>
      <c r="Z11" s="46" t="str">
        <f aca="false">IF($T11="Yes","Primary",IF($Y11="Yes","Secondary",""))</f>
        <v/>
      </c>
      <c r="AA11" s="46" t="str">
        <f aca="false">IF($Z11="Primary",$R11,IF($Z11="Secondary",$W11,""))</f>
        <v/>
      </c>
      <c r="AB11" s="46" t="str">
        <f aca="false">IF($Z11="Primary","Matched on primary skill",IF($Z11="Secondary","Matched on secondary skill (primary not approved or not required)",""))</f>
        <v/>
      </c>
      <c r="AC11" s="47" t="str">
        <f aca="false">IF($D11="Panel Details",$F11,"")</f>
        <v/>
      </c>
      <c r="AD11" s="46" t="str">
        <f aca="false">IF($D11="Panel Details",'Survey Response'!$D9,"")</f>
        <v/>
      </c>
      <c r="AE11" s="46" t="str">
        <f aca="false">IF($D11="Panel Details",'Survey Response'!$E9,"")</f>
        <v/>
      </c>
      <c r="AF11" s="46" t="str">
        <f aca="false">IF($D11="Panel Details",'Survey Response'!$G9,"")</f>
        <v/>
      </c>
      <c r="AG11" s="46" t="str">
        <f aca="false">IF($D11="Panel Details",IF($Z11="Primary",$J11,$L11),"")</f>
        <v/>
      </c>
      <c r="AH11" s="46" t="str">
        <f aca="false">IF($D11="Panel Details",IF($Z11="Primary",$L11,$J11),"")</f>
        <v/>
      </c>
      <c r="AI11" s="46" t="str">
        <f aca="false">IF($D11="Panel Details",'Survey Response'!$H9,"")</f>
        <v/>
      </c>
      <c r="AJ11" s="46" t="str">
        <f aca="false">IF($D11="Panel Details",'Survey Response'!$M9,"")</f>
        <v/>
      </c>
      <c r="AK11" s="46" t="str">
        <f aca="false">IF($D11="Panel Details",$O11,"")</f>
        <v/>
      </c>
      <c r="AL11" s="46" t="str">
        <f aca="false">IF($D11="Panel Details",8,"")</f>
        <v/>
      </c>
      <c r="AM11" s="46" t="str">
        <f aca="false">IF($D11="Panel Details",$AB11,"")</f>
        <v/>
      </c>
      <c r="AN11" s="46" t="str">
        <f aca="false">IF($D11="Panel Details","Yes","")</f>
        <v/>
      </c>
      <c r="AO11" s="46"/>
      <c r="AP11" s="46" t="str">
        <f aca="false">IF($D11="Followup",'Survey Response'!$D9,"")</f>
        <v/>
      </c>
      <c r="AQ11" s="46" t="str">
        <f aca="false">IF($D11="Followup",'Survey Response'!$E9,"")</f>
        <v/>
      </c>
      <c r="AR11" s="46" t="str">
        <f aca="false">IF($D11="Followup",'Survey Response'!$G9,"")</f>
        <v/>
      </c>
      <c r="AS11" s="46" t="str">
        <f aca="false">IF($D11="Followup",'Survey Response'!$H9,"")</f>
        <v/>
      </c>
      <c r="AT11" s="46" t="str">
        <f aca="false">IF($D11="Followup",'Survey Response'!$M9,"")</f>
        <v/>
      </c>
      <c r="AU11" s="46" t="str">
        <f aca="false">IF($D11="Followup",'Survey Response'!$K9,"")</f>
        <v/>
      </c>
      <c r="AV11" s="46" t="str">
        <f aca="false">IF($D11="Followup",'Survey Response'!$L9,"")</f>
        <v/>
      </c>
      <c r="AW11" s="46" t="str">
        <f aca="false">IF($D11="Followup",IF(AND($P11&lt;&gt;"Yes",$U11&lt;&gt;"Yes"),"Not approved for primary or secondary skill","Approved, but skill(s) no longer have capacity (fully staffed)"),"")</f>
        <v/>
      </c>
    </row>
    <row r="12" customFormat="false" ht="15" hidden="false" customHeight="true" outlineLevel="0" collapsed="false">
      <c r="A12" s="46" t="str">
        <f aca="false">IF('Survey Response'!$D10="","",'Survey Response'!$A10&amp;"|"&amp;LOWER(TRIM('Survey Response'!$D10)))</f>
        <v/>
      </c>
      <c r="B12" s="46" t="str">
        <f aca="false">IF($H12="","",$F12&amp;"|"&amp;$H12)</f>
        <v/>
      </c>
      <c r="C12" s="46" t="str">
        <f aca="false">IF($H12="","",$A12=$B12)</f>
        <v/>
      </c>
      <c r="D12" s="46" t="str">
        <f aca="false">IF($H12="","",IF($E12&lt;&gt;"Yes","Superseded",IF($I12&lt;&gt;"Yes, I'm available for in-person interviews at Chennai","Not Available",IF($Z12&lt;&gt;"","Panel Details","Followup"))))</f>
        <v/>
      </c>
      <c r="E12" s="46" t="str">
        <f aca="false">IF($H12="","",IF(SUMPRODUCT(($H$4:$H$503=$H12)*(($G$4:$G$503&gt;$G12)+($G$4:$G$503=$G12)*($F$4:$F$503&gt;$F12)))=0,"Yes","No"))</f>
        <v/>
      </c>
      <c r="F12" s="47" t="str">
        <f aca="false">IF('Survey Response'!$D10="","",INT('Survey Response'!$A10))</f>
        <v/>
      </c>
      <c r="G12" s="48" t="str">
        <f aca="false">IF('Survey Response'!$D10="","",'Survey Response'!$C10)</f>
        <v/>
      </c>
      <c r="H12" s="46" t="str">
        <f aca="false">IF('Survey Response'!$D10="","",LOWER(TRIM('Survey Response'!$D10)))</f>
        <v/>
      </c>
      <c r="I12" s="46" t="str">
        <f aca="false">IF($H12="","",'Survey Response'!$I10)</f>
        <v/>
      </c>
      <c r="J12" s="46" t="str">
        <f aca="false">IF($H12="","",'Survey Response'!$K10)</f>
        <v/>
      </c>
      <c r="K12" s="46" t="str">
        <f aca="false">IF($J12="","",IF(COUNTIF('Skill Mapping'!$A$2:$A$7,TRIM($J12))=0,"",INDEX('Skill Mapping'!$B$2:$B$7,MATCH(TRIM($J12),'Skill Mapping'!$A$2:$A$7,0))))</f>
        <v/>
      </c>
      <c r="L12" s="46" t="str">
        <f aca="false">IF($H12="","",'Survey Response'!$L10)</f>
        <v/>
      </c>
      <c r="M12" s="46" t="str">
        <f aca="false">IF($L12="","",IF(COUNTIF('Skill Mapping'!$A$2:$A$7,TRIM($L12))=0,"",INDEX('Skill Mapping'!$B$2:$B$7,MATCH(TRIM($L12),'Skill Mapping'!$A$2:$A$7,0))))</f>
        <v/>
      </c>
      <c r="N12" s="46" t="str">
        <f aca="false">IF($H12="","",'Survey Response'!$M10)</f>
        <v/>
      </c>
      <c r="O12" s="46" t="str">
        <f aca="false">IF($H12="","",IF('Survey Response'!$M10="Manager","R2","R1"))</f>
        <v/>
      </c>
      <c r="P12" s="46" t="str">
        <f aca="false">IF($K12="","No",IF(COUNTIFS(MasterPanel!$B:$B,$H12,MasterPanel!$I:$I,$K12,MasterPanel!$K:$K,"Y")&gt;0,"Yes","No"))</f>
        <v>No</v>
      </c>
      <c r="Q12" s="46" t="n">
        <f aca="false">IF($K12="",0,IF(COUNTIF('Gap Sheet'!$A$6:$A$11,TRIM($J12))=0,0,IF($O12="R1",INDEX('Gap Sheet'!$C$6:$C$11,MATCH(TRIM($J12),'Gap Sheet'!$A$6:$A$11,0)),INDEX('Gap Sheet'!$G$6:$G$11,MATCH(TRIM($J12),'Gap Sheet'!$A$6:$A$11,0)))))</f>
        <v>0</v>
      </c>
      <c r="R12" s="46" t="str">
        <f aca="false">IF($K12="","",$K12&amp;"|"&amp;$O12)</f>
        <v/>
      </c>
      <c r="S12" s="46" t="n">
        <f aca="false">IF($R12="",0,COUNTIF($AA$4:$AA11,$R12))</f>
        <v>0</v>
      </c>
      <c r="T12" s="46" t="str">
        <f aca="false">IF(OR($I12&lt;&gt;"Yes, I'm available for in-person interviews at Chennai",$E12&lt;&gt;"Yes",$P12&lt;&gt;"Yes"),"No",IF(($Q12-$S12)&gt;0,"Yes","No"))</f>
        <v>No</v>
      </c>
      <c r="U12" s="46" t="str">
        <f aca="false">IF($M12="","No",IF(COUNTIFS(MasterPanel!$B:$B,$H12,MasterPanel!$I:$I,$M12,MasterPanel!$K:$K,"Y")&gt;0,"Yes","No"))</f>
        <v>No</v>
      </c>
      <c r="V12" s="46" t="n">
        <f aca="false">IF($M12="",0,IF(COUNTIF('Gap Sheet'!$A$6:$A$11,TRIM($L12))=0,0,IF($O12="R1",INDEX('Gap Sheet'!$C$6:$C$11,MATCH(TRIM($L12),'Gap Sheet'!$A$6:$A$11,0)),INDEX('Gap Sheet'!$G$6:$G$11,MATCH(TRIM($L12),'Gap Sheet'!$A$6:$A$11,0)))))</f>
        <v>0</v>
      </c>
      <c r="W12" s="46" t="str">
        <f aca="false">IF($M12="","",$M12&amp;"|"&amp;$O12)</f>
        <v/>
      </c>
      <c r="X12" s="46" t="n">
        <f aca="false">IF($W12="",0,COUNTIF($AA$4:$AA11,$W12))</f>
        <v>0</v>
      </c>
      <c r="Y12" s="46" t="str">
        <f aca="false">IF(OR($I12&lt;&gt;"Yes, I'm available for in-person interviews at Chennai",$E12&lt;&gt;"Yes",$T12="Yes",$U12&lt;&gt;"Yes"),"No",IF(($V12-$X12)&gt;0,"Yes","No"))</f>
        <v>No</v>
      </c>
      <c r="Z12" s="46" t="str">
        <f aca="false">IF($T12="Yes","Primary",IF($Y12="Yes","Secondary",""))</f>
        <v/>
      </c>
      <c r="AA12" s="46" t="str">
        <f aca="false">IF($Z12="Primary",$R12,IF($Z12="Secondary",$W12,""))</f>
        <v/>
      </c>
      <c r="AB12" s="46" t="str">
        <f aca="false">IF($Z12="Primary","Matched on primary skill",IF($Z12="Secondary","Matched on secondary skill (primary not approved or not required)",""))</f>
        <v/>
      </c>
      <c r="AC12" s="47" t="str">
        <f aca="false">IF($D12="Panel Details",$F12,"")</f>
        <v/>
      </c>
      <c r="AD12" s="46" t="str">
        <f aca="false">IF($D12="Panel Details",'Survey Response'!$D10,"")</f>
        <v/>
      </c>
      <c r="AE12" s="46" t="str">
        <f aca="false">IF($D12="Panel Details",'Survey Response'!$E10,"")</f>
        <v/>
      </c>
      <c r="AF12" s="46" t="str">
        <f aca="false">IF($D12="Panel Details",'Survey Response'!$G10,"")</f>
        <v/>
      </c>
      <c r="AG12" s="46" t="str">
        <f aca="false">IF($D12="Panel Details",IF($Z12="Primary",$J12,$L12),"")</f>
        <v/>
      </c>
      <c r="AH12" s="46" t="str">
        <f aca="false">IF($D12="Panel Details",IF($Z12="Primary",$L12,$J12),"")</f>
        <v/>
      </c>
      <c r="AI12" s="46" t="str">
        <f aca="false">IF($D12="Panel Details",'Survey Response'!$H10,"")</f>
        <v/>
      </c>
      <c r="AJ12" s="46" t="str">
        <f aca="false">IF($D12="Panel Details",'Survey Response'!$M10,"")</f>
        <v/>
      </c>
      <c r="AK12" s="46" t="str">
        <f aca="false">IF($D12="Panel Details",$O12,"")</f>
        <v/>
      </c>
      <c r="AL12" s="46" t="str">
        <f aca="false">IF($D12="Panel Details",8,"")</f>
        <v/>
      </c>
      <c r="AM12" s="46" t="str">
        <f aca="false">IF($D12="Panel Details",$AB12,"")</f>
        <v/>
      </c>
      <c r="AN12" s="46" t="str">
        <f aca="false">IF($D12="Panel Details","Yes","")</f>
        <v/>
      </c>
      <c r="AO12" s="46"/>
      <c r="AP12" s="46" t="str">
        <f aca="false">IF($D12="Followup",'Survey Response'!$D10,"")</f>
        <v/>
      </c>
      <c r="AQ12" s="46" t="str">
        <f aca="false">IF($D12="Followup",'Survey Response'!$E10,"")</f>
        <v/>
      </c>
      <c r="AR12" s="46" t="str">
        <f aca="false">IF($D12="Followup",'Survey Response'!$G10,"")</f>
        <v/>
      </c>
      <c r="AS12" s="46" t="str">
        <f aca="false">IF($D12="Followup",'Survey Response'!$H10,"")</f>
        <v/>
      </c>
      <c r="AT12" s="46" t="str">
        <f aca="false">IF($D12="Followup",'Survey Response'!$M10,"")</f>
        <v/>
      </c>
      <c r="AU12" s="46" t="str">
        <f aca="false">IF($D12="Followup",'Survey Response'!$K10,"")</f>
        <v/>
      </c>
      <c r="AV12" s="46" t="str">
        <f aca="false">IF($D12="Followup",'Survey Response'!$L10,"")</f>
        <v/>
      </c>
      <c r="AW12" s="46" t="str">
        <f aca="false">IF($D12="Followup",IF(AND($P12&lt;&gt;"Yes",$U12&lt;&gt;"Yes"),"Not approved for primary or secondary skill","Approved, but skill(s) no longer have capacity (fully staffed)"),"")</f>
        <v/>
      </c>
    </row>
    <row r="13" customFormat="false" ht="15" hidden="false" customHeight="true" outlineLevel="0" collapsed="false">
      <c r="A13" s="46" t="str">
        <f aca="false">IF('Survey Response'!$D11="","",'Survey Response'!$A11&amp;"|"&amp;LOWER(TRIM('Survey Response'!$D11)))</f>
        <v/>
      </c>
      <c r="B13" s="46" t="str">
        <f aca="false">IF($H13="","",$F13&amp;"|"&amp;$H13)</f>
        <v/>
      </c>
      <c r="C13" s="46" t="str">
        <f aca="false">IF($H13="","",$A13=$B13)</f>
        <v/>
      </c>
      <c r="D13" s="46" t="str">
        <f aca="false">IF($H13="","",IF($E13&lt;&gt;"Yes","Superseded",IF($I13&lt;&gt;"Yes, I'm available for in-person interviews at Chennai","Not Available",IF($Z13&lt;&gt;"","Panel Details","Followup"))))</f>
        <v/>
      </c>
      <c r="E13" s="46" t="str">
        <f aca="false">IF($H13="","",IF(SUMPRODUCT(($H$4:$H$503=$H13)*(($G$4:$G$503&gt;$G13)+($G$4:$G$503=$G13)*($F$4:$F$503&gt;$F13)))=0,"Yes","No"))</f>
        <v/>
      </c>
      <c r="F13" s="47" t="str">
        <f aca="false">IF('Survey Response'!$D11="","",INT('Survey Response'!$A11))</f>
        <v/>
      </c>
      <c r="G13" s="48" t="str">
        <f aca="false">IF('Survey Response'!$D11="","",'Survey Response'!$C11)</f>
        <v/>
      </c>
      <c r="H13" s="46" t="str">
        <f aca="false">IF('Survey Response'!$D11="","",LOWER(TRIM('Survey Response'!$D11)))</f>
        <v/>
      </c>
      <c r="I13" s="46" t="str">
        <f aca="false">IF($H13="","",'Survey Response'!$I11)</f>
        <v/>
      </c>
      <c r="J13" s="46" t="str">
        <f aca="false">IF($H13="","",'Survey Response'!$K11)</f>
        <v/>
      </c>
      <c r="K13" s="46" t="str">
        <f aca="false">IF($J13="","",IF(COUNTIF('Skill Mapping'!$A$2:$A$7,TRIM($J13))=0,"",INDEX('Skill Mapping'!$B$2:$B$7,MATCH(TRIM($J13),'Skill Mapping'!$A$2:$A$7,0))))</f>
        <v/>
      </c>
      <c r="L13" s="46" t="str">
        <f aca="false">IF($H13="","",'Survey Response'!$L11)</f>
        <v/>
      </c>
      <c r="M13" s="46" t="str">
        <f aca="false">IF($L13="","",IF(COUNTIF('Skill Mapping'!$A$2:$A$7,TRIM($L13))=0,"",INDEX('Skill Mapping'!$B$2:$B$7,MATCH(TRIM($L13),'Skill Mapping'!$A$2:$A$7,0))))</f>
        <v/>
      </c>
      <c r="N13" s="46" t="str">
        <f aca="false">IF($H13="","",'Survey Response'!$M11)</f>
        <v/>
      </c>
      <c r="O13" s="46" t="str">
        <f aca="false">IF($H13="","",IF('Survey Response'!$M11="Manager","R2","R1"))</f>
        <v/>
      </c>
      <c r="P13" s="46" t="str">
        <f aca="false">IF($K13="","No",IF(COUNTIFS(MasterPanel!$B:$B,$H13,MasterPanel!$I:$I,$K13,MasterPanel!$K:$K,"Y")&gt;0,"Yes","No"))</f>
        <v>No</v>
      </c>
      <c r="Q13" s="46" t="n">
        <f aca="false">IF($K13="",0,IF(COUNTIF('Gap Sheet'!$A$6:$A$11,TRIM($J13))=0,0,IF($O13="R1",INDEX('Gap Sheet'!$C$6:$C$11,MATCH(TRIM($J13),'Gap Sheet'!$A$6:$A$11,0)),INDEX('Gap Sheet'!$G$6:$G$11,MATCH(TRIM($J13),'Gap Sheet'!$A$6:$A$11,0)))))</f>
        <v>0</v>
      </c>
      <c r="R13" s="46" t="str">
        <f aca="false">IF($K13="","",$K13&amp;"|"&amp;$O13)</f>
        <v/>
      </c>
      <c r="S13" s="46" t="n">
        <f aca="false">IF($R13="",0,COUNTIF($AA$4:$AA12,$R13))</f>
        <v>0</v>
      </c>
      <c r="T13" s="46" t="str">
        <f aca="false">IF(OR($I13&lt;&gt;"Yes, I'm available for in-person interviews at Chennai",$E13&lt;&gt;"Yes",$P13&lt;&gt;"Yes"),"No",IF(($Q13-$S13)&gt;0,"Yes","No"))</f>
        <v>No</v>
      </c>
      <c r="U13" s="46" t="str">
        <f aca="false">IF($M13="","No",IF(COUNTIFS(MasterPanel!$B:$B,$H13,MasterPanel!$I:$I,$M13,MasterPanel!$K:$K,"Y")&gt;0,"Yes","No"))</f>
        <v>No</v>
      </c>
      <c r="V13" s="46" t="n">
        <f aca="false">IF($M13="",0,IF(COUNTIF('Gap Sheet'!$A$6:$A$11,TRIM($L13))=0,0,IF($O13="R1",INDEX('Gap Sheet'!$C$6:$C$11,MATCH(TRIM($L13),'Gap Sheet'!$A$6:$A$11,0)),INDEX('Gap Sheet'!$G$6:$G$11,MATCH(TRIM($L13),'Gap Sheet'!$A$6:$A$11,0)))))</f>
        <v>0</v>
      </c>
      <c r="W13" s="46" t="str">
        <f aca="false">IF($M13="","",$M13&amp;"|"&amp;$O13)</f>
        <v/>
      </c>
      <c r="X13" s="46" t="n">
        <f aca="false">IF($W13="",0,COUNTIF($AA$4:$AA12,$W13))</f>
        <v>0</v>
      </c>
      <c r="Y13" s="46" t="str">
        <f aca="false">IF(OR($I13&lt;&gt;"Yes, I'm available for in-person interviews at Chennai",$E13&lt;&gt;"Yes",$T13="Yes",$U13&lt;&gt;"Yes"),"No",IF(($V13-$X13)&gt;0,"Yes","No"))</f>
        <v>No</v>
      </c>
      <c r="Z13" s="46" t="str">
        <f aca="false">IF($T13="Yes","Primary",IF($Y13="Yes","Secondary",""))</f>
        <v/>
      </c>
      <c r="AA13" s="46" t="str">
        <f aca="false">IF($Z13="Primary",$R13,IF($Z13="Secondary",$W13,""))</f>
        <v/>
      </c>
      <c r="AB13" s="46" t="str">
        <f aca="false">IF($Z13="Primary","Matched on primary skill",IF($Z13="Secondary","Matched on secondary skill (primary not approved or not required)",""))</f>
        <v/>
      </c>
      <c r="AC13" s="47" t="str">
        <f aca="false">IF($D13="Panel Details",$F13,"")</f>
        <v/>
      </c>
      <c r="AD13" s="46" t="str">
        <f aca="false">IF($D13="Panel Details",'Survey Response'!$D11,"")</f>
        <v/>
      </c>
      <c r="AE13" s="46" t="str">
        <f aca="false">IF($D13="Panel Details",'Survey Response'!$E11,"")</f>
        <v/>
      </c>
      <c r="AF13" s="46" t="str">
        <f aca="false">IF($D13="Panel Details",'Survey Response'!$G11,"")</f>
        <v/>
      </c>
      <c r="AG13" s="46" t="str">
        <f aca="false">IF($D13="Panel Details",IF($Z13="Primary",$J13,$L13),"")</f>
        <v/>
      </c>
      <c r="AH13" s="46" t="str">
        <f aca="false">IF($D13="Panel Details",IF($Z13="Primary",$L13,$J13),"")</f>
        <v/>
      </c>
      <c r="AI13" s="46" t="str">
        <f aca="false">IF($D13="Panel Details",'Survey Response'!$H11,"")</f>
        <v/>
      </c>
      <c r="AJ13" s="46" t="str">
        <f aca="false">IF($D13="Panel Details",'Survey Response'!$M11,"")</f>
        <v/>
      </c>
      <c r="AK13" s="46" t="str">
        <f aca="false">IF($D13="Panel Details",$O13,"")</f>
        <v/>
      </c>
      <c r="AL13" s="46" t="str">
        <f aca="false">IF($D13="Panel Details",8,"")</f>
        <v/>
      </c>
      <c r="AM13" s="46" t="str">
        <f aca="false">IF($D13="Panel Details",$AB13,"")</f>
        <v/>
      </c>
      <c r="AN13" s="46" t="str">
        <f aca="false">IF($D13="Panel Details","Yes","")</f>
        <v/>
      </c>
      <c r="AO13" s="46"/>
      <c r="AP13" s="46" t="str">
        <f aca="false">IF($D13="Followup",'Survey Response'!$D11,"")</f>
        <v/>
      </c>
      <c r="AQ13" s="46" t="str">
        <f aca="false">IF($D13="Followup",'Survey Response'!$E11,"")</f>
        <v/>
      </c>
      <c r="AR13" s="46" t="str">
        <f aca="false">IF($D13="Followup",'Survey Response'!$G11,"")</f>
        <v/>
      </c>
      <c r="AS13" s="46" t="str">
        <f aca="false">IF($D13="Followup",'Survey Response'!$H11,"")</f>
        <v/>
      </c>
      <c r="AT13" s="46" t="str">
        <f aca="false">IF($D13="Followup",'Survey Response'!$M11,"")</f>
        <v/>
      </c>
      <c r="AU13" s="46" t="str">
        <f aca="false">IF($D13="Followup",'Survey Response'!$K11,"")</f>
        <v/>
      </c>
      <c r="AV13" s="46" t="str">
        <f aca="false">IF($D13="Followup",'Survey Response'!$L11,"")</f>
        <v/>
      </c>
      <c r="AW13" s="46" t="str">
        <f aca="false">IF($D13="Followup",IF(AND($P13&lt;&gt;"Yes",$U13&lt;&gt;"Yes"),"Not approved for primary or secondary skill","Approved, but skill(s) no longer have capacity (fully staffed)"),"")</f>
        <v/>
      </c>
    </row>
    <row r="14" customFormat="false" ht="15" hidden="false" customHeight="true" outlineLevel="0" collapsed="false">
      <c r="A14" s="46" t="str">
        <f aca="false">IF('Survey Response'!$D12="","",'Survey Response'!$A12&amp;"|"&amp;LOWER(TRIM('Survey Response'!$D12)))</f>
        <v/>
      </c>
      <c r="B14" s="46" t="str">
        <f aca="false">IF($H14="","",$F14&amp;"|"&amp;$H14)</f>
        <v/>
      </c>
      <c r="C14" s="46" t="str">
        <f aca="false">IF($H14="","",$A14=$B14)</f>
        <v/>
      </c>
      <c r="D14" s="46" t="str">
        <f aca="false">IF($H14="","",IF($E14&lt;&gt;"Yes","Superseded",IF($I14&lt;&gt;"Yes, I'm available for in-person interviews at Chennai","Not Available",IF($Z14&lt;&gt;"","Panel Details","Followup"))))</f>
        <v/>
      </c>
      <c r="E14" s="46" t="str">
        <f aca="false">IF($H14="","",IF(SUMPRODUCT(($H$4:$H$503=$H14)*(($G$4:$G$503&gt;$G14)+($G$4:$G$503=$G14)*($F$4:$F$503&gt;$F14)))=0,"Yes","No"))</f>
        <v/>
      </c>
      <c r="F14" s="47" t="str">
        <f aca="false">IF('Survey Response'!$D12="","",INT('Survey Response'!$A12))</f>
        <v/>
      </c>
      <c r="G14" s="48" t="str">
        <f aca="false">IF('Survey Response'!$D12="","",'Survey Response'!$C12)</f>
        <v/>
      </c>
      <c r="H14" s="46" t="str">
        <f aca="false">IF('Survey Response'!$D12="","",LOWER(TRIM('Survey Response'!$D12)))</f>
        <v/>
      </c>
      <c r="I14" s="46" t="str">
        <f aca="false">IF($H14="","",'Survey Response'!$I12)</f>
        <v/>
      </c>
      <c r="J14" s="46" t="str">
        <f aca="false">IF($H14="","",'Survey Response'!$K12)</f>
        <v/>
      </c>
      <c r="K14" s="46" t="str">
        <f aca="false">IF($J14="","",IF(COUNTIF('Skill Mapping'!$A$2:$A$7,TRIM($J14))=0,"",INDEX('Skill Mapping'!$B$2:$B$7,MATCH(TRIM($J14),'Skill Mapping'!$A$2:$A$7,0))))</f>
        <v/>
      </c>
      <c r="L14" s="46" t="str">
        <f aca="false">IF($H14="","",'Survey Response'!$L12)</f>
        <v/>
      </c>
      <c r="M14" s="46" t="str">
        <f aca="false">IF($L14="","",IF(COUNTIF('Skill Mapping'!$A$2:$A$7,TRIM($L14))=0,"",INDEX('Skill Mapping'!$B$2:$B$7,MATCH(TRIM($L14),'Skill Mapping'!$A$2:$A$7,0))))</f>
        <v/>
      </c>
      <c r="N14" s="46" t="str">
        <f aca="false">IF($H14="","",'Survey Response'!$M12)</f>
        <v/>
      </c>
      <c r="O14" s="46" t="str">
        <f aca="false">IF($H14="","",IF('Survey Response'!$M12="Manager","R2","R1"))</f>
        <v/>
      </c>
      <c r="P14" s="46" t="str">
        <f aca="false">IF($K14="","No",IF(COUNTIFS(MasterPanel!$B:$B,$H14,MasterPanel!$I:$I,$K14,MasterPanel!$K:$K,"Y")&gt;0,"Yes","No"))</f>
        <v>No</v>
      </c>
      <c r="Q14" s="46" t="n">
        <f aca="false">IF($K14="",0,IF(COUNTIF('Gap Sheet'!$A$6:$A$11,TRIM($J14))=0,0,IF($O14="R1",INDEX('Gap Sheet'!$C$6:$C$11,MATCH(TRIM($J14),'Gap Sheet'!$A$6:$A$11,0)),INDEX('Gap Sheet'!$G$6:$G$11,MATCH(TRIM($J14),'Gap Sheet'!$A$6:$A$11,0)))))</f>
        <v>0</v>
      </c>
      <c r="R14" s="46" t="str">
        <f aca="false">IF($K14="","",$K14&amp;"|"&amp;$O14)</f>
        <v/>
      </c>
      <c r="S14" s="46" t="n">
        <f aca="false">IF($R14="",0,COUNTIF($AA$4:$AA13,$R14))</f>
        <v>0</v>
      </c>
      <c r="T14" s="46" t="str">
        <f aca="false">IF(OR($I14&lt;&gt;"Yes, I'm available for in-person interviews at Chennai",$E14&lt;&gt;"Yes",$P14&lt;&gt;"Yes"),"No",IF(($Q14-$S14)&gt;0,"Yes","No"))</f>
        <v>No</v>
      </c>
      <c r="U14" s="46" t="str">
        <f aca="false">IF($M14="","No",IF(COUNTIFS(MasterPanel!$B:$B,$H14,MasterPanel!$I:$I,$M14,MasterPanel!$K:$K,"Y")&gt;0,"Yes","No"))</f>
        <v>No</v>
      </c>
      <c r="V14" s="46" t="n">
        <f aca="false">IF($M14="",0,IF(COUNTIF('Gap Sheet'!$A$6:$A$11,TRIM($L14))=0,0,IF($O14="R1",INDEX('Gap Sheet'!$C$6:$C$11,MATCH(TRIM($L14),'Gap Sheet'!$A$6:$A$11,0)),INDEX('Gap Sheet'!$G$6:$G$11,MATCH(TRIM($L14),'Gap Sheet'!$A$6:$A$11,0)))))</f>
        <v>0</v>
      </c>
      <c r="W14" s="46" t="str">
        <f aca="false">IF($M14="","",$M14&amp;"|"&amp;$O14)</f>
        <v/>
      </c>
      <c r="X14" s="46" t="n">
        <f aca="false">IF($W14="",0,COUNTIF($AA$4:$AA13,$W14))</f>
        <v>0</v>
      </c>
      <c r="Y14" s="46" t="str">
        <f aca="false">IF(OR($I14&lt;&gt;"Yes, I'm available for in-person interviews at Chennai",$E14&lt;&gt;"Yes",$T14="Yes",$U14&lt;&gt;"Yes"),"No",IF(($V14-$X14)&gt;0,"Yes","No"))</f>
        <v>No</v>
      </c>
      <c r="Z14" s="46" t="str">
        <f aca="false">IF($T14="Yes","Primary",IF($Y14="Yes","Secondary",""))</f>
        <v/>
      </c>
      <c r="AA14" s="46" t="str">
        <f aca="false">IF($Z14="Primary",$R14,IF($Z14="Secondary",$W14,""))</f>
        <v/>
      </c>
      <c r="AB14" s="46" t="str">
        <f aca="false">IF($Z14="Primary","Matched on primary skill",IF($Z14="Secondary","Matched on secondary skill (primary not approved or not required)",""))</f>
        <v/>
      </c>
      <c r="AC14" s="47" t="str">
        <f aca="false">IF($D14="Panel Details",$F14,"")</f>
        <v/>
      </c>
      <c r="AD14" s="46" t="str">
        <f aca="false">IF($D14="Panel Details",'Survey Response'!$D12,"")</f>
        <v/>
      </c>
      <c r="AE14" s="46" t="str">
        <f aca="false">IF($D14="Panel Details",'Survey Response'!$E12,"")</f>
        <v/>
      </c>
      <c r="AF14" s="46" t="str">
        <f aca="false">IF($D14="Panel Details",'Survey Response'!$G12,"")</f>
        <v/>
      </c>
      <c r="AG14" s="46" t="str">
        <f aca="false">IF($D14="Panel Details",IF($Z14="Primary",$J14,$L14),"")</f>
        <v/>
      </c>
      <c r="AH14" s="46" t="str">
        <f aca="false">IF($D14="Panel Details",IF($Z14="Primary",$L14,$J14),"")</f>
        <v/>
      </c>
      <c r="AI14" s="46" t="str">
        <f aca="false">IF($D14="Panel Details",'Survey Response'!$H12,"")</f>
        <v/>
      </c>
      <c r="AJ14" s="46" t="str">
        <f aca="false">IF($D14="Panel Details",'Survey Response'!$M12,"")</f>
        <v/>
      </c>
      <c r="AK14" s="46" t="str">
        <f aca="false">IF($D14="Panel Details",$O14,"")</f>
        <v/>
      </c>
      <c r="AL14" s="46" t="str">
        <f aca="false">IF($D14="Panel Details",8,"")</f>
        <v/>
      </c>
      <c r="AM14" s="46" t="str">
        <f aca="false">IF($D14="Panel Details",$AB14,"")</f>
        <v/>
      </c>
      <c r="AN14" s="46" t="str">
        <f aca="false">IF($D14="Panel Details","Yes","")</f>
        <v/>
      </c>
      <c r="AO14" s="46"/>
      <c r="AP14" s="46" t="str">
        <f aca="false">IF($D14="Followup",'Survey Response'!$D12,"")</f>
        <v/>
      </c>
      <c r="AQ14" s="46" t="str">
        <f aca="false">IF($D14="Followup",'Survey Response'!$E12,"")</f>
        <v/>
      </c>
      <c r="AR14" s="46" t="str">
        <f aca="false">IF($D14="Followup",'Survey Response'!$G12,"")</f>
        <v/>
      </c>
      <c r="AS14" s="46" t="str">
        <f aca="false">IF($D14="Followup",'Survey Response'!$H12,"")</f>
        <v/>
      </c>
      <c r="AT14" s="46" t="str">
        <f aca="false">IF($D14="Followup",'Survey Response'!$M12,"")</f>
        <v/>
      </c>
      <c r="AU14" s="46" t="str">
        <f aca="false">IF($D14="Followup",'Survey Response'!$K12,"")</f>
        <v/>
      </c>
      <c r="AV14" s="46" t="str">
        <f aca="false">IF($D14="Followup",'Survey Response'!$L12,"")</f>
        <v/>
      </c>
      <c r="AW14" s="46" t="str">
        <f aca="false">IF($D14="Followup",IF(AND($P14&lt;&gt;"Yes",$U14&lt;&gt;"Yes"),"Not approved for primary or secondary skill","Approved, but skill(s) no longer have capacity (fully staffed)"),"")</f>
        <v/>
      </c>
    </row>
    <row r="15" customFormat="false" ht="15" hidden="false" customHeight="true" outlineLevel="0" collapsed="false">
      <c r="A15" s="46" t="str">
        <f aca="false">IF('Survey Response'!$D13="","",'Survey Response'!$A13&amp;"|"&amp;LOWER(TRIM('Survey Response'!$D13)))</f>
        <v/>
      </c>
      <c r="B15" s="46" t="str">
        <f aca="false">IF($H15="","",$F15&amp;"|"&amp;$H15)</f>
        <v/>
      </c>
      <c r="C15" s="46" t="str">
        <f aca="false">IF($H15="","",$A15=$B15)</f>
        <v/>
      </c>
      <c r="D15" s="46" t="str">
        <f aca="false">IF($H15="","",IF($E15&lt;&gt;"Yes","Superseded",IF($I15&lt;&gt;"Yes, I'm available for in-person interviews at Chennai","Not Available",IF($Z15&lt;&gt;"","Panel Details","Followup"))))</f>
        <v/>
      </c>
      <c r="E15" s="46" t="str">
        <f aca="false">IF($H15="","",IF(SUMPRODUCT(($H$4:$H$503=$H15)*(($G$4:$G$503&gt;$G15)+($G$4:$G$503=$G15)*($F$4:$F$503&gt;$F15)))=0,"Yes","No"))</f>
        <v/>
      </c>
      <c r="F15" s="47" t="str">
        <f aca="false">IF('Survey Response'!$D13="","",INT('Survey Response'!$A13))</f>
        <v/>
      </c>
      <c r="G15" s="48" t="str">
        <f aca="false">IF('Survey Response'!$D13="","",'Survey Response'!$C13)</f>
        <v/>
      </c>
      <c r="H15" s="46" t="str">
        <f aca="false">IF('Survey Response'!$D13="","",LOWER(TRIM('Survey Response'!$D13)))</f>
        <v/>
      </c>
      <c r="I15" s="46" t="str">
        <f aca="false">IF($H15="","",'Survey Response'!$I13)</f>
        <v/>
      </c>
      <c r="J15" s="46" t="str">
        <f aca="false">IF($H15="","",'Survey Response'!$K13)</f>
        <v/>
      </c>
      <c r="K15" s="46" t="str">
        <f aca="false">IF($J15="","",IF(COUNTIF('Skill Mapping'!$A$2:$A$7,TRIM($J15))=0,"",INDEX('Skill Mapping'!$B$2:$B$7,MATCH(TRIM($J15),'Skill Mapping'!$A$2:$A$7,0))))</f>
        <v/>
      </c>
      <c r="L15" s="46" t="str">
        <f aca="false">IF($H15="","",'Survey Response'!$L13)</f>
        <v/>
      </c>
      <c r="M15" s="46" t="str">
        <f aca="false">IF($L15="","",IF(COUNTIF('Skill Mapping'!$A$2:$A$7,TRIM($L15))=0,"",INDEX('Skill Mapping'!$B$2:$B$7,MATCH(TRIM($L15),'Skill Mapping'!$A$2:$A$7,0))))</f>
        <v/>
      </c>
      <c r="N15" s="46" t="str">
        <f aca="false">IF($H15="","",'Survey Response'!$M13)</f>
        <v/>
      </c>
      <c r="O15" s="46" t="str">
        <f aca="false">IF($H15="","",IF('Survey Response'!$M13="Manager","R2","R1"))</f>
        <v/>
      </c>
      <c r="P15" s="46" t="str">
        <f aca="false">IF($K15="","No",IF(COUNTIFS(MasterPanel!$B:$B,$H15,MasterPanel!$I:$I,$K15,MasterPanel!$K:$K,"Y")&gt;0,"Yes","No"))</f>
        <v>No</v>
      </c>
      <c r="Q15" s="46" t="n">
        <f aca="false">IF($K15="",0,IF(COUNTIF('Gap Sheet'!$A$6:$A$11,TRIM($J15))=0,0,IF($O15="R1",INDEX('Gap Sheet'!$C$6:$C$11,MATCH(TRIM($J15),'Gap Sheet'!$A$6:$A$11,0)),INDEX('Gap Sheet'!$G$6:$G$11,MATCH(TRIM($J15),'Gap Sheet'!$A$6:$A$11,0)))))</f>
        <v>0</v>
      </c>
      <c r="R15" s="46" t="str">
        <f aca="false">IF($K15="","",$K15&amp;"|"&amp;$O15)</f>
        <v/>
      </c>
      <c r="S15" s="46" t="n">
        <f aca="false">IF($R15="",0,COUNTIF($AA$4:$AA14,$R15))</f>
        <v>0</v>
      </c>
      <c r="T15" s="46" t="str">
        <f aca="false">IF(OR($I15&lt;&gt;"Yes, I'm available for in-person interviews at Chennai",$E15&lt;&gt;"Yes",$P15&lt;&gt;"Yes"),"No",IF(($Q15-$S15)&gt;0,"Yes","No"))</f>
        <v>No</v>
      </c>
      <c r="U15" s="46" t="str">
        <f aca="false">IF($M15="","No",IF(COUNTIFS(MasterPanel!$B:$B,$H15,MasterPanel!$I:$I,$M15,MasterPanel!$K:$K,"Y")&gt;0,"Yes","No"))</f>
        <v>No</v>
      </c>
      <c r="V15" s="46" t="n">
        <f aca="false">IF($M15="",0,IF(COUNTIF('Gap Sheet'!$A$6:$A$11,TRIM($L15))=0,0,IF($O15="R1",INDEX('Gap Sheet'!$C$6:$C$11,MATCH(TRIM($L15),'Gap Sheet'!$A$6:$A$11,0)),INDEX('Gap Sheet'!$G$6:$G$11,MATCH(TRIM($L15),'Gap Sheet'!$A$6:$A$11,0)))))</f>
        <v>0</v>
      </c>
      <c r="W15" s="46" t="str">
        <f aca="false">IF($M15="","",$M15&amp;"|"&amp;$O15)</f>
        <v/>
      </c>
      <c r="X15" s="46" t="n">
        <f aca="false">IF($W15="",0,COUNTIF($AA$4:$AA14,$W15))</f>
        <v>0</v>
      </c>
      <c r="Y15" s="46" t="str">
        <f aca="false">IF(OR($I15&lt;&gt;"Yes, I'm available for in-person interviews at Chennai",$E15&lt;&gt;"Yes",$T15="Yes",$U15&lt;&gt;"Yes"),"No",IF(($V15-$X15)&gt;0,"Yes","No"))</f>
        <v>No</v>
      </c>
      <c r="Z15" s="46" t="str">
        <f aca="false">IF($T15="Yes","Primary",IF($Y15="Yes","Secondary",""))</f>
        <v/>
      </c>
      <c r="AA15" s="46" t="str">
        <f aca="false">IF($Z15="Primary",$R15,IF($Z15="Secondary",$W15,""))</f>
        <v/>
      </c>
      <c r="AB15" s="46" t="str">
        <f aca="false">IF($Z15="Primary","Matched on primary skill",IF($Z15="Secondary","Matched on secondary skill (primary not approved or not required)",""))</f>
        <v/>
      </c>
      <c r="AC15" s="47" t="str">
        <f aca="false">IF($D15="Panel Details",$F15,"")</f>
        <v/>
      </c>
      <c r="AD15" s="46" t="str">
        <f aca="false">IF($D15="Panel Details",'Survey Response'!$D13,"")</f>
        <v/>
      </c>
      <c r="AE15" s="46" t="str">
        <f aca="false">IF($D15="Panel Details",'Survey Response'!$E13,"")</f>
        <v/>
      </c>
      <c r="AF15" s="46" t="str">
        <f aca="false">IF($D15="Panel Details",'Survey Response'!$G13,"")</f>
        <v/>
      </c>
      <c r="AG15" s="46" t="str">
        <f aca="false">IF($D15="Panel Details",IF($Z15="Primary",$J15,$L15),"")</f>
        <v/>
      </c>
      <c r="AH15" s="46" t="str">
        <f aca="false">IF($D15="Panel Details",IF($Z15="Primary",$L15,$J15),"")</f>
        <v/>
      </c>
      <c r="AI15" s="46" t="str">
        <f aca="false">IF($D15="Panel Details",'Survey Response'!$H13,"")</f>
        <v/>
      </c>
      <c r="AJ15" s="46" t="str">
        <f aca="false">IF($D15="Panel Details",'Survey Response'!$M13,"")</f>
        <v/>
      </c>
      <c r="AK15" s="46" t="str">
        <f aca="false">IF($D15="Panel Details",$O15,"")</f>
        <v/>
      </c>
      <c r="AL15" s="46" t="str">
        <f aca="false">IF($D15="Panel Details",8,"")</f>
        <v/>
      </c>
      <c r="AM15" s="46" t="str">
        <f aca="false">IF($D15="Panel Details",$AB15,"")</f>
        <v/>
      </c>
      <c r="AN15" s="46" t="str">
        <f aca="false">IF($D15="Panel Details","Yes","")</f>
        <v/>
      </c>
      <c r="AO15" s="46"/>
      <c r="AP15" s="46" t="str">
        <f aca="false">IF($D15="Followup",'Survey Response'!$D13,"")</f>
        <v/>
      </c>
      <c r="AQ15" s="46" t="str">
        <f aca="false">IF($D15="Followup",'Survey Response'!$E13,"")</f>
        <v/>
      </c>
      <c r="AR15" s="46" t="str">
        <f aca="false">IF($D15="Followup",'Survey Response'!$G13,"")</f>
        <v/>
      </c>
      <c r="AS15" s="46" t="str">
        <f aca="false">IF($D15="Followup",'Survey Response'!$H13,"")</f>
        <v/>
      </c>
      <c r="AT15" s="46" t="str">
        <f aca="false">IF($D15="Followup",'Survey Response'!$M13,"")</f>
        <v/>
      </c>
      <c r="AU15" s="46" t="str">
        <f aca="false">IF($D15="Followup",'Survey Response'!$K13,"")</f>
        <v/>
      </c>
      <c r="AV15" s="46" t="str">
        <f aca="false">IF($D15="Followup",'Survey Response'!$L13,"")</f>
        <v/>
      </c>
      <c r="AW15" s="46" t="str">
        <f aca="false">IF($D15="Followup",IF(AND($P15&lt;&gt;"Yes",$U15&lt;&gt;"Yes"),"Not approved for primary or secondary skill","Approved, but skill(s) no longer have capacity (fully staffed)"),"")</f>
        <v/>
      </c>
    </row>
    <row r="16" customFormat="false" ht="15" hidden="false" customHeight="true" outlineLevel="0" collapsed="false">
      <c r="A16" s="46" t="str">
        <f aca="false">IF('Survey Response'!$D14="","",'Survey Response'!$A14&amp;"|"&amp;LOWER(TRIM('Survey Response'!$D14)))</f>
        <v/>
      </c>
      <c r="B16" s="46" t="str">
        <f aca="false">IF($H16="","",$F16&amp;"|"&amp;$H16)</f>
        <v/>
      </c>
      <c r="C16" s="46" t="str">
        <f aca="false">IF($H16="","",$A16=$B16)</f>
        <v/>
      </c>
      <c r="D16" s="46" t="str">
        <f aca="false">IF($H16="","",IF($E16&lt;&gt;"Yes","Superseded",IF($I16&lt;&gt;"Yes, I'm available for in-person interviews at Chennai","Not Available",IF($Z16&lt;&gt;"","Panel Details","Followup"))))</f>
        <v/>
      </c>
      <c r="E16" s="46" t="str">
        <f aca="false">IF($H16="","",IF(SUMPRODUCT(($H$4:$H$503=$H16)*(($G$4:$G$503&gt;$G16)+($G$4:$G$503=$G16)*($F$4:$F$503&gt;$F16)))=0,"Yes","No"))</f>
        <v/>
      </c>
      <c r="F16" s="47" t="str">
        <f aca="false">IF('Survey Response'!$D14="","",INT('Survey Response'!$A14))</f>
        <v/>
      </c>
      <c r="G16" s="48" t="str">
        <f aca="false">IF('Survey Response'!$D14="","",'Survey Response'!$C14)</f>
        <v/>
      </c>
      <c r="H16" s="46" t="str">
        <f aca="false">IF('Survey Response'!$D14="","",LOWER(TRIM('Survey Response'!$D14)))</f>
        <v/>
      </c>
      <c r="I16" s="46" t="str">
        <f aca="false">IF($H16="","",'Survey Response'!$I14)</f>
        <v/>
      </c>
      <c r="J16" s="46" t="str">
        <f aca="false">IF($H16="","",'Survey Response'!$K14)</f>
        <v/>
      </c>
      <c r="K16" s="46" t="str">
        <f aca="false">IF($J16="","",IF(COUNTIF('Skill Mapping'!$A$2:$A$7,TRIM($J16))=0,"",INDEX('Skill Mapping'!$B$2:$B$7,MATCH(TRIM($J16),'Skill Mapping'!$A$2:$A$7,0))))</f>
        <v/>
      </c>
      <c r="L16" s="46" t="str">
        <f aca="false">IF($H16="","",'Survey Response'!$L14)</f>
        <v/>
      </c>
      <c r="M16" s="46" t="str">
        <f aca="false">IF($L16="","",IF(COUNTIF('Skill Mapping'!$A$2:$A$7,TRIM($L16))=0,"",INDEX('Skill Mapping'!$B$2:$B$7,MATCH(TRIM($L16),'Skill Mapping'!$A$2:$A$7,0))))</f>
        <v/>
      </c>
      <c r="N16" s="46" t="str">
        <f aca="false">IF($H16="","",'Survey Response'!$M14)</f>
        <v/>
      </c>
      <c r="O16" s="46" t="str">
        <f aca="false">IF($H16="","",IF('Survey Response'!$M14="Manager","R2","R1"))</f>
        <v/>
      </c>
      <c r="P16" s="46" t="str">
        <f aca="false">IF($K16="","No",IF(COUNTIFS(MasterPanel!$B:$B,$H16,MasterPanel!$I:$I,$K16,MasterPanel!$K:$K,"Y")&gt;0,"Yes","No"))</f>
        <v>No</v>
      </c>
      <c r="Q16" s="46" t="n">
        <f aca="false">IF($K16="",0,IF(COUNTIF('Gap Sheet'!$A$6:$A$11,TRIM($J16))=0,0,IF($O16="R1",INDEX('Gap Sheet'!$C$6:$C$11,MATCH(TRIM($J16),'Gap Sheet'!$A$6:$A$11,0)),INDEX('Gap Sheet'!$G$6:$G$11,MATCH(TRIM($J16),'Gap Sheet'!$A$6:$A$11,0)))))</f>
        <v>0</v>
      </c>
      <c r="R16" s="46" t="str">
        <f aca="false">IF($K16="","",$K16&amp;"|"&amp;$O16)</f>
        <v/>
      </c>
      <c r="S16" s="46" t="n">
        <f aca="false">IF($R16="",0,COUNTIF($AA$4:$AA15,$R16))</f>
        <v>0</v>
      </c>
      <c r="T16" s="46" t="str">
        <f aca="false">IF(OR($I16&lt;&gt;"Yes, I'm available for in-person interviews at Chennai",$E16&lt;&gt;"Yes",$P16&lt;&gt;"Yes"),"No",IF(($Q16-$S16)&gt;0,"Yes","No"))</f>
        <v>No</v>
      </c>
      <c r="U16" s="46" t="str">
        <f aca="false">IF($M16="","No",IF(COUNTIFS(MasterPanel!$B:$B,$H16,MasterPanel!$I:$I,$M16,MasterPanel!$K:$K,"Y")&gt;0,"Yes","No"))</f>
        <v>No</v>
      </c>
      <c r="V16" s="46" t="n">
        <f aca="false">IF($M16="",0,IF(COUNTIF('Gap Sheet'!$A$6:$A$11,TRIM($L16))=0,0,IF($O16="R1",INDEX('Gap Sheet'!$C$6:$C$11,MATCH(TRIM($L16),'Gap Sheet'!$A$6:$A$11,0)),INDEX('Gap Sheet'!$G$6:$G$11,MATCH(TRIM($L16),'Gap Sheet'!$A$6:$A$11,0)))))</f>
        <v>0</v>
      </c>
      <c r="W16" s="46" t="str">
        <f aca="false">IF($M16="","",$M16&amp;"|"&amp;$O16)</f>
        <v/>
      </c>
      <c r="X16" s="46" t="n">
        <f aca="false">IF($W16="",0,COUNTIF($AA$4:$AA15,$W16))</f>
        <v>0</v>
      </c>
      <c r="Y16" s="46" t="str">
        <f aca="false">IF(OR($I16&lt;&gt;"Yes, I'm available for in-person interviews at Chennai",$E16&lt;&gt;"Yes",$T16="Yes",$U16&lt;&gt;"Yes"),"No",IF(($V16-$X16)&gt;0,"Yes","No"))</f>
        <v>No</v>
      </c>
      <c r="Z16" s="46" t="str">
        <f aca="false">IF($T16="Yes","Primary",IF($Y16="Yes","Secondary",""))</f>
        <v/>
      </c>
      <c r="AA16" s="46" t="str">
        <f aca="false">IF($Z16="Primary",$R16,IF($Z16="Secondary",$W16,""))</f>
        <v/>
      </c>
      <c r="AB16" s="46" t="str">
        <f aca="false">IF($Z16="Primary","Matched on primary skill",IF($Z16="Secondary","Matched on secondary skill (primary not approved or not required)",""))</f>
        <v/>
      </c>
      <c r="AC16" s="47" t="str">
        <f aca="false">IF($D16="Panel Details",$F16,"")</f>
        <v/>
      </c>
      <c r="AD16" s="46" t="str">
        <f aca="false">IF($D16="Panel Details",'Survey Response'!$D14,"")</f>
        <v/>
      </c>
      <c r="AE16" s="46" t="str">
        <f aca="false">IF($D16="Panel Details",'Survey Response'!$E14,"")</f>
        <v/>
      </c>
      <c r="AF16" s="46" t="str">
        <f aca="false">IF($D16="Panel Details",'Survey Response'!$G14,"")</f>
        <v/>
      </c>
      <c r="AG16" s="46" t="str">
        <f aca="false">IF($D16="Panel Details",IF($Z16="Primary",$J16,$L16),"")</f>
        <v/>
      </c>
      <c r="AH16" s="46" t="str">
        <f aca="false">IF($D16="Panel Details",IF($Z16="Primary",$L16,$J16),"")</f>
        <v/>
      </c>
      <c r="AI16" s="46" t="str">
        <f aca="false">IF($D16="Panel Details",'Survey Response'!$H14,"")</f>
        <v/>
      </c>
      <c r="AJ16" s="46" t="str">
        <f aca="false">IF($D16="Panel Details",'Survey Response'!$M14,"")</f>
        <v/>
      </c>
      <c r="AK16" s="46" t="str">
        <f aca="false">IF($D16="Panel Details",$O16,"")</f>
        <v/>
      </c>
      <c r="AL16" s="46" t="str">
        <f aca="false">IF($D16="Panel Details",8,"")</f>
        <v/>
      </c>
      <c r="AM16" s="46" t="str">
        <f aca="false">IF($D16="Panel Details",$AB16,"")</f>
        <v/>
      </c>
      <c r="AN16" s="46" t="str">
        <f aca="false">IF($D16="Panel Details","Yes","")</f>
        <v/>
      </c>
      <c r="AO16" s="46"/>
      <c r="AP16" s="46" t="str">
        <f aca="false">IF($D16="Followup",'Survey Response'!$D14,"")</f>
        <v/>
      </c>
      <c r="AQ16" s="46" t="str">
        <f aca="false">IF($D16="Followup",'Survey Response'!$E14,"")</f>
        <v/>
      </c>
      <c r="AR16" s="46" t="str">
        <f aca="false">IF($D16="Followup",'Survey Response'!$G14,"")</f>
        <v/>
      </c>
      <c r="AS16" s="46" t="str">
        <f aca="false">IF($D16="Followup",'Survey Response'!$H14,"")</f>
        <v/>
      </c>
      <c r="AT16" s="46" t="str">
        <f aca="false">IF($D16="Followup",'Survey Response'!$M14,"")</f>
        <v/>
      </c>
      <c r="AU16" s="46" t="str">
        <f aca="false">IF($D16="Followup",'Survey Response'!$K14,"")</f>
        <v/>
      </c>
      <c r="AV16" s="46" t="str">
        <f aca="false">IF($D16="Followup",'Survey Response'!$L14,"")</f>
        <v/>
      </c>
      <c r="AW16" s="46" t="str">
        <f aca="false">IF($D16="Followup",IF(AND($P16&lt;&gt;"Yes",$U16&lt;&gt;"Yes"),"Not approved for primary or secondary skill","Approved, but skill(s) no longer have capacity (fully staffed)"),"")</f>
        <v/>
      </c>
    </row>
    <row r="17" customFormat="false" ht="15" hidden="false" customHeight="true" outlineLevel="0" collapsed="false">
      <c r="A17" s="46" t="str">
        <f aca="false">IF('Survey Response'!$D15="","",'Survey Response'!$A15&amp;"|"&amp;LOWER(TRIM('Survey Response'!$D15)))</f>
        <v/>
      </c>
      <c r="B17" s="46" t="str">
        <f aca="false">IF($H17="","",$F17&amp;"|"&amp;$H17)</f>
        <v/>
      </c>
      <c r="C17" s="46" t="str">
        <f aca="false">IF($H17="","",$A17=$B17)</f>
        <v/>
      </c>
      <c r="D17" s="46" t="str">
        <f aca="false">IF($H17="","",IF($E17&lt;&gt;"Yes","Superseded",IF($I17&lt;&gt;"Yes, I'm available for in-person interviews at Chennai","Not Available",IF($Z17&lt;&gt;"","Panel Details","Followup"))))</f>
        <v/>
      </c>
      <c r="E17" s="46" t="str">
        <f aca="false">IF($H17="","",IF(SUMPRODUCT(($H$4:$H$503=$H17)*(($G$4:$G$503&gt;$G17)+($G$4:$G$503=$G17)*($F$4:$F$503&gt;$F17)))=0,"Yes","No"))</f>
        <v/>
      </c>
      <c r="F17" s="47" t="str">
        <f aca="false">IF('Survey Response'!$D15="","",INT('Survey Response'!$A15))</f>
        <v/>
      </c>
      <c r="G17" s="48" t="str">
        <f aca="false">IF('Survey Response'!$D15="","",'Survey Response'!$C15)</f>
        <v/>
      </c>
      <c r="H17" s="46" t="str">
        <f aca="false">IF('Survey Response'!$D15="","",LOWER(TRIM('Survey Response'!$D15)))</f>
        <v/>
      </c>
      <c r="I17" s="46" t="str">
        <f aca="false">IF($H17="","",'Survey Response'!$I15)</f>
        <v/>
      </c>
      <c r="J17" s="46" t="str">
        <f aca="false">IF($H17="","",'Survey Response'!$K15)</f>
        <v/>
      </c>
      <c r="K17" s="46" t="str">
        <f aca="false">IF($J17="","",IF(COUNTIF('Skill Mapping'!$A$2:$A$7,TRIM($J17))=0,"",INDEX('Skill Mapping'!$B$2:$B$7,MATCH(TRIM($J17),'Skill Mapping'!$A$2:$A$7,0))))</f>
        <v/>
      </c>
      <c r="L17" s="46" t="str">
        <f aca="false">IF($H17="","",'Survey Response'!$L15)</f>
        <v/>
      </c>
      <c r="M17" s="46" t="str">
        <f aca="false">IF($L17="","",IF(COUNTIF('Skill Mapping'!$A$2:$A$7,TRIM($L17))=0,"",INDEX('Skill Mapping'!$B$2:$B$7,MATCH(TRIM($L17),'Skill Mapping'!$A$2:$A$7,0))))</f>
        <v/>
      </c>
      <c r="N17" s="46" t="str">
        <f aca="false">IF($H17="","",'Survey Response'!$M15)</f>
        <v/>
      </c>
      <c r="O17" s="46" t="str">
        <f aca="false">IF($H17="","",IF('Survey Response'!$M15="Manager","R2","R1"))</f>
        <v/>
      </c>
      <c r="P17" s="46" t="str">
        <f aca="false">IF($K17="","No",IF(COUNTIFS(MasterPanel!$B:$B,$H17,MasterPanel!$I:$I,$K17,MasterPanel!$K:$K,"Y")&gt;0,"Yes","No"))</f>
        <v>No</v>
      </c>
      <c r="Q17" s="46" t="n">
        <f aca="false">IF($K17="",0,IF(COUNTIF('Gap Sheet'!$A$6:$A$11,TRIM($J17))=0,0,IF($O17="R1",INDEX('Gap Sheet'!$C$6:$C$11,MATCH(TRIM($J17),'Gap Sheet'!$A$6:$A$11,0)),INDEX('Gap Sheet'!$G$6:$G$11,MATCH(TRIM($J17),'Gap Sheet'!$A$6:$A$11,0)))))</f>
        <v>0</v>
      </c>
      <c r="R17" s="46" t="str">
        <f aca="false">IF($K17="","",$K17&amp;"|"&amp;$O17)</f>
        <v/>
      </c>
      <c r="S17" s="46" t="n">
        <f aca="false">IF($R17="",0,COUNTIF($AA$4:$AA16,$R17))</f>
        <v>0</v>
      </c>
      <c r="T17" s="46" t="str">
        <f aca="false">IF(OR($I17&lt;&gt;"Yes, I'm available for in-person interviews at Chennai",$E17&lt;&gt;"Yes",$P17&lt;&gt;"Yes"),"No",IF(($Q17-$S17)&gt;0,"Yes","No"))</f>
        <v>No</v>
      </c>
      <c r="U17" s="46" t="str">
        <f aca="false">IF($M17="","No",IF(COUNTIFS(MasterPanel!$B:$B,$H17,MasterPanel!$I:$I,$M17,MasterPanel!$K:$K,"Y")&gt;0,"Yes","No"))</f>
        <v>No</v>
      </c>
      <c r="V17" s="46" t="n">
        <f aca="false">IF($M17="",0,IF(COUNTIF('Gap Sheet'!$A$6:$A$11,TRIM($L17))=0,0,IF($O17="R1",INDEX('Gap Sheet'!$C$6:$C$11,MATCH(TRIM($L17),'Gap Sheet'!$A$6:$A$11,0)),INDEX('Gap Sheet'!$G$6:$G$11,MATCH(TRIM($L17),'Gap Sheet'!$A$6:$A$11,0)))))</f>
        <v>0</v>
      </c>
      <c r="W17" s="46" t="str">
        <f aca="false">IF($M17="","",$M17&amp;"|"&amp;$O17)</f>
        <v/>
      </c>
      <c r="X17" s="46" t="n">
        <f aca="false">IF($W17="",0,COUNTIF($AA$4:$AA16,$W17))</f>
        <v>0</v>
      </c>
      <c r="Y17" s="46" t="str">
        <f aca="false">IF(OR($I17&lt;&gt;"Yes, I'm available for in-person interviews at Chennai",$E17&lt;&gt;"Yes",$T17="Yes",$U17&lt;&gt;"Yes"),"No",IF(($V17-$X17)&gt;0,"Yes","No"))</f>
        <v>No</v>
      </c>
      <c r="Z17" s="46" t="str">
        <f aca="false">IF($T17="Yes","Primary",IF($Y17="Yes","Secondary",""))</f>
        <v/>
      </c>
      <c r="AA17" s="46" t="str">
        <f aca="false">IF($Z17="Primary",$R17,IF($Z17="Secondary",$W17,""))</f>
        <v/>
      </c>
      <c r="AB17" s="46" t="str">
        <f aca="false">IF($Z17="Primary","Matched on primary skill",IF($Z17="Secondary","Matched on secondary skill (primary not approved or not required)",""))</f>
        <v/>
      </c>
      <c r="AC17" s="47" t="str">
        <f aca="false">IF($D17="Panel Details",$F17,"")</f>
        <v/>
      </c>
      <c r="AD17" s="46" t="str">
        <f aca="false">IF($D17="Panel Details",'Survey Response'!$D15,"")</f>
        <v/>
      </c>
      <c r="AE17" s="46" t="str">
        <f aca="false">IF($D17="Panel Details",'Survey Response'!$E15,"")</f>
        <v/>
      </c>
      <c r="AF17" s="46" t="str">
        <f aca="false">IF($D17="Panel Details",'Survey Response'!$G15,"")</f>
        <v/>
      </c>
      <c r="AG17" s="46" t="str">
        <f aca="false">IF($D17="Panel Details",IF($Z17="Primary",$J17,$L17),"")</f>
        <v/>
      </c>
      <c r="AH17" s="46" t="str">
        <f aca="false">IF($D17="Panel Details",IF($Z17="Primary",$L17,$J17),"")</f>
        <v/>
      </c>
      <c r="AI17" s="46" t="str">
        <f aca="false">IF($D17="Panel Details",'Survey Response'!$H15,"")</f>
        <v/>
      </c>
      <c r="AJ17" s="46" t="str">
        <f aca="false">IF($D17="Panel Details",'Survey Response'!$M15,"")</f>
        <v/>
      </c>
      <c r="AK17" s="46" t="str">
        <f aca="false">IF($D17="Panel Details",$O17,"")</f>
        <v/>
      </c>
      <c r="AL17" s="46" t="str">
        <f aca="false">IF($D17="Panel Details",8,"")</f>
        <v/>
      </c>
      <c r="AM17" s="46" t="str">
        <f aca="false">IF($D17="Panel Details",$AB17,"")</f>
        <v/>
      </c>
      <c r="AN17" s="46" t="str">
        <f aca="false">IF($D17="Panel Details","Yes","")</f>
        <v/>
      </c>
      <c r="AO17" s="46"/>
      <c r="AP17" s="46" t="str">
        <f aca="false">IF($D17="Followup",'Survey Response'!$D15,"")</f>
        <v/>
      </c>
      <c r="AQ17" s="46" t="str">
        <f aca="false">IF($D17="Followup",'Survey Response'!$E15,"")</f>
        <v/>
      </c>
      <c r="AR17" s="46" t="str">
        <f aca="false">IF($D17="Followup",'Survey Response'!$G15,"")</f>
        <v/>
      </c>
      <c r="AS17" s="46" t="str">
        <f aca="false">IF($D17="Followup",'Survey Response'!$H15,"")</f>
        <v/>
      </c>
      <c r="AT17" s="46" t="str">
        <f aca="false">IF($D17="Followup",'Survey Response'!$M15,"")</f>
        <v/>
      </c>
      <c r="AU17" s="46" t="str">
        <f aca="false">IF($D17="Followup",'Survey Response'!$K15,"")</f>
        <v/>
      </c>
      <c r="AV17" s="46" t="str">
        <f aca="false">IF($D17="Followup",'Survey Response'!$L15,"")</f>
        <v/>
      </c>
      <c r="AW17" s="46" t="str">
        <f aca="false">IF($D17="Followup",IF(AND($P17&lt;&gt;"Yes",$U17&lt;&gt;"Yes"),"Not approved for primary or secondary skill","Approved, but skill(s) no longer have capacity (fully staffed)"),"")</f>
        <v/>
      </c>
    </row>
    <row r="18" customFormat="false" ht="15" hidden="false" customHeight="true" outlineLevel="0" collapsed="false">
      <c r="A18" s="46" t="str">
        <f aca="false">IF('Survey Response'!$D16="","",'Survey Response'!$A16&amp;"|"&amp;LOWER(TRIM('Survey Response'!$D16)))</f>
        <v/>
      </c>
      <c r="B18" s="46" t="str">
        <f aca="false">IF($H18="","",$F18&amp;"|"&amp;$H18)</f>
        <v/>
      </c>
      <c r="C18" s="46" t="str">
        <f aca="false">IF($H18="","",$A18=$B18)</f>
        <v/>
      </c>
      <c r="D18" s="46" t="str">
        <f aca="false">IF($H18="","",IF($E18&lt;&gt;"Yes","Superseded",IF($I18&lt;&gt;"Yes, I'm available for in-person interviews at Chennai","Not Available",IF($Z18&lt;&gt;"","Panel Details","Followup"))))</f>
        <v/>
      </c>
      <c r="E18" s="46" t="str">
        <f aca="false">IF($H18="","",IF(SUMPRODUCT(($H$4:$H$503=$H18)*(($G$4:$G$503&gt;$G18)+($G$4:$G$503=$G18)*($F$4:$F$503&gt;$F18)))=0,"Yes","No"))</f>
        <v/>
      </c>
      <c r="F18" s="47" t="str">
        <f aca="false">IF('Survey Response'!$D16="","",INT('Survey Response'!$A16))</f>
        <v/>
      </c>
      <c r="G18" s="48" t="str">
        <f aca="false">IF('Survey Response'!$D16="","",'Survey Response'!$C16)</f>
        <v/>
      </c>
      <c r="H18" s="46" t="str">
        <f aca="false">IF('Survey Response'!$D16="","",LOWER(TRIM('Survey Response'!$D16)))</f>
        <v/>
      </c>
      <c r="I18" s="46" t="str">
        <f aca="false">IF($H18="","",'Survey Response'!$I16)</f>
        <v/>
      </c>
      <c r="J18" s="46" t="str">
        <f aca="false">IF($H18="","",'Survey Response'!$K16)</f>
        <v/>
      </c>
      <c r="K18" s="46" t="str">
        <f aca="false">IF($J18="","",IF(COUNTIF('Skill Mapping'!$A$2:$A$7,TRIM($J18))=0,"",INDEX('Skill Mapping'!$B$2:$B$7,MATCH(TRIM($J18),'Skill Mapping'!$A$2:$A$7,0))))</f>
        <v/>
      </c>
      <c r="L18" s="46" t="str">
        <f aca="false">IF($H18="","",'Survey Response'!$L16)</f>
        <v/>
      </c>
      <c r="M18" s="46" t="str">
        <f aca="false">IF($L18="","",IF(COUNTIF('Skill Mapping'!$A$2:$A$7,TRIM($L18))=0,"",INDEX('Skill Mapping'!$B$2:$B$7,MATCH(TRIM($L18),'Skill Mapping'!$A$2:$A$7,0))))</f>
        <v/>
      </c>
      <c r="N18" s="46" t="str">
        <f aca="false">IF($H18="","",'Survey Response'!$M16)</f>
        <v/>
      </c>
      <c r="O18" s="46" t="str">
        <f aca="false">IF($H18="","",IF('Survey Response'!$M16="Manager","R2","R1"))</f>
        <v/>
      </c>
      <c r="P18" s="46" t="str">
        <f aca="false">IF($K18="","No",IF(COUNTIFS(MasterPanel!$B:$B,$H18,MasterPanel!$I:$I,$K18,MasterPanel!$K:$K,"Y")&gt;0,"Yes","No"))</f>
        <v>No</v>
      </c>
      <c r="Q18" s="46" t="n">
        <f aca="false">IF($K18="",0,IF(COUNTIF('Gap Sheet'!$A$6:$A$11,TRIM($J18))=0,0,IF($O18="R1",INDEX('Gap Sheet'!$C$6:$C$11,MATCH(TRIM($J18),'Gap Sheet'!$A$6:$A$11,0)),INDEX('Gap Sheet'!$G$6:$G$11,MATCH(TRIM($J18),'Gap Sheet'!$A$6:$A$11,0)))))</f>
        <v>0</v>
      </c>
      <c r="R18" s="46" t="str">
        <f aca="false">IF($K18="","",$K18&amp;"|"&amp;$O18)</f>
        <v/>
      </c>
      <c r="S18" s="46" t="n">
        <f aca="false">IF($R18="",0,COUNTIF($AA$4:$AA17,$R18))</f>
        <v>0</v>
      </c>
      <c r="T18" s="46" t="str">
        <f aca="false">IF(OR($I18&lt;&gt;"Yes, I'm available for in-person interviews at Chennai",$E18&lt;&gt;"Yes",$P18&lt;&gt;"Yes"),"No",IF(($Q18-$S18)&gt;0,"Yes","No"))</f>
        <v>No</v>
      </c>
      <c r="U18" s="46" t="str">
        <f aca="false">IF($M18="","No",IF(COUNTIFS(MasterPanel!$B:$B,$H18,MasterPanel!$I:$I,$M18,MasterPanel!$K:$K,"Y")&gt;0,"Yes","No"))</f>
        <v>No</v>
      </c>
      <c r="V18" s="46" t="n">
        <f aca="false">IF($M18="",0,IF(COUNTIF('Gap Sheet'!$A$6:$A$11,TRIM($L18))=0,0,IF($O18="R1",INDEX('Gap Sheet'!$C$6:$C$11,MATCH(TRIM($L18),'Gap Sheet'!$A$6:$A$11,0)),INDEX('Gap Sheet'!$G$6:$G$11,MATCH(TRIM($L18),'Gap Sheet'!$A$6:$A$11,0)))))</f>
        <v>0</v>
      </c>
      <c r="W18" s="46" t="str">
        <f aca="false">IF($M18="","",$M18&amp;"|"&amp;$O18)</f>
        <v/>
      </c>
      <c r="X18" s="46" t="n">
        <f aca="false">IF($W18="",0,COUNTIF($AA$4:$AA17,$W18))</f>
        <v>0</v>
      </c>
      <c r="Y18" s="46" t="str">
        <f aca="false">IF(OR($I18&lt;&gt;"Yes, I'm available for in-person interviews at Chennai",$E18&lt;&gt;"Yes",$T18="Yes",$U18&lt;&gt;"Yes"),"No",IF(($V18-$X18)&gt;0,"Yes","No"))</f>
        <v>No</v>
      </c>
      <c r="Z18" s="46" t="str">
        <f aca="false">IF($T18="Yes","Primary",IF($Y18="Yes","Secondary",""))</f>
        <v/>
      </c>
      <c r="AA18" s="46" t="str">
        <f aca="false">IF($Z18="Primary",$R18,IF($Z18="Secondary",$W18,""))</f>
        <v/>
      </c>
      <c r="AB18" s="46" t="str">
        <f aca="false">IF($Z18="Primary","Matched on primary skill",IF($Z18="Secondary","Matched on secondary skill (primary not approved or not required)",""))</f>
        <v/>
      </c>
      <c r="AC18" s="47" t="str">
        <f aca="false">IF($D18="Panel Details",$F18,"")</f>
        <v/>
      </c>
      <c r="AD18" s="46" t="str">
        <f aca="false">IF($D18="Panel Details",'Survey Response'!$D16,"")</f>
        <v/>
      </c>
      <c r="AE18" s="46" t="str">
        <f aca="false">IF($D18="Panel Details",'Survey Response'!$E16,"")</f>
        <v/>
      </c>
      <c r="AF18" s="46" t="str">
        <f aca="false">IF($D18="Panel Details",'Survey Response'!$G16,"")</f>
        <v/>
      </c>
      <c r="AG18" s="46" t="str">
        <f aca="false">IF($D18="Panel Details",IF($Z18="Primary",$J18,$L18),"")</f>
        <v/>
      </c>
      <c r="AH18" s="46" t="str">
        <f aca="false">IF($D18="Panel Details",IF($Z18="Primary",$L18,$J18),"")</f>
        <v/>
      </c>
      <c r="AI18" s="46" t="str">
        <f aca="false">IF($D18="Panel Details",'Survey Response'!$H16,"")</f>
        <v/>
      </c>
      <c r="AJ18" s="46" t="str">
        <f aca="false">IF($D18="Panel Details",'Survey Response'!$M16,"")</f>
        <v/>
      </c>
      <c r="AK18" s="46" t="str">
        <f aca="false">IF($D18="Panel Details",$O18,"")</f>
        <v/>
      </c>
      <c r="AL18" s="46" t="str">
        <f aca="false">IF($D18="Panel Details",8,"")</f>
        <v/>
      </c>
      <c r="AM18" s="46" t="str">
        <f aca="false">IF($D18="Panel Details",$AB18,"")</f>
        <v/>
      </c>
      <c r="AN18" s="46" t="str">
        <f aca="false">IF($D18="Panel Details","Yes","")</f>
        <v/>
      </c>
      <c r="AO18" s="46"/>
      <c r="AP18" s="46" t="str">
        <f aca="false">IF($D18="Followup",'Survey Response'!$D16,"")</f>
        <v/>
      </c>
      <c r="AQ18" s="46" t="str">
        <f aca="false">IF($D18="Followup",'Survey Response'!$E16,"")</f>
        <v/>
      </c>
      <c r="AR18" s="46" t="str">
        <f aca="false">IF($D18="Followup",'Survey Response'!$G16,"")</f>
        <v/>
      </c>
      <c r="AS18" s="46" t="str">
        <f aca="false">IF($D18="Followup",'Survey Response'!$H16,"")</f>
        <v/>
      </c>
      <c r="AT18" s="46" t="str">
        <f aca="false">IF($D18="Followup",'Survey Response'!$M16,"")</f>
        <v/>
      </c>
      <c r="AU18" s="46" t="str">
        <f aca="false">IF($D18="Followup",'Survey Response'!$K16,"")</f>
        <v/>
      </c>
      <c r="AV18" s="46" t="str">
        <f aca="false">IF($D18="Followup",'Survey Response'!$L16,"")</f>
        <v/>
      </c>
      <c r="AW18" s="46" t="str">
        <f aca="false">IF($D18="Followup",IF(AND($P18&lt;&gt;"Yes",$U18&lt;&gt;"Yes"),"Not approved for primary or secondary skill","Approved, but skill(s) no longer have capacity (fully staffed)"),"")</f>
        <v/>
      </c>
    </row>
    <row r="19" customFormat="false" ht="15" hidden="false" customHeight="true" outlineLevel="0" collapsed="false">
      <c r="A19" s="46" t="str">
        <f aca="false">IF('Survey Response'!$D17="","",'Survey Response'!$A17&amp;"|"&amp;LOWER(TRIM('Survey Response'!$D17)))</f>
        <v/>
      </c>
      <c r="B19" s="46" t="str">
        <f aca="false">IF($H19="","",$F19&amp;"|"&amp;$H19)</f>
        <v/>
      </c>
      <c r="C19" s="46" t="str">
        <f aca="false">IF($H19="","",$A19=$B19)</f>
        <v/>
      </c>
      <c r="D19" s="46" t="str">
        <f aca="false">IF($H19="","",IF($E19&lt;&gt;"Yes","Superseded",IF($I19&lt;&gt;"Yes, I'm available for in-person interviews at Chennai","Not Available",IF($Z19&lt;&gt;"","Panel Details","Followup"))))</f>
        <v/>
      </c>
      <c r="E19" s="46" t="str">
        <f aca="false">IF($H19="","",IF(SUMPRODUCT(($H$4:$H$503=$H19)*(($G$4:$G$503&gt;$G19)+($G$4:$G$503=$G19)*($F$4:$F$503&gt;$F19)))=0,"Yes","No"))</f>
        <v/>
      </c>
      <c r="F19" s="47" t="str">
        <f aca="false">IF('Survey Response'!$D17="","",INT('Survey Response'!$A17))</f>
        <v/>
      </c>
      <c r="G19" s="48" t="str">
        <f aca="false">IF('Survey Response'!$D17="","",'Survey Response'!$C17)</f>
        <v/>
      </c>
      <c r="H19" s="46" t="str">
        <f aca="false">IF('Survey Response'!$D17="","",LOWER(TRIM('Survey Response'!$D17)))</f>
        <v/>
      </c>
      <c r="I19" s="46" t="str">
        <f aca="false">IF($H19="","",'Survey Response'!$I17)</f>
        <v/>
      </c>
      <c r="J19" s="46" t="str">
        <f aca="false">IF($H19="","",'Survey Response'!$K17)</f>
        <v/>
      </c>
      <c r="K19" s="46" t="str">
        <f aca="false">IF($J19="","",IF(COUNTIF('Skill Mapping'!$A$2:$A$7,TRIM($J19))=0,"",INDEX('Skill Mapping'!$B$2:$B$7,MATCH(TRIM($J19),'Skill Mapping'!$A$2:$A$7,0))))</f>
        <v/>
      </c>
      <c r="L19" s="46" t="str">
        <f aca="false">IF($H19="","",'Survey Response'!$L17)</f>
        <v/>
      </c>
      <c r="M19" s="46" t="str">
        <f aca="false">IF($L19="","",IF(COUNTIF('Skill Mapping'!$A$2:$A$7,TRIM($L19))=0,"",INDEX('Skill Mapping'!$B$2:$B$7,MATCH(TRIM($L19),'Skill Mapping'!$A$2:$A$7,0))))</f>
        <v/>
      </c>
      <c r="N19" s="46" t="str">
        <f aca="false">IF($H19="","",'Survey Response'!$M17)</f>
        <v/>
      </c>
      <c r="O19" s="46" t="str">
        <f aca="false">IF($H19="","",IF('Survey Response'!$M17="Manager","R2","R1"))</f>
        <v/>
      </c>
      <c r="P19" s="46" t="str">
        <f aca="false">IF($K19="","No",IF(COUNTIFS(MasterPanel!$B:$B,$H19,MasterPanel!$I:$I,$K19,MasterPanel!$K:$K,"Y")&gt;0,"Yes","No"))</f>
        <v>No</v>
      </c>
      <c r="Q19" s="46" t="n">
        <f aca="false">IF($K19="",0,IF(COUNTIF('Gap Sheet'!$A$6:$A$11,TRIM($J19))=0,0,IF($O19="R1",INDEX('Gap Sheet'!$C$6:$C$11,MATCH(TRIM($J19),'Gap Sheet'!$A$6:$A$11,0)),INDEX('Gap Sheet'!$G$6:$G$11,MATCH(TRIM($J19),'Gap Sheet'!$A$6:$A$11,0)))))</f>
        <v>0</v>
      </c>
      <c r="R19" s="46" t="str">
        <f aca="false">IF($K19="","",$K19&amp;"|"&amp;$O19)</f>
        <v/>
      </c>
      <c r="S19" s="46" t="n">
        <f aca="false">IF($R19="",0,COUNTIF($AA$4:$AA18,$R19))</f>
        <v>0</v>
      </c>
      <c r="T19" s="46" t="str">
        <f aca="false">IF(OR($I19&lt;&gt;"Yes, I'm available for in-person interviews at Chennai",$E19&lt;&gt;"Yes",$P19&lt;&gt;"Yes"),"No",IF(($Q19-$S19)&gt;0,"Yes","No"))</f>
        <v>No</v>
      </c>
      <c r="U19" s="46" t="str">
        <f aca="false">IF($M19="","No",IF(COUNTIFS(MasterPanel!$B:$B,$H19,MasterPanel!$I:$I,$M19,MasterPanel!$K:$K,"Y")&gt;0,"Yes","No"))</f>
        <v>No</v>
      </c>
      <c r="V19" s="46" t="n">
        <f aca="false">IF($M19="",0,IF(COUNTIF('Gap Sheet'!$A$6:$A$11,TRIM($L19))=0,0,IF($O19="R1",INDEX('Gap Sheet'!$C$6:$C$11,MATCH(TRIM($L19),'Gap Sheet'!$A$6:$A$11,0)),INDEX('Gap Sheet'!$G$6:$G$11,MATCH(TRIM($L19),'Gap Sheet'!$A$6:$A$11,0)))))</f>
        <v>0</v>
      </c>
      <c r="W19" s="46" t="str">
        <f aca="false">IF($M19="","",$M19&amp;"|"&amp;$O19)</f>
        <v/>
      </c>
      <c r="X19" s="46" t="n">
        <f aca="false">IF($W19="",0,COUNTIF($AA$4:$AA18,$W19))</f>
        <v>0</v>
      </c>
      <c r="Y19" s="46" t="str">
        <f aca="false">IF(OR($I19&lt;&gt;"Yes, I'm available for in-person interviews at Chennai",$E19&lt;&gt;"Yes",$T19="Yes",$U19&lt;&gt;"Yes"),"No",IF(($V19-$X19)&gt;0,"Yes","No"))</f>
        <v>No</v>
      </c>
      <c r="Z19" s="46" t="str">
        <f aca="false">IF($T19="Yes","Primary",IF($Y19="Yes","Secondary",""))</f>
        <v/>
      </c>
      <c r="AA19" s="46" t="str">
        <f aca="false">IF($Z19="Primary",$R19,IF($Z19="Secondary",$W19,""))</f>
        <v/>
      </c>
      <c r="AB19" s="46" t="str">
        <f aca="false">IF($Z19="Primary","Matched on primary skill",IF($Z19="Secondary","Matched on secondary skill (primary not approved or not required)",""))</f>
        <v/>
      </c>
      <c r="AC19" s="47" t="str">
        <f aca="false">IF($D19="Panel Details",$F19,"")</f>
        <v/>
      </c>
      <c r="AD19" s="46" t="str">
        <f aca="false">IF($D19="Panel Details",'Survey Response'!$D17,"")</f>
        <v/>
      </c>
      <c r="AE19" s="46" t="str">
        <f aca="false">IF($D19="Panel Details",'Survey Response'!$E17,"")</f>
        <v/>
      </c>
      <c r="AF19" s="46" t="str">
        <f aca="false">IF($D19="Panel Details",'Survey Response'!$G17,"")</f>
        <v/>
      </c>
      <c r="AG19" s="46" t="str">
        <f aca="false">IF($D19="Panel Details",IF($Z19="Primary",$J19,$L19),"")</f>
        <v/>
      </c>
      <c r="AH19" s="46" t="str">
        <f aca="false">IF($D19="Panel Details",IF($Z19="Primary",$L19,$J19),"")</f>
        <v/>
      </c>
      <c r="AI19" s="46" t="str">
        <f aca="false">IF($D19="Panel Details",'Survey Response'!$H17,"")</f>
        <v/>
      </c>
      <c r="AJ19" s="46" t="str">
        <f aca="false">IF($D19="Panel Details",'Survey Response'!$M17,"")</f>
        <v/>
      </c>
      <c r="AK19" s="46" t="str">
        <f aca="false">IF($D19="Panel Details",$O19,"")</f>
        <v/>
      </c>
      <c r="AL19" s="46" t="str">
        <f aca="false">IF($D19="Panel Details",8,"")</f>
        <v/>
      </c>
      <c r="AM19" s="46" t="str">
        <f aca="false">IF($D19="Panel Details",$AB19,"")</f>
        <v/>
      </c>
      <c r="AN19" s="46" t="str">
        <f aca="false">IF($D19="Panel Details","Yes","")</f>
        <v/>
      </c>
      <c r="AO19" s="46"/>
      <c r="AP19" s="46" t="str">
        <f aca="false">IF($D19="Followup",'Survey Response'!$D17,"")</f>
        <v/>
      </c>
      <c r="AQ19" s="46" t="str">
        <f aca="false">IF($D19="Followup",'Survey Response'!$E17,"")</f>
        <v/>
      </c>
      <c r="AR19" s="46" t="str">
        <f aca="false">IF($D19="Followup",'Survey Response'!$G17,"")</f>
        <v/>
      </c>
      <c r="AS19" s="46" t="str">
        <f aca="false">IF($D19="Followup",'Survey Response'!$H17,"")</f>
        <v/>
      </c>
      <c r="AT19" s="46" t="str">
        <f aca="false">IF($D19="Followup",'Survey Response'!$M17,"")</f>
        <v/>
      </c>
      <c r="AU19" s="46" t="str">
        <f aca="false">IF($D19="Followup",'Survey Response'!$K17,"")</f>
        <v/>
      </c>
      <c r="AV19" s="46" t="str">
        <f aca="false">IF($D19="Followup",'Survey Response'!$L17,"")</f>
        <v/>
      </c>
      <c r="AW19" s="46" t="str">
        <f aca="false">IF($D19="Followup",IF(AND($P19&lt;&gt;"Yes",$U19&lt;&gt;"Yes"),"Not approved for primary or secondary skill","Approved, but skill(s) no longer have capacity (fully staffed)"),"")</f>
        <v/>
      </c>
    </row>
    <row r="20" customFormat="false" ht="15" hidden="false" customHeight="true" outlineLevel="0" collapsed="false">
      <c r="A20" s="46" t="str">
        <f aca="false">IF('Survey Response'!$D18="","",'Survey Response'!$A18&amp;"|"&amp;LOWER(TRIM('Survey Response'!$D18)))</f>
        <v/>
      </c>
      <c r="B20" s="46" t="str">
        <f aca="false">IF($H20="","",$F20&amp;"|"&amp;$H20)</f>
        <v/>
      </c>
      <c r="C20" s="46" t="str">
        <f aca="false">IF($H20="","",$A20=$B20)</f>
        <v/>
      </c>
      <c r="D20" s="46" t="str">
        <f aca="false">IF($H20="","",IF($E20&lt;&gt;"Yes","Superseded",IF($I20&lt;&gt;"Yes, I'm available for in-person interviews at Chennai","Not Available",IF($Z20&lt;&gt;"","Panel Details","Followup"))))</f>
        <v/>
      </c>
      <c r="E20" s="46" t="str">
        <f aca="false">IF($H20="","",IF(SUMPRODUCT(($H$4:$H$503=$H20)*(($G$4:$G$503&gt;$G20)+($G$4:$G$503=$G20)*($F$4:$F$503&gt;$F20)))=0,"Yes","No"))</f>
        <v/>
      </c>
      <c r="F20" s="47" t="str">
        <f aca="false">IF('Survey Response'!$D18="","",INT('Survey Response'!$A18))</f>
        <v/>
      </c>
      <c r="G20" s="48" t="str">
        <f aca="false">IF('Survey Response'!$D18="","",'Survey Response'!$C18)</f>
        <v/>
      </c>
      <c r="H20" s="46" t="str">
        <f aca="false">IF('Survey Response'!$D18="","",LOWER(TRIM('Survey Response'!$D18)))</f>
        <v/>
      </c>
      <c r="I20" s="46" t="str">
        <f aca="false">IF($H20="","",'Survey Response'!$I18)</f>
        <v/>
      </c>
      <c r="J20" s="46" t="str">
        <f aca="false">IF($H20="","",'Survey Response'!$K18)</f>
        <v/>
      </c>
      <c r="K20" s="46" t="str">
        <f aca="false">IF($J20="","",IF(COUNTIF('Skill Mapping'!$A$2:$A$7,TRIM($J20))=0,"",INDEX('Skill Mapping'!$B$2:$B$7,MATCH(TRIM($J20),'Skill Mapping'!$A$2:$A$7,0))))</f>
        <v/>
      </c>
      <c r="L20" s="46" t="str">
        <f aca="false">IF($H20="","",'Survey Response'!$L18)</f>
        <v/>
      </c>
      <c r="M20" s="46" t="str">
        <f aca="false">IF($L20="","",IF(COUNTIF('Skill Mapping'!$A$2:$A$7,TRIM($L20))=0,"",INDEX('Skill Mapping'!$B$2:$B$7,MATCH(TRIM($L20),'Skill Mapping'!$A$2:$A$7,0))))</f>
        <v/>
      </c>
      <c r="N20" s="46" t="str">
        <f aca="false">IF($H20="","",'Survey Response'!$M18)</f>
        <v/>
      </c>
      <c r="O20" s="46" t="str">
        <f aca="false">IF($H20="","",IF('Survey Response'!$M18="Manager","R2","R1"))</f>
        <v/>
      </c>
      <c r="P20" s="46" t="str">
        <f aca="false">IF($K20="","No",IF(COUNTIFS(MasterPanel!$B:$B,$H20,MasterPanel!$I:$I,$K20,MasterPanel!$K:$K,"Y")&gt;0,"Yes","No"))</f>
        <v>No</v>
      </c>
      <c r="Q20" s="46" t="n">
        <f aca="false">IF($K20="",0,IF(COUNTIF('Gap Sheet'!$A$6:$A$11,TRIM($J20))=0,0,IF($O20="R1",INDEX('Gap Sheet'!$C$6:$C$11,MATCH(TRIM($J20),'Gap Sheet'!$A$6:$A$11,0)),INDEX('Gap Sheet'!$G$6:$G$11,MATCH(TRIM($J20),'Gap Sheet'!$A$6:$A$11,0)))))</f>
        <v>0</v>
      </c>
      <c r="R20" s="46" t="str">
        <f aca="false">IF($K20="","",$K20&amp;"|"&amp;$O20)</f>
        <v/>
      </c>
      <c r="S20" s="46" t="n">
        <f aca="false">IF($R20="",0,COUNTIF($AA$4:$AA19,$R20))</f>
        <v>0</v>
      </c>
      <c r="T20" s="46" t="str">
        <f aca="false">IF(OR($I20&lt;&gt;"Yes, I'm available for in-person interviews at Chennai",$E20&lt;&gt;"Yes",$P20&lt;&gt;"Yes"),"No",IF(($Q20-$S20)&gt;0,"Yes","No"))</f>
        <v>No</v>
      </c>
      <c r="U20" s="46" t="str">
        <f aca="false">IF($M20="","No",IF(COUNTIFS(MasterPanel!$B:$B,$H20,MasterPanel!$I:$I,$M20,MasterPanel!$K:$K,"Y")&gt;0,"Yes","No"))</f>
        <v>No</v>
      </c>
      <c r="V20" s="46" t="n">
        <f aca="false">IF($M20="",0,IF(COUNTIF('Gap Sheet'!$A$6:$A$11,TRIM($L20))=0,0,IF($O20="R1",INDEX('Gap Sheet'!$C$6:$C$11,MATCH(TRIM($L20),'Gap Sheet'!$A$6:$A$11,0)),INDEX('Gap Sheet'!$G$6:$G$11,MATCH(TRIM($L20),'Gap Sheet'!$A$6:$A$11,0)))))</f>
        <v>0</v>
      </c>
      <c r="W20" s="46" t="str">
        <f aca="false">IF($M20="","",$M20&amp;"|"&amp;$O20)</f>
        <v/>
      </c>
      <c r="X20" s="46" t="n">
        <f aca="false">IF($W20="",0,COUNTIF($AA$4:$AA19,$W20))</f>
        <v>0</v>
      </c>
      <c r="Y20" s="46" t="str">
        <f aca="false">IF(OR($I20&lt;&gt;"Yes, I'm available for in-person interviews at Chennai",$E20&lt;&gt;"Yes",$T20="Yes",$U20&lt;&gt;"Yes"),"No",IF(($V20-$X20)&gt;0,"Yes","No"))</f>
        <v>No</v>
      </c>
      <c r="Z20" s="46" t="str">
        <f aca="false">IF($T20="Yes","Primary",IF($Y20="Yes","Secondary",""))</f>
        <v/>
      </c>
      <c r="AA20" s="46" t="str">
        <f aca="false">IF($Z20="Primary",$R20,IF($Z20="Secondary",$W20,""))</f>
        <v/>
      </c>
      <c r="AB20" s="46" t="str">
        <f aca="false">IF($Z20="Primary","Matched on primary skill",IF($Z20="Secondary","Matched on secondary skill (primary not approved or not required)",""))</f>
        <v/>
      </c>
      <c r="AC20" s="47" t="str">
        <f aca="false">IF($D20="Panel Details",$F20,"")</f>
        <v/>
      </c>
      <c r="AD20" s="46" t="str">
        <f aca="false">IF($D20="Panel Details",'Survey Response'!$D18,"")</f>
        <v/>
      </c>
      <c r="AE20" s="46" t="str">
        <f aca="false">IF($D20="Panel Details",'Survey Response'!$E18,"")</f>
        <v/>
      </c>
      <c r="AF20" s="46" t="str">
        <f aca="false">IF($D20="Panel Details",'Survey Response'!$G18,"")</f>
        <v/>
      </c>
      <c r="AG20" s="46" t="str">
        <f aca="false">IF($D20="Panel Details",IF($Z20="Primary",$J20,$L20),"")</f>
        <v/>
      </c>
      <c r="AH20" s="46" t="str">
        <f aca="false">IF($D20="Panel Details",IF($Z20="Primary",$L20,$J20),"")</f>
        <v/>
      </c>
      <c r="AI20" s="46" t="str">
        <f aca="false">IF($D20="Panel Details",'Survey Response'!$H18,"")</f>
        <v/>
      </c>
      <c r="AJ20" s="46" t="str">
        <f aca="false">IF($D20="Panel Details",'Survey Response'!$M18,"")</f>
        <v/>
      </c>
      <c r="AK20" s="46" t="str">
        <f aca="false">IF($D20="Panel Details",$O20,"")</f>
        <v/>
      </c>
      <c r="AL20" s="46" t="str">
        <f aca="false">IF($D20="Panel Details",8,"")</f>
        <v/>
      </c>
      <c r="AM20" s="46" t="str">
        <f aca="false">IF($D20="Panel Details",$AB20,"")</f>
        <v/>
      </c>
      <c r="AN20" s="46" t="str">
        <f aca="false">IF($D20="Panel Details","Yes","")</f>
        <v/>
      </c>
      <c r="AO20" s="46"/>
      <c r="AP20" s="46" t="str">
        <f aca="false">IF($D20="Followup",'Survey Response'!$D18,"")</f>
        <v/>
      </c>
      <c r="AQ20" s="46" t="str">
        <f aca="false">IF($D20="Followup",'Survey Response'!$E18,"")</f>
        <v/>
      </c>
      <c r="AR20" s="46" t="str">
        <f aca="false">IF($D20="Followup",'Survey Response'!$G18,"")</f>
        <v/>
      </c>
      <c r="AS20" s="46" t="str">
        <f aca="false">IF($D20="Followup",'Survey Response'!$H18,"")</f>
        <v/>
      </c>
      <c r="AT20" s="46" t="str">
        <f aca="false">IF($D20="Followup",'Survey Response'!$M18,"")</f>
        <v/>
      </c>
      <c r="AU20" s="46" t="str">
        <f aca="false">IF($D20="Followup",'Survey Response'!$K18,"")</f>
        <v/>
      </c>
      <c r="AV20" s="46" t="str">
        <f aca="false">IF($D20="Followup",'Survey Response'!$L18,"")</f>
        <v/>
      </c>
      <c r="AW20" s="46" t="str">
        <f aca="false">IF($D20="Followup",IF(AND($P20&lt;&gt;"Yes",$U20&lt;&gt;"Yes"),"Not approved for primary or secondary skill","Approved, but skill(s) no longer have capacity (fully staffed)"),"")</f>
        <v/>
      </c>
    </row>
    <row r="21" customFormat="false" ht="15" hidden="false" customHeight="true" outlineLevel="0" collapsed="false">
      <c r="A21" s="46" t="str">
        <f aca="false">IF('Survey Response'!$D19="","",'Survey Response'!$A19&amp;"|"&amp;LOWER(TRIM('Survey Response'!$D19)))</f>
        <v/>
      </c>
      <c r="B21" s="46" t="str">
        <f aca="false">IF($H21="","",$F21&amp;"|"&amp;$H21)</f>
        <v/>
      </c>
      <c r="C21" s="46" t="str">
        <f aca="false">IF($H21="","",$A21=$B21)</f>
        <v/>
      </c>
      <c r="D21" s="46" t="str">
        <f aca="false">IF($H21="","",IF($E21&lt;&gt;"Yes","Superseded",IF($I21&lt;&gt;"Yes, I'm available for in-person interviews at Chennai","Not Available",IF($Z21&lt;&gt;"","Panel Details","Followup"))))</f>
        <v/>
      </c>
      <c r="E21" s="46" t="str">
        <f aca="false">IF($H21="","",IF(SUMPRODUCT(($H$4:$H$503=$H21)*(($G$4:$G$503&gt;$G21)+($G$4:$G$503=$G21)*($F$4:$F$503&gt;$F21)))=0,"Yes","No"))</f>
        <v/>
      </c>
      <c r="F21" s="47" t="str">
        <f aca="false">IF('Survey Response'!$D19="","",INT('Survey Response'!$A19))</f>
        <v/>
      </c>
      <c r="G21" s="48" t="str">
        <f aca="false">IF('Survey Response'!$D19="","",'Survey Response'!$C19)</f>
        <v/>
      </c>
      <c r="H21" s="46" t="str">
        <f aca="false">IF('Survey Response'!$D19="","",LOWER(TRIM('Survey Response'!$D19)))</f>
        <v/>
      </c>
      <c r="I21" s="46" t="str">
        <f aca="false">IF($H21="","",'Survey Response'!$I19)</f>
        <v/>
      </c>
      <c r="J21" s="46" t="str">
        <f aca="false">IF($H21="","",'Survey Response'!$K19)</f>
        <v/>
      </c>
      <c r="K21" s="46" t="str">
        <f aca="false">IF($J21="","",IF(COUNTIF('Skill Mapping'!$A$2:$A$7,TRIM($J21))=0,"",INDEX('Skill Mapping'!$B$2:$B$7,MATCH(TRIM($J21),'Skill Mapping'!$A$2:$A$7,0))))</f>
        <v/>
      </c>
      <c r="L21" s="46" t="str">
        <f aca="false">IF($H21="","",'Survey Response'!$L19)</f>
        <v/>
      </c>
      <c r="M21" s="46" t="str">
        <f aca="false">IF($L21="","",IF(COUNTIF('Skill Mapping'!$A$2:$A$7,TRIM($L21))=0,"",INDEX('Skill Mapping'!$B$2:$B$7,MATCH(TRIM($L21),'Skill Mapping'!$A$2:$A$7,0))))</f>
        <v/>
      </c>
      <c r="N21" s="46" t="str">
        <f aca="false">IF($H21="","",'Survey Response'!$M19)</f>
        <v/>
      </c>
      <c r="O21" s="46" t="str">
        <f aca="false">IF($H21="","",IF('Survey Response'!$M19="Manager","R2","R1"))</f>
        <v/>
      </c>
      <c r="P21" s="46" t="str">
        <f aca="false">IF($K21="","No",IF(COUNTIFS(MasterPanel!$B:$B,$H21,MasterPanel!$I:$I,$K21,MasterPanel!$K:$K,"Y")&gt;0,"Yes","No"))</f>
        <v>No</v>
      </c>
      <c r="Q21" s="46" t="n">
        <f aca="false">IF($K21="",0,IF(COUNTIF('Gap Sheet'!$A$6:$A$11,TRIM($J21))=0,0,IF($O21="R1",INDEX('Gap Sheet'!$C$6:$C$11,MATCH(TRIM($J21),'Gap Sheet'!$A$6:$A$11,0)),INDEX('Gap Sheet'!$G$6:$G$11,MATCH(TRIM($J21),'Gap Sheet'!$A$6:$A$11,0)))))</f>
        <v>0</v>
      </c>
      <c r="R21" s="46" t="str">
        <f aca="false">IF($K21="","",$K21&amp;"|"&amp;$O21)</f>
        <v/>
      </c>
      <c r="S21" s="46" t="n">
        <f aca="false">IF($R21="",0,COUNTIF($AA$4:$AA20,$R21))</f>
        <v>0</v>
      </c>
      <c r="T21" s="46" t="str">
        <f aca="false">IF(OR($I21&lt;&gt;"Yes, I'm available for in-person interviews at Chennai",$E21&lt;&gt;"Yes",$P21&lt;&gt;"Yes"),"No",IF(($Q21-$S21)&gt;0,"Yes","No"))</f>
        <v>No</v>
      </c>
      <c r="U21" s="46" t="str">
        <f aca="false">IF($M21="","No",IF(COUNTIFS(MasterPanel!$B:$B,$H21,MasterPanel!$I:$I,$M21,MasterPanel!$K:$K,"Y")&gt;0,"Yes","No"))</f>
        <v>No</v>
      </c>
      <c r="V21" s="46" t="n">
        <f aca="false">IF($M21="",0,IF(COUNTIF('Gap Sheet'!$A$6:$A$11,TRIM($L21))=0,0,IF($O21="R1",INDEX('Gap Sheet'!$C$6:$C$11,MATCH(TRIM($L21),'Gap Sheet'!$A$6:$A$11,0)),INDEX('Gap Sheet'!$G$6:$G$11,MATCH(TRIM($L21),'Gap Sheet'!$A$6:$A$11,0)))))</f>
        <v>0</v>
      </c>
      <c r="W21" s="46" t="str">
        <f aca="false">IF($M21="","",$M21&amp;"|"&amp;$O21)</f>
        <v/>
      </c>
      <c r="X21" s="46" t="n">
        <f aca="false">IF($W21="",0,COUNTIF($AA$4:$AA20,$W21))</f>
        <v>0</v>
      </c>
      <c r="Y21" s="46" t="str">
        <f aca="false">IF(OR($I21&lt;&gt;"Yes, I'm available for in-person interviews at Chennai",$E21&lt;&gt;"Yes",$T21="Yes",$U21&lt;&gt;"Yes"),"No",IF(($V21-$X21)&gt;0,"Yes","No"))</f>
        <v>No</v>
      </c>
      <c r="Z21" s="46" t="str">
        <f aca="false">IF($T21="Yes","Primary",IF($Y21="Yes","Secondary",""))</f>
        <v/>
      </c>
      <c r="AA21" s="46" t="str">
        <f aca="false">IF($Z21="Primary",$R21,IF($Z21="Secondary",$W21,""))</f>
        <v/>
      </c>
      <c r="AB21" s="46" t="str">
        <f aca="false">IF($Z21="Primary","Matched on primary skill",IF($Z21="Secondary","Matched on secondary skill (primary not approved or not required)",""))</f>
        <v/>
      </c>
      <c r="AC21" s="47" t="str">
        <f aca="false">IF($D21="Panel Details",$F21,"")</f>
        <v/>
      </c>
      <c r="AD21" s="46" t="str">
        <f aca="false">IF($D21="Panel Details",'Survey Response'!$D19,"")</f>
        <v/>
      </c>
      <c r="AE21" s="46" t="str">
        <f aca="false">IF($D21="Panel Details",'Survey Response'!$E19,"")</f>
        <v/>
      </c>
      <c r="AF21" s="46" t="str">
        <f aca="false">IF($D21="Panel Details",'Survey Response'!$G19,"")</f>
        <v/>
      </c>
      <c r="AG21" s="46" t="str">
        <f aca="false">IF($D21="Panel Details",IF($Z21="Primary",$J21,$L21),"")</f>
        <v/>
      </c>
      <c r="AH21" s="46" t="str">
        <f aca="false">IF($D21="Panel Details",IF($Z21="Primary",$L21,$J21),"")</f>
        <v/>
      </c>
      <c r="AI21" s="46" t="str">
        <f aca="false">IF($D21="Panel Details",'Survey Response'!$H19,"")</f>
        <v/>
      </c>
      <c r="AJ21" s="46" t="str">
        <f aca="false">IF($D21="Panel Details",'Survey Response'!$M19,"")</f>
        <v/>
      </c>
      <c r="AK21" s="46" t="str">
        <f aca="false">IF($D21="Panel Details",$O21,"")</f>
        <v/>
      </c>
      <c r="AL21" s="46" t="str">
        <f aca="false">IF($D21="Panel Details",8,"")</f>
        <v/>
      </c>
      <c r="AM21" s="46" t="str">
        <f aca="false">IF($D21="Panel Details",$AB21,"")</f>
        <v/>
      </c>
      <c r="AN21" s="46" t="str">
        <f aca="false">IF($D21="Panel Details","Yes","")</f>
        <v/>
      </c>
      <c r="AO21" s="46"/>
      <c r="AP21" s="46" t="str">
        <f aca="false">IF($D21="Followup",'Survey Response'!$D19,"")</f>
        <v/>
      </c>
      <c r="AQ21" s="46" t="str">
        <f aca="false">IF($D21="Followup",'Survey Response'!$E19,"")</f>
        <v/>
      </c>
      <c r="AR21" s="46" t="str">
        <f aca="false">IF($D21="Followup",'Survey Response'!$G19,"")</f>
        <v/>
      </c>
      <c r="AS21" s="46" t="str">
        <f aca="false">IF($D21="Followup",'Survey Response'!$H19,"")</f>
        <v/>
      </c>
      <c r="AT21" s="46" t="str">
        <f aca="false">IF($D21="Followup",'Survey Response'!$M19,"")</f>
        <v/>
      </c>
      <c r="AU21" s="46" t="str">
        <f aca="false">IF($D21="Followup",'Survey Response'!$K19,"")</f>
        <v/>
      </c>
      <c r="AV21" s="46" t="str">
        <f aca="false">IF($D21="Followup",'Survey Response'!$L19,"")</f>
        <v/>
      </c>
      <c r="AW21" s="46" t="str">
        <f aca="false">IF($D21="Followup",IF(AND($P21&lt;&gt;"Yes",$U21&lt;&gt;"Yes"),"Not approved for primary or secondary skill","Approved, but skill(s) no longer have capacity (fully staffed)"),"")</f>
        <v/>
      </c>
    </row>
    <row r="22" customFormat="false" ht="15" hidden="false" customHeight="true" outlineLevel="0" collapsed="false">
      <c r="A22" s="46" t="str">
        <f aca="false">IF('Survey Response'!$D20="","",'Survey Response'!$A20&amp;"|"&amp;LOWER(TRIM('Survey Response'!$D20)))</f>
        <v/>
      </c>
      <c r="B22" s="46" t="str">
        <f aca="false">IF($H22="","",$F22&amp;"|"&amp;$H22)</f>
        <v/>
      </c>
      <c r="C22" s="46" t="str">
        <f aca="false">IF($H22="","",$A22=$B22)</f>
        <v/>
      </c>
      <c r="D22" s="46" t="str">
        <f aca="false">IF($H22="","",IF($E22&lt;&gt;"Yes","Superseded",IF($I22&lt;&gt;"Yes, I'm available for in-person interviews at Chennai","Not Available",IF($Z22&lt;&gt;"","Panel Details","Followup"))))</f>
        <v/>
      </c>
      <c r="E22" s="46" t="str">
        <f aca="false">IF($H22="","",IF(SUMPRODUCT(($H$4:$H$503=$H22)*(($G$4:$G$503&gt;$G22)+($G$4:$G$503=$G22)*($F$4:$F$503&gt;$F22)))=0,"Yes","No"))</f>
        <v/>
      </c>
      <c r="F22" s="47" t="str">
        <f aca="false">IF('Survey Response'!$D20="","",INT('Survey Response'!$A20))</f>
        <v/>
      </c>
      <c r="G22" s="48" t="str">
        <f aca="false">IF('Survey Response'!$D20="","",'Survey Response'!$C20)</f>
        <v/>
      </c>
      <c r="H22" s="46" t="str">
        <f aca="false">IF('Survey Response'!$D20="","",LOWER(TRIM('Survey Response'!$D20)))</f>
        <v/>
      </c>
      <c r="I22" s="46" t="str">
        <f aca="false">IF($H22="","",'Survey Response'!$I20)</f>
        <v/>
      </c>
      <c r="J22" s="46" t="str">
        <f aca="false">IF($H22="","",'Survey Response'!$K20)</f>
        <v/>
      </c>
      <c r="K22" s="46" t="str">
        <f aca="false">IF($J22="","",IF(COUNTIF('Skill Mapping'!$A$2:$A$7,TRIM($J22))=0,"",INDEX('Skill Mapping'!$B$2:$B$7,MATCH(TRIM($J22),'Skill Mapping'!$A$2:$A$7,0))))</f>
        <v/>
      </c>
      <c r="L22" s="46" t="str">
        <f aca="false">IF($H22="","",'Survey Response'!$L20)</f>
        <v/>
      </c>
      <c r="M22" s="46" t="str">
        <f aca="false">IF($L22="","",IF(COUNTIF('Skill Mapping'!$A$2:$A$7,TRIM($L22))=0,"",INDEX('Skill Mapping'!$B$2:$B$7,MATCH(TRIM($L22),'Skill Mapping'!$A$2:$A$7,0))))</f>
        <v/>
      </c>
      <c r="N22" s="46" t="str">
        <f aca="false">IF($H22="","",'Survey Response'!$M20)</f>
        <v/>
      </c>
      <c r="O22" s="46" t="str">
        <f aca="false">IF($H22="","",IF('Survey Response'!$M20="Manager","R2","R1"))</f>
        <v/>
      </c>
      <c r="P22" s="46" t="str">
        <f aca="false">IF($K22="","No",IF(COUNTIFS(MasterPanel!$B:$B,$H22,MasterPanel!$I:$I,$K22,MasterPanel!$K:$K,"Y")&gt;0,"Yes","No"))</f>
        <v>No</v>
      </c>
      <c r="Q22" s="46" t="n">
        <f aca="false">IF($K22="",0,IF(COUNTIF('Gap Sheet'!$A$6:$A$11,TRIM($J22))=0,0,IF($O22="R1",INDEX('Gap Sheet'!$C$6:$C$11,MATCH(TRIM($J22),'Gap Sheet'!$A$6:$A$11,0)),INDEX('Gap Sheet'!$G$6:$G$11,MATCH(TRIM($J22),'Gap Sheet'!$A$6:$A$11,0)))))</f>
        <v>0</v>
      </c>
      <c r="R22" s="46" t="str">
        <f aca="false">IF($K22="","",$K22&amp;"|"&amp;$O22)</f>
        <v/>
      </c>
      <c r="S22" s="46" t="n">
        <f aca="false">IF($R22="",0,COUNTIF($AA$4:$AA21,$R22))</f>
        <v>0</v>
      </c>
      <c r="T22" s="46" t="str">
        <f aca="false">IF(OR($I22&lt;&gt;"Yes, I'm available for in-person interviews at Chennai",$E22&lt;&gt;"Yes",$P22&lt;&gt;"Yes"),"No",IF(($Q22-$S22)&gt;0,"Yes","No"))</f>
        <v>No</v>
      </c>
      <c r="U22" s="46" t="str">
        <f aca="false">IF($M22="","No",IF(COUNTIFS(MasterPanel!$B:$B,$H22,MasterPanel!$I:$I,$M22,MasterPanel!$K:$K,"Y")&gt;0,"Yes","No"))</f>
        <v>No</v>
      </c>
      <c r="V22" s="46" t="n">
        <f aca="false">IF($M22="",0,IF(COUNTIF('Gap Sheet'!$A$6:$A$11,TRIM($L22))=0,0,IF($O22="R1",INDEX('Gap Sheet'!$C$6:$C$11,MATCH(TRIM($L22),'Gap Sheet'!$A$6:$A$11,0)),INDEX('Gap Sheet'!$G$6:$G$11,MATCH(TRIM($L22),'Gap Sheet'!$A$6:$A$11,0)))))</f>
        <v>0</v>
      </c>
      <c r="W22" s="46" t="str">
        <f aca="false">IF($M22="","",$M22&amp;"|"&amp;$O22)</f>
        <v/>
      </c>
      <c r="X22" s="46" t="n">
        <f aca="false">IF($W22="",0,COUNTIF($AA$4:$AA21,$W22))</f>
        <v>0</v>
      </c>
      <c r="Y22" s="46" t="str">
        <f aca="false">IF(OR($I22&lt;&gt;"Yes, I'm available for in-person interviews at Chennai",$E22&lt;&gt;"Yes",$T22="Yes",$U22&lt;&gt;"Yes"),"No",IF(($V22-$X22)&gt;0,"Yes","No"))</f>
        <v>No</v>
      </c>
      <c r="Z22" s="46" t="str">
        <f aca="false">IF($T22="Yes","Primary",IF($Y22="Yes","Secondary",""))</f>
        <v/>
      </c>
      <c r="AA22" s="46" t="str">
        <f aca="false">IF($Z22="Primary",$R22,IF($Z22="Secondary",$W22,""))</f>
        <v/>
      </c>
      <c r="AB22" s="46" t="str">
        <f aca="false">IF($Z22="Primary","Matched on primary skill",IF($Z22="Secondary","Matched on secondary skill (primary not approved or not required)",""))</f>
        <v/>
      </c>
      <c r="AC22" s="47" t="str">
        <f aca="false">IF($D22="Panel Details",$F22,"")</f>
        <v/>
      </c>
      <c r="AD22" s="46" t="str">
        <f aca="false">IF($D22="Panel Details",'Survey Response'!$D20,"")</f>
        <v/>
      </c>
      <c r="AE22" s="46" t="str">
        <f aca="false">IF($D22="Panel Details",'Survey Response'!$E20,"")</f>
        <v/>
      </c>
      <c r="AF22" s="46" t="str">
        <f aca="false">IF($D22="Panel Details",'Survey Response'!$G20,"")</f>
        <v/>
      </c>
      <c r="AG22" s="46" t="str">
        <f aca="false">IF($D22="Panel Details",IF($Z22="Primary",$J22,$L22),"")</f>
        <v/>
      </c>
      <c r="AH22" s="46" t="str">
        <f aca="false">IF($D22="Panel Details",IF($Z22="Primary",$L22,$J22),"")</f>
        <v/>
      </c>
      <c r="AI22" s="46" t="str">
        <f aca="false">IF($D22="Panel Details",'Survey Response'!$H20,"")</f>
        <v/>
      </c>
      <c r="AJ22" s="46" t="str">
        <f aca="false">IF($D22="Panel Details",'Survey Response'!$M20,"")</f>
        <v/>
      </c>
      <c r="AK22" s="46" t="str">
        <f aca="false">IF($D22="Panel Details",$O22,"")</f>
        <v/>
      </c>
      <c r="AL22" s="46" t="str">
        <f aca="false">IF($D22="Panel Details",8,"")</f>
        <v/>
      </c>
      <c r="AM22" s="46" t="str">
        <f aca="false">IF($D22="Panel Details",$AB22,"")</f>
        <v/>
      </c>
      <c r="AN22" s="46" t="str">
        <f aca="false">IF($D22="Panel Details","Yes","")</f>
        <v/>
      </c>
      <c r="AO22" s="46"/>
      <c r="AP22" s="46" t="str">
        <f aca="false">IF($D22="Followup",'Survey Response'!$D20,"")</f>
        <v/>
      </c>
      <c r="AQ22" s="46" t="str">
        <f aca="false">IF($D22="Followup",'Survey Response'!$E20,"")</f>
        <v/>
      </c>
      <c r="AR22" s="46" t="str">
        <f aca="false">IF($D22="Followup",'Survey Response'!$G20,"")</f>
        <v/>
      </c>
      <c r="AS22" s="46" t="str">
        <f aca="false">IF($D22="Followup",'Survey Response'!$H20,"")</f>
        <v/>
      </c>
      <c r="AT22" s="46" t="str">
        <f aca="false">IF($D22="Followup",'Survey Response'!$M20,"")</f>
        <v/>
      </c>
      <c r="AU22" s="46" t="str">
        <f aca="false">IF($D22="Followup",'Survey Response'!$K20,"")</f>
        <v/>
      </c>
      <c r="AV22" s="46" t="str">
        <f aca="false">IF($D22="Followup",'Survey Response'!$L20,"")</f>
        <v/>
      </c>
      <c r="AW22" s="46" t="str">
        <f aca="false">IF($D22="Followup",IF(AND($P22&lt;&gt;"Yes",$U22&lt;&gt;"Yes"),"Not approved for primary or secondary skill","Approved, but skill(s) no longer have capacity (fully staffed)"),"")</f>
        <v/>
      </c>
    </row>
    <row r="23" customFormat="false" ht="15" hidden="false" customHeight="true" outlineLevel="0" collapsed="false">
      <c r="A23" s="46" t="str">
        <f aca="false">IF('Survey Response'!$D21="","",'Survey Response'!$A21&amp;"|"&amp;LOWER(TRIM('Survey Response'!$D21)))</f>
        <v/>
      </c>
      <c r="B23" s="46" t="str">
        <f aca="false">IF($H23="","",$F23&amp;"|"&amp;$H23)</f>
        <v/>
      </c>
      <c r="C23" s="46" t="str">
        <f aca="false">IF($H23="","",$A23=$B23)</f>
        <v/>
      </c>
      <c r="D23" s="46" t="str">
        <f aca="false">IF($H23="","",IF($E23&lt;&gt;"Yes","Superseded",IF($I23&lt;&gt;"Yes, I'm available for in-person interviews at Chennai","Not Available",IF($Z23&lt;&gt;"","Panel Details","Followup"))))</f>
        <v/>
      </c>
      <c r="E23" s="46" t="str">
        <f aca="false">IF($H23="","",IF(SUMPRODUCT(($H$4:$H$503=$H23)*(($G$4:$G$503&gt;$G23)+($G$4:$G$503=$G23)*($F$4:$F$503&gt;$F23)))=0,"Yes","No"))</f>
        <v/>
      </c>
      <c r="F23" s="47" t="str">
        <f aca="false">IF('Survey Response'!$D21="","",INT('Survey Response'!$A21))</f>
        <v/>
      </c>
      <c r="G23" s="48" t="str">
        <f aca="false">IF('Survey Response'!$D21="","",'Survey Response'!$C21)</f>
        <v/>
      </c>
      <c r="H23" s="46" t="str">
        <f aca="false">IF('Survey Response'!$D21="","",LOWER(TRIM('Survey Response'!$D21)))</f>
        <v/>
      </c>
      <c r="I23" s="46" t="str">
        <f aca="false">IF($H23="","",'Survey Response'!$I21)</f>
        <v/>
      </c>
      <c r="J23" s="46" t="str">
        <f aca="false">IF($H23="","",'Survey Response'!$K21)</f>
        <v/>
      </c>
      <c r="K23" s="46" t="str">
        <f aca="false">IF($J23="","",IF(COUNTIF('Skill Mapping'!$A$2:$A$7,TRIM($J23))=0,"",INDEX('Skill Mapping'!$B$2:$B$7,MATCH(TRIM($J23),'Skill Mapping'!$A$2:$A$7,0))))</f>
        <v/>
      </c>
      <c r="L23" s="46" t="str">
        <f aca="false">IF($H23="","",'Survey Response'!$L21)</f>
        <v/>
      </c>
      <c r="M23" s="46" t="str">
        <f aca="false">IF($L23="","",IF(COUNTIF('Skill Mapping'!$A$2:$A$7,TRIM($L23))=0,"",INDEX('Skill Mapping'!$B$2:$B$7,MATCH(TRIM($L23),'Skill Mapping'!$A$2:$A$7,0))))</f>
        <v/>
      </c>
      <c r="N23" s="46" t="str">
        <f aca="false">IF($H23="","",'Survey Response'!$M21)</f>
        <v/>
      </c>
      <c r="O23" s="46" t="str">
        <f aca="false">IF($H23="","",IF('Survey Response'!$M21="Manager","R2","R1"))</f>
        <v/>
      </c>
      <c r="P23" s="46" t="str">
        <f aca="false">IF($K23="","No",IF(COUNTIFS(MasterPanel!$B:$B,$H23,MasterPanel!$I:$I,$K23,MasterPanel!$K:$K,"Y")&gt;0,"Yes","No"))</f>
        <v>No</v>
      </c>
      <c r="Q23" s="46" t="n">
        <f aca="false">IF($K23="",0,IF(COUNTIF('Gap Sheet'!$A$6:$A$11,TRIM($J23))=0,0,IF($O23="R1",INDEX('Gap Sheet'!$C$6:$C$11,MATCH(TRIM($J23),'Gap Sheet'!$A$6:$A$11,0)),INDEX('Gap Sheet'!$G$6:$G$11,MATCH(TRIM($J23),'Gap Sheet'!$A$6:$A$11,0)))))</f>
        <v>0</v>
      </c>
      <c r="R23" s="46" t="str">
        <f aca="false">IF($K23="","",$K23&amp;"|"&amp;$O23)</f>
        <v/>
      </c>
      <c r="S23" s="46" t="n">
        <f aca="false">IF($R23="",0,COUNTIF($AA$4:$AA22,$R23))</f>
        <v>0</v>
      </c>
      <c r="T23" s="46" t="str">
        <f aca="false">IF(OR($I23&lt;&gt;"Yes, I'm available for in-person interviews at Chennai",$E23&lt;&gt;"Yes",$P23&lt;&gt;"Yes"),"No",IF(($Q23-$S23)&gt;0,"Yes","No"))</f>
        <v>No</v>
      </c>
      <c r="U23" s="46" t="str">
        <f aca="false">IF($M23="","No",IF(COUNTIFS(MasterPanel!$B:$B,$H23,MasterPanel!$I:$I,$M23,MasterPanel!$K:$K,"Y")&gt;0,"Yes","No"))</f>
        <v>No</v>
      </c>
      <c r="V23" s="46" t="n">
        <f aca="false">IF($M23="",0,IF(COUNTIF('Gap Sheet'!$A$6:$A$11,TRIM($L23))=0,0,IF($O23="R1",INDEX('Gap Sheet'!$C$6:$C$11,MATCH(TRIM($L23),'Gap Sheet'!$A$6:$A$11,0)),INDEX('Gap Sheet'!$G$6:$G$11,MATCH(TRIM($L23),'Gap Sheet'!$A$6:$A$11,0)))))</f>
        <v>0</v>
      </c>
      <c r="W23" s="46" t="str">
        <f aca="false">IF($M23="","",$M23&amp;"|"&amp;$O23)</f>
        <v/>
      </c>
      <c r="X23" s="46" t="n">
        <f aca="false">IF($W23="",0,COUNTIF($AA$4:$AA22,$W23))</f>
        <v>0</v>
      </c>
      <c r="Y23" s="46" t="str">
        <f aca="false">IF(OR($I23&lt;&gt;"Yes, I'm available for in-person interviews at Chennai",$E23&lt;&gt;"Yes",$T23="Yes",$U23&lt;&gt;"Yes"),"No",IF(($V23-$X23)&gt;0,"Yes","No"))</f>
        <v>No</v>
      </c>
      <c r="Z23" s="46" t="str">
        <f aca="false">IF($T23="Yes","Primary",IF($Y23="Yes","Secondary",""))</f>
        <v/>
      </c>
      <c r="AA23" s="46" t="str">
        <f aca="false">IF($Z23="Primary",$R23,IF($Z23="Secondary",$W23,""))</f>
        <v/>
      </c>
      <c r="AB23" s="46" t="str">
        <f aca="false">IF($Z23="Primary","Matched on primary skill",IF($Z23="Secondary","Matched on secondary skill (primary not approved or not required)",""))</f>
        <v/>
      </c>
      <c r="AC23" s="47" t="str">
        <f aca="false">IF($D23="Panel Details",$F23,"")</f>
        <v/>
      </c>
      <c r="AD23" s="46" t="str">
        <f aca="false">IF($D23="Panel Details",'Survey Response'!$D21,"")</f>
        <v/>
      </c>
      <c r="AE23" s="46" t="str">
        <f aca="false">IF($D23="Panel Details",'Survey Response'!$E21,"")</f>
        <v/>
      </c>
      <c r="AF23" s="46" t="str">
        <f aca="false">IF($D23="Panel Details",'Survey Response'!$G21,"")</f>
        <v/>
      </c>
      <c r="AG23" s="46" t="str">
        <f aca="false">IF($D23="Panel Details",IF($Z23="Primary",$J23,$L23),"")</f>
        <v/>
      </c>
      <c r="AH23" s="46" t="str">
        <f aca="false">IF($D23="Panel Details",IF($Z23="Primary",$L23,$J23),"")</f>
        <v/>
      </c>
      <c r="AI23" s="46" t="str">
        <f aca="false">IF($D23="Panel Details",'Survey Response'!$H21,"")</f>
        <v/>
      </c>
      <c r="AJ23" s="46" t="str">
        <f aca="false">IF($D23="Panel Details",'Survey Response'!$M21,"")</f>
        <v/>
      </c>
      <c r="AK23" s="46" t="str">
        <f aca="false">IF($D23="Panel Details",$O23,"")</f>
        <v/>
      </c>
      <c r="AL23" s="46" t="str">
        <f aca="false">IF($D23="Panel Details",8,"")</f>
        <v/>
      </c>
      <c r="AM23" s="46" t="str">
        <f aca="false">IF($D23="Panel Details",$AB23,"")</f>
        <v/>
      </c>
      <c r="AN23" s="46" t="str">
        <f aca="false">IF($D23="Panel Details","Yes","")</f>
        <v/>
      </c>
      <c r="AO23" s="46"/>
      <c r="AP23" s="46" t="str">
        <f aca="false">IF($D23="Followup",'Survey Response'!$D21,"")</f>
        <v/>
      </c>
      <c r="AQ23" s="46" t="str">
        <f aca="false">IF($D23="Followup",'Survey Response'!$E21,"")</f>
        <v/>
      </c>
      <c r="AR23" s="46" t="str">
        <f aca="false">IF($D23="Followup",'Survey Response'!$G21,"")</f>
        <v/>
      </c>
      <c r="AS23" s="46" t="str">
        <f aca="false">IF($D23="Followup",'Survey Response'!$H21,"")</f>
        <v/>
      </c>
      <c r="AT23" s="46" t="str">
        <f aca="false">IF($D23="Followup",'Survey Response'!$M21,"")</f>
        <v/>
      </c>
      <c r="AU23" s="46" t="str">
        <f aca="false">IF($D23="Followup",'Survey Response'!$K21,"")</f>
        <v/>
      </c>
      <c r="AV23" s="46" t="str">
        <f aca="false">IF($D23="Followup",'Survey Response'!$L21,"")</f>
        <v/>
      </c>
      <c r="AW23" s="46" t="str">
        <f aca="false">IF($D23="Followup",IF(AND($P23&lt;&gt;"Yes",$U23&lt;&gt;"Yes"),"Not approved for primary or secondary skill","Approved, but skill(s) no longer have capacity (fully staffed)"),"")</f>
        <v/>
      </c>
    </row>
    <row r="24" customFormat="false" ht="15" hidden="false" customHeight="true" outlineLevel="0" collapsed="false">
      <c r="A24" s="46" t="str">
        <f aca="false">IF('Survey Response'!$D22="","",'Survey Response'!$A22&amp;"|"&amp;LOWER(TRIM('Survey Response'!$D22)))</f>
        <v/>
      </c>
      <c r="B24" s="46" t="str">
        <f aca="false">IF($H24="","",$F24&amp;"|"&amp;$H24)</f>
        <v/>
      </c>
      <c r="C24" s="46" t="str">
        <f aca="false">IF($H24="","",$A24=$B24)</f>
        <v/>
      </c>
      <c r="D24" s="46" t="str">
        <f aca="false">IF($H24="","",IF($E24&lt;&gt;"Yes","Superseded",IF($I24&lt;&gt;"Yes, I'm available for in-person interviews at Chennai","Not Available",IF($Z24&lt;&gt;"","Panel Details","Followup"))))</f>
        <v/>
      </c>
      <c r="E24" s="46" t="str">
        <f aca="false">IF($H24="","",IF(SUMPRODUCT(($H$4:$H$503=$H24)*(($G$4:$G$503&gt;$G24)+($G$4:$G$503=$G24)*($F$4:$F$503&gt;$F24)))=0,"Yes","No"))</f>
        <v/>
      </c>
      <c r="F24" s="47" t="str">
        <f aca="false">IF('Survey Response'!$D22="","",INT('Survey Response'!$A22))</f>
        <v/>
      </c>
      <c r="G24" s="48" t="str">
        <f aca="false">IF('Survey Response'!$D22="","",'Survey Response'!$C22)</f>
        <v/>
      </c>
      <c r="H24" s="46" t="str">
        <f aca="false">IF('Survey Response'!$D22="","",LOWER(TRIM('Survey Response'!$D22)))</f>
        <v/>
      </c>
      <c r="I24" s="46" t="str">
        <f aca="false">IF($H24="","",'Survey Response'!$I22)</f>
        <v/>
      </c>
      <c r="J24" s="46" t="str">
        <f aca="false">IF($H24="","",'Survey Response'!$K22)</f>
        <v/>
      </c>
      <c r="K24" s="46" t="str">
        <f aca="false">IF($J24="","",IF(COUNTIF('Skill Mapping'!$A$2:$A$7,TRIM($J24))=0,"",INDEX('Skill Mapping'!$B$2:$B$7,MATCH(TRIM($J24),'Skill Mapping'!$A$2:$A$7,0))))</f>
        <v/>
      </c>
      <c r="L24" s="46" t="str">
        <f aca="false">IF($H24="","",'Survey Response'!$L22)</f>
        <v/>
      </c>
      <c r="M24" s="46" t="str">
        <f aca="false">IF($L24="","",IF(COUNTIF('Skill Mapping'!$A$2:$A$7,TRIM($L24))=0,"",INDEX('Skill Mapping'!$B$2:$B$7,MATCH(TRIM($L24),'Skill Mapping'!$A$2:$A$7,0))))</f>
        <v/>
      </c>
      <c r="N24" s="46" t="str">
        <f aca="false">IF($H24="","",'Survey Response'!$M22)</f>
        <v/>
      </c>
      <c r="O24" s="46" t="str">
        <f aca="false">IF($H24="","",IF('Survey Response'!$M22="Manager","R2","R1"))</f>
        <v/>
      </c>
      <c r="P24" s="46" t="str">
        <f aca="false">IF($K24="","No",IF(COUNTIFS(MasterPanel!$B:$B,$H24,MasterPanel!$I:$I,$K24,MasterPanel!$K:$K,"Y")&gt;0,"Yes","No"))</f>
        <v>No</v>
      </c>
      <c r="Q24" s="46" t="n">
        <f aca="false">IF($K24="",0,IF(COUNTIF('Gap Sheet'!$A$6:$A$11,TRIM($J24))=0,0,IF($O24="R1",INDEX('Gap Sheet'!$C$6:$C$11,MATCH(TRIM($J24),'Gap Sheet'!$A$6:$A$11,0)),INDEX('Gap Sheet'!$G$6:$G$11,MATCH(TRIM($J24),'Gap Sheet'!$A$6:$A$11,0)))))</f>
        <v>0</v>
      </c>
      <c r="R24" s="46" t="str">
        <f aca="false">IF($K24="","",$K24&amp;"|"&amp;$O24)</f>
        <v/>
      </c>
      <c r="S24" s="46" t="n">
        <f aca="false">IF($R24="",0,COUNTIF($AA$4:$AA23,$R24))</f>
        <v>0</v>
      </c>
      <c r="T24" s="46" t="str">
        <f aca="false">IF(OR($I24&lt;&gt;"Yes, I'm available for in-person interviews at Chennai",$E24&lt;&gt;"Yes",$P24&lt;&gt;"Yes"),"No",IF(($Q24-$S24)&gt;0,"Yes","No"))</f>
        <v>No</v>
      </c>
      <c r="U24" s="46" t="str">
        <f aca="false">IF($M24="","No",IF(COUNTIFS(MasterPanel!$B:$B,$H24,MasterPanel!$I:$I,$M24,MasterPanel!$K:$K,"Y")&gt;0,"Yes","No"))</f>
        <v>No</v>
      </c>
      <c r="V24" s="46" t="n">
        <f aca="false">IF($M24="",0,IF(COUNTIF('Gap Sheet'!$A$6:$A$11,TRIM($L24))=0,0,IF($O24="R1",INDEX('Gap Sheet'!$C$6:$C$11,MATCH(TRIM($L24),'Gap Sheet'!$A$6:$A$11,0)),INDEX('Gap Sheet'!$G$6:$G$11,MATCH(TRIM($L24),'Gap Sheet'!$A$6:$A$11,0)))))</f>
        <v>0</v>
      </c>
      <c r="W24" s="46" t="str">
        <f aca="false">IF($M24="","",$M24&amp;"|"&amp;$O24)</f>
        <v/>
      </c>
      <c r="X24" s="46" t="n">
        <f aca="false">IF($W24="",0,COUNTIF($AA$4:$AA23,$W24))</f>
        <v>0</v>
      </c>
      <c r="Y24" s="46" t="str">
        <f aca="false">IF(OR($I24&lt;&gt;"Yes, I'm available for in-person interviews at Chennai",$E24&lt;&gt;"Yes",$T24="Yes",$U24&lt;&gt;"Yes"),"No",IF(($V24-$X24)&gt;0,"Yes","No"))</f>
        <v>No</v>
      </c>
      <c r="Z24" s="46" t="str">
        <f aca="false">IF($T24="Yes","Primary",IF($Y24="Yes","Secondary",""))</f>
        <v/>
      </c>
      <c r="AA24" s="46" t="str">
        <f aca="false">IF($Z24="Primary",$R24,IF($Z24="Secondary",$W24,""))</f>
        <v/>
      </c>
      <c r="AB24" s="46" t="str">
        <f aca="false">IF($Z24="Primary","Matched on primary skill",IF($Z24="Secondary","Matched on secondary skill (primary not approved or not required)",""))</f>
        <v/>
      </c>
      <c r="AC24" s="47" t="str">
        <f aca="false">IF($D24="Panel Details",$F24,"")</f>
        <v/>
      </c>
      <c r="AD24" s="46" t="str">
        <f aca="false">IF($D24="Panel Details",'Survey Response'!$D22,"")</f>
        <v/>
      </c>
      <c r="AE24" s="46" t="str">
        <f aca="false">IF($D24="Panel Details",'Survey Response'!$E22,"")</f>
        <v/>
      </c>
      <c r="AF24" s="46" t="str">
        <f aca="false">IF($D24="Panel Details",'Survey Response'!$G22,"")</f>
        <v/>
      </c>
      <c r="AG24" s="46" t="str">
        <f aca="false">IF($D24="Panel Details",IF($Z24="Primary",$J24,$L24),"")</f>
        <v/>
      </c>
      <c r="AH24" s="46" t="str">
        <f aca="false">IF($D24="Panel Details",IF($Z24="Primary",$L24,$J24),"")</f>
        <v/>
      </c>
      <c r="AI24" s="46" t="str">
        <f aca="false">IF($D24="Panel Details",'Survey Response'!$H22,"")</f>
        <v/>
      </c>
      <c r="AJ24" s="46" t="str">
        <f aca="false">IF($D24="Panel Details",'Survey Response'!$M22,"")</f>
        <v/>
      </c>
      <c r="AK24" s="46" t="str">
        <f aca="false">IF($D24="Panel Details",$O24,"")</f>
        <v/>
      </c>
      <c r="AL24" s="46" t="str">
        <f aca="false">IF($D24="Panel Details",8,"")</f>
        <v/>
      </c>
      <c r="AM24" s="46" t="str">
        <f aca="false">IF($D24="Panel Details",$AB24,"")</f>
        <v/>
      </c>
      <c r="AN24" s="46" t="str">
        <f aca="false">IF($D24="Panel Details","Yes","")</f>
        <v/>
      </c>
      <c r="AO24" s="46"/>
      <c r="AP24" s="46" t="str">
        <f aca="false">IF($D24="Followup",'Survey Response'!$D22,"")</f>
        <v/>
      </c>
      <c r="AQ24" s="46" t="str">
        <f aca="false">IF($D24="Followup",'Survey Response'!$E22,"")</f>
        <v/>
      </c>
      <c r="AR24" s="46" t="str">
        <f aca="false">IF($D24="Followup",'Survey Response'!$G22,"")</f>
        <v/>
      </c>
      <c r="AS24" s="46" t="str">
        <f aca="false">IF($D24="Followup",'Survey Response'!$H22,"")</f>
        <v/>
      </c>
      <c r="AT24" s="46" t="str">
        <f aca="false">IF($D24="Followup",'Survey Response'!$M22,"")</f>
        <v/>
      </c>
      <c r="AU24" s="46" t="str">
        <f aca="false">IF($D24="Followup",'Survey Response'!$K22,"")</f>
        <v/>
      </c>
      <c r="AV24" s="46" t="str">
        <f aca="false">IF($D24="Followup",'Survey Response'!$L22,"")</f>
        <v/>
      </c>
      <c r="AW24" s="46" t="str">
        <f aca="false">IF($D24="Followup",IF(AND($P24&lt;&gt;"Yes",$U24&lt;&gt;"Yes"),"Not approved for primary or secondary skill","Approved, but skill(s) no longer have capacity (fully staffed)"),"")</f>
        <v/>
      </c>
    </row>
    <row r="25" customFormat="false" ht="15" hidden="false" customHeight="true" outlineLevel="0" collapsed="false">
      <c r="A25" s="46" t="str">
        <f aca="false">IF('Survey Response'!$D23="","",'Survey Response'!$A23&amp;"|"&amp;LOWER(TRIM('Survey Response'!$D23)))</f>
        <v/>
      </c>
      <c r="B25" s="46" t="str">
        <f aca="false">IF($H25="","",$F25&amp;"|"&amp;$H25)</f>
        <v/>
      </c>
      <c r="C25" s="46" t="str">
        <f aca="false">IF($H25="","",$A25=$B25)</f>
        <v/>
      </c>
      <c r="D25" s="46" t="str">
        <f aca="false">IF($H25="","",IF($E25&lt;&gt;"Yes","Superseded",IF($I25&lt;&gt;"Yes, I'm available for in-person interviews at Chennai","Not Available",IF($Z25&lt;&gt;"","Panel Details","Followup"))))</f>
        <v/>
      </c>
      <c r="E25" s="46" t="str">
        <f aca="false">IF($H25="","",IF(SUMPRODUCT(($H$4:$H$503=$H25)*(($G$4:$G$503&gt;$G25)+($G$4:$G$503=$G25)*($F$4:$F$503&gt;$F25)))=0,"Yes","No"))</f>
        <v/>
      </c>
      <c r="F25" s="47" t="str">
        <f aca="false">IF('Survey Response'!$D23="","",INT('Survey Response'!$A23))</f>
        <v/>
      </c>
      <c r="G25" s="48" t="str">
        <f aca="false">IF('Survey Response'!$D23="","",'Survey Response'!$C23)</f>
        <v/>
      </c>
      <c r="H25" s="46" t="str">
        <f aca="false">IF('Survey Response'!$D23="","",LOWER(TRIM('Survey Response'!$D23)))</f>
        <v/>
      </c>
      <c r="I25" s="46" t="str">
        <f aca="false">IF($H25="","",'Survey Response'!$I23)</f>
        <v/>
      </c>
      <c r="J25" s="46" t="str">
        <f aca="false">IF($H25="","",'Survey Response'!$K23)</f>
        <v/>
      </c>
      <c r="K25" s="46" t="str">
        <f aca="false">IF($J25="","",IF(COUNTIF('Skill Mapping'!$A$2:$A$7,TRIM($J25))=0,"",INDEX('Skill Mapping'!$B$2:$B$7,MATCH(TRIM($J25),'Skill Mapping'!$A$2:$A$7,0))))</f>
        <v/>
      </c>
      <c r="L25" s="46" t="str">
        <f aca="false">IF($H25="","",'Survey Response'!$L23)</f>
        <v/>
      </c>
      <c r="M25" s="46" t="str">
        <f aca="false">IF($L25="","",IF(COUNTIF('Skill Mapping'!$A$2:$A$7,TRIM($L25))=0,"",INDEX('Skill Mapping'!$B$2:$B$7,MATCH(TRIM($L25),'Skill Mapping'!$A$2:$A$7,0))))</f>
        <v/>
      </c>
      <c r="N25" s="46" t="str">
        <f aca="false">IF($H25="","",'Survey Response'!$M23)</f>
        <v/>
      </c>
      <c r="O25" s="46" t="str">
        <f aca="false">IF($H25="","",IF('Survey Response'!$M23="Manager","R2","R1"))</f>
        <v/>
      </c>
      <c r="P25" s="46" t="str">
        <f aca="false">IF($K25="","No",IF(COUNTIFS(MasterPanel!$B:$B,$H25,MasterPanel!$I:$I,$K25,MasterPanel!$K:$K,"Y")&gt;0,"Yes","No"))</f>
        <v>No</v>
      </c>
      <c r="Q25" s="46" t="n">
        <f aca="false">IF($K25="",0,IF(COUNTIF('Gap Sheet'!$A$6:$A$11,TRIM($J25))=0,0,IF($O25="R1",INDEX('Gap Sheet'!$C$6:$C$11,MATCH(TRIM($J25),'Gap Sheet'!$A$6:$A$11,0)),INDEX('Gap Sheet'!$G$6:$G$11,MATCH(TRIM($J25),'Gap Sheet'!$A$6:$A$11,0)))))</f>
        <v>0</v>
      </c>
      <c r="R25" s="46" t="str">
        <f aca="false">IF($K25="","",$K25&amp;"|"&amp;$O25)</f>
        <v/>
      </c>
      <c r="S25" s="46" t="n">
        <f aca="false">IF($R25="",0,COUNTIF($AA$4:$AA24,$R25))</f>
        <v>0</v>
      </c>
      <c r="T25" s="46" t="str">
        <f aca="false">IF(OR($I25&lt;&gt;"Yes, I'm available for in-person interviews at Chennai",$E25&lt;&gt;"Yes",$P25&lt;&gt;"Yes"),"No",IF(($Q25-$S25)&gt;0,"Yes","No"))</f>
        <v>No</v>
      </c>
      <c r="U25" s="46" t="str">
        <f aca="false">IF($M25="","No",IF(COUNTIFS(MasterPanel!$B:$B,$H25,MasterPanel!$I:$I,$M25,MasterPanel!$K:$K,"Y")&gt;0,"Yes","No"))</f>
        <v>No</v>
      </c>
      <c r="V25" s="46" t="n">
        <f aca="false">IF($M25="",0,IF(COUNTIF('Gap Sheet'!$A$6:$A$11,TRIM($L25))=0,0,IF($O25="R1",INDEX('Gap Sheet'!$C$6:$C$11,MATCH(TRIM($L25),'Gap Sheet'!$A$6:$A$11,0)),INDEX('Gap Sheet'!$G$6:$G$11,MATCH(TRIM($L25),'Gap Sheet'!$A$6:$A$11,0)))))</f>
        <v>0</v>
      </c>
      <c r="W25" s="46" t="str">
        <f aca="false">IF($M25="","",$M25&amp;"|"&amp;$O25)</f>
        <v/>
      </c>
      <c r="X25" s="46" t="n">
        <f aca="false">IF($W25="",0,COUNTIF($AA$4:$AA24,$W25))</f>
        <v>0</v>
      </c>
      <c r="Y25" s="46" t="str">
        <f aca="false">IF(OR($I25&lt;&gt;"Yes, I'm available for in-person interviews at Chennai",$E25&lt;&gt;"Yes",$T25="Yes",$U25&lt;&gt;"Yes"),"No",IF(($V25-$X25)&gt;0,"Yes","No"))</f>
        <v>No</v>
      </c>
      <c r="Z25" s="46" t="str">
        <f aca="false">IF($T25="Yes","Primary",IF($Y25="Yes","Secondary",""))</f>
        <v/>
      </c>
      <c r="AA25" s="46" t="str">
        <f aca="false">IF($Z25="Primary",$R25,IF($Z25="Secondary",$W25,""))</f>
        <v/>
      </c>
      <c r="AB25" s="46" t="str">
        <f aca="false">IF($Z25="Primary","Matched on primary skill",IF($Z25="Secondary","Matched on secondary skill (primary not approved or not required)",""))</f>
        <v/>
      </c>
      <c r="AC25" s="47" t="str">
        <f aca="false">IF($D25="Panel Details",$F25,"")</f>
        <v/>
      </c>
      <c r="AD25" s="46" t="str">
        <f aca="false">IF($D25="Panel Details",'Survey Response'!$D23,"")</f>
        <v/>
      </c>
      <c r="AE25" s="46" t="str">
        <f aca="false">IF($D25="Panel Details",'Survey Response'!$E23,"")</f>
        <v/>
      </c>
      <c r="AF25" s="46" t="str">
        <f aca="false">IF($D25="Panel Details",'Survey Response'!$G23,"")</f>
        <v/>
      </c>
      <c r="AG25" s="46" t="str">
        <f aca="false">IF($D25="Panel Details",IF($Z25="Primary",$J25,$L25),"")</f>
        <v/>
      </c>
      <c r="AH25" s="46" t="str">
        <f aca="false">IF($D25="Panel Details",IF($Z25="Primary",$L25,$J25),"")</f>
        <v/>
      </c>
      <c r="AI25" s="46" t="str">
        <f aca="false">IF($D25="Panel Details",'Survey Response'!$H23,"")</f>
        <v/>
      </c>
      <c r="AJ25" s="46" t="str">
        <f aca="false">IF($D25="Panel Details",'Survey Response'!$M23,"")</f>
        <v/>
      </c>
      <c r="AK25" s="46" t="str">
        <f aca="false">IF($D25="Panel Details",$O25,"")</f>
        <v/>
      </c>
      <c r="AL25" s="46" t="str">
        <f aca="false">IF($D25="Panel Details",8,"")</f>
        <v/>
      </c>
      <c r="AM25" s="46" t="str">
        <f aca="false">IF($D25="Panel Details",$AB25,"")</f>
        <v/>
      </c>
      <c r="AN25" s="46" t="str">
        <f aca="false">IF($D25="Panel Details","Yes","")</f>
        <v/>
      </c>
      <c r="AO25" s="46"/>
      <c r="AP25" s="46" t="str">
        <f aca="false">IF($D25="Followup",'Survey Response'!$D23,"")</f>
        <v/>
      </c>
      <c r="AQ25" s="46" t="str">
        <f aca="false">IF($D25="Followup",'Survey Response'!$E23,"")</f>
        <v/>
      </c>
      <c r="AR25" s="46" t="str">
        <f aca="false">IF($D25="Followup",'Survey Response'!$G23,"")</f>
        <v/>
      </c>
      <c r="AS25" s="46" t="str">
        <f aca="false">IF($D25="Followup",'Survey Response'!$H23,"")</f>
        <v/>
      </c>
      <c r="AT25" s="46" t="str">
        <f aca="false">IF($D25="Followup",'Survey Response'!$M23,"")</f>
        <v/>
      </c>
      <c r="AU25" s="46" t="str">
        <f aca="false">IF($D25="Followup",'Survey Response'!$K23,"")</f>
        <v/>
      </c>
      <c r="AV25" s="46" t="str">
        <f aca="false">IF($D25="Followup",'Survey Response'!$L23,"")</f>
        <v/>
      </c>
      <c r="AW25" s="46" t="str">
        <f aca="false">IF($D25="Followup",IF(AND($P25&lt;&gt;"Yes",$U25&lt;&gt;"Yes"),"Not approved for primary or secondary skill","Approved, but skill(s) no longer have capacity (fully staffed)"),"")</f>
        <v/>
      </c>
    </row>
    <row r="26" customFormat="false" ht="15" hidden="false" customHeight="true" outlineLevel="0" collapsed="false">
      <c r="A26" s="46" t="str">
        <f aca="false">IF('Survey Response'!$D24="","",'Survey Response'!$A24&amp;"|"&amp;LOWER(TRIM('Survey Response'!$D24)))</f>
        <v/>
      </c>
      <c r="B26" s="46" t="str">
        <f aca="false">IF($H26="","",$F26&amp;"|"&amp;$H26)</f>
        <v/>
      </c>
      <c r="C26" s="46" t="str">
        <f aca="false">IF($H26="","",$A26=$B26)</f>
        <v/>
      </c>
      <c r="D26" s="46" t="str">
        <f aca="false">IF($H26="","",IF($E26&lt;&gt;"Yes","Superseded",IF($I26&lt;&gt;"Yes, I'm available for in-person interviews at Chennai","Not Available",IF($Z26&lt;&gt;"","Panel Details","Followup"))))</f>
        <v/>
      </c>
      <c r="E26" s="46" t="str">
        <f aca="false">IF($H26="","",IF(SUMPRODUCT(($H$4:$H$503=$H26)*(($G$4:$G$503&gt;$G26)+($G$4:$G$503=$G26)*($F$4:$F$503&gt;$F26)))=0,"Yes","No"))</f>
        <v/>
      </c>
      <c r="F26" s="47" t="str">
        <f aca="false">IF('Survey Response'!$D24="","",INT('Survey Response'!$A24))</f>
        <v/>
      </c>
      <c r="G26" s="48" t="str">
        <f aca="false">IF('Survey Response'!$D24="","",'Survey Response'!$C24)</f>
        <v/>
      </c>
      <c r="H26" s="46" t="str">
        <f aca="false">IF('Survey Response'!$D24="","",LOWER(TRIM('Survey Response'!$D24)))</f>
        <v/>
      </c>
      <c r="I26" s="46" t="str">
        <f aca="false">IF($H26="","",'Survey Response'!$I24)</f>
        <v/>
      </c>
      <c r="J26" s="46" t="str">
        <f aca="false">IF($H26="","",'Survey Response'!$K24)</f>
        <v/>
      </c>
      <c r="K26" s="46" t="str">
        <f aca="false">IF($J26="","",IF(COUNTIF('Skill Mapping'!$A$2:$A$7,TRIM($J26))=0,"",INDEX('Skill Mapping'!$B$2:$B$7,MATCH(TRIM($J26),'Skill Mapping'!$A$2:$A$7,0))))</f>
        <v/>
      </c>
      <c r="L26" s="46" t="str">
        <f aca="false">IF($H26="","",'Survey Response'!$L24)</f>
        <v/>
      </c>
      <c r="M26" s="46" t="str">
        <f aca="false">IF($L26="","",IF(COUNTIF('Skill Mapping'!$A$2:$A$7,TRIM($L26))=0,"",INDEX('Skill Mapping'!$B$2:$B$7,MATCH(TRIM($L26),'Skill Mapping'!$A$2:$A$7,0))))</f>
        <v/>
      </c>
      <c r="N26" s="46" t="str">
        <f aca="false">IF($H26="","",'Survey Response'!$M24)</f>
        <v/>
      </c>
      <c r="O26" s="46" t="str">
        <f aca="false">IF($H26="","",IF('Survey Response'!$M24="Manager","R2","R1"))</f>
        <v/>
      </c>
      <c r="P26" s="46" t="str">
        <f aca="false">IF($K26="","No",IF(COUNTIFS(MasterPanel!$B:$B,$H26,MasterPanel!$I:$I,$K26,MasterPanel!$K:$K,"Y")&gt;0,"Yes","No"))</f>
        <v>No</v>
      </c>
      <c r="Q26" s="46" t="n">
        <f aca="false">IF($K26="",0,IF(COUNTIF('Gap Sheet'!$A$6:$A$11,TRIM($J26))=0,0,IF($O26="R1",INDEX('Gap Sheet'!$C$6:$C$11,MATCH(TRIM($J26),'Gap Sheet'!$A$6:$A$11,0)),INDEX('Gap Sheet'!$G$6:$G$11,MATCH(TRIM($J26),'Gap Sheet'!$A$6:$A$11,0)))))</f>
        <v>0</v>
      </c>
      <c r="R26" s="46" t="str">
        <f aca="false">IF($K26="","",$K26&amp;"|"&amp;$O26)</f>
        <v/>
      </c>
      <c r="S26" s="46" t="n">
        <f aca="false">IF($R26="",0,COUNTIF($AA$4:$AA25,$R26))</f>
        <v>0</v>
      </c>
      <c r="T26" s="46" t="str">
        <f aca="false">IF(OR($I26&lt;&gt;"Yes, I'm available for in-person interviews at Chennai",$E26&lt;&gt;"Yes",$P26&lt;&gt;"Yes"),"No",IF(($Q26-$S26)&gt;0,"Yes","No"))</f>
        <v>No</v>
      </c>
      <c r="U26" s="46" t="str">
        <f aca="false">IF($M26="","No",IF(COUNTIFS(MasterPanel!$B:$B,$H26,MasterPanel!$I:$I,$M26,MasterPanel!$K:$K,"Y")&gt;0,"Yes","No"))</f>
        <v>No</v>
      </c>
      <c r="V26" s="46" t="n">
        <f aca="false">IF($M26="",0,IF(COUNTIF('Gap Sheet'!$A$6:$A$11,TRIM($L26))=0,0,IF($O26="R1",INDEX('Gap Sheet'!$C$6:$C$11,MATCH(TRIM($L26),'Gap Sheet'!$A$6:$A$11,0)),INDEX('Gap Sheet'!$G$6:$G$11,MATCH(TRIM($L26),'Gap Sheet'!$A$6:$A$11,0)))))</f>
        <v>0</v>
      </c>
      <c r="W26" s="46" t="str">
        <f aca="false">IF($M26="","",$M26&amp;"|"&amp;$O26)</f>
        <v/>
      </c>
      <c r="X26" s="46" t="n">
        <f aca="false">IF($W26="",0,COUNTIF($AA$4:$AA25,$W26))</f>
        <v>0</v>
      </c>
      <c r="Y26" s="46" t="str">
        <f aca="false">IF(OR($I26&lt;&gt;"Yes, I'm available for in-person interviews at Chennai",$E26&lt;&gt;"Yes",$T26="Yes",$U26&lt;&gt;"Yes"),"No",IF(($V26-$X26)&gt;0,"Yes","No"))</f>
        <v>No</v>
      </c>
      <c r="Z26" s="46" t="str">
        <f aca="false">IF($T26="Yes","Primary",IF($Y26="Yes","Secondary",""))</f>
        <v/>
      </c>
      <c r="AA26" s="46" t="str">
        <f aca="false">IF($Z26="Primary",$R26,IF($Z26="Secondary",$W26,""))</f>
        <v/>
      </c>
      <c r="AB26" s="46" t="str">
        <f aca="false">IF($Z26="Primary","Matched on primary skill",IF($Z26="Secondary","Matched on secondary skill (primary not approved or not required)",""))</f>
        <v/>
      </c>
      <c r="AC26" s="47" t="str">
        <f aca="false">IF($D26="Panel Details",$F26,"")</f>
        <v/>
      </c>
      <c r="AD26" s="46" t="str">
        <f aca="false">IF($D26="Panel Details",'Survey Response'!$D24,"")</f>
        <v/>
      </c>
      <c r="AE26" s="46" t="str">
        <f aca="false">IF($D26="Panel Details",'Survey Response'!$E24,"")</f>
        <v/>
      </c>
      <c r="AF26" s="46" t="str">
        <f aca="false">IF($D26="Panel Details",'Survey Response'!$G24,"")</f>
        <v/>
      </c>
      <c r="AG26" s="46" t="str">
        <f aca="false">IF($D26="Panel Details",IF($Z26="Primary",$J26,$L26),"")</f>
        <v/>
      </c>
      <c r="AH26" s="46" t="str">
        <f aca="false">IF($D26="Panel Details",IF($Z26="Primary",$L26,$J26),"")</f>
        <v/>
      </c>
      <c r="AI26" s="46" t="str">
        <f aca="false">IF($D26="Panel Details",'Survey Response'!$H24,"")</f>
        <v/>
      </c>
      <c r="AJ26" s="46" t="str">
        <f aca="false">IF($D26="Panel Details",'Survey Response'!$M24,"")</f>
        <v/>
      </c>
      <c r="AK26" s="46" t="str">
        <f aca="false">IF($D26="Panel Details",$O26,"")</f>
        <v/>
      </c>
      <c r="AL26" s="46" t="str">
        <f aca="false">IF($D26="Panel Details",8,"")</f>
        <v/>
      </c>
      <c r="AM26" s="46" t="str">
        <f aca="false">IF($D26="Panel Details",$AB26,"")</f>
        <v/>
      </c>
      <c r="AN26" s="46" t="str">
        <f aca="false">IF($D26="Panel Details","Yes","")</f>
        <v/>
      </c>
      <c r="AO26" s="46"/>
      <c r="AP26" s="46" t="str">
        <f aca="false">IF($D26="Followup",'Survey Response'!$D24,"")</f>
        <v/>
      </c>
      <c r="AQ26" s="46" t="str">
        <f aca="false">IF($D26="Followup",'Survey Response'!$E24,"")</f>
        <v/>
      </c>
      <c r="AR26" s="46" t="str">
        <f aca="false">IF($D26="Followup",'Survey Response'!$G24,"")</f>
        <v/>
      </c>
      <c r="AS26" s="46" t="str">
        <f aca="false">IF($D26="Followup",'Survey Response'!$H24,"")</f>
        <v/>
      </c>
      <c r="AT26" s="46" t="str">
        <f aca="false">IF($D26="Followup",'Survey Response'!$M24,"")</f>
        <v/>
      </c>
      <c r="AU26" s="46" t="str">
        <f aca="false">IF($D26="Followup",'Survey Response'!$K24,"")</f>
        <v/>
      </c>
      <c r="AV26" s="46" t="str">
        <f aca="false">IF($D26="Followup",'Survey Response'!$L24,"")</f>
        <v/>
      </c>
      <c r="AW26" s="46" t="str">
        <f aca="false">IF($D26="Followup",IF(AND($P26&lt;&gt;"Yes",$U26&lt;&gt;"Yes"),"Not approved for primary or secondary skill","Approved, but skill(s) no longer have capacity (fully staffed)"),"")</f>
        <v/>
      </c>
    </row>
    <row r="27" customFormat="false" ht="15" hidden="false" customHeight="true" outlineLevel="0" collapsed="false">
      <c r="A27" s="46" t="str">
        <f aca="false">IF('Survey Response'!$D25="","",'Survey Response'!$A25&amp;"|"&amp;LOWER(TRIM('Survey Response'!$D25)))</f>
        <v/>
      </c>
      <c r="B27" s="46" t="str">
        <f aca="false">IF($H27="","",$F27&amp;"|"&amp;$H27)</f>
        <v/>
      </c>
      <c r="C27" s="46" t="str">
        <f aca="false">IF($H27="","",$A27=$B27)</f>
        <v/>
      </c>
      <c r="D27" s="46" t="str">
        <f aca="false">IF($H27="","",IF($E27&lt;&gt;"Yes","Superseded",IF($I27&lt;&gt;"Yes, I'm available for in-person interviews at Chennai","Not Available",IF($Z27&lt;&gt;"","Panel Details","Followup"))))</f>
        <v/>
      </c>
      <c r="E27" s="46" t="str">
        <f aca="false">IF($H27="","",IF(SUMPRODUCT(($H$4:$H$503=$H27)*(($G$4:$G$503&gt;$G27)+($G$4:$G$503=$G27)*($F$4:$F$503&gt;$F27)))=0,"Yes","No"))</f>
        <v/>
      </c>
      <c r="F27" s="47" t="str">
        <f aca="false">IF('Survey Response'!$D25="","",INT('Survey Response'!$A25))</f>
        <v/>
      </c>
      <c r="G27" s="48" t="str">
        <f aca="false">IF('Survey Response'!$D25="","",'Survey Response'!$C25)</f>
        <v/>
      </c>
      <c r="H27" s="46" t="str">
        <f aca="false">IF('Survey Response'!$D25="","",LOWER(TRIM('Survey Response'!$D25)))</f>
        <v/>
      </c>
      <c r="I27" s="46" t="str">
        <f aca="false">IF($H27="","",'Survey Response'!$I25)</f>
        <v/>
      </c>
      <c r="J27" s="46" t="str">
        <f aca="false">IF($H27="","",'Survey Response'!$K25)</f>
        <v/>
      </c>
      <c r="K27" s="46" t="str">
        <f aca="false">IF($J27="","",IF(COUNTIF('Skill Mapping'!$A$2:$A$7,TRIM($J27))=0,"",INDEX('Skill Mapping'!$B$2:$B$7,MATCH(TRIM($J27),'Skill Mapping'!$A$2:$A$7,0))))</f>
        <v/>
      </c>
      <c r="L27" s="46" t="str">
        <f aca="false">IF($H27="","",'Survey Response'!$L25)</f>
        <v/>
      </c>
      <c r="M27" s="46" t="str">
        <f aca="false">IF($L27="","",IF(COUNTIF('Skill Mapping'!$A$2:$A$7,TRIM($L27))=0,"",INDEX('Skill Mapping'!$B$2:$B$7,MATCH(TRIM($L27),'Skill Mapping'!$A$2:$A$7,0))))</f>
        <v/>
      </c>
      <c r="N27" s="46" t="str">
        <f aca="false">IF($H27="","",'Survey Response'!$M25)</f>
        <v/>
      </c>
      <c r="O27" s="46" t="str">
        <f aca="false">IF($H27="","",IF('Survey Response'!$M25="Manager","R2","R1"))</f>
        <v/>
      </c>
      <c r="P27" s="46" t="str">
        <f aca="false">IF($K27="","No",IF(COUNTIFS(MasterPanel!$B:$B,$H27,MasterPanel!$I:$I,$K27,MasterPanel!$K:$K,"Y")&gt;0,"Yes","No"))</f>
        <v>No</v>
      </c>
      <c r="Q27" s="46" t="n">
        <f aca="false">IF($K27="",0,IF(COUNTIF('Gap Sheet'!$A$6:$A$11,TRIM($J27))=0,0,IF($O27="R1",INDEX('Gap Sheet'!$C$6:$C$11,MATCH(TRIM($J27),'Gap Sheet'!$A$6:$A$11,0)),INDEX('Gap Sheet'!$G$6:$G$11,MATCH(TRIM($J27),'Gap Sheet'!$A$6:$A$11,0)))))</f>
        <v>0</v>
      </c>
      <c r="R27" s="46" t="str">
        <f aca="false">IF($K27="","",$K27&amp;"|"&amp;$O27)</f>
        <v/>
      </c>
      <c r="S27" s="46" t="n">
        <f aca="false">IF($R27="",0,COUNTIF($AA$4:$AA26,$R27))</f>
        <v>0</v>
      </c>
      <c r="T27" s="46" t="str">
        <f aca="false">IF(OR($I27&lt;&gt;"Yes, I'm available for in-person interviews at Chennai",$E27&lt;&gt;"Yes",$P27&lt;&gt;"Yes"),"No",IF(($Q27-$S27)&gt;0,"Yes","No"))</f>
        <v>No</v>
      </c>
      <c r="U27" s="46" t="str">
        <f aca="false">IF($M27="","No",IF(COUNTIFS(MasterPanel!$B:$B,$H27,MasterPanel!$I:$I,$M27,MasterPanel!$K:$K,"Y")&gt;0,"Yes","No"))</f>
        <v>No</v>
      </c>
      <c r="V27" s="46" t="n">
        <f aca="false">IF($M27="",0,IF(COUNTIF('Gap Sheet'!$A$6:$A$11,TRIM($L27))=0,0,IF($O27="R1",INDEX('Gap Sheet'!$C$6:$C$11,MATCH(TRIM($L27),'Gap Sheet'!$A$6:$A$11,0)),INDEX('Gap Sheet'!$G$6:$G$11,MATCH(TRIM($L27),'Gap Sheet'!$A$6:$A$11,0)))))</f>
        <v>0</v>
      </c>
      <c r="W27" s="46" t="str">
        <f aca="false">IF($M27="","",$M27&amp;"|"&amp;$O27)</f>
        <v/>
      </c>
      <c r="X27" s="46" t="n">
        <f aca="false">IF($W27="",0,COUNTIF($AA$4:$AA26,$W27))</f>
        <v>0</v>
      </c>
      <c r="Y27" s="46" t="str">
        <f aca="false">IF(OR($I27&lt;&gt;"Yes, I'm available for in-person interviews at Chennai",$E27&lt;&gt;"Yes",$T27="Yes",$U27&lt;&gt;"Yes"),"No",IF(($V27-$X27)&gt;0,"Yes","No"))</f>
        <v>No</v>
      </c>
      <c r="Z27" s="46" t="str">
        <f aca="false">IF($T27="Yes","Primary",IF($Y27="Yes","Secondary",""))</f>
        <v/>
      </c>
      <c r="AA27" s="46" t="str">
        <f aca="false">IF($Z27="Primary",$R27,IF($Z27="Secondary",$W27,""))</f>
        <v/>
      </c>
      <c r="AB27" s="46" t="str">
        <f aca="false">IF($Z27="Primary","Matched on primary skill",IF($Z27="Secondary","Matched on secondary skill (primary not approved or not required)",""))</f>
        <v/>
      </c>
      <c r="AC27" s="47" t="str">
        <f aca="false">IF($D27="Panel Details",$F27,"")</f>
        <v/>
      </c>
      <c r="AD27" s="46" t="str">
        <f aca="false">IF($D27="Panel Details",'Survey Response'!$D25,"")</f>
        <v/>
      </c>
      <c r="AE27" s="46" t="str">
        <f aca="false">IF($D27="Panel Details",'Survey Response'!$E25,"")</f>
        <v/>
      </c>
      <c r="AF27" s="46" t="str">
        <f aca="false">IF($D27="Panel Details",'Survey Response'!$G25,"")</f>
        <v/>
      </c>
      <c r="AG27" s="46" t="str">
        <f aca="false">IF($D27="Panel Details",IF($Z27="Primary",$J27,$L27),"")</f>
        <v/>
      </c>
      <c r="AH27" s="46" t="str">
        <f aca="false">IF($D27="Panel Details",IF($Z27="Primary",$L27,$J27),"")</f>
        <v/>
      </c>
      <c r="AI27" s="46" t="str">
        <f aca="false">IF($D27="Panel Details",'Survey Response'!$H25,"")</f>
        <v/>
      </c>
      <c r="AJ27" s="46" t="str">
        <f aca="false">IF($D27="Panel Details",'Survey Response'!$M25,"")</f>
        <v/>
      </c>
      <c r="AK27" s="46" t="str">
        <f aca="false">IF($D27="Panel Details",$O27,"")</f>
        <v/>
      </c>
      <c r="AL27" s="46" t="str">
        <f aca="false">IF($D27="Panel Details",8,"")</f>
        <v/>
      </c>
      <c r="AM27" s="46" t="str">
        <f aca="false">IF($D27="Panel Details",$AB27,"")</f>
        <v/>
      </c>
      <c r="AN27" s="46" t="str">
        <f aca="false">IF($D27="Panel Details","Yes","")</f>
        <v/>
      </c>
      <c r="AO27" s="46"/>
      <c r="AP27" s="46" t="str">
        <f aca="false">IF($D27="Followup",'Survey Response'!$D25,"")</f>
        <v/>
      </c>
      <c r="AQ27" s="46" t="str">
        <f aca="false">IF($D27="Followup",'Survey Response'!$E25,"")</f>
        <v/>
      </c>
      <c r="AR27" s="46" t="str">
        <f aca="false">IF($D27="Followup",'Survey Response'!$G25,"")</f>
        <v/>
      </c>
      <c r="AS27" s="46" t="str">
        <f aca="false">IF($D27="Followup",'Survey Response'!$H25,"")</f>
        <v/>
      </c>
      <c r="AT27" s="46" t="str">
        <f aca="false">IF($D27="Followup",'Survey Response'!$M25,"")</f>
        <v/>
      </c>
      <c r="AU27" s="46" t="str">
        <f aca="false">IF($D27="Followup",'Survey Response'!$K25,"")</f>
        <v/>
      </c>
      <c r="AV27" s="46" t="str">
        <f aca="false">IF($D27="Followup",'Survey Response'!$L25,"")</f>
        <v/>
      </c>
      <c r="AW27" s="46" t="str">
        <f aca="false">IF($D27="Followup",IF(AND($P27&lt;&gt;"Yes",$U27&lt;&gt;"Yes"),"Not approved for primary or secondary skill","Approved, but skill(s) no longer have capacity (fully staffed)"),"")</f>
        <v/>
      </c>
    </row>
    <row r="28" customFormat="false" ht="15" hidden="false" customHeight="true" outlineLevel="0" collapsed="false">
      <c r="A28" s="46" t="str">
        <f aca="false">IF('Survey Response'!$D26="","",'Survey Response'!$A26&amp;"|"&amp;LOWER(TRIM('Survey Response'!$D26)))</f>
        <v/>
      </c>
      <c r="B28" s="46" t="str">
        <f aca="false">IF($H28="","",$F28&amp;"|"&amp;$H28)</f>
        <v/>
      </c>
      <c r="C28" s="46" t="str">
        <f aca="false">IF($H28="","",$A28=$B28)</f>
        <v/>
      </c>
      <c r="D28" s="46" t="str">
        <f aca="false">IF($H28="","",IF($E28&lt;&gt;"Yes","Superseded",IF($I28&lt;&gt;"Yes, I'm available for in-person interviews at Chennai","Not Available",IF($Z28&lt;&gt;"","Panel Details","Followup"))))</f>
        <v/>
      </c>
      <c r="E28" s="46" t="str">
        <f aca="false">IF($H28="","",IF(SUMPRODUCT(($H$4:$H$503=$H28)*(($G$4:$G$503&gt;$G28)+($G$4:$G$503=$G28)*($F$4:$F$503&gt;$F28)))=0,"Yes","No"))</f>
        <v/>
      </c>
      <c r="F28" s="47" t="str">
        <f aca="false">IF('Survey Response'!$D26="","",INT('Survey Response'!$A26))</f>
        <v/>
      </c>
      <c r="G28" s="48" t="str">
        <f aca="false">IF('Survey Response'!$D26="","",'Survey Response'!$C26)</f>
        <v/>
      </c>
      <c r="H28" s="46" t="str">
        <f aca="false">IF('Survey Response'!$D26="","",LOWER(TRIM('Survey Response'!$D26)))</f>
        <v/>
      </c>
      <c r="I28" s="46" t="str">
        <f aca="false">IF($H28="","",'Survey Response'!$I26)</f>
        <v/>
      </c>
      <c r="J28" s="46" t="str">
        <f aca="false">IF($H28="","",'Survey Response'!$K26)</f>
        <v/>
      </c>
      <c r="K28" s="46" t="str">
        <f aca="false">IF($J28="","",IF(COUNTIF('Skill Mapping'!$A$2:$A$7,TRIM($J28))=0,"",INDEX('Skill Mapping'!$B$2:$B$7,MATCH(TRIM($J28),'Skill Mapping'!$A$2:$A$7,0))))</f>
        <v/>
      </c>
      <c r="L28" s="46" t="str">
        <f aca="false">IF($H28="","",'Survey Response'!$L26)</f>
        <v/>
      </c>
      <c r="M28" s="46" t="str">
        <f aca="false">IF($L28="","",IF(COUNTIF('Skill Mapping'!$A$2:$A$7,TRIM($L28))=0,"",INDEX('Skill Mapping'!$B$2:$B$7,MATCH(TRIM($L28),'Skill Mapping'!$A$2:$A$7,0))))</f>
        <v/>
      </c>
      <c r="N28" s="46" t="str">
        <f aca="false">IF($H28="","",'Survey Response'!$M26)</f>
        <v/>
      </c>
      <c r="O28" s="46" t="str">
        <f aca="false">IF($H28="","",IF('Survey Response'!$M26="Manager","R2","R1"))</f>
        <v/>
      </c>
      <c r="P28" s="46" t="str">
        <f aca="false">IF($K28="","No",IF(COUNTIFS(MasterPanel!$B:$B,$H28,MasterPanel!$I:$I,$K28,MasterPanel!$K:$K,"Y")&gt;0,"Yes","No"))</f>
        <v>No</v>
      </c>
      <c r="Q28" s="46" t="n">
        <f aca="false">IF($K28="",0,IF(COUNTIF('Gap Sheet'!$A$6:$A$11,TRIM($J28))=0,0,IF($O28="R1",INDEX('Gap Sheet'!$C$6:$C$11,MATCH(TRIM($J28),'Gap Sheet'!$A$6:$A$11,0)),INDEX('Gap Sheet'!$G$6:$G$11,MATCH(TRIM($J28),'Gap Sheet'!$A$6:$A$11,0)))))</f>
        <v>0</v>
      </c>
      <c r="R28" s="46" t="str">
        <f aca="false">IF($K28="","",$K28&amp;"|"&amp;$O28)</f>
        <v/>
      </c>
      <c r="S28" s="46" t="n">
        <f aca="false">IF($R28="",0,COUNTIF($AA$4:$AA27,$R28))</f>
        <v>0</v>
      </c>
      <c r="T28" s="46" t="str">
        <f aca="false">IF(OR($I28&lt;&gt;"Yes, I'm available for in-person interviews at Chennai",$E28&lt;&gt;"Yes",$P28&lt;&gt;"Yes"),"No",IF(($Q28-$S28)&gt;0,"Yes","No"))</f>
        <v>No</v>
      </c>
      <c r="U28" s="46" t="str">
        <f aca="false">IF($M28="","No",IF(COUNTIFS(MasterPanel!$B:$B,$H28,MasterPanel!$I:$I,$M28,MasterPanel!$K:$K,"Y")&gt;0,"Yes","No"))</f>
        <v>No</v>
      </c>
      <c r="V28" s="46" t="n">
        <f aca="false">IF($M28="",0,IF(COUNTIF('Gap Sheet'!$A$6:$A$11,TRIM($L28))=0,0,IF($O28="R1",INDEX('Gap Sheet'!$C$6:$C$11,MATCH(TRIM($L28),'Gap Sheet'!$A$6:$A$11,0)),INDEX('Gap Sheet'!$G$6:$G$11,MATCH(TRIM($L28),'Gap Sheet'!$A$6:$A$11,0)))))</f>
        <v>0</v>
      </c>
      <c r="W28" s="46" t="str">
        <f aca="false">IF($M28="","",$M28&amp;"|"&amp;$O28)</f>
        <v/>
      </c>
      <c r="X28" s="46" t="n">
        <f aca="false">IF($W28="",0,COUNTIF($AA$4:$AA27,$W28))</f>
        <v>0</v>
      </c>
      <c r="Y28" s="46" t="str">
        <f aca="false">IF(OR($I28&lt;&gt;"Yes, I'm available for in-person interviews at Chennai",$E28&lt;&gt;"Yes",$T28="Yes",$U28&lt;&gt;"Yes"),"No",IF(($V28-$X28)&gt;0,"Yes","No"))</f>
        <v>No</v>
      </c>
      <c r="Z28" s="46" t="str">
        <f aca="false">IF($T28="Yes","Primary",IF($Y28="Yes","Secondary",""))</f>
        <v/>
      </c>
      <c r="AA28" s="46" t="str">
        <f aca="false">IF($Z28="Primary",$R28,IF($Z28="Secondary",$W28,""))</f>
        <v/>
      </c>
      <c r="AB28" s="46" t="str">
        <f aca="false">IF($Z28="Primary","Matched on primary skill",IF($Z28="Secondary","Matched on secondary skill (primary not approved or not required)",""))</f>
        <v/>
      </c>
      <c r="AC28" s="47" t="str">
        <f aca="false">IF($D28="Panel Details",$F28,"")</f>
        <v/>
      </c>
      <c r="AD28" s="46" t="str">
        <f aca="false">IF($D28="Panel Details",'Survey Response'!$D26,"")</f>
        <v/>
      </c>
      <c r="AE28" s="46" t="str">
        <f aca="false">IF($D28="Panel Details",'Survey Response'!$E26,"")</f>
        <v/>
      </c>
      <c r="AF28" s="46" t="str">
        <f aca="false">IF($D28="Panel Details",'Survey Response'!$G26,"")</f>
        <v/>
      </c>
      <c r="AG28" s="46" t="str">
        <f aca="false">IF($D28="Panel Details",IF($Z28="Primary",$J28,$L28),"")</f>
        <v/>
      </c>
      <c r="AH28" s="46" t="str">
        <f aca="false">IF($D28="Panel Details",IF($Z28="Primary",$L28,$J28),"")</f>
        <v/>
      </c>
      <c r="AI28" s="46" t="str">
        <f aca="false">IF($D28="Panel Details",'Survey Response'!$H26,"")</f>
        <v/>
      </c>
      <c r="AJ28" s="46" t="str">
        <f aca="false">IF($D28="Panel Details",'Survey Response'!$M26,"")</f>
        <v/>
      </c>
      <c r="AK28" s="46" t="str">
        <f aca="false">IF($D28="Panel Details",$O28,"")</f>
        <v/>
      </c>
      <c r="AL28" s="46" t="str">
        <f aca="false">IF($D28="Panel Details",8,"")</f>
        <v/>
      </c>
      <c r="AM28" s="46" t="str">
        <f aca="false">IF($D28="Panel Details",$AB28,"")</f>
        <v/>
      </c>
      <c r="AN28" s="46" t="str">
        <f aca="false">IF($D28="Panel Details","Yes","")</f>
        <v/>
      </c>
      <c r="AO28" s="46"/>
      <c r="AP28" s="46" t="str">
        <f aca="false">IF($D28="Followup",'Survey Response'!$D26,"")</f>
        <v/>
      </c>
      <c r="AQ28" s="46" t="str">
        <f aca="false">IF($D28="Followup",'Survey Response'!$E26,"")</f>
        <v/>
      </c>
      <c r="AR28" s="46" t="str">
        <f aca="false">IF($D28="Followup",'Survey Response'!$G26,"")</f>
        <v/>
      </c>
      <c r="AS28" s="46" t="str">
        <f aca="false">IF($D28="Followup",'Survey Response'!$H26,"")</f>
        <v/>
      </c>
      <c r="AT28" s="46" t="str">
        <f aca="false">IF($D28="Followup",'Survey Response'!$M26,"")</f>
        <v/>
      </c>
      <c r="AU28" s="46" t="str">
        <f aca="false">IF($D28="Followup",'Survey Response'!$K26,"")</f>
        <v/>
      </c>
      <c r="AV28" s="46" t="str">
        <f aca="false">IF($D28="Followup",'Survey Response'!$L26,"")</f>
        <v/>
      </c>
      <c r="AW28" s="46" t="str">
        <f aca="false">IF($D28="Followup",IF(AND($P28&lt;&gt;"Yes",$U28&lt;&gt;"Yes"),"Not approved for primary or secondary skill","Approved, but skill(s) no longer have capacity (fully staffed)"),"")</f>
        <v/>
      </c>
    </row>
    <row r="29" customFormat="false" ht="15" hidden="false" customHeight="true" outlineLevel="0" collapsed="false">
      <c r="A29" s="46" t="str">
        <f aca="false">IF('Survey Response'!$D27="","",'Survey Response'!$A27&amp;"|"&amp;LOWER(TRIM('Survey Response'!$D27)))</f>
        <v/>
      </c>
      <c r="B29" s="46" t="str">
        <f aca="false">IF($H29="","",$F29&amp;"|"&amp;$H29)</f>
        <v/>
      </c>
      <c r="C29" s="46" t="str">
        <f aca="false">IF($H29="","",$A29=$B29)</f>
        <v/>
      </c>
      <c r="D29" s="46" t="str">
        <f aca="false">IF($H29="","",IF($E29&lt;&gt;"Yes","Superseded",IF($I29&lt;&gt;"Yes, I'm available for in-person interviews at Chennai","Not Available",IF($Z29&lt;&gt;"","Panel Details","Followup"))))</f>
        <v/>
      </c>
      <c r="E29" s="46" t="str">
        <f aca="false">IF($H29="","",IF(SUMPRODUCT(($H$4:$H$503=$H29)*(($G$4:$G$503&gt;$G29)+($G$4:$G$503=$G29)*($F$4:$F$503&gt;$F29)))=0,"Yes","No"))</f>
        <v/>
      </c>
      <c r="F29" s="47" t="str">
        <f aca="false">IF('Survey Response'!$D27="","",INT('Survey Response'!$A27))</f>
        <v/>
      </c>
      <c r="G29" s="48" t="str">
        <f aca="false">IF('Survey Response'!$D27="","",'Survey Response'!$C27)</f>
        <v/>
      </c>
      <c r="H29" s="46" t="str">
        <f aca="false">IF('Survey Response'!$D27="","",LOWER(TRIM('Survey Response'!$D27)))</f>
        <v/>
      </c>
      <c r="I29" s="46" t="str">
        <f aca="false">IF($H29="","",'Survey Response'!$I27)</f>
        <v/>
      </c>
      <c r="J29" s="46" t="str">
        <f aca="false">IF($H29="","",'Survey Response'!$K27)</f>
        <v/>
      </c>
      <c r="K29" s="46" t="str">
        <f aca="false">IF($J29="","",IF(COUNTIF('Skill Mapping'!$A$2:$A$7,TRIM($J29))=0,"",INDEX('Skill Mapping'!$B$2:$B$7,MATCH(TRIM($J29),'Skill Mapping'!$A$2:$A$7,0))))</f>
        <v/>
      </c>
      <c r="L29" s="46" t="str">
        <f aca="false">IF($H29="","",'Survey Response'!$L27)</f>
        <v/>
      </c>
      <c r="M29" s="46" t="str">
        <f aca="false">IF($L29="","",IF(COUNTIF('Skill Mapping'!$A$2:$A$7,TRIM($L29))=0,"",INDEX('Skill Mapping'!$B$2:$B$7,MATCH(TRIM($L29),'Skill Mapping'!$A$2:$A$7,0))))</f>
        <v/>
      </c>
      <c r="N29" s="46" t="str">
        <f aca="false">IF($H29="","",'Survey Response'!$M27)</f>
        <v/>
      </c>
      <c r="O29" s="46" t="str">
        <f aca="false">IF($H29="","",IF('Survey Response'!$M27="Manager","R2","R1"))</f>
        <v/>
      </c>
      <c r="P29" s="46" t="str">
        <f aca="false">IF($K29="","No",IF(COUNTIFS(MasterPanel!$B:$B,$H29,MasterPanel!$I:$I,$K29,MasterPanel!$K:$K,"Y")&gt;0,"Yes","No"))</f>
        <v>No</v>
      </c>
      <c r="Q29" s="46" t="n">
        <f aca="false">IF($K29="",0,IF(COUNTIF('Gap Sheet'!$A$6:$A$11,TRIM($J29))=0,0,IF($O29="R1",INDEX('Gap Sheet'!$C$6:$C$11,MATCH(TRIM($J29),'Gap Sheet'!$A$6:$A$11,0)),INDEX('Gap Sheet'!$G$6:$G$11,MATCH(TRIM($J29),'Gap Sheet'!$A$6:$A$11,0)))))</f>
        <v>0</v>
      </c>
      <c r="R29" s="46" t="str">
        <f aca="false">IF($K29="","",$K29&amp;"|"&amp;$O29)</f>
        <v/>
      </c>
      <c r="S29" s="46" t="n">
        <f aca="false">IF($R29="",0,COUNTIF($AA$4:$AA28,$R29))</f>
        <v>0</v>
      </c>
      <c r="T29" s="46" t="str">
        <f aca="false">IF(OR($I29&lt;&gt;"Yes, I'm available for in-person interviews at Chennai",$E29&lt;&gt;"Yes",$P29&lt;&gt;"Yes"),"No",IF(($Q29-$S29)&gt;0,"Yes","No"))</f>
        <v>No</v>
      </c>
      <c r="U29" s="46" t="str">
        <f aca="false">IF($M29="","No",IF(COUNTIFS(MasterPanel!$B:$B,$H29,MasterPanel!$I:$I,$M29,MasterPanel!$K:$K,"Y")&gt;0,"Yes","No"))</f>
        <v>No</v>
      </c>
      <c r="V29" s="46" t="n">
        <f aca="false">IF($M29="",0,IF(COUNTIF('Gap Sheet'!$A$6:$A$11,TRIM($L29))=0,0,IF($O29="R1",INDEX('Gap Sheet'!$C$6:$C$11,MATCH(TRIM($L29),'Gap Sheet'!$A$6:$A$11,0)),INDEX('Gap Sheet'!$G$6:$G$11,MATCH(TRIM($L29),'Gap Sheet'!$A$6:$A$11,0)))))</f>
        <v>0</v>
      </c>
      <c r="W29" s="46" t="str">
        <f aca="false">IF($M29="","",$M29&amp;"|"&amp;$O29)</f>
        <v/>
      </c>
      <c r="X29" s="46" t="n">
        <f aca="false">IF($W29="",0,COUNTIF($AA$4:$AA28,$W29))</f>
        <v>0</v>
      </c>
      <c r="Y29" s="46" t="str">
        <f aca="false">IF(OR($I29&lt;&gt;"Yes, I'm available for in-person interviews at Chennai",$E29&lt;&gt;"Yes",$T29="Yes",$U29&lt;&gt;"Yes"),"No",IF(($V29-$X29)&gt;0,"Yes","No"))</f>
        <v>No</v>
      </c>
      <c r="Z29" s="46" t="str">
        <f aca="false">IF($T29="Yes","Primary",IF($Y29="Yes","Secondary",""))</f>
        <v/>
      </c>
      <c r="AA29" s="46" t="str">
        <f aca="false">IF($Z29="Primary",$R29,IF($Z29="Secondary",$W29,""))</f>
        <v/>
      </c>
      <c r="AB29" s="46" t="str">
        <f aca="false">IF($Z29="Primary","Matched on primary skill",IF($Z29="Secondary","Matched on secondary skill (primary not approved or not required)",""))</f>
        <v/>
      </c>
      <c r="AC29" s="47" t="str">
        <f aca="false">IF($D29="Panel Details",$F29,"")</f>
        <v/>
      </c>
      <c r="AD29" s="46" t="str">
        <f aca="false">IF($D29="Panel Details",'Survey Response'!$D27,"")</f>
        <v/>
      </c>
      <c r="AE29" s="46" t="str">
        <f aca="false">IF($D29="Panel Details",'Survey Response'!$E27,"")</f>
        <v/>
      </c>
      <c r="AF29" s="46" t="str">
        <f aca="false">IF($D29="Panel Details",'Survey Response'!$G27,"")</f>
        <v/>
      </c>
      <c r="AG29" s="46" t="str">
        <f aca="false">IF($D29="Panel Details",IF($Z29="Primary",$J29,$L29),"")</f>
        <v/>
      </c>
      <c r="AH29" s="46" t="str">
        <f aca="false">IF($D29="Panel Details",IF($Z29="Primary",$L29,$J29),"")</f>
        <v/>
      </c>
      <c r="AI29" s="46" t="str">
        <f aca="false">IF($D29="Panel Details",'Survey Response'!$H27,"")</f>
        <v/>
      </c>
      <c r="AJ29" s="46" t="str">
        <f aca="false">IF($D29="Panel Details",'Survey Response'!$M27,"")</f>
        <v/>
      </c>
      <c r="AK29" s="46" t="str">
        <f aca="false">IF($D29="Panel Details",$O29,"")</f>
        <v/>
      </c>
      <c r="AL29" s="46" t="str">
        <f aca="false">IF($D29="Panel Details",8,"")</f>
        <v/>
      </c>
      <c r="AM29" s="46" t="str">
        <f aca="false">IF($D29="Panel Details",$AB29,"")</f>
        <v/>
      </c>
      <c r="AN29" s="46" t="str">
        <f aca="false">IF($D29="Panel Details","Yes","")</f>
        <v/>
      </c>
      <c r="AO29" s="46"/>
      <c r="AP29" s="46" t="str">
        <f aca="false">IF($D29="Followup",'Survey Response'!$D27,"")</f>
        <v/>
      </c>
      <c r="AQ29" s="46" t="str">
        <f aca="false">IF($D29="Followup",'Survey Response'!$E27,"")</f>
        <v/>
      </c>
      <c r="AR29" s="46" t="str">
        <f aca="false">IF($D29="Followup",'Survey Response'!$G27,"")</f>
        <v/>
      </c>
      <c r="AS29" s="46" t="str">
        <f aca="false">IF($D29="Followup",'Survey Response'!$H27,"")</f>
        <v/>
      </c>
      <c r="AT29" s="46" t="str">
        <f aca="false">IF($D29="Followup",'Survey Response'!$M27,"")</f>
        <v/>
      </c>
      <c r="AU29" s="46" t="str">
        <f aca="false">IF($D29="Followup",'Survey Response'!$K27,"")</f>
        <v/>
      </c>
      <c r="AV29" s="46" t="str">
        <f aca="false">IF($D29="Followup",'Survey Response'!$L27,"")</f>
        <v/>
      </c>
      <c r="AW29" s="46" t="str">
        <f aca="false">IF($D29="Followup",IF(AND($P29&lt;&gt;"Yes",$U29&lt;&gt;"Yes"),"Not approved for primary or secondary skill","Approved, but skill(s) no longer have capacity (fully staffed)"),"")</f>
        <v/>
      </c>
    </row>
    <row r="30" customFormat="false" ht="15" hidden="false" customHeight="true" outlineLevel="0" collapsed="false">
      <c r="A30" s="46" t="str">
        <f aca="false">IF('Survey Response'!$D28="","",'Survey Response'!$A28&amp;"|"&amp;LOWER(TRIM('Survey Response'!$D28)))</f>
        <v/>
      </c>
      <c r="B30" s="46" t="str">
        <f aca="false">IF($H30="","",$F30&amp;"|"&amp;$H30)</f>
        <v/>
      </c>
      <c r="C30" s="46" t="str">
        <f aca="false">IF($H30="","",$A30=$B30)</f>
        <v/>
      </c>
      <c r="D30" s="46" t="str">
        <f aca="false">IF($H30="","",IF($E30&lt;&gt;"Yes","Superseded",IF($I30&lt;&gt;"Yes, I'm available for in-person interviews at Chennai","Not Available",IF($Z30&lt;&gt;"","Panel Details","Followup"))))</f>
        <v/>
      </c>
      <c r="E30" s="46" t="str">
        <f aca="false">IF($H30="","",IF(SUMPRODUCT(($H$4:$H$503=$H30)*(($G$4:$G$503&gt;$G30)+($G$4:$G$503=$G30)*($F$4:$F$503&gt;$F30)))=0,"Yes","No"))</f>
        <v/>
      </c>
      <c r="F30" s="47" t="str">
        <f aca="false">IF('Survey Response'!$D28="","",INT('Survey Response'!$A28))</f>
        <v/>
      </c>
      <c r="G30" s="48" t="str">
        <f aca="false">IF('Survey Response'!$D28="","",'Survey Response'!$C28)</f>
        <v/>
      </c>
      <c r="H30" s="46" t="str">
        <f aca="false">IF('Survey Response'!$D28="","",LOWER(TRIM('Survey Response'!$D28)))</f>
        <v/>
      </c>
      <c r="I30" s="46" t="str">
        <f aca="false">IF($H30="","",'Survey Response'!$I28)</f>
        <v/>
      </c>
      <c r="J30" s="46" t="str">
        <f aca="false">IF($H30="","",'Survey Response'!$K28)</f>
        <v/>
      </c>
      <c r="K30" s="46" t="str">
        <f aca="false">IF($J30="","",IF(COUNTIF('Skill Mapping'!$A$2:$A$7,TRIM($J30))=0,"",INDEX('Skill Mapping'!$B$2:$B$7,MATCH(TRIM($J30),'Skill Mapping'!$A$2:$A$7,0))))</f>
        <v/>
      </c>
      <c r="L30" s="46" t="str">
        <f aca="false">IF($H30="","",'Survey Response'!$L28)</f>
        <v/>
      </c>
      <c r="M30" s="46" t="str">
        <f aca="false">IF($L30="","",IF(COUNTIF('Skill Mapping'!$A$2:$A$7,TRIM($L30))=0,"",INDEX('Skill Mapping'!$B$2:$B$7,MATCH(TRIM($L30),'Skill Mapping'!$A$2:$A$7,0))))</f>
        <v/>
      </c>
      <c r="N30" s="46" t="str">
        <f aca="false">IF($H30="","",'Survey Response'!$M28)</f>
        <v/>
      </c>
      <c r="O30" s="46" t="str">
        <f aca="false">IF($H30="","",IF('Survey Response'!$M28="Manager","R2","R1"))</f>
        <v/>
      </c>
      <c r="P30" s="46" t="str">
        <f aca="false">IF($K30="","No",IF(COUNTIFS(MasterPanel!$B:$B,$H30,MasterPanel!$I:$I,$K30,MasterPanel!$K:$K,"Y")&gt;0,"Yes","No"))</f>
        <v>No</v>
      </c>
      <c r="Q30" s="46" t="n">
        <f aca="false">IF($K30="",0,IF(COUNTIF('Gap Sheet'!$A$6:$A$11,TRIM($J30))=0,0,IF($O30="R1",INDEX('Gap Sheet'!$C$6:$C$11,MATCH(TRIM($J30),'Gap Sheet'!$A$6:$A$11,0)),INDEX('Gap Sheet'!$G$6:$G$11,MATCH(TRIM($J30),'Gap Sheet'!$A$6:$A$11,0)))))</f>
        <v>0</v>
      </c>
      <c r="R30" s="46" t="str">
        <f aca="false">IF($K30="","",$K30&amp;"|"&amp;$O30)</f>
        <v/>
      </c>
      <c r="S30" s="46" t="n">
        <f aca="false">IF($R30="",0,COUNTIF($AA$4:$AA29,$R30))</f>
        <v>0</v>
      </c>
      <c r="T30" s="46" t="str">
        <f aca="false">IF(OR($I30&lt;&gt;"Yes, I'm available for in-person interviews at Chennai",$E30&lt;&gt;"Yes",$P30&lt;&gt;"Yes"),"No",IF(($Q30-$S30)&gt;0,"Yes","No"))</f>
        <v>No</v>
      </c>
      <c r="U30" s="46" t="str">
        <f aca="false">IF($M30="","No",IF(COUNTIFS(MasterPanel!$B:$B,$H30,MasterPanel!$I:$I,$M30,MasterPanel!$K:$K,"Y")&gt;0,"Yes","No"))</f>
        <v>No</v>
      </c>
      <c r="V30" s="46" t="n">
        <f aca="false">IF($M30="",0,IF(COUNTIF('Gap Sheet'!$A$6:$A$11,TRIM($L30))=0,0,IF($O30="R1",INDEX('Gap Sheet'!$C$6:$C$11,MATCH(TRIM($L30),'Gap Sheet'!$A$6:$A$11,0)),INDEX('Gap Sheet'!$G$6:$G$11,MATCH(TRIM($L30),'Gap Sheet'!$A$6:$A$11,0)))))</f>
        <v>0</v>
      </c>
      <c r="W30" s="46" t="str">
        <f aca="false">IF($M30="","",$M30&amp;"|"&amp;$O30)</f>
        <v/>
      </c>
      <c r="X30" s="46" t="n">
        <f aca="false">IF($W30="",0,COUNTIF($AA$4:$AA29,$W30))</f>
        <v>0</v>
      </c>
      <c r="Y30" s="46" t="str">
        <f aca="false">IF(OR($I30&lt;&gt;"Yes, I'm available for in-person interviews at Chennai",$E30&lt;&gt;"Yes",$T30="Yes",$U30&lt;&gt;"Yes"),"No",IF(($V30-$X30)&gt;0,"Yes","No"))</f>
        <v>No</v>
      </c>
      <c r="Z30" s="46" t="str">
        <f aca="false">IF($T30="Yes","Primary",IF($Y30="Yes","Secondary",""))</f>
        <v/>
      </c>
      <c r="AA30" s="46" t="str">
        <f aca="false">IF($Z30="Primary",$R30,IF($Z30="Secondary",$W30,""))</f>
        <v/>
      </c>
      <c r="AB30" s="46" t="str">
        <f aca="false">IF($Z30="Primary","Matched on primary skill",IF($Z30="Secondary","Matched on secondary skill (primary not approved or not required)",""))</f>
        <v/>
      </c>
      <c r="AC30" s="47" t="str">
        <f aca="false">IF($D30="Panel Details",$F30,"")</f>
        <v/>
      </c>
      <c r="AD30" s="46" t="str">
        <f aca="false">IF($D30="Panel Details",'Survey Response'!$D28,"")</f>
        <v/>
      </c>
      <c r="AE30" s="46" t="str">
        <f aca="false">IF($D30="Panel Details",'Survey Response'!$E28,"")</f>
        <v/>
      </c>
      <c r="AF30" s="46" t="str">
        <f aca="false">IF($D30="Panel Details",'Survey Response'!$G28,"")</f>
        <v/>
      </c>
      <c r="AG30" s="46" t="str">
        <f aca="false">IF($D30="Panel Details",IF($Z30="Primary",$J30,$L30),"")</f>
        <v/>
      </c>
      <c r="AH30" s="46" t="str">
        <f aca="false">IF($D30="Panel Details",IF($Z30="Primary",$L30,$J30),"")</f>
        <v/>
      </c>
      <c r="AI30" s="46" t="str">
        <f aca="false">IF($D30="Panel Details",'Survey Response'!$H28,"")</f>
        <v/>
      </c>
      <c r="AJ30" s="46" t="str">
        <f aca="false">IF($D30="Panel Details",'Survey Response'!$M28,"")</f>
        <v/>
      </c>
      <c r="AK30" s="46" t="str">
        <f aca="false">IF($D30="Panel Details",$O30,"")</f>
        <v/>
      </c>
      <c r="AL30" s="46" t="str">
        <f aca="false">IF($D30="Panel Details",8,"")</f>
        <v/>
      </c>
      <c r="AM30" s="46" t="str">
        <f aca="false">IF($D30="Panel Details",$AB30,"")</f>
        <v/>
      </c>
      <c r="AN30" s="46" t="str">
        <f aca="false">IF($D30="Panel Details","Yes","")</f>
        <v/>
      </c>
      <c r="AO30" s="46"/>
      <c r="AP30" s="46" t="str">
        <f aca="false">IF($D30="Followup",'Survey Response'!$D28,"")</f>
        <v/>
      </c>
      <c r="AQ30" s="46" t="str">
        <f aca="false">IF($D30="Followup",'Survey Response'!$E28,"")</f>
        <v/>
      </c>
      <c r="AR30" s="46" t="str">
        <f aca="false">IF($D30="Followup",'Survey Response'!$G28,"")</f>
        <v/>
      </c>
      <c r="AS30" s="46" t="str">
        <f aca="false">IF($D30="Followup",'Survey Response'!$H28,"")</f>
        <v/>
      </c>
      <c r="AT30" s="46" t="str">
        <f aca="false">IF($D30="Followup",'Survey Response'!$M28,"")</f>
        <v/>
      </c>
      <c r="AU30" s="46" t="str">
        <f aca="false">IF($D30="Followup",'Survey Response'!$K28,"")</f>
        <v/>
      </c>
      <c r="AV30" s="46" t="str">
        <f aca="false">IF($D30="Followup",'Survey Response'!$L28,"")</f>
        <v/>
      </c>
      <c r="AW30" s="46" t="str">
        <f aca="false">IF($D30="Followup",IF(AND($P30&lt;&gt;"Yes",$U30&lt;&gt;"Yes"),"Not approved for primary or secondary skill","Approved, but skill(s) no longer have capacity (fully staffed)"),"")</f>
        <v/>
      </c>
    </row>
    <row r="31" customFormat="false" ht="15" hidden="false" customHeight="true" outlineLevel="0" collapsed="false">
      <c r="A31" s="46" t="str">
        <f aca="false">IF('Survey Response'!$D29="","",'Survey Response'!$A29&amp;"|"&amp;LOWER(TRIM('Survey Response'!$D29)))</f>
        <v/>
      </c>
      <c r="B31" s="46" t="str">
        <f aca="false">IF($H31="","",$F31&amp;"|"&amp;$H31)</f>
        <v/>
      </c>
      <c r="C31" s="46" t="str">
        <f aca="false">IF($H31="","",$A31=$B31)</f>
        <v/>
      </c>
      <c r="D31" s="46" t="str">
        <f aca="false">IF($H31="","",IF($E31&lt;&gt;"Yes","Superseded",IF($I31&lt;&gt;"Yes, I'm available for in-person interviews at Chennai","Not Available",IF($Z31&lt;&gt;"","Panel Details","Followup"))))</f>
        <v/>
      </c>
      <c r="E31" s="46" t="str">
        <f aca="false">IF($H31="","",IF(SUMPRODUCT(($H$4:$H$503=$H31)*(($G$4:$G$503&gt;$G31)+($G$4:$G$503=$G31)*($F$4:$F$503&gt;$F31)))=0,"Yes","No"))</f>
        <v/>
      </c>
      <c r="F31" s="47" t="str">
        <f aca="false">IF('Survey Response'!$D29="","",INT('Survey Response'!$A29))</f>
        <v/>
      </c>
      <c r="G31" s="48" t="str">
        <f aca="false">IF('Survey Response'!$D29="","",'Survey Response'!$C29)</f>
        <v/>
      </c>
      <c r="H31" s="46" t="str">
        <f aca="false">IF('Survey Response'!$D29="","",LOWER(TRIM('Survey Response'!$D29)))</f>
        <v/>
      </c>
      <c r="I31" s="46" t="str">
        <f aca="false">IF($H31="","",'Survey Response'!$I29)</f>
        <v/>
      </c>
      <c r="J31" s="46" t="str">
        <f aca="false">IF($H31="","",'Survey Response'!$K29)</f>
        <v/>
      </c>
      <c r="K31" s="46" t="str">
        <f aca="false">IF($J31="","",IF(COUNTIF('Skill Mapping'!$A$2:$A$7,TRIM($J31))=0,"",INDEX('Skill Mapping'!$B$2:$B$7,MATCH(TRIM($J31),'Skill Mapping'!$A$2:$A$7,0))))</f>
        <v/>
      </c>
      <c r="L31" s="46" t="str">
        <f aca="false">IF($H31="","",'Survey Response'!$L29)</f>
        <v/>
      </c>
      <c r="M31" s="46" t="str">
        <f aca="false">IF($L31="","",IF(COUNTIF('Skill Mapping'!$A$2:$A$7,TRIM($L31))=0,"",INDEX('Skill Mapping'!$B$2:$B$7,MATCH(TRIM($L31),'Skill Mapping'!$A$2:$A$7,0))))</f>
        <v/>
      </c>
      <c r="N31" s="46" t="str">
        <f aca="false">IF($H31="","",'Survey Response'!$M29)</f>
        <v/>
      </c>
      <c r="O31" s="46" t="str">
        <f aca="false">IF($H31="","",IF('Survey Response'!$M29="Manager","R2","R1"))</f>
        <v/>
      </c>
      <c r="P31" s="46" t="str">
        <f aca="false">IF($K31="","No",IF(COUNTIFS(MasterPanel!$B:$B,$H31,MasterPanel!$I:$I,$K31,MasterPanel!$K:$K,"Y")&gt;0,"Yes","No"))</f>
        <v>No</v>
      </c>
      <c r="Q31" s="46" t="n">
        <f aca="false">IF($K31="",0,IF(COUNTIF('Gap Sheet'!$A$6:$A$11,TRIM($J31))=0,0,IF($O31="R1",INDEX('Gap Sheet'!$C$6:$C$11,MATCH(TRIM($J31),'Gap Sheet'!$A$6:$A$11,0)),INDEX('Gap Sheet'!$G$6:$G$11,MATCH(TRIM($J31),'Gap Sheet'!$A$6:$A$11,0)))))</f>
        <v>0</v>
      </c>
      <c r="R31" s="46" t="str">
        <f aca="false">IF($K31="","",$K31&amp;"|"&amp;$O31)</f>
        <v/>
      </c>
      <c r="S31" s="46" t="n">
        <f aca="false">IF($R31="",0,COUNTIF($AA$4:$AA30,$R31))</f>
        <v>0</v>
      </c>
      <c r="T31" s="46" t="str">
        <f aca="false">IF(OR($I31&lt;&gt;"Yes, I'm available for in-person interviews at Chennai",$E31&lt;&gt;"Yes",$P31&lt;&gt;"Yes"),"No",IF(($Q31-$S31)&gt;0,"Yes","No"))</f>
        <v>No</v>
      </c>
      <c r="U31" s="46" t="str">
        <f aca="false">IF($M31="","No",IF(COUNTIFS(MasterPanel!$B:$B,$H31,MasterPanel!$I:$I,$M31,MasterPanel!$K:$K,"Y")&gt;0,"Yes","No"))</f>
        <v>No</v>
      </c>
      <c r="V31" s="46" t="n">
        <f aca="false">IF($M31="",0,IF(COUNTIF('Gap Sheet'!$A$6:$A$11,TRIM($L31))=0,0,IF($O31="R1",INDEX('Gap Sheet'!$C$6:$C$11,MATCH(TRIM($L31),'Gap Sheet'!$A$6:$A$11,0)),INDEX('Gap Sheet'!$G$6:$G$11,MATCH(TRIM($L31),'Gap Sheet'!$A$6:$A$11,0)))))</f>
        <v>0</v>
      </c>
      <c r="W31" s="46" t="str">
        <f aca="false">IF($M31="","",$M31&amp;"|"&amp;$O31)</f>
        <v/>
      </c>
      <c r="X31" s="46" t="n">
        <f aca="false">IF($W31="",0,COUNTIF($AA$4:$AA30,$W31))</f>
        <v>0</v>
      </c>
      <c r="Y31" s="46" t="str">
        <f aca="false">IF(OR($I31&lt;&gt;"Yes, I'm available for in-person interviews at Chennai",$E31&lt;&gt;"Yes",$T31="Yes",$U31&lt;&gt;"Yes"),"No",IF(($V31-$X31)&gt;0,"Yes","No"))</f>
        <v>No</v>
      </c>
      <c r="Z31" s="46" t="str">
        <f aca="false">IF($T31="Yes","Primary",IF($Y31="Yes","Secondary",""))</f>
        <v/>
      </c>
      <c r="AA31" s="46" t="str">
        <f aca="false">IF($Z31="Primary",$R31,IF($Z31="Secondary",$W31,""))</f>
        <v/>
      </c>
      <c r="AB31" s="46" t="str">
        <f aca="false">IF($Z31="Primary","Matched on primary skill",IF($Z31="Secondary","Matched on secondary skill (primary not approved or not required)",""))</f>
        <v/>
      </c>
      <c r="AC31" s="47" t="str">
        <f aca="false">IF($D31="Panel Details",$F31,"")</f>
        <v/>
      </c>
      <c r="AD31" s="46" t="str">
        <f aca="false">IF($D31="Panel Details",'Survey Response'!$D29,"")</f>
        <v/>
      </c>
      <c r="AE31" s="46" t="str">
        <f aca="false">IF($D31="Panel Details",'Survey Response'!$E29,"")</f>
        <v/>
      </c>
      <c r="AF31" s="46" t="str">
        <f aca="false">IF($D31="Panel Details",'Survey Response'!$G29,"")</f>
        <v/>
      </c>
      <c r="AG31" s="46" t="str">
        <f aca="false">IF($D31="Panel Details",IF($Z31="Primary",$J31,$L31),"")</f>
        <v/>
      </c>
      <c r="AH31" s="46" t="str">
        <f aca="false">IF($D31="Panel Details",IF($Z31="Primary",$L31,$J31),"")</f>
        <v/>
      </c>
      <c r="AI31" s="46" t="str">
        <f aca="false">IF($D31="Panel Details",'Survey Response'!$H29,"")</f>
        <v/>
      </c>
      <c r="AJ31" s="46" t="str">
        <f aca="false">IF($D31="Panel Details",'Survey Response'!$M29,"")</f>
        <v/>
      </c>
      <c r="AK31" s="46" t="str">
        <f aca="false">IF($D31="Panel Details",$O31,"")</f>
        <v/>
      </c>
      <c r="AL31" s="46" t="str">
        <f aca="false">IF($D31="Panel Details",8,"")</f>
        <v/>
      </c>
      <c r="AM31" s="46" t="str">
        <f aca="false">IF($D31="Panel Details",$AB31,"")</f>
        <v/>
      </c>
      <c r="AN31" s="46" t="str">
        <f aca="false">IF($D31="Panel Details","Yes","")</f>
        <v/>
      </c>
      <c r="AO31" s="46"/>
      <c r="AP31" s="46" t="str">
        <f aca="false">IF($D31="Followup",'Survey Response'!$D29,"")</f>
        <v/>
      </c>
      <c r="AQ31" s="46" t="str">
        <f aca="false">IF($D31="Followup",'Survey Response'!$E29,"")</f>
        <v/>
      </c>
      <c r="AR31" s="46" t="str">
        <f aca="false">IF($D31="Followup",'Survey Response'!$G29,"")</f>
        <v/>
      </c>
      <c r="AS31" s="46" t="str">
        <f aca="false">IF($D31="Followup",'Survey Response'!$H29,"")</f>
        <v/>
      </c>
      <c r="AT31" s="46" t="str">
        <f aca="false">IF($D31="Followup",'Survey Response'!$M29,"")</f>
        <v/>
      </c>
      <c r="AU31" s="46" t="str">
        <f aca="false">IF($D31="Followup",'Survey Response'!$K29,"")</f>
        <v/>
      </c>
      <c r="AV31" s="46" t="str">
        <f aca="false">IF($D31="Followup",'Survey Response'!$L29,"")</f>
        <v/>
      </c>
      <c r="AW31" s="46" t="str">
        <f aca="false">IF($D31="Followup",IF(AND($P31&lt;&gt;"Yes",$U31&lt;&gt;"Yes"),"Not approved for primary or secondary skill","Approved, but skill(s) no longer have capacity (fully staffed)"),"")</f>
        <v/>
      </c>
    </row>
    <row r="32" customFormat="false" ht="15" hidden="false" customHeight="true" outlineLevel="0" collapsed="false">
      <c r="A32" s="46" t="str">
        <f aca="false">IF('Survey Response'!$D30="","",'Survey Response'!$A30&amp;"|"&amp;LOWER(TRIM('Survey Response'!$D30)))</f>
        <v/>
      </c>
      <c r="B32" s="46" t="str">
        <f aca="false">IF($H32="","",$F32&amp;"|"&amp;$H32)</f>
        <v/>
      </c>
      <c r="C32" s="46" t="str">
        <f aca="false">IF($H32="","",$A32=$B32)</f>
        <v/>
      </c>
      <c r="D32" s="46" t="str">
        <f aca="false">IF($H32="","",IF($E32&lt;&gt;"Yes","Superseded",IF($I32&lt;&gt;"Yes, I'm available for in-person interviews at Chennai","Not Available",IF($Z32&lt;&gt;"","Panel Details","Followup"))))</f>
        <v/>
      </c>
      <c r="E32" s="46" t="str">
        <f aca="false">IF($H32="","",IF(SUMPRODUCT(($H$4:$H$503=$H32)*(($G$4:$G$503&gt;$G32)+($G$4:$G$503=$G32)*($F$4:$F$503&gt;$F32)))=0,"Yes","No"))</f>
        <v/>
      </c>
      <c r="F32" s="47" t="str">
        <f aca="false">IF('Survey Response'!$D30="","",INT('Survey Response'!$A30))</f>
        <v/>
      </c>
      <c r="G32" s="48" t="str">
        <f aca="false">IF('Survey Response'!$D30="","",'Survey Response'!$C30)</f>
        <v/>
      </c>
      <c r="H32" s="46" t="str">
        <f aca="false">IF('Survey Response'!$D30="","",LOWER(TRIM('Survey Response'!$D30)))</f>
        <v/>
      </c>
      <c r="I32" s="46" t="str">
        <f aca="false">IF($H32="","",'Survey Response'!$I30)</f>
        <v/>
      </c>
      <c r="J32" s="46" t="str">
        <f aca="false">IF($H32="","",'Survey Response'!$K30)</f>
        <v/>
      </c>
      <c r="K32" s="46" t="str">
        <f aca="false">IF($J32="","",IF(COUNTIF('Skill Mapping'!$A$2:$A$7,TRIM($J32))=0,"",INDEX('Skill Mapping'!$B$2:$B$7,MATCH(TRIM($J32),'Skill Mapping'!$A$2:$A$7,0))))</f>
        <v/>
      </c>
      <c r="L32" s="46" t="str">
        <f aca="false">IF($H32="","",'Survey Response'!$L30)</f>
        <v/>
      </c>
      <c r="M32" s="46" t="str">
        <f aca="false">IF($L32="","",IF(COUNTIF('Skill Mapping'!$A$2:$A$7,TRIM($L32))=0,"",INDEX('Skill Mapping'!$B$2:$B$7,MATCH(TRIM($L32),'Skill Mapping'!$A$2:$A$7,0))))</f>
        <v/>
      </c>
      <c r="N32" s="46" t="str">
        <f aca="false">IF($H32="","",'Survey Response'!$M30)</f>
        <v/>
      </c>
      <c r="O32" s="46" t="str">
        <f aca="false">IF($H32="","",IF('Survey Response'!$M30="Manager","R2","R1"))</f>
        <v/>
      </c>
      <c r="P32" s="46" t="str">
        <f aca="false">IF($K32="","No",IF(COUNTIFS(MasterPanel!$B:$B,$H32,MasterPanel!$I:$I,$K32,MasterPanel!$K:$K,"Y")&gt;0,"Yes","No"))</f>
        <v>No</v>
      </c>
      <c r="Q32" s="46" t="n">
        <f aca="false">IF($K32="",0,IF(COUNTIF('Gap Sheet'!$A$6:$A$11,TRIM($J32))=0,0,IF($O32="R1",INDEX('Gap Sheet'!$C$6:$C$11,MATCH(TRIM($J32),'Gap Sheet'!$A$6:$A$11,0)),INDEX('Gap Sheet'!$G$6:$G$11,MATCH(TRIM($J32),'Gap Sheet'!$A$6:$A$11,0)))))</f>
        <v>0</v>
      </c>
      <c r="R32" s="46" t="str">
        <f aca="false">IF($K32="","",$K32&amp;"|"&amp;$O32)</f>
        <v/>
      </c>
      <c r="S32" s="46" t="n">
        <f aca="false">IF($R32="",0,COUNTIF($AA$4:$AA31,$R32))</f>
        <v>0</v>
      </c>
      <c r="T32" s="46" t="str">
        <f aca="false">IF(OR($I32&lt;&gt;"Yes, I'm available for in-person interviews at Chennai",$E32&lt;&gt;"Yes",$P32&lt;&gt;"Yes"),"No",IF(($Q32-$S32)&gt;0,"Yes","No"))</f>
        <v>No</v>
      </c>
      <c r="U32" s="46" t="str">
        <f aca="false">IF($M32="","No",IF(COUNTIFS(MasterPanel!$B:$B,$H32,MasterPanel!$I:$I,$M32,MasterPanel!$K:$K,"Y")&gt;0,"Yes","No"))</f>
        <v>No</v>
      </c>
      <c r="V32" s="46" t="n">
        <f aca="false">IF($M32="",0,IF(COUNTIF('Gap Sheet'!$A$6:$A$11,TRIM($L32))=0,0,IF($O32="R1",INDEX('Gap Sheet'!$C$6:$C$11,MATCH(TRIM($L32),'Gap Sheet'!$A$6:$A$11,0)),INDEX('Gap Sheet'!$G$6:$G$11,MATCH(TRIM($L32),'Gap Sheet'!$A$6:$A$11,0)))))</f>
        <v>0</v>
      </c>
      <c r="W32" s="46" t="str">
        <f aca="false">IF($M32="","",$M32&amp;"|"&amp;$O32)</f>
        <v/>
      </c>
      <c r="X32" s="46" t="n">
        <f aca="false">IF($W32="",0,COUNTIF($AA$4:$AA31,$W32))</f>
        <v>0</v>
      </c>
      <c r="Y32" s="46" t="str">
        <f aca="false">IF(OR($I32&lt;&gt;"Yes, I'm available for in-person interviews at Chennai",$E32&lt;&gt;"Yes",$T32="Yes",$U32&lt;&gt;"Yes"),"No",IF(($V32-$X32)&gt;0,"Yes","No"))</f>
        <v>No</v>
      </c>
      <c r="Z32" s="46" t="str">
        <f aca="false">IF($T32="Yes","Primary",IF($Y32="Yes","Secondary",""))</f>
        <v/>
      </c>
      <c r="AA32" s="46" t="str">
        <f aca="false">IF($Z32="Primary",$R32,IF($Z32="Secondary",$W32,""))</f>
        <v/>
      </c>
      <c r="AB32" s="46" t="str">
        <f aca="false">IF($Z32="Primary","Matched on primary skill",IF($Z32="Secondary","Matched on secondary skill (primary not approved or not required)",""))</f>
        <v/>
      </c>
      <c r="AC32" s="47" t="str">
        <f aca="false">IF($D32="Panel Details",$F32,"")</f>
        <v/>
      </c>
      <c r="AD32" s="46" t="str">
        <f aca="false">IF($D32="Panel Details",'Survey Response'!$D30,"")</f>
        <v/>
      </c>
      <c r="AE32" s="46" t="str">
        <f aca="false">IF($D32="Panel Details",'Survey Response'!$E30,"")</f>
        <v/>
      </c>
      <c r="AF32" s="46" t="str">
        <f aca="false">IF($D32="Panel Details",'Survey Response'!$G30,"")</f>
        <v/>
      </c>
      <c r="AG32" s="46" t="str">
        <f aca="false">IF($D32="Panel Details",IF($Z32="Primary",$J32,$L32),"")</f>
        <v/>
      </c>
      <c r="AH32" s="46" t="str">
        <f aca="false">IF($D32="Panel Details",IF($Z32="Primary",$L32,$J32),"")</f>
        <v/>
      </c>
      <c r="AI32" s="46" t="str">
        <f aca="false">IF($D32="Panel Details",'Survey Response'!$H30,"")</f>
        <v/>
      </c>
      <c r="AJ32" s="46" t="str">
        <f aca="false">IF($D32="Panel Details",'Survey Response'!$M30,"")</f>
        <v/>
      </c>
      <c r="AK32" s="46" t="str">
        <f aca="false">IF($D32="Panel Details",$O32,"")</f>
        <v/>
      </c>
      <c r="AL32" s="46" t="str">
        <f aca="false">IF($D32="Panel Details",8,"")</f>
        <v/>
      </c>
      <c r="AM32" s="46" t="str">
        <f aca="false">IF($D32="Panel Details",$AB32,"")</f>
        <v/>
      </c>
      <c r="AN32" s="46" t="str">
        <f aca="false">IF($D32="Panel Details","Yes","")</f>
        <v/>
      </c>
      <c r="AO32" s="46"/>
      <c r="AP32" s="46" t="str">
        <f aca="false">IF($D32="Followup",'Survey Response'!$D30,"")</f>
        <v/>
      </c>
      <c r="AQ32" s="46" t="str">
        <f aca="false">IF($D32="Followup",'Survey Response'!$E30,"")</f>
        <v/>
      </c>
      <c r="AR32" s="46" t="str">
        <f aca="false">IF($D32="Followup",'Survey Response'!$G30,"")</f>
        <v/>
      </c>
      <c r="AS32" s="46" t="str">
        <f aca="false">IF($D32="Followup",'Survey Response'!$H30,"")</f>
        <v/>
      </c>
      <c r="AT32" s="46" t="str">
        <f aca="false">IF($D32="Followup",'Survey Response'!$M30,"")</f>
        <v/>
      </c>
      <c r="AU32" s="46" t="str">
        <f aca="false">IF($D32="Followup",'Survey Response'!$K30,"")</f>
        <v/>
      </c>
      <c r="AV32" s="46" t="str">
        <f aca="false">IF($D32="Followup",'Survey Response'!$L30,"")</f>
        <v/>
      </c>
      <c r="AW32" s="46" t="str">
        <f aca="false">IF($D32="Followup",IF(AND($P32&lt;&gt;"Yes",$U32&lt;&gt;"Yes"),"Not approved for primary or secondary skill","Approved, but skill(s) no longer have capacity (fully staffed)"),"")</f>
        <v/>
      </c>
    </row>
    <row r="33" customFormat="false" ht="15" hidden="false" customHeight="true" outlineLevel="0" collapsed="false">
      <c r="A33" s="46" t="str">
        <f aca="false">IF('Survey Response'!$D31="","",'Survey Response'!$A31&amp;"|"&amp;LOWER(TRIM('Survey Response'!$D31)))</f>
        <v/>
      </c>
      <c r="B33" s="46" t="str">
        <f aca="false">IF($H33="","",$F33&amp;"|"&amp;$H33)</f>
        <v/>
      </c>
      <c r="C33" s="46" t="str">
        <f aca="false">IF($H33="","",$A33=$B33)</f>
        <v/>
      </c>
      <c r="D33" s="46" t="str">
        <f aca="false">IF($H33="","",IF($E33&lt;&gt;"Yes","Superseded",IF($I33&lt;&gt;"Yes, I'm available for in-person interviews at Chennai","Not Available",IF($Z33&lt;&gt;"","Panel Details","Followup"))))</f>
        <v/>
      </c>
      <c r="E33" s="46" t="str">
        <f aca="false">IF($H33="","",IF(SUMPRODUCT(($H$4:$H$503=$H33)*(($G$4:$G$503&gt;$G33)+($G$4:$G$503=$G33)*($F$4:$F$503&gt;$F33)))=0,"Yes","No"))</f>
        <v/>
      </c>
      <c r="F33" s="47" t="str">
        <f aca="false">IF('Survey Response'!$D31="","",INT('Survey Response'!$A31))</f>
        <v/>
      </c>
      <c r="G33" s="48" t="str">
        <f aca="false">IF('Survey Response'!$D31="","",'Survey Response'!$C31)</f>
        <v/>
      </c>
      <c r="H33" s="46" t="str">
        <f aca="false">IF('Survey Response'!$D31="","",LOWER(TRIM('Survey Response'!$D31)))</f>
        <v/>
      </c>
      <c r="I33" s="46" t="str">
        <f aca="false">IF($H33="","",'Survey Response'!$I31)</f>
        <v/>
      </c>
      <c r="J33" s="46" t="str">
        <f aca="false">IF($H33="","",'Survey Response'!$K31)</f>
        <v/>
      </c>
      <c r="K33" s="46" t="str">
        <f aca="false">IF($J33="","",IF(COUNTIF('Skill Mapping'!$A$2:$A$7,TRIM($J33))=0,"",INDEX('Skill Mapping'!$B$2:$B$7,MATCH(TRIM($J33),'Skill Mapping'!$A$2:$A$7,0))))</f>
        <v/>
      </c>
      <c r="L33" s="46" t="str">
        <f aca="false">IF($H33="","",'Survey Response'!$L31)</f>
        <v/>
      </c>
      <c r="M33" s="46" t="str">
        <f aca="false">IF($L33="","",IF(COUNTIF('Skill Mapping'!$A$2:$A$7,TRIM($L33))=0,"",INDEX('Skill Mapping'!$B$2:$B$7,MATCH(TRIM($L33),'Skill Mapping'!$A$2:$A$7,0))))</f>
        <v/>
      </c>
      <c r="N33" s="46" t="str">
        <f aca="false">IF($H33="","",'Survey Response'!$M31)</f>
        <v/>
      </c>
      <c r="O33" s="46" t="str">
        <f aca="false">IF($H33="","",IF('Survey Response'!$M31="Manager","R2","R1"))</f>
        <v/>
      </c>
      <c r="P33" s="46" t="str">
        <f aca="false">IF($K33="","No",IF(COUNTIFS(MasterPanel!$B:$B,$H33,MasterPanel!$I:$I,$K33,MasterPanel!$K:$K,"Y")&gt;0,"Yes","No"))</f>
        <v>No</v>
      </c>
      <c r="Q33" s="46" t="n">
        <f aca="false">IF($K33="",0,IF(COUNTIF('Gap Sheet'!$A$6:$A$11,TRIM($J33))=0,0,IF($O33="R1",INDEX('Gap Sheet'!$C$6:$C$11,MATCH(TRIM($J33),'Gap Sheet'!$A$6:$A$11,0)),INDEX('Gap Sheet'!$G$6:$G$11,MATCH(TRIM($J33),'Gap Sheet'!$A$6:$A$11,0)))))</f>
        <v>0</v>
      </c>
      <c r="R33" s="46" t="str">
        <f aca="false">IF($K33="","",$K33&amp;"|"&amp;$O33)</f>
        <v/>
      </c>
      <c r="S33" s="46" t="n">
        <f aca="false">IF($R33="",0,COUNTIF($AA$4:$AA32,$R33))</f>
        <v>0</v>
      </c>
      <c r="T33" s="46" t="str">
        <f aca="false">IF(OR($I33&lt;&gt;"Yes, I'm available for in-person interviews at Chennai",$E33&lt;&gt;"Yes",$P33&lt;&gt;"Yes"),"No",IF(($Q33-$S33)&gt;0,"Yes","No"))</f>
        <v>No</v>
      </c>
      <c r="U33" s="46" t="str">
        <f aca="false">IF($M33="","No",IF(COUNTIFS(MasterPanel!$B:$B,$H33,MasterPanel!$I:$I,$M33,MasterPanel!$K:$K,"Y")&gt;0,"Yes","No"))</f>
        <v>No</v>
      </c>
      <c r="V33" s="46" t="n">
        <f aca="false">IF($M33="",0,IF(COUNTIF('Gap Sheet'!$A$6:$A$11,TRIM($L33))=0,0,IF($O33="R1",INDEX('Gap Sheet'!$C$6:$C$11,MATCH(TRIM($L33),'Gap Sheet'!$A$6:$A$11,0)),INDEX('Gap Sheet'!$G$6:$G$11,MATCH(TRIM($L33),'Gap Sheet'!$A$6:$A$11,0)))))</f>
        <v>0</v>
      </c>
      <c r="W33" s="46" t="str">
        <f aca="false">IF($M33="","",$M33&amp;"|"&amp;$O33)</f>
        <v/>
      </c>
      <c r="X33" s="46" t="n">
        <f aca="false">IF($W33="",0,COUNTIF($AA$4:$AA32,$W33))</f>
        <v>0</v>
      </c>
      <c r="Y33" s="46" t="str">
        <f aca="false">IF(OR($I33&lt;&gt;"Yes, I'm available for in-person interviews at Chennai",$E33&lt;&gt;"Yes",$T33="Yes",$U33&lt;&gt;"Yes"),"No",IF(($V33-$X33)&gt;0,"Yes","No"))</f>
        <v>No</v>
      </c>
      <c r="Z33" s="46" t="str">
        <f aca="false">IF($T33="Yes","Primary",IF($Y33="Yes","Secondary",""))</f>
        <v/>
      </c>
      <c r="AA33" s="46" t="str">
        <f aca="false">IF($Z33="Primary",$R33,IF($Z33="Secondary",$W33,""))</f>
        <v/>
      </c>
      <c r="AB33" s="46" t="str">
        <f aca="false">IF($Z33="Primary","Matched on primary skill",IF($Z33="Secondary","Matched on secondary skill (primary not approved or not required)",""))</f>
        <v/>
      </c>
      <c r="AC33" s="47" t="str">
        <f aca="false">IF($D33="Panel Details",$F33,"")</f>
        <v/>
      </c>
      <c r="AD33" s="46" t="str">
        <f aca="false">IF($D33="Panel Details",'Survey Response'!$D31,"")</f>
        <v/>
      </c>
      <c r="AE33" s="46" t="str">
        <f aca="false">IF($D33="Panel Details",'Survey Response'!$E31,"")</f>
        <v/>
      </c>
      <c r="AF33" s="46" t="str">
        <f aca="false">IF($D33="Panel Details",'Survey Response'!$G31,"")</f>
        <v/>
      </c>
      <c r="AG33" s="46" t="str">
        <f aca="false">IF($D33="Panel Details",IF($Z33="Primary",$J33,$L33),"")</f>
        <v/>
      </c>
      <c r="AH33" s="46" t="str">
        <f aca="false">IF($D33="Panel Details",IF($Z33="Primary",$L33,$J33),"")</f>
        <v/>
      </c>
      <c r="AI33" s="46" t="str">
        <f aca="false">IF($D33="Panel Details",'Survey Response'!$H31,"")</f>
        <v/>
      </c>
      <c r="AJ33" s="46" t="str">
        <f aca="false">IF($D33="Panel Details",'Survey Response'!$M31,"")</f>
        <v/>
      </c>
      <c r="AK33" s="46" t="str">
        <f aca="false">IF($D33="Panel Details",$O33,"")</f>
        <v/>
      </c>
      <c r="AL33" s="46" t="str">
        <f aca="false">IF($D33="Panel Details",8,"")</f>
        <v/>
      </c>
      <c r="AM33" s="46" t="str">
        <f aca="false">IF($D33="Panel Details",$AB33,"")</f>
        <v/>
      </c>
      <c r="AN33" s="46" t="str">
        <f aca="false">IF($D33="Panel Details","Yes","")</f>
        <v/>
      </c>
      <c r="AO33" s="46"/>
      <c r="AP33" s="46" t="str">
        <f aca="false">IF($D33="Followup",'Survey Response'!$D31,"")</f>
        <v/>
      </c>
      <c r="AQ33" s="46" t="str">
        <f aca="false">IF($D33="Followup",'Survey Response'!$E31,"")</f>
        <v/>
      </c>
      <c r="AR33" s="46" t="str">
        <f aca="false">IF($D33="Followup",'Survey Response'!$G31,"")</f>
        <v/>
      </c>
      <c r="AS33" s="46" t="str">
        <f aca="false">IF($D33="Followup",'Survey Response'!$H31,"")</f>
        <v/>
      </c>
      <c r="AT33" s="46" t="str">
        <f aca="false">IF($D33="Followup",'Survey Response'!$M31,"")</f>
        <v/>
      </c>
      <c r="AU33" s="46" t="str">
        <f aca="false">IF($D33="Followup",'Survey Response'!$K31,"")</f>
        <v/>
      </c>
      <c r="AV33" s="46" t="str">
        <f aca="false">IF($D33="Followup",'Survey Response'!$L31,"")</f>
        <v/>
      </c>
      <c r="AW33" s="46" t="str">
        <f aca="false">IF($D33="Followup",IF(AND($P33&lt;&gt;"Yes",$U33&lt;&gt;"Yes"),"Not approved for primary or secondary skill","Approved, but skill(s) no longer have capacity (fully staffed)"),"")</f>
        <v/>
      </c>
    </row>
    <row r="34" customFormat="false" ht="15" hidden="false" customHeight="true" outlineLevel="0" collapsed="false">
      <c r="A34" s="46" t="str">
        <f aca="false">IF('Survey Response'!$D32="","",'Survey Response'!$A32&amp;"|"&amp;LOWER(TRIM('Survey Response'!$D32)))</f>
        <v/>
      </c>
      <c r="B34" s="46" t="str">
        <f aca="false">IF($H34="","",$F34&amp;"|"&amp;$H34)</f>
        <v/>
      </c>
      <c r="C34" s="46" t="str">
        <f aca="false">IF($H34="","",$A34=$B34)</f>
        <v/>
      </c>
      <c r="D34" s="46" t="str">
        <f aca="false">IF($H34="","",IF($E34&lt;&gt;"Yes","Superseded",IF($I34&lt;&gt;"Yes, I'm available for in-person interviews at Chennai","Not Available",IF($Z34&lt;&gt;"","Panel Details","Followup"))))</f>
        <v/>
      </c>
      <c r="E34" s="46" t="str">
        <f aca="false">IF($H34="","",IF(SUMPRODUCT(($H$4:$H$503=$H34)*(($G$4:$G$503&gt;$G34)+($G$4:$G$503=$G34)*($F$4:$F$503&gt;$F34)))=0,"Yes","No"))</f>
        <v/>
      </c>
      <c r="F34" s="47" t="str">
        <f aca="false">IF('Survey Response'!$D32="","",INT('Survey Response'!$A32))</f>
        <v/>
      </c>
      <c r="G34" s="48" t="str">
        <f aca="false">IF('Survey Response'!$D32="","",'Survey Response'!$C32)</f>
        <v/>
      </c>
      <c r="H34" s="46" t="str">
        <f aca="false">IF('Survey Response'!$D32="","",LOWER(TRIM('Survey Response'!$D32)))</f>
        <v/>
      </c>
      <c r="I34" s="46" t="str">
        <f aca="false">IF($H34="","",'Survey Response'!$I32)</f>
        <v/>
      </c>
      <c r="J34" s="46" t="str">
        <f aca="false">IF($H34="","",'Survey Response'!$K32)</f>
        <v/>
      </c>
      <c r="K34" s="46" t="str">
        <f aca="false">IF($J34="","",IF(COUNTIF('Skill Mapping'!$A$2:$A$7,TRIM($J34))=0,"",INDEX('Skill Mapping'!$B$2:$B$7,MATCH(TRIM($J34),'Skill Mapping'!$A$2:$A$7,0))))</f>
        <v/>
      </c>
      <c r="L34" s="46" t="str">
        <f aca="false">IF($H34="","",'Survey Response'!$L32)</f>
        <v/>
      </c>
      <c r="M34" s="46" t="str">
        <f aca="false">IF($L34="","",IF(COUNTIF('Skill Mapping'!$A$2:$A$7,TRIM($L34))=0,"",INDEX('Skill Mapping'!$B$2:$B$7,MATCH(TRIM($L34),'Skill Mapping'!$A$2:$A$7,0))))</f>
        <v/>
      </c>
      <c r="N34" s="46" t="str">
        <f aca="false">IF($H34="","",'Survey Response'!$M32)</f>
        <v/>
      </c>
      <c r="O34" s="46" t="str">
        <f aca="false">IF($H34="","",IF('Survey Response'!$M32="Manager","R2","R1"))</f>
        <v/>
      </c>
      <c r="P34" s="46" t="str">
        <f aca="false">IF($K34="","No",IF(COUNTIFS(MasterPanel!$B:$B,$H34,MasterPanel!$I:$I,$K34,MasterPanel!$K:$K,"Y")&gt;0,"Yes","No"))</f>
        <v>No</v>
      </c>
      <c r="Q34" s="46" t="n">
        <f aca="false">IF($K34="",0,IF(COUNTIF('Gap Sheet'!$A$6:$A$11,TRIM($J34))=0,0,IF($O34="R1",INDEX('Gap Sheet'!$C$6:$C$11,MATCH(TRIM($J34),'Gap Sheet'!$A$6:$A$11,0)),INDEX('Gap Sheet'!$G$6:$G$11,MATCH(TRIM($J34),'Gap Sheet'!$A$6:$A$11,0)))))</f>
        <v>0</v>
      </c>
      <c r="R34" s="46" t="str">
        <f aca="false">IF($K34="","",$K34&amp;"|"&amp;$O34)</f>
        <v/>
      </c>
      <c r="S34" s="46" t="n">
        <f aca="false">IF($R34="",0,COUNTIF($AA$4:$AA33,$R34))</f>
        <v>0</v>
      </c>
      <c r="T34" s="46" t="str">
        <f aca="false">IF(OR($I34&lt;&gt;"Yes, I'm available for in-person interviews at Chennai",$E34&lt;&gt;"Yes",$P34&lt;&gt;"Yes"),"No",IF(($Q34-$S34)&gt;0,"Yes","No"))</f>
        <v>No</v>
      </c>
      <c r="U34" s="46" t="str">
        <f aca="false">IF($M34="","No",IF(COUNTIFS(MasterPanel!$B:$B,$H34,MasterPanel!$I:$I,$M34,MasterPanel!$K:$K,"Y")&gt;0,"Yes","No"))</f>
        <v>No</v>
      </c>
      <c r="V34" s="46" t="n">
        <f aca="false">IF($M34="",0,IF(COUNTIF('Gap Sheet'!$A$6:$A$11,TRIM($L34))=0,0,IF($O34="R1",INDEX('Gap Sheet'!$C$6:$C$11,MATCH(TRIM($L34),'Gap Sheet'!$A$6:$A$11,0)),INDEX('Gap Sheet'!$G$6:$G$11,MATCH(TRIM($L34),'Gap Sheet'!$A$6:$A$11,0)))))</f>
        <v>0</v>
      </c>
      <c r="W34" s="46" t="str">
        <f aca="false">IF($M34="","",$M34&amp;"|"&amp;$O34)</f>
        <v/>
      </c>
      <c r="X34" s="46" t="n">
        <f aca="false">IF($W34="",0,COUNTIF($AA$4:$AA33,$W34))</f>
        <v>0</v>
      </c>
      <c r="Y34" s="46" t="str">
        <f aca="false">IF(OR($I34&lt;&gt;"Yes, I'm available for in-person interviews at Chennai",$E34&lt;&gt;"Yes",$T34="Yes",$U34&lt;&gt;"Yes"),"No",IF(($V34-$X34)&gt;0,"Yes","No"))</f>
        <v>No</v>
      </c>
      <c r="Z34" s="46" t="str">
        <f aca="false">IF($T34="Yes","Primary",IF($Y34="Yes","Secondary",""))</f>
        <v/>
      </c>
      <c r="AA34" s="46" t="str">
        <f aca="false">IF($Z34="Primary",$R34,IF($Z34="Secondary",$W34,""))</f>
        <v/>
      </c>
      <c r="AB34" s="46" t="str">
        <f aca="false">IF($Z34="Primary","Matched on primary skill",IF($Z34="Secondary","Matched on secondary skill (primary not approved or not required)",""))</f>
        <v/>
      </c>
      <c r="AC34" s="47" t="str">
        <f aca="false">IF($D34="Panel Details",$F34,"")</f>
        <v/>
      </c>
      <c r="AD34" s="46" t="str">
        <f aca="false">IF($D34="Panel Details",'Survey Response'!$D32,"")</f>
        <v/>
      </c>
      <c r="AE34" s="46" t="str">
        <f aca="false">IF($D34="Panel Details",'Survey Response'!$E32,"")</f>
        <v/>
      </c>
      <c r="AF34" s="46" t="str">
        <f aca="false">IF($D34="Panel Details",'Survey Response'!$G32,"")</f>
        <v/>
      </c>
      <c r="AG34" s="46" t="str">
        <f aca="false">IF($D34="Panel Details",IF($Z34="Primary",$J34,$L34),"")</f>
        <v/>
      </c>
      <c r="AH34" s="46" t="str">
        <f aca="false">IF($D34="Panel Details",IF($Z34="Primary",$L34,$J34),"")</f>
        <v/>
      </c>
      <c r="AI34" s="46" t="str">
        <f aca="false">IF($D34="Panel Details",'Survey Response'!$H32,"")</f>
        <v/>
      </c>
      <c r="AJ34" s="46" t="str">
        <f aca="false">IF($D34="Panel Details",'Survey Response'!$M32,"")</f>
        <v/>
      </c>
      <c r="AK34" s="46" t="str">
        <f aca="false">IF($D34="Panel Details",$O34,"")</f>
        <v/>
      </c>
      <c r="AL34" s="46" t="str">
        <f aca="false">IF($D34="Panel Details",8,"")</f>
        <v/>
      </c>
      <c r="AM34" s="46" t="str">
        <f aca="false">IF($D34="Panel Details",$AB34,"")</f>
        <v/>
      </c>
      <c r="AN34" s="46" t="str">
        <f aca="false">IF($D34="Panel Details","Yes","")</f>
        <v/>
      </c>
      <c r="AO34" s="46"/>
      <c r="AP34" s="46" t="str">
        <f aca="false">IF($D34="Followup",'Survey Response'!$D32,"")</f>
        <v/>
      </c>
      <c r="AQ34" s="46" t="str">
        <f aca="false">IF($D34="Followup",'Survey Response'!$E32,"")</f>
        <v/>
      </c>
      <c r="AR34" s="46" t="str">
        <f aca="false">IF($D34="Followup",'Survey Response'!$G32,"")</f>
        <v/>
      </c>
      <c r="AS34" s="46" t="str">
        <f aca="false">IF($D34="Followup",'Survey Response'!$H32,"")</f>
        <v/>
      </c>
      <c r="AT34" s="46" t="str">
        <f aca="false">IF($D34="Followup",'Survey Response'!$M32,"")</f>
        <v/>
      </c>
      <c r="AU34" s="46" t="str">
        <f aca="false">IF($D34="Followup",'Survey Response'!$K32,"")</f>
        <v/>
      </c>
      <c r="AV34" s="46" t="str">
        <f aca="false">IF($D34="Followup",'Survey Response'!$L32,"")</f>
        <v/>
      </c>
      <c r="AW34" s="46" t="str">
        <f aca="false">IF($D34="Followup",IF(AND($P34&lt;&gt;"Yes",$U34&lt;&gt;"Yes"),"Not approved for primary or secondary skill","Approved, but skill(s) no longer have capacity (fully staffed)"),"")</f>
        <v/>
      </c>
    </row>
    <row r="35" customFormat="false" ht="15" hidden="false" customHeight="true" outlineLevel="0" collapsed="false">
      <c r="A35" s="46" t="str">
        <f aca="false">IF('Survey Response'!$D33="","",'Survey Response'!$A33&amp;"|"&amp;LOWER(TRIM('Survey Response'!$D33)))</f>
        <v/>
      </c>
      <c r="B35" s="46" t="str">
        <f aca="false">IF($H35="","",$F35&amp;"|"&amp;$H35)</f>
        <v/>
      </c>
      <c r="C35" s="46" t="str">
        <f aca="false">IF($H35="","",$A35=$B35)</f>
        <v/>
      </c>
      <c r="D35" s="46" t="str">
        <f aca="false">IF($H35="","",IF($E35&lt;&gt;"Yes","Superseded",IF($I35&lt;&gt;"Yes, I'm available for in-person interviews at Chennai","Not Available",IF($Z35&lt;&gt;"","Panel Details","Followup"))))</f>
        <v/>
      </c>
      <c r="E35" s="46" t="str">
        <f aca="false">IF($H35="","",IF(SUMPRODUCT(($H$4:$H$503=$H35)*(($G$4:$G$503&gt;$G35)+($G$4:$G$503=$G35)*($F$4:$F$503&gt;$F35)))=0,"Yes","No"))</f>
        <v/>
      </c>
      <c r="F35" s="47" t="str">
        <f aca="false">IF('Survey Response'!$D33="","",INT('Survey Response'!$A33))</f>
        <v/>
      </c>
      <c r="G35" s="48" t="str">
        <f aca="false">IF('Survey Response'!$D33="","",'Survey Response'!$C33)</f>
        <v/>
      </c>
      <c r="H35" s="46" t="str">
        <f aca="false">IF('Survey Response'!$D33="","",LOWER(TRIM('Survey Response'!$D33)))</f>
        <v/>
      </c>
      <c r="I35" s="46" t="str">
        <f aca="false">IF($H35="","",'Survey Response'!$I33)</f>
        <v/>
      </c>
      <c r="J35" s="46" t="str">
        <f aca="false">IF($H35="","",'Survey Response'!$K33)</f>
        <v/>
      </c>
      <c r="K35" s="46" t="str">
        <f aca="false">IF($J35="","",IF(COUNTIF('Skill Mapping'!$A$2:$A$7,TRIM($J35))=0,"",INDEX('Skill Mapping'!$B$2:$B$7,MATCH(TRIM($J35),'Skill Mapping'!$A$2:$A$7,0))))</f>
        <v/>
      </c>
      <c r="L35" s="46" t="str">
        <f aca="false">IF($H35="","",'Survey Response'!$L33)</f>
        <v/>
      </c>
      <c r="M35" s="46" t="str">
        <f aca="false">IF($L35="","",IF(COUNTIF('Skill Mapping'!$A$2:$A$7,TRIM($L35))=0,"",INDEX('Skill Mapping'!$B$2:$B$7,MATCH(TRIM($L35),'Skill Mapping'!$A$2:$A$7,0))))</f>
        <v/>
      </c>
      <c r="N35" s="46" t="str">
        <f aca="false">IF($H35="","",'Survey Response'!$M33)</f>
        <v/>
      </c>
      <c r="O35" s="46" t="str">
        <f aca="false">IF($H35="","",IF('Survey Response'!$M33="Manager","R2","R1"))</f>
        <v/>
      </c>
      <c r="P35" s="46" t="str">
        <f aca="false">IF($K35="","No",IF(COUNTIFS(MasterPanel!$B:$B,$H35,MasterPanel!$I:$I,$K35,MasterPanel!$K:$K,"Y")&gt;0,"Yes","No"))</f>
        <v>No</v>
      </c>
      <c r="Q35" s="46" t="n">
        <f aca="false">IF($K35="",0,IF(COUNTIF('Gap Sheet'!$A$6:$A$11,TRIM($J35))=0,0,IF($O35="R1",INDEX('Gap Sheet'!$C$6:$C$11,MATCH(TRIM($J35),'Gap Sheet'!$A$6:$A$11,0)),INDEX('Gap Sheet'!$G$6:$G$11,MATCH(TRIM($J35),'Gap Sheet'!$A$6:$A$11,0)))))</f>
        <v>0</v>
      </c>
      <c r="R35" s="46" t="str">
        <f aca="false">IF($K35="","",$K35&amp;"|"&amp;$O35)</f>
        <v/>
      </c>
      <c r="S35" s="46" t="n">
        <f aca="false">IF($R35="",0,COUNTIF($AA$4:$AA34,$R35))</f>
        <v>0</v>
      </c>
      <c r="T35" s="46" t="str">
        <f aca="false">IF(OR($I35&lt;&gt;"Yes, I'm available for in-person interviews at Chennai",$E35&lt;&gt;"Yes",$P35&lt;&gt;"Yes"),"No",IF(($Q35-$S35)&gt;0,"Yes","No"))</f>
        <v>No</v>
      </c>
      <c r="U35" s="46" t="str">
        <f aca="false">IF($M35="","No",IF(COUNTIFS(MasterPanel!$B:$B,$H35,MasterPanel!$I:$I,$M35,MasterPanel!$K:$K,"Y")&gt;0,"Yes","No"))</f>
        <v>No</v>
      </c>
      <c r="V35" s="46" t="n">
        <f aca="false">IF($M35="",0,IF(COUNTIF('Gap Sheet'!$A$6:$A$11,TRIM($L35))=0,0,IF($O35="R1",INDEX('Gap Sheet'!$C$6:$C$11,MATCH(TRIM($L35),'Gap Sheet'!$A$6:$A$11,0)),INDEX('Gap Sheet'!$G$6:$G$11,MATCH(TRIM($L35),'Gap Sheet'!$A$6:$A$11,0)))))</f>
        <v>0</v>
      </c>
      <c r="W35" s="46" t="str">
        <f aca="false">IF($M35="","",$M35&amp;"|"&amp;$O35)</f>
        <v/>
      </c>
      <c r="X35" s="46" t="n">
        <f aca="false">IF($W35="",0,COUNTIF($AA$4:$AA34,$W35))</f>
        <v>0</v>
      </c>
      <c r="Y35" s="46" t="str">
        <f aca="false">IF(OR($I35&lt;&gt;"Yes, I'm available for in-person interviews at Chennai",$E35&lt;&gt;"Yes",$T35="Yes",$U35&lt;&gt;"Yes"),"No",IF(($V35-$X35)&gt;0,"Yes","No"))</f>
        <v>No</v>
      </c>
      <c r="Z35" s="46" t="str">
        <f aca="false">IF($T35="Yes","Primary",IF($Y35="Yes","Secondary",""))</f>
        <v/>
      </c>
      <c r="AA35" s="46" t="str">
        <f aca="false">IF($Z35="Primary",$R35,IF($Z35="Secondary",$W35,""))</f>
        <v/>
      </c>
      <c r="AB35" s="46" t="str">
        <f aca="false">IF($Z35="Primary","Matched on primary skill",IF($Z35="Secondary","Matched on secondary skill (primary not approved or not required)",""))</f>
        <v/>
      </c>
      <c r="AC35" s="47" t="str">
        <f aca="false">IF($D35="Panel Details",$F35,"")</f>
        <v/>
      </c>
      <c r="AD35" s="46" t="str">
        <f aca="false">IF($D35="Panel Details",'Survey Response'!$D33,"")</f>
        <v/>
      </c>
      <c r="AE35" s="46" t="str">
        <f aca="false">IF($D35="Panel Details",'Survey Response'!$E33,"")</f>
        <v/>
      </c>
      <c r="AF35" s="46" t="str">
        <f aca="false">IF($D35="Panel Details",'Survey Response'!$G33,"")</f>
        <v/>
      </c>
      <c r="AG35" s="46" t="str">
        <f aca="false">IF($D35="Panel Details",IF($Z35="Primary",$J35,$L35),"")</f>
        <v/>
      </c>
      <c r="AH35" s="46" t="str">
        <f aca="false">IF($D35="Panel Details",IF($Z35="Primary",$L35,$J35),"")</f>
        <v/>
      </c>
      <c r="AI35" s="46" t="str">
        <f aca="false">IF($D35="Panel Details",'Survey Response'!$H33,"")</f>
        <v/>
      </c>
      <c r="AJ35" s="46" t="str">
        <f aca="false">IF($D35="Panel Details",'Survey Response'!$M33,"")</f>
        <v/>
      </c>
      <c r="AK35" s="46" t="str">
        <f aca="false">IF($D35="Panel Details",$O35,"")</f>
        <v/>
      </c>
      <c r="AL35" s="46" t="str">
        <f aca="false">IF($D35="Panel Details",8,"")</f>
        <v/>
      </c>
      <c r="AM35" s="46" t="str">
        <f aca="false">IF($D35="Panel Details",$AB35,"")</f>
        <v/>
      </c>
      <c r="AN35" s="46" t="str">
        <f aca="false">IF($D35="Panel Details","Yes","")</f>
        <v/>
      </c>
      <c r="AO35" s="46"/>
      <c r="AP35" s="46" t="str">
        <f aca="false">IF($D35="Followup",'Survey Response'!$D33,"")</f>
        <v/>
      </c>
      <c r="AQ35" s="46" t="str">
        <f aca="false">IF($D35="Followup",'Survey Response'!$E33,"")</f>
        <v/>
      </c>
      <c r="AR35" s="46" t="str">
        <f aca="false">IF($D35="Followup",'Survey Response'!$G33,"")</f>
        <v/>
      </c>
      <c r="AS35" s="46" t="str">
        <f aca="false">IF($D35="Followup",'Survey Response'!$H33,"")</f>
        <v/>
      </c>
      <c r="AT35" s="46" t="str">
        <f aca="false">IF($D35="Followup",'Survey Response'!$M33,"")</f>
        <v/>
      </c>
      <c r="AU35" s="46" t="str">
        <f aca="false">IF($D35="Followup",'Survey Response'!$K33,"")</f>
        <v/>
      </c>
      <c r="AV35" s="46" t="str">
        <f aca="false">IF($D35="Followup",'Survey Response'!$L33,"")</f>
        <v/>
      </c>
      <c r="AW35" s="46" t="str">
        <f aca="false">IF($D35="Followup",IF(AND($P35&lt;&gt;"Yes",$U35&lt;&gt;"Yes"),"Not approved for primary or secondary skill","Approved, but skill(s) no longer have capacity (fully staffed)"),"")</f>
        <v/>
      </c>
    </row>
    <row r="36" customFormat="false" ht="15" hidden="false" customHeight="true" outlineLevel="0" collapsed="false">
      <c r="A36" s="46" t="str">
        <f aca="false">IF('Survey Response'!$D34="","",'Survey Response'!$A34&amp;"|"&amp;LOWER(TRIM('Survey Response'!$D34)))</f>
        <v/>
      </c>
      <c r="B36" s="46" t="str">
        <f aca="false">IF($H36="","",$F36&amp;"|"&amp;$H36)</f>
        <v/>
      </c>
      <c r="C36" s="46" t="str">
        <f aca="false">IF($H36="","",$A36=$B36)</f>
        <v/>
      </c>
      <c r="D36" s="46" t="str">
        <f aca="false">IF($H36="","",IF($E36&lt;&gt;"Yes","Superseded",IF($I36&lt;&gt;"Yes, I'm available for in-person interviews at Chennai","Not Available",IF($Z36&lt;&gt;"","Panel Details","Followup"))))</f>
        <v/>
      </c>
      <c r="E36" s="46" t="str">
        <f aca="false">IF($H36="","",IF(SUMPRODUCT(($H$4:$H$503=$H36)*(($G$4:$G$503&gt;$G36)+($G$4:$G$503=$G36)*($F$4:$F$503&gt;$F36)))=0,"Yes","No"))</f>
        <v/>
      </c>
      <c r="F36" s="47" t="str">
        <f aca="false">IF('Survey Response'!$D34="","",INT('Survey Response'!$A34))</f>
        <v/>
      </c>
      <c r="G36" s="48" t="str">
        <f aca="false">IF('Survey Response'!$D34="","",'Survey Response'!$C34)</f>
        <v/>
      </c>
      <c r="H36" s="46" t="str">
        <f aca="false">IF('Survey Response'!$D34="","",LOWER(TRIM('Survey Response'!$D34)))</f>
        <v/>
      </c>
      <c r="I36" s="46" t="str">
        <f aca="false">IF($H36="","",'Survey Response'!$I34)</f>
        <v/>
      </c>
      <c r="J36" s="46" t="str">
        <f aca="false">IF($H36="","",'Survey Response'!$K34)</f>
        <v/>
      </c>
      <c r="K36" s="46" t="str">
        <f aca="false">IF($J36="","",IF(COUNTIF('Skill Mapping'!$A$2:$A$7,TRIM($J36))=0,"",INDEX('Skill Mapping'!$B$2:$B$7,MATCH(TRIM($J36),'Skill Mapping'!$A$2:$A$7,0))))</f>
        <v/>
      </c>
      <c r="L36" s="46" t="str">
        <f aca="false">IF($H36="","",'Survey Response'!$L34)</f>
        <v/>
      </c>
      <c r="M36" s="46" t="str">
        <f aca="false">IF($L36="","",IF(COUNTIF('Skill Mapping'!$A$2:$A$7,TRIM($L36))=0,"",INDEX('Skill Mapping'!$B$2:$B$7,MATCH(TRIM($L36),'Skill Mapping'!$A$2:$A$7,0))))</f>
        <v/>
      </c>
      <c r="N36" s="46" t="str">
        <f aca="false">IF($H36="","",'Survey Response'!$M34)</f>
        <v/>
      </c>
      <c r="O36" s="46" t="str">
        <f aca="false">IF($H36="","",IF('Survey Response'!$M34="Manager","R2","R1"))</f>
        <v/>
      </c>
      <c r="P36" s="46" t="str">
        <f aca="false">IF($K36="","No",IF(COUNTIFS(MasterPanel!$B:$B,$H36,MasterPanel!$I:$I,$K36,MasterPanel!$K:$K,"Y")&gt;0,"Yes","No"))</f>
        <v>No</v>
      </c>
      <c r="Q36" s="46" t="n">
        <f aca="false">IF($K36="",0,IF(COUNTIF('Gap Sheet'!$A$6:$A$11,TRIM($J36))=0,0,IF($O36="R1",INDEX('Gap Sheet'!$C$6:$C$11,MATCH(TRIM($J36),'Gap Sheet'!$A$6:$A$11,0)),INDEX('Gap Sheet'!$G$6:$G$11,MATCH(TRIM($J36),'Gap Sheet'!$A$6:$A$11,0)))))</f>
        <v>0</v>
      </c>
      <c r="R36" s="46" t="str">
        <f aca="false">IF($K36="","",$K36&amp;"|"&amp;$O36)</f>
        <v/>
      </c>
      <c r="S36" s="46" t="n">
        <f aca="false">IF($R36="",0,COUNTIF($AA$4:$AA35,$R36))</f>
        <v>0</v>
      </c>
      <c r="T36" s="46" t="str">
        <f aca="false">IF(OR($I36&lt;&gt;"Yes, I'm available for in-person interviews at Chennai",$E36&lt;&gt;"Yes",$P36&lt;&gt;"Yes"),"No",IF(($Q36-$S36)&gt;0,"Yes","No"))</f>
        <v>No</v>
      </c>
      <c r="U36" s="46" t="str">
        <f aca="false">IF($M36="","No",IF(COUNTIFS(MasterPanel!$B:$B,$H36,MasterPanel!$I:$I,$M36,MasterPanel!$K:$K,"Y")&gt;0,"Yes","No"))</f>
        <v>No</v>
      </c>
      <c r="V36" s="46" t="n">
        <f aca="false">IF($M36="",0,IF(COUNTIF('Gap Sheet'!$A$6:$A$11,TRIM($L36))=0,0,IF($O36="R1",INDEX('Gap Sheet'!$C$6:$C$11,MATCH(TRIM($L36),'Gap Sheet'!$A$6:$A$11,0)),INDEX('Gap Sheet'!$G$6:$G$11,MATCH(TRIM($L36),'Gap Sheet'!$A$6:$A$11,0)))))</f>
        <v>0</v>
      </c>
      <c r="W36" s="46" t="str">
        <f aca="false">IF($M36="","",$M36&amp;"|"&amp;$O36)</f>
        <v/>
      </c>
      <c r="X36" s="46" t="n">
        <f aca="false">IF($W36="",0,COUNTIF($AA$4:$AA35,$W36))</f>
        <v>0</v>
      </c>
      <c r="Y36" s="46" t="str">
        <f aca="false">IF(OR($I36&lt;&gt;"Yes, I'm available for in-person interviews at Chennai",$E36&lt;&gt;"Yes",$T36="Yes",$U36&lt;&gt;"Yes"),"No",IF(($V36-$X36)&gt;0,"Yes","No"))</f>
        <v>No</v>
      </c>
      <c r="Z36" s="46" t="str">
        <f aca="false">IF($T36="Yes","Primary",IF($Y36="Yes","Secondary",""))</f>
        <v/>
      </c>
      <c r="AA36" s="46" t="str">
        <f aca="false">IF($Z36="Primary",$R36,IF($Z36="Secondary",$W36,""))</f>
        <v/>
      </c>
      <c r="AB36" s="46" t="str">
        <f aca="false">IF($Z36="Primary","Matched on primary skill",IF($Z36="Secondary","Matched on secondary skill (primary not approved or not required)",""))</f>
        <v/>
      </c>
      <c r="AC36" s="47" t="str">
        <f aca="false">IF($D36="Panel Details",$F36,"")</f>
        <v/>
      </c>
      <c r="AD36" s="46" t="str">
        <f aca="false">IF($D36="Panel Details",'Survey Response'!$D34,"")</f>
        <v/>
      </c>
      <c r="AE36" s="46" t="str">
        <f aca="false">IF($D36="Panel Details",'Survey Response'!$E34,"")</f>
        <v/>
      </c>
      <c r="AF36" s="46" t="str">
        <f aca="false">IF($D36="Panel Details",'Survey Response'!$G34,"")</f>
        <v/>
      </c>
      <c r="AG36" s="46" t="str">
        <f aca="false">IF($D36="Panel Details",IF($Z36="Primary",$J36,$L36),"")</f>
        <v/>
      </c>
      <c r="AH36" s="46" t="str">
        <f aca="false">IF($D36="Panel Details",IF($Z36="Primary",$L36,$J36),"")</f>
        <v/>
      </c>
      <c r="AI36" s="46" t="str">
        <f aca="false">IF($D36="Panel Details",'Survey Response'!$H34,"")</f>
        <v/>
      </c>
      <c r="AJ36" s="46" t="str">
        <f aca="false">IF($D36="Panel Details",'Survey Response'!$M34,"")</f>
        <v/>
      </c>
      <c r="AK36" s="46" t="str">
        <f aca="false">IF($D36="Panel Details",$O36,"")</f>
        <v/>
      </c>
      <c r="AL36" s="46" t="str">
        <f aca="false">IF($D36="Panel Details",8,"")</f>
        <v/>
      </c>
      <c r="AM36" s="46" t="str">
        <f aca="false">IF($D36="Panel Details",$AB36,"")</f>
        <v/>
      </c>
      <c r="AN36" s="46" t="str">
        <f aca="false">IF($D36="Panel Details","Yes","")</f>
        <v/>
      </c>
      <c r="AO36" s="46"/>
      <c r="AP36" s="46" t="str">
        <f aca="false">IF($D36="Followup",'Survey Response'!$D34,"")</f>
        <v/>
      </c>
      <c r="AQ36" s="46" t="str">
        <f aca="false">IF($D36="Followup",'Survey Response'!$E34,"")</f>
        <v/>
      </c>
      <c r="AR36" s="46" t="str">
        <f aca="false">IF($D36="Followup",'Survey Response'!$G34,"")</f>
        <v/>
      </c>
      <c r="AS36" s="46" t="str">
        <f aca="false">IF($D36="Followup",'Survey Response'!$H34,"")</f>
        <v/>
      </c>
      <c r="AT36" s="46" t="str">
        <f aca="false">IF($D36="Followup",'Survey Response'!$M34,"")</f>
        <v/>
      </c>
      <c r="AU36" s="46" t="str">
        <f aca="false">IF($D36="Followup",'Survey Response'!$K34,"")</f>
        <v/>
      </c>
      <c r="AV36" s="46" t="str">
        <f aca="false">IF($D36="Followup",'Survey Response'!$L34,"")</f>
        <v/>
      </c>
      <c r="AW36" s="46" t="str">
        <f aca="false">IF($D36="Followup",IF(AND($P36&lt;&gt;"Yes",$U36&lt;&gt;"Yes"),"Not approved for primary or secondary skill","Approved, but skill(s) no longer have capacity (fully staffed)"),"")</f>
        <v/>
      </c>
    </row>
    <row r="37" customFormat="false" ht="15" hidden="false" customHeight="true" outlineLevel="0" collapsed="false">
      <c r="A37" s="46" t="str">
        <f aca="false">IF('Survey Response'!$D35="","",'Survey Response'!$A35&amp;"|"&amp;LOWER(TRIM('Survey Response'!$D35)))</f>
        <v/>
      </c>
      <c r="B37" s="46" t="str">
        <f aca="false">IF($H37="","",$F37&amp;"|"&amp;$H37)</f>
        <v/>
      </c>
      <c r="C37" s="46" t="str">
        <f aca="false">IF($H37="","",$A37=$B37)</f>
        <v/>
      </c>
      <c r="D37" s="46" t="str">
        <f aca="false">IF($H37="","",IF($E37&lt;&gt;"Yes","Superseded",IF($I37&lt;&gt;"Yes, I'm available for in-person interviews at Chennai","Not Available",IF($Z37&lt;&gt;"","Panel Details","Followup"))))</f>
        <v/>
      </c>
      <c r="E37" s="46" t="str">
        <f aca="false">IF($H37="","",IF(SUMPRODUCT(($H$4:$H$503=$H37)*(($G$4:$G$503&gt;$G37)+($G$4:$G$503=$G37)*($F$4:$F$503&gt;$F37)))=0,"Yes","No"))</f>
        <v/>
      </c>
      <c r="F37" s="47" t="str">
        <f aca="false">IF('Survey Response'!$D35="","",INT('Survey Response'!$A35))</f>
        <v/>
      </c>
      <c r="G37" s="48" t="str">
        <f aca="false">IF('Survey Response'!$D35="","",'Survey Response'!$C35)</f>
        <v/>
      </c>
      <c r="H37" s="46" t="str">
        <f aca="false">IF('Survey Response'!$D35="","",LOWER(TRIM('Survey Response'!$D35)))</f>
        <v/>
      </c>
      <c r="I37" s="46" t="str">
        <f aca="false">IF($H37="","",'Survey Response'!$I35)</f>
        <v/>
      </c>
      <c r="J37" s="46" t="str">
        <f aca="false">IF($H37="","",'Survey Response'!$K35)</f>
        <v/>
      </c>
      <c r="K37" s="46" t="str">
        <f aca="false">IF($J37="","",IF(COUNTIF('Skill Mapping'!$A$2:$A$7,TRIM($J37))=0,"",INDEX('Skill Mapping'!$B$2:$B$7,MATCH(TRIM($J37),'Skill Mapping'!$A$2:$A$7,0))))</f>
        <v/>
      </c>
      <c r="L37" s="46" t="str">
        <f aca="false">IF($H37="","",'Survey Response'!$L35)</f>
        <v/>
      </c>
      <c r="M37" s="46" t="str">
        <f aca="false">IF($L37="","",IF(COUNTIF('Skill Mapping'!$A$2:$A$7,TRIM($L37))=0,"",INDEX('Skill Mapping'!$B$2:$B$7,MATCH(TRIM($L37),'Skill Mapping'!$A$2:$A$7,0))))</f>
        <v/>
      </c>
      <c r="N37" s="46" t="str">
        <f aca="false">IF($H37="","",'Survey Response'!$M35)</f>
        <v/>
      </c>
      <c r="O37" s="46" t="str">
        <f aca="false">IF($H37="","",IF('Survey Response'!$M35="Manager","R2","R1"))</f>
        <v/>
      </c>
      <c r="P37" s="46" t="str">
        <f aca="false">IF($K37="","No",IF(COUNTIFS(MasterPanel!$B:$B,$H37,MasterPanel!$I:$I,$K37,MasterPanel!$K:$K,"Y")&gt;0,"Yes","No"))</f>
        <v>No</v>
      </c>
      <c r="Q37" s="46" t="n">
        <f aca="false">IF($K37="",0,IF(COUNTIF('Gap Sheet'!$A$6:$A$11,TRIM($J37))=0,0,IF($O37="R1",INDEX('Gap Sheet'!$C$6:$C$11,MATCH(TRIM($J37),'Gap Sheet'!$A$6:$A$11,0)),INDEX('Gap Sheet'!$G$6:$G$11,MATCH(TRIM($J37),'Gap Sheet'!$A$6:$A$11,0)))))</f>
        <v>0</v>
      </c>
      <c r="R37" s="46" t="str">
        <f aca="false">IF($K37="","",$K37&amp;"|"&amp;$O37)</f>
        <v/>
      </c>
      <c r="S37" s="46" t="n">
        <f aca="false">IF($R37="",0,COUNTIF($AA$4:$AA36,$R37))</f>
        <v>0</v>
      </c>
      <c r="T37" s="46" t="str">
        <f aca="false">IF(OR($I37&lt;&gt;"Yes, I'm available for in-person interviews at Chennai",$E37&lt;&gt;"Yes",$P37&lt;&gt;"Yes"),"No",IF(($Q37-$S37)&gt;0,"Yes","No"))</f>
        <v>No</v>
      </c>
      <c r="U37" s="46" t="str">
        <f aca="false">IF($M37="","No",IF(COUNTIFS(MasterPanel!$B:$B,$H37,MasterPanel!$I:$I,$M37,MasterPanel!$K:$K,"Y")&gt;0,"Yes","No"))</f>
        <v>No</v>
      </c>
      <c r="V37" s="46" t="n">
        <f aca="false">IF($M37="",0,IF(COUNTIF('Gap Sheet'!$A$6:$A$11,TRIM($L37))=0,0,IF($O37="R1",INDEX('Gap Sheet'!$C$6:$C$11,MATCH(TRIM($L37),'Gap Sheet'!$A$6:$A$11,0)),INDEX('Gap Sheet'!$G$6:$G$11,MATCH(TRIM($L37),'Gap Sheet'!$A$6:$A$11,0)))))</f>
        <v>0</v>
      </c>
      <c r="W37" s="46" t="str">
        <f aca="false">IF($M37="","",$M37&amp;"|"&amp;$O37)</f>
        <v/>
      </c>
      <c r="X37" s="46" t="n">
        <f aca="false">IF($W37="",0,COUNTIF($AA$4:$AA36,$W37))</f>
        <v>0</v>
      </c>
      <c r="Y37" s="46" t="str">
        <f aca="false">IF(OR($I37&lt;&gt;"Yes, I'm available for in-person interviews at Chennai",$E37&lt;&gt;"Yes",$T37="Yes",$U37&lt;&gt;"Yes"),"No",IF(($V37-$X37)&gt;0,"Yes","No"))</f>
        <v>No</v>
      </c>
      <c r="Z37" s="46" t="str">
        <f aca="false">IF($T37="Yes","Primary",IF($Y37="Yes","Secondary",""))</f>
        <v/>
      </c>
      <c r="AA37" s="46" t="str">
        <f aca="false">IF($Z37="Primary",$R37,IF($Z37="Secondary",$W37,""))</f>
        <v/>
      </c>
      <c r="AB37" s="46" t="str">
        <f aca="false">IF($Z37="Primary","Matched on primary skill",IF($Z37="Secondary","Matched on secondary skill (primary not approved or not required)",""))</f>
        <v/>
      </c>
      <c r="AC37" s="47" t="str">
        <f aca="false">IF($D37="Panel Details",$F37,"")</f>
        <v/>
      </c>
      <c r="AD37" s="46" t="str">
        <f aca="false">IF($D37="Panel Details",'Survey Response'!$D35,"")</f>
        <v/>
      </c>
      <c r="AE37" s="46" t="str">
        <f aca="false">IF($D37="Panel Details",'Survey Response'!$E35,"")</f>
        <v/>
      </c>
      <c r="AF37" s="46" t="str">
        <f aca="false">IF($D37="Panel Details",'Survey Response'!$G35,"")</f>
        <v/>
      </c>
      <c r="AG37" s="46" t="str">
        <f aca="false">IF($D37="Panel Details",IF($Z37="Primary",$J37,$L37),"")</f>
        <v/>
      </c>
      <c r="AH37" s="46" t="str">
        <f aca="false">IF($D37="Panel Details",IF($Z37="Primary",$L37,$J37),"")</f>
        <v/>
      </c>
      <c r="AI37" s="46" t="str">
        <f aca="false">IF($D37="Panel Details",'Survey Response'!$H35,"")</f>
        <v/>
      </c>
      <c r="AJ37" s="46" t="str">
        <f aca="false">IF($D37="Panel Details",'Survey Response'!$M35,"")</f>
        <v/>
      </c>
      <c r="AK37" s="46" t="str">
        <f aca="false">IF($D37="Panel Details",$O37,"")</f>
        <v/>
      </c>
      <c r="AL37" s="46" t="str">
        <f aca="false">IF($D37="Panel Details",8,"")</f>
        <v/>
      </c>
      <c r="AM37" s="46" t="str">
        <f aca="false">IF($D37="Panel Details",$AB37,"")</f>
        <v/>
      </c>
      <c r="AN37" s="46" t="str">
        <f aca="false">IF($D37="Panel Details","Yes","")</f>
        <v/>
      </c>
      <c r="AO37" s="46"/>
      <c r="AP37" s="46" t="str">
        <f aca="false">IF($D37="Followup",'Survey Response'!$D35,"")</f>
        <v/>
      </c>
      <c r="AQ37" s="46" t="str">
        <f aca="false">IF($D37="Followup",'Survey Response'!$E35,"")</f>
        <v/>
      </c>
      <c r="AR37" s="46" t="str">
        <f aca="false">IF($D37="Followup",'Survey Response'!$G35,"")</f>
        <v/>
      </c>
      <c r="AS37" s="46" t="str">
        <f aca="false">IF($D37="Followup",'Survey Response'!$H35,"")</f>
        <v/>
      </c>
      <c r="AT37" s="46" t="str">
        <f aca="false">IF($D37="Followup",'Survey Response'!$M35,"")</f>
        <v/>
      </c>
      <c r="AU37" s="46" t="str">
        <f aca="false">IF($D37="Followup",'Survey Response'!$K35,"")</f>
        <v/>
      </c>
      <c r="AV37" s="46" t="str">
        <f aca="false">IF($D37="Followup",'Survey Response'!$L35,"")</f>
        <v/>
      </c>
      <c r="AW37" s="46" t="str">
        <f aca="false">IF($D37="Followup",IF(AND($P37&lt;&gt;"Yes",$U37&lt;&gt;"Yes"),"Not approved for primary or secondary skill","Approved, but skill(s) no longer have capacity (fully staffed)"),"")</f>
        <v/>
      </c>
    </row>
    <row r="38" customFormat="false" ht="15" hidden="false" customHeight="true" outlineLevel="0" collapsed="false">
      <c r="A38" s="46" t="str">
        <f aca="false">IF('Survey Response'!$D36="","",'Survey Response'!$A36&amp;"|"&amp;LOWER(TRIM('Survey Response'!$D36)))</f>
        <v/>
      </c>
      <c r="B38" s="46" t="str">
        <f aca="false">IF($H38="","",$F38&amp;"|"&amp;$H38)</f>
        <v/>
      </c>
      <c r="C38" s="46" t="str">
        <f aca="false">IF($H38="","",$A38=$B38)</f>
        <v/>
      </c>
      <c r="D38" s="46" t="str">
        <f aca="false">IF($H38="","",IF($E38&lt;&gt;"Yes","Superseded",IF($I38&lt;&gt;"Yes, I'm available for in-person interviews at Chennai","Not Available",IF($Z38&lt;&gt;"","Panel Details","Followup"))))</f>
        <v/>
      </c>
      <c r="E38" s="46" t="str">
        <f aca="false">IF($H38="","",IF(SUMPRODUCT(($H$4:$H$503=$H38)*(($G$4:$G$503&gt;$G38)+($G$4:$G$503=$G38)*($F$4:$F$503&gt;$F38)))=0,"Yes","No"))</f>
        <v/>
      </c>
      <c r="F38" s="47" t="str">
        <f aca="false">IF('Survey Response'!$D36="","",INT('Survey Response'!$A36))</f>
        <v/>
      </c>
      <c r="G38" s="48" t="str">
        <f aca="false">IF('Survey Response'!$D36="","",'Survey Response'!$C36)</f>
        <v/>
      </c>
      <c r="H38" s="46" t="str">
        <f aca="false">IF('Survey Response'!$D36="","",LOWER(TRIM('Survey Response'!$D36)))</f>
        <v/>
      </c>
      <c r="I38" s="46" t="str">
        <f aca="false">IF($H38="","",'Survey Response'!$I36)</f>
        <v/>
      </c>
      <c r="J38" s="46" t="str">
        <f aca="false">IF($H38="","",'Survey Response'!$K36)</f>
        <v/>
      </c>
      <c r="K38" s="46" t="str">
        <f aca="false">IF($J38="","",IF(COUNTIF('Skill Mapping'!$A$2:$A$7,TRIM($J38))=0,"",INDEX('Skill Mapping'!$B$2:$B$7,MATCH(TRIM($J38),'Skill Mapping'!$A$2:$A$7,0))))</f>
        <v/>
      </c>
      <c r="L38" s="46" t="str">
        <f aca="false">IF($H38="","",'Survey Response'!$L36)</f>
        <v/>
      </c>
      <c r="M38" s="46" t="str">
        <f aca="false">IF($L38="","",IF(COUNTIF('Skill Mapping'!$A$2:$A$7,TRIM($L38))=0,"",INDEX('Skill Mapping'!$B$2:$B$7,MATCH(TRIM($L38),'Skill Mapping'!$A$2:$A$7,0))))</f>
        <v/>
      </c>
      <c r="N38" s="46" t="str">
        <f aca="false">IF($H38="","",'Survey Response'!$M36)</f>
        <v/>
      </c>
      <c r="O38" s="46" t="str">
        <f aca="false">IF($H38="","",IF('Survey Response'!$M36="Manager","R2","R1"))</f>
        <v/>
      </c>
      <c r="P38" s="46" t="str">
        <f aca="false">IF($K38="","No",IF(COUNTIFS(MasterPanel!$B:$B,$H38,MasterPanel!$I:$I,$K38,MasterPanel!$K:$K,"Y")&gt;0,"Yes","No"))</f>
        <v>No</v>
      </c>
      <c r="Q38" s="46" t="n">
        <f aca="false">IF($K38="",0,IF(COUNTIF('Gap Sheet'!$A$6:$A$11,TRIM($J38))=0,0,IF($O38="R1",INDEX('Gap Sheet'!$C$6:$C$11,MATCH(TRIM($J38),'Gap Sheet'!$A$6:$A$11,0)),INDEX('Gap Sheet'!$G$6:$G$11,MATCH(TRIM($J38),'Gap Sheet'!$A$6:$A$11,0)))))</f>
        <v>0</v>
      </c>
      <c r="R38" s="46" t="str">
        <f aca="false">IF($K38="","",$K38&amp;"|"&amp;$O38)</f>
        <v/>
      </c>
      <c r="S38" s="46" t="n">
        <f aca="false">IF($R38="",0,COUNTIF($AA$4:$AA37,$R38))</f>
        <v>0</v>
      </c>
      <c r="T38" s="46" t="str">
        <f aca="false">IF(OR($I38&lt;&gt;"Yes, I'm available for in-person interviews at Chennai",$E38&lt;&gt;"Yes",$P38&lt;&gt;"Yes"),"No",IF(($Q38-$S38)&gt;0,"Yes","No"))</f>
        <v>No</v>
      </c>
      <c r="U38" s="46" t="str">
        <f aca="false">IF($M38="","No",IF(COUNTIFS(MasterPanel!$B:$B,$H38,MasterPanel!$I:$I,$M38,MasterPanel!$K:$K,"Y")&gt;0,"Yes","No"))</f>
        <v>No</v>
      </c>
      <c r="V38" s="46" t="n">
        <f aca="false">IF($M38="",0,IF(COUNTIF('Gap Sheet'!$A$6:$A$11,TRIM($L38))=0,0,IF($O38="R1",INDEX('Gap Sheet'!$C$6:$C$11,MATCH(TRIM($L38),'Gap Sheet'!$A$6:$A$11,0)),INDEX('Gap Sheet'!$G$6:$G$11,MATCH(TRIM($L38),'Gap Sheet'!$A$6:$A$11,0)))))</f>
        <v>0</v>
      </c>
      <c r="W38" s="46" t="str">
        <f aca="false">IF($M38="","",$M38&amp;"|"&amp;$O38)</f>
        <v/>
      </c>
      <c r="X38" s="46" t="n">
        <f aca="false">IF($W38="",0,COUNTIF($AA$4:$AA37,$W38))</f>
        <v>0</v>
      </c>
      <c r="Y38" s="46" t="str">
        <f aca="false">IF(OR($I38&lt;&gt;"Yes, I'm available for in-person interviews at Chennai",$E38&lt;&gt;"Yes",$T38="Yes",$U38&lt;&gt;"Yes"),"No",IF(($V38-$X38)&gt;0,"Yes","No"))</f>
        <v>No</v>
      </c>
      <c r="Z38" s="46" t="str">
        <f aca="false">IF($T38="Yes","Primary",IF($Y38="Yes","Secondary",""))</f>
        <v/>
      </c>
      <c r="AA38" s="46" t="str">
        <f aca="false">IF($Z38="Primary",$R38,IF($Z38="Secondary",$W38,""))</f>
        <v/>
      </c>
      <c r="AB38" s="46" t="str">
        <f aca="false">IF($Z38="Primary","Matched on primary skill",IF($Z38="Secondary","Matched on secondary skill (primary not approved or not required)",""))</f>
        <v/>
      </c>
      <c r="AC38" s="47" t="str">
        <f aca="false">IF($D38="Panel Details",$F38,"")</f>
        <v/>
      </c>
      <c r="AD38" s="46" t="str">
        <f aca="false">IF($D38="Panel Details",'Survey Response'!$D36,"")</f>
        <v/>
      </c>
      <c r="AE38" s="46" t="str">
        <f aca="false">IF($D38="Panel Details",'Survey Response'!$E36,"")</f>
        <v/>
      </c>
      <c r="AF38" s="46" t="str">
        <f aca="false">IF($D38="Panel Details",'Survey Response'!$G36,"")</f>
        <v/>
      </c>
      <c r="AG38" s="46" t="str">
        <f aca="false">IF($D38="Panel Details",IF($Z38="Primary",$J38,$L38),"")</f>
        <v/>
      </c>
      <c r="AH38" s="46" t="str">
        <f aca="false">IF($D38="Panel Details",IF($Z38="Primary",$L38,$J38),"")</f>
        <v/>
      </c>
      <c r="AI38" s="46" t="str">
        <f aca="false">IF($D38="Panel Details",'Survey Response'!$H36,"")</f>
        <v/>
      </c>
      <c r="AJ38" s="46" t="str">
        <f aca="false">IF($D38="Panel Details",'Survey Response'!$M36,"")</f>
        <v/>
      </c>
      <c r="AK38" s="46" t="str">
        <f aca="false">IF($D38="Panel Details",$O38,"")</f>
        <v/>
      </c>
      <c r="AL38" s="46" t="str">
        <f aca="false">IF($D38="Panel Details",8,"")</f>
        <v/>
      </c>
      <c r="AM38" s="46" t="str">
        <f aca="false">IF($D38="Panel Details",$AB38,"")</f>
        <v/>
      </c>
      <c r="AN38" s="46" t="str">
        <f aca="false">IF($D38="Panel Details","Yes","")</f>
        <v/>
      </c>
      <c r="AO38" s="46"/>
      <c r="AP38" s="46" t="str">
        <f aca="false">IF($D38="Followup",'Survey Response'!$D36,"")</f>
        <v/>
      </c>
      <c r="AQ38" s="46" t="str">
        <f aca="false">IF($D38="Followup",'Survey Response'!$E36,"")</f>
        <v/>
      </c>
      <c r="AR38" s="46" t="str">
        <f aca="false">IF($D38="Followup",'Survey Response'!$G36,"")</f>
        <v/>
      </c>
      <c r="AS38" s="46" t="str">
        <f aca="false">IF($D38="Followup",'Survey Response'!$H36,"")</f>
        <v/>
      </c>
      <c r="AT38" s="46" t="str">
        <f aca="false">IF($D38="Followup",'Survey Response'!$M36,"")</f>
        <v/>
      </c>
      <c r="AU38" s="46" t="str">
        <f aca="false">IF($D38="Followup",'Survey Response'!$K36,"")</f>
        <v/>
      </c>
      <c r="AV38" s="46" t="str">
        <f aca="false">IF($D38="Followup",'Survey Response'!$L36,"")</f>
        <v/>
      </c>
      <c r="AW38" s="46" t="str">
        <f aca="false">IF($D38="Followup",IF(AND($P38&lt;&gt;"Yes",$U38&lt;&gt;"Yes"),"Not approved for primary or secondary skill","Approved, but skill(s) no longer have capacity (fully staffed)"),"")</f>
        <v/>
      </c>
    </row>
    <row r="39" customFormat="false" ht="15" hidden="false" customHeight="true" outlineLevel="0" collapsed="false">
      <c r="A39" s="46" t="str">
        <f aca="false">IF('Survey Response'!$D37="","",'Survey Response'!$A37&amp;"|"&amp;LOWER(TRIM('Survey Response'!$D37)))</f>
        <v/>
      </c>
      <c r="B39" s="46" t="str">
        <f aca="false">IF($H39="","",$F39&amp;"|"&amp;$H39)</f>
        <v/>
      </c>
      <c r="C39" s="46" t="str">
        <f aca="false">IF($H39="","",$A39=$B39)</f>
        <v/>
      </c>
      <c r="D39" s="46" t="str">
        <f aca="false">IF($H39="","",IF($E39&lt;&gt;"Yes","Superseded",IF($I39&lt;&gt;"Yes, I'm available for in-person interviews at Chennai","Not Available",IF($Z39&lt;&gt;"","Panel Details","Followup"))))</f>
        <v/>
      </c>
      <c r="E39" s="46" t="str">
        <f aca="false">IF($H39="","",IF(SUMPRODUCT(($H$4:$H$503=$H39)*(($G$4:$G$503&gt;$G39)+($G$4:$G$503=$G39)*($F$4:$F$503&gt;$F39)))=0,"Yes","No"))</f>
        <v/>
      </c>
      <c r="F39" s="47" t="str">
        <f aca="false">IF('Survey Response'!$D37="","",INT('Survey Response'!$A37))</f>
        <v/>
      </c>
      <c r="G39" s="48" t="str">
        <f aca="false">IF('Survey Response'!$D37="","",'Survey Response'!$C37)</f>
        <v/>
      </c>
      <c r="H39" s="46" t="str">
        <f aca="false">IF('Survey Response'!$D37="","",LOWER(TRIM('Survey Response'!$D37)))</f>
        <v/>
      </c>
      <c r="I39" s="46" t="str">
        <f aca="false">IF($H39="","",'Survey Response'!$I37)</f>
        <v/>
      </c>
      <c r="J39" s="46" t="str">
        <f aca="false">IF($H39="","",'Survey Response'!$K37)</f>
        <v/>
      </c>
      <c r="K39" s="46" t="str">
        <f aca="false">IF($J39="","",IF(COUNTIF('Skill Mapping'!$A$2:$A$7,TRIM($J39))=0,"",INDEX('Skill Mapping'!$B$2:$B$7,MATCH(TRIM($J39),'Skill Mapping'!$A$2:$A$7,0))))</f>
        <v/>
      </c>
      <c r="L39" s="46" t="str">
        <f aca="false">IF($H39="","",'Survey Response'!$L37)</f>
        <v/>
      </c>
      <c r="M39" s="46" t="str">
        <f aca="false">IF($L39="","",IF(COUNTIF('Skill Mapping'!$A$2:$A$7,TRIM($L39))=0,"",INDEX('Skill Mapping'!$B$2:$B$7,MATCH(TRIM($L39),'Skill Mapping'!$A$2:$A$7,0))))</f>
        <v/>
      </c>
      <c r="N39" s="46" t="str">
        <f aca="false">IF($H39="","",'Survey Response'!$M37)</f>
        <v/>
      </c>
      <c r="O39" s="46" t="str">
        <f aca="false">IF($H39="","",IF('Survey Response'!$M37="Manager","R2","R1"))</f>
        <v/>
      </c>
      <c r="P39" s="46" t="str">
        <f aca="false">IF($K39="","No",IF(COUNTIFS(MasterPanel!$B:$B,$H39,MasterPanel!$I:$I,$K39,MasterPanel!$K:$K,"Y")&gt;0,"Yes","No"))</f>
        <v>No</v>
      </c>
      <c r="Q39" s="46" t="n">
        <f aca="false">IF($K39="",0,IF(COUNTIF('Gap Sheet'!$A$6:$A$11,TRIM($J39))=0,0,IF($O39="R1",INDEX('Gap Sheet'!$C$6:$C$11,MATCH(TRIM($J39),'Gap Sheet'!$A$6:$A$11,0)),INDEX('Gap Sheet'!$G$6:$G$11,MATCH(TRIM($J39),'Gap Sheet'!$A$6:$A$11,0)))))</f>
        <v>0</v>
      </c>
      <c r="R39" s="46" t="str">
        <f aca="false">IF($K39="","",$K39&amp;"|"&amp;$O39)</f>
        <v/>
      </c>
      <c r="S39" s="46" t="n">
        <f aca="false">IF($R39="",0,COUNTIF($AA$4:$AA38,$R39))</f>
        <v>0</v>
      </c>
      <c r="T39" s="46" t="str">
        <f aca="false">IF(OR($I39&lt;&gt;"Yes, I'm available for in-person interviews at Chennai",$E39&lt;&gt;"Yes",$P39&lt;&gt;"Yes"),"No",IF(($Q39-$S39)&gt;0,"Yes","No"))</f>
        <v>No</v>
      </c>
      <c r="U39" s="46" t="str">
        <f aca="false">IF($M39="","No",IF(COUNTIFS(MasterPanel!$B:$B,$H39,MasterPanel!$I:$I,$M39,MasterPanel!$K:$K,"Y")&gt;0,"Yes","No"))</f>
        <v>No</v>
      </c>
      <c r="V39" s="46" t="n">
        <f aca="false">IF($M39="",0,IF(COUNTIF('Gap Sheet'!$A$6:$A$11,TRIM($L39))=0,0,IF($O39="R1",INDEX('Gap Sheet'!$C$6:$C$11,MATCH(TRIM($L39),'Gap Sheet'!$A$6:$A$11,0)),INDEX('Gap Sheet'!$G$6:$G$11,MATCH(TRIM($L39),'Gap Sheet'!$A$6:$A$11,0)))))</f>
        <v>0</v>
      </c>
      <c r="W39" s="46" t="str">
        <f aca="false">IF($M39="","",$M39&amp;"|"&amp;$O39)</f>
        <v/>
      </c>
      <c r="X39" s="46" t="n">
        <f aca="false">IF($W39="",0,COUNTIF($AA$4:$AA38,$W39))</f>
        <v>0</v>
      </c>
      <c r="Y39" s="46" t="str">
        <f aca="false">IF(OR($I39&lt;&gt;"Yes, I'm available for in-person interviews at Chennai",$E39&lt;&gt;"Yes",$T39="Yes",$U39&lt;&gt;"Yes"),"No",IF(($V39-$X39)&gt;0,"Yes","No"))</f>
        <v>No</v>
      </c>
      <c r="Z39" s="46" t="str">
        <f aca="false">IF($T39="Yes","Primary",IF($Y39="Yes","Secondary",""))</f>
        <v/>
      </c>
      <c r="AA39" s="46" t="str">
        <f aca="false">IF($Z39="Primary",$R39,IF($Z39="Secondary",$W39,""))</f>
        <v/>
      </c>
      <c r="AB39" s="46" t="str">
        <f aca="false">IF($Z39="Primary","Matched on primary skill",IF($Z39="Secondary","Matched on secondary skill (primary not approved or not required)",""))</f>
        <v/>
      </c>
      <c r="AC39" s="47" t="str">
        <f aca="false">IF($D39="Panel Details",$F39,"")</f>
        <v/>
      </c>
      <c r="AD39" s="46" t="str">
        <f aca="false">IF($D39="Panel Details",'Survey Response'!$D37,"")</f>
        <v/>
      </c>
      <c r="AE39" s="46" t="str">
        <f aca="false">IF($D39="Panel Details",'Survey Response'!$E37,"")</f>
        <v/>
      </c>
      <c r="AF39" s="46" t="str">
        <f aca="false">IF($D39="Panel Details",'Survey Response'!$G37,"")</f>
        <v/>
      </c>
      <c r="AG39" s="46" t="str">
        <f aca="false">IF($D39="Panel Details",IF($Z39="Primary",$J39,$L39),"")</f>
        <v/>
      </c>
      <c r="AH39" s="46" t="str">
        <f aca="false">IF($D39="Panel Details",IF($Z39="Primary",$L39,$J39),"")</f>
        <v/>
      </c>
      <c r="AI39" s="46" t="str">
        <f aca="false">IF($D39="Panel Details",'Survey Response'!$H37,"")</f>
        <v/>
      </c>
      <c r="AJ39" s="46" t="str">
        <f aca="false">IF($D39="Panel Details",'Survey Response'!$M37,"")</f>
        <v/>
      </c>
      <c r="AK39" s="46" t="str">
        <f aca="false">IF($D39="Panel Details",$O39,"")</f>
        <v/>
      </c>
      <c r="AL39" s="46" t="str">
        <f aca="false">IF($D39="Panel Details",8,"")</f>
        <v/>
      </c>
      <c r="AM39" s="46" t="str">
        <f aca="false">IF($D39="Panel Details",$AB39,"")</f>
        <v/>
      </c>
      <c r="AN39" s="46" t="str">
        <f aca="false">IF($D39="Panel Details","Yes","")</f>
        <v/>
      </c>
      <c r="AO39" s="46"/>
      <c r="AP39" s="46" t="str">
        <f aca="false">IF($D39="Followup",'Survey Response'!$D37,"")</f>
        <v/>
      </c>
      <c r="AQ39" s="46" t="str">
        <f aca="false">IF($D39="Followup",'Survey Response'!$E37,"")</f>
        <v/>
      </c>
      <c r="AR39" s="46" t="str">
        <f aca="false">IF($D39="Followup",'Survey Response'!$G37,"")</f>
        <v/>
      </c>
      <c r="AS39" s="46" t="str">
        <f aca="false">IF($D39="Followup",'Survey Response'!$H37,"")</f>
        <v/>
      </c>
      <c r="AT39" s="46" t="str">
        <f aca="false">IF($D39="Followup",'Survey Response'!$M37,"")</f>
        <v/>
      </c>
      <c r="AU39" s="46" t="str">
        <f aca="false">IF($D39="Followup",'Survey Response'!$K37,"")</f>
        <v/>
      </c>
      <c r="AV39" s="46" t="str">
        <f aca="false">IF($D39="Followup",'Survey Response'!$L37,"")</f>
        <v/>
      </c>
      <c r="AW39" s="46" t="str">
        <f aca="false">IF($D39="Followup",IF(AND($P39&lt;&gt;"Yes",$U39&lt;&gt;"Yes"),"Not approved for primary or secondary skill","Approved, but skill(s) no longer have capacity (fully staffed)"),"")</f>
        <v/>
      </c>
    </row>
    <row r="40" customFormat="false" ht="15" hidden="false" customHeight="true" outlineLevel="0" collapsed="false">
      <c r="A40" s="46" t="str">
        <f aca="false">IF('Survey Response'!$D38="","",'Survey Response'!$A38&amp;"|"&amp;LOWER(TRIM('Survey Response'!$D38)))</f>
        <v/>
      </c>
      <c r="B40" s="46" t="str">
        <f aca="false">IF($H40="","",$F40&amp;"|"&amp;$H40)</f>
        <v/>
      </c>
      <c r="C40" s="46" t="str">
        <f aca="false">IF($H40="","",$A40=$B40)</f>
        <v/>
      </c>
      <c r="D40" s="46" t="str">
        <f aca="false">IF($H40="","",IF($E40&lt;&gt;"Yes","Superseded",IF($I40&lt;&gt;"Yes, I'm available for in-person interviews at Chennai","Not Available",IF($Z40&lt;&gt;"","Panel Details","Followup"))))</f>
        <v/>
      </c>
      <c r="E40" s="46" t="str">
        <f aca="false">IF($H40="","",IF(SUMPRODUCT(($H$4:$H$503=$H40)*(($G$4:$G$503&gt;$G40)+($G$4:$G$503=$G40)*($F$4:$F$503&gt;$F40)))=0,"Yes","No"))</f>
        <v/>
      </c>
      <c r="F40" s="47" t="str">
        <f aca="false">IF('Survey Response'!$D38="","",INT('Survey Response'!$A38))</f>
        <v/>
      </c>
      <c r="G40" s="48" t="str">
        <f aca="false">IF('Survey Response'!$D38="","",'Survey Response'!$C38)</f>
        <v/>
      </c>
      <c r="H40" s="46" t="str">
        <f aca="false">IF('Survey Response'!$D38="","",LOWER(TRIM('Survey Response'!$D38)))</f>
        <v/>
      </c>
      <c r="I40" s="46" t="str">
        <f aca="false">IF($H40="","",'Survey Response'!$I38)</f>
        <v/>
      </c>
      <c r="J40" s="46" t="str">
        <f aca="false">IF($H40="","",'Survey Response'!$K38)</f>
        <v/>
      </c>
      <c r="K40" s="46" t="str">
        <f aca="false">IF($J40="","",IF(COUNTIF('Skill Mapping'!$A$2:$A$7,TRIM($J40))=0,"",INDEX('Skill Mapping'!$B$2:$B$7,MATCH(TRIM($J40),'Skill Mapping'!$A$2:$A$7,0))))</f>
        <v/>
      </c>
      <c r="L40" s="46" t="str">
        <f aca="false">IF($H40="","",'Survey Response'!$L38)</f>
        <v/>
      </c>
      <c r="M40" s="46" t="str">
        <f aca="false">IF($L40="","",IF(COUNTIF('Skill Mapping'!$A$2:$A$7,TRIM($L40))=0,"",INDEX('Skill Mapping'!$B$2:$B$7,MATCH(TRIM($L40),'Skill Mapping'!$A$2:$A$7,0))))</f>
        <v/>
      </c>
      <c r="N40" s="46" t="str">
        <f aca="false">IF($H40="","",'Survey Response'!$M38)</f>
        <v/>
      </c>
      <c r="O40" s="46" t="str">
        <f aca="false">IF($H40="","",IF('Survey Response'!$M38="Manager","R2","R1"))</f>
        <v/>
      </c>
      <c r="P40" s="46" t="str">
        <f aca="false">IF($K40="","No",IF(COUNTIFS(MasterPanel!$B:$B,$H40,MasterPanel!$I:$I,$K40,MasterPanel!$K:$K,"Y")&gt;0,"Yes","No"))</f>
        <v>No</v>
      </c>
      <c r="Q40" s="46" t="n">
        <f aca="false">IF($K40="",0,IF(COUNTIF('Gap Sheet'!$A$6:$A$11,TRIM($J40))=0,0,IF($O40="R1",INDEX('Gap Sheet'!$C$6:$C$11,MATCH(TRIM($J40),'Gap Sheet'!$A$6:$A$11,0)),INDEX('Gap Sheet'!$G$6:$G$11,MATCH(TRIM($J40),'Gap Sheet'!$A$6:$A$11,0)))))</f>
        <v>0</v>
      </c>
      <c r="R40" s="46" t="str">
        <f aca="false">IF($K40="","",$K40&amp;"|"&amp;$O40)</f>
        <v/>
      </c>
      <c r="S40" s="46" t="n">
        <f aca="false">IF($R40="",0,COUNTIF($AA$4:$AA39,$R40))</f>
        <v>0</v>
      </c>
      <c r="T40" s="46" t="str">
        <f aca="false">IF(OR($I40&lt;&gt;"Yes, I'm available for in-person interviews at Chennai",$E40&lt;&gt;"Yes",$P40&lt;&gt;"Yes"),"No",IF(($Q40-$S40)&gt;0,"Yes","No"))</f>
        <v>No</v>
      </c>
      <c r="U40" s="46" t="str">
        <f aca="false">IF($M40="","No",IF(COUNTIFS(MasterPanel!$B:$B,$H40,MasterPanel!$I:$I,$M40,MasterPanel!$K:$K,"Y")&gt;0,"Yes","No"))</f>
        <v>No</v>
      </c>
      <c r="V40" s="46" t="n">
        <f aca="false">IF($M40="",0,IF(COUNTIF('Gap Sheet'!$A$6:$A$11,TRIM($L40))=0,0,IF($O40="R1",INDEX('Gap Sheet'!$C$6:$C$11,MATCH(TRIM($L40),'Gap Sheet'!$A$6:$A$11,0)),INDEX('Gap Sheet'!$G$6:$G$11,MATCH(TRIM($L40),'Gap Sheet'!$A$6:$A$11,0)))))</f>
        <v>0</v>
      </c>
      <c r="W40" s="46" t="str">
        <f aca="false">IF($M40="","",$M40&amp;"|"&amp;$O40)</f>
        <v/>
      </c>
      <c r="X40" s="46" t="n">
        <f aca="false">IF($W40="",0,COUNTIF($AA$4:$AA39,$W40))</f>
        <v>0</v>
      </c>
      <c r="Y40" s="46" t="str">
        <f aca="false">IF(OR($I40&lt;&gt;"Yes, I'm available for in-person interviews at Chennai",$E40&lt;&gt;"Yes",$T40="Yes",$U40&lt;&gt;"Yes"),"No",IF(($V40-$X40)&gt;0,"Yes","No"))</f>
        <v>No</v>
      </c>
      <c r="Z40" s="46" t="str">
        <f aca="false">IF($T40="Yes","Primary",IF($Y40="Yes","Secondary",""))</f>
        <v/>
      </c>
      <c r="AA40" s="46" t="str">
        <f aca="false">IF($Z40="Primary",$R40,IF($Z40="Secondary",$W40,""))</f>
        <v/>
      </c>
      <c r="AB40" s="46" t="str">
        <f aca="false">IF($Z40="Primary","Matched on primary skill",IF($Z40="Secondary","Matched on secondary skill (primary not approved or not required)",""))</f>
        <v/>
      </c>
      <c r="AC40" s="47" t="str">
        <f aca="false">IF($D40="Panel Details",$F40,"")</f>
        <v/>
      </c>
      <c r="AD40" s="46" t="str">
        <f aca="false">IF($D40="Panel Details",'Survey Response'!$D38,"")</f>
        <v/>
      </c>
      <c r="AE40" s="46" t="str">
        <f aca="false">IF($D40="Panel Details",'Survey Response'!$E38,"")</f>
        <v/>
      </c>
      <c r="AF40" s="46" t="str">
        <f aca="false">IF($D40="Panel Details",'Survey Response'!$G38,"")</f>
        <v/>
      </c>
      <c r="AG40" s="46" t="str">
        <f aca="false">IF($D40="Panel Details",IF($Z40="Primary",$J40,$L40),"")</f>
        <v/>
      </c>
      <c r="AH40" s="46" t="str">
        <f aca="false">IF($D40="Panel Details",IF($Z40="Primary",$L40,$J40),"")</f>
        <v/>
      </c>
      <c r="AI40" s="46" t="str">
        <f aca="false">IF($D40="Panel Details",'Survey Response'!$H38,"")</f>
        <v/>
      </c>
      <c r="AJ40" s="46" t="str">
        <f aca="false">IF($D40="Panel Details",'Survey Response'!$M38,"")</f>
        <v/>
      </c>
      <c r="AK40" s="46" t="str">
        <f aca="false">IF($D40="Panel Details",$O40,"")</f>
        <v/>
      </c>
      <c r="AL40" s="46" t="str">
        <f aca="false">IF($D40="Panel Details",8,"")</f>
        <v/>
      </c>
      <c r="AM40" s="46" t="str">
        <f aca="false">IF($D40="Panel Details",$AB40,"")</f>
        <v/>
      </c>
      <c r="AN40" s="46" t="str">
        <f aca="false">IF($D40="Panel Details","Yes","")</f>
        <v/>
      </c>
      <c r="AO40" s="46"/>
      <c r="AP40" s="46" t="str">
        <f aca="false">IF($D40="Followup",'Survey Response'!$D38,"")</f>
        <v/>
      </c>
      <c r="AQ40" s="46" t="str">
        <f aca="false">IF($D40="Followup",'Survey Response'!$E38,"")</f>
        <v/>
      </c>
      <c r="AR40" s="46" t="str">
        <f aca="false">IF($D40="Followup",'Survey Response'!$G38,"")</f>
        <v/>
      </c>
      <c r="AS40" s="46" t="str">
        <f aca="false">IF($D40="Followup",'Survey Response'!$H38,"")</f>
        <v/>
      </c>
      <c r="AT40" s="46" t="str">
        <f aca="false">IF($D40="Followup",'Survey Response'!$M38,"")</f>
        <v/>
      </c>
      <c r="AU40" s="46" t="str">
        <f aca="false">IF($D40="Followup",'Survey Response'!$K38,"")</f>
        <v/>
      </c>
      <c r="AV40" s="46" t="str">
        <f aca="false">IF($D40="Followup",'Survey Response'!$L38,"")</f>
        <v/>
      </c>
      <c r="AW40" s="46" t="str">
        <f aca="false">IF($D40="Followup",IF(AND($P40&lt;&gt;"Yes",$U40&lt;&gt;"Yes"),"Not approved for primary or secondary skill","Approved, but skill(s) no longer have capacity (fully staffed)"),"")</f>
        <v/>
      </c>
    </row>
    <row r="41" customFormat="false" ht="15" hidden="false" customHeight="true" outlineLevel="0" collapsed="false">
      <c r="A41" s="46" t="str">
        <f aca="false">IF('Survey Response'!$D39="","",'Survey Response'!$A39&amp;"|"&amp;LOWER(TRIM('Survey Response'!$D39)))</f>
        <v/>
      </c>
      <c r="B41" s="46" t="str">
        <f aca="false">IF($H41="","",$F41&amp;"|"&amp;$H41)</f>
        <v/>
      </c>
      <c r="C41" s="46" t="str">
        <f aca="false">IF($H41="","",$A41=$B41)</f>
        <v/>
      </c>
      <c r="D41" s="46" t="str">
        <f aca="false">IF($H41="","",IF($E41&lt;&gt;"Yes","Superseded",IF($I41&lt;&gt;"Yes, I'm available for in-person interviews at Chennai","Not Available",IF($Z41&lt;&gt;"","Panel Details","Followup"))))</f>
        <v/>
      </c>
      <c r="E41" s="46" t="str">
        <f aca="false">IF($H41="","",IF(SUMPRODUCT(($H$4:$H$503=$H41)*(($G$4:$G$503&gt;$G41)+($G$4:$G$503=$G41)*($F$4:$F$503&gt;$F41)))=0,"Yes","No"))</f>
        <v/>
      </c>
      <c r="F41" s="47" t="str">
        <f aca="false">IF('Survey Response'!$D39="","",INT('Survey Response'!$A39))</f>
        <v/>
      </c>
      <c r="G41" s="48" t="str">
        <f aca="false">IF('Survey Response'!$D39="","",'Survey Response'!$C39)</f>
        <v/>
      </c>
      <c r="H41" s="46" t="str">
        <f aca="false">IF('Survey Response'!$D39="","",LOWER(TRIM('Survey Response'!$D39)))</f>
        <v/>
      </c>
      <c r="I41" s="46" t="str">
        <f aca="false">IF($H41="","",'Survey Response'!$I39)</f>
        <v/>
      </c>
      <c r="J41" s="46" t="str">
        <f aca="false">IF($H41="","",'Survey Response'!$K39)</f>
        <v/>
      </c>
      <c r="K41" s="46" t="str">
        <f aca="false">IF($J41="","",IF(COUNTIF('Skill Mapping'!$A$2:$A$7,TRIM($J41))=0,"",INDEX('Skill Mapping'!$B$2:$B$7,MATCH(TRIM($J41),'Skill Mapping'!$A$2:$A$7,0))))</f>
        <v/>
      </c>
      <c r="L41" s="46" t="str">
        <f aca="false">IF($H41="","",'Survey Response'!$L39)</f>
        <v/>
      </c>
      <c r="M41" s="46" t="str">
        <f aca="false">IF($L41="","",IF(COUNTIF('Skill Mapping'!$A$2:$A$7,TRIM($L41))=0,"",INDEX('Skill Mapping'!$B$2:$B$7,MATCH(TRIM($L41),'Skill Mapping'!$A$2:$A$7,0))))</f>
        <v/>
      </c>
      <c r="N41" s="46" t="str">
        <f aca="false">IF($H41="","",'Survey Response'!$M39)</f>
        <v/>
      </c>
      <c r="O41" s="46" t="str">
        <f aca="false">IF($H41="","",IF('Survey Response'!$M39="Manager","R2","R1"))</f>
        <v/>
      </c>
      <c r="P41" s="46" t="str">
        <f aca="false">IF($K41="","No",IF(COUNTIFS(MasterPanel!$B:$B,$H41,MasterPanel!$I:$I,$K41,MasterPanel!$K:$K,"Y")&gt;0,"Yes","No"))</f>
        <v>No</v>
      </c>
      <c r="Q41" s="46" t="n">
        <f aca="false">IF($K41="",0,IF(COUNTIF('Gap Sheet'!$A$6:$A$11,TRIM($J41))=0,0,IF($O41="R1",INDEX('Gap Sheet'!$C$6:$C$11,MATCH(TRIM($J41),'Gap Sheet'!$A$6:$A$11,0)),INDEX('Gap Sheet'!$G$6:$G$11,MATCH(TRIM($J41),'Gap Sheet'!$A$6:$A$11,0)))))</f>
        <v>0</v>
      </c>
      <c r="R41" s="46" t="str">
        <f aca="false">IF($K41="","",$K41&amp;"|"&amp;$O41)</f>
        <v/>
      </c>
      <c r="S41" s="46" t="n">
        <f aca="false">IF($R41="",0,COUNTIF($AA$4:$AA40,$R41))</f>
        <v>0</v>
      </c>
      <c r="T41" s="46" t="str">
        <f aca="false">IF(OR($I41&lt;&gt;"Yes, I'm available for in-person interviews at Chennai",$E41&lt;&gt;"Yes",$P41&lt;&gt;"Yes"),"No",IF(($Q41-$S41)&gt;0,"Yes","No"))</f>
        <v>No</v>
      </c>
      <c r="U41" s="46" t="str">
        <f aca="false">IF($M41="","No",IF(COUNTIFS(MasterPanel!$B:$B,$H41,MasterPanel!$I:$I,$M41,MasterPanel!$K:$K,"Y")&gt;0,"Yes","No"))</f>
        <v>No</v>
      </c>
      <c r="V41" s="46" t="n">
        <f aca="false">IF($M41="",0,IF(COUNTIF('Gap Sheet'!$A$6:$A$11,TRIM($L41))=0,0,IF($O41="R1",INDEX('Gap Sheet'!$C$6:$C$11,MATCH(TRIM($L41),'Gap Sheet'!$A$6:$A$11,0)),INDEX('Gap Sheet'!$G$6:$G$11,MATCH(TRIM($L41),'Gap Sheet'!$A$6:$A$11,0)))))</f>
        <v>0</v>
      </c>
      <c r="W41" s="46" t="str">
        <f aca="false">IF($M41="","",$M41&amp;"|"&amp;$O41)</f>
        <v/>
      </c>
      <c r="X41" s="46" t="n">
        <f aca="false">IF($W41="",0,COUNTIF($AA$4:$AA40,$W41))</f>
        <v>0</v>
      </c>
      <c r="Y41" s="46" t="str">
        <f aca="false">IF(OR($I41&lt;&gt;"Yes, I'm available for in-person interviews at Chennai",$E41&lt;&gt;"Yes",$T41="Yes",$U41&lt;&gt;"Yes"),"No",IF(($V41-$X41)&gt;0,"Yes","No"))</f>
        <v>No</v>
      </c>
      <c r="Z41" s="46" t="str">
        <f aca="false">IF($T41="Yes","Primary",IF($Y41="Yes","Secondary",""))</f>
        <v/>
      </c>
      <c r="AA41" s="46" t="str">
        <f aca="false">IF($Z41="Primary",$R41,IF($Z41="Secondary",$W41,""))</f>
        <v/>
      </c>
      <c r="AB41" s="46" t="str">
        <f aca="false">IF($Z41="Primary","Matched on primary skill",IF($Z41="Secondary","Matched on secondary skill (primary not approved or not required)",""))</f>
        <v/>
      </c>
      <c r="AC41" s="47" t="str">
        <f aca="false">IF($D41="Panel Details",$F41,"")</f>
        <v/>
      </c>
      <c r="AD41" s="46" t="str">
        <f aca="false">IF($D41="Panel Details",'Survey Response'!$D39,"")</f>
        <v/>
      </c>
      <c r="AE41" s="46" t="str">
        <f aca="false">IF($D41="Panel Details",'Survey Response'!$E39,"")</f>
        <v/>
      </c>
      <c r="AF41" s="46" t="str">
        <f aca="false">IF($D41="Panel Details",'Survey Response'!$G39,"")</f>
        <v/>
      </c>
      <c r="AG41" s="46" t="str">
        <f aca="false">IF($D41="Panel Details",IF($Z41="Primary",$J41,$L41),"")</f>
        <v/>
      </c>
      <c r="AH41" s="46" t="str">
        <f aca="false">IF($D41="Panel Details",IF($Z41="Primary",$L41,$J41),"")</f>
        <v/>
      </c>
      <c r="AI41" s="46" t="str">
        <f aca="false">IF($D41="Panel Details",'Survey Response'!$H39,"")</f>
        <v/>
      </c>
      <c r="AJ41" s="46" t="str">
        <f aca="false">IF($D41="Panel Details",'Survey Response'!$M39,"")</f>
        <v/>
      </c>
      <c r="AK41" s="46" t="str">
        <f aca="false">IF($D41="Panel Details",$O41,"")</f>
        <v/>
      </c>
      <c r="AL41" s="46" t="str">
        <f aca="false">IF($D41="Panel Details",8,"")</f>
        <v/>
      </c>
      <c r="AM41" s="46" t="str">
        <f aca="false">IF($D41="Panel Details",$AB41,"")</f>
        <v/>
      </c>
      <c r="AN41" s="46" t="str">
        <f aca="false">IF($D41="Panel Details","Yes","")</f>
        <v/>
      </c>
      <c r="AO41" s="46"/>
      <c r="AP41" s="46" t="str">
        <f aca="false">IF($D41="Followup",'Survey Response'!$D39,"")</f>
        <v/>
      </c>
      <c r="AQ41" s="46" t="str">
        <f aca="false">IF($D41="Followup",'Survey Response'!$E39,"")</f>
        <v/>
      </c>
      <c r="AR41" s="46" t="str">
        <f aca="false">IF($D41="Followup",'Survey Response'!$G39,"")</f>
        <v/>
      </c>
      <c r="AS41" s="46" t="str">
        <f aca="false">IF($D41="Followup",'Survey Response'!$H39,"")</f>
        <v/>
      </c>
      <c r="AT41" s="46" t="str">
        <f aca="false">IF($D41="Followup",'Survey Response'!$M39,"")</f>
        <v/>
      </c>
      <c r="AU41" s="46" t="str">
        <f aca="false">IF($D41="Followup",'Survey Response'!$K39,"")</f>
        <v/>
      </c>
      <c r="AV41" s="46" t="str">
        <f aca="false">IF($D41="Followup",'Survey Response'!$L39,"")</f>
        <v/>
      </c>
      <c r="AW41" s="46" t="str">
        <f aca="false">IF($D41="Followup",IF(AND($P41&lt;&gt;"Yes",$U41&lt;&gt;"Yes"),"Not approved for primary or secondary skill","Approved, but skill(s) no longer have capacity (fully staffed)"),"")</f>
        <v/>
      </c>
    </row>
    <row r="42" customFormat="false" ht="15" hidden="false" customHeight="true" outlineLevel="0" collapsed="false">
      <c r="A42" s="46" t="str">
        <f aca="false">IF('Survey Response'!$D40="","",'Survey Response'!$A40&amp;"|"&amp;LOWER(TRIM('Survey Response'!$D40)))</f>
        <v/>
      </c>
      <c r="B42" s="46" t="str">
        <f aca="false">IF($H42="","",$F42&amp;"|"&amp;$H42)</f>
        <v/>
      </c>
      <c r="C42" s="46" t="str">
        <f aca="false">IF($H42="","",$A42=$B42)</f>
        <v/>
      </c>
      <c r="D42" s="46" t="str">
        <f aca="false">IF($H42="","",IF($E42&lt;&gt;"Yes","Superseded",IF($I42&lt;&gt;"Yes, I'm available for in-person interviews at Chennai","Not Available",IF($Z42&lt;&gt;"","Panel Details","Followup"))))</f>
        <v/>
      </c>
      <c r="E42" s="46" t="str">
        <f aca="false">IF($H42="","",IF(SUMPRODUCT(($H$4:$H$503=$H42)*(($G$4:$G$503&gt;$G42)+($G$4:$G$503=$G42)*($F$4:$F$503&gt;$F42)))=0,"Yes","No"))</f>
        <v/>
      </c>
      <c r="F42" s="47" t="str">
        <f aca="false">IF('Survey Response'!$D40="","",INT('Survey Response'!$A40))</f>
        <v/>
      </c>
      <c r="G42" s="48" t="str">
        <f aca="false">IF('Survey Response'!$D40="","",'Survey Response'!$C40)</f>
        <v/>
      </c>
      <c r="H42" s="46" t="str">
        <f aca="false">IF('Survey Response'!$D40="","",LOWER(TRIM('Survey Response'!$D40)))</f>
        <v/>
      </c>
      <c r="I42" s="46" t="str">
        <f aca="false">IF($H42="","",'Survey Response'!$I40)</f>
        <v/>
      </c>
      <c r="J42" s="46" t="str">
        <f aca="false">IF($H42="","",'Survey Response'!$K40)</f>
        <v/>
      </c>
      <c r="K42" s="46" t="str">
        <f aca="false">IF($J42="","",IF(COUNTIF('Skill Mapping'!$A$2:$A$7,TRIM($J42))=0,"",INDEX('Skill Mapping'!$B$2:$B$7,MATCH(TRIM($J42),'Skill Mapping'!$A$2:$A$7,0))))</f>
        <v/>
      </c>
      <c r="L42" s="46" t="str">
        <f aca="false">IF($H42="","",'Survey Response'!$L40)</f>
        <v/>
      </c>
      <c r="M42" s="46" t="str">
        <f aca="false">IF($L42="","",IF(COUNTIF('Skill Mapping'!$A$2:$A$7,TRIM($L42))=0,"",INDEX('Skill Mapping'!$B$2:$B$7,MATCH(TRIM($L42),'Skill Mapping'!$A$2:$A$7,0))))</f>
        <v/>
      </c>
      <c r="N42" s="46" t="str">
        <f aca="false">IF($H42="","",'Survey Response'!$M40)</f>
        <v/>
      </c>
      <c r="O42" s="46" t="str">
        <f aca="false">IF($H42="","",IF('Survey Response'!$M40="Manager","R2","R1"))</f>
        <v/>
      </c>
      <c r="P42" s="46" t="str">
        <f aca="false">IF($K42="","No",IF(COUNTIFS(MasterPanel!$B:$B,$H42,MasterPanel!$I:$I,$K42,MasterPanel!$K:$K,"Y")&gt;0,"Yes","No"))</f>
        <v>No</v>
      </c>
      <c r="Q42" s="46" t="n">
        <f aca="false">IF($K42="",0,IF(COUNTIF('Gap Sheet'!$A$6:$A$11,TRIM($J42))=0,0,IF($O42="R1",INDEX('Gap Sheet'!$C$6:$C$11,MATCH(TRIM($J42),'Gap Sheet'!$A$6:$A$11,0)),INDEX('Gap Sheet'!$G$6:$G$11,MATCH(TRIM($J42),'Gap Sheet'!$A$6:$A$11,0)))))</f>
        <v>0</v>
      </c>
      <c r="R42" s="46" t="str">
        <f aca="false">IF($K42="","",$K42&amp;"|"&amp;$O42)</f>
        <v/>
      </c>
      <c r="S42" s="46" t="n">
        <f aca="false">IF($R42="",0,COUNTIF($AA$4:$AA41,$R42))</f>
        <v>0</v>
      </c>
      <c r="T42" s="46" t="str">
        <f aca="false">IF(OR($I42&lt;&gt;"Yes, I'm available for in-person interviews at Chennai",$E42&lt;&gt;"Yes",$P42&lt;&gt;"Yes"),"No",IF(($Q42-$S42)&gt;0,"Yes","No"))</f>
        <v>No</v>
      </c>
      <c r="U42" s="46" t="str">
        <f aca="false">IF($M42="","No",IF(COUNTIFS(MasterPanel!$B:$B,$H42,MasterPanel!$I:$I,$M42,MasterPanel!$K:$K,"Y")&gt;0,"Yes","No"))</f>
        <v>No</v>
      </c>
      <c r="V42" s="46" t="n">
        <f aca="false">IF($M42="",0,IF(COUNTIF('Gap Sheet'!$A$6:$A$11,TRIM($L42))=0,0,IF($O42="R1",INDEX('Gap Sheet'!$C$6:$C$11,MATCH(TRIM($L42),'Gap Sheet'!$A$6:$A$11,0)),INDEX('Gap Sheet'!$G$6:$G$11,MATCH(TRIM($L42),'Gap Sheet'!$A$6:$A$11,0)))))</f>
        <v>0</v>
      </c>
      <c r="W42" s="46" t="str">
        <f aca="false">IF($M42="","",$M42&amp;"|"&amp;$O42)</f>
        <v/>
      </c>
      <c r="X42" s="46" t="n">
        <f aca="false">IF($W42="",0,COUNTIF($AA$4:$AA41,$W42))</f>
        <v>0</v>
      </c>
      <c r="Y42" s="46" t="str">
        <f aca="false">IF(OR($I42&lt;&gt;"Yes, I'm available for in-person interviews at Chennai",$E42&lt;&gt;"Yes",$T42="Yes",$U42&lt;&gt;"Yes"),"No",IF(($V42-$X42)&gt;0,"Yes","No"))</f>
        <v>No</v>
      </c>
      <c r="Z42" s="46" t="str">
        <f aca="false">IF($T42="Yes","Primary",IF($Y42="Yes","Secondary",""))</f>
        <v/>
      </c>
      <c r="AA42" s="46" t="str">
        <f aca="false">IF($Z42="Primary",$R42,IF($Z42="Secondary",$W42,""))</f>
        <v/>
      </c>
      <c r="AB42" s="46" t="str">
        <f aca="false">IF($Z42="Primary","Matched on primary skill",IF($Z42="Secondary","Matched on secondary skill (primary not approved or not required)",""))</f>
        <v/>
      </c>
      <c r="AC42" s="47" t="str">
        <f aca="false">IF($D42="Panel Details",$F42,"")</f>
        <v/>
      </c>
      <c r="AD42" s="46" t="str">
        <f aca="false">IF($D42="Panel Details",'Survey Response'!$D40,"")</f>
        <v/>
      </c>
      <c r="AE42" s="46" t="str">
        <f aca="false">IF($D42="Panel Details",'Survey Response'!$E40,"")</f>
        <v/>
      </c>
      <c r="AF42" s="46" t="str">
        <f aca="false">IF($D42="Panel Details",'Survey Response'!$G40,"")</f>
        <v/>
      </c>
      <c r="AG42" s="46" t="str">
        <f aca="false">IF($D42="Panel Details",IF($Z42="Primary",$J42,$L42),"")</f>
        <v/>
      </c>
      <c r="AH42" s="46" t="str">
        <f aca="false">IF($D42="Panel Details",IF($Z42="Primary",$L42,$J42),"")</f>
        <v/>
      </c>
      <c r="AI42" s="46" t="str">
        <f aca="false">IF($D42="Panel Details",'Survey Response'!$H40,"")</f>
        <v/>
      </c>
      <c r="AJ42" s="46" t="str">
        <f aca="false">IF($D42="Panel Details",'Survey Response'!$M40,"")</f>
        <v/>
      </c>
      <c r="AK42" s="46" t="str">
        <f aca="false">IF($D42="Panel Details",$O42,"")</f>
        <v/>
      </c>
      <c r="AL42" s="46" t="str">
        <f aca="false">IF($D42="Panel Details",8,"")</f>
        <v/>
      </c>
      <c r="AM42" s="46" t="str">
        <f aca="false">IF($D42="Panel Details",$AB42,"")</f>
        <v/>
      </c>
      <c r="AN42" s="46" t="str">
        <f aca="false">IF($D42="Panel Details","Yes","")</f>
        <v/>
      </c>
      <c r="AO42" s="46"/>
      <c r="AP42" s="46" t="str">
        <f aca="false">IF($D42="Followup",'Survey Response'!$D40,"")</f>
        <v/>
      </c>
      <c r="AQ42" s="46" t="str">
        <f aca="false">IF($D42="Followup",'Survey Response'!$E40,"")</f>
        <v/>
      </c>
      <c r="AR42" s="46" t="str">
        <f aca="false">IF($D42="Followup",'Survey Response'!$G40,"")</f>
        <v/>
      </c>
      <c r="AS42" s="46" t="str">
        <f aca="false">IF($D42="Followup",'Survey Response'!$H40,"")</f>
        <v/>
      </c>
      <c r="AT42" s="46" t="str">
        <f aca="false">IF($D42="Followup",'Survey Response'!$M40,"")</f>
        <v/>
      </c>
      <c r="AU42" s="46" t="str">
        <f aca="false">IF($D42="Followup",'Survey Response'!$K40,"")</f>
        <v/>
      </c>
      <c r="AV42" s="46" t="str">
        <f aca="false">IF($D42="Followup",'Survey Response'!$L40,"")</f>
        <v/>
      </c>
      <c r="AW42" s="46" t="str">
        <f aca="false">IF($D42="Followup",IF(AND($P42&lt;&gt;"Yes",$U42&lt;&gt;"Yes"),"Not approved for primary or secondary skill","Approved, but skill(s) no longer have capacity (fully staffed)"),"")</f>
        <v/>
      </c>
    </row>
    <row r="43" customFormat="false" ht="15" hidden="false" customHeight="true" outlineLevel="0" collapsed="false">
      <c r="A43" s="46" t="str">
        <f aca="false">IF('Survey Response'!$D41="","",'Survey Response'!$A41&amp;"|"&amp;LOWER(TRIM('Survey Response'!$D41)))</f>
        <v/>
      </c>
      <c r="B43" s="46" t="str">
        <f aca="false">IF($H43="","",$F43&amp;"|"&amp;$H43)</f>
        <v/>
      </c>
      <c r="C43" s="46" t="str">
        <f aca="false">IF($H43="","",$A43=$B43)</f>
        <v/>
      </c>
      <c r="D43" s="46" t="str">
        <f aca="false">IF($H43="","",IF($E43&lt;&gt;"Yes","Superseded",IF($I43&lt;&gt;"Yes, I'm available for in-person interviews at Chennai","Not Available",IF($Z43&lt;&gt;"","Panel Details","Followup"))))</f>
        <v/>
      </c>
      <c r="E43" s="46" t="str">
        <f aca="false">IF($H43="","",IF(SUMPRODUCT(($H$4:$H$503=$H43)*(($G$4:$G$503&gt;$G43)+($G$4:$G$503=$G43)*($F$4:$F$503&gt;$F43)))=0,"Yes","No"))</f>
        <v/>
      </c>
      <c r="F43" s="47" t="str">
        <f aca="false">IF('Survey Response'!$D41="","",INT('Survey Response'!$A41))</f>
        <v/>
      </c>
      <c r="G43" s="48" t="str">
        <f aca="false">IF('Survey Response'!$D41="","",'Survey Response'!$C41)</f>
        <v/>
      </c>
      <c r="H43" s="46" t="str">
        <f aca="false">IF('Survey Response'!$D41="","",LOWER(TRIM('Survey Response'!$D41)))</f>
        <v/>
      </c>
      <c r="I43" s="46" t="str">
        <f aca="false">IF($H43="","",'Survey Response'!$I41)</f>
        <v/>
      </c>
      <c r="J43" s="46" t="str">
        <f aca="false">IF($H43="","",'Survey Response'!$K41)</f>
        <v/>
      </c>
      <c r="K43" s="46" t="str">
        <f aca="false">IF($J43="","",IF(COUNTIF('Skill Mapping'!$A$2:$A$7,TRIM($J43))=0,"",INDEX('Skill Mapping'!$B$2:$B$7,MATCH(TRIM($J43),'Skill Mapping'!$A$2:$A$7,0))))</f>
        <v/>
      </c>
      <c r="L43" s="46" t="str">
        <f aca="false">IF($H43="","",'Survey Response'!$L41)</f>
        <v/>
      </c>
      <c r="M43" s="46" t="str">
        <f aca="false">IF($L43="","",IF(COUNTIF('Skill Mapping'!$A$2:$A$7,TRIM($L43))=0,"",INDEX('Skill Mapping'!$B$2:$B$7,MATCH(TRIM($L43),'Skill Mapping'!$A$2:$A$7,0))))</f>
        <v/>
      </c>
      <c r="N43" s="46" t="str">
        <f aca="false">IF($H43="","",'Survey Response'!$M41)</f>
        <v/>
      </c>
      <c r="O43" s="46" t="str">
        <f aca="false">IF($H43="","",IF('Survey Response'!$M41="Manager","R2","R1"))</f>
        <v/>
      </c>
      <c r="P43" s="46" t="str">
        <f aca="false">IF($K43="","No",IF(COUNTIFS(MasterPanel!$B:$B,$H43,MasterPanel!$I:$I,$K43,MasterPanel!$K:$K,"Y")&gt;0,"Yes","No"))</f>
        <v>No</v>
      </c>
      <c r="Q43" s="46" t="n">
        <f aca="false">IF($K43="",0,IF(COUNTIF('Gap Sheet'!$A$6:$A$11,TRIM($J43))=0,0,IF($O43="R1",INDEX('Gap Sheet'!$C$6:$C$11,MATCH(TRIM($J43),'Gap Sheet'!$A$6:$A$11,0)),INDEX('Gap Sheet'!$G$6:$G$11,MATCH(TRIM($J43),'Gap Sheet'!$A$6:$A$11,0)))))</f>
        <v>0</v>
      </c>
      <c r="R43" s="46" t="str">
        <f aca="false">IF($K43="","",$K43&amp;"|"&amp;$O43)</f>
        <v/>
      </c>
      <c r="S43" s="46" t="n">
        <f aca="false">IF($R43="",0,COUNTIF($AA$4:$AA42,$R43))</f>
        <v>0</v>
      </c>
      <c r="T43" s="46" t="str">
        <f aca="false">IF(OR($I43&lt;&gt;"Yes, I'm available for in-person interviews at Chennai",$E43&lt;&gt;"Yes",$P43&lt;&gt;"Yes"),"No",IF(($Q43-$S43)&gt;0,"Yes","No"))</f>
        <v>No</v>
      </c>
      <c r="U43" s="46" t="str">
        <f aca="false">IF($M43="","No",IF(COUNTIFS(MasterPanel!$B:$B,$H43,MasterPanel!$I:$I,$M43,MasterPanel!$K:$K,"Y")&gt;0,"Yes","No"))</f>
        <v>No</v>
      </c>
      <c r="V43" s="46" t="n">
        <f aca="false">IF($M43="",0,IF(COUNTIF('Gap Sheet'!$A$6:$A$11,TRIM($L43))=0,0,IF($O43="R1",INDEX('Gap Sheet'!$C$6:$C$11,MATCH(TRIM($L43),'Gap Sheet'!$A$6:$A$11,0)),INDEX('Gap Sheet'!$G$6:$G$11,MATCH(TRIM($L43),'Gap Sheet'!$A$6:$A$11,0)))))</f>
        <v>0</v>
      </c>
      <c r="W43" s="46" t="str">
        <f aca="false">IF($M43="","",$M43&amp;"|"&amp;$O43)</f>
        <v/>
      </c>
      <c r="X43" s="46" t="n">
        <f aca="false">IF($W43="",0,COUNTIF($AA$4:$AA42,$W43))</f>
        <v>0</v>
      </c>
      <c r="Y43" s="46" t="str">
        <f aca="false">IF(OR($I43&lt;&gt;"Yes, I'm available for in-person interviews at Chennai",$E43&lt;&gt;"Yes",$T43="Yes",$U43&lt;&gt;"Yes"),"No",IF(($V43-$X43)&gt;0,"Yes","No"))</f>
        <v>No</v>
      </c>
      <c r="Z43" s="46" t="str">
        <f aca="false">IF($T43="Yes","Primary",IF($Y43="Yes","Secondary",""))</f>
        <v/>
      </c>
      <c r="AA43" s="46" t="str">
        <f aca="false">IF($Z43="Primary",$R43,IF($Z43="Secondary",$W43,""))</f>
        <v/>
      </c>
      <c r="AB43" s="46" t="str">
        <f aca="false">IF($Z43="Primary","Matched on primary skill",IF($Z43="Secondary","Matched on secondary skill (primary not approved or not required)",""))</f>
        <v/>
      </c>
      <c r="AC43" s="47" t="str">
        <f aca="false">IF($D43="Panel Details",$F43,"")</f>
        <v/>
      </c>
      <c r="AD43" s="46" t="str">
        <f aca="false">IF($D43="Panel Details",'Survey Response'!$D41,"")</f>
        <v/>
      </c>
      <c r="AE43" s="46" t="str">
        <f aca="false">IF($D43="Panel Details",'Survey Response'!$E41,"")</f>
        <v/>
      </c>
      <c r="AF43" s="46" t="str">
        <f aca="false">IF($D43="Panel Details",'Survey Response'!$G41,"")</f>
        <v/>
      </c>
      <c r="AG43" s="46" t="str">
        <f aca="false">IF($D43="Panel Details",IF($Z43="Primary",$J43,$L43),"")</f>
        <v/>
      </c>
      <c r="AH43" s="46" t="str">
        <f aca="false">IF($D43="Panel Details",IF($Z43="Primary",$L43,$J43),"")</f>
        <v/>
      </c>
      <c r="AI43" s="46" t="str">
        <f aca="false">IF($D43="Panel Details",'Survey Response'!$H41,"")</f>
        <v/>
      </c>
      <c r="AJ43" s="46" t="str">
        <f aca="false">IF($D43="Panel Details",'Survey Response'!$M41,"")</f>
        <v/>
      </c>
      <c r="AK43" s="46" t="str">
        <f aca="false">IF($D43="Panel Details",$O43,"")</f>
        <v/>
      </c>
      <c r="AL43" s="46" t="str">
        <f aca="false">IF($D43="Panel Details",8,"")</f>
        <v/>
      </c>
      <c r="AM43" s="46" t="str">
        <f aca="false">IF($D43="Panel Details",$AB43,"")</f>
        <v/>
      </c>
      <c r="AN43" s="46" t="str">
        <f aca="false">IF($D43="Panel Details","Yes","")</f>
        <v/>
      </c>
      <c r="AO43" s="46"/>
      <c r="AP43" s="46" t="str">
        <f aca="false">IF($D43="Followup",'Survey Response'!$D41,"")</f>
        <v/>
      </c>
      <c r="AQ43" s="46" t="str">
        <f aca="false">IF($D43="Followup",'Survey Response'!$E41,"")</f>
        <v/>
      </c>
      <c r="AR43" s="46" t="str">
        <f aca="false">IF($D43="Followup",'Survey Response'!$G41,"")</f>
        <v/>
      </c>
      <c r="AS43" s="46" t="str">
        <f aca="false">IF($D43="Followup",'Survey Response'!$H41,"")</f>
        <v/>
      </c>
      <c r="AT43" s="46" t="str">
        <f aca="false">IF($D43="Followup",'Survey Response'!$M41,"")</f>
        <v/>
      </c>
      <c r="AU43" s="46" t="str">
        <f aca="false">IF($D43="Followup",'Survey Response'!$K41,"")</f>
        <v/>
      </c>
      <c r="AV43" s="46" t="str">
        <f aca="false">IF($D43="Followup",'Survey Response'!$L41,"")</f>
        <v/>
      </c>
      <c r="AW43" s="46" t="str">
        <f aca="false">IF($D43="Followup",IF(AND($P43&lt;&gt;"Yes",$U43&lt;&gt;"Yes"),"Not approved for primary or secondary skill","Approved, but skill(s) no longer have capacity (fully staffed)"),"")</f>
        <v/>
      </c>
    </row>
    <row r="44" customFormat="false" ht="15" hidden="false" customHeight="true" outlineLevel="0" collapsed="false">
      <c r="A44" s="46" t="str">
        <f aca="false">IF('Survey Response'!$D42="","",'Survey Response'!$A42&amp;"|"&amp;LOWER(TRIM('Survey Response'!$D42)))</f>
        <v/>
      </c>
      <c r="B44" s="46" t="str">
        <f aca="false">IF($H44="","",$F44&amp;"|"&amp;$H44)</f>
        <v/>
      </c>
      <c r="C44" s="46" t="str">
        <f aca="false">IF($H44="","",$A44=$B44)</f>
        <v/>
      </c>
      <c r="D44" s="46" t="str">
        <f aca="false">IF($H44="","",IF($E44&lt;&gt;"Yes","Superseded",IF($I44&lt;&gt;"Yes, I'm available for in-person interviews at Chennai","Not Available",IF($Z44&lt;&gt;"","Panel Details","Followup"))))</f>
        <v/>
      </c>
      <c r="E44" s="46" t="str">
        <f aca="false">IF($H44="","",IF(SUMPRODUCT(($H$4:$H$503=$H44)*(($G$4:$G$503&gt;$G44)+($G$4:$G$503=$G44)*($F$4:$F$503&gt;$F44)))=0,"Yes","No"))</f>
        <v/>
      </c>
      <c r="F44" s="47" t="str">
        <f aca="false">IF('Survey Response'!$D42="","",INT('Survey Response'!$A42))</f>
        <v/>
      </c>
      <c r="G44" s="48" t="str">
        <f aca="false">IF('Survey Response'!$D42="","",'Survey Response'!$C42)</f>
        <v/>
      </c>
      <c r="H44" s="46" t="str">
        <f aca="false">IF('Survey Response'!$D42="","",LOWER(TRIM('Survey Response'!$D42)))</f>
        <v/>
      </c>
      <c r="I44" s="46" t="str">
        <f aca="false">IF($H44="","",'Survey Response'!$I42)</f>
        <v/>
      </c>
      <c r="J44" s="46" t="str">
        <f aca="false">IF($H44="","",'Survey Response'!$K42)</f>
        <v/>
      </c>
      <c r="K44" s="46" t="str">
        <f aca="false">IF($J44="","",IF(COUNTIF('Skill Mapping'!$A$2:$A$7,TRIM($J44))=0,"",INDEX('Skill Mapping'!$B$2:$B$7,MATCH(TRIM($J44),'Skill Mapping'!$A$2:$A$7,0))))</f>
        <v/>
      </c>
      <c r="L44" s="46" t="str">
        <f aca="false">IF($H44="","",'Survey Response'!$L42)</f>
        <v/>
      </c>
      <c r="M44" s="46" t="str">
        <f aca="false">IF($L44="","",IF(COUNTIF('Skill Mapping'!$A$2:$A$7,TRIM($L44))=0,"",INDEX('Skill Mapping'!$B$2:$B$7,MATCH(TRIM($L44),'Skill Mapping'!$A$2:$A$7,0))))</f>
        <v/>
      </c>
      <c r="N44" s="46" t="str">
        <f aca="false">IF($H44="","",'Survey Response'!$M42)</f>
        <v/>
      </c>
      <c r="O44" s="46" t="str">
        <f aca="false">IF($H44="","",IF('Survey Response'!$M42="Manager","R2","R1"))</f>
        <v/>
      </c>
      <c r="P44" s="46" t="str">
        <f aca="false">IF($K44="","No",IF(COUNTIFS(MasterPanel!$B:$B,$H44,MasterPanel!$I:$I,$K44,MasterPanel!$K:$K,"Y")&gt;0,"Yes","No"))</f>
        <v>No</v>
      </c>
      <c r="Q44" s="46" t="n">
        <f aca="false">IF($K44="",0,IF(COUNTIF('Gap Sheet'!$A$6:$A$11,TRIM($J44))=0,0,IF($O44="R1",INDEX('Gap Sheet'!$C$6:$C$11,MATCH(TRIM($J44),'Gap Sheet'!$A$6:$A$11,0)),INDEX('Gap Sheet'!$G$6:$G$11,MATCH(TRIM($J44),'Gap Sheet'!$A$6:$A$11,0)))))</f>
        <v>0</v>
      </c>
      <c r="R44" s="46" t="str">
        <f aca="false">IF($K44="","",$K44&amp;"|"&amp;$O44)</f>
        <v/>
      </c>
      <c r="S44" s="46" t="n">
        <f aca="false">IF($R44="",0,COUNTIF($AA$4:$AA43,$R44))</f>
        <v>0</v>
      </c>
      <c r="T44" s="46" t="str">
        <f aca="false">IF(OR($I44&lt;&gt;"Yes, I'm available for in-person interviews at Chennai",$E44&lt;&gt;"Yes",$P44&lt;&gt;"Yes"),"No",IF(($Q44-$S44)&gt;0,"Yes","No"))</f>
        <v>No</v>
      </c>
      <c r="U44" s="46" t="str">
        <f aca="false">IF($M44="","No",IF(COUNTIFS(MasterPanel!$B:$B,$H44,MasterPanel!$I:$I,$M44,MasterPanel!$K:$K,"Y")&gt;0,"Yes","No"))</f>
        <v>No</v>
      </c>
      <c r="V44" s="46" t="n">
        <f aca="false">IF($M44="",0,IF(COUNTIF('Gap Sheet'!$A$6:$A$11,TRIM($L44))=0,0,IF($O44="R1",INDEX('Gap Sheet'!$C$6:$C$11,MATCH(TRIM($L44),'Gap Sheet'!$A$6:$A$11,0)),INDEX('Gap Sheet'!$G$6:$G$11,MATCH(TRIM($L44),'Gap Sheet'!$A$6:$A$11,0)))))</f>
        <v>0</v>
      </c>
      <c r="W44" s="46" t="str">
        <f aca="false">IF($M44="","",$M44&amp;"|"&amp;$O44)</f>
        <v/>
      </c>
      <c r="X44" s="46" t="n">
        <f aca="false">IF($W44="",0,COUNTIF($AA$4:$AA43,$W44))</f>
        <v>0</v>
      </c>
      <c r="Y44" s="46" t="str">
        <f aca="false">IF(OR($I44&lt;&gt;"Yes, I'm available for in-person interviews at Chennai",$E44&lt;&gt;"Yes",$T44="Yes",$U44&lt;&gt;"Yes"),"No",IF(($V44-$X44)&gt;0,"Yes","No"))</f>
        <v>No</v>
      </c>
      <c r="Z44" s="46" t="str">
        <f aca="false">IF($T44="Yes","Primary",IF($Y44="Yes","Secondary",""))</f>
        <v/>
      </c>
      <c r="AA44" s="46" t="str">
        <f aca="false">IF($Z44="Primary",$R44,IF($Z44="Secondary",$W44,""))</f>
        <v/>
      </c>
      <c r="AB44" s="46" t="str">
        <f aca="false">IF($Z44="Primary","Matched on primary skill",IF($Z44="Secondary","Matched on secondary skill (primary not approved or not required)",""))</f>
        <v/>
      </c>
      <c r="AC44" s="47" t="str">
        <f aca="false">IF($D44="Panel Details",$F44,"")</f>
        <v/>
      </c>
      <c r="AD44" s="46" t="str">
        <f aca="false">IF($D44="Panel Details",'Survey Response'!$D42,"")</f>
        <v/>
      </c>
      <c r="AE44" s="46" t="str">
        <f aca="false">IF($D44="Panel Details",'Survey Response'!$E42,"")</f>
        <v/>
      </c>
      <c r="AF44" s="46" t="str">
        <f aca="false">IF($D44="Panel Details",'Survey Response'!$G42,"")</f>
        <v/>
      </c>
      <c r="AG44" s="46" t="str">
        <f aca="false">IF($D44="Panel Details",IF($Z44="Primary",$J44,$L44),"")</f>
        <v/>
      </c>
      <c r="AH44" s="46" t="str">
        <f aca="false">IF($D44="Panel Details",IF($Z44="Primary",$L44,$J44),"")</f>
        <v/>
      </c>
      <c r="AI44" s="46" t="str">
        <f aca="false">IF($D44="Panel Details",'Survey Response'!$H42,"")</f>
        <v/>
      </c>
      <c r="AJ44" s="46" t="str">
        <f aca="false">IF($D44="Panel Details",'Survey Response'!$M42,"")</f>
        <v/>
      </c>
      <c r="AK44" s="46" t="str">
        <f aca="false">IF($D44="Panel Details",$O44,"")</f>
        <v/>
      </c>
      <c r="AL44" s="46" t="str">
        <f aca="false">IF($D44="Panel Details",8,"")</f>
        <v/>
      </c>
      <c r="AM44" s="46" t="str">
        <f aca="false">IF($D44="Panel Details",$AB44,"")</f>
        <v/>
      </c>
      <c r="AN44" s="46" t="str">
        <f aca="false">IF($D44="Panel Details","Yes","")</f>
        <v/>
      </c>
      <c r="AO44" s="46"/>
      <c r="AP44" s="46" t="str">
        <f aca="false">IF($D44="Followup",'Survey Response'!$D42,"")</f>
        <v/>
      </c>
      <c r="AQ44" s="46" t="str">
        <f aca="false">IF($D44="Followup",'Survey Response'!$E42,"")</f>
        <v/>
      </c>
      <c r="AR44" s="46" t="str">
        <f aca="false">IF($D44="Followup",'Survey Response'!$G42,"")</f>
        <v/>
      </c>
      <c r="AS44" s="46" t="str">
        <f aca="false">IF($D44="Followup",'Survey Response'!$H42,"")</f>
        <v/>
      </c>
      <c r="AT44" s="46" t="str">
        <f aca="false">IF($D44="Followup",'Survey Response'!$M42,"")</f>
        <v/>
      </c>
      <c r="AU44" s="46" t="str">
        <f aca="false">IF($D44="Followup",'Survey Response'!$K42,"")</f>
        <v/>
      </c>
      <c r="AV44" s="46" t="str">
        <f aca="false">IF($D44="Followup",'Survey Response'!$L42,"")</f>
        <v/>
      </c>
      <c r="AW44" s="46" t="str">
        <f aca="false">IF($D44="Followup",IF(AND($P44&lt;&gt;"Yes",$U44&lt;&gt;"Yes"),"Not approved for primary or secondary skill","Approved, but skill(s) no longer have capacity (fully staffed)"),"")</f>
        <v/>
      </c>
    </row>
    <row r="45" customFormat="false" ht="15" hidden="false" customHeight="true" outlineLevel="0" collapsed="false">
      <c r="A45" s="46" t="str">
        <f aca="false">IF('Survey Response'!$D43="","",'Survey Response'!$A43&amp;"|"&amp;LOWER(TRIM('Survey Response'!$D43)))</f>
        <v/>
      </c>
      <c r="B45" s="46" t="str">
        <f aca="false">IF($H45="","",$F45&amp;"|"&amp;$H45)</f>
        <v/>
      </c>
      <c r="C45" s="46" t="str">
        <f aca="false">IF($H45="","",$A45=$B45)</f>
        <v/>
      </c>
      <c r="D45" s="46" t="str">
        <f aca="false">IF($H45="","",IF($E45&lt;&gt;"Yes","Superseded",IF($I45&lt;&gt;"Yes, I'm available for in-person interviews at Chennai","Not Available",IF($Z45&lt;&gt;"","Panel Details","Followup"))))</f>
        <v/>
      </c>
      <c r="E45" s="46" t="str">
        <f aca="false">IF($H45="","",IF(SUMPRODUCT(($H$4:$H$503=$H45)*(($G$4:$G$503&gt;$G45)+($G$4:$G$503=$G45)*($F$4:$F$503&gt;$F45)))=0,"Yes","No"))</f>
        <v/>
      </c>
      <c r="F45" s="47" t="str">
        <f aca="false">IF('Survey Response'!$D43="","",INT('Survey Response'!$A43))</f>
        <v/>
      </c>
      <c r="G45" s="48" t="str">
        <f aca="false">IF('Survey Response'!$D43="","",'Survey Response'!$C43)</f>
        <v/>
      </c>
      <c r="H45" s="46" t="str">
        <f aca="false">IF('Survey Response'!$D43="","",LOWER(TRIM('Survey Response'!$D43)))</f>
        <v/>
      </c>
      <c r="I45" s="46" t="str">
        <f aca="false">IF($H45="","",'Survey Response'!$I43)</f>
        <v/>
      </c>
      <c r="J45" s="46" t="str">
        <f aca="false">IF($H45="","",'Survey Response'!$K43)</f>
        <v/>
      </c>
      <c r="K45" s="46" t="str">
        <f aca="false">IF($J45="","",IF(COUNTIF('Skill Mapping'!$A$2:$A$7,TRIM($J45))=0,"",INDEX('Skill Mapping'!$B$2:$B$7,MATCH(TRIM($J45),'Skill Mapping'!$A$2:$A$7,0))))</f>
        <v/>
      </c>
      <c r="L45" s="46" t="str">
        <f aca="false">IF($H45="","",'Survey Response'!$L43)</f>
        <v/>
      </c>
      <c r="M45" s="46" t="str">
        <f aca="false">IF($L45="","",IF(COUNTIF('Skill Mapping'!$A$2:$A$7,TRIM($L45))=0,"",INDEX('Skill Mapping'!$B$2:$B$7,MATCH(TRIM($L45),'Skill Mapping'!$A$2:$A$7,0))))</f>
        <v/>
      </c>
      <c r="N45" s="46" t="str">
        <f aca="false">IF($H45="","",'Survey Response'!$M43)</f>
        <v/>
      </c>
      <c r="O45" s="46" t="str">
        <f aca="false">IF($H45="","",IF('Survey Response'!$M43="Manager","R2","R1"))</f>
        <v/>
      </c>
      <c r="P45" s="46" t="str">
        <f aca="false">IF($K45="","No",IF(COUNTIFS(MasterPanel!$B:$B,$H45,MasterPanel!$I:$I,$K45,MasterPanel!$K:$K,"Y")&gt;0,"Yes","No"))</f>
        <v>No</v>
      </c>
      <c r="Q45" s="46" t="n">
        <f aca="false">IF($K45="",0,IF(COUNTIF('Gap Sheet'!$A$6:$A$11,TRIM($J45))=0,0,IF($O45="R1",INDEX('Gap Sheet'!$C$6:$C$11,MATCH(TRIM($J45),'Gap Sheet'!$A$6:$A$11,0)),INDEX('Gap Sheet'!$G$6:$G$11,MATCH(TRIM($J45),'Gap Sheet'!$A$6:$A$11,0)))))</f>
        <v>0</v>
      </c>
      <c r="R45" s="46" t="str">
        <f aca="false">IF($K45="","",$K45&amp;"|"&amp;$O45)</f>
        <v/>
      </c>
      <c r="S45" s="46" t="n">
        <f aca="false">IF($R45="",0,COUNTIF($AA$4:$AA44,$R45))</f>
        <v>0</v>
      </c>
      <c r="T45" s="46" t="str">
        <f aca="false">IF(OR($I45&lt;&gt;"Yes, I'm available for in-person interviews at Chennai",$E45&lt;&gt;"Yes",$P45&lt;&gt;"Yes"),"No",IF(($Q45-$S45)&gt;0,"Yes","No"))</f>
        <v>No</v>
      </c>
      <c r="U45" s="46" t="str">
        <f aca="false">IF($M45="","No",IF(COUNTIFS(MasterPanel!$B:$B,$H45,MasterPanel!$I:$I,$M45,MasterPanel!$K:$K,"Y")&gt;0,"Yes","No"))</f>
        <v>No</v>
      </c>
      <c r="V45" s="46" t="n">
        <f aca="false">IF($M45="",0,IF(COUNTIF('Gap Sheet'!$A$6:$A$11,TRIM($L45))=0,0,IF($O45="R1",INDEX('Gap Sheet'!$C$6:$C$11,MATCH(TRIM($L45),'Gap Sheet'!$A$6:$A$11,0)),INDEX('Gap Sheet'!$G$6:$G$11,MATCH(TRIM($L45),'Gap Sheet'!$A$6:$A$11,0)))))</f>
        <v>0</v>
      </c>
      <c r="W45" s="46" t="str">
        <f aca="false">IF($M45="","",$M45&amp;"|"&amp;$O45)</f>
        <v/>
      </c>
      <c r="X45" s="46" t="n">
        <f aca="false">IF($W45="",0,COUNTIF($AA$4:$AA44,$W45))</f>
        <v>0</v>
      </c>
      <c r="Y45" s="46" t="str">
        <f aca="false">IF(OR($I45&lt;&gt;"Yes, I'm available for in-person interviews at Chennai",$E45&lt;&gt;"Yes",$T45="Yes",$U45&lt;&gt;"Yes"),"No",IF(($V45-$X45)&gt;0,"Yes","No"))</f>
        <v>No</v>
      </c>
      <c r="Z45" s="46" t="str">
        <f aca="false">IF($T45="Yes","Primary",IF($Y45="Yes","Secondary",""))</f>
        <v/>
      </c>
      <c r="AA45" s="46" t="str">
        <f aca="false">IF($Z45="Primary",$R45,IF($Z45="Secondary",$W45,""))</f>
        <v/>
      </c>
      <c r="AB45" s="46" t="str">
        <f aca="false">IF($Z45="Primary","Matched on primary skill",IF($Z45="Secondary","Matched on secondary skill (primary not approved or not required)",""))</f>
        <v/>
      </c>
      <c r="AC45" s="47" t="str">
        <f aca="false">IF($D45="Panel Details",$F45,"")</f>
        <v/>
      </c>
      <c r="AD45" s="46" t="str">
        <f aca="false">IF($D45="Panel Details",'Survey Response'!$D43,"")</f>
        <v/>
      </c>
      <c r="AE45" s="46" t="str">
        <f aca="false">IF($D45="Panel Details",'Survey Response'!$E43,"")</f>
        <v/>
      </c>
      <c r="AF45" s="46" t="str">
        <f aca="false">IF($D45="Panel Details",'Survey Response'!$G43,"")</f>
        <v/>
      </c>
      <c r="AG45" s="46" t="str">
        <f aca="false">IF($D45="Panel Details",IF($Z45="Primary",$J45,$L45),"")</f>
        <v/>
      </c>
      <c r="AH45" s="46" t="str">
        <f aca="false">IF($D45="Panel Details",IF($Z45="Primary",$L45,$J45),"")</f>
        <v/>
      </c>
      <c r="AI45" s="46" t="str">
        <f aca="false">IF($D45="Panel Details",'Survey Response'!$H43,"")</f>
        <v/>
      </c>
      <c r="AJ45" s="46" t="str">
        <f aca="false">IF($D45="Panel Details",'Survey Response'!$M43,"")</f>
        <v/>
      </c>
      <c r="AK45" s="46" t="str">
        <f aca="false">IF($D45="Panel Details",$O45,"")</f>
        <v/>
      </c>
      <c r="AL45" s="46" t="str">
        <f aca="false">IF($D45="Panel Details",8,"")</f>
        <v/>
      </c>
      <c r="AM45" s="46" t="str">
        <f aca="false">IF($D45="Panel Details",$AB45,"")</f>
        <v/>
      </c>
      <c r="AN45" s="46" t="str">
        <f aca="false">IF($D45="Panel Details","Yes","")</f>
        <v/>
      </c>
      <c r="AO45" s="46"/>
      <c r="AP45" s="46" t="str">
        <f aca="false">IF($D45="Followup",'Survey Response'!$D43,"")</f>
        <v/>
      </c>
      <c r="AQ45" s="46" t="str">
        <f aca="false">IF($D45="Followup",'Survey Response'!$E43,"")</f>
        <v/>
      </c>
      <c r="AR45" s="46" t="str">
        <f aca="false">IF($D45="Followup",'Survey Response'!$G43,"")</f>
        <v/>
      </c>
      <c r="AS45" s="46" t="str">
        <f aca="false">IF($D45="Followup",'Survey Response'!$H43,"")</f>
        <v/>
      </c>
      <c r="AT45" s="46" t="str">
        <f aca="false">IF($D45="Followup",'Survey Response'!$M43,"")</f>
        <v/>
      </c>
      <c r="AU45" s="46" t="str">
        <f aca="false">IF($D45="Followup",'Survey Response'!$K43,"")</f>
        <v/>
      </c>
      <c r="AV45" s="46" t="str">
        <f aca="false">IF($D45="Followup",'Survey Response'!$L43,"")</f>
        <v/>
      </c>
      <c r="AW45" s="46" t="str">
        <f aca="false">IF($D45="Followup",IF(AND($P45&lt;&gt;"Yes",$U45&lt;&gt;"Yes"),"Not approved for primary or secondary skill","Approved, but skill(s) no longer have capacity (fully staffed)"),"")</f>
        <v/>
      </c>
    </row>
    <row r="46" customFormat="false" ht="15" hidden="false" customHeight="true" outlineLevel="0" collapsed="false">
      <c r="A46" s="46" t="str">
        <f aca="false">IF('Survey Response'!$D44="","",'Survey Response'!$A44&amp;"|"&amp;LOWER(TRIM('Survey Response'!$D44)))</f>
        <v/>
      </c>
      <c r="B46" s="46" t="str">
        <f aca="false">IF($H46="","",$F46&amp;"|"&amp;$H46)</f>
        <v/>
      </c>
      <c r="C46" s="46" t="str">
        <f aca="false">IF($H46="","",$A46=$B46)</f>
        <v/>
      </c>
      <c r="D46" s="46" t="str">
        <f aca="false">IF($H46="","",IF($E46&lt;&gt;"Yes","Superseded",IF($I46&lt;&gt;"Yes, I'm available for in-person interviews at Chennai","Not Available",IF($Z46&lt;&gt;"","Panel Details","Followup"))))</f>
        <v/>
      </c>
      <c r="E46" s="46" t="str">
        <f aca="false">IF($H46="","",IF(SUMPRODUCT(($H$4:$H$503=$H46)*(($G$4:$G$503&gt;$G46)+($G$4:$G$503=$G46)*($F$4:$F$503&gt;$F46)))=0,"Yes","No"))</f>
        <v/>
      </c>
      <c r="F46" s="47" t="str">
        <f aca="false">IF('Survey Response'!$D44="","",INT('Survey Response'!$A44))</f>
        <v/>
      </c>
      <c r="G46" s="48" t="str">
        <f aca="false">IF('Survey Response'!$D44="","",'Survey Response'!$C44)</f>
        <v/>
      </c>
      <c r="H46" s="46" t="str">
        <f aca="false">IF('Survey Response'!$D44="","",LOWER(TRIM('Survey Response'!$D44)))</f>
        <v/>
      </c>
      <c r="I46" s="46" t="str">
        <f aca="false">IF($H46="","",'Survey Response'!$I44)</f>
        <v/>
      </c>
      <c r="J46" s="46" t="str">
        <f aca="false">IF($H46="","",'Survey Response'!$K44)</f>
        <v/>
      </c>
      <c r="K46" s="46" t="str">
        <f aca="false">IF($J46="","",IF(COUNTIF('Skill Mapping'!$A$2:$A$7,TRIM($J46))=0,"",INDEX('Skill Mapping'!$B$2:$B$7,MATCH(TRIM($J46),'Skill Mapping'!$A$2:$A$7,0))))</f>
        <v/>
      </c>
      <c r="L46" s="46" t="str">
        <f aca="false">IF($H46="","",'Survey Response'!$L44)</f>
        <v/>
      </c>
      <c r="M46" s="46" t="str">
        <f aca="false">IF($L46="","",IF(COUNTIF('Skill Mapping'!$A$2:$A$7,TRIM($L46))=0,"",INDEX('Skill Mapping'!$B$2:$B$7,MATCH(TRIM($L46),'Skill Mapping'!$A$2:$A$7,0))))</f>
        <v/>
      </c>
      <c r="N46" s="46" t="str">
        <f aca="false">IF($H46="","",'Survey Response'!$M44)</f>
        <v/>
      </c>
      <c r="O46" s="46" t="str">
        <f aca="false">IF($H46="","",IF('Survey Response'!$M44="Manager","R2","R1"))</f>
        <v/>
      </c>
      <c r="P46" s="46" t="str">
        <f aca="false">IF($K46="","No",IF(COUNTIFS(MasterPanel!$B:$B,$H46,MasterPanel!$I:$I,$K46,MasterPanel!$K:$K,"Y")&gt;0,"Yes","No"))</f>
        <v>No</v>
      </c>
      <c r="Q46" s="46" t="n">
        <f aca="false">IF($K46="",0,IF(COUNTIF('Gap Sheet'!$A$6:$A$11,TRIM($J46))=0,0,IF($O46="R1",INDEX('Gap Sheet'!$C$6:$C$11,MATCH(TRIM($J46),'Gap Sheet'!$A$6:$A$11,0)),INDEX('Gap Sheet'!$G$6:$G$11,MATCH(TRIM($J46),'Gap Sheet'!$A$6:$A$11,0)))))</f>
        <v>0</v>
      </c>
      <c r="R46" s="46" t="str">
        <f aca="false">IF($K46="","",$K46&amp;"|"&amp;$O46)</f>
        <v/>
      </c>
      <c r="S46" s="46" t="n">
        <f aca="false">IF($R46="",0,COUNTIF($AA$4:$AA45,$R46))</f>
        <v>0</v>
      </c>
      <c r="T46" s="46" t="str">
        <f aca="false">IF(OR($I46&lt;&gt;"Yes, I'm available for in-person interviews at Chennai",$E46&lt;&gt;"Yes",$P46&lt;&gt;"Yes"),"No",IF(($Q46-$S46)&gt;0,"Yes","No"))</f>
        <v>No</v>
      </c>
      <c r="U46" s="46" t="str">
        <f aca="false">IF($M46="","No",IF(COUNTIFS(MasterPanel!$B:$B,$H46,MasterPanel!$I:$I,$M46,MasterPanel!$K:$K,"Y")&gt;0,"Yes","No"))</f>
        <v>No</v>
      </c>
      <c r="V46" s="46" t="n">
        <f aca="false">IF($M46="",0,IF(COUNTIF('Gap Sheet'!$A$6:$A$11,TRIM($L46))=0,0,IF($O46="R1",INDEX('Gap Sheet'!$C$6:$C$11,MATCH(TRIM($L46),'Gap Sheet'!$A$6:$A$11,0)),INDEX('Gap Sheet'!$G$6:$G$11,MATCH(TRIM($L46),'Gap Sheet'!$A$6:$A$11,0)))))</f>
        <v>0</v>
      </c>
      <c r="W46" s="46" t="str">
        <f aca="false">IF($M46="","",$M46&amp;"|"&amp;$O46)</f>
        <v/>
      </c>
      <c r="X46" s="46" t="n">
        <f aca="false">IF($W46="",0,COUNTIF($AA$4:$AA45,$W46))</f>
        <v>0</v>
      </c>
      <c r="Y46" s="46" t="str">
        <f aca="false">IF(OR($I46&lt;&gt;"Yes, I'm available for in-person interviews at Chennai",$E46&lt;&gt;"Yes",$T46="Yes",$U46&lt;&gt;"Yes"),"No",IF(($V46-$X46)&gt;0,"Yes","No"))</f>
        <v>No</v>
      </c>
      <c r="Z46" s="46" t="str">
        <f aca="false">IF($T46="Yes","Primary",IF($Y46="Yes","Secondary",""))</f>
        <v/>
      </c>
      <c r="AA46" s="46" t="str">
        <f aca="false">IF($Z46="Primary",$R46,IF($Z46="Secondary",$W46,""))</f>
        <v/>
      </c>
      <c r="AB46" s="46" t="str">
        <f aca="false">IF($Z46="Primary","Matched on primary skill",IF($Z46="Secondary","Matched on secondary skill (primary not approved or not required)",""))</f>
        <v/>
      </c>
      <c r="AC46" s="47" t="str">
        <f aca="false">IF($D46="Panel Details",$F46,"")</f>
        <v/>
      </c>
      <c r="AD46" s="46" t="str">
        <f aca="false">IF($D46="Panel Details",'Survey Response'!$D44,"")</f>
        <v/>
      </c>
      <c r="AE46" s="46" t="str">
        <f aca="false">IF($D46="Panel Details",'Survey Response'!$E44,"")</f>
        <v/>
      </c>
      <c r="AF46" s="46" t="str">
        <f aca="false">IF($D46="Panel Details",'Survey Response'!$G44,"")</f>
        <v/>
      </c>
      <c r="AG46" s="46" t="str">
        <f aca="false">IF($D46="Panel Details",IF($Z46="Primary",$J46,$L46),"")</f>
        <v/>
      </c>
      <c r="AH46" s="46" t="str">
        <f aca="false">IF($D46="Panel Details",IF($Z46="Primary",$L46,$J46),"")</f>
        <v/>
      </c>
      <c r="AI46" s="46" t="str">
        <f aca="false">IF($D46="Panel Details",'Survey Response'!$H44,"")</f>
        <v/>
      </c>
      <c r="AJ46" s="46" t="str">
        <f aca="false">IF($D46="Panel Details",'Survey Response'!$M44,"")</f>
        <v/>
      </c>
      <c r="AK46" s="46" t="str">
        <f aca="false">IF($D46="Panel Details",$O46,"")</f>
        <v/>
      </c>
      <c r="AL46" s="46" t="str">
        <f aca="false">IF($D46="Panel Details",8,"")</f>
        <v/>
      </c>
      <c r="AM46" s="46" t="str">
        <f aca="false">IF($D46="Panel Details",$AB46,"")</f>
        <v/>
      </c>
      <c r="AN46" s="46" t="str">
        <f aca="false">IF($D46="Panel Details","Yes","")</f>
        <v/>
      </c>
      <c r="AO46" s="46"/>
      <c r="AP46" s="46" t="str">
        <f aca="false">IF($D46="Followup",'Survey Response'!$D44,"")</f>
        <v/>
      </c>
      <c r="AQ46" s="46" t="str">
        <f aca="false">IF($D46="Followup",'Survey Response'!$E44,"")</f>
        <v/>
      </c>
      <c r="AR46" s="46" t="str">
        <f aca="false">IF($D46="Followup",'Survey Response'!$G44,"")</f>
        <v/>
      </c>
      <c r="AS46" s="46" t="str">
        <f aca="false">IF($D46="Followup",'Survey Response'!$H44,"")</f>
        <v/>
      </c>
      <c r="AT46" s="46" t="str">
        <f aca="false">IF($D46="Followup",'Survey Response'!$M44,"")</f>
        <v/>
      </c>
      <c r="AU46" s="46" t="str">
        <f aca="false">IF($D46="Followup",'Survey Response'!$K44,"")</f>
        <v/>
      </c>
      <c r="AV46" s="46" t="str">
        <f aca="false">IF($D46="Followup",'Survey Response'!$L44,"")</f>
        <v/>
      </c>
      <c r="AW46" s="46" t="str">
        <f aca="false">IF($D46="Followup",IF(AND($P46&lt;&gt;"Yes",$U46&lt;&gt;"Yes"),"Not approved for primary or secondary skill","Approved, but skill(s) no longer have capacity (fully staffed)"),"")</f>
        <v/>
      </c>
    </row>
    <row r="47" customFormat="false" ht="15" hidden="false" customHeight="true" outlineLevel="0" collapsed="false">
      <c r="A47" s="46" t="str">
        <f aca="false">IF('Survey Response'!$D45="","",'Survey Response'!$A45&amp;"|"&amp;LOWER(TRIM('Survey Response'!$D45)))</f>
        <v/>
      </c>
      <c r="B47" s="46" t="str">
        <f aca="false">IF($H47="","",$F47&amp;"|"&amp;$H47)</f>
        <v/>
      </c>
      <c r="C47" s="46" t="str">
        <f aca="false">IF($H47="","",$A47=$B47)</f>
        <v/>
      </c>
      <c r="D47" s="46" t="str">
        <f aca="false">IF($H47="","",IF($E47&lt;&gt;"Yes","Superseded",IF($I47&lt;&gt;"Yes, I'm available for in-person interviews at Chennai","Not Available",IF($Z47&lt;&gt;"","Panel Details","Followup"))))</f>
        <v/>
      </c>
      <c r="E47" s="46" t="str">
        <f aca="false">IF($H47="","",IF(SUMPRODUCT(($H$4:$H$503=$H47)*(($G$4:$G$503&gt;$G47)+($G$4:$G$503=$G47)*($F$4:$F$503&gt;$F47)))=0,"Yes","No"))</f>
        <v/>
      </c>
      <c r="F47" s="47" t="str">
        <f aca="false">IF('Survey Response'!$D45="","",INT('Survey Response'!$A45))</f>
        <v/>
      </c>
      <c r="G47" s="48" t="str">
        <f aca="false">IF('Survey Response'!$D45="","",'Survey Response'!$C45)</f>
        <v/>
      </c>
      <c r="H47" s="46" t="str">
        <f aca="false">IF('Survey Response'!$D45="","",LOWER(TRIM('Survey Response'!$D45)))</f>
        <v/>
      </c>
      <c r="I47" s="46" t="str">
        <f aca="false">IF($H47="","",'Survey Response'!$I45)</f>
        <v/>
      </c>
      <c r="J47" s="46" t="str">
        <f aca="false">IF($H47="","",'Survey Response'!$K45)</f>
        <v/>
      </c>
      <c r="K47" s="46" t="str">
        <f aca="false">IF($J47="","",IF(COUNTIF('Skill Mapping'!$A$2:$A$7,TRIM($J47))=0,"",INDEX('Skill Mapping'!$B$2:$B$7,MATCH(TRIM($J47),'Skill Mapping'!$A$2:$A$7,0))))</f>
        <v/>
      </c>
      <c r="L47" s="46" t="str">
        <f aca="false">IF($H47="","",'Survey Response'!$L45)</f>
        <v/>
      </c>
      <c r="M47" s="46" t="str">
        <f aca="false">IF($L47="","",IF(COUNTIF('Skill Mapping'!$A$2:$A$7,TRIM($L47))=0,"",INDEX('Skill Mapping'!$B$2:$B$7,MATCH(TRIM($L47),'Skill Mapping'!$A$2:$A$7,0))))</f>
        <v/>
      </c>
      <c r="N47" s="46" t="str">
        <f aca="false">IF($H47="","",'Survey Response'!$M45)</f>
        <v/>
      </c>
      <c r="O47" s="46" t="str">
        <f aca="false">IF($H47="","",IF('Survey Response'!$M45="Manager","R2","R1"))</f>
        <v/>
      </c>
      <c r="P47" s="46" t="str">
        <f aca="false">IF($K47="","No",IF(COUNTIFS(MasterPanel!$B:$B,$H47,MasterPanel!$I:$I,$K47,MasterPanel!$K:$K,"Y")&gt;0,"Yes","No"))</f>
        <v>No</v>
      </c>
      <c r="Q47" s="46" t="n">
        <f aca="false">IF($K47="",0,IF(COUNTIF('Gap Sheet'!$A$6:$A$11,TRIM($J47))=0,0,IF($O47="R1",INDEX('Gap Sheet'!$C$6:$C$11,MATCH(TRIM($J47),'Gap Sheet'!$A$6:$A$11,0)),INDEX('Gap Sheet'!$G$6:$G$11,MATCH(TRIM($J47),'Gap Sheet'!$A$6:$A$11,0)))))</f>
        <v>0</v>
      </c>
      <c r="R47" s="46" t="str">
        <f aca="false">IF($K47="","",$K47&amp;"|"&amp;$O47)</f>
        <v/>
      </c>
      <c r="S47" s="46" t="n">
        <f aca="false">IF($R47="",0,COUNTIF($AA$4:$AA46,$R47))</f>
        <v>0</v>
      </c>
      <c r="T47" s="46" t="str">
        <f aca="false">IF(OR($I47&lt;&gt;"Yes, I'm available for in-person interviews at Chennai",$E47&lt;&gt;"Yes",$P47&lt;&gt;"Yes"),"No",IF(($Q47-$S47)&gt;0,"Yes","No"))</f>
        <v>No</v>
      </c>
      <c r="U47" s="46" t="str">
        <f aca="false">IF($M47="","No",IF(COUNTIFS(MasterPanel!$B:$B,$H47,MasterPanel!$I:$I,$M47,MasterPanel!$K:$K,"Y")&gt;0,"Yes","No"))</f>
        <v>No</v>
      </c>
      <c r="V47" s="46" t="n">
        <f aca="false">IF($M47="",0,IF(COUNTIF('Gap Sheet'!$A$6:$A$11,TRIM($L47))=0,0,IF($O47="R1",INDEX('Gap Sheet'!$C$6:$C$11,MATCH(TRIM($L47),'Gap Sheet'!$A$6:$A$11,0)),INDEX('Gap Sheet'!$G$6:$G$11,MATCH(TRIM($L47),'Gap Sheet'!$A$6:$A$11,0)))))</f>
        <v>0</v>
      </c>
      <c r="W47" s="46" t="str">
        <f aca="false">IF($M47="","",$M47&amp;"|"&amp;$O47)</f>
        <v/>
      </c>
      <c r="X47" s="46" t="n">
        <f aca="false">IF($W47="",0,COUNTIF($AA$4:$AA46,$W47))</f>
        <v>0</v>
      </c>
      <c r="Y47" s="46" t="str">
        <f aca="false">IF(OR($I47&lt;&gt;"Yes, I'm available for in-person interviews at Chennai",$E47&lt;&gt;"Yes",$T47="Yes",$U47&lt;&gt;"Yes"),"No",IF(($V47-$X47)&gt;0,"Yes","No"))</f>
        <v>No</v>
      </c>
      <c r="Z47" s="46" t="str">
        <f aca="false">IF($T47="Yes","Primary",IF($Y47="Yes","Secondary",""))</f>
        <v/>
      </c>
      <c r="AA47" s="46" t="str">
        <f aca="false">IF($Z47="Primary",$R47,IF($Z47="Secondary",$W47,""))</f>
        <v/>
      </c>
      <c r="AB47" s="46" t="str">
        <f aca="false">IF($Z47="Primary","Matched on primary skill",IF($Z47="Secondary","Matched on secondary skill (primary not approved or not required)",""))</f>
        <v/>
      </c>
      <c r="AC47" s="47" t="str">
        <f aca="false">IF($D47="Panel Details",$F47,"")</f>
        <v/>
      </c>
      <c r="AD47" s="46" t="str">
        <f aca="false">IF($D47="Panel Details",'Survey Response'!$D45,"")</f>
        <v/>
      </c>
      <c r="AE47" s="46" t="str">
        <f aca="false">IF($D47="Panel Details",'Survey Response'!$E45,"")</f>
        <v/>
      </c>
      <c r="AF47" s="46" t="str">
        <f aca="false">IF($D47="Panel Details",'Survey Response'!$G45,"")</f>
        <v/>
      </c>
      <c r="AG47" s="46" t="str">
        <f aca="false">IF($D47="Panel Details",IF($Z47="Primary",$J47,$L47),"")</f>
        <v/>
      </c>
      <c r="AH47" s="46" t="str">
        <f aca="false">IF($D47="Panel Details",IF($Z47="Primary",$L47,$J47),"")</f>
        <v/>
      </c>
      <c r="AI47" s="46" t="str">
        <f aca="false">IF($D47="Panel Details",'Survey Response'!$H45,"")</f>
        <v/>
      </c>
      <c r="AJ47" s="46" t="str">
        <f aca="false">IF($D47="Panel Details",'Survey Response'!$M45,"")</f>
        <v/>
      </c>
      <c r="AK47" s="46" t="str">
        <f aca="false">IF($D47="Panel Details",$O47,"")</f>
        <v/>
      </c>
      <c r="AL47" s="46" t="str">
        <f aca="false">IF($D47="Panel Details",8,"")</f>
        <v/>
      </c>
      <c r="AM47" s="46" t="str">
        <f aca="false">IF($D47="Panel Details",$AB47,"")</f>
        <v/>
      </c>
      <c r="AN47" s="46" t="str">
        <f aca="false">IF($D47="Panel Details","Yes","")</f>
        <v/>
      </c>
      <c r="AO47" s="46"/>
      <c r="AP47" s="46" t="str">
        <f aca="false">IF($D47="Followup",'Survey Response'!$D45,"")</f>
        <v/>
      </c>
      <c r="AQ47" s="46" t="str">
        <f aca="false">IF($D47="Followup",'Survey Response'!$E45,"")</f>
        <v/>
      </c>
      <c r="AR47" s="46" t="str">
        <f aca="false">IF($D47="Followup",'Survey Response'!$G45,"")</f>
        <v/>
      </c>
      <c r="AS47" s="46" t="str">
        <f aca="false">IF($D47="Followup",'Survey Response'!$H45,"")</f>
        <v/>
      </c>
      <c r="AT47" s="46" t="str">
        <f aca="false">IF($D47="Followup",'Survey Response'!$M45,"")</f>
        <v/>
      </c>
      <c r="AU47" s="46" t="str">
        <f aca="false">IF($D47="Followup",'Survey Response'!$K45,"")</f>
        <v/>
      </c>
      <c r="AV47" s="46" t="str">
        <f aca="false">IF($D47="Followup",'Survey Response'!$L45,"")</f>
        <v/>
      </c>
      <c r="AW47" s="46" t="str">
        <f aca="false">IF($D47="Followup",IF(AND($P47&lt;&gt;"Yes",$U47&lt;&gt;"Yes"),"Not approved for primary or secondary skill","Approved, but skill(s) no longer have capacity (fully staffed)"),"")</f>
        <v/>
      </c>
    </row>
    <row r="48" customFormat="false" ht="15" hidden="false" customHeight="true" outlineLevel="0" collapsed="false">
      <c r="A48" s="46" t="str">
        <f aca="false">IF('Survey Response'!$D46="","",'Survey Response'!$A46&amp;"|"&amp;LOWER(TRIM('Survey Response'!$D46)))</f>
        <v/>
      </c>
      <c r="B48" s="46" t="str">
        <f aca="false">IF($H48="","",$F48&amp;"|"&amp;$H48)</f>
        <v/>
      </c>
      <c r="C48" s="46" t="str">
        <f aca="false">IF($H48="","",$A48=$B48)</f>
        <v/>
      </c>
      <c r="D48" s="46" t="str">
        <f aca="false">IF($H48="","",IF($E48&lt;&gt;"Yes","Superseded",IF($I48&lt;&gt;"Yes, I'm available for in-person interviews at Chennai","Not Available",IF($Z48&lt;&gt;"","Panel Details","Followup"))))</f>
        <v/>
      </c>
      <c r="E48" s="46" t="str">
        <f aca="false">IF($H48="","",IF(SUMPRODUCT(($H$4:$H$503=$H48)*(($G$4:$G$503&gt;$G48)+($G$4:$G$503=$G48)*($F$4:$F$503&gt;$F48)))=0,"Yes","No"))</f>
        <v/>
      </c>
      <c r="F48" s="47" t="str">
        <f aca="false">IF('Survey Response'!$D46="","",INT('Survey Response'!$A46))</f>
        <v/>
      </c>
      <c r="G48" s="48" t="str">
        <f aca="false">IF('Survey Response'!$D46="","",'Survey Response'!$C46)</f>
        <v/>
      </c>
      <c r="H48" s="46" t="str">
        <f aca="false">IF('Survey Response'!$D46="","",LOWER(TRIM('Survey Response'!$D46)))</f>
        <v/>
      </c>
      <c r="I48" s="46" t="str">
        <f aca="false">IF($H48="","",'Survey Response'!$I46)</f>
        <v/>
      </c>
      <c r="J48" s="46" t="str">
        <f aca="false">IF($H48="","",'Survey Response'!$K46)</f>
        <v/>
      </c>
      <c r="K48" s="46" t="str">
        <f aca="false">IF($J48="","",IF(COUNTIF('Skill Mapping'!$A$2:$A$7,TRIM($J48))=0,"",INDEX('Skill Mapping'!$B$2:$B$7,MATCH(TRIM($J48),'Skill Mapping'!$A$2:$A$7,0))))</f>
        <v/>
      </c>
      <c r="L48" s="46" t="str">
        <f aca="false">IF($H48="","",'Survey Response'!$L46)</f>
        <v/>
      </c>
      <c r="M48" s="46" t="str">
        <f aca="false">IF($L48="","",IF(COUNTIF('Skill Mapping'!$A$2:$A$7,TRIM($L48))=0,"",INDEX('Skill Mapping'!$B$2:$B$7,MATCH(TRIM($L48),'Skill Mapping'!$A$2:$A$7,0))))</f>
        <v/>
      </c>
      <c r="N48" s="46" t="str">
        <f aca="false">IF($H48="","",'Survey Response'!$M46)</f>
        <v/>
      </c>
      <c r="O48" s="46" t="str">
        <f aca="false">IF($H48="","",IF('Survey Response'!$M46="Manager","R2","R1"))</f>
        <v/>
      </c>
      <c r="P48" s="46" t="str">
        <f aca="false">IF($K48="","No",IF(COUNTIFS(MasterPanel!$B:$B,$H48,MasterPanel!$I:$I,$K48,MasterPanel!$K:$K,"Y")&gt;0,"Yes","No"))</f>
        <v>No</v>
      </c>
      <c r="Q48" s="46" t="n">
        <f aca="false">IF($K48="",0,IF(COUNTIF('Gap Sheet'!$A$6:$A$11,TRIM($J48))=0,0,IF($O48="R1",INDEX('Gap Sheet'!$C$6:$C$11,MATCH(TRIM($J48),'Gap Sheet'!$A$6:$A$11,0)),INDEX('Gap Sheet'!$G$6:$G$11,MATCH(TRIM($J48),'Gap Sheet'!$A$6:$A$11,0)))))</f>
        <v>0</v>
      </c>
      <c r="R48" s="46" t="str">
        <f aca="false">IF($K48="","",$K48&amp;"|"&amp;$O48)</f>
        <v/>
      </c>
      <c r="S48" s="46" t="n">
        <f aca="false">IF($R48="",0,COUNTIF($AA$4:$AA47,$R48))</f>
        <v>0</v>
      </c>
      <c r="T48" s="46" t="str">
        <f aca="false">IF(OR($I48&lt;&gt;"Yes, I'm available for in-person interviews at Chennai",$E48&lt;&gt;"Yes",$P48&lt;&gt;"Yes"),"No",IF(($Q48-$S48)&gt;0,"Yes","No"))</f>
        <v>No</v>
      </c>
      <c r="U48" s="46" t="str">
        <f aca="false">IF($M48="","No",IF(COUNTIFS(MasterPanel!$B:$B,$H48,MasterPanel!$I:$I,$M48,MasterPanel!$K:$K,"Y")&gt;0,"Yes","No"))</f>
        <v>No</v>
      </c>
      <c r="V48" s="46" t="n">
        <f aca="false">IF($M48="",0,IF(COUNTIF('Gap Sheet'!$A$6:$A$11,TRIM($L48))=0,0,IF($O48="R1",INDEX('Gap Sheet'!$C$6:$C$11,MATCH(TRIM($L48),'Gap Sheet'!$A$6:$A$11,0)),INDEX('Gap Sheet'!$G$6:$G$11,MATCH(TRIM($L48),'Gap Sheet'!$A$6:$A$11,0)))))</f>
        <v>0</v>
      </c>
      <c r="W48" s="46" t="str">
        <f aca="false">IF($M48="","",$M48&amp;"|"&amp;$O48)</f>
        <v/>
      </c>
      <c r="X48" s="46" t="n">
        <f aca="false">IF($W48="",0,COUNTIF($AA$4:$AA47,$W48))</f>
        <v>0</v>
      </c>
      <c r="Y48" s="46" t="str">
        <f aca="false">IF(OR($I48&lt;&gt;"Yes, I'm available for in-person interviews at Chennai",$E48&lt;&gt;"Yes",$T48="Yes",$U48&lt;&gt;"Yes"),"No",IF(($V48-$X48)&gt;0,"Yes","No"))</f>
        <v>No</v>
      </c>
      <c r="Z48" s="46" t="str">
        <f aca="false">IF($T48="Yes","Primary",IF($Y48="Yes","Secondary",""))</f>
        <v/>
      </c>
      <c r="AA48" s="46" t="str">
        <f aca="false">IF($Z48="Primary",$R48,IF($Z48="Secondary",$W48,""))</f>
        <v/>
      </c>
      <c r="AB48" s="46" t="str">
        <f aca="false">IF($Z48="Primary","Matched on primary skill",IF($Z48="Secondary","Matched on secondary skill (primary not approved or not required)",""))</f>
        <v/>
      </c>
      <c r="AC48" s="47" t="str">
        <f aca="false">IF($D48="Panel Details",$F48,"")</f>
        <v/>
      </c>
      <c r="AD48" s="46" t="str">
        <f aca="false">IF($D48="Panel Details",'Survey Response'!$D46,"")</f>
        <v/>
      </c>
      <c r="AE48" s="46" t="str">
        <f aca="false">IF($D48="Panel Details",'Survey Response'!$E46,"")</f>
        <v/>
      </c>
      <c r="AF48" s="46" t="str">
        <f aca="false">IF($D48="Panel Details",'Survey Response'!$G46,"")</f>
        <v/>
      </c>
      <c r="AG48" s="46" t="str">
        <f aca="false">IF($D48="Panel Details",IF($Z48="Primary",$J48,$L48),"")</f>
        <v/>
      </c>
      <c r="AH48" s="46" t="str">
        <f aca="false">IF($D48="Panel Details",IF($Z48="Primary",$L48,$J48),"")</f>
        <v/>
      </c>
      <c r="AI48" s="46" t="str">
        <f aca="false">IF($D48="Panel Details",'Survey Response'!$H46,"")</f>
        <v/>
      </c>
      <c r="AJ48" s="46" t="str">
        <f aca="false">IF($D48="Panel Details",'Survey Response'!$M46,"")</f>
        <v/>
      </c>
      <c r="AK48" s="46" t="str">
        <f aca="false">IF($D48="Panel Details",$O48,"")</f>
        <v/>
      </c>
      <c r="AL48" s="46" t="str">
        <f aca="false">IF($D48="Panel Details",8,"")</f>
        <v/>
      </c>
      <c r="AM48" s="46" t="str">
        <f aca="false">IF($D48="Panel Details",$AB48,"")</f>
        <v/>
      </c>
      <c r="AN48" s="46" t="str">
        <f aca="false">IF($D48="Panel Details","Yes","")</f>
        <v/>
      </c>
      <c r="AO48" s="46"/>
      <c r="AP48" s="46" t="str">
        <f aca="false">IF($D48="Followup",'Survey Response'!$D46,"")</f>
        <v/>
      </c>
      <c r="AQ48" s="46" t="str">
        <f aca="false">IF($D48="Followup",'Survey Response'!$E46,"")</f>
        <v/>
      </c>
      <c r="AR48" s="46" t="str">
        <f aca="false">IF($D48="Followup",'Survey Response'!$G46,"")</f>
        <v/>
      </c>
      <c r="AS48" s="46" t="str">
        <f aca="false">IF($D48="Followup",'Survey Response'!$H46,"")</f>
        <v/>
      </c>
      <c r="AT48" s="46" t="str">
        <f aca="false">IF($D48="Followup",'Survey Response'!$M46,"")</f>
        <v/>
      </c>
      <c r="AU48" s="46" t="str">
        <f aca="false">IF($D48="Followup",'Survey Response'!$K46,"")</f>
        <v/>
      </c>
      <c r="AV48" s="46" t="str">
        <f aca="false">IF($D48="Followup",'Survey Response'!$L46,"")</f>
        <v/>
      </c>
      <c r="AW48" s="46" t="str">
        <f aca="false">IF($D48="Followup",IF(AND($P48&lt;&gt;"Yes",$U48&lt;&gt;"Yes"),"Not approved for primary or secondary skill","Approved, but skill(s) no longer have capacity (fully staffed)"),"")</f>
        <v/>
      </c>
    </row>
    <row r="49" customFormat="false" ht="15" hidden="false" customHeight="true" outlineLevel="0" collapsed="false">
      <c r="A49" s="46" t="str">
        <f aca="false">IF('Survey Response'!$D47="","",'Survey Response'!$A47&amp;"|"&amp;LOWER(TRIM('Survey Response'!$D47)))</f>
        <v/>
      </c>
      <c r="B49" s="46" t="str">
        <f aca="false">IF($H49="","",$F49&amp;"|"&amp;$H49)</f>
        <v/>
      </c>
      <c r="C49" s="46" t="str">
        <f aca="false">IF($H49="","",$A49=$B49)</f>
        <v/>
      </c>
      <c r="D49" s="46" t="str">
        <f aca="false">IF($H49="","",IF($E49&lt;&gt;"Yes","Superseded",IF($I49&lt;&gt;"Yes, I'm available for in-person interviews at Chennai","Not Available",IF($Z49&lt;&gt;"","Panel Details","Followup"))))</f>
        <v/>
      </c>
      <c r="E49" s="46" t="str">
        <f aca="false">IF($H49="","",IF(SUMPRODUCT(($H$4:$H$503=$H49)*(($G$4:$G$503&gt;$G49)+($G$4:$G$503=$G49)*($F$4:$F$503&gt;$F49)))=0,"Yes","No"))</f>
        <v/>
      </c>
      <c r="F49" s="47" t="str">
        <f aca="false">IF('Survey Response'!$D47="","",INT('Survey Response'!$A47))</f>
        <v/>
      </c>
      <c r="G49" s="48" t="str">
        <f aca="false">IF('Survey Response'!$D47="","",'Survey Response'!$C47)</f>
        <v/>
      </c>
      <c r="H49" s="46" t="str">
        <f aca="false">IF('Survey Response'!$D47="","",LOWER(TRIM('Survey Response'!$D47)))</f>
        <v/>
      </c>
      <c r="I49" s="46" t="str">
        <f aca="false">IF($H49="","",'Survey Response'!$I47)</f>
        <v/>
      </c>
      <c r="J49" s="46" t="str">
        <f aca="false">IF($H49="","",'Survey Response'!$K47)</f>
        <v/>
      </c>
      <c r="K49" s="46" t="str">
        <f aca="false">IF($J49="","",IF(COUNTIF('Skill Mapping'!$A$2:$A$7,TRIM($J49))=0,"",INDEX('Skill Mapping'!$B$2:$B$7,MATCH(TRIM($J49),'Skill Mapping'!$A$2:$A$7,0))))</f>
        <v/>
      </c>
      <c r="L49" s="46" t="str">
        <f aca="false">IF($H49="","",'Survey Response'!$L47)</f>
        <v/>
      </c>
      <c r="M49" s="46" t="str">
        <f aca="false">IF($L49="","",IF(COUNTIF('Skill Mapping'!$A$2:$A$7,TRIM($L49))=0,"",INDEX('Skill Mapping'!$B$2:$B$7,MATCH(TRIM($L49),'Skill Mapping'!$A$2:$A$7,0))))</f>
        <v/>
      </c>
      <c r="N49" s="46" t="str">
        <f aca="false">IF($H49="","",'Survey Response'!$M47)</f>
        <v/>
      </c>
      <c r="O49" s="46" t="str">
        <f aca="false">IF($H49="","",IF('Survey Response'!$M47="Manager","R2","R1"))</f>
        <v/>
      </c>
      <c r="P49" s="46" t="str">
        <f aca="false">IF($K49="","No",IF(COUNTIFS(MasterPanel!$B:$B,$H49,MasterPanel!$I:$I,$K49,MasterPanel!$K:$K,"Y")&gt;0,"Yes","No"))</f>
        <v>No</v>
      </c>
      <c r="Q49" s="46" t="n">
        <f aca="false">IF($K49="",0,IF(COUNTIF('Gap Sheet'!$A$6:$A$11,TRIM($J49))=0,0,IF($O49="R1",INDEX('Gap Sheet'!$C$6:$C$11,MATCH(TRIM($J49),'Gap Sheet'!$A$6:$A$11,0)),INDEX('Gap Sheet'!$G$6:$G$11,MATCH(TRIM($J49),'Gap Sheet'!$A$6:$A$11,0)))))</f>
        <v>0</v>
      </c>
      <c r="R49" s="46" t="str">
        <f aca="false">IF($K49="","",$K49&amp;"|"&amp;$O49)</f>
        <v/>
      </c>
      <c r="S49" s="46" t="n">
        <f aca="false">IF($R49="",0,COUNTIF($AA$4:$AA48,$R49))</f>
        <v>0</v>
      </c>
      <c r="T49" s="46" t="str">
        <f aca="false">IF(OR($I49&lt;&gt;"Yes, I'm available for in-person interviews at Chennai",$E49&lt;&gt;"Yes",$P49&lt;&gt;"Yes"),"No",IF(($Q49-$S49)&gt;0,"Yes","No"))</f>
        <v>No</v>
      </c>
      <c r="U49" s="46" t="str">
        <f aca="false">IF($M49="","No",IF(COUNTIFS(MasterPanel!$B:$B,$H49,MasterPanel!$I:$I,$M49,MasterPanel!$K:$K,"Y")&gt;0,"Yes","No"))</f>
        <v>No</v>
      </c>
      <c r="V49" s="46" t="n">
        <f aca="false">IF($M49="",0,IF(COUNTIF('Gap Sheet'!$A$6:$A$11,TRIM($L49))=0,0,IF($O49="R1",INDEX('Gap Sheet'!$C$6:$C$11,MATCH(TRIM($L49),'Gap Sheet'!$A$6:$A$11,0)),INDEX('Gap Sheet'!$G$6:$G$11,MATCH(TRIM($L49),'Gap Sheet'!$A$6:$A$11,0)))))</f>
        <v>0</v>
      </c>
      <c r="W49" s="46" t="str">
        <f aca="false">IF($M49="","",$M49&amp;"|"&amp;$O49)</f>
        <v/>
      </c>
      <c r="X49" s="46" t="n">
        <f aca="false">IF($W49="",0,COUNTIF($AA$4:$AA48,$W49))</f>
        <v>0</v>
      </c>
      <c r="Y49" s="46" t="str">
        <f aca="false">IF(OR($I49&lt;&gt;"Yes, I'm available for in-person interviews at Chennai",$E49&lt;&gt;"Yes",$T49="Yes",$U49&lt;&gt;"Yes"),"No",IF(($V49-$X49)&gt;0,"Yes","No"))</f>
        <v>No</v>
      </c>
      <c r="Z49" s="46" t="str">
        <f aca="false">IF($T49="Yes","Primary",IF($Y49="Yes","Secondary",""))</f>
        <v/>
      </c>
      <c r="AA49" s="46" t="str">
        <f aca="false">IF($Z49="Primary",$R49,IF($Z49="Secondary",$W49,""))</f>
        <v/>
      </c>
      <c r="AB49" s="46" t="str">
        <f aca="false">IF($Z49="Primary","Matched on primary skill",IF($Z49="Secondary","Matched on secondary skill (primary not approved or not required)",""))</f>
        <v/>
      </c>
      <c r="AC49" s="47" t="str">
        <f aca="false">IF($D49="Panel Details",$F49,"")</f>
        <v/>
      </c>
      <c r="AD49" s="46" t="str">
        <f aca="false">IF($D49="Panel Details",'Survey Response'!$D47,"")</f>
        <v/>
      </c>
      <c r="AE49" s="46" t="str">
        <f aca="false">IF($D49="Panel Details",'Survey Response'!$E47,"")</f>
        <v/>
      </c>
      <c r="AF49" s="46" t="str">
        <f aca="false">IF($D49="Panel Details",'Survey Response'!$G47,"")</f>
        <v/>
      </c>
      <c r="AG49" s="46" t="str">
        <f aca="false">IF($D49="Panel Details",IF($Z49="Primary",$J49,$L49),"")</f>
        <v/>
      </c>
      <c r="AH49" s="46" t="str">
        <f aca="false">IF($D49="Panel Details",IF($Z49="Primary",$L49,$J49),"")</f>
        <v/>
      </c>
      <c r="AI49" s="46" t="str">
        <f aca="false">IF($D49="Panel Details",'Survey Response'!$H47,"")</f>
        <v/>
      </c>
      <c r="AJ49" s="46" t="str">
        <f aca="false">IF($D49="Panel Details",'Survey Response'!$M47,"")</f>
        <v/>
      </c>
      <c r="AK49" s="46" t="str">
        <f aca="false">IF($D49="Panel Details",$O49,"")</f>
        <v/>
      </c>
      <c r="AL49" s="46" t="str">
        <f aca="false">IF($D49="Panel Details",8,"")</f>
        <v/>
      </c>
      <c r="AM49" s="46" t="str">
        <f aca="false">IF($D49="Panel Details",$AB49,"")</f>
        <v/>
      </c>
      <c r="AN49" s="46" t="str">
        <f aca="false">IF($D49="Panel Details","Yes","")</f>
        <v/>
      </c>
      <c r="AO49" s="46"/>
      <c r="AP49" s="46" t="str">
        <f aca="false">IF($D49="Followup",'Survey Response'!$D47,"")</f>
        <v/>
      </c>
      <c r="AQ49" s="46" t="str">
        <f aca="false">IF($D49="Followup",'Survey Response'!$E47,"")</f>
        <v/>
      </c>
      <c r="AR49" s="46" t="str">
        <f aca="false">IF($D49="Followup",'Survey Response'!$G47,"")</f>
        <v/>
      </c>
      <c r="AS49" s="46" t="str">
        <f aca="false">IF($D49="Followup",'Survey Response'!$H47,"")</f>
        <v/>
      </c>
      <c r="AT49" s="46" t="str">
        <f aca="false">IF($D49="Followup",'Survey Response'!$M47,"")</f>
        <v/>
      </c>
      <c r="AU49" s="46" t="str">
        <f aca="false">IF($D49="Followup",'Survey Response'!$K47,"")</f>
        <v/>
      </c>
      <c r="AV49" s="46" t="str">
        <f aca="false">IF($D49="Followup",'Survey Response'!$L47,"")</f>
        <v/>
      </c>
      <c r="AW49" s="46" t="str">
        <f aca="false">IF($D49="Followup",IF(AND($P49&lt;&gt;"Yes",$U49&lt;&gt;"Yes"),"Not approved for primary or secondary skill","Approved, but skill(s) no longer have capacity (fully staffed)"),"")</f>
        <v/>
      </c>
    </row>
    <row r="50" customFormat="false" ht="15" hidden="false" customHeight="true" outlineLevel="0" collapsed="false">
      <c r="A50" s="46" t="str">
        <f aca="false">IF('Survey Response'!$D48="","",'Survey Response'!$A48&amp;"|"&amp;LOWER(TRIM('Survey Response'!$D48)))</f>
        <v/>
      </c>
      <c r="B50" s="46" t="str">
        <f aca="false">IF($H50="","",$F50&amp;"|"&amp;$H50)</f>
        <v/>
      </c>
      <c r="C50" s="46" t="str">
        <f aca="false">IF($H50="","",$A50=$B50)</f>
        <v/>
      </c>
      <c r="D50" s="46" t="str">
        <f aca="false">IF($H50="","",IF($E50&lt;&gt;"Yes","Superseded",IF($I50&lt;&gt;"Yes, I'm available for in-person interviews at Chennai","Not Available",IF($Z50&lt;&gt;"","Panel Details","Followup"))))</f>
        <v/>
      </c>
      <c r="E50" s="46" t="str">
        <f aca="false">IF($H50="","",IF(SUMPRODUCT(($H$4:$H$503=$H50)*(($G$4:$G$503&gt;$G50)+($G$4:$G$503=$G50)*($F$4:$F$503&gt;$F50)))=0,"Yes","No"))</f>
        <v/>
      </c>
      <c r="F50" s="47" t="str">
        <f aca="false">IF('Survey Response'!$D48="","",INT('Survey Response'!$A48))</f>
        <v/>
      </c>
      <c r="G50" s="48" t="str">
        <f aca="false">IF('Survey Response'!$D48="","",'Survey Response'!$C48)</f>
        <v/>
      </c>
      <c r="H50" s="46" t="str">
        <f aca="false">IF('Survey Response'!$D48="","",LOWER(TRIM('Survey Response'!$D48)))</f>
        <v/>
      </c>
      <c r="I50" s="46" t="str">
        <f aca="false">IF($H50="","",'Survey Response'!$I48)</f>
        <v/>
      </c>
      <c r="J50" s="46" t="str">
        <f aca="false">IF($H50="","",'Survey Response'!$K48)</f>
        <v/>
      </c>
      <c r="K50" s="46" t="str">
        <f aca="false">IF($J50="","",IF(COUNTIF('Skill Mapping'!$A$2:$A$7,TRIM($J50))=0,"",INDEX('Skill Mapping'!$B$2:$B$7,MATCH(TRIM($J50),'Skill Mapping'!$A$2:$A$7,0))))</f>
        <v/>
      </c>
      <c r="L50" s="46" t="str">
        <f aca="false">IF($H50="","",'Survey Response'!$L48)</f>
        <v/>
      </c>
      <c r="M50" s="46" t="str">
        <f aca="false">IF($L50="","",IF(COUNTIF('Skill Mapping'!$A$2:$A$7,TRIM($L50))=0,"",INDEX('Skill Mapping'!$B$2:$B$7,MATCH(TRIM($L50),'Skill Mapping'!$A$2:$A$7,0))))</f>
        <v/>
      </c>
      <c r="N50" s="46" t="str">
        <f aca="false">IF($H50="","",'Survey Response'!$M48)</f>
        <v/>
      </c>
      <c r="O50" s="46" t="str">
        <f aca="false">IF($H50="","",IF('Survey Response'!$M48="Manager","R2","R1"))</f>
        <v/>
      </c>
      <c r="P50" s="46" t="str">
        <f aca="false">IF($K50="","No",IF(COUNTIFS(MasterPanel!$B:$B,$H50,MasterPanel!$I:$I,$K50,MasterPanel!$K:$K,"Y")&gt;0,"Yes","No"))</f>
        <v>No</v>
      </c>
      <c r="Q50" s="46" t="n">
        <f aca="false">IF($K50="",0,IF(COUNTIF('Gap Sheet'!$A$6:$A$11,TRIM($J50))=0,0,IF($O50="R1",INDEX('Gap Sheet'!$C$6:$C$11,MATCH(TRIM($J50),'Gap Sheet'!$A$6:$A$11,0)),INDEX('Gap Sheet'!$G$6:$G$11,MATCH(TRIM($J50),'Gap Sheet'!$A$6:$A$11,0)))))</f>
        <v>0</v>
      </c>
      <c r="R50" s="46" t="str">
        <f aca="false">IF($K50="","",$K50&amp;"|"&amp;$O50)</f>
        <v/>
      </c>
      <c r="S50" s="46" t="n">
        <f aca="false">IF($R50="",0,COUNTIF($AA$4:$AA49,$R50))</f>
        <v>0</v>
      </c>
      <c r="T50" s="46" t="str">
        <f aca="false">IF(OR($I50&lt;&gt;"Yes, I'm available for in-person interviews at Chennai",$E50&lt;&gt;"Yes",$P50&lt;&gt;"Yes"),"No",IF(($Q50-$S50)&gt;0,"Yes","No"))</f>
        <v>No</v>
      </c>
      <c r="U50" s="46" t="str">
        <f aca="false">IF($M50="","No",IF(COUNTIFS(MasterPanel!$B:$B,$H50,MasterPanel!$I:$I,$M50,MasterPanel!$K:$K,"Y")&gt;0,"Yes","No"))</f>
        <v>No</v>
      </c>
      <c r="V50" s="46" t="n">
        <f aca="false">IF($M50="",0,IF(COUNTIF('Gap Sheet'!$A$6:$A$11,TRIM($L50))=0,0,IF($O50="R1",INDEX('Gap Sheet'!$C$6:$C$11,MATCH(TRIM($L50),'Gap Sheet'!$A$6:$A$11,0)),INDEX('Gap Sheet'!$G$6:$G$11,MATCH(TRIM($L50),'Gap Sheet'!$A$6:$A$11,0)))))</f>
        <v>0</v>
      </c>
      <c r="W50" s="46" t="str">
        <f aca="false">IF($M50="","",$M50&amp;"|"&amp;$O50)</f>
        <v/>
      </c>
      <c r="X50" s="46" t="n">
        <f aca="false">IF($W50="",0,COUNTIF($AA$4:$AA49,$W50))</f>
        <v>0</v>
      </c>
      <c r="Y50" s="46" t="str">
        <f aca="false">IF(OR($I50&lt;&gt;"Yes, I'm available for in-person interviews at Chennai",$E50&lt;&gt;"Yes",$T50="Yes",$U50&lt;&gt;"Yes"),"No",IF(($V50-$X50)&gt;0,"Yes","No"))</f>
        <v>No</v>
      </c>
      <c r="Z50" s="46" t="str">
        <f aca="false">IF($T50="Yes","Primary",IF($Y50="Yes","Secondary",""))</f>
        <v/>
      </c>
      <c r="AA50" s="46" t="str">
        <f aca="false">IF($Z50="Primary",$R50,IF($Z50="Secondary",$W50,""))</f>
        <v/>
      </c>
      <c r="AB50" s="46" t="str">
        <f aca="false">IF($Z50="Primary","Matched on primary skill",IF($Z50="Secondary","Matched on secondary skill (primary not approved or not required)",""))</f>
        <v/>
      </c>
      <c r="AC50" s="47" t="str">
        <f aca="false">IF($D50="Panel Details",$F50,"")</f>
        <v/>
      </c>
      <c r="AD50" s="46" t="str">
        <f aca="false">IF($D50="Panel Details",'Survey Response'!$D48,"")</f>
        <v/>
      </c>
      <c r="AE50" s="46" t="str">
        <f aca="false">IF($D50="Panel Details",'Survey Response'!$E48,"")</f>
        <v/>
      </c>
      <c r="AF50" s="46" t="str">
        <f aca="false">IF($D50="Panel Details",'Survey Response'!$G48,"")</f>
        <v/>
      </c>
      <c r="AG50" s="46" t="str">
        <f aca="false">IF($D50="Panel Details",IF($Z50="Primary",$J50,$L50),"")</f>
        <v/>
      </c>
      <c r="AH50" s="46" t="str">
        <f aca="false">IF($D50="Panel Details",IF($Z50="Primary",$L50,$J50),"")</f>
        <v/>
      </c>
      <c r="AI50" s="46" t="str">
        <f aca="false">IF($D50="Panel Details",'Survey Response'!$H48,"")</f>
        <v/>
      </c>
      <c r="AJ50" s="46" t="str">
        <f aca="false">IF($D50="Panel Details",'Survey Response'!$M48,"")</f>
        <v/>
      </c>
      <c r="AK50" s="46" t="str">
        <f aca="false">IF($D50="Panel Details",$O50,"")</f>
        <v/>
      </c>
      <c r="AL50" s="46" t="str">
        <f aca="false">IF($D50="Panel Details",8,"")</f>
        <v/>
      </c>
      <c r="AM50" s="46" t="str">
        <f aca="false">IF($D50="Panel Details",$AB50,"")</f>
        <v/>
      </c>
      <c r="AN50" s="46" t="str">
        <f aca="false">IF($D50="Panel Details","Yes","")</f>
        <v/>
      </c>
      <c r="AO50" s="46"/>
      <c r="AP50" s="46" t="str">
        <f aca="false">IF($D50="Followup",'Survey Response'!$D48,"")</f>
        <v/>
      </c>
      <c r="AQ50" s="46" t="str">
        <f aca="false">IF($D50="Followup",'Survey Response'!$E48,"")</f>
        <v/>
      </c>
      <c r="AR50" s="46" t="str">
        <f aca="false">IF($D50="Followup",'Survey Response'!$G48,"")</f>
        <v/>
      </c>
      <c r="AS50" s="46" t="str">
        <f aca="false">IF($D50="Followup",'Survey Response'!$H48,"")</f>
        <v/>
      </c>
      <c r="AT50" s="46" t="str">
        <f aca="false">IF($D50="Followup",'Survey Response'!$M48,"")</f>
        <v/>
      </c>
      <c r="AU50" s="46" t="str">
        <f aca="false">IF($D50="Followup",'Survey Response'!$K48,"")</f>
        <v/>
      </c>
      <c r="AV50" s="46" t="str">
        <f aca="false">IF($D50="Followup",'Survey Response'!$L48,"")</f>
        <v/>
      </c>
      <c r="AW50" s="46" t="str">
        <f aca="false">IF($D50="Followup",IF(AND($P50&lt;&gt;"Yes",$U50&lt;&gt;"Yes"),"Not approved for primary or secondary skill","Approved, but skill(s) no longer have capacity (fully staffed)"),"")</f>
        <v/>
      </c>
    </row>
    <row r="51" customFormat="false" ht="15" hidden="false" customHeight="true" outlineLevel="0" collapsed="false">
      <c r="A51" s="46" t="str">
        <f aca="false">IF('Survey Response'!$D49="","",'Survey Response'!$A49&amp;"|"&amp;LOWER(TRIM('Survey Response'!$D49)))</f>
        <v/>
      </c>
      <c r="B51" s="46" t="str">
        <f aca="false">IF($H51="","",$F51&amp;"|"&amp;$H51)</f>
        <v/>
      </c>
      <c r="C51" s="46" t="str">
        <f aca="false">IF($H51="","",$A51=$B51)</f>
        <v/>
      </c>
      <c r="D51" s="46" t="str">
        <f aca="false">IF($H51="","",IF($E51&lt;&gt;"Yes","Superseded",IF($I51&lt;&gt;"Yes, I'm available for in-person interviews at Chennai","Not Available",IF($Z51&lt;&gt;"","Panel Details","Followup"))))</f>
        <v/>
      </c>
      <c r="E51" s="46" t="str">
        <f aca="false">IF($H51="","",IF(SUMPRODUCT(($H$4:$H$503=$H51)*(($G$4:$G$503&gt;$G51)+($G$4:$G$503=$G51)*($F$4:$F$503&gt;$F51)))=0,"Yes","No"))</f>
        <v/>
      </c>
      <c r="F51" s="47" t="str">
        <f aca="false">IF('Survey Response'!$D49="","",INT('Survey Response'!$A49))</f>
        <v/>
      </c>
      <c r="G51" s="48" t="str">
        <f aca="false">IF('Survey Response'!$D49="","",'Survey Response'!$C49)</f>
        <v/>
      </c>
      <c r="H51" s="46" t="str">
        <f aca="false">IF('Survey Response'!$D49="","",LOWER(TRIM('Survey Response'!$D49)))</f>
        <v/>
      </c>
      <c r="I51" s="46" t="str">
        <f aca="false">IF($H51="","",'Survey Response'!$I49)</f>
        <v/>
      </c>
      <c r="J51" s="46" t="str">
        <f aca="false">IF($H51="","",'Survey Response'!$K49)</f>
        <v/>
      </c>
      <c r="K51" s="46" t="str">
        <f aca="false">IF($J51="","",IF(COUNTIF('Skill Mapping'!$A$2:$A$7,TRIM($J51))=0,"",INDEX('Skill Mapping'!$B$2:$B$7,MATCH(TRIM($J51),'Skill Mapping'!$A$2:$A$7,0))))</f>
        <v/>
      </c>
      <c r="L51" s="46" t="str">
        <f aca="false">IF($H51="","",'Survey Response'!$L49)</f>
        <v/>
      </c>
      <c r="M51" s="46" t="str">
        <f aca="false">IF($L51="","",IF(COUNTIF('Skill Mapping'!$A$2:$A$7,TRIM($L51))=0,"",INDEX('Skill Mapping'!$B$2:$B$7,MATCH(TRIM($L51),'Skill Mapping'!$A$2:$A$7,0))))</f>
        <v/>
      </c>
      <c r="N51" s="46" t="str">
        <f aca="false">IF($H51="","",'Survey Response'!$M49)</f>
        <v/>
      </c>
      <c r="O51" s="46" t="str">
        <f aca="false">IF($H51="","",IF('Survey Response'!$M49="Manager","R2","R1"))</f>
        <v/>
      </c>
      <c r="P51" s="46" t="str">
        <f aca="false">IF($K51="","No",IF(COUNTIFS(MasterPanel!$B:$B,$H51,MasterPanel!$I:$I,$K51,MasterPanel!$K:$K,"Y")&gt;0,"Yes","No"))</f>
        <v>No</v>
      </c>
      <c r="Q51" s="46" t="n">
        <f aca="false">IF($K51="",0,IF(COUNTIF('Gap Sheet'!$A$6:$A$11,TRIM($J51))=0,0,IF($O51="R1",INDEX('Gap Sheet'!$C$6:$C$11,MATCH(TRIM($J51),'Gap Sheet'!$A$6:$A$11,0)),INDEX('Gap Sheet'!$G$6:$G$11,MATCH(TRIM($J51),'Gap Sheet'!$A$6:$A$11,0)))))</f>
        <v>0</v>
      </c>
      <c r="R51" s="46" t="str">
        <f aca="false">IF($K51="","",$K51&amp;"|"&amp;$O51)</f>
        <v/>
      </c>
      <c r="S51" s="46" t="n">
        <f aca="false">IF($R51="",0,COUNTIF($AA$4:$AA50,$R51))</f>
        <v>0</v>
      </c>
      <c r="T51" s="46" t="str">
        <f aca="false">IF(OR($I51&lt;&gt;"Yes, I'm available for in-person interviews at Chennai",$E51&lt;&gt;"Yes",$P51&lt;&gt;"Yes"),"No",IF(($Q51-$S51)&gt;0,"Yes","No"))</f>
        <v>No</v>
      </c>
      <c r="U51" s="46" t="str">
        <f aca="false">IF($M51="","No",IF(COUNTIFS(MasterPanel!$B:$B,$H51,MasterPanel!$I:$I,$M51,MasterPanel!$K:$K,"Y")&gt;0,"Yes","No"))</f>
        <v>No</v>
      </c>
      <c r="V51" s="46" t="n">
        <f aca="false">IF($M51="",0,IF(COUNTIF('Gap Sheet'!$A$6:$A$11,TRIM($L51))=0,0,IF($O51="R1",INDEX('Gap Sheet'!$C$6:$C$11,MATCH(TRIM($L51),'Gap Sheet'!$A$6:$A$11,0)),INDEX('Gap Sheet'!$G$6:$G$11,MATCH(TRIM($L51),'Gap Sheet'!$A$6:$A$11,0)))))</f>
        <v>0</v>
      </c>
      <c r="W51" s="46" t="str">
        <f aca="false">IF($M51="","",$M51&amp;"|"&amp;$O51)</f>
        <v/>
      </c>
      <c r="X51" s="46" t="n">
        <f aca="false">IF($W51="",0,COUNTIF($AA$4:$AA50,$W51))</f>
        <v>0</v>
      </c>
      <c r="Y51" s="46" t="str">
        <f aca="false">IF(OR($I51&lt;&gt;"Yes, I'm available for in-person interviews at Chennai",$E51&lt;&gt;"Yes",$T51="Yes",$U51&lt;&gt;"Yes"),"No",IF(($V51-$X51)&gt;0,"Yes","No"))</f>
        <v>No</v>
      </c>
      <c r="Z51" s="46" t="str">
        <f aca="false">IF($T51="Yes","Primary",IF($Y51="Yes","Secondary",""))</f>
        <v/>
      </c>
      <c r="AA51" s="46" t="str">
        <f aca="false">IF($Z51="Primary",$R51,IF($Z51="Secondary",$W51,""))</f>
        <v/>
      </c>
      <c r="AB51" s="46" t="str">
        <f aca="false">IF($Z51="Primary","Matched on primary skill",IF($Z51="Secondary","Matched on secondary skill (primary not approved or not required)",""))</f>
        <v/>
      </c>
      <c r="AC51" s="47" t="str">
        <f aca="false">IF($D51="Panel Details",$F51,"")</f>
        <v/>
      </c>
      <c r="AD51" s="46" t="str">
        <f aca="false">IF($D51="Panel Details",'Survey Response'!$D49,"")</f>
        <v/>
      </c>
      <c r="AE51" s="46" t="str">
        <f aca="false">IF($D51="Panel Details",'Survey Response'!$E49,"")</f>
        <v/>
      </c>
      <c r="AF51" s="46" t="str">
        <f aca="false">IF($D51="Panel Details",'Survey Response'!$G49,"")</f>
        <v/>
      </c>
      <c r="AG51" s="46" t="str">
        <f aca="false">IF($D51="Panel Details",IF($Z51="Primary",$J51,$L51),"")</f>
        <v/>
      </c>
      <c r="AH51" s="46" t="str">
        <f aca="false">IF($D51="Panel Details",IF($Z51="Primary",$L51,$J51),"")</f>
        <v/>
      </c>
      <c r="AI51" s="46" t="str">
        <f aca="false">IF($D51="Panel Details",'Survey Response'!$H49,"")</f>
        <v/>
      </c>
      <c r="AJ51" s="46" t="str">
        <f aca="false">IF($D51="Panel Details",'Survey Response'!$M49,"")</f>
        <v/>
      </c>
      <c r="AK51" s="46" t="str">
        <f aca="false">IF($D51="Panel Details",$O51,"")</f>
        <v/>
      </c>
      <c r="AL51" s="46" t="str">
        <f aca="false">IF($D51="Panel Details",8,"")</f>
        <v/>
      </c>
      <c r="AM51" s="46" t="str">
        <f aca="false">IF($D51="Panel Details",$AB51,"")</f>
        <v/>
      </c>
      <c r="AN51" s="46" t="str">
        <f aca="false">IF($D51="Panel Details","Yes","")</f>
        <v/>
      </c>
      <c r="AO51" s="46"/>
      <c r="AP51" s="46" t="str">
        <f aca="false">IF($D51="Followup",'Survey Response'!$D49,"")</f>
        <v/>
      </c>
      <c r="AQ51" s="46" t="str">
        <f aca="false">IF($D51="Followup",'Survey Response'!$E49,"")</f>
        <v/>
      </c>
      <c r="AR51" s="46" t="str">
        <f aca="false">IF($D51="Followup",'Survey Response'!$G49,"")</f>
        <v/>
      </c>
      <c r="AS51" s="46" t="str">
        <f aca="false">IF($D51="Followup",'Survey Response'!$H49,"")</f>
        <v/>
      </c>
      <c r="AT51" s="46" t="str">
        <f aca="false">IF($D51="Followup",'Survey Response'!$M49,"")</f>
        <v/>
      </c>
      <c r="AU51" s="46" t="str">
        <f aca="false">IF($D51="Followup",'Survey Response'!$K49,"")</f>
        <v/>
      </c>
      <c r="AV51" s="46" t="str">
        <f aca="false">IF($D51="Followup",'Survey Response'!$L49,"")</f>
        <v/>
      </c>
      <c r="AW51" s="46" t="str">
        <f aca="false">IF($D51="Followup",IF(AND($P51&lt;&gt;"Yes",$U51&lt;&gt;"Yes"),"Not approved for primary or secondary skill","Approved, but skill(s) no longer have capacity (fully staffed)"),"")</f>
        <v/>
      </c>
    </row>
    <row r="52" customFormat="false" ht="15" hidden="false" customHeight="true" outlineLevel="0" collapsed="false">
      <c r="A52" s="46" t="str">
        <f aca="false">IF('Survey Response'!$D50="","",'Survey Response'!$A50&amp;"|"&amp;LOWER(TRIM('Survey Response'!$D50)))</f>
        <v/>
      </c>
      <c r="B52" s="46" t="str">
        <f aca="false">IF($H52="","",$F52&amp;"|"&amp;$H52)</f>
        <v/>
      </c>
      <c r="C52" s="46" t="str">
        <f aca="false">IF($H52="","",$A52=$B52)</f>
        <v/>
      </c>
      <c r="D52" s="46" t="str">
        <f aca="false">IF($H52="","",IF($E52&lt;&gt;"Yes","Superseded",IF($I52&lt;&gt;"Yes, I'm available for in-person interviews at Chennai","Not Available",IF($Z52&lt;&gt;"","Panel Details","Followup"))))</f>
        <v/>
      </c>
      <c r="E52" s="46" t="str">
        <f aca="false">IF($H52="","",IF(SUMPRODUCT(($H$4:$H$503=$H52)*(($G$4:$G$503&gt;$G52)+($G$4:$G$503=$G52)*($F$4:$F$503&gt;$F52)))=0,"Yes","No"))</f>
        <v/>
      </c>
      <c r="F52" s="47" t="str">
        <f aca="false">IF('Survey Response'!$D50="","",INT('Survey Response'!$A50))</f>
        <v/>
      </c>
      <c r="G52" s="48" t="str">
        <f aca="false">IF('Survey Response'!$D50="","",'Survey Response'!$C50)</f>
        <v/>
      </c>
      <c r="H52" s="46" t="str">
        <f aca="false">IF('Survey Response'!$D50="","",LOWER(TRIM('Survey Response'!$D50)))</f>
        <v/>
      </c>
      <c r="I52" s="46" t="str">
        <f aca="false">IF($H52="","",'Survey Response'!$I50)</f>
        <v/>
      </c>
      <c r="J52" s="46" t="str">
        <f aca="false">IF($H52="","",'Survey Response'!$K50)</f>
        <v/>
      </c>
      <c r="K52" s="46" t="str">
        <f aca="false">IF($J52="","",IF(COUNTIF('Skill Mapping'!$A$2:$A$7,TRIM($J52))=0,"",INDEX('Skill Mapping'!$B$2:$B$7,MATCH(TRIM($J52),'Skill Mapping'!$A$2:$A$7,0))))</f>
        <v/>
      </c>
      <c r="L52" s="46" t="str">
        <f aca="false">IF($H52="","",'Survey Response'!$L50)</f>
        <v/>
      </c>
      <c r="M52" s="46" t="str">
        <f aca="false">IF($L52="","",IF(COUNTIF('Skill Mapping'!$A$2:$A$7,TRIM($L52))=0,"",INDEX('Skill Mapping'!$B$2:$B$7,MATCH(TRIM($L52),'Skill Mapping'!$A$2:$A$7,0))))</f>
        <v/>
      </c>
      <c r="N52" s="46" t="str">
        <f aca="false">IF($H52="","",'Survey Response'!$M50)</f>
        <v/>
      </c>
      <c r="O52" s="46" t="str">
        <f aca="false">IF($H52="","",IF('Survey Response'!$M50="Manager","R2","R1"))</f>
        <v/>
      </c>
      <c r="P52" s="46" t="str">
        <f aca="false">IF($K52="","No",IF(COUNTIFS(MasterPanel!$B:$B,$H52,MasterPanel!$I:$I,$K52,MasterPanel!$K:$K,"Y")&gt;0,"Yes","No"))</f>
        <v>No</v>
      </c>
      <c r="Q52" s="46" t="n">
        <f aca="false">IF($K52="",0,IF(COUNTIF('Gap Sheet'!$A$6:$A$11,TRIM($J52))=0,0,IF($O52="R1",INDEX('Gap Sheet'!$C$6:$C$11,MATCH(TRIM($J52),'Gap Sheet'!$A$6:$A$11,0)),INDEX('Gap Sheet'!$G$6:$G$11,MATCH(TRIM($J52),'Gap Sheet'!$A$6:$A$11,0)))))</f>
        <v>0</v>
      </c>
      <c r="R52" s="46" t="str">
        <f aca="false">IF($K52="","",$K52&amp;"|"&amp;$O52)</f>
        <v/>
      </c>
      <c r="S52" s="46" t="n">
        <f aca="false">IF($R52="",0,COUNTIF($AA$4:$AA51,$R52))</f>
        <v>0</v>
      </c>
      <c r="T52" s="46" t="str">
        <f aca="false">IF(OR($I52&lt;&gt;"Yes, I'm available for in-person interviews at Chennai",$E52&lt;&gt;"Yes",$P52&lt;&gt;"Yes"),"No",IF(($Q52-$S52)&gt;0,"Yes","No"))</f>
        <v>No</v>
      </c>
      <c r="U52" s="46" t="str">
        <f aca="false">IF($M52="","No",IF(COUNTIFS(MasterPanel!$B:$B,$H52,MasterPanel!$I:$I,$M52,MasterPanel!$K:$K,"Y")&gt;0,"Yes","No"))</f>
        <v>No</v>
      </c>
      <c r="V52" s="46" t="n">
        <f aca="false">IF($M52="",0,IF(COUNTIF('Gap Sheet'!$A$6:$A$11,TRIM($L52))=0,0,IF($O52="R1",INDEX('Gap Sheet'!$C$6:$C$11,MATCH(TRIM($L52),'Gap Sheet'!$A$6:$A$11,0)),INDEX('Gap Sheet'!$G$6:$G$11,MATCH(TRIM($L52),'Gap Sheet'!$A$6:$A$11,0)))))</f>
        <v>0</v>
      </c>
      <c r="W52" s="46" t="str">
        <f aca="false">IF($M52="","",$M52&amp;"|"&amp;$O52)</f>
        <v/>
      </c>
      <c r="X52" s="46" t="n">
        <f aca="false">IF($W52="",0,COUNTIF($AA$4:$AA51,$W52))</f>
        <v>0</v>
      </c>
      <c r="Y52" s="46" t="str">
        <f aca="false">IF(OR($I52&lt;&gt;"Yes, I'm available for in-person interviews at Chennai",$E52&lt;&gt;"Yes",$T52="Yes",$U52&lt;&gt;"Yes"),"No",IF(($V52-$X52)&gt;0,"Yes","No"))</f>
        <v>No</v>
      </c>
      <c r="Z52" s="46" t="str">
        <f aca="false">IF($T52="Yes","Primary",IF($Y52="Yes","Secondary",""))</f>
        <v/>
      </c>
      <c r="AA52" s="46" t="str">
        <f aca="false">IF($Z52="Primary",$R52,IF($Z52="Secondary",$W52,""))</f>
        <v/>
      </c>
      <c r="AB52" s="46" t="str">
        <f aca="false">IF($Z52="Primary","Matched on primary skill",IF($Z52="Secondary","Matched on secondary skill (primary not approved or not required)",""))</f>
        <v/>
      </c>
      <c r="AC52" s="47" t="str">
        <f aca="false">IF($D52="Panel Details",$F52,"")</f>
        <v/>
      </c>
      <c r="AD52" s="46" t="str">
        <f aca="false">IF($D52="Panel Details",'Survey Response'!$D50,"")</f>
        <v/>
      </c>
      <c r="AE52" s="46" t="str">
        <f aca="false">IF($D52="Panel Details",'Survey Response'!$E50,"")</f>
        <v/>
      </c>
      <c r="AF52" s="46" t="str">
        <f aca="false">IF($D52="Panel Details",'Survey Response'!$G50,"")</f>
        <v/>
      </c>
      <c r="AG52" s="46" t="str">
        <f aca="false">IF($D52="Panel Details",IF($Z52="Primary",$J52,$L52),"")</f>
        <v/>
      </c>
      <c r="AH52" s="46" t="str">
        <f aca="false">IF($D52="Panel Details",IF($Z52="Primary",$L52,$J52),"")</f>
        <v/>
      </c>
      <c r="AI52" s="46" t="str">
        <f aca="false">IF($D52="Panel Details",'Survey Response'!$H50,"")</f>
        <v/>
      </c>
      <c r="AJ52" s="46" t="str">
        <f aca="false">IF($D52="Panel Details",'Survey Response'!$M50,"")</f>
        <v/>
      </c>
      <c r="AK52" s="46" t="str">
        <f aca="false">IF($D52="Panel Details",$O52,"")</f>
        <v/>
      </c>
      <c r="AL52" s="46" t="str">
        <f aca="false">IF($D52="Panel Details",8,"")</f>
        <v/>
      </c>
      <c r="AM52" s="46" t="str">
        <f aca="false">IF($D52="Panel Details",$AB52,"")</f>
        <v/>
      </c>
      <c r="AN52" s="46" t="str">
        <f aca="false">IF($D52="Panel Details","Yes","")</f>
        <v/>
      </c>
      <c r="AO52" s="46"/>
      <c r="AP52" s="46" t="str">
        <f aca="false">IF($D52="Followup",'Survey Response'!$D50,"")</f>
        <v/>
      </c>
      <c r="AQ52" s="46" t="str">
        <f aca="false">IF($D52="Followup",'Survey Response'!$E50,"")</f>
        <v/>
      </c>
      <c r="AR52" s="46" t="str">
        <f aca="false">IF($D52="Followup",'Survey Response'!$G50,"")</f>
        <v/>
      </c>
      <c r="AS52" s="46" t="str">
        <f aca="false">IF($D52="Followup",'Survey Response'!$H50,"")</f>
        <v/>
      </c>
      <c r="AT52" s="46" t="str">
        <f aca="false">IF($D52="Followup",'Survey Response'!$M50,"")</f>
        <v/>
      </c>
      <c r="AU52" s="46" t="str">
        <f aca="false">IF($D52="Followup",'Survey Response'!$K50,"")</f>
        <v/>
      </c>
      <c r="AV52" s="46" t="str">
        <f aca="false">IF($D52="Followup",'Survey Response'!$L50,"")</f>
        <v/>
      </c>
      <c r="AW52" s="46" t="str">
        <f aca="false">IF($D52="Followup",IF(AND($P52&lt;&gt;"Yes",$U52&lt;&gt;"Yes"),"Not approved for primary or secondary skill","Approved, but skill(s) no longer have capacity (fully staffed)"),"")</f>
        <v/>
      </c>
    </row>
    <row r="53" customFormat="false" ht="15" hidden="false" customHeight="true" outlineLevel="0" collapsed="false">
      <c r="A53" s="46" t="str">
        <f aca="false">IF('Survey Response'!$D51="","",'Survey Response'!$A51&amp;"|"&amp;LOWER(TRIM('Survey Response'!$D51)))</f>
        <v/>
      </c>
      <c r="B53" s="46" t="str">
        <f aca="false">IF($H53="","",$F53&amp;"|"&amp;$H53)</f>
        <v/>
      </c>
      <c r="C53" s="46" t="str">
        <f aca="false">IF($H53="","",$A53=$B53)</f>
        <v/>
      </c>
      <c r="D53" s="46" t="str">
        <f aca="false">IF($H53="","",IF($E53&lt;&gt;"Yes","Superseded",IF($I53&lt;&gt;"Yes, I'm available for in-person interviews at Chennai","Not Available",IF($Z53&lt;&gt;"","Panel Details","Followup"))))</f>
        <v/>
      </c>
      <c r="E53" s="46" t="str">
        <f aca="false">IF($H53="","",IF(SUMPRODUCT(($H$4:$H$503=$H53)*(($G$4:$G$503&gt;$G53)+($G$4:$G$503=$G53)*($F$4:$F$503&gt;$F53)))=0,"Yes","No"))</f>
        <v/>
      </c>
      <c r="F53" s="47" t="str">
        <f aca="false">IF('Survey Response'!$D51="","",INT('Survey Response'!$A51))</f>
        <v/>
      </c>
      <c r="G53" s="48" t="str">
        <f aca="false">IF('Survey Response'!$D51="","",'Survey Response'!$C51)</f>
        <v/>
      </c>
      <c r="H53" s="46" t="str">
        <f aca="false">IF('Survey Response'!$D51="","",LOWER(TRIM('Survey Response'!$D51)))</f>
        <v/>
      </c>
      <c r="I53" s="46" t="str">
        <f aca="false">IF($H53="","",'Survey Response'!$I51)</f>
        <v/>
      </c>
      <c r="J53" s="46" t="str">
        <f aca="false">IF($H53="","",'Survey Response'!$K51)</f>
        <v/>
      </c>
      <c r="K53" s="46" t="str">
        <f aca="false">IF($J53="","",IF(COUNTIF('Skill Mapping'!$A$2:$A$7,TRIM($J53))=0,"",INDEX('Skill Mapping'!$B$2:$B$7,MATCH(TRIM($J53),'Skill Mapping'!$A$2:$A$7,0))))</f>
        <v/>
      </c>
      <c r="L53" s="46" t="str">
        <f aca="false">IF($H53="","",'Survey Response'!$L51)</f>
        <v/>
      </c>
      <c r="M53" s="46" t="str">
        <f aca="false">IF($L53="","",IF(COUNTIF('Skill Mapping'!$A$2:$A$7,TRIM($L53))=0,"",INDEX('Skill Mapping'!$B$2:$B$7,MATCH(TRIM($L53),'Skill Mapping'!$A$2:$A$7,0))))</f>
        <v/>
      </c>
      <c r="N53" s="46" t="str">
        <f aca="false">IF($H53="","",'Survey Response'!$M51)</f>
        <v/>
      </c>
      <c r="O53" s="46" t="str">
        <f aca="false">IF($H53="","",IF('Survey Response'!$M51="Manager","R2","R1"))</f>
        <v/>
      </c>
      <c r="P53" s="46" t="str">
        <f aca="false">IF($K53="","No",IF(COUNTIFS(MasterPanel!$B:$B,$H53,MasterPanel!$I:$I,$K53,MasterPanel!$K:$K,"Y")&gt;0,"Yes","No"))</f>
        <v>No</v>
      </c>
      <c r="Q53" s="46" t="n">
        <f aca="false">IF($K53="",0,IF(COUNTIF('Gap Sheet'!$A$6:$A$11,TRIM($J53))=0,0,IF($O53="R1",INDEX('Gap Sheet'!$C$6:$C$11,MATCH(TRIM($J53),'Gap Sheet'!$A$6:$A$11,0)),INDEX('Gap Sheet'!$G$6:$G$11,MATCH(TRIM($J53),'Gap Sheet'!$A$6:$A$11,0)))))</f>
        <v>0</v>
      </c>
      <c r="R53" s="46" t="str">
        <f aca="false">IF($K53="","",$K53&amp;"|"&amp;$O53)</f>
        <v/>
      </c>
      <c r="S53" s="46" t="n">
        <f aca="false">IF($R53="",0,COUNTIF($AA$4:$AA52,$R53))</f>
        <v>0</v>
      </c>
      <c r="T53" s="46" t="str">
        <f aca="false">IF(OR($I53&lt;&gt;"Yes, I'm available for in-person interviews at Chennai",$E53&lt;&gt;"Yes",$P53&lt;&gt;"Yes"),"No",IF(($Q53-$S53)&gt;0,"Yes","No"))</f>
        <v>No</v>
      </c>
      <c r="U53" s="46" t="str">
        <f aca="false">IF($M53="","No",IF(COUNTIFS(MasterPanel!$B:$B,$H53,MasterPanel!$I:$I,$M53,MasterPanel!$K:$K,"Y")&gt;0,"Yes","No"))</f>
        <v>No</v>
      </c>
      <c r="V53" s="46" t="n">
        <f aca="false">IF($M53="",0,IF(COUNTIF('Gap Sheet'!$A$6:$A$11,TRIM($L53))=0,0,IF($O53="R1",INDEX('Gap Sheet'!$C$6:$C$11,MATCH(TRIM($L53),'Gap Sheet'!$A$6:$A$11,0)),INDEX('Gap Sheet'!$G$6:$G$11,MATCH(TRIM($L53),'Gap Sheet'!$A$6:$A$11,0)))))</f>
        <v>0</v>
      </c>
      <c r="W53" s="46" t="str">
        <f aca="false">IF($M53="","",$M53&amp;"|"&amp;$O53)</f>
        <v/>
      </c>
      <c r="X53" s="46" t="n">
        <f aca="false">IF($W53="",0,COUNTIF($AA$4:$AA52,$W53))</f>
        <v>0</v>
      </c>
      <c r="Y53" s="46" t="str">
        <f aca="false">IF(OR($I53&lt;&gt;"Yes, I'm available for in-person interviews at Chennai",$E53&lt;&gt;"Yes",$T53="Yes",$U53&lt;&gt;"Yes"),"No",IF(($V53-$X53)&gt;0,"Yes","No"))</f>
        <v>No</v>
      </c>
      <c r="Z53" s="46" t="str">
        <f aca="false">IF($T53="Yes","Primary",IF($Y53="Yes","Secondary",""))</f>
        <v/>
      </c>
      <c r="AA53" s="46" t="str">
        <f aca="false">IF($Z53="Primary",$R53,IF($Z53="Secondary",$W53,""))</f>
        <v/>
      </c>
      <c r="AB53" s="46" t="str">
        <f aca="false">IF($Z53="Primary","Matched on primary skill",IF($Z53="Secondary","Matched on secondary skill (primary not approved or not required)",""))</f>
        <v/>
      </c>
      <c r="AC53" s="47" t="str">
        <f aca="false">IF($D53="Panel Details",$F53,"")</f>
        <v/>
      </c>
      <c r="AD53" s="46" t="str">
        <f aca="false">IF($D53="Panel Details",'Survey Response'!$D51,"")</f>
        <v/>
      </c>
      <c r="AE53" s="46" t="str">
        <f aca="false">IF($D53="Panel Details",'Survey Response'!$E51,"")</f>
        <v/>
      </c>
      <c r="AF53" s="46" t="str">
        <f aca="false">IF($D53="Panel Details",'Survey Response'!$G51,"")</f>
        <v/>
      </c>
      <c r="AG53" s="46" t="str">
        <f aca="false">IF($D53="Panel Details",IF($Z53="Primary",$J53,$L53),"")</f>
        <v/>
      </c>
      <c r="AH53" s="46" t="str">
        <f aca="false">IF($D53="Panel Details",IF($Z53="Primary",$L53,$J53),"")</f>
        <v/>
      </c>
      <c r="AI53" s="46" t="str">
        <f aca="false">IF($D53="Panel Details",'Survey Response'!$H51,"")</f>
        <v/>
      </c>
      <c r="AJ53" s="46" t="str">
        <f aca="false">IF($D53="Panel Details",'Survey Response'!$M51,"")</f>
        <v/>
      </c>
      <c r="AK53" s="46" t="str">
        <f aca="false">IF($D53="Panel Details",$O53,"")</f>
        <v/>
      </c>
      <c r="AL53" s="46" t="str">
        <f aca="false">IF($D53="Panel Details",8,"")</f>
        <v/>
      </c>
      <c r="AM53" s="46" t="str">
        <f aca="false">IF($D53="Panel Details",$AB53,"")</f>
        <v/>
      </c>
      <c r="AN53" s="46" t="str">
        <f aca="false">IF($D53="Panel Details","Yes","")</f>
        <v/>
      </c>
      <c r="AO53" s="46"/>
      <c r="AP53" s="46" t="str">
        <f aca="false">IF($D53="Followup",'Survey Response'!$D51,"")</f>
        <v/>
      </c>
      <c r="AQ53" s="46" t="str">
        <f aca="false">IF($D53="Followup",'Survey Response'!$E51,"")</f>
        <v/>
      </c>
      <c r="AR53" s="46" t="str">
        <f aca="false">IF($D53="Followup",'Survey Response'!$G51,"")</f>
        <v/>
      </c>
      <c r="AS53" s="46" t="str">
        <f aca="false">IF($D53="Followup",'Survey Response'!$H51,"")</f>
        <v/>
      </c>
      <c r="AT53" s="46" t="str">
        <f aca="false">IF($D53="Followup",'Survey Response'!$M51,"")</f>
        <v/>
      </c>
      <c r="AU53" s="46" t="str">
        <f aca="false">IF($D53="Followup",'Survey Response'!$K51,"")</f>
        <v/>
      </c>
      <c r="AV53" s="46" t="str">
        <f aca="false">IF($D53="Followup",'Survey Response'!$L51,"")</f>
        <v/>
      </c>
      <c r="AW53" s="46" t="str">
        <f aca="false">IF($D53="Followup",IF(AND($P53&lt;&gt;"Yes",$U53&lt;&gt;"Yes"),"Not approved for primary or secondary skill","Approved, but skill(s) no longer have capacity (fully staffed)"),"")</f>
        <v/>
      </c>
    </row>
    <row r="54" customFormat="false" ht="15" hidden="false" customHeight="true" outlineLevel="0" collapsed="false">
      <c r="A54" s="46" t="str">
        <f aca="false">IF('Survey Response'!$D52="","",'Survey Response'!$A52&amp;"|"&amp;LOWER(TRIM('Survey Response'!$D52)))</f>
        <v/>
      </c>
      <c r="B54" s="46" t="str">
        <f aca="false">IF($H54="","",$F54&amp;"|"&amp;$H54)</f>
        <v/>
      </c>
      <c r="C54" s="46" t="str">
        <f aca="false">IF($H54="","",$A54=$B54)</f>
        <v/>
      </c>
      <c r="D54" s="46" t="str">
        <f aca="false">IF($H54="","",IF($E54&lt;&gt;"Yes","Superseded",IF($I54&lt;&gt;"Yes, I'm available for in-person interviews at Chennai","Not Available",IF($Z54&lt;&gt;"","Panel Details","Followup"))))</f>
        <v/>
      </c>
      <c r="E54" s="46" t="str">
        <f aca="false">IF($H54="","",IF(SUMPRODUCT(($H$4:$H$503=$H54)*(($G$4:$G$503&gt;$G54)+($G$4:$G$503=$G54)*($F$4:$F$503&gt;$F54)))=0,"Yes","No"))</f>
        <v/>
      </c>
      <c r="F54" s="47" t="str">
        <f aca="false">IF('Survey Response'!$D52="","",INT('Survey Response'!$A52))</f>
        <v/>
      </c>
      <c r="G54" s="48" t="str">
        <f aca="false">IF('Survey Response'!$D52="","",'Survey Response'!$C52)</f>
        <v/>
      </c>
      <c r="H54" s="46" t="str">
        <f aca="false">IF('Survey Response'!$D52="","",LOWER(TRIM('Survey Response'!$D52)))</f>
        <v/>
      </c>
      <c r="I54" s="46" t="str">
        <f aca="false">IF($H54="","",'Survey Response'!$I52)</f>
        <v/>
      </c>
      <c r="J54" s="46" t="str">
        <f aca="false">IF($H54="","",'Survey Response'!$K52)</f>
        <v/>
      </c>
      <c r="K54" s="46" t="str">
        <f aca="false">IF($J54="","",IF(COUNTIF('Skill Mapping'!$A$2:$A$7,TRIM($J54))=0,"",INDEX('Skill Mapping'!$B$2:$B$7,MATCH(TRIM($J54),'Skill Mapping'!$A$2:$A$7,0))))</f>
        <v/>
      </c>
      <c r="L54" s="46" t="str">
        <f aca="false">IF($H54="","",'Survey Response'!$L52)</f>
        <v/>
      </c>
      <c r="M54" s="46" t="str">
        <f aca="false">IF($L54="","",IF(COUNTIF('Skill Mapping'!$A$2:$A$7,TRIM($L54))=0,"",INDEX('Skill Mapping'!$B$2:$B$7,MATCH(TRIM($L54),'Skill Mapping'!$A$2:$A$7,0))))</f>
        <v/>
      </c>
      <c r="N54" s="46" t="str">
        <f aca="false">IF($H54="","",'Survey Response'!$M52)</f>
        <v/>
      </c>
      <c r="O54" s="46" t="str">
        <f aca="false">IF($H54="","",IF('Survey Response'!$M52="Manager","R2","R1"))</f>
        <v/>
      </c>
      <c r="P54" s="46" t="str">
        <f aca="false">IF($K54="","No",IF(COUNTIFS(MasterPanel!$B:$B,$H54,MasterPanel!$I:$I,$K54,MasterPanel!$K:$K,"Y")&gt;0,"Yes","No"))</f>
        <v>No</v>
      </c>
      <c r="Q54" s="46" t="n">
        <f aca="false">IF($K54="",0,IF(COUNTIF('Gap Sheet'!$A$6:$A$11,TRIM($J54))=0,0,IF($O54="R1",INDEX('Gap Sheet'!$C$6:$C$11,MATCH(TRIM($J54),'Gap Sheet'!$A$6:$A$11,0)),INDEX('Gap Sheet'!$G$6:$G$11,MATCH(TRIM($J54),'Gap Sheet'!$A$6:$A$11,0)))))</f>
        <v>0</v>
      </c>
      <c r="R54" s="46" t="str">
        <f aca="false">IF($K54="","",$K54&amp;"|"&amp;$O54)</f>
        <v/>
      </c>
      <c r="S54" s="46" t="n">
        <f aca="false">IF($R54="",0,COUNTIF($AA$4:$AA53,$R54))</f>
        <v>0</v>
      </c>
      <c r="T54" s="46" t="str">
        <f aca="false">IF(OR($I54&lt;&gt;"Yes, I'm available for in-person interviews at Chennai",$E54&lt;&gt;"Yes",$P54&lt;&gt;"Yes"),"No",IF(($Q54-$S54)&gt;0,"Yes","No"))</f>
        <v>No</v>
      </c>
      <c r="U54" s="46" t="str">
        <f aca="false">IF($M54="","No",IF(COUNTIFS(MasterPanel!$B:$B,$H54,MasterPanel!$I:$I,$M54,MasterPanel!$K:$K,"Y")&gt;0,"Yes","No"))</f>
        <v>No</v>
      </c>
      <c r="V54" s="46" t="n">
        <f aca="false">IF($M54="",0,IF(COUNTIF('Gap Sheet'!$A$6:$A$11,TRIM($L54))=0,0,IF($O54="R1",INDEX('Gap Sheet'!$C$6:$C$11,MATCH(TRIM($L54),'Gap Sheet'!$A$6:$A$11,0)),INDEX('Gap Sheet'!$G$6:$G$11,MATCH(TRIM($L54),'Gap Sheet'!$A$6:$A$11,0)))))</f>
        <v>0</v>
      </c>
      <c r="W54" s="46" t="str">
        <f aca="false">IF($M54="","",$M54&amp;"|"&amp;$O54)</f>
        <v/>
      </c>
      <c r="X54" s="46" t="n">
        <f aca="false">IF($W54="",0,COUNTIF($AA$4:$AA53,$W54))</f>
        <v>0</v>
      </c>
      <c r="Y54" s="46" t="str">
        <f aca="false">IF(OR($I54&lt;&gt;"Yes, I'm available for in-person interviews at Chennai",$E54&lt;&gt;"Yes",$T54="Yes",$U54&lt;&gt;"Yes"),"No",IF(($V54-$X54)&gt;0,"Yes","No"))</f>
        <v>No</v>
      </c>
      <c r="Z54" s="46" t="str">
        <f aca="false">IF($T54="Yes","Primary",IF($Y54="Yes","Secondary",""))</f>
        <v/>
      </c>
      <c r="AA54" s="46" t="str">
        <f aca="false">IF($Z54="Primary",$R54,IF($Z54="Secondary",$W54,""))</f>
        <v/>
      </c>
      <c r="AB54" s="46" t="str">
        <f aca="false">IF($Z54="Primary","Matched on primary skill",IF($Z54="Secondary","Matched on secondary skill (primary not approved or not required)",""))</f>
        <v/>
      </c>
      <c r="AC54" s="47" t="str">
        <f aca="false">IF($D54="Panel Details",$F54,"")</f>
        <v/>
      </c>
      <c r="AD54" s="46" t="str">
        <f aca="false">IF($D54="Panel Details",'Survey Response'!$D52,"")</f>
        <v/>
      </c>
      <c r="AE54" s="46" t="str">
        <f aca="false">IF($D54="Panel Details",'Survey Response'!$E52,"")</f>
        <v/>
      </c>
      <c r="AF54" s="46" t="str">
        <f aca="false">IF($D54="Panel Details",'Survey Response'!$G52,"")</f>
        <v/>
      </c>
      <c r="AG54" s="46" t="str">
        <f aca="false">IF($D54="Panel Details",IF($Z54="Primary",$J54,$L54),"")</f>
        <v/>
      </c>
      <c r="AH54" s="46" t="str">
        <f aca="false">IF($D54="Panel Details",IF($Z54="Primary",$L54,$J54),"")</f>
        <v/>
      </c>
      <c r="AI54" s="46" t="str">
        <f aca="false">IF($D54="Panel Details",'Survey Response'!$H52,"")</f>
        <v/>
      </c>
      <c r="AJ54" s="46" t="str">
        <f aca="false">IF($D54="Panel Details",'Survey Response'!$M52,"")</f>
        <v/>
      </c>
      <c r="AK54" s="46" t="str">
        <f aca="false">IF($D54="Panel Details",$O54,"")</f>
        <v/>
      </c>
      <c r="AL54" s="46" t="str">
        <f aca="false">IF($D54="Panel Details",8,"")</f>
        <v/>
      </c>
      <c r="AM54" s="46" t="str">
        <f aca="false">IF($D54="Panel Details",$AB54,"")</f>
        <v/>
      </c>
      <c r="AN54" s="46" t="str">
        <f aca="false">IF($D54="Panel Details","Yes","")</f>
        <v/>
      </c>
      <c r="AO54" s="46"/>
      <c r="AP54" s="46" t="str">
        <f aca="false">IF($D54="Followup",'Survey Response'!$D52,"")</f>
        <v/>
      </c>
      <c r="AQ54" s="46" t="str">
        <f aca="false">IF($D54="Followup",'Survey Response'!$E52,"")</f>
        <v/>
      </c>
      <c r="AR54" s="46" t="str">
        <f aca="false">IF($D54="Followup",'Survey Response'!$G52,"")</f>
        <v/>
      </c>
      <c r="AS54" s="46" t="str">
        <f aca="false">IF($D54="Followup",'Survey Response'!$H52,"")</f>
        <v/>
      </c>
      <c r="AT54" s="46" t="str">
        <f aca="false">IF($D54="Followup",'Survey Response'!$M52,"")</f>
        <v/>
      </c>
      <c r="AU54" s="46" t="str">
        <f aca="false">IF($D54="Followup",'Survey Response'!$K52,"")</f>
        <v/>
      </c>
      <c r="AV54" s="46" t="str">
        <f aca="false">IF($D54="Followup",'Survey Response'!$L52,"")</f>
        <v/>
      </c>
      <c r="AW54" s="46" t="str">
        <f aca="false">IF($D54="Followup",IF(AND($P54&lt;&gt;"Yes",$U54&lt;&gt;"Yes"),"Not approved for primary or secondary skill","Approved, but skill(s) no longer have capacity (fully staffed)"),"")</f>
        <v/>
      </c>
    </row>
    <row r="55" customFormat="false" ht="15" hidden="false" customHeight="true" outlineLevel="0" collapsed="false">
      <c r="A55" s="46" t="str">
        <f aca="false">IF('Survey Response'!$D53="","",'Survey Response'!$A53&amp;"|"&amp;LOWER(TRIM('Survey Response'!$D53)))</f>
        <v/>
      </c>
      <c r="B55" s="46" t="str">
        <f aca="false">IF($H55="","",$F55&amp;"|"&amp;$H55)</f>
        <v/>
      </c>
      <c r="C55" s="46" t="str">
        <f aca="false">IF($H55="","",$A55=$B55)</f>
        <v/>
      </c>
      <c r="D55" s="46" t="str">
        <f aca="false">IF($H55="","",IF($E55&lt;&gt;"Yes","Superseded",IF($I55&lt;&gt;"Yes, I'm available for in-person interviews at Chennai","Not Available",IF($Z55&lt;&gt;"","Panel Details","Followup"))))</f>
        <v/>
      </c>
      <c r="E55" s="46" t="str">
        <f aca="false">IF($H55="","",IF(SUMPRODUCT(($H$4:$H$503=$H55)*(($G$4:$G$503&gt;$G55)+($G$4:$G$503=$G55)*($F$4:$F$503&gt;$F55)))=0,"Yes","No"))</f>
        <v/>
      </c>
      <c r="F55" s="47" t="str">
        <f aca="false">IF('Survey Response'!$D53="","",INT('Survey Response'!$A53))</f>
        <v/>
      </c>
      <c r="G55" s="48" t="str">
        <f aca="false">IF('Survey Response'!$D53="","",'Survey Response'!$C53)</f>
        <v/>
      </c>
      <c r="H55" s="46" t="str">
        <f aca="false">IF('Survey Response'!$D53="","",LOWER(TRIM('Survey Response'!$D53)))</f>
        <v/>
      </c>
      <c r="I55" s="46" t="str">
        <f aca="false">IF($H55="","",'Survey Response'!$I53)</f>
        <v/>
      </c>
      <c r="J55" s="46" t="str">
        <f aca="false">IF($H55="","",'Survey Response'!$K53)</f>
        <v/>
      </c>
      <c r="K55" s="46" t="str">
        <f aca="false">IF($J55="","",IF(COUNTIF('Skill Mapping'!$A$2:$A$7,TRIM($J55))=0,"",INDEX('Skill Mapping'!$B$2:$B$7,MATCH(TRIM($J55),'Skill Mapping'!$A$2:$A$7,0))))</f>
        <v/>
      </c>
      <c r="L55" s="46" t="str">
        <f aca="false">IF($H55="","",'Survey Response'!$L53)</f>
        <v/>
      </c>
      <c r="M55" s="46" t="str">
        <f aca="false">IF($L55="","",IF(COUNTIF('Skill Mapping'!$A$2:$A$7,TRIM($L55))=0,"",INDEX('Skill Mapping'!$B$2:$B$7,MATCH(TRIM($L55),'Skill Mapping'!$A$2:$A$7,0))))</f>
        <v/>
      </c>
      <c r="N55" s="46" t="str">
        <f aca="false">IF($H55="","",'Survey Response'!$M53)</f>
        <v/>
      </c>
      <c r="O55" s="46" t="str">
        <f aca="false">IF($H55="","",IF('Survey Response'!$M53="Manager","R2","R1"))</f>
        <v/>
      </c>
      <c r="P55" s="46" t="str">
        <f aca="false">IF($K55="","No",IF(COUNTIFS(MasterPanel!$B:$B,$H55,MasterPanel!$I:$I,$K55,MasterPanel!$K:$K,"Y")&gt;0,"Yes","No"))</f>
        <v>No</v>
      </c>
      <c r="Q55" s="46" t="n">
        <f aca="false">IF($K55="",0,IF(COUNTIF('Gap Sheet'!$A$6:$A$11,TRIM($J55))=0,0,IF($O55="R1",INDEX('Gap Sheet'!$C$6:$C$11,MATCH(TRIM($J55),'Gap Sheet'!$A$6:$A$11,0)),INDEX('Gap Sheet'!$G$6:$G$11,MATCH(TRIM($J55),'Gap Sheet'!$A$6:$A$11,0)))))</f>
        <v>0</v>
      </c>
      <c r="R55" s="46" t="str">
        <f aca="false">IF($K55="","",$K55&amp;"|"&amp;$O55)</f>
        <v/>
      </c>
      <c r="S55" s="46" t="n">
        <f aca="false">IF($R55="",0,COUNTIF($AA$4:$AA54,$R55))</f>
        <v>0</v>
      </c>
      <c r="T55" s="46" t="str">
        <f aca="false">IF(OR($I55&lt;&gt;"Yes, I'm available for in-person interviews at Chennai",$E55&lt;&gt;"Yes",$P55&lt;&gt;"Yes"),"No",IF(($Q55-$S55)&gt;0,"Yes","No"))</f>
        <v>No</v>
      </c>
      <c r="U55" s="46" t="str">
        <f aca="false">IF($M55="","No",IF(COUNTIFS(MasterPanel!$B:$B,$H55,MasterPanel!$I:$I,$M55,MasterPanel!$K:$K,"Y")&gt;0,"Yes","No"))</f>
        <v>No</v>
      </c>
      <c r="V55" s="46" t="n">
        <f aca="false">IF($M55="",0,IF(COUNTIF('Gap Sheet'!$A$6:$A$11,TRIM($L55))=0,0,IF($O55="R1",INDEX('Gap Sheet'!$C$6:$C$11,MATCH(TRIM($L55),'Gap Sheet'!$A$6:$A$11,0)),INDEX('Gap Sheet'!$G$6:$G$11,MATCH(TRIM($L55),'Gap Sheet'!$A$6:$A$11,0)))))</f>
        <v>0</v>
      </c>
      <c r="W55" s="46" t="str">
        <f aca="false">IF($M55="","",$M55&amp;"|"&amp;$O55)</f>
        <v/>
      </c>
      <c r="X55" s="46" t="n">
        <f aca="false">IF($W55="",0,COUNTIF($AA$4:$AA54,$W55))</f>
        <v>0</v>
      </c>
      <c r="Y55" s="46" t="str">
        <f aca="false">IF(OR($I55&lt;&gt;"Yes, I'm available for in-person interviews at Chennai",$E55&lt;&gt;"Yes",$T55="Yes",$U55&lt;&gt;"Yes"),"No",IF(($V55-$X55)&gt;0,"Yes","No"))</f>
        <v>No</v>
      </c>
      <c r="Z55" s="46" t="str">
        <f aca="false">IF($T55="Yes","Primary",IF($Y55="Yes","Secondary",""))</f>
        <v/>
      </c>
      <c r="AA55" s="46" t="str">
        <f aca="false">IF($Z55="Primary",$R55,IF($Z55="Secondary",$W55,""))</f>
        <v/>
      </c>
      <c r="AB55" s="46" t="str">
        <f aca="false">IF($Z55="Primary","Matched on primary skill",IF($Z55="Secondary","Matched on secondary skill (primary not approved or not required)",""))</f>
        <v/>
      </c>
      <c r="AC55" s="47" t="str">
        <f aca="false">IF($D55="Panel Details",$F55,"")</f>
        <v/>
      </c>
      <c r="AD55" s="46" t="str">
        <f aca="false">IF($D55="Panel Details",'Survey Response'!$D53,"")</f>
        <v/>
      </c>
      <c r="AE55" s="46" t="str">
        <f aca="false">IF($D55="Panel Details",'Survey Response'!$E53,"")</f>
        <v/>
      </c>
      <c r="AF55" s="46" t="str">
        <f aca="false">IF($D55="Panel Details",'Survey Response'!$G53,"")</f>
        <v/>
      </c>
      <c r="AG55" s="46" t="str">
        <f aca="false">IF($D55="Panel Details",IF($Z55="Primary",$J55,$L55),"")</f>
        <v/>
      </c>
      <c r="AH55" s="46" t="str">
        <f aca="false">IF($D55="Panel Details",IF($Z55="Primary",$L55,$J55),"")</f>
        <v/>
      </c>
      <c r="AI55" s="46" t="str">
        <f aca="false">IF($D55="Panel Details",'Survey Response'!$H53,"")</f>
        <v/>
      </c>
      <c r="AJ55" s="46" t="str">
        <f aca="false">IF($D55="Panel Details",'Survey Response'!$M53,"")</f>
        <v/>
      </c>
      <c r="AK55" s="46" t="str">
        <f aca="false">IF($D55="Panel Details",$O55,"")</f>
        <v/>
      </c>
      <c r="AL55" s="46" t="str">
        <f aca="false">IF($D55="Panel Details",8,"")</f>
        <v/>
      </c>
      <c r="AM55" s="46" t="str">
        <f aca="false">IF($D55="Panel Details",$AB55,"")</f>
        <v/>
      </c>
      <c r="AN55" s="46" t="str">
        <f aca="false">IF($D55="Panel Details","Yes","")</f>
        <v/>
      </c>
      <c r="AO55" s="46"/>
      <c r="AP55" s="46" t="str">
        <f aca="false">IF($D55="Followup",'Survey Response'!$D53,"")</f>
        <v/>
      </c>
      <c r="AQ55" s="46" t="str">
        <f aca="false">IF($D55="Followup",'Survey Response'!$E53,"")</f>
        <v/>
      </c>
      <c r="AR55" s="46" t="str">
        <f aca="false">IF($D55="Followup",'Survey Response'!$G53,"")</f>
        <v/>
      </c>
      <c r="AS55" s="46" t="str">
        <f aca="false">IF($D55="Followup",'Survey Response'!$H53,"")</f>
        <v/>
      </c>
      <c r="AT55" s="46" t="str">
        <f aca="false">IF($D55="Followup",'Survey Response'!$M53,"")</f>
        <v/>
      </c>
      <c r="AU55" s="46" t="str">
        <f aca="false">IF($D55="Followup",'Survey Response'!$K53,"")</f>
        <v/>
      </c>
      <c r="AV55" s="46" t="str">
        <f aca="false">IF($D55="Followup",'Survey Response'!$L53,"")</f>
        <v/>
      </c>
      <c r="AW55" s="46" t="str">
        <f aca="false">IF($D55="Followup",IF(AND($P55&lt;&gt;"Yes",$U55&lt;&gt;"Yes"),"Not approved for primary or secondary skill","Approved, but skill(s) no longer have capacity (fully staffed)"),"")</f>
        <v/>
      </c>
    </row>
    <row r="56" customFormat="false" ht="15" hidden="false" customHeight="true" outlineLevel="0" collapsed="false">
      <c r="A56" s="46" t="str">
        <f aca="false">IF('Survey Response'!$D54="","",'Survey Response'!$A54&amp;"|"&amp;LOWER(TRIM('Survey Response'!$D54)))</f>
        <v/>
      </c>
      <c r="B56" s="46" t="str">
        <f aca="false">IF($H56="","",$F56&amp;"|"&amp;$H56)</f>
        <v/>
      </c>
      <c r="C56" s="46" t="str">
        <f aca="false">IF($H56="","",$A56=$B56)</f>
        <v/>
      </c>
      <c r="D56" s="46" t="str">
        <f aca="false">IF($H56="","",IF($E56&lt;&gt;"Yes","Superseded",IF($I56&lt;&gt;"Yes, I'm available for in-person interviews at Chennai","Not Available",IF($Z56&lt;&gt;"","Panel Details","Followup"))))</f>
        <v/>
      </c>
      <c r="E56" s="46" t="str">
        <f aca="false">IF($H56="","",IF(SUMPRODUCT(($H$4:$H$503=$H56)*(($G$4:$G$503&gt;$G56)+($G$4:$G$503=$G56)*($F$4:$F$503&gt;$F56)))=0,"Yes","No"))</f>
        <v/>
      </c>
      <c r="F56" s="47" t="str">
        <f aca="false">IF('Survey Response'!$D54="","",INT('Survey Response'!$A54))</f>
        <v/>
      </c>
      <c r="G56" s="48" t="str">
        <f aca="false">IF('Survey Response'!$D54="","",'Survey Response'!$C54)</f>
        <v/>
      </c>
      <c r="H56" s="46" t="str">
        <f aca="false">IF('Survey Response'!$D54="","",LOWER(TRIM('Survey Response'!$D54)))</f>
        <v/>
      </c>
      <c r="I56" s="46" t="str">
        <f aca="false">IF($H56="","",'Survey Response'!$I54)</f>
        <v/>
      </c>
      <c r="J56" s="46" t="str">
        <f aca="false">IF($H56="","",'Survey Response'!$K54)</f>
        <v/>
      </c>
      <c r="K56" s="46" t="str">
        <f aca="false">IF($J56="","",IF(COUNTIF('Skill Mapping'!$A$2:$A$7,TRIM($J56))=0,"",INDEX('Skill Mapping'!$B$2:$B$7,MATCH(TRIM($J56),'Skill Mapping'!$A$2:$A$7,0))))</f>
        <v/>
      </c>
      <c r="L56" s="46" t="str">
        <f aca="false">IF($H56="","",'Survey Response'!$L54)</f>
        <v/>
      </c>
      <c r="M56" s="46" t="str">
        <f aca="false">IF($L56="","",IF(COUNTIF('Skill Mapping'!$A$2:$A$7,TRIM($L56))=0,"",INDEX('Skill Mapping'!$B$2:$B$7,MATCH(TRIM($L56),'Skill Mapping'!$A$2:$A$7,0))))</f>
        <v/>
      </c>
      <c r="N56" s="46" t="str">
        <f aca="false">IF($H56="","",'Survey Response'!$M54)</f>
        <v/>
      </c>
      <c r="O56" s="46" t="str">
        <f aca="false">IF($H56="","",IF('Survey Response'!$M54="Manager","R2","R1"))</f>
        <v/>
      </c>
      <c r="P56" s="46" t="str">
        <f aca="false">IF($K56="","No",IF(COUNTIFS(MasterPanel!$B:$B,$H56,MasterPanel!$I:$I,$K56,MasterPanel!$K:$K,"Y")&gt;0,"Yes","No"))</f>
        <v>No</v>
      </c>
      <c r="Q56" s="46" t="n">
        <f aca="false">IF($K56="",0,IF(COUNTIF('Gap Sheet'!$A$6:$A$11,TRIM($J56))=0,0,IF($O56="R1",INDEX('Gap Sheet'!$C$6:$C$11,MATCH(TRIM($J56),'Gap Sheet'!$A$6:$A$11,0)),INDEX('Gap Sheet'!$G$6:$G$11,MATCH(TRIM($J56),'Gap Sheet'!$A$6:$A$11,0)))))</f>
        <v>0</v>
      </c>
      <c r="R56" s="46" t="str">
        <f aca="false">IF($K56="","",$K56&amp;"|"&amp;$O56)</f>
        <v/>
      </c>
      <c r="S56" s="46" t="n">
        <f aca="false">IF($R56="",0,COUNTIF($AA$4:$AA55,$R56))</f>
        <v>0</v>
      </c>
      <c r="T56" s="46" t="str">
        <f aca="false">IF(OR($I56&lt;&gt;"Yes, I'm available for in-person interviews at Chennai",$E56&lt;&gt;"Yes",$P56&lt;&gt;"Yes"),"No",IF(($Q56-$S56)&gt;0,"Yes","No"))</f>
        <v>No</v>
      </c>
      <c r="U56" s="46" t="str">
        <f aca="false">IF($M56="","No",IF(COUNTIFS(MasterPanel!$B:$B,$H56,MasterPanel!$I:$I,$M56,MasterPanel!$K:$K,"Y")&gt;0,"Yes","No"))</f>
        <v>No</v>
      </c>
      <c r="V56" s="46" t="n">
        <f aca="false">IF($M56="",0,IF(COUNTIF('Gap Sheet'!$A$6:$A$11,TRIM($L56))=0,0,IF($O56="R1",INDEX('Gap Sheet'!$C$6:$C$11,MATCH(TRIM($L56),'Gap Sheet'!$A$6:$A$11,0)),INDEX('Gap Sheet'!$G$6:$G$11,MATCH(TRIM($L56),'Gap Sheet'!$A$6:$A$11,0)))))</f>
        <v>0</v>
      </c>
      <c r="W56" s="46" t="str">
        <f aca="false">IF($M56="","",$M56&amp;"|"&amp;$O56)</f>
        <v/>
      </c>
      <c r="X56" s="46" t="n">
        <f aca="false">IF($W56="",0,COUNTIF($AA$4:$AA55,$W56))</f>
        <v>0</v>
      </c>
      <c r="Y56" s="46" t="str">
        <f aca="false">IF(OR($I56&lt;&gt;"Yes, I'm available for in-person interviews at Chennai",$E56&lt;&gt;"Yes",$T56="Yes",$U56&lt;&gt;"Yes"),"No",IF(($V56-$X56)&gt;0,"Yes","No"))</f>
        <v>No</v>
      </c>
      <c r="Z56" s="46" t="str">
        <f aca="false">IF($T56="Yes","Primary",IF($Y56="Yes","Secondary",""))</f>
        <v/>
      </c>
      <c r="AA56" s="46" t="str">
        <f aca="false">IF($Z56="Primary",$R56,IF($Z56="Secondary",$W56,""))</f>
        <v/>
      </c>
      <c r="AB56" s="46" t="str">
        <f aca="false">IF($Z56="Primary","Matched on primary skill",IF($Z56="Secondary","Matched on secondary skill (primary not approved or not required)",""))</f>
        <v/>
      </c>
      <c r="AC56" s="47" t="str">
        <f aca="false">IF($D56="Panel Details",$F56,"")</f>
        <v/>
      </c>
      <c r="AD56" s="46" t="str">
        <f aca="false">IF($D56="Panel Details",'Survey Response'!$D54,"")</f>
        <v/>
      </c>
      <c r="AE56" s="46" t="str">
        <f aca="false">IF($D56="Panel Details",'Survey Response'!$E54,"")</f>
        <v/>
      </c>
      <c r="AF56" s="46" t="str">
        <f aca="false">IF($D56="Panel Details",'Survey Response'!$G54,"")</f>
        <v/>
      </c>
      <c r="AG56" s="46" t="str">
        <f aca="false">IF($D56="Panel Details",IF($Z56="Primary",$J56,$L56),"")</f>
        <v/>
      </c>
      <c r="AH56" s="46" t="str">
        <f aca="false">IF($D56="Panel Details",IF($Z56="Primary",$L56,$J56),"")</f>
        <v/>
      </c>
      <c r="AI56" s="46" t="str">
        <f aca="false">IF($D56="Panel Details",'Survey Response'!$H54,"")</f>
        <v/>
      </c>
      <c r="AJ56" s="46" t="str">
        <f aca="false">IF($D56="Panel Details",'Survey Response'!$M54,"")</f>
        <v/>
      </c>
      <c r="AK56" s="46" t="str">
        <f aca="false">IF($D56="Panel Details",$O56,"")</f>
        <v/>
      </c>
      <c r="AL56" s="46" t="str">
        <f aca="false">IF($D56="Panel Details",8,"")</f>
        <v/>
      </c>
      <c r="AM56" s="46" t="str">
        <f aca="false">IF($D56="Panel Details",$AB56,"")</f>
        <v/>
      </c>
      <c r="AN56" s="46" t="str">
        <f aca="false">IF($D56="Panel Details","Yes","")</f>
        <v/>
      </c>
      <c r="AO56" s="46"/>
      <c r="AP56" s="46" t="str">
        <f aca="false">IF($D56="Followup",'Survey Response'!$D54,"")</f>
        <v/>
      </c>
      <c r="AQ56" s="46" t="str">
        <f aca="false">IF($D56="Followup",'Survey Response'!$E54,"")</f>
        <v/>
      </c>
      <c r="AR56" s="46" t="str">
        <f aca="false">IF($D56="Followup",'Survey Response'!$G54,"")</f>
        <v/>
      </c>
      <c r="AS56" s="46" t="str">
        <f aca="false">IF($D56="Followup",'Survey Response'!$H54,"")</f>
        <v/>
      </c>
      <c r="AT56" s="46" t="str">
        <f aca="false">IF($D56="Followup",'Survey Response'!$M54,"")</f>
        <v/>
      </c>
      <c r="AU56" s="46" t="str">
        <f aca="false">IF($D56="Followup",'Survey Response'!$K54,"")</f>
        <v/>
      </c>
      <c r="AV56" s="46" t="str">
        <f aca="false">IF($D56="Followup",'Survey Response'!$L54,"")</f>
        <v/>
      </c>
      <c r="AW56" s="46" t="str">
        <f aca="false">IF($D56="Followup",IF(AND($P56&lt;&gt;"Yes",$U56&lt;&gt;"Yes"),"Not approved for primary or secondary skill","Approved, but skill(s) no longer have capacity (fully staffed)"),"")</f>
        <v/>
      </c>
    </row>
    <row r="57" customFormat="false" ht="15" hidden="false" customHeight="true" outlineLevel="0" collapsed="false">
      <c r="A57" s="46" t="str">
        <f aca="false">IF('Survey Response'!$D55="","",'Survey Response'!$A55&amp;"|"&amp;LOWER(TRIM('Survey Response'!$D55)))</f>
        <v/>
      </c>
      <c r="B57" s="46" t="str">
        <f aca="false">IF($H57="","",$F57&amp;"|"&amp;$H57)</f>
        <v/>
      </c>
      <c r="C57" s="46" t="str">
        <f aca="false">IF($H57="","",$A57=$B57)</f>
        <v/>
      </c>
      <c r="D57" s="46" t="str">
        <f aca="false">IF($H57="","",IF($E57&lt;&gt;"Yes","Superseded",IF($I57&lt;&gt;"Yes, I'm available for in-person interviews at Chennai","Not Available",IF($Z57&lt;&gt;"","Panel Details","Followup"))))</f>
        <v/>
      </c>
      <c r="E57" s="46" t="str">
        <f aca="false">IF($H57="","",IF(SUMPRODUCT(($H$4:$H$503=$H57)*(($G$4:$G$503&gt;$G57)+($G$4:$G$503=$G57)*($F$4:$F$503&gt;$F57)))=0,"Yes","No"))</f>
        <v/>
      </c>
      <c r="F57" s="47" t="str">
        <f aca="false">IF('Survey Response'!$D55="","",INT('Survey Response'!$A55))</f>
        <v/>
      </c>
      <c r="G57" s="48" t="str">
        <f aca="false">IF('Survey Response'!$D55="","",'Survey Response'!$C55)</f>
        <v/>
      </c>
      <c r="H57" s="46" t="str">
        <f aca="false">IF('Survey Response'!$D55="","",LOWER(TRIM('Survey Response'!$D55)))</f>
        <v/>
      </c>
      <c r="I57" s="46" t="str">
        <f aca="false">IF($H57="","",'Survey Response'!$I55)</f>
        <v/>
      </c>
      <c r="J57" s="46" t="str">
        <f aca="false">IF($H57="","",'Survey Response'!$K55)</f>
        <v/>
      </c>
      <c r="K57" s="46" t="str">
        <f aca="false">IF($J57="","",IF(COUNTIF('Skill Mapping'!$A$2:$A$7,TRIM($J57))=0,"",INDEX('Skill Mapping'!$B$2:$B$7,MATCH(TRIM($J57),'Skill Mapping'!$A$2:$A$7,0))))</f>
        <v/>
      </c>
      <c r="L57" s="46" t="str">
        <f aca="false">IF($H57="","",'Survey Response'!$L55)</f>
        <v/>
      </c>
      <c r="M57" s="46" t="str">
        <f aca="false">IF($L57="","",IF(COUNTIF('Skill Mapping'!$A$2:$A$7,TRIM($L57))=0,"",INDEX('Skill Mapping'!$B$2:$B$7,MATCH(TRIM($L57),'Skill Mapping'!$A$2:$A$7,0))))</f>
        <v/>
      </c>
      <c r="N57" s="46" t="str">
        <f aca="false">IF($H57="","",'Survey Response'!$M55)</f>
        <v/>
      </c>
      <c r="O57" s="46" t="str">
        <f aca="false">IF($H57="","",IF('Survey Response'!$M55="Manager","R2","R1"))</f>
        <v/>
      </c>
      <c r="P57" s="46" t="str">
        <f aca="false">IF($K57="","No",IF(COUNTIFS(MasterPanel!$B:$B,$H57,MasterPanel!$I:$I,$K57,MasterPanel!$K:$K,"Y")&gt;0,"Yes","No"))</f>
        <v>No</v>
      </c>
      <c r="Q57" s="46" t="n">
        <f aca="false">IF($K57="",0,IF(COUNTIF('Gap Sheet'!$A$6:$A$11,TRIM($J57))=0,0,IF($O57="R1",INDEX('Gap Sheet'!$C$6:$C$11,MATCH(TRIM($J57),'Gap Sheet'!$A$6:$A$11,0)),INDEX('Gap Sheet'!$G$6:$G$11,MATCH(TRIM($J57),'Gap Sheet'!$A$6:$A$11,0)))))</f>
        <v>0</v>
      </c>
      <c r="R57" s="46" t="str">
        <f aca="false">IF($K57="","",$K57&amp;"|"&amp;$O57)</f>
        <v/>
      </c>
      <c r="S57" s="46" t="n">
        <f aca="false">IF($R57="",0,COUNTIF($AA$4:$AA56,$R57))</f>
        <v>0</v>
      </c>
      <c r="T57" s="46" t="str">
        <f aca="false">IF(OR($I57&lt;&gt;"Yes, I'm available for in-person interviews at Chennai",$E57&lt;&gt;"Yes",$P57&lt;&gt;"Yes"),"No",IF(($Q57-$S57)&gt;0,"Yes","No"))</f>
        <v>No</v>
      </c>
      <c r="U57" s="46" t="str">
        <f aca="false">IF($M57="","No",IF(COUNTIFS(MasterPanel!$B:$B,$H57,MasterPanel!$I:$I,$M57,MasterPanel!$K:$K,"Y")&gt;0,"Yes","No"))</f>
        <v>No</v>
      </c>
      <c r="V57" s="46" t="n">
        <f aca="false">IF($M57="",0,IF(COUNTIF('Gap Sheet'!$A$6:$A$11,TRIM($L57))=0,0,IF($O57="R1",INDEX('Gap Sheet'!$C$6:$C$11,MATCH(TRIM($L57),'Gap Sheet'!$A$6:$A$11,0)),INDEX('Gap Sheet'!$G$6:$G$11,MATCH(TRIM($L57),'Gap Sheet'!$A$6:$A$11,0)))))</f>
        <v>0</v>
      </c>
      <c r="W57" s="46" t="str">
        <f aca="false">IF($M57="","",$M57&amp;"|"&amp;$O57)</f>
        <v/>
      </c>
      <c r="X57" s="46" t="n">
        <f aca="false">IF($W57="",0,COUNTIF($AA$4:$AA56,$W57))</f>
        <v>0</v>
      </c>
      <c r="Y57" s="46" t="str">
        <f aca="false">IF(OR($I57&lt;&gt;"Yes, I'm available for in-person interviews at Chennai",$E57&lt;&gt;"Yes",$T57="Yes",$U57&lt;&gt;"Yes"),"No",IF(($V57-$X57)&gt;0,"Yes","No"))</f>
        <v>No</v>
      </c>
      <c r="Z57" s="46" t="str">
        <f aca="false">IF($T57="Yes","Primary",IF($Y57="Yes","Secondary",""))</f>
        <v/>
      </c>
      <c r="AA57" s="46" t="str">
        <f aca="false">IF($Z57="Primary",$R57,IF($Z57="Secondary",$W57,""))</f>
        <v/>
      </c>
      <c r="AB57" s="46" t="str">
        <f aca="false">IF($Z57="Primary","Matched on primary skill",IF($Z57="Secondary","Matched on secondary skill (primary not approved or not required)",""))</f>
        <v/>
      </c>
      <c r="AC57" s="47" t="str">
        <f aca="false">IF($D57="Panel Details",$F57,"")</f>
        <v/>
      </c>
      <c r="AD57" s="46" t="str">
        <f aca="false">IF($D57="Panel Details",'Survey Response'!$D55,"")</f>
        <v/>
      </c>
      <c r="AE57" s="46" t="str">
        <f aca="false">IF($D57="Panel Details",'Survey Response'!$E55,"")</f>
        <v/>
      </c>
      <c r="AF57" s="46" t="str">
        <f aca="false">IF($D57="Panel Details",'Survey Response'!$G55,"")</f>
        <v/>
      </c>
      <c r="AG57" s="46" t="str">
        <f aca="false">IF($D57="Panel Details",IF($Z57="Primary",$J57,$L57),"")</f>
        <v/>
      </c>
      <c r="AH57" s="46" t="str">
        <f aca="false">IF($D57="Panel Details",IF($Z57="Primary",$L57,$J57),"")</f>
        <v/>
      </c>
      <c r="AI57" s="46" t="str">
        <f aca="false">IF($D57="Panel Details",'Survey Response'!$H55,"")</f>
        <v/>
      </c>
      <c r="AJ57" s="46" t="str">
        <f aca="false">IF($D57="Panel Details",'Survey Response'!$M55,"")</f>
        <v/>
      </c>
      <c r="AK57" s="46" t="str">
        <f aca="false">IF($D57="Panel Details",$O57,"")</f>
        <v/>
      </c>
      <c r="AL57" s="46" t="str">
        <f aca="false">IF($D57="Panel Details",8,"")</f>
        <v/>
      </c>
      <c r="AM57" s="46" t="str">
        <f aca="false">IF($D57="Panel Details",$AB57,"")</f>
        <v/>
      </c>
      <c r="AN57" s="46" t="str">
        <f aca="false">IF($D57="Panel Details","Yes","")</f>
        <v/>
      </c>
      <c r="AO57" s="46"/>
      <c r="AP57" s="46" t="str">
        <f aca="false">IF($D57="Followup",'Survey Response'!$D55,"")</f>
        <v/>
      </c>
      <c r="AQ57" s="46" t="str">
        <f aca="false">IF($D57="Followup",'Survey Response'!$E55,"")</f>
        <v/>
      </c>
      <c r="AR57" s="46" t="str">
        <f aca="false">IF($D57="Followup",'Survey Response'!$G55,"")</f>
        <v/>
      </c>
      <c r="AS57" s="46" t="str">
        <f aca="false">IF($D57="Followup",'Survey Response'!$H55,"")</f>
        <v/>
      </c>
      <c r="AT57" s="46" t="str">
        <f aca="false">IF($D57="Followup",'Survey Response'!$M55,"")</f>
        <v/>
      </c>
      <c r="AU57" s="46" t="str">
        <f aca="false">IF($D57="Followup",'Survey Response'!$K55,"")</f>
        <v/>
      </c>
      <c r="AV57" s="46" t="str">
        <f aca="false">IF($D57="Followup",'Survey Response'!$L55,"")</f>
        <v/>
      </c>
      <c r="AW57" s="46" t="str">
        <f aca="false">IF($D57="Followup",IF(AND($P57&lt;&gt;"Yes",$U57&lt;&gt;"Yes"),"Not approved for primary or secondary skill","Approved, but skill(s) no longer have capacity (fully staffed)"),"")</f>
        <v/>
      </c>
    </row>
    <row r="58" customFormat="false" ht="15" hidden="false" customHeight="true" outlineLevel="0" collapsed="false">
      <c r="A58" s="46" t="str">
        <f aca="false">IF('Survey Response'!$D56="","",'Survey Response'!$A56&amp;"|"&amp;LOWER(TRIM('Survey Response'!$D56)))</f>
        <v/>
      </c>
      <c r="B58" s="46" t="str">
        <f aca="false">IF($H58="","",$F58&amp;"|"&amp;$H58)</f>
        <v/>
      </c>
      <c r="C58" s="46" t="str">
        <f aca="false">IF($H58="","",$A58=$B58)</f>
        <v/>
      </c>
      <c r="D58" s="46" t="str">
        <f aca="false">IF($H58="","",IF($E58&lt;&gt;"Yes","Superseded",IF($I58&lt;&gt;"Yes, I'm available for in-person interviews at Chennai","Not Available",IF($Z58&lt;&gt;"","Panel Details","Followup"))))</f>
        <v/>
      </c>
      <c r="E58" s="46" t="str">
        <f aca="false">IF($H58="","",IF(SUMPRODUCT(($H$4:$H$503=$H58)*(($G$4:$G$503&gt;$G58)+($G$4:$G$503=$G58)*($F$4:$F$503&gt;$F58)))=0,"Yes","No"))</f>
        <v/>
      </c>
      <c r="F58" s="47" t="str">
        <f aca="false">IF('Survey Response'!$D56="","",INT('Survey Response'!$A56))</f>
        <v/>
      </c>
      <c r="G58" s="48" t="str">
        <f aca="false">IF('Survey Response'!$D56="","",'Survey Response'!$C56)</f>
        <v/>
      </c>
      <c r="H58" s="46" t="str">
        <f aca="false">IF('Survey Response'!$D56="","",LOWER(TRIM('Survey Response'!$D56)))</f>
        <v/>
      </c>
      <c r="I58" s="46" t="str">
        <f aca="false">IF($H58="","",'Survey Response'!$I56)</f>
        <v/>
      </c>
      <c r="J58" s="46" t="str">
        <f aca="false">IF($H58="","",'Survey Response'!$K56)</f>
        <v/>
      </c>
      <c r="K58" s="46" t="str">
        <f aca="false">IF($J58="","",IF(COUNTIF('Skill Mapping'!$A$2:$A$7,TRIM($J58))=0,"",INDEX('Skill Mapping'!$B$2:$B$7,MATCH(TRIM($J58),'Skill Mapping'!$A$2:$A$7,0))))</f>
        <v/>
      </c>
      <c r="L58" s="46" t="str">
        <f aca="false">IF($H58="","",'Survey Response'!$L56)</f>
        <v/>
      </c>
      <c r="M58" s="46" t="str">
        <f aca="false">IF($L58="","",IF(COUNTIF('Skill Mapping'!$A$2:$A$7,TRIM($L58))=0,"",INDEX('Skill Mapping'!$B$2:$B$7,MATCH(TRIM($L58),'Skill Mapping'!$A$2:$A$7,0))))</f>
        <v/>
      </c>
      <c r="N58" s="46" t="str">
        <f aca="false">IF($H58="","",'Survey Response'!$M56)</f>
        <v/>
      </c>
      <c r="O58" s="46" t="str">
        <f aca="false">IF($H58="","",IF('Survey Response'!$M56="Manager","R2","R1"))</f>
        <v/>
      </c>
      <c r="P58" s="46" t="str">
        <f aca="false">IF($K58="","No",IF(COUNTIFS(MasterPanel!$B:$B,$H58,MasterPanel!$I:$I,$K58,MasterPanel!$K:$K,"Y")&gt;0,"Yes","No"))</f>
        <v>No</v>
      </c>
      <c r="Q58" s="46" t="n">
        <f aca="false">IF($K58="",0,IF(COUNTIF('Gap Sheet'!$A$6:$A$11,TRIM($J58))=0,0,IF($O58="R1",INDEX('Gap Sheet'!$C$6:$C$11,MATCH(TRIM($J58),'Gap Sheet'!$A$6:$A$11,0)),INDEX('Gap Sheet'!$G$6:$G$11,MATCH(TRIM($J58),'Gap Sheet'!$A$6:$A$11,0)))))</f>
        <v>0</v>
      </c>
      <c r="R58" s="46" t="str">
        <f aca="false">IF($K58="","",$K58&amp;"|"&amp;$O58)</f>
        <v/>
      </c>
      <c r="S58" s="46" t="n">
        <f aca="false">IF($R58="",0,COUNTIF($AA$4:$AA57,$R58))</f>
        <v>0</v>
      </c>
      <c r="T58" s="46" t="str">
        <f aca="false">IF(OR($I58&lt;&gt;"Yes, I'm available for in-person interviews at Chennai",$E58&lt;&gt;"Yes",$P58&lt;&gt;"Yes"),"No",IF(($Q58-$S58)&gt;0,"Yes","No"))</f>
        <v>No</v>
      </c>
      <c r="U58" s="46" t="str">
        <f aca="false">IF($M58="","No",IF(COUNTIFS(MasterPanel!$B:$B,$H58,MasterPanel!$I:$I,$M58,MasterPanel!$K:$K,"Y")&gt;0,"Yes","No"))</f>
        <v>No</v>
      </c>
      <c r="V58" s="46" t="n">
        <f aca="false">IF($M58="",0,IF(COUNTIF('Gap Sheet'!$A$6:$A$11,TRIM($L58))=0,0,IF($O58="R1",INDEX('Gap Sheet'!$C$6:$C$11,MATCH(TRIM($L58),'Gap Sheet'!$A$6:$A$11,0)),INDEX('Gap Sheet'!$G$6:$G$11,MATCH(TRIM($L58),'Gap Sheet'!$A$6:$A$11,0)))))</f>
        <v>0</v>
      </c>
      <c r="W58" s="46" t="str">
        <f aca="false">IF($M58="","",$M58&amp;"|"&amp;$O58)</f>
        <v/>
      </c>
      <c r="X58" s="46" t="n">
        <f aca="false">IF($W58="",0,COUNTIF($AA$4:$AA57,$W58))</f>
        <v>0</v>
      </c>
      <c r="Y58" s="46" t="str">
        <f aca="false">IF(OR($I58&lt;&gt;"Yes, I'm available for in-person interviews at Chennai",$E58&lt;&gt;"Yes",$T58="Yes",$U58&lt;&gt;"Yes"),"No",IF(($V58-$X58)&gt;0,"Yes","No"))</f>
        <v>No</v>
      </c>
      <c r="Z58" s="46" t="str">
        <f aca="false">IF($T58="Yes","Primary",IF($Y58="Yes","Secondary",""))</f>
        <v/>
      </c>
      <c r="AA58" s="46" t="str">
        <f aca="false">IF($Z58="Primary",$R58,IF($Z58="Secondary",$W58,""))</f>
        <v/>
      </c>
      <c r="AB58" s="46" t="str">
        <f aca="false">IF($Z58="Primary","Matched on primary skill",IF($Z58="Secondary","Matched on secondary skill (primary not approved or not required)",""))</f>
        <v/>
      </c>
      <c r="AC58" s="47" t="str">
        <f aca="false">IF($D58="Panel Details",$F58,"")</f>
        <v/>
      </c>
      <c r="AD58" s="46" t="str">
        <f aca="false">IF($D58="Panel Details",'Survey Response'!$D56,"")</f>
        <v/>
      </c>
      <c r="AE58" s="46" t="str">
        <f aca="false">IF($D58="Panel Details",'Survey Response'!$E56,"")</f>
        <v/>
      </c>
      <c r="AF58" s="46" t="str">
        <f aca="false">IF($D58="Panel Details",'Survey Response'!$G56,"")</f>
        <v/>
      </c>
      <c r="AG58" s="46" t="str">
        <f aca="false">IF($D58="Panel Details",IF($Z58="Primary",$J58,$L58),"")</f>
        <v/>
      </c>
      <c r="AH58" s="46" t="str">
        <f aca="false">IF($D58="Panel Details",IF($Z58="Primary",$L58,$J58),"")</f>
        <v/>
      </c>
      <c r="AI58" s="46" t="str">
        <f aca="false">IF($D58="Panel Details",'Survey Response'!$H56,"")</f>
        <v/>
      </c>
      <c r="AJ58" s="46" t="str">
        <f aca="false">IF($D58="Panel Details",'Survey Response'!$M56,"")</f>
        <v/>
      </c>
      <c r="AK58" s="46" t="str">
        <f aca="false">IF($D58="Panel Details",$O58,"")</f>
        <v/>
      </c>
      <c r="AL58" s="46" t="str">
        <f aca="false">IF($D58="Panel Details",8,"")</f>
        <v/>
      </c>
      <c r="AM58" s="46" t="str">
        <f aca="false">IF($D58="Panel Details",$AB58,"")</f>
        <v/>
      </c>
      <c r="AN58" s="46" t="str">
        <f aca="false">IF($D58="Panel Details","Yes","")</f>
        <v/>
      </c>
      <c r="AO58" s="46"/>
      <c r="AP58" s="46" t="str">
        <f aca="false">IF($D58="Followup",'Survey Response'!$D56,"")</f>
        <v/>
      </c>
      <c r="AQ58" s="46" t="str">
        <f aca="false">IF($D58="Followup",'Survey Response'!$E56,"")</f>
        <v/>
      </c>
      <c r="AR58" s="46" t="str">
        <f aca="false">IF($D58="Followup",'Survey Response'!$G56,"")</f>
        <v/>
      </c>
      <c r="AS58" s="46" t="str">
        <f aca="false">IF($D58="Followup",'Survey Response'!$H56,"")</f>
        <v/>
      </c>
      <c r="AT58" s="46" t="str">
        <f aca="false">IF($D58="Followup",'Survey Response'!$M56,"")</f>
        <v/>
      </c>
      <c r="AU58" s="46" t="str">
        <f aca="false">IF($D58="Followup",'Survey Response'!$K56,"")</f>
        <v/>
      </c>
      <c r="AV58" s="46" t="str">
        <f aca="false">IF($D58="Followup",'Survey Response'!$L56,"")</f>
        <v/>
      </c>
      <c r="AW58" s="46" t="str">
        <f aca="false">IF($D58="Followup",IF(AND($P58&lt;&gt;"Yes",$U58&lt;&gt;"Yes"),"Not approved for primary or secondary skill","Approved, but skill(s) no longer have capacity (fully staffed)"),"")</f>
        <v/>
      </c>
    </row>
    <row r="59" customFormat="false" ht="15" hidden="false" customHeight="true" outlineLevel="0" collapsed="false">
      <c r="A59" s="46" t="str">
        <f aca="false">IF('Survey Response'!$D57="","",'Survey Response'!$A57&amp;"|"&amp;LOWER(TRIM('Survey Response'!$D57)))</f>
        <v/>
      </c>
      <c r="B59" s="46" t="str">
        <f aca="false">IF($H59="","",$F59&amp;"|"&amp;$H59)</f>
        <v/>
      </c>
      <c r="C59" s="46" t="str">
        <f aca="false">IF($H59="","",$A59=$B59)</f>
        <v/>
      </c>
      <c r="D59" s="46" t="str">
        <f aca="false">IF($H59="","",IF($E59&lt;&gt;"Yes","Superseded",IF($I59&lt;&gt;"Yes, I'm available for in-person interviews at Chennai","Not Available",IF($Z59&lt;&gt;"","Panel Details","Followup"))))</f>
        <v/>
      </c>
      <c r="E59" s="46" t="str">
        <f aca="false">IF($H59="","",IF(SUMPRODUCT(($H$4:$H$503=$H59)*(($G$4:$G$503&gt;$G59)+($G$4:$G$503=$G59)*($F$4:$F$503&gt;$F59)))=0,"Yes","No"))</f>
        <v/>
      </c>
      <c r="F59" s="47" t="str">
        <f aca="false">IF('Survey Response'!$D57="","",INT('Survey Response'!$A57))</f>
        <v/>
      </c>
      <c r="G59" s="46" t="str">
        <f aca="false">IF('Survey Response'!$D57="","",'Survey Response'!$C57)</f>
        <v/>
      </c>
      <c r="H59" s="46" t="str">
        <f aca="false">IF('Survey Response'!$D57="","",LOWER(TRIM('Survey Response'!$D57)))</f>
        <v/>
      </c>
      <c r="I59" s="46" t="str">
        <f aca="false">IF($H59="","",'Survey Response'!$I57)</f>
        <v/>
      </c>
      <c r="J59" s="46" t="str">
        <f aca="false">IF($H59="","",'Survey Response'!$K57)</f>
        <v/>
      </c>
      <c r="K59" s="46" t="str">
        <f aca="false">IF($J59="","",IF(COUNTIF('Skill Mapping'!$A$2:$A$7,TRIM($J59))=0,"",INDEX('Skill Mapping'!$B$2:$B$7,MATCH(TRIM($J59),'Skill Mapping'!$A$2:$A$7,0))))</f>
        <v/>
      </c>
      <c r="L59" s="46" t="str">
        <f aca="false">IF($H59="","",'Survey Response'!$L57)</f>
        <v/>
      </c>
      <c r="M59" s="46" t="str">
        <f aca="false">IF($L59="","",IF(COUNTIF('Skill Mapping'!$A$2:$A$7,TRIM($L59))=0,"",INDEX('Skill Mapping'!$B$2:$B$7,MATCH(TRIM($L59),'Skill Mapping'!$A$2:$A$7,0))))</f>
        <v/>
      </c>
      <c r="N59" s="46" t="str">
        <f aca="false">IF($H59="","",'Survey Response'!$M57)</f>
        <v/>
      </c>
      <c r="O59" s="46" t="str">
        <f aca="false">IF($H59="","",IF('Survey Response'!$M57="Manager","R2","R1"))</f>
        <v/>
      </c>
      <c r="P59" s="46" t="str">
        <f aca="false">IF($K59="","No",IF(COUNTIFS(MasterPanel!$B:$B,$H59,MasterPanel!$I:$I,$K59,MasterPanel!$K:$K,"Y")&gt;0,"Yes","No"))</f>
        <v>No</v>
      </c>
      <c r="Q59" s="46" t="n">
        <f aca="false">IF($K59="",0,IF(COUNTIF('Gap Sheet'!$A$6:$A$11,TRIM($J59))=0,0,IF($O59="R1",INDEX('Gap Sheet'!$C$6:$C$11,MATCH(TRIM($J59),'Gap Sheet'!$A$6:$A$11,0)),INDEX('Gap Sheet'!$G$6:$G$11,MATCH(TRIM($J59),'Gap Sheet'!$A$6:$A$11,0)))))</f>
        <v>0</v>
      </c>
      <c r="R59" s="46" t="str">
        <f aca="false">IF($K59="","",$K59&amp;"|"&amp;$O59)</f>
        <v/>
      </c>
      <c r="S59" s="46" t="n">
        <f aca="false">IF($R59="",0,COUNTIF($AA$4:$AA58,$R59))</f>
        <v>0</v>
      </c>
      <c r="T59" s="46" t="str">
        <f aca="false">IF(OR($I59&lt;&gt;"Yes, I'm available for in-person interviews at Chennai",$E59&lt;&gt;"Yes",$P59&lt;&gt;"Yes"),"No",IF(($Q59-$S59)&gt;0,"Yes","No"))</f>
        <v>No</v>
      </c>
      <c r="U59" s="46" t="str">
        <f aca="false">IF($M59="","No",IF(COUNTIFS(MasterPanel!$B:$B,$H59,MasterPanel!$I:$I,$M59,MasterPanel!$K:$K,"Y")&gt;0,"Yes","No"))</f>
        <v>No</v>
      </c>
      <c r="V59" s="46" t="n">
        <f aca="false">IF($M59="",0,IF(COUNTIF('Gap Sheet'!$A$6:$A$11,TRIM($L59))=0,0,IF($O59="R1",INDEX('Gap Sheet'!$C$6:$C$11,MATCH(TRIM($L59),'Gap Sheet'!$A$6:$A$11,0)),INDEX('Gap Sheet'!$G$6:$G$11,MATCH(TRIM($L59),'Gap Sheet'!$A$6:$A$11,0)))))</f>
        <v>0</v>
      </c>
      <c r="W59" s="46" t="str">
        <f aca="false">IF($M59="","",$M59&amp;"|"&amp;$O59)</f>
        <v/>
      </c>
      <c r="X59" s="46" t="n">
        <f aca="false">IF($W59="",0,COUNTIF($AA$4:$AA58,$W59))</f>
        <v>0</v>
      </c>
      <c r="Y59" s="46" t="str">
        <f aca="false">IF(OR($I59&lt;&gt;"Yes, I'm available for in-person interviews at Chennai",$E59&lt;&gt;"Yes",$T59="Yes",$U59&lt;&gt;"Yes"),"No",IF(($V59-$X59)&gt;0,"Yes","No"))</f>
        <v>No</v>
      </c>
      <c r="Z59" s="46" t="str">
        <f aca="false">IF($T59="Yes","Primary",IF($Y59="Yes","Secondary",""))</f>
        <v/>
      </c>
      <c r="AA59" s="46" t="str">
        <f aca="false">IF($Z59="Primary",$R59,IF($Z59="Secondary",$W59,""))</f>
        <v/>
      </c>
      <c r="AB59" s="46" t="str">
        <f aca="false">IF($Z59="Primary","Matched on primary skill",IF($Z59="Secondary","Matched on secondary skill (primary not approved or not required)",""))</f>
        <v/>
      </c>
      <c r="AC59" s="47" t="str">
        <f aca="false">IF($D59="Panel Details",$F59,"")</f>
        <v/>
      </c>
      <c r="AD59" s="46" t="str">
        <f aca="false">IF($D59="Panel Details",'Survey Response'!$D57,"")</f>
        <v/>
      </c>
      <c r="AE59" s="46" t="str">
        <f aca="false">IF($D59="Panel Details",'Survey Response'!$E57,"")</f>
        <v/>
      </c>
      <c r="AF59" s="46" t="str">
        <f aca="false">IF($D59="Panel Details",'Survey Response'!$G57,"")</f>
        <v/>
      </c>
      <c r="AG59" s="46" t="str">
        <f aca="false">IF($D59="Panel Details",IF($Z59="Primary",$J59,$L59),"")</f>
        <v/>
      </c>
      <c r="AH59" s="46" t="str">
        <f aca="false">IF($D59="Panel Details",IF($Z59="Primary",$L59,$J59),"")</f>
        <v/>
      </c>
      <c r="AI59" s="46" t="str">
        <f aca="false">IF($D59="Panel Details",'Survey Response'!$H57,"")</f>
        <v/>
      </c>
      <c r="AJ59" s="46" t="str">
        <f aca="false">IF($D59="Panel Details",'Survey Response'!$M57,"")</f>
        <v/>
      </c>
      <c r="AK59" s="46" t="str">
        <f aca="false">IF($D59="Panel Details",$O59,"")</f>
        <v/>
      </c>
      <c r="AL59" s="46" t="str">
        <f aca="false">IF($D59="Panel Details",8,"")</f>
        <v/>
      </c>
      <c r="AM59" s="46" t="str">
        <f aca="false">IF($D59="Panel Details",$AB59,"")</f>
        <v/>
      </c>
      <c r="AN59" s="46" t="str">
        <f aca="false">IF($D59="Panel Details","Yes","")</f>
        <v/>
      </c>
      <c r="AO59" s="46"/>
      <c r="AP59" s="46" t="str">
        <f aca="false">IF($D59="Followup",'Survey Response'!$D57,"")</f>
        <v/>
      </c>
      <c r="AQ59" s="46" t="str">
        <f aca="false">IF($D59="Followup",'Survey Response'!$E57,"")</f>
        <v/>
      </c>
      <c r="AR59" s="46" t="str">
        <f aca="false">IF($D59="Followup",'Survey Response'!$G57,"")</f>
        <v/>
      </c>
      <c r="AS59" s="46" t="str">
        <f aca="false">IF($D59="Followup",'Survey Response'!$H57,"")</f>
        <v/>
      </c>
      <c r="AT59" s="46" t="str">
        <f aca="false">IF($D59="Followup",'Survey Response'!$M57,"")</f>
        <v/>
      </c>
      <c r="AU59" s="46" t="str">
        <f aca="false">IF($D59="Followup",'Survey Response'!$K57,"")</f>
        <v/>
      </c>
      <c r="AV59" s="46" t="str">
        <f aca="false">IF($D59="Followup",'Survey Response'!$L57,"")</f>
        <v/>
      </c>
      <c r="AW59" s="46" t="str">
        <f aca="false">IF($D59="Followup",IF(AND($P59&lt;&gt;"Yes",$U59&lt;&gt;"Yes"),"Not approved for primary or secondary skill","Approved, but skill(s) no longer have capacity (fully staffed)"),"")</f>
        <v/>
      </c>
    </row>
    <row r="60" customFormat="false" ht="15" hidden="false" customHeight="true" outlineLevel="0" collapsed="false">
      <c r="A60" s="46" t="str">
        <f aca="false">IF('Survey Response'!$D58="","",'Survey Response'!$A58&amp;"|"&amp;LOWER(TRIM('Survey Response'!$D58)))</f>
        <v/>
      </c>
      <c r="B60" s="46" t="str">
        <f aca="false">IF($H60="","",$F60&amp;"|"&amp;$H60)</f>
        <v/>
      </c>
      <c r="C60" s="46" t="str">
        <f aca="false">IF($H60="","",$A60=$B60)</f>
        <v/>
      </c>
      <c r="D60" s="46" t="str">
        <f aca="false">IF($H60="","",IF($E60&lt;&gt;"Yes","Superseded",IF($I60&lt;&gt;"Yes, I'm available for in-person interviews at Chennai","Not Available",IF($Z60&lt;&gt;"","Panel Details","Followup"))))</f>
        <v/>
      </c>
      <c r="E60" s="46" t="str">
        <f aca="false">IF($H60="","",IF(SUMPRODUCT(($H$4:$H$503=$H60)*(($G$4:$G$503&gt;$G60)+($G$4:$G$503=$G60)*($F$4:$F$503&gt;$F60)))=0,"Yes","No"))</f>
        <v/>
      </c>
      <c r="F60" s="47" t="str">
        <f aca="false">IF('Survey Response'!$D58="","",INT('Survey Response'!$A58))</f>
        <v/>
      </c>
      <c r="G60" s="46" t="str">
        <f aca="false">IF('Survey Response'!$D58="","",'Survey Response'!$C58)</f>
        <v/>
      </c>
      <c r="H60" s="46" t="str">
        <f aca="false">IF('Survey Response'!$D58="","",LOWER(TRIM('Survey Response'!$D58)))</f>
        <v/>
      </c>
      <c r="I60" s="46" t="str">
        <f aca="false">IF($H60="","",'Survey Response'!$I58)</f>
        <v/>
      </c>
      <c r="J60" s="46" t="str">
        <f aca="false">IF($H60="","",'Survey Response'!$K58)</f>
        <v/>
      </c>
      <c r="K60" s="46" t="str">
        <f aca="false">IF($J60="","",IF(COUNTIF('Skill Mapping'!$A$2:$A$7,TRIM($J60))=0,"",INDEX('Skill Mapping'!$B$2:$B$7,MATCH(TRIM($J60),'Skill Mapping'!$A$2:$A$7,0))))</f>
        <v/>
      </c>
      <c r="L60" s="46" t="str">
        <f aca="false">IF($H60="","",'Survey Response'!$L58)</f>
        <v/>
      </c>
      <c r="M60" s="46" t="str">
        <f aca="false">IF($L60="","",IF(COUNTIF('Skill Mapping'!$A$2:$A$7,TRIM($L60))=0,"",INDEX('Skill Mapping'!$B$2:$B$7,MATCH(TRIM($L60),'Skill Mapping'!$A$2:$A$7,0))))</f>
        <v/>
      </c>
      <c r="N60" s="46" t="str">
        <f aca="false">IF($H60="","",'Survey Response'!$M58)</f>
        <v/>
      </c>
      <c r="O60" s="46" t="str">
        <f aca="false">IF($H60="","",IF('Survey Response'!$M58="Manager","R2","R1"))</f>
        <v/>
      </c>
      <c r="P60" s="46" t="str">
        <f aca="false">IF($K60="","No",IF(COUNTIFS(MasterPanel!$B:$B,$H60,MasterPanel!$I:$I,$K60,MasterPanel!$K:$K,"Y")&gt;0,"Yes","No"))</f>
        <v>No</v>
      </c>
      <c r="Q60" s="46" t="n">
        <f aca="false">IF($K60="",0,IF(COUNTIF('Gap Sheet'!$A$6:$A$11,TRIM($J60))=0,0,IF($O60="R1",INDEX('Gap Sheet'!$C$6:$C$11,MATCH(TRIM($J60),'Gap Sheet'!$A$6:$A$11,0)),INDEX('Gap Sheet'!$G$6:$G$11,MATCH(TRIM($J60),'Gap Sheet'!$A$6:$A$11,0)))))</f>
        <v>0</v>
      </c>
      <c r="R60" s="46" t="str">
        <f aca="false">IF($K60="","",$K60&amp;"|"&amp;$O60)</f>
        <v/>
      </c>
      <c r="S60" s="46" t="n">
        <f aca="false">IF($R60="",0,COUNTIF($AA$4:$AA59,$R60))</f>
        <v>0</v>
      </c>
      <c r="T60" s="46" t="str">
        <f aca="false">IF(OR($I60&lt;&gt;"Yes, I'm available for in-person interviews at Chennai",$E60&lt;&gt;"Yes",$P60&lt;&gt;"Yes"),"No",IF(($Q60-$S60)&gt;0,"Yes","No"))</f>
        <v>No</v>
      </c>
      <c r="U60" s="46" t="str">
        <f aca="false">IF($M60="","No",IF(COUNTIFS(MasterPanel!$B:$B,$H60,MasterPanel!$I:$I,$M60,MasterPanel!$K:$K,"Y")&gt;0,"Yes","No"))</f>
        <v>No</v>
      </c>
      <c r="V60" s="46" t="n">
        <f aca="false">IF($M60="",0,IF(COUNTIF('Gap Sheet'!$A$6:$A$11,TRIM($L60))=0,0,IF($O60="R1",INDEX('Gap Sheet'!$C$6:$C$11,MATCH(TRIM($L60),'Gap Sheet'!$A$6:$A$11,0)),INDEX('Gap Sheet'!$G$6:$G$11,MATCH(TRIM($L60),'Gap Sheet'!$A$6:$A$11,0)))))</f>
        <v>0</v>
      </c>
      <c r="W60" s="46" t="str">
        <f aca="false">IF($M60="","",$M60&amp;"|"&amp;$O60)</f>
        <v/>
      </c>
      <c r="X60" s="46" t="n">
        <f aca="false">IF($W60="",0,COUNTIF($AA$4:$AA59,$W60))</f>
        <v>0</v>
      </c>
      <c r="Y60" s="46" t="str">
        <f aca="false">IF(OR($I60&lt;&gt;"Yes, I'm available for in-person interviews at Chennai",$E60&lt;&gt;"Yes",$T60="Yes",$U60&lt;&gt;"Yes"),"No",IF(($V60-$X60)&gt;0,"Yes","No"))</f>
        <v>No</v>
      </c>
      <c r="Z60" s="46" t="str">
        <f aca="false">IF($T60="Yes","Primary",IF($Y60="Yes","Secondary",""))</f>
        <v/>
      </c>
      <c r="AA60" s="46" t="str">
        <f aca="false">IF($Z60="Primary",$R60,IF($Z60="Secondary",$W60,""))</f>
        <v/>
      </c>
      <c r="AB60" s="46" t="str">
        <f aca="false">IF($Z60="Primary","Matched on primary skill",IF($Z60="Secondary","Matched on secondary skill (primary not approved or not required)",""))</f>
        <v/>
      </c>
      <c r="AC60" s="47" t="str">
        <f aca="false">IF($D60="Panel Details",$F60,"")</f>
        <v/>
      </c>
      <c r="AD60" s="46" t="str">
        <f aca="false">IF($D60="Panel Details",'Survey Response'!$D58,"")</f>
        <v/>
      </c>
      <c r="AE60" s="46" t="str">
        <f aca="false">IF($D60="Panel Details",'Survey Response'!$E58,"")</f>
        <v/>
      </c>
      <c r="AF60" s="46" t="str">
        <f aca="false">IF($D60="Panel Details",'Survey Response'!$G58,"")</f>
        <v/>
      </c>
      <c r="AG60" s="46" t="str">
        <f aca="false">IF($D60="Panel Details",IF($Z60="Primary",$J60,$L60),"")</f>
        <v/>
      </c>
      <c r="AH60" s="46" t="str">
        <f aca="false">IF($D60="Panel Details",IF($Z60="Primary",$L60,$J60),"")</f>
        <v/>
      </c>
      <c r="AI60" s="46" t="str">
        <f aca="false">IF($D60="Panel Details",'Survey Response'!$H58,"")</f>
        <v/>
      </c>
      <c r="AJ60" s="46" t="str">
        <f aca="false">IF($D60="Panel Details",'Survey Response'!$M58,"")</f>
        <v/>
      </c>
      <c r="AK60" s="46" t="str">
        <f aca="false">IF($D60="Panel Details",$O60,"")</f>
        <v/>
      </c>
      <c r="AL60" s="46" t="str">
        <f aca="false">IF($D60="Panel Details",8,"")</f>
        <v/>
      </c>
      <c r="AM60" s="46" t="str">
        <f aca="false">IF($D60="Panel Details",$AB60,"")</f>
        <v/>
      </c>
      <c r="AN60" s="46" t="str">
        <f aca="false">IF($D60="Panel Details","Yes","")</f>
        <v/>
      </c>
      <c r="AO60" s="46"/>
      <c r="AP60" s="46" t="str">
        <f aca="false">IF($D60="Followup",'Survey Response'!$D58,"")</f>
        <v/>
      </c>
      <c r="AQ60" s="46" t="str">
        <f aca="false">IF($D60="Followup",'Survey Response'!$E58,"")</f>
        <v/>
      </c>
      <c r="AR60" s="46" t="str">
        <f aca="false">IF($D60="Followup",'Survey Response'!$G58,"")</f>
        <v/>
      </c>
      <c r="AS60" s="46" t="str">
        <f aca="false">IF($D60="Followup",'Survey Response'!$H58,"")</f>
        <v/>
      </c>
      <c r="AT60" s="46" t="str">
        <f aca="false">IF($D60="Followup",'Survey Response'!$M58,"")</f>
        <v/>
      </c>
      <c r="AU60" s="46" t="str">
        <f aca="false">IF($D60="Followup",'Survey Response'!$K58,"")</f>
        <v/>
      </c>
      <c r="AV60" s="46" t="str">
        <f aca="false">IF($D60="Followup",'Survey Response'!$L58,"")</f>
        <v/>
      </c>
      <c r="AW60" s="46" t="str">
        <f aca="false">IF($D60="Followup",IF(AND($P60&lt;&gt;"Yes",$U60&lt;&gt;"Yes"),"Not approved for primary or secondary skill","Approved, but skill(s) no longer have capacity (fully staffed)"),"")</f>
        <v/>
      </c>
    </row>
    <row r="61" customFormat="false" ht="15" hidden="false" customHeight="true" outlineLevel="0" collapsed="false">
      <c r="A61" s="46" t="str">
        <f aca="false">IF('Survey Response'!$D59="","",'Survey Response'!$A59&amp;"|"&amp;LOWER(TRIM('Survey Response'!$D59)))</f>
        <v/>
      </c>
      <c r="B61" s="46" t="str">
        <f aca="false">IF($H61="","",$F61&amp;"|"&amp;$H61)</f>
        <v/>
      </c>
      <c r="C61" s="46" t="str">
        <f aca="false">IF($H61="","",$A61=$B61)</f>
        <v/>
      </c>
      <c r="D61" s="46" t="str">
        <f aca="false">IF($H61="","",IF($E61&lt;&gt;"Yes","Superseded",IF($I61&lt;&gt;"Yes, I'm available for in-person interviews at Chennai","Not Available",IF($Z61&lt;&gt;"","Panel Details","Followup"))))</f>
        <v/>
      </c>
      <c r="E61" s="46" t="str">
        <f aca="false">IF($H61="","",IF(SUMPRODUCT(($H$4:$H$503=$H61)*(($G$4:$G$503&gt;$G61)+($G$4:$G$503=$G61)*($F$4:$F$503&gt;$F61)))=0,"Yes","No"))</f>
        <v/>
      </c>
      <c r="F61" s="47" t="str">
        <f aca="false">IF('Survey Response'!$D59="","",INT('Survey Response'!$A59))</f>
        <v/>
      </c>
      <c r="G61" s="46" t="str">
        <f aca="false">IF('Survey Response'!$D59="","",'Survey Response'!$C59)</f>
        <v/>
      </c>
      <c r="H61" s="46" t="str">
        <f aca="false">IF('Survey Response'!$D59="","",LOWER(TRIM('Survey Response'!$D59)))</f>
        <v/>
      </c>
      <c r="I61" s="46" t="str">
        <f aca="false">IF($H61="","",'Survey Response'!$I59)</f>
        <v/>
      </c>
      <c r="J61" s="46" t="str">
        <f aca="false">IF($H61="","",'Survey Response'!$K59)</f>
        <v/>
      </c>
      <c r="K61" s="46" t="str">
        <f aca="false">IF($J61="","",IF(COUNTIF('Skill Mapping'!$A$2:$A$7,TRIM($J61))=0,"",INDEX('Skill Mapping'!$B$2:$B$7,MATCH(TRIM($J61),'Skill Mapping'!$A$2:$A$7,0))))</f>
        <v/>
      </c>
      <c r="L61" s="46" t="str">
        <f aca="false">IF($H61="","",'Survey Response'!$L59)</f>
        <v/>
      </c>
      <c r="M61" s="46" t="str">
        <f aca="false">IF($L61="","",IF(COUNTIF('Skill Mapping'!$A$2:$A$7,TRIM($L61))=0,"",INDEX('Skill Mapping'!$B$2:$B$7,MATCH(TRIM($L61),'Skill Mapping'!$A$2:$A$7,0))))</f>
        <v/>
      </c>
      <c r="N61" s="46" t="str">
        <f aca="false">IF($H61="","",'Survey Response'!$M59)</f>
        <v/>
      </c>
      <c r="O61" s="46" t="str">
        <f aca="false">IF($H61="","",IF('Survey Response'!$M59="Manager","R2","R1"))</f>
        <v/>
      </c>
      <c r="P61" s="46" t="str">
        <f aca="false">IF($K61="","No",IF(COUNTIFS(MasterPanel!$B:$B,$H61,MasterPanel!$I:$I,$K61,MasterPanel!$K:$K,"Y")&gt;0,"Yes","No"))</f>
        <v>No</v>
      </c>
      <c r="Q61" s="46" t="n">
        <f aca="false">IF($K61="",0,IF(COUNTIF('Gap Sheet'!$A$6:$A$11,TRIM($J61))=0,0,IF($O61="R1",INDEX('Gap Sheet'!$C$6:$C$11,MATCH(TRIM($J61),'Gap Sheet'!$A$6:$A$11,0)),INDEX('Gap Sheet'!$G$6:$G$11,MATCH(TRIM($J61),'Gap Sheet'!$A$6:$A$11,0)))))</f>
        <v>0</v>
      </c>
      <c r="R61" s="46" t="str">
        <f aca="false">IF($K61="","",$K61&amp;"|"&amp;$O61)</f>
        <v/>
      </c>
      <c r="S61" s="46" t="n">
        <f aca="false">IF($R61="",0,COUNTIF($AA$4:$AA60,$R61))</f>
        <v>0</v>
      </c>
      <c r="T61" s="46" t="str">
        <f aca="false">IF(OR($I61&lt;&gt;"Yes, I'm available for in-person interviews at Chennai",$E61&lt;&gt;"Yes",$P61&lt;&gt;"Yes"),"No",IF(($Q61-$S61)&gt;0,"Yes","No"))</f>
        <v>No</v>
      </c>
      <c r="U61" s="46" t="str">
        <f aca="false">IF($M61="","No",IF(COUNTIFS(MasterPanel!$B:$B,$H61,MasterPanel!$I:$I,$M61,MasterPanel!$K:$K,"Y")&gt;0,"Yes","No"))</f>
        <v>No</v>
      </c>
      <c r="V61" s="46" t="n">
        <f aca="false">IF($M61="",0,IF(COUNTIF('Gap Sheet'!$A$6:$A$11,TRIM($L61))=0,0,IF($O61="R1",INDEX('Gap Sheet'!$C$6:$C$11,MATCH(TRIM($L61),'Gap Sheet'!$A$6:$A$11,0)),INDEX('Gap Sheet'!$G$6:$G$11,MATCH(TRIM($L61),'Gap Sheet'!$A$6:$A$11,0)))))</f>
        <v>0</v>
      </c>
      <c r="W61" s="46" t="str">
        <f aca="false">IF($M61="","",$M61&amp;"|"&amp;$O61)</f>
        <v/>
      </c>
      <c r="X61" s="46" t="n">
        <f aca="false">IF($W61="",0,COUNTIF($AA$4:$AA60,$W61))</f>
        <v>0</v>
      </c>
      <c r="Y61" s="46" t="str">
        <f aca="false">IF(OR($I61&lt;&gt;"Yes, I'm available for in-person interviews at Chennai",$E61&lt;&gt;"Yes",$T61="Yes",$U61&lt;&gt;"Yes"),"No",IF(($V61-$X61)&gt;0,"Yes","No"))</f>
        <v>No</v>
      </c>
      <c r="Z61" s="46" t="str">
        <f aca="false">IF($T61="Yes","Primary",IF($Y61="Yes","Secondary",""))</f>
        <v/>
      </c>
      <c r="AA61" s="46" t="str">
        <f aca="false">IF($Z61="Primary",$R61,IF($Z61="Secondary",$W61,""))</f>
        <v/>
      </c>
      <c r="AB61" s="46" t="str">
        <f aca="false">IF($Z61="Primary","Matched on primary skill",IF($Z61="Secondary","Matched on secondary skill (primary not approved or not required)",""))</f>
        <v/>
      </c>
      <c r="AC61" s="47" t="str">
        <f aca="false">IF($D61="Panel Details",$F61,"")</f>
        <v/>
      </c>
      <c r="AD61" s="46" t="str">
        <f aca="false">IF($D61="Panel Details",'Survey Response'!$D59,"")</f>
        <v/>
      </c>
      <c r="AE61" s="46" t="str">
        <f aca="false">IF($D61="Panel Details",'Survey Response'!$E59,"")</f>
        <v/>
      </c>
      <c r="AF61" s="46" t="str">
        <f aca="false">IF($D61="Panel Details",'Survey Response'!$G59,"")</f>
        <v/>
      </c>
      <c r="AG61" s="46" t="str">
        <f aca="false">IF($D61="Panel Details",IF($Z61="Primary",$J61,$L61),"")</f>
        <v/>
      </c>
      <c r="AH61" s="46" t="str">
        <f aca="false">IF($D61="Panel Details",IF($Z61="Primary",$L61,$J61),"")</f>
        <v/>
      </c>
      <c r="AI61" s="46" t="str">
        <f aca="false">IF($D61="Panel Details",'Survey Response'!$H59,"")</f>
        <v/>
      </c>
      <c r="AJ61" s="46" t="str">
        <f aca="false">IF($D61="Panel Details",'Survey Response'!$M59,"")</f>
        <v/>
      </c>
      <c r="AK61" s="46" t="str">
        <f aca="false">IF($D61="Panel Details",$O61,"")</f>
        <v/>
      </c>
      <c r="AL61" s="46" t="str">
        <f aca="false">IF($D61="Panel Details",8,"")</f>
        <v/>
      </c>
      <c r="AM61" s="46" t="str">
        <f aca="false">IF($D61="Panel Details",$AB61,"")</f>
        <v/>
      </c>
      <c r="AN61" s="46" t="str">
        <f aca="false">IF($D61="Panel Details","Yes","")</f>
        <v/>
      </c>
      <c r="AO61" s="46"/>
      <c r="AP61" s="46" t="str">
        <f aca="false">IF($D61="Followup",'Survey Response'!$D59,"")</f>
        <v/>
      </c>
      <c r="AQ61" s="46" t="str">
        <f aca="false">IF($D61="Followup",'Survey Response'!$E59,"")</f>
        <v/>
      </c>
      <c r="AR61" s="46" t="str">
        <f aca="false">IF($D61="Followup",'Survey Response'!$G59,"")</f>
        <v/>
      </c>
      <c r="AS61" s="46" t="str">
        <f aca="false">IF($D61="Followup",'Survey Response'!$H59,"")</f>
        <v/>
      </c>
      <c r="AT61" s="46" t="str">
        <f aca="false">IF($D61="Followup",'Survey Response'!$M59,"")</f>
        <v/>
      </c>
      <c r="AU61" s="46" t="str">
        <f aca="false">IF($D61="Followup",'Survey Response'!$K59,"")</f>
        <v/>
      </c>
      <c r="AV61" s="46" t="str">
        <f aca="false">IF($D61="Followup",'Survey Response'!$L59,"")</f>
        <v/>
      </c>
      <c r="AW61" s="46" t="str">
        <f aca="false">IF($D61="Followup",IF(AND($P61&lt;&gt;"Yes",$U61&lt;&gt;"Yes"),"Not approved for primary or secondary skill","Approved, but skill(s) no longer have capacity (fully staffed)"),"")</f>
        <v/>
      </c>
    </row>
    <row r="62" customFormat="false" ht="15" hidden="false" customHeight="true" outlineLevel="0" collapsed="false">
      <c r="A62" s="46" t="str">
        <f aca="false">IF('Survey Response'!$D60="","",'Survey Response'!$A60&amp;"|"&amp;LOWER(TRIM('Survey Response'!$D60)))</f>
        <v/>
      </c>
      <c r="B62" s="46" t="str">
        <f aca="false">IF($H62="","",$F62&amp;"|"&amp;$H62)</f>
        <v/>
      </c>
      <c r="C62" s="46" t="str">
        <f aca="false">IF($H62="","",$A62=$B62)</f>
        <v/>
      </c>
      <c r="D62" s="46" t="str">
        <f aca="false">IF($H62="","",IF($E62&lt;&gt;"Yes","Superseded",IF($I62&lt;&gt;"Yes, I'm available for in-person interviews at Chennai","Not Available",IF($Z62&lt;&gt;"","Panel Details","Followup"))))</f>
        <v/>
      </c>
      <c r="E62" s="46" t="str">
        <f aca="false">IF($H62="","",IF(SUMPRODUCT(($H$4:$H$503=$H62)*(($G$4:$G$503&gt;$G62)+($G$4:$G$503=$G62)*($F$4:$F$503&gt;$F62)))=0,"Yes","No"))</f>
        <v/>
      </c>
      <c r="F62" s="47" t="str">
        <f aca="false">IF('Survey Response'!$D60="","",INT('Survey Response'!$A60))</f>
        <v/>
      </c>
      <c r="G62" s="46" t="str">
        <f aca="false">IF('Survey Response'!$D60="","",'Survey Response'!$C60)</f>
        <v/>
      </c>
      <c r="H62" s="46" t="str">
        <f aca="false">IF('Survey Response'!$D60="","",LOWER(TRIM('Survey Response'!$D60)))</f>
        <v/>
      </c>
      <c r="I62" s="46" t="str">
        <f aca="false">IF($H62="","",'Survey Response'!$I60)</f>
        <v/>
      </c>
      <c r="J62" s="46" t="str">
        <f aca="false">IF($H62="","",'Survey Response'!$K60)</f>
        <v/>
      </c>
      <c r="K62" s="46" t="str">
        <f aca="false">IF($J62="","",IF(COUNTIF('Skill Mapping'!$A$2:$A$7,TRIM($J62))=0,"",INDEX('Skill Mapping'!$B$2:$B$7,MATCH(TRIM($J62),'Skill Mapping'!$A$2:$A$7,0))))</f>
        <v/>
      </c>
      <c r="L62" s="46" t="str">
        <f aca="false">IF($H62="","",'Survey Response'!$L60)</f>
        <v/>
      </c>
      <c r="M62" s="46" t="str">
        <f aca="false">IF($L62="","",IF(COUNTIF('Skill Mapping'!$A$2:$A$7,TRIM($L62))=0,"",INDEX('Skill Mapping'!$B$2:$B$7,MATCH(TRIM($L62),'Skill Mapping'!$A$2:$A$7,0))))</f>
        <v/>
      </c>
      <c r="N62" s="46" t="str">
        <f aca="false">IF($H62="","",'Survey Response'!$M60)</f>
        <v/>
      </c>
      <c r="O62" s="46" t="str">
        <f aca="false">IF($H62="","",IF('Survey Response'!$M60="Manager","R2","R1"))</f>
        <v/>
      </c>
      <c r="P62" s="46" t="str">
        <f aca="false">IF($K62="","No",IF(COUNTIFS(MasterPanel!$B:$B,$H62,MasterPanel!$I:$I,$K62,MasterPanel!$K:$K,"Y")&gt;0,"Yes","No"))</f>
        <v>No</v>
      </c>
      <c r="Q62" s="46" t="n">
        <f aca="false">IF($K62="",0,IF(COUNTIF('Gap Sheet'!$A$6:$A$11,TRIM($J62))=0,0,IF($O62="R1",INDEX('Gap Sheet'!$C$6:$C$11,MATCH(TRIM($J62),'Gap Sheet'!$A$6:$A$11,0)),INDEX('Gap Sheet'!$G$6:$G$11,MATCH(TRIM($J62),'Gap Sheet'!$A$6:$A$11,0)))))</f>
        <v>0</v>
      </c>
      <c r="R62" s="46" t="str">
        <f aca="false">IF($K62="","",$K62&amp;"|"&amp;$O62)</f>
        <v/>
      </c>
      <c r="S62" s="46" t="n">
        <f aca="false">IF($R62="",0,COUNTIF($AA$4:$AA61,$R62))</f>
        <v>0</v>
      </c>
      <c r="T62" s="46" t="str">
        <f aca="false">IF(OR($I62&lt;&gt;"Yes, I'm available for in-person interviews at Chennai",$E62&lt;&gt;"Yes",$P62&lt;&gt;"Yes"),"No",IF(($Q62-$S62)&gt;0,"Yes","No"))</f>
        <v>No</v>
      </c>
      <c r="U62" s="46" t="str">
        <f aca="false">IF($M62="","No",IF(COUNTIFS(MasterPanel!$B:$B,$H62,MasterPanel!$I:$I,$M62,MasterPanel!$K:$K,"Y")&gt;0,"Yes","No"))</f>
        <v>No</v>
      </c>
      <c r="V62" s="46" t="n">
        <f aca="false">IF($M62="",0,IF(COUNTIF('Gap Sheet'!$A$6:$A$11,TRIM($L62))=0,0,IF($O62="R1",INDEX('Gap Sheet'!$C$6:$C$11,MATCH(TRIM($L62),'Gap Sheet'!$A$6:$A$11,0)),INDEX('Gap Sheet'!$G$6:$G$11,MATCH(TRIM($L62),'Gap Sheet'!$A$6:$A$11,0)))))</f>
        <v>0</v>
      </c>
      <c r="W62" s="46" t="str">
        <f aca="false">IF($M62="","",$M62&amp;"|"&amp;$O62)</f>
        <v/>
      </c>
      <c r="X62" s="46" t="n">
        <f aca="false">IF($W62="",0,COUNTIF($AA$4:$AA61,$W62))</f>
        <v>0</v>
      </c>
      <c r="Y62" s="46" t="str">
        <f aca="false">IF(OR($I62&lt;&gt;"Yes, I'm available for in-person interviews at Chennai",$E62&lt;&gt;"Yes",$T62="Yes",$U62&lt;&gt;"Yes"),"No",IF(($V62-$X62)&gt;0,"Yes","No"))</f>
        <v>No</v>
      </c>
      <c r="Z62" s="46" t="str">
        <f aca="false">IF($T62="Yes","Primary",IF($Y62="Yes","Secondary",""))</f>
        <v/>
      </c>
      <c r="AA62" s="46" t="str">
        <f aca="false">IF($Z62="Primary",$R62,IF($Z62="Secondary",$W62,""))</f>
        <v/>
      </c>
      <c r="AB62" s="46" t="str">
        <f aca="false">IF($Z62="Primary","Matched on primary skill",IF($Z62="Secondary","Matched on secondary skill (primary not approved or not required)",""))</f>
        <v/>
      </c>
      <c r="AC62" s="47" t="str">
        <f aca="false">IF($D62="Panel Details",$F62,"")</f>
        <v/>
      </c>
      <c r="AD62" s="46" t="str">
        <f aca="false">IF($D62="Panel Details",'Survey Response'!$D60,"")</f>
        <v/>
      </c>
      <c r="AE62" s="46" t="str">
        <f aca="false">IF($D62="Panel Details",'Survey Response'!$E60,"")</f>
        <v/>
      </c>
      <c r="AF62" s="46" t="str">
        <f aca="false">IF($D62="Panel Details",'Survey Response'!$G60,"")</f>
        <v/>
      </c>
      <c r="AG62" s="46" t="str">
        <f aca="false">IF($D62="Panel Details",IF($Z62="Primary",$J62,$L62),"")</f>
        <v/>
      </c>
      <c r="AH62" s="46" t="str">
        <f aca="false">IF($D62="Panel Details",IF($Z62="Primary",$L62,$J62),"")</f>
        <v/>
      </c>
      <c r="AI62" s="46" t="str">
        <f aca="false">IF($D62="Panel Details",'Survey Response'!$H60,"")</f>
        <v/>
      </c>
      <c r="AJ62" s="46" t="str">
        <f aca="false">IF($D62="Panel Details",'Survey Response'!$M60,"")</f>
        <v/>
      </c>
      <c r="AK62" s="46" t="str">
        <f aca="false">IF($D62="Panel Details",$O62,"")</f>
        <v/>
      </c>
      <c r="AL62" s="46" t="str">
        <f aca="false">IF($D62="Panel Details",8,"")</f>
        <v/>
      </c>
      <c r="AM62" s="46" t="str">
        <f aca="false">IF($D62="Panel Details",$AB62,"")</f>
        <v/>
      </c>
      <c r="AN62" s="46" t="str">
        <f aca="false">IF($D62="Panel Details","Yes","")</f>
        <v/>
      </c>
      <c r="AO62" s="46"/>
      <c r="AP62" s="46" t="str">
        <f aca="false">IF($D62="Followup",'Survey Response'!$D60,"")</f>
        <v/>
      </c>
      <c r="AQ62" s="46" t="str">
        <f aca="false">IF($D62="Followup",'Survey Response'!$E60,"")</f>
        <v/>
      </c>
      <c r="AR62" s="46" t="str">
        <f aca="false">IF($D62="Followup",'Survey Response'!$G60,"")</f>
        <v/>
      </c>
      <c r="AS62" s="46" t="str">
        <f aca="false">IF($D62="Followup",'Survey Response'!$H60,"")</f>
        <v/>
      </c>
      <c r="AT62" s="46" t="str">
        <f aca="false">IF($D62="Followup",'Survey Response'!$M60,"")</f>
        <v/>
      </c>
      <c r="AU62" s="46" t="str">
        <f aca="false">IF($D62="Followup",'Survey Response'!$K60,"")</f>
        <v/>
      </c>
      <c r="AV62" s="46" t="str">
        <f aca="false">IF($D62="Followup",'Survey Response'!$L60,"")</f>
        <v/>
      </c>
      <c r="AW62" s="46" t="str">
        <f aca="false">IF($D62="Followup",IF(AND($P62&lt;&gt;"Yes",$U62&lt;&gt;"Yes"),"Not approved for primary or secondary skill","Approved, but skill(s) no longer have capacity (fully staffed)"),"")</f>
        <v/>
      </c>
    </row>
    <row r="63" customFormat="false" ht="15" hidden="false" customHeight="true" outlineLevel="0" collapsed="false">
      <c r="A63" s="46" t="str">
        <f aca="false">IF('Survey Response'!$D61="","",'Survey Response'!$A61&amp;"|"&amp;LOWER(TRIM('Survey Response'!$D61)))</f>
        <v/>
      </c>
      <c r="B63" s="46" t="str">
        <f aca="false">IF($H63="","",$F63&amp;"|"&amp;$H63)</f>
        <v/>
      </c>
      <c r="C63" s="46" t="str">
        <f aca="false">IF($H63="","",$A63=$B63)</f>
        <v/>
      </c>
      <c r="D63" s="46" t="str">
        <f aca="false">IF($H63="","",IF($E63&lt;&gt;"Yes","Superseded",IF($I63&lt;&gt;"Yes, I'm available for in-person interviews at Chennai","Not Available",IF($Z63&lt;&gt;"","Panel Details","Followup"))))</f>
        <v/>
      </c>
      <c r="E63" s="46" t="str">
        <f aca="false">IF($H63="","",IF(SUMPRODUCT(($H$4:$H$503=$H63)*(($G$4:$G$503&gt;$G63)+($G$4:$G$503=$G63)*($F$4:$F$503&gt;$F63)))=0,"Yes","No"))</f>
        <v/>
      </c>
      <c r="F63" s="47" t="str">
        <f aca="false">IF('Survey Response'!$D61="","",INT('Survey Response'!$A61))</f>
        <v/>
      </c>
      <c r="G63" s="46" t="str">
        <f aca="false">IF('Survey Response'!$D61="","",'Survey Response'!$C61)</f>
        <v/>
      </c>
      <c r="H63" s="46" t="str">
        <f aca="false">IF('Survey Response'!$D61="","",LOWER(TRIM('Survey Response'!$D61)))</f>
        <v/>
      </c>
      <c r="I63" s="46" t="str">
        <f aca="false">IF($H63="","",'Survey Response'!$I61)</f>
        <v/>
      </c>
      <c r="J63" s="46" t="str">
        <f aca="false">IF($H63="","",'Survey Response'!$K61)</f>
        <v/>
      </c>
      <c r="K63" s="46" t="str">
        <f aca="false">IF($J63="","",IF(COUNTIF('Skill Mapping'!$A$2:$A$7,TRIM($J63))=0,"",INDEX('Skill Mapping'!$B$2:$B$7,MATCH(TRIM($J63),'Skill Mapping'!$A$2:$A$7,0))))</f>
        <v/>
      </c>
      <c r="L63" s="46" t="str">
        <f aca="false">IF($H63="","",'Survey Response'!$L61)</f>
        <v/>
      </c>
      <c r="M63" s="46" t="str">
        <f aca="false">IF($L63="","",IF(COUNTIF('Skill Mapping'!$A$2:$A$7,TRIM($L63))=0,"",INDEX('Skill Mapping'!$B$2:$B$7,MATCH(TRIM($L63),'Skill Mapping'!$A$2:$A$7,0))))</f>
        <v/>
      </c>
      <c r="N63" s="46" t="str">
        <f aca="false">IF($H63="","",'Survey Response'!$M61)</f>
        <v/>
      </c>
      <c r="O63" s="46" t="str">
        <f aca="false">IF($H63="","",IF('Survey Response'!$M61="Manager","R2","R1"))</f>
        <v/>
      </c>
      <c r="P63" s="46" t="str">
        <f aca="false">IF($K63="","No",IF(COUNTIFS(MasterPanel!$B:$B,$H63,MasterPanel!$I:$I,$K63,MasterPanel!$K:$K,"Y")&gt;0,"Yes","No"))</f>
        <v>No</v>
      </c>
      <c r="Q63" s="46" t="n">
        <f aca="false">IF($K63="",0,IF(COUNTIF('Gap Sheet'!$A$6:$A$11,TRIM($J63))=0,0,IF($O63="R1",INDEX('Gap Sheet'!$C$6:$C$11,MATCH(TRIM($J63),'Gap Sheet'!$A$6:$A$11,0)),INDEX('Gap Sheet'!$G$6:$G$11,MATCH(TRIM($J63),'Gap Sheet'!$A$6:$A$11,0)))))</f>
        <v>0</v>
      </c>
      <c r="R63" s="46" t="str">
        <f aca="false">IF($K63="","",$K63&amp;"|"&amp;$O63)</f>
        <v/>
      </c>
      <c r="S63" s="46" t="n">
        <f aca="false">IF($R63="",0,COUNTIF($AA$4:$AA62,$R63))</f>
        <v>0</v>
      </c>
      <c r="T63" s="46" t="str">
        <f aca="false">IF(OR($I63&lt;&gt;"Yes, I'm available for in-person interviews at Chennai",$E63&lt;&gt;"Yes",$P63&lt;&gt;"Yes"),"No",IF(($Q63-$S63)&gt;0,"Yes","No"))</f>
        <v>No</v>
      </c>
      <c r="U63" s="46" t="str">
        <f aca="false">IF($M63="","No",IF(COUNTIFS(MasterPanel!$B:$B,$H63,MasterPanel!$I:$I,$M63,MasterPanel!$K:$K,"Y")&gt;0,"Yes","No"))</f>
        <v>No</v>
      </c>
      <c r="V63" s="46" t="n">
        <f aca="false">IF($M63="",0,IF(COUNTIF('Gap Sheet'!$A$6:$A$11,TRIM($L63))=0,0,IF($O63="R1",INDEX('Gap Sheet'!$C$6:$C$11,MATCH(TRIM($L63),'Gap Sheet'!$A$6:$A$11,0)),INDEX('Gap Sheet'!$G$6:$G$11,MATCH(TRIM($L63),'Gap Sheet'!$A$6:$A$11,0)))))</f>
        <v>0</v>
      </c>
      <c r="W63" s="46" t="str">
        <f aca="false">IF($M63="","",$M63&amp;"|"&amp;$O63)</f>
        <v/>
      </c>
      <c r="X63" s="46" t="n">
        <f aca="false">IF($W63="",0,COUNTIF($AA$4:$AA62,$W63))</f>
        <v>0</v>
      </c>
      <c r="Y63" s="46" t="str">
        <f aca="false">IF(OR($I63&lt;&gt;"Yes, I'm available for in-person interviews at Chennai",$E63&lt;&gt;"Yes",$T63="Yes",$U63&lt;&gt;"Yes"),"No",IF(($V63-$X63)&gt;0,"Yes","No"))</f>
        <v>No</v>
      </c>
      <c r="Z63" s="46" t="str">
        <f aca="false">IF($T63="Yes","Primary",IF($Y63="Yes","Secondary",""))</f>
        <v/>
      </c>
      <c r="AA63" s="46" t="str">
        <f aca="false">IF($Z63="Primary",$R63,IF($Z63="Secondary",$W63,""))</f>
        <v/>
      </c>
      <c r="AB63" s="46" t="str">
        <f aca="false">IF($Z63="Primary","Matched on primary skill",IF($Z63="Secondary","Matched on secondary skill (primary not approved or not required)",""))</f>
        <v/>
      </c>
      <c r="AC63" s="47" t="str">
        <f aca="false">IF($D63="Panel Details",$F63,"")</f>
        <v/>
      </c>
      <c r="AD63" s="46" t="str">
        <f aca="false">IF($D63="Panel Details",'Survey Response'!$D61,"")</f>
        <v/>
      </c>
      <c r="AE63" s="46" t="str">
        <f aca="false">IF($D63="Panel Details",'Survey Response'!$E61,"")</f>
        <v/>
      </c>
      <c r="AF63" s="46" t="str">
        <f aca="false">IF($D63="Panel Details",'Survey Response'!$G61,"")</f>
        <v/>
      </c>
      <c r="AG63" s="46" t="str">
        <f aca="false">IF($D63="Panel Details",IF($Z63="Primary",$J63,$L63),"")</f>
        <v/>
      </c>
      <c r="AH63" s="46" t="str">
        <f aca="false">IF($D63="Panel Details",IF($Z63="Primary",$L63,$J63),"")</f>
        <v/>
      </c>
      <c r="AI63" s="46" t="str">
        <f aca="false">IF($D63="Panel Details",'Survey Response'!$H61,"")</f>
        <v/>
      </c>
      <c r="AJ63" s="46" t="str">
        <f aca="false">IF($D63="Panel Details",'Survey Response'!$M61,"")</f>
        <v/>
      </c>
      <c r="AK63" s="46" t="str">
        <f aca="false">IF($D63="Panel Details",$O63,"")</f>
        <v/>
      </c>
      <c r="AL63" s="46" t="str">
        <f aca="false">IF($D63="Panel Details",8,"")</f>
        <v/>
      </c>
      <c r="AM63" s="46" t="str">
        <f aca="false">IF($D63="Panel Details",$AB63,"")</f>
        <v/>
      </c>
      <c r="AN63" s="46" t="str">
        <f aca="false">IF($D63="Panel Details","Yes","")</f>
        <v/>
      </c>
      <c r="AO63" s="46"/>
      <c r="AP63" s="46" t="str">
        <f aca="false">IF($D63="Followup",'Survey Response'!$D61,"")</f>
        <v/>
      </c>
      <c r="AQ63" s="46" t="str">
        <f aca="false">IF($D63="Followup",'Survey Response'!$E61,"")</f>
        <v/>
      </c>
      <c r="AR63" s="46" t="str">
        <f aca="false">IF($D63="Followup",'Survey Response'!$G61,"")</f>
        <v/>
      </c>
      <c r="AS63" s="46" t="str">
        <f aca="false">IF($D63="Followup",'Survey Response'!$H61,"")</f>
        <v/>
      </c>
      <c r="AT63" s="46" t="str">
        <f aca="false">IF($D63="Followup",'Survey Response'!$M61,"")</f>
        <v/>
      </c>
      <c r="AU63" s="46" t="str">
        <f aca="false">IF($D63="Followup",'Survey Response'!$K61,"")</f>
        <v/>
      </c>
      <c r="AV63" s="46" t="str">
        <f aca="false">IF($D63="Followup",'Survey Response'!$L61,"")</f>
        <v/>
      </c>
      <c r="AW63" s="46" t="str">
        <f aca="false">IF($D63="Followup",IF(AND($P63&lt;&gt;"Yes",$U63&lt;&gt;"Yes"),"Not approved for primary or secondary skill","Approved, but skill(s) no longer have capacity (fully staffed)"),"")</f>
        <v/>
      </c>
    </row>
    <row r="64" customFormat="false" ht="15" hidden="false" customHeight="true" outlineLevel="0" collapsed="false">
      <c r="A64" s="46" t="str">
        <f aca="false">IF('Survey Response'!$D62="","",'Survey Response'!$A62&amp;"|"&amp;LOWER(TRIM('Survey Response'!$D62)))</f>
        <v/>
      </c>
      <c r="B64" s="46" t="str">
        <f aca="false">IF($H64="","",$F64&amp;"|"&amp;$H64)</f>
        <v/>
      </c>
      <c r="C64" s="46" t="str">
        <f aca="false">IF($H64="","",$A64=$B64)</f>
        <v/>
      </c>
      <c r="D64" s="46" t="str">
        <f aca="false">IF($H64="","",IF($E64&lt;&gt;"Yes","Superseded",IF($I64&lt;&gt;"Yes, I'm available for in-person interviews at Chennai","Not Available",IF($Z64&lt;&gt;"","Panel Details","Followup"))))</f>
        <v/>
      </c>
      <c r="E64" s="46" t="str">
        <f aca="false">IF($H64="","",IF(SUMPRODUCT(($H$4:$H$503=$H64)*(($G$4:$G$503&gt;$G64)+($G$4:$G$503=$G64)*($F$4:$F$503&gt;$F64)))=0,"Yes","No"))</f>
        <v/>
      </c>
      <c r="F64" s="47" t="str">
        <f aca="false">IF('Survey Response'!$D62="","",INT('Survey Response'!$A62))</f>
        <v/>
      </c>
      <c r="G64" s="46" t="str">
        <f aca="false">IF('Survey Response'!$D62="","",'Survey Response'!$C62)</f>
        <v/>
      </c>
      <c r="H64" s="46" t="str">
        <f aca="false">IF('Survey Response'!$D62="","",LOWER(TRIM('Survey Response'!$D62)))</f>
        <v/>
      </c>
      <c r="I64" s="46" t="str">
        <f aca="false">IF($H64="","",'Survey Response'!$I62)</f>
        <v/>
      </c>
      <c r="J64" s="46" t="str">
        <f aca="false">IF($H64="","",'Survey Response'!$K62)</f>
        <v/>
      </c>
      <c r="K64" s="46" t="str">
        <f aca="false">IF($J64="","",IF(COUNTIF('Skill Mapping'!$A$2:$A$7,TRIM($J64))=0,"",INDEX('Skill Mapping'!$B$2:$B$7,MATCH(TRIM($J64),'Skill Mapping'!$A$2:$A$7,0))))</f>
        <v/>
      </c>
      <c r="L64" s="46" t="str">
        <f aca="false">IF($H64="","",'Survey Response'!$L62)</f>
        <v/>
      </c>
      <c r="M64" s="46" t="str">
        <f aca="false">IF($L64="","",IF(COUNTIF('Skill Mapping'!$A$2:$A$7,TRIM($L64))=0,"",INDEX('Skill Mapping'!$B$2:$B$7,MATCH(TRIM($L64),'Skill Mapping'!$A$2:$A$7,0))))</f>
        <v/>
      </c>
      <c r="N64" s="46" t="str">
        <f aca="false">IF($H64="","",'Survey Response'!$M62)</f>
        <v/>
      </c>
      <c r="O64" s="46" t="str">
        <f aca="false">IF($H64="","",IF('Survey Response'!$M62="Manager","R2","R1"))</f>
        <v/>
      </c>
      <c r="P64" s="46" t="str">
        <f aca="false">IF($K64="","No",IF(COUNTIFS(MasterPanel!$B:$B,$H64,MasterPanel!$I:$I,$K64,MasterPanel!$K:$K,"Y")&gt;0,"Yes","No"))</f>
        <v>No</v>
      </c>
      <c r="Q64" s="46" t="n">
        <f aca="false">IF($K64="",0,IF(COUNTIF('Gap Sheet'!$A$6:$A$11,TRIM($J64))=0,0,IF($O64="R1",INDEX('Gap Sheet'!$C$6:$C$11,MATCH(TRIM($J64),'Gap Sheet'!$A$6:$A$11,0)),INDEX('Gap Sheet'!$G$6:$G$11,MATCH(TRIM($J64),'Gap Sheet'!$A$6:$A$11,0)))))</f>
        <v>0</v>
      </c>
      <c r="R64" s="46" t="str">
        <f aca="false">IF($K64="","",$K64&amp;"|"&amp;$O64)</f>
        <v/>
      </c>
      <c r="S64" s="46" t="n">
        <f aca="false">IF($R64="",0,COUNTIF($AA$4:$AA63,$R64))</f>
        <v>0</v>
      </c>
      <c r="T64" s="46" t="str">
        <f aca="false">IF(OR($I64&lt;&gt;"Yes, I'm available for in-person interviews at Chennai",$E64&lt;&gt;"Yes",$P64&lt;&gt;"Yes"),"No",IF(($Q64-$S64)&gt;0,"Yes","No"))</f>
        <v>No</v>
      </c>
      <c r="U64" s="46" t="str">
        <f aca="false">IF($M64="","No",IF(COUNTIFS(MasterPanel!$B:$B,$H64,MasterPanel!$I:$I,$M64,MasterPanel!$K:$K,"Y")&gt;0,"Yes","No"))</f>
        <v>No</v>
      </c>
      <c r="V64" s="46" t="n">
        <f aca="false">IF($M64="",0,IF(COUNTIF('Gap Sheet'!$A$6:$A$11,TRIM($L64))=0,0,IF($O64="R1",INDEX('Gap Sheet'!$C$6:$C$11,MATCH(TRIM($L64),'Gap Sheet'!$A$6:$A$11,0)),INDEX('Gap Sheet'!$G$6:$G$11,MATCH(TRIM($L64),'Gap Sheet'!$A$6:$A$11,0)))))</f>
        <v>0</v>
      </c>
      <c r="W64" s="46" t="str">
        <f aca="false">IF($M64="","",$M64&amp;"|"&amp;$O64)</f>
        <v/>
      </c>
      <c r="X64" s="46" t="n">
        <f aca="false">IF($W64="",0,COUNTIF($AA$4:$AA63,$W64))</f>
        <v>0</v>
      </c>
      <c r="Y64" s="46" t="str">
        <f aca="false">IF(OR($I64&lt;&gt;"Yes, I'm available for in-person interviews at Chennai",$E64&lt;&gt;"Yes",$T64="Yes",$U64&lt;&gt;"Yes"),"No",IF(($V64-$X64)&gt;0,"Yes","No"))</f>
        <v>No</v>
      </c>
      <c r="Z64" s="46" t="str">
        <f aca="false">IF($T64="Yes","Primary",IF($Y64="Yes","Secondary",""))</f>
        <v/>
      </c>
      <c r="AA64" s="46" t="str">
        <f aca="false">IF($Z64="Primary",$R64,IF($Z64="Secondary",$W64,""))</f>
        <v/>
      </c>
      <c r="AB64" s="46" t="str">
        <f aca="false">IF($Z64="Primary","Matched on primary skill",IF($Z64="Secondary","Matched on secondary skill (primary not approved or not required)",""))</f>
        <v/>
      </c>
      <c r="AC64" s="47" t="str">
        <f aca="false">IF($D64="Panel Details",$F64,"")</f>
        <v/>
      </c>
      <c r="AD64" s="46" t="str">
        <f aca="false">IF($D64="Panel Details",'Survey Response'!$D62,"")</f>
        <v/>
      </c>
      <c r="AE64" s="46" t="str">
        <f aca="false">IF($D64="Panel Details",'Survey Response'!$E62,"")</f>
        <v/>
      </c>
      <c r="AF64" s="46" t="str">
        <f aca="false">IF($D64="Panel Details",'Survey Response'!$G62,"")</f>
        <v/>
      </c>
      <c r="AG64" s="46" t="str">
        <f aca="false">IF($D64="Panel Details",IF($Z64="Primary",$J64,$L64),"")</f>
        <v/>
      </c>
      <c r="AH64" s="46" t="str">
        <f aca="false">IF($D64="Panel Details",IF($Z64="Primary",$L64,$J64),"")</f>
        <v/>
      </c>
      <c r="AI64" s="46" t="str">
        <f aca="false">IF($D64="Panel Details",'Survey Response'!$H62,"")</f>
        <v/>
      </c>
      <c r="AJ64" s="46" t="str">
        <f aca="false">IF($D64="Panel Details",'Survey Response'!$M62,"")</f>
        <v/>
      </c>
      <c r="AK64" s="46" t="str">
        <f aca="false">IF($D64="Panel Details",$O64,"")</f>
        <v/>
      </c>
      <c r="AL64" s="46" t="str">
        <f aca="false">IF($D64="Panel Details",8,"")</f>
        <v/>
      </c>
      <c r="AM64" s="46" t="str">
        <f aca="false">IF($D64="Panel Details",$AB64,"")</f>
        <v/>
      </c>
      <c r="AN64" s="46" t="str">
        <f aca="false">IF($D64="Panel Details","Yes","")</f>
        <v/>
      </c>
      <c r="AO64" s="46"/>
      <c r="AP64" s="46" t="str">
        <f aca="false">IF($D64="Followup",'Survey Response'!$D62,"")</f>
        <v/>
      </c>
      <c r="AQ64" s="46" t="str">
        <f aca="false">IF($D64="Followup",'Survey Response'!$E62,"")</f>
        <v/>
      </c>
      <c r="AR64" s="46" t="str">
        <f aca="false">IF($D64="Followup",'Survey Response'!$G62,"")</f>
        <v/>
      </c>
      <c r="AS64" s="46" t="str">
        <f aca="false">IF($D64="Followup",'Survey Response'!$H62,"")</f>
        <v/>
      </c>
      <c r="AT64" s="46" t="str">
        <f aca="false">IF($D64="Followup",'Survey Response'!$M62,"")</f>
        <v/>
      </c>
      <c r="AU64" s="46" t="str">
        <f aca="false">IF($D64="Followup",'Survey Response'!$K62,"")</f>
        <v/>
      </c>
      <c r="AV64" s="46" t="str">
        <f aca="false">IF($D64="Followup",'Survey Response'!$L62,"")</f>
        <v/>
      </c>
      <c r="AW64" s="46" t="str">
        <f aca="false">IF($D64="Followup",IF(AND($P64&lt;&gt;"Yes",$U64&lt;&gt;"Yes"),"Not approved for primary or secondary skill","Approved, but skill(s) no longer have capacity (fully staffed)"),"")</f>
        <v/>
      </c>
    </row>
    <row r="65" customFormat="false" ht="15" hidden="false" customHeight="true" outlineLevel="0" collapsed="false">
      <c r="A65" s="46" t="str">
        <f aca="false">IF('Survey Response'!$D63="","",'Survey Response'!$A63&amp;"|"&amp;LOWER(TRIM('Survey Response'!$D63)))</f>
        <v/>
      </c>
      <c r="B65" s="46" t="str">
        <f aca="false">IF($H65="","",$F65&amp;"|"&amp;$H65)</f>
        <v/>
      </c>
      <c r="C65" s="46" t="str">
        <f aca="false">IF($H65="","",$A65=$B65)</f>
        <v/>
      </c>
      <c r="D65" s="46" t="str">
        <f aca="false">IF($H65="","",IF($E65&lt;&gt;"Yes","Superseded",IF($I65&lt;&gt;"Yes, I'm available for in-person interviews at Chennai","Not Available",IF($Z65&lt;&gt;"","Panel Details","Followup"))))</f>
        <v/>
      </c>
      <c r="E65" s="46" t="str">
        <f aca="false">IF($H65="","",IF(SUMPRODUCT(($H$4:$H$503=$H65)*(($G$4:$G$503&gt;$G65)+($G$4:$G$503=$G65)*($F$4:$F$503&gt;$F65)))=0,"Yes","No"))</f>
        <v/>
      </c>
      <c r="F65" s="47" t="str">
        <f aca="false">IF('Survey Response'!$D63="","",INT('Survey Response'!$A63))</f>
        <v/>
      </c>
      <c r="G65" s="46" t="str">
        <f aca="false">IF('Survey Response'!$D63="","",'Survey Response'!$C63)</f>
        <v/>
      </c>
      <c r="H65" s="46" t="str">
        <f aca="false">IF('Survey Response'!$D63="","",LOWER(TRIM('Survey Response'!$D63)))</f>
        <v/>
      </c>
      <c r="I65" s="46" t="str">
        <f aca="false">IF($H65="","",'Survey Response'!$I63)</f>
        <v/>
      </c>
      <c r="J65" s="46" t="str">
        <f aca="false">IF($H65="","",'Survey Response'!$K63)</f>
        <v/>
      </c>
      <c r="K65" s="46" t="str">
        <f aca="false">IF($J65="","",IF(COUNTIF('Skill Mapping'!$A$2:$A$7,TRIM($J65))=0,"",INDEX('Skill Mapping'!$B$2:$B$7,MATCH(TRIM($J65),'Skill Mapping'!$A$2:$A$7,0))))</f>
        <v/>
      </c>
      <c r="L65" s="46" t="str">
        <f aca="false">IF($H65="","",'Survey Response'!$L63)</f>
        <v/>
      </c>
      <c r="M65" s="46" t="str">
        <f aca="false">IF($L65="","",IF(COUNTIF('Skill Mapping'!$A$2:$A$7,TRIM($L65))=0,"",INDEX('Skill Mapping'!$B$2:$B$7,MATCH(TRIM($L65),'Skill Mapping'!$A$2:$A$7,0))))</f>
        <v/>
      </c>
      <c r="N65" s="46" t="str">
        <f aca="false">IF($H65="","",'Survey Response'!$M63)</f>
        <v/>
      </c>
      <c r="O65" s="46" t="str">
        <f aca="false">IF($H65="","",IF('Survey Response'!$M63="Manager","R2","R1"))</f>
        <v/>
      </c>
      <c r="P65" s="46" t="str">
        <f aca="false">IF($K65="","No",IF(COUNTIFS(MasterPanel!$B:$B,$H65,MasterPanel!$I:$I,$K65,MasterPanel!$K:$K,"Y")&gt;0,"Yes","No"))</f>
        <v>No</v>
      </c>
      <c r="Q65" s="46" t="n">
        <f aca="false">IF($K65="",0,IF(COUNTIF('Gap Sheet'!$A$6:$A$11,TRIM($J65))=0,0,IF($O65="R1",INDEX('Gap Sheet'!$C$6:$C$11,MATCH(TRIM($J65),'Gap Sheet'!$A$6:$A$11,0)),INDEX('Gap Sheet'!$G$6:$G$11,MATCH(TRIM($J65),'Gap Sheet'!$A$6:$A$11,0)))))</f>
        <v>0</v>
      </c>
      <c r="R65" s="46" t="str">
        <f aca="false">IF($K65="","",$K65&amp;"|"&amp;$O65)</f>
        <v/>
      </c>
      <c r="S65" s="46" t="n">
        <f aca="false">IF($R65="",0,COUNTIF($AA$4:$AA64,$R65))</f>
        <v>0</v>
      </c>
      <c r="T65" s="46" t="str">
        <f aca="false">IF(OR($I65&lt;&gt;"Yes, I'm available for in-person interviews at Chennai",$E65&lt;&gt;"Yes",$P65&lt;&gt;"Yes"),"No",IF(($Q65-$S65)&gt;0,"Yes","No"))</f>
        <v>No</v>
      </c>
      <c r="U65" s="46" t="str">
        <f aca="false">IF($M65="","No",IF(COUNTIFS(MasterPanel!$B:$B,$H65,MasterPanel!$I:$I,$M65,MasterPanel!$K:$K,"Y")&gt;0,"Yes","No"))</f>
        <v>No</v>
      </c>
      <c r="V65" s="46" t="n">
        <f aca="false">IF($M65="",0,IF(COUNTIF('Gap Sheet'!$A$6:$A$11,TRIM($L65))=0,0,IF($O65="R1",INDEX('Gap Sheet'!$C$6:$C$11,MATCH(TRIM($L65),'Gap Sheet'!$A$6:$A$11,0)),INDEX('Gap Sheet'!$G$6:$G$11,MATCH(TRIM($L65),'Gap Sheet'!$A$6:$A$11,0)))))</f>
        <v>0</v>
      </c>
      <c r="W65" s="46" t="str">
        <f aca="false">IF($M65="","",$M65&amp;"|"&amp;$O65)</f>
        <v/>
      </c>
      <c r="X65" s="46" t="n">
        <f aca="false">IF($W65="",0,COUNTIF($AA$4:$AA64,$W65))</f>
        <v>0</v>
      </c>
      <c r="Y65" s="46" t="str">
        <f aca="false">IF(OR($I65&lt;&gt;"Yes, I'm available for in-person interviews at Chennai",$E65&lt;&gt;"Yes",$T65="Yes",$U65&lt;&gt;"Yes"),"No",IF(($V65-$X65)&gt;0,"Yes","No"))</f>
        <v>No</v>
      </c>
      <c r="Z65" s="46" t="str">
        <f aca="false">IF($T65="Yes","Primary",IF($Y65="Yes","Secondary",""))</f>
        <v/>
      </c>
      <c r="AA65" s="46" t="str">
        <f aca="false">IF($Z65="Primary",$R65,IF($Z65="Secondary",$W65,""))</f>
        <v/>
      </c>
      <c r="AB65" s="46" t="str">
        <f aca="false">IF($Z65="Primary","Matched on primary skill",IF($Z65="Secondary","Matched on secondary skill (primary not approved or not required)",""))</f>
        <v/>
      </c>
      <c r="AC65" s="47" t="str">
        <f aca="false">IF($D65="Panel Details",$F65,"")</f>
        <v/>
      </c>
      <c r="AD65" s="46" t="str">
        <f aca="false">IF($D65="Panel Details",'Survey Response'!$D63,"")</f>
        <v/>
      </c>
      <c r="AE65" s="46" t="str">
        <f aca="false">IF($D65="Panel Details",'Survey Response'!$E63,"")</f>
        <v/>
      </c>
      <c r="AF65" s="46" t="str">
        <f aca="false">IF($D65="Panel Details",'Survey Response'!$G63,"")</f>
        <v/>
      </c>
      <c r="AG65" s="46" t="str">
        <f aca="false">IF($D65="Panel Details",IF($Z65="Primary",$J65,$L65),"")</f>
        <v/>
      </c>
      <c r="AH65" s="46" t="str">
        <f aca="false">IF($D65="Panel Details",IF($Z65="Primary",$L65,$J65),"")</f>
        <v/>
      </c>
      <c r="AI65" s="46" t="str">
        <f aca="false">IF($D65="Panel Details",'Survey Response'!$H63,"")</f>
        <v/>
      </c>
      <c r="AJ65" s="46" t="str">
        <f aca="false">IF($D65="Panel Details",'Survey Response'!$M63,"")</f>
        <v/>
      </c>
      <c r="AK65" s="46" t="str">
        <f aca="false">IF($D65="Panel Details",$O65,"")</f>
        <v/>
      </c>
      <c r="AL65" s="46" t="str">
        <f aca="false">IF($D65="Panel Details",8,"")</f>
        <v/>
      </c>
      <c r="AM65" s="46" t="str">
        <f aca="false">IF($D65="Panel Details",$AB65,"")</f>
        <v/>
      </c>
      <c r="AN65" s="46" t="str">
        <f aca="false">IF($D65="Panel Details","Yes","")</f>
        <v/>
      </c>
      <c r="AO65" s="46"/>
      <c r="AP65" s="46" t="str">
        <f aca="false">IF($D65="Followup",'Survey Response'!$D63,"")</f>
        <v/>
      </c>
      <c r="AQ65" s="46" t="str">
        <f aca="false">IF($D65="Followup",'Survey Response'!$E63,"")</f>
        <v/>
      </c>
      <c r="AR65" s="46" t="str">
        <f aca="false">IF($D65="Followup",'Survey Response'!$G63,"")</f>
        <v/>
      </c>
      <c r="AS65" s="46" t="str">
        <f aca="false">IF($D65="Followup",'Survey Response'!$H63,"")</f>
        <v/>
      </c>
      <c r="AT65" s="46" t="str">
        <f aca="false">IF($D65="Followup",'Survey Response'!$M63,"")</f>
        <v/>
      </c>
      <c r="AU65" s="46" t="str">
        <f aca="false">IF($D65="Followup",'Survey Response'!$K63,"")</f>
        <v/>
      </c>
      <c r="AV65" s="46" t="str">
        <f aca="false">IF($D65="Followup",'Survey Response'!$L63,"")</f>
        <v/>
      </c>
      <c r="AW65" s="46" t="str">
        <f aca="false">IF($D65="Followup",IF(AND($P65&lt;&gt;"Yes",$U65&lt;&gt;"Yes"),"Not approved for primary or secondary skill","Approved, but skill(s) no longer have capacity (fully staffed)"),"")</f>
        <v/>
      </c>
    </row>
    <row r="66" customFormat="false" ht="15" hidden="false" customHeight="true" outlineLevel="0" collapsed="false">
      <c r="A66" s="46" t="str">
        <f aca="false">IF('Survey Response'!$D64="","",'Survey Response'!$A64&amp;"|"&amp;LOWER(TRIM('Survey Response'!$D64)))</f>
        <v/>
      </c>
      <c r="B66" s="46" t="str">
        <f aca="false">IF($H66="","",$F66&amp;"|"&amp;$H66)</f>
        <v/>
      </c>
      <c r="C66" s="46" t="str">
        <f aca="false">IF($H66="","",$A66=$B66)</f>
        <v/>
      </c>
      <c r="D66" s="46" t="str">
        <f aca="false">IF($H66="","",IF($E66&lt;&gt;"Yes","Superseded",IF($I66&lt;&gt;"Yes, I'm available for in-person interviews at Chennai","Not Available",IF($Z66&lt;&gt;"","Panel Details","Followup"))))</f>
        <v/>
      </c>
      <c r="E66" s="46" t="str">
        <f aca="false">IF($H66="","",IF(SUMPRODUCT(($H$4:$H$503=$H66)*(($G$4:$G$503&gt;$G66)+($G$4:$G$503=$G66)*($F$4:$F$503&gt;$F66)))=0,"Yes","No"))</f>
        <v/>
      </c>
      <c r="F66" s="47" t="str">
        <f aca="false">IF('Survey Response'!$D64="","",INT('Survey Response'!$A64))</f>
        <v/>
      </c>
      <c r="G66" s="46" t="str">
        <f aca="false">IF('Survey Response'!$D64="","",'Survey Response'!$C64)</f>
        <v/>
      </c>
      <c r="H66" s="46" t="str">
        <f aca="false">IF('Survey Response'!$D64="","",LOWER(TRIM('Survey Response'!$D64)))</f>
        <v/>
      </c>
      <c r="I66" s="46" t="str">
        <f aca="false">IF($H66="","",'Survey Response'!$I64)</f>
        <v/>
      </c>
      <c r="J66" s="46" t="str">
        <f aca="false">IF($H66="","",'Survey Response'!$K64)</f>
        <v/>
      </c>
      <c r="K66" s="46" t="str">
        <f aca="false">IF($J66="","",IF(COUNTIF('Skill Mapping'!$A$2:$A$7,TRIM($J66))=0,"",INDEX('Skill Mapping'!$B$2:$B$7,MATCH(TRIM($J66),'Skill Mapping'!$A$2:$A$7,0))))</f>
        <v/>
      </c>
      <c r="L66" s="46" t="str">
        <f aca="false">IF($H66="","",'Survey Response'!$L64)</f>
        <v/>
      </c>
      <c r="M66" s="46" t="str">
        <f aca="false">IF($L66="","",IF(COUNTIF('Skill Mapping'!$A$2:$A$7,TRIM($L66))=0,"",INDEX('Skill Mapping'!$B$2:$B$7,MATCH(TRIM($L66),'Skill Mapping'!$A$2:$A$7,0))))</f>
        <v/>
      </c>
      <c r="N66" s="46" t="str">
        <f aca="false">IF($H66="","",'Survey Response'!$M64)</f>
        <v/>
      </c>
      <c r="O66" s="46" t="str">
        <f aca="false">IF($H66="","",IF('Survey Response'!$M64="Manager","R2","R1"))</f>
        <v/>
      </c>
      <c r="P66" s="46" t="str">
        <f aca="false">IF($K66="","No",IF(COUNTIFS(MasterPanel!$B:$B,$H66,MasterPanel!$I:$I,$K66,MasterPanel!$K:$K,"Y")&gt;0,"Yes","No"))</f>
        <v>No</v>
      </c>
      <c r="Q66" s="46" t="n">
        <f aca="false">IF($K66="",0,IF(COUNTIF('Gap Sheet'!$A$6:$A$11,TRIM($J66))=0,0,IF($O66="R1",INDEX('Gap Sheet'!$C$6:$C$11,MATCH(TRIM($J66),'Gap Sheet'!$A$6:$A$11,0)),INDEX('Gap Sheet'!$G$6:$G$11,MATCH(TRIM($J66),'Gap Sheet'!$A$6:$A$11,0)))))</f>
        <v>0</v>
      </c>
      <c r="R66" s="46" t="str">
        <f aca="false">IF($K66="","",$K66&amp;"|"&amp;$O66)</f>
        <v/>
      </c>
      <c r="S66" s="46" t="n">
        <f aca="false">IF($R66="",0,COUNTIF($AA$4:$AA65,$R66))</f>
        <v>0</v>
      </c>
      <c r="T66" s="46" t="str">
        <f aca="false">IF(OR($I66&lt;&gt;"Yes, I'm available for in-person interviews at Chennai",$E66&lt;&gt;"Yes",$P66&lt;&gt;"Yes"),"No",IF(($Q66-$S66)&gt;0,"Yes","No"))</f>
        <v>No</v>
      </c>
      <c r="U66" s="46" t="str">
        <f aca="false">IF($M66="","No",IF(COUNTIFS(MasterPanel!$B:$B,$H66,MasterPanel!$I:$I,$M66,MasterPanel!$K:$K,"Y")&gt;0,"Yes","No"))</f>
        <v>No</v>
      </c>
      <c r="V66" s="46" t="n">
        <f aca="false">IF($M66="",0,IF(COUNTIF('Gap Sheet'!$A$6:$A$11,TRIM($L66))=0,0,IF($O66="R1",INDEX('Gap Sheet'!$C$6:$C$11,MATCH(TRIM($L66),'Gap Sheet'!$A$6:$A$11,0)),INDEX('Gap Sheet'!$G$6:$G$11,MATCH(TRIM($L66),'Gap Sheet'!$A$6:$A$11,0)))))</f>
        <v>0</v>
      </c>
      <c r="W66" s="46" t="str">
        <f aca="false">IF($M66="","",$M66&amp;"|"&amp;$O66)</f>
        <v/>
      </c>
      <c r="X66" s="46" t="n">
        <f aca="false">IF($W66="",0,COUNTIF($AA$4:$AA65,$W66))</f>
        <v>0</v>
      </c>
      <c r="Y66" s="46" t="str">
        <f aca="false">IF(OR($I66&lt;&gt;"Yes, I'm available for in-person interviews at Chennai",$E66&lt;&gt;"Yes",$T66="Yes",$U66&lt;&gt;"Yes"),"No",IF(($V66-$X66)&gt;0,"Yes","No"))</f>
        <v>No</v>
      </c>
      <c r="Z66" s="46" t="str">
        <f aca="false">IF($T66="Yes","Primary",IF($Y66="Yes","Secondary",""))</f>
        <v/>
      </c>
      <c r="AA66" s="46" t="str">
        <f aca="false">IF($Z66="Primary",$R66,IF($Z66="Secondary",$W66,""))</f>
        <v/>
      </c>
      <c r="AB66" s="46" t="str">
        <f aca="false">IF($Z66="Primary","Matched on primary skill",IF($Z66="Secondary","Matched on secondary skill (primary not approved or not required)",""))</f>
        <v/>
      </c>
      <c r="AC66" s="47" t="str">
        <f aca="false">IF($D66="Panel Details",$F66,"")</f>
        <v/>
      </c>
      <c r="AD66" s="46" t="str">
        <f aca="false">IF($D66="Panel Details",'Survey Response'!$D64,"")</f>
        <v/>
      </c>
      <c r="AE66" s="46" t="str">
        <f aca="false">IF($D66="Panel Details",'Survey Response'!$E64,"")</f>
        <v/>
      </c>
      <c r="AF66" s="46" t="str">
        <f aca="false">IF($D66="Panel Details",'Survey Response'!$G64,"")</f>
        <v/>
      </c>
      <c r="AG66" s="46" t="str">
        <f aca="false">IF($D66="Panel Details",IF($Z66="Primary",$J66,$L66),"")</f>
        <v/>
      </c>
      <c r="AH66" s="46" t="str">
        <f aca="false">IF($D66="Panel Details",IF($Z66="Primary",$L66,$J66),"")</f>
        <v/>
      </c>
      <c r="AI66" s="46" t="str">
        <f aca="false">IF($D66="Panel Details",'Survey Response'!$H64,"")</f>
        <v/>
      </c>
      <c r="AJ66" s="46" t="str">
        <f aca="false">IF($D66="Panel Details",'Survey Response'!$M64,"")</f>
        <v/>
      </c>
      <c r="AK66" s="46" t="str">
        <f aca="false">IF($D66="Panel Details",$O66,"")</f>
        <v/>
      </c>
      <c r="AL66" s="46" t="str">
        <f aca="false">IF($D66="Panel Details",8,"")</f>
        <v/>
      </c>
      <c r="AM66" s="46" t="str">
        <f aca="false">IF($D66="Panel Details",$AB66,"")</f>
        <v/>
      </c>
      <c r="AN66" s="46" t="str">
        <f aca="false">IF($D66="Panel Details","Yes","")</f>
        <v/>
      </c>
      <c r="AO66" s="46"/>
      <c r="AP66" s="46" t="str">
        <f aca="false">IF($D66="Followup",'Survey Response'!$D64,"")</f>
        <v/>
      </c>
      <c r="AQ66" s="46" t="str">
        <f aca="false">IF($D66="Followup",'Survey Response'!$E64,"")</f>
        <v/>
      </c>
      <c r="AR66" s="46" t="str">
        <f aca="false">IF($D66="Followup",'Survey Response'!$G64,"")</f>
        <v/>
      </c>
      <c r="AS66" s="46" t="str">
        <f aca="false">IF($D66="Followup",'Survey Response'!$H64,"")</f>
        <v/>
      </c>
      <c r="AT66" s="46" t="str">
        <f aca="false">IF($D66="Followup",'Survey Response'!$M64,"")</f>
        <v/>
      </c>
      <c r="AU66" s="46" t="str">
        <f aca="false">IF($D66="Followup",'Survey Response'!$K64,"")</f>
        <v/>
      </c>
      <c r="AV66" s="46" t="str">
        <f aca="false">IF($D66="Followup",'Survey Response'!$L64,"")</f>
        <v/>
      </c>
      <c r="AW66" s="46" t="str">
        <f aca="false">IF($D66="Followup",IF(AND($P66&lt;&gt;"Yes",$U66&lt;&gt;"Yes"),"Not approved for primary or secondary skill","Approved, but skill(s) no longer have capacity (fully staffed)"),"")</f>
        <v/>
      </c>
    </row>
    <row r="67" customFormat="false" ht="15" hidden="false" customHeight="true" outlineLevel="0" collapsed="false">
      <c r="A67" s="46" t="str">
        <f aca="false">IF('Survey Response'!$D65="","",'Survey Response'!$A65&amp;"|"&amp;LOWER(TRIM('Survey Response'!$D65)))</f>
        <v/>
      </c>
      <c r="B67" s="46" t="str">
        <f aca="false">IF($H67="","",$F67&amp;"|"&amp;$H67)</f>
        <v/>
      </c>
      <c r="C67" s="46" t="str">
        <f aca="false">IF($H67="","",$A67=$B67)</f>
        <v/>
      </c>
      <c r="D67" s="46" t="str">
        <f aca="false">IF($H67="","",IF($E67&lt;&gt;"Yes","Superseded",IF($I67&lt;&gt;"Yes, I'm available for in-person interviews at Chennai","Not Available",IF($Z67&lt;&gt;"","Panel Details","Followup"))))</f>
        <v/>
      </c>
      <c r="E67" s="46" t="str">
        <f aca="false">IF($H67="","",IF(SUMPRODUCT(($H$4:$H$503=$H67)*(($G$4:$G$503&gt;$G67)+($G$4:$G$503=$G67)*($F$4:$F$503&gt;$F67)))=0,"Yes","No"))</f>
        <v/>
      </c>
      <c r="F67" s="47" t="str">
        <f aca="false">IF('Survey Response'!$D65="","",INT('Survey Response'!$A65))</f>
        <v/>
      </c>
      <c r="G67" s="46" t="str">
        <f aca="false">IF('Survey Response'!$D65="","",'Survey Response'!$C65)</f>
        <v/>
      </c>
      <c r="H67" s="46" t="str">
        <f aca="false">IF('Survey Response'!$D65="","",LOWER(TRIM('Survey Response'!$D65)))</f>
        <v/>
      </c>
      <c r="I67" s="46" t="str">
        <f aca="false">IF($H67="","",'Survey Response'!$I65)</f>
        <v/>
      </c>
      <c r="J67" s="46" t="str">
        <f aca="false">IF($H67="","",'Survey Response'!$K65)</f>
        <v/>
      </c>
      <c r="K67" s="46" t="str">
        <f aca="false">IF($J67="","",IF(COUNTIF('Skill Mapping'!$A$2:$A$7,TRIM($J67))=0,"",INDEX('Skill Mapping'!$B$2:$B$7,MATCH(TRIM($J67),'Skill Mapping'!$A$2:$A$7,0))))</f>
        <v/>
      </c>
      <c r="L67" s="46" t="str">
        <f aca="false">IF($H67="","",'Survey Response'!$L65)</f>
        <v/>
      </c>
      <c r="M67" s="46" t="str">
        <f aca="false">IF($L67="","",IF(COUNTIF('Skill Mapping'!$A$2:$A$7,TRIM($L67))=0,"",INDEX('Skill Mapping'!$B$2:$B$7,MATCH(TRIM($L67),'Skill Mapping'!$A$2:$A$7,0))))</f>
        <v/>
      </c>
      <c r="N67" s="46" t="str">
        <f aca="false">IF($H67="","",'Survey Response'!$M65)</f>
        <v/>
      </c>
      <c r="O67" s="46" t="str">
        <f aca="false">IF($H67="","",IF('Survey Response'!$M65="Manager","R2","R1"))</f>
        <v/>
      </c>
      <c r="P67" s="46" t="str">
        <f aca="false">IF($K67="","No",IF(COUNTIFS(MasterPanel!$B:$B,$H67,MasterPanel!$I:$I,$K67,MasterPanel!$K:$K,"Y")&gt;0,"Yes","No"))</f>
        <v>No</v>
      </c>
      <c r="Q67" s="46" t="n">
        <f aca="false">IF($K67="",0,IF(COUNTIF('Gap Sheet'!$A$6:$A$11,TRIM($J67))=0,0,IF($O67="R1",INDEX('Gap Sheet'!$C$6:$C$11,MATCH(TRIM($J67),'Gap Sheet'!$A$6:$A$11,0)),INDEX('Gap Sheet'!$G$6:$G$11,MATCH(TRIM($J67),'Gap Sheet'!$A$6:$A$11,0)))))</f>
        <v>0</v>
      </c>
      <c r="R67" s="46" t="str">
        <f aca="false">IF($K67="","",$K67&amp;"|"&amp;$O67)</f>
        <v/>
      </c>
      <c r="S67" s="46" t="n">
        <f aca="false">IF($R67="",0,COUNTIF($AA$4:$AA66,$R67))</f>
        <v>0</v>
      </c>
      <c r="T67" s="46" t="str">
        <f aca="false">IF(OR($I67&lt;&gt;"Yes, I'm available for in-person interviews at Chennai",$E67&lt;&gt;"Yes",$P67&lt;&gt;"Yes"),"No",IF(($Q67-$S67)&gt;0,"Yes","No"))</f>
        <v>No</v>
      </c>
      <c r="U67" s="46" t="str">
        <f aca="false">IF($M67="","No",IF(COUNTIFS(MasterPanel!$B:$B,$H67,MasterPanel!$I:$I,$M67,MasterPanel!$K:$K,"Y")&gt;0,"Yes","No"))</f>
        <v>No</v>
      </c>
      <c r="V67" s="46" t="n">
        <f aca="false">IF($M67="",0,IF(COUNTIF('Gap Sheet'!$A$6:$A$11,TRIM($L67))=0,0,IF($O67="R1",INDEX('Gap Sheet'!$C$6:$C$11,MATCH(TRIM($L67),'Gap Sheet'!$A$6:$A$11,0)),INDEX('Gap Sheet'!$G$6:$G$11,MATCH(TRIM($L67),'Gap Sheet'!$A$6:$A$11,0)))))</f>
        <v>0</v>
      </c>
      <c r="W67" s="46" t="str">
        <f aca="false">IF($M67="","",$M67&amp;"|"&amp;$O67)</f>
        <v/>
      </c>
      <c r="X67" s="46" t="n">
        <f aca="false">IF($W67="",0,COUNTIF($AA$4:$AA66,$W67))</f>
        <v>0</v>
      </c>
      <c r="Y67" s="46" t="str">
        <f aca="false">IF(OR($I67&lt;&gt;"Yes, I'm available for in-person interviews at Chennai",$E67&lt;&gt;"Yes",$T67="Yes",$U67&lt;&gt;"Yes"),"No",IF(($V67-$X67)&gt;0,"Yes","No"))</f>
        <v>No</v>
      </c>
      <c r="Z67" s="46" t="str">
        <f aca="false">IF($T67="Yes","Primary",IF($Y67="Yes","Secondary",""))</f>
        <v/>
      </c>
      <c r="AA67" s="46" t="str">
        <f aca="false">IF($Z67="Primary",$R67,IF($Z67="Secondary",$W67,""))</f>
        <v/>
      </c>
      <c r="AB67" s="46" t="str">
        <f aca="false">IF($Z67="Primary","Matched on primary skill",IF($Z67="Secondary","Matched on secondary skill (primary not approved or not required)",""))</f>
        <v/>
      </c>
      <c r="AC67" s="47" t="str">
        <f aca="false">IF($D67="Panel Details",$F67,"")</f>
        <v/>
      </c>
      <c r="AD67" s="46" t="str">
        <f aca="false">IF($D67="Panel Details",'Survey Response'!$D65,"")</f>
        <v/>
      </c>
      <c r="AE67" s="46" t="str">
        <f aca="false">IF($D67="Panel Details",'Survey Response'!$E65,"")</f>
        <v/>
      </c>
      <c r="AF67" s="46" t="str">
        <f aca="false">IF($D67="Panel Details",'Survey Response'!$G65,"")</f>
        <v/>
      </c>
      <c r="AG67" s="46" t="str">
        <f aca="false">IF($D67="Panel Details",IF($Z67="Primary",$J67,$L67),"")</f>
        <v/>
      </c>
      <c r="AH67" s="46" t="str">
        <f aca="false">IF($D67="Panel Details",IF($Z67="Primary",$L67,$J67),"")</f>
        <v/>
      </c>
      <c r="AI67" s="46" t="str">
        <f aca="false">IF($D67="Panel Details",'Survey Response'!$H65,"")</f>
        <v/>
      </c>
      <c r="AJ67" s="46" t="str">
        <f aca="false">IF($D67="Panel Details",'Survey Response'!$M65,"")</f>
        <v/>
      </c>
      <c r="AK67" s="46" t="str">
        <f aca="false">IF($D67="Panel Details",$O67,"")</f>
        <v/>
      </c>
      <c r="AL67" s="46" t="str">
        <f aca="false">IF($D67="Panel Details",8,"")</f>
        <v/>
      </c>
      <c r="AM67" s="46" t="str">
        <f aca="false">IF($D67="Panel Details",$AB67,"")</f>
        <v/>
      </c>
      <c r="AN67" s="46" t="str">
        <f aca="false">IF($D67="Panel Details","Yes","")</f>
        <v/>
      </c>
      <c r="AO67" s="46"/>
      <c r="AP67" s="46" t="str">
        <f aca="false">IF($D67="Followup",'Survey Response'!$D65,"")</f>
        <v/>
      </c>
      <c r="AQ67" s="46" t="str">
        <f aca="false">IF($D67="Followup",'Survey Response'!$E65,"")</f>
        <v/>
      </c>
      <c r="AR67" s="46" t="str">
        <f aca="false">IF($D67="Followup",'Survey Response'!$G65,"")</f>
        <v/>
      </c>
      <c r="AS67" s="46" t="str">
        <f aca="false">IF($D67="Followup",'Survey Response'!$H65,"")</f>
        <v/>
      </c>
      <c r="AT67" s="46" t="str">
        <f aca="false">IF($D67="Followup",'Survey Response'!$M65,"")</f>
        <v/>
      </c>
      <c r="AU67" s="46" t="str">
        <f aca="false">IF($D67="Followup",'Survey Response'!$K65,"")</f>
        <v/>
      </c>
      <c r="AV67" s="46" t="str">
        <f aca="false">IF($D67="Followup",'Survey Response'!$L65,"")</f>
        <v/>
      </c>
      <c r="AW67" s="46" t="str">
        <f aca="false">IF($D67="Followup",IF(AND($P67&lt;&gt;"Yes",$U67&lt;&gt;"Yes"),"Not approved for primary or secondary skill","Approved, but skill(s) no longer have capacity (fully staffed)"),"")</f>
        <v/>
      </c>
    </row>
    <row r="68" customFormat="false" ht="15" hidden="false" customHeight="true" outlineLevel="0" collapsed="false">
      <c r="A68" s="46" t="str">
        <f aca="false">IF('Survey Response'!$D66="","",'Survey Response'!$A66&amp;"|"&amp;LOWER(TRIM('Survey Response'!$D66)))</f>
        <v/>
      </c>
      <c r="B68" s="46" t="str">
        <f aca="false">IF($H68="","",$F68&amp;"|"&amp;$H68)</f>
        <v/>
      </c>
      <c r="C68" s="46" t="str">
        <f aca="false">IF($H68="","",$A68=$B68)</f>
        <v/>
      </c>
      <c r="D68" s="46" t="str">
        <f aca="false">IF($H68="","",IF($E68&lt;&gt;"Yes","Superseded",IF($I68&lt;&gt;"Yes, I'm available for in-person interviews at Chennai","Not Available",IF($Z68&lt;&gt;"","Panel Details","Followup"))))</f>
        <v/>
      </c>
      <c r="E68" s="46" t="str">
        <f aca="false">IF($H68="","",IF(SUMPRODUCT(($H$4:$H$503=$H68)*(($G$4:$G$503&gt;$G68)+($G$4:$G$503=$G68)*($F$4:$F$503&gt;$F68)))=0,"Yes","No"))</f>
        <v/>
      </c>
      <c r="F68" s="47" t="str">
        <f aca="false">IF('Survey Response'!$D66="","",INT('Survey Response'!$A66))</f>
        <v/>
      </c>
      <c r="G68" s="46" t="str">
        <f aca="false">IF('Survey Response'!$D66="","",'Survey Response'!$C66)</f>
        <v/>
      </c>
      <c r="H68" s="46" t="str">
        <f aca="false">IF('Survey Response'!$D66="","",LOWER(TRIM('Survey Response'!$D66)))</f>
        <v/>
      </c>
      <c r="I68" s="46" t="str">
        <f aca="false">IF($H68="","",'Survey Response'!$I66)</f>
        <v/>
      </c>
      <c r="J68" s="46" t="str">
        <f aca="false">IF($H68="","",'Survey Response'!$K66)</f>
        <v/>
      </c>
      <c r="K68" s="46" t="str">
        <f aca="false">IF($J68="","",IF(COUNTIF('Skill Mapping'!$A$2:$A$7,TRIM($J68))=0,"",INDEX('Skill Mapping'!$B$2:$B$7,MATCH(TRIM($J68),'Skill Mapping'!$A$2:$A$7,0))))</f>
        <v/>
      </c>
      <c r="L68" s="46" t="str">
        <f aca="false">IF($H68="","",'Survey Response'!$L66)</f>
        <v/>
      </c>
      <c r="M68" s="46" t="str">
        <f aca="false">IF($L68="","",IF(COUNTIF('Skill Mapping'!$A$2:$A$7,TRIM($L68))=0,"",INDEX('Skill Mapping'!$B$2:$B$7,MATCH(TRIM($L68),'Skill Mapping'!$A$2:$A$7,0))))</f>
        <v/>
      </c>
      <c r="N68" s="46" t="str">
        <f aca="false">IF($H68="","",'Survey Response'!$M66)</f>
        <v/>
      </c>
      <c r="O68" s="46" t="str">
        <f aca="false">IF($H68="","",IF('Survey Response'!$M66="Manager","R2","R1"))</f>
        <v/>
      </c>
      <c r="P68" s="46" t="str">
        <f aca="false">IF($K68="","No",IF(COUNTIFS(MasterPanel!$B:$B,$H68,MasterPanel!$I:$I,$K68,MasterPanel!$K:$K,"Y")&gt;0,"Yes","No"))</f>
        <v>No</v>
      </c>
      <c r="Q68" s="46" t="n">
        <f aca="false">IF($K68="",0,IF(COUNTIF('Gap Sheet'!$A$6:$A$11,TRIM($J68))=0,0,IF($O68="R1",INDEX('Gap Sheet'!$C$6:$C$11,MATCH(TRIM($J68),'Gap Sheet'!$A$6:$A$11,0)),INDEX('Gap Sheet'!$G$6:$G$11,MATCH(TRIM($J68),'Gap Sheet'!$A$6:$A$11,0)))))</f>
        <v>0</v>
      </c>
      <c r="R68" s="46" t="str">
        <f aca="false">IF($K68="","",$K68&amp;"|"&amp;$O68)</f>
        <v/>
      </c>
      <c r="S68" s="46" t="n">
        <f aca="false">IF($R68="",0,COUNTIF($AA$4:$AA67,$R68))</f>
        <v>0</v>
      </c>
      <c r="T68" s="46" t="str">
        <f aca="false">IF(OR($I68&lt;&gt;"Yes, I'm available for in-person interviews at Chennai",$E68&lt;&gt;"Yes",$P68&lt;&gt;"Yes"),"No",IF(($Q68-$S68)&gt;0,"Yes","No"))</f>
        <v>No</v>
      </c>
      <c r="U68" s="46" t="str">
        <f aca="false">IF($M68="","No",IF(COUNTIFS(MasterPanel!$B:$B,$H68,MasterPanel!$I:$I,$M68,MasterPanel!$K:$K,"Y")&gt;0,"Yes","No"))</f>
        <v>No</v>
      </c>
      <c r="V68" s="46" t="n">
        <f aca="false">IF($M68="",0,IF(COUNTIF('Gap Sheet'!$A$6:$A$11,TRIM($L68))=0,0,IF($O68="R1",INDEX('Gap Sheet'!$C$6:$C$11,MATCH(TRIM($L68),'Gap Sheet'!$A$6:$A$11,0)),INDEX('Gap Sheet'!$G$6:$G$11,MATCH(TRIM($L68),'Gap Sheet'!$A$6:$A$11,0)))))</f>
        <v>0</v>
      </c>
      <c r="W68" s="46" t="str">
        <f aca="false">IF($M68="","",$M68&amp;"|"&amp;$O68)</f>
        <v/>
      </c>
      <c r="X68" s="46" t="n">
        <f aca="false">IF($W68="",0,COUNTIF($AA$4:$AA67,$W68))</f>
        <v>0</v>
      </c>
      <c r="Y68" s="46" t="str">
        <f aca="false">IF(OR($I68&lt;&gt;"Yes, I'm available for in-person interviews at Chennai",$E68&lt;&gt;"Yes",$T68="Yes",$U68&lt;&gt;"Yes"),"No",IF(($V68-$X68)&gt;0,"Yes","No"))</f>
        <v>No</v>
      </c>
      <c r="Z68" s="46" t="str">
        <f aca="false">IF($T68="Yes","Primary",IF($Y68="Yes","Secondary",""))</f>
        <v/>
      </c>
      <c r="AA68" s="46" t="str">
        <f aca="false">IF($Z68="Primary",$R68,IF($Z68="Secondary",$W68,""))</f>
        <v/>
      </c>
      <c r="AB68" s="46" t="str">
        <f aca="false">IF($Z68="Primary","Matched on primary skill",IF($Z68="Secondary","Matched on secondary skill (primary not approved or not required)",""))</f>
        <v/>
      </c>
      <c r="AC68" s="47" t="str">
        <f aca="false">IF($D68="Panel Details",$F68,"")</f>
        <v/>
      </c>
      <c r="AD68" s="46" t="str">
        <f aca="false">IF($D68="Panel Details",'Survey Response'!$D66,"")</f>
        <v/>
      </c>
      <c r="AE68" s="46" t="str">
        <f aca="false">IF($D68="Panel Details",'Survey Response'!$E66,"")</f>
        <v/>
      </c>
      <c r="AF68" s="46" t="str">
        <f aca="false">IF($D68="Panel Details",'Survey Response'!$G66,"")</f>
        <v/>
      </c>
      <c r="AG68" s="46" t="str">
        <f aca="false">IF($D68="Panel Details",IF($Z68="Primary",$J68,$L68),"")</f>
        <v/>
      </c>
      <c r="AH68" s="46" t="str">
        <f aca="false">IF($D68="Panel Details",IF($Z68="Primary",$L68,$J68),"")</f>
        <v/>
      </c>
      <c r="AI68" s="46" t="str">
        <f aca="false">IF($D68="Panel Details",'Survey Response'!$H66,"")</f>
        <v/>
      </c>
      <c r="AJ68" s="46" t="str">
        <f aca="false">IF($D68="Panel Details",'Survey Response'!$M66,"")</f>
        <v/>
      </c>
      <c r="AK68" s="46" t="str">
        <f aca="false">IF($D68="Panel Details",$O68,"")</f>
        <v/>
      </c>
      <c r="AL68" s="46" t="str">
        <f aca="false">IF($D68="Panel Details",8,"")</f>
        <v/>
      </c>
      <c r="AM68" s="46" t="str">
        <f aca="false">IF($D68="Panel Details",$AB68,"")</f>
        <v/>
      </c>
      <c r="AN68" s="46" t="str">
        <f aca="false">IF($D68="Panel Details","Yes","")</f>
        <v/>
      </c>
      <c r="AO68" s="46"/>
      <c r="AP68" s="46" t="str">
        <f aca="false">IF($D68="Followup",'Survey Response'!$D66,"")</f>
        <v/>
      </c>
      <c r="AQ68" s="46" t="str">
        <f aca="false">IF($D68="Followup",'Survey Response'!$E66,"")</f>
        <v/>
      </c>
      <c r="AR68" s="46" t="str">
        <f aca="false">IF($D68="Followup",'Survey Response'!$G66,"")</f>
        <v/>
      </c>
      <c r="AS68" s="46" t="str">
        <f aca="false">IF($D68="Followup",'Survey Response'!$H66,"")</f>
        <v/>
      </c>
      <c r="AT68" s="46" t="str">
        <f aca="false">IF($D68="Followup",'Survey Response'!$M66,"")</f>
        <v/>
      </c>
      <c r="AU68" s="46" t="str">
        <f aca="false">IF($D68="Followup",'Survey Response'!$K66,"")</f>
        <v/>
      </c>
      <c r="AV68" s="46" t="str">
        <f aca="false">IF($D68="Followup",'Survey Response'!$L66,"")</f>
        <v/>
      </c>
      <c r="AW68" s="46" t="str">
        <f aca="false">IF($D68="Followup",IF(AND($P68&lt;&gt;"Yes",$U68&lt;&gt;"Yes"),"Not approved for primary or secondary skill","Approved, but skill(s) no longer have capacity (fully staffed)"),"")</f>
        <v/>
      </c>
    </row>
    <row r="69" customFormat="false" ht="15" hidden="false" customHeight="true" outlineLevel="0" collapsed="false">
      <c r="A69" s="46" t="str">
        <f aca="false">IF('Survey Response'!$D67="","",'Survey Response'!$A67&amp;"|"&amp;LOWER(TRIM('Survey Response'!$D67)))</f>
        <v/>
      </c>
      <c r="B69" s="46" t="str">
        <f aca="false">IF($H69="","",$F69&amp;"|"&amp;$H69)</f>
        <v/>
      </c>
      <c r="C69" s="46" t="str">
        <f aca="false">IF($H69="","",$A69=$B69)</f>
        <v/>
      </c>
      <c r="D69" s="46" t="str">
        <f aca="false">IF($H69="","",IF($E69&lt;&gt;"Yes","Superseded",IF($I69&lt;&gt;"Yes, I'm available for in-person interviews at Chennai","Not Available",IF($Z69&lt;&gt;"","Panel Details","Followup"))))</f>
        <v/>
      </c>
      <c r="E69" s="46" t="str">
        <f aca="false">IF($H69="","",IF(SUMPRODUCT(($H$4:$H$503=$H69)*(($G$4:$G$503&gt;$G69)+($G$4:$G$503=$G69)*($F$4:$F$503&gt;$F69)))=0,"Yes","No"))</f>
        <v/>
      </c>
      <c r="F69" s="47" t="str">
        <f aca="false">IF('Survey Response'!$D67="","",INT('Survey Response'!$A67))</f>
        <v/>
      </c>
      <c r="G69" s="46" t="str">
        <f aca="false">IF('Survey Response'!$D67="","",'Survey Response'!$C67)</f>
        <v/>
      </c>
      <c r="H69" s="46" t="str">
        <f aca="false">IF('Survey Response'!$D67="","",LOWER(TRIM('Survey Response'!$D67)))</f>
        <v/>
      </c>
      <c r="I69" s="46" t="str">
        <f aca="false">IF($H69="","",'Survey Response'!$I67)</f>
        <v/>
      </c>
      <c r="J69" s="46" t="str">
        <f aca="false">IF($H69="","",'Survey Response'!$K67)</f>
        <v/>
      </c>
      <c r="K69" s="46" t="str">
        <f aca="false">IF($J69="","",IF(COUNTIF('Skill Mapping'!$A$2:$A$7,TRIM($J69))=0,"",INDEX('Skill Mapping'!$B$2:$B$7,MATCH(TRIM($J69),'Skill Mapping'!$A$2:$A$7,0))))</f>
        <v/>
      </c>
      <c r="L69" s="46" t="str">
        <f aca="false">IF($H69="","",'Survey Response'!$L67)</f>
        <v/>
      </c>
      <c r="M69" s="46" t="str">
        <f aca="false">IF($L69="","",IF(COUNTIF('Skill Mapping'!$A$2:$A$7,TRIM($L69))=0,"",INDEX('Skill Mapping'!$B$2:$B$7,MATCH(TRIM($L69),'Skill Mapping'!$A$2:$A$7,0))))</f>
        <v/>
      </c>
      <c r="N69" s="46" t="str">
        <f aca="false">IF($H69="","",'Survey Response'!$M67)</f>
        <v/>
      </c>
      <c r="O69" s="46" t="str">
        <f aca="false">IF($H69="","",IF('Survey Response'!$M67="Manager","R2","R1"))</f>
        <v/>
      </c>
      <c r="P69" s="46" t="str">
        <f aca="false">IF($K69="","No",IF(COUNTIFS(MasterPanel!$B:$B,$H69,MasterPanel!$I:$I,$K69,MasterPanel!$K:$K,"Y")&gt;0,"Yes","No"))</f>
        <v>No</v>
      </c>
      <c r="Q69" s="46" t="n">
        <f aca="false">IF($K69="",0,IF(COUNTIF('Gap Sheet'!$A$6:$A$11,TRIM($J69))=0,0,IF($O69="R1",INDEX('Gap Sheet'!$C$6:$C$11,MATCH(TRIM($J69),'Gap Sheet'!$A$6:$A$11,0)),INDEX('Gap Sheet'!$G$6:$G$11,MATCH(TRIM($J69),'Gap Sheet'!$A$6:$A$11,0)))))</f>
        <v>0</v>
      </c>
      <c r="R69" s="46" t="str">
        <f aca="false">IF($K69="","",$K69&amp;"|"&amp;$O69)</f>
        <v/>
      </c>
      <c r="S69" s="46" t="n">
        <f aca="false">IF($R69="",0,COUNTIF($AA$4:$AA68,$R69))</f>
        <v>0</v>
      </c>
      <c r="T69" s="46" t="str">
        <f aca="false">IF(OR($I69&lt;&gt;"Yes, I'm available for in-person interviews at Chennai",$E69&lt;&gt;"Yes",$P69&lt;&gt;"Yes"),"No",IF(($Q69-$S69)&gt;0,"Yes","No"))</f>
        <v>No</v>
      </c>
      <c r="U69" s="46" t="str">
        <f aca="false">IF($M69="","No",IF(COUNTIFS(MasterPanel!$B:$B,$H69,MasterPanel!$I:$I,$M69,MasterPanel!$K:$K,"Y")&gt;0,"Yes","No"))</f>
        <v>No</v>
      </c>
      <c r="V69" s="46" t="n">
        <f aca="false">IF($M69="",0,IF(COUNTIF('Gap Sheet'!$A$6:$A$11,TRIM($L69))=0,0,IF($O69="R1",INDEX('Gap Sheet'!$C$6:$C$11,MATCH(TRIM($L69),'Gap Sheet'!$A$6:$A$11,0)),INDEX('Gap Sheet'!$G$6:$G$11,MATCH(TRIM($L69),'Gap Sheet'!$A$6:$A$11,0)))))</f>
        <v>0</v>
      </c>
      <c r="W69" s="46" t="str">
        <f aca="false">IF($M69="","",$M69&amp;"|"&amp;$O69)</f>
        <v/>
      </c>
      <c r="X69" s="46" t="n">
        <f aca="false">IF($W69="",0,COUNTIF($AA$4:$AA68,$W69))</f>
        <v>0</v>
      </c>
      <c r="Y69" s="46" t="str">
        <f aca="false">IF(OR($I69&lt;&gt;"Yes, I'm available for in-person interviews at Chennai",$E69&lt;&gt;"Yes",$T69="Yes",$U69&lt;&gt;"Yes"),"No",IF(($V69-$X69)&gt;0,"Yes","No"))</f>
        <v>No</v>
      </c>
      <c r="Z69" s="46" t="str">
        <f aca="false">IF($T69="Yes","Primary",IF($Y69="Yes","Secondary",""))</f>
        <v/>
      </c>
      <c r="AA69" s="46" t="str">
        <f aca="false">IF($Z69="Primary",$R69,IF($Z69="Secondary",$W69,""))</f>
        <v/>
      </c>
      <c r="AB69" s="46" t="str">
        <f aca="false">IF($Z69="Primary","Matched on primary skill",IF($Z69="Secondary","Matched on secondary skill (primary not approved or not required)",""))</f>
        <v/>
      </c>
      <c r="AC69" s="47" t="str">
        <f aca="false">IF($D69="Panel Details",$F69,"")</f>
        <v/>
      </c>
      <c r="AD69" s="46" t="str">
        <f aca="false">IF($D69="Panel Details",'Survey Response'!$D67,"")</f>
        <v/>
      </c>
      <c r="AE69" s="46" t="str">
        <f aca="false">IF($D69="Panel Details",'Survey Response'!$E67,"")</f>
        <v/>
      </c>
      <c r="AF69" s="46" t="str">
        <f aca="false">IF($D69="Panel Details",'Survey Response'!$G67,"")</f>
        <v/>
      </c>
      <c r="AG69" s="46" t="str">
        <f aca="false">IF($D69="Panel Details",IF($Z69="Primary",$J69,$L69),"")</f>
        <v/>
      </c>
      <c r="AH69" s="46" t="str">
        <f aca="false">IF($D69="Panel Details",IF($Z69="Primary",$L69,$J69),"")</f>
        <v/>
      </c>
      <c r="AI69" s="46" t="str">
        <f aca="false">IF($D69="Panel Details",'Survey Response'!$H67,"")</f>
        <v/>
      </c>
      <c r="AJ69" s="46" t="str">
        <f aca="false">IF($D69="Panel Details",'Survey Response'!$M67,"")</f>
        <v/>
      </c>
      <c r="AK69" s="46" t="str">
        <f aca="false">IF($D69="Panel Details",$O69,"")</f>
        <v/>
      </c>
      <c r="AL69" s="46" t="str">
        <f aca="false">IF($D69="Panel Details",8,"")</f>
        <v/>
      </c>
      <c r="AM69" s="46" t="str">
        <f aca="false">IF($D69="Panel Details",$AB69,"")</f>
        <v/>
      </c>
      <c r="AN69" s="46" t="str">
        <f aca="false">IF($D69="Panel Details","Yes","")</f>
        <v/>
      </c>
      <c r="AO69" s="46"/>
      <c r="AP69" s="46" t="str">
        <f aca="false">IF($D69="Followup",'Survey Response'!$D67,"")</f>
        <v/>
      </c>
      <c r="AQ69" s="46" t="str">
        <f aca="false">IF($D69="Followup",'Survey Response'!$E67,"")</f>
        <v/>
      </c>
      <c r="AR69" s="46" t="str">
        <f aca="false">IF($D69="Followup",'Survey Response'!$G67,"")</f>
        <v/>
      </c>
      <c r="AS69" s="46" t="str">
        <f aca="false">IF($D69="Followup",'Survey Response'!$H67,"")</f>
        <v/>
      </c>
      <c r="AT69" s="46" t="str">
        <f aca="false">IF($D69="Followup",'Survey Response'!$M67,"")</f>
        <v/>
      </c>
      <c r="AU69" s="46" t="str">
        <f aca="false">IF($D69="Followup",'Survey Response'!$K67,"")</f>
        <v/>
      </c>
      <c r="AV69" s="46" t="str">
        <f aca="false">IF($D69="Followup",'Survey Response'!$L67,"")</f>
        <v/>
      </c>
      <c r="AW69" s="46" t="str">
        <f aca="false">IF($D69="Followup",IF(AND($P69&lt;&gt;"Yes",$U69&lt;&gt;"Yes"),"Not approved for primary or secondary skill","Approved, but skill(s) no longer have capacity (fully staffed)"),"")</f>
        <v/>
      </c>
    </row>
    <row r="70" customFormat="false" ht="15" hidden="false" customHeight="true" outlineLevel="0" collapsed="false">
      <c r="A70" s="46" t="str">
        <f aca="false">IF('Survey Response'!$D68="","",'Survey Response'!$A68&amp;"|"&amp;LOWER(TRIM('Survey Response'!$D68)))</f>
        <v/>
      </c>
      <c r="B70" s="46" t="str">
        <f aca="false">IF($H70="","",$F70&amp;"|"&amp;$H70)</f>
        <v/>
      </c>
      <c r="C70" s="46" t="str">
        <f aca="false">IF($H70="","",$A70=$B70)</f>
        <v/>
      </c>
      <c r="D70" s="46" t="str">
        <f aca="false">IF($H70="","",IF($E70&lt;&gt;"Yes","Superseded",IF($I70&lt;&gt;"Yes, I'm available for in-person interviews at Chennai","Not Available",IF($Z70&lt;&gt;"","Panel Details","Followup"))))</f>
        <v/>
      </c>
      <c r="E70" s="46" t="str">
        <f aca="false">IF($H70="","",IF(SUMPRODUCT(($H$4:$H$503=$H70)*(($G$4:$G$503&gt;$G70)+($G$4:$G$503=$G70)*($F$4:$F$503&gt;$F70)))=0,"Yes","No"))</f>
        <v/>
      </c>
      <c r="F70" s="47" t="str">
        <f aca="false">IF('Survey Response'!$D68="","",INT('Survey Response'!$A68))</f>
        <v/>
      </c>
      <c r="G70" s="46" t="str">
        <f aca="false">IF('Survey Response'!$D68="","",'Survey Response'!$C68)</f>
        <v/>
      </c>
      <c r="H70" s="46" t="str">
        <f aca="false">IF('Survey Response'!$D68="","",LOWER(TRIM('Survey Response'!$D68)))</f>
        <v/>
      </c>
      <c r="I70" s="46" t="str">
        <f aca="false">IF($H70="","",'Survey Response'!$I68)</f>
        <v/>
      </c>
      <c r="J70" s="46" t="str">
        <f aca="false">IF($H70="","",'Survey Response'!$K68)</f>
        <v/>
      </c>
      <c r="K70" s="46" t="str">
        <f aca="false">IF($J70="","",IF(COUNTIF('Skill Mapping'!$A$2:$A$7,TRIM($J70))=0,"",INDEX('Skill Mapping'!$B$2:$B$7,MATCH(TRIM($J70),'Skill Mapping'!$A$2:$A$7,0))))</f>
        <v/>
      </c>
      <c r="L70" s="46" t="str">
        <f aca="false">IF($H70="","",'Survey Response'!$L68)</f>
        <v/>
      </c>
      <c r="M70" s="46" t="str">
        <f aca="false">IF($L70="","",IF(COUNTIF('Skill Mapping'!$A$2:$A$7,TRIM($L70))=0,"",INDEX('Skill Mapping'!$B$2:$B$7,MATCH(TRIM($L70),'Skill Mapping'!$A$2:$A$7,0))))</f>
        <v/>
      </c>
      <c r="N70" s="46" t="str">
        <f aca="false">IF($H70="","",'Survey Response'!$M68)</f>
        <v/>
      </c>
      <c r="O70" s="46" t="str">
        <f aca="false">IF($H70="","",IF('Survey Response'!$M68="Manager","R2","R1"))</f>
        <v/>
      </c>
      <c r="P70" s="46" t="str">
        <f aca="false">IF($K70="","No",IF(COUNTIFS(MasterPanel!$B:$B,$H70,MasterPanel!$I:$I,$K70,MasterPanel!$K:$K,"Y")&gt;0,"Yes","No"))</f>
        <v>No</v>
      </c>
      <c r="Q70" s="46" t="n">
        <f aca="false">IF($K70="",0,IF(COUNTIF('Gap Sheet'!$A$6:$A$11,TRIM($J70))=0,0,IF($O70="R1",INDEX('Gap Sheet'!$C$6:$C$11,MATCH(TRIM($J70),'Gap Sheet'!$A$6:$A$11,0)),INDEX('Gap Sheet'!$G$6:$G$11,MATCH(TRIM($J70),'Gap Sheet'!$A$6:$A$11,0)))))</f>
        <v>0</v>
      </c>
      <c r="R70" s="46" t="str">
        <f aca="false">IF($K70="","",$K70&amp;"|"&amp;$O70)</f>
        <v/>
      </c>
      <c r="S70" s="46" t="n">
        <f aca="false">IF($R70="",0,COUNTIF($AA$4:$AA69,$R70))</f>
        <v>0</v>
      </c>
      <c r="T70" s="46" t="str">
        <f aca="false">IF(OR($I70&lt;&gt;"Yes, I'm available for in-person interviews at Chennai",$E70&lt;&gt;"Yes",$P70&lt;&gt;"Yes"),"No",IF(($Q70-$S70)&gt;0,"Yes","No"))</f>
        <v>No</v>
      </c>
      <c r="U70" s="46" t="str">
        <f aca="false">IF($M70="","No",IF(COUNTIFS(MasterPanel!$B:$B,$H70,MasterPanel!$I:$I,$M70,MasterPanel!$K:$K,"Y")&gt;0,"Yes","No"))</f>
        <v>No</v>
      </c>
      <c r="V70" s="46" t="n">
        <f aca="false">IF($M70="",0,IF(COUNTIF('Gap Sheet'!$A$6:$A$11,TRIM($L70))=0,0,IF($O70="R1",INDEX('Gap Sheet'!$C$6:$C$11,MATCH(TRIM($L70),'Gap Sheet'!$A$6:$A$11,0)),INDEX('Gap Sheet'!$G$6:$G$11,MATCH(TRIM($L70),'Gap Sheet'!$A$6:$A$11,0)))))</f>
        <v>0</v>
      </c>
      <c r="W70" s="46" t="str">
        <f aca="false">IF($M70="","",$M70&amp;"|"&amp;$O70)</f>
        <v/>
      </c>
      <c r="X70" s="46" t="n">
        <f aca="false">IF($W70="",0,COUNTIF($AA$4:$AA69,$W70))</f>
        <v>0</v>
      </c>
      <c r="Y70" s="46" t="str">
        <f aca="false">IF(OR($I70&lt;&gt;"Yes, I'm available for in-person interviews at Chennai",$E70&lt;&gt;"Yes",$T70="Yes",$U70&lt;&gt;"Yes"),"No",IF(($V70-$X70)&gt;0,"Yes","No"))</f>
        <v>No</v>
      </c>
      <c r="Z70" s="46" t="str">
        <f aca="false">IF($T70="Yes","Primary",IF($Y70="Yes","Secondary",""))</f>
        <v/>
      </c>
      <c r="AA70" s="46" t="str">
        <f aca="false">IF($Z70="Primary",$R70,IF($Z70="Secondary",$W70,""))</f>
        <v/>
      </c>
      <c r="AB70" s="46" t="str">
        <f aca="false">IF($Z70="Primary","Matched on primary skill",IF($Z70="Secondary","Matched on secondary skill (primary not approved or not required)",""))</f>
        <v/>
      </c>
      <c r="AC70" s="47" t="str">
        <f aca="false">IF($D70="Panel Details",$F70,"")</f>
        <v/>
      </c>
      <c r="AD70" s="46" t="str">
        <f aca="false">IF($D70="Panel Details",'Survey Response'!$D68,"")</f>
        <v/>
      </c>
      <c r="AE70" s="46" t="str">
        <f aca="false">IF($D70="Panel Details",'Survey Response'!$E68,"")</f>
        <v/>
      </c>
      <c r="AF70" s="46" t="str">
        <f aca="false">IF($D70="Panel Details",'Survey Response'!$G68,"")</f>
        <v/>
      </c>
      <c r="AG70" s="46" t="str">
        <f aca="false">IF($D70="Panel Details",IF($Z70="Primary",$J70,$L70),"")</f>
        <v/>
      </c>
      <c r="AH70" s="46" t="str">
        <f aca="false">IF($D70="Panel Details",IF($Z70="Primary",$L70,$J70),"")</f>
        <v/>
      </c>
      <c r="AI70" s="46" t="str">
        <f aca="false">IF($D70="Panel Details",'Survey Response'!$H68,"")</f>
        <v/>
      </c>
      <c r="AJ70" s="46" t="str">
        <f aca="false">IF($D70="Panel Details",'Survey Response'!$M68,"")</f>
        <v/>
      </c>
      <c r="AK70" s="46" t="str">
        <f aca="false">IF($D70="Panel Details",$O70,"")</f>
        <v/>
      </c>
      <c r="AL70" s="46" t="str">
        <f aca="false">IF($D70="Panel Details",8,"")</f>
        <v/>
      </c>
      <c r="AM70" s="46" t="str">
        <f aca="false">IF($D70="Panel Details",$AB70,"")</f>
        <v/>
      </c>
      <c r="AN70" s="46" t="str">
        <f aca="false">IF($D70="Panel Details","Yes","")</f>
        <v/>
      </c>
      <c r="AO70" s="46"/>
      <c r="AP70" s="46" t="str">
        <f aca="false">IF($D70="Followup",'Survey Response'!$D68,"")</f>
        <v/>
      </c>
      <c r="AQ70" s="46" t="str">
        <f aca="false">IF($D70="Followup",'Survey Response'!$E68,"")</f>
        <v/>
      </c>
      <c r="AR70" s="46" t="str">
        <f aca="false">IF($D70="Followup",'Survey Response'!$G68,"")</f>
        <v/>
      </c>
      <c r="AS70" s="46" t="str">
        <f aca="false">IF($D70="Followup",'Survey Response'!$H68,"")</f>
        <v/>
      </c>
      <c r="AT70" s="46" t="str">
        <f aca="false">IF($D70="Followup",'Survey Response'!$M68,"")</f>
        <v/>
      </c>
      <c r="AU70" s="46" t="str">
        <f aca="false">IF($D70="Followup",'Survey Response'!$K68,"")</f>
        <v/>
      </c>
      <c r="AV70" s="46" t="str">
        <f aca="false">IF($D70="Followup",'Survey Response'!$L68,"")</f>
        <v/>
      </c>
      <c r="AW70" s="46" t="str">
        <f aca="false">IF($D70="Followup",IF(AND($P70&lt;&gt;"Yes",$U70&lt;&gt;"Yes"),"Not approved for primary or secondary skill","Approved, but skill(s) no longer have capacity (fully staffed)"),"")</f>
        <v/>
      </c>
    </row>
    <row r="71" customFormat="false" ht="15" hidden="false" customHeight="true" outlineLevel="0" collapsed="false">
      <c r="A71" s="46" t="str">
        <f aca="false">IF('Survey Response'!$D69="","",'Survey Response'!$A69&amp;"|"&amp;LOWER(TRIM('Survey Response'!$D69)))</f>
        <v/>
      </c>
      <c r="B71" s="46" t="str">
        <f aca="false">IF($H71="","",$F71&amp;"|"&amp;$H71)</f>
        <v/>
      </c>
      <c r="C71" s="46" t="str">
        <f aca="false">IF($H71="","",$A71=$B71)</f>
        <v/>
      </c>
      <c r="D71" s="46" t="str">
        <f aca="false">IF($H71="","",IF($E71&lt;&gt;"Yes","Superseded",IF($I71&lt;&gt;"Yes, I'm available for in-person interviews at Chennai","Not Available",IF($Z71&lt;&gt;"","Panel Details","Followup"))))</f>
        <v/>
      </c>
      <c r="E71" s="46" t="str">
        <f aca="false">IF($H71="","",IF(SUMPRODUCT(($H$4:$H$503=$H71)*(($G$4:$G$503&gt;$G71)+($G$4:$G$503=$G71)*($F$4:$F$503&gt;$F71)))=0,"Yes","No"))</f>
        <v/>
      </c>
      <c r="F71" s="47" t="str">
        <f aca="false">IF('Survey Response'!$D69="","",INT('Survey Response'!$A69))</f>
        <v/>
      </c>
      <c r="G71" s="46" t="str">
        <f aca="false">IF('Survey Response'!$D69="","",'Survey Response'!$C69)</f>
        <v/>
      </c>
      <c r="H71" s="46" t="str">
        <f aca="false">IF('Survey Response'!$D69="","",LOWER(TRIM('Survey Response'!$D69)))</f>
        <v/>
      </c>
      <c r="I71" s="46" t="str">
        <f aca="false">IF($H71="","",'Survey Response'!$I69)</f>
        <v/>
      </c>
      <c r="J71" s="46" t="str">
        <f aca="false">IF($H71="","",'Survey Response'!$K69)</f>
        <v/>
      </c>
      <c r="K71" s="46" t="str">
        <f aca="false">IF($J71="","",IF(COUNTIF('Skill Mapping'!$A$2:$A$7,TRIM($J71))=0,"",INDEX('Skill Mapping'!$B$2:$B$7,MATCH(TRIM($J71),'Skill Mapping'!$A$2:$A$7,0))))</f>
        <v/>
      </c>
      <c r="L71" s="46" t="str">
        <f aca="false">IF($H71="","",'Survey Response'!$L69)</f>
        <v/>
      </c>
      <c r="M71" s="46" t="str">
        <f aca="false">IF($L71="","",IF(COUNTIF('Skill Mapping'!$A$2:$A$7,TRIM($L71))=0,"",INDEX('Skill Mapping'!$B$2:$B$7,MATCH(TRIM($L71),'Skill Mapping'!$A$2:$A$7,0))))</f>
        <v/>
      </c>
      <c r="N71" s="46" t="str">
        <f aca="false">IF($H71="","",'Survey Response'!$M69)</f>
        <v/>
      </c>
      <c r="O71" s="46" t="str">
        <f aca="false">IF($H71="","",IF('Survey Response'!$M69="Manager","R2","R1"))</f>
        <v/>
      </c>
      <c r="P71" s="46" t="str">
        <f aca="false">IF($K71="","No",IF(COUNTIFS(MasterPanel!$B:$B,$H71,MasterPanel!$I:$I,$K71,MasterPanel!$K:$K,"Y")&gt;0,"Yes","No"))</f>
        <v>No</v>
      </c>
      <c r="Q71" s="46" t="n">
        <f aca="false">IF($K71="",0,IF(COUNTIF('Gap Sheet'!$A$6:$A$11,TRIM($J71))=0,0,IF($O71="R1",INDEX('Gap Sheet'!$C$6:$C$11,MATCH(TRIM($J71),'Gap Sheet'!$A$6:$A$11,0)),INDEX('Gap Sheet'!$G$6:$G$11,MATCH(TRIM($J71),'Gap Sheet'!$A$6:$A$11,0)))))</f>
        <v>0</v>
      </c>
      <c r="R71" s="46" t="str">
        <f aca="false">IF($K71="","",$K71&amp;"|"&amp;$O71)</f>
        <v/>
      </c>
      <c r="S71" s="46" t="n">
        <f aca="false">IF($R71="",0,COUNTIF($AA$4:$AA70,$R71))</f>
        <v>0</v>
      </c>
      <c r="T71" s="46" t="str">
        <f aca="false">IF(OR($I71&lt;&gt;"Yes, I'm available for in-person interviews at Chennai",$E71&lt;&gt;"Yes",$P71&lt;&gt;"Yes"),"No",IF(($Q71-$S71)&gt;0,"Yes","No"))</f>
        <v>No</v>
      </c>
      <c r="U71" s="46" t="str">
        <f aca="false">IF($M71="","No",IF(COUNTIFS(MasterPanel!$B:$B,$H71,MasterPanel!$I:$I,$M71,MasterPanel!$K:$K,"Y")&gt;0,"Yes","No"))</f>
        <v>No</v>
      </c>
      <c r="V71" s="46" t="n">
        <f aca="false">IF($M71="",0,IF(COUNTIF('Gap Sheet'!$A$6:$A$11,TRIM($L71))=0,0,IF($O71="R1",INDEX('Gap Sheet'!$C$6:$C$11,MATCH(TRIM($L71),'Gap Sheet'!$A$6:$A$11,0)),INDEX('Gap Sheet'!$G$6:$G$11,MATCH(TRIM($L71),'Gap Sheet'!$A$6:$A$11,0)))))</f>
        <v>0</v>
      </c>
      <c r="W71" s="46" t="str">
        <f aca="false">IF($M71="","",$M71&amp;"|"&amp;$O71)</f>
        <v/>
      </c>
      <c r="X71" s="46" t="n">
        <f aca="false">IF($W71="",0,COUNTIF($AA$4:$AA70,$W71))</f>
        <v>0</v>
      </c>
      <c r="Y71" s="46" t="str">
        <f aca="false">IF(OR($I71&lt;&gt;"Yes, I'm available for in-person interviews at Chennai",$E71&lt;&gt;"Yes",$T71="Yes",$U71&lt;&gt;"Yes"),"No",IF(($V71-$X71)&gt;0,"Yes","No"))</f>
        <v>No</v>
      </c>
      <c r="Z71" s="46" t="str">
        <f aca="false">IF($T71="Yes","Primary",IF($Y71="Yes","Secondary",""))</f>
        <v/>
      </c>
      <c r="AA71" s="46" t="str">
        <f aca="false">IF($Z71="Primary",$R71,IF($Z71="Secondary",$W71,""))</f>
        <v/>
      </c>
      <c r="AB71" s="46" t="str">
        <f aca="false">IF($Z71="Primary","Matched on primary skill",IF($Z71="Secondary","Matched on secondary skill (primary not approved or not required)",""))</f>
        <v/>
      </c>
      <c r="AC71" s="47" t="str">
        <f aca="false">IF($D71="Panel Details",$F71,"")</f>
        <v/>
      </c>
      <c r="AD71" s="46" t="str">
        <f aca="false">IF($D71="Panel Details",'Survey Response'!$D69,"")</f>
        <v/>
      </c>
      <c r="AE71" s="46" t="str">
        <f aca="false">IF($D71="Panel Details",'Survey Response'!$E69,"")</f>
        <v/>
      </c>
      <c r="AF71" s="46" t="str">
        <f aca="false">IF($D71="Panel Details",'Survey Response'!$G69,"")</f>
        <v/>
      </c>
      <c r="AG71" s="46" t="str">
        <f aca="false">IF($D71="Panel Details",IF($Z71="Primary",$J71,$L71),"")</f>
        <v/>
      </c>
      <c r="AH71" s="46" t="str">
        <f aca="false">IF($D71="Panel Details",IF($Z71="Primary",$L71,$J71),"")</f>
        <v/>
      </c>
      <c r="AI71" s="46" t="str">
        <f aca="false">IF($D71="Panel Details",'Survey Response'!$H69,"")</f>
        <v/>
      </c>
      <c r="AJ71" s="46" t="str">
        <f aca="false">IF($D71="Panel Details",'Survey Response'!$M69,"")</f>
        <v/>
      </c>
      <c r="AK71" s="46" t="str">
        <f aca="false">IF($D71="Panel Details",$O71,"")</f>
        <v/>
      </c>
      <c r="AL71" s="46" t="str">
        <f aca="false">IF($D71="Panel Details",8,"")</f>
        <v/>
      </c>
      <c r="AM71" s="46" t="str">
        <f aca="false">IF($D71="Panel Details",$AB71,"")</f>
        <v/>
      </c>
      <c r="AN71" s="46" t="str">
        <f aca="false">IF($D71="Panel Details","Yes","")</f>
        <v/>
      </c>
      <c r="AO71" s="46"/>
      <c r="AP71" s="46" t="str">
        <f aca="false">IF($D71="Followup",'Survey Response'!$D69,"")</f>
        <v/>
      </c>
      <c r="AQ71" s="46" t="str">
        <f aca="false">IF($D71="Followup",'Survey Response'!$E69,"")</f>
        <v/>
      </c>
      <c r="AR71" s="46" t="str">
        <f aca="false">IF($D71="Followup",'Survey Response'!$G69,"")</f>
        <v/>
      </c>
      <c r="AS71" s="46" t="str">
        <f aca="false">IF($D71="Followup",'Survey Response'!$H69,"")</f>
        <v/>
      </c>
      <c r="AT71" s="46" t="str">
        <f aca="false">IF($D71="Followup",'Survey Response'!$M69,"")</f>
        <v/>
      </c>
      <c r="AU71" s="46" t="str">
        <f aca="false">IF($D71="Followup",'Survey Response'!$K69,"")</f>
        <v/>
      </c>
      <c r="AV71" s="46" t="str">
        <f aca="false">IF($D71="Followup",'Survey Response'!$L69,"")</f>
        <v/>
      </c>
      <c r="AW71" s="46" t="str">
        <f aca="false">IF($D71="Followup",IF(AND($P71&lt;&gt;"Yes",$U71&lt;&gt;"Yes"),"Not approved for primary or secondary skill","Approved, but skill(s) no longer have capacity (fully staffed)"),"")</f>
        <v/>
      </c>
    </row>
    <row r="72" customFormat="false" ht="15" hidden="false" customHeight="true" outlineLevel="0" collapsed="false">
      <c r="A72" s="46" t="str">
        <f aca="false">IF('Survey Response'!$D70="","",'Survey Response'!$A70&amp;"|"&amp;LOWER(TRIM('Survey Response'!$D70)))</f>
        <v/>
      </c>
      <c r="B72" s="46" t="str">
        <f aca="false">IF($H72="","",$F72&amp;"|"&amp;$H72)</f>
        <v/>
      </c>
      <c r="C72" s="46" t="str">
        <f aca="false">IF($H72="","",$A72=$B72)</f>
        <v/>
      </c>
      <c r="D72" s="46" t="str">
        <f aca="false">IF($H72="","",IF($E72&lt;&gt;"Yes","Superseded",IF($I72&lt;&gt;"Yes, I'm available for in-person interviews at Chennai","Not Available",IF($Z72&lt;&gt;"","Panel Details","Followup"))))</f>
        <v/>
      </c>
      <c r="E72" s="46" t="str">
        <f aca="false">IF($H72="","",IF(SUMPRODUCT(($H$4:$H$503=$H72)*(($G$4:$G$503&gt;$G72)+($G$4:$G$503=$G72)*($F$4:$F$503&gt;$F72)))=0,"Yes","No"))</f>
        <v/>
      </c>
      <c r="F72" s="47" t="str">
        <f aca="false">IF('Survey Response'!$D70="","",INT('Survey Response'!$A70))</f>
        <v/>
      </c>
      <c r="G72" s="46" t="str">
        <f aca="false">IF('Survey Response'!$D70="","",'Survey Response'!$C70)</f>
        <v/>
      </c>
      <c r="H72" s="46" t="str">
        <f aca="false">IF('Survey Response'!$D70="","",LOWER(TRIM('Survey Response'!$D70)))</f>
        <v/>
      </c>
      <c r="I72" s="46" t="str">
        <f aca="false">IF($H72="","",'Survey Response'!$I70)</f>
        <v/>
      </c>
      <c r="J72" s="46" t="str">
        <f aca="false">IF($H72="","",'Survey Response'!$K70)</f>
        <v/>
      </c>
      <c r="K72" s="46" t="str">
        <f aca="false">IF($J72="","",IF(COUNTIF('Skill Mapping'!$A$2:$A$7,TRIM($J72))=0,"",INDEX('Skill Mapping'!$B$2:$B$7,MATCH(TRIM($J72),'Skill Mapping'!$A$2:$A$7,0))))</f>
        <v/>
      </c>
      <c r="L72" s="46" t="str">
        <f aca="false">IF($H72="","",'Survey Response'!$L70)</f>
        <v/>
      </c>
      <c r="M72" s="46" t="str">
        <f aca="false">IF($L72="","",IF(COUNTIF('Skill Mapping'!$A$2:$A$7,TRIM($L72))=0,"",INDEX('Skill Mapping'!$B$2:$B$7,MATCH(TRIM($L72),'Skill Mapping'!$A$2:$A$7,0))))</f>
        <v/>
      </c>
      <c r="N72" s="46" t="str">
        <f aca="false">IF($H72="","",'Survey Response'!$M70)</f>
        <v/>
      </c>
      <c r="O72" s="46" t="str">
        <f aca="false">IF($H72="","",IF('Survey Response'!$M70="Manager","R2","R1"))</f>
        <v/>
      </c>
      <c r="P72" s="46" t="str">
        <f aca="false">IF($K72="","No",IF(COUNTIFS(MasterPanel!$B:$B,$H72,MasterPanel!$I:$I,$K72,MasterPanel!$K:$K,"Y")&gt;0,"Yes","No"))</f>
        <v>No</v>
      </c>
      <c r="Q72" s="46" t="n">
        <f aca="false">IF($K72="",0,IF(COUNTIF('Gap Sheet'!$A$6:$A$11,TRIM($J72))=0,0,IF($O72="R1",INDEX('Gap Sheet'!$C$6:$C$11,MATCH(TRIM($J72),'Gap Sheet'!$A$6:$A$11,0)),INDEX('Gap Sheet'!$G$6:$G$11,MATCH(TRIM($J72),'Gap Sheet'!$A$6:$A$11,0)))))</f>
        <v>0</v>
      </c>
      <c r="R72" s="46" t="str">
        <f aca="false">IF($K72="","",$K72&amp;"|"&amp;$O72)</f>
        <v/>
      </c>
      <c r="S72" s="46" t="n">
        <f aca="false">IF($R72="",0,COUNTIF($AA$4:$AA71,$R72))</f>
        <v>0</v>
      </c>
      <c r="T72" s="46" t="str">
        <f aca="false">IF(OR($I72&lt;&gt;"Yes, I'm available for in-person interviews at Chennai",$E72&lt;&gt;"Yes",$P72&lt;&gt;"Yes"),"No",IF(($Q72-$S72)&gt;0,"Yes","No"))</f>
        <v>No</v>
      </c>
      <c r="U72" s="46" t="str">
        <f aca="false">IF($M72="","No",IF(COUNTIFS(MasterPanel!$B:$B,$H72,MasterPanel!$I:$I,$M72,MasterPanel!$K:$K,"Y")&gt;0,"Yes","No"))</f>
        <v>No</v>
      </c>
      <c r="V72" s="46" t="n">
        <f aca="false">IF($M72="",0,IF(COUNTIF('Gap Sheet'!$A$6:$A$11,TRIM($L72))=0,0,IF($O72="R1",INDEX('Gap Sheet'!$C$6:$C$11,MATCH(TRIM($L72),'Gap Sheet'!$A$6:$A$11,0)),INDEX('Gap Sheet'!$G$6:$G$11,MATCH(TRIM($L72),'Gap Sheet'!$A$6:$A$11,0)))))</f>
        <v>0</v>
      </c>
      <c r="W72" s="46" t="str">
        <f aca="false">IF($M72="","",$M72&amp;"|"&amp;$O72)</f>
        <v/>
      </c>
      <c r="X72" s="46" t="n">
        <f aca="false">IF($W72="",0,COUNTIF($AA$4:$AA71,$W72))</f>
        <v>0</v>
      </c>
      <c r="Y72" s="46" t="str">
        <f aca="false">IF(OR($I72&lt;&gt;"Yes, I'm available for in-person interviews at Chennai",$E72&lt;&gt;"Yes",$T72="Yes",$U72&lt;&gt;"Yes"),"No",IF(($V72-$X72)&gt;0,"Yes","No"))</f>
        <v>No</v>
      </c>
      <c r="Z72" s="46" t="str">
        <f aca="false">IF($T72="Yes","Primary",IF($Y72="Yes","Secondary",""))</f>
        <v/>
      </c>
      <c r="AA72" s="46" t="str">
        <f aca="false">IF($Z72="Primary",$R72,IF($Z72="Secondary",$W72,""))</f>
        <v/>
      </c>
      <c r="AB72" s="46" t="str">
        <f aca="false">IF($Z72="Primary","Matched on primary skill",IF($Z72="Secondary","Matched on secondary skill (primary not approved or not required)",""))</f>
        <v/>
      </c>
      <c r="AC72" s="47" t="str">
        <f aca="false">IF($D72="Panel Details",$F72,"")</f>
        <v/>
      </c>
      <c r="AD72" s="46" t="str">
        <f aca="false">IF($D72="Panel Details",'Survey Response'!$D70,"")</f>
        <v/>
      </c>
      <c r="AE72" s="46" t="str">
        <f aca="false">IF($D72="Panel Details",'Survey Response'!$E70,"")</f>
        <v/>
      </c>
      <c r="AF72" s="46" t="str">
        <f aca="false">IF($D72="Panel Details",'Survey Response'!$G70,"")</f>
        <v/>
      </c>
      <c r="AG72" s="46" t="str">
        <f aca="false">IF($D72="Panel Details",IF($Z72="Primary",$J72,$L72),"")</f>
        <v/>
      </c>
      <c r="AH72" s="46" t="str">
        <f aca="false">IF($D72="Panel Details",IF($Z72="Primary",$L72,$J72),"")</f>
        <v/>
      </c>
      <c r="AI72" s="46" t="str">
        <f aca="false">IF($D72="Panel Details",'Survey Response'!$H70,"")</f>
        <v/>
      </c>
      <c r="AJ72" s="46" t="str">
        <f aca="false">IF($D72="Panel Details",'Survey Response'!$M70,"")</f>
        <v/>
      </c>
      <c r="AK72" s="46" t="str">
        <f aca="false">IF($D72="Panel Details",$O72,"")</f>
        <v/>
      </c>
      <c r="AL72" s="46" t="str">
        <f aca="false">IF($D72="Panel Details",8,"")</f>
        <v/>
      </c>
      <c r="AM72" s="46" t="str">
        <f aca="false">IF($D72="Panel Details",$AB72,"")</f>
        <v/>
      </c>
      <c r="AN72" s="46" t="str">
        <f aca="false">IF($D72="Panel Details","Yes","")</f>
        <v/>
      </c>
      <c r="AO72" s="46"/>
      <c r="AP72" s="46" t="str">
        <f aca="false">IF($D72="Followup",'Survey Response'!$D70,"")</f>
        <v/>
      </c>
      <c r="AQ72" s="46" t="str">
        <f aca="false">IF($D72="Followup",'Survey Response'!$E70,"")</f>
        <v/>
      </c>
      <c r="AR72" s="46" t="str">
        <f aca="false">IF($D72="Followup",'Survey Response'!$G70,"")</f>
        <v/>
      </c>
      <c r="AS72" s="46" t="str">
        <f aca="false">IF($D72="Followup",'Survey Response'!$H70,"")</f>
        <v/>
      </c>
      <c r="AT72" s="46" t="str">
        <f aca="false">IF($D72="Followup",'Survey Response'!$M70,"")</f>
        <v/>
      </c>
      <c r="AU72" s="46" t="str">
        <f aca="false">IF($D72="Followup",'Survey Response'!$K70,"")</f>
        <v/>
      </c>
      <c r="AV72" s="46" t="str">
        <f aca="false">IF($D72="Followup",'Survey Response'!$L70,"")</f>
        <v/>
      </c>
      <c r="AW72" s="46" t="str">
        <f aca="false">IF($D72="Followup",IF(AND($P72&lt;&gt;"Yes",$U72&lt;&gt;"Yes"),"Not approved for primary or secondary skill","Approved, but skill(s) no longer have capacity (fully staffed)"),"")</f>
        <v/>
      </c>
    </row>
    <row r="73" customFormat="false" ht="15" hidden="false" customHeight="true" outlineLevel="0" collapsed="false">
      <c r="A73" s="46" t="str">
        <f aca="false">IF('Survey Response'!$D71="","",'Survey Response'!$A71&amp;"|"&amp;LOWER(TRIM('Survey Response'!$D71)))</f>
        <v/>
      </c>
      <c r="B73" s="46" t="str">
        <f aca="false">IF($H73="","",$F73&amp;"|"&amp;$H73)</f>
        <v/>
      </c>
      <c r="C73" s="46" t="str">
        <f aca="false">IF($H73="","",$A73=$B73)</f>
        <v/>
      </c>
      <c r="D73" s="46" t="str">
        <f aca="false">IF($H73="","",IF($E73&lt;&gt;"Yes","Superseded",IF($I73&lt;&gt;"Yes, I'm available for in-person interviews at Chennai","Not Available",IF($Z73&lt;&gt;"","Panel Details","Followup"))))</f>
        <v/>
      </c>
      <c r="E73" s="46" t="str">
        <f aca="false">IF($H73="","",IF(SUMPRODUCT(($H$4:$H$503=$H73)*(($G$4:$G$503&gt;$G73)+($G$4:$G$503=$G73)*($F$4:$F$503&gt;$F73)))=0,"Yes","No"))</f>
        <v/>
      </c>
      <c r="F73" s="47" t="str">
        <f aca="false">IF('Survey Response'!$D71="","",INT('Survey Response'!$A71))</f>
        <v/>
      </c>
      <c r="G73" s="46" t="str">
        <f aca="false">IF('Survey Response'!$D71="","",'Survey Response'!$C71)</f>
        <v/>
      </c>
      <c r="H73" s="46" t="str">
        <f aca="false">IF('Survey Response'!$D71="","",LOWER(TRIM('Survey Response'!$D71)))</f>
        <v/>
      </c>
      <c r="I73" s="46" t="str">
        <f aca="false">IF($H73="","",'Survey Response'!$I71)</f>
        <v/>
      </c>
      <c r="J73" s="46" t="str">
        <f aca="false">IF($H73="","",'Survey Response'!$K71)</f>
        <v/>
      </c>
      <c r="K73" s="46" t="str">
        <f aca="false">IF($J73="","",IF(COUNTIF('Skill Mapping'!$A$2:$A$7,TRIM($J73))=0,"",INDEX('Skill Mapping'!$B$2:$B$7,MATCH(TRIM($J73),'Skill Mapping'!$A$2:$A$7,0))))</f>
        <v/>
      </c>
      <c r="L73" s="46" t="str">
        <f aca="false">IF($H73="","",'Survey Response'!$L71)</f>
        <v/>
      </c>
      <c r="M73" s="46" t="str">
        <f aca="false">IF($L73="","",IF(COUNTIF('Skill Mapping'!$A$2:$A$7,TRIM($L73))=0,"",INDEX('Skill Mapping'!$B$2:$B$7,MATCH(TRIM($L73),'Skill Mapping'!$A$2:$A$7,0))))</f>
        <v/>
      </c>
      <c r="N73" s="46" t="str">
        <f aca="false">IF($H73="","",'Survey Response'!$M71)</f>
        <v/>
      </c>
      <c r="O73" s="46" t="str">
        <f aca="false">IF($H73="","",IF('Survey Response'!$M71="Manager","R2","R1"))</f>
        <v/>
      </c>
      <c r="P73" s="46" t="str">
        <f aca="false">IF($K73="","No",IF(COUNTIFS(MasterPanel!$B:$B,$H73,MasterPanel!$I:$I,$K73,MasterPanel!$K:$K,"Y")&gt;0,"Yes","No"))</f>
        <v>No</v>
      </c>
      <c r="Q73" s="46" t="n">
        <f aca="false">IF($K73="",0,IF(COUNTIF('Gap Sheet'!$A$6:$A$11,TRIM($J73))=0,0,IF($O73="R1",INDEX('Gap Sheet'!$C$6:$C$11,MATCH(TRIM($J73),'Gap Sheet'!$A$6:$A$11,0)),INDEX('Gap Sheet'!$G$6:$G$11,MATCH(TRIM($J73),'Gap Sheet'!$A$6:$A$11,0)))))</f>
        <v>0</v>
      </c>
      <c r="R73" s="46" t="str">
        <f aca="false">IF($K73="","",$K73&amp;"|"&amp;$O73)</f>
        <v/>
      </c>
      <c r="S73" s="46" t="n">
        <f aca="false">IF($R73="",0,COUNTIF($AA$4:$AA72,$R73))</f>
        <v>0</v>
      </c>
      <c r="T73" s="46" t="str">
        <f aca="false">IF(OR($I73&lt;&gt;"Yes, I'm available for in-person interviews at Chennai",$E73&lt;&gt;"Yes",$P73&lt;&gt;"Yes"),"No",IF(($Q73-$S73)&gt;0,"Yes","No"))</f>
        <v>No</v>
      </c>
      <c r="U73" s="46" t="str">
        <f aca="false">IF($M73="","No",IF(COUNTIFS(MasterPanel!$B:$B,$H73,MasterPanel!$I:$I,$M73,MasterPanel!$K:$K,"Y")&gt;0,"Yes","No"))</f>
        <v>No</v>
      </c>
      <c r="V73" s="46" t="n">
        <f aca="false">IF($M73="",0,IF(COUNTIF('Gap Sheet'!$A$6:$A$11,TRIM($L73))=0,0,IF($O73="R1",INDEX('Gap Sheet'!$C$6:$C$11,MATCH(TRIM($L73),'Gap Sheet'!$A$6:$A$11,0)),INDEX('Gap Sheet'!$G$6:$G$11,MATCH(TRIM($L73),'Gap Sheet'!$A$6:$A$11,0)))))</f>
        <v>0</v>
      </c>
      <c r="W73" s="46" t="str">
        <f aca="false">IF($M73="","",$M73&amp;"|"&amp;$O73)</f>
        <v/>
      </c>
      <c r="X73" s="46" t="n">
        <f aca="false">IF($W73="",0,COUNTIF($AA$4:$AA72,$W73))</f>
        <v>0</v>
      </c>
      <c r="Y73" s="46" t="str">
        <f aca="false">IF(OR($I73&lt;&gt;"Yes, I'm available for in-person interviews at Chennai",$E73&lt;&gt;"Yes",$T73="Yes",$U73&lt;&gt;"Yes"),"No",IF(($V73-$X73)&gt;0,"Yes","No"))</f>
        <v>No</v>
      </c>
      <c r="Z73" s="46" t="str">
        <f aca="false">IF($T73="Yes","Primary",IF($Y73="Yes","Secondary",""))</f>
        <v/>
      </c>
      <c r="AA73" s="46" t="str">
        <f aca="false">IF($Z73="Primary",$R73,IF($Z73="Secondary",$W73,""))</f>
        <v/>
      </c>
      <c r="AB73" s="46" t="str">
        <f aca="false">IF($Z73="Primary","Matched on primary skill",IF($Z73="Secondary","Matched on secondary skill (primary not approved or not required)",""))</f>
        <v/>
      </c>
      <c r="AC73" s="47" t="str">
        <f aca="false">IF($D73="Panel Details",$F73,"")</f>
        <v/>
      </c>
      <c r="AD73" s="46" t="str">
        <f aca="false">IF($D73="Panel Details",'Survey Response'!$D71,"")</f>
        <v/>
      </c>
      <c r="AE73" s="46" t="str">
        <f aca="false">IF($D73="Panel Details",'Survey Response'!$E71,"")</f>
        <v/>
      </c>
      <c r="AF73" s="46" t="str">
        <f aca="false">IF($D73="Panel Details",'Survey Response'!$G71,"")</f>
        <v/>
      </c>
      <c r="AG73" s="46" t="str">
        <f aca="false">IF($D73="Panel Details",IF($Z73="Primary",$J73,$L73),"")</f>
        <v/>
      </c>
      <c r="AH73" s="46" t="str">
        <f aca="false">IF($D73="Panel Details",IF($Z73="Primary",$L73,$J73),"")</f>
        <v/>
      </c>
      <c r="AI73" s="46" t="str">
        <f aca="false">IF($D73="Panel Details",'Survey Response'!$H71,"")</f>
        <v/>
      </c>
      <c r="AJ73" s="46" t="str">
        <f aca="false">IF($D73="Panel Details",'Survey Response'!$M71,"")</f>
        <v/>
      </c>
      <c r="AK73" s="46" t="str">
        <f aca="false">IF($D73="Panel Details",$O73,"")</f>
        <v/>
      </c>
      <c r="AL73" s="46" t="str">
        <f aca="false">IF($D73="Panel Details",8,"")</f>
        <v/>
      </c>
      <c r="AM73" s="46" t="str">
        <f aca="false">IF($D73="Panel Details",$AB73,"")</f>
        <v/>
      </c>
      <c r="AN73" s="46" t="str">
        <f aca="false">IF($D73="Panel Details","Yes","")</f>
        <v/>
      </c>
      <c r="AO73" s="46"/>
      <c r="AP73" s="46" t="str">
        <f aca="false">IF($D73="Followup",'Survey Response'!$D71,"")</f>
        <v/>
      </c>
      <c r="AQ73" s="46" t="str">
        <f aca="false">IF($D73="Followup",'Survey Response'!$E71,"")</f>
        <v/>
      </c>
      <c r="AR73" s="46" t="str">
        <f aca="false">IF($D73="Followup",'Survey Response'!$G71,"")</f>
        <v/>
      </c>
      <c r="AS73" s="46" t="str">
        <f aca="false">IF($D73="Followup",'Survey Response'!$H71,"")</f>
        <v/>
      </c>
      <c r="AT73" s="46" t="str">
        <f aca="false">IF($D73="Followup",'Survey Response'!$M71,"")</f>
        <v/>
      </c>
      <c r="AU73" s="46" t="str">
        <f aca="false">IF($D73="Followup",'Survey Response'!$K71,"")</f>
        <v/>
      </c>
      <c r="AV73" s="46" t="str">
        <f aca="false">IF($D73="Followup",'Survey Response'!$L71,"")</f>
        <v/>
      </c>
      <c r="AW73" s="46" t="str">
        <f aca="false">IF($D73="Followup",IF(AND($P73&lt;&gt;"Yes",$U73&lt;&gt;"Yes"),"Not approved for primary or secondary skill","Approved, but skill(s) no longer have capacity (fully staffed)"),"")</f>
        <v/>
      </c>
    </row>
    <row r="74" customFormat="false" ht="15" hidden="false" customHeight="true" outlineLevel="0" collapsed="false">
      <c r="A74" s="46" t="str">
        <f aca="false">IF('Survey Response'!$D72="","",'Survey Response'!$A72&amp;"|"&amp;LOWER(TRIM('Survey Response'!$D72)))</f>
        <v/>
      </c>
      <c r="B74" s="46" t="str">
        <f aca="false">IF($H74="","",$F74&amp;"|"&amp;$H74)</f>
        <v/>
      </c>
      <c r="C74" s="46" t="str">
        <f aca="false">IF($H74="","",$A74=$B74)</f>
        <v/>
      </c>
      <c r="D74" s="46" t="str">
        <f aca="false">IF($H74="","",IF($E74&lt;&gt;"Yes","Superseded",IF($I74&lt;&gt;"Yes, I'm available for in-person interviews at Chennai","Not Available",IF($Z74&lt;&gt;"","Panel Details","Followup"))))</f>
        <v/>
      </c>
      <c r="E74" s="46" t="str">
        <f aca="false">IF($H74="","",IF(SUMPRODUCT(($H$4:$H$503=$H74)*(($G$4:$G$503&gt;$G74)+($G$4:$G$503=$G74)*($F$4:$F$503&gt;$F74)))=0,"Yes","No"))</f>
        <v/>
      </c>
      <c r="F74" s="47" t="str">
        <f aca="false">IF('Survey Response'!$D72="","",INT('Survey Response'!$A72))</f>
        <v/>
      </c>
      <c r="G74" s="46" t="str">
        <f aca="false">IF('Survey Response'!$D72="","",'Survey Response'!$C72)</f>
        <v/>
      </c>
      <c r="H74" s="46" t="str">
        <f aca="false">IF('Survey Response'!$D72="","",LOWER(TRIM('Survey Response'!$D72)))</f>
        <v/>
      </c>
      <c r="I74" s="46" t="str">
        <f aca="false">IF($H74="","",'Survey Response'!$I72)</f>
        <v/>
      </c>
      <c r="J74" s="46" t="str">
        <f aca="false">IF($H74="","",'Survey Response'!$K72)</f>
        <v/>
      </c>
      <c r="K74" s="46" t="str">
        <f aca="false">IF($J74="","",IF(COUNTIF('Skill Mapping'!$A$2:$A$7,TRIM($J74))=0,"",INDEX('Skill Mapping'!$B$2:$B$7,MATCH(TRIM($J74),'Skill Mapping'!$A$2:$A$7,0))))</f>
        <v/>
      </c>
      <c r="L74" s="46" t="str">
        <f aca="false">IF($H74="","",'Survey Response'!$L72)</f>
        <v/>
      </c>
      <c r="M74" s="46" t="str">
        <f aca="false">IF($L74="","",IF(COUNTIF('Skill Mapping'!$A$2:$A$7,TRIM($L74))=0,"",INDEX('Skill Mapping'!$B$2:$B$7,MATCH(TRIM($L74),'Skill Mapping'!$A$2:$A$7,0))))</f>
        <v/>
      </c>
      <c r="N74" s="46" t="str">
        <f aca="false">IF($H74="","",'Survey Response'!$M72)</f>
        <v/>
      </c>
      <c r="O74" s="46" t="str">
        <f aca="false">IF($H74="","",IF('Survey Response'!$M72="Manager","R2","R1"))</f>
        <v/>
      </c>
      <c r="P74" s="46" t="str">
        <f aca="false">IF($K74="","No",IF(COUNTIFS(MasterPanel!$B:$B,$H74,MasterPanel!$I:$I,$K74,MasterPanel!$K:$K,"Y")&gt;0,"Yes","No"))</f>
        <v>No</v>
      </c>
      <c r="Q74" s="46" t="n">
        <f aca="false">IF($K74="",0,IF(COUNTIF('Gap Sheet'!$A$6:$A$11,TRIM($J74))=0,0,IF($O74="R1",INDEX('Gap Sheet'!$C$6:$C$11,MATCH(TRIM($J74),'Gap Sheet'!$A$6:$A$11,0)),INDEX('Gap Sheet'!$G$6:$G$11,MATCH(TRIM($J74),'Gap Sheet'!$A$6:$A$11,0)))))</f>
        <v>0</v>
      </c>
      <c r="R74" s="46" t="str">
        <f aca="false">IF($K74="","",$K74&amp;"|"&amp;$O74)</f>
        <v/>
      </c>
      <c r="S74" s="46" t="n">
        <f aca="false">IF($R74="",0,COUNTIF($AA$4:$AA73,$R74))</f>
        <v>0</v>
      </c>
      <c r="T74" s="46" t="str">
        <f aca="false">IF(OR($I74&lt;&gt;"Yes, I'm available for in-person interviews at Chennai",$E74&lt;&gt;"Yes",$P74&lt;&gt;"Yes"),"No",IF(($Q74-$S74)&gt;0,"Yes","No"))</f>
        <v>No</v>
      </c>
      <c r="U74" s="46" t="str">
        <f aca="false">IF($M74="","No",IF(COUNTIFS(MasterPanel!$B:$B,$H74,MasterPanel!$I:$I,$M74,MasterPanel!$K:$K,"Y")&gt;0,"Yes","No"))</f>
        <v>No</v>
      </c>
      <c r="V74" s="46" t="n">
        <f aca="false">IF($M74="",0,IF(COUNTIF('Gap Sheet'!$A$6:$A$11,TRIM($L74))=0,0,IF($O74="R1",INDEX('Gap Sheet'!$C$6:$C$11,MATCH(TRIM($L74),'Gap Sheet'!$A$6:$A$11,0)),INDEX('Gap Sheet'!$G$6:$G$11,MATCH(TRIM($L74),'Gap Sheet'!$A$6:$A$11,0)))))</f>
        <v>0</v>
      </c>
      <c r="W74" s="46" t="str">
        <f aca="false">IF($M74="","",$M74&amp;"|"&amp;$O74)</f>
        <v/>
      </c>
      <c r="X74" s="46" t="n">
        <f aca="false">IF($W74="",0,COUNTIF($AA$4:$AA73,$W74))</f>
        <v>0</v>
      </c>
      <c r="Y74" s="46" t="str">
        <f aca="false">IF(OR($I74&lt;&gt;"Yes, I'm available for in-person interviews at Chennai",$E74&lt;&gt;"Yes",$T74="Yes",$U74&lt;&gt;"Yes"),"No",IF(($V74-$X74)&gt;0,"Yes","No"))</f>
        <v>No</v>
      </c>
      <c r="Z74" s="46" t="str">
        <f aca="false">IF($T74="Yes","Primary",IF($Y74="Yes","Secondary",""))</f>
        <v/>
      </c>
      <c r="AA74" s="46" t="str">
        <f aca="false">IF($Z74="Primary",$R74,IF($Z74="Secondary",$W74,""))</f>
        <v/>
      </c>
      <c r="AB74" s="46" t="str">
        <f aca="false">IF($Z74="Primary","Matched on primary skill",IF($Z74="Secondary","Matched on secondary skill (primary not approved or not required)",""))</f>
        <v/>
      </c>
      <c r="AC74" s="47" t="str">
        <f aca="false">IF($D74="Panel Details",$F74,"")</f>
        <v/>
      </c>
      <c r="AD74" s="46" t="str">
        <f aca="false">IF($D74="Panel Details",'Survey Response'!$D72,"")</f>
        <v/>
      </c>
      <c r="AE74" s="46" t="str">
        <f aca="false">IF($D74="Panel Details",'Survey Response'!$E72,"")</f>
        <v/>
      </c>
      <c r="AF74" s="46" t="str">
        <f aca="false">IF($D74="Panel Details",'Survey Response'!$G72,"")</f>
        <v/>
      </c>
      <c r="AG74" s="46" t="str">
        <f aca="false">IF($D74="Panel Details",IF($Z74="Primary",$J74,$L74),"")</f>
        <v/>
      </c>
      <c r="AH74" s="46" t="str">
        <f aca="false">IF($D74="Panel Details",IF($Z74="Primary",$L74,$J74),"")</f>
        <v/>
      </c>
      <c r="AI74" s="46" t="str">
        <f aca="false">IF($D74="Panel Details",'Survey Response'!$H72,"")</f>
        <v/>
      </c>
      <c r="AJ74" s="46" t="str">
        <f aca="false">IF($D74="Panel Details",'Survey Response'!$M72,"")</f>
        <v/>
      </c>
      <c r="AK74" s="46" t="str">
        <f aca="false">IF($D74="Panel Details",$O74,"")</f>
        <v/>
      </c>
      <c r="AL74" s="46" t="str">
        <f aca="false">IF($D74="Panel Details",8,"")</f>
        <v/>
      </c>
      <c r="AM74" s="46" t="str">
        <f aca="false">IF($D74="Panel Details",$AB74,"")</f>
        <v/>
      </c>
      <c r="AN74" s="46" t="str">
        <f aca="false">IF($D74="Panel Details","Yes","")</f>
        <v/>
      </c>
      <c r="AO74" s="46"/>
      <c r="AP74" s="46" t="str">
        <f aca="false">IF($D74="Followup",'Survey Response'!$D72,"")</f>
        <v/>
      </c>
      <c r="AQ74" s="46" t="str">
        <f aca="false">IF($D74="Followup",'Survey Response'!$E72,"")</f>
        <v/>
      </c>
      <c r="AR74" s="46" t="str">
        <f aca="false">IF($D74="Followup",'Survey Response'!$G72,"")</f>
        <v/>
      </c>
      <c r="AS74" s="46" t="str">
        <f aca="false">IF($D74="Followup",'Survey Response'!$H72,"")</f>
        <v/>
      </c>
      <c r="AT74" s="46" t="str">
        <f aca="false">IF($D74="Followup",'Survey Response'!$M72,"")</f>
        <v/>
      </c>
      <c r="AU74" s="46" t="str">
        <f aca="false">IF($D74="Followup",'Survey Response'!$K72,"")</f>
        <v/>
      </c>
      <c r="AV74" s="46" t="str">
        <f aca="false">IF($D74="Followup",'Survey Response'!$L72,"")</f>
        <v/>
      </c>
      <c r="AW74" s="46" t="str">
        <f aca="false">IF($D74="Followup",IF(AND($P74&lt;&gt;"Yes",$U74&lt;&gt;"Yes"),"Not approved for primary or secondary skill","Approved, but skill(s) no longer have capacity (fully staffed)"),"")</f>
        <v/>
      </c>
    </row>
    <row r="75" customFormat="false" ht="15" hidden="false" customHeight="true" outlineLevel="0" collapsed="false">
      <c r="A75" s="46" t="str">
        <f aca="false">IF('Survey Response'!$D73="","",'Survey Response'!$A73&amp;"|"&amp;LOWER(TRIM('Survey Response'!$D73)))</f>
        <v/>
      </c>
      <c r="B75" s="46" t="str">
        <f aca="false">IF($H75="","",$F75&amp;"|"&amp;$H75)</f>
        <v/>
      </c>
      <c r="C75" s="46" t="str">
        <f aca="false">IF($H75="","",$A75=$B75)</f>
        <v/>
      </c>
      <c r="D75" s="46" t="str">
        <f aca="false">IF($H75="","",IF($E75&lt;&gt;"Yes","Superseded",IF($I75&lt;&gt;"Yes, I'm available for in-person interviews at Chennai","Not Available",IF($Z75&lt;&gt;"","Panel Details","Followup"))))</f>
        <v/>
      </c>
      <c r="E75" s="46" t="str">
        <f aca="false">IF($H75="","",IF(SUMPRODUCT(($H$4:$H$503=$H75)*(($G$4:$G$503&gt;$G75)+($G$4:$G$503=$G75)*($F$4:$F$503&gt;$F75)))=0,"Yes","No"))</f>
        <v/>
      </c>
      <c r="F75" s="47" t="str">
        <f aca="false">IF('Survey Response'!$D73="","",INT('Survey Response'!$A73))</f>
        <v/>
      </c>
      <c r="G75" s="46" t="str">
        <f aca="false">IF('Survey Response'!$D73="","",'Survey Response'!$C73)</f>
        <v/>
      </c>
      <c r="H75" s="46" t="str">
        <f aca="false">IF('Survey Response'!$D73="","",LOWER(TRIM('Survey Response'!$D73)))</f>
        <v/>
      </c>
      <c r="I75" s="46" t="str">
        <f aca="false">IF($H75="","",'Survey Response'!$I73)</f>
        <v/>
      </c>
      <c r="J75" s="46" t="str">
        <f aca="false">IF($H75="","",'Survey Response'!$K73)</f>
        <v/>
      </c>
      <c r="K75" s="46" t="str">
        <f aca="false">IF($J75="","",IF(COUNTIF('Skill Mapping'!$A$2:$A$7,TRIM($J75))=0,"",INDEX('Skill Mapping'!$B$2:$B$7,MATCH(TRIM($J75),'Skill Mapping'!$A$2:$A$7,0))))</f>
        <v/>
      </c>
      <c r="L75" s="46" t="str">
        <f aca="false">IF($H75="","",'Survey Response'!$L73)</f>
        <v/>
      </c>
      <c r="M75" s="46" t="str">
        <f aca="false">IF($L75="","",IF(COUNTIF('Skill Mapping'!$A$2:$A$7,TRIM($L75))=0,"",INDEX('Skill Mapping'!$B$2:$B$7,MATCH(TRIM($L75),'Skill Mapping'!$A$2:$A$7,0))))</f>
        <v/>
      </c>
      <c r="N75" s="46" t="str">
        <f aca="false">IF($H75="","",'Survey Response'!$M73)</f>
        <v/>
      </c>
      <c r="O75" s="46" t="str">
        <f aca="false">IF($H75="","",IF('Survey Response'!$M73="Manager","R2","R1"))</f>
        <v/>
      </c>
      <c r="P75" s="46" t="str">
        <f aca="false">IF($K75="","No",IF(COUNTIFS(MasterPanel!$B:$B,$H75,MasterPanel!$I:$I,$K75,MasterPanel!$K:$K,"Y")&gt;0,"Yes","No"))</f>
        <v>No</v>
      </c>
      <c r="Q75" s="46" t="n">
        <f aca="false">IF($K75="",0,IF(COUNTIF('Gap Sheet'!$A$6:$A$11,TRIM($J75))=0,0,IF($O75="R1",INDEX('Gap Sheet'!$C$6:$C$11,MATCH(TRIM($J75),'Gap Sheet'!$A$6:$A$11,0)),INDEX('Gap Sheet'!$G$6:$G$11,MATCH(TRIM($J75),'Gap Sheet'!$A$6:$A$11,0)))))</f>
        <v>0</v>
      </c>
      <c r="R75" s="46" t="str">
        <f aca="false">IF($K75="","",$K75&amp;"|"&amp;$O75)</f>
        <v/>
      </c>
      <c r="S75" s="46" t="n">
        <f aca="false">IF($R75="",0,COUNTIF($AA$4:$AA74,$R75))</f>
        <v>0</v>
      </c>
      <c r="T75" s="46" t="str">
        <f aca="false">IF(OR($I75&lt;&gt;"Yes, I'm available for in-person interviews at Chennai",$E75&lt;&gt;"Yes",$P75&lt;&gt;"Yes"),"No",IF(($Q75-$S75)&gt;0,"Yes","No"))</f>
        <v>No</v>
      </c>
      <c r="U75" s="46" t="str">
        <f aca="false">IF($M75="","No",IF(COUNTIFS(MasterPanel!$B:$B,$H75,MasterPanel!$I:$I,$M75,MasterPanel!$K:$K,"Y")&gt;0,"Yes","No"))</f>
        <v>No</v>
      </c>
      <c r="V75" s="46" t="n">
        <f aca="false">IF($M75="",0,IF(COUNTIF('Gap Sheet'!$A$6:$A$11,TRIM($L75))=0,0,IF($O75="R1",INDEX('Gap Sheet'!$C$6:$C$11,MATCH(TRIM($L75),'Gap Sheet'!$A$6:$A$11,0)),INDEX('Gap Sheet'!$G$6:$G$11,MATCH(TRIM($L75),'Gap Sheet'!$A$6:$A$11,0)))))</f>
        <v>0</v>
      </c>
      <c r="W75" s="46" t="str">
        <f aca="false">IF($M75="","",$M75&amp;"|"&amp;$O75)</f>
        <v/>
      </c>
      <c r="X75" s="46" t="n">
        <f aca="false">IF($W75="",0,COUNTIF($AA$4:$AA74,$W75))</f>
        <v>0</v>
      </c>
      <c r="Y75" s="46" t="str">
        <f aca="false">IF(OR($I75&lt;&gt;"Yes, I'm available for in-person interviews at Chennai",$E75&lt;&gt;"Yes",$T75="Yes",$U75&lt;&gt;"Yes"),"No",IF(($V75-$X75)&gt;0,"Yes","No"))</f>
        <v>No</v>
      </c>
      <c r="Z75" s="46" t="str">
        <f aca="false">IF($T75="Yes","Primary",IF($Y75="Yes","Secondary",""))</f>
        <v/>
      </c>
      <c r="AA75" s="46" t="str">
        <f aca="false">IF($Z75="Primary",$R75,IF($Z75="Secondary",$W75,""))</f>
        <v/>
      </c>
      <c r="AB75" s="46" t="str">
        <f aca="false">IF($Z75="Primary","Matched on primary skill",IF($Z75="Secondary","Matched on secondary skill (primary not approved or not required)",""))</f>
        <v/>
      </c>
      <c r="AC75" s="47" t="str">
        <f aca="false">IF($D75="Panel Details",$F75,"")</f>
        <v/>
      </c>
      <c r="AD75" s="46" t="str">
        <f aca="false">IF($D75="Panel Details",'Survey Response'!$D73,"")</f>
        <v/>
      </c>
      <c r="AE75" s="46" t="str">
        <f aca="false">IF($D75="Panel Details",'Survey Response'!$E73,"")</f>
        <v/>
      </c>
      <c r="AF75" s="46" t="str">
        <f aca="false">IF($D75="Panel Details",'Survey Response'!$G73,"")</f>
        <v/>
      </c>
      <c r="AG75" s="46" t="str">
        <f aca="false">IF($D75="Panel Details",IF($Z75="Primary",$J75,$L75),"")</f>
        <v/>
      </c>
      <c r="AH75" s="46" t="str">
        <f aca="false">IF($D75="Panel Details",IF($Z75="Primary",$L75,$J75),"")</f>
        <v/>
      </c>
      <c r="AI75" s="46" t="str">
        <f aca="false">IF($D75="Panel Details",'Survey Response'!$H73,"")</f>
        <v/>
      </c>
      <c r="AJ75" s="46" t="str">
        <f aca="false">IF($D75="Panel Details",'Survey Response'!$M73,"")</f>
        <v/>
      </c>
      <c r="AK75" s="46" t="str">
        <f aca="false">IF($D75="Panel Details",$O75,"")</f>
        <v/>
      </c>
      <c r="AL75" s="46" t="str">
        <f aca="false">IF($D75="Panel Details",8,"")</f>
        <v/>
      </c>
      <c r="AM75" s="46" t="str">
        <f aca="false">IF($D75="Panel Details",$AB75,"")</f>
        <v/>
      </c>
      <c r="AN75" s="46" t="str">
        <f aca="false">IF($D75="Panel Details","Yes","")</f>
        <v/>
      </c>
      <c r="AO75" s="46"/>
      <c r="AP75" s="46" t="str">
        <f aca="false">IF($D75="Followup",'Survey Response'!$D73,"")</f>
        <v/>
      </c>
      <c r="AQ75" s="46" t="str">
        <f aca="false">IF($D75="Followup",'Survey Response'!$E73,"")</f>
        <v/>
      </c>
      <c r="AR75" s="46" t="str">
        <f aca="false">IF($D75="Followup",'Survey Response'!$G73,"")</f>
        <v/>
      </c>
      <c r="AS75" s="46" t="str">
        <f aca="false">IF($D75="Followup",'Survey Response'!$H73,"")</f>
        <v/>
      </c>
      <c r="AT75" s="46" t="str">
        <f aca="false">IF($D75="Followup",'Survey Response'!$M73,"")</f>
        <v/>
      </c>
      <c r="AU75" s="46" t="str">
        <f aca="false">IF($D75="Followup",'Survey Response'!$K73,"")</f>
        <v/>
      </c>
      <c r="AV75" s="46" t="str">
        <f aca="false">IF($D75="Followup",'Survey Response'!$L73,"")</f>
        <v/>
      </c>
      <c r="AW75" s="46" t="str">
        <f aca="false">IF($D75="Followup",IF(AND($P75&lt;&gt;"Yes",$U75&lt;&gt;"Yes"),"Not approved for primary or secondary skill","Approved, but skill(s) no longer have capacity (fully staffed)"),"")</f>
        <v/>
      </c>
    </row>
    <row r="76" customFormat="false" ht="15" hidden="false" customHeight="true" outlineLevel="0" collapsed="false">
      <c r="A76" s="46" t="str">
        <f aca="false">IF('Survey Response'!$D74="","",'Survey Response'!$A74&amp;"|"&amp;LOWER(TRIM('Survey Response'!$D74)))</f>
        <v/>
      </c>
      <c r="B76" s="46" t="str">
        <f aca="false">IF($H76="","",$F76&amp;"|"&amp;$H76)</f>
        <v/>
      </c>
      <c r="C76" s="46" t="str">
        <f aca="false">IF($H76="","",$A76=$B76)</f>
        <v/>
      </c>
      <c r="D76" s="46" t="str">
        <f aca="false">IF($H76="","",IF($E76&lt;&gt;"Yes","Superseded",IF($I76&lt;&gt;"Yes, I'm available for in-person interviews at Chennai","Not Available",IF($Z76&lt;&gt;"","Panel Details","Followup"))))</f>
        <v/>
      </c>
      <c r="E76" s="46" t="str">
        <f aca="false">IF($H76="","",IF(SUMPRODUCT(($H$4:$H$503=$H76)*(($G$4:$G$503&gt;$G76)+($G$4:$G$503=$G76)*($F$4:$F$503&gt;$F76)))=0,"Yes","No"))</f>
        <v/>
      </c>
      <c r="F76" s="47" t="str">
        <f aca="false">IF('Survey Response'!$D74="","",INT('Survey Response'!$A74))</f>
        <v/>
      </c>
      <c r="G76" s="46" t="str">
        <f aca="false">IF('Survey Response'!$D74="","",'Survey Response'!$C74)</f>
        <v/>
      </c>
      <c r="H76" s="46" t="str">
        <f aca="false">IF('Survey Response'!$D74="","",LOWER(TRIM('Survey Response'!$D74)))</f>
        <v/>
      </c>
      <c r="I76" s="46" t="str">
        <f aca="false">IF($H76="","",'Survey Response'!$I74)</f>
        <v/>
      </c>
      <c r="J76" s="46" t="str">
        <f aca="false">IF($H76="","",'Survey Response'!$K74)</f>
        <v/>
      </c>
      <c r="K76" s="46" t="str">
        <f aca="false">IF($J76="","",IF(COUNTIF('Skill Mapping'!$A$2:$A$7,TRIM($J76))=0,"",INDEX('Skill Mapping'!$B$2:$B$7,MATCH(TRIM($J76),'Skill Mapping'!$A$2:$A$7,0))))</f>
        <v/>
      </c>
      <c r="L76" s="46" t="str">
        <f aca="false">IF($H76="","",'Survey Response'!$L74)</f>
        <v/>
      </c>
      <c r="M76" s="46" t="str">
        <f aca="false">IF($L76="","",IF(COUNTIF('Skill Mapping'!$A$2:$A$7,TRIM($L76))=0,"",INDEX('Skill Mapping'!$B$2:$B$7,MATCH(TRIM($L76),'Skill Mapping'!$A$2:$A$7,0))))</f>
        <v/>
      </c>
      <c r="N76" s="46" t="str">
        <f aca="false">IF($H76="","",'Survey Response'!$M74)</f>
        <v/>
      </c>
      <c r="O76" s="46" t="str">
        <f aca="false">IF($H76="","",IF('Survey Response'!$M74="Manager","R2","R1"))</f>
        <v/>
      </c>
      <c r="P76" s="46" t="str">
        <f aca="false">IF($K76="","No",IF(COUNTIFS(MasterPanel!$B:$B,$H76,MasterPanel!$I:$I,$K76,MasterPanel!$K:$K,"Y")&gt;0,"Yes","No"))</f>
        <v>No</v>
      </c>
      <c r="Q76" s="46" t="n">
        <f aca="false">IF($K76="",0,IF(COUNTIF('Gap Sheet'!$A$6:$A$11,TRIM($J76))=0,0,IF($O76="R1",INDEX('Gap Sheet'!$C$6:$C$11,MATCH(TRIM($J76),'Gap Sheet'!$A$6:$A$11,0)),INDEX('Gap Sheet'!$G$6:$G$11,MATCH(TRIM($J76),'Gap Sheet'!$A$6:$A$11,0)))))</f>
        <v>0</v>
      </c>
      <c r="R76" s="46" t="str">
        <f aca="false">IF($K76="","",$K76&amp;"|"&amp;$O76)</f>
        <v/>
      </c>
      <c r="S76" s="46" t="n">
        <f aca="false">IF($R76="",0,COUNTIF($AA$4:$AA75,$R76))</f>
        <v>0</v>
      </c>
      <c r="T76" s="46" t="str">
        <f aca="false">IF(OR($I76&lt;&gt;"Yes, I'm available for in-person interviews at Chennai",$E76&lt;&gt;"Yes",$P76&lt;&gt;"Yes"),"No",IF(($Q76-$S76)&gt;0,"Yes","No"))</f>
        <v>No</v>
      </c>
      <c r="U76" s="46" t="str">
        <f aca="false">IF($M76="","No",IF(COUNTIFS(MasterPanel!$B:$B,$H76,MasterPanel!$I:$I,$M76,MasterPanel!$K:$K,"Y")&gt;0,"Yes","No"))</f>
        <v>No</v>
      </c>
      <c r="V76" s="46" t="n">
        <f aca="false">IF($M76="",0,IF(COUNTIF('Gap Sheet'!$A$6:$A$11,TRIM($L76))=0,0,IF($O76="R1",INDEX('Gap Sheet'!$C$6:$C$11,MATCH(TRIM($L76),'Gap Sheet'!$A$6:$A$11,0)),INDEX('Gap Sheet'!$G$6:$G$11,MATCH(TRIM($L76),'Gap Sheet'!$A$6:$A$11,0)))))</f>
        <v>0</v>
      </c>
      <c r="W76" s="46" t="str">
        <f aca="false">IF($M76="","",$M76&amp;"|"&amp;$O76)</f>
        <v/>
      </c>
      <c r="X76" s="46" t="n">
        <f aca="false">IF($W76="",0,COUNTIF($AA$4:$AA75,$W76))</f>
        <v>0</v>
      </c>
      <c r="Y76" s="46" t="str">
        <f aca="false">IF(OR($I76&lt;&gt;"Yes, I'm available for in-person interviews at Chennai",$E76&lt;&gt;"Yes",$T76="Yes",$U76&lt;&gt;"Yes"),"No",IF(($V76-$X76)&gt;0,"Yes","No"))</f>
        <v>No</v>
      </c>
      <c r="Z76" s="46" t="str">
        <f aca="false">IF($T76="Yes","Primary",IF($Y76="Yes","Secondary",""))</f>
        <v/>
      </c>
      <c r="AA76" s="46" t="str">
        <f aca="false">IF($Z76="Primary",$R76,IF($Z76="Secondary",$W76,""))</f>
        <v/>
      </c>
      <c r="AB76" s="46" t="str">
        <f aca="false">IF($Z76="Primary","Matched on primary skill",IF($Z76="Secondary","Matched on secondary skill (primary not approved or not required)",""))</f>
        <v/>
      </c>
      <c r="AC76" s="47" t="str">
        <f aca="false">IF($D76="Panel Details",$F76,"")</f>
        <v/>
      </c>
      <c r="AD76" s="46" t="str">
        <f aca="false">IF($D76="Panel Details",'Survey Response'!$D74,"")</f>
        <v/>
      </c>
      <c r="AE76" s="46" t="str">
        <f aca="false">IF($D76="Panel Details",'Survey Response'!$E74,"")</f>
        <v/>
      </c>
      <c r="AF76" s="46" t="str">
        <f aca="false">IF($D76="Panel Details",'Survey Response'!$G74,"")</f>
        <v/>
      </c>
      <c r="AG76" s="46" t="str">
        <f aca="false">IF($D76="Panel Details",IF($Z76="Primary",$J76,$L76),"")</f>
        <v/>
      </c>
      <c r="AH76" s="46" t="str">
        <f aca="false">IF($D76="Panel Details",IF($Z76="Primary",$L76,$J76),"")</f>
        <v/>
      </c>
      <c r="AI76" s="46" t="str">
        <f aca="false">IF($D76="Panel Details",'Survey Response'!$H74,"")</f>
        <v/>
      </c>
      <c r="AJ76" s="46" t="str">
        <f aca="false">IF($D76="Panel Details",'Survey Response'!$M74,"")</f>
        <v/>
      </c>
      <c r="AK76" s="46" t="str">
        <f aca="false">IF($D76="Panel Details",$O76,"")</f>
        <v/>
      </c>
      <c r="AL76" s="46" t="str">
        <f aca="false">IF($D76="Panel Details",8,"")</f>
        <v/>
      </c>
      <c r="AM76" s="46" t="str">
        <f aca="false">IF($D76="Panel Details",$AB76,"")</f>
        <v/>
      </c>
      <c r="AN76" s="46" t="str">
        <f aca="false">IF($D76="Panel Details","Yes","")</f>
        <v/>
      </c>
      <c r="AO76" s="46"/>
      <c r="AP76" s="46" t="str">
        <f aca="false">IF($D76="Followup",'Survey Response'!$D74,"")</f>
        <v/>
      </c>
      <c r="AQ76" s="46" t="str">
        <f aca="false">IF($D76="Followup",'Survey Response'!$E74,"")</f>
        <v/>
      </c>
      <c r="AR76" s="46" t="str">
        <f aca="false">IF($D76="Followup",'Survey Response'!$G74,"")</f>
        <v/>
      </c>
      <c r="AS76" s="46" t="str">
        <f aca="false">IF($D76="Followup",'Survey Response'!$H74,"")</f>
        <v/>
      </c>
      <c r="AT76" s="46" t="str">
        <f aca="false">IF($D76="Followup",'Survey Response'!$M74,"")</f>
        <v/>
      </c>
      <c r="AU76" s="46" t="str">
        <f aca="false">IF($D76="Followup",'Survey Response'!$K74,"")</f>
        <v/>
      </c>
      <c r="AV76" s="46" t="str">
        <f aca="false">IF($D76="Followup",'Survey Response'!$L74,"")</f>
        <v/>
      </c>
      <c r="AW76" s="46" t="str">
        <f aca="false">IF($D76="Followup",IF(AND($P76&lt;&gt;"Yes",$U76&lt;&gt;"Yes"),"Not approved for primary or secondary skill","Approved, but skill(s) no longer have capacity (fully staffed)"),"")</f>
        <v/>
      </c>
    </row>
    <row r="77" customFormat="false" ht="15" hidden="false" customHeight="true" outlineLevel="0" collapsed="false">
      <c r="A77" s="46" t="str">
        <f aca="false">IF('Survey Response'!$D75="","",'Survey Response'!$A75&amp;"|"&amp;LOWER(TRIM('Survey Response'!$D75)))</f>
        <v/>
      </c>
      <c r="B77" s="46" t="str">
        <f aca="false">IF($H77="","",$F77&amp;"|"&amp;$H77)</f>
        <v/>
      </c>
      <c r="C77" s="46" t="str">
        <f aca="false">IF($H77="","",$A77=$B77)</f>
        <v/>
      </c>
      <c r="D77" s="46" t="str">
        <f aca="false">IF($H77="","",IF($E77&lt;&gt;"Yes","Superseded",IF($I77&lt;&gt;"Yes, I'm available for in-person interviews at Chennai","Not Available",IF($Z77&lt;&gt;"","Panel Details","Followup"))))</f>
        <v/>
      </c>
      <c r="E77" s="46" t="str">
        <f aca="false">IF($H77="","",IF(SUMPRODUCT(($H$4:$H$503=$H77)*(($G$4:$G$503&gt;$G77)+($G$4:$G$503=$G77)*($F$4:$F$503&gt;$F77)))=0,"Yes","No"))</f>
        <v/>
      </c>
      <c r="F77" s="47" t="str">
        <f aca="false">IF('Survey Response'!$D75="","",INT('Survey Response'!$A75))</f>
        <v/>
      </c>
      <c r="G77" s="46" t="str">
        <f aca="false">IF('Survey Response'!$D75="","",'Survey Response'!$C75)</f>
        <v/>
      </c>
      <c r="H77" s="46" t="str">
        <f aca="false">IF('Survey Response'!$D75="","",LOWER(TRIM('Survey Response'!$D75)))</f>
        <v/>
      </c>
      <c r="I77" s="46" t="str">
        <f aca="false">IF($H77="","",'Survey Response'!$I75)</f>
        <v/>
      </c>
      <c r="J77" s="46" t="str">
        <f aca="false">IF($H77="","",'Survey Response'!$K75)</f>
        <v/>
      </c>
      <c r="K77" s="46" t="str">
        <f aca="false">IF($J77="","",IF(COUNTIF('Skill Mapping'!$A$2:$A$7,TRIM($J77))=0,"",INDEX('Skill Mapping'!$B$2:$B$7,MATCH(TRIM($J77),'Skill Mapping'!$A$2:$A$7,0))))</f>
        <v/>
      </c>
      <c r="L77" s="46" t="str">
        <f aca="false">IF($H77="","",'Survey Response'!$L75)</f>
        <v/>
      </c>
      <c r="M77" s="46" t="str">
        <f aca="false">IF($L77="","",IF(COUNTIF('Skill Mapping'!$A$2:$A$7,TRIM($L77))=0,"",INDEX('Skill Mapping'!$B$2:$B$7,MATCH(TRIM($L77),'Skill Mapping'!$A$2:$A$7,0))))</f>
        <v/>
      </c>
      <c r="N77" s="46" t="str">
        <f aca="false">IF($H77="","",'Survey Response'!$M75)</f>
        <v/>
      </c>
      <c r="O77" s="46" t="str">
        <f aca="false">IF($H77="","",IF('Survey Response'!$M75="Manager","R2","R1"))</f>
        <v/>
      </c>
      <c r="P77" s="46" t="str">
        <f aca="false">IF($K77="","No",IF(COUNTIFS(MasterPanel!$B:$B,$H77,MasterPanel!$I:$I,$K77,MasterPanel!$K:$K,"Y")&gt;0,"Yes","No"))</f>
        <v>No</v>
      </c>
      <c r="Q77" s="46" t="n">
        <f aca="false">IF($K77="",0,IF(COUNTIF('Gap Sheet'!$A$6:$A$11,TRIM($J77))=0,0,IF($O77="R1",INDEX('Gap Sheet'!$C$6:$C$11,MATCH(TRIM($J77),'Gap Sheet'!$A$6:$A$11,0)),INDEX('Gap Sheet'!$G$6:$G$11,MATCH(TRIM($J77),'Gap Sheet'!$A$6:$A$11,0)))))</f>
        <v>0</v>
      </c>
      <c r="R77" s="46" t="str">
        <f aca="false">IF($K77="","",$K77&amp;"|"&amp;$O77)</f>
        <v/>
      </c>
      <c r="S77" s="46" t="n">
        <f aca="false">IF($R77="",0,COUNTIF($AA$4:$AA76,$R77))</f>
        <v>0</v>
      </c>
      <c r="T77" s="46" t="str">
        <f aca="false">IF(OR($I77&lt;&gt;"Yes, I'm available for in-person interviews at Chennai",$E77&lt;&gt;"Yes",$P77&lt;&gt;"Yes"),"No",IF(($Q77-$S77)&gt;0,"Yes","No"))</f>
        <v>No</v>
      </c>
      <c r="U77" s="46" t="str">
        <f aca="false">IF($M77="","No",IF(COUNTIFS(MasterPanel!$B:$B,$H77,MasterPanel!$I:$I,$M77,MasterPanel!$K:$K,"Y")&gt;0,"Yes","No"))</f>
        <v>No</v>
      </c>
      <c r="V77" s="46" t="n">
        <f aca="false">IF($M77="",0,IF(COUNTIF('Gap Sheet'!$A$6:$A$11,TRIM($L77))=0,0,IF($O77="R1",INDEX('Gap Sheet'!$C$6:$C$11,MATCH(TRIM($L77),'Gap Sheet'!$A$6:$A$11,0)),INDEX('Gap Sheet'!$G$6:$G$11,MATCH(TRIM($L77),'Gap Sheet'!$A$6:$A$11,0)))))</f>
        <v>0</v>
      </c>
      <c r="W77" s="46" t="str">
        <f aca="false">IF($M77="","",$M77&amp;"|"&amp;$O77)</f>
        <v/>
      </c>
      <c r="X77" s="46" t="n">
        <f aca="false">IF($W77="",0,COUNTIF($AA$4:$AA76,$W77))</f>
        <v>0</v>
      </c>
      <c r="Y77" s="46" t="str">
        <f aca="false">IF(OR($I77&lt;&gt;"Yes, I'm available for in-person interviews at Chennai",$E77&lt;&gt;"Yes",$T77="Yes",$U77&lt;&gt;"Yes"),"No",IF(($V77-$X77)&gt;0,"Yes","No"))</f>
        <v>No</v>
      </c>
      <c r="Z77" s="46" t="str">
        <f aca="false">IF($T77="Yes","Primary",IF($Y77="Yes","Secondary",""))</f>
        <v/>
      </c>
      <c r="AA77" s="46" t="str">
        <f aca="false">IF($Z77="Primary",$R77,IF($Z77="Secondary",$W77,""))</f>
        <v/>
      </c>
      <c r="AB77" s="46" t="str">
        <f aca="false">IF($Z77="Primary","Matched on primary skill",IF($Z77="Secondary","Matched on secondary skill (primary not approved or not required)",""))</f>
        <v/>
      </c>
      <c r="AC77" s="47" t="str">
        <f aca="false">IF($D77="Panel Details",$F77,"")</f>
        <v/>
      </c>
      <c r="AD77" s="46" t="str">
        <f aca="false">IF($D77="Panel Details",'Survey Response'!$D75,"")</f>
        <v/>
      </c>
      <c r="AE77" s="46" t="str">
        <f aca="false">IF($D77="Panel Details",'Survey Response'!$E75,"")</f>
        <v/>
      </c>
      <c r="AF77" s="46" t="str">
        <f aca="false">IF($D77="Panel Details",'Survey Response'!$G75,"")</f>
        <v/>
      </c>
      <c r="AG77" s="46" t="str">
        <f aca="false">IF($D77="Panel Details",IF($Z77="Primary",$J77,$L77),"")</f>
        <v/>
      </c>
      <c r="AH77" s="46" t="str">
        <f aca="false">IF($D77="Panel Details",IF($Z77="Primary",$L77,$J77),"")</f>
        <v/>
      </c>
      <c r="AI77" s="46" t="str">
        <f aca="false">IF($D77="Panel Details",'Survey Response'!$H75,"")</f>
        <v/>
      </c>
      <c r="AJ77" s="46" t="str">
        <f aca="false">IF($D77="Panel Details",'Survey Response'!$M75,"")</f>
        <v/>
      </c>
      <c r="AK77" s="46" t="str">
        <f aca="false">IF($D77="Panel Details",$O77,"")</f>
        <v/>
      </c>
      <c r="AL77" s="46" t="str">
        <f aca="false">IF($D77="Panel Details",8,"")</f>
        <v/>
      </c>
      <c r="AM77" s="46" t="str">
        <f aca="false">IF($D77="Panel Details",$AB77,"")</f>
        <v/>
      </c>
      <c r="AN77" s="46" t="str">
        <f aca="false">IF($D77="Panel Details","Yes","")</f>
        <v/>
      </c>
      <c r="AO77" s="46"/>
      <c r="AP77" s="46" t="str">
        <f aca="false">IF($D77="Followup",'Survey Response'!$D75,"")</f>
        <v/>
      </c>
      <c r="AQ77" s="46" t="str">
        <f aca="false">IF($D77="Followup",'Survey Response'!$E75,"")</f>
        <v/>
      </c>
      <c r="AR77" s="46" t="str">
        <f aca="false">IF($D77="Followup",'Survey Response'!$G75,"")</f>
        <v/>
      </c>
      <c r="AS77" s="46" t="str">
        <f aca="false">IF($D77="Followup",'Survey Response'!$H75,"")</f>
        <v/>
      </c>
      <c r="AT77" s="46" t="str">
        <f aca="false">IF($D77="Followup",'Survey Response'!$M75,"")</f>
        <v/>
      </c>
      <c r="AU77" s="46" t="str">
        <f aca="false">IF($D77="Followup",'Survey Response'!$K75,"")</f>
        <v/>
      </c>
      <c r="AV77" s="46" t="str">
        <f aca="false">IF($D77="Followup",'Survey Response'!$L75,"")</f>
        <v/>
      </c>
      <c r="AW77" s="46" t="str">
        <f aca="false">IF($D77="Followup",IF(AND($P77&lt;&gt;"Yes",$U77&lt;&gt;"Yes"),"Not approved for primary or secondary skill","Approved, but skill(s) no longer have capacity (fully staffed)"),"")</f>
        <v/>
      </c>
    </row>
    <row r="78" customFormat="false" ht="15" hidden="false" customHeight="true" outlineLevel="0" collapsed="false">
      <c r="A78" s="46" t="str">
        <f aca="false">IF('Survey Response'!$D76="","",'Survey Response'!$A76&amp;"|"&amp;LOWER(TRIM('Survey Response'!$D76)))</f>
        <v/>
      </c>
      <c r="B78" s="46" t="str">
        <f aca="false">IF($H78="","",$F78&amp;"|"&amp;$H78)</f>
        <v/>
      </c>
      <c r="C78" s="46" t="str">
        <f aca="false">IF($H78="","",$A78=$B78)</f>
        <v/>
      </c>
      <c r="D78" s="46" t="str">
        <f aca="false">IF($H78="","",IF($E78&lt;&gt;"Yes","Superseded",IF($I78&lt;&gt;"Yes, I'm available for in-person interviews at Chennai","Not Available",IF($Z78&lt;&gt;"","Panel Details","Followup"))))</f>
        <v/>
      </c>
      <c r="E78" s="46" t="str">
        <f aca="false">IF($H78="","",IF(SUMPRODUCT(($H$4:$H$503=$H78)*(($G$4:$G$503&gt;$G78)+($G$4:$G$503=$G78)*($F$4:$F$503&gt;$F78)))=0,"Yes","No"))</f>
        <v/>
      </c>
      <c r="F78" s="47" t="str">
        <f aca="false">IF('Survey Response'!$D76="","",INT('Survey Response'!$A76))</f>
        <v/>
      </c>
      <c r="G78" s="46" t="str">
        <f aca="false">IF('Survey Response'!$D76="","",'Survey Response'!$C76)</f>
        <v/>
      </c>
      <c r="H78" s="46" t="str">
        <f aca="false">IF('Survey Response'!$D76="","",LOWER(TRIM('Survey Response'!$D76)))</f>
        <v/>
      </c>
      <c r="I78" s="46" t="str">
        <f aca="false">IF($H78="","",'Survey Response'!$I76)</f>
        <v/>
      </c>
      <c r="J78" s="46" t="str">
        <f aca="false">IF($H78="","",'Survey Response'!$K76)</f>
        <v/>
      </c>
      <c r="K78" s="46" t="str">
        <f aca="false">IF($J78="","",IF(COUNTIF('Skill Mapping'!$A$2:$A$7,TRIM($J78))=0,"",INDEX('Skill Mapping'!$B$2:$B$7,MATCH(TRIM($J78),'Skill Mapping'!$A$2:$A$7,0))))</f>
        <v/>
      </c>
      <c r="L78" s="46" t="str">
        <f aca="false">IF($H78="","",'Survey Response'!$L76)</f>
        <v/>
      </c>
      <c r="M78" s="46" t="str">
        <f aca="false">IF($L78="","",IF(COUNTIF('Skill Mapping'!$A$2:$A$7,TRIM($L78))=0,"",INDEX('Skill Mapping'!$B$2:$B$7,MATCH(TRIM($L78),'Skill Mapping'!$A$2:$A$7,0))))</f>
        <v/>
      </c>
      <c r="N78" s="46" t="str">
        <f aca="false">IF($H78="","",'Survey Response'!$M76)</f>
        <v/>
      </c>
      <c r="O78" s="46" t="str">
        <f aca="false">IF($H78="","",IF('Survey Response'!$M76="Manager","R2","R1"))</f>
        <v/>
      </c>
      <c r="P78" s="46" t="str">
        <f aca="false">IF($K78="","No",IF(COUNTIFS(MasterPanel!$B:$B,$H78,MasterPanel!$I:$I,$K78,MasterPanel!$K:$K,"Y")&gt;0,"Yes","No"))</f>
        <v>No</v>
      </c>
      <c r="Q78" s="46" t="n">
        <f aca="false">IF($K78="",0,IF(COUNTIF('Gap Sheet'!$A$6:$A$11,TRIM($J78))=0,0,IF($O78="R1",INDEX('Gap Sheet'!$C$6:$C$11,MATCH(TRIM($J78),'Gap Sheet'!$A$6:$A$11,0)),INDEX('Gap Sheet'!$G$6:$G$11,MATCH(TRIM($J78),'Gap Sheet'!$A$6:$A$11,0)))))</f>
        <v>0</v>
      </c>
      <c r="R78" s="46" t="str">
        <f aca="false">IF($K78="","",$K78&amp;"|"&amp;$O78)</f>
        <v/>
      </c>
      <c r="S78" s="46" t="n">
        <f aca="false">IF($R78="",0,COUNTIF($AA$4:$AA77,$R78))</f>
        <v>0</v>
      </c>
      <c r="T78" s="46" t="str">
        <f aca="false">IF(OR($I78&lt;&gt;"Yes, I'm available for in-person interviews at Chennai",$E78&lt;&gt;"Yes",$P78&lt;&gt;"Yes"),"No",IF(($Q78-$S78)&gt;0,"Yes","No"))</f>
        <v>No</v>
      </c>
      <c r="U78" s="46" t="str">
        <f aca="false">IF($M78="","No",IF(COUNTIFS(MasterPanel!$B:$B,$H78,MasterPanel!$I:$I,$M78,MasterPanel!$K:$K,"Y")&gt;0,"Yes","No"))</f>
        <v>No</v>
      </c>
      <c r="V78" s="46" t="n">
        <f aca="false">IF($M78="",0,IF(COUNTIF('Gap Sheet'!$A$6:$A$11,TRIM($L78))=0,0,IF($O78="R1",INDEX('Gap Sheet'!$C$6:$C$11,MATCH(TRIM($L78),'Gap Sheet'!$A$6:$A$11,0)),INDEX('Gap Sheet'!$G$6:$G$11,MATCH(TRIM($L78),'Gap Sheet'!$A$6:$A$11,0)))))</f>
        <v>0</v>
      </c>
      <c r="W78" s="46" t="str">
        <f aca="false">IF($M78="","",$M78&amp;"|"&amp;$O78)</f>
        <v/>
      </c>
      <c r="X78" s="46" t="n">
        <f aca="false">IF($W78="",0,COUNTIF($AA$4:$AA77,$W78))</f>
        <v>0</v>
      </c>
      <c r="Y78" s="46" t="str">
        <f aca="false">IF(OR($I78&lt;&gt;"Yes, I'm available for in-person interviews at Chennai",$E78&lt;&gt;"Yes",$T78="Yes",$U78&lt;&gt;"Yes"),"No",IF(($V78-$X78)&gt;0,"Yes","No"))</f>
        <v>No</v>
      </c>
      <c r="Z78" s="46" t="str">
        <f aca="false">IF($T78="Yes","Primary",IF($Y78="Yes","Secondary",""))</f>
        <v/>
      </c>
      <c r="AA78" s="46" t="str">
        <f aca="false">IF($Z78="Primary",$R78,IF($Z78="Secondary",$W78,""))</f>
        <v/>
      </c>
      <c r="AB78" s="46" t="str">
        <f aca="false">IF($Z78="Primary","Matched on primary skill",IF($Z78="Secondary","Matched on secondary skill (primary not approved or not required)",""))</f>
        <v/>
      </c>
      <c r="AC78" s="47" t="str">
        <f aca="false">IF($D78="Panel Details",$F78,"")</f>
        <v/>
      </c>
      <c r="AD78" s="46" t="str">
        <f aca="false">IF($D78="Panel Details",'Survey Response'!$D76,"")</f>
        <v/>
      </c>
      <c r="AE78" s="46" t="str">
        <f aca="false">IF($D78="Panel Details",'Survey Response'!$E76,"")</f>
        <v/>
      </c>
      <c r="AF78" s="46" t="str">
        <f aca="false">IF($D78="Panel Details",'Survey Response'!$G76,"")</f>
        <v/>
      </c>
      <c r="AG78" s="46" t="str">
        <f aca="false">IF($D78="Panel Details",IF($Z78="Primary",$J78,$L78),"")</f>
        <v/>
      </c>
      <c r="AH78" s="46" t="str">
        <f aca="false">IF($D78="Panel Details",IF($Z78="Primary",$L78,$J78),"")</f>
        <v/>
      </c>
      <c r="AI78" s="46" t="str">
        <f aca="false">IF($D78="Panel Details",'Survey Response'!$H76,"")</f>
        <v/>
      </c>
      <c r="AJ78" s="46" t="str">
        <f aca="false">IF($D78="Panel Details",'Survey Response'!$M76,"")</f>
        <v/>
      </c>
      <c r="AK78" s="46" t="str">
        <f aca="false">IF($D78="Panel Details",$O78,"")</f>
        <v/>
      </c>
      <c r="AL78" s="46" t="str">
        <f aca="false">IF($D78="Panel Details",8,"")</f>
        <v/>
      </c>
      <c r="AM78" s="46" t="str">
        <f aca="false">IF($D78="Panel Details",$AB78,"")</f>
        <v/>
      </c>
      <c r="AN78" s="46" t="str">
        <f aca="false">IF($D78="Panel Details","Yes","")</f>
        <v/>
      </c>
      <c r="AO78" s="46"/>
      <c r="AP78" s="46" t="str">
        <f aca="false">IF($D78="Followup",'Survey Response'!$D76,"")</f>
        <v/>
      </c>
      <c r="AQ78" s="46" t="str">
        <f aca="false">IF($D78="Followup",'Survey Response'!$E76,"")</f>
        <v/>
      </c>
      <c r="AR78" s="46" t="str">
        <f aca="false">IF($D78="Followup",'Survey Response'!$G76,"")</f>
        <v/>
      </c>
      <c r="AS78" s="46" t="str">
        <f aca="false">IF($D78="Followup",'Survey Response'!$H76,"")</f>
        <v/>
      </c>
      <c r="AT78" s="46" t="str">
        <f aca="false">IF($D78="Followup",'Survey Response'!$M76,"")</f>
        <v/>
      </c>
      <c r="AU78" s="46" t="str">
        <f aca="false">IF($D78="Followup",'Survey Response'!$K76,"")</f>
        <v/>
      </c>
      <c r="AV78" s="46" t="str">
        <f aca="false">IF($D78="Followup",'Survey Response'!$L76,"")</f>
        <v/>
      </c>
      <c r="AW78" s="46" t="str">
        <f aca="false">IF($D78="Followup",IF(AND($P78&lt;&gt;"Yes",$U78&lt;&gt;"Yes"),"Not approved for primary or secondary skill","Approved, but skill(s) no longer have capacity (fully staffed)"),"")</f>
        <v/>
      </c>
    </row>
    <row r="79" customFormat="false" ht="15" hidden="false" customHeight="true" outlineLevel="0" collapsed="false">
      <c r="A79" s="46" t="str">
        <f aca="false">IF('Survey Response'!$D77="","",'Survey Response'!$A77&amp;"|"&amp;LOWER(TRIM('Survey Response'!$D77)))</f>
        <v/>
      </c>
      <c r="B79" s="46" t="str">
        <f aca="false">IF($H79="","",$F79&amp;"|"&amp;$H79)</f>
        <v/>
      </c>
      <c r="C79" s="46" t="str">
        <f aca="false">IF($H79="","",$A79=$B79)</f>
        <v/>
      </c>
      <c r="D79" s="46" t="str">
        <f aca="false">IF($H79="","",IF($E79&lt;&gt;"Yes","Superseded",IF($I79&lt;&gt;"Yes, I'm available for in-person interviews at Chennai","Not Available",IF($Z79&lt;&gt;"","Panel Details","Followup"))))</f>
        <v/>
      </c>
      <c r="E79" s="46" t="str">
        <f aca="false">IF($H79="","",IF(SUMPRODUCT(($H$4:$H$503=$H79)*(($G$4:$G$503&gt;$G79)+($G$4:$G$503=$G79)*($F$4:$F$503&gt;$F79)))=0,"Yes","No"))</f>
        <v/>
      </c>
      <c r="F79" s="47" t="str">
        <f aca="false">IF('Survey Response'!$D77="","",INT('Survey Response'!$A77))</f>
        <v/>
      </c>
      <c r="G79" s="46" t="str">
        <f aca="false">IF('Survey Response'!$D77="","",'Survey Response'!$C77)</f>
        <v/>
      </c>
      <c r="H79" s="46" t="str">
        <f aca="false">IF('Survey Response'!$D77="","",LOWER(TRIM('Survey Response'!$D77)))</f>
        <v/>
      </c>
      <c r="I79" s="46" t="str">
        <f aca="false">IF($H79="","",'Survey Response'!$I77)</f>
        <v/>
      </c>
      <c r="J79" s="46" t="str">
        <f aca="false">IF($H79="","",'Survey Response'!$K77)</f>
        <v/>
      </c>
      <c r="K79" s="46" t="str">
        <f aca="false">IF($J79="","",IF(COUNTIF('Skill Mapping'!$A$2:$A$7,TRIM($J79))=0,"",INDEX('Skill Mapping'!$B$2:$B$7,MATCH(TRIM($J79),'Skill Mapping'!$A$2:$A$7,0))))</f>
        <v/>
      </c>
      <c r="L79" s="46" t="str">
        <f aca="false">IF($H79="","",'Survey Response'!$L77)</f>
        <v/>
      </c>
      <c r="M79" s="46" t="str">
        <f aca="false">IF($L79="","",IF(COUNTIF('Skill Mapping'!$A$2:$A$7,TRIM($L79))=0,"",INDEX('Skill Mapping'!$B$2:$B$7,MATCH(TRIM($L79),'Skill Mapping'!$A$2:$A$7,0))))</f>
        <v/>
      </c>
      <c r="N79" s="46" t="str">
        <f aca="false">IF($H79="","",'Survey Response'!$M77)</f>
        <v/>
      </c>
      <c r="O79" s="46" t="str">
        <f aca="false">IF($H79="","",IF('Survey Response'!$M77="Manager","R2","R1"))</f>
        <v/>
      </c>
      <c r="P79" s="46" t="str">
        <f aca="false">IF($K79="","No",IF(COUNTIFS(MasterPanel!$B:$B,$H79,MasterPanel!$I:$I,$K79,MasterPanel!$K:$K,"Y")&gt;0,"Yes","No"))</f>
        <v>No</v>
      </c>
      <c r="Q79" s="46" t="n">
        <f aca="false">IF($K79="",0,IF(COUNTIF('Gap Sheet'!$A$6:$A$11,TRIM($J79))=0,0,IF($O79="R1",INDEX('Gap Sheet'!$C$6:$C$11,MATCH(TRIM($J79),'Gap Sheet'!$A$6:$A$11,0)),INDEX('Gap Sheet'!$G$6:$G$11,MATCH(TRIM($J79),'Gap Sheet'!$A$6:$A$11,0)))))</f>
        <v>0</v>
      </c>
      <c r="R79" s="46" t="str">
        <f aca="false">IF($K79="","",$K79&amp;"|"&amp;$O79)</f>
        <v/>
      </c>
      <c r="S79" s="46" t="n">
        <f aca="false">IF($R79="",0,COUNTIF($AA$4:$AA78,$R79))</f>
        <v>0</v>
      </c>
      <c r="T79" s="46" t="str">
        <f aca="false">IF(OR($I79&lt;&gt;"Yes, I'm available for in-person interviews at Chennai",$E79&lt;&gt;"Yes",$P79&lt;&gt;"Yes"),"No",IF(($Q79-$S79)&gt;0,"Yes","No"))</f>
        <v>No</v>
      </c>
      <c r="U79" s="46" t="str">
        <f aca="false">IF($M79="","No",IF(COUNTIFS(MasterPanel!$B:$B,$H79,MasterPanel!$I:$I,$M79,MasterPanel!$K:$K,"Y")&gt;0,"Yes","No"))</f>
        <v>No</v>
      </c>
      <c r="V79" s="46" t="n">
        <f aca="false">IF($M79="",0,IF(COUNTIF('Gap Sheet'!$A$6:$A$11,TRIM($L79))=0,0,IF($O79="R1",INDEX('Gap Sheet'!$C$6:$C$11,MATCH(TRIM($L79),'Gap Sheet'!$A$6:$A$11,0)),INDEX('Gap Sheet'!$G$6:$G$11,MATCH(TRIM($L79),'Gap Sheet'!$A$6:$A$11,0)))))</f>
        <v>0</v>
      </c>
      <c r="W79" s="46" t="str">
        <f aca="false">IF($M79="","",$M79&amp;"|"&amp;$O79)</f>
        <v/>
      </c>
      <c r="X79" s="46" t="n">
        <f aca="false">IF($W79="",0,COUNTIF($AA$4:$AA78,$W79))</f>
        <v>0</v>
      </c>
      <c r="Y79" s="46" t="str">
        <f aca="false">IF(OR($I79&lt;&gt;"Yes, I'm available for in-person interviews at Chennai",$E79&lt;&gt;"Yes",$T79="Yes",$U79&lt;&gt;"Yes"),"No",IF(($V79-$X79)&gt;0,"Yes","No"))</f>
        <v>No</v>
      </c>
      <c r="Z79" s="46" t="str">
        <f aca="false">IF($T79="Yes","Primary",IF($Y79="Yes","Secondary",""))</f>
        <v/>
      </c>
      <c r="AA79" s="46" t="str">
        <f aca="false">IF($Z79="Primary",$R79,IF($Z79="Secondary",$W79,""))</f>
        <v/>
      </c>
      <c r="AB79" s="46" t="str">
        <f aca="false">IF($Z79="Primary","Matched on primary skill",IF($Z79="Secondary","Matched on secondary skill (primary not approved or not required)",""))</f>
        <v/>
      </c>
      <c r="AC79" s="47" t="str">
        <f aca="false">IF($D79="Panel Details",$F79,"")</f>
        <v/>
      </c>
      <c r="AD79" s="46" t="str">
        <f aca="false">IF($D79="Panel Details",'Survey Response'!$D77,"")</f>
        <v/>
      </c>
      <c r="AE79" s="46" t="str">
        <f aca="false">IF($D79="Panel Details",'Survey Response'!$E77,"")</f>
        <v/>
      </c>
      <c r="AF79" s="46" t="str">
        <f aca="false">IF($D79="Panel Details",'Survey Response'!$G77,"")</f>
        <v/>
      </c>
      <c r="AG79" s="46" t="str">
        <f aca="false">IF($D79="Panel Details",IF($Z79="Primary",$J79,$L79),"")</f>
        <v/>
      </c>
      <c r="AH79" s="46" t="str">
        <f aca="false">IF($D79="Panel Details",IF($Z79="Primary",$L79,$J79),"")</f>
        <v/>
      </c>
      <c r="AI79" s="46" t="str">
        <f aca="false">IF($D79="Panel Details",'Survey Response'!$H77,"")</f>
        <v/>
      </c>
      <c r="AJ79" s="46" t="str">
        <f aca="false">IF($D79="Panel Details",'Survey Response'!$M77,"")</f>
        <v/>
      </c>
      <c r="AK79" s="46" t="str">
        <f aca="false">IF($D79="Panel Details",$O79,"")</f>
        <v/>
      </c>
      <c r="AL79" s="46" t="str">
        <f aca="false">IF($D79="Panel Details",8,"")</f>
        <v/>
      </c>
      <c r="AM79" s="46" t="str">
        <f aca="false">IF($D79="Panel Details",$AB79,"")</f>
        <v/>
      </c>
      <c r="AN79" s="46" t="str">
        <f aca="false">IF($D79="Panel Details","Yes","")</f>
        <v/>
      </c>
      <c r="AO79" s="46"/>
      <c r="AP79" s="46" t="str">
        <f aca="false">IF($D79="Followup",'Survey Response'!$D77,"")</f>
        <v/>
      </c>
      <c r="AQ79" s="46" t="str">
        <f aca="false">IF($D79="Followup",'Survey Response'!$E77,"")</f>
        <v/>
      </c>
      <c r="AR79" s="46" t="str">
        <f aca="false">IF($D79="Followup",'Survey Response'!$G77,"")</f>
        <v/>
      </c>
      <c r="AS79" s="46" t="str">
        <f aca="false">IF($D79="Followup",'Survey Response'!$H77,"")</f>
        <v/>
      </c>
      <c r="AT79" s="46" t="str">
        <f aca="false">IF($D79="Followup",'Survey Response'!$M77,"")</f>
        <v/>
      </c>
      <c r="AU79" s="46" t="str">
        <f aca="false">IF($D79="Followup",'Survey Response'!$K77,"")</f>
        <v/>
      </c>
      <c r="AV79" s="46" t="str">
        <f aca="false">IF($D79="Followup",'Survey Response'!$L77,"")</f>
        <v/>
      </c>
      <c r="AW79" s="46" t="str">
        <f aca="false">IF($D79="Followup",IF(AND($P79&lt;&gt;"Yes",$U79&lt;&gt;"Yes"),"Not approved for primary or secondary skill","Approved, but skill(s) no longer have capacity (fully staffed)"),"")</f>
        <v/>
      </c>
    </row>
    <row r="80" customFormat="false" ht="15" hidden="false" customHeight="true" outlineLevel="0" collapsed="false">
      <c r="A80" s="46" t="str">
        <f aca="false">IF('Survey Response'!$D78="","",'Survey Response'!$A78&amp;"|"&amp;LOWER(TRIM('Survey Response'!$D78)))</f>
        <v/>
      </c>
      <c r="B80" s="46" t="str">
        <f aca="false">IF($H80="","",$F80&amp;"|"&amp;$H80)</f>
        <v/>
      </c>
      <c r="C80" s="46" t="str">
        <f aca="false">IF($H80="","",$A80=$B80)</f>
        <v/>
      </c>
      <c r="D80" s="46" t="str">
        <f aca="false">IF($H80="","",IF($E80&lt;&gt;"Yes","Superseded",IF($I80&lt;&gt;"Yes, I'm available for in-person interviews at Chennai","Not Available",IF($Z80&lt;&gt;"","Panel Details","Followup"))))</f>
        <v/>
      </c>
      <c r="E80" s="46" t="str">
        <f aca="false">IF($H80="","",IF(SUMPRODUCT(($H$4:$H$503=$H80)*(($G$4:$G$503&gt;$G80)+($G$4:$G$503=$G80)*($F$4:$F$503&gt;$F80)))=0,"Yes","No"))</f>
        <v/>
      </c>
      <c r="F80" s="47" t="str">
        <f aca="false">IF('Survey Response'!$D78="","",INT('Survey Response'!$A78))</f>
        <v/>
      </c>
      <c r="G80" s="46" t="str">
        <f aca="false">IF('Survey Response'!$D78="","",'Survey Response'!$C78)</f>
        <v/>
      </c>
      <c r="H80" s="46" t="str">
        <f aca="false">IF('Survey Response'!$D78="","",LOWER(TRIM('Survey Response'!$D78)))</f>
        <v/>
      </c>
      <c r="I80" s="46" t="str">
        <f aca="false">IF($H80="","",'Survey Response'!$I78)</f>
        <v/>
      </c>
      <c r="J80" s="46" t="str">
        <f aca="false">IF($H80="","",'Survey Response'!$K78)</f>
        <v/>
      </c>
      <c r="K80" s="46" t="str">
        <f aca="false">IF($J80="","",IF(COUNTIF('Skill Mapping'!$A$2:$A$7,TRIM($J80))=0,"",INDEX('Skill Mapping'!$B$2:$B$7,MATCH(TRIM($J80),'Skill Mapping'!$A$2:$A$7,0))))</f>
        <v/>
      </c>
      <c r="L80" s="46" t="str">
        <f aca="false">IF($H80="","",'Survey Response'!$L78)</f>
        <v/>
      </c>
      <c r="M80" s="46" t="str">
        <f aca="false">IF($L80="","",IF(COUNTIF('Skill Mapping'!$A$2:$A$7,TRIM($L80))=0,"",INDEX('Skill Mapping'!$B$2:$B$7,MATCH(TRIM($L80),'Skill Mapping'!$A$2:$A$7,0))))</f>
        <v/>
      </c>
      <c r="N80" s="46" t="str">
        <f aca="false">IF($H80="","",'Survey Response'!$M78)</f>
        <v/>
      </c>
      <c r="O80" s="46" t="str">
        <f aca="false">IF($H80="","",IF('Survey Response'!$M78="Manager","R2","R1"))</f>
        <v/>
      </c>
      <c r="P80" s="46" t="str">
        <f aca="false">IF($K80="","No",IF(COUNTIFS(MasterPanel!$B:$B,$H80,MasterPanel!$I:$I,$K80,MasterPanel!$K:$K,"Y")&gt;0,"Yes","No"))</f>
        <v>No</v>
      </c>
      <c r="Q80" s="46" t="n">
        <f aca="false">IF($K80="",0,IF(COUNTIF('Gap Sheet'!$A$6:$A$11,TRIM($J80))=0,0,IF($O80="R1",INDEX('Gap Sheet'!$C$6:$C$11,MATCH(TRIM($J80),'Gap Sheet'!$A$6:$A$11,0)),INDEX('Gap Sheet'!$G$6:$G$11,MATCH(TRIM($J80),'Gap Sheet'!$A$6:$A$11,0)))))</f>
        <v>0</v>
      </c>
      <c r="R80" s="46" t="str">
        <f aca="false">IF($K80="","",$K80&amp;"|"&amp;$O80)</f>
        <v/>
      </c>
      <c r="S80" s="46" t="n">
        <f aca="false">IF($R80="",0,COUNTIF($AA$4:$AA79,$R80))</f>
        <v>0</v>
      </c>
      <c r="T80" s="46" t="str">
        <f aca="false">IF(OR($I80&lt;&gt;"Yes, I'm available for in-person interviews at Chennai",$E80&lt;&gt;"Yes",$P80&lt;&gt;"Yes"),"No",IF(($Q80-$S80)&gt;0,"Yes","No"))</f>
        <v>No</v>
      </c>
      <c r="U80" s="46" t="str">
        <f aca="false">IF($M80="","No",IF(COUNTIFS(MasterPanel!$B:$B,$H80,MasterPanel!$I:$I,$M80,MasterPanel!$K:$K,"Y")&gt;0,"Yes","No"))</f>
        <v>No</v>
      </c>
      <c r="V80" s="46" t="n">
        <f aca="false">IF($M80="",0,IF(COUNTIF('Gap Sheet'!$A$6:$A$11,TRIM($L80))=0,0,IF($O80="R1",INDEX('Gap Sheet'!$C$6:$C$11,MATCH(TRIM($L80),'Gap Sheet'!$A$6:$A$11,0)),INDEX('Gap Sheet'!$G$6:$G$11,MATCH(TRIM($L80),'Gap Sheet'!$A$6:$A$11,0)))))</f>
        <v>0</v>
      </c>
      <c r="W80" s="46" t="str">
        <f aca="false">IF($M80="","",$M80&amp;"|"&amp;$O80)</f>
        <v/>
      </c>
      <c r="X80" s="46" t="n">
        <f aca="false">IF($W80="",0,COUNTIF($AA$4:$AA79,$W80))</f>
        <v>0</v>
      </c>
      <c r="Y80" s="46" t="str">
        <f aca="false">IF(OR($I80&lt;&gt;"Yes, I'm available for in-person interviews at Chennai",$E80&lt;&gt;"Yes",$T80="Yes",$U80&lt;&gt;"Yes"),"No",IF(($V80-$X80)&gt;0,"Yes","No"))</f>
        <v>No</v>
      </c>
      <c r="Z80" s="46" t="str">
        <f aca="false">IF($T80="Yes","Primary",IF($Y80="Yes","Secondary",""))</f>
        <v/>
      </c>
      <c r="AA80" s="46" t="str">
        <f aca="false">IF($Z80="Primary",$R80,IF($Z80="Secondary",$W80,""))</f>
        <v/>
      </c>
      <c r="AB80" s="46" t="str">
        <f aca="false">IF($Z80="Primary","Matched on primary skill",IF($Z80="Secondary","Matched on secondary skill (primary not approved or not required)",""))</f>
        <v/>
      </c>
      <c r="AC80" s="47" t="str">
        <f aca="false">IF($D80="Panel Details",$F80,"")</f>
        <v/>
      </c>
      <c r="AD80" s="46" t="str">
        <f aca="false">IF($D80="Panel Details",'Survey Response'!$D78,"")</f>
        <v/>
      </c>
      <c r="AE80" s="46" t="str">
        <f aca="false">IF($D80="Panel Details",'Survey Response'!$E78,"")</f>
        <v/>
      </c>
      <c r="AF80" s="46" t="str">
        <f aca="false">IF($D80="Panel Details",'Survey Response'!$G78,"")</f>
        <v/>
      </c>
      <c r="AG80" s="46" t="str">
        <f aca="false">IF($D80="Panel Details",IF($Z80="Primary",$J80,$L80),"")</f>
        <v/>
      </c>
      <c r="AH80" s="46" t="str">
        <f aca="false">IF($D80="Panel Details",IF($Z80="Primary",$L80,$J80),"")</f>
        <v/>
      </c>
      <c r="AI80" s="46" t="str">
        <f aca="false">IF($D80="Panel Details",'Survey Response'!$H78,"")</f>
        <v/>
      </c>
      <c r="AJ80" s="46" t="str">
        <f aca="false">IF($D80="Panel Details",'Survey Response'!$M78,"")</f>
        <v/>
      </c>
      <c r="AK80" s="46" t="str">
        <f aca="false">IF($D80="Panel Details",$O80,"")</f>
        <v/>
      </c>
      <c r="AL80" s="46" t="str">
        <f aca="false">IF($D80="Panel Details",8,"")</f>
        <v/>
      </c>
      <c r="AM80" s="46" t="str">
        <f aca="false">IF($D80="Panel Details",$AB80,"")</f>
        <v/>
      </c>
      <c r="AN80" s="46" t="str">
        <f aca="false">IF($D80="Panel Details","Yes","")</f>
        <v/>
      </c>
      <c r="AO80" s="46"/>
      <c r="AP80" s="46" t="str">
        <f aca="false">IF($D80="Followup",'Survey Response'!$D78,"")</f>
        <v/>
      </c>
      <c r="AQ80" s="46" t="str">
        <f aca="false">IF($D80="Followup",'Survey Response'!$E78,"")</f>
        <v/>
      </c>
      <c r="AR80" s="46" t="str">
        <f aca="false">IF($D80="Followup",'Survey Response'!$G78,"")</f>
        <v/>
      </c>
      <c r="AS80" s="46" t="str">
        <f aca="false">IF($D80="Followup",'Survey Response'!$H78,"")</f>
        <v/>
      </c>
      <c r="AT80" s="46" t="str">
        <f aca="false">IF($D80="Followup",'Survey Response'!$M78,"")</f>
        <v/>
      </c>
      <c r="AU80" s="46" t="str">
        <f aca="false">IF($D80="Followup",'Survey Response'!$K78,"")</f>
        <v/>
      </c>
      <c r="AV80" s="46" t="str">
        <f aca="false">IF($D80="Followup",'Survey Response'!$L78,"")</f>
        <v/>
      </c>
      <c r="AW80" s="46" t="str">
        <f aca="false">IF($D80="Followup",IF(AND($P80&lt;&gt;"Yes",$U80&lt;&gt;"Yes"),"Not approved for primary or secondary skill","Approved, but skill(s) no longer have capacity (fully staffed)"),"")</f>
        <v/>
      </c>
    </row>
    <row r="81" customFormat="false" ht="15" hidden="false" customHeight="true" outlineLevel="0" collapsed="false">
      <c r="A81" s="46" t="str">
        <f aca="false">IF('Survey Response'!$D79="","",'Survey Response'!$A79&amp;"|"&amp;LOWER(TRIM('Survey Response'!$D79)))</f>
        <v/>
      </c>
      <c r="B81" s="46" t="str">
        <f aca="false">IF($H81="","",$F81&amp;"|"&amp;$H81)</f>
        <v/>
      </c>
      <c r="C81" s="46" t="str">
        <f aca="false">IF($H81="","",$A81=$B81)</f>
        <v/>
      </c>
      <c r="D81" s="46" t="str">
        <f aca="false">IF($H81="","",IF($E81&lt;&gt;"Yes","Superseded",IF($I81&lt;&gt;"Yes, I'm available for in-person interviews at Chennai","Not Available",IF($Z81&lt;&gt;"","Panel Details","Followup"))))</f>
        <v/>
      </c>
      <c r="E81" s="46" t="str">
        <f aca="false">IF($H81="","",IF(SUMPRODUCT(($H$4:$H$503=$H81)*(($G$4:$G$503&gt;$G81)+($G$4:$G$503=$G81)*($F$4:$F$503&gt;$F81)))=0,"Yes","No"))</f>
        <v/>
      </c>
      <c r="F81" s="47" t="str">
        <f aca="false">IF('Survey Response'!$D79="","",INT('Survey Response'!$A79))</f>
        <v/>
      </c>
      <c r="G81" s="46" t="str">
        <f aca="false">IF('Survey Response'!$D79="","",'Survey Response'!$C79)</f>
        <v/>
      </c>
      <c r="H81" s="46" t="str">
        <f aca="false">IF('Survey Response'!$D79="","",LOWER(TRIM('Survey Response'!$D79)))</f>
        <v/>
      </c>
      <c r="I81" s="46" t="str">
        <f aca="false">IF($H81="","",'Survey Response'!$I79)</f>
        <v/>
      </c>
      <c r="J81" s="46" t="str">
        <f aca="false">IF($H81="","",'Survey Response'!$K79)</f>
        <v/>
      </c>
      <c r="K81" s="46" t="str">
        <f aca="false">IF($J81="","",IF(COUNTIF('Skill Mapping'!$A$2:$A$7,TRIM($J81))=0,"",INDEX('Skill Mapping'!$B$2:$B$7,MATCH(TRIM($J81),'Skill Mapping'!$A$2:$A$7,0))))</f>
        <v/>
      </c>
      <c r="L81" s="46" t="str">
        <f aca="false">IF($H81="","",'Survey Response'!$L79)</f>
        <v/>
      </c>
      <c r="M81" s="46" t="str">
        <f aca="false">IF($L81="","",IF(COUNTIF('Skill Mapping'!$A$2:$A$7,TRIM($L81))=0,"",INDEX('Skill Mapping'!$B$2:$B$7,MATCH(TRIM($L81),'Skill Mapping'!$A$2:$A$7,0))))</f>
        <v/>
      </c>
      <c r="N81" s="46" t="str">
        <f aca="false">IF($H81="","",'Survey Response'!$M79)</f>
        <v/>
      </c>
      <c r="O81" s="46" t="str">
        <f aca="false">IF($H81="","",IF('Survey Response'!$M79="Manager","R2","R1"))</f>
        <v/>
      </c>
      <c r="P81" s="46" t="str">
        <f aca="false">IF($K81="","No",IF(COUNTIFS(MasterPanel!$B:$B,$H81,MasterPanel!$I:$I,$K81,MasterPanel!$K:$K,"Y")&gt;0,"Yes","No"))</f>
        <v>No</v>
      </c>
      <c r="Q81" s="46" t="n">
        <f aca="false">IF($K81="",0,IF(COUNTIF('Gap Sheet'!$A$6:$A$11,TRIM($J81))=0,0,IF($O81="R1",INDEX('Gap Sheet'!$C$6:$C$11,MATCH(TRIM($J81),'Gap Sheet'!$A$6:$A$11,0)),INDEX('Gap Sheet'!$G$6:$G$11,MATCH(TRIM($J81),'Gap Sheet'!$A$6:$A$11,0)))))</f>
        <v>0</v>
      </c>
      <c r="R81" s="46" t="str">
        <f aca="false">IF($K81="","",$K81&amp;"|"&amp;$O81)</f>
        <v/>
      </c>
      <c r="S81" s="46" t="n">
        <f aca="false">IF($R81="",0,COUNTIF($AA$4:$AA80,$R81))</f>
        <v>0</v>
      </c>
      <c r="T81" s="46" t="str">
        <f aca="false">IF(OR($I81&lt;&gt;"Yes, I'm available for in-person interviews at Chennai",$E81&lt;&gt;"Yes",$P81&lt;&gt;"Yes"),"No",IF(($Q81-$S81)&gt;0,"Yes","No"))</f>
        <v>No</v>
      </c>
      <c r="U81" s="46" t="str">
        <f aca="false">IF($M81="","No",IF(COUNTIFS(MasterPanel!$B:$B,$H81,MasterPanel!$I:$I,$M81,MasterPanel!$K:$K,"Y")&gt;0,"Yes","No"))</f>
        <v>No</v>
      </c>
      <c r="V81" s="46" t="n">
        <f aca="false">IF($M81="",0,IF(COUNTIF('Gap Sheet'!$A$6:$A$11,TRIM($L81))=0,0,IF($O81="R1",INDEX('Gap Sheet'!$C$6:$C$11,MATCH(TRIM($L81),'Gap Sheet'!$A$6:$A$11,0)),INDEX('Gap Sheet'!$G$6:$G$11,MATCH(TRIM($L81),'Gap Sheet'!$A$6:$A$11,0)))))</f>
        <v>0</v>
      </c>
      <c r="W81" s="46" t="str">
        <f aca="false">IF($M81="","",$M81&amp;"|"&amp;$O81)</f>
        <v/>
      </c>
      <c r="X81" s="46" t="n">
        <f aca="false">IF($W81="",0,COUNTIF($AA$4:$AA80,$W81))</f>
        <v>0</v>
      </c>
      <c r="Y81" s="46" t="str">
        <f aca="false">IF(OR($I81&lt;&gt;"Yes, I'm available for in-person interviews at Chennai",$E81&lt;&gt;"Yes",$T81="Yes",$U81&lt;&gt;"Yes"),"No",IF(($V81-$X81)&gt;0,"Yes","No"))</f>
        <v>No</v>
      </c>
      <c r="Z81" s="46" t="str">
        <f aca="false">IF($T81="Yes","Primary",IF($Y81="Yes","Secondary",""))</f>
        <v/>
      </c>
      <c r="AA81" s="46" t="str">
        <f aca="false">IF($Z81="Primary",$R81,IF($Z81="Secondary",$W81,""))</f>
        <v/>
      </c>
      <c r="AB81" s="46" t="str">
        <f aca="false">IF($Z81="Primary","Matched on primary skill",IF($Z81="Secondary","Matched on secondary skill (primary not approved or not required)",""))</f>
        <v/>
      </c>
      <c r="AC81" s="47" t="str">
        <f aca="false">IF($D81="Panel Details",$F81,"")</f>
        <v/>
      </c>
      <c r="AD81" s="46" t="str">
        <f aca="false">IF($D81="Panel Details",'Survey Response'!$D79,"")</f>
        <v/>
      </c>
      <c r="AE81" s="46" t="str">
        <f aca="false">IF($D81="Panel Details",'Survey Response'!$E79,"")</f>
        <v/>
      </c>
      <c r="AF81" s="46" t="str">
        <f aca="false">IF($D81="Panel Details",'Survey Response'!$G79,"")</f>
        <v/>
      </c>
      <c r="AG81" s="46" t="str">
        <f aca="false">IF($D81="Panel Details",IF($Z81="Primary",$J81,$L81),"")</f>
        <v/>
      </c>
      <c r="AH81" s="46" t="str">
        <f aca="false">IF($D81="Panel Details",IF($Z81="Primary",$L81,$J81),"")</f>
        <v/>
      </c>
      <c r="AI81" s="46" t="str">
        <f aca="false">IF($D81="Panel Details",'Survey Response'!$H79,"")</f>
        <v/>
      </c>
      <c r="AJ81" s="46" t="str">
        <f aca="false">IF($D81="Panel Details",'Survey Response'!$M79,"")</f>
        <v/>
      </c>
      <c r="AK81" s="46" t="str">
        <f aca="false">IF($D81="Panel Details",$O81,"")</f>
        <v/>
      </c>
      <c r="AL81" s="46" t="str">
        <f aca="false">IF($D81="Panel Details",8,"")</f>
        <v/>
      </c>
      <c r="AM81" s="46" t="str">
        <f aca="false">IF($D81="Panel Details",$AB81,"")</f>
        <v/>
      </c>
      <c r="AN81" s="46" t="str">
        <f aca="false">IF($D81="Panel Details","Yes","")</f>
        <v/>
      </c>
      <c r="AO81" s="46"/>
      <c r="AP81" s="46" t="str">
        <f aca="false">IF($D81="Followup",'Survey Response'!$D79,"")</f>
        <v/>
      </c>
      <c r="AQ81" s="46" t="str">
        <f aca="false">IF($D81="Followup",'Survey Response'!$E79,"")</f>
        <v/>
      </c>
      <c r="AR81" s="46" t="str">
        <f aca="false">IF($D81="Followup",'Survey Response'!$G79,"")</f>
        <v/>
      </c>
      <c r="AS81" s="46" t="str">
        <f aca="false">IF($D81="Followup",'Survey Response'!$H79,"")</f>
        <v/>
      </c>
      <c r="AT81" s="46" t="str">
        <f aca="false">IF($D81="Followup",'Survey Response'!$M79,"")</f>
        <v/>
      </c>
      <c r="AU81" s="46" t="str">
        <f aca="false">IF($D81="Followup",'Survey Response'!$K79,"")</f>
        <v/>
      </c>
      <c r="AV81" s="46" t="str">
        <f aca="false">IF($D81="Followup",'Survey Response'!$L79,"")</f>
        <v/>
      </c>
      <c r="AW81" s="46" t="str">
        <f aca="false">IF($D81="Followup",IF(AND($P81&lt;&gt;"Yes",$U81&lt;&gt;"Yes"),"Not approved for primary or secondary skill","Approved, but skill(s) no longer have capacity (fully staffed)"),"")</f>
        <v/>
      </c>
    </row>
    <row r="82" customFormat="false" ht="15" hidden="false" customHeight="true" outlineLevel="0" collapsed="false">
      <c r="A82" s="46" t="str">
        <f aca="false">IF('Survey Response'!$D80="","",'Survey Response'!$A80&amp;"|"&amp;LOWER(TRIM('Survey Response'!$D80)))</f>
        <v/>
      </c>
      <c r="B82" s="46" t="str">
        <f aca="false">IF($H82="","",$F82&amp;"|"&amp;$H82)</f>
        <v/>
      </c>
      <c r="C82" s="46" t="str">
        <f aca="false">IF($H82="","",$A82=$B82)</f>
        <v/>
      </c>
      <c r="D82" s="46" t="str">
        <f aca="false">IF($H82="","",IF($E82&lt;&gt;"Yes","Superseded",IF($I82&lt;&gt;"Yes, I'm available for in-person interviews at Chennai","Not Available",IF($Z82&lt;&gt;"","Panel Details","Followup"))))</f>
        <v/>
      </c>
      <c r="E82" s="46" t="str">
        <f aca="false">IF($H82="","",IF(SUMPRODUCT(($H$4:$H$503=$H82)*(($G$4:$G$503&gt;$G82)+($G$4:$G$503=$G82)*($F$4:$F$503&gt;$F82)))=0,"Yes","No"))</f>
        <v/>
      </c>
      <c r="F82" s="47" t="str">
        <f aca="false">IF('Survey Response'!$D80="","",INT('Survey Response'!$A80))</f>
        <v/>
      </c>
      <c r="G82" s="46" t="str">
        <f aca="false">IF('Survey Response'!$D80="","",'Survey Response'!$C80)</f>
        <v/>
      </c>
      <c r="H82" s="46" t="str">
        <f aca="false">IF('Survey Response'!$D80="","",LOWER(TRIM('Survey Response'!$D80)))</f>
        <v/>
      </c>
      <c r="I82" s="46" t="str">
        <f aca="false">IF($H82="","",'Survey Response'!$I80)</f>
        <v/>
      </c>
      <c r="J82" s="46" t="str">
        <f aca="false">IF($H82="","",'Survey Response'!$K80)</f>
        <v/>
      </c>
      <c r="K82" s="46" t="str">
        <f aca="false">IF($J82="","",IF(COUNTIF('Skill Mapping'!$A$2:$A$7,TRIM($J82))=0,"",INDEX('Skill Mapping'!$B$2:$B$7,MATCH(TRIM($J82),'Skill Mapping'!$A$2:$A$7,0))))</f>
        <v/>
      </c>
      <c r="L82" s="46" t="str">
        <f aca="false">IF($H82="","",'Survey Response'!$L80)</f>
        <v/>
      </c>
      <c r="M82" s="46" t="str">
        <f aca="false">IF($L82="","",IF(COUNTIF('Skill Mapping'!$A$2:$A$7,TRIM($L82))=0,"",INDEX('Skill Mapping'!$B$2:$B$7,MATCH(TRIM($L82),'Skill Mapping'!$A$2:$A$7,0))))</f>
        <v/>
      </c>
      <c r="N82" s="46" t="str">
        <f aca="false">IF($H82="","",'Survey Response'!$M80)</f>
        <v/>
      </c>
      <c r="O82" s="46" t="str">
        <f aca="false">IF($H82="","",IF('Survey Response'!$M80="Manager","R2","R1"))</f>
        <v/>
      </c>
      <c r="P82" s="46" t="str">
        <f aca="false">IF($K82="","No",IF(COUNTIFS(MasterPanel!$B:$B,$H82,MasterPanel!$I:$I,$K82,MasterPanel!$K:$K,"Y")&gt;0,"Yes","No"))</f>
        <v>No</v>
      </c>
      <c r="Q82" s="46" t="n">
        <f aca="false">IF($K82="",0,IF(COUNTIF('Gap Sheet'!$A$6:$A$11,TRIM($J82))=0,0,IF($O82="R1",INDEX('Gap Sheet'!$C$6:$C$11,MATCH(TRIM($J82),'Gap Sheet'!$A$6:$A$11,0)),INDEX('Gap Sheet'!$G$6:$G$11,MATCH(TRIM($J82),'Gap Sheet'!$A$6:$A$11,0)))))</f>
        <v>0</v>
      </c>
      <c r="R82" s="46" t="str">
        <f aca="false">IF($K82="","",$K82&amp;"|"&amp;$O82)</f>
        <v/>
      </c>
      <c r="S82" s="46" t="n">
        <f aca="false">IF($R82="",0,COUNTIF($AA$4:$AA81,$R82))</f>
        <v>0</v>
      </c>
      <c r="T82" s="46" t="str">
        <f aca="false">IF(OR($I82&lt;&gt;"Yes, I'm available for in-person interviews at Chennai",$E82&lt;&gt;"Yes",$P82&lt;&gt;"Yes"),"No",IF(($Q82-$S82)&gt;0,"Yes","No"))</f>
        <v>No</v>
      </c>
      <c r="U82" s="46" t="str">
        <f aca="false">IF($M82="","No",IF(COUNTIFS(MasterPanel!$B:$B,$H82,MasterPanel!$I:$I,$M82,MasterPanel!$K:$K,"Y")&gt;0,"Yes","No"))</f>
        <v>No</v>
      </c>
      <c r="V82" s="46" t="n">
        <f aca="false">IF($M82="",0,IF(COUNTIF('Gap Sheet'!$A$6:$A$11,TRIM($L82))=0,0,IF($O82="R1",INDEX('Gap Sheet'!$C$6:$C$11,MATCH(TRIM($L82),'Gap Sheet'!$A$6:$A$11,0)),INDEX('Gap Sheet'!$G$6:$G$11,MATCH(TRIM($L82),'Gap Sheet'!$A$6:$A$11,0)))))</f>
        <v>0</v>
      </c>
      <c r="W82" s="46" t="str">
        <f aca="false">IF($M82="","",$M82&amp;"|"&amp;$O82)</f>
        <v/>
      </c>
      <c r="X82" s="46" t="n">
        <f aca="false">IF($W82="",0,COUNTIF($AA$4:$AA81,$W82))</f>
        <v>0</v>
      </c>
      <c r="Y82" s="46" t="str">
        <f aca="false">IF(OR($I82&lt;&gt;"Yes, I'm available for in-person interviews at Chennai",$E82&lt;&gt;"Yes",$T82="Yes",$U82&lt;&gt;"Yes"),"No",IF(($V82-$X82)&gt;0,"Yes","No"))</f>
        <v>No</v>
      </c>
      <c r="Z82" s="46" t="str">
        <f aca="false">IF($T82="Yes","Primary",IF($Y82="Yes","Secondary",""))</f>
        <v/>
      </c>
      <c r="AA82" s="46" t="str">
        <f aca="false">IF($Z82="Primary",$R82,IF($Z82="Secondary",$W82,""))</f>
        <v/>
      </c>
      <c r="AB82" s="46" t="str">
        <f aca="false">IF($Z82="Primary","Matched on primary skill",IF($Z82="Secondary","Matched on secondary skill (primary not approved or not required)",""))</f>
        <v/>
      </c>
      <c r="AC82" s="47" t="str">
        <f aca="false">IF($D82="Panel Details",$F82,"")</f>
        <v/>
      </c>
      <c r="AD82" s="46" t="str">
        <f aca="false">IF($D82="Panel Details",'Survey Response'!$D80,"")</f>
        <v/>
      </c>
      <c r="AE82" s="46" t="str">
        <f aca="false">IF($D82="Panel Details",'Survey Response'!$E80,"")</f>
        <v/>
      </c>
      <c r="AF82" s="46" t="str">
        <f aca="false">IF($D82="Panel Details",'Survey Response'!$G80,"")</f>
        <v/>
      </c>
      <c r="AG82" s="46" t="str">
        <f aca="false">IF($D82="Panel Details",IF($Z82="Primary",$J82,$L82),"")</f>
        <v/>
      </c>
      <c r="AH82" s="46" t="str">
        <f aca="false">IF($D82="Panel Details",IF($Z82="Primary",$L82,$J82),"")</f>
        <v/>
      </c>
      <c r="AI82" s="46" t="str">
        <f aca="false">IF($D82="Panel Details",'Survey Response'!$H80,"")</f>
        <v/>
      </c>
      <c r="AJ82" s="46" t="str">
        <f aca="false">IF($D82="Panel Details",'Survey Response'!$M80,"")</f>
        <v/>
      </c>
      <c r="AK82" s="46" t="str">
        <f aca="false">IF($D82="Panel Details",$O82,"")</f>
        <v/>
      </c>
      <c r="AL82" s="46" t="str">
        <f aca="false">IF($D82="Panel Details",8,"")</f>
        <v/>
      </c>
      <c r="AM82" s="46" t="str">
        <f aca="false">IF($D82="Panel Details",$AB82,"")</f>
        <v/>
      </c>
      <c r="AN82" s="46" t="str">
        <f aca="false">IF($D82="Panel Details","Yes","")</f>
        <v/>
      </c>
      <c r="AO82" s="46"/>
      <c r="AP82" s="46" t="str">
        <f aca="false">IF($D82="Followup",'Survey Response'!$D80,"")</f>
        <v/>
      </c>
      <c r="AQ82" s="46" t="str">
        <f aca="false">IF($D82="Followup",'Survey Response'!$E80,"")</f>
        <v/>
      </c>
      <c r="AR82" s="46" t="str">
        <f aca="false">IF($D82="Followup",'Survey Response'!$G80,"")</f>
        <v/>
      </c>
      <c r="AS82" s="46" t="str">
        <f aca="false">IF($D82="Followup",'Survey Response'!$H80,"")</f>
        <v/>
      </c>
      <c r="AT82" s="46" t="str">
        <f aca="false">IF($D82="Followup",'Survey Response'!$M80,"")</f>
        <v/>
      </c>
      <c r="AU82" s="46" t="str">
        <f aca="false">IF($D82="Followup",'Survey Response'!$K80,"")</f>
        <v/>
      </c>
      <c r="AV82" s="46" t="str">
        <f aca="false">IF($D82="Followup",'Survey Response'!$L80,"")</f>
        <v/>
      </c>
      <c r="AW82" s="46" t="str">
        <f aca="false">IF($D82="Followup",IF(AND($P82&lt;&gt;"Yes",$U82&lt;&gt;"Yes"),"Not approved for primary or secondary skill","Approved, but skill(s) no longer have capacity (fully staffed)"),"")</f>
        <v/>
      </c>
    </row>
    <row r="83" customFormat="false" ht="15" hidden="false" customHeight="true" outlineLevel="0" collapsed="false">
      <c r="A83" s="46" t="str">
        <f aca="false">IF('Survey Response'!$D81="","",'Survey Response'!$A81&amp;"|"&amp;LOWER(TRIM('Survey Response'!$D81)))</f>
        <v/>
      </c>
      <c r="B83" s="46" t="str">
        <f aca="false">IF($H83="","",$F83&amp;"|"&amp;$H83)</f>
        <v/>
      </c>
      <c r="C83" s="46" t="str">
        <f aca="false">IF($H83="","",$A83=$B83)</f>
        <v/>
      </c>
      <c r="D83" s="46" t="str">
        <f aca="false">IF($H83="","",IF($E83&lt;&gt;"Yes","Superseded",IF($I83&lt;&gt;"Yes, I'm available for in-person interviews at Chennai","Not Available",IF($Z83&lt;&gt;"","Panel Details","Followup"))))</f>
        <v/>
      </c>
      <c r="E83" s="46" t="str">
        <f aca="false">IF($H83="","",IF(SUMPRODUCT(($H$4:$H$503=$H83)*(($G$4:$G$503&gt;$G83)+($G$4:$G$503=$G83)*($F$4:$F$503&gt;$F83)))=0,"Yes","No"))</f>
        <v/>
      </c>
      <c r="F83" s="47" t="str">
        <f aca="false">IF('Survey Response'!$D81="","",INT('Survey Response'!$A81))</f>
        <v/>
      </c>
      <c r="G83" s="46" t="str">
        <f aca="false">IF('Survey Response'!$D81="","",'Survey Response'!$C81)</f>
        <v/>
      </c>
      <c r="H83" s="46" t="str">
        <f aca="false">IF('Survey Response'!$D81="","",LOWER(TRIM('Survey Response'!$D81)))</f>
        <v/>
      </c>
      <c r="I83" s="46" t="str">
        <f aca="false">IF($H83="","",'Survey Response'!$I81)</f>
        <v/>
      </c>
      <c r="J83" s="46" t="str">
        <f aca="false">IF($H83="","",'Survey Response'!$K81)</f>
        <v/>
      </c>
      <c r="K83" s="46" t="str">
        <f aca="false">IF($J83="","",IF(COUNTIF('Skill Mapping'!$A$2:$A$7,TRIM($J83))=0,"",INDEX('Skill Mapping'!$B$2:$B$7,MATCH(TRIM($J83),'Skill Mapping'!$A$2:$A$7,0))))</f>
        <v/>
      </c>
      <c r="L83" s="46" t="str">
        <f aca="false">IF($H83="","",'Survey Response'!$L81)</f>
        <v/>
      </c>
      <c r="M83" s="46" t="str">
        <f aca="false">IF($L83="","",IF(COUNTIF('Skill Mapping'!$A$2:$A$7,TRIM($L83))=0,"",INDEX('Skill Mapping'!$B$2:$B$7,MATCH(TRIM($L83),'Skill Mapping'!$A$2:$A$7,0))))</f>
        <v/>
      </c>
      <c r="N83" s="46" t="str">
        <f aca="false">IF($H83="","",'Survey Response'!$M81)</f>
        <v/>
      </c>
      <c r="O83" s="46" t="str">
        <f aca="false">IF($H83="","",IF('Survey Response'!$M81="Manager","R2","R1"))</f>
        <v/>
      </c>
      <c r="P83" s="46" t="str">
        <f aca="false">IF($K83="","No",IF(COUNTIFS(MasterPanel!$B:$B,$H83,MasterPanel!$I:$I,$K83,MasterPanel!$K:$K,"Y")&gt;0,"Yes","No"))</f>
        <v>No</v>
      </c>
      <c r="Q83" s="46" t="n">
        <f aca="false">IF($K83="",0,IF(COUNTIF('Gap Sheet'!$A$6:$A$11,TRIM($J83))=0,0,IF($O83="R1",INDEX('Gap Sheet'!$C$6:$C$11,MATCH(TRIM($J83),'Gap Sheet'!$A$6:$A$11,0)),INDEX('Gap Sheet'!$G$6:$G$11,MATCH(TRIM($J83),'Gap Sheet'!$A$6:$A$11,0)))))</f>
        <v>0</v>
      </c>
      <c r="R83" s="46" t="str">
        <f aca="false">IF($K83="","",$K83&amp;"|"&amp;$O83)</f>
        <v/>
      </c>
      <c r="S83" s="46" t="n">
        <f aca="false">IF($R83="",0,COUNTIF($AA$4:$AA82,$R83))</f>
        <v>0</v>
      </c>
      <c r="T83" s="46" t="str">
        <f aca="false">IF(OR($I83&lt;&gt;"Yes, I'm available for in-person interviews at Chennai",$E83&lt;&gt;"Yes",$P83&lt;&gt;"Yes"),"No",IF(($Q83-$S83)&gt;0,"Yes","No"))</f>
        <v>No</v>
      </c>
      <c r="U83" s="46" t="str">
        <f aca="false">IF($M83="","No",IF(COUNTIFS(MasterPanel!$B:$B,$H83,MasterPanel!$I:$I,$M83,MasterPanel!$K:$K,"Y")&gt;0,"Yes","No"))</f>
        <v>No</v>
      </c>
      <c r="V83" s="46" t="n">
        <f aca="false">IF($M83="",0,IF(COUNTIF('Gap Sheet'!$A$6:$A$11,TRIM($L83))=0,0,IF($O83="R1",INDEX('Gap Sheet'!$C$6:$C$11,MATCH(TRIM($L83),'Gap Sheet'!$A$6:$A$11,0)),INDEX('Gap Sheet'!$G$6:$G$11,MATCH(TRIM($L83),'Gap Sheet'!$A$6:$A$11,0)))))</f>
        <v>0</v>
      </c>
      <c r="W83" s="46" t="str">
        <f aca="false">IF($M83="","",$M83&amp;"|"&amp;$O83)</f>
        <v/>
      </c>
      <c r="X83" s="46" t="n">
        <f aca="false">IF($W83="",0,COUNTIF($AA$4:$AA82,$W83))</f>
        <v>0</v>
      </c>
      <c r="Y83" s="46" t="str">
        <f aca="false">IF(OR($I83&lt;&gt;"Yes, I'm available for in-person interviews at Chennai",$E83&lt;&gt;"Yes",$T83="Yes",$U83&lt;&gt;"Yes"),"No",IF(($V83-$X83)&gt;0,"Yes","No"))</f>
        <v>No</v>
      </c>
      <c r="Z83" s="46" t="str">
        <f aca="false">IF($T83="Yes","Primary",IF($Y83="Yes","Secondary",""))</f>
        <v/>
      </c>
      <c r="AA83" s="46" t="str">
        <f aca="false">IF($Z83="Primary",$R83,IF($Z83="Secondary",$W83,""))</f>
        <v/>
      </c>
      <c r="AB83" s="46" t="str">
        <f aca="false">IF($Z83="Primary","Matched on primary skill",IF($Z83="Secondary","Matched on secondary skill (primary not approved or not required)",""))</f>
        <v/>
      </c>
      <c r="AC83" s="47" t="str">
        <f aca="false">IF($D83="Panel Details",$F83,"")</f>
        <v/>
      </c>
      <c r="AD83" s="46" t="str">
        <f aca="false">IF($D83="Panel Details",'Survey Response'!$D81,"")</f>
        <v/>
      </c>
      <c r="AE83" s="46" t="str">
        <f aca="false">IF($D83="Panel Details",'Survey Response'!$E81,"")</f>
        <v/>
      </c>
      <c r="AF83" s="46" t="str">
        <f aca="false">IF($D83="Panel Details",'Survey Response'!$G81,"")</f>
        <v/>
      </c>
      <c r="AG83" s="46" t="str">
        <f aca="false">IF($D83="Panel Details",IF($Z83="Primary",$J83,$L83),"")</f>
        <v/>
      </c>
      <c r="AH83" s="46" t="str">
        <f aca="false">IF($D83="Panel Details",IF($Z83="Primary",$L83,$J83),"")</f>
        <v/>
      </c>
      <c r="AI83" s="46" t="str">
        <f aca="false">IF($D83="Panel Details",'Survey Response'!$H81,"")</f>
        <v/>
      </c>
      <c r="AJ83" s="46" t="str">
        <f aca="false">IF($D83="Panel Details",'Survey Response'!$M81,"")</f>
        <v/>
      </c>
      <c r="AK83" s="46" t="str">
        <f aca="false">IF($D83="Panel Details",$O83,"")</f>
        <v/>
      </c>
      <c r="AL83" s="46" t="str">
        <f aca="false">IF($D83="Panel Details",8,"")</f>
        <v/>
      </c>
      <c r="AM83" s="46" t="str">
        <f aca="false">IF($D83="Panel Details",$AB83,"")</f>
        <v/>
      </c>
      <c r="AN83" s="46" t="str">
        <f aca="false">IF($D83="Panel Details","Yes","")</f>
        <v/>
      </c>
      <c r="AO83" s="46"/>
      <c r="AP83" s="46" t="str">
        <f aca="false">IF($D83="Followup",'Survey Response'!$D81,"")</f>
        <v/>
      </c>
      <c r="AQ83" s="46" t="str">
        <f aca="false">IF($D83="Followup",'Survey Response'!$E81,"")</f>
        <v/>
      </c>
      <c r="AR83" s="46" t="str">
        <f aca="false">IF($D83="Followup",'Survey Response'!$G81,"")</f>
        <v/>
      </c>
      <c r="AS83" s="46" t="str">
        <f aca="false">IF($D83="Followup",'Survey Response'!$H81,"")</f>
        <v/>
      </c>
      <c r="AT83" s="46" t="str">
        <f aca="false">IF($D83="Followup",'Survey Response'!$M81,"")</f>
        <v/>
      </c>
      <c r="AU83" s="46" t="str">
        <f aca="false">IF($D83="Followup",'Survey Response'!$K81,"")</f>
        <v/>
      </c>
      <c r="AV83" s="46" t="str">
        <f aca="false">IF($D83="Followup",'Survey Response'!$L81,"")</f>
        <v/>
      </c>
      <c r="AW83" s="46" t="str">
        <f aca="false">IF($D83="Followup",IF(AND($P83&lt;&gt;"Yes",$U83&lt;&gt;"Yes"),"Not approved for primary or secondary skill","Approved, but skill(s) no longer have capacity (fully staffed)"),"")</f>
        <v/>
      </c>
    </row>
    <row r="84" customFormat="false" ht="15" hidden="false" customHeight="true" outlineLevel="0" collapsed="false">
      <c r="A84" s="46" t="str">
        <f aca="false">IF('Survey Response'!$D82="","",'Survey Response'!$A82&amp;"|"&amp;LOWER(TRIM('Survey Response'!$D82)))</f>
        <v/>
      </c>
      <c r="B84" s="46" t="str">
        <f aca="false">IF($H84="","",$F84&amp;"|"&amp;$H84)</f>
        <v/>
      </c>
      <c r="C84" s="46" t="str">
        <f aca="false">IF($H84="","",$A84=$B84)</f>
        <v/>
      </c>
      <c r="D84" s="46" t="str">
        <f aca="false">IF($H84="","",IF($E84&lt;&gt;"Yes","Superseded",IF($I84&lt;&gt;"Yes, I'm available for in-person interviews at Chennai","Not Available",IF($Z84&lt;&gt;"","Panel Details","Followup"))))</f>
        <v/>
      </c>
      <c r="E84" s="46" t="str">
        <f aca="false">IF($H84="","",IF(SUMPRODUCT(($H$4:$H$503=$H84)*(($G$4:$G$503&gt;$G84)+($G$4:$G$503=$G84)*($F$4:$F$503&gt;$F84)))=0,"Yes","No"))</f>
        <v/>
      </c>
      <c r="F84" s="47" t="str">
        <f aca="false">IF('Survey Response'!$D82="","",INT('Survey Response'!$A82))</f>
        <v/>
      </c>
      <c r="G84" s="46" t="str">
        <f aca="false">IF('Survey Response'!$D82="","",'Survey Response'!$C82)</f>
        <v/>
      </c>
      <c r="H84" s="46" t="str">
        <f aca="false">IF('Survey Response'!$D82="","",LOWER(TRIM('Survey Response'!$D82)))</f>
        <v/>
      </c>
      <c r="I84" s="46" t="str">
        <f aca="false">IF($H84="","",'Survey Response'!$I82)</f>
        <v/>
      </c>
      <c r="J84" s="46" t="str">
        <f aca="false">IF($H84="","",'Survey Response'!$K82)</f>
        <v/>
      </c>
      <c r="K84" s="46" t="str">
        <f aca="false">IF($J84="","",IF(COUNTIF('Skill Mapping'!$A$2:$A$7,TRIM($J84))=0,"",INDEX('Skill Mapping'!$B$2:$B$7,MATCH(TRIM($J84),'Skill Mapping'!$A$2:$A$7,0))))</f>
        <v/>
      </c>
      <c r="L84" s="46" t="str">
        <f aca="false">IF($H84="","",'Survey Response'!$L82)</f>
        <v/>
      </c>
      <c r="M84" s="46" t="str">
        <f aca="false">IF($L84="","",IF(COUNTIF('Skill Mapping'!$A$2:$A$7,TRIM($L84))=0,"",INDEX('Skill Mapping'!$B$2:$B$7,MATCH(TRIM($L84),'Skill Mapping'!$A$2:$A$7,0))))</f>
        <v/>
      </c>
      <c r="N84" s="46" t="str">
        <f aca="false">IF($H84="","",'Survey Response'!$M82)</f>
        <v/>
      </c>
      <c r="O84" s="46" t="str">
        <f aca="false">IF($H84="","",IF('Survey Response'!$M82="Manager","R2","R1"))</f>
        <v/>
      </c>
      <c r="P84" s="46" t="str">
        <f aca="false">IF($K84="","No",IF(COUNTIFS(MasterPanel!$B:$B,$H84,MasterPanel!$I:$I,$K84,MasterPanel!$K:$K,"Y")&gt;0,"Yes","No"))</f>
        <v>No</v>
      </c>
      <c r="Q84" s="46" t="n">
        <f aca="false">IF($K84="",0,IF(COUNTIF('Gap Sheet'!$A$6:$A$11,TRIM($J84))=0,0,IF($O84="R1",INDEX('Gap Sheet'!$C$6:$C$11,MATCH(TRIM($J84),'Gap Sheet'!$A$6:$A$11,0)),INDEX('Gap Sheet'!$G$6:$G$11,MATCH(TRIM($J84),'Gap Sheet'!$A$6:$A$11,0)))))</f>
        <v>0</v>
      </c>
      <c r="R84" s="46" t="str">
        <f aca="false">IF($K84="","",$K84&amp;"|"&amp;$O84)</f>
        <v/>
      </c>
      <c r="S84" s="46" t="n">
        <f aca="false">IF($R84="",0,COUNTIF($AA$4:$AA83,$R84))</f>
        <v>0</v>
      </c>
      <c r="T84" s="46" t="str">
        <f aca="false">IF(OR($I84&lt;&gt;"Yes, I'm available for in-person interviews at Chennai",$E84&lt;&gt;"Yes",$P84&lt;&gt;"Yes"),"No",IF(($Q84-$S84)&gt;0,"Yes","No"))</f>
        <v>No</v>
      </c>
      <c r="U84" s="46" t="str">
        <f aca="false">IF($M84="","No",IF(COUNTIFS(MasterPanel!$B:$B,$H84,MasterPanel!$I:$I,$M84,MasterPanel!$K:$K,"Y")&gt;0,"Yes","No"))</f>
        <v>No</v>
      </c>
      <c r="V84" s="46" t="n">
        <f aca="false">IF($M84="",0,IF(COUNTIF('Gap Sheet'!$A$6:$A$11,TRIM($L84))=0,0,IF($O84="R1",INDEX('Gap Sheet'!$C$6:$C$11,MATCH(TRIM($L84),'Gap Sheet'!$A$6:$A$11,0)),INDEX('Gap Sheet'!$G$6:$G$11,MATCH(TRIM($L84),'Gap Sheet'!$A$6:$A$11,0)))))</f>
        <v>0</v>
      </c>
      <c r="W84" s="46" t="str">
        <f aca="false">IF($M84="","",$M84&amp;"|"&amp;$O84)</f>
        <v/>
      </c>
      <c r="X84" s="46" t="n">
        <f aca="false">IF($W84="",0,COUNTIF($AA$4:$AA83,$W84))</f>
        <v>0</v>
      </c>
      <c r="Y84" s="46" t="str">
        <f aca="false">IF(OR($I84&lt;&gt;"Yes, I'm available for in-person interviews at Chennai",$E84&lt;&gt;"Yes",$T84="Yes",$U84&lt;&gt;"Yes"),"No",IF(($V84-$X84)&gt;0,"Yes","No"))</f>
        <v>No</v>
      </c>
      <c r="Z84" s="46" t="str">
        <f aca="false">IF($T84="Yes","Primary",IF($Y84="Yes","Secondary",""))</f>
        <v/>
      </c>
      <c r="AA84" s="46" t="str">
        <f aca="false">IF($Z84="Primary",$R84,IF($Z84="Secondary",$W84,""))</f>
        <v/>
      </c>
      <c r="AB84" s="46" t="str">
        <f aca="false">IF($Z84="Primary","Matched on primary skill",IF($Z84="Secondary","Matched on secondary skill (primary not approved or not required)",""))</f>
        <v/>
      </c>
      <c r="AC84" s="47" t="str">
        <f aca="false">IF($D84="Panel Details",$F84,"")</f>
        <v/>
      </c>
      <c r="AD84" s="46" t="str">
        <f aca="false">IF($D84="Panel Details",'Survey Response'!$D82,"")</f>
        <v/>
      </c>
      <c r="AE84" s="46" t="str">
        <f aca="false">IF($D84="Panel Details",'Survey Response'!$E82,"")</f>
        <v/>
      </c>
      <c r="AF84" s="46" t="str">
        <f aca="false">IF($D84="Panel Details",'Survey Response'!$G82,"")</f>
        <v/>
      </c>
      <c r="AG84" s="46" t="str">
        <f aca="false">IF($D84="Panel Details",IF($Z84="Primary",$J84,$L84),"")</f>
        <v/>
      </c>
      <c r="AH84" s="46" t="str">
        <f aca="false">IF($D84="Panel Details",IF($Z84="Primary",$L84,$J84),"")</f>
        <v/>
      </c>
      <c r="AI84" s="46" t="str">
        <f aca="false">IF($D84="Panel Details",'Survey Response'!$H82,"")</f>
        <v/>
      </c>
      <c r="AJ84" s="46" t="str">
        <f aca="false">IF($D84="Panel Details",'Survey Response'!$M82,"")</f>
        <v/>
      </c>
      <c r="AK84" s="46" t="str">
        <f aca="false">IF($D84="Panel Details",$O84,"")</f>
        <v/>
      </c>
      <c r="AL84" s="46" t="str">
        <f aca="false">IF($D84="Panel Details",8,"")</f>
        <v/>
      </c>
      <c r="AM84" s="46" t="str">
        <f aca="false">IF($D84="Panel Details",$AB84,"")</f>
        <v/>
      </c>
      <c r="AN84" s="46" t="str">
        <f aca="false">IF($D84="Panel Details","Yes","")</f>
        <v/>
      </c>
      <c r="AO84" s="46"/>
      <c r="AP84" s="46" t="str">
        <f aca="false">IF($D84="Followup",'Survey Response'!$D82,"")</f>
        <v/>
      </c>
      <c r="AQ84" s="46" t="str">
        <f aca="false">IF($D84="Followup",'Survey Response'!$E82,"")</f>
        <v/>
      </c>
      <c r="AR84" s="46" t="str">
        <f aca="false">IF($D84="Followup",'Survey Response'!$G82,"")</f>
        <v/>
      </c>
      <c r="AS84" s="46" t="str">
        <f aca="false">IF($D84="Followup",'Survey Response'!$H82,"")</f>
        <v/>
      </c>
      <c r="AT84" s="46" t="str">
        <f aca="false">IF($D84="Followup",'Survey Response'!$M82,"")</f>
        <v/>
      </c>
      <c r="AU84" s="46" t="str">
        <f aca="false">IF($D84="Followup",'Survey Response'!$K82,"")</f>
        <v/>
      </c>
      <c r="AV84" s="46" t="str">
        <f aca="false">IF($D84="Followup",'Survey Response'!$L82,"")</f>
        <v/>
      </c>
      <c r="AW84" s="46" t="str">
        <f aca="false">IF($D84="Followup",IF(AND($P84&lt;&gt;"Yes",$U84&lt;&gt;"Yes"),"Not approved for primary or secondary skill","Approved, but skill(s) no longer have capacity (fully staffed)"),"")</f>
        <v/>
      </c>
    </row>
    <row r="85" customFormat="false" ht="15" hidden="false" customHeight="true" outlineLevel="0" collapsed="false">
      <c r="A85" s="46" t="str">
        <f aca="false">IF('Survey Response'!$D83="","",'Survey Response'!$A83&amp;"|"&amp;LOWER(TRIM('Survey Response'!$D83)))</f>
        <v/>
      </c>
      <c r="B85" s="46" t="str">
        <f aca="false">IF($H85="","",$F85&amp;"|"&amp;$H85)</f>
        <v/>
      </c>
      <c r="C85" s="46" t="str">
        <f aca="false">IF($H85="","",$A85=$B85)</f>
        <v/>
      </c>
      <c r="D85" s="46" t="str">
        <f aca="false">IF($H85="","",IF($E85&lt;&gt;"Yes","Superseded",IF($I85&lt;&gt;"Yes, I'm available for in-person interviews at Chennai","Not Available",IF($Z85&lt;&gt;"","Panel Details","Followup"))))</f>
        <v/>
      </c>
      <c r="E85" s="46" t="str">
        <f aca="false">IF($H85="","",IF(SUMPRODUCT(($H$4:$H$503=$H85)*(($G$4:$G$503&gt;$G85)+($G$4:$G$503=$G85)*($F$4:$F$503&gt;$F85)))=0,"Yes","No"))</f>
        <v/>
      </c>
      <c r="F85" s="47" t="str">
        <f aca="false">IF('Survey Response'!$D83="","",INT('Survey Response'!$A83))</f>
        <v/>
      </c>
      <c r="G85" s="46" t="str">
        <f aca="false">IF('Survey Response'!$D83="","",'Survey Response'!$C83)</f>
        <v/>
      </c>
      <c r="H85" s="46" t="str">
        <f aca="false">IF('Survey Response'!$D83="","",LOWER(TRIM('Survey Response'!$D83)))</f>
        <v/>
      </c>
      <c r="I85" s="46" t="str">
        <f aca="false">IF($H85="","",'Survey Response'!$I83)</f>
        <v/>
      </c>
      <c r="J85" s="46" t="str">
        <f aca="false">IF($H85="","",'Survey Response'!$K83)</f>
        <v/>
      </c>
      <c r="K85" s="46" t="str">
        <f aca="false">IF($J85="","",IF(COUNTIF('Skill Mapping'!$A$2:$A$7,TRIM($J85))=0,"",INDEX('Skill Mapping'!$B$2:$B$7,MATCH(TRIM($J85),'Skill Mapping'!$A$2:$A$7,0))))</f>
        <v/>
      </c>
      <c r="L85" s="46" t="str">
        <f aca="false">IF($H85="","",'Survey Response'!$L83)</f>
        <v/>
      </c>
      <c r="M85" s="46" t="str">
        <f aca="false">IF($L85="","",IF(COUNTIF('Skill Mapping'!$A$2:$A$7,TRIM($L85))=0,"",INDEX('Skill Mapping'!$B$2:$B$7,MATCH(TRIM($L85),'Skill Mapping'!$A$2:$A$7,0))))</f>
        <v/>
      </c>
      <c r="N85" s="46" t="str">
        <f aca="false">IF($H85="","",'Survey Response'!$M83)</f>
        <v/>
      </c>
      <c r="O85" s="46" t="str">
        <f aca="false">IF($H85="","",IF('Survey Response'!$M83="Manager","R2","R1"))</f>
        <v/>
      </c>
      <c r="P85" s="46" t="str">
        <f aca="false">IF($K85="","No",IF(COUNTIFS(MasterPanel!$B:$B,$H85,MasterPanel!$I:$I,$K85,MasterPanel!$K:$K,"Y")&gt;0,"Yes","No"))</f>
        <v>No</v>
      </c>
      <c r="Q85" s="46" t="n">
        <f aca="false">IF($K85="",0,IF(COUNTIF('Gap Sheet'!$A$6:$A$11,TRIM($J85))=0,0,IF($O85="R1",INDEX('Gap Sheet'!$C$6:$C$11,MATCH(TRIM($J85),'Gap Sheet'!$A$6:$A$11,0)),INDEX('Gap Sheet'!$G$6:$G$11,MATCH(TRIM($J85),'Gap Sheet'!$A$6:$A$11,0)))))</f>
        <v>0</v>
      </c>
      <c r="R85" s="46" t="str">
        <f aca="false">IF($K85="","",$K85&amp;"|"&amp;$O85)</f>
        <v/>
      </c>
      <c r="S85" s="46" t="n">
        <f aca="false">IF($R85="",0,COUNTIF($AA$4:$AA84,$R85))</f>
        <v>0</v>
      </c>
      <c r="T85" s="46" t="str">
        <f aca="false">IF(OR($I85&lt;&gt;"Yes, I'm available for in-person interviews at Chennai",$E85&lt;&gt;"Yes",$P85&lt;&gt;"Yes"),"No",IF(($Q85-$S85)&gt;0,"Yes","No"))</f>
        <v>No</v>
      </c>
      <c r="U85" s="46" t="str">
        <f aca="false">IF($M85="","No",IF(COUNTIFS(MasterPanel!$B:$B,$H85,MasterPanel!$I:$I,$M85,MasterPanel!$K:$K,"Y")&gt;0,"Yes","No"))</f>
        <v>No</v>
      </c>
      <c r="V85" s="46" t="n">
        <f aca="false">IF($M85="",0,IF(COUNTIF('Gap Sheet'!$A$6:$A$11,TRIM($L85))=0,0,IF($O85="R1",INDEX('Gap Sheet'!$C$6:$C$11,MATCH(TRIM($L85),'Gap Sheet'!$A$6:$A$11,0)),INDEX('Gap Sheet'!$G$6:$G$11,MATCH(TRIM($L85),'Gap Sheet'!$A$6:$A$11,0)))))</f>
        <v>0</v>
      </c>
      <c r="W85" s="46" t="str">
        <f aca="false">IF($M85="","",$M85&amp;"|"&amp;$O85)</f>
        <v/>
      </c>
      <c r="X85" s="46" t="n">
        <f aca="false">IF($W85="",0,COUNTIF($AA$4:$AA84,$W85))</f>
        <v>0</v>
      </c>
      <c r="Y85" s="46" t="str">
        <f aca="false">IF(OR($I85&lt;&gt;"Yes, I'm available for in-person interviews at Chennai",$E85&lt;&gt;"Yes",$T85="Yes",$U85&lt;&gt;"Yes"),"No",IF(($V85-$X85)&gt;0,"Yes","No"))</f>
        <v>No</v>
      </c>
      <c r="Z85" s="46" t="str">
        <f aca="false">IF($T85="Yes","Primary",IF($Y85="Yes","Secondary",""))</f>
        <v/>
      </c>
      <c r="AA85" s="46" t="str">
        <f aca="false">IF($Z85="Primary",$R85,IF($Z85="Secondary",$W85,""))</f>
        <v/>
      </c>
      <c r="AB85" s="46" t="str">
        <f aca="false">IF($Z85="Primary","Matched on primary skill",IF($Z85="Secondary","Matched on secondary skill (primary not approved or not required)",""))</f>
        <v/>
      </c>
      <c r="AC85" s="47" t="str">
        <f aca="false">IF($D85="Panel Details",$F85,"")</f>
        <v/>
      </c>
      <c r="AD85" s="46" t="str">
        <f aca="false">IF($D85="Panel Details",'Survey Response'!$D83,"")</f>
        <v/>
      </c>
      <c r="AE85" s="46" t="str">
        <f aca="false">IF($D85="Panel Details",'Survey Response'!$E83,"")</f>
        <v/>
      </c>
      <c r="AF85" s="46" t="str">
        <f aca="false">IF($D85="Panel Details",'Survey Response'!$G83,"")</f>
        <v/>
      </c>
      <c r="AG85" s="46" t="str">
        <f aca="false">IF($D85="Panel Details",IF($Z85="Primary",$J85,$L85),"")</f>
        <v/>
      </c>
      <c r="AH85" s="46" t="str">
        <f aca="false">IF($D85="Panel Details",IF($Z85="Primary",$L85,$J85),"")</f>
        <v/>
      </c>
      <c r="AI85" s="46" t="str">
        <f aca="false">IF($D85="Panel Details",'Survey Response'!$H83,"")</f>
        <v/>
      </c>
      <c r="AJ85" s="46" t="str">
        <f aca="false">IF($D85="Panel Details",'Survey Response'!$M83,"")</f>
        <v/>
      </c>
      <c r="AK85" s="46" t="str">
        <f aca="false">IF($D85="Panel Details",$O85,"")</f>
        <v/>
      </c>
      <c r="AL85" s="46" t="str">
        <f aca="false">IF($D85="Panel Details",8,"")</f>
        <v/>
      </c>
      <c r="AM85" s="46" t="str">
        <f aca="false">IF($D85="Panel Details",$AB85,"")</f>
        <v/>
      </c>
      <c r="AN85" s="46" t="str">
        <f aca="false">IF($D85="Panel Details","Yes","")</f>
        <v/>
      </c>
      <c r="AO85" s="46"/>
      <c r="AP85" s="46" t="str">
        <f aca="false">IF($D85="Followup",'Survey Response'!$D83,"")</f>
        <v/>
      </c>
      <c r="AQ85" s="46" t="str">
        <f aca="false">IF($D85="Followup",'Survey Response'!$E83,"")</f>
        <v/>
      </c>
      <c r="AR85" s="46" t="str">
        <f aca="false">IF($D85="Followup",'Survey Response'!$G83,"")</f>
        <v/>
      </c>
      <c r="AS85" s="46" t="str">
        <f aca="false">IF($D85="Followup",'Survey Response'!$H83,"")</f>
        <v/>
      </c>
      <c r="AT85" s="46" t="str">
        <f aca="false">IF($D85="Followup",'Survey Response'!$M83,"")</f>
        <v/>
      </c>
      <c r="AU85" s="46" t="str">
        <f aca="false">IF($D85="Followup",'Survey Response'!$K83,"")</f>
        <v/>
      </c>
      <c r="AV85" s="46" t="str">
        <f aca="false">IF($D85="Followup",'Survey Response'!$L83,"")</f>
        <v/>
      </c>
      <c r="AW85" s="46" t="str">
        <f aca="false">IF($D85="Followup",IF(AND($P85&lt;&gt;"Yes",$U85&lt;&gt;"Yes"),"Not approved for primary or secondary skill","Approved, but skill(s) no longer have capacity (fully staffed)"),"")</f>
        <v/>
      </c>
    </row>
    <row r="86" customFormat="false" ht="15" hidden="false" customHeight="true" outlineLevel="0" collapsed="false">
      <c r="A86" s="46" t="str">
        <f aca="false">IF('Survey Response'!$D84="","",'Survey Response'!$A84&amp;"|"&amp;LOWER(TRIM('Survey Response'!$D84)))</f>
        <v/>
      </c>
      <c r="B86" s="46" t="str">
        <f aca="false">IF($H86="","",$F86&amp;"|"&amp;$H86)</f>
        <v/>
      </c>
      <c r="C86" s="46" t="str">
        <f aca="false">IF($H86="","",$A86=$B86)</f>
        <v/>
      </c>
      <c r="D86" s="46" t="str">
        <f aca="false">IF($H86="","",IF($E86&lt;&gt;"Yes","Superseded",IF($I86&lt;&gt;"Yes, I'm available for in-person interviews at Chennai","Not Available",IF($Z86&lt;&gt;"","Panel Details","Followup"))))</f>
        <v/>
      </c>
      <c r="E86" s="46" t="str">
        <f aca="false">IF($H86="","",IF(SUMPRODUCT(($H$4:$H$503=$H86)*(($G$4:$G$503&gt;$G86)+($G$4:$G$503=$G86)*($F$4:$F$503&gt;$F86)))=0,"Yes","No"))</f>
        <v/>
      </c>
      <c r="F86" s="47" t="str">
        <f aca="false">IF('Survey Response'!$D84="","",INT('Survey Response'!$A84))</f>
        <v/>
      </c>
      <c r="G86" s="46" t="str">
        <f aca="false">IF('Survey Response'!$D84="","",'Survey Response'!$C84)</f>
        <v/>
      </c>
      <c r="H86" s="46" t="str">
        <f aca="false">IF('Survey Response'!$D84="","",LOWER(TRIM('Survey Response'!$D84)))</f>
        <v/>
      </c>
      <c r="I86" s="46" t="str">
        <f aca="false">IF($H86="","",'Survey Response'!$I84)</f>
        <v/>
      </c>
      <c r="J86" s="46" t="str">
        <f aca="false">IF($H86="","",'Survey Response'!$K84)</f>
        <v/>
      </c>
      <c r="K86" s="46" t="str">
        <f aca="false">IF($J86="","",IF(COUNTIF('Skill Mapping'!$A$2:$A$7,TRIM($J86))=0,"",INDEX('Skill Mapping'!$B$2:$B$7,MATCH(TRIM($J86),'Skill Mapping'!$A$2:$A$7,0))))</f>
        <v/>
      </c>
      <c r="L86" s="46" t="str">
        <f aca="false">IF($H86="","",'Survey Response'!$L84)</f>
        <v/>
      </c>
      <c r="M86" s="46" t="str">
        <f aca="false">IF($L86="","",IF(COUNTIF('Skill Mapping'!$A$2:$A$7,TRIM($L86))=0,"",INDEX('Skill Mapping'!$B$2:$B$7,MATCH(TRIM($L86),'Skill Mapping'!$A$2:$A$7,0))))</f>
        <v/>
      </c>
      <c r="N86" s="46" t="str">
        <f aca="false">IF($H86="","",'Survey Response'!$M84)</f>
        <v/>
      </c>
      <c r="O86" s="46" t="str">
        <f aca="false">IF($H86="","",IF('Survey Response'!$M84="Manager","R2","R1"))</f>
        <v/>
      </c>
      <c r="P86" s="46" t="str">
        <f aca="false">IF($K86="","No",IF(COUNTIFS(MasterPanel!$B:$B,$H86,MasterPanel!$I:$I,$K86,MasterPanel!$K:$K,"Y")&gt;0,"Yes","No"))</f>
        <v>No</v>
      </c>
      <c r="Q86" s="46" t="n">
        <f aca="false">IF($K86="",0,IF(COUNTIF('Gap Sheet'!$A$6:$A$11,TRIM($J86))=0,0,IF($O86="R1",INDEX('Gap Sheet'!$C$6:$C$11,MATCH(TRIM($J86),'Gap Sheet'!$A$6:$A$11,0)),INDEX('Gap Sheet'!$G$6:$G$11,MATCH(TRIM($J86),'Gap Sheet'!$A$6:$A$11,0)))))</f>
        <v>0</v>
      </c>
      <c r="R86" s="46" t="str">
        <f aca="false">IF($K86="","",$K86&amp;"|"&amp;$O86)</f>
        <v/>
      </c>
      <c r="S86" s="46" t="n">
        <f aca="false">IF($R86="",0,COUNTIF($AA$4:$AA85,$R86))</f>
        <v>0</v>
      </c>
      <c r="T86" s="46" t="str">
        <f aca="false">IF(OR($I86&lt;&gt;"Yes, I'm available for in-person interviews at Chennai",$E86&lt;&gt;"Yes",$P86&lt;&gt;"Yes"),"No",IF(($Q86-$S86)&gt;0,"Yes","No"))</f>
        <v>No</v>
      </c>
      <c r="U86" s="46" t="str">
        <f aca="false">IF($M86="","No",IF(COUNTIFS(MasterPanel!$B:$B,$H86,MasterPanel!$I:$I,$M86,MasterPanel!$K:$K,"Y")&gt;0,"Yes","No"))</f>
        <v>No</v>
      </c>
      <c r="V86" s="46" t="n">
        <f aca="false">IF($M86="",0,IF(COUNTIF('Gap Sheet'!$A$6:$A$11,TRIM($L86))=0,0,IF($O86="R1",INDEX('Gap Sheet'!$C$6:$C$11,MATCH(TRIM($L86),'Gap Sheet'!$A$6:$A$11,0)),INDEX('Gap Sheet'!$G$6:$G$11,MATCH(TRIM($L86),'Gap Sheet'!$A$6:$A$11,0)))))</f>
        <v>0</v>
      </c>
      <c r="W86" s="46" t="str">
        <f aca="false">IF($M86="","",$M86&amp;"|"&amp;$O86)</f>
        <v/>
      </c>
      <c r="X86" s="46" t="n">
        <f aca="false">IF($W86="",0,COUNTIF($AA$4:$AA85,$W86))</f>
        <v>0</v>
      </c>
      <c r="Y86" s="46" t="str">
        <f aca="false">IF(OR($I86&lt;&gt;"Yes, I'm available for in-person interviews at Chennai",$E86&lt;&gt;"Yes",$T86="Yes",$U86&lt;&gt;"Yes"),"No",IF(($V86-$X86)&gt;0,"Yes","No"))</f>
        <v>No</v>
      </c>
      <c r="Z86" s="46" t="str">
        <f aca="false">IF($T86="Yes","Primary",IF($Y86="Yes","Secondary",""))</f>
        <v/>
      </c>
      <c r="AA86" s="46" t="str">
        <f aca="false">IF($Z86="Primary",$R86,IF($Z86="Secondary",$W86,""))</f>
        <v/>
      </c>
      <c r="AB86" s="46" t="str">
        <f aca="false">IF($Z86="Primary","Matched on primary skill",IF($Z86="Secondary","Matched on secondary skill (primary not approved or not required)",""))</f>
        <v/>
      </c>
      <c r="AC86" s="47" t="str">
        <f aca="false">IF($D86="Panel Details",$F86,"")</f>
        <v/>
      </c>
      <c r="AD86" s="46" t="str">
        <f aca="false">IF($D86="Panel Details",'Survey Response'!$D84,"")</f>
        <v/>
      </c>
      <c r="AE86" s="46" t="str">
        <f aca="false">IF($D86="Panel Details",'Survey Response'!$E84,"")</f>
        <v/>
      </c>
      <c r="AF86" s="46" t="str">
        <f aca="false">IF($D86="Panel Details",'Survey Response'!$G84,"")</f>
        <v/>
      </c>
      <c r="AG86" s="46" t="str">
        <f aca="false">IF($D86="Panel Details",IF($Z86="Primary",$J86,$L86),"")</f>
        <v/>
      </c>
      <c r="AH86" s="46" t="str">
        <f aca="false">IF($D86="Panel Details",IF($Z86="Primary",$L86,$J86),"")</f>
        <v/>
      </c>
      <c r="AI86" s="46" t="str">
        <f aca="false">IF($D86="Panel Details",'Survey Response'!$H84,"")</f>
        <v/>
      </c>
      <c r="AJ86" s="46" t="str">
        <f aca="false">IF($D86="Panel Details",'Survey Response'!$M84,"")</f>
        <v/>
      </c>
      <c r="AK86" s="46" t="str">
        <f aca="false">IF($D86="Panel Details",$O86,"")</f>
        <v/>
      </c>
      <c r="AL86" s="46" t="str">
        <f aca="false">IF($D86="Panel Details",8,"")</f>
        <v/>
      </c>
      <c r="AM86" s="46" t="str">
        <f aca="false">IF($D86="Panel Details",$AB86,"")</f>
        <v/>
      </c>
      <c r="AN86" s="46" t="str">
        <f aca="false">IF($D86="Panel Details","Yes","")</f>
        <v/>
      </c>
      <c r="AO86" s="46"/>
      <c r="AP86" s="46" t="str">
        <f aca="false">IF($D86="Followup",'Survey Response'!$D84,"")</f>
        <v/>
      </c>
      <c r="AQ86" s="46" t="str">
        <f aca="false">IF($D86="Followup",'Survey Response'!$E84,"")</f>
        <v/>
      </c>
      <c r="AR86" s="46" t="str">
        <f aca="false">IF($D86="Followup",'Survey Response'!$G84,"")</f>
        <v/>
      </c>
      <c r="AS86" s="46" t="str">
        <f aca="false">IF($D86="Followup",'Survey Response'!$H84,"")</f>
        <v/>
      </c>
      <c r="AT86" s="46" t="str">
        <f aca="false">IF($D86="Followup",'Survey Response'!$M84,"")</f>
        <v/>
      </c>
      <c r="AU86" s="46" t="str">
        <f aca="false">IF($D86="Followup",'Survey Response'!$K84,"")</f>
        <v/>
      </c>
      <c r="AV86" s="46" t="str">
        <f aca="false">IF($D86="Followup",'Survey Response'!$L84,"")</f>
        <v/>
      </c>
      <c r="AW86" s="46" t="str">
        <f aca="false">IF($D86="Followup",IF(AND($P86&lt;&gt;"Yes",$U86&lt;&gt;"Yes"),"Not approved for primary or secondary skill","Approved, but skill(s) no longer have capacity (fully staffed)"),"")</f>
        <v/>
      </c>
    </row>
    <row r="87" customFormat="false" ht="15" hidden="false" customHeight="true" outlineLevel="0" collapsed="false">
      <c r="A87" s="46" t="str">
        <f aca="false">IF('Survey Response'!$D85="","",'Survey Response'!$A85&amp;"|"&amp;LOWER(TRIM('Survey Response'!$D85)))</f>
        <v/>
      </c>
      <c r="B87" s="46" t="str">
        <f aca="false">IF($H87="","",$F87&amp;"|"&amp;$H87)</f>
        <v/>
      </c>
      <c r="C87" s="46" t="str">
        <f aca="false">IF($H87="","",$A87=$B87)</f>
        <v/>
      </c>
      <c r="D87" s="46" t="str">
        <f aca="false">IF($H87="","",IF($E87&lt;&gt;"Yes","Superseded",IF($I87&lt;&gt;"Yes, I'm available for in-person interviews at Chennai","Not Available",IF($Z87&lt;&gt;"","Panel Details","Followup"))))</f>
        <v/>
      </c>
      <c r="E87" s="46" t="str">
        <f aca="false">IF($H87="","",IF(SUMPRODUCT(($H$4:$H$503=$H87)*(($G$4:$G$503&gt;$G87)+($G$4:$G$503=$G87)*($F$4:$F$503&gt;$F87)))=0,"Yes","No"))</f>
        <v/>
      </c>
      <c r="F87" s="47" t="str">
        <f aca="false">IF('Survey Response'!$D85="","",INT('Survey Response'!$A85))</f>
        <v/>
      </c>
      <c r="G87" s="46" t="str">
        <f aca="false">IF('Survey Response'!$D85="","",'Survey Response'!$C85)</f>
        <v/>
      </c>
      <c r="H87" s="46" t="str">
        <f aca="false">IF('Survey Response'!$D85="","",LOWER(TRIM('Survey Response'!$D85)))</f>
        <v/>
      </c>
      <c r="I87" s="46" t="str">
        <f aca="false">IF($H87="","",'Survey Response'!$I85)</f>
        <v/>
      </c>
      <c r="J87" s="46" t="str">
        <f aca="false">IF($H87="","",'Survey Response'!$K85)</f>
        <v/>
      </c>
      <c r="K87" s="46" t="str">
        <f aca="false">IF($J87="","",IF(COUNTIF('Skill Mapping'!$A$2:$A$7,TRIM($J87))=0,"",INDEX('Skill Mapping'!$B$2:$B$7,MATCH(TRIM($J87),'Skill Mapping'!$A$2:$A$7,0))))</f>
        <v/>
      </c>
      <c r="L87" s="46" t="str">
        <f aca="false">IF($H87="","",'Survey Response'!$L85)</f>
        <v/>
      </c>
      <c r="M87" s="46" t="str">
        <f aca="false">IF($L87="","",IF(COUNTIF('Skill Mapping'!$A$2:$A$7,TRIM($L87))=0,"",INDEX('Skill Mapping'!$B$2:$B$7,MATCH(TRIM($L87),'Skill Mapping'!$A$2:$A$7,0))))</f>
        <v/>
      </c>
      <c r="N87" s="46" t="str">
        <f aca="false">IF($H87="","",'Survey Response'!$M85)</f>
        <v/>
      </c>
      <c r="O87" s="46" t="str">
        <f aca="false">IF($H87="","",IF('Survey Response'!$M85="Manager","R2","R1"))</f>
        <v/>
      </c>
      <c r="P87" s="46" t="str">
        <f aca="false">IF($K87="","No",IF(COUNTIFS(MasterPanel!$B:$B,$H87,MasterPanel!$I:$I,$K87,MasterPanel!$K:$K,"Y")&gt;0,"Yes","No"))</f>
        <v>No</v>
      </c>
      <c r="Q87" s="46" t="n">
        <f aca="false">IF($K87="",0,IF(COUNTIF('Gap Sheet'!$A$6:$A$11,TRIM($J87))=0,0,IF($O87="R1",INDEX('Gap Sheet'!$C$6:$C$11,MATCH(TRIM($J87),'Gap Sheet'!$A$6:$A$11,0)),INDEX('Gap Sheet'!$G$6:$G$11,MATCH(TRIM($J87),'Gap Sheet'!$A$6:$A$11,0)))))</f>
        <v>0</v>
      </c>
      <c r="R87" s="46" t="str">
        <f aca="false">IF($K87="","",$K87&amp;"|"&amp;$O87)</f>
        <v/>
      </c>
      <c r="S87" s="46" t="n">
        <f aca="false">IF($R87="",0,COUNTIF($AA$4:$AA86,$R87))</f>
        <v>0</v>
      </c>
      <c r="T87" s="46" t="str">
        <f aca="false">IF(OR($I87&lt;&gt;"Yes, I'm available for in-person interviews at Chennai",$E87&lt;&gt;"Yes",$P87&lt;&gt;"Yes"),"No",IF(($Q87-$S87)&gt;0,"Yes","No"))</f>
        <v>No</v>
      </c>
      <c r="U87" s="46" t="str">
        <f aca="false">IF($M87="","No",IF(COUNTIFS(MasterPanel!$B:$B,$H87,MasterPanel!$I:$I,$M87,MasterPanel!$K:$K,"Y")&gt;0,"Yes","No"))</f>
        <v>No</v>
      </c>
      <c r="V87" s="46" t="n">
        <f aca="false">IF($M87="",0,IF(COUNTIF('Gap Sheet'!$A$6:$A$11,TRIM($L87))=0,0,IF($O87="R1",INDEX('Gap Sheet'!$C$6:$C$11,MATCH(TRIM($L87),'Gap Sheet'!$A$6:$A$11,0)),INDEX('Gap Sheet'!$G$6:$G$11,MATCH(TRIM($L87),'Gap Sheet'!$A$6:$A$11,0)))))</f>
        <v>0</v>
      </c>
      <c r="W87" s="46" t="str">
        <f aca="false">IF($M87="","",$M87&amp;"|"&amp;$O87)</f>
        <v/>
      </c>
      <c r="X87" s="46" t="n">
        <f aca="false">IF($W87="",0,COUNTIF($AA$4:$AA86,$W87))</f>
        <v>0</v>
      </c>
      <c r="Y87" s="46" t="str">
        <f aca="false">IF(OR($I87&lt;&gt;"Yes, I'm available for in-person interviews at Chennai",$E87&lt;&gt;"Yes",$T87="Yes",$U87&lt;&gt;"Yes"),"No",IF(($V87-$X87)&gt;0,"Yes","No"))</f>
        <v>No</v>
      </c>
      <c r="Z87" s="46" t="str">
        <f aca="false">IF($T87="Yes","Primary",IF($Y87="Yes","Secondary",""))</f>
        <v/>
      </c>
      <c r="AA87" s="46" t="str">
        <f aca="false">IF($Z87="Primary",$R87,IF($Z87="Secondary",$W87,""))</f>
        <v/>
      </c>
      <c r="AB87" s="46" t="str">
        <f aca="false">IF($Z87="Primary","Matched on primary skill",IF($Z87="Secondary","Matched on secondary skill (primary not approved or not required)",""))</f>
        <v/>
      </c>
      <c r="AC87" s="47" t="str">
        <f aca="false">IF($D87="Panel Details",$F87,"")</f>
        <v/>
      </c>
      <c r="AD87" s="46" t="str">
        <f aca="false">IF($D87="Panel Details",'Survey Response'!$D85,"")</f>
        <v/>
      </c>
      <c r="AE87" s="46" t="str">
        <f aca="false">IF($D87="Panel Details",'Survey Response'!$E85,"")</f>
        <v/>
      </c>
      <c r="AF87" s="46" t="str">
        <f aca="false">IF($D87="Panel Details",'Survey Response'!$G85,"")</f>
        <v/>
      </c>
      <c r="AG87" s="46" t="str">
        <f aca="false">IF($D87="Panel Details",IF($Z87="Primary",$J87,$L87),"")</f>
        <v/>
      </c>
      <c r="AH87" s="46" t="str">
        <f aca="false">IF($D87="Panel Details",IF($Z87="Primary",$L87,$J87),"")</f>
        <v/>
      </c>
      <c r="AI87" s="46" t="str">
        <f aca="false">IF($D87="Panel Details",'Survey Response'!$H85,"")</f>
        <v/>
      </c>
      <c r="AJ87" s="46" t="str">
        <f aca="false">IF($D87="Panel Details",'Survey Response'!$M85,"")</f>
        <v/>
      </c>
      <c r="AK87" s="46" t="str">
        <f aca="false">IF($D87="Panel Details",$O87,"")</f>
        <v/>
      </c>
      <c r="AL87" s="46" t="str">
        <f aca="false">IF($D87="Panel Details",8,"")</f>
        <v/>
      </c>
      <c r="AM87" s="46" t="str">
        <f aca="false">IF($D87="Panel Details",$AB87,"")</f>
        <v/>
      </c>
      <c r="AN87" s="46" t="str">
        <f aca="false">IF($D87="Panel Details","Yes","")</f>
        <v/>
      </c>
      <c r="AO87" s="46"/>
      <c r="AP87" s="46" t="str">
        <f aca="false">IF($D87="Followup",'Survey Response'!$D85,"")</f>
        <v/>
      </c>
      <c r="AQ87" s="46" t="str">
        <f aca="false">IF($D87="Followup",'Survey Response'!$E85,"")</f>
        <v/>
      </c>
      <c r="AR87" s="46" t="str">
        <f aca="false">IF($D87="Followup",'Survey Response'!$G85,"")</f>
        <v/>
      </c>
      <c r="AS87" s="46" t="str">
        <f aca="false">IF($D87="Followup",'Survey Response'!$H85,"")</f>
        <v/>
      </c>
      <c r="AT87" s="46" t="str">
        <f aca="false">IF($D87="Followup",'Survey Response'!$M85,"")</f>
        <v/>
      </c>
      <c r="AU87" s="46" t="str">
        <f aca="false">IF($D87="Followup",'Survey Response'!$K85,"")</f>
        <v/>
      </c>
      <c r="AV87" s="46" t="str">
        <f aca="false">IF($D87="Followup",'Survey Response'!$L85,"")</f>
        <v/>
      </c>
      <c r="AW87" s="46" t="str">
        <f aca="false">IF($D87="Followup",IF(AND($P87&lt;&gt;"Yes",$U87&lt;&gt;"Yes"),"Not approved for primary or secondary skill","Approved, but skill(s) no longer have capacity (fully staffed)"),"")</f>
        <v/>
      </c>
    </row>
    <row r="88" customFormat="false" ht="15" hidden="false" customHeight="true" outlineLevel="0" collapsed="false">
      <c r="A88" s="46" t="str">
        <f aca="false">IF('Survey Response'!$D86="","",'Survey Response'!$A86&amp;"|"&amp;LOWER(TRIM('Survey Response'!$D86)))</f>
        <v/>
      </c>
      <c r="B88" s="46" t="str">
        <f aca="false">IF($H88="","",$F88&amp;"|"&amp;$H88)</f>
        <v/>
      </c>
      <c r="C88" s="46" t="str">
        <f aca="false">IF($H88="","",$A88=$B88)</f>
        <v/>
      </c>
      <c r="D88" s="46" t="str">
        <f aca="false">IF($H88="","",IF($E88&lt;&gt;"Yes","Superseded",IF($I88&lt;&gt;"Yes, I'm available for in-person interviews at Chennai","Not Available",IF($Z88&lt;&gt;"","Panel Details","Followup"))))</f>
        <v/>
      </c>
      <c r="E88" s="46" t="str">
        <f aca="false">IF($H88="","",IF(SUMPRODUCT(($H$4:$H$503=$H88)*(($G$4:$G$503&gt;$G88)+($G$4:$G$503=$G88)*($F$4:$F$503&gt;$F88)))=0,"Yes","No"))</f>
        <v/>
      </c>
      <c r="F88" s="47" t="str">
        <f aca="false">IF('Survey Response'!$D86="","",INT('Survey Response'!$A86))</f>
        <v/>
      </c>
      <c r="G88" s="46" t="str">
        <f aca="false">IF('Survey Response'!$D86="","",'Survey Response'!$C86)</f>
        <v/>
      </c>
      <c r="H88" s="46" t="str">
        <f aca="false">IF('Survey Response'!$D86="","",LOWER(TRIM('Survey Response'!$D86)))</f>
        <v/>
      </c>
      <c r="I88" s="46" t="str">
        <f aca="false">IF($H88="","",'Survey Response'!$I86)</f>
        <v/>
      </c>
      <c r="J88" s="46" t="str">
        <f aca="false">IF($H88="","",'Survey Response'!$K86)</f>
        <v/>
      </c>
      <c r="K88" s="46" t="str">
        <f aca="false">IF($J88="","",IF(COUNTIF('Skill Mapping'!$A$2:$A$7,TRIM($J88))=0,"",INDEX('Skill Mapping'!$B$2:$B$7,MATCH(TRIM($J88),'Skill Mapping'!$A$2:$A$7,0))))</f>
        <v/>
      </c>
      <c r="L88" s="46" t="str">
        <f aca="false">IF($H88="","",'Survey Response'!$L86)</f>
        <v/>
      </c>
      <c r="M88" s="46" t="str">
        <f aca="false">IF($L88="","",IF(COUNTIF('Skill Mapping'!$A$2:$A$7,TRIM($L88))=0,"",INDEX('Skill Mapping'!$B$2:$B$7,MATCH(TRIM($L88),'Skill Mapping'!$A$2:$A$7,0))))</f>
        <v/>
      </c>
      <c r="N88" s="46" t="str">
        <f aca="false">IF($H88="","",'Survey Response'!$M86)</f>
        <v/>
      </c>
      <c r="O88" s="46" t="str">
        <f aca="false">IF($H88="","",IF('Survey Response'!$M86="Manager","R2","R1"))</f>
        <v/>
      </c>
      <c r="P88" s="46" t="str">
        <f aca="false">IF($K88="","No",IF(COUNTIFS(MasterPanel!$B:$B,$H88,MasterPanel!$I:$I,$K88,MasterPanel!$K:$K,"Y")&gt;0,"Yes","No"))</f>
        <v>No</v>
      </c>
      <c r="Q88" s="46" t="n">
        <f aca="false">IF($K88="",0,IF(COUNTIF('Gap Sheet'!$A$6:$A$11,TRIM($J88))=0,0,IF($O88="R1",INDEX('Gap Sheet'!$C$6:$C$11,MATCH(TRIM($J88),'Gap Sheet'!$A$6:$A$11,0)),INDEX('Gap Sheet'!$G$6:$G$11,MATCH(TRIM($J88),'Gap Sheet'!$A$6:$A$11,0)))))</f>
        <v>0</v>
      </c>
      <c r="R88" s="46" t="str">
        <f aca="false">IF($K88="","",$K88&amp;"|"&amp;$O88)</f>
        <v/>
      </c>
      <c r="S88" s="46" t="n">
        <f aca="false">IF($R88="",0,COUNTIF($AA$4:$AA87,$R88))</f>
        <v>0</v>
      </c>
      <c r="T88" s="46" t="str">
        <f aca="false">IF(OR($I88&lt;&gt;"Yes, I'm available for in-person interviews at Chennai",$E88&lt;&gt;"Yes",$P88&lt;&gt;"Yes"),"No",IF(($Q88-$S88)&gt;0,"Yes","No"))</f>
        <v>No</v>
      </c>
      <c r="U88" s="46" t="str">
        <f aca="false">IF($M88="","No",IF(COUNTIFS(MasterPanel!$B:$B,$H88,MasterPanel!$I:$I,$M88,MasterPanel!$K:$K,"Y")&gt;0,"Yes","No"))</f>
        <v>No</v>
      </c>
      <c r="V88" s="46" t="n">
        <f aca="false">IF($M88="",0,IF(COUNTIF('Gap Sheet'!$A$6:$A$11,TRIM($L88))=0,0,IF($O88="R1",INDEX('Gap Sheet'!$C$6:$C$11,MATCH(TRIM($L88),'Gap Sheet'!$A$6:$A$11,0)),INDEX('Gap Sheet'!$G$6:$G$11,MATCH(TRIM($L88),'Gap Sheet'!$A$6:$A$11,0)))))</f>
        <v>0</v>
      </c>
      <c r="W88" s="46" t="str">
        <f aca="false">IF($M88="","",$M88&amp;"|"&amp;$O88)</f>
        <v/>
      </c>
      <c r="X88" s="46" t="n">
        <f aca="false">IF($W88="",0,COUNTIF($AA$4:$AA87,$W88))</f>
        <v>0</v>
      </c>
      <c r="Y88" s="46" t="str">
        <f aca="false">IF(OR($I88&lt;&gt;"Yes, I'm available for in-person interviews at Chennai",$E88&lt;&gt;"Yes",$T88="Yes",$U88&lt;&gt;"Yes"),"No",IF(($V88-$X88)&gt;0,"Yes","No"))</f>
        <v>No</v>
      </c>
      <c r="Z88" s="46" t="str">
        <f aca="false">IF($T88="Yes","Primary",IF($Y88="Yes","Secondary",""))</f>
        <v/>
      </c>
      <c r="AA88" s="46" t="str">
        <f aca="false">IF($Z88="Primary",$R88,IF($Z88="Secondary",$W88,""))</f>
        <v/>
      </c>
      <c r="AB88" s="46" t="str">
        <f aca="false">IF($Z88="Primary","Matched on primary skill",IF($Z88="Secondary","Matched on secondary skill (primary not approved or not required)",""))</f>
        <v/>
      </c>
      <c r="AC88" s="47" t="str">
        <f aca="false">IF($D88="Panel Details",$F88,"")</f>
        <v/>
      </c>
      <c r="AD88" s="46" t="str">
        <f aca="false">IF($D88="Panel Details",'Survey Response'!$D86,"")</f>
        <v/>
      </c>
      <c r="AE88" s="46" t="str">
        <f aca="false">IF($D88="Panel Details",'Survey Response'!$E86,"")</f>
        <v/>
      </c>
      <c r="AF88" s="46" t="str">
        <f aca="false">IF($D88="Panel Details",'Survey Response'!$G86,"")</f>
        <v/>
      </c>
      <c r="AG88" s="46" t="str">
        <f aca="false">IF($D88="Panel Details",IF($Z88="Primary",$J88,$L88),"")</f>
        <v/>
      </c>
      <c r="AH88" s="46" t="str">
        <f aca="false">IF($D88="Panel Details",IF($Z88="Primary",$L88,$J88),"")</f>
        <v/>
      </c>
      <c r="AI88" s="46" t="str">
        <f aca="false">IF($D88="Panel Details",'Survey Response'!$H86,"")</f>
        <v/>
      </c>
      <c r="AJ88" s="46" t="str">
        <f aca="false">IF($D88="Panel Details",'Survey Response'!$M86,"")</f>
        <v/>
      </c>
      <c r="AK88" s="46" t="str">
        <f aca="false">IF($D88="Panel Details",$O88,"")</f>
        <v/>
      </c>
      <c r="AL88" s="46" t="str">
        <f aca="false">IF($D88="Panel Details",8,"")</f>
        <v/>
      </c>
      <c r="AM88" s="46" t="str">
        <f aca="false">IF($D88="Panel Details",$AB88,"")</f>
        <v/>
      </c>
      <c r="AN88" s="46" t="str">
        <f aca="false">IF($D88="Panel Details","Yes","")</f>
        <v/>
      </c>
      <c r="AO88" s="46"/>
      <c r="AP88" s="46" t="str">
        <f aca="false">IF($D88="Followup",'Survey Response'!$D86,"")</f>
        <v/>
      </c>
      <c r="AQ88" s="46" t="str">
        <f aca="false">IF($D88="Followup",'Survey Response'!$E86,"")</f>
        <v/>
      </c>
      <c r="AR88" s="46" t="str">
        <f aca="false">IF($D88="Followup",'Survey Response'!$G86,"")</f>
        <v/>
      </c>
      <c r="AS88" s="46" t="str">
        <f aca="false">IF($D88="Followup",'Survey Response'!$H86,"")</f>
        <v/>
      </c>
      <c r="AT88" s="46" t="str">
        <f aca="false">IF($D88="Followup",'Survey Response'!$M86,"")</f>
        <v/>
      </c>
      <c r="AU88" s="46" t="str">
        <f aca="false">IF($D88="Followup",'Survey Response'!$K86,"")</f>
        <v/>
      </c>
      <c r="AV88" s="46" t="str">
        <f aca="false">IF($D88="Followup",'Survey Response'!$L86,"")</f>
        <v/>
      </c>
      <c r="AW88" s="46" t="str">
        <f aca="false">IF($D88="Followup",IF(AND($P88&lt;&gt;"Yes",$U88&lt;&gt;"Yes"),"Not approved for primary or secondary skill","Approved, but skill(s) no longer have capacity (fully staffed)"),"")</f>
        <v/>
      </c>
    </row>
    <row r="89" customFormat="false" ht="15" hidden="false" customHeight="true" outlineLevel="0" collapsed="false">
      <c r="A89" s="46" t="str">
        <f aca="false">IF('Survey Response'!$D87="","",'Survey Response'!$A87&amp;"|"&amp;LOWER(TRIM('Survey Response'!$D87)))</f>
        <v/>
      </c>
      <c r="B89" s="46" t="str">
        <f aca="false">IF($H89="","",$F89&amp;"|"&amp;$H89)</f>
        <v/>
      </c>
      <c r="C89" s="46" t="str">
        <f aca="false">IF($H89="","",$A89=$B89)</f>
        <v/>
      </c>
      <c r="D89" s="46" t="str">
        <f aca="false">IF($H89="","",IF($E89&lt;&gt;"Yes","Superseded",IF($I89&lt;&gt;"Yes, I'm available for in-person interviews at Chennai","Not Available",IF($Z89&lt;&gt;"","Panel Details","Followup"))))</f>
        <v/>
      </c>
      <c r="E89" s="46" t="str">
        <f aca="false">IF($H89="","",IF(SUMPRODUCT(($H$4:$H$503=$H89)*(($G$4:$G$503&gt;$G89)+($G$4:$G$503=$G89)*($F$4:$F$503&gt;$F89)))=0,"Yes","No"))</f>
        <v/>
      </c>
      <c r="F89" s="47" t="str">
        <f aca="false">IF('Survey Response'!$D87="","",INT('Survey Response'!$A87))</f>
        <v/>
      </c>
      <c r="G89" s="46" t="str">
        <f aca="false">IF('Survey Response'!$D87="","",'Survey Response'!$C87)</f>
        <v/>
      </c>
      <c r="H89" s="46" t="str">
        <f aca="false">IF('Survey Response'!$D87="","",LOWER(TRIM('Survey Response'!$D87)))</f>
        <v/>
      </c>
      <c r="I89" s="46" t="str">
        <f aca="false">IF($H89="","",'Survey Response'!$I87)</f>
        <v/>
      </c>
      <c r="J89" s="46" t="str">
        <f aca="false">IF($H89="","",'Survey Response'!$K87)</f>
        <v/>
      </c>
      <c r="K89" s="46" t="str">
        <f aca="false">IF($J89="","",IF(COUNTIF('Skill Mapping'!$A$2:$A$7,TRIM($J89))=0,"",INDEX('Skill Mapping'!$B$2:$B$7,MATCH(TRIM($J89),'Skill Mapping'!$A$2:$A$7,0))))</f>
        <v/>
      </c>
      <c r="L89" s="46" t="str">
        <f aca="false">IF($H89="","",'Survey Response'!$L87)</f>
        <v/>
      </c>
      <c r="M89" s="46" t="str">
        <f aca="false">IF($L89="","",IF(COUNTIF('Skill Mapping'!$A$2:$A$7,TRIM($L89))=0,"",INDEX('Skill Mapping'!$B$2:$B$7,MATCH(TRIM($L89),'Skill Mapping'!$A$2:$A$7,0))))</f>
        <v/>
      </c>
      <c r="N89" s="46" t="str">
        <f aca="false">IF($H89="","",'Survey Response'!$M87)</f>
        <v/>
      </c>
      <c r="O89" s="46" t="str">
        <f aca="false">IF($H89="","",IF('Survey Response'!$M87="Manager","R2","R1"))</f>
        <v/>
      </c>
      <c r="P89" s="46" t="str">
        <f aca="false">IF($K89="","No",IF(COUNTIFS(MasterPanel!$B:$B,$H89,MasterPanel!$I:$I,$K89,MasterPanel!$K:$K,"Y")&gt;0,"Yes","No"))</f>
        <v>No</v>
      </c>
      <c r="Q89" s="46" t="n">
        <f aca="false">IF($K89="",0,IF(COUNTIF('Gap Sheet'!$A$6:$A$11,TRIM($J89))=0,0,IF($O89="R1",INDEX('Gap Sheet'!$C$6:$C$11,MATCH(TRIM($J89),'Gap Sheet'!$A$6:$A$11,0)),INDEX('Gap Sheet'!$G$6:$G$11,MATCH(TRIM($J89),'Gap Sheet'!$A$6:$A$11,0)))))</f>
        <v>0</v>
      </c>
      <c r="R89" s="46" t="str">
        <f aca="false">IF($K89="","",$K89&amp;"|"&amp;$O89)</f>
        <v/>
      </c>
      <c r="S89" s="46" t="n">
        <f aca="false">IF($R89="",0,COUNTIF($AA$4:$AA88,$R89))</f>
        <v>0</v>
      </c>
      <c r="T89" s="46" t="str">
        <f aca="false">IF(OR($I89&lt;&gt;"Yes, I'm available for in-person interviews at Chennai",$E89&lt;&gt;"Yes",$P89&lt;&gt;"Yes"),"No",IF(($Q89-$S89)&gt;0,"Yes","No"))</f>
        <v>No</v>
      </c>
      <c r="U89" s="46" t="str">
        <f aca="false">IF($M89="","No",IF(COUNTIFS(MasterPanel!$B:$B,$H89,MasterPanel!$I:$I,$M89,MasterPanel!$K:$K,"Y")&gt;0,"Yes","No"))</f>
        <v>No</v>
      </c>
      <c r="V89" s="46" t="n">
        <f aca="false">IF($M89="",0,IF(COUNTIF('Gap Sheet'!$A$6:$A$11,TRIM($L89))=0,0,IF($O89="R1",INDEX('Gap Sheet'!$C$6:$C$11,MATCH(TRIM($L89),'Gap Sheet'!$A$6:$A$11,0)),INDEX('Gap Sheet'!$G$6:$G$11,MATCH(TRIM($L89),'Gap Sheet'!$A$6:$A$11,0)))))</f>
        <v>0</v>
      </c>
      <c r="W89" s="46" t="str">
        <f aca="false">IF($M89="","",$M89&amp;"|"&amp;$O89)</f>
        <v/>
      </c>
      <c r="X89" s="46" t="n">
        <f aca="false">IF($W89="",0,COUNTIF($AA$4:$AA88,$W89))</f>
        <v>0</v>
      </c>
      <c r="Y89" s="46" t="str">
        <f aca="false">IF(OR($I89&lt;&gt;"Yes, I'm available for in-person interviews at Chennai",$E89&lt;&gt;"Yes",$T89="Yes",$U89&lt;&gt;"Yes"),"No",IF(($V89-$X89)&gt;0,"Yes","No"))</f>
        <v>No</v>
      </c>
      <c r="Z89" s="46" t="str">
        <f aca="false">IF($T89="Yes","Primary",IF($Y89="Yes","Secondary",""))</f>
        <v/>
      </c>
      <c r="AA89" s="46" t="str">
        <f aca="false">IF($Z89="Primary",$R89,IF($Z89="Secondary",$W89,""))</f>
        <v/>
      </c>
      <c r="AB89" s="46" t="str">
        <f aca="false">IF($Z89="Primary","Matched on primary skill",IF($Z89="Secondary","Matched on secondary skill (primary not approved or not required)",""))</f>
        <v/>
      </c>
      <c r="AC89" s="47" t="str">
        <f aca="false">IF($D89="Panel Details",$F89,"")</f>
        <v/>
      </c>
      <c r="AD89" s="46" t="str">
        <f aca="false">IF($D89="Panel Details",'Survey Response'!$D87,"")</f>
        <v/>
      </c>
      <c r="AE89" s="46" t="str">
        <f aca="false">IF($D89="Panel Details",'Survey Response'!$E87,"")</f>
        <v/>
      </c>
      <c r="AF89" s="46" t="str">
        <f aca="false">IF($D89="Panel Details",'Survey Response'!$G87,"")</f>
        <v/>
      </c>
      <c r="AG89" s="46" t="str">
        <f aca="false">IF($D89="Panel Details",IF($Z89="Primary",$J89,$L89),"")</f>
        <v/>
      </c>
      <c r="AH89" s="46" t="str">
        <f aca="false">IF($D89="Panel Details",IF($Z89="Primary",$L89,$J89),"")</f>
        <v/>
      </c>
      <c r="AI89" s="46" t="str">
        <f aca="false">IF($D89="Panel Details",'Survey Response'!$H87,"")</f>
        <v/>
      </c>
      <c r="AJ89" s="46" t="str">
        <f aca="false">IF($D89="Panel Details",'Survey Response'!$M87,"")</f>
        <v/>
      </c>
      <c r="AK89" s="46" t="str">
        <f aca="false">IF($D89="Panel Details",$O89,"")</f>
        <v/>
      </c>
      <c r="AL89" s="46" t="str">
        <f aca="false">IF($D89="Panel Details",8,"")</f>
        <v/>
      </c>
      <c r="AM89" s="46" t="str">
        <f aca="false">IF($D89="Panel Details",$AB89,"")</f>
        <v/>
      </c>
      <c r="AN89" s="46" t="str">
        <f aca="false">IF($D89="Panel Details","Yes","")</f>
        <v/>
      </c>
      <c r="AO89" s="46"/>
      <c r="AP89" s="46" t="str">
        <f aca="false">IF($D89="Followup",'Survey Response'!$D87,"")</f>
        <v/>
      </c>
      <c r="AQ89" s="46" t="str">
        <f aca="false">IF($D89="Followup",'Survey Response'!$E87,"")</f>
        <v/>
      </c>
      <c r="AR89" s="46" t="str">
        <f aca="false">IF($D89="Followup",'Survey Response'!$G87,"")</f>
        <v/>
      </c>
      <c r="AS89" s="46" t="str">
        <f aca="false">IF($D89="Followup",'Survey Response'!$H87,"")</f>
        <v/>
      </c>
      <c r="AT89" s="46" t="str">
        <f aca="false">IF($D89="Followup",'Survey Response'!$M87,"")</f>
        <v/>
      </c>
      <c r="AU89" s="46" t="str">
        <f aca="false">IF($D89="Followup",'Survey Response'!$K87,"")</f>
        <v/>
      </c>
      <c r="AV89" s="46" t="str">
        <f aca="false">IF($D89="Followup",'Survey Response'!$L87,"")</f>
        <v/>
      </c>
      <c r="AW89" s="46" t="str">
        <f aca="false">IF($D89="Followup",IF(AND($P89&lt;&gt;"Yes",$U89&lt;&gt;"Yes"),"Not approved for primary or secondary skill","Approved, but skill(s) no longer have capacity (fully staffed)"),"")</f>
        <v/>
      </c>
    </row>
    <row r="90" customFormat="false" ht="15" hidden="false" customHeight="true" outlineLevel="0" collapsed="false">
      <c r="A90" s="46" t="str">
        <f aca="false">IF('Survey Response'!$D88="","",'Survey Response'!$A88&amp;"|"&amp;LOWER(TRIM('Survey Response'!$D88)))</f>
        <v/>
      </c>
      <c r="B90" s="46" t="str">
        <f aca="false">IF($H90="","",$F90&amp;"|"&amp;$H90)</f>
        <v/>
      </c>
      <c r="C90" s="46" t="str">
        <f aca="false">IF($H90="","",$A90=$B90)</f>
        <v/>
      </c>
      <c r="D90" s="46" t="str">
        <f aca="false">IF($H90="","",IF($E90&lt;&gt;"Yes","Superseded",IF($I90&lt;&gt;"Yes, I'm available for in-person interviews at Chennai","Not Available",IF($Z90&lt;&gt;"","Panel Details","Followup"))))</f>
        <v/>
      </c>
      <c r="E90" s="46" t="str">
        <f aca="false">IF($H90="","",IF(SUMPRODUCT(($H$4:$H$503=$H90)*(($G$4:$G$503&gt;$G90)+($G$4:$G$503=$G90)*($F$4:$F$503&gt;$F90)))=0,"Yes","No"))</f>
        <v/>
      </c>
      <c r="F90" s="47" t="str">
        <f aca="false">IF('Survey Response'!$D88="","",INT('Survey Response'!$A88))</f>
        <v/>
      </c>
      <c r="G90" s="46" t="str">
        <f aca="false">IF('Survey Response'!$D88="","",'Survey Response'!$C88)</f>
        <v/>
      </c>
      <c r="H90" s="46" t="str">
        <f aca="false">IF('Survey Response'!$D88="","",LOWER(TRIM('Survey Response'!$D88)))</f>
        <v/>
      </c>
      <c r="I90" s="46" t="str">
        <f aca="false">IF($H90="","",'Survey Response'!$I88)</f>
        <v/>
      </c>
      <c r="J90" s="46" t="str">
        <f aca="false">IF($H90="","",'Survey Response'!$K88)</f>
        <v/>
      </c>
      <c r="K90" s="46" t="str">
        <f aca="false">IF($J90="","",IF(COUNTIF('Skill Mapping'!$A$2:$A$7,TRIM($J90))=0,"",INDEX('Skill Mapping'!$B$2:$B$7,MATCH(TRIM($J90),'Skill Mapping'!$A$2:$A$7,0))))</f>
        <v/>
      </c>
      <c r="L90" s="46" t="str">
        <f aca="false">IF($H90="","",'Survey Response'!$L88)</f>
        <v/>
      </c>
      <c r="M90" s="46" t="str">
        <f aca="false">IF($L90="","",IF(COUNTIF('Skill Mapping'!$A$2:$A$7,TRIM($L90))=0,"",INDEX('Skill Mapping'!$B$2:$B$7,MATCH(TRIM($L90),'Skill Mapping'!$A$2:$A$7,0))))</f>
        <v/>
      </c>
      <c r="N90" s="46" t="str">
        <f aca="false">IF($H90="","",'Survey Response'!$M88)</f>
        <v/>
      </c>
      <c r="O90" s="46" t="str">
        <f aca="false">IF($H90="","",IF('Survey Response'!$M88="Manager","R2","R1"))</f>
        <v/>
      </c>
      <c r="P90" s="46" t="str">
        <f aca="false">IF($K90="","No",IF(COUNTIFS(MasterPanel!$B:$B,$H90,MasterPanel!$I:$I,$K90,MasterPanel!$K:$K,"Y")&gt;0,"Yes","No"))</f>
        <v>No</v>
      </c>
      <c r="Q90" s="46" t="n">
        <f aca="false">IF($K90="",0,IF(COUNTIF('Gap Sheet'!$A$6:$A$11,TRIM($J90))=0,0,IF($O90="R1",INDEX('Gap Sheet'!$C$6:$C$11,MATCH(TRIM($J90),'Gap Sheet'!$A$6:$A$11,0)),INDEX('Gap Sheet'!$G$6:$G$11,MATCH(TRIM($J90),'Gap Sheet'!$A$6:$A$11,0)))))</f>
        <v>0</v>
      </c>
      <c r="R90" s="46" t="str">
        <f aca="false">IF($K90="","",$K90&amp;"|"&amp;$O90)</f>
        <v/>
      </c>
      <c r="S90" s="46" t="n">
        <f aca="false">IF($R90="",0,COUNTIF($AA$4:$AA89,$R90))</f>
        <v>0</v>
      </c>
      <c r="T90" s="46" t="str">
        <f aca="false">IF(OR($I90&lt;&gt;"Yes, I'm available for in-person interviews at Chennai",$E90&lt;&gt;"Yes",$P90&lt;&gt;"Yes"),"No",IF(($Q90-$S90)&gt;0,"Yes","No"))</f>
        <v>No</v>
      </c>
      <c r="U90" s="46" t="str">
        <f aca="false">IF($M90="","No",IF(COUNTIFS(MasterPanel!$B:$B,$H90,MasterPanel!$I:$I,$M90,MasterPanel!$K:$K,"Y")&gt;0,"Yes","No"))</f>
        <v>No</v>
      </c>
      <c r="V90" s="46" t="n">
        <f aca="false">IF($M90="",0,IF(COUNTIF('Gap Sheet'!$A$6:$A$11,TRIM($L90))=0,0,IF($O90="R1",INDEX('Gap Sheet'!$C$6:$C$11,MATCH(TRIM($L90),'Gap Sheet'!$A$6:$A$11,0)),INDEX('Gap Sheet'!$G$6:$G$11,MATCH(TRIM($L90),'Gap Sheet'!$A$6:$A$11,0)))))</f>
        <v>0</v>
      </c>
      <c r="W90" s="46" t="str">
        <f aca="false">IF($M90="","",$M90&amp;"|"&amp;$O90)</f>
        <v/>
      </c>
      <c r="X90" s="46" t="n">
        <f aca="false">IF($W90="",0,COUNTIF($AA$4:$AA89,$W90))</f>
        <v>0</v>
      </c>
      <c r="Y90" s="46" t="str">
        <f aca="false">IF(OR($I90&lt;&gt;"Yes, I'm available for in-person interviews at Chennai",$E90&lt;&gt;"Yes",$T90="Yes",$U90&lt;&gt;"Yes"),"No",IF(($V90-$X90)&gt;0,"Yes","No"))</f>
        <v>No</v>
      </c>
      <c r="Z90" s="46" t="str">
        <f aca="false">IF($T90="Yes","Primary",IF($Y90="Yes","Secondary",""))</f>
        <v/>
      </c>
      <c r="AA90" s="46" t="str">
        <f aca="false">IF($Z90="Primary",$R90,IF($Z90="Secondary",$W90,""))</f>
        <v/>
      </c>
      <c r="AB90" s="46" t="str">
        <f aca="false">IF($Z90="Primary","Matched on primary skill",IF($Z90="Secondary","Matched on secondary skill (primary not approved or not required)",""))</f>
        <v/>
      </c>
      <c r="AC90" s="47" t="str">
        <f aca="false">IF($D90="Panel Details",$F90,"")</f>
        <v/>
      </c>
      <c r="AD90" s="46" t="str">
        <f aca="false">IF($D90="Panel Details",'Survey Response'!$D88,"")</f>
        <v/>
      </c>
      <c r="AE90" s="46" t="str">
        <f aca="false">IF($D90="Panel Details",'Survey Response'!$E88,"")</f>
        <v/>
      </c>
      <c r="AF90" s="46" t="str">
        <f aca="false">IF($D90="Panel Details",'Survey Response'!$G88,"")</f>
        <v/>
      </c>
      <c r="AG90" s="46" t="str">
        <f aca="false">IF($D90="Panel Details",IF($Z90="Primary",$J90,$L90),"")</f>
        <v/>
      </c>
      <c r="AH90" s="46" t="str">
        <f aca="false">IF($D90="Panel Details",IF($Z90="Primary",$L90,$J90),"")</f>
        <v/>
      </c>
      <c r="AI90" s="46" t="str">
        <f aca="false">IF($D90="Panel Details",'Survey Response'!$H88,"")</f>
        <v/>
      </c>
      <c r="AJ90" s="46" t="str">
        <f aca="false">IF($D90="Panel Details",'Survey Response'!$M88,"")</f>
        <v/>
      </c>
      <c r="AK90" s="46" t="str">
        <f aca="false">IF($D90="Panel Details",$O90,"")</f>
        <v/>
      </c>
      <c r="AL90" s="46" t="str">
        <f aca="false">IF($D90="Panel Details",8,"")</f>
        <v/>
      </c>
      <c r="AM90" s="46" t="str">
        <f aca="false">IF($D90="Panel Details",$AB90,"")</f>
        <v/>
      </c>
      <c r="AN90" s="46" t="str">
        <f aca="false">IF($D90="Panel Details","Yes","")</f>
        <v/>
      </c>
      <c r="AO90" s="46"/>
      <c r="AP90" s="46" t="str">
        <f aca="false">IF($D90="Followup",'Survey Response'!$D88,"")</f>
        <v/>
      </c>
      <c r="AQ90" s="46" t="str">
        <f aca="false">IF($D90="Followup",'Survey Response'!$E88,"")</f>
        <v/>
      </c>
      <c r="AR90" s="46" t="str">
        <f aca="false">IF($D90="Followup",'Survey Response'!$G88,"")</f>
        <v/>
      </c>
      <c r="AS90" s="46" t="str">
        <f aca="false">IF($D90="Followup",'Survey Response'!$H88,"")</f>
        <v/>
      </c>
      <c r="AT90" s="46" t="str">
        <f aca="false">IF($D90="Followup",'Survey Response'!$M88,"")</f>
        <v/>
      </c>
      <c r="AU90" s="46" t="str">
        <f aca="false">IF($D90="Followup",'Survey Response'!$K88,"")</f>
        <v/>
      </c>
      <c r="AV90" s="46" t="str">
        <f aca="false">IF($D90="Followup",'Survey Response'!$L88,"")</f>
        <v/>
      </c>
      <c r="AW90" s="46" t="str">
        <f aca="false">IF($D90="Followup",IF(AND($P90&lt;&gt;"Yes",$U90&lt;&gt;"Yes"),"Not approved for primary or secondary skill","Approved, but skill(s) no longer have capacity (fully staffed)"),"")</f>
        <v/>
      </c>
    </row>
    <row r="91" customFormat="false" ht="15" hidden="false" customHeight="true" outlineLevel="0" collapsed="false">
      <c r="A91" s="46" t="str">
        <f aca="false">IF('Survey Response'!$D89="","",'Survey Response'!$A89&amp;"|"&amp;LOWER(TRIM('Survey Response'!$D89)))</f>
        <v/>
      </c>
      <c r="B91" s="46" t="str">
        <f aca="false">IF($H91="","",$F91&amp;"|"&amp;$H91)</f>
        <v/>
      </c>
      <c r="C91" s="46" t="str">
        <f aca="false">IF($H91="","",$A91=$B91)</f>
        <v/>
      </c>
      <c r="D91" s="46" t="str">
        <f aca="false">IF($H91="","",IF($E91&lt;&gt;"Yes","Superseded",IF($I91&lt;&gt;"Yes, I'm available for in-person interviews at Chennai","Not Available",IF($Z91&lt;&gt;"","Panel Details","Followup"))))</f>
        <v/>
      </c>
      <c r="E91" s="46" t="str">
        <f aca="false">IF($H91="","",IF(SUMPRODUCT(($H$4:$H$503=$H91)*(($G$4:$G$503&gt;$G91)+($G$4:$G$503=$G91)*($F$4:$F$503&gt;$F91)))=0,"Yes","No"))</f>
        <v/>
      </c>
      <c r="F91" s="47" t="str">
        <f aca="false">IF('Survey Response'!$D89="","",INT('Survey Response'!$A89))</f>
        <v/>
      </c>
      <c r="G91" s="46" t="str">
        <f aca="false">IF('Survey Response'!$D89="","",'Survey Response'!$C89)</f>
        <v/>
      </c>
      <c r="H91" s="46" t="str">
        <f aca="false">IF('Survey Response'!$D89="","",LOWER(TRIM('Survey Response'!$D89)))</f>
        <v/>
      </c>
      <c r="I91" s="46" t="str">
        <f aca="false">IF($H91="","",'Survey Response'!$I89)</f>
        <v/>
      </c>
      <c r="J91" s="46" t="str">
        <f aca="false">IF($H91="","",'Survey Response'!$K89)</f>
        <v/>
      </c>
      <c r="K91" s="46" t="str">
        <f aca="false">IF($J91="","",IF(COUNTIF('Skill Mapping'!$A$2:$A$7,TRIM($J91))=0,"",INDEX('Skill Mapping'!$B$2:$B$7,MATCH(TRIM($J91),'Skill Mapping'!$A$2:$A$7,0))))</f>
        <v/>
      </c>
      <c r="L91" s="46" t="str">
        <f aca="false">IF($H91="","",'Survey Response'!$L89)</f>
        <v/>
      </c>
      <c r="M91" s="46" t="str">
        <f aca="false">IF($L91="","",IF(COUNTIF('Skill Mapping'!$A$2:$A$7,TRIM($L91))=0,"",INDEX('Skill Mapping'!$B$2:$B$7,MATCH(TRIM($L91),'Skill Mapping'!$A$2:$A$7,0))))</f>
        <v/>
      </c>
      <c r="N91" s="46" t="str">
        <f aca="false">IF($H91="","",'Survey Response'!$M89)</f>
        <v/>
      </c>
      <c r="O91" s="46" t="str">
        <f aca="false">IF($H91="","",IF('Survey Response'!$M89="Manager","R2","R1"))</f>
        <v/>
      </c>
      <c r="P91" s="46" t="str">
        <f aca="false">IF($K91="","No",IF(COUNTIFS(MasterPanel!$B:$B,$H91,MasterPanel!$I:$I,$K91,MasterPanel!$K:$K,"Y")&gt;0,"Yes","No"))</f>
        <v>No</v>
      </c>
      <c r="Q91" s="46" t="n">
        <f aca="false">IF($K91="",0,IF(COUNTIF('Gap Sheet'!$A$6:$A$11,TRIM($J91))=0,0,IF($O91="R1",INDEX('Gap Sheet'!$C$6:$C$11,MATCH(TRIM($J91),'Gap Sheet'!$A$6:$A$11,0)),INDEX('Gap Sheet'!$G$6:$G$11,MATCH(TRIM($J91),'Gap Sheet'!$A$6:$A$11,0)))))</f>
        <v>0</v>
      </c>
      <c r="R91" s="46" t="str">
        <f aca="false">IF($K91="","",$K91&amp;"|"&amp;$O91)</f>
        <v/>
      </c>
      <c r="S91" s="46" t="n">
        <f aca="false">IF($R91="",0,COUNTIF($AA$4:$AA90,$R91))</f>
        <v>0</v>
      </c>
      <c r="T91" s="46" t="str">
        <f aca="false">IF(OR($I91&lt;&gt;"Yes, I'm available for in-person interviews at Chennai",$E91&lt;&gt;"Yes",$P91&lt;&gt;"Yes"),"No",IF(($Q91-$S91)&gt;0,"Yes","No"))</f>
        <v>No</v>
      </c>
      <c r="U91" s="46" t="str">
        <f aca="false">IF($M91="","No",IF(COUNTIFS(MasterPanel!$B:$B,$H91,MasterPanel!$I:$I,$M91,MasterPanel!$K:$K,"Y")&gt;0,"Yes","No"))</f>
        <v>No</v>
      </c>
      <c r="V91" s="46" t="n">
        <f aca="false">IF($M91="",0,IF(COUNTIF('Gap Sheet'!$A$6:$A$11,TRIM($L91))=0,0,IF($O91="R1",INDEX('Gap Sheet'!$C$6:$C$11,MATCH(TRIM($L91),'Gap Sheet'!$A$6:$A$11,0)),INDEX('Gap Sheet'!$G$6:$G$11,MATCH(TRIM($L91),'Gap Sheet'!$A$6:$A$11,0)))))</f>
        <v>0</v>
      </c>
      <c r="W91" s="46" t="str">
        <f aca="false">IF($M91="","",$M91&amp;"|"&amp;$O91)</f>
        <v/>
      </c>
      <c r="X91" s="46" t="n">
        <f aca="false">IF($W91="",0,COUNTIF($AA$4:$AA90,$W91))</f>
        <v>0</v>
      </c>
      <c r="Y91" s="46" t="str">
        <f aca="false">IF(OR($I91&lt;&gt;"Yes, I'm available for in-person interviews at Chennai",$E91&lt;&gt;"Yes",$T91="Yes",$U91&lt;&gt;"Yes"),"No",IF(($V91-$X91)&gt;0,"Yes","No"))</f>
        <v>No</v>
      </c>
      <c r="Z91" s="46" t="str">
        <f aca="false">IF($T91="Yes","Primary",IF($Y91="Yes","Secondary",""))</f>
        <v/>
      </c>
      <c r="AA91" s="46" t="str">
        <f aca="false">IF($Z91="Primary",$R91,IF($Z91="Secondary",$W91,""))</f>
        <v/>
      </c>
      <c r="AB91" s="46" t="str">
        <f aca="false">IF($Z91="Primary","Matched on primary skill",IF($Z91="Secondary","Matched on secondary skill (primary not approved or not required)",""))</f>
        <v/>
      </c>
      <c r="AC91" s="47" t="str">
        <f aca="false">IF($D91="Panel Details",$F91,"")</f>
        <v/>
      </c>
      <c r="AD91" s="46" t="str">
        <f aca="false">IF($D91="Panel Details",'Survey Response'!$D89,"")</f>
        <v/>
      </c>
      <c r="AE91" s="46" t="str">
        <f aca="false">IF($D91="Panel Details",'Survey Response'!$E89,"")</f>
        <v/>
      </c>
      <c r="AF91" s="46" t="str">
        <f aca="false">IF($D91="Panel Details",'Survey Response'!$G89,"")</f>
        <v/>
      </c>
      <c r="AG91" s="46" t="str">
        <f aca="false">IF($D91="Panel Details",IF($Z91="Primary",$J91,$L91),"")</f>
        <v/>
      </c>
      <c r="AH91" s="46" t="str">
        <f aca="false">IF($D91="Panel Details",IF($Z91="Primary",$L91,$J91),"")</f>
        <v/>
      </c>
      <c r="AI91" s="46" t="str">
        <f aca="false">IF($D91="Panel Details",'Survey Response'!$H89,"")</f>
        <v/>
      </c>
      <c r="AJ91" s="46" t="str">
        <f aca="false">IF($D91="Panel Details",'Survey Response'!$M89,"")</f>
        <v/>
      </c>
      <c r="AK91" s="46" t="str">
        <f aca="false">IF($D91="Panel Details",$O91,"")</f>
        <v/>
      </c>
      <c r="AL91" s="46" t="str">
        <f aca="false">IF($D91="Panel Details",8,"")</f>
        <v/>
      </c>
      <c r="AM91" s="46" t="str">
        <f aca="false">IF($D91="Panel Details",$AB91,"")</f>
        <v/>
      </c>
      <c r="AN91" s="46" t="str">
        <f aca="false">IF($D91="Panel Details","Yes","")</f>
        <v/>
      </c>
      <c r="AO91" s="46"/>
      <c r="AP91" s="46" t="str">
        <f aca="false">IF($D91="Followup",'Survey Response'!$D89,"")</f>
        <v/>
      </c>
      <c r="AQ91" s="46" t="str">
        <f aca="false">IF($D91="Followup",'Survey Response'!$E89,"")</f>
        <v/>
      </c>
      <c r="AR91" s="46" t="str">
        <f aca="false">IF($D91="Followup",'Survey Response'!$G89,"")</f>
        <v/>
      </c>
      <c r="AS91" s="46" t="str">
        <f aca="false">IF($D91="Followup",'Survey Response'!$H89,"")</f>
        <v/>
      </c>
      <c r="AT91" s="46" t="str">
        <f aca="false">IF($D91="Followup",'Survey Response'!$M89,"")</f>
        <v/>
      </c>
      <c r="AU91" s="46" t="str">
        <f aca="false">IF($D91="Followup",'Survey Response'!$K89,"")</f>
        <v/>
      </c>
      <c r="AV91" s="46" t="str">
        <f aca="false">IF($D91="Followup",'Survey Response'!$L89,"")</f>
        <v/>
      </c>
      <c r="AW91" s="46" t="str">
        <f aca="false">IF($D91="Followup",IF(AND($P91&lt;&gt;"Yes",$U91&lt;&gt;"Yes"),"Not approved for primary or secondary skill","Approved, but skill(s) no longer have capacity (fully staffed)"),"")</f>
        <v/>
      </c>
    </row>
    <row r="92" customFormat="false" ht="15" hidden="false" customHeight="true" outlineLevel="0" collapsed="false">
      <c r="A92" s="46" t="str">
        <f aca="false">IF('Survey Response'!$D90="","",'Survey Response'!$A90&amp;"|"&amp;LOWER(TRIM('Survey Response'!$D90)))</f>
        <v/>
      </c>
      <c r="B92" s="46" t="str">
        <f aca="false">IF($H92="","",$F92&amp;"|"&amp;$H92)</f>
        <v/>
      </c>
      <c r="C92" s="46" t="str">
        <f aca="false">IF($H92="","",$A92=$B92)</f>
        <v/>
      </c>
      <c r="D92" s="46" t="str">
        <f aca="false">IF($H92="","",IF($E92&lt;&gt;"Yes","Superseded",IF($I92&lt;&gt;"Yes, I'm available for in-person interviews at Chennai","Not Available",IF($Z92&lt;&gt;"","Panel Details","Followup"))))</f>
        <v/>
      </c>
      <c r="E92" s="46" t="str">
        <f aca="false">IF($H92="","",IF(SUMPRODUCT(($H$4:$H$503=$H92)*(($G$4:$G$503&gt;$G92)+($G$4:$G$503=$G92)*($F$4:$F$503&gt;$F92)))=0,"Yes","No"))</f>
        <v/>
      </c>
      <c r="F92" s="47" t="str">
        <f aca="false">IF('Survey Response'!$D90="","",INT('Survey Response'!$A90))</f>
        <v/>
      </c>
      <c r="G92" s="46" t="str">
        <f aca="false">IF('Survey Response'!$D90="","",'Survey Response'!$C90)</f>
        <v/>
      </c>
      <c r="H92" s="46" t="str">
        <f aca="false">IF('Survey Response'!$D90="","",LOWER(TRIM('Survey Response'!$D90)))</f>
        <v/>
      </c>
      <c r="I92" s="46" t="str">
        <f aca="false">IF($H92="","",'Survey Response'!$I90)</f>
        <v/>
      </c>
      <c r="J92" s="46" t="str">
        <f aca="false">IF($H92="","",'Survey Response'!$K90)</f>
        <v/>
      </c>
      <c r="K92" s="46" t="str">
        <f aca="false">IF($J92="","",IF(COUNTIF('Skill Mapping'!$A$2:$A$7,TRIM($J92))=0,"",INDEX('Skill Mapping'!$B$2:$B$7,MATCH(TRIM($J92),'Skill Mapping'!$A$2:$A$7,0))))</f>
        <v/>
      </c>
      <c r="L92" s="46" t="str">
        <f aca="false">IF($H92="","",'Survey Response'!$L90)</f>
        <v/>
      </c>
      <c r="M92" s="46" t="str">
        <f aca="false">IF($L92="","",IF(COUNTIF('Skill Mapping'!$A$2:$A$7,TRIM($L92))=0,"",INDEX('Skill Mapping'!$B$2:$B$7,MATCH(TRIM($L92),'Skill Mapping'!$A$2:$A$7,0))))</f>
        <v/>
      </c>
      <c r="N92" s="46" t="str">
        <f aca="false">IF($H92="","",'Survey Response'!$M90)</f>
        <v/>
      </c>
      <c r="O92" s="46" t="str">
        <f aca="false">IF($H92="","",IF('Survey Response'!$M90="Manager","R2","R1"))</f>
        <v/>
      </c>
      <c r="P92" s="46" t="str">
        <f aca="false">IF($K92="","No",IF(COUNTIFS(MasterPanel!$B:$B,$H92,MasterPanel!$I:$I,$K92,MasterPanel!$K:$K,"Y")&gt;0,"Yes","No"))</f>
        <v>No</v>
      </c>
      <c r="Q92" s="46" t="n">
        <f aca="false">IF($K92="",0,IF(COUNTIF('Gap Sheet'!$A$6:$A$11,TRIM($J92))=0,0,IF($O92="R1",INDEX('Gap Sheet'!$C$6:$C$11,MATCH(TRIM($J92),'Gap Sheet'!$A$6:$A$11,0)),INDEX('Gap Sheet'!$G$6:$G$11,MATCH(TRIM($J92),'Gap Sheet'!$A$6:$A$11,0)))))</f>
        <v>0</v>
      </c>
      <c r="R92" s="46" t="str">
        <f aca="false">IF($K92="","",$K92&amp;"|"&amp;$O92)</f>
        <v/>
      </c>
      <c r="S92" s="46" t="n">
        <f aca="false">IF($R92="",0,COUNTIF($AA$4:$AA91,$R92))</f>
        <v>0</v>
      </c>
      <c r="T92" s="46" t="str">
        <f aca="false">IF(OR($I92&lt;&gt;"Yes, I'm available for in-person interviews at Chennai",$E92&lt;&gt;"Yes",$P92&lt;&gt;"Yes"),"No",IF(($Q92-$S92)&gt;0,"Yes","No"))</f>
        <v>No</v>
      </c>
      <c r="U92" s="46" t="str">
        <f aca="false">IF($M92="","No",IF(COUNTIFS(MasterPanel!$B:$B,$H92,MasterPanel!$I:$I,$M92,MasterPanel!$K:$K,"Y")&gt;0,"Yes","No"))</f>
        <v>No</v>
      </c>
      <c r="V92" s="46" t="n">
        <f aca="false">IF($M92="",0,IF(COUNTIF('Gap Sheet'!$A$6:$A$11,TRIM($L92))=0,0,IF($O92="R1",INDEX('Gap Sheet'!$C$6:$C$11,MATCH(TRIM($L92),'Gap Sheet'!$A$6:$A$11,0)),INDEX('Gap Sheet'!$G$6:$G$11,MATCH(TRIM($L92),'Gap Sheet'!$A$6:$A$11,0)))))</f>
        <v>0</v>
      </c>
      <c r="W92" s="46" t="str">
        <f aca="false">IF($M92="","",$M92&amp;"|"&amp;$O92)</f>
        <v/>
      </c>
      <c r="X92" s="46" t="n">
        <f aca="false">IF($W92="",0,COUNTIF($AA$4:$AA91,$W92))</f>
        <v>0</v>
      </c>
      <c r="Y92" s="46" t="str">
        <f aca="false">IF(OR($I92&lt;&gt;"Yes, I'm available for in-person interviews at Chennai",$E92&lt;&gt;"Yes",$T92="Yes",$U92&lt;&gt;"Yes"),"No",IF(($V92-$X92)&gt;0,"Yes","No"))</f>
        <v>No</v>
      </c>
      <c r="Z92" s="46" t="str">
        <f aca="false">IF($T92="Yes","Primary",IF($Y92="Yes","Secondary",""))</f>
        <v/>
      </c>
      <c r="AA92" s="46" t="str">
        <f aca="false">IF($Z92="Primary",$R92,IF($Z92="Secondary",$W92,""))</f>
        <v/>
      </c>
      <c r="AB92" s="46" t="str">
        <f aca="false">IF($Z92="Primary","Matched on primary skill",IF($Z92="Secondary","Matched on secondary skill (primary not approved or not required)",""))</f>
        <v/>
      </c>
      <c r="AC92" s="47" t="str">
        <f aca="false">IF($D92="Panel Details",$F92,"")</f>
        <v/>
      </c>
      <c r="AD92" s="46" t="str">
        <f aca="false">IF($D92="Panel Details",'Survey Response'!$D90,"")</f>
        <v/>
      </c>
      <c r="AE92" s="46" t="str">
        <f aca="false">IF($D92="Panel Details",'Survey Response'!$E90,"")</f>
        <v/>
      </c>
      <c r="AF92" s="46" t="str">
        <f aca="false">IF($D92="Panel Details",'Survey Response'!$G90,"")</f>
        <v/>
      </c>
      <c r="AG92" s="46" t="str">
        <f aca="false">IF($D92="Panel Details",IF($Z92="Primary",$J92,$L92),"")</f>
        <v/>
      </c>
      <c r="AH92" s="46" t="str">
        <f aca="false">IF($D92="Panel Details",IF($Z92="Primary",$L92,$J92),"")</f>
        <v/>
      </c>
      <c r="AI92" s="46" t="str">
        <f aca="false">IF($D92="Panel Details",'Survey Response'!$H90,"")</f>
        <v/>
      </c>
      <c r="AJ92" s="46" t="str">
        <f aca="false">IF($D92="Panel Details",'Survey Response'!$M90,"")</f>
        <v/>
      </c>
      <c r="AK92" s="46" t="str">
        <f aca="false">IF($D92="Panel Details",$O92,"")</f>
        <v/>
      </c>
      <c r="AL92" s="46" t="str">
        <f aca="false">IF($D92="Panel Details",8,"")</f>
        <v/>
      </c>
      <c r="AM92" s="46" t="str">
        <f aca="false">IF($D92="Panel Details",$AB92,"")</f>
        <v/>
      </c>
      <c r="AN92" s="46" t="str">
        <f aca="false">IF($D92="Panel Details","Yes","")</f>
        <v/>
      </c>
      <c r="AO92" s="46"/>
      <c r="AP92" s="46" t="str">
        <f aca="false">IF($D92="Followup",'Survey Response'!$D90,"")</f>
        <v/>
      </c>
      <c r="AQ92" s="46" t="str">
        <f aca="false">IF($D92="Followup",'Survey Response'!$E90,"")</f>
        <v/>
      </c>
      <c r="AR92" s="46" t="str">
        <f aca="false">IF($D92="Followup",'Survey Response'!$G90,"")</f>
        <v/>
      </c>
      <c r="AS92" s="46" t="str">
        <f aca="false">IF($D92="Followup",'Survey Response'!$H90,"")</f>
        <v/>
      </c>
      <c r="AT92" s="46" t="str">
        <f aca="false">IF($D92="Followup",'Survey Response'!$M90,"")</f>
        <v/>
      </c>
      <c r="AU92" s="46" t="str">
        <f aca="false">IF($D92="Followup",'Survey Response'!$K90,"")</f>
        <v/>
      </c>
      <c r="AV92" s="46" t="str">
        <f aca="false">IF($D92="Followup",'Survey Response'!$L90,"")</f>
        <v/>
      </c>
      <c r="AW92" s="46" t="str">
        <f aca="false">IF($D92="Followup",IF(AND($P92&lt;&gt;"Yes",$U92&lt;&gt;"Yes"),"Not approved for primary or secondary skill","Approved, but skill(s) no longer have capacity (fully staffed)"),"")</f>
        <v/>
      </c>
    </row>
    <row r="93" customFormat="false" ht="15" hidden="false" customHeight="true" outlineLevel="0" collapsed="false">
      <c r="A93" s="46" t="str">
        <f aca="false">IF('Survey Response'!$D91="","",'Survey Response'!$A91&amp;"|"&amp;LOWER(TRIM('Survey Response'!$D91)))</f>
        <v/>
      </c>
      <c r="B93" s="46" t="str">
        <f aca="false">IF($H93="","",$F93&amp;"|"&amp;$H93)</f>
        <v/>
      </c>
      <c r="C93" s="46" t="str">
        <f aca="false">IF($H93="","",$A93=$B93)</f>
        <v/>
      </c>
      <c r="D93" s="46" t="str">
        <f aca="false">IF($H93="","",IF($E93&lt;&gt;"Yes","Superseded",IF($I93&lt;&gt;"Yes, I'm available for in-person interviews at Chennai","Not Available",IF($Z93&lt;&gt;"","Panel Details","Followup"))))</f>
        <v/>
      </c>
      <c r="E93" s="46" t="str">
        <f aca="false">IF($H93="","",IF(SUMPRODUCT(($H$4:$H$503=$H93)*(($G$4:$G$503&gt;$G93)+($G$4:$G$503=$G93)*($F$4:$F$503&gt;$F93)))=0,"Yes","No"))</f>
        <v/>
      </c>
      <c r="F93" s="47" t="str">
        <f aca="false">IF('Survey Response'!$D91="","",INT('Survey Response'!$A91))</f>
        <v/>
      </c>
      <c r="G93" s="46" t="str">
        <f aca="false">IF('Survey Response'!$D91="","",'Survey Response'!$C91)</f>
        <v/>
      </c>
      <c r="H93" s="46" t="str">
        <f aca="false">IF('Survey Response'!$D91="","",LOWER(TRIM('Survey Response'!$D91)))</f>
        <v/>
      </c>
      <c r="I93" s="46" t="str">
        <f aca="false">IF($H93="","",'Survey Response'!$I91)</f>
        <v/>
      </c>
      <c r="J93" s="46" t="str">
        <f aca="false">IF($H93="","",'Survey Response'!$K91)</f>
        <v/>
      </c>
      <c r="K93" s="46" t="str">
        <f aca="false">IF($J93="","",IF(COUNTIF('Skill Mapping'!$A$2:$A$7,TRIM($J93))=0,"",INDEX('Skill Mapping'!$B$2:$B$7,MATCH(TRIM($J93),'Skill Mapping'!$A$2:$A$7,0))))</f>
        <v/>
      </c>
      <c r="L93" s="46" t="str">
        <f aca="false">IF($H93="","",'Survey Response'!$L91)</f>
        <v/>
      </c>
      <c r="M93" s="46" t="str">
        <f aca="false">IF($L93="","",IF(COUNTIF('Skill Mapping'!$A$2:$A$7,TRIM($L93))=0,"",INDEX('Skill Mapping'!$B$2:$B$7,MATCH(TRIM($L93),'Skill Mapping'!$A$2:$A$7,0))))</f>
        <v/>
      </c>
      <c r="N93" s="46" t="str">
        <f aca="false">IF($H93="","",'Survey Response'!$M91)</f>
        <v/>
      </c>
      <c r="O93" s="46" t="str">
        <f aca="false">IF($H93="","",IF('Survey Response'!$M91="Manager","R2","R1"))</f>
        <v/>
      </c>
      <c r="P93" s="46" t="str">
        <f aca="false">IF($K93="","No",IF(COUNTIFS(MasterPanel!$B:$B,$H93,MasterPanel!$I:$I,$K93,MasterPanel!$K:$K,"Y")&gt;0,"Yes","No"))</f>
        <v>No</v>
      </c>
      <c r="Q93" s="46" t="n">
        <f aca="false">IF($K93="",0,IF(COUNTIF('Gap Sheet'!$A$6:$A$11,TRIM($J93))=0,0,IF($O93="R1",INDEX('Gap Sheet'!$C$6:$C$11,MATCH(TRIM($J93),'Gap Sheet'!$A$6:$A$11,0)),INDEX('Gap Sheet'!$G$6:$G$11,MATCH(TRIM($J93),'Gap Sheet'!$A$6:$A$11,0)))))</f>
        <v>0</v>
      </c>
      <c r="R93" s="46" t="str">
        <f aca="false">IF($K93="","",$K93&amp;"|"&amp;$O93)</f>
        <v/>
      </c>
      <c r="S93" s="46" t="n">
        <f aca="false">IF($R93="",0,COUNTIF($AA$4:$AA92,$R93))</f>
        <v>0</v>
      </c>
      <c r="T93" s="46" t="str">
        <f aca="false">IF(OR($I93&lt;&gt;"Yes, I'm available for in-person interviews at Chennai",$E93&lt;&gt;"Yes",$P93&lt;&gt;"Yes"),"No",IF(($Q93-$S93)&gt;0,"Yes","No"))</f>
        <v>No</v>
      </c>
      <c r="U93" s="46" t="str">
        <f aca="false">IF($M93="","No",IF(COUNTIFS(MasterPanel!$B:$B,$H93,MasterPanel!$I:$I,$M93,MasterPanel!$K:$K,"Y")&gt;0,"Yes","No"))</f>
        <v>No</v>
      </c>
      <c r="V93" s="46" t="n">
        <f aca="false">IF($M93="",0,IF(COUNTIF('Gap Sheet'!$A$6:$A$11,TRIM($L93))=0,0,IF($O93="R1",INDEX('Gap Sheet'!$C$6:$C$11,MATCH(TRIM($L93),'Gap Sheet'!$A$6:$A$11,0)),INDEX('Gap Sheet'!$G$6:$G$11,MATCH(TRIM($L93),'Gap Sheet'!$A$6:$A$11,0)))))</f>
        <v>0</v>
      </c>
      <c r="W93" s="46" t="str">
        <f aca="false">IF($M93="","",$M93&amp;"|"&amp;$O93)</f>
        <v/>
      </c>
      <c r="X93" s="46" t="n">
        <f aca="false">IF($W93="",0,COUNTIF($AA$4:$AA92,$W93))</f>
        <v>0</v>
      </c>
      <c r="Y93" s="46" t="str">
        <f aca="false">IF(OR($I93&lt;&gt;"Yes, I'm available for in-person interviews at Chennai",$E93&lt;&gt;"Yes",$T93="Yes",$U93&lt;&gt;"Yes"),"No",IF(($V93-$X93)&gt;0,"Yes","No"))</f>
        <v>No</v>
      </c>
      <c r="Z93" s="46" t="str">
        <f aca="false">IF($T93="Yes","Primary",IF($Y93="Yes","Secondary",""))</f>
        <v/>
      </c>
      <c r="AA93" s="46" t="str">
        <f aca="false">IF($Z93="Primary",$R93,IF($Z93="Secondary",$W93,""))</f>
        <v/>
      </c>
      <c r="AB93" s="46" t="str">
        <f aca="false">IF($Z93="Primary","Matched on primary skill",IF($Z93="Secondary","Matched on secondary skill (primary not approved or not required)",""))</f>
        <v/>
      </c>
      <c r="AC93" s="47" t="str">
        <f aca="false">IF($D93="Panel Details",$F93,"")</f>
        <v/>
      </c>
      <c r="AD93" s="46" t="str">
        <f aca="false">IF($D93="Panel Details",'Survey Response'!$D91,"")</f>
        <v/>
      </c>
      <c r="AE93" s="46" t="str">
        <f aca="false">IF($D93="Panel Details",'Survey Response'!$E91,"")</f>
        <v/>
      </c>
      <c r="AF93" s="46" t="str">
        <f aca="false">IF($D93="Panel Details",'Survey Response'!$G91,"")</f>
        <v/>
      </c>
      <c r="AG93" s="46" t="str">
        <f aca="false">IF($D93="Panel Details",IF($Z93="Primary",$J93,$L93),"")</f>
        <v/>
      </c>
      <c r="AH93" s="46" t="str">
        <f aca="false">IF($D93="Panel Details",IF($Z93="Primary",$L93,$J93),"")</f>
        <v/>
      </c>
      <c r="AI93" s="46" t="str">
        <f aca="false">IF($D93="Panel Details",'Survey Response'!$H91,"")</f>
        <v/>
      </c>
      <c r="AJ93" s="46" t="str">
        <f aca="false">IF($D93="Panel Details",'Survey Response'!$M91,"")</f>
        <v/>
      </c>
      <c r="AK93" s="46" t="str">
        <f aca="false">IF($D93="Panel Details",$O93,"")</f>
        <v/>
      </c>
      <c r="AL93" s="46" t="str">
        <f aca="false">IF($D93="Panel Details",8,"")</f>
        <v/>
      </c>
      <c r="AM93" s="46" t="str">
        <f aca="false">IF($D93="Panel Details",$AB93,"")</f>
        <v/>
      </c>
      <c r="AN93" s="46" t="str">
        <f aca="false">IF($D93="Panel Details","Yes","")</f>
        <v/>
      </c>
      <c r="AO93" s="46"/>
      <c r="AP93" s="46" t="str">
        <f aca="false">IF($D93="Followup",'Survey Response'!$D91,"")</f>
        <v/>
      </c>
      <c r="AQ93" s="46" t="str">
        <f aca="false">IF($D93="Followup",'Survey Response'!$E91,"")</f>
        <v/>
      </c>
      <c r="AR93" s="46" t="str">
        <f aca="false">IF($D93="Followup",'Survey Response'!$G91,"")</f>
        <v/>
      </c>
      <c r="AS93" s="46" t="str">
        <f aca="false">IF($D93="Followup",'Survey Response'!$H91,"")</f>
        <v/>
      </c>
      <c r="AT93" s="46" t="str">
        <f aca="false">IF($D93="Followup",'Survey Response'!$M91,"")</f>
        <v/>
      </c>
      <c r="AU93" s="46" t="str">
        <f aca="false">IF($D93="Followup",'Survey Response'!$K91,"")</f>
        <v/>
      </c>
      <c r="AV93" s="46" t="str">
        <f aca="false">IF($D93="Followup",'Survey Response'!$L91,"")</f>
        <v/>
      </c>
      <c r="AW93" s="46" t="str">
        <f aca="false">IF($D93="Followup",IF(AND($P93&lt;&gt;"Yes",$U93&lt;&gt;"Yes"),"Not approved for primary or secondary skill","Approved, but skill(s) no longer have capacity (fully staffed)"),"")</f>
        <v/>
      </c>
    </row>
    <row r="94" customFormat="false" ht="15" hidden="false" customHeight="true" outlineLevel="0" collapsed="false">
      <c r="A94" s="46" t="str">
        <f aca="false">IF('Survey Response'!$D92="","",'Survey Response'!$A92&amp;"|"&amp;LOWER(TRIM('Survey Response'!$D92)))</f>
        <v/>
      </c>
      <c r="B94" s="46" t="str">
        <f aca="false">IF($H94="","",$F94&amp;"|"&amp;$H94)</f>
        <v/>
      </c>
      <c r="C94" s="46" t="str">
        <f aca="false">IF($H94="","",$A94=$B94)</f>
        <v/>
      </c>
      <c r="D94" s="46" t="str">
        <f aca="false">IF($H94="","",IF($E94&lt;&gt;"Yes","Superseded",IF($I94&lt;&gt;"Yes, I'm available for in-person interviews at Chennai","Not Available",IF($Z94&lt;&gt;"","Panel Details","Followup"))))</f>
        <v/>
      </c>
      <c r="E94" s="46" t="str">
        <f aca="false">IF($H94="","",IF(SUMPRODUCT(($H$4:$H$503=$H94)*(($G$4:$G$503&gt;$G94)+($G$4:$G$503=$G94)*($F$4:$F$503&gt;$F94)))=0,"Yes","No"))</f>
        <v/>
      </c>
      <c r="F94" s="47" t="str">
        <f aca="false">IF('Survey Response'!$D92="","",INT('Survey Response'!$A92))</f>
        <v/>
      </c>
      <c r="G94" s="46" t="str">
        <f aca="false">IF('Survey Response'!$D92="","",'Survey Response'!$C92)</f>
        <v/>
      </c>
      <c r="H94" s="46" t="str">
        <f aca="false">IF('Survey Response'!$D92="","",LOWER(TRIM('Survey Response'!$D92)))</f>
        <v/>
      </c>
      <c r="I94" s="46" t="str">
        <f aca="false">IF($H94="","",'Survey Response'!$I92)</f>
        <v/>
      </c>
      <c r="J94" s="46" t="str">
        <f aca="false">IF($H94="","",'Survey Response'!$K92)</f>
        <v/>
      </c>
      <c r="K94" s="46" t="str">
        <f aca="false">IF($J94="","",IF(COUNTIF('Skill Mapping'!$A$2:$A$7,TRIM($J94))=0,"",INDEX('Skill Mapping'!$B$2:$B$7,MATCH(TRIM($J94),'Skill Mapping'!$A$2:$A$7,0))))</f>
        <v/>
      </c>
      <c r="L94" s="46" t="str">
        <f aca="false">IF($H94="","",'Survey Response'!$L92)</f>
        <v/>
      </c>
      <c r="M94" s="46" t="str">
        <f aca="false">IF($L94="","",IF(COUNTIF('Skill Mapping'!$A$2:$A$7,TRIM($L94))=0,"",INDEX('Skill Mapping'!$B$2:$B$7,MATCH(TRIM($L94),'Skill Mapping'!$A$2:$A$7,0))))</f>
        <v/>
      </c>
      <c r="N94" s="46" t="str">
        <f aca="false">IF($H94="","",'Survey Response'!$M92)</f>
        <v/>
      </c>
      <c r="O94" s="46" t="str">
        <f aca="false">IF($H94="","",IF('Survey Response'!$M92="Manager","R2","R1"))</f>
        <v/>
      </c>
      <c r="P94" s="46" t="str">
        <f aca="false">IF($K94="","No",IF(COUNTIFS(MasterPanel!$B:$B,$H94,MasterPanel!$I:$I,$K94,MasterPanel!$K:$K,"Y")&gt;0,"Yes","No"))</f>
        <v>No</v>
      </c>
      <c r="Q94" s="46" t="n">
        <f aca="false">IF($K94="",0,IF(COUNTIF('Gap Sheet'!$A$6:$A$11,TRIM($J94))=0,0,IF($O94="R1",INDEX('Gap Sheet'!$C$6:$C$11,MATCH(TRIM($J94),'Gap Sheet'!$A$6:$A$11,0)),INDEX('Gap Sheet'!$G$6:$G$11,MATCH(TRIM($J94),'Gap Sheet'!$A$6:$A$11,0)))))</f>
        <v>0</v>
      </c>
      <c r="R94" s="46" t="str">
        <f aca="false">IF($K94="","",$K94&amp;"|"&amp;$O94)</f>
        <v/>
      </c>
      <c r="S94" s="46" t="n">
        <f aca="false">IF($R94="",0,COUNTIF($AA$4:$AA93,$R94))</f>
        <v>0</v>
      </c>
      <c r="T94" s="46" t="str">
        <f aca="false">IF(OR($I94&lt;&gt;"Yes, I'm available for in-person interviews at Chennai",$E94&lt;&gt;"Yes",$P94&lt;&gt;"Yes"),"No",IF(($Q94-$S94)&gt;0,"Yes","No"))</f>
        <v>No</v>
      </c>
      <c r="U94" s="46" t="str">
        <f aca="false">IF($M94="","No",IF(COUNTIFS(MasterPanel!$B:$B,$H94,MasterPanel!$I:$I,$M94,MasterPanel!$K:$K,"Y")&gt;0,"Yes","No"))</f>
        <v>No</v>
      </c>
      <c r="V94" s="46" t="n">
        <f aca="false">IF($M94="",0,IF(COUNTIF('Gap Sheet'!$A$6:$A$11,TRIM($L94))=0,0,IF($O94="R1",INDEX('Gap Sheet'!$C$6:$C$11,MATCH(TRIM($L94),'Gap Sheet'!$A$6:$A$11,0)),INDEX('Gap Sheet'!$G$6:$G$11,MATCH(TRIM($L94),'Gap Sheet'!$A$6:$A$11,0)))))</f>
        <v>0</v>
      </c>
      <c r="W94" s="46" t="str">
        <f aca="false">IF($M94="","",$M94&amp;"|"&amp;$O94)</f>
        <v/>
      </c>
      <c r="X94" s="46" t="n">
        <f aca="false">IF($W94="",0,COUNTIF($AA$4:$AA93,$W94))</f>
        <v>0</v>
      </c>
      <c r="Y94" s="46" t="str">
        <f aca="false">IF(OR($I94&lt;&gt;"Yes, I'm available for in-person interviews at Chennai",$E94&lt;&gt;"Yes",$T94="Yes",$U94&lt;&gt;"Yes"),"No",IF(($V94-$X94)&gt;0,"Yes","No"))</f>
        <v>No</v>
      </c>
      <c r="Z94" s="46" t="str">
        <f aca="false">IF($T94="Yes","Primary",IF($Y94="Yes","Secondary",""))</f>
        <v/>
      </c>
      <c r="AA94" s="46" t="str">
        <f aca="false">IF($Z94="Primary",$R94,IF($Z94="Secondary",$W94,""))</f>
        <v/>
      </c>
      <c r="AB94" s="46" t="str">
        <f aca="false">IF($Z94="Primary","Matched on primary skill",IF($Z94="Secondary","Matched on secondary skill (primary not approved or not required)",""))</f>
        <v/>
      </c>
      <c r="AC94" s="47" t="str">
        <f aca="false">IF($D94="Panel Details",$F94,"")</f>
        <v/>
      </c>
      <c r="AD94" s="46" t="str">
        <f aca="false">IF($D94="Panel Details",'Survey Response'!$D92,"")</f>
        <v/>
      </c>
      <c r="AE94" s="46" t="str">
        <f aca="false">IF($D94="Panel Details",'Survey Response'!$E92,"")</f>
        <v/>
      </c>
      <c r="AF94" s="46" t="str">
        <f aca="false">IF($D94="Panel Details",'Survey Response'!$G92,"")</f>
        <v/>
      </c>
      <c r="AG94" s="46" t="str">
        <f aca="false">IF($D94="Panel Details",IF($Z94="Primary",$J94,$L94),"")</f>
        <v/>
      </c>
      <c r="AH94" s="46" t="str">
        <f aca="false">IF($D94="Panel Details",IF($Z94="Primary",$L94,$J94),"")</f>
        <v/>
      </c>
      <c r="AI94" s="46" t="str">
        <f aca="false">IF($D94="Panel Details",'Survey Response'!$H92,"")</f>
        <v/>
      </c>
      <c r="AJ94" s="46" t="str">
        <f aca="false">IF($D94="Panel Details",'Survey Response'!$M92,"")</f>
        <v/>
      </c>
      <c r="AK94" s="46" t="str">
        <f aca="false">IF($D94="Panel Details",$O94,"")</f>
        <v/>
      </c>
      <c r="AL94" s="46" t="str">
        <f aca="false">IF($D94="Panel Details",8,"")</f>
        <v/>
      </c>
      <c r="AM94" s="46" t="str">
        <f aca="false">IF($D94="Panel Details",$AB94,"")</f>
        <v/>
      </c>
      <c r="AN94" s="46" t="str">
        <f aca="false">IF($D94="Panel Details","Yes","")</f>
        <v/>
      </c>
      <c r="AO94" s="46"/>
      <c r="AP94" s="46" t="str">
        <f aca="false">IF($D94="Followup",'Survey Response'!$D92,"")</f>
        <v/>
      </c>
      <c r="AQ94" s="46" t="str">
        <f aca="false">IF($D94="Followup",'Survey Response'!$E92,"")</f>
        <v/>
      </c>
      <c r="AR94" s="46" t="str">
        <f aca="false">IF($D94="Followup",'Survey Response'!$G92,"")</f>
        <v/>
      </c>
      <c r="AS94" s="46" t="str">
        <f aca="false">IF($D94="Followup",'Survey Response'!$H92,"")</f>
        <v/>
      </c>
      <c r="AT94" s="46" t="str">
        <f aca="false">IF($D94="Followup",'Survey Response'!$M92,"")</f>
        <v/>
      </c>
      <c r="AU94" s="46" t="str">
        <f aca="false">IF($D94="Followup",'Survey Response'!$K92,"")</f>
        <v/>
      </c>
      <c r="AV94" s="46" t="str">
        <f aca="false">IF($D94="Followup",'Survey Response'!$L92,"")</f>
        <v/>
      </c>
      <c r="AW94" s="46" t="str">
        <f aca="false">IF($D94="Followup",IF(AND($P94&lt;&gt;"Yes",$U94&lt;&gt;"Yes"),"Not approved for primary or secondary skill","Approved, but skill(s) no longer have capacity (fully staffed)"),"")</f>
        <v/>
      </c>
    </row>
    <row r="95" customFormat="false" ht="15" hidden="false" customHeight="true" outlineLevel="0" collapsed="false">
      <c r="A95" s="46" t="str">
        <f aca="false">IF('Survey Response'!$D93="","",'Survey Response'!$A93&amp;"|"&amp;LOWER(TRIM('Survey Response'!$D93)))</f>
        <v/>
      </c>
      <c r="B95" s="46" t="str">
        <f aca="false">IF($H95="","",$F95&amp;"|"&amp;$H95)</f>
        <v/>
      </c>
      <c r="C95" s="46" t="str">
        <f aca="false">IF($H95="","",$A95=$B95)</f>
        <v/>
      </c>
      <c r="D95" s="46" t="str">
        <f aca="false">IF($H95="","",IF($E95&lt;&gt;"Yes","Superseded",IF($I95&lt;&gt;"Yes, I'm available for in-person interviews at Chennai","Not Available",IF($Z95&lt;&gt;"","Panel Details","Followup"))))</f>
        <v/>
      </c>
      <c r="E95" s="46" t="str">
        <f aca="false">IF($H95="","",IF(SUMPRODUCT(($H$4:$H$503=$H95)*(($G$4:$G$503&gt;$G95)+($G$4:$G$503=$G95)*($F$4:$F$503&gt;$F95)))=0,"Yes","No"))</f>
        <v/>
      </c>
      <c r="F95" s="47" t="str">
        <f aca="false">IF('Survey Response'!$D93="","",INT('Survey Response'!$A93))</f>
        <v/>
      </c>
      <c r="G95" s="46" t="str">
        <f aca="false">IF('Survey Response'!$D93="","",'Survey Response'!$C93)</f>
        <v/>
      </c>
      <c r="H95" s="46" t="str">
        <f aca="false">IF('Survey Response'!$D93="","",LOWER(TRIM('Survey Response'!$D93)))</f>
        <v/>
      </c>
      <c r="I95" s="46" t="str">
        <f aca="false">IF($H95="","",'Survey Response'!$I93)</f>
        <v/>
      </c>
      <c r="J95" s="46" t="str">
        <f aca="false">IF($H95="","",'Survey Response'!$K93)</f>
        <v/>
      </c>
      <c r="K95" s="46" t="str">
        <f aca="false">IF($J95="","",IF(COUNTIF('Skill Mapping'!$A$2:$A$7,TRIM($J95))=0,"",INDEX('Skill Mapping'!$B$2:$B$7,MATCH(TRIM($J95),'Skill Mapping'!$A$2:$A$7,0))))</f>
        <v/>
      </c>
      <c r="L95" s="46" t="str">
        <f aca="false">IF($H95="","",'Survey Response'!$L93)</f>
        <v/>
      </c>
      <c r="M95" s="46" t="str">
        <f aca="false">IF($L95="","",IF(COUNTIF('Skill Mapping'!$A$2:$A$7,TRIM($L95))=0,"",INDEX('Skill Mapping'!$B$2:$B$7,MATCH(TRIM($L95),'Skill Mapping'!$A$2:$A$7,0))))</f>
        <v/>
      </c>
      <c r="N95" s="46" t="str">
        <f aca="false">IF($H95="","",'Survey Response'!$M93)</f>
        <v/>
      </c>
      <c r="O95" s="46" t="str">
        <f aca="false">IF($H95="","",IF('Survey Response'!$M93="Manager","R2","R1"))</f>
        <v/>
      </c>
      <c r="P95" s="46" t="str">
        <f aca="false">IF($K95="","No",IF(COUNTIFS(MasterPanel!$B:$B,$H95,MasterPanel!$I:$I,$K95,MasterPanel!$K:$K,"Y")&gt;0,"Yes","No"))</f>
        <v>No</v>
      </c>
      <c r="Q95" s="46" t="n">
        <f aca="false">IF($K95="",0,IF(COUNTIF('Gap Sheet'!$A$6:$A$11,TRIM($J95))=0,0,IF($O95="R1",INDEX('Gap Sheet'!$C$6:$C$11,MATCH(TRIM($J95),'Gap Sheet'!$A$6:$A$11,0)),INDEX('Gap Sheet'!$G$6:$G$11,MATCH(TRIM($J95),'Gap Sheet'!$A$6:$A$11,0)))))</f>
        <v>0</v>
      </c>
      <c r="R95" s="46" t="str">
        <f aca="false">IF($K95="","",$K95&amp;"|"&amp;$O95)</f>
        <v/>
      </c>
      <c r="S95" s="46" t="n">
        <f aca="false">IF($R95="",0,COUNTIF($AA$4:$AA94,$R95))</f>
        <v>0</v>
      </c>
      <c r="T95" s="46" t="str">
        <f aca="false">IF(OR($I95&lt;&gt;"Yes, I'm available for in-person interviews at Chennai",$E95&lt;&gt;"Yes",$P95&lt;&gt;"Yes"),"No",IF(($Q95-$S95)&gt;0,"Yes","No"))</f>
        <v>No</v>
      </c>
      <c r="U95" s="46" t="str">
        <f aca="false">IF($M95="","No",IF(COUNTIFS(MasterPanel!$B:$B,$H95,MasterPanel!$I:$I,$M95,MasterPanel!$K:$K,"Y")&gt;0,"Yes","No"))</f>
        <v>No</v>
      </c>
      <c r="V95" s="46" t="n">
        <f aca="false">IF($M95="",0,IF(COUNTIF('Gap Sheet'!$A$6:$A$11,TRIM($L95))=0,0,IF($O95="R1",INDEX('Gap Sheet'!$C$6:$C$11,MATCH(TRIM($L95),'Gap Sheet'!$A$6:$A$11,0)),INDEX('Gap Sheet'!$G$6:$G$11,MATCH(TRIM($L95),'Gap Sheet'!$A$6:$A$11,0)))))</f>
        <v>0</v>
      </c>
      <c r="W95" s="46" t="str">
        <f aca="false">IF($M95="","",$M95&amp;"|"&amp;$O95)</f>
        <v/>
      </c>
      <c r="X95" s="46" t="n">
        <f aca="false">IF($W95="",0,COUNTIF($AA$4:$AA94,$W95))</f>
        <v>0</v>
      </c>
      <c r="Y95" s="46" t="str">
        <f aca="false">IF(OR($I95&lt;&gt;"Yes, I'm available for in-person interviews at Chennai",$E95&lt;&gt;"Yes",$T95="Yes",$U95&lt;&gt;"Yes"),"No",IF(($V95-$X95)&gt;0,"Yes","No"))</f>
        <v>No</v>
      </c>
      <c r="Z95" s="46" t="str">
        <f aca="false">IF($T95="Yes","Primary",IF($Y95="Yes","Secondary",""))</f>
        <v/>
      </c>
      <c r="AA95" s="46" t="str">
        <f aca="false">IF($Z95="Primary",$R95,IF($Z95="Secondary",$W95,""))</f>
        <v/>
      </c>
      <c r="AB95" s="46" t="str">
        <f aca="false">IF($Z95="Primary","Matched on primary skill",IF($Z95="Secondary","Matched on secondary skill (primary not approved or not required)",""))</f>
        <v/>
      </c>
      <c r="AC95" s="47" t="str">
        <f aca="false">IF($D95="Panel Details",$F95,"")</f>
        <v/>
      </c>
      <c r="AD95" s="46" t="str">
        <f aca="false">IF($D95="Panel Details",'Survey Response'!$D93,"")</f>
        <v/>
      </c>
      <c r="AE95" s="46" t="str">
        <f aca="false">IF($D95="Panel Details",'Survey Response'!$E93,"")</f>
        <v/>
      </c>
      <c r="AF95" s="46" t="str">
        <f aca="false">IF($D95="Panel Details",'Survey Response'!$G93,"")</f>
        <v/>
      </c>
      <c r="AG95" s="46" t="str">
        <f aca="false">IF($D95="Panel Details",IF($Z95="Primary",$J95,$L95),"")</f>
        <v/>
      </c>
      <c r="AH95" s="46" t="str">
        <f aca="false">IF($D95="Panel Details",IF($Z95="Primary",$L95,$J95),"")</f>
        <v/>
      </c>
      <c r="AI95" s="46" t="str">
        <f aca="false">IF($D95="Panel Details",'Survey Response'!$H93,"")</f>
        <v/>
      </c>
      <c r="AJ95" s="46" t="str">
        <f aca="false">IF($D95="Panel Details",'Survey Response'!$M93,"")</f>
        <v/>
      </c>
      <c r="AK95" s="46" t="str">
        <f aca="false">IF($D95="Panel Details",$O95,"")</f>
        <v/>
      </c>
      <c r="AL95" s="46" t="str">
        <f aca="false">IF($D95="Panel Details",8,"")</f>
        <v/>
      </c>
      <c r="AM95" s="46" t="str">
        <f aca="false">IF($D95="Panel Details",$AB95,"")</f>
        <v/>
      </c>
      <c r="AN95" s="46" t="str">
        <f aca="false">IF($D95="Panel Details","Yes","")</f>
        <v/>
      </c>
      <c r="AO95" s="46"/>
      <c r="AP95" s="46" t="str">
        <f aca="false">IF($D95="Followup",'Survey Response'!$D93,"")</f>
        <v/>
      </c>
      <c r="AQ95" s="46" t="str">
        <f aca="false">IF($D95="Followup",'Survey Response'!$E93,"")</f>
        <v/>
      </c>
      <c r="AR95" s="46" t="str">
        <f aca="false">IF($D95="Followup",'Survey Response'!$G93,"")</f>
        <v/>
      </c>
      <c r="AS95" s="46" t="str">
        <f aca="false">IF($D95="Followup",'Survey Response'!$H93,"")</f>
        <v/>
      </c>
      <c r="AT95" s="46" t="str">
        <f aca="false">IF($D95="Followup",'Survey Response'!$M93,"")</f>
        <v/>
      </c>
      <c r="AU95" s="46" t="str">
        <f aca="false">IF($D95="Followup",'Survey Response'!$K93,"")</f>
        <v/>
      </c>
      <c r="AV95" s="46" t="str">
        <f aca="false">IF($D95="Followup",'Survey Response'!$L93,"")</f>
        <v/>
      </c>
      <c r="AW95" s="46" t="str">
        <f aca="false">IF($D95="Followup",IF(AND($P95&lt;&gt;"Yes",$U95&lt;&gt;"Yes"),"Not approved for primary or secondary skill","Approved, but skill(s) no longer have capacity (fully staffed)"),"")</f>
        <v/>
      </c>
    </row>
    <row r="96" customFormat="false" ht="15" hidden="false" customHeight="true" outlineLevel="0" collapsed="false">
      <c r="A96" s="46" t="str">
        <f aca="false">IF('Survey Response'!$D94="","",'Survey Response'!$A94&amp;"|"&amp;LOWER(TRIM('Survey Response'!$D94)))</f>
        <v/>
      </c>
      <c r="B96" s="46" t="str">
        <f aca="false">IF($H96="","",$F96&amp;"|"&amp;$H96)</f>
        <v/>
      </c>
      <c r="C96" s="46" t="str">
        <f aca="false">IF($H96="","",$A96=$B96)</f>
        <v/>
      </c>
      <c r="D96" s="46" t="str">
        <f aca="false">IF($H96="","",IF($E96&lt;&gt;"Yes","Superseded",IF($I96&lt;&gt;"Yes, I'm available for in-person interviews at Chennai","Not Available",IF($Z96&lt;&gt;"","Panel Details","Followup"))))</f>
        <v/>
      </c>
      <c r="E96" s="46" t="str">
        <f aca="false">IF($H96="","",IF(SUMPRODUCT(($H$4:$H$503=$H96)*(($G$4:$G$503&gt;$G96)+($G$4:$G$503=$G96)*($F$4:$F$503&gt;$F96)))=0,"Yes","No"))</f>
        <v/>
      </c>
      <c r="F96" s="47" t="str">
        <f aca="false">IF('Survey Response'!$D94="","",INT('Survey Response'!$A94))</f>
        <v/>
      </c>
      <c r="G96" s="46" t="str">
        <f aca="false">IF('Survey Response'!$D94="","",'Survey Response'!$C94)</f>
        <v/>
      </c>
      <c r="H96" s="46" t="str">
        <f aca="false">IF('Survey Response'!$D94="","",LOWER(TRIM('Survey Response'!$D94)))</f>
        <v/>
      </c>
      <c r="I96" s="46" t="str">
        <f aca="false">IF($H96="","",'Survey Response'!$I94)</f>
        <v/>
      </c>
      <c r="J96" s="46" t="str">
        <f aca="false">IF($H96="","",'Survey Response'!$K94)</f>
        <v/>
      </c>
      <c r="K96" s="46" t="str">
        <f aca="false">IF($J96="","",IF(COUNTIF('Skill Mapping'!$A$2:$A$7,TRIM($J96))=0,"",INDEX('Skill Mapping'!$B$2:$B$7,MATCH(TRIM($J96),'Skill Mapping'!$A$2:$A$7,0))))</f>
        <v/>
      </c>
      <c r="L96" s="46" t="str">
        <f aca="false">IF($H96="","",'Survey Response'!$L94)</f>
        <v/>
      </c>
      <c r="M96" s="46" t="str">
        <f aca="false">IF($L96="","",IF(COUNTIF('Skill Mapping'!$A$2:$A$7,TRIM($L96))=0,"",INDEX('Skill Mapping'!$B$2:$B$7,MATCH(TRIM($L96),'Skill Mapping'!$A$2:$A$7,0))))</f>
        <v/>
      </c>
      <c r="N96" s="46" t="str">
        <f aca="false">IF($H96="","",'Survey Response'!$M94)</f>
        <v/>
      </c>
      <c r="O96" s="46" t="str">
        <f aca="false">IF($H96="","",IF('Survey Response'!$M94="Manager","R2","R1"))</f>
        <v/>
      </c>
      <c r="P96" s="46" t="str">
        <f aca="false">IF($K96="","No",IF(COUNTIFS(MasterPanel!$B:$B,$H96,MasterPanel!$I:$I,$K96,MasterPanel!$K:$K,"Y")&gt;0,"Yes","No"))</f>
        <v>No</v>
      </c>
      <c r="Q96" s="46" t="n">
        <f aca="false">IF($K96="",0,IF(COUNTIF('Gap Sheet'!$A$6:$A$11,TRIM($J96))=0,0,IF($O96="R1",INDEX('Gap Sheet'!$C$6:$C$11,MATCH(TRIM($J96),'Gap Sheet'!$A$6:$A$11,0)),INDEX('Gap Sheet'!$G$6:$G$11,MATCH(TRIM($J96),'Gap Sheet'!$A$6:$A$11,0)))))</f>
        <v>0</v>
      </c>
      <c r="R96" s="46" t="str">
        <f aca="false">IF($K96="","",$K96&amp;"|"&amp;$O96)</f>
        <v/>
      </c>
      <c r="S96" s="46" t="n">
        <f aca="false">IF($R96="",0,COUNTIF($AA$4:$AA95,$R96))</f>
        <v>0</v>
      </c>
      <c r="T96" s="46" t="str">
        <f aca="false">IF(OR($I96&lt;&gt;"Yes, I'm available for in-person interviews at Chennai",$E96&lt;&gt;"Yes",$P96&lt;&gt;"Yes"),"No",IF(($Q96-$S96)&gt;0,"Yes","No"))</f>
        <v>No</v>
      </c>
      <c r="U96" s="46" t="str">
        <f aca="false">IF($M96="","No",IF(COUNTIFS(MasterPanel!$B:$B,$H96,MasterPanel!$I:$I,$M96,MasterPanel!$K:$K,"Y")&gt;0,"Yes","No"))</f>
        <v>No</v>
      </c>
      <c r="V96" s="46" t="n">
        <f aca="false">IF($M96="",0,IF(COUNTIF('Gap Sheet'!$A$6:$A$11,TRIM($L96))=0,0,IF($O96="R1",INDEX('Gap Sheet'!$C$6:$C$11,MATCH(TRIM($L96),'Gap Sheet'!$A$6:$A$11,0)),INDEX('Gap Sheet'!$G$6:$G$11,MATCH(TRIM($L96),'Gap Sheet'!$A$6:$A$11,0)))))</f>
        <v>0</v>
      </c>
      <c r="W96" s="46" t="str">
        <f aca="false">IF($M96="","",$M96&amp;"|"&amp;$O96)</f>
        <v/>
      </c>
      <c r="X96" s="46" t="n">
        <f aca="false">IF($W96="",0,COUNTIF($AA$4:$AA95,$W96))</f>
        <v>0</v>
      </c>
      <c r="Y96" s="46" t="str">
        <f aca="false">IF(OR($I96&lt;&gt;"Yes, I'm available for in-person interviews at Chennai",$E96&lt;&gt;"Yes",$T96="Yes",$U96&lt;&gt;"Yes"),"No",IF(($V96-$X96)&gt;0,"Yes","No"))</f>
        <v>No</v>
      </c>
      <c r="Z96" s="46" t="str">
        <f aca="false">IF($T96="Yes","Primary",IF($Y96="Yes","Secondary",""))</f>
        <v/>
      </c>
      <c r="AA96" s="46" t="str">
        <f aca="false">IF($Z96="Primary",$R96,IF($Z96="Secondary",$W96,""))</f>
        <v/>
      </c>
      <c r="AB96" s="46" t="str">
        <f aca="false">IF($Z96="Primary","Matched on primary skill",IF($Z96="Secondary","Matched on secondary skill (primary not approved or not required)",""))</f>
        <v/>
      </c>
      <c r="AC96" s="47" t="str">
        <f aca="false">IF($D96="Panel Details",$F96,"")</f>
        <v/>
      </c>
      <c r="AD96" s="46" t="str">
        <f aca="false">IF($D96="Panel Details",'Survey Response'!$D94,"")</f>
        <v/>
      </c>
      <c r="AE96" s="46" t="str">
        <f aca="false">IF($D96="Panel Details",'Survey Response'!$E94,"")</f>
        <v/>
      </c>
      <c r="AF96" s="46" t="str">
        <f aca="false">IF($D96="Panel Details",'Survey Response'!$G94,"")</f>
        <v/>
      </c>
      <c r="AG96" s="46" t="str">
        <f aca="false">IF($D96="Panel Details",IF($Z96="Primary",$J96,$L96),"")</f>
        <v/>
      </c>
      <c r="AH96" s="46" t="str">
        <f aca="false">IF($D96="Panel Details",IF($Z96="Primary",$L96,$J96),"")</f>
        <v/>
      </c>
      <c r="AI96" s="46" t="str">
        <f aca="false">IF($D96="Panel Details",'Survey Response'!$H94,"")</f>
        <v/>
      </c>
      <c r="AJ96" s="46" t="str">
        <f aca="false">IF($D96="Panel Details",'Survey Response'!$M94,"")</f>
        <v/>
      </c>
      <c r="AK96" s="46" t="str">
        <f aca="false">IF($D96="Panel Details",$O96,"")</f>
        <v/>
      </c>
      <c r="AL96" s="46" t="str">
        <f aca="false">IF($D96="Panel Details",8,"")</f>
        <v/>
      </c>
      <c r="AM96" s="46" t="str">
        <f aca="false">IF($D96="Panel Details",$AB96,"")</f>
        <v/>
      </c>
      <c r="AN96" s="46" t="str">
        <f aca="false">IF($D96="Panel Details","Yes","")</f>
        <v/>
      </c>
      <c r="AO96" s="46"/>
      <c r="AP96" s="46" t="str">
        <f aca="false">IF($D96="Followup",'Survey Response'!$D94,"")</f>
        <v/>
      </c>
      <c r="AQ96" s="46" t="str">
        <f aca="false">IF($D96="Followup",'Survey Response'!$E94,"")</f>
        <v/>
      </c>
      <c r="AR96" s="46" t="str">
        <f aca="false">IF($D96="Followup",'Survey Response'!$G94,"")</f>
        <v/>
      </c>
      <c r="AS96" s="46" t="str">
        <f aca="false">IF($D96="Followup",'Survey Response'!$H94,"")</f>
        <v/>
      </c>
      <c r="AT96" s="46" t="str">
        <f aca="false">IF($D96="Followup",'Survey Response'!$M94,"")</f>
        <v/>
      </c>
      <c r="AU96" s="46" t="str">
        <f aca="false">IF($D96="Followup",'Survey Response'!$K94,"")</f>
        <v/>
      </c>
      <c r="AV96" s="46" t="str">
        <f aca="false">IF($D96="Followup",'Survey Response'!$L94,"")</f>
        <v/>
      </c>
      <c r="AW96" s="46" t="str">
        <f aca="false">IF($D96="Followup",IF(AND($P96&lt;&gt;"Yes",$U96&lt;&gt;"Yes"),"Not approved for primary or secondary skill","Approved, but skill(s) no longer have capacity (fully staffed)"),"")</f>
        <v/>
      </c>
    </row>
    <row r="97" customFormat="false" ht="15" hidden="false" customHeight="true" outlineLevel="0" collapsed="false">
      <c r="A97" s="46" t="str">
        <f aca="false">IF('Survey Response'!$D95="","",'Survey Response'!$A95&amp;"|"&amp;LOWER(TRIM('Survey Response'!$D95)))</f>
        <v/>
      </c>
      <c r="B97" s="46" t="str">
        <f aca="false">IF($H97="","",$F97&amp;"|"&amp;$H97)</f>
        <v/>
      </c>
      <c r="C97" s="46" t="str">
        <f aca="false">IF($H97="","",$A97=$B97)</f>
        <v/>
      </c>
      <c r="D97" s="46" t="str">
        <f aca="false">IF($H97="","",IF($E97&lt;&gt;"Yes","Superseded",IF($I97&lt;&gt;"Yes, I'm available for in-person interviews at Chennai","Not Available",IF($Z97&lt;&gt;"","Panel Details","Followup"))))</f>
        <v/>
      </c>
      <c r="E97" s="46" t="str">
        <f aca="false">IF($H97="","",IF(SUMPRODUCT(($H$4:$H$503=$H97)*(($G$4:$G$503&gt;$G97)+($G$4:$G$503=$G97)*($F$4:$F$503&gt;$F97)))=0,"Yes","No"))</f>
        <v/>
      </c>
      <c r="F97" s="47" t="str">
        <f aca="false">IF('Survey Response'!$D95="","",INT('Survey Response'!$A95))</f>
        <v/>
      </c>
      <c r="G97" s="46" t="str">
        <f aca="false">IF('Survey Response'!$D95="","",'Survey Response'!$C95)</f>
        <v/>
      </c>
      <c r="H97" s="46" t="str">
        <f aca="false">IF('Survey Response'!$D95="","",LOWER(TRIM('Survey Response'!$D95)))</f>
        <v/>
      </c>
      <c r="I97" s="46" t="str">
        <f aca="false">IF($H97="","",'Survey Response'!$I95)</f>
        <v/>
      </c>
      <c r="J97" s="46" t="str">
        <f aca="false">IF($H97="","",'Survey Response'!$K95)</f>
        <v/>
      </c>
      <c r="K97" s="46" t="str">
        <f aca="false">IF($J97="","",IF(COUNTIF('Skill Mapping'!$A$2:$A$7,TRIM($J97))=0,"",INDEX('Skill Mapping'!$B$2:$B$7,MATCH(TRIM($J97),'Skill Mapping'!$A$2:$A$7,0))))</f>
        <v/>
      </c>
      <c r="L97" s="46" t="str">
        <f aca="false">IF($H97="","",'Survey Response'!$L95)</f>
        <v/>
      </c>
      <c r="M97" s="46" t="str">
        <f aca="false">IF($L97="","",IF(COUNTIF('Skill Mapping'!$A$2:$A$7,TRIM($L97))=0,"",INDEX('Skill Mapping'!$B$2:$B$7,MATCH(TRIM($L97),'Skill Mapping'!$A$2:$A$7,0))))</f>
        <v/>
      </c>
      <c r="N97" s="46" t="str">
        <f aca="false">IF($H97="","",'Survey Response'!$M95)</f>
        <v/>
      </c>
      <c r="O97" s="46" t="str">
        <f aca="false">IF($H97="","",IF('Survey Response'!$M95="Manager","R2","R1"))</f>
        <v/>
      </c>
      <c r="P97" s="46" t="str">
        <f aca="false">IF($K97="","No",IF(COUNTIFS(MasterPanel!$B:$B,$H97,MasterPanel!$I:$I,$K97,MasterPanel!$K:$K,"Y")&gt;0,"Yes","No"))</f>
        <v>No</v>
      </c>
      <c r="Q97" s="46" t="n">
        <f aca="false">IF($K97="",0,IF(COUNTIF('Gap Sheet'!$A$6:$A$11,TRIM($J97))=0,0,IF($O97="R1",INDEX('Gap Sheet'!$C$6:$C$11,MATCH(TRIM($J97),'Gap Sheet'!$A$6:$A$11,0)),INDEX('Gap Sheet'!$G$6:$G$11,MATCH(TRIM($J97),'Gap Sheet'!$A$6:$A$11,0)))))</f>
        <v>0</v>
      </c>
      <c r="R97" s="46" t="str">
        <f aca="false">IF($K97="","",$K97&amp;"|"&amp;$O97)</f>
        <v/>
      </c>
      <c r="S97" s="46" t="n">
        <f aca="false">IF($R97="",0,COUNTIF($AA$4:$AA96,$R97))</f>
        <v>0</v>
      </c>
      <c r="T97" s="46" t="str">
        <f aca="false">IF(OR($I97&lt;&gt;"Yes, I'm available for in-person interviews at Chennai",$E97&lt;&gt;"Yes",$P97&lt;&gt;"Yes"),"No",IF(($Q97-$S97)&gt;0,"Yes","No"))</f>
        <v>No</v>
      </c>
      <c r="U97" s="46" t="str">
        <f aca="false">IF($M97="","No",IF(COUNTIFS(MasterPanel!$B:$B,$H97,MasterPanel!$I:$I,$M97,MasterPanel!$K:$K,"Y")&gt;0,"Yes","No"))</f>
        <v>No</v>
      </c>
      <c r="V97" s="46" t="n">
        <f aca="false">IF($M97="",0,IF(COUNTIF('Gap Sheet'!$A$6:$A$11,TRIM($L97))=0,0,IF($O97="R1",INDEX('Gap Sheet'!$C$6:$C$11,MATCH(TRIM($L97),'Gap Sheet'!$A$6:$A$11,0)),INDEX('Gap Sheet'!$G$6:$G$11,MATCH(TRIM($L97),'Gap Sheet'!$A$6:$A$11,0)))))</f>
        <v>0</v>
      </c>
      <c r="W97" s="46" t="str">
        <f aca="false">IF($M97="","",$M97&amp;"|"&amp;$O97)</f>
        <v/>
      </c>
      <c r="X97" s="46" t="n">
        <f aca="false">IF($W97="",0,COUNTIF($AA$4:$AA96,$W97))</f>
        <v>0</v>
      </c>
      <c r="Y97" s="46" t="str">
        <f aca="false">IF(OR($I97&lt;&gt;"Yes, I'm available for in-person interviews at Chennai",$E97&lt;&gt;"Yes",$T97="Yes",$U97&lt;&gt;"Yes"),"No",IF(($V97-$X97)&gt;0,"Yes","No"))</f>
        <v>No</v>
      </c>
      <c r="Z97" s="46" t="str">
        <f aca="false">IF($T97="Yes","Primary",IF($Y97="Yes","Secondary",""))</f>
        <v/>
      </c>
      <c r="AA97" s="46" t="str">
        <f aca="false">IF($Z97="Primary",$R97,IF($Z97="Secondary",$W97,""))</f>
        <v/>
      </c>
      <c r="AB97" s="46" t="str">
        <f aca="false">IF($Z97="Primary","Matched on primary skill",IF($Z97="Secondary","Matched on secondary skill (primary not approved or not required)",""))</f>
        <v/>
      </c>
      <c r="AC97" s="47" t="str">
        <f aca="false">IF($D97="Panel Details",$F97,"")</f>
        <v/>
      </c>
      <c r="AD97" s="46" t="str">
        <f aca="false">IF($D97="Panel Details",'Survey Response'!$D95,"")</f>
        <v/>
      </c>
      <c r="AE97" s="46" t="str">
        <f aca="false">IF($D97="Panel Details",'Survey Response'!$E95,"")</f>
        <v/>
      </c>
      <c r="AF97" s="46" t="str">
        <f aca="false">IF($D97="Panel Details",'Survey Response'!$G95,"")</f>
        <v/>
      </c>
      <c r="AG97" s="46" t="str">
        <f aca="false">IF($D97="Panel Details",IF($Z97="Primary",$J97,$L97),"")</f>
        <v/>
      </c>
      <c r="AH97" s="46" t="str">
        <f aca="false">IF($D97="Panel Details",IF($Z97="Primary",$L97,$J97),"")</f>
        <v/>
      </c>
      <c r="AI97" s="46" t="str">
        <f aca="false">IF($D97="Panel Details",'Survey Response'!$H95,"")</f>
        <v/>
      </c>
      <c r="AJ97" s="46" t="str">
        <f aca="false">IF($D97="Panel Details",'Survey Response'!$M95,"")</f>
        <v/>
      </c>
      <c r="AK97" s="46" t="str">
        <f aca="false">IF($D97="Panel Details",$O97,"")</f>
        <v/>
      </c>
      <c r="AL97" s="46" t="str">
        <f aca="false">IF($D97="Panel Details",8,"")</f>
        <v/>
      </c>
      <c r="AM97" s="46" t="str">
        <f aca="false">IF($D97="Panel Details",$AB97,"")</f>
        <v/>
      </c>
      <c r="AN97" s="46" t="str">
        <f aca="false">IF($D97="Panel Details","Yes","")</f>
        <v/>
      </c>
      <c r="AO97" s="46"/>
      <c r="AP97" s="46" t="str">
        <f aca="false">IF($D97="Followup",'Survey Response'!$D95,"")</f>
        <v/>
      </c>
      <c r="AQ97" s="46" t="str">
        <f aca="false">IF($D97="Followup",'Survey Response'!$E95,"")</f>
        <v/>
      </c>
      <c r="AR97" s="46" t="str">
        <f aca="false">IF($D97="Followup",'Survey Response'!$G95,"")</f>
        <v/>
      </c>
      <c r="AS97" s="46" t="str">
        <f aca="false">IF($D97="Followup",'Survey Response'!$H95,"")</f>
        <v/>
      </c>
      <c r="AT97" s="46" t="str">
        <f aca="false">IF($D97="Followup",'Survey Response'!$M95,"")</f>
        <v/>
      </c>
      <c r="AU97" s="46" t="str">
        <f aca="false">IF($D97="Followup",'Survey Response'!$K95,"")</f>
        <v/>
      </c>
      <c r="AV97" s="46" t="str">
        <f aca="false">IF($D97="Followup",'Survey Response'!$L95,"")</f>
        <v/>
      </c>
      <c r="AW97" s="46" t="str">
        <f aca="false">IF($D97="Followup",IF(AND($P97&lt;&gt;"Yes",$U97&lt;&gt;"Yes"),"Not approved for primary or secondary skill","Approved, but skill(s) no longer have capacity (fully staffed)"),"")</f>
        <v/>
      </c>
    </row>
    <row r="98" customFormat="false" ht="15" hidden="false" customHeight="true" outlineLevel="0" collapsed="false">
      <c r="A98" s="46" t="str">
        <f aca="false">IF('Survey Response'!$D96="","",'Survey Response'!$A96&amp;"|"&amp;LOWER(TRIM('Survey Response'!$D96)))</f>
        <v/>
      </c>
      <c r="B98" s="46" t="str">
        <f aca="false">IF($H98="","",$F98&amp;"|"&amp;$H98)</f>
        <v/>
      </c>
      <c r="C98" s="46" t="str">
        <f aca="false">IF($H98="","",$A98=$B98)</f>
        <v/>
      </c>
      <c r="D98" s="46" t="str">
        <f aca="false">IF($H98="","",IF($E98&lt;&gt;"Yes","Superseded",IF($I98&lt;&gt;"Yes, I'm available for in-person interviews at Chennai","Not Available",IF($Z98&lt;&gt;"","Panel Details","Followup"))))</f>
        <v/>
      </c>
      <c r="E98" s="46" t="str">
        <f aca="false">IF($H98="","",IF(SUMPRODUCT(($H$4:$H$503=$H98)*(($G$4:$G$503&gt;$G98)+($G$4:$G$503=$G98)*($F$4:$F$503&gt;$F98)))=0,"Yes","No"))</f>
        <v/>
      </c>
      <c r="F98" s="47" t="str">
        <f aca="false">IF('Survey Response'!$D96="","",INT('Survey Response'!$A96))</f>
        <v/>
      </c>
      <c r="G98" s="46" t="str">
        <f aca="false">IF('Survey Response'!$D96="","",'Survey Response'!$C96)</f>
        <v/>
      </c>
      <c r="H98" s="46" t="str">
        <f aca="false">IF('Survey Response'!$D96="","",LOWER(TRIM('Survey Response'!$D96)))</f>
        <v/>
      </c>
      <c r="I98" s="46" t="str">
        <f aca="false">IF($H98="","",'Survey Response'!$I96)</f>
        <v/>
      </c>
      <c r="J98" s="46" t="str">
        <f aca="false">IF($H98="","",'Survey Response'!$K96)</f>
        <v/>
      </c>
      <c r="K98" s="46" t="str">
        <f aca="false">IF($J98="","",IF(COUNTIF('Skill Mapping'!$A$2:$A$7,TRIM($J98))=0,"",INDEX('Skill Mapping'!$B$2:$B$7,MATCH(TRIM($J98),'Skill Mapping'!$A$2:$A$7,0))))</f>
        <v/>
      </c>
      <c r="L98" s="46" t="str">
        <f aca="false">IF($H98="","",'Survey Response'!$L96)</f>
        <v/>
      </c>
      <c r="M98" s="46" t="str">
        <f aca="false">IF($L98="","",IF(COUNTIF('Skill Mapping'!$A$2:$A$7,TRIM($L98))=0,"",INDEX('Skill Mapping'!$B$2:$B$7,MATCH(TRIM($L98),'Skill Mapping'!$A$2:$A$7,0))))</f>
        <v/>
      </c>
      <c r="N98" s="46" t="str">
        <f aca="false">IF($H98="","",'Survey Response'!$M96)</f>
        <v/>
      </c>
      <c r="O98" s="46" t="str">
        <f aca="false">IF($H98="","",IF('Survey Response'!$M96="Manager","R2","R1"))</f>
        <v/>
      </c>
      <c r="P98" s="46" t="str">
        <f aca="false">IF($K98="","No",IF(COUNTIFS(MasterPanel!$B:$B,$H98,MasterPanel!$I:$I,$K98,MasterPanel!$K:$K,"Y")&gt;0,"Yes","No"))</f>
        <v>No</v>
      </c>
      <c r="Q98" s="46" t="n">
        <f aca="false">IF($K98="",0,IF(COUNTIF('Gap Sheet'!$A$6:$A$11,TRIM($J98))=0,0,IF($O98="R1",INDEX('Gap Sheet'!$C$6:$C$11,MATCH(TRIM($J98),'Gap Sheet'!$A$6:$A$11,0)),INDEX('Gap Sheet'!$G$6:$G$11,MATCH(TRIM($J98),'Gap Sheet'!$A$6:$A$11,0)))))</f>
        <v>0</v>
      </c>
      <c r="R98" s="46" t="str">
        <f aca="false">IF($K98="","",$K98&amp;"|"&amp;$O98)</f>
        <v/>
      </c>
      <c r="S98" s="46" t="n">
        <f aca="false">IF($R98="",0,COUNTIF($AA$4:$AA97,$R98))</f>
        <v>0</v>
      </c>
      <c r="T98" s="46" t="str">
        <f aca="false">IF(OR($I98&lt;&gt;"Yes, I'm available for in-person interviews at Chennai",$E98&lt;&gt;"Yes",$P98&lt;&gt;"Yes"),"No",IF(($Q98-$S98)&gt;0,"Yes","No"))</f>
        <v>No</v>
      </c>
      <c r="U98" s="46" t="str">
        <f aca="false">IF($M98="","No",IF(COUNTIFS(MasterPanel!$B:$B,$H98,MasterPanel!$I:$I,$M98,MasterPanel!$K:$K,"Y")&gt;0,"Yes","No"))</f>
        <v>No</v>
      </c>
      <c r="V98" s="46" t="n">
        <f aca="false">IF($M98="",0,IF(COUNTIF('Gap Sheet'!$A$6:$A$11,TRIM($L98))=0,0,IF($O98="R1",INDEX('Gap Sheet'!$C$6:$C$11,MATCH(TRIM($L98),'Gap Sheet'!$A$6:$A$11,0)),INDEX('Gap Sheet'!$G$6:$G$11,MATCH(TRIM($L98),'Gap Sheet'!$A$6:$A$11,0)))))</f>
        <v>0</v>
      </c>
      <c r="W98" s="46" t="str">
        <f aca="false">IF($M98="","",$M98&amp;"|"&amp;$O98)</f>
        <v/>
      </c>
      <c r="X98" s="46" t="n">
        <f aca="false">IF($W98="",0,COUNTIF($AA$4:$AA97,$W98))</f>
        <v>0</v>
      </c>
      <c r="Y98" s="46" t="str">
        <f aca="false">IF(OR($I98&lt;&gt;"Yes, I'm available for in-person interviews at Chennai",$E98&lt;&gt;"Yes",$T98="Yes",$U98&lt;&gt;"Yes"),"No",IF(($V98-$X98)&gt;0,"Yes","No"))</f>
        <v>No</v>
      </c>
      <c r="Z98" s="46" t="str">
        <f aca="false">IF($T98="Yes","Primary",IF($Y98="Yes","Secondary",""))</f>
        <v/>
      </c>
      <c r="AA98" s="46" t="str">
        <f aca="false">IF($Z98="Primary",$R98,IF($Z98="Secondary",$W98,""))</f>
        <v/>
      </c>
      <c r="AB98" s="46" t="str">
        <f aca="false">IF($Z98="Primary","Matched on primary skill",IF($Z98="Secondary","Matched on secondary skill (primary not approved or not required)",""))</f>
        <v/>
      </c>
      <c r="AC98" s="47" t="str">
        <f aca="false">IF($D98="Panel Details",$F98,"")</f>
        <v/>
      </c>
      <c r="AD98" s="46" t="str">
        <f aca="false">IF($D98="Panel Details",'Survey Response'!$D96,"")</f>
        <v/>
      </c>
      <c r="AE98" s="46" t="str">
        <f aca="false">IF($D98="Panel Details",'Survey Response'!$E96,"")</f>
        <v/>
      </c>
      <c r="AF98" s="46" t="str">
        <f aca="false">IF($D98="Panel Details",'Survey Response'!$G96,"")</f>
        <v/>
      </c>
      <c r="AG98" s="46" t="str">
        <f aca="false">IF($D98="Panel Details",IF($Z98="Primary",$J98,$L98),"")</f>
        <v/>
      </c>
      <c r="AH98" s="46" t="str">
        <f aca="false">IF($D98="Panel Details",IF($Z98="Primary",$L98,$J98),"")</f>
        <v/>
      </c>
      <c r="AI98" s="46" t="str">
        <f aca="false">IF($D98="Panel Details",'Survey Response'!$H96,"")</f>
        <v/>
      </c>
      <c r="AJ98" s="46" t="str">
        <f aca="false">IF($D98="Panel Details",'Survey Response'!$M96,"")</f>
        <v/>
      </c>
      <c r="AK98" s="46" t="str">
        <f aca="false">IF($D98="Panel Details",$O98,"")</f>
        <v/>
      </c>
      <c r="AL98" s="46" t="str">
        <f aca="false">IF($D98="Panel Details",8,"")</f>
        <v/>
      </c>
      <c r="AM98" s="46" t="str">
        <f aca="false">IF($D98="Panel Details",$AB98,"")</f>
        <v/>
      </c>
      <c r="AN98" s="46" t="str">
        <f aca="false">IF($D98="Panel Details","Yes","")</f>
        <v/>
      </c>
      <c r="AO98" s="46"/>
      <c r="AP98" s="46" t="str">
        <f aca="false">IF($D98="Followup",'Survey Response'!$D96,"")</f>
        <v/>
      </c>
      <c r="AQ98" s="46" t="str">
        <f aca="false">IF($D98="Followup",'Survey Response'!$E96,"")</f>
        <v/>
      </c>
      <c r="AR98" s="46" t="str">
        <f aca="false">IF($D98="Followup",'Survey Response'!$G96,"")</f>
        <v/>
      </c>
      <c r="AS98" s="46" t="str">
        <f aca="false">IF($D98="Followup",'Survey Response'!$H96,"")</f>
        <v/>
      </c>
      <c r="AT98" s="46" t="str">
        <f aca="false">IF($D98="Followup",'Survey Response'!$M96,"")</f>
        <v/>
      </c>
      <c r="AU98" s="46" t="str">
        <f aca="false">IF($D98="Followup",'Survey Response'!$K96,"")</f>
        <v/>
      </c>
      <c r="AV98" s="46" t="str">
        <f aca="false">IF($D98="Followup",'Survey Response'!$L96,"")</f>
        <v/>
      </c>
      <c r="AW98" s="46" t="str">
        <f aca="false">IF($D98="Followup",IF(AND($P98&lt;&gt;"Yes",$U98&lt;&gt;"Yes"),"Not approved for primary or secondary skill","Approved, but skill(s) no longer have capacity (fully staffed)"),"")</f>
        <v/>
      </c>
    </row>
    <row r="99" customFormat="false" ht="15" hidden="false" customHeight="true" outlineLevel="0" collapsed="false">
      <c r="A99" s="46" t="str">
        <f aca="false">IF('Survey Response'!$D97="","",'Survey Response'!$A97&amp;"|"&amp;LOWER(TRIM('Survey Response'!$D97)))</f>
        <v/>
      </c>
      <c r="B99" s="46" t="str">
        <f aca="false">IF($H99="","",$F99&amp;"|"&amp;$H99)</f>
        <v/>
      </c>
      <c r="C99" s="46" t="str">
        <f aca="false">IF($H99="","",$A99=$B99)</f>
        <v/>
      </c>
      <c r="D99" s="46" t="str">
        <f aca="false">IF($H99="","",IF($E99&lt;&gt;"Yes","Superseded",IF($I99&lt;&gt;"Yes, I'm available for in-person interviews at Chennai","Not Available",IF($Z99&lt;&gt;"","Panel Details","Followup"))))</f>
        <v/>
      </c>
      <c r="E99" s="46" t="str">
        <f aca="false">IF($H99="","",IF(SUMPRODUCT(($H$4:$H$503=$H99)*(($G$4:$G$503&gt;$G99)+($G$4:$G$503=$G99)*($F$4:$F$503&gt;$F99)))=0,"Yes","No"))</f>
        <v/>
      </c>
      <c r="F99" s="47" t="str">
        <f aca="false">IF('Survey Response'!$D97="","",INT('Survey Response'!$A97))</f>
        <v/>
      </c>
      <c r="G99" s="46" t="str">
        <f aca="false">IF('Survey Response'!$D97="","",'Survey Response'!$C97)</f>
        <v/>
      </c>
      <c r="H99" s="46" t="str">
        <f aca="false">IF('Survey Response'!$D97="","",LOWER(TRIM('Survey Response'!$D97)))</f>
        <v/>
      </c>
      <c r="I99" s="46" t="str">
        <f aca="false">IF($H99="","",'Survey Response'!$I97)</f>
        <v/>
      </c>
      <c r="J99" s="46" t="str">
        <f aca="false">IF($H99="","",'Survey Response'!$K97)</f>
        <v/>
      </c>
      <c r="K99" s="46" t="str">
        <f aca="false">IF($J99="","",IF(COUNTIF('Skill Mapping'!$A$2:$A$7,TRIM($J99))=0,"",INDEX('Skill Mapping'!$B$2:$B$7,MATCH(TRIM($J99),'Skill Mapping'!$A$2:$A$7,0))))</f>
        <v/>
      </c>
      <c r="L99" s="46" t="str">
        <f aca="false">IF($H99="","",'Survey Response'!$L97)</f>
        <v/>
      </c>
      <c r="M99" s="46" t="str">
        <f aca="false">IF($L99="","",IF(COUNTIF('Skill Mapping'!$A$2:$A$7,TRIM($L99))=0,"",INDEX('Skill Mapping'!$B$2:$B$7,MATCH(TRIM($L99),'Skill Mapping'!$A$2:$A$7,0))))</f>
        <v/>
      </c>
      <c r="N99" s="46" t="str">
        <f aca="false">IF($H99="","",'Survey Response'!$M97)</f>
        <v/>
      </c>
      <c r="O99" s="46" t="str">
        <f aca="false">IF($H99="","",IF('Survey Response'!$M97="Manager","R2","R1"))</f>
        <v/>
      </c>
      <c r="P99" s="46" t="str">
        <f aca="false">IF($K99="","No",IF(COUNTIFS(MasterPanel!$B:$B,$H99,MasterPanel!$I:$I,$K99,MasterPanel!$K:$K,"Y")&gt;0,"Yes","No"))</f>
        <v>No</v>
      </c>
      <c r="Q99" s="46" t="n">
        <f aca="false">IF($K99="",0,IF(COUNTIF('Gap Sheet'!$A$6:$A$11,TRIM($J99))=0,0,IF($O99="R1",INDEX('Gap Sheet'!$C$6:$C$11,MATCH(TRIM($J99),'Gap Sheet'!$A$6:$A$11,0)),INDEX('Gap Sheet'!$G$6:$G$11,MATCH(TRIM($J99),'Gap Sheet'!$A$6:$A$11,0)))))</f>
        <v>0</v>
      </c>
      <c r="R99" s="46" t="str">
        <f aca="false">IF($K99="","",$K99&amp;"|"&amp;$O99)</f>
        <v/>
      </c>
      <c r="S99" s="46" t="n">
        <f aca="false">IF($R99="",0,COUNTIF($AA$4:$AA98,$R99))</f>
        <v>0</v>
      </c>
      <c r="T99" s="46" t="str">
        <f aca="false">IF(OR($I99&lt;&gt;"Yes, I'm available for in-person interviews at Chennai",$E99&lt;&gt;"Yes",$P99&lt;&gt;"Yes"),"No",IF(($Q99-$S99)&gt;0,"Yes","No"))</f>
        <v>No</v>
      </c>
      <c r="U99" s="46" t="str">
        <f aca="false">IF($M99="","No",IF(COUNTIFS(MasterPanel!$B:$B,$H99,MasterPanel!$I:$I,$M99,MasterPanel!$K:$K,"Y")&gt;0,"Yes","No"))</f>
        <v>No</v>
      </c>
      <c r="V99" s="46" t="n">
        <f aca="false">IF($M99="",0,IF(COUNTIF('Gap Sheet'!$A$6:$A$11,TRIM($L99))=0,0,IF($O99="R1",INDEX('Gap Sheet'!$C$6:$C$11,MATCH(TRIM($L99),'Gap Sheet'!$A$6:$A$11,0)),INDEX('Gap Sheet'!$G$6:$G$11,MATCH(TRIM($L99),'Gap Sheet'!$A$6:$A$11,0)))))</f>
        <v>0</v>
      </c>
      <c r="W99" s="46" t="str">
        <f aca="false">IF($M99="","",$M99&amp;"|"&amp;$O99)</f>
        <v/>
      </c>
      <c r="X99" s="46" t="n">
        <f aca="false">IF($W99="",0,COUNTIF($AA$4:$AA98,$W99))</f>
        <v>0</v>
      </c>
      <c r="Y99" s="46" t="str">
        <f aca="false">IF(OR($I99&lt;&gt;"Yes, I'm available for in-person interviews at Chennai",$E99&lt;&gt;"Yes",$T99="Yes",$U99&lt;&gt;"Yes"),"No",IF(($V99-$X99)&gt;0,"Yes","No"))</f>
        <v>No</v>
      </c>
      <c r="Z99" s="46" t="str">
        <f aca="false">IF($T99="Yes","Primary",IF($Y99="Yes","Secondary",""))</f>
        <v/>
      </c>
      <c r="AA99" s="46" t="str">
        <f aca="false">IF($Z99="Primary",$R99,IF($Z99="Secondary",$W99,""))</f>
        <v/>
      </c>
      <c r="AB99" s="46" t="str">
        <f aca="false">IF($Z99="Primary","Matched on primary skill",IF($Z99="Secondary","Matched on secondary skill (primary not approved or not required)",""))</f>
        <v/>
      </c>
      <c r="AC99" s="47" t="str">
        <f aca="false">IF($D99="Panel Details",$F99,"")</f>
        <v/>
      </c>
      <c r="AD99" s="46" t="str">
        <f aca="false">IF($D99="Panel Details",'Survey Response'!$D97,"")</f>
        <v/>
      </c>
      <c r="AE99" s="46" t="str">
        <f aca="false">IF($D99="Panel Details",'Survey Response'!$E97,"")</f>
        <v/>
      </c>
      <c r="AF99" s="46" t="str">
        <f aca="false">IF($D99="Panel Details",'Survey Response'!$G97,"")</f>
        <v/>
      </c>
      <c r="AG99" s="46" t="str">
        <f aca="false">IF($D99="Panel Details",IF($Z99="Primary",$J99,$L99),"")</f>
        <v/>
      </c>
      <c r="AH99" s="46" t="str">
        <f aca="false">IF($D99="Panel Details",IF($Z99="Primary",$L99,$J99),"")</f>
        <v/>
      </c>
      <c r="AI99" s="46" t="str">
        <f aca="false">IF($D99="Panel Details",'Survey Response'!$H97,"")</f>
        <v/>
      </c>
      <c r="AJ99" s="46" t="str">
        <f aca="false">IF($D99="Panel Details",'Survey Response'!$M97,"")</f>
        <v/>
      </c>
      <c r="AK99" s="46" t="str">
        <f aca="false">IF($D99="Panel Details",$O99,"")</f>
        <v/>
      </c>
      <c r="AL99" s="46" t="str">
        <f aca="false">IF($D99="Panel Details",8,"")</f>
        <v/>
      </c>
      <c r="AM99" s="46" t="str">
        <f aca="false">IF($D99="Panel Details",$AB99,"")</f>
        <v/>
      </c>
      <c r="AN99" s="46" t="str">
        <f aca="false">IF($D99="Panel Details","Yes","")</f>
        <v/>
      </c>
      <c r="AO99" s="46"/>
      <c r="AP99" s="46" t="str">
        <f aca="false">IF($D99="Followup",'Survey Response'!$D97,"")</f>
        <v/>
      </c>
      <c r="AQ99" s="46" t="str">
        <f aca="false">IF($D99="Followup",'Survey Response'!$E97,"")</f>
        <v/>
      </c>
      <c r="AR99" s="46" t="str">
        <f aca="false">IF($D99="Followup",'Survey Response'!$G97,"")</f>
        <v/>
      </c>
      <c r="AS99" s="46" t="str">
        <f aca="false">IF($D99="Followup",'Survey Response'!$H97,"")</f>
        <v/>
      </c>
      <c r="AT99" s="46" t="str">
        <f aca="false">IF($D99="Followup",'Survey Response'!$M97,"")</f>
        <v/>
      </c>
      <c r="AU99" s="46" t="str">
        <f aca="false">IF($D99="Followup",'Survey Response'!$K97,"")</f>
        <v/>
      </c>
      <c r="AV99" s="46" t="str">
        <f aca="false">IF($D99="Followup",'Survey Response'!$L97,"")</f>
        <v/>
      </c>
      <c r="AW99" s="46" t="str">
        <f aca="false">IF($D99="Followup",IF(AND($P99&lt;&gt;"Yes",$U99&lt;&gt;"Yes"),"Not approved for primary or secondary skill","Approved, but skill(s) no longer have capacity (fully staffed)"),"")</f>
        <v/>
      </c>
    </row>
    <row r="100" customFormat="false" ht="15" hidden="false" customHeight="true" outlineLevel="0" collapsed="false">
      <c r="A100" s="46" t="str">
        <f aca="false">IF('Survey Response'!$D98="","",'Survey Response'!$A98&amp;"|"&amp;LOWER(TRIM('Survey Response'!$D98)))</f>
        <v/>
      </c>
      <c r="B100" s="46" t="str">
        <f aca="false">IF($H100="","",$F100&amp;"|"&amp;$H100)</f>
        <v/>
      </c>
      <c r="C100" s="46" t="str">
        <f aca="false">IF($H100="","",$A100=$B100)</f>
        <v/>
      </c>
      <c r="D100" s="46" t="str">
        <f aca="false">IF($H100="","",IF($E100&lt;&gt;"Yes","Superseded",IF($I100&lt;&gt;"Yes, I'm available for in-person interviews at Chennai","Not Available",IF($Z100&lt;&gt;"","Panel Details","Followup"))))</f>
        <v/>
      </c>
      <c r="E100" s="46" t="str">
        <f aca="false">IF($H100="","",IF(SUMPRODUCT(($H$4:$H$503=$H100)*(($G$4:$G$503&gt;$G100)+($G$4:$G$503=$G100)*($F$4:$F$503&gt;$F100)))=0,"Yes","No"))</f>
        <v/>
      </c>
      <c r="F100" s="47" t="str">
        <f aca="false">IF('Survey Response'!$D98="","",INT('Survey Response'!$A98))</f>
        <v/>
      </c>
      <c r="G100" s="46" t="str">
        <f aca="false">IF('Survey Response'!$D98="","",'Survey Response'!$C98)</f>
        <v/>
      </c>
      <c r="H100" s="46" t="str">
        <f aca="false">IF('Survey Response'!$D98="","",LOWER(TRIM('Survey Response'!$D98)))</f>
        <v/>
      </c>
      <c r="I100" s="46" t="str">
        <f aca="false">IF($H100="","",'Survey Response'!$I98)</f>
        <v/>
      </c>
      <c r="J100" s="46" t="str">
        <f aca="false">IF($H100="","",'Survey Response'!$K98)</f>
        <v/>
      </c>
      <c r="K100" s="46" t="str">
        <f aca="false">IF($J100="","",IF(COUNTIF('Skill Mapping'!$A$2:$A$7,TRIM($J100))=0,"",INDEX('Skill Mapping'!$B$2:$B$7,MATCH(TRIM($J100),'Skill Mapping'!$A$2:$A$7,0))))</f>
        <v/>
      </c>
      <c r="L100" s="46" t="str">
        <f aca="false">IF($H100="","",'Survey Response'!$L98)</f>
        <v/>
      </c>
      <c r="M100" s="46" t="str">
        <f aca="false">IF($L100="","",IF(COUNTIF('Skill Mapping'!$A$2:$A$7,TRIM($L100))=0,"",INDEX('Skill Mapping'!$B$2:$B$7,MATCH(TRIM($L100),'Skill Mapping'!$A$2:$A$7,0))))</f>
        <v/>
      </c>
      <c r="N100" s="46" t="str">
        <f aca="false">IF($H100="","",'Survey Response'!$M98)</f>
        <v/>
      </c>
      <c r="O100" s="46" t="str">
        <f aca="false">IF($H100="","",IF('Survey Response'!$M98="Manager","R2","R1"))</f>
        <v/>
      </c>
      <c r="P100" s="46" t="str">
        <f aca="false">IF($K100="","No",IF(COUNTIFS(MasterPanel!$B:$B,$H100,MasterPanel!$I:$I,$K100,MasterPanel!$K:$K,"Y")&gt;0,"Yes","No"))</f>
        <v>No</v>
      </c>
      <c r="Q100" s="46" t="n">
        <f aca="false">IF($K100="",0,IF(COUNTIF('Gap Sheet'!$A$6:$A$11,TRIM($J100))=0,0,IF($O100="R1",INDEX('Gap Sheet'!$C$6:$C$11,MATCH(TRIM($J100),'Gap Sheet'!$A$6:$A$11,0)),INDEX('Gap Sheet'!$G$6:$G$11,MATCH(TRIM($J100),'Gap Sheet'!$A$6:$A$11,0)))))</f>
        <v>0</v>
      </c>
      <c r="R100" s="46" t="str">
        <f aca="false">IF($K100="","",$K100&amp;"|"&amp;$O100)</f>
        <v/>
      </c>
      <c r="S100" s="46" t="n">
        <f aca="false">IF($R100="",0,COUNTIF($AA$4:$AA99,$R100))</f>
        <v>0</v>
      </c>
      <c r="T100" s="46" t="str">
        <f aca="false">IF(OR($I100&lt;&gt;"Yes, I'm available for in-person interviews at Chennai",$E100&lt;&gt;"Yes",$P100&lt;&gt;"Yes"),"No",IF(($Q100-$S100)&gt;0,"Yes","No"))</f>
        <v>No</v>
      </c>
      <c r="U100" s="46" t="str">
        <f aca="false">IF($M100="","No",IF(COUNTIFS(MasterPanel!$B:$B,$H100,MasterPanel!$I:$I,$M100,MasterPanel!$K:$K,"Y")&gt;0,"Yes","No"))</f>
        <v>No</v>
      </c>
      <c r="V100" s="46" t="n">
        <f aca="false">IF($M100="",0,IF(COUNTIF('Gap Sheet'!$A$6:$A$11,TRIM($L100))=0,0,IF($O100="R1",INDEX('Gap Sheet'!$C$6:$C$11,MATCH(TRIM($L100),'Gap Sheet'!$A$6:$A$11,0)),INDEX('Gap Sheet'!$G$6:$G$11,MATCH(TRIM($L100),'Gap Sheet'!$A$6:$A$11,0)))))</f>
        <v>0</v>
      </c>
      <c r="W100" s="46" t="str">
        <f aca="false">IF($M100="","",$M100&amp;"|"&amp;$O100)</f>
        <v/>
      </c>
      <c r="X100" s="46" t="n">
        <f aca="false">IF($W100="",0,COUNTIF($AA$4:$AA99,$W100))</f>
        <v>0</v>
      </c>
      <c r="Y100" s="46" t="str">
        <f aca="false">IF(OR($I100&lt;&gt;"Yes, I'm available for in-person interviews at Chennai",$E100&lt;&gt;"Yes",$T100="Yes",$U100&lt;&gt;"Yes"),"No",IF(($V100-$X100)&gt;0,"Yes","No"))</f>
        <v>No</v>
      </c>
      <c r="Z100" s="46" t="str">
        <f aca="false">IF($T100="Yes","Primary",IF($Y100="Yes","Secondary",""))</f>
        <v/>
      </c>
      <c r="AA100" s="46" t="str">
        <f aca="false">IF($Z100="Primary",$R100,IF($Z100="Secondary",$W100,""))</f>
        <v/>
      </c>
      <c r="AB100" s="46" t="str">
        <f aca="false">IF($Z100="Primary","Matched on primary skill",IF($Z100="Secondary","Matched on secondary skill (primary not approved or not required)",""))</f>
        <v/>
      </c>
      <c r="AC100" s="47" t="str">
        <f aca="false">IF($D100="Panel Details",$F100,"")</f>
        <v/>
      </c>
      <c r="AD100" s="46" t="str">
        <f aca="false">IF($D100="Panel Details",'Survey Response'!$D98,"")</f>
        <v/>
      </c>
      <c r="AE100" s="46" t="str">
        <f aca="false">IF($D100="Panel Details",'Survey Response'!$E98,"")</f>
        <v/>
      </c>
      <c r="AF100" s="46" t="str">
        <f aca="false">IF($D100="Panel Details",'Survey Response'!$G98,"")</f>
        <v/>
      </c>
      <c r="AG100" s="46" t="str">
        <f aca="false">IF($D100="Panel Details",IF($Z100="Primary",$J100,$L100),"")</f>
        <v/>
      </c>
      <c r="AH100" s="46" t="str">
        <f aca="false">IF($D100="Panel Details",IF($Z100="Primary",$L100,$J100),"")</f>
        <v/>
      </c>
      <c r="AI100" s="46" t="str">
        <f aca="false">IF($D100="Panel Details",'Survey Response'!$H98,"")</f>
        <v/>
      </c>
      <c r="AJ100" s="46" t="str">
        <f aca="false">IF($D100="Panel Details",'Survey Response'!$M98,"")</f>
        <v/>
      </c>
      <c r="AK100" s="46" t="str">
        <f aca="false">IF($D100="Panel Details",$O100,"")</f>
        <v/>
      </c>
      <c r="AL100" s="46" t="str">
        <f aca="false">IF($D100="Panel Details",8,"")</f>
        <v/>
      </c>
      <c r="AM100" s="46" t="str">
        <f aca="false">IF($D100="Panel Details",$AB100,"")</f>
        <v/>
      </c>
      <c r="AN100" s="46" t="str">
        <f aca="false">IF($D100="Panel Details","Yes","")</f>
        <v/>
      </c>
      <c r="AO100" s="46"/>
      <c r="AP100" s="46" t="str">
        <f aca="false">IF($D100="Followup",'Survey Response'!$D98,"")</f>
        <v/>
      </c>
      <c r="AQ100" s="46" t="str">
        <f aca="false">IF($D100="Followup",'Survey Response'!$E98,"")</f>
        <v/>
      </c>
      <c r="AR100" s="46" t="str">
        <f aca="false">IF($D100="Followup",'Survey Response'!$G98,"")</f>
        <v/>
      </c>
      <c r="AS100" s="46" t="str">
        <f aca="false">IF($D100="Followup",'Survey Response'!$H98,"")</f>
        <v/>
      </c>
      <c r="AT100" s="46" t="str">
        <f aca="false">IF($D100="Followup",'Survey Response'!$M98,"")</f>
        <v/>
      </c>
      <c r="AU100" s="46" t="str">
        <f aca="false">IF($D100="Followup",'Survey Response'!$K98,"")</f>
        <v/>
      </c>
      <c r="AV100" s="46" t="str">
        <f aca="false">IF($D100="Followup",'Survey Response'!$L98,"")</f>
        <v/>
      </c>
      <c r="AW100" s="46" t="str">
        <f aca="false">IF($D100="Followup",IF(AND($P100&lt;&gt;"Yes",$U100&lt;&gt;"Yes"),"Not approved for primary or secondary skill","Approved, but skill(s) no longer have capacity (fully staffed)"),"")</f>
        <v/>
      </c>
    </row>
    <row r="101" customFormat="false" ht="15" hidden="false" customHeight="true" outlineLevel="0" collapsed="false">
      <c r="A101" s="46" t="str">
        <f aca="false">IF('Survey Response'!$D99="","",'Survey Response'!$A99&amp;"|"&amp;LOWER(TRIM('Survey Response'!$D99)))</f>
        <v/>
      </c>
      <c r="B101" s="46" t="str">
        <f aca="false">IF($H101="","",$F101&amp;"|"&amp;$H101)</f>
        <v/>
      </c>
      <c r="C101" s="46" t="str">
        <f aca="false">IF($H101="","",$A101=$B101)</f>
        <v/>
      </c>
      <c r="D101" s="46" t="str">
        <f aca="false">IF($H101="","",IF($E101&lt;&gt;"Yes","Superseded",IF($I101&lt;&gt;"Yes, I'm available for in-person interviews at Chennai","Not Available",IF($Z101&lt;&gt;"","Panel Details","Followup"))))</f>
        <v/>
      </c>
      <c r="E101" s="46" t="str">
        <f aca="false">IF($H101="","",IF(SUMPRODUCT(($H$4:$H$503=$H101)*(($G$4:$G$503&gt;$G101)+($G$4:$G$503=$G101)*($F$4:$F$503&gt;$F101)))=0,"Yes","No"))</f>
        <v/>
      </c>
      <c r="F101" s="47" t="str">
        <f aca="false">IF('Survey Response'!$D99="","",INT('Survey Response'!$A99))</f>
        <v/>
      </c>
      <c r="G101" s="46" t="str">
        <f aca="false">IF('Survey Response'!$D99="","",'Survey Response'!$C99)</f>
        <v/>
      </c>
      <c r="H101" s="46" t="str">
        <f aca="false">IF('Survey Response'!$D99="","",LOWER(TRIM('Survey Response'!$D99)))</f>
        <v/>
      </c>
      <c r="I101" s="46" t="str">
        <f aca="false">IF($H101="","",'Survey Response'!$I99)</f>
        <v/>
      </c>
      <c r="J101" s="46" t="str">
        <f aca="false">IF($H101="","",'Survey Response'!$K99)</f>
        <v/>
      </c>
      <c r="K101" s="46" t="str">
        <f aca="false">IF($J101="","",IF(COUNTIF('Skill Mapping'!$A$2:$A$7,TRIM($J101))=0,"",INDEX('Skill Mapping'!$B$2:$B$7,MATCH(TRIM($J101),'Skill Mapping'!$A$2:$A$7,0))))</f>
        <v/>
      </c>
      <c r="L101" s="46" t="str">
        <f aca="false">IF($H101="","",'Survey Response'!$L99)</f>
        <v/>
      </c>
      <c r="M101" s="46" t="str">
        <f aca="false">IF($L101="","",IF(COUNTIF('Skill Mapping'!$A$2:$A$7,TRIM($L101))=0,"",INDEX('Skill Mapping'!$B$2:$B$7,MATCH(TRIM($L101),'Skill Mapping'!$A$2:$A$7,0))))</f>
        <v/>
      </c>
      <c r="N101" s="46" t="str">
        <f aca="false">IF($H101="","",'Survey Response'!$M99)</f>
        <v/>
      </c>
      <c r="O101" s="46" t="str">
        <f aca="false">IF($H101="","",IF('Survey Response'!$M99="Manager","R2","R1"))</f>
        <v/>
      </c>
      <c r="P101" s="46" t="str">
        <f aca="false">IF($K101="","No",IF(COUNTIFS(MasterPanel!$B:$B,$H101,MasterPanel!$I:$I,$K101,MasterPanel!$K:$K,"Y")&gt;0,"Yes","No"))</f>
        <v>No</v>
      </c>
      <c r="Q101" s="46" t="n">
        <f aca="false">IF($K101="",0,IF(COUNTIF('Gap Sheet'!$A$6:$A$11,TRIM($J101))=0,0,IF($O101="R1",INDEX('Gap Sheet'!$C$6:$C$11,MATCH(TRIM($J101),'Gap Sheet'!$A$6:$A$11,0)),INDEX('Gap Sheet'!$G$6:$G$11,MATCH(TRIM($J101),'Gap Sheet'!$A$6:$A$11,0)))))</f>
        <v>0</v>
      </c>
      <c r="R101" s="46" t="str">
        <f aca="false">IF($K101="","",$K101&amp;"|"&amp;$O101)</f>
        <v/>
      </c>
      <c r="S101" s="46" t="n">
        <f aca="false">IF($R101="",0,COUNTIF($AA$4:$AA100,$R101))</f>
        <v>0</v>
      </c>
      <c r="T101" s="46" t="str">
        <f aca="false">IF(OR($I101&lt;&gt;"Yes, I'm available for in-person interviews at Chennai",$E101&lt;&gt;"Yes",$P101&lt;&gt;"Yes"),"No",IF(($Q101-$S101)&gt;0,"Yes","No"))</f>
        <v>No</v>
      </c>
      <c r="U101" s="46" t="str">
        <f aca="false">IF($M101="","No",IF(COUNTIFS(MasterPanel!$B:$B,$H101,MasterPanel!$I:$I,$M101,MasterPanel!$K:$K,"Y")&gt;0,"Yes","No"))</f>
        <v>No</v>
      </c>
      <c r="V101" s="46" t="n">
        <f aca="false">IF($M101="",0,IF(COUNTIF('Gap Sheet'!$A$6:$A$11,TRIM($L101))=0,0,IF($O101="R1",INDEX('Gap Sheet'!$C$6:$C$11,MATCH(TRIM($L101),'Gap Sheet'!$A$6:$A$11,0)),INDEX('Gap Sheet'!$G$6:$G$11,MATCH(TRIM($L101),'Gap Sheet'!$A$6:$A$11,0)))))</f>
        <v>0</v>
      </c>
      <c r="W101" s="46" t="str">
        <f aca="false">IF($M101="","",$M101&amp;"|"&amp;$O101)</f>
        <v/>
      </c>
      <c r="X101" s="46" t="n">
        <f aca="false">IF($W101="",0,COUNTIF($AA$4:$AA100,$W101))</f>
        <v>0</v>
      </c>
      <c r="Y101" s="46" t="str">
        <f aca="false">IF(OR($I101&lt;&gt;"Yes, I'm available for in-person interviews at Chennai",$E101&lt;&gt;"Yes",$T101="Yes",$U101&lt;&gt;"Yes"),"No",IF(($V101-$X101)&gt;0,"Yes","No"))</f>
        <v>No</v>
      </c>
      <c r="Z101" s="46" t="str">
        <f aca="false">IF($T101="Yes","Primary",IF($Y101="Yes","Secondary",""))</f>
        <v/>
      </c>
      <c r="AA101" s="46" t="str">
        <f aca="false">IF($Z101="Primary",$R101,IF($Z101="Secondary",$W101,""))</f>
        <v/>
      </c>
      <c r="AB101" s="46" t="str">
        <f aca="false">IF($Z101="Primary","Matched on primary skill",IF($Z101="Secondary","Matched on secondary skill (primary not approved or not required)",""))</f>
        <v/>
      </c>
      <c r="AC101" s="47" t="str">
        <f aca="false">IF($D101="Panel Details",$F101,"")</f>
        <v/>
      </c>
      <c r="AD101" s="46" t="str">
        <f aca="false">IF($D101="Panel Details",'Survey Response'!$D99,"")</f>
        <v/>
      </c>
      <c r="AE101" s="46" t="str">
        <f aca="false">IF($D101="Panel Details",'Survey Response'!$E99,"")</f>
        <v/>
      </c>
      <c r="AF101" s="46" t="str">
        <f aca="false">IF($D101="Panel Details",'Survey Response'!$G99,"")</f>
        <v/>
      </c>
      <c r="AG101" s="46" t="str">
        <f aca="false">IF($D101="Panel Details",IF($Z101="Primary",$J101,$L101),"")</f>
        <v/>
      </c>
      <c r="AH101" s="46" t="str">
        <f aca="false">IF($D101="Panel Details",IF($Z101="Primary",$L101,$J101),"")</f>
        <v/>
      </c>
      <c r="AI101" s="46" t="str">
        <f aca="false">IF($D101="Panel Details",'Survey Response'!$H99,"")</f>
        <v/>
      </c>
      <c r="AJ101" s="46" t="str">
        <f aca="false">IF($D101="Panel Details",'Survey Response'!$M99,"")</f>
        <v/>
      </c>
      <c r="AK101" s="46" t="str">
        <f aca="false">IF($D101="Panel Details",$O101,"")</f>
        <v/>
      </c>
      <c r="AL101" s="46" t="str">
        <f aca="false">IF($D101="Panel Details",8,"")</f>
        <v/>
      </c>
      <c r="AM101" s="46" t="str">
        <f aca="false">IF($D101="Panel Details",$AB101,"")</f>
        <v/>
      </c>
      <c r="AN101" s="46" t="str">
        <f aca="false">IF($D101="Panel Details","Yes","")</f>
        <v/>
      </c>
      <c r="AO101" s="46"/>
      <c r="AP101" s="46" t="str">
        <f aca="false">IF($D101="Followup",'Survey Response'!$D99,"")</f>
        <v/>
      </c>
      <c r="AQ101" s="46" t="str">
        <f aca="false">IF($D101="Followup",'Survey Response'!$E99,"")</f>
        <v/>
      </c>
      <c r="AR101" s="46" t="str">
        <f aca="false">IF($D101="Followup",'Survey Response'!$G99,"")</f>
        <v/>
      </c>
      <c r="AS101" s="46" t="str">
        <f aca="false">IF($D101="Followup",'Survey Response'!$H99,"")</f>
        <v/>
      </c>
      <c r="AT101" s="46" t="str">
        <f aca="false">IF($D101="Followup",'Survey Response'!$M99,"")</f>
        <v/>
      </c>
      <c r="AU101" s="46" t="str">
        <f aca="false">IF($D101="Followup",'Survey Response'!$K99,"")</f>
        <v/>
      </c>
      <c r="AV101" s="46" t="str">
        <f aca="false">IF($D101="Followup",'Survey Response'!$L99,"")</f>
        <v/>
      </c>
      <c r="AW101" s="46" t="str">
        <f aca="false">IF($D101="Followup",IF(AND($P101&lt;&gt;"Yes",$U101&lt;&gt;"Yes"),"Not approved for primary or secondary skill","Approved, but skill(s) no longer have capacity (fully staffed)"),"")</f>
        <v/>
      </c>
    </row>
    <row r="102" customFormat="false" ht="15" hidden="false" customHeight="true" outlineLevel="0" collapsed="false">
      <c r="A102" s="46" t="str">
        <f aca="false">IF('Survey Response'!$D100="","",'Survey Response'!$A100&amp;"|"&amp;LOWER(TRIM('Survey Response'!$D100)))</f>
        <v/>
      </c>
      <c r="B102" s="46" t="str">
        <f aca="false">IF($H102="","",$F102&amp;"|"&amp;$H102)</f>
        <v/>
      </c>
      <c r="C102" s="46" t="str">
        <f aca="false">IF($H102="","",$A102=$B102)</f>
        <v/>
      </c>
      <c r="D102" s="46" t="str">
        <f aca="false">IF($H102="","",IF($E102&lt;&gt;"Yes","Superseded",IF($I102&lt;&gt;"Yes, I'm available for in-person interviews at Chennai","Not Available",IF($Z102&lt;&gt;"","Panel Details","Followup"))))</f>
        <v/>
      </c>
      <c r="E102" s="46" t="str">
        <f aca="false">IF($H102="","",IF(SUMPRODUCT(($H$4:$H$503=$H102)*(($G$4:$G$503&gt;$G102)+($G$4:$G$503=$G102)*($F$4:$F$503&gt;$F102)))=0,"Yes","No"))</f>
        <v/>
      </c>
      <c r="F102" s="47" t="str">
        <f aca="false">IF('Survey Response'!$D100="","",INT('Survey Response'!$A100))</f>
        <v/>
      </c>
      <c r="G102" s="46" t="str">
        <f aca="false">IF('Survey Response'!$D100="","",'Survey Response'!$C100)</f>
        <v/>
      </c>
      <c r="H102" s="46" t="str">
        <f aca="false">IF('Survey Response'!$D100="","",LOWER(TRIM('Survey Response'!$D100)))</f>
        <v/>
      </c>
      <c r="I102" s="46" t="str">
        <f aca="false">IF($H102="","",'Survey Response'!$I100)</f>
        <v/>
      </c>
      <c r="J102" s="46" t="str">
        <f aca="false">IF($H102="","",'Survey Response'!$K100)</f>
        <v/>
      </c>
      <c r="K102" s="46" t="str">
        <f aca="false">IF($J102="","",IF(COUNTIF('Skill Mapping'!$A$2:$A$7,TRIM($J102))=0,"",INDEX('Skill Mapping'!$B$2:$B$7,MATCH(TRIM($J102),'Skill Mapping'!$A$2:$A$7,0))))</f>
        <v/>
      </c>
      <c r="L102" s="46" t="str">
        <f aca="false">IF($H102="","",'Survey Response'!$L100)</f>
        <v/>
      </c>
      <c r="M102" s="46" t="str">
        <f aca="false">IF($L102="","",IF(COUNTIF('Skill Mapping'!$A$2:$A$7,TRIM($L102))=0,"",INDEX('Skill Mapping'!$B$2:$B$7,MATCH(TRIM($L102),'Skill Mapping'!$A$2:$A$7,0))))</f>
        <v/>
      </c>
      <c r="N102" s="46" t="str">
        <f aca="false">IF($H102="","",'Survey Response'!$M100)</f>
        <v/>
      </c>
      <c r="O102" s="46" t="str">
        <f aca="false">IF($H102="","",IF('Survey Response'!$M100="Manager","R2","R1"))</f>
        <v/>
      </c>
      <c r="P102" s="46" t="str">
        <f aca="false">IF($K102="","No",IF(COUNTIFS(MasterPanel!$B:$B,$H102,MasterPanel!$I:$I,$K102,MasterPanel!$K:$K,"Y")&gt;0,"Yes","No"))</f>
        <v>No</v>
      </c>
      <c r="Q102" s="46" t="n">
        <f aca="false">IF($K102="",0,IF(COUNTIF('Gap Sheet'!$A$6:$A$11,TRIM($J102))=0,0,IF($O102="R1",INDEX('Gap Sheet'!$C$6:$C$11,MATCH(TRIM($J102),'Gap Sheet'!$A$6:$A$11,0)),INDEX('Gap Sheet'!$G$6:$G$11,MATCH(TRIM($J102),'Gap Sheet'!$A$6:$A$11,0)))))</f>
        <v>0</v>
      </c>
      <c r="R102" s="46" t="str">
        <f aca="false">IF($K102="","",$K102&amp;"|"&amp;$O102)</f>
        <v/>
      </c>
      <c r="S102" s="46" t="n">
        <f aca="false">IF($R102="",0,COUNTIF($AA$4:$AA101,$R102))</f>
        <v>0</v>
      </c>
      <c r="T102" s="46" t="str">
        <f aca="false">IF(OR($I102&lt;&gt;"Yes, I'm available for in-person interviews at Chennai",$E102&lt;&gt;"Yes",$P102&lt;&gt;"Yes"),"No",IF(($Q102-$S102)&gt;0,"Yes","No"))</f>
        <v>No</v>
      </c>
      <c r="U102" s="46" t="str">
        <f aca="false">IF($M102="","No",IF(COUNTIFS(MasterPanel!$B:$B,$H102,MasterPanel!$I:$I,$M102,MasterPanel!$K:$K,"Y")&gt;0,"Yes","No"))</f>
        <v>No</v>
      </c>
      <c r="V102" s="46" t="n">
        <f aca="false">IF($M102="",0,IF(COUNTIF('Gap Sheet'!$A$6:$A$11,TRIM($L102))=0,0,IF($O102="R1",INDEX('Gap Sheet'!$C$6:$C$11,MATCH(TRIM($L102),'Gap Sheet'!$A$6:$A$11,0)),INDEX('Gap Sheet'!$G$6:$G$11,MATCH(TRIM($L102),'Gap Sheet'!$A$6:$A$11,0)))))</f>
        <v>0</v>
      </c>
      <c r="W102" s="46" t="str">
        <f aca="false">IF($M102="","",$M102&amp;"|"&amp;$O102)</f>
        <v/>
      </c>
      <c r="X102" s="46" t="n">
        <f aca="false">IF($W102="",0,COUNTIF($AA$4:$AA101,$W102))</f>
        <v>0</v>
      </c>
      <c r="Y102" s="46" t="str">
        <f aca="false">IF(OR($I102&lt;&gt;"Yes, I'm available for in-person interviews at Chennai",$E102&lt;&gt;"Yes",$T102="Yes",$U102&lt;&gt;"Yes"),"No",IF(($V102-$X102)&gt;0,"Yes","No"))</f>
        <v>No</v>
      </c>
      <c r="Z102" s="46" t="str">
        <f aca="false">IF($T102="Yes","Primary",IF($Y102="Yes","Secondary",""))</f>
        <v/>
      </c>
      <c r="AA102" s="46" t="str">
        <f aca="false">IF($Z102="Primary",$R102,IF($Z102="Secondary",$W102,""))</f>
        <v/>
      </c>
      <c r="AB102" s="46" t="str">
        <f aca="false">IF($Z102="Primary","Matched on primary skill",IF($Z102="Secondary","Matched on secondary skill (primary not approved or not required)",""))</f>
        <v/>
      </c>
      <c r="AC102" s="47" t="str">
        <f aca="false">IF($D102="Panel Details",$F102,"")</f>
        <v/>
      </c>
      <c r="AD102" s="46" t="str">
        <f aca="false">IF($D102="Panel Details",'Survey Response'!$D100,"")</f>
        <v/>
      </c>
      <c r="AE102" s="46" t="str">
        <f aca="false">IF($D102="Panel Details",'Survey Response'!$E100,"")</f>
        <v/>
      </c>
      <c r="AF102" s="46" t="str">
        <f aca="false">IF($D102="Panel Details",'Survey Response'!$G100,"")</f>
        <v/>
      </c>
      <c r="AG102" s="46" t="str">
        <f aca="false">IF($D102="Panel Details",IF($Z102="Primary",$J102,$L102),"")</f>
        <v/>
      </c>
      <c r="AH102" s="46" t="str">
        <f aca="false">IF($D102="Panel Details",IF($Z102="Primary",$L102,$J102),"")</f>
        <v/>
      </c>
      <c r="AI102" s="46" t="str">
        <f aca="false">IF($D102="Panel Details",'Survey Response'!$H100,"")</f>
        <v/>
      </c>
      <c r="AJ102" s="46" t="str">
        <f aca="false">IF($D102="Panel Details",'Survey Response'!$M100,"")</f>
        <v/>
      </c>
      <c r="AK102" s="46" t="str">
        <f aca="false">IF($D102="Panel Details",$O102,"")</f>
        <v/>
      </c>
      <c r="AL102" s="46" t="str">
        <f aca="false">IF($D102="Panel Details",8,"")</f>
        <v/>
      </c>
      <c r="AM102" s="46" t="str">
        <f aca="false">IF($D102="Panel Details",$AB102,"")</f>
        <v/>
      </c>
      <c r="AN102" s="46" t="str">
        <f aca="false">IF($D102="Panel Details","Yes","")</f>
        <v/>
      </c>
      <c r="AO102" s="46"/>
      <c r="AP102" s="46" t="str">
        <f aca="false">IF($D102="Followup",'Survey Response'!$D100,"")</f>
        <v/>
      </c>
      <c r="AQ102" s="46" t="str">
        <f aca="false">IF($D102="Followup",'Survey Response'!$E100,"")</f>
        <v/>
      </c>
      <c r="AR102" s="46" t="str">
        <f aca="false">IF($D102="Followup",'Survey Response'!$G100,"")</f>
        <v/>
      </c>
      <c r="AS102" s="46" t="str">
        <f aca="false">IF($D102="Followup",'Survey Response'!$H100,"")</f>
        <v/>
      </c>
      <c r="AT102" s="46" t="str">
        <f aca="false">IF($D102="Followup",'Survey Response'!$M100,"")</f>
        <v/>
      </c>
      <c r="AU102" s="46" t="str">
        <f aca="false">IF($D102="Followup",'Survey Response'!$K100,"")</f>
        <v/>
      </c>
      <c r="AV102" s="46" t="str">
        <f aca="false">IF($D102="Followup",'Survey Response'!$L100,"")</f>
        <v/>
      </c>
      <c r="AW102" s="46" t="str">
        <f aca="false">IF($D102="Followup",IF(AND($P102&lt;&gt;"Yes",$U102&lt;&gt;"Yes"),"Not approved for primary or secondary skill","Approved, but skill(s) no longer have capacity (fully staffed)"),"")</f>
        <v/>
      </c>
    </row>
    <row r="103" customFormat="false" ht="15" hidden="false" customHeight="true" outlineLevel="0" collapsed="false">
      <c r="A103" s="46" t="str">
        <f aca="false">IF('Survey Response'!$D101="","",'Survey Response'!$A101&amp;"|"&amp;LOWER(TRIM('Survey Response'!$D101)))</f>
        <v/>
      </c>
      <c r="B103" s="46" t="str">
        <f aca="false">IF($H103="","",$F103&amp;"|"&amp;$H103)</f>
        <v/>
      </c>
      <c r="C103" s="46" t="str">
        <f aca="false">IF($H103="","",$A103=$B103)</f>
        <v/>
      </c>
      <c r="D103" s="46" t="str">
        <f aca="false">IF($H103="","",IF($E103&lt;&gt;"Yes","Superseded",IF($I103&lt;&gt;"Yes, I'm available for in-person interviews at Chennai","Not Available",IF($Z103&lt;&gt;"","Panel Details","Followup"))))</f>
        <v/>
      </c>
      <c r="E103" s="46" t="str">
        <f aca="false">IF($H103="","",IF(SUMPRODUCT(($H$4:$H$503=$H103)*(($G$4:$G$503&gt;$G103)+($G$4:$G$503=$G103)*($F$4:$F$503&gt;$F103)))=0,"Yes","No"))</f>
        <v/>
      </c>
      <c r="F103" s="47" t="str">
        <f aca="false">IF('Survey Response'!$D101="","",INT('Survey Response'!$A101))</f>
        <v/>
      </c>
      <c r="G103" s="46" t="str">
        <f aca="false">IF('Survey Response'!$D101="","",'Survey Response'!$C101)</f>
        <v/>
      </c>
      <c r="H103" s="46" t="str">
        <f aca="false">IF('Survey Response'!$D101="","",LOWER(TRIM('Survey Response'!$D101)))</f>
        <v/>
      </c>
      <c r="I103" s="46" t="str">
        <f aca="false">IF($H103="","",'Survey Response'!$I101)</f>
        <v/>
      </c>
      <c r="J103" s="46" t="str">
        <f aca="false">IF($H103="","",'Survey Response'!$K101)</f>
        <v/>
      </c>
      <c r="K103" s="46" t="str">
        <f aca="false">IF($J103="","",IF(COUNTIF('Skill Mapping'!$A$2:$A$7,TRIM($J103))=0,"",INDEX('Skill Mapping'!$B$2:$B$7,MATCH(TRIM($J103),'Skill Mapping'!$A$2:$A$7,0))))</f>
        <v/>
      </c>
      <c r="L103" s="46" t="str">
        <f aca="false">IF($H103="","",'Survey Response'!$L101)</f>
        <v/>
      </c>
      <c r="M103" s="46" t="str">
        <f aca="false">IF($L103="","",IF(COUNTIF('Skill Mapping'!$A$2:$A$7,TRIM($L103))=0,"",INDEX('Skill Mapping'!$B$2:$B$7,MATCH(TRIM($L103),'Skill Mapping'!$A$2:$A$7,0))))</f>
        <v/>
      </c>
      <c r="N103" s="46" t="str">
        <f aca="false">IF($H103="","",'Survey Response'!$M101)</f>
        <v/>
      </c>
      <c r="O103" s="46" t="str">
        <f aca="false">IF($H103="","",IF('Survey Response'!$M101="Manager","R2","R1"))</f>
        <v/>
      </c>
      <c r="P103" s="46" t="str">
        <f aca="false">IF($K103="","No",IF(COUNTIFS(MasterPanel!$B:$B,$H103,MasterPanel!$I:$I,$K103,MasterPanel!$K:$K,"Y")&gt;0,"Yes","No"))</f>
        <v>No</v>
      </c>
      <c r="Q103" s="46" t="n">
        <f aca="false">IF($K103="",0,IF(COUNTIF('Gap Sheet'!$A$6:$A$11,TRIM($J103))=0,0,IF($O103="R1",INDEX('Gap Sheet'!$C$6:$C$11,MATCH(TRIM($J103),'Gap Sheet'!$A$6:$A$11,0)),INDEX('Gap Sheet'!$G$6:$G$11,MATCH(TRIM($J103),'Gap Sheet'!$A$6:$A$11,0)))))</f>
        <v>0</v>
      </c>
      <c r="R103" s="46" t="str">
        <f aca="false">IF($K103="","",$K103&amp;"|"&amp;$O103)</f>
        <v/>
      </c>
      <c r="S103" s="46" t="n">
        <f aca="false">IF($R103="",0,COUNTIF($AA$4:$AA102,$R103))</f>
        <v>0</v>
      </c>
      <c r="T103" s="46" t="str">
        <f aca="false">IF(OR($I103&lt;&gt;"Yes, I'm available for in-person interviews at Chennai",$E103&lt;&gt;"Yes",$P103&lt;&gt;"Yes"),"No",IF(($Q103-$S103)&gt;0,"Yes","No"))</f>
        <v>No</v>
      </c>
      <c r="U103" s="46" t="str">
        <f aca="false">IF($M103="","No",IF(COUNTIFS(MasterPanel!$B:$B,$H103,MasterPanel!$I:$I,$M103,MasterPanel!$K:$K,"Y")&gt;0,"Yes","No"))</f>
        <v>No</v>
      </c>
      <c r="V103" s="46" t="n">
        <f aca="false">IF($M103="",0,IF(COUNTIF('Gap Sheet'!$A$6:$A$11,TRIM($L103))=0,0,IF($O103="R1",INDEX('Gap Sheet'!$C$6:$C$11,MATCH(TRIM($L103),'Gap Sheet'!$A$6:$A$11,0)),INDEX('Gap Sheet'!$G$6:$G$11,MATCH(TRIM($L103),'Gap Sheet'!$A$6:$A$11,0)))))</f>
        <v>0</v>
      </c>
      <c r="W103" s="46" t="str">
        <f aca="false">IF($M103="","",$M103&amp;"|"&amp;$O103)</f>
        <v/>
      </c>
      <c r="X103" s="46" t="n">
        <f aca="false">IF($W103="",0,COUNTIF($AA$4:$AA102,$W103))</f>
        <v>0</v>
      </c>
      <c r="Y103" s="46" t="str">
        <f aca="false">IF(OR($I103&lt;&gt;"Yes, I'm available for in-person interviews at Chennai",$E103&lt;&gt;"Yes",$T103="Yes",$U103&lt;&gt;"Yes"),"No",IF(($V103-$X103)&gt;0,"Yes","No"))</f>
        <v>No</v>
      </c>
      <c r="Z103" s="46" t="str">
        <f aca="false">IF($T103="Yes","Primary",IF($Y103="Yes","Secondary",""))</f>
        <v/>
      </c>
      <c r="AA103" s="46" t="str">
        <f aca="false">IF($Z103="Primary",$R103,IF($Z103="Secondary",$W103,""))</f>
        <v/>
      </c>
      <c r="AB103" s="46" t="str">
        <f aca="false">IF($Z103="Primary","Matched on primary skill",IF($Z103="Secondary","Matched on secondary skill (primary not approved or not required)",""))</f>
        <v/>
      </c>
      <c r="AC103" s="47" t="str">
        <f aca="false">IF($D103="Panel Details",$F103,"")</f>
        <v/>
      </c>
      <c r="AD103" s="46" t="str">
        <f aca="false">IF($D103="Panel Details",'Survey Response'!$D101,"")</f>
        <v/>
      </c>
      <c r="AE103" s="46" t="str">
        <f aca="false">IF($D103="Panel Details",'Survey Response'!$E101,"")</f>
        <v/>
      </c>
      <c r="AF103" s="46" t="str">
        <f aca="false">IF($D103="Panel Details",'Survey Response'!$G101,"")</f>
        <v/>
      </c>
      <c r="AG103" s="46" t="str">
        <f aca="false">IF($D103="Panel Details",IF($Z103="Primary",$J103,$L103),"")</f>
        <v/>
      </c>
      <c r="AH103" s="46" t="str">
        <f aca="false">IF($D103="Panel Details",IF($Z103="Primary",$L103,$J103),"")</f>
        <v/>
      </c>
      <c r="AI103" s="46" t="str">
        <f aca="false">IF($D103="Panel Details",'Survey Response'!$H101,"")</f>
        <v/>
      </c>
      <c r="AJ103" s="46" t="str">
        <f aca="false">IF($D103="Panel Details",'Survey Response'!$M101,"")</f>
        <v/>
      </c>
      <c r="AK103" s="46" t="str">
        <f aca="false">IF($D103="Panel Details",$O103,"")</f>
        <v/>
      </c>
      <c r="AL103" s="46" t="str">
        <f aca="false">IF($D103="Panel Details",8,"")</f>
        <v/>
      </c>
      <c r="AM103" s="46" t="str">
        <f aca="false">IF($D103="Panel Details",$AB103,"")</f>
        <v/>
      </c>
      <c r="AN103" s="46" t="str">
        <f aca="false">IF($D103="Panel Details","Yes","")</f>
        <v/>
      </c>
      <c r="AO103" s="46"/>
      <c r="AP103" s="46" t="str">
        <f aca="false">IF($D103="Followup",'Survey Response'!$D101,"")</f>
        <v/>
      </c>
      <c r="AQ103" s="46" t="str">
        <f aca="false">IF($D103="Followup",'Survey Response'!$E101,"")</f>
        <v/>
      </c>
      <c r="AR103" s="46" t="str">
        <f aca="false">IF($D103="Followup",'Survey Response'!$G101,"")</f>
        <v/>
      </c>
      <c r="AS103" s="46" t="str">
        <f aca="false">IF($D103="Followup",'Survey Response'!$H101,"")</f>
        <v/>
      </c>
      <c r="AT103" s="46" t="str">
        <f aca="false">IF($D103="Followup",'Survey Response'!$M101,"")</f>
        <v/>
      </c>
      <c r="AU103" s="46" t="str">
        <f aca="false">IF($D103="Followup",'Survey Response'!$K101,"")</f>
        <v/>
      </c>
      <c r="AV103" s="46" t="str">
        <f aca="false">IF($D103="Followup",'Survey Response'!$L101,"")</f>
        <v/>
      </c>
      <c r="AW103" s="46" t="str">
        <f aca="false">IF($D103="Followup",IF(AND($P103&lt;&gt;"Yes",$U103&lt;&gt;"Yes"),"Not approved for primary or secondary skill","Approved, but skill(s) no longer have capacity (fully staffed)"),"")</f>
        <v/>
      </c>
    </row>
    <row r="104" customFormat="false" ht="15" hidden="false" customHeight="true" outlineLevel="0" collapsed="false">
      <c r="A104" s="46" t="str">
        <f aca="false">IF('Survey Response'!$D102="","",'Survey Response'!$A102&amp;"|"&amp;LOWER(TRIM('Survey Response'!$D102)))</f>
        <v/>
      </c>
      <c r="B104" s="46" t="str">
        <f aca="false">IF($H104="","",$F104&amp;"|"&amp;$H104)</f>
        <v/>
      </c>
      <c r="C104" s="46" t="str">
        <f aca="false">IF($H104="","",$A104=$B104)</f>
        <v/>
      </c>
      <c r="D104" s="46" t="str">
        <f aca="false">IF($H104="","",IF($E104&lt;&gt;"Yes","Superseded",IF($I104&lt;&gt;"Yes, I'm available for in-person interviews at Chennai","Not Available",IF($Z104&lt;&gt;"","Panel Details","Followup"))))</f>
        <v/>
      </c>
      <c r="E104" s="46" t="str">
        <f aca="false">IF($H104="","",IF(SUMPRODUCT(($H$4:$H$503=$H104)*(($G$4:$G$503&gt;$G104)+($G$4:$G$503=$G104)*($F$4:$F$503&gt;$F104)))=0,"Yes","No"))</f>
        <v/>
      </c>
      <c r="F104" s="47" t="str">
        <f aca="false">IF('Survey Response'!$D102="","",INT('Survey Response'!$A102))</f>
        <v/>
      </c>
      <c r="G104" s="46" t="str">
        <f aca="false">IF('Survey Response'!$D102="","",'Survey Response'!$C102)</f>
        <v/>
      </c>
      <c r="H104" s="46" t="str">
        <f aca="false">IF('Survey Response'!$D102="","",LOWER(TRIM('Survey Response'!$D102)))</f>
        <v/>
      </c>
      <c r="I104" s="46" t="str">
        <f aca="false">IF($H104="","",'Survey Response'!$I102)</f>
        <v/>
      </c>
      <c r="J104" s="46" t="str">
        <f aca="false">IF($H104="","",'Survey Response'!$K102)</f>
        <v/>
      </c>
      <c r="K104" s="46" t="str">
        <f aca="false">IF($J104="","",IF(COUNTIF('Skill Mapping'!$A$2:$A$7,TRIM($J104))=0,"",INDEX('Skill Mapping'!$B$2:$B$7,MATCH(TRIM($J104),'Skill Mapping'!$A$2:$A$7,0))))</f>
        <v/>
      </c>
      <c r="L104" s="46" t="str">
        <f aca="false">IF($H104="","",'Survey Response'!$L102)</f>
        <v/>
      </c>
      <c r="M104" s="46" t="str">
        <f aca="false">IF($L104="","",IF(COUNTIF('Skill Mapping'!$A$2:$A$7,TRIM($L104))=0,"",INDEX('Skill Mapping'!$B$2:$B$7,MATCH(TRIM($L104),'Skill Mapping'!$A$2:$A$7,0))))</f>
        <v/>
      </c>
      <c r="N104" s="46" t="str">
        <f aca="false">IF($H104="","",'Survey Response'!$M102)</f>
        <v/>
      </c>
      <c r="O104" s="46" t="str">
        <f aca="false">IF($H104="","",IF('Survey Response'!$M102="Manager","R2","R1"))</f>
        <v/>
      </c>
      <c r="P104" s="46" t="str">
        <f aca="false">IF($K104="","No",IF(COUNTIFS(MasterPanel!$B:$B,$H104,MasterPanel!$I:$I,$K104,MasterPanel!$K:$K,"Y")&gt;0,"Yes","No"))</f>
        <v>No</v>
      </c>
      <c r="Q104" s="46" t="n">
        <f aca="false">IF($K104="",0,IF(COUNTIF('Gap Sheet'!$A$6:$A$11,TRIM($J104))=0,0,IF($O104="R1",INDEX('Gap Sheet'!$C$6:$C$11,MATCH(TRIM($J104),'Gap Sheet'!$A$6:$A$11,0)),INDEX('Gap Sheet'!$G$6:$G$11,MATCH(TRIM($J104),'Gap Sheet'!$A$6:$A$11,0)))))</f>
        <v>0</v>
      </c>
      <c r="R104" s="46" t="str">
        <f aca="false">IF($K104="","",$K104&amp;"|"&amp;$O104)</f>
        <v/>
      </c>
      <c r="S104" s="46" t="n">
        <f aca="false">IF($R104="",0,COUNTIF($AA$4:$AA103,$R104))</f>
        <v>0</v>
      </c>
      <c r="T104" s="46" t="str">
        <f aca="false">IF(OR($I104&lt;&gt;"Yes, I'm available for in-person interviews at Chennai",$E104&lt;&gt;"Yes",$P104&lt;&gt;"Yes"),"No",IF(($Q104-$S104)&gt;0,"Yes","No"))</f>
        <v>No</v>
      </c>
      <c r="U104" s="46" t="str">
        <f aca="false">IF($M104="","No",IF(COUNTIFS(MasterPanel!$B:$B,$H104,MasterPanel!$I:$I,$M104,MasterPanel!$K:$K,"Y")&gt;0,"Yes","No"))</f>
        <v>No</v>
      </c>
      <c r="V104" s="46" t="n">
        <f aca="false">IF($M104="",0,IF(COUNTIF('Gap Sheet'!$A$6:$A$11,TRIM($L104))=0,0,IF($O104="R1",INDEX('Gap Sheet'!$C$6:$C$11,MATCH(TRIM($L104),'Gap Sheet'!$A$6:$A$11,0)),INDEX('Gap Sheet'!$G$6:$G$11,MATCH(TRIM($L104),'Gap Sheet'!$A$6:$A$11,0)))))</f>
        <v>0</v>
      </c>
      <c r="W104" s="46" t="str">
        <f aca="false">IF($M104="","",$M104&amp;"|"&amp;$O104)</f>
        <v/>
      </c>
      <c r="X104" s="46" t="n">
        <f aca="false">IF($W104="",0,COUNTIF($AA$4:$AA103,$W104))</f>
        <v>0</v>
      </c>
      <c r="Y104" s="46" t="str">
        <f aca="false">IF(OR($I104&lt;&gt;"Yes, I'm available for in-person interviews at Chennai",$E104&lt;&gt;"Yes",$T104="Yes",$U104&lt;&gt;"Yes"),"No",IF(($V104-$X104)&gt;0,"Yes","No"))</f>
        <v>No</v>
      </c>
      <c r="Z104" s="46" t="str">
        <f aca="false">IF($T104="Yes","Primary",IF($Y104="Yes","Secondary",""))</f>
        <v/>
      </c>
      <c r="AA104" s="46" t="str">
        <f aca="false">IF($Z104="Primary",$R104,IF($Z104="Secondary",$W104,""))</f>
        <v/>
      </c>
      <c r="AB104" s="46" t="str">
        <f aca="false">IF($Z104="Primary","Matched on primary skill",IF($Z104="Secondary","Matched on secondary skill (primary not approved or not required)",""))</f>
        <v/>
      </c>
      <c r="AC104" s="47" t="str">
        <f aca="false">IF($D104="Panel Details",$F104,"")</f>
        <v/>
      </c>
      <c r="AD104" s="46" t="str">
        <f aca="false">IF($D104="Panel Details",'Survey Response'!$D102,"")</f>
        <v/>
      </c>
      <c r="AE104" s="46" t="str">
        <f aca="false">IF($D104="Panel Details",'Survey Response'!$E102,"")</f>
        <v/>
      </c>
      <c r="AF104" s="46" t="str">
        <f aca="false">IF($D104="Panel Details",'Survey Response'!$G102,"")</f>
        <v/>
      </c>
      <c r="AG104" s="46" t="str">
        <f aca="false">IF($D104="Panel Details",IF($Z104="Primary",$J104,$L104),"")</f>
        <v/>
      </c>
      <c r="AH104" s="46" t="str">
        <f aca="false">IF($D104="Panel Details",IF($Z104="Primary",$L104,$J104),"")</f>
        <v/>
      </c>
      <c r="AI104" s="46" t="str">
        <f aca="false">IF($D104="Panel Details",'Survey Response'!$H102,"")</f>
        <v/>
      </c>
      <c r="AJ104" s="46" t="str">
        <f aca="false">IF($D104="Panel Details",'Survey Response'!$M102,"")</f>
        <v/>
      </c>
      <c r="AK104" s="46" t="str">
        <f aca="false">IF($D104="Panel Details",$O104,"")</f>
        <v/>
      </c>
      <c r="AL104" s="46" t="str">
        <f aca="false">IF($D104="Panel Details",8,"")</f>
        <v/>
      </c>
      <c r="AM104" s="46" t="str">
        <f aca="false">IF($D104="Panel Details",$AB104,"")</f>
        <v/>
      </c>
      <c r="AN104" s="46" t="str">
        <f aca="false">IF($D104="Panel Details","Yes","")</f>
        <v/>
      </c>
      <c r="AO104" s="46"/>
      <c r="AP104" s="46" t="str">
        <f aca="false">IF($D104="Followup",'Survey Response'!$D102,"")</f>
        <v/>
      </c>
      <c r="AQ104" s="46" t="str">
        <f aca="false">IF($D104="Followup",'Survey Response'!$E102,"")</f>
        <v/>
      </c>
      <c r="AR104" s="46" t="str">
        <f aca="false">IF($D104="Followup",'Survey Response'!$G102,"")</f>
        <v/>
      </c>
      <c r="AS104" s="46" t="str">
        <f aca="false">IF($D104="Followup",'Survey Response'!$H102,"")</f>
        <v/>
      </c>
      <c r="AT104" s="46" t="str">
        <f aca="false">IF($D104="Followup",'Survey Response'!$M102,"")</f>
        <v/>
      </c>
      <c r="AU104" s="46" t="str">
        <f aca="false">IF($D104="Followup",'Survey Response'!$K102,"")</f>
        <v/>
      </c>
      <c r="AV104" s="46" t="str">
        <f aca="false">IF($D104="Followup",'Survey Response'!$L102,"")</f>
        <v/>
      </c>
      <c r="AW104" s="46" t="str">
        <f aca="false">IF($D104="Followup",IF(AND($P104&lt;&gt;"Yes",$U104&lt;&gt;"Yes"),"Not approved for primary or secondary skill","Approved, but skill(s) no longer have capacity (fully staffed)"),"")</f>
        <v/>
      </c>
    </row>
    <row r="105" customFormat="false" ht="15" hidden="false" customHeight="true" outlineLevel="0" collapsed="false">
      <c r="A105" s="46" t="str">
        <f aca="false">IF('Survey Response'!$D103="","",'Survey Response'!$A103&amp;"|"&amp;LOWER(TRIM('Survey Response'!$D103)))</f>
        <v/>
      </c>
      <c r="B105" s="46" t="str">
        <f aca="false">IF($H105="","",$F105&amp;"|"&amp;$H105)</f>
        <v/>
      </c>
      <c r="C105" s="46" t="str">
        <f aca="false">IF($H105="","",$A105=$B105)</f>
        <v/>
      </c>
      <c r="D105" s="46" t="str">
        <f aca="false">IF($H105="","",IF($E105&lt;&gt;"Yes","Superseded",IF($I105&lt;&gt;"Yes, I'm available for in-person interviews at Chennai","Not Available",IF($Z105&lt;&gt;"","Panel Details","Followup"))))</f>
        <v/>
      </c>
      <c r="E105" s="46" t="str">
        <f aca="false">IF($H105="","",IF(SUMPRODUCT(($H$4:$H$503=$H105)*(($G$4:$G$503&gt;$G105)+($G$4:$G$503=$G105)*($F$4:$F$503&gt;$F105)))=0,"Yes","No"))</f>
        <v/>
      </c>
      <c r="F105" s="47" t="str">
        <f aca="false">IF('Survey Response'!$D103="","",INT('Survey Response'!$A103))</f>
        <v/>
      </c>
      <c r="G105" s="46" t="str">
        <f aca="false">IF('Survey Response'!$D103="","",'Survey Response'!$C103)</f>
        <v/>
      </c>
      <c r="H105" s="46" t="str">
        <f aca="false">IF('Survey Response'!$D103="","",LOWER(TRIM('Survey Response'!$D103)))</f>
        <v/>
      </c>
      <c r="I105" s="46" t="str">
        <f aca="false">IF($H105="","",'Survey Response'!$I103)</f>
        <v/>
      </c>
      <c r="J105" s="46" t="str">
        <f aca="false">IF($H105="","",'Survey Response'!$K103)</f>
        <v/>
      </c>
      <c r="K105" s="46" t="str">
        <f aca="false">IF($J105="","",IF(COUNTIF('Skill Mapping'!$A$2:$A$7,TRIM($J105))=0,"",INDEX('Skill Mapping'!$B$2:$B$7,MATCH(TRIM($J105),'Skill Mapping'!$A$2:$A$7,0))))</f>
        <v/>
      </c>
      <c r="L105" s="46" t="str">
        <f aca="false">IF($H105="","",'Survey Response'!$L103)</f>
        <v/>
      </c>
      <c r="M105" s="46" t="str">
        <f aca="false">IF($L105="","",IF(COUNTIF('Skill Mapping'!$A$2:$A$7,TRIM($L105))=0,"",INDEX('Skill Mapping'!$B$2:$B$7,MATCH(TRIM($L105),'Skill Mapping'!$A$2:$A$7,0))))</f>
        <v/>
      </c>
      <c r="N105" s="46" t="str">
        <f aca="false">IF($H105="","",'Survey Response'!$M103)</f>
        <v/>
      </c>
      <c r="O105" s="46" t="str">
        <f aca="false">IF($H105="","",IF('Survey Response'!$M103="Manager","R2","R1"))</f>
        <v/>
      </c>
      <c r="P105" s="46" t="str">
        <f aca="false">IF($K105="","No",IF(COUNTIFS(MasterPanel!$B:$B,$H105,MasterPanel!$I:$I,$K105,MasterPanel!$K:$K,"Y")&gt;0,"Yes","No"))</f>
        <v>No</v>
      </c>
      <c r="Q105" s="46" t="n">
        <f aca="false">IF($K105="",0,IF(COUNTIF('Gap Sheet'!$A$6:$A$11,TRIM($J105))=0,0,IF($O105="R1",INDEX('Gap Sheet'!$C$6:$C$11,MATCH(TRIM($J105),'Gap Sheet'!$A$6:$A$11,0)),INDEX('Gap Sheet'!$G$6:$G$11,MATCH(TRIM($J105),'Gap Sheet'!$A$6:$A$11,0)))))</f>
        <v>0</v>
      </c>
      <c r="R105" s="46" t="str">
        <f aca="false">IF($K105="","",$K105&amp;"|"&amp;$O105)</f>
        <v/>
      </c>
      <c r="S105" s="46" t="n">
        <f aca="false">IF($R105="",0,COUNTIF($AA$4:$AA104,$R105))</f>
        <v>0</v>
      </c>
      <c r="T105" s="46" t="str">
        <f aca="false">IF(OR($I105&lt;&gt;"Yes, I'm available for in-person interviews at Chennai",$E105&lt;&gt;"Yes",$P105&lt;&gt;"Yes"),"No",IF(($Q105-$S105)&gt;0,"Yes","No"))</f>
        <v>No</v>
      </c>
      <c r="U105" s="46" t="str">
        <f aca="false">IF($M105="","No",IF(COUNTIFS(MasterPanel!$B:$B,$H105,MasterPanel!$I:$I,$M105,MasterPanel!$K:$K,"Y")&gt;0,"Yes","No"))</f>
        <v>No</v>
      </c>
      <c r="V105" s="46" t="n">
        <f aca="false">IF($M105="",0,IF(COUNTIF('Gap Sheet'!$A$6:$A$11,TRIM($L105))=0,0,IF($O105="R1",INDEX('Gap Sheet'!$C$6:$C$11,MATCH(TRIM($L105),'Gap Sheet'!$A$6:$A$11,0)),INDEX('Gap Sheet'!$G$6:$G$11,MATCH(TRIM($L105),'Gap Sheet'!$A$6:$A$11,0)))))</f>
        <v>0</v>
      </c>
      <c r="W105" s="46" t="str">
        <f aca="false">IF($M105="","",$M105&amp;"|"&amp;$O105)</f>
        <v/>
      </c>
      <c r="X105" s="46" t="n">
        <f aca="false">IF($W105="",0,COUNTIF($AA$4:$AA104,$W105))</f>
        <v>0</v>
      </c>
      <c r="Y105" s="46" t="str">
        <f aca="false">IF(OR($I105&lt;&gt;"Yes, I'm available for in-person interviews at Chennai",$E105&lt;&gt;"Yes",$T105="Yes",$U105&lt;&gt;"Yes"),"No",IF(($V105-$X105)&gt;0,"Yes","No"))</f>
        <v>No</v>
      </c>
      <c r="Z105" s="46" t="str">
        <f aca="false">IF($T105="Yes","Primary",IF($Y105="Yes","Secondary",""))</f>
        <v/>
      </c>
      <c r="AA105" s="46" t="str">
        <f aca="false">IF($Z105="Primary",$R105,IF($Z105="Secondary",$W105,""))</f>
        <v/>
      </c>
      <c r="AB105" s="46" t="str">
        <f aca="false">IF($Z105="Primary","Matched on primary skill",IF($Z105="Secondary","Matched on secondary skill (primary not approved or not required)",""))</f>
        <v/>
      </c>
      <c r="AC105" s="47" t="str">
        <f aca="false">IF($D105="Panel Details",$F105,"")</f>
        <v/>
      </c>
      <c r="AD105" s="46" t="str">
        <f aca="false">IF($D105="Panel Details",'Survey Response'!$D103,"")</f>
        <v/>
      </c>
      <c r="AE105" s="46" t="str">
        <f aca="false">IF($D105="Panel Details",'Survey Response'!$E103,"")</f>
        <v/>
      </c>
      <c r="AF105" s="46" t="str">
        <f aca="false">IF($D105="Panel Details",'Survey Response'!$G103,"")</f>
        <v/>
      </c>
      <c r="AG105" s="46" t="str">
        <f aca="false">IF($D105="Panel Details",IF($Z105="Primary",$J105,$L105),"")</f>
        <v/>
      </c>
      <c r="AH105" s="46" t="str">
        <f aca="false">IF($D105="Panel Details",IF($Z105="Primary",$L105,$J105),"")</f>
        <v/>
      </c>
      <c r="AI105" s="46" t="str">
        <f aca="false">IF($D105="Panel Details",'Survey Response'!$H103,"")</f>
        <v/>
      </c>
      <c r="AJ105" s="46" t="str">
        <f aca="false">IF($D105="Panel Details",'Survey Response'!$M103,"")</f>
        <v/>
      </c>
      <c r="AK105" s="46" t="str">
        <f aca="false">IF($D105="Panel Details",$O105,"")</f>
        <v/>
      </c>
      <c r="AL105" s="46" t="str">
        <f aca="false">IF($D105="Panel Details",8,"")</f>
        <v/>
      </c>
      <c r="AM105" s="46" t="str">
        <f aca="false">IF($D105="Panel Details",$AB105,"")</f>
        <v/>
      </c>
      <c r="AN105" s="46" t="str">
        <f aca="false">IF($D105="Panel Details","Yes","")</f>
        <v/>
      </c>
      <c r="AO105" s="46"/>
      <c r="AP105" s="46" t="str">
        <f aca="false">IF($D105="Followup",'Survey Response'!$D103,"")</f>
        <v/>
      </c>
      <c r="AQ105" s="46" t="str">
        <f aca="false">IF($D105="Followup",'Survey Response'!$E103,"")</f>
        <v/>
      </c>
      <c r="AR105" s="46" t="str">
        <f aca="false">IF($D105="Followup",'Survey Response'!$G103,"")</f>
        <v/>
      </c>
      <c r="AS105" s="46" t="str">
        <f aca="false">IF($D105="Followup",'Survey Response'!$H103,"")</f>
        <v/>
      </c>
      <c r="AT105" s="46" t="str">
        <f aca="false">IF($D105="Followup",'Survey Response'!$M103,"")</f>
        <v/>
      </c>
      <c r="AU105" s="46" t="str">
        <f aca="false">IF($D105="Followup",'Survey Response'!$K103,"")</f>
        <v/>
      </c>
      <c r="AV105" s="46" t="str">
        <f aca="false">IF($D105="Followup",'Survey Response'!$L103,"")</f>
        <v/>
      </c>
      <c r="AW105" s="46" t="str">
        <f aca="false">IF($D105="Followup",IF(AND($P105&lt;&gt;"Yes",$U105&lt;&gt;"Yes"),"Not approved for primary or secondary skill","Approved, but skill(s) no longer have capacity (fully staffed)"),"")</f>
        <v/>
      </c>
    </row>
    <row r="106" customFormat="false" ht="15" hidden="false" customHeight="true" outlineLevel="0" collapsed="false">
      <c r="A106" s="46" t="str">
        <f aca="false">IF('Survey Response'!$D104="","",'Survey Response'!$A104&amp;"|"&amp;LOWER(TRIM('Survey Response'!$D104)))</f>
        <v/>
      </c>
      <c r="B106" s="46" t="str">
        <f aca="false">IF($H106="","",$F106&amp;"|"&amp;$H106)</f>
        <v/>
      </c>
      <c r="C106" s="46" t="str">
        <f aca="false">IF($H106="","",$A106=$B106)</f>
        <v/>
      </c>
      <c r="D106" s="46" t="str">
        <f aca="false">IF($H106="","",IF($E106&lt;&gt;"Yes","Superseded",IF($I106&lt;&gt;"Yes, I'm available for in-person interviews at Chennai","Not Available",IF($Z106&lt;&gt;"","Panel Details","Followup"))))</f>
        <v/>
      </c>
      <c r="E106" s="46" t="str">
        <f aca="false">IF($H106="","",IF(SUMPRODUCT(($H$4:$H$503=$H106)*(($G$4:$G$503&gt;$G106)+($G$4:$G$503=$G106)*($F$4:$F$503&gt;$F106)))=0,"Yes","No"))</f>
        <v/>
      </c>
      <c r="F106" s="47" t="str">
        <f aca="false">IF('Survey Response'!$D104="","",INT('Survey Response'!$A104))</f>
        <v/>
      </c>
      <c r="G106" s="46" t="str">
        <f aca="false">IF('Survey Response'!$D104="","",'Survey Response'!$C104)</f>
        <v/>
      </c>
      <c r="H106" s="46" t="str">
        <f aca="false">IF('Survey Response'!$D104="","",LOWER(TRIM('Survey Response'!$D104)))</f>
        <v/>
      </c>
      <c r="I106" s="46" t="str">
        <f aca="false">IF($H106="","",'Survey Response'!$I104)</f>
        <v/>
      </c>
      <c r="J106" s="46" t="str">
        <f aca="false">IF($H106="","",'Survey Response'!$K104)</f>
        <v/>
      </c>
      <c r="K106" s="46" t="str">
        <f aca="false">IF($J106="","",IF(COUNTIF('Skill Mapping'!$A$2:$A$7,TRIM($J106))=0,"",INDEX('Skill Mapping'!$B$2:$B$7,MATCH(TRIM($J106),'Skill Mapping'!$A$2:$A$7,0))))</f>
        <v/>
      </c>
      <c r="L106" s="46" t="str">
        <f aca="false">IF($H106="","",'Survey Response'!$L104)</f>
        <v/>
      </c>
      <c r="M106" s="46" t="str">
        <f aca="false">IF($L106="","",IF(COUNTIF('Skill Mapping'!$A$2:$A$7,TRIM($L106))=0,"",INDEX('Skill Mapping'!$B$2:$B$7,MATCH(TRIM($L106),'Skill Mapping'!$A$2:$A$7,0))))</f>
        <v/>
      </c>
      <c r="N106" s="46" t="str">
        <f aca="false">IF($H106="","",'Survey Response'!$M104)</f>
        <v/>
      </c>
      <c r="O106" s="46" t="str">
        <f aca="false">IF($H106="","",IF('Survey Response'!$M104="Manager","R2","R1"))</f>
        <v/>
      </c>
      <c r="P106" s="46" t="str">
        <f aca="false">IF($K106="","No",IF(COUNTIFS(MasterPanel!$B:$B,$H106,MasterPanel!$I:$I,$K106,MasterPanel!$K:$K,"Y")&gt;0,"Yes","No"))</f>
        <v>No</v>
      </c>
      <c r="Q106" s="46" t="n">
        <f aca="false">IF($K106="",0,IF(COUNTIF('Gap Sheet'!$A$6:$A$11,TRIM($J106))=0,0,IF($O106="R1",INDEX('Gap Sheet'!$C$6:$C$11,MATCH(TRIM($J106),'Gap Sheet'!$A$6:$A$11,0)),INDEX('Gap Sheet'!$G$6:$G$11,MATCH(TRIM($J106),'Gap Sheet'!$A$6:$A$11,0)))))</f>
        <v>0</v>
      </c>
      <c r="R106" s="46" t="str">
        <f aca="false">IF($K106="","",$K106&amp;"|"&amp;$O106)</f>
        <v/>
      </c>
      <c r="S106" s="46" t="n">
        <f aca="false">IF($R106="",0,COUNTIF($AA$4:$AA105,$R106))</f>
        <v>0</v>
      </c>
      <c r="T106" s="46" t="str">
        <f aca="false">IF(OR($I106&lt;&gt;"Yes, I'm available for in-person interviews at Chennai",$E106&lt;&gt;"Yes",$P106&lt;&gt;"Yes"),"No",IF(($Q106-$S106)&gt;0,"Yes","No"))</f>
        <v>No</v>
      </c>
      <c r="U106" s="46" t="str">
        <f aca="false">IF($M106="","No",IF(COUNTIFS(MasterPanel!$B:$B,$H106,MasterPanel!$I:$I,$M106,MasterPanel!$K:$K,"Y")&gt;0,"Yes","No"))</f>
        <v>No</v>
      </c>
      <c r="V106" s="46" t="n">
        <f aca="false">IF($M106="",0,IF(COUNTIF('Gap Sheet'!$A$6:$A$11,TRIM($L106))=0,0,IF($O106="R1",INDEX('Gap Sheet'!$C$6:$C$11,MATCH(TRIM($L106),'Gap Sheet'!$A$6:$A$11,0)),INDEX('Gap Sheet'!$G$6:$G$11,MATCH(TRIM($L106),'Gap Sheet'!$A$6:$A$11,0)))))</f>
        <v>0</v>
      </c>
      <c r="W106" s="46" t="str">
        <f aca="false">IF($M106="","",$M106&amp;"|"&amp;$O106)</f>
        <v/>
      </c>
      <c r="X106" s="46" t="n">
        <f aca="false">IF($W106="",0,COUNTIF($AA$4:$AA105,$W106))</f>
        <v>0</v>
      </c>
      <c r="Y106" s="46" t="str">
        <f aca="false">IF(OR($I106&lt;&gt;"Yes, I'm available for in-person interviews at Chennai",$E106&lt;&gt;"Yes",$T106="Yes",$U106&lt;&gt;"Yes"),"No",IF(($V106-$X106)&gt;0,"Yes","No"))</f>
        <v>No</v>
      </c>
      <c r="Z106" s="46" t="str">
        <f aca="false">IF($T106="Yes","Primary",IF($Y106="Yes","Secondary",""))</f>
        <v/>
      </c>
      <c r="AA106" s="46" t="str">
        <f aca="false">IF($Z106="Primary",$R106,IF($Z106="Secondary",$W106,""))</f>
        <v/>
      </c>
      <c r="AB106" s="46" t="str">
        <f aca="false">IF($Z106="Primary","Matched on primary skill",IF($Z106="Secondary","Matched on secondary skill (primary not approved or not required)",""))</f>
        <v/>
      </c>
      <c r="AC106" s="47" t="str">
        <f aca="false">IF($D106="Panel Details",$F106,"")</f>
        <v/>
      </c>
      <c r="AD106" s="46" t="str">
        <f aca="false">IF($D106="Panel Details",'Survey Response'!$D104,"")</f>
        <v/>
      </c>
      <c r="AE106" s="46" t="str">
        <f aca="false">IF($D106="Panel Details",'Survey Response'!$E104,"")</f>
        <v/>
      </c>
      <c r="AF106" s="46" t="str">
        <f aca="false">IF($D106="Panel Details",'Survey Response'!$G104,"")</f>
        <v/>
      </c>
      <c r="AG106" s="46" t="str">
        <f aca="false">IF($D106="Panel Details",IF($Z106="Primary",$J106,$L106),"")</f>
        <v/>
      </c>
      <c r="AH106" s="46" t="str">
        <f aca="false">IF($D106="Panel Details",IF($Z106="Primary",$L106,$J106),"")</f>
        <v/>
      </c>
      <c r="AI106" s="46" t="str">
        <f aca="false">IF($D106="Panel Details",'Survey Response'!$H104,"")</f>
        <v/>
      </c>
      <c r="AJ106" s="46" t="str">
        <f aca="false">IF($D106="Panel Details",'Survey Response'!$M104,"")</f>
        <v/>
      </c>
      <c r="AK106" s="46" t="str">
        <f aca="false">IF($D106="Panel Details",$O106,"")</f>
        <v/>
      </c>
      <c r="AL106" s="46" t="str">
        <f aca="false">IF($D106="Panel Details",8,"")</f>
        <v/>
      </c>
      <c r="AM106" s="46" t="str">
        <f aca="false">IF($D106="Panel Details",$AB106,"")</f>
        <v/>
      </c>
      <c r="AN106" s="46" t="str">
        <f aca="false">IF($D106="Panel Details","Yes","")</f>
        <v/>
      </c>
      <c r="AO106" s="46"/>
      <c r="AP106" s="46" t="str">
        <f aca="false">IF($D106="Followup",'Survey Response'!$D104,"")</f>
        <v/>
      </c>
      <c r="AQ106" s="46" t="str">
        <f aca="false">IF($D106="Followup",'Survey Response'!$E104,"")</f>
        <v/>
      </c>
      <c r="AR106" s="46" t="str">
        <f aca="false">IF($D106="Followup",'Survey Response'!$G104,"")</f>
        <v/>
      </c>
      <c r="AS106" s="46" t="str">
        <f aca="false">IF($D106="Followup",'Survey Response'!$H104,"")</f>
        <v/>
      </c>
      <c r="AT106" s="46" t="str">
        <f aca="false">IF($D106="Followup",'Survey Response'!$M104,"")</f>
        <v/>
      </c>
      <c r="AU106" s="46" t="str">
        <f aca="false">IF($D106="Followup",'Survey Response'!$K104,"")</f>
        <v/>
      </c>
      <c r="AV106" s="46" t="str">
        <f aca="false">IF($D106="Followup",'Survey Response'!$L104,"")</f>
        <v/>
      </c>
      <c r="AW106" s="46" t="str">
        <f aca="false">IF($D106="Followup",IF(AND($P106&lt;&gt;"Yes",$U106&lt;&gt;"Yes"),"Not approved for primary or secondary skill","Approved, but skill(s) no longer have capacity (fully staffed)"),"")</f>
        <v/>
      </c>
    </row>
    <row r="107" customFormat="false" ht="15" hidden="false" customHeight="true" outlineLevel="0" collapsed="false">
      <c r="A107" s="46" t="str">
        <f aca="false">IF('Survey Response'!$D105="","",'Survey Response'!$A105&amp;"|"&amp;LOWER(TRIM('Survey Response'!$D105)))</f>
        <v/>
      </c>
      <c r="B107" s="46" t="str">
        <f aca="false">IF($H107="","",$F107&amp;"|"&amp;$H107)</f>
        <v/>
      </c>
      <c r="C107" s="46" t="str">
        <f aca="false">IF($H107="","",$A107=$B107)</f>
        <v/>
      </c>
      <c r="D107" s="46" t="str">
        <f aca="false">IF($H107="","",IF($E107&lt;&gt;"Yes","Superseded",IF($I107&lt;&gt;"Yes, I'm available for in-person interviews at Chennai","Not Available",IF($Z107&lt;&gt;"","Panel Details","Followup"))))</f>
        <v/>
      </c>
      <c r="E107" s="46" t="str">
        <f aca="false">IF($H107="","",IF(SUMPRODUCT(($H$4:$H$503=$H107)*(($G$4:$G$503&gt;$G107)+($G$4:$G$503=$G107)*($F$4:$F$503&gt;$F107)))=0,"Yes","No"))</f>
        <v/>
      </c>
      <c r="F107" s="47" t="str">
        <f aca="false">IF('Survey Response'!$D105="","",INT('Survey Response'!$A105))</f>
        <v/>
      </c>
      <c r="G107" s="46" t="str">
        <f aca="false">IF('Survey Response'!$D105="","",'Survey Response'!$C105)</f>
        <v/>
      </c>
      <c r="H107" s="46" t="str">
        <f aca="false">IF('Survey Response'!$D105="","",LOWER(TRIM('Survey Response'!$D105)))</f>
        <v/>
      </c>
      <c r="I107" s="46" t="str">
        <f aca="false">IF($H107="","",'Survey Response'!$I105)</f>
        <v/>
      </c>
      <c r="J107" s="46" t="str">
        <f aca="false">IF($H107="","",'Survey Response'!$K105)</f>
        <v/>
      </c>
      <c r="K107" s="46" t="str">
        <f aca="false">IF($J107="","",IF(COUNTIF('Skill Mapping'!$A$2:$A$7,TRIM($J107))=0,"",INDEX('Skill Mapping'!$B$2:$B$7,MATCH(TRIM($J107),'Skill Mapping'!$A$2:$A$7,0))))</f>
        <v/>
      </c>
      <c r="L107" s="46" t="str">
        <f aca="false">IF($H107="","",'Survey Response'!$L105)</f>
        <v/>
      </c>
      <c r="M107" s="46" t="str">
        <f aca="false">IF($L107="","",IF(COUNTIF('Skill Mapping'!$A$2:$A$7,TRIM($L107))=0,"",INDEX('Skill Mapping'!$B$2:$B$7,MATCH(TRIM($L107),'Skill Mapping'!$A$2:$A$7,0))))</f>
        <v/>
      </c>
      <c r="N107" s="46" t="str">
        <f aca="false">IF($H107="","",'Survey Response'!$M105)</f>
        <v/>
      </c>
      <c r="O107" s="46" t="str">
        <f aca="false">IF($H107="","",IF('Survey Response'!$M105="Manager","R2","R1"))</f>
        <v/>
      </c>
      <c r="P107" s="46" t="str">
        <f aca="false">IF($K107="","No",IF(COUNTIFS(MasterPanel!$B:$B,$H107,MasterPanel!$I:$I,$K107,MasterPanel!$K:$K,"Y")&gt;0,"Yes","No"))</f>
        <v>No</v>
      </c>
      <c r="Q107" s="46" t="n">
        <f aca="false">IF($K107="",0,IF(COUNTIF('Gap Sheet'!$A$6:$A$11,TRIM($J107))=0,0,IF($O107="R1",INDEX('Gap Sheet'!$C$6:$C$11,MATCH(TRIM($J107),'Gap Sheet'!$A$6:$A$11,0)),INDEX('Gap Sheet'!$G$6:$G$11,MATCH(TRIM($J107),'Gap Sheet'!$A$6:$A$11,0)))))</f>
        <v>0</v>
      </c>
      <c r="R107" s="46" t="str">
        <f aca="false">IF($K107="","",$K107&amp;"|"&amp;$O107)</f>
        <v/>
      </c>
      <c r="S107" s="46" t="n">
        <f aca="false">IF($R107="",0,COUNTIF($AA$4:$AA106,$R107))</f>
        <v>0</v>
      </c>
      <c r="T107" s="46" t="str">
        <f aca="false">IF(OR($I107&lt;&gt;"Yes, I'm available for in-person interviews at Chennai",$E107&lt;&gt;"Yes",$P107&lt;&gt;"Yes"),"No",IF(($Q107-$S107)&gt;0,"Yes","No"))</f>
        <v>No</v>
      </c>
      <c r="U107" s="46" t="str">
        <f aca="false">IF($M107="","No",IF(COUNTIFS(MasterPanel!$B:$B,$H107,MasterPanel!$I:$I,$M107,MasterPanel!$K:$K,"Y")&gt;0,"Yes","No"))</f>
        <v>No</v>
      </c>
      <c r="V107" s="46" t="n">
        <f aca="false">IF($M107="",0,IF(COUNTIF('Gap Sheet'!$A$6:$A$11,TRIM($L107))=0,0,IF($O107="R1",INDEX('Gap Sheet'!$C$6:$C$11,MATCH(TRIM($L107),'Gap Sheet'!$A$6:$A$11,0)),INDEX('Gap Sheet'!$G$6:$G$11,MATCH(TRIM($L107),'Gap Sheet'!$A$6:$A$11,0)))))</f>
        <v>0</v>
      </c>
      <c r="W107" s="46" t="str">
        <f aca="false">IF($M107="","",$M107&amp;"|"&amp;$O107)</f>
        <v/>
      </c>
      <c r="X107" s="46" t="n">
        <f aca="false">IF($W107="",0,COUNTIF($AA$4:$AA106,$W107))</f>
        <v>0</v>
      </c>
      <c r="Y107" s="46" t="str">
        <f aca="false">IF(OR($I107&lt;&gt;"Yes, I'm available for in-person interviews at Chennai",$E107&lt;&gt;"Yes",$T107="Yes",$U107&lt;&gt;"Yes"),"No",IF(($V107-$X107)&gt;0,"Yes","No"))</f>
        <v>No</v>
      </c>
      <c r="Z107" s="46" t="str">
        <f aca="false">IF($T107="Yes","Primary",IF($Y107="Yes","Secondary",""))</f>
        <v/>
      </c>
      <c r="AA107" s="46" t="str">
        <f aca="false">IF($Z107="Primary",$R107,IF($Z107="Secondary",$W107,""))</f>
        <v/>
      </c>
      <c r="AB107" s="46" t="str">
        <f aca="false">IF($Z107="Primary","Matched on primary skill",IF($Z107="Secondary","Matched on secondary skill (primary not approved or not required)",""))</f>
        <v/>
      </c>
      <c r="AC107" s="47" t="str">
        <f aca="false">IF($D107="Panel Details",$F107,"")</f>
        <v/>
      </c>
      <c r="AD107" s="46" t="str">
        <f aca="false">IF($D107="Panel Details",'Survey Response'!$D105,"")</f>
        <v/>
      </c>
      <c r="AE107" s="46" t="str">
        <f aca="false">IF($D107="Panel Details",'Survey Response'!$E105,"")</f>
        <v/>
      </c>
      <c r="AF107" s="46" t="str">
        <f aca="false">IF($D107="Panel Details",'Survey Response'!$G105,"")</f>
        <v/>
      </c>
      <c r="AG107" s="46" t="str">
        <f aca="false">IF($D107="Panel Details",IF($Z107="Primary",$J107,$L107),"")</f>
        <v/>
      </c>
      <c r="AH107" s="46" t="str">
        <f aca="false">IF($D107="Panel Details",IF($Z107="Primary",$L107,$J107),"")</f>
        <v/>
      </c>
      <c r="AI107" s="46" t="str">
        <f aca="false">IF($D107="Panel Details",'Survey Response'!$H105,"")</f>
        <v/>
      </c>
      <c r="AJ107" s="46" t="str">
        <f aca="false">IF($D107="Panel Details",'Survey Response'!$M105,"")</f>
        <v/>
      </c>
      <c r="AK107" s="46" t="str">
        <f aca="false">IF($D107="Panel Details",$O107,"")</f>
        <v/>
      </c>
      <c r="AL107" s="46" t="str">
        <f aca="false">IF($D107="Panel Details",8,"")</f>
        <v/>
      </c>
      <c r="AM107" s="46" t="str">
        <f aca="false">IF($D107="Panel Details",$AB107,"")</f>
        <v/>
      </c>
      <c r="AN107" s="46" t="str">
        <f aca="false">IF($D107="Panel Details","Yes","")</f>
        <v/>
      </c>
      <c r="AO107" s="46"/>
      <c r="AP107" s="46" t="str">
        <f aca="false">IF($D107="Followup",'Survey Response'!$D105,"")</f>
        <v/>
      </c>
      <c r="AQ107" s="46" t="str">
        <f aca="false">IF($D107="Followup",'Survey Response'!$E105,"")</f>
        <v/>
      </c>
      <c r="AR107" s="46" t="str">
        <f aca="false">IF($D107="Followup",'Survey Response'!$G105,"")</f>
        <v/>
      </c>
      <c r="AS107" s="46" t="str">
        <f aca="false">IF($D107="Followup",'Survey Response'!$H105,"")</f>
        <v/>
      </c>
      <c r="AT107" s="46" t="str">
        <f aca="false">IF($D107="Followup",'Survey Response'!$M105,"")</f>
        <v/>
      </c>
      <c r="AU107" s="46" t="str">
        <f aca="false">IF($D107="Followup",'Survey Response'!$K105,"")</f>
        <v/>
      </c>
      <c r="AV107" s="46" t="str">
        <f aca="false">IF($D107="Followup",'Survey Response'!$L105,"")</f>
        <v/>
      </c>
      <c r="AW107" s="46" t="str">
        <f aca="false">IF($D107="Followup",IF(AND($P107&lt;&gt;"Yes",$U107&lt;&gt;"Yes"),"Not approved for primary or secondary skill","Approved, but skill(s) no longer have capacity (fully staffed)"),"")</f>
        <v/>
      </c>
    </row>
    <row r="108" customFormat="false" ht="15" hidden="false" customHeight="true" outlineLevel="0" collapsed="false">
      <c r="A108" s="46" t="str">
        <f aca="false">IF('Survey Response'!$D106="","",'Survey Response'!$A106&amp;"|"&amp;LOWER(TRIM('Survey Response'!$D106)))</f>
        <v/>
      </c>
      <c r="B108" s="46" t="str">
        <f aca="false">IF($H108="","",$F108&amp;"|"&amp;$H108)</f>
        <v/>
      </c>
      <c r="C108" s="46" t="str">
        <f aca="false">IF($H108="","",$A108=$B108)</f>
        <v/>
      </c>
      <c r="D108" s="46" t="str">
        <f aca="false">IF($H108="","",IF($E108&lt;&gt;"Yes","Superseded",IF($I108&lt;&gt;"Yes, I'm available for in-person interviews at Chennai","Not Available",IF($Z108&lt;&gt;"","Panel Details","Followup"))))</f>
        <v/>
      </c>
      <c r="E108" s="46" t="str">
        <f aca="false">IF($H108="","",IF(SUMPRODUCT(($H$4:$H$503=$H108)*(($G$4:$G$503&gt;$G108)+($G$4:$G$503=$G108)*($F$4:$F$503&gt;$F108)))=0,"Yes","No"))</f>
        <v/>
      </c>
      <c r="F108" s="47" t="str">
        <f aca="false">IF('Survey Response'!$D106="","",INT('Survey Response'!$A106))</f>
        <v/>
      </c>
      <c r="G108" s="46" t="str">
        <f aca="false">IF('Survey Response'!$D106="","",'Survey Response'!$C106)</f>
        <v/>
      </c>
      <c r="H108" s="46" t="str">
        <f aca="false">IF('Survey Response'!$D106="","",LOWER(TRIM('Survey Response'!$D106)))</f>
        <v/>
      </c>
      <c r="I108" s="46" t="str">
        <f aca="false">IF($H108="","",'Survey Response'!$I106)</f>
        <v/>
      </c>
      <c r="J108" s="46" t="str">
        <f aca="false">IF($H108="","",'Survey Response'!$K106)</f>
        <v/>
      </c>
      <c r="K108" s="46" t="str">
        <f aca="false">IF($J108="","",IF(COUNTIF('Skill Mapping'!$A$2:$A$7,TRIM($J108))=0,"",INDEX('Skill Mapping'!$B$2:$B$7,MATCH(TRIM($J108),'Skill Mapping'!$A$2:$A$7,0))))</f>
        <v/>
      </c>
      <c r="L108" s="46" t="str">
        <f aca="false">IF($H108="","",'Survey Response'!$L106)</f>
        <v/>
      </c>
      <c r="M108" s="46" t="str">
        <f aca="false">IF($L108="","",IF(COUNTIF('Skill Mapping'!$A$2:$A$7,TRIM($L108))=0,"",INDEX('Skill Mapping'!$B$2:$B$7,MATCH(TRIM($L108),'Skill Mapping'!$A$2:$A$7,0))))</f>
        <v/>
      </c>
      <c r="N108" s="46" t="str">
        <f aca="false">IF($H108="","",'Survey Response'!$M106)</f>
        <v/>
      </c>
      <c r="O108" s="46" t="str">
        <f aca="false">IF($H108="","",IF('Survey Response'!$M106="Manager","R2","R1"))</f>
        <v/>
      </c>
      <c r="P108" s="46" t="str">
        <f aca="false">IF($K108="","No",IF(COUNTIFS(MasterPanel!$B:$B,$H108,MasterPanel!$I:$I,$K108,MasterPanel!$K:$K,"Y")&gt;0,"Yes","No"))</f>
        <v>No</v>
      </c>
      <c r="Q108" s="46" t="n">
        <f aca="false">IF($K108="",0,IF(COUNTIF('Gap Sheet'!$A$6:$A$11,TRIM($J108))=0,0,IF($O108="R1",INDEX('Gap Sheet'!$C$6:$C$11,MATCH(TRIM($J108),'Gap Sheet'!$A$6:$A$11,0)),INDEX('Gap Sheet'!$G$6:$G$11,MATCH(TRIM($J108),'Gap Sheet'!$A$6:$A$11,0)))))</f>
        <v>0</v>
      </c>
      <c r="R108" s="46" t="str">
        <f aca="false">IF($K108="","",$K108&amp;"|"&amp;$O108)</f>
        <v/>
      </c>
      <c r="S108" s="46" t="n">
        <f aca="false">IF($R108="",0,COUNTIF($AA$4:$AA107,$R108))</f>
        <v>0</v>
      </c>
      <c r="T108" s="46" t="str">
        <f aca="false">IF(OR($I108&lt;&gt;"Yes, I'm available for in-person interviews at Chennai",$E108&lt;&gt;"Yes",$P108&lt;&gt;"Yes"),"No",IF(($Q108-$S108)&gt;0,"Yes","No"))</f>
        <v>No</v>
      </c>
      <c r="U108" s="46" t="str">
        <f aca="false">IF($M108="","No",IF(COUNTIFS(MasterPanel!$B:$B,$H108,MasterPanel!$I:$I,$M108,MasterPanel!$K:$K,"Y")&gt;0,"Yes","No"))</f>
        <v>No</v>
      </c>
      <c r="V108" s="46" t="n">
        <f aca="false">IF($M108="",0,IF(COUNTIF('Gap Sheet'!$A$6:$A$11,TRIM($L108))=0,0,IF($O108="R1",INDEX('Gap Sheet'!$C$6:$C$11,MATCH(TRIM($L108),'Gap Sheet'!$A$6:$A$11,0)),INDEX('Gap Sheet'!$G$6:$G$11,MATCH(TRIM($L108),'Gap Sheet'!$A$6:$A$11,0)))))</f>
        <v>0</v>
      </c>
      <c r="W108" s="46" t="str">
        <f aca="false">IF($M108="","",$M108&amp;"|"&amp;$O108)</f>
        <v/>
      </c>
      <c r="X108" s="46" t="n">
        <f aca="false">IF($W108="",0,COUNTIF($AA$4:$AA107,$W108))</f>
        <v>0</v>
      </c>
      <c r="Y108" s="46" t="str">
        <f aca="false">IF(OR($I108&lt;&gt;"Yes, I'm available for in-person interviews at Chennai",$E108&lt;&gt;"Yes",$T108="Yes",$U108&lt;&gt;"Yes"),"No",IF(($V108-$X108)&gt;0,"Yes","No"))</f>
        <v>No</v>
      </c>
      <c r="Z108" s="46" t="str">
        <f aca="false">IF($T108="Yes","Primary",IF($Y108="Yes","Secondary",""))</f>
        <v/>
      </c>
      <c r="AA108" s="46" t="str">
        <f aca="false">IF($Z108="Primary",$R108,IF($Z108="Secondary",$W108,""))</f>
        <v/>
      </c>
      <c r="AB108" s="46" t="str">
        <f aca="false">IF($Z108="Primary","Matched on primary skill",IF($Z108="Secondary","Matched on secondary skill (primary not approved or not required)",""))</f>
        <v/>
      </c>
      <c r="AC108" s="47" t="str">
        <f aca="false">IF($D108="Panel Details",$F108,"")</f>
        <v/>
      </c>
      <c r="AD108" s="46" t="str">
        <f aca="false">IF($D108="Panel Details",'Survey Response'!$D106,"")</f>
        <v/>
      </c>
      <c r="AE108" s="46" t="str">
        <f aca="false">IF($D108="Panel Details",'Survey Response'!$E106,"")</f>
        <v/>
      </c>
      <c r="AF108" s="46" t="str">
        <f aca="false">IF($D108="Panel Details",'Survey Response'!$G106,"")</f>
        <v/>
      </c>
      <c r="AG108" s="46" t="str">
        <f aca="false">IF($D108="Panel Details",IF($Z108="Primary",$J108,$L108),"")</f>
        <v/>
      </c>
      <c r="AH108" s="46" t="str">
        <f aca="false">IF($D108="Panel Details",IF($Z108="Primary",$L108,$J108),"")</f>
        <v/>
      </c>
      <c r="AI108" s="46" t="str">
        <f aca="false">IF($D108="Panel Details",'Survey Response'!$H106,"")</f>
        <v/>
      </c>
      <c r="AJ108" s="46" t="str">
        <f aca="false">IF($D108="Panel Details",'Survey Response'!$M106,"")</f>
        <v/>
      </c>
      <c r="AK108" s="46" t="str">
        <f aca="false">IF($D108="Panel Details",$O108,"")</f>
        <v/>
      </c>
      <c r="AL108" s="46" t="str">
        <f aca="false">IF($D108="Panel Details",8,"")</f>
        <v/>
      </c>
      <c r="AM108" s="46" t="str">
        <f aca="false">IF($D108="Panel Details",$AB108,"")</f>
        <v/>
      </c>
      <c r="AN108" s="46" t="str">
        <f aca="false">IF($D108="Panel Details","Yes","")</f>
        <v/>
      </c>
      <c r="AO108" s="46"/>
      <c r="AP108" s="46" t="str">
        <f aca="false">IF($D108="Followup",'Survey Response'!$D106,"")</f>
        <v/>
      </c>
      <c r="AQ108" s="46" t="str">
        <f aca="false">IF($D108="Followup",'Survey Response'!$E106,"")</f>
        <v/>
      </c>
      <c r="AR108" s="46" t="str">
        <f aca="false">IF($D108="Followup",'Survey Response'!$G106,"")</f>
        <v/>
      </c>
      <c r="AS108" s="46" t="str">
        <f aca="false">IF($D108="Followup",'Survey Response'!$H106,"")</f>
        <v/>
      </c>
      <c r="AT108" s="46" t="str">
        <f aca="false">IF($D108="Followup",'Survey Response'!$M106,"")</f>
        <v/>
      </c>
      <c r="AU108" s="46" t="str">
        <f aca="false">IF($D108="Followup",'Survey Response'!$K106,"")</f>
        <v/>
      </c>
      <c r="AV108" s="46" t="str">
        <f aca="false">IF($D108="Followup",'Survey Response'!$L106,"")</f>
        <v/>
      </c>
      <c r="AW108" s="46" t="str">
        <f aca="false">IF($D108="Followup",IF(AND($P108&lt;&gt;"Yes",$U108&lt;&gt;"Yes"),"Not approved for primary or secondary skill","Approved, but skill(s) no longer have capacity (fully staffed)"),"")</f>
        <v/>
      </c>
    </row>
    <row r="109" customFormat="false" ht="15" hidden="false" customHeight="true" outlineLevel="0" collapsed="false">
      <c r="A109" s="46" t="str">
        <f aca="false">IF('Survey Response'!$D107="","",'Survey Response'!$A107&amp;"|"&amp;LOWER(TRIM('Survey Response'!$D107)))</f>
        <v/>
      </c>
      <c r="B109" s="46" t="str">
        <f aca="false">IF($H109="","",$F109&amp;"|"&amp;$H109)</f>
        <v/>
      </c>
      <c r="C109" s="46" t="str">
        <f aca="false">IF($H109="","",$A109=$B109)</f>
        <v/>
      </c>
      <c r="D109" s="46" t="str">
        <f aca="false">IF($H109="","",IF($E109&lt;&gt;"Yes","Superseded",IF($I109&lt;&gt;"Yes, I'm available for in-person interviews at Chennai","Not Available",IF($Z109&lt;&gt;"","Panel Details","Followup"))))</f>
        <v/>
      </c>
      <c r="E109" s="46" t="str">
        <f aca="false">IF($H109="","",IF(SUMPRODUCT(($H$4:$H$503=$H109)*(($G$4:$G$503&gt;$G109)+($G$4:$G$503=$G109)*($F$4:$F$503&gt;$F109)))=0,"Yes","No"))</f>
        <v/>
      </c>
      <c r="F109" s="47" t="str">
        <f aca="false">IF('Survey Response'!$D107="","",INT('Survey Response'!$A107))</f>
        <v/>
      </c>
      <c r="G109" s="46" t="str">
        <f aca="false">IF('Survey Response'!$D107="","",'Survey Response'!$C107)</f>
        <v/>
      </c>
      <c r="H109" s="46" t="str">
        <f aca="false">IF('Survey Response'!$D107="","",LOWER(TRIM('Survey Response'!$D107)))</f>
        <v/>
      </c>
      <c r="I109" s="46" t="str">
        <f aca="false">IF($H109="","",'Survey Response'!$I107)</f>
        <v/>
      </c>
      <c r="J109" s="46" t="str">
        <f aca="false">IF($H109="","",'Survey Response'!$K107)</f>
        <v/>
      </c>
      <c r="K109" s="46" t="str">
        <f aca="false">IF($J109="","",IF(COUNTIF('Skill Mapping'!$A$2:$A$7,TRIM($J109))=0,"",INDEX('Skill Mapping'!$B$2:$B$7,MATCH(TRIM($J109),'Skill Mapping'!$A$2:$A$7,0))))</f>
        <v/>
      </c>
      <c r="L109" s="46" t="str">
        <f aca="false">IF($H109="","",'Survey Response'!$L107)</f>
        <v/>
      </c>
      <c r="M109" s="46" t="str">
        <f aca="false">IF($L109="","",IF(COUNTIF('Skill Mapping'!$A$2:$A$7,TRIM($L109))=0,"",INDEX('Skill Mapping'!$B$2:$B$7,MATCH(TRIM($L109),'Skill Mapping'!$A$2:$A$7,0))))</f>
        <v/>
      </c>
      <c r="N109" s="46" t="str">
        <f aca="false">IF($H109="","",'Survey Response'!$M107)</f>
        <v/>
      </c>
      <c r="O109" s="46" t="str">
        <f aca="false">IF($H109="","",IF('Survey Response'!$M107="Manager","R2","R1"))</f>
        <v/>
      </c>
      <c r="P109" s="46" t="str">
        <f aca="false">IF($K109="","No",IF(COUNTIFS(MasterPanel!$B:$B,$H109,MasterPanel!$I:$I,$K109,MasterPanel!$K:$K,"Y")&gt;0,"Yes","No"))</f>
        <v>No</v>
      </c>
      <c r="Q109" s="46" t="n">
        <f aca="false">IF($K109="",0,IF(COUNTIF('Gap Sheet'!$A$6:$A$11,TRIM($J109))=0,0,IF($O109="R1",INDEX('Gap Sheet'!$C$6:$C$11,MATCH(TRIM($J109),'Gap Sheet'!$A$6:$A$11,0)),INDEX('Gap Sheet'!$G$6:$G$11,MATCH(TRIM($J109),'Gap Sheet'!$A$6:$A$11,0)))))</f>
        <v>0</v>
      </c>
      <c r="R109" s="46" t="str">
        <f aca="false">IF($K109="","",$K109&amp;"|"&amp;$O109)</f>
        <v/>
      </c>
      <c r="S109" s="46" t="n">
        <f aca="false">IF($R109="",0,COUNTIF($AA$4:$AA108,$R109))</f>
        <v>0</v>
      </c>
      <c r="T109" s="46" t="str">
        <f aca="false">IF(OR($I109&lt;&gt;"Yes, I'm available for in-person interviews at Chennai",$E109&lt;&gt;"Yes",$P109&lt;&gt;"Yes"),"No",IF(($Q109-$S109)&gt;0,"Yes","No"))</f>
        <v>No</v>
      </c>
      <c r="U109" s="46" t="str">
        <f aca="false">IF($M109="","No",IF(COUNTIFS(MasterPanel!$B:$B,$H109,MasterPanel!$I:$I,$M109,MasterPanel!$K:$K,"Y")&gt;0,"Yes","No"))</f>
        <v>No</v>
      </c>
      <c r="V109" s="46" t="n">
        <f aca="false">IF($M109="",0,IF(COUNTIF('Gap Sheet'!$A$6:$A$11,TRIM($L109))=0,0,IF($O109="R1",INDEX('Gap Sheet'!$C$6:$C$11,MATCH(TRIM($L109),'Gap Sheet'!$A$6:$A$11,0)),INDEX('Gap Sheet'!$G$6:$G$11,MATCH(TRIM($L109),'Gap Sheet'!$A$6:$A$11,0)))))</f>
        <v>0</v>
      </c>
      <c r="W109" s="46" t="str">
        <f aca="false">IF($M109="","",$M109&amp;"|"&amp;$O109)</f>
        <v/>
      </c>
      <c r="X109" s="46" t="n">
        <f aca="false">IF($W109="",0,COUNTIF($AA$4:$AA108,$W109))</f>
        <v>0</v>
      </c>
      <c r="Y109" s="46" t="str">
        <f aca="false">IF(OR($I109&lt;&gt;"Yes, I'm available for in-person interviews at Chennai",$E109&lt;&gt;"Yes",$T109="Yes",$U109&lt;&gt;"Yes"),"No",IF(($V109-$X109)&gt;0,"Yes","No"))</f>
        <v>No</v>
      </c>
      <c r="Z109" s="46" t="str">
        <f aca="false">IF($T109="Yes","Primary",IF($Y109="Yes","Secondary",""))</f>
        <v/>
      </c>
      <c r="AA109" s="46" t="str">
        <f aca="false">IF($Z109="Primary",$R109,IF($Z109="Secondary",$W109,""))</f>
        <v/>
      </c>
      <c r="AB109" s="46" t="str">
        <f aca="false">IF($Z109="Primary","Matched on primary skill",IF($Z109="Secondary","Matched on secondary skill (primary not approved or not required)",""))</f>
        <v/>
      </c>
      <c r="AC109" s="47" t="str">
        <f aca="false">IF($D109="Panel Details",$F109,"")</f>
        <v/>
      </c>
      <c r="AD109" s="46" t="str">
        <f aca="false">IF($D109="Panel Details",'Survey Response'!$D107,"")</f>
        <v/>
      </c>
      <c r="AE109" s="46" t="str">
        <f aca="false">IF($D109="Panel Details",'Survey Response'!$E107,"")</f>
        <v/>
      </c>
      <c r="AF109" s="46" t="str">
        <f aca="false">IF($D109="Panel Details",'Survey Response'!$G107,"")</f>
        <v/>
      </c>
      <c r="AG109" s="46" t="str">
        <f aca="false">IF($D109="Panel Details",IF($Z109="Primary",$J109,$L109),"")</f>
        <v/>
      </c>
      <c r="AH109" s="46" t="str">
        <f aca="false">IF($D109="Panel Details",IF($Z109="Primary",$L109,$J109),"")</f>
        <v/>
      </c>
      <c r="AI109" s="46" t="str">
        <f aca="false">IF($D109="Panel Details",'Survey Response'!$H107,"")</f>
        <v/>
      </c>
      <c r="AJ109" s="46" t="str">
        <f aca="false">IF($D109="Panel Details",'Survey Response'!$M107,"")</f>
        <v/>
      </c>
      <c r="AK109" s="46" t="str">
        <f aca="false">IF($D109="Panel Details",$O109,"")</f>
        <v/>
      </c>
      <c r="AL109" s="46" t="str">
        <f aca="false">IF($D109="Panel Details",8,"")</f>
        <v/>
      </c>
      <c r="AM109" s="46" t="str">
        <f aca="false">IF($D109="Panel Details",$AB109,"")</f>
        <v/>
      </c>
      <c r="AN109" s="46" t="str">
        <f aca="false">IF($D109="Panel Details","Yes","")</f>
        <v/>
      </c>
      <c r="AO109" s="46"/>
      <c r="AP109" s="46" t="str">
        <f aca="false">IF($D109="Followup",'Survey Response'!$D107,"")</f>
        <v/>
      </c>
      <c r="AQ109" s="46" t="str">
        <f aca="false">IF($D109="Followup",'Survey Response'!$E107,"")</f>
        <v/>
      </c>
      <c r="AR109" s="46" t="str">
        <f aca="false">IF($D109="Followup",'Survey Response'!$G107,"")</f>
        <v/>
      </c>
      <c r="AS109" s="46" t="str">
        <f aca="false">IF($D109="Followup",'Survey Response'!$H107,"")</f>
        <v/>
      </c>
      <c r="AT109" s="46" t="str">
        <f aca="false">IF($D109="Followup",'Survey Response'!$M107,"")</f>
        <v/>
      </c>
      <c r="AU109" s="46" t="str">
        <f aca="false">IF($D109="Followup",'Survey Response'!$K107,"")</f>
        <v/>
      </c>
      <c r="AV109" s="46" t="str">
        <f aca="false">IF($D109="Followup",'Survey Response'!$L107,"")</f>
        <v/>
      </c>
      <c r="AW109" s="46" t="str">
        <f aca="false">IF($D109="Followup",IF(AND($P109&lt;&gt;"Yes",$U109&lt;&gt;"Yes"),"Not approved for primary or secondary skill","Approved, but skill(s) no longer have capacity (fully staffed)"),"")</f>
        <v/>
      </c>
    </row>
    <row r="110" customFormat="false" ht="15" hidden="false" customHeight="true" outlineLevel="0" collapsed="false">
      <c r="A110" s="46" t="str">
        <f aca="false">IF('Survey Response'!$D108="","",'Survey Response'!$A108&amp;"|"&amp;LOWER(TRIM('Survey Response'!$D108)))</f>
        <v/>
      </c>
      <c r="B110" s="46" t="str">
        <f aca="false">IF($H110="","",$F110&amp;"|"&amp;$H110)</f>
        <v/>
      </c>
      <c r="C110" s="46" t="str">
        <f aca="false">IF($H110="","",$A110=$B110)</f>
        <v/>
      </c>
      <c r="D110" s="46" t="str">
        <f aca="false">IF($H110="","",IF($E110&lt;&gt;"Yes","Superseded",IF($I110&lt;&gt;"Yes, I'm available for in-person interviews at Chennai","Not Available",IF($Z110&lt;&gt;"","Panel Details","Followup"))))</f>
        <v/>
      </c>
      <c r="E110" s="46" t="str">
        <f aca="false">IF($H110="","",IF(SUMPRODUCT(($H$4:$H$503=$H110)*(($G$4:$G$503&gt;$G110)+($G$4:$G$503=$G110)*($F$4:$F$503&gt;$F110)))=0,"Yes","No"))</f>
        <v/>
      </c>
      <c r="F110" s="47" t="str">
        <f aca="false">IF('Survey Response'!$D108="","",INT('Survey Response'!$A108))</f>
        <v/>
      </c>
      <c r="G110" s="46" t="str">
        <f aca="false">IF('Survey Response'!$D108="","",'Survey Response'!$C108)</f>
        <v/>
      </c>
      <c r="H110" s="46" t="str">
        <f aca="false">IF('Survey Response'!$D108="","",LOWER(TRIM('Survey Response'!$D108)))</f>
        <v/>
      </c>
      <c r="I110" s="46" t="str">
        <f aca="false">IF($H110="","",'Survey Response'!$I108)</f>
        <v/>
      </c>
      <c r="J110" s="46" t="str">
        <f aca="false">IF($H110="","",'Survey Response'!$K108)</f>
        <v/>
      </c>
      <c r="K110" s="46" t="str">
        <f aca="false">IF($J110="","",IF(COUNTIF('Skill Mapping'!$A$2:$A$7,TRIM($J110))=0,"",INDEX('Skill Mapping'!$B$2:$B$7,MATCH(TRIM($J110),'Skill Mapping'!$A$2:$A$7,0))))</f>
        <v/>
      </c>
      <c r="L110" s="46" t="str">
        <f aca="false">IF($H110="","",'Survey Response'!$L108)</f>
        <v/>
      </c>
      <c r="M110" s="46" t="str">
        <f aca="false">IF($L110="","",IF(COUNTIF('Skill Mapping'!$A$2:$A$7,TRIM($L110))=0,"",INDEX('Skill Mapping'!$B$2:$B$7,MATCH(TRIM($L110),'Skill Mapping'!$A$2:$A$7,0))))</f>
        <v/>
      </c>
      <c r="N110" s="46" t="str">
        <f aca="false">IF($H110="","",'Survey Response'!$M108)</f>
        <v/>
      </c>
      <c r="O110" s="46" t="str">
        <f aca="false">IF($H110="","",IF('Survey Response'!$M108="Manager","R2","R1"))</f>
        <v/>
      </c>
      <c r="P110" s="46" t="str">
        <f aca="false">IF($K110="","No",IF(COUNTIFS(MasterPanel!$B:$B,$H110,MasterPanel!$I:$I,$K110,MasterPanel!$K:$K,"Y")&gt;0,"Yes","No"))</f>
        <v>No</v>
      </c>
      <c r="Q110" s="46" t="n">
        <f aca="false">IF($K110="",0,IF(COUNTIF('Gap Sheet'!$A$6:$A$11,TRIM($J110))=0,0,IF($O110="R1",INDEX('Gap Sheet'!$C$6:$C$11,MATCH(TRIM($J110),'Gap Sheet'!$A$6:$A$11,0)),INDEX('Gap Sheet'!$G$6:$G$11,MATCH(TRIM($J110),'Gap Sheet'!$A$6:$A$11,0)))))</f>
        <v>0</v>
      </c>
      <c r="R110" s="46" t="str">
        <f aca="false">IF($K110="","",$K110&amp;"|"&amp;$O110)</f>
        <v/>
      </c>
      <c r="S110" s="46" t="n">
        <f aca="false">IF($R110="",0,COUNTIF($AA$4:$AA109,$R110))</f>
        <v>0</v>
      </c>
      <c r="T110" s="46" t="str">
        <f aca="false">IF(OR($I110&lt;&gt;"Yes, I'm available for in-person interviews at Chennai",$E110&lt;&gt;"Yes",$P110&lt;&gt;"Yes"),"No",IF(($Q110-$S110)&gt;0,"Yes","No"))</f>
        <v>No</v>
      </c>
      <c r="U110" s="46" t="str">
        <f aca="false">IF($M110="","No",IF(COUNTIFS(MasterPanel!$B:$B,$H110,MasterPanel!$I:$I,$M110,MasterPanel!$K:$K,"Y")&gt;0,"Yes","No"))</f>
        <v>No</v>
      </c>
      <c r="V110" s="46" t="n">
        <f aca="false">IF($M110="",0,IF(COUNTIF('Gap Sheet'!$A$6:$A$11,TRIM($L110))=0,0,IF($O110="R1",INDEX('Gap Sheet'!$C$6:$C$11,MATCH(TRIM($L110),'Gap Sheet'!$A$6:$A$11,0)),INDEX('Gap Sheet'!$G$6:$G$11,MATCH(TRIM($L110),'Gap Sheet'!$A$6:$A$11,0)))))</f>
        <v>0</v>
      </c>
      <c r="W110" s="46" t="str">
        <f aca="false">IF($M110="","",$M110&amp;"|"&amp;$O110)</f>
        <v/>
      </c>
      <c r="X110" s="46" t="n">
        <f aca="false">IF($W110="",0,COUNTIF($AA$4:$AA109,$W110))</f>
        <v>0</v>
      </c>
      <c r="Y110" s="46" t="str">
        <f aca="false">IF(OR($I110&lt;&gt;"Yes, I'm available for in-person interviews at Chennai",$E110&lt;&gt;"Yes",$T110="Yes",$U110&lt;&gt;"Yes"),"No",IF(($V110-$X110)&gt;0,"Yes","No"))</f>
        <v>No</v>
      </c>
      <c r="Z110" s="46" t="str">
        <f aca="false">IF($T110="Yes","Primary",IF($Y110="Yes","Secondary",""))</f>
        <v/>
      </c>
      <c r="AA110" s="46" t="str">
        <f aca="false">IF($Z110="Primary",$R110,IF($Z110="Secondary",$W110,""))</f>
        <v/>
      </c>
      <c r="AB110" s="46" t="str">
        <f aca="false">IF($Z110="Primary","Matched on primary skill",IF($Z110="Secondary","Matched on secondary skill (primary not approved or not required)",""))</f>
        <v/>
      </c>
      <c r="AC110" s="47" t="str">
        <f aca="false">IF($D110="Panel Details",$F110,"")</f>
        <v/>
      </c>
      <c r="AD110" s="46" t="str">
        <f aca="false">IF($D110="Panel Details",'Survey Response'!$D108,"")</f>
        <v/>
      </c>
      <c r="AE110" s="46" t="str">
        <f aca="false">IF($D110="Panel Details",'Survey Response'!$E108,"")</f>
        <v/>
      </c>
      <c r="AF110" s="46" t="str">
        <f aca="false">IF($D110="Panel Details",'Survey Response'!$G108,"")</f>
        <v/>
      </c>
      <c r="AG110" s="46" t="str">
        <f aca="false">IF($D110="Panel Details",IF($Z110="Primary",$J110,$L110),"")</f>
        <v/>
      </c>
      <c r="AH110" s="46" t="str">
        <f aca="false">IF($D110="Panel Details",IF($Z110="Primary",$L110,$J110),"")</f>
        <v/>
      </c>
      <c r="AI110" s="46" t="str">
        <f aca="false">IF($D110="Panel Details",'Survey Response'!$H108,"")</f>
        <v/>
      </c>
      <c r="AJ110" s="46" t="str">
        <f aca="false">IF($D110="Panel Details",'Survey Response'!$M108,"")</f>
        <v/>
      </c>
      <c r="AK110" s="46" t="str">
        <f aca="false">IF($D110="Panel Details",$O110,"")</f>
        <v/>
      </c>
      <c r="AL110" s="46" t="str">
        <f aca="false">IF($D110="Panel Details",8,"")</f>
        <v/>
      </c>
      <c r="AM110" s="46" t="str">
        <f aca="false">IF($D110="Panel Details",$AB110,"")</f>
        <v/>
      </c>
      <c r="AN110" s="46" t="str">
        <f aca="false">IF($D110="Panel Details","Yes","")</f>
        <v/>
      </c>
      <c r="AO110" s="46"/>
      <c r="AP110" s="46" t="str">
        <f aca="false">IF($D110="Followup",'Survey Response'!$D108,"")</f>
        <v/>
      </c>
      <c r="AQ110" s="46" t="str">
        <f aca="false">IF($D110="Followup",'Survey Response'!$E108,"")</f>
        <v/>
      </c>
      <c r="AR110" s="46" t="str">
        <f aca="false">IF($D110="Followup",'Survey Response'!$G108,"")</f>
        <v/>
      </c>
      <c r="AS110" s="46" t="str">
        <f aca="false">IF($D110="Followup",'Survey Response'!$H108,"")</f>
        <v/>
      </c>
      <c r="AT110" s="46" t="str">
        <f aca="false">IF($D110="Followup",'Survey Response'!$M108,"")</f>
        <v/>
      </c>
      <c r="AU110" s="46" t="str">
        <f aca="false">IF($D110="Followup",'Survey Response'!$K108,"")</f>
        <v/>
      </c>
      <c r="AV110" s="46" t="str">
        <f aca="false">IF($D110="Followup",'Survey Response'!$L108,"")</f>
        <v/>
      </c>
      <c r="AW110" s="46" t="str">
        <f aca="false">IF($D110="Followup",IF(AND($P110&lt;&gt;"Yes",$U110&lt;&gt;"Yes"),"Not approved for primary or secondary skill","Approved, but skill(s) no longer have capacity (fully staffed)"),"")</f>
        <v/>
      </c>
    </row>
    <row r="111" customFormat="false" ht="15" hidden="false" customHeight="true" outlineLevel="0" collapsed="false">
      <c r="A111" s="46" t="str">
        <f aca="false">IF('Survey Response'!$D109="","",'Survey Response'!$A109&amp;"|"&amp;LOWER(TRIM('Survey Response'!$D109)))</f>
        <v/>
      </c>
      <c r="B111" s="46" t="str">
        <f aca="false">IF($H111="","",$F111&amp;"|"&amp;$H111)</f>
        <v/>
      </c>
      <c r="C111" s="46" t="str">
        <f aca="false">IF($H111="","",$A111=$B111)</f>
        <v/>
      </c>
      <c r="D111" s="46" t="str">
        <f aca="false">IF($H111="","",IF($E111&lt;&gt;"Yes","Superseded",IF($I111&lt;&gt;"Yes, I'm available for in-person interviews at Chennai","Not Available",IF($Z111&lt;&gt;"","Panel Details","Followup"))))</f>
        <v/>
      </c>
      <c r="E111" s="46" t="str">
        <f aca="false">IF($H111="","",IF(SUMPRODUCT(($H$4:$H$503=$H111)*(($G$4:$G$503&gt;$G111)+($G$4:$G$503=$G111)*($F$4:$F$503&gt;$F111)))=0,"Yes","No"))</f>
        <v/>
      </c>
      <c r="F111" s="47" t="str">
        <f aca="false">IF('Survey Response'!$D109="","",INT('Survey Response'!$A109))</f>
        <v/>
      </c>
      <c r="G111" s="46" t="str">
        <f aca="false">IF('Survey Response'!$D109="","",'Survey Response'!$C109)</f>
        <v/>
      </c>
      <c r="H111" s="46" t="str">
        <f aca="false">IF('Survey Response'!$D109="","",LOWER(TRIM('Survey Response'!$D109)))</f>
        <v/>
      </c>
      <c r="I111" s="46" t="str">
        <f aca="false">IF($H111="","",'Survey Response'!$I109)</f>
        <v/>
      </c>
      <c r="J111" s="46" t="str">
        <f aca="false">IF($H111="","",'Survey Response'!$K109)</f>
        <v/>
      </c>
      <c r="K111" s="46" t="str">
        <f aca="false">IF($J111="","",IF(COUNTIF('Skill Mapping'!$A$2:$A$7,TRIM($J111))=0,"",INDEX('Skill Mapping'!$B$2:$B$7,MATCH(TRIM($J111),'Skill Mapping'!$A$2:$A$7,0))))</f>
        <v/>
      </c>
      <c r="L111" s="46" t="str">
        <f aca="false">IF($H111="","",'Survey Response'!$L109)</f>
        <v/>
      </c>
      <c r="M111" s="46" t="str">
        <f aca="false">IF($L111="","",IF(COUNTIF('Skill Mapping'!$A$2:$A$7,TRIM($L111))=0,"",INDEX('Skill Mapping'!$B$2:$B$7,MATCH(TRIM($L111),'Skill Mapping'!$A$2:$A$7,0))))</f>
        <v/>
      </c>
      <c r="N111" s="46" t="str">
        <f aca="false">IF($H111="","",'Survey Response'!$M109)</f>
        <v/>
      </c>
      <c r="O111" s="46" t="str">
        <f aca="false">IF($H111="","",IF('Survey Response'!$M109="Manager","R2","R1"))</f>
        <v/>
      </c>
      <c r="P111" s="46" t="str">
        <f aca="false">IF($K111="","No",IF(COUNTIFS(MasterPanel!$B:$B,$H111,MasterPanel!$I:$I,$K111,MasterPanel!$K:$K,"Y")&gt;0,"Yes","No"))</f>
        <v>No</v>
      </c>
      <c r="Q111" s="46" t="n">
        <f aca="false">IF($K111="",0,IF(COUNTIF('Gap Sheet'!$A$6:$A$11,TRIM($J111))=0,0,IF($O111="R1",INDEX('Gap Sheet'!$C$6:$C$11,MATCH(TRIM($J111),'Gap Sheet'!$A$6:$A$11,0)),INDEX('Gap Sheet'!$G$6:$G$11,MATCH(TRIM($J111),'Gap Sheet'!$A$6:$A$11,0)))))</f>
        <v>0</v>
      </c>
      <c r="R111" s="46" t="str">
        <f aca="false">IF($K111="","",$K111&amp;"|"&amp;$O111)</f>
        <v/>
      </c>
      <c r="S111" s="46" t="n">
        <f aca="false">IF($R111="",0,COUNTIF($AA$4:$AA110,$R111))</f>
        <v>0</v>
      </c>
      <c r="T111" s="46" t="str">
        <f aca="false">IF(OR($I111&lt;&gt;"Yes, I'm available for in-person interviews at Chennai",$E111&lt;&gt;"Yes",$P111&lt;&gt;"Yes"),"No",IF(($Q111-$S111)&gt;0,"Yes","No"))</f>
        <v>No</v>
      </c>
      <c r="U111" s="46" t="str">
        <f aca="false">IF($M111="","No",IF(COUNTIFS(MasterPanel!$B:$B,$H111,MasterPanel!$I:$I,$M111,MasterPanel!$K:$K,"Y")&gt;0,"Yes","No"))</f>
        <v>No</v>
      </c>
      <c r="V111" s="46" t="n">
        <f aca="false">IF($M111="",0,IF(COUNTIF('Gap Sheet'!$A$6:$A$11,TRIM($L111))=0,0,IF($O111="R1",INDEX('Gap Sheet'!$C$6:$C$11,MATCH(TRIM($L111),'Gap Sheet'!$A$6:$A$11,0)),INDEX('Gap Sheet'!$G$6:$G$11,MATCH(TRIM($L111),'Gap Sheet'!$A$6:$A$11,0)))))</f>
        <v>0</v>
      </c>
      <c r="W111" s="46" t="str">
        <f aca="false">IF($M111="","",$M111&amp;"|"&amp;$O111)</f>
        <v/>
      </c>
      <c r="X111" s="46" t="n">
        <f aca="false">IF($W111="",0,COUNTIF($AA$4:$AA110,$W111))</f>
        <v>0</v>
      </c>
      <c r="Y111" s="46" t="str">
        <f aca="false">IF(OR($I111&lt;&gt;"Yes, I'm available for in-person interviews at Chennai",$E111&lt;&gt;"Yes",$T111="Yes",$U111&lt;&gt;"Yes"),"No",IF(($V111-$X111)&gt;0,"Yes","No"))</f>
        <v>No</v>
      </c>
      <c r="Z111" s="46" t="str">
        <f aca="false">IF($T111="Yes","Primary",IF($Y111="Yes","Secondary",""))</f>
        <v/>
      </c>
      <c r="AA111" s="46" t="str">
        <f aca="false">IF($Z111="Primary",$R111,IF($Z111="Secondary",$W111,""))</f>
        <v/>
      </c>
      <c r="AB111" s="46" t="str">
        <f aca="false">IF($Z111="Primary","Matched on primary skill",IF($Z111="Secondary","Matched on secondary skill (primary not approved or not required)",""))</f>
        <v/>
      </c>
      <c r="AC111" s="47" t="str">
        <f aca="false">IF($D111="Panel Details",$F111,"")</f>
        <v/>
      </c>
      <c r="AD111" s="46" t="str">
        <f aca="false">IF($D111="Panel Details",'Survey Response'!$D109,"")</f>
        <v/>
      </c>
      <c r="AE111" s="46" t="str">
        <f aca="false">IF($D111="Panel Details",'Survey Response'!$E109,"")</f>
        <v/>
      </c>
      <c r="AF111" s="46" t="str">
        <f aca="false">IF($D111="Panel Details",'Survey Response'!$G109,"")</f>
        <v/>
      </c>
      <c r="AG111" s="46" t="str">
        <f aca="false">IF($D111="Panel Details",IF($Z111="Primary",$J111,$L111),"")</f>
        <v/>
      </c>
      <c r="AH111" s="46" t="str">
        <f aca="false">IF($D111="Panel Details",IF($Z111="Primary",$L111,$J111),"")</f>
        <v/>
      </c>
      <c r="AI111" s="46" t="str">
        <f aca="false">IF($D111="Panel Details",'Survey Response'!$H109,"")</f>
        <v/>
      </c>
      <c r="AJ111" s="46" t="str">
        <f aca="false">IF($D111="Panel Details",'Survey Response'!$M109,"")</f>
        <v/>
      </c>
      <c r="AK111" s="46" t="str">
        <f aca="false">IF($D111="Panel Details",$O111,"")</f>
        <v/>
      </c>
      <c r="AL111" s="46" t="str">
        <f aca="false">IF($D111="Panel Details",8,"")</f>
        <v/>
      </c>
      <c r="AM111" s="46" t="str">
        <f aca="false">IF($D111="Panel Details",$AB111,"")</f>
        <v/>
      </c>
      <c r="AN111" s="46" t="str">
        <f aca="false">IF($D111="Panel Details","Yes","")</f>
        <v/>
      </c>
      <c r="AO111" s="46"/>
      <c r="AP111" s="46" t="str">
        <f aca="false">IF($D111="Followup",'Survey Response'!$D109,"")</f>
        <v/>
      </c>
      <c r="AQ111" s="46" t="str">
        <f aca="false">IF($D111="Followup",'Survey Response'!$E109,"")</f>
        <v/>
      </c>
      <c r="AR111" s="46" t="str">
        <f aca="false">IF($D111="Followup",'Survey Response'!$G109,"")</f>
        <v/>
      </c>
      <c r="AS111" s="46" t="str">
        <f aca="false">IF($D111="Followup",'Survey Response'!$H109,"")</f>
        <v/>
      </c>
      <c r="AT111" s="46" t="str">
        <f aca="false">IF($D111="Followup",'Survey Response'!$M109,"")</f>
        <v/>
      </c>
      <c r="AU111" s="46" t="str">
        <f aca="false">IF($D111="Followup",'Survey Response'!$K109,"")</f>
        <v/>
      </c>
      <c r="AV111" s="46" t="str">
        <f aca="false">IF($D111="Followup",'Survey Response'!$L109,"")</f>
        <v/>
      </c>
      <c r="AW111" s="46" t="str">
        <f aca="false">IF($D111="Followup",IF(AND($P111&lt;&gt;"Yes",$U111&lt;&gt;"Yes"),"Not approved for primary or secondary skill","Approved, but skill(s) no longer have capacity (fully staffed)"),"")</f>
        <v/>
      </c>
    </row>
    <row r="112" customFormat="false" ht="15" hidden="false" customHeight="true" outlineLevel="0" collapsed="false">
      <c r="A112" s="46" t="str">
        <f aca="false">IF('Survey Response'!$D110="","",'Survey Response'!$A110&amp;"|"&amp;LOWER(TRIM('Survey Response'!$D110)))</f>
        <v/>
      </c>
      <c r="B112" s="46" t="str">
        <f aca="false">IF($H112="","",$F112&amp;"|"&amp;$H112)</f>
        <v/>
      </c>
      <c r="C112" s="46" t="str">
        <f aca="false">IF($H112="","",$A112=$B112)</f>
        <v/>
      </c>
      <c r="D112" s="46" t="str">
        <f aca="false">IF($H112="","",IF($E112&lt;&gt;"Yes","Superseded",IF($I112&lt;&gt;"Yes, I'm available for in-person interviews at Chennai","Not Available",IF($Z112&lt;&gt;"","Panel Details","Followup"))))</f>
        <v/>
      </c>
      <c r="E112" s="46" t="str">
        <f aca="false">IF($H112="","",IF(SUMPRODUCT(($H$4:$H$503=$H112)*(($G$4:$G$503&gt;$G112)+($G$4:$G$503=$G112)*($F$4:$F$503&gt;$F112)))=0,"Yes","No"))</f>
        <v/>
      </c>
      <c r="F112" s="47" t="str">
        <f aca="false">IF('Survey Response'!$D110="","",INT('Survey Response'!$A110))</f>
        <v/>
      </c>
      <c r="G112" s="46" t="str">
        <f aca="false">IF('Survey Response'!$D110="","",'Survey Response'!$C110)</f>
        <v/>
      </c>
      <c r="H112" s="46" t="str">
        <f aca="false">IF('Survey Response'!$D110="","",LOWER(TRIM('Survey Response'!$D110)))</f>
        <v/>
      </c>
      <c r="I112" s="46" t="str">
        <f aca="false">IF($H112="","",'Survey Response'!$I110)</f>
        <v/>
      </c>
      <c r="J112" s="46" t="str">
        <f aca="false">IF($H112="","",'Survey Response'!$K110)</f>
        <v/>
      </c>
      <c r="K112" s="46" t="str">
        <f aca="false">IF($J112="","",IF(COUNTIF('Skill Mapping'!$A$2:$A$7,TRIM($J112))=0,"",INDEX('Skill Mapping'!$B$2:$B$7,MATCH(TRIM($J112),'Skill Mapping'!$A$2:$A$7,0))))</f>
        <v/>
      </c>
      <c r="L112" s="46" t="str">
        <f aca="false">IF($H112="","",'Survey Response'!$L110)</f>
        <v/>
      </c>
      <c r="M112" s="46" t="str">
        <f aca="false">IF($L112="","",IF(COUNTIF('Skill Mapping'!$A$2:$A$7,TRIM($L112))=0,"",INDEX('Skill Mapping'!$B$2:$B$7,MATCH(TRIM($L112),'Skill Mapping'!$A$2:$A$7,0))))</f>
        <v/>
      </c>
      <c r="N112" s="46" t="str">
        <f aca="false">IF($H112="","",'Survey Response'!$M110)</f>
        <v/>
      </c>
      <c r="O112" s="46" t="str">
        <f aca="false">IF($H112="","",IF('Survey Response'!$M110="Manager","R2","R1"))</f>
        <v/>
      </c>
      <c r="P112" s="46" t="str">
        <f aca="false">IF($K112="","No",IF(COUNTIFS(MasterPanel!$B:$B,$H112,MasterPanel!$I:$I,$K112,MasterPanel!$K:$K,"Y")&gt;0,"Yes","No"))</f>
        <v>No</v>
      </c>
      <c r="Q112" s="46" t="n">
        <f aca="false">IF($K112="",0,IF(COUNTIF('Gap Sheet'!$A$6:$A$11,TRIM($J112))=0,0,IF($O112="R1",INDEX('Gap Sheet'!$C$6:$C$11,MATCH(TRIM($J112),'Gap Sheet'!$A$6:$A$11,0)),INDEX('Gap Sheet'!$G$6:$G$11,MATCH(TRIM($J112),'Gap Sheet'!$A$6:$A$11,0)))))</f>
        <v>0</v>
      </c>
      <c r="R112" s="46" t="str">
        <f aca="false">IF($K112="","",$K112&amp;"|"&amp;$O112)</f>
        <v/>
      </c>
      <c r="S112" s="46" t="n">
        <f aca="false">IF($R112="",0,COUNTIF($AA$4:$AA111,$R112))</f>
        <v>0</v>
      </c>
      <c r="T112" s="46" t="str">
        <f aca="false">IF(OR($I112&lt;&gt;"Yes, I'm available for in-person interviews at Chennai",$E112&lt;&gt;"Yes",$P112&lt;&gt;"Yes"),"No",IF(($Q112-$S112)&gt;0,"Yes","No"))</f>
        <v>No</v>
      </c>
      <c r="U112" s="46" t="str">
        <f aca="false">IF($M112="","No",IF(COUNTIFS(MasterPanel!$B:$B,$H112,MasterPanel!$I:$I,$M112,MasterPanel!$K:$K,"Y")&gt;0,"Yes","No"))</f>
        <v>No</v>
      </c>
      <c r="V112" s="46" t="n">
        <f aca="false">IF($M112="",0,IF(COUNTIF('Gap Sheet'!$A$6:$A$11,TRIM($L112))=0,0,IF($O112="R1",INDEX('Gap Sheet'!$C$6:$C$11,MATCH(TRIM($L112),'Gap Sheet'!$A$6:$A$11,0)),INDEX('Gap Sheet'!$G$6:$G$11,MATCH(TRIM($L112),'Gap Sheet'!$A$6:$A$11,0)))))</f>
        <v>0</v>
      </c>
      <c r="W112" s="46" t="str">
        <f aca="false">IF($M112="","",$M112&amp;"|"&amp;$O112)</f>
        <v/>
      </c>
      <c r="X112" s="46" t="n">
        <f aca="false">IF($W112="",0,COUNTIF($AA$4:$AA111,$W112))</f>
        <v>0</v>
      </c>
      <c r="Y112" s="46" t="str">
        <f aca="false">IF(OR($I112&lt;&gt;"Yes, I'm available for in-person interviews at Chennai",$E112&lt;&gt;"Yes",$T112="Yes",$U112&lt;&gt;"Yes"),"No",IF(($V112-$X112)&gt;0,"Yes","No"))</f>
        <v>No</v>
      </c>
      <c r="Z112" s="46" t="str">
        <f aca="false">IF($T112="Yes","Primary",IF($Y112="Yes","Secondary",""))</f>
        <v/>
      </c>
      <c r="AA112" s="46" t="str">
        <f aca="false">IF($Z112="Primary",$R112,IF($Z112="Secondary",$W112,""))</f>
        <v/>
      </c>
      <c r="AB112" s="46" t="str">
        <f aca="false">IF($Z112="Primary","Matched on primary skill",IF($Z112="Secondary","Matched on secondary skill (primary not approved or not required)",""))</f>
        <v/>
      </c>
      <c r="AC112" s="47" t="str">
        <f aca="false">IF($D112="Panel Details",$F112,"")</f>
        <v/>
      </c>
      <c r="AD112" s="46" t="str">
        <f aca="false">IF($D112="Panel Details",'Survey Response'!$D110,"")</f>
        <v/>
      </c>
      <c r="AE112" s="46" t="str">
        <f aca="false">IF($D112="Panel Details",'Survey Response'!$E110,"")</f>
        <v/>
      </c>
      <c r="AF112" s="46" t="str">
        <f aca="false">IF($D112="Panel Details",'Survey Response'!$G110,"")</f>
        <v/>
      </c>
      <c r="AG112" s="46" t="str">
        <f aca="false">IF($D112="Panel Details",IF($Z112="Primary",$J112,$L112),"")</f>
        <v/>
      </c>
      <c r="AH112" s="46" t="str">
        <f aca="false">IF($D112="Panel Details",IF($Z112="Primary",$L112,$J112),"")</f>
        <v/>
      </c>
      <c r="AI112" s="46" t="str">
        <f aca="false">IF($D112="Panel Details",'Survey Response'!$H110,"")</f>
        <v/>
      </c>
      <c r="AJ112" s="46" t="str">
        <f aca="false">IF($D112="Panel Details",'Survey Response'!$M110,"")</f>
        <v/>
      </c>
      <c r="AK112" s="46" t="str">
        <f aca="false">IF($D112="Panel Details",$O112,"")</f>
        <v/>
      </c>
      <c r="AL112" s="46" t="str">
        <f aca="false">IF($D112="Panel Details",8,"")</f>
        <v/>
      </c>
      <c r="AM112" s="46" t="str">
        <f aca="false">IF($D112="Panel Details",$AB112,"")</f>
        <v/>
      </c>
      <c r="AN112" s="46" t="str">
        <f aca="false">IF($D112="Panel Details","Yes","")</f>
        <v/>
      </c>
      <c r="AO112" s="46"/>
      <c r="AP112" s="46" t="str">
        <f aca="false">IF($D112="Followup",'Survey Response'!$D110,"")</f>
        <v/>
      </c>
      <c r="AQ112" s="46" t="str">
        <f aca="false">IF($D112="Followup",'Survey Response'!$E110,"")</f>
        <v/>
      </c>
      <c r="AR112" s="46" t="str">
        <f aca="false">IF($D112="Followup",'Survey Response'!$G110,"")</f>
        <v/>
      </c>
      <c r="AS112" s="46" t="str">
        <f aca="false">IF($D112="Followup",'Survey Response'!$H110,"")</f>
        <v/>
      </c>
      <c r="AT112" s="46" t="str">
        <f aca="false">IF($D112="Followup",'Survey Response'!$M110,"")</f>
        <v/>
      </c>
      <c r="AU112" s="46" t="str">
        <f aca="false">IF($D112="Followup",'Survey Response'!$K110,"")</f>
        <v/>
      </c>
      <c r="AV112" s="46" t="str">
        <f aca="false">IF($D112="Followup",'Survey Response'!$L110,"")</f>
        <v/>
      </c>
      <c r="AW112" s="46" t="str">
        <f aca="false">IF($D112="Followup",IF(AND($P112&lt;&gt;"Yes",$U112&lt;&gt;"Yes"),"Not approved for primary or secondary skill","Approved, but skill(s) no longer have capacity (fully staffed)"),"")</f>
        <v/>
      </c>
    </row>
    <row r="113" customFormat="false" ht="15" hidden="false" customHeight="true" outlineLevel="0" collapsed="false">
      <c r="A113" s="46" t="str">
        <f aca="false">IF('Survey Response'!$D111="","",'Survey Response'!$A111&amp;"|"&amp;LOWER(TRIM('Survey Response'!$D111)))</f>
        <v/>
      </c>
      <c r="B113" s="46" t="str">
        <f aca="false">IF($H113="","",$F113&amp;"|"&amp;$H113)</f>
        <v/>
      </c>
      <c r="C113" s="46" t="str">
        <f aca="false">IF($H113="","",$A113=$B113)</f>
        <v/>
      </c>
      <c r="D113" s="46" t="str">
        <f aca="false">IF($H113="","",IF($E113&lt;&gt;"Yes","Superseded",IF($I113&lt;&gt;"Yes, I'm available for in-person interviews at Chennai","Not Available",IF($Z113&lt;&gt;"","Panel Details","Followup"))))</f>
        <v/>
      </c>
      <c r="E113" s="46" t="str">
        <f aca="false">IF($H113="","",IF(SUMPRODUCT(($H$4:$H$503=$H113)*(($G$4:$G$503&gt;$G113)+($G$4:$G$503=$G113)*($F$4:$F$503&gt;$F113)))=0,"Yes","No"))</f>
        <v/>
      </c>
      <c r="F113" s="47" t="str">
        <f aca="false">IF('Survey Response'!$D111="","",INT('Survey Response'!$A111))</f>
        <v/>
      </c>
      <c r="G113" s="46" t="str">
        <f aca="false">IF('Survey Response'!$D111="","",'Survey Response'!$C111)</f>
        <v/>
      </c>
      <c r="H113" s="46" t="str">
        <f aca="false">IF('Survey Response'!$D111="","",LOWER(TRIM('Survey Response'!$D111)))</f>
        <v/>
      </c>
      <c r="I113" s="46" t="str">
        <f aca="false">IF($H113="","",'Survey Response'!$I111)</f>
        <v/>
      </c>
      <c r="J113" s="46" t="str">
        <f aca="false">IF($H113="","",'Survey Response'!$K111)</f>
        <v/>
      </c>
      <c r="K113" s="46" t="str">
        <f aca="false">IF($J113="","",IF(COUNTIF('Skill Mapping'!$A$2:$A$7,TRIM($J113))=0,"",INDEX('Skill Mapping'!$B$2:$B$7,MATCH(TRIM($J113),'Skill Mapping'!$A$2:$A$7,0))))</f>
        <v/>
      </c>
      <c r="L113" s="46" t="str">
        <f aca="false">IF($H113="","",'Survey Response'!$L111)</f>
        <v/>
      </c>
      <c r="M113" s="46" t="str">
        <f aca="false">IF($L113="","",IF(COUNTIF('Skill Mapping'!$A$2:$A$7,TRIM($L113))=0,"",INDEX('Skill Mapping'!$B$2:$B$7,MATCH(TRIM($L113),'Skill Mapping'!$A$2:$A$7,0))))</f>
        <v/>
      </c>
      <c r="N113" s="46" t="str">
        <f aca="false">IF($H113="","",'Survey Response'!$M111)</f>
        <v/>
      </c>
      <c r="O113" s="46" t="str">
        <f aca="false">IF($H113="","",IF('Survey Response'!$M111="Manager","R2","R1"))</f>
        <v/>
      </c>
      <c r="P113" s="46" t="str">
        <f aca="false">IF($K113="","No",IF(COUNTIFS(MasterPanel!$B:$B,$H113,MasterPanel!$I:$I,$K113,MasterPanel!$K:$K,"Y")&gt;0,"Yes","No"))</f>
        <v>No</v>
      </c>
      <c r="Q113" s="46" t="n">
        <f aca="false">IF($K113="",0,IF(COUNTIF('Gap Sheet'!$A$6:$A$11,TRIM($J113))=0,0,IF($O113="R1",INDEX('Gap Sheet'!$C$6:$C$11,MATCH(TRIM($J113),'Gap Sheet'!$A$6:$A$11,0)),INDEX('Gap Sheet'!$G$6:$G$11,MATCH(TRIM($J113),'Gap Sheet'!$A$6:$A$11,0)))))</f>
        <v>0</v>
      </c>
      <c r="R113" s="46" t="str">
        <f aca="false">IF($K113="","",$K113&amp;"|"&amp;$O113)</f>
        <v/>
      </c>
      <c r="S113" s="46" t="n">
        <f aca="false">IF($R113="",0,COUNTIF($AA$4:$AA112,$R113))</f>
        <v>0</v>
      </c>
      <c r="T113" s="46" t="str">
        <f aca="false">IF(OR($I113&lt;&gt;"Yes, I'm available for in-person interviews at Chennai",$E113&lt;&gt;"Yes",$P113&lt;&gt;"Yes"),"No",IF(($Q113-$S113)&gt;0,"Yes","No"))</f>
        <v>No</v>
      </c>
      <c r="U113" s="46" t="str">
        <f aca="false">IF($M113="","No",IF(COUNTIFS(MasterPanel!$B:$B,$H113,MasterPanel!$I:$I,$M113,MasterPanel!$K:$K,"Y")&gt;0,"Yes","No"))</f>
        <v>No</v>
      </c>
      <c r="V113" s="46" t="n">
        <f aca="false">IF($M113="",0,IF(COUNTIF('Gap Sheet'!$A$6:$A$11,TRIM($L113))=0,0,IF($O113="R1",INDEX('Gap Sheet'!$C$6:$C$11,MATCH(TRIM($L113),'Gap Sheet'!$A$6:$A$11,0)),INDEX('Gap Sheet'!$G$6:$G$11,MATCH(TRIM($L113),'Gap Sheet'!$A$6:$A$11,0)))))</f>
        <v>0</v>
      </c>
      <c r="W113" s="46" t="str">
        <f aca="false">IF($M113="","",$M113&amp;"|"&amp;$O113)</f>
        <v/>
      </c>
      <c r="X113" s="46" t="n">
        <f aca="false">IF($W113="",0,COUNTIF($AA$4:$AA112,$W113))</f>
        <v>0</v>
      </c>
      <c r="Y113" s="46" t="str">
        <f aca="false">IF(OR($I113&lt;&gt;"Yes, I'm available for in-person interviews at Chennai",$E113&lt;&gt;"Yes",$T113="Yes",$U113&lt;&gt;"Yes"),"No",IF(($V113-$X113)&gt;0,"Yes","No"))</f>
        <v>No</v>
      </c>
      <c r="Z113" s="46" t="str">
        <f aca="false">IF($T113="Yes","Primary",IF($Y113="Yes","Secondary",""))</f>
        <v/>
      </c>
      <c r="AA113" s="46" t="str">
        <f aca="false">IF($Z113="Primary",$R113,IF($Z113="Secondary",$W113,""))</f>
        <v/>
      </c>
      <c r="AB113" s="46" t="str">
        <f aca="false">IF($Z113="Primary","Matched on primary skill",IF($Z113="Secondary","Matched on secondary skill (primary not approved or not required)",""))</f>
        <v/>
      </c>
      <c r="AC113" s="47" t="str">
        <f aca="false">IF($D113="Panel Details",$F113,"")</f>
        <v/>
      </c>
      <c r="AD113" s="46" t="str">
        <f aca="false">IF($D113="Panel Details",'Survey Response'!$D111,"")</f>
        <v/>
      </c>
      <c r="AE113" s="46" t="str">
        <f aca="false">IF($D113="Panel Details",'Survey Response'!$E111,"")</f>
        <v/>
      </c>
      <c r="AF113" s="46" t="str">
        <f aca="false">IF($D113="Panel Details",'Survey Response'!$G111,"")</f>
        <v/>
      </c>
      <c r="AG113" s="46" t="str">
        <f aca="false">IF($D113="Panel Details",IF($Z113="Primary",$J113,$L113),"")</f>
        <v/>
      </c>
      <c r="AH113" s="46" t="str">
        <f aca="false">IF($D113="Panel Details",IF($Z113="Primary",$L113,$J113),"")</f>
        <v/>
      </c>
      <c r="AI113" s="46" t="str">
        <f aca="false">IF($D113="Panel Details",'Survey Response'!$H111,"")</f>
        <v/>
      </c>
      <c r="AJ113" s="46" t="str">
        <f aca="false">IF($D113="Panel Details",'Survey Response'!$M111,"")</f>
        <v/>
      </c>
      <c r="AK113" s="46" t="str">
        <f aca="false">IF($D113="Panel Details",$O113,"")</f>
        <v/>
      </c>
      <c r="AL113" s="46" t="str">
        <f aca="false">IF($D113="Panel Details",8,"")</f>
        <v/>
      </c>
      <c r="AM113" s="46" t="str">
        <f aca="false">IF($D113="Panel Details",$AB113,"")</f>
        <v/>
      </c>
      <c r="AN113" s="46" t="str">
        <f aca="false">IF($D113="Panel Details","Yes","")</f>
        <v/>
      </c>
      <c r="AO113" s="46"/>
      <c r="AP113" s="46" t="str">
        <f aca="false">IF($D113="Followup",'Survey Response'!$D111,"")</f>
        <v/>
      </c>
      <c r="AQ113" s="46" t="str">
        <f aca="false">IF($D113="Followup",'Survey Response'!$E111,"")</f>
        <v/>
      </c>
      <c r="AR113" s="46" t="str">
        <f aca="false">IF($D113="Followup",'Survey Response'!$G111,"")</f>
        <v/>
      </c>
      <c r="AS113" s="46" t="str">
        <f aca="false">IF($D113="Followup",'Survey Response'!$H111,"")</f>
        <v/>
      </c>
      <c r="AT113" s="46" t="str">
        <f aca="false">IF($D113="Followup",'Survey Response'!$M111,"")</f>
        <v/>
      </c>
      <c r="AU113" s="46" t="str">
        <f aca="false">IF($D113="Followup",'Survey Response'!$K111,"")</f>
        <v/>
      </c>
      <c r="AV113" s="46" t="str">
        <f aca="false">IF($D113="Followup",'Survey Response'!$L111,"")</f>
        <v/>
      </c>
      <c r="AW113" s="46" t="str">
        <f aca="false">IF($D113="Followup",IF(AND($P113&lt;&gt;"Yes",$U113&lt;&gt;"Yes"),"Not approved for primary or secondary skill","Approved, but skill(s) no longer have capacity (fully staffed)"),"")</f>
        <v/>
      </c>
    </row>
    <row r="114" customFormat="false" ht="15" hidden="false" customHeight="true" outlineLevel="0" collapsed="false">
      <c r="A114" s="46" t="str">
        <f aca="false">IF('Survey Response'!$D112="","",'Survey Response'!$A112&amp;"|"&amp;LOWER(TRIM('Survey Response'!$D112)))</f>
        <v/>
      </c>
      <c r="B114" s="46" t="str">
        <f aca="false">IF($H114="","",$F114&amp;"|"&amp;$H114)</f>
        <v/>
      </c>
      <c r="C114" s="46" t="str">
        <f aca="false">IF($H114="","",$A114=$B114)</f>
        <v/>
      </c>
      <c r="D114" s="46" t="str">
        <f aca="false">IF($H114="","",IF($E114&lt;&gt;"Yes","Superseded",IF($I114&lt;&gt;"Yes, I'm available for in-person interviews at Chennai","Not Available",IF($Z114&lt;&gt;"","Panel Details","Followup"))))</f>
        <v/>
      </c>
      <c r="E114" s="46" t="str">
        <f aca="false">IF($H114="","",IF(SUMPRODUCT(($H$4:$H$503=$H114)*(($G$4:$G$503&gt;$G114)+($G$4:$G$503=$G114)*($F$4:$F$503&gt;$F114)))=0,"Yes","No"))</f>
        <v/>
      </c>
      <c r="F114" s="47" t="str">
        <f aca="false">IF('Survey Response'!$D112="","",INT('Survey Response'!$A112))</f>
        <v/>
      </c>
      <c r="G114" s="46" t="str">
        <f aca="false">IF('Survey Response'!$D112="","",'Survey Response'!$C112)</f>
        <v/>
      </c>
      <c r="H114" s="46" t="str">
        <f aca="false">IF('Survey Response'!$D112="","",LOWER(TRIM('Survey Response'!$D112)))</f>
        <v/>
      </c>
      <c r="I114" s="46" t="str">
        <f aca="false">IF($H114="","",'Survey Response'!$I112)</f>
        <v/>
      </c>
      <c r="J114" s="46" t="str">
        <f aca="false">IF($H114="","",'Survey Response'!$K112)</f>
        <v/>
      </c>
      <c r="K114" s="46" t="str">
        <f aca="false">IF($J114="","",IF(COUNTIF('Skill Mapping'!$A$2:$A$7,TRIM($J114))=0,"",INDEX('Skill Mapping'!$B$2:$B$7,MATCH(TRIM($J114),'Skill Mapping'!$A$2:$A$7,0))))</f>
        <v/>
      </c>
      <c r="L114" s="46" t="str">
        <f aca="false">IF($H114="","",'Survey Response'!$L112)</f>
        <v/>
      </c>
      <c r="M114" s="46" t="str">
        <f aca="false">IF($L114="","",IF(COUNTIF('Skill Mapping'!$A$2:$A$7,TRIM($L114))=0,"",INDEX('Skill Mapping'!$B$2:$B$7,MATCH(TRIM($L114),'Skill Mapping'!$A$2:$A$7,0))))</f>
        <v/>
      </c>
      <c r="N114" s="46" t="str">
        <f aca="false">IF($H114="","",'Survey Response'!$M112)</f>
        <v/>
      </c>
      <c r="O114" s="46" t="str">
        <f aca="false">IF($H114="","",IF('Survey Response'!$M112="Manager","R2","R1"))</f>
        <v/>
      </c>
      <c r="P114" s="46" t="str">
        <f aca="false">IF($K114="","No",IF(COUNTIFS(MasterPanel!$B:$B,$H114,MasterPanel!$I:$I,$K114,MasterPanel!$K:$K,"Y")&gt;0,"Yes","No"))</f>
        <v>No</v>
      </c>
      <c r="Q114" s="46" t="n">
        <f aca="false">IF($K114="",0,IF(COUNTIF('Gap Sheet'!$A$6:$A$11,TRIM($J114))=0,0,IF($O114="R1",INDEX('Gap Sheet'!$C$6:$C$11,MATCH(TRIM($J114),'Gap Sheet'!$A$6:$A$11,0)),INDEX('Gap Sheet'!$G$6:$G$11,MATCH(TRIM($J114),'Gap Sheet'!$A$6:$A$11,0)))))</f>
        <v>0</v>
      </c>
      <c r="R114" s="46" t="str">
        <f aca="false">IF($K114="","",$K114&amp;"|"&amp;$O114)</f>
        <v/>
      </c>
      <c r="S114" s="46" t="n">
        <f aca="false">IF($R114="",0,COUNTIF($AA$4:$AA113,$R114))</f>
        <v>0</v>
      </c>
      <c r="T114" s="46" t="str">
        <f aca="false">IF(OR($I114&lt;&gt;"Yes, I'm available for in-person interviews at Chennai",$E114&lt;&gt;"Yes",$P114&lt;&gt;"Yes"),"No",IF(($Q114-$S114)&gt;0,"Yes","No"))</f>
        <v>No</v>
      </c>
      <c r="U114" s="46" t="str">
        <f aca="false">IF($M114="","No",IF(COUNTIFS(MasterPanel!$B:$B,$H114,MasterPanel!$I:$I,$M114,MasterPanel!$K:$K,"Y")&gt;0,"Yes","No"))</f>
        <v>No</v>
      </c>
      <c r="V114" s="46" t="n">
        <f aca="false">IF($M114="",0,IF(COUNTIF('Gap Sheet'!$A$6:$A$11,TRIM($L114))=0,0,IF($O114="R1",INDEX('Gap Sheet'!$C$6:$C$11,MATCH(TRIM($L114),'Gap Sheet'!$A$6:$A$11,0)),INDEX('Gap Sheet'!$G$6:$G$11,MATCH(TRIM($L114),'Gap Sheet'!$A$6:$A$11,0)))))</f>
        <v>0</v>
      </c>
      <c r="W114" s="46" t="str">
        <f aca="false">IF($M114="","",$M114&amp;"|"&amp;$O114)</f>
        <v/>
      </c>
      <c r="X114" s="46" t="n">
        <f aca="false">IF($W114="",0,COUNTIF($AA$4:$AA113,$W114))</f>
        <v>0</v>
      </c>
      <c r="Y114" s="46" t="str">
        <f aca="false">IF(OR($I114&lt;&gt;"Yes, I'm available for in-person interviews at Chennai",$E114&lt;&gt;"Yes",$T114="Yes",$U114&lt;&gt;"Yes"),"No",IF(($V114-$X114)&gt;0,"Yes","No"))</f>
        <v>No</v>
      </c>
      <c r="Z114" s="46" t="str">
        <f aca="false">IF($T114="Yes","Primary",IF($Y114="Yes","Secondary",""))</f>
        <v/>
      </c>
      <c r="AA114" s="46" t="str">
        <f aca="false">IF($Z114="Primary",$R114,IF($Z114="Secondary",$W114,""))</f>
        <v/>
      </c>
      <c r="AB114" s="46" t="str">
        <f aca="false">IF($Z114="Primary","Matched on primary skill",IF($Z114="Secondary","Matched on secondary skill (primary not approved or not required)",""))</f>
        <v/>
      </c>
      <c r="AC114" s="47" t="str">
        <f aca="false">IF($D114="Panel Details",$F114,"")</f>
        <v/>
      </c>
      <c r="AD114" s="46" t="str">
        <f aca="false">IF($D114="Panel Details",'Survey Response'!$D112,"")</f>
        <v/>
      </c>
      <c r="AE114" s="46" t="str">
        <f aca="false">IF($D114="Panel Details",'Survey Response'!$E112,"")</f>
        <v/>
      </c>
      <c r="AF114" s="46" t="str">
        <f aca="false">IF($D114="Panel Details",'Survey Response'!$G112,"")</f>
        <v/>
      </c>
      <c r="AG114" s="46" t="str">
        <f aca="false">IF($D114="Panel Details",IF($Z114="Primary",$J114,$L114),"")</f>
        <v/>
      </c>
      <c r="AH114" s="46" t="str">
        <f aca="false">IF($D114="Panel Details",IF($Z114="Primary",$L114,$J114),"")</f>
        <v/>
      </c>
      <c r="AI114" s="46" t="str">
        <f aca="false">IF($D114="Panel Details",'Survey Response'!$H112,"")</f>
        <v/>
      </c>
      <c r="AJ114" s="46" t="str">
        <f aca="false">IF($D114="Panel Details",'Survey Response'!$M112,"")</f>
        <v/>
      </c>
      <c r="AK114" s="46" t="str">
        <f aca="false">IF($D114="Panel Details",$O114,"")</f>
        <v/>
      </c>
      <c r="AL114" s="46" t="str">
        <f aca="false">IF($D114="Panel Details",8,"")</f>
        <v/>
      </c>
      <c r="AM114" s="46" t="str">
        <f aca="false">IF($D114="Panel Details",$AB114,"")</f>
        <v/>
      </c>
      <c r="AN114" s="46" t="str">
        <f aca="false">IF($D114="Panel Details","Yes","")</f>
        <v/>
      </c>
      <c r="AO114" s="46"/>
      <c r="AP114" s="46" t="str">
        <f aca="false">IF($D114="Followup",'Survey Response'!$D112,"")</f>
        <v/>
      </c>
      <c r="AQ114" s="46" t="str">
        <f aca="false">IF($D114="Followup",'Survey Response'!$E112,"")</f>
        <v/>
      </c>
      <c r="AR114" s="46" t="str">
        <f aca="false">IF($D114="Followup",'Survey Response'!$G112,"")</f>
        <v/>
      </c>
      <c r="AS114" s="46" t="str">
        <f aca="false">IF($D114="Followup",'Survey Response'!$H112,"")</f>
        <v/>
      </c>
      <c r="AT114" s="46" t="str">
        <f aca="false">IF($D114="Followup",'Survey Response'!$M112,"")</f>
        <v/>
      </c>
      <c r="AU114" s="46" t="str">
        <f aca="false">IF($D114="Followup",'Survey Response'!$K112,"")</f>
        <v/>
      </c>
      <c r="AV114" s="46" t="str">
        <f aca="false">IF($D114="Followup",'Survey Response'!$L112,"")</f>
        <v/>
      </c>
      <c r="AW114" s="46" t="str">
        <f aca="false">IF($D114="Followup",IF(AND($P114&lt;&gt;"Yes",$U114&lt;&gt;"Yes"),"Not approved for primary or secondary skill","Approved, but skill(s) no longer have capacity (fully staffed)"),"")</f>
        <v/>
      </c>
    </row>
    <row r="115" customFormat="false" ht="15" hidden="false" customHeight="true" outlineLevel="0" collapsed="false">
      <c r="A115" s="46" t="str">
        <f aca="false">IF('Survey Response'!$D113="","",'Survey Response'!$A113&amp;"|"&amp;LOWER(TRIM('Survey Response'!$D113)))</f>
        <v/>
      </c>
      <c r="B115" s="46" t="str">
        <f aca="false">IF($H115="","",$F115&amp;"|"&amp;$H115)</f>
        <v/>
      </c>
      <c r="C115" s="46" t="str">
        <f aca="false">IF($H115="","",$A115=$B115)</f>
        <v/>
      </c>
      <c r="D115" s="46" t="str">
        <f aca="false">IF($H115="","",IF($E115&lt;&gt;"Yes","Superseded",IF($I115&lt;&gt;"Yes, I'm available for in-person interviews at Chennai","Not Available",IF($Z115&lt;&gt;"","Panel Details","Followup"))))</f>
        <v/>
      </c>
      <c r="E115" s="46" t="str">
        <f aca="false">IF($H115="","",IF(SUMPRODUCT(($H$4:$H$503=$H115)*(($G$4:$G$503&gt;$G115)+($G$4:$G$503=$G115)*($F$4:$F$503&gt;$F115)))=0,"Yes","No"))</f>
        <v/>
      </c>
      <c r="F115" s="47" t="str">
        <f aca="false">IF('Survey Response'!$D113="","",INT('Survey Response'!$A113))</f>
        <v/>
      </c>
      <c r="G115" s="46" t="str">
        <f aca="false">IF('Survey Response'!$D113="","",'Survey Response'!$C113)</f>
        <v/>
      </c>
      <c r="H115" s="46" t="str">
        <f aca="false">IF('Survey Response'!$D113="","",LOWER(TRIM('Survey Response'!$D113)))</f>
        <v/>
      </c>
      <c r="I115" s="46" t="str">
        <f aca="false">IF($H115="","",'Survey Response'!$I113)</f>
        <v/>
      </c>
      <c r="J115" s="46" t="str">
        <f aca="false">IF($H115="","",'Survey Response'!$K113)</f>
        <v/>
      </c>
      <c r="K115" s="46" t="str">
        <f aca="false">IF($J115="","",IF(COUNTIF('Skill Mapping'!$A$2:$A$7,TRIM($J115))=0,"",INDEX('Skill Mapping'!$B$2:$B$7,MATCH(TRIM($J115),'Skill Mapping'!$A$2:$A$7,0))))</f>
        <v/>
      </c>
      <c r="L115" s="46" t="str">
        <f aca="false">IF($H115="","",'Survey Response'!$L113)</f>
        <v/>
      </c>
      <c r="M115" s="46" t="str">
        <f aca="false">IF($L115="","",IF(COUNTIF('Skill Mapping'!$A$2:$A$7,TRIM($L115))=0,"",INDEX('Skill Mapping'!$B$2:$B$7,MATCH(TRIM($L115),'Skill Mapping'!$A$2:$A$7,0))))</f>
        <v/>
      </c>
      <c r="N115" s="46" t="str">
        <f aca="false">IF($H115="","",'Survey Response'!$M113)</f>
        <v/>
      </c>
      <c r="O115" s="46" t="str">
        <f aca="false">IF($H115="","",IF('Survey Response'!$M113="Manager","R2","R1"))</f>
        <v/>
      </c>
      <c r="P115" s="46" t="str">
        <f aca="false">IF($K115="","No",IF(COUNTIFS(MasterPanel!$B:$B,$H115,MasterPanel!$I:$I,$K115,MasterPanel!$K:$K,"Y")&gt;0,"Yes","No"))</f>
        <v>No</v>
      </c>
      <c r="Q115" s="46" t="n">
        <f aca="false">IF($K115="",0,IF(COUNTIF('Gap Sheet'!$A$6:$A$11,TRIM($J115))=0,0,IF($O115="R1",INDEX('Gap Sheet'!$C$6:$C$11,MATCH(TRIM($J115),'Gap Sheet'!$A$6:$A$11,0)),INDEX('Gap Sheet'!$G$6:$G$11,MATCH(TRIM($J115),'Gap Sheet'!$A$6:$A$11,0)))))</f>
        <v>0</v>
      </c>
      <c r="R115" s="46" t="str">
        <f aca="false">IF($K115="","",$K115&amp;"|"&amp;$O115)</f>
        <v/>
      </c>
      <c r="S115" s="46" t="n">
        <f aca="false">IF($R115="",0,COUNTIF($AA$4:$AA114,$R115))</f>
        <v>0</v>
      </c>
      <c r="T115" s="46" t="str">
        <f aca="false">IF(OR($I115&lt;&gt;"Yes, I'm available for in-person interviews at Chennai",$E115&lt;&gt;"Yes",$P115&lt;&gt;"Yes"),"No",IF(($Q115-$S115)&gt;0,"Yes","No"))</f>
        <v>No</v>
      </c>
      <c r="U115" s="46" t="str">
        <f aca="false">IF($M115="","No",IF(COUNTIFS(MasterPanel!$B:$B,$H115,MasterPanel!$I:$I,$M115,MasterPanel!$K:$K,"Y")&gt;0,"Yes","No"))</f>
        <v>No</v>
      </c>
      <c r="V115" s="46" t="n">
        <f aca="false">IF($M115="",0,IF(COUNTIF('Gap Sheet'!$A$6:$A$11,TRIM($L115))=0,0,IF($O115="R1",INDEX('Gap Sheet'!$C$6:$C$11,MATCH(TRIM($L115),'Gap Sheet'!$A$6:$A$11,0)),INDEX('Gap Sheet'!$G$6:$G$11,MATCH(TRIM($L115),'Gap Sheet'!$A$6:$A$11,0)))))</f>
        <v>0</v>
      </c>
      <c r="W115" s="46" t="str">
        <f aca="false">IF($M115="","",$M115&amp;"|"&amp;$O115)</f>
        <v/>
      </c>
      <c r="X115" s="46" t="n">
        <f aca="false">IF($W115="",0,COUNTIF($AA$4:$AA114,$W115))</f>
        <v>0</v>
      </c>
      <c r="Y115" s="46" t="str">
        <f aca="false">IF(OR($I115&lt;&gt;"Yes, I'm available for in-person interviews at Chennai",$E115&lt;&gt;"Yes",$T115="Yes",$U115&lt;&gt;"Yes"),"No",IF(($V115-$X115)&gt;0,"Yes","No"))</f>
        <v>No</v>
      </c>
      <c r="Z115" s="46" t="str">
        <f aca="false">IF($T115="Yes","Primary",IF($Y115="Yes","Secondary",""))</f>
        <v/>
      </c>
      <c r="AA115" s="46" t="str">
        <f aca="false">IF($Z115="Primary",$R115,IF($Z115="Secondary",$W115,""))</f>
        <v/>
      </c>
      <c r="AB115" s="46" t="str">
        <f aca="false">IF($Z115="Primary","Matched on primary skill",IF($Z115="Secondary","Matched on secondary skill (primary not approved or not required)",""))</f>
        <v/>
      </c>
      <c r="AC115" s="47" t="str">
        <f aca="false">IF($D115="Panel Details",$F115,"")</f>
        <v/>
      </c>
      <c r="AD115" s="46" t="str">
        <f aca="false">IF($D115="Panel Details",'Survey Response'!$D113,"")</f>
        <v/>
      </c>
      <c r="AE115" s="46" t="str">
        <f aca="false">IF($D115="Panel Details",'Survey Response'!$E113,"")</f>
        <v/>
      </c>
      <c r="AF115" s="46" t="str">
        <f aca="false">IF($D115="Panel Details",'Survey Response'!$G113,"")</f>
        <v/>
      </c>
      <c r="AG115" s="46" t="str">
        <f aca="false">IF($D115="Panel Details",IF($Z115="Primary",$J115,$L115),"")</f>
        <v/>
      </c>
      <c r="AH115" s="46" t="str">
        <f aca="false">IF($D115="Panel Details",IF($Z115="Primary",$L115,$J115),"")</f>
        <v/>
      </c>
      <c r="AI115" s="46" t="str">
        <f aca="false">IF($D115="Panel Details",'Survey Response'!$H113,"")</f>
        <v/>
      </c>
      <c r="AJ115" s="46" t="str">
        <f aca="false">IF($D115="Panel Details",'Survey Response'!$M113,"")</f>
        <v/>
      </c>
      <c r="AK115" s="46" t="str">
        <f aca="false">IF($D115="Panel Details",$O115,"")</f>
        <v/>
      </c>
      <c r="AL115" s="46" t="str">
        <f aca="false">IF($D115="Panel Details",8,"")</f>
        <v/>
      </c>
      <c r="AM115" s="46" t="str">
        <f aca="false">IF($D115="Panel Details",$AB115,"")</f>
        <v/>
      </c>
      <c r="AN115" s="46" t="str">
        <f aca="false">IF($D115="Panel Details","Yes","")</f>
        <v/>
      </c>
      <c r="AO115" s="46"/>
      <c r="AP115" s="46" t="str">
        <f aca="false">IF($D115="Followup",'Survey Response'!$D113,"")</f>
        <v/>
      </c>
      <c r="AQ115" s="46" t="str">
        <f aca="false">IF($D115="Followup",'Survey Response'!$E113,"")</f>
        <v/>
      </c>
      <c r="AR115" s="46" t="str">
        <f aca="false">IF($D115="Followup",'Survey Response'!$G113,"")</f>
        <v/>
      </c>
      <c r="AS115" s="46" t="str">
        <f aca="false">IF($D115="Followup",'Survey Response'!$H113,"")</f>
        <v/>
      </c>
      <c r="AT115" s="46" t="str">
        <f aca="false">IF($D115="Followup",'Survey Response'!$M113,"")</f>
        <v/>
      </c>
      <c r="AU115" s="46" t="str">
        <f aca="false">IF($D115="Followup",'Survey Response'!$K113,"")</f>
        <v/>
      </c>
      <c r="AV115" s="46" t="str">
        <f aca="false">IF($D115="Followup",'Survey Response'!$L113,"")</f>
        <v/>
      </c>
      <c r="AW115" s="46" t="str">
        <f aca="false">IF($D115="Followup",IF(AND($P115&lt;&gt;"Yes",$U115&lt;&gt;"Yes"),"Not approved for primary or secondary skill","Approved, but skill(s) no longer have capacity (fully staffed)"),"")</f>
        <v/>
      </c>
    </row>
    <row r="116" customFormat="false" ht="15" hidden="false" customHeight="true" outlineLevel="0" collapsed="false">
      <c r="A116" s="46" t="str">
        <f aca="false">IF('Survey Response'!$D114="","",'Survey Response'!$A114&amp;"|"&amp;LOWER(TRIM('Survey Response'!$D114)))</f>
        <v/>
      </c>
      <c r="B116" s="46" t="str">
        <f aca="false">IF($H116="","",$F116&amp;"|"&amp;$H116)</f>
        <v/>
      </c>
      <c r="C116" s="46" t="str">
        <f aca="false">IF($H116="","",$A116=$B116)</f>
        <v/>
      </c>
      <c r="D116" s="46" t="str">
        <f aca="false">IF($H116="","",IF($E116&lt;&gt;"Yes","Superseded",IF($I116&lt;&gt;"Yes, I'm available for in-person interviews at Chennai","Not Available",IF($Z116&lt;&gt;"","Panel Details","Followup"))))</f>
        <v/>
      </c>
      <c r="E116" s="46" t="str">
        <f aca="false">IF($H116="","",IF(SUMPRODUCT(($H$4:$H$503=$H116)*(($G$4:$G$503&gt;$G116)+($G$4:$G$503=$G116)*($F$4:$F$503&gt;$F116)))=0,"Yes","No"))</f>
        <v/>
      </c>
      <c r="F116" s="47" t="str">
        <f aca="false">IF('Survey Response'!$D114="","",INT('Survey Response'!$A114))</f>
        <v/>
      </c>
      <c r="G116" s="46" t="str">
        <f aca="false">IF('Survey Response'!$D114="","",'Survey Response'!$C114)</f>
        <v/>
      </c>
      <c r="H116" s="46" t="str">
        <f aca="false">IF('Survey Response'!$D114="","",LOWER(TRIM('Survey Response'!$D114)))</f>
        <v/>
      </c>
      <c r="I116" s="46" t="str">
        <f aca="false">IF($H116="","",'Survey Response'!$I114)</f>
        <v/>
      </c>
      <c r="J116" s="46" t="str">
        <f aca="false">IF($H116="","",'Survey Response'!$K114)</f>
        <v/>
      </c>
      <c r="K116" s="46" t="str">
        <f aca="false">IF($J116="","",IF(COUNTIF('Skill Mapping'!$A$2:$A$7,TRIM($J116))=0,"",INDEX('Skill Mapping'!$B$2:$B$7,MATCH(TRIM($J116),'Skill Mapping'!$A$2:$A$7,0))))</f>
        <v/>
      </c>
      <c r="L116" s="46" t="str">
        <f aca="false">IF($H116="","",'Survey Response'!$L114)</f>
        <v/>
      </c>
      <c r="M116" s="46" t="str">
        <f aca="false">IF($L116="","",IF(COUNTIF('Skill Mapping'!$A$2:$A$7,TRIM($L116))=0,"",INDEX('Skill Mapping'!$B$2:$B$7,MATCH(TRIM($L116),'Skill Mapping'!$A$2:$A$7,0))))</f>
        <v/>
      </c>
      <c r="N116" s="46" t="str">
        <f aca="false">IF($H116="","",'Survey Response'!$M114)</f>
        <v/>
      </c>
      <c r="O116" s="46" t="str">
        <f aca="false">IF($H116="","",IF('Survey Response'!$M114="Manager","R2","R1"))</f>
        <v/>
      </c>
      <c r="P116" s="46" t="str">
        <f aca="false">IF($K116="","No",IF(COUNTIFS(MasterPanel!$B:$B,$H116,MasterPanel!$I:$I,$K116,MasterPanel!$K:$K,"Y")&gt;0,"Yes","No"))</f>
        <v>No</v>
      </c>
      <c r="Q116" s="46" t="n">
        <f aca="false">IF($K116="",0,IF(COUNTIF('Gap Sheet'!$A$6:$A$11,TRIM($J116))=0,0,IF($O116="R1",INDEX('Gap Sheet'!$C$6:$C$11,MATCH(TRIM($J116),'Gap Sheet'!$A$6:$A$11,0)),INDEX('Gap Sheet'!$G$6:$G$11,MATCH(TRIM($J116),'Gap Sheet'!$A$6:$A$11,0)))))</f>
        <v>0</v>
      </c>
      <c r="R116" s="46" t="str">
        <f aca="false">IF($K116="","",$K116&amp;"|"&amp;$O116)</f>
        <v/>
      </c>
      <c r="S116" s="46" t="n">
        <f aca="false">IF($R116="",0,COUNTIF($AA$4:$AA115,$R116))</f>
        <v>0</v>
      </c>
      <c r="T116" s="46" t="str">
        <f aca="false">IF(OR($I116&lt;&gt;"Yes, I'm available for in-person interviews at Chennai",$E116&lt;&gt;"Yes",$P116&lt;&gt;"Yes"),"No",IF(($Q116-$S116)&gt;0,"Yes","No"))</f>
        <v>No</v>
      </c>
      <c r="U116" s="46" t="str">
        <f aca="false">IF($M116="","No",IF(COUNTIFS(MasterPanel!$B:$B,$H116,MasterPanel!$I:$I,$M116,MasterPanel!$K:$K,"Y")&gt;0,"Yes","No"))</f>
        <v>No</v>
      </c>
      <c r="V116" s="46" t="n">
        <f aca="false">IF($M116="",0,IF(COUNTIF('Gap Sheet'!$A$6:$A$11,TRIM($L116))=0,0,IF($O116="R1",INDEX('Gap Sheet'!$C$6:$C$11,MATCH(TRIM($L116),'Gap Sheet'!$A$6:$A$11,0)),INDEX('Gap Sheet'!$G$6:$G$11,MATCH(TRIM($L116),'Gap Sheet'!$A$6:$A$11,0)))))</f>
        <v>0</v>
      </c>
      <c r="W116" s="46" t="str">
        <f aca="false">IF($M116="","",$M116&amp;"|"&amp;$O116)</f>
        <v/>
      </c>
      <c r="X116" s="46" t="n">
        <f aca="false">IF($W116="",0,COUNTIF($AA$4:$AA115,$W116))</f>
        <v>0</v>
      </c>
      <c r="Y116" s="46" t="str">
        <f aca="false">IF(OR($I116&lt;&gt;"Yes, I'm available for in-person interviews at Chennai",$E116&lt;&gt;"Yes",$T116="Yes",$U116&lt;&gt;"Yes"),"No",IF(($V116-$X116)&gt;0,"Yes","No"))</f>
        <v>No</v>
      </c>
      <c r="Z116" s="46" t="str">
        <f aca="false">IF($T116="Yes","Primary",IF($Y116="Yes","Secondary",""))</f>
        <v/>
      </c>
      <c r="AA116" s="46" t="str">
        <f aca="false">IF($Z116="Primary",$R116,IF($Z116="Secondary",$W116,""))</f>
        <v/>
      </c>
      <c r="AB116" s="46" t="str">
        <f aca="false">IF($Z116="Primary","Matched on primary skill",IF($Z116="Secondary","Matched on secondary skill (primary not approved or not required)",""))</f>
        <v/>
      </c>
      <c r="AC116" s="47" t="str">
        <f aca="false">IF($D116="Panel Details",$F116,"")</f>
        <v/>
      </c>
      <c r="AD116" s="46" t="str">
        <f aca="false">IF($D116="Panel Details",'Survey Response'!$D114,"")</f>
        <v/>
      </c>
      <c r="AE116" s="46" t="str">
        <f aca="false">IF($D116="Panel Details",'Survey Response'!$E114,"")</f>
        <v/>
      </c>
      <c r="AF116" s="46" t="str">
        <f aca="false">IF($D116="Panel Details",'Survey Response'!$G114,"")</f>
        <v/>
      </c>
      <c r="AG116" s="46" t="str">
        <f aca="false">IF($D116="Panel Details",IF($Z116="Primary",$J116,$L116),"")</f>
        <v/>
      </c>
      <c r="AH116" s="46" t="str">
        <f aca="false">IF($D116="Panel Details",IF($Z116="Primary",$L116,$J116),"")</f>
        <v/>
      </c>
      <c r="AI116" s="46" t="str">
        <f aca="false">IF($D116="Panel Details",'Survey Response'!$H114,"")</f>
        <v/>
      </c>
      <c r="AJ116" s="46" t="str">
        <f aca="false">IF($D116="Panel Details",'Survey Response'!$M114,"")</f>
        <v/>
      </c>
      <c r="AK116" s="46" t="str">
        <f aca="false">IF($D116="Panel Details",$O116,"")</f>
        <v/>
      </c>
      <c r="AL116" s="46" t="str">
        <f aca="false">IF($D116="Panel Details",8,"")</f>
        <v/>
      </c>
      <c r="AM116" s="46" t="str">
        <f aca="false">IF($D116="Panel Details",$AB116,"")</f>
        <v/>
      </c>
      <c r="AN116" s="46" t="str">
        <f aca="false">IF($D116="Panel Details","Yes","")</f>
        <v/>
      </c>
      <c r="AO116" s="46"/>
      <c r="AP116" s="46" t="str">
        <f aca="false">IF($D116="Followup",'Survey Response'!$D114,"")</f>
        <v/>
      </c>
      <c r="AQ116" s="46" t="str">
        <f aca="false">IF($D116="Followup",'Survey Response'!$E114,"")</f>
        <v/>
      </c>
      <c r="AR116" s="46" t="str">
        <f aca="false">IF($D116="Followup",'Survey Response'!$G114,"")</f>
        <v/>
      </c>
      <c r="AS116" s="46" t="str">
        <f aca="false">IF($D116="Followup",'Survey Response'!$H114,"")</f>
        <v/>
      </c>
      <c r="AT116" s="46" t="str">
        <f aca="false">IF($D116="Followup",'Survey Response'!$M114,"")</f>
        <v/>
      </c>
      <c r="AU116" s="46" t="str">
        <f aca="false">IF($D116="Followup",'Survey Response'!$K114,"")</f>
        <v/>
      </c>
      <c r="AV116" s="46" t="str">
        <f aca="false">IF($D116="Followup",'Survey Response'!$L114,"")</f>
        <v/>
      </c>
      <c r="AW116" s="46" t="str">
        <f aca="false">IF($D116="Followup",IF(AND($P116&lt;&gt;"Yes",$U116&lt;&gt;"Yes"),"Not approved for primary or secondary skill","Approved, but skill(s) no longer have capacity (fully staffed)"),"")</f>
        <v/>
      </c>
    </row>
    <row r="117" customFormat="false" ht="15" hidden="false" customHeight="true" outlineLevel="0" collapsed="false">
      <c r="A117" s="46" t="str">
        <f aca="false">IF('Survey Response'!$D115="","",'Survey Response'!$A115&amp;"|"&amp;LOWER(TRIM('Survey Response'!$D115)))</f>
        <v/>
      </c>
      <c r="B117" s="46" t="str">
        <f aca="false">IF($H117="","",$F117&amp;"|"&amp;$H117)</f>
        <v/>
      </c>
      <c r="C117" s="46" t="str">
        <f aca="false">IF($H117="","",$A117=$B117)</f>
        <v/>
      </c>
      <c r="D117" s="46" t="str">
        <f aca="false">IF($H117="","",IF($E117&lt;&gt;"Yes","Superseded",IF($I117&lt;&gt;"Yes, I'm available for in-person interviews at Chennai","Not Available",IF($Z117&lt;&gt;"","Panel Details","Followup"))))</f>
        <v/>
      </c>
      <c r="E117" s="46" t="str">
        <f aca="false">IF($H117="","",IF(SUMPRODUCT(($H$4:$H$503=$H117)*(($G$4:$G$503&gt;$G117)+($G$4:$G$503=$G117)*($F$4:$F$503&gt;$F117)))=0,"Yes","No"))</f>
        <v/>
      </c>
      <c r="F117" s="47" t="str">
        <f aca="false">IF('Survey Response'!$D115="","",INT('Survey Response'!$A115))</f>
        <v/>
      </c>
      <c r="G117" s="46" t="str">
        <f aca="false">IF('Survey Response'!$D115="","",'Survey Response'!$C115)</f>
        <v/>
      </c>
      <c r="H117" s="46" t="str">
        <f aca="false">IF('Survey Response'!$D115="","",LOWER(TRIM('Survey Response'!$D115)))</f>
        <v/>
      </c>
      <c r="I117" s="46" t="str">
        <f aca="false">IF($H117="","",'Survey Response'!$I115)</f>
        <v/>
      </c>
      <c r="J117" s="46" t="str">
        <f aca="false">IF($H117="","",'Survey Response'!$K115)</f>
        <v/>
      </c>
      <c r="K117" s="46" t="str">
        <f aca="false">IF($J117="","",IF(COUNTIF('Skill Mapping'!$A$2:$A$7,TRIM($J117))=0,"",INDEX('Skill Mapping'!$B$2:$B$7,MATCH(TRIM($J117),'Skill Mapping'!$A$2:$A$7,0))))</f>
        <v/>
      </c>
      <c r="L117" s="46" t="str">
        <f aca="false">IF($H117="","",'Survey Response'!$L115)</f>
        <v/>
      </c>
      <c r="M117" s="46" t="str">
        <f aca="false">IF($L117="","",IF(COUNTIF('Skill Mapping'!$A$2:$A$7,TRIM($L117))=0,"",INDEX('Skill Mapping'!$B$2:$B$7,MATCH(TRIM($L117),'Skill Mapping'!$A$2:$A$7,0))))</f>
        <v/>
      </c>
      <c r="N117" s="46" t="str">
        <f aca="false">IF($H117="","",'Survey Response'!$M115)</f>
        <v/>
      </c>
      <c r="O117" s="46" t="str">
        <f aca="false">IF($H117="","",IF('Survey Response'!$M115="Manager","R2","R1"))</f>
        <v/>
      </c>
      <c r="P117" s="46" t="str">
        <f aca="false">IF($K117="","No",IF(COUNTIFS(MasterPanel!$B:$B,$H117,MasterPanel!$I:$I,$K117,MasterPanel!$K:$K,"Y")&gt;0,"Yes","No"))</f>
        <v>No</v>
      </c>
      <c r="Q117" s="46" t="n">
        <f aca="false">IF($K117="",0,IF(COUNTIF('Gap Sheet'!$A$6:$A$11,TRIM($J117))=0,0,IF($O117="R1",INDEX('Gap Sheet'!$C$6:$C$11,MATCH(TRIM($J117),'Gap Sheet'!$A$6:$A$11,0)),INDEX('Gap Sheet'!$G$6:$G$11,MATCH(TRIM($J117),'Gap Sheet'!$A$6:$A$11,0)))))</f>
        <v>0</v>
      </c>
      <c r="R117" s="46" t="str">
        <f aca="false">IF($K117="","",$K117&amp;"|"&amp;$O117)</f>
        <v/>
      </c>
      <c r="S117" s="46" t="n">
        <f aca="false">IF($R117="",0,COUNTIF($AA$4:$AA116,$R117))</f>
        <v>0</v>
      </c>
      <c r="T117" s="46" t="str">
        <f aca="false">IF(OR($I117&lt;&gt;"Yes, I'm available for in-person interviews at Chennai",$E117&lt;&gt;"Yes",$P117&lt;&gt;"Yes"),"No",IF(($Q117-$S117)&gt;0,"Yes","No"))</f>
        <v>No</v>
      </c>
      <c r="U117" s="46" t="str">
        <f aca="false">IF($M117="","No",IF(COUNTIFS(MasterPanel!$B:$B,$H117,MasterPanel!$I:$I,$M117,MasterPanel!$K:$K,"Y")&gt;0,"Yes","No"))</f>
        <v>No</v>
      </c>
      <c r="V117" s="46" t="n">
        <f aca="false">IF($M117="",0,IF(COUNTIF('Gap Sheet'!$A$6:$A$11,TRIM($L117))=0,0,IF($O117="R1",INDEX('Gap Sheet'!$C$6:$C$11,MATCH(TRIM($L117),'Gap Sheet'!$A$6:$A$11,0)),INDEX('Gap Sheet'!$G$6:$G$11,MATCH(TRIM($L117),'Gap Sheet'!$A$6:$A$11,0)))))</f>
        <v>0</v>
      </c>
      <c r="W117" s="46" t="str">
        <f aca="false">IF($M117="","",$M117&amp;"|"&amp;$O117)</f>
        <v/>
      </c>
      <c r="X117" s="46" t="n">
        <f aca="false">IF($W117="",0,COUNTIF($AA$4:$AA116,$W117))</f>
        <v>0</v>
      </c>
      <c r="Y117" s="46" t="str">
        <f aca="false">IF(OR($I117&lt;&gt;"Yes, I'm available for in-person interviews at Chennai",$E117&lt;&gt;"Yes",$T117="Yes",$U117&lt;&gt;"Yes"),"No",IF(($V117-$X117)&gt;0,"Yes","No"))</f>
        <v>No</v>
      </c>
      <c r="Z117" s="46" t="str">
        <f aca="false">IF($T117="Yes","Primary",IF($Y117="Yes","Secondary",""))</f>
        <v/>
      </c>
      <c r="AA117" s="46" t="str">
        <f aca="false">IF($Z117="Primary",$R117,IF($Z117="Secondary",$W117,""))</f>
        <v/>
      </c>
      <c r="AB117" s="46" t="str">
        <f aca="false">IF($Z117="Primary","Matched on primary skill",IF($Z117="Secondary","Matched on secondary skill (primary not approved or not required)",""))</f>
        <v/>
      </c>
      <c r="AC117" s="47" t="str">
        <f aca="false">IF($D117="Panel Details",$F117,"")</f>
        <v/>
      </c>
      <c r="AD117" s="46" t="str">
        <f aca="false">IF($D117="Panel Details",'Survey Response'!$D115,"")</f>
        <v/>
      </c>
      <c r="AE117" s="46" t="str">
        <f aca="false">IF($D117="Panel Details",'Survey Response'!$E115,"")</f>
        <v/>
      </c>
      <c r="AF117" s="46" t="str">
        <f aca="false">IF($D117="Panel Details",'Survey Response'!$G115,"")</f>
        <v/>
      </c>
      <c r="AG117" s="46" t="str">
        <f aca="false">IF($D117="Panel Details",IF($Z117="Primary",$J117,$L117),"")</f>
        <v/>
      </c>
      <c r="AH117" s="46" t="str">
        <f aca="false">IF($D117="Panel Details",IF($Z117="Primary",$L117,$J117),"")</f>
        <v/>
      </c>
      <c r="AI117" s="46" t="str">
        <f aca="false">IF($D117="Panel Details",'Survey Response'!$H115,"")</f>
        <v/>
      </c>
      <c r="AJ117" s="46" t="str">
        <f aca="false">IF($D117="Panel Details",'Survey Response'!$M115,"")</f>
        <v/>
      </c>
      <c r="AK117" s="46" t="str">
        <f aca="false">IF($D117="Panel Details",$O117,"")</f>
        <v/>
      </c>
      <c r="AL117" s="46" t="str">
        <f aca="false">IF($D117="Panel Details",8,"")</f>
        <v/>
      </c>
      <c r="AM117" s="46" t="str">
        <f aca="false">IF($D117="Panel Details",$AB117,"")</f>
        <v/>
      </c>
      <c r="AN117" s="46" t="str">
        <f aca="false">IF($D117="Panel Details","Yes","")</f>
        <v/>
      </c>
      <c r="AO117" s="46"/>
      <c r="AP117" s="46" t="str">
        <f aca="false">IF($D117="Followup",'Survey Response'!$D115,"")</f>
        <v/>
      </c>
      <c r="AQ117" s="46" t="str">
        <f aca="false">IF($D117="Followup",'Survey Response'!$E115,"")</f>
        <v/>
      </c>
      <c r="AR117" s="46" t="str">
        <f aca="false">IF($D117="Followup",'Survey Response'!$G115,"")</f>
        <v/>
      </c>
      <c r="AS117" s="46" t="str">
        <f aca="false">IF($D117="Followup",'Survey Response'!$H115,"")</f>
        <v/>
      </c>
      <c r="AT117" s="46" t="str">
        <f aca="false">IF($D117="Followup",'Survey Response'!$M115,"")</f>
        <v/>
      </c>
      <c r="AU117" s="46" t="str">
        <f aca="false">IF($D117="Followup",'Survey Response'!$K115,"")</f>
        <v/>
      </c>
      <c r="AV117" s="46" t="str">
        <f aca="false">IF($D117="Followup",'Survey Response'!$L115,"")</f>
        <v/>
      </c>
      <c r="AW117" s="46" t="str">
        <f aca="false">IF($D117="Followup",IF(AND($P117&lt;&gt;"Yes",$U117&lt;&gt;"Yes"),"Not approved for primary or secondary skill","Approved, but skill(s) no longer have capacity (fully staffed)"),"")</f>
        <v/>
      </c>
    </row>
    <row r="118" customFormat="false" ht="15" hidden="false" customHeight="true" outlineLevel="0" collapsed="false">
      <c r="A118" s="46" t="str">
        <f aca="false">IF('Survey Response'!$D116="","",'Survey Response'!$A116&amp;"|"&amp;LOWER(TRIM('Survey Response'!$D116)))</f>
        <v/>
      </c>
      <c r="B118" s="46" t="str">
        <f aca="false">IF($H118="","",$F118&amp;"|"&amp;$H118)</f>
        <v/>
      </c>
      <c r="C118" s="46" t="str">
        <f aca="false">IF($H118="","",$A118=$B118)</f>
        <v/>
      </c>
      <c r="D118" s="46" t="str">
        <f aca="false">IF($H118="","",IF($E118&lt;&gt;"Yes","Superseded",IF($I118&lt;&gt;"Yes, I'm available for in-person interviews at Chennai","Not Available",IF($Z118&lt;&gt;"","Panel Details","Followup"))))</f>
        <v/>
      </c>
      <c r="E118" s="46" t="str">
        <f aca="false">IF($H118="","",IF(SUMPRODUCT(($H$4:$H$503=$H118)*(($G$4:$G$503&gt;$G118)+($G$4:$G$503=$G118)*($F$4:$F$503&gt;$F118)))=0,"Yes","No"))</f>
        <v/>
      </c>
      <c r="F118" s="47" t="str">
        <f aca="false">IF('Survey Response'!$D116="","",INT('Survey Response'!$A116))</f>
        <v/>
      </c>
      <c r="G118" s="46" t="str">
        <f aca="false">IF('Survey Response'!$D116="","",'Survey Response'!$C116)</f>
        <v/>
      </c>
      <c r="H118" s="46" t="str">
        <f aca="false">IF('Survey Response'!$D116="","",LOWER(TRIM('Survey Response'!$D116)))</f>
        <v/>
      </c>
      <c r="I118" s="46" t="str">
        <f aca="false">IF($H118="","",'Survey Response'!$I116)</f>
        <v/>
      </c>
      <c r="J118" s="46" t="str">
        <f aca="false">IF($H118="","",'Survey Response'!$K116)</f>
        <v/>
      </c>
      <c r="K118" s="46" t="str">
        <f aca="false">IF($J118="","",IF(COUNTIF('Skill Mapping'!$A$2:$A$7,TRIM($J118))=0,"",INDEX('Skill Mapping'!$B$2:$B$7,MATCH(TRIM($J118),'Skill Mapping'!$A$2:$A$7,0))))</f>
        <v/>
      </c>
      <c r="L118" s="46" t="str">
        <f aca="false">IF($H118="","",'Survey Response'!$L116)</f>
        <v/>
      </c>
      <c r="M118" s="46" t="str">
        <f aca="false">IF($L118="","",IF(COUNTIF('Skill Mapping'!$A$2:$A$7,TRIM($L118))=0,"",INDEX('Skill Mapping'!$B$2:$B$7,MATCH(TRIM($L118),'Skill Mapping'!$A$2:$A$7,0))))</f>
        <v/>
      </c>
      <c r="N118" s="46" t="str">
        <f aca="false">IF($H118="","",'Survey Response'!$M116)</f>
        <v/>
      </c>
      <c r="O118" s="46" t="str">
        <f aca="false">IF($H118="","",IF('Survey Response'!$M116="Manager","R2","R1"))</f>
        <v/>
      </c>
      <c r="P118" s="46" t="str">
        <f aca="false">IF($K118="","No",IF(COUNTIFS(MasterPanel!$B:$B,$H118,MasterPanel!$I:$I,$K118,MasterPanel!$K:$K,"Y")&gt;0,"Yes","No"))</f>
        <v>No</v>
      </c>
      <c r="Q118" s="46" t="n">
        <f aca="false">IF($K118="",0,IF(COUNTIF('Gap Sheet'!$A$6:$A$11,TRIM($J118))=0,0,IF($O118="R1",INDEX('Gap Sheet'!$C$6:$C$11,MATCH(TRIM($J118),'Gap Sheet'!$A$6:$A$11,0)),INDEX('Gap Sheet'!$G$6:$G$11,MATCH(TRIM($J118),'Gap Sheet'!$A$6:$A$11,0)))))</f>
        <v>0</v>
      </c>
      <c r="R118" s="46" t="str">
        <f aca="false">IF($K118="","",$K118&amp;"|"&amp;$O118)</f>
        <v/>
      </c>
      <c r="S118" s="46" t="n">
        <f aca="false">IF($R118="",0,COUNTIF($AA$4:$AA117,$R118))</f>
        <v>0</v>
      </c>
      <c r="T118" s="46" t="str">
        <f aca="false">IF(OR($I118&lt;&gt;"Yes, I'm available for in-person interviews at Chennai",$E118&lt;&gt;"Yes",$P118&lt;&gt;"Yes"),"No",IF(($Q118-$S118)&gt;0,"Yes","No"))</f>
        <v>No</v>
      </c>
      <c r="U118" s="46" t="str">
        <f aca="false">IF($M118="","No",IF(COUNTIFS(MasterPanel!$B:$B,$H118,MasterPanel!$I:$I,$M118,MasterPanel!$K:$K,"Y")&gt;0,"Yes","No"))</f>
        <v>No</v>
      </c>
      <c r="V118" s="46" t="n">
        <f aca="false">IF($M118="",0,IF(COUNTIF('Gap Sheet'!$A$6:$A$11,TRIM($L118))=0,0,IF($O118="R1",INDEX('Gap Sheet'!$C$6:$C$11,MATCH(TRIM($L118),'Gap Sheet'!$A$6:$A$11,0)),INDEX('Gap Sheet'!$G$6:$G$11,MATCH(TRIM($L118),'Gap Sheet'!$A$6:$A$11,0)))))</f>
        <v>0</v>
      </c>
      <c r="W118" s="46" t="str">
        <f aca="false">IF($M118="","",$M118&amp;"|"&amp;$O118)</f>
        <v/>
      </c>
      <c r="X118" s="46" t="n">
        <f aca="false">IF($W118="",0,COUNTIF($AA$4:$AA117,$W118))</f>
        <v>0</v>
      </c>
      <c r="Y118" s="46" t="str">
        <f aca="false">IF(OR($I118&lt;&gt;"Yes, I'm available for in-person interviews at Chennai",$E118&lt;&gt;"Yes",$T118="Yes",$U118&lt;&gt;"Yes"),"No",IF(($V118-$X118)&gt;0,"Yes","No"))</f>
        <v>No</v>
      </c>
      <c r="Z118" s="46" t="str">
        <f aca="false">IF($T118="Yes","Primary",IF($Y118="Yes","Secondary",""))</f>
        <v/>
      </c>
      <c r="AA118" s="46" t="str">
        <f aca="false">IF($Z118="Primary",$R118,IF($Z118="Secondary",$W118,""))</f>
        <v/>
      </c>
      <c r="AB118" s="46" t="str">
        <f aca="false">IF($Z118="Primary","Matched on primary skill",IF($Z118="Secondary","Matched on secondary skill (primary not approved or not required)",""))</f>
        <v/>
      </c>
      <c r="AC118" s="47" t="str">
        <f aca="false">IF($D118="Panel Details",$F118,"")</f>
        <v/>
      </c>
      <c r="AD118" s="46" t="str">
        <f aca="false">IF($D118="Panel Details",'Survey Response'!$D116,"")</f>
        <v/>
      </c>
      <c r="AE118" s="46" t="str">
        <f aca="false">IF($D118="Panel Details",'Survey Response'!$E116,"")</f>
        <v/>
      </c>
      <c r="AF118" s="46" t="str">
        <f aca="false">IF($D118="Panel Details",'Survey Response'!$G116,"")</f>
        <v/>
      </c>
      <c r="AG118" s="46" t="str">
        <f aca="false">IF($D118="Panel Details",IF($Z118="Primary",$J118,$L118),"")</f>
        <v/>
      </c>
      <c r="AH118" s="46" t="str">
        <f aca="false">IF($D118="Panel Details",IF($Z118="Primary",$L118,$J118),"")</f>
        <v/>
      </c>
      <c r="AI118" s="46" t="str">
        <f aca="false">IF($D118="Panel Details",'Survey Response'!$H116,"")</f>
        <v/>
      </c>
      <c r="AJ118" s="46" t="str">
        <f aca="false">IF($D118="Panel Details",'Survey Response'!$M116,"")</f>
        <v/>
      </c>
      <c r="AK118" s="46" t="str">
        <f aca="false">IF($D118="Panel Details",$O118,"")</f>
        <v/>
      </c>
      <c r="AL118" s="46" t="str">
        <f aca="false">IF($D118="Panel Details",8,"")</f>
        <v/>
      </c>
      <c r="AM118" s="46" t="str">
        <f aca="false">IF($D118="Panel Details",$AB118,"")</f>
        <v/>
      </c>
      <c r="AN118" s="46" t="str">
        <f aca="false">IF($D118="Panel Details","Yes","")</f>
        <v/>
      </c>
      <c r="AO118" s="46"/>
      <c r="AP118" s="46" t="str">
        <f aca="false">IF($D118="Followup",'Survey Response'!$D116,"")</f>
        <v/>
      </c>
      <c r="AQ118" s="46" t="str">
        <f aca="false">IF($D118="Followup",'Survey Response'!$E116,"")</f>
        <v/>
      </c>
      <c r="AR118" s="46" t="str">
        <f aca="false">IF($D118="Followup",'Survey Response'!$G116,"")</f>
        <v/>
      </c>
      <c r="AS118" s="46" t="str">
        <f aca="false">IF($D118="Followup",'Survey Response'!$H116,"")</f>
        <v/>
      </c>
      <c r="AT118" s="46" t="str">
        <f aca="false">IF($D118="Followup",'Survey Response'!$M116,"")</f>
        <v/>
      </c>
      <c r="AU118" s="46" t="str">
        <f aca="false">IF($D118="Followup",'Survey Response'!$K116,"")</f>
        <v/>
      </c>
      <c r="AV118" s="46" t="str">
        <f aca="false">IF($D118="Followup",'Survey Response'!$L116,"")</f>
        <v/>
      </c>
      <c r="AW118" s="46" t="str">
        <f aca="false">IF($D118="Followup",IF(AND($P118&lt;&gt;"Yes",$U118&lt;&gt;"Yes"),"Not approved for primary or secondary skill","Approved, but skill(s) no longer have capacity (fully staffed)"),"")</f>
        <v/>
      </c>
    </row>
    <row r="119" customFormat="false" ht="15" hidden="false" customHeight="true" outlineLevel="0" collapsed="false">
      <c r="A119" s="46" t="str">
        <f aca="false">IF('Survey Response'!$D117="","",'Survey Response'!$A117&amp;"|"&amp;LOWER(TRIM('Survey Response'!$D117)))</f>
        <v/>
      </c>
      <c r="B119" s="46" t="str">
        <f aca="false">IF($H119="","",$F119&amp;"|"&amp;$H119)</f>
        <v/>
      </c>
      <c r="C119" s="46" t="str">
        <f aca="false">IF($H119="","",$A119=$B119)</f>
        <v/>
      </c>
      <c r="D119" s="46" t="str">
        <f aca="false">IF($H119="","",IF($E119&lt;&gt;"Yes","Superseded",IF($I119&lt;&gt;"Yes, I'm available for in-person interviews at Chennai","Not Available",IF($Z119&lt;&gt;"","Panel Details","Followup"))))</f>
        <v/>
      </c>
      <c r="E119" s="46" t="str">
        <f aca="false">IF($H119="","",IF(SUMPRODUCT(($H$4:$H$503=$H119)*(($G$4:$G$503&gt;$G119)+($G$4:$G$503=$G119)*($F$4:$F$503&gt;$F119)))=0,"Yes","No"))</f>
        <v/>
      </c>
      <c r="F119" s="47" t="str">
        <f aca="false">IF('Survey Response'!$D117="","",INT('Survey Response'!$A117))</f>
        <v/>
      </c>
      <c r="G119" s="46" t="str">
        <f aca="false">IF('Survey Response'!$D117="","",'Survey Response'!$C117)</f>
        <v/>
      </c>
      <c r="H119" s="46" t="str">
        <f aca="false">IF('Survey Response'!$D117="","",LOWER(TRIM('Survey Response'!$D117)))</f>
        <v/>
      </c>
      <c r="I119" s="46" t="str">
        <f aca="false">IF($H119="","",'Survey Response'!$I117)</f>
        <v/>
      </c>
      <c r="J119" s="46" t="str">
        <f aca="false">IF($H119="","",'Survey Response'!$K117)</f>
        <v/>
      </c>
      <c r="K119" s="46" t="str">
        <f aca="false">IF($J119="","",IF(COUNTIF('Skill Mapping'!$A$2:$A$7,TRIM($J119))=0,"",INDEX('Skill Mapping'!$B$2:$B$7,MATCH(TRIM($J119),'Skill Mapping'!$A$2:$A$7,0))))</f>
        <v/>
      </c>
      <c r="L119" s="46" t="str">
        <f aca="false">IF($H119="","",'Survey Response'!$L117)</f>
        <v/>
      </c>
      <c r="M119" s="46" t="str">
        <f aca="false">IF($L119="","",IF(COUNTIF('Skill Mapping'!$A$2:$A$7,TRIM($L119))=0,"",INDEX('Skill Mapping'!$B$2:$B$7,MATCH(TRIM($L119),'Skill Mapping'!$A$2:$A$7,0))))</f>
        <v/>
      </c>
      <c r="N119" s="46" t="str">
        <f aca="false">IF($H119="","",'Survey Response'!$M117)</f>
        <v/>
      </c>
      <c r="O119" s="46" t="str">
        <f aca="false">IF($H119="","",IF('Survey Response'!$M117="Manager","R2","R1"))</f>
        <v/>
      </c>
      <c r="P119" s="46" t="str">
        <f aca="false">IF($K119="","No",IF(COUNTIFS(MasterPanel!$B:$B,$H119,MasterPanel!$I:$I,$K119,MasterPanel!$K:$K,"Y")&gt;0,"Yes","No"))</f>
        <v>No</v>
      </c>
      <c r="Q119" s="46" t="n">
        <f aca="false">IF($K119="",0,IF(COUNTIF('Gap Sheet'!$A$6:$A$11,TRIM($J119))=0,0,IF($O119="R1",INDEX('Gap Sheet'!$C$6:$C$11,MATCH(TRIM($J119),'Gap Sheet'!$A$6:$A$11,0)),INDEX('Gap Sheet'!$G$6:$G$11,MATCH(TRIM($J119),'Gap Sheet'!$A$6:$A$11,0)))))</f>
        <v>0</v>
      </c>
      <c r="R119" s="46" t="str">
        <f aca="false">IF($K119="","",$K119&amp;"|"&amp;$O119)</f>
        <v/>
      </c>
      <c r="S119" s="46" t="n">
        <f aca="false">IF($R119="",0,COUNTIF($AA$4:$AA118,$R119))</f>
        <v>0</v>
      </c>
      <c r="T119" s="46" t="str">
        <f aca="false">IF(OR($I119&lt;&gt;"Yes, I'm available for in-person interviews at Chennai",$E119&lt;&gt;"Yes",$P119&lt;&gt;"Yes"),"No",IF(($Q119-$S119)&gt;0,"Yes","No"))</f>
        <v>No</v>
      </c>
      <c r="U119" s="46" t="str">
        <f aca="false">IF($M119="","No",IF(COUNTIFS(MasterPanel!$B:$B,$H119,MasterPanel!$I:$I,$M119,MasterPanel!$K:$K,"Y")&gt;0,"Yes","No"))</f>
        <v>No</v>
      </c>
      <c r="V119" s="46" t="n">
        <f aca="false">IF($M119="",0,IF(COUNTIF('Gap Sheet'!$A$6:$A$11,TRIM($L119))=0,0,IF($O119="R1",INDEX('Gap Sheet'!$C$6:$C$11,MATCH(TRIM($L119),'Gap Sheet'!$A$6:$A$11,0)),INDEX('Gap Sheet'!$G$6:$G$11,MATCH(TRIM($L119),'Gap Sheet'!$A$6:$A$11,0)))))</f>
        <v>0</v>
      </c>
      <c r="W119" s="46" t="str">
        <f aca="false">IF($M119="","",$M119&amp;"|"&amp;$O119)</f>
        <v/>
      </c>
      <c r="X119" s="46" t="n">
        <f aca="false">IF($W119="",0,COUNTIF($AA$4:$AA118,$W119))</f>
        <v>0</v>
      </c>
      <c r="Y119" s="46" t="str">
        <f aca="false">IF(OR($I119&lt;&gt;"Yes, I'm available for in-person interviews at Chennai",$E119&lt;&gt;"Yes",$T119="Yes",$U119&lt;&gt;"Yes"),"No",IF(($V119-$X119)&gt;0,"Yes","No"))</f>
        <v>No</v>
      </c>
      <c r="Z119" s="46" t="str">
        <f aca="false">IF($T119="Yes","Primary",IF($Y119="Yes","Secondary",""))</f>
        <v/>
      </c>
      <c r="AA119" s="46" t="str">
        <f aca="false">IF($Z119="Primary",$R119,IF($Z119="Secondary",$W119,""))</f>
        <v/>
      </c>
      <c r="AB119" s="46" t="str">
        <f aca="false">IF($Z119="Primary","Matched on primary skill",IF($Z119="Secondary","Matched on secondary skill (primary not approved or not required)",""))</f>
        <v/>
      </c>
      <c r="AC119" s="47" t="str">
        <f aca="false">IF($D119="Panel Details",$F119,"")</f>
        <v/>
      </c>
      <c r="AD119" s="46" t="str">
        <f aca="false">IF($D119="Panel Details",'Survey Response'!$D117,"")</f>
        <v/>
      </c>
      <c r="AE119" s="46" t="str">
        <f aca="false">IF($D119="Panel Details",'Survey Response'!$E117,"")</f>
        <v/>
      </c>
      <c r="AF119" s="46" t="str">
        <f aca="false">IF($D119="Panel Details",'Survey Response'!$G117,"")</f>
        <v/>
      </c>
      <c r="AG119" s="46" t="str">
        <f aca="false">IF($D119="Panel Details",IF($Z119="Primary",$J119,$L119),"")</f>
        <v/>
      </c>
      <c r="AH119" s="46" t="str">
        <f aca="false">IF($D119="Panel Details",IF($Z119="Primary",$L119,$J119),"")</f>
        <v/>
      </c>
      <c r="AI119" s="46" t="str">
        <f aca="false">IF($D119="Panel Details",'Survey Response'!$H117,"")</f>
        <v/>
      </c>
      <c r="AJ119" s="46" t="str">
        <f aca="false">IF($D119="Panel Details",'Survey Response'!$M117,"")</f>
        <v/>
      </c>
      <c r="AK119" s="46" t="str">
        <f aca="false">IF($D119="Panel Details",$O119,"")</f>
        <v/>
      </c>
      <c r="AL119" s="46" t="str">
        <f aca="false">IF($D119="Panel Details",8,"")</f>
        <v/>
      </c>
      <c r="AM119" s="46" t="str">
        <f aca="false">IF($D119="Panel Details",$AB119,"")</f>
        <v/>
      </c>
      <c r="AN119" s="46" t="str">
        <f aca="false">IF($D119="Panel Details","Yes","")</f>
        <v/>
      </c>
      <c r="AO119" s="46"/>
      <c r="AP119" s="46" t="str">
        <f aca="false">IF($D119="Followup",'Survey Response'!$D117,"")</f>
        <v/>
      </c>
      <c r="AQ119" s="46" t="str">
        <f aca="false">IF($D119="Followup",'Survey Response'!$E117,"")</f>
        <v/>
      </c>
      <c r="AR119" s="46" t="str">
        <f aca="false">IF($D119="Followup",'Survey Response'!$G117,"")</f>
        <v/>
      </c>
      <c r="AS119" s="46" t="str">
        <f aca="false">IF($D119="Followup",'Survey Response'!$H117,"")</f>
        <v/>
      </c>
      <c r="AT119" s="46" t="str">
        <f aca="false">IF($D119="Followup",'Survey Response'!$M117,"")</f>
        <v/>
      </c>
      <c r="AU119" s="46" t="str">
        <f aca="false">IF($D119="Followup",'Survey Response'!$K117,"")</f>
        <v/>
      </c>
      <c r="AV119" s="46" t="str">
        <f aca="false">IF($D119="Followup",'Survey Response'!$L117,"")</f>
        <v/>
      </c>
      <c r="AW119" s="46" t="str">
        <f aca="false">IF($D119="Followup",IF(AND($P119&lt;&gt;"Yes",$U119&lt;&gt;"Yes"),"Not approved for primary or secondary skill","Approved, but skill(s) no longer have capacity (fully staffed)"),"")</f>
        <v/>
      </c>
    </row>
    <row r="120" customFormat="false" ht="15" hidden="false" customHeight="true" outlineLevel="0" collapsed="false">
      <c r="A120" s="46" t="str">
        <f aca="false">IF('Survey Response'!$D118="","",'Survey Response'!$A118&amp;"|"&amp;LOWER(TRIM('Survey Response'!$D118)))</f>
        <v/>
      </c>
      <c r="B120" s="46" t="str">
        <f aca="false">IF($H120="","",$F120&amp;"|"&amp;$H120)</f>
        <v/>
      </c>
      <c r="C120" s="46" t="str">
        <f aca="false">IF($H120="","",$A120=$B120)</f>
        <v/>
      </c>
      <c r="D120" s="46" t="str">
        <f aca="false">IF($H120="","",IF($E120&lt;&gt;"Yes","Superseded",IF($I120&lt;&gt;"Yes, I'm available for in-person interviews at Chennai","Not Available",IF($Z120&lt;&gt;"","Panel Details","Followup"))))</f>
        <v/>
      </c>
      <c r="E120" s="46" t="str">
        <f aca="false">IF($H120="","",IF(SUMPRODUCT(($H$4:$H$503=$H120)*(($G$4:$G$503&gt;$G120)+($G$4:$G$503=$G120)*($F$4:$F$503&gt;$F120)))=0,"Yes","No"))</f>
        <v/>
      </c>
      <c r="F120" s="47" t="str">
        <f aca="false">IF('Survey Response'!$D118="","",INT('Survey Response'!$A118))</f>
        <v/>
      </c>
      <c r="G120" s="46" t="str">
        <f aca="false">IF('Survey Response'!$D118="","",'Survey Response'!$C118)</f>
        <v/>
      </c>
      <c r="H120" s="46" t="str">
        <f aca="false">IF('Survey Response'!$D118="","",LOWER(TRIM('Survey Response'!$D118)))</f>
        <v/>
      </c>
      <c r="I120" s="46" t="str">
        <f aca="false">IF($H120="","",'Survey Response'!$I118)</f>
        <v/>
      </c>
      <c r="J120" s="46" t="str">
        <f aca="false">IF($H120="","",'Survey Response'!$K118)</f>
        <v/>
      </c>
      <c r="K120" s="46" t="str">
        <f aca="false">IF($J120="","",IF(COUNTIF('Skill Mapping'!$A$2:$A$7,TRIM($J120))=0,"",INDEX('Skill Mapping'!$B$2:$B$7,MATCH(TRIM($J120),'Skill Mapping'!$A$2:$A$7,0))))</f>
        <v/>
      </c>
      <c r="L120" s="46" t="str">
        <f aca="false">IF($H120="","",'Survey Response'!$L118)</f>
        <v/>
      </c>
      <c r="M120" s="46" t="str">
        <f aca="false">IF($L120="","",IF(COUNTIF('Skill Mapping'!$A$2:$A$7,TRIM($L120))=0,"",INDEX('Skill Mapping'!$B$2:$B$7,MATCH(TRIM($L120),'Skill Mapping'!$A$2:$A$7,0))))</f>
        <v/>
      </c>
      <c r="N120" s="46" t="str">
        <f aca="false">IF($H120="","",'Survey Response'!$M118)</f>
        <v/>
      </c>
      <c r="O120" s="46" t="str">
        <f aca="false">IF($H120="","",IF('Survey Response'!$M118="Manager","R2","R1"))</f>
        <v/>
      </c>
      <c r="P120" s="46" t="str">
        <f aca="false">IF($K120="","No",IF(COUNTIFS(MasterPanel!$B:$B,$H120,MasterPanel!$I:$I,$K120,MasterPanel!$K:$K,"Y")&gt;0,"Yes","No"))</f>
        <v>No</v>
      </c>
      <c r="Q120" s="46" t="n">
        <f aca="false">IF($K120="",0,IF(COUNTIF('Gap Sheet'!$A$6:$A$11,TRIM($J120))=0,0,IF($O120="R1",INDEX('Gap Sheet'!$C$6:$C$11,MATCH(TRIM($J120),'Gap Sheet'!$A$6:$A$11,0)),INDEX('Gap Sheet'!$G$6:$G$11,MATCH(TRIM($J120),'Gap Sheet'!$A$6:$A$11,0)))))</f>
        <v>0</v>
      </c>
      <c r="R120" s="46" t="str">
        <f aca="false">IF($K120="","",$K120&amp;"|"&amp;$O120)</f>
        <v/>
      </c>
      <c r="S120" s="46" t="n">
        <f aca="false">IF($R120="",0,COUNTIF($AA$4:$AA119,$R120))</f>
        <v>0</v>
      </c>
      <c r="T120" s="46" t="str">
        <f aca="false">IF(OR($I120&lt;&gt;"Yes, I'm available for in-person interviews at Chennai",$E120&lt;&gt;"Yes",$P120&lt;&gt;"Yes"),"No",IF(($Q120-$S120)&gt;0,"Yes","No"))</f>
        <v>No</v>
      </c>
      <c r="U120" s="46" t="str">
        <f aca="false">IF($M120="","No",IF(COUNTIFS(MasterPanel!$B:$B,$H120,MasterPanel!$I:$I,$M120,MasterPanel!$K:$K,"Y")&gt;0,"Yes","No"))</f>
        <v>No</v>
      </c>
      <c r="V120" s="46" t="n">
        <f aca="false">IF($M120="",0,IF(COUNTIF('Gap Sheet'!$A$6:$A$11,TRIM($L120))=0,0,IF($O120="R1",INDEX('Gap Sheet'!$C$6:$C$11,MATCH(TRIM($L120),'Gap Sheet'!$A$6:$A$11,0)),INDEX('Gap Sheet'!$G$6:$G$11,MATCH(TRIM($L120),'Gap Sheet'!$A$6:$A$11,0)))))</f>
        <v>0</v>
      </c>
      <c r="W120" s="46" t="str">
        <f aca="false">IF($M120="","",$M120&amp;"|"&amp;$O120)</f>
        <v/>
      </c>
      <c r="X120" s="46" t="n">
        <f aca="false">IF($W120="",0,COUNTIF($AA$4:$AA119,$W120))</f>
        <v>0</v>
      </c>
      <c r="Y120" s="46" t="str">
        <f aca="false">IF(OR($I120&lt;&gt;"Yes, I'm available for in-person interviews at Chennai",$E120&lt;&gt;"Yes",$T120="Yes",$U120&lt;&gt;"Yes"),"No",IF(($V120-$X120)&gt;0,"Yes","No"))</f>
        <v>No</v>
      </c>
      <c r="Z120" s="46" t="str">
        <f aca="false">IF($T120="Yes","Primary",IF($Y120="Yes","Secondary",""))</f>
        <v/>
      </c>
      <c r="AA120" s="46" t="str">
        <f aca="false">IF($Z120="Primary",$R120,IF($Z120="Secondary",$W120,""))</f>
        <v/>
      </c>
      <c r="AB120" s="46" t="str">
        <f aca="false">IF($Z120="Primary","Matched on primary skill",IF($Z120="Secondary","Matched on secondary skill (primary not approved or not required)",""))</f>
        <v/>
      </c>
      <c r="AC120" s="47" t="str">
        <f aca="false">IF($D120="Panel Details",$F120,"")</f>
        <v/>
      </c>
      <c r="AD120" s="46" t="str">
        <f aca="false">IF($D120="Panel Details",'Survey Response'!$D118,"")</f>
        <v/>
      </c>
      <c r="AE120" s="46" t="str">
        <f aca="false">IF($D120="Panel Details",'Survey Response'!$E118,"")</f>
        <v/>
      </c>
      <c r="AF120" s="46" t="str">
        <f aca="false">IF($D120="Panel Details",'Survey Response'!$G118,"")</f>
        <v/>
      </c>
      <c r="AG120" s="46" t="str">
        <f aca="false">IF($D120="Panel Details",IF($Z120="Primary",$J120,$L120),"")</f>
        <v/>
      </c>
      <c r="AH120" s="46" t="str">
        <f aca="false">IF($D120="Panel Details",IF($Z120="Primary",$L120,$J120),"")</f>
        <v/>
      </c>
      <c r="AI120" s="46" t="str">
        <f aca="false">IF($D120="Panel Details",'Survey Response'!$H118,"")</f>
        <v/>
      </c>
      <c r="AJ120" s="46" t="str">
        <f aca="false">IF($D120="Panel Details",'Survey Response'!$M118,"")</f>
        <v/>
      </c>
      <c r="AK120" s="46" t="str">
        <f aca="false">IF($D120="Panel Details",$O120,"")</f>
        <v/>
      </c>
      <c r="AL120" s="46" t="str">
        <f aca="false">IF($D120="Panel Details",8,"")</f>
        <v/>
      </c>
      <c r="AM120" s="46" t="str">
        <f aca="false">IF($D120="Panel Details",$AB120,"")</f>
        <v/>
      </c>
      <c r="AN120" s="46" t="str">
        <f aca="false">IF($D120="Panel Details","Yes","")</f>
        <v/>
      </c>
      <c r="AO120" s="46"/>
      <c r="AP120" s="46" t="str">
        <f aca="false">IF($D120="Followup",'Survey Response'!$D118,"")</f>
        <v/>
      </c>
      <c r="AQ120" s="46" t="str">
        <f aca="false">IF($D120="Followup",'Survey Response'!$E118,"")</f>
        <v/>
      </c>
      <c r="AR120" s="46" t="str">
        <f aca="false">IF($D120="Followup",'Survey Response'!$G118,"")</f>
        <v/>
      </c>
      <c r="AS120" s="46" t="str">
        <f aca="false">IF($D120="Followup",'Survey Response'!$H118,"")</f>
        <v/>
      </c>
      <c r="AT120" s="46" t="str">
        <f aca="false">IF($D120="Followup",'Survey Response'!$M118,"")</f>
        <v/>
      </c>
      <c r="AU120" s="46" t="str">
        <f aca="false">IF($D120="Followup",'Survey Response'!$K118,"")</f>
        <v/>
      </c>
      <c r="AV120" s="46" t="str">
        <f aca="false">IF($D120="Followup",'Survey Response'!$L118,"")</f>
        <v/>
      </c>
      <c r="AW120" s="46" t="str">
        <f aca="false">IF($D120="Followup",IF(AND($P120&lt;&gt;"Yes",$U120&lt;&gt;"Yes"),"Not approved for primary or secondary skill","Approved, but skill(s) no longer have capacity (fully staffed)"),"")</f>
        <v/>
      </c>
    </row>
    <row r="121" customFormat="false" ht="15" hidden="false" customHeight="true" outlineLevel="0" collapsed="false">
      <c r="A121" s="46" t="str">
        <f aca="false">IF('Survey Response'!$D119="","",'Survey Response'!$A119&amp;"|"&amp;LOWER(TRIM('Survey Response'!$D119)))</f>
        <v/>
      </c>
      <c r="B121" s="46" t="str">
        <f aca="false">IF($H121="","",$F121&amp;"|"&amp;$H121)</f>
        <v/>
      </c>
      <c r="C121" s="46" t="str">
        <f aca="false">IF($H121="","",$A121=$B121)</f>
        <v/>
      </c>
      <c r="D121" s="46" t="str">
        <f aca="false">IF($H121="","",IF($E121&lt;&gt;"Yes","Superseded",IF($I121&lt;&gt;"Yes, I'm available for in-person interviews at Chennai","Not Available",IF($Z121&lt;&gt;"","Panel Details","Followup"))))</f>
        <v/>
      </c>
      <c r="E121" s="46" t="str">
        <f aca="false">IF($H121="","",IF(SUMPRODUCT(($H$4:$H$503=$H121)*(($G$4:$G$503&gt;$G121)+($G$4:$G$503=$G121)*($F$4:$F$503&gt;$F121)))=0,"Yes","No"))</f>
        <v/>
      </c>
      <c r="F121" s="47" t="str">
        <f aca="false">IF('Survey Response'!$D119="","",INT('Survey Response'!$A119))</f>
        <v/>
      </c>
      <c r="G121" s="46" t="str">
        <f aca="false">IF('Survey Response'!$D119="","",'Survey Response'!$C119)</f>
        <v/>
      </c>
      <c r="H121" s="46" t="str">
        <f aca="false">IF('Survey Response'!$D119="","",LOWER(TRIM('Survey Response'!$D119)))</f>
        <v/>
      </c>
      <c r="I121" s="46" t="str">
        <f aca="false">IF($H121="","",'Survey Response'!$I119)</f>
        <v/>
      </c>
      <c r="J121" s="46" t="str">
        <f aca="false">IF($H121="","",'Survey Response'!$K119)</f>
        <v/>
      </c>
      <c r="K121" s="46" t="str">
        <f aca="false">IF($J121="","",IF(COUNTIF('Skill Mapping'!$A$2:$A$7,TRIM($J121))=0,"",INDEX('Skill Mapping'!$B$2:$B$7,MATCH(TRIM($J121),'Skill Mapping'!$A$2:$A$7,0))))</f>
        <v/>
      </c>
      <c r="L121" s="46" t="str">
        <f aca="false">IF($H121="","",'Survey Response'!$L119)</f>
        <v/>
      </c>
      <c r="M121" s="46" t="str">
        <f aca="false">IF($L121="","",IF(COUNTIF('Skill Mapping'!$A$2:$A$7,TRIM($L121))=0,"",INDEX('Skill Mapping'!$B$2:$B$7,MATCH(TRIM($L121),'Skill Mapping'!$A$2:$A$7,0))))</f>
        <v/>
      </c>
      <c r="N121" s="46" t="str">
        <f aca="false">IF($H121="","",'Survey Response'!$M119)</f>
        <v/>
      </c>
      <c r="O121" s="46" t="str">
        <f aca="false">IF($H121="","",IF('Survey Response'!$M119="Manager","R2","R1"))</f>
        <v/>
      </c>
      <c r="P121" s="46" t="str">
        <f aca="false">IF($K121="","No",IF(COUNTIFS(MasterPanel!$B:$B,$H121,MasterPanel!$I:$I,$K121,MasterPanel!$K:$K,"Y")&gt;0,"Yes","No"))</f>
        <v>No</v>
      </c>
      <c r="Q121" s="46" t="n">
        <f aca="false">IF($K121="",0,IF(COUNTIF('Gap Sheet'!$A$6:$A$11,TRIM($J121))=0,0,IF($O121="R1",INDEX('Gap Sheet'!$C$6:$C$11,MATCH(TRIM($J121),'Gap Sheet'!$A$6:$A$11,0)),INDEX('Gap Sheet'!$G$6:$G$11,MATCH(TRIM($J121),'Gap Sheet'!$A$6:$A$11,0)))))</f>
        <v>0</v>
      </c>
      <c r="R121" s="46" t="str">
        <f aca="false">IF($K121="","",$K121&amp;"|"&amp;$O121)</f>
        <v/>
      </c>
      <c r="S121" s="46" t="n">
        <f aca="false">IF($R121="",0,COUNTIF($AA$4:$AA120,$R121))</f>
        <v>0</v>
      </c>
      <c r="T121" s="46" t="str">
        <f aca="false">IF(OR($I121&lt;&gt;"Yes, I'm available for in-person interviews at Chennai",$E121&lt;&gt;"Yes",$P121&lt;&gt;"Yes"),"No",IF(($Q121-$S121)&gt;0,"Yes","No"))</f>
        <v>No</v>
      </c>
      <c r="U121" s="46" t="str">
        <f aca="false">IF($M121="","No",IF(COUNTIFS(MasterPanel!$B:$B,$H121,MasterPanel!$I:$I,$M121,MasterPanel!$K:$K,"Y")&gt;0,"Yes","No"))</f>
        <v>No</v>
      </c>
      <c r="V121" s="46" t="n">
        <f aca="false">IF($M121="",0,IF(COUNTIF('Gap Sheet'!$A$6:$A$11,TRIM($L121))=0,0,IF($O121="R1",INDEX('Gap Sheet'!$C$6:$C$11,MATCH(TRIM($L121),'Gap Sheet'!$A$6:$A$11,0)),INDEX('Gap Sheet'!$G$6:$G$11,MATCH(TRIM($L121),'Gap Sheet'!$A$6:$A$11,0)))))</f>
        <v>0</v>
      </c>
      <c r="W121" s="46" t="str">
        <f aca="false">IF($M121="","",$M121&amp;"|"&amp;$O121)</f>
        <v/>
      </c>
      <c r="X121" s="46" t="n">
        <f aca="false">IF($W121="",0,COUNTIF($AA$4:$AA120,$W121))</f>
        <v>0</v>
      </c>
      <c r="Y121" s="46" t="str">
        <f aca="false">IF(OR($I121&lt;&gt;"Yes, I'm available for in-person interviews at Chennai",$E121&lt;&gt;"Yes",$T121="Yes",$U121&lt;&gt;"Yes"),"No",IF(($V121-$X121)&gt;0,"Yes","No"))</f>
        <v>No</v>
      </c>
      <c r="Z121" s="46" t="str">
        <f aca="false">IF($T121="Yes","Primary",IF($Y121="Yes","Secondary",""))</f>
        <v/>
      </c>
      <c r="AA121" s="46" t="str">
        <f aca="false">IF($Z121="Primary",$R121,IF($Z121="Secondary",$W121,""))</f>
        <v/>
      </c>
      <c r="AB121" s="46" t="str">
        <f aca="false">IF($Z121="Primary","Matched on primary skill",IF($Z121="Secondary","Matched on secondary skill (primary not approved or not required)",""))</f>
        <v/>
      </c>
      <c r="AC121" s="47" t="str">
        <f aca="false">IF($D121="Panel Details",$F121,"")</f>
        <v/>
      </c>
      <c r="AD121" s="46" t="str">
        <f aca="false">IF($D121="Panel Details",'Survey Response'!$D119,"")</f>
        <v/>
      </c>
      <c r="AE121" s="46" t="str">
        <f aca="false">IF($D121="Panel Details",'Survey Response'!$E119,"")</f>
        <v/>
      </c>
      <c r="AF121" s="46" t="str">
        <f aca="false">IF($D121="Panel Details",'Survey Response'!$G119,"")</f>
        <v/>
      </c>
      <c r="AG121" s="46" t="str">
        <f aca="false">IF($D121="Panel Details",IF($Z121="Primary",$J121,$L121),"")</f>
        <v/>
      </c>
      <c r="AH121" s="46" t="str">
        <f aca="false">IF($D121="Panel Details",IF($Z121="Primary",$L121,$J121),"")</f>
        <v/>
      </c>
      <c r="AI121" s="46" t="str">
        <f aca="false">IF($D121="Panel Details",'Survey Response'!$H119,"")</f>
        <v/>
      </c>
      <c r="AJ121" s="46" t="str">
        <f aca="false">IF($D121="Panel Details",'Survey Response'!$M119,"")</f>
        <v/>
      </c>
      <c r="AK121" s="46" t="str">
        <f aca="false">IF($D121="Panel Details",$O121,"")</f>
        <v/>
      </c>
      <c r="AL121" s="46" t="str">
        <f aca="false">IF($D121="Panel Details",8,"")</f>
        <v/>
      </c>
      <c r="AM121" s="46" t="str">
        <f aca="false">IF($D121="Panel Details",$AB121,"")</f>
        <v/>
      </c>
      <c r="AN121" s="46" t="str">
        <f aca="false">IF($D121="Panel Details","Yes","")</f>
        <v/>
      </c>
      <c r="AO121" s="46"/>
      <c r="AP121" s="46" t="str">
        <f aca="false">IF($D121="Followup",'Survey Response'!$D119,"")</f>
        <v/>
      </c>
      <c r="AQ121" s="46" t="str">
        <f aca="false">IF($D121="Followup",'Survey Response'!$E119,"")</f>
        <v/>
      </c>
      <c r="AR121" s="46" t="str">
        <f aca="false">IF($D121="Followup",'Survey Response'!$G119,"")</f>
        <v/>
      </c>
      <c r="AS121" s="46" t="str">
        <f aca="false">IF($D121="Followup",'Survey Response'!$H119,"")</f>
        <v/>
      </c>
      <c r="AT121" s="46" t="str">
        <f aca="false">IF($D121="Followup",'Survey Response'!$M119,"")</f>
        <v/>
      </c>
      <c r="AU121" s="46" t="str">
        <f aca="false">IF($D121="Followup",'Survey Response'!$K119,"")</f>
        <v/>
      </c>
      <c r="AV121" s="46" t="str">
        <f aca="false">IF($D121="Followup",'Survey Response'!$L119,"")</f>
        <v/>
      </c>
      <c r="AW121" s="46" t="str">
        <f aca="false">IF($D121="Followup",IF(AND($P121&lt;&gt;"Yes",$U121&lt;&gt;"Yes"),"Not approved for primary or secondary skill","Approved, but skill(s) no longer have capacity (fully staffed)"),"")</f>
        <v/>
      </c>
    </row>
    <row r="122" customFormat="false" ht="15" hidden="false" customHeight="true" outlineLevel="0" collapsed="false">
      <c r="A122" s="46" t="str">
        <f aca="false">IF('Survey Response'!$D120="","",'Survey Response'!$A120&amp;"|"&amp;LOWER(TRIM('Survey Response'!$D120)))</f>
        <v/>
      </c>
      <c r="B122" s="46" t="str">
        <f aca="false">IF($H122="","",$F122&amp;"|"&amp;$H122)</f>
        <v/>
      </c>
      <c r="C122" s="46" t="str">
        <f aca="false">IF($H122="","",$A122=$B122)</f>
        <v/>
      </c>
      <c r="D122" s="46" t="str">
        <f aca="false">IF($H122="","",IF($E122&lt;&gt;"Yes","Superseded",IF($I122&lt;&gt;"Yes, I'm available for in-person interviews at Chennai","Not Available",IF($Z122&lt;&gt;"","Panel Details","Followup"))))</f>
        <v/>
      </c>
      <c r="E122" s="46" t="str">
        <f aca="false">IF($H122="","",IF(SUMPRODUCT(($H$4:$H$503=$H122)*(($G$4:$G$503&gt;$G122)+($G$4:$G$503=$G122)*($F$4:$F$503&gt;$F122)))=0,"Yes","No"))</f>
        <v/>
      </c>
      <c r="F122" s="47" t="str">
        <f aca="false">IF('Survey Response'!$D120="","",INT('Survey Response'!$A120))</f>
        <v/>
      </c>
      <c r="G122" s="46" t="str">
        <f aca="false">IF('Survey Response'!$D120="","",'Survey Response'!$C120)</f>
        <v/>
      </c>
      <c r="H122" s="46" t="str">
        <f aca="false">IF('Survey Response'!$D120="","",LOWER(TRIM('Survey Response'!$D120)))</f>
        <v/>
      </c>
      <c r="I122" s="46" t="str">
        <f aca="false">IF($H122="","",'Survey Response'!$I120)</f>
        <v/>
      </c>
      <c r="J122" s="46" t="str">
        <f aca="false">IF($H122="","",'Survey Response'!$K120)</f>
        <v/>
      </c>
      <c r="K122" s="46" t="str">
        <f aca="false">IF($J122="","",IF(COUNTIF('Skill Mapping'!$A$2:$A$7,TRIM($J122))=0,"",INDEX('Skill Mapping'!$B$2:$B$7,MATCH(TRIM($J122),'Skill Mapping'!$A$2:$A$7,0))))</f>
        <v/>
      </c>
      <c r="L122" s="46" t="str">
        <f aca="false">IF($H122="","",'Survey Response'!$L120)</f>
        <v/>
      </c>
      <c r="M122" s="46" t="str">
        <f aca="false">IF($L122="","",IF(COUNTIF('Skill Mapping'!$A$2:$A$7,TRIM($L122))=0,"",INDEX('Skill Mapping'!$B$2:$B$7,MATCH(TRIM($L122),'Skill Mapping'!$A$2:$A$7,0))))</f>
        <v/>
      </c>
      <c r="N122" s="46" t="str">
        <f aca="false">IF($H122="","",'Survey Response'!$M120)</f>
        <v/>
      </c>
      <c r="O122" s="46" t="str">
        <f aca="false">IF($H122="","",IF('Survey Response'!$M120="Manager","R2","R1"))</f>
        <v/>
      </c>
      <c r="P122" s="46" t="str">
        <f aca="false">IF($K122="","No",IF(COUNTIFS(MasterPanel!$B:$B,$H122,MasterPanel!$I:$I,$K122,MasterPanel!$K:$K,"Y")&gt;0,"Yes","No"))</f>
        <v>No</v>
      </c>
      <c r="Q122" s="46" t="n">
        <f aca="false">IF($K122="",0,IF(COUNTIF('Gap Sheet'!$A$6:$A$11,TRIM($J122))=0,0,IF($O122="R1",INDEX('Gap Sheet'!$C$6:$C$11,MATCH(TRIM($J122),'Gap Sheet'!$A$6:$A$11,0)),INDEX('Gap Sheet'!$G$6:$G$11,MATCH(TRIM($J122),'Gap Sheet'!$A$6:$A$11,0)))))</f>
        <v>0</v>
      </c>
      <c r="R122" s="46" t="str">
        <f aca="false">IF($K122="","",$K122&amp;"|"&amp;$O122)</f>
        <v/>
      </c>
      <c r="S122" s="46" t="n">
        <f aca="false">IF($R122="",0,COUNTIF($AA$4:$AA121,$R122))</f>
        <v>0</v>
      </c>
      <c r="T122" s="46" t="str">
        <f aca="false">IF(OR($I122&lt;&gt;"Yes, I'm available for in-person interviews at Chennai",$E122&lt;&gt;"Yes",$P122&lt;&gt;"Yes"),"No",IF(($Q122-$S122)&gt;0,"Yes","No"))</f>
        <v>No</v>
      </c>
      <c r="U122" s="46" t="str">
        <f aca="false">IF($M122="","No",IF(COUNTIFS(MasterPanel!$B:$B,$H122,MasterPanel!$I:$I,$M122,MasterPanel!$K:$K,"Y")&gt;0,"Yes","No"))</f>
        <v>No</v>
      </c>
      <c r="V122" s="46" t="n">
        <f aca="false">IF($M122="",0,IF(COUNTIF('Gap Sheet'!$A$6:$A$11,TRIM($L122))=0,0,IF($O122="R1",INDEX('Gap Sheet'!$C$6:$C$11,MATCH(TRIM($L122),'Gap Sheet'!$A$6:$A$11,0)),INDEX('Gap Sheet'!$G$6:$G$11,MATCH(TRIM($L122),'Gap Sheet'!$A$6:$A$11,0)))))</f>
        <v>0</v>
      </c>
      <c r="W122" s="46" t="str">
        <f aca="false">IF($M122="","",$M122&amp;"|"&amp;$O122)</f>
        <v/>
      </c>
      <c r="X122" s="46" t="n">
        <f aca="false">IF($W122="",0,COUNTIF($AA$4:$AA121,$W122))</f>
        <v>0</v>
      </c>
      <c r="Y122" s="46" t="str">
        <f aca="false">IF(OR($I122&lt;&gt;"Yes, I'm available for in-person interviews at Chennai",$E122&lt;&gt;"Yes",$T122="Yes",$U122&lt;&gt;"Yes"),"No",IF(($V122-$X122)&gt;0,"Yes","No"))</f>
        <v>No</v>
      </c>
      <c r="Z122" s="46" t="str">
        <f aca="false">IF($T122="Yes","Primary",IF($Y122="Yes","Secondary",""))</f>
        <v/>
      </c>
      <c r="AA122" s="46" t="str">
        <f aca="false">IF($Z122="Primary",$R122,IF($Z122="Secondary",$W122,""))</f>
        <v/>
      </c>
      <c r="AB122" s="46" t="str">
        <f aca="false">IF($Z122="Primary","Matched on primary skill",IF($Z122="Secondary","Matched on secondary skill (primary not approved or not required)",""))</f>
        <v/>
      </c>
      <c r="AC122" s="47" t="str">
        <f aca="false">IF($D122="Panel Details",$F122,"")</f>
        <v/>
      </c>
      <c r="AD122" s="46" t="str">
        <f aca="false">IF($D122="Panel Details",'Survey Response'!$D120,"")</f>
        <v/>
      </c>
      <c r="AE122" s="46" t="str">
        <f aca="false">IF($D122="Panel Details",'Survey Response'!$E120,"")</f>
        <v/>
      </c>
      <c r="AF122" s="46" t="str">
        <f aca="false">IF($D122="Panel Details",'Survey Response'!$G120,"")</f>
        <v/>
      </c>
      <c r="AG122" s="46" t="str">
        <f aca="false">IF($D122="Panel Details",IF($Z122="Primary",$J122,$L122),"")</f>
        <v/>
      </c>
      <c r="AH122" s="46" t="str">
        <f aca="false">IF($D122="Panel Details",IF($Z122="Primary",$L122,$J122),"")</f>
        <v/>
      </c>
      <c r="AI122" s="46" t="str">
        <f aca="false">IF($D122="Panel Details",'Survey Response'!$H120,"")</f>
        <v/>
      </c>
      <c r="AJ122" s="46" t="str">
        <f aca="false">IF($D122="Panel Details",'Survey Response'!$M120,"")</f>
        <v/>
      </c>
      <c r="AK122" s="46" t="str">
        <f aca="false">IF($D122="Panel Details",$O122,"")</f>
        <v/>
      </c>
      <c r="AL122" s="46" t="str">
        <f aca="false">IF($D122="Panel Details",8,"")</f>
        <v/>
      </c>
      <c r="AM122" s="46" t="str">
        <f aca="false">IF($D122="Panel Details",$AB122,"")</f>
        <v/>
      </c>
      <c r="AN122" s="46" t="str">
        <f aca="false">IF($D122="Panel Details","Yes","")</f>
        <v/>
      </c>
      <c r="AO122" s="46"/>
      <c r="AP122" s="46" t="str">
        <f aca="false">IF($D122="Followup",'Survey Response'!$D120,"")</f>
        <v/>
      </c>
      <c r="AQ122" s="46" t="str">
        <f aca="false">IF($D122="Followup",'Survey Response'!$E120,"")</f>
        <v/>
      </c>
      <c r="AR122" s="46" t="str">
        <f aca="false">IF($D122="Followup",'Survey Response'!$G120,"")</f>
        <v/>
      </c>
      <c r="AS122" s="46" t="str">
        <f aca="false">IF($D122="Followup",'Survey Response'!$H120,"")</f>
        <v/>
      </c>
      <c r="AT122" s="46" t="str">
        <f aca="false">IF($D122="Followup",'Survey Response'!$M120,"")</f>
        <v/>
      </c>
      <c r="AU122" s="46" t="str">
        <f aca="false">IF($D122="Followup",'Survey Response'!$K120,"")</f>
        <v/>
      </c>
      <c r="AV122" s="46" t="str">
        <f aca="false">IF($D122="Followup",'Survey Response'!$L120,"")</f>
        <v/>
      </c>
      <c r="AW122" s="46" t="str">
        <f aca="false">IF($D122="Followup",IF(AND($P122&lt;&gt;"Yes",$U122&lt;&gt;"Yes"),"Not approved for primary or secondary skill","Approved, but skill(s) no longer have capacity (fully staffed)"),"")</f>
        <v/>
      </c>
    </row>
    <row r="123" customFormat="false" ht="15" hidden="false" customHeight="true" outlineLevel="0" collapsed="false">
      <c r="A123" s="46" t="str">
        <f aca="false">IF('Survey Response'!$D121="","",'Survey Response'!$A121&amp;"|"&amp;LOWER(TRIM('Survey Response'!$D121)))</f>
        <v/>
      </c>
      <c r="B123" s="46" t="str">
        <f aca="false">IF($H123="","",$F123&amp;"|"&amp;$H123)</f>
        <v/>
      </c>
      <c r="C123" s="46" t="str">
        <f aca="false">IF($H123="","",$A123=$B123)</f>
        <v/>
      </c>
      <c r="D123" s="46" t="str">
        <f aca="false">IF($H123="","",IF($E123&lt;&gt;"Yes","Superseded",IF($I123&lt;&gt;"Yes, I'm available for in-person interviews at Chennai","Not Available",IF($Z123&lt;&gt;"","Panel Details","Followup"))))</f>
        <v/>
      </c>
      <c r="E123" s="46" t="str">
        <f aca="false">IF($H123="","",IF(SUMPRODUCT(($H$4:$H$503=$H123)*(($G$4:$G$503&gt;$G123)+($G$4:$G$503=$G123)*($F$4:$F$503&gt;$F123)))=0,"Yes","No"))</f>
        <v/>
      </c>
      <c r="F123" s="47" t="str">
        <f aca="false">IF('Survey Response'!$D121="","",INT('Survey Response'!$A121))</f>
        <v/>
      </c>
      <c r="G123" s="46" t="str">
        <f aca="false">IF('Survey Response'!$D121="","",'Survey Response'!$C121)</f>
        <v/>
      </c>
      <c r="H123" s="46" t="str">
        <f aca="false">IF('Survey Response'!$D121="","",LOWER(TRIM('Survey Response'!$D121)))</f>
        <v/>
      </c>
      <c r="I123" s="46" t="str">
        <f aca="false">IF($H123="","",'Survey Response'!$I121)</f>
        <v/>
      </c>
      <c r="J123" s="46" t="str">
        <f aca="false">IF($H123="","",'Survey Response'!$K121)</f>
        <v/>
      </c>
      <c r="K123" s="46" t="str">
        <f aca="false">IF($J123="","",IF(COUNTIF('Skill Mapping'!$A$2:$A$7,TRIM($J123))=0,"",INDEX('Skill Mapping'!$B$2:$B$7,MATCH(TRIM($J123),'Skill Mapping'!$A$2:$A$7,0))))</f>
        <v/>
      </c>
      <c r="L123" s="46" t="str">
        <f aca="false">IF($H123="","",'Survey Response'!$L121)</f>
        <v/>
      </c>
      <c r="M123" s="46" t="str">
        <f aca="false">IF($L123="","",IF(COUNTIF('Skill Mapping'!$A$2:$A$7,TRIM($L123))=0,"",INDEX('Skill Mapping'!$B$2:$B$7,MATCH(TRIM($L123),'Skill Mapping'!$A$2:$A$7,0))))</f>
        <v/>
      </c>
      <c r="N123" s="46" t="str">
        <f aca="false">IF($H123="","",'Survey Response'!$M121)</f>
        <v/>
      </c>
      <c r="O123" s="46" t="str">
        <f aca="false">IF($H123="","",IF('Survey Response'!$M121="Manager","R2","R1"))</f>
        <v/>
      </c>
      <c r="P123" s="46" t="str">
        <f aca="false">IF($K123="","No",IF(COUNTIFS(MasterPanel!$B:$B,$H123,MasterPanel!$I:$I,$K123,MasterPanel!$K:$K,"Y")&gt;0,"Yes","No"))</f>
        <v>No</v>
      </c>
      <c r="Q123" s="46" t="n">
        <f aca="false">IF($K123="",0,IF(COUNTIF('Gap Sheet'!$A$6:$A$11,TRIM($J123))=0,0,IF($O123="R1",INDEX('Gap Sheet'!$C$6:$C$11,MATCH(TRIM($J123),'Gap Sheet'!$A$6:$A$11,0)),INDEX('Gap Sheet'!$G$6:$G$11,MATCH(TRIM($J123),'Gap Sheet'!$A$6:$A$11,0)))))</f>
        <v>0</v>
      </c>
      <c r="R123" s="46" t="str">
        <f aca="false">IF($K123="","",$K123&amp;"|"&amp;$O123)</f>
        <v/>
      </c>
      <c r="S123" s="46" t="n">
        <f aca="false">IF($R123="",0,COUNTIF($AA$4:$AA122,$R123))</f>
        <v>0</v>
      </c>
      <c r="T123" s="46" t="str">
        <f aca="false">IF(OR($I123&lt;&gt;"Yes, I'm available for in-person interviews at Chennai",$E123&lt;&gt;"Yes",$P123&lt;&gt;"Yes"),"No",IF(($Q123-$S123)&gt;0,"Yes","No"))</f>
        <v>No</v>
      </c>
      <c r="U123" s="46" t="str">
        <f aca="false">IF($M123="","No",IF(COUNTIFS(MasterPanel!$B:$B,$H123,MasterPanel!$I:$I,$M123,MasterPanel!$K:$K,"Y")&gt;0,"Yes","No"))</f>
        <v>No</v>
      </c>
      <c r="V123" s="46" t="n">
        <f aca="false">IF($M123="",0,IF(COUNTIF('Gap Sheet'!$A$6:$A$11,TRIM($L123))=0,0,IF($O123="R1",INDEX('Gap Sheet'!$C$6:$C$11,MATCH(TRIM($L123),'Gap Sheet'!$A$6:$A$11,0)),INDEX('Gap Sheet'!$G$6:$G$11,MATCH(TRIM($L123),'Gap Sheet'!$A$6:$A$11,0)))))</f>
        <v>0</v>
      </c>
      <c r="W123" s="46" t="str">
        <f aca="false">IF($M123="","",$M123&amp;"|"&amp;$O123)</f>
        <v/>
      </c>
      <c r="X123" s="46" t="n">
        <f aca="false">IF($W123="",0,COUNTIF($AA$4:$AA122,$W123))</f>
        <v>0</v>
      </c>
      <c r="Y123" s="46" t="str">
        <f aca="false">IF(OR($I123&lt;&gt;"Yes, I'm available for in-person interviews at Chennai",$E123&lt;&gt;"Yes",$T123="Yes",$U123&lt;&gt;"Yes"),"No",IF(($V123-$X123)&gt;0,"Yes","No"))</f>
        <v>No</v>
      </c>
      <c r="Z123" s="46" t="str">
        <f aca="false">IF($T123="Yes","Primary",IF($Y123="Yes","Secondary",""))</f>
        <v/>
      </c>
      <c r="AA123" s="46" t="str">
        <f aca="false">IF($Z123="Primary",$R123,IF($Z123="Secondary",$W123,""))</f>
        <v/>
      </c>
      <c r="AB123" s="46" t="str">
        <f aca="false">IF($Z123="Primary","Matched on primary skill",IF($Z123="Secondary","Matched on secondary skill (primary not approved or not required)",""))</f>
        <v/>
      </c>
      <c r="AC123" s="47" t="str">
        <f aca="false">IF($D123="Panel Details",$F123,"")</f>
        <v/>
      </c>
      <c r="AD123" s="46" t="str">
        <f aca="false">IF($D123="Panel Details",'Survey Response'!$D121,"")</f>
        <v/>
      </c>
      <c r="AE123" s="46" t="str">
        <f aca="false">IF($D123="Panel Details",'Survey Response'!$E121,"")</f>
        <v/>
      </c>
      <c r="AF123" s="46" t="str">
        <f aca="false">IF($D123="Panel Details",'Survey Response'!$G121,"")</f>
        <v/>
      </c>
      <c r="AG123" s="46" t="str">
        <f aca="false">IF($D123="Panel Details",IF($Z123="Primary",$J123,$L123),"")</f>
        <v/>
      </c>
      <c r="AH123" s="46" t="str">
        <f aca="false">IF($D123="Panel Details",IF($Z123="Primary",$L123,$J123),"")</f>
        <v/>
      </c>
      <c r="AI123" s="46" t="str">
        <f aca="false">IF($D123="Panel Details",'Survey Response'!$H121,"")</f>
        <v/>
      </c>
      <c r="AJ123" s="46" t="str">
        <f aca="false">IF($D123="Panel Details",'Survey Response'!$M121,"")</f>
        <v/>
      </c>
      <c r="AK123" s="46" t="str">
        <f aca="false">IF($D123="Panel Details",$O123,"")</f>
        <v/>
      </c>
      <c r="AL123" s="46" t="str">
        <f aca="false">IF($D123="Panel Details",8,"")</f>
        <v/>
      </c>
      <c r="AM123" s="46" t="str">
        <f aca="false">IF($D123="Panel Details",$AB123,"")</f>
        <v/>
      </c>
      <c r="AN123" s="46" t="str">
        <f aca="false">IF($D123="Panel Details","Yes","")</f>
        <v/>
      </c>
      <c r="AO123" s="46"/>
      <c r="AP123" s="46" t="str">
        <f aca="false">IF($D123="Followup",'Survey Response'!$D121,"")</f>
        <v/>
      </c>
      <c r="AQ123" s="46" t="str">
        <f aca="false">IF($D123="Followup",'Survey Response'!$E121,"")</f>
        <v/>
      </c>
      <c r="AR123" s="46" t="str">
        <f aca="false">IF($D123="Followup",'Survey Response'!$G121,"")</f>
        <v/>
      </c>
      <c r="AS123" s="46" t="str">
        <f aca="false">IF($D123="Followup",'Survey Response'!$H121,"")</f>
        <v/>
      </c>
      <c r="AT123" s="46" t="str">
        <f aca="false">IF($D123="Followup",'Survey Response'!$M121,"")</f>
        <v/>
      </c>
      <c r="AU123" s="46" t="str">
        <f aca="false">IF($D123="Followup",'Survey Response'!$K121,"")</f>
        <v/>
      </c>
      <c r="AV123" s="46" t="str">
        <f aca="false">IF($D123="Followup",'Survey Response'!$L121,"")</f>
        <v/>
      </c>
      <c r="AW123" s="46" t="str">
        <f aca="false">IF($D123="Followup",IF(AND($P123&lt;&gt;"Yes",$U123&lt;&gt;"Yes"),"Not approved for primary or secondary skill","Approved, but skill(s) no longer have capacity (fully staffed)"),"")</f>
        <v/>
      </c>
    </row>
    <row r="124" customFormat="false" ht="15" hidden="false" customHeight="true" outlineLevel="0" collapsed="false">
      <c r="A124" s="46" t="str">
        <f aca="false">IF('Survey Response'!$D122="","",'Survey Response'!$A122&amp;"|"&amp;LOWER(TRIM('Survey Response'!$D122)))</f>
        <v/>
      </c>
      <c r="B124" s="46" t="str">
        <f aca="false">IF($H124="","",$F124&amp;"|"&amp;$H124)</f>
        <v/>
      </c>
      <c r="C124" s="46" t="str">
        <f aca="false">IF($H124="","",$A124=$B124)</f>
        <v/>
      </c>
      <c r="D124" s="46" t="str">
        <f aca="false">IF($H124="","",IF($E124&lt;&gt;"Yes","Superseded",IF($I124&lt;&gt;"Yes, I'm available for in-person interviews at Chennai","Not Available",IF($Z124&lt;&gt;"","Panel Details","Followup"))))</f>
        <v/>
      </c>
      <c r="E124" s="46" t="str">
        <f aca="false">IF($H124="","",IF(SUMPRODUCT(($H$4:$H$503=$H124)*(($G$4:$G$503&gt;$G124)+($G$4:$G$503=$G124)*($F$4:$F$503&gt;$F124)))=0,"Yes","No"))</f>
        <v/>
      </c>
      <c r="F124" s="47" t="str">
        <f aca="false">IF('Survey Response'!$D122="","",INT('Survey Response'!$A122))</f>
        <v/>
      </c>
      <c r="G124" s="46" t="str">
        <f aca="false">IF('Survey Response'!$D122="","",'Survey Response'!$C122)</f>
        <v/>
      </c>
      <c r="H124" s="46" t="str">
        <f aca="false">IF('Survey Response'!$D122="","",LOWER(TRIM('Survey Response'!$D122)))</f>
        <v/>
      </c>
      <c r="I124" s="46" t="str">
        <f aca="false">IF($H124="","",'Survey Response'!$I122)</f>
        <v/>
      </c>
      <c r="J124" s="46" t="str">
        <f aca="false">IF($H124="","",'Survey Response'!$K122)</f>
        <v/>
      </c>
      <c r="K124" s="46" t="str">
        <f aca="false">IF($J124="","",IF(COUNTIF('Skill Mapping'!$A$2:$A$7,TRIM($J124))=0,"",INDEX('Skill Mapping'!$B$2:$B$7,MATCH(TRIM($J124),'Skill Mapping'!$A$2:$A$7,0))))</f>
        <v/>
      </c>
      <c r="L124" s="46" t="str">
        <f aca="false">IF($H124="","",'Survey Response'!$L122)</f>
        <v/>
      </c>
      <c r="M124" s="46" t="str">
        <f aca="false">IF($L124="","",IF(COUNTIF('Skill Mapping'!$A$2:$A$7,TRIM($L124))=0,"",INDEX('Skill Mapping'!$B$2:$B$7,MATCH(TRIM($L124),'Skill Mapping'!$A$2:$A$7,0))))</f>
        <v/>
      </c>
      <c r="N124" s="46" t="str">
        <f aca="false">IF($H124="","",'Survey Response'!$M122)</f>
        <v/>
      </c>
      <c r="O124" s="46" t="str">
        <f aca="false">IF($H124="","",IF('Survey Response'!$M122="Manager","R2","R1"))</f>
        <v/>
      </c>
      <c r="P124" s="46" t="str">
        <f aca="false">IF($K124="","No",IF(COUNTIFS(MasterPanel!$B:$B,$H124,MasterPanel!$I:$I,$K124,MasterPanel!$K:$K,"Y")&gt;0,"Yes","No"))</f>
        <v>No</v>
      </c>
      <c r="Q124" s="46" t="n">
        <f aca="false">IF($K124="",0,IF(COUNTIF('Gap Sheet'!$A$6:$A$11,TRIM($J124))=0,0,IF($O124="R1",INDEX('Gap Sheet'!$C$6:$C$11,MATCH(TRIM($J124),'Gap Sheet'!$A$6:$A$11,0)),INDEX('Gap Sheet'!$G$6:$G$11,MATCH(TRIM($J124),'Gap Sheet'!$A$6:$A$11,0)))))</f>
        <v>0</v>
      </c>
      <c r="R124" s="46" t="str">
        <f aca="false">IF($K124="","",$K124&amp;"|"&amp;$O124)</f>
        <v/>
      </c>
      <c r="S124" s="46" t="n">
        <f aca="false">IF($R124="",0,COUNTIF($AA$4:$AA123,$R124))</f>
        <v>0</v>
      </c>
      <c r="T124" s="46" t="str">
        <f aca="false">IF(OR($I124&lt;&gt;"Yes, I'm available for in-person interviews at Chennai",$E124&lt;&gt;"Yes",$P124&lt;&gt;"Yes"),"No",IF(($Q124-$S124)&gt;0,"Yes","No"))</f>
        <v>No</v>
      </c>
      <c r="U124" s="46" t="str">
        <f aca="false">IF($M124="","No",IF(COUNTIFS(MasterPanel!$B:$B,$H124,MasterPanel!$I:$I,$M124,MasterPanel!$K:$K,"Y")&gt;0,"Yes","No"))</f>
        <v>No</v>
      </c>
      <c r="V124" s="46" t="n">
        <f aca="false">IF($M124="",0,IF(COUNTIF('Gap Sheet'!$A$6:$A$11,TRIM($L124))=0,0,IF($O124="R1",INDEX('Gap Sheet'!$C$6:$C$11,MATCH(TRIM($L124),'Gap Sheet'!$A$6:$A$11,0)),INDEX('Gap Sheet'!$G$6:$G$11,MATCH(TRIM($L124),'Gap Sheet'!$A$6:$A$11,0)))))</f>
        <v>0</v>
      </c>
      <c r="W124" s="46" t="str">
        <f aca="false">IF($M124="","",$M124&amp;"|"&amp;$O124)</f>
        <v/>
      </c>
      <c r="X124" s="46" t="n">
        <f aca="false">IF($W124="",0,COUNTIF($AA$4:$AA123,$W124))</f>
        <v>0</v>
      </c>
      <c r="Y124" s="46" t="str">
        <f aca="false">IF(OR($I124&lt;&gt;"Yes, I'm available for in-person interviews at Chennai",$E124&lt;&gt;"Yes",$T124="Yes",$U124&lt;&gt;"Yes"),"No",IF(($V124-$X124)&gt;0,"Yes","No"))</f>
        <v>No</v>
      </c>
      <c r="Z124" s="46" t="str">
        <f aca="false">IF($T124="Yes","Primary",IF($Y124="Yes","Secondary",""))</f>
        <v/>
      </c>
      <c r="AA124" s="46" t="str">
        <f aca="false">IF($Z124="Primary",$R124,IF($Z124="Secondary",$W124,""))</f>
        <v/>
      </c>
      <c r="AB124" s="46" t="str">
        <f aca="false">IF($Z124="Primary","Matched on primary skill",IF($Z124="Secondary","Matched on secondary skill (primary not approved or not required)",""))</f>
        <v/>
      </c>
      <c r="AC124" s="47" t="str">
        <f aca="false">IF($D124="Panel Details",$F124,"")</f>
        <v/>
      </c>
      <c r="AD124" s="46" t="str">
        <f aca="false">IF($D124="Panel Details",'Survey Response'!$D122,"")</f>
        <v/>
      </c>
      <c r="AE124" s="46" t="str">
        <f aca="false">IF($D124="Panel Details",'Survey Response'!$E122,"")</f>
        <v/>
      </c>
      <c r="AF124" s="46" t="str">
        <f aca="false">IF($D124="Panel Details",'Survey Response'!$G122,"")</f>
        <v/>
      </c>
      <c r="AG124" s="46" t="str">
        <f aca="false">IF($D124="Panel Details",IF($Z124="Primary",$J124,$L124),"")</f>
        <v/>
      </c>
      <c r="AH124" s="46" t="str">
        <f aca="false">IF($D124="Panel Details",IF($Z124="Primary",$L124,$J124),"")</f>
        <v/>
      </c>
      <c r="AI124" s="46" t="str">
        <f aca="false">IF($D124="Panel Details",'Survey Response'!$H122,"")</f>
        <v/>
      </c>
      <c r="AJ124" s="46" t="str">
        <f aca="false">IF($D124="Panel Details",'Survey Response'!$M122,"")</f>
        <v/>
      </c>
      <c r="AK124" s="46" t="str">
        <f aca="false">IF($D124="Panel Details",$O124,"")</f>
        <v/>
      </c>
      <c r="AL124" s="46" t="str">
        <f aca="false">IF($D124="Panel Details",8,"")</f>
        <v/>
      </c>
      <c r="AM124" s="46" t="str">
        <f aca="false">IF($D124="Panel Details",$AB124,"")</f>
        <v/>
      </c>
      <c r="AN124" s="46" t="str">
        <f aca="false">IF($D124="Panel Details","Yes","")</f>
        <v/>
      </c>
      <c r="AO124" s="46"/>
      <c r="AP124" s="46" t="str">
        <f aca="false">IF($D124="Followup",'Survey Response'!$D122,"")</f>
        <v/>
      </c>
      <c r="AQ124" s="46" t="str">
        <f aca="false">IF($D124="Followup",'Survey Response'!$E122,"")</f>
        <v/>
      </c>
      <c r="AR124" s="46" t="str">
        <f aca="false">IF($D124="Followup",'Survey Response'!$G122,"")</f>
        <v/>
      </c>
      <c r="AS124" s="46" t="str">
        <f aca="false">IF($D124="Followup",'Survey Response'!$H122,"")</f>
        <v/>
      </c>
      <c r="AT124" s="46" t="str">
        <f aca="false">IF($D124="Followup",'Survey Response'!$M122,"")</f>
        <v/>
      </c>
      <c r="AU124" s="46" t="str">
        <f aca="false">IF($D124="Followup",'Survey Response'!$K122,"")</f>
        <v/>
      </c>
      <c r="AV124" s="46" t="str">
        <f aca="false">IF($D124="Followup",'Survey Response'!$L122,"")</f>
        <v/>
      </c>
      <c r="AW124" s="46" t="str">
        <f aca="false">IF($D124="Followup",IF(AND($P124&lt;&gt;"Yes",$U124&lt;&gt;"Yes"),"Not approved for primary or secondary skill","Approved, but skill(s) no longer have capacity (fully staffed)"),"")</f>
        <v/>
      </c>
    </row>
    <row r="125" customFormat="false" ht="15" hidden="false" customHeight="true" outlineLevel="0" collapsed="false">
      <c r="A125" s="46" t="str">
        <f aca="false">IF('Survey Response'!$D123="","",'Survey Response'!$A123&amp;"|"&amp;LOWER(TRIM('Survey Response'!$D123)))</f>
        <v/>
      </c>
      <c r="B125" s="46" t="str">
        <f aca="false">IF($H125="","",$F125&amp;"|"&amp;$H125)</f>
        <v/>
      </c>
      <c r="C125" s="46" t="str">
        <f aca="false">IF($H125="","",$A125=$B125)</f>
        <v/>
      </c>
      <c r="D125" s="46" t="str">
        <f aca="false">IF($H125="","",IF($E125&lt;&gt;"Yes","Superseded",IF($I125&lt;&gt;"Yes, I'm available for in-person interviews at Chennai","Not Available",IF($Z125&lt;&gt;"","Panel Details","Followup"))))</f>
        <v/>
      </c>
      <c r="E125" s="46" t="str">
        <f aca="false">IF($H125="","",IF(SUMPRODUCT(($H$4:$H$503=$H125)*(($G$4:$G$503&gt;$G125)+($G$4:$G$503=$G125)*($F$4:$F$503&gt;$F125)))=0,"Yes","No"))</f>
        <v/>
      </c>
      <c r="F125" s="47" t="str">
        <f aca="false">IF('Survey Response'!$D123="","",INT('Survey Response'!$A123))</f>
        <v/>
      </c>
      <c r="G125" s="46" t="str">
        <f aca="false">IF('Survey Response'!$D123="","",'Survey Response'!$C123)</f>
        <v/>
      </c>
      <c r="H125" s="46" t="str">
        <f aca="false">IF('Survey Response'!$D123="","",LOWER(TRIM('Survey Response'!$D123)))</f>
        <v/>
      </c>
      <c r="I125" s="46" t="str">
        <f aca="false">IF($H125="","",'Survey Response'!$I123)</f>
        <v/>
      </c>
      <c r="J125" s="46" t="str">
        <f aca="false">IF($H125="","",'Survey Response'!$K123)</f>
        <v/>
      </c>
      <c r="K125" s="46" t="str">
        <f aca="false">IF($J125="","",IF(COUNTIF('Skill Mapping'!$A$2:$A$7,TRIM($J125))=0,"",INDEX('Skill Mapping'!$B$2:$B$7,MATCH(TRIM($J125),'Skill Mapping'!$A$2:$A$7,0))))</f>
        <v/>
      </c>
      <c r="L125" s="46" t="str">
        <f aca="false">IF($H125="","",'Survey Response'!$L123)</f>
        <v/>
      </c>
      <c r="M125" s="46" t="str">
        <f aca="false">IF($L125="","",IF(COUNTIF('Skill Mapping'!$A$2:$A$7,TRIM($L125))=0,"",INDEX('Skill Mapping'!$B$2:$B$7,MATCH(TRIM($L125),'Skill Mapping'!$A$2:$A$7,0))))</f>
        <v/>
      </c>
      <c r="N125" s="46" t="str">
        <f aca="false">IF($H125="","",'Survey Response'!$M123)</f>
        <v/>
      </c>
      <c r="O125" s="46" t="str">
        <f aca="false">IF($H125="","",IF('Survey Response'!$M123="Manager","R2","R1"))</f>
        <v/>
      </c>
      <c r="P125" s="46" t="str">
        <f aca="false">IF($K125="","No",IF(COUNTIFS(MasterPanel!$B:$B,$H125,MasterPanel!$I:$I,$K125,MasterPanel!$K:$K,"Y")&gt;0,"Yes","No"))</f>
        <v>No</v>
      </c>
      <c r="Q125" s="46" t="n">
        <f aca="false">IF($K125="",0,IF(COUNTIF('Gap Sheet'!$A$6:$A$11,TRIM($J125))=0,0,IF($O125="R1",INDEX('Gap Sheet'!$C$6:$C$11,MATCH(TRIM($J125),'Gap Sheet'!$A$6:$A$11,0)),INDEX('Gap Sheet'!$G$6:$G$11,MATCH(TRIM($J125),'Gap Sheet'!$A$6:$A$11,0)))))</f>
        <v>0</v>
      </c>
      <c r="R125" s="46" t="str">
        <f aca="false">IF($K125="","",$K125&amp;"|"&amp;$O125)</f>
        <v/>
      </c>
      <c r="S125" s="46" t="n">
        <f aca="false">IF($R125="",0,COUNTIF($AA$4:$AA124,$R125))</f>
        <v>0</v>
      </c>
      <c r="T125" s="46" t="str">
        <f aca="false">IF(OR($I125&lt;&gt;"Yes, I'm available for in-person interviews at Chennai",$E125&lt;&gt;"Yes",$P125&lt;&gt;"Yes"),"No",IF(($Q125-$S125)&gt;0,"Yes","No"))</f>
        <v>No</v>
      </c>
      <c r="U125" s="46" t="str">
        <f aca="false">IF($M125="","No",IF(COUNTIFS(MasterPanel!$B:$B,$H125,MasterPanel!$I:$I,$M125,MasterPanel!$K:$K,"Y")&gt;0,"Yes","No"))</f>
        <v>No</v>
      </c>
      <c r="V125" s="46" t="n">
        <f aca="false">IF($M125="",0,IF(COUNTIF('Gap Sheet'!$A$6:$A$11,TRIM($L125))=0,0,IF($O125="R1",INDEX('Gap Sheet'!$C$6:$C$11,MATCH(TRIM($L125),'Gap Sheet'!$A$6:$A$11,0)),INDEX('Gap Sheet'!$G$6:$G$11,MATCH(TRIM($L125),'Gap Sheet'!$A$6:$A$11,0)))))</f>
        <v>0</v>
      </c>
      <c r="W125" s="46" t="str">
        <f aca="false">IF($M125="","",$M125&amp;"|"&amp;$O125)</f>
        <v/>
      </c>
      <c r="X125" s="46" t="n">
        <f aca="false">IF($W125="",0,COUNTIF($AA$4:$AA124,$W125))</f>
        <v>0</v>
      </c>
      <c r="Y125" s="46" t="str">
        <f aca="false">IF(OR($I125&lt;&gt;"Yes, I'm available for in-person interviews at Chennai",$E125&lt;&gt;"Yes",$T125="Yes",$U125&lt;&gt;"Yes"),"No",IF(($V125-$X125)&gt;0,"Yes","No"))</f>
        <v>No</v>
      </c>
      <c r="Z125" s="46" t="str">
        <f aca="false">IF($T125="Yes","Primary",IF($Y125="Yes","Secondary",""))</f>
        <v/>
      </c>
      <c r="AA125" s="46" t="str">
        <f aca="false">IF($Z125="Primary",$R125,IF($Z125="Secondary",$W125,""))</f>
        <v/>
      </c>
      <c r="AB125" s="46" t="str">
        <f aca="false">IF($Z125="Primary","Matched on primary skill",IF($Z125="Secondary","Matched on secondary skill (primary not approved or not required)",""))</f>
        <v/>
      </c>
      <c r="AC125" s="47" t="str">
        <f aca="false">IF($D125="Panel Details",$F125,"")</f>
        <v/>
      </c>
      <c r="AD125" s="46" t="str">
        <f aca="false">IF($D125="Panel Details",'Survey Response'!$D123,"")</f>
        <v/>
      </c>
      <c r="AE125" s="46" t="str">
        <f aca="false">IF($D125="Panel Details",'Survey Response'!$E123,"")</f>
        <v/>
      </c>
      <c r="AF125" s="46" t="str">
        <f aca="false">IF($D125="Panel Details",'Survey Response'!$G123,"")</f>
        <v/>
      </c>
      <c r="AG125" s="46" t="str">
        <f aca="false">IF($D125="Panel Details",IF($Z125="Primary",$J125,$L125),"")</f>
        <v/>
      </c>
      <c r="AH125" s="46" t="str">
        <f aca="false">IF($D125="Panel Details",IF($Z125="Primary",$L125,$J125),"")</f>
        <v/>
      </c>
      <c r="AI125" s="46" t="str">
        <f aca="false">IF($D125="Panel Details",'Survey Response'!$H123,"")</f>
        <v/>
      </c>
      <c r="AJ125" s="46" t="str">
        <f aca="false">IF($D125="Panel Details",'Survey Response'!$M123,"")</f>
        <v/>
      </c>
      <c r="AK125" s="46" t="str">
        <f aca="false">IF($D125="Panel Details",$O125,"")</f>
        <v/>
      </c>
      <c r="AL125" s="46" t="str">
        <f aca="false">IF($D125="Panel Details",8,"")</f>
        <v/>
      </c>
      <c r="AM125" s="46" t="str">
        <f aca="false">IF($D125="Panel Details",$AB125,"")</f>
        <v/>
      </c>
      <c r="AN125" s="46" t="str">
        <f aca="false">IF($D125="Panel Details","Yes","")</f>
        <v/>
      </c>
      <c r="AO125" s="46"/>
      <c r="AP125" s="46" t="str">
        <f aca="false">IF($D125="Followup",'Survey Response'!$D123,"")</f>
        <v/>
      </c>
      <c r="AQ125" s="46" t="str">
        <f aca="false">IF($D125="Followup",'Survey Response'!$E123,"")</f>
        <v/>
      </c>
      <c r="AR125" s="46" t="str">
        <f aca="false">IF($D125="Followup",'Survey Response'!$G123,"")</f>
        <v/>
      </c>
      <c r="AS125" s="46" t="str">
        <f aca="false">IF($D125="Followup",'Survey Response'!$H123,"")</f>
        <v/>
      </c>
      <c r="AT125" s="46" t="str">
        <f aca="false">IF($D125="Followup",'Survey Response'!$M123,"")</f>
        <v/>
      </c>
      <c r="AU125" s="46" t="str">
        <f aca="false">IF($D125="Followup",'Survey Response'!$K123,"")</f>
        <v/>
      </c>
      <c r="AV125" s="46" t="str">
        <f aca="false">IF($D125="Followup",'Survey Response'!$L123,"")</f>
        <v/>
      </c>
      <c r="AW125" s="46" t="str">
        <f aca="false">IF($D125="Followup",IF(AND($P125&lt;&gt;"Yes",$U125&lt;&gt;"Yes"),"Not approved for primary or secondary skill","Approved, but skill(s) no longer have capacity (fully staffed)"),"")</f>
        <v/>
      </c>
    </row>
    <row r="126" customFormat="false" ht="15" hidden="false" customHeight="true" outlineLevel="0" collapsed="false">
      <c r="A126" s="46" t="str">
        <f aca="false">IF('Survey Response'!$D124="","",'Survey Response'!$A124&amp;"|"&amp;LOWER(TRIM('Survey Response'!$D124)))</f>
        <v/>
      </c>
      <c r="B126" s="46" t="str">
        <f aca="false">IF($H126="","",$F126&amp;"|"&amp;$H126)</f>
        <v/>
      </c>
      <c r="C126" s="46" t="str">
        <f aca="false">IF($H126="","",$A126=$B126)</f>
        <v/>
      </c>
      <c r="D126" s="46" t="str">
        <f aca="false">IF($H126="","",IF($E126&lt;&gt;"Yes","Superseded",IF($I126&lt;&gt;"Yes, I'm available for in-person interviews at Chennai","Not Available",IF($Z126&lt;&gt;"","Panel Details","Followup"))))</f>
        <v/>
      </c>
      <c r="E126" s="46" t="str">
        <f aca="false">IF($H126="","",IF(SUMPRODUCT(($H$4:$H$503=$H126)*(($G$4:$G$503&gt;$G126)+($G$4:$G$503=$G126)*($F$4:$F$503&gt;$F126)))=0,"Yes","No"))</f>
        <v/>
      </c>
      <c r="F126" s="47" t="str">
        <f aca="false">IF('Survey Response'!$D124="","",INT('Survey Response'!$A124))</f>
        <v/>
      </c>
      <c r="G126" s="46" t="str">
        <f aca="false">IF('Survey Response'!$D124="","",'Survey Response'!$C124)</f>
        <v/>
      </c>
      <c r="H126" s="46" t="str">
        <f aca="false">IF('Survey Response'!$D124="","",LOWER(TRIM('Survey Response'!$D124)))</f>
        <v/>
      </c>
      <c r="I126" s="46" t="str">
        <f aca="false">IF($H126="","",'Survey Response'!$I124)</f>
        <v/>
      </c>
      <c r="J126" s="46" t="str">
        <f aca="false">IF($H126="","",'Survey Response'!$K124)</f>
        <v/>
      </c>
      <c r="K126" s="46" t="str">
        <f aca="false">IF($J126="","",IF(COUNTIF('Skill Mapping'!$A$2:$A$7,TRIM($J126))=0,"",INDEX('Skill Mapping'!$B$2:$B$7,MATCH(TRIM($J126),'Skill Mapping'!$A$2:$A$7,0))))</f>
        <v/>
      </c>
      <c r="L126" s="46" t="str">
        <f aca="false">IF($H126="","",'Survey Response'!$L124)</f>
        <v/>
      </c>
      <c r="M126" s="46" t="str">
        <f aca="false">IF($L126="","",IF(COUNTIF('Skill Mapping'!$A$2:$A$7,TRIM($L126))=0,"",INDEX('Skill Mapping'!$B$2:$B$7,MATCH(TRIM($L126),'Skill Mapping'!$A$2:$A$7,0))))</f>
        <v/>
      </c>
      <c r="N126" s="46" t="str">
        <f aca="false">IF($H126="","",'Survey Response'!$M124)</f>
        <v/>
      </c>
      <c r="O126" s="46" t="str">
        <f aca="false">IF($H126="","",IF('Survey Response'!$M124="Manager","R2","R1"))</f>
        <v/>
      </c>
      <c r="P126" s="46" t="str">
        <f aca="false">IF($K126="","No",IF(COUNTIFS(MasterPanel!$B:$B,$H126,MasterPanel!$I:$I,$K126,MasterPanel!$K:$K,"Y")&gt;0,"Yes","No"))</f>
        <v>No</v>
      </c>
      <c r="Q126" s="46" t="n">
        <f aca="false">IF($K126="",0,IF(COUNTIF('Gap Sheet'!$A$6:$A$11,TRIM($J126))=0,0,IF($O126="R1",INDEX('Gap Sheet'!$C$6:$C$11,MATCH(TRIM($J126),'Gap Sheet'!$A$6:$A$11,0)),INDEX('Gap Sheet'!$G$6:$G$11,MATCH(TRIM($J126),'Gap Sheet'!$A$6:$A$11,0)))))</f>
        <v>0</v>
      </c>
      <c r="R126" s="46" t="str">
        <f aca="false">IF($K126="","",$K126&amp;"|"&amp;$O126)</f>
        <v/>
      </c>
      <c r="S126" s="46" t="n">
        <f aca="false">IF($R126="",0,COUNTIF($AA$4:$AA125,$R126))</f>
        <v>0</v>
      </c>
      <c r="T126" s="46" t="str">
        <f aca="false">IF(OR($I126&lt;&gt;"Yes, I'm available for in-person interviews at Chennai",$E126&lt;&gt;"Yes",$P126&lt;&gt;"Yes"),"No",IF(($Q126-$S126)&gt;0,"Yes","No"))</f>
        <v>No</v>
      </c>
      <c r="U126" s="46" t="str">
        <f aca="false">IF($M126="","No",IF(COUNTIFS(MasterPanel!$B:$B,$H126,MasterPanel!$I:$I,$M126,MasterPanel!$K:$K,"Y")&gt;0,"Yes","No"))</f>
        <v>No</v>
      </c>
      <c r="V126" s="46" t="n">
        <f aca="false">IF($M126="",0,IF(COUNTIF('Gap Sheet'!$A$6:$A$11,TRIM($L126))=0,0,IF($O126="R1",INDEX('Gap Sheet'!$C$6:$C$11,MATCH(TRIM($L126),'Gap Sheet'!$A$6:$A$11,0)),INDEX('Gap Sheet'!$G$6:$G$11,MATCH(TRIM($L126),'Gap Sheet'!$A$6:$A$11,0)))))</f>
        <v>0</v>
      </c>
      <c r="W126" s="46" t="str">
        <f aca="false">IF($M126="","",$M126&amp;"|"&amp;$O126)</f>
        <v/>
      </c>
      <c r="X126" s="46" t="n">
        <f aca="false">IF($W126="",0,COUNTIF($AA$4:$AA125,$W126))</f>
        <v>0</v>
      </c>
      <c r="Y126" s="46" t="str">
        <f aca="false">IF(OR($I126&lt;&gt;"Yes, I'm available for in-person interviews at Chennai",$E126&lt;&gt;"Yes",$T126="Yes",$U126&lt;&gt;"Yes"),"No",IF(($V126-$X126)&gt;0,"Yes","No"))</f>
        <v>No</v>
      </c>
      <c r="Z126" s="46" t="str">
        <f aca="false">IF($T126="Yes","Primary",IF($Y126="Yes","Secondary",""))</f>
        <v/>
      </c>
      <c r="AA126" s="46" t="str">
        <f aca="false">IF($Z126="Primary",$R126,IF($Z126="Secondary",$W126,""))</f>
        <v/>
      </c>
      <c r="AB126" s="46" t="str">
        <f aca="false">IF($Z126="Primary","Matched on primary skill",IF($Z126="Secondary","Matched on secondary skill (primary not approved or not required)",""))</f>
        <v/>
      </c>
      <c r="AC126" s="47" t="str">
        <f aca="false">IF($D126="Panel Details",$F126,"")</f>
        <v/>
      </c>
      <c r="AD126" s="46" t="str">
        <f aca="false">IF($D126="Panel Details",'Survey Response'!$D124,"")</f>
        <v/>
      </c>
      <c r="AE126" s="46" t="str">
        <f aca="false">IF($D126="Panel Details",'Survey Response'!$E124,"")</f>
        <v/>
      </c>
      <c r="AF126" s="46" t="str">
        <f aca="false">IF($D126="Panel Details",'Survey Response'!$G124,"")</f>
        <v/>
      </c>
      <c r="AG126" s="46" t="str">
        <f aca="false">IF($D126="Panel Details",IF($Z126="Primary",$J126,$L126),"")</f>
        <v/>
      </c>
      <c r="AH126" s="46" t="str">
        <f aca="false">IF($D126="Panel Details",IF($Z126="Primary",$L126,$J126),"")</f>
        <v/>
      </c>
      <c r="AI126" s="46" t="str">
        <f aca="false">IF($D126="Panel Details",'Survey Response'!$H124,"")</f>
        <v/>
      </c>
      <c r="AJ126" s="46" t="str">
        <f aca="false">IF($D126="Panel Details",'Survey Response'!$M124,"")</f>
        <v/>
      </c>
      <c r="AK126" s="46" t="str">
        <f aca="false">IF($D126="Panel Details",$O126,"")</f>
        <v/>
      </c>
      <c r="AL126" s="46" t="str">
        <f aca="false">IF($D126="Panel Details",8,"")</f>
        <v/>
      </c>
      <c r="AM126" s="46" t="str">
        <f aca="false">IF($D126="Panel Details",$AB126,"")</f>
        <v/>
      </c>
      <c r="AN126" s="46" t="str">
        <f aca="false">IF($D126="Panel Details","Yes","")</f>
        <v/>
      </c>
      <c r="AO126" s="46"/>
      <c r="AP126" s="46" t="str">
        <f aca="false">IF($D126="Followup",'Survey Response'!$D124,"")</f>
        <v/>
      </c>
      <c r="AQ126" s="46" t="str">
        <f aca="false">IF($D126="Followup",'Survey Response'!$E124,"")</f>
        <v/>
      </c>
      <c r="AR126" s="46" t="str">
        <f aca="false">IF($D126="Followup",'Survey Response'!$G124,"")</f>
        <v/>
      </c>
      <c r="AS126" s="46" t="str">
        <f aca="false">IF($D126="Followup",'Survey Response'!$H124,"")</f>
        <v/>
      </c>
      <c r="AT126" s="46" t="str">
        <f aca="false">IF($D126="Followup",'Survey Response'!$M124,"")</f>
        <v/>
      </c>
      <c r="AU126" s="46" t="str">
        <f aca="false">IF($D126="Followup",'Survey Response'!$K124,"")</f>
        <v/>
      </c>
      <c r="AV126" s="46" t="str">
        <f aca="false">IF($D126="Followup",'Survey Response'!$L124,"")</f>
        <v/>
      </c>
      <c r="AW126" s="46" t="str">
        <f aca="false">IF($D126="Followup",IF(AND($P126&lt;&gt;"Yes",$U126&lt;&gt;"Yes"),"Not approved for primary or secondary skill","Approved, but skill(s) no longer have capacity (fully staffed)"),"")</f>
        <v/>
      </c>
    </row>
    <row r="127" customFormat="false" ht="15" hidden="false" customHeight="true" outlineLevel="0" collapsed="false">
      <c r="A127" s="46" t="str">
        <f aca="false">IF('Survey Response'!$D125="","",'Survey Response'!$A125&amp;"|"&amp;LOWER(TRIM('Survey Response'!$D125)))</f>
        <v/>
      </c>
      <c r="B127" s="46" t="str">
        <f aca="false">IF($H127="","",$F127&amp;"|"&amp;$H127)</f>
        <v/>
      </c>
      <c r="C127" s="46" t="str">
        <f aca="false">IF($H127="","",$A127=$B127)</f>
        <v/>
      </c>
      <c r="D127" s="46" t="str">
        <f aca="false">IF($H127="","",IF($E127&lt;&gt;"Yes","Superseded",IF($I127&lt;&gt;"Yes, I'm available for in-person interviews at Chennai","Not Available",IF($Z127&lt;&gt;"","Panel Details","Followup"))))</f>
        <v/>
      </c>
      <c r="E127" s="46" t="str">
        <f aca="false">IF($H127="","",IF(SUMPRODUCT(($H$4:$H$503=$H127)*(($G$4:$G$503&gt;$G127)+($G$4:$G$503=$G127)*($F$4:$F$503&gt;$F127)))=0,"Yes","No"))</f>
        <v/>
      </c>
      <c r="F127" s="47" t="str">
        <f aca="false">IF('Survey Response'!$D125="","",INT('Survey Response'!$A125))</f>
        <v/>
      </c>
      <c r="G127" s="46" t="str">
        <f aca="false">IF('Survey Response'!$D125="","",'Survey Response'!$C125)</f>
        <v/>
      </c>
      <c r="H127" s="46" t="str">
        <f aca="false">IF('Survey Response'!$D125="","",LOWER(TRIM('Survey Response'!$D125)))</f>
        <v/>
      </c>
      <c r="I127" s="46" t="str">
        <f aca="false">IF($H127="","",'Survey Response'!$I125)</f>
        <v/>
      </c>
      <c r="J127" s="46" t="str">
        <f aca="false">IF($H127="","",'Survey Response'!$K125)</f>
        <v/>
      </c>
      <c r="K127" s="46" t="str">
        <f aca="false">IF($J127="","",IF(COUNTIF('Skill Mapping'!$A$2:$A$7,TRIM($J127))=0,"",INDEX('Skill Mapping'!$B$2:$B$7,MATCH(TRIM($J127),'Skill Mapping'!$A$2:$A$7,0))))</f>
        <v/>
      </c>
      <c r="L127" s="46" t="str">
        <f aca="false">IF($H127="","",'Survey Response'!$L125)</f>
        <v/>
      </c>
      <c r="M127" s="46" t="str">
        <f aca="false">IF($L127="","",IF(COUNTIF('Skill Mapping'!$A$2:$A$7,TRIM($L127))=0,"",INDEX('Skill Mapping'!$B$2:$B$7,MATCH(TRIM($L127),'Skill Mapping'!$A$2:$A$7,0))))</f>
        <v/>
      </c>
      <c r="N127" s="46" t="str">
        <f aca="false">IF($H127="","",'Survey Response'!$M125)</f>
        <v/>
      </c>
      <c r="O127" s="46" t="str">
        <f aca="false">IF($H127="","",IF('Survey Response'!$M125="Manager","R2","R1"))</f>
        <v/>
      </c>
      <c r="P127" s="46" t="str">
        <f aca="false">IF($K127="","No",IF(COUNTIFS(MasterPanel!$B:$B,$H127,MasterPanel!$I:$I,$K127,MasterPanel!$K:$K,"Y")&gt;0,"Yes","No"))</f>
        <v>No</v>
      </c>
      <c r="Q127" s="46" t="n">
        <f aca="false">IF($K127="",0,IF(COUNTIF('Gap Sheet'!$A$6:$A$11,TRIM($J127))=0,0,IF($O127="R1",INDEX('Gap Sheet'!$C$6:$C$11,MATCH(TRIM($J127),'Gap Sheet'!$A$6:$A$11,0)),INDEX('Gap Sheet'!$G$6:$G$11,MATCH(TRIM($J127),'Gap Sheet'!$A$6:$A$11,0)))))</f>
        <v>0</v>
      </c>
      <c r="R127" s="46" t="str">
        <f aca="false">IF($K127="","",$K127&amp;"|"&amp;$O127)</f>
        <v/>
      </c>
      <c r="S127" s="46" t="n">
        <f aca="false">IF($R127="",0,COUNTIF($AA$4:$AA126,$R127))</f>
        <v>0</v>
      </c>
      <c r="T127" s="46" t="str">
        <f aca="false">IF(OR($I127&lt;&gt;"Yes, I'm available for in-person interviews at Chennai",$E127&lt;&gt;"Yes",$P127&lt;&gt;"Yes"),"No",IF(($Q127-$S127)&gt;0,"Yes","No"))</f>
        <v>No</v>
      </c>
      <c r="U127" s="46" t="str">
        <f aca="false">IF($M127="","No",IF(COUNTIFS(MasterPanel!$B:$B,$H127,MasterPanel!$I:$I,$M127,MasterPanel!$K:$K,"Y")&gt;0,"Yes","No"))</f>
        <v>No</v>
      </c>
      <c r="V127" s="46" t="n">
        <f aca="false">IF($M127="",0,IF(COUNTIF('Gap Sheet'!$A$6:$A$11,TRIM($L127))=0,0,IF($O127="R1",INDEX('Gap Sheet'!$C$6:$C$11,MATCH(TRIM($L127),'Gap Sheet'!$A$6:$A$11,0)),INDEX('Gap Sheet'!$G$6:$G$11,MATCH(TRIM($L127),'Gap Sheet'!$A$6:$A$11,0)))))</f>
        <v>0</v>
      </c>
      <c r="W127" s="46" t="str">
        <f aca="false">IF($M127="","",$M127&amp;"|"&amp;$O127)</f>
        <v/>
      </c>
      <c r="X127" s="46" t="n">
        <f aca="false">IF($W127="",0,COUNTIF($AA$4:$AA126,$W127))</f>
        <v>0</v>
      </c>
      <c r="Y127" s="46" t="str">
        <f aca="false">IF(OR($I127&lt;&gt;"Yes, I'm available for in-person interviews at Chennai",$E127&lt;&gt;"Yes",$T127="Yes",$U127&lt;&gt;"Yes"),"No",IF(($V127-$X127)&gt;0,"Yes","No"))</f>
        <v>No</v>
      </c>
      <c r="Z127" s="46" t="str">
        <f aca="false">IF($T127="Yes","Primary",IF($Y127="Yes","Secondary",""))</f>
        <v/>
      </c>
      <c r="AA127" s="46" t="str">
        <f aca="false">IF($Z127="Primary",$R127,IF($Z127="Secondary",$W127,""))</f>
        <v/>
      </c>
      <c r="AB127" s="46" t="str">
        <f aca="false">IF($Z127="Primary","Matched on primary skill",IF($Z127="Secondary","Matched on secondary skill (primary not approved or not required)",""))</f>
        <v/>
      </c>
      <c r="AC127" s="47" t="str">
        <f aca="false">IF($D127="Panel Details",$F127,"")</f>
        <v/>
      </c>
      <c r="AD127" s="46" t="str">
        <f aca="false">IF($D127="Panel Details",'Survey Response'!$D125,"")</f>
        <v/>
      </c>
      <c r="AE127" s="46" t="str">
        <f aca="false">IF($D127="Panel Details",'Survey Response'!$E125,"")</f>
        <v/>
      </c>
      <c r="AF127" s="46" t="str">
        <f aca="false">IF($D127="Panel Details",'Survey Response'!$G125,"")</f>
        <v/>
      </c>
      <c r="AG127" s="46" t="str">
        <f aca="false">IF($D127="Panel Details",IF($Z127="Primary",$J127,$L127),"")</f>
        <v/>
      </c>
      <c r="AH127" s="46" t="str">
        <f aca="false">IF($D127="Panel Details",IF($Z127="Primary",$L127,$J127),"")</f>
        <v/>
      </c>
      <c r="AI127" s="46" t="str">
        <f aca="false">IF($D127="Panel Details",'Survey Response'!$H125,"")</f>
        <v/>
      </c>
      <c r="AJ127" s="46" t="str">
        <f aca="false">IF($D127="Panel Details",'Survey Response'!$M125,"")</f>
        <v/>
      </c>
      <c r="AK127" s="46" t="str">
        <f aca="false">IF($D127="Panel Details",$O127,"")</f>
        <v/>
      </c>
      <c r="AL127" s="46" t="str">
        <f aca="false">IF($D127="Panel Details",8,"")</f>
        <v/>
      </c>
      <c r="AM127" s="46" t="str">
        <f aca="false">IF($D127="Panel Details",$AB127,"")</f>
        <v/>
      </c>
      <c r="AN127" s="46" t="str">
        <f aca="false">IF($D127="Panel Details","Yes","")</f>
        <v/>
      </c>
      <c r="AO127" s="46"/>
      <c r="AP127" s="46" t="str">
        <f aca="false">IF($D127="Followup",'Survey Response'!$D125,"")</f>
        <v/>
      </c>
      <c r="AQ127" s="46" t="str">
        <f aca="false">IF($D127="Followup",'Survey Response'!$E125,"")</f>
        <v/>
      </c>
      <c r="AR127" s="46" t="str">
        <f aca="false">IF($D127="Followup",'Survey Response'!$G125,"")</f>
        <v/>
      </c>
      <c r="AS127" s="46" t="str">
        <f aca="false">IF($D127="Followup",'Survey Response'!$H125,"")</f>
        <v/>
      </c>
      <c r="AT127" s="46" t="str">
        <f aca="false">IF($D127="Followup",'Survey Response'!$M125,"")</f>
        <v/>
      </c>
      <c r="AU127" s="46" t="str">
        <f aca="false">IF($D127="Followup",'Survey Response'!$K125,"")</f>
        <v/>
      </c>
      <c r="AV127" s="46" t="str">
        <f aca="false">IF($D127="Followup",'Survey Response'!$L125,"")</f>
        <v/>
      </c>
      <c r="AW127" s="46" t="str">
        <f aca="false">IF($D127="Followup",IF(AND($P127&lt;&gt;"Yes",$U127&lt;&gt;"Yes"),"Not approved for primary or secondary skill","Approved, but skill(s) no longer have capacity (fully staffed)"),"")</f>
        <v/>
      </c>
    </row>
    <row r="128" customFormat="false" ht="15" hidden="false" customHeight="true" outlineLevel="0" collapsed="false">
      <c r="A128" s="46" t="str">
        <f aca="false">IF('Survey Response'!$D126="","",'Survey Response'!$A126&amp;"|"&amp;LOWER(TRIM('Survey Response'!$D126)))</f>
        <v/>
      </c>
      <c r="B128" s="46" t="str">
        <f aca="false">IF($H128="","",$F128&amp;"|"&amp;$H128)</f>
        <v/>
      </c>
      <c r="C128" s="46" t="str">
        <f aca="false">IF($H128="","",$A128=$B128)</f>
        <v/>
      </c>
      <c r="D128" s="46" t="str">
        <f aca="false">IF($H128="","",IF($E128&lt;&gt;"Yes","Superseded",IF($I128&lt;&gt;"Yes, I'm available for in-person interviews at Chennai","Not Available",IF($Z128&lt;&gt;"","Panel Details","Followup"))))</f>
        <v/>
      </c>
      <c r="E128" s="46" t="str">
        <f aca="false">IF($H128="","",IF(SUMPRODUCT(($H$4:$H$503=$H128)*(($G$4:$G$503&gt;$G128)+($G$4:$G$503=$G128)*($F$4:$F$503&gt;$F128)))=0,"Yes","No"))</f>
        <v/>
      </c>
      <c r="F128" s="47" t="str">
        <f aca="false">IF('Survey Response'!$D126="","",INT('Survey Response'!$A126))</f>
        <v/>
      </c>
      <c r="G128" s="46" t="str">
        <f aca="false">IF('Survey Response'!$D126="","",'Survey Response'!$C126)</f>
        <v/>
      </c>
      <c r="H128" s="46" t="str">
        <f aca="false">IF('Survey Response'!$D126="","",LOWER(TRIM('Survey Response'!$D126)))</f>
        <v/>
      </c>
      <c r="I128" s="46" t="str">
        <f aca="false">IF($H128="","",'Survey Response'!$I126)</f>
        <v/>
      </c>
      <c r="J128" s="46" t="str">
        <f aca="false">IF($H128="","",'Survey Response'!$K126)</f>
        <v/>
      </c>
      <c r="K128" s="46" t="str">
        <f aca="false">IF($J128="","",IF(COUNTIF('Skill Mapping'!$A$2:$A$7,TRIM($J128))=0,"",INDEX('Skill Mapping'!$B$2:$B$7,MATCH(TRIM($J128),'Skill Mapping'!$A$2:$A$7,0))))</f>
        <v/>
      </c>
      <c r="L128" s="46" t="str">
        <f aca="false">IF($H128="","",'Survey Response'!$L126)</f>
        <v/>
      </c>
      <c r="M128" s="46" t="str">
        <f aca="false">IF($L128="","",IF(COUNTIF('Skill Mapping'!$A$2:$A$7,TRIM($L128))=0,"",INDEX('Skill Mapping'!$B$2:$B$7,MATCH(TRIM($L128),'Skill Mapping'!$A$2:$A$7,0))))</f>
        <v/>
      </c>
      <c r="N128" s="46" t="str">
        <f aca="false">IF($H128="","",'Survey Response'!$M126)</f>
        <v/>
      </c>
      <c r="O128" s="46" t="str">
        <f aca="false">IF($H128="","",IF('Survey Response'!$M126="Manager","R2","R1"))</f>
        <v/>
      </c>
      <c r="P128" s="46" t="str">
        <f aca="false">IF($K128="","No",IF(COUNTIFS(MasterPanel!$B:$B,$H128,MasterPanel!$I:$I,$K128,MasterPanel!$K:$K,"Y")&gt;0,"Yes","No"))</f>
        <v>No</v>
      </c>
      <c r="Q128" s="46" t="n">
        <f aca="false">IF($K128="",0,IF(COUNTIF('Gap Sheet'!$A$6:$A$11,TRIM($J128))=0,0,IF($O128="R1",INDEX('Gap Sheet'!$C$6:$C$11,MATCH(TRIM($J128),'Gap Sheet'!$A$6:$A$11,0)),INDEX('Gap Sheet'!$G$6:$G$11,MATCH(TRIM($J128),'Gap Sheet'!$A$6:$A$11,0)))))</f>
        <v>0</v>
      </c>
      <c r="R128" s="46" t="str">
        <f aca="false">IF($K128="","",$K128&amp;"|"&amp;$O128)</f>
        <v/>
      </c>
      <c r="S128" s="46" t="n">
        <f aca="false">IF($R128="",0,COUNTIF($AA$4:$AA127,$R128))</f>
        <v>0</v>
      </c>
      <c r="T128" s="46" t="str">
        <f aca="false">IF(OR($I128&lt;&gt;"Yes, I'm available for in-person interviews at Chennai",$E128&lt;&gt;"Yes",$P128&lt;&gt;"Yes"),"No",IF(($Q128-$S128)&gt;0,"Yes","No"))</f>
        <v>No</v>
      </c>
      <c r="U128" s="46" t="str">
        <f aca="false">IF($M128="","No",IF(COUNTIFS(MasterPanel!$B:$B,$H128,MasterPanel!$I:$I,$M128,MasterPanel!$K:$K,"Y")&gt;0,"Yes","No"))</f>
        <v>No</v>
      </c>
      <c r="V128" s="46" t="n">
        <f aca="false">IF($M128="",0,IF(COUNTIF('Gap Sheet'!$A$6:$A$11,TRIM($L128))=0,0,IF($O128="R1",INDEX('Gap Sheet'!$C$6:$C$11,MATCH(TRIM($L128),'Gap Sheet'!$A$6:$A$11,0)),INDEX('Gap Sheet'!$G$6:$G$11,MATCH(TRIM($L128),'Gap Sheet'!$A$6:$A$11,0)))))</f>
        <v>0</v>
      </c>
      <c r="W128" s="46" t="str">
        <f aca="false">IF($M128="","",$M128&amp;"|"&amp;$O128)</f>
        <v/>
      </c>
      <c r="X128" s="46" t="n">
        <f aca="false">IF($W128="",0,COUNTIF($AA$4:$AA127,$W128))</f>
        <v>0</v>
      </c>
      <c r="Y128" s="46" t="str">
        <f aca="false">IF(OR($I128&lt;&gt;"Yes, I'm available for in-person interviews at Chennai",$E128&lt;&gt;"Yes",$T128="Yes",$U128&lt;&gt;"Yes"),"No",IF(($V128-$X128)&gt;0,"Yes","No"))</f>
        <v>No</v>
      </c>
      <c r="Z128" s="46" t="str">
        <f aca="false">IF($T128="Yes","Primary",IF($Y128="Yes","Secondary",""))</f>
        <v/>
      </c>
      <c r="AA128" s="46" t="str">
        <f aca="false">IF($Z128="Primary",$R128,IF($Z128="Secondary",$W128,""))</f>
        <v/>
      </c>
      <c r="AB128" s="46" t="str">
        <f aca="false">IF($Z128="Primary","Matched on primary skill",IF($Z128="Secondary","Matched on secondary skill (primary not approved or not required)",""))</f>
        <v/>
      </c>
      <c r="AC128" s="47" t="str">
        <f aca="false">IF($D128="Panel Details",$F128,"")</f>
        <v/>
      </c>
      <c r="AD128" s="46" t="str">
        <f aca="false">IF($D128="Panel Details",'Survey Response'!$D126,"")</f>
        <v/>
      </c>
      <c r="AE128" s="46" t="str">
        <f aca="false">IF($D128="Panel Details",'Survey Response'!$E126,"")</f>
        <v/>
      </c>
      <c r="AF128" s="46" t="str">
        <f aca="false">IF($D128="Panel Details",'Survey Response'!$G126,"")</f>
        <v/>
      </c>
      <c r="AG128" s="46" t="str">
        <f aca="false">IF($D128="Panel Details",IF($Z128="Primary",$J128,$L128),"")</f>
        <v/>
      </c>
      <c r="AH128" s="46" t="str">
        <f aca="false">IF($D128="Panel Details",IF($Z128="Primary",$L128,$J128),"")</f>
        <v/>
      </c>
      <c r="AI128" s="46" t="str">
        <f aca="false">IF($D128="Panel Details",'Survey Response'!$H126,"")</f>
        <v/>
      </c>
      <c r="AJ128" s="46" t="str">
        <f aca="false">IF($D128="Panel Details",'Survey Response'!$M126,"")</f>
        <v/>
      </c>
      <c r="AK128" s="46" t="str">
        <f aca="false">IF($D128="Panel Details",$O128,"")</f>
        <v/>
      </c>
      <c r="AL128" s="46" t="str">
        <f aca="false">IF($D128="Panel Details",8,"")</f>
        <v/>
      </c>
      <c r="AM128" s="46" t="str">
        <f aca="false">IF($D128="Panel Details",$AB128,"")</f>
        <v/>
      </c>
      <c r="AN128" s="46" t="str">
        <f aca="false">IF($D128="Panel Details","Yes","")</f>
        <v/>
      </c>
      <c r="AO128" s="46"/>
      <c r="AP128" s="46" t="str">
        <f aca="false">IF($D128="Followup",'Survey Response'!$D126,"")</f>
        <v/>
      </c>
      <c r="AQ128" s="46" t="str">
        <f aca="false">IF($D128="Followup",'Survey Response'!$E126,"")</f>
        <v/>
      </c>
      <c r="AR128" s="46" t="str">
        <f aca="false">IF($D128="Followup",'Survey Response'!$G126,"")</f>
        <v/>
      </c>
      <c r="AS128" s="46" t="str">
        <f aca="false">IF($D128="Followup",'Survey Response'!$H126,"")</f>
        <v/>
      </c>
      <c r="AT128" s="46" t="str">
        <f aca="false">IF($D128="Followup",'Survey Response'!$M126,"")</f>
        <v/>
      </c>
      <c r="AU128" s="46" t="str">
        <f aca="false">IF($D128="Followup",'Survey Response'!$K126,"")</f>
        <v/>
      </c>
      <c r="AV128" s="46" t="str">
        <f aca="false">IF($D128="Followup",'Survey Response'!$L126,"")</f>
        <v/>
      </c>
      <c r="AW128" s="46" t="str">
        <f aca="false">IF($D128="Followup",IF(AND($P128&lt;&gt;"Yes",$U128&lt;&gt;"Yes"),"Not approved for primary or secondary skill","Approved, but skill(s) no longer have capacity (fully staffed)"),"")</f>
        <v/>
      </c>
    </row>
    <row r="129" customFormat="false" ht="15" hidden="false" customHeight="true" outlineLevel="0" collapsed="false">
      <c r="A129" s="46" t="str">
        <f aca="false">IF('Survey Response'!$D127="","",'Survey Response'!$A127&amp;"|"&amp;LOWER(TRIM('Survey Response'!$D127)))</f>
        <v/>
      </c>
      <c r="B129" s="46" t="str">
        <f aca="false">IF($H129="","",$F129&amp;"|"&amp;$H129)</f>
        <v/>
      </c>
      <c r="C129" s="46" t="str">
        <f aca="false">IF($H129="","",$A129=$B129)</f>
        <v/>
      </c>
      <c r="D129" s="46" t="str">
        <f aca="false">IF($H129="","",IF($E129&lt;&gt;"Yes","Superseded",IF($I129&lt;&gt;"Yes, I'm available for in-person interviews at Chennai","Not Available",IF($Z129&lt;&gt;"","Panel Details","Followup"))))</f>
        <v/>
      </c>
      <c r="E129" s="46" t="str">
        <f aca="false">IF($H129="","",IF(SUMPRODUCT(($H$4:$H$503=$H129)*(($G$4:$G$503&gt;$G129)+($G$4:$G$503=$G129)*($F$4:$F$503&gt;$F129)))=0,"Yes","No"))</f>
        <v/>
      </c>
      <c r="F129" s="47" t="str">
        <f aca="false">IF('Survey Response'!$D127="","",INT('Survey Response'!$A127))</f>
        <v/>
      </c>
      <c r="G129" s="46" t="str">
        <f aca="false">IF('Survey Response'!$D127="","",'Survey Response'!$C127)</f>
        <v/>
      </c>
      <c r="H129" s="46" t="str">
        <f aca="false">IF('Survey Response'!$D127="","",LOWER(TRIM('Survey Response'!$D127)))</f>
        <v/>
      </c>
      <c r="I129" s="46" t="str">
        <f aca="false">IF($H129="","",'Survey Response'!$I127)</f>
        <v/>
      </c>
      <c r="J129" s="46" t="str">
        <f aca="false">IF($H129="","",'Survey Response'!$K127)</f>
        <v/>
      </c>
      <c r="K129" s="46" t="str">
        <f aca="false">IF($J129="","",IF(COUNTIF('Skill Mapping'!$A$2:$A$7,TRIM($J129))=0,"",INDEX('Skill Mapping'!$B$2:$B$7,MATCH(TRIM($J129),'Skill Mapping'!$A$2:$A$7,0))))</f>
        <v/>
      </c>
      <c r="L129" s="46" t="str">
        <f aca="false">IF($H129="","",'Survey Response'!$L127)</f>
        <v/>
      </c>
      <c r="M129" s="46" t="str">
        <f aca="false">IF($L129="","",IF(COUNTIF('Skill Mapping'!$A$2:$A$7,TRIM($L129))=0,"",INDEX('Skill Mapping'!$B$2:$B$7,MATCH(TRIM($L129),'Skill Mapping'!$A$2:$A$7,0))))</f>
        <v/>
      </c>
      <c r="N129" s="46" t="str">
        <f aca="false">IF($H129="","",'Survey Response'!$M127)</f>
        <v/>
      </c>
      <c r="O129" s="46" t="str">
        <f aca="false">IF($H129="","",IF('Survey Response'!$M127="Manager","R2","R1"))</f>
        <v/>
      </c>
      <c r="P129" s="46" t="str">
        <f aca="false">IF($K129="","No",IF(COUNTIFS(MasterPanel!$B:$B,$H129,MasterPanel!$I:$I,$K129,MasterPanel!$K:$K,"Y")&gt;0,"Yes","No"))</f>
        <v>No</v>
      </c>
      <c r="Q129" s="46" t="n">
        <f aca="false">IF($K129="",0,IF(COUNTIF('Gap Sheet'!$A$6:$A$11,TRIM($J129))=0,0,IF($O129="R1",INDEX('Gap Sheet'!$C$6:$C$11,MATCH(TRIM($J129),'Gap Sheet'!$A$6:$A$11,0)),INDEX('Gap Sheet'!$G$6:$G$11,MATCH(TRIM($J129),'Gap Sheet'!$A$6:$A$11,0)))))</f>
        <v>0</v>
      </c>
      <c r="R129" s="46" t="str">
        <f aca="false">IF($K129="","",$K129&amp;"|"&amp;$O129)</f>
        <v/>
      </c>
      <c r="S129" s="46" t="n">
        <f aca="false">IF($R129="",0,COUNTIF($AA$4:$AA128,$R129))</f>
        <v>0</v>
      </c>
      <c r="T129" s="46" t="str">
        <f aca="false">IF(OR($I129&lt;&gt;"Yes, I'm available for in-person interviews at Chennai",$E129&lt;&gt;"Yes",$P129&lt;&gt;"Yes"),"No",IF(($Q129-$S129)&gt;0,"Yes","No"))</f>
        <v>No</v>
      </c>
      <c r="U129" s="46" t="str">
        <f aca="false">IF($M129="","No",IF(COUNTIFS(MasterPanel!$B:$B,$H129,MasterPanel!$I:$I,$M129,MasterPanel!$K:$K,"Y")&gt;0,"Yes","No"))</f>
        <v>No</v>
      </c>
      <c r="V129" s="46" t="n">
        <f aca="false">IF($M129="",0,IF(COUNTIF('Gap Sheet'!$A$6:$A$11,TRIM($L129))=0,0,IF($O129="R1",INDEX('Gap Sheet'!$C$6:$C$11,MATCH(TRIM($L129),'Gap Sheet'!$A$6:$A$11,0)),INDEX('Gap Sheet'!$G$6:$G$11,MATCH(TRIM($L129),'Gap Sheet'!$A$6:$A$11,0)))))</f>
        <v>0</v>
      </c>
      <c r="W129" s="46" t="str">
        <f aca="false">IF($M129="","",$M129&amp;"|"&amp;$O129)</f>
        <v/>
      </c>
      <c r="X129" s="46" t="n">
        <f aca="false">IF($W129="",0,COUNTIF($AA$4:$AA128,$W129))</f>
        <v>0</v>
      </c>
      <c r="Y129" s="46" t="str">
        <f aca="false">IF(OR($I129&lt;&gt;"Yes, I'm available for in-person interviews at Chennai",$E129&lt;&gt;"Yes",$T129="Yes",$U129&lt;&gt;"Yes"),"No",IF(($V129-$X129)&gt;0,"Yes","No"))</f>
        <v>No</v>
      </c>
      <c r="Z129" s="46" t="str">
        <f aca="false">IF($T129="Yes","Primary",IF($Y129="Yes","Secondary",""))</f>
        <v/>
      </c>
      <c r="AA129" s="46" t="str">
        <f aca="false">IF($Z129="Primary",$R129,IF($Z129="Secondary",$W129,""))</f>
        <v/>
      </c>
      <c r="AB129" s="46" t="str">
        <f aca="false">IF($Z129="Primary","Matched on primary skill",IF($Z129="Secondary","Matched on secondary skill (primary not approved or not required)",""))</f>
        <v/>
      </c>
      <c r="AC129" s="47" t="str">
        <f aca="false">IF($D129="Panel Details",$F129,"")</f>
        <v/>
      </c>
      <c r="AD129" s="46" t="str">
        <f aca="false">IF($D129="Panel Details",'Survey Response'!$D127,"")</f>
        <v/>
      </c>
      <c r="AE129" s="46" t="str">
        <f aca="false">IF($D129="Panel Details",'Survey Response'!$E127,"")</f>
        <v/>
      </c>
      <c r="AF129" s="46" t="str">
        <f aca="false">IF($D129="Panel Details",'Survey Response'!$G127,"")</f>
        <v/>
      </c>
      <c r="AG129" s="46" t="str">
        <f aca="false">IF($D129="Panel Details",IF($Z129="Primary",$J129,$L129),"")</f>
        <v/>
      </c>
      <c r="AH129" s="46" t="str">
        <f aca="false">IF($D129="Panel Details",IF($Z129="Primary",$L129,$J129),"")</f>
        <v/>
      </c>
      <c r="AI129" s="46" t="str">
        <f aca="false">IF($D129="Panel Details",'Survey Response'!$H127,"")</f>
        <v/>
      </c>
      <c r="AJ129" s="46" t="str">
        <f aca="false">IF($D129="Panel Details",'Survey Response'!$M127,"")</f>
        <v/>
      </c>
      <c r="AK129" s="46" t="str">
        <f aca="false">IF($D129="Panel Details",$O129,"")</f>
        <v/>
      </c>
      <c r="AL129" s="46" t="str">
        <f aca="false">IF($D129="Panel Details",8,"")</f>
        <v/>
      </c>
      <c r="AM129" s="46" t="str">
        <f aca="false">IF($D129="Panel Details",$AB129,"")</f>
        <v/>
      </c>
      <c r="AN129" s="46" t="str">
        <f aca="false">IF($D129="Panel Details","Yes","")</f>
        <v/>
      </c>
      <c r="AO129" s="46"/>
      <c r="AP129" s="46" t="str">
        <f aca="false">IF($D129="Followup",'Survey Response'!$D127,"")</f>
        <v/>
      </c>
      <c r="AQ129" s="46" t="str">
        <f aca="false">IF($D129="Followup",'Survey Response'!$E127,"")</f>
        <v/>
      </c>
      <c r="AR129" s="46" t="str">
        <f aca="false">IF($D129="Followup",'Survey Response'!$G127,"")</f>
        <v/>
      </c>
      <c r="AS129" s="46" t="str">
        <f aca="false">IF($D129="Followup",'Survey Response'!$H127,"")</f>
        <v/>
      </c>
      <c r="AT129" s="46" t="str">
        <f aca="false">IF($D129="Followup",'Survey Response'!$M127,"")</f>
        <v/>
      </c>
      <c r="AU129" s="46" t="str">
        <f aca="false">IF($D129="Followup",'Survey Response'!$K127,"")</f>
        <v/>
      </c>
      <c r="AV129" s="46" t="str">
        <f aca="false">IF($D129="Followup",'Survey Response'!$L127,"")</f>
        <v/>
      </c>
      <c r="AW129" s="46" t="str">
        <f aca="false">IF($D129="Followup",IF(AND($P129&lt;&gt;"Yes",$U129&lt;&gt;"Yes"),"Not approved for primary or secondary skill","Approved, but skill(s) no longer have capacity (fully staffed)"),"")</f>
        <v/>
      </c>
    </row>
    <row r="130" customFormat="false" ht="15" hidden="false" customHeight="true" outlineLevel="0" collapsed="false">
      <c r="A130" s="46" t="str">
        <f aca="false">IF('Survey Response'!$D128="","",'Survey Response'!$A128&amp;"|"&amp;LOWER(TRIM('Survey Response'!$D128)))</f>
        <v/>
      </c>
      <c r="B130" s="46" t="str">
        <f aca="false">IF($H130="","",$F130&amp;"|"&amp;$H130)</f>
        <v/>
      </c>
      <c r="C130" s="46" t="str">
        <f aca="false">IF($H130="","",$A130=$B130)</f>
        <v/>
      </c>
      <c r="D130" s="46" t="str">
        <f aca="false">IF($H130="","",IF($E130&lt;&gt;"Yes","Superseded",IF($I130&lt;&gt;"Yes, I'm available for in-person interviews at Chennai","Not Available",IF($Z130&lt;&gt;"","Panel Details","Followup"))))</f>
        <v/>
      </c>
      <c r="E130" s="46" t="str">
        <f aca="false">IF($H130="","",IF(SUMPRODUCT(($H$4:$H$503=$H130)*(($G$4:$G$503&gt;$G130)+($G$4:$G$503=$G130)*($F$4:$F$503&gt;$F130)))=0,"Yes","No"))</f>
        <v/>
      </c>
      <c r="F130" s="47" t="str">
        <f aca="false">IF('Survey Response'!$D128="","",INT('Survey Response'!$A128))</f>
        <v/>
      </c>
      <c r="G130" s="46" t="str">
        <f aca="false">IF('Survey Response'!$D128="","",'Survey Response'!$C128)</f>
        <v/>
      </c>
      <c r="H130" s="46" t="str">
        <f aca="false">IF('Survey Response'!$D128="","",LOWER(TRIM('Survey Response'!$D128)))</f>
        <v/>
      </c>
      <c r="I130" s="46" t="str">
        <f aca="false">IF($H130="","",'Survey Response'!$I128)</f>
        <v/>
      </c>
      <c r="J130" s="46" t="str">
        <f aca="false">IF($H130="","",'Survey Response'!$K128)</f>
        <v/>
      </c>
      <c r="K130" s="46" t="str">
        <f aca="false">IF($J130="","",IF(COUNTIF('Skill Mapping'!$A$2:$A$7,TRIM($J130))=0,"",INDEX('Skill Mapping'!$B$2:$B$7,MATCH(TRIM($J130),'Skill Mapping'!$A$2:$A$7,0))))</f>
        <v/>
      </c>
      <c r="L130" s="46" t="str">
        <f aca="false">IF($H130="","",'Survey Response'!$L128)</f>
        <v/>
      </c>
      <c r="M130" s="46" t="str">
        <f aca="false">IF($L130="","",IF(COUNTIF('Skill Mapping'!$A$2:$A$7,TRIM($L130))=0,"",INDEX('Skill Mapping'!$B$2:$B$7,MATCH(TRIM($L130),'Skill Mapping'!$A$2:$A$7,0))))</f>
        <v/>
      </c>
      <c r="N130" s="46" t="str">
        <f aca="false">IF($H130="","",'Survey Response'!$M128)</f>
        <v/>
      </c>
      <c r="O130" s="46" t="str">
        <f aca="false">IF($H130="","",IF('Survey Response'!$M128="Manager","R2","R1"))</f>
        <v/>
      </c>
      <c r="P130" s="46" t="str">
        <f aca="false">IF($K130="","No",IF(COUNTIFS(MasterPanel!$B:$B,$H130,MasterPanel!$I:$I,$K130,MasterPanel!$K:$K,"Y")&gt;0,"Yes","No"))</f>
        <v>No</v>
      </c>
      <c r="Q130" s="46" t="n">
        <f aca="false">IF($K130="",0,IF(COUNTIF('Gap Sheet'!$A$6:$A$11,TRIM($J130))=0,0,IF($O130="R1",INDEX('Gap Sheet'!$C$6:$C$11,MATCH(TRIM($J130),'Gap Sheet'!$A$6:$A$11,0)),INDEX('Gap Sheet'!$G$6:$G$11,MATCH(TRIM($J130),'Gap Sheet'!$A$6:$A$11,0)))))</f>
        <v>0</v>
      </c>
      <c r="R130" s="46" t="str">
        <f aca="false">IF($K130="","",$K130&amp;"|"&amp;$O130)</f>
        <v/>
      </c>
      <c r="S130" s="46" t="n">
        <f aca="false">IF($R130="",0,COUNTIF($AA$4:$AA129,$R130))</f>
        <v>0</v>
      </c>
      <c r="T130" s="46" t="str">
        <f aca="false">IF(OR($I130&lt;&gt;"Yes, I'm available for in-person interviews at Chennai",$E130&lt;&gt;"Yes",$P130&lt;&gt;"Yes"),"No",IF(($Q130-$S130)&gt;0,"Yes","No"))</f>
        <v>No</v>
      </c>
      <c r="U130" s="46" t="str">
        <f aca="false">IF($M130="","No",IF(COUNTIFS(MasterPanel!$B:$B,$H130,MasterPanel!$I:$I,$M130,MasterPanel!$K:$K,"Y")&gt;0,"Yes","No"))</f>
        <v>No</v>
      </c>
      <c r="V130" s="46" t="n">
        <f aca="false">IF($M130="",0,IF(COUNTIF('Gap Sheet'!$A$6:$A$11,TRIM($L130))=0,0,IF($O130="R1",INDEX('Gap Sheet'!$C$6:$C$11,MATCH(TRIM($L130),'Gap Sheet'!$A$6:$A$11,0)),INDEX('Gap Sheet'!$G$6:$G$11,MATCH(TRIM($L130),'Gap Sheet'!$A$6:$A$11,0)))))</f>
        <v>0</v>
      </c>
      <c r="W130" s="46" t="str">
        <f aca="false">IF($M130="","",$M130&amp;"|"&amp;$O130)</f>
        <v/>
      </c>
      <c r="X130" s="46" t="n">
        <f aca="false">IF($W130="",0,COUNTIF($AA$4:$AA129,$W130))</f>
        <v>0</v>
      </c>
      <c r="Y130" s="46" t="str">
        <f aca="false">IF(OR($I130&lt;&gt;"Yes, I'm available for in-person interviews at Chennai",$E130&lt;&gt;"Yes",$T130="Yes",$U130&lt;&gt;"Yes"),"No",IF(($V130-$X130)&gt;0,"Yes","No"))</f>
        <v>No</v>
      </c>
      <c r="Z130" s="46" t="str">
        <f aca="false">IF($T130="Yes","Primary",IF($Y130="Yes","Secondary",""))</f>
        <v/>
      </c>
      <c r="AA130" s="46" t="str">
        <f aca="false">IF($Z130="Primary",$R130,IF($Z130="Secondary",$W130,""))</f>
        <v/>
      </c>
      <c r="AB130" s="46" t="str">
        <f aca="false">IF($Z130="Primary","Matched on primary skill",IF($Z130="Secondary","Matched on secondary skill (primary not approved or not required)",""))</f>
        <v/>
      </c>
      <c r="AC130" s="47" t="str">
        <f aca="false">IF($D130="Panel Details",$F130,"")</f>
        <v/>
      </c>
      <c r="AD130" s="46" t="str">
        <f aca="false">IF($D130="Panel Details",'Survey Response'!$D128,"")</f>
        <v/>
      </c>
      <c r="AE130" s="46" t="str">
        <f aca="false">IF($D130="Panel Details",'Survey Response'!$E128,"")</f>
        <v/>
      </c>
      <c r="AF130" s="46" t="str">
        <f aca="false">IF($D130="Panel Details",'Survey Response'!$G128,"")</f>
        <v/>
      </c>
      <c r="AG130" s="46" t="str">
        <f aca="false">IF($D130="Panel Details",IF($Z130="Primary",$J130,$L130),"")</f>
        <v/>
      </c>
      <c r="AH130" s="46" t="str">
        <f aca="false">IF($D130="Panel Details",IF($Z130="Primary",$L130,$J130),"")</f>
        <v/>
      </c>
      <c r="AI130" s="46" t="str">
        <f aca="false">IF($D130="Panel Details",'Survey Response'!$H128,"")</f>
        <v/>
      </c>
      <c r="AJ130" s="46" t="str">
        <f aca="false">IF($D130="Panel Details",'Survey Response'!$M128,"")</f>
        <v/>
      </c>
      <c r="AK130" s="46" t="str">
        <f aca="false">IF($D130="Panel Details",$O130,"")</f>
        <v/>
      </c>
      <c r="AL130" s="46" t="str">
        <f aca="false">IF($D130="Panel Details",8,"")</f>
        <v/>
      </c>
      <c r="AM130" s="46" t="str">
        <f aca="false">IF($D130="Panel Details",$AB130,"")</f>
        <v/>
      </c>
      <c r="AN130" s="46" t="str">
        <f aca="false">IF($D130="Panel Details","Yes","")</f>
        <v/>
      </c>
      <c r="AO130" s="46"/>
      <c r="AP130" s="46" t="str">
        <f aca="false">IF($D130="Followup",'Survey Response'!$D128,"")</f>
        <v/>
      </c>
      <c r="AQ130" s="46" t="str">
        <f aca="false">IF($D130="Followup",'Survey Response'!$E128,"")</f>
        <v/>
      </c>
      <c r="AR130" s="46" t="str">
        <f aca="false">IF($D130="Followup",'Survey Response'!$G128,"")</f>
        <v/>
      </c>
      <c r="AS130" s="46" t="str">
        <f aca="false">IF($D130="Followup",'Survey Response'!$H128,"")</f>
        <v/>
      </c>
      <c r="AT130" s="46" t="str">
        <f aca="false">IF($D130="Followup",'Survey Response'!$M128,"")</f>
        <v/>
      </c>
      <c r="AU130" s="46" t="str">
        <f aca="false">IF($D130="Followup",'Survey Response'!$K128,"")</f>
        <v/>
      </c>
      <c r="AV130" s="46" t="str">
        <f aca="false">IF($D130="Followup",'Survey Response'!$L128,"")</f>
        <v/>
      </c>
      <c r="AW130" s="46" t="str">
        <f aca="false">IF($D130="Followup",IF(AND($P130&lt;&gt;"Yes",$U130&lt;&gt;"Yes"),"Not approved for primary or secondary skill","Approved, but skill(s) no longer have capacity (fully staffed)"),"")</f>
        <v/>
      </c>
    </row>
    <row r="131" customFormat="false" ht="15" hidden="false" customHeight="true" outlineLevel="0" collapsed="false">
      <c r="A131" s="46" t="str">
        <f aca="false">IF('Survey Response'!$D129="","",'Survey Response'!$A129&amp;"|"&amp;LOWER(TRIM('Survey Response'!$D129)))</f>
        <v/>
      </c>
      <c r="B131" s="46" t="str">
        <f aca="false">IF($H131="","",$F131&amp;"|"&amp;$H131)</f>
        <v/>
      </c>
      <c r="C131" s="46" t="str">
        <f aca="false">IF($H131="","",$A131=$B131)</f>
        <v/>
      </c>
      <c r="D131" s="46" t="str">
        <f aca="false">IF($H131="","",IF($E131&lt;&gt;"Yes","Superseded",IF($I131&lt;&gt;"Yes, I'm available for in-person interviews at Chennai","Not Available",IF($Z131&lt;&gt;"","Panel Details","Followup"))))</f>
        <v/>
      </c>
      <c r="E131" s="46" t="str">
        <f aca="false">IF($H131="","",IF(SUMPRODUCT(($H$4:$H$503=$H131)*(($G$4:$G$503&gt;$G131)+($G$4:$G$503=$G131)*($F$4:$F$503&gt;$F131)))=0,"Yes","No"))</f>
        <v/>
      </c>
      <c r="F131" s="47" t="str">
        <f aca="false">IF('Survey Response'!$D129="","",INT('Survey Response'!$A129))</f>
        <v/>
      </c>
      <c r="G131" s="46" t="str">
        <f aca="false">IF('Survey Response'!$D129="","",'Survey Response'!$C129)</f>
        <v/>
      </c>
      <c r="H131" s="46" t="str">
        <f aca="false">IF('Survey Response'!$D129="","",LOWER(TRIM('Survey Response'!$D129)))</f>
        <v/>
      </c>
      <c r="I131" s="46" t="str">
        <f aca="false">IF($H131="","",'Survey Response'!$I129)</f>
        <v/>
      </c>
      <c r="J131" s="46" t="str">
        <f aca="false">IF($H131="","",'Survey Response'!$K129)</f>
        <v/>
      </c>
      <c r="K131" s="46" t="str">
        <f aca="false">IF($J131="","",IF(COUNTIF('Skill Mapping'!$A$2:$A$7,TRIM($J131))=0,"",INDEX('Skill Mapping'!$B$2:$B$7,MATCH(TRIM($J131),'Skill Mapping'!$A$2:$A$7,0))))</f>
        <v/>
      </c>
      <c r="L131" s="46" t="str">
        <f aca="false">IF($H131="","",'Survey Response'!$L129)</f>
        <v/>
      </c>
      <c r="M131" s="46" t="str">
        <f aca="false">IF($L131="","",IF(COUNTIF('Skill Mapping'!$A$2:$A$7,TRIM($L131))=0,"",INDEX('Skill Mapping'!$B$2:$B$7,MATCH(TRIM($L131),'Skill Mapping'!$A$2:$A$7,0))))</f>
        <v/>
      </c>
      <c r="N131" s="46" t="str">
        <f aca="false">IF($H131="","",'Survey Response'!$M129)</f>
        <v/>
      </c>
      <c r="O131" s="46" t="str">
        <f aca="false">IF($H131="","",IF('Survey Response'!$M129="Manager","R2","R1"))</f>
        <v/>
      </c>
      <c r="P131" s="46" t="str">
        <f aca="false">IF($K131="","No",IF(COUNTIFS(MasterPanel!$B:$B,$H131,MasterPanel!$I:$I,$K131,MasterPanel!$K:$K,"Y")&gt;0,"Yes","No"))</f>
        <v>No</v>
      </c>
      <c r="Q131" s="46" t="n">
        <f aca="false">IF($K131="",0,IF(COUNTIF('Gap Sheet'!$A$6:$A$11,TRIM($J131))=0,0,IF($O131="R1",INDEX('Gap Sheet'!$C$6:$C$11,MATCH(TRIM($J131),'Gap Sheet'!$A$6:$A$11,0)),INDEX('Gap Sheet'!$G$6:$G$11,MATCH(TRIM($J131),'Gap Sheet'!$A$6:$A$11,0)))))</f>
        <v>0</v>
      </c>
      <c r="R131" s="46" t="str">
        <f aca="false">IF($K131="","",$K131&amp;"|"&amp;$O131)</f>
        <v/>
      </c>
      <c r="S131" s="46" t="n">
        <f aca="false">IF($R131="",0,COUNTIF($AA$4:$AA130,$R131))</f>
        <v>0</v>
      </c>
      <c r="T131" s="46" t="str">
        <f aca="false">IF(OR($I131&lt;&gt;"Yes, I'm available for in-person interviews at Chennai",$E131&lt;&gt;"Yes",$P131&lt;&gt;"Yes"),"No",IF(($Q131-$S131)&gt;0,"Yes","No"))</f>
        <v>No</v>
      </c>
      <c r="U131" s="46" t="str">
        <f aca="false">IF($M131="","No",IF(COUNTIFS(MasterPanel!$B:$B,$H131,MasterPanel!$I:$I,$M131,MasterPanel!$K:$K,"Y")&gt;0,"Yes","No"))</f>
        <v>No</v>
      </c>
      <c r="V131" s="46" t="n">
        <f aca="false">IF($M131="",0,IF(COUNTIF('Gap Sheet'!$A$6:$A$11,TRIM($L131))=0,0,IF($O131="R1",INDEX('Gap Sheet'!$C$6:$C$11,MATCH(TRIM($L131),'Gap Sheet'!$A$6:$A$11,0)),INDEX('Gap Sheet'!$G$6:$G$11,MATCH(TRIM($L131),'Gap Sheet'!$A$6:$A$11,0)))))</f>
        <v>0</v>
      </c>
      <c r="W131" s="46" t="str">
        <f aca="false">IF($M131="","",$M131&amp;"|"&amp;$O131)</f>
        <v/>
      </c>
      <c r="X131" s="46" t="n">
        <f aca="false">IF($W131="",0,COUNTIF($AA$4:$AA130,$W131))</f>
        <v>0</v>
      </c>
      <c r="Y131" s="46" t="str">
        <f aca="false">IF(OR($I131&lt;&gt;"Yes, I'm available for in-person interviews at Chennai",$E131&lt;&gt;"Yes",$T131="Yes",$U131&lt;&gt;"Yes"),"No",IF(($V131-$X131)&gt;0,"Yes","No"))</f>
        <v>No</v>
      </c>
      <c r="Z131" s="46" t="str">
        <f aca="false">IF($T131="Yes","Primary",IF($Y131="Yes","Secondary",""))</f>
        <v/>
      </c>
      <c r="AA131" s="46" t="str">
        <f aca="false">IF($Z131="Primary",$R131,IF($Z131="Secondary",$W131,""))</f>
        <v/>
      </c>
      <c r="AB131" s="46" t="str">
        <f aca="false">IF($Z131="Primary","Matched on primary skill",IF($Z131="Secondary","Matched on secondary skill (primary not approved or not required)",""))</f>
        <v/>
      </c>
      <c r="AC131" s="47" t="str">
        <f aca="false">IF($D131="Panel Details",$F131,"")</f>
        <v/>
      </c>
      <c r="AD131" s="46" t="str">
        <f aca="false">IF($D131="Panel Details",'Survey Response'!$D129,"")</f>
        <v/>
      </c>
      <c r="AE131" s="46" t="str">
        <f aca="false">IF($D131="Panel Details",'Survey Response'!$E129,"")</f>
        <v/>
      </c>
      <c r="AF131" s="46" t="str">
        <f aca="false">IF($D131="Panel Details",'Survey Response'!$G129,"")</f>
        <v/>
      </c>
      <c r="AG131" s="46" t="str">
        <f aca="false">IF($D131="Panel Details",IF($Z131="Primary",$J131,$L131),"")</f>
        <v/>
      </c>
      <c r="AH131" s="46" t="str">
        <f aca="false">IF($D131="Panel Details",IF($Z131="Primary",$L131,$J131),"")</f>
        <v/>
      </c>
      <c r="AI131" s="46" t="str">
        <f aca="false">IF($D131="Panel Details",'Survey Response'!$H129,"")</f>
        <v/>
      </c>
      <c r="AJ131" s="46" t="str">
        <f aca="false">IF($D131="Panel Details",'Survey Response'!$M129,"")</f>
        <v/>
      </c>
      <c r="AK131" s="46" t="str">
        <f aca="false">IF($D131="Panel Details",$O131,"")</f>
        <v/>
      </c>
      <c r="AL131" s="46" t="str">
        <f aca="false">IF($D131="Panel Details",8,"")</f>
        <v/>
      </c>
      <c r="AM131" s="46" t="str">
        <f aca="false">IF($D131="Panel Details",$AB131,"")</f>
        <v/>
      </c>
      <c r="AN131" s="46" t="str">
        <f aca="false">IF($D131="Panel Details","Yes","")</f>
        <v/>
      </c>
      <c r="AO131" s="46"/>
      <c r="AP131" s="46" t="str">
        <f aca="false">IF($D131="Followup",'Survey Response'!$D129,"")</f>
        <v/>
      </c>
      <c r="AQ131" s="46" t="str">
        <f aca="false">IF($D131="Followup",'Survey Response'!$E129,"")</f>
        <v/>
      </c>
      <c r="AR131" s="46" t="str">
        <f aca="false">IF($D131="Followup",'Survey Response'!$G129,"")</f>
        <v/>
      </c>
      <c r="AS131" s="46" t="str">
        <f aca="false">IF($D131="Followup",'Survey Response'!$H129,"")</f>
        <v/>
      </c>
      <c r="AT131" s="46" t="str">
        <f aca="false">IF($D131="Followup",'Survey Response'!$M129,"")</f>
        <v/>
      </c>
      <c r="AU131" s="46" t="str">
        <f aca="false">IF($D131="Followup",'Survey Response'!$K129,"")</f>
        <v/>
      </c>
      <c r="AV131" s="46" t="str">
        <f aca="false">IF($D131="Followup",'Survey Response'!$L129,"")</f>
        <v/>
      </c>
      <c r="AW131" s="46" t="str">
        <f aca="false">IF($D131="Followup",IF(AND($P131&lt;&gt;"Yes",$U131&lt;&gt;"Yes"),"Not approved for primary or secondary skill","Approved, but skill(s) no longer have capacity (fully staffed)"),"")</f>
        <v/>
      </c>
    </row>
    <row r="132" customFormat="false" ht="15" hidden="false" customHeight="true" outlineLevel="0" collapsed="false">
      <c r="A132" s="46" t="str">
        <f aca="false">IF('Survey Response'!$D130="","",'Survey Response'!$A130&amp;"|"&amp;LOWER(TRIM('Survey Response'!$D130)))</f>
        <v/>
      </c>
      <c r="B132" s="46" t="str">
        <f aca="false">IF($H132="","",$F132&amp;"|"&amp;$H132)</f>
        <v/>
      </c>
      <c r="C132" s="46" t="str">
        <f aca="false">IF($H132="","",$A132=$B132)</f>
        <v/>
      </c>
      <c r="D132" s="46" t="str">
        <f aca="false">IF($H132="","",IF($E132&lt;&gt;"Yes","Superseded",IF($I132&lt;&gt;"Yes, I'm available for in-person interviews at Chennai","Not Available",IF($Z132&lt;&gt;"","Panel Details","Followup"))))</f>
        <v/>
      </c>
      <c r="E132" s="46" t="str">
        <f aca="false">IF($H132="","",IF(SUMPRODUCT(($H$4:$H$503=$H132)*(($G$4:$G$503&gt;$G132)+($G$4:$G$503=$G132)*($F$4:$F$503&gt;$F132)))=0,"Yes","No"))</f>
        <v/>
      </c>
      <c r="F132" s="47" t="str">
        <f aca="false">IF('Survey Response'!$D130="","",INT('Survey Response'!$A130))</f>
        <v/>
      </c>
      <c r="G132" s="46" t="str">
        <f aca="false">IF('Survey Response'!$D130="","",'Survey Response'!$C130)</f>
        <v/>
      </c>
      <c r="H132" s="46" t="str">
        <f aca="false">IF('Survey Response'!$D130="","",LOWER(TRIM('Survey Response'!$D130)))</f>
        <v/>
      </c>
      <c r="I132" s="46" t="str">
        <f aca="false">IF($H132="","",'Survey Response'!$I130)</f>
        <v/>
      </c>
      <c r="J132" s="46" t="str">
        <f aca="false">IF($H132="","",'Survey Response'!$K130)</f>
        <v/>
      </c>
      <c r="K132" s="46" t="str">
        <f aca="false">IF($J132="","",IF(COUNTIF('Skill Mapping'!$A$2:$A$7,TRIM($J132))=0,"",INDEX('Skill Mapping'!$B$2:$B$7,MATCH(TRIM($J132),'Skill Mapping'!$A$2:$A$7,0))))</f>
        <v/>
      </c>
      <c r="L132" s="46" t="str">
        <f aca="false">IF($H132="","",'Survey Response'!$L130)</f>
        <v/>
      </c>
      <c r="M132" s="46" t="str">
        <f aca="false">IF($L132="","",IF(COUNTIF('Skill Mapping'!$A$2:$A$7,TRIM($L132))=0,"",INDEX('Skill Mapping'!$B$2:$B$7,MATCH(TRIM($L132),'Skill Mapping'!$A$2:$A$7,0))))</f>
        <v/>
      </c>
      <c r="N132" s="46" t="str">
        <f aca="false">IF($H132="","",'Survey Response'!$M130)</f>
        <v/>
      </c>
      <c r="O132" s="46" t="str">
        <f aca="false">IF($H132="","",IF('Survey Response'!$M130="Manager","R2","R1"))</f>
        <v/>
      </c>
      <c r="P132" s="46" t="str">
        <f aca="false">IF($K132="","No",IF(COUNTIFS(MasterPanel!$B:$B,$H132,MasterPanel!$I:$I,$K132,MasterPanel!$K:$K,"Y")&gt;0,"Yes","No"))</f>
        <v>No</v>
      </c>
      <c r="Q132" s="46" t="n">
        <f aca="false">IF($K132="",0,IF(COUNTIF('Gap Sheet'!$A$6:$A$11,TRIM($J132))=0,0,IF($O132="R1",INDEX('Gap Sheet'!$C$6:$C$11,MATCH(TRIM($J132),'Gap Sheet'!$A$6:$A$11,0)),INDEX('Gap Sheet'!$G$6:$G$11,MATCH(TRIM($J132),'Gap Sheet'!$A$6:$A$11,0)))))</f>
        <v>0</v>
      </c>
      <c r="R132" s="46" t="str">
        <f aca="false">IF($K132="","",$K132&amp;"|"&amp;$O132)</f>
        <v/>
      </c>
      <c r="S132" s="46" t="n">
        <f aca="false">IF($R132="",0,COUNTIF($AA$4:$AA131,$R132))</f>
        <v>0</v>
      </c>
      <c r="T132" s="46" t="str">
        <f aca="false">IF(OR($I132&lt;&gt;"Yes, I'm available for in-person interviews at Chennai",$E132&lt;&gt;"Yes",$P132&lt;&gt;"Yes"),"No",IF(($Q132-$S132)&gt;0,"Yes","No"))</f>
        <v>No</v>
      </c>
      <c r="U132" s="46" t="str">
        <f aca="false">IF($M132="","No",IF(COUNTIFS(MasterPanel!$B:$B,$H132,MasterPanel!$I:$I,$M132,MasterPanel!$K:$K,"Y")&gt;0,"Yes","No"))</f>
        <v>No</v>
      </c>
      <c r="V132" s="46" t="n">
        <f aca="false">IF($M132="",0,IF(COUNTIF('Gap Sheet'!$A$6:$A$11,TRIM($L132))=0,0,IF($O132="R1",INDEX('Gap Sheet'!$C$6:$C$11,MATCH(TRIM($L132),'Gap Sheet'!$A$6:$A$11,0)),INDEX('Gap Sheet'!$G$6:$G$11,MATCH(TRIM($L132),'Gap Sheet'!$A$6:$A$11,0)))))</f>
        <v>0</v>
      </c>
      <c r="W132" s="46" t="str">
        <f aca="false">IF($M132="","",$M132&amp;"|"&amp;$O132)</f>
        <v/>
      </c>
      <c r="X132" s="46" t="n">
        <f aca="false">IF($W132="",0,COUNTIF($AA$4:$AA131,$W132))</f>
        <v>0</v>
      </c>
      <c r="Y132" s="46" t="str">
        <f aca="false">IF(OR($I132&lt;&gt;"Yes, I'm available for in-person interviews at Chennai",$E132&lt;&gt;"Yes",$T132="Yes",$U132&lt;&gt;"Yes"),"No",IF(($V132-$X132)&gt;0,"Yes","No"))</f>
        <v>No</v>
      </c>
      <c r="Z132" s="46" t="str">
        <f aca="false">IF($T132="Yes","Primary",IF($Y132="Yes","Secondary",""))</f>
        <v/>
      </c>
      <c r="AA132" s="46" t="str">
        <f aca="false">IF($Z132="Primary",$R132,IF($Z132="Secondary",$W132,""))</f>
        <v/>
      </c>
      <c r="AB132" s="46" t="str">
        <f aca="false">IF($Z132="Primary","Matched on primary skill",IF($Z132="Secondary","Matched on secondary skill (primary not approved or not required)",""))</f>
        <v/>
      </c>
      <c r="AC132" s="47" t="str">
        <f aca="false">IF($D132="Panel Details",$F132,"")</f>
        <v/>
      </c>
      <c r="AD132" s="46" t="str">
        <f aca="false">IF($D132="Panel Details",'Survey Response'!$D130,"")</f>
        <v/>
      </c>
      <c r="AE132" s="46" t="str">
        <f aca="false">IF($D132="Panel Details",'Survey Response'!$E130,"")</f>
        <v/>
      </c>
      <c r="AF132" s="46" t="str">
        <f aca="false">IF($D132="Panel Details",'Survey Response'!$G130,"")</f>
        <v/>
      </c>
      <c r="AG132" s="46" t="str">
        <f aca="false">IF($D132="Panel Details",IF($Z132="Primary",$J132,$L132),"")</f>
        <v/>
      </c>
      <c r="AH132" s="46" t="str">
        <f aca="false">IF($D132="Panel Details",IF($Z132="Primary",$L132,$J132),"")</f>
        <v/>
      </c>
      <c r="AI132" s="46" t="str">
        <f aca="false">IF($D132="Panel Details",'Survey Response'!$H130,"")</f>
        <v/>
      </c>
      <c r="AJ132" s="46" t="str">
        <f aca="false">IF($D132="Panel Details",'Survey Response'!$M130,"")</f>
        <v/>
      </c>
      <c r="AK132" s="46" t="str">
        <f aca="false">IF($D132="Panel Details",$O132,"")</f>
        <v/>
      </c>
      <c r="AL132" s="46" t="str">
        <f aca="false">IF($D132="Panel Details",8,"")</f>
        <v/>
      </c>
      <c r="AM132" s="46" t="str">
        <f aca="false">IF($D132="Panel Details",$AB132,"")</f>
        <v/>
      </c>
      <c r="AN132" s="46" t="str">
        <f aca="false">IF($D132="Panel Details","Yes","")</f>
        <v/>
      </c>
      <c r="AO132" s="46"/>
      <c r="AP132" s="46" t="str">
        <f aca="false">IF($D132="Followup",'Survey Response'!$D130,"")</f>
        <v/>
      </c>
      <c r="AQ132" s="46" t="str">
        <f aca="false">IF($D132="Followup",'Survey Response'!$E130,"")</f>
        <v/>
      </c>
      <c r="AR132" s="46" t="str">
        <f aca="false">IF($D132="Followup",'Survey Response'!$G130,"")</f>
        <v/>
      </c>
      <c r="AS132" s="46" t="str">
        <f aca="false">IF($D132="Followup",'Survey Response'!$H130,"")</f>
        <v/>
      </c>
      <c r="AT132" s="46" t="str">
        <f aca="false">IF($D132="Followup",'Survey Response'!$M130,"")</f>
        <v/>
      </c>
      <c r="AU132" s="46" t="str">
        <f aca="false">IF($D132="Followup",'Survey Response'!$K130,"")</f>
        <v/>
      </c>
      <c r="AV132" s="46" t="str">
        <f aca="false">IF($D132="Followup",'Survey Response'!$L130,"")</f>
        <v/>
      </c>
      <c r="AW132" s="46" t="str">
        <f aca="false">IF($D132="Followup",IF(AND($P132&lt;&gt;"Yes",$U132&lt;&gt;"Yes"),"Not approved for primary or secondary skill","Approved, but skill(s) no longer have capacity (fully staffed)"),"")</f>
        <v/>
      </c>
    </row>
    <row r="133" customFormat="false" ht="15" hidden="false" customHeight="true" outlineLevel="0" collapsed="false">
      <c r="A133" s="46" t="str">
        <f aca="false">IF('Survey Response'!$D131="","",'Survey Response'!$A131&amp;"|"&amp;LOWER(TRIM('Survey Response'!$D131)))</f>
        <v/>
      </c>
      <c r="B133" s="46" t="str">
        <f aca="false">IF($H133="","",$F133&amp;"|"&amp;$H133)</f>
        <v/>
      </c>
      <c r="C133" s="46" t="str">
        <f aca="false">IF($H133="","",$A133=$B133)</f>
        <v/>
      </c>
      <c r="D133" s="46" t="str">
        <f aca="false">IF($H133="","",IF($E133&lt;&gt;"Yes","Superseded",IF($I133&lt;&gt;"Yes, I'm available for in-person interviews at Chennai","Not Available",IF($Z133&lt;&gt;"","Panel Details","Followup"))))</f>
        <v/>
      </c>
      <c r="E133" s="46" t="str">
        <f aca="false">IF($H133="","",IF(SUMPRODUCT(($H$4:$H$503=$H133)*(($G$4:$G$503&gt;$G133)+($G$4:$G$503=$G133)*($F$4:$F$503&gt;$F133)))=0,"Yes","No"))</f>
        <v/>
      </c>
      <c r="F133" s="47" t="str">
        <f aca="false">IF('Survey Response'!$D131="","",INT('Survey Response'!$A131))</f>
        <v/>
      </c>
      <c r="G133" s="46" t="str">
        <f aca="false">IF('Survey Response'!$D131="","",'Survey Response'!$C131)</f>
        <v/>
      </c>
      <c r="H133" s="46" t="str">
        <f aca="false">IF('Survey Response'!$D131="","",LOWER(TRIM('Survey Response'!$D131)))</f>
        <v/>
      </c>
      <c r="I133" s="46" t="str">
        <f aca="false">IF($H133="","",'Survey Response'!$I131)</f>
        <v/>
      </c>
      <c r="J133" s="46" t="str">
        <f aca="false">IF($H133="","",'Survey Response'!$K131)</f>
        <v/>
      </c>
      <c r="K133" s="46" t="str">
        <f aca="false">IF($J133="","",IF(COUNTIF('Skill Mapping'!$A$2:$A$7,TRIM($J133))=0,"",INDEX('Skill Mapping'!$B$2:$B$7,MATCH(TRIM($J133),'Skill Mapping'!$A$2:$A$7,0))))</f>
        <v/>
      </c>
      <c r="L133" s="46" t="str">
        <f aca="false">IF($H133="","",'Survey Response'!$L131)</f>
        <v/>
      </c>
      <c r="M133" s="46" t="str">
        <f aca="false">IF($L133="","",IF(COUNTIF('Skill Mapping'!$A$2:$A$7,TRIM($L133))=0,"",INDEX('Skill Mapping'!$B$2:$B$7,MATCH(TRIM($L133),'Skill Mapping'!$A$2:$A$7,0))))</f>
        <v/>
      </c>
      <c r="N133" s="46" t="str">
        <f aca="false">IF($H133="","",'Survey Response'!$M131)</f>
        <v/>
      </c>
      <c r="O133" s="46" t="str">
        <f aca="false">IF($H133="","",IF('Survey Response'!$M131="Manager","R2","R1"))</f>
        <v/>
      </c>
      <c r="P133" s="46" t="str">
        <f aca="false">IF($K133="","No",IF(COUNTIFS(MasterPanel!$B:$B,$H133,MasterPanel!$I:$I,$K133,MasterPanel!$K:$K,"Y")&gt;0,"Yes","No"))</f>
        <v>No</v>
      </c>
      <c r="Q133" s="46" t="n">
        <f aca="false">IF($K133="",0,IF(COUNTIF('Gap Sheet'!$A$6:$A$11,TRIM($J133))=0,0,IF($O133="R1",INDEX('Gap Sheet'!$C$6:$C$11,MATCH(TRIM($J133),'Gap Sheet'!$A$6:$A$11,0)),INDEX('Gap Sheet'!$G$6:$G$11,MATCH(TRIM($J133),'Gap Sheet'!$A$6:$A$11,0)))))</f>
        <v>0</v>
      </c>
      <c r="R133" s="46" t="str">
        <f aca="false">IF($K133="","",$K133&amp;"|"&amp;$O133)</f>
        <v/>
      </c>
      <c r="S133" s="46" t="n">
        <f aca="false">IF($R133="",0,COUNTIF($AA$4:$AA132,$R133))</f>
        <v>0</v>
      </c>
      <c r="T133" s="46" t="str">
        <f aca="false">IF(OR($I133&lt;&gt;"Yes, I'm available for in-person interviews at Chennai",$E133&lt;&gt;"Yes",$P133&lt;&gt;"Yes"),"No",IF(($Q133-$S133)&gt;0,"Yes","No"))</f>
        <v>No</v>
      </c>
      <c r="U133" s="46" t="str">
        <f aca="false">IF($M133="","No",IF(COUNTIFS(MasterPanel!$B:$B,$H133,MasterPanel!$I:$I,$M133,MasterPanel!$K:$K,"Y")&gt;0,"Yes","No"))</f>
        <v>No</v>
      </c>
      <c r="V133" s="46" t="n">
        <f aca="false">IF($M133="",0,IF(COUNTIF('Gap Sheet'!$A$6:$A$11,TRIM($L133))=0,0,IF($O133="R1",INDEX('Gap Sheet'!$C$6:$C$11,MATCH(TRIM($L133),'Gap Sheet'!$A$6:$A$11,0)),INDEX('Gap Sheet'!$G$6:$G$11,MATCH(TRIM($L133),'Gap Sheet'!$A$6:$A$11,0)))))</f>
        <v>0</v>
      </c>
      <c r="W133" s="46" t="str">
        <f aca="false">IF($M133="","",$M133&amp;"|"&amp;$O133)</f>
        <v/>
      </c>
      <c r="X133" s="46" t="n">
        <f aca="false">IF($W133="",0,COUNTIF($AA$4:$AA132,$W133))</f>
        <v>0</v>
      </c>
      <c r="Y133" s="46" t="str">
        <f aca="false">IF(OR($I133&lt;&gt;"Yes, I'm available for in-person interviews at Chennai",$E133&lt;&gt;"Yes",$T133="Yes",$U133&lt;&gt;"Yes"),"No",IF(($V133-$X133)&gt;0,"Yes","No"))</f>
        <v>No</v>
      </c>
      <c r="Z133" s="46" t="str">
        <f aca="false">IF($T133="Yes","Primary",IF($Y133="Yes","Secondary",""))</f>
        <v/>
      </c>
      <c r="AA133" s="46" t="str">
        <f aca="false">IF($Z133="Primary",$R133,IF($Z133="Secondary",$W133,""))</f>
        <v/>
      </c>
      <c r="AB133" s="46" t="str">
        <f aca="false">IF($Z133="Primary","Matched on primary skill",IF($Z133="Secondary","Matched on secondary skill (primary not approved or not required)",""))</f>
        <v/>
      </c>
      <c r="AC133" s="47" t="str">
        <f aca="false">IF($D133="Panel Details",$F133,"")</f>
        <v/>
      </c>
      <c r="AD133" s="46" t="str">
        <f aca="false">IF($D133="Panel Details",'Survey Response'!$D131,"")</f>
        <v/>
      </c>
      <c r="AE133" s="46" t="str">
        <f aca="false">IF($D133="Panel Details",'Survey Response'!$E131,"")</f>
        <v/>
      </c>
      <c r="AF133" s="46" t="str">
        <f aca="false">IF($D133="Panel Details",'Survey Response'!$G131,"")</f>
        <v/>
      </c>
      <c r="AG133" s="46" t="str">
        <f aca="false">IF($D133="Panel Details",IF($Z133="Primary",$J133,$L133),"")</f>
        <v/>
      </c>
      <c r="AH133" s="46" t="str">
        <f aca="false">IF($D133="Panel Details",IF($Z133="Primary",$L133,$J133),"")</f>
        <v/>
      </c>
      <c r="AI133" s="46" t="str">
        <f aca="false">IF($D133="Panel Details",'Survey Response'!$H131,"")</f>
        <v/>
      </c>
      <c r="AJ133" s="46" t="str">
        <f aca="false">IF($D133="Panel Details",'Survey Response'!$M131,"")</f>
        <v/>
      </c>
      <c r="AK133" s="46" t="str">
        <f aca="false">IF($D133="Panel Details",$O133,"")</f>
        <v/>
      </c>
      <c r="AL133" s="46" t="str">
        <f aca="false">IF($D133="Panel Details",8,"")</f>
        <v/>
      </c>
      <c r="AM133" s="46" t="str">
        <f aca="false">IF($D133="Panel Details",$AB133,"")</f>
        <v/>
      </c>
      <c r="AN133" s="46" t="str">
        <f aca="false">IF($D133="Panel Details","Yes","")</f>
        <v/>
      </c>
      <c r="AO133" s="46"/>
      <c r="AP133" s="46" t="str">
        <f aca="false">IF($D133="Followup",'Survey Response'!$D131,"")</f>
        <v/>
      </c>
      <c r="AQ133" s="46" t="str">
        <f aca="false">IF($D133="Followup",'Survey Response'!$E131,"")</f>
        <v/>
      </c>
      <c r="AR133" s="46" t="str">
        <f aca="false">IF($D133="Followup",'Survey Response'!$G131,"")</f>
        <v/>
      </c>
      <c r="AS133" s="46" t="str">
        <f aca="false">IF($D133="Followup",'Survey Response'!$H131,"")</f>
        <v/>
      </c>
      <c r="AT133" s="46" t="str">
        <f aca="false">IF($D133="Followup",'Survey Response'!$M131,"")</f>
        <v/>
      </c>
      <c r="AU133" s="46" t="str">
        <f aca="false">IF($D133="Followup",'Survey Response'!$K131,"")</f>
        <v/>
      </c>
      <c r="AV133" s="46" t="str">
        <f aca="false">IF($D133="Followup",'Survey Response'!$L131,"")</f>
        <v/>
      </c>
      <c r="AW133" s="46" t="str">
        <f aca="false">IF($D133="Followup",IF(AND($P133&lt;&gt;"Yes",$U133&lt;&gt;"Yes"),"Not approved for primary or secondary skill","Approved, but skill(s) no longer have capacity (fully staffed)"),"")</f>
        <v/>
      </c>
    </row>
    <row r="134" customFormat="false" ht="15" hidden="false" customHeight="true" outlineLevel="0" collapsed="false">
      <c r="A134" s="46" t="str">
        <f aca="false">IF('Survey Response'!$D132="","",'Survey Response'!$A132&amp;"|"&amp;LOWER(TRIM('Survey Response'!$D132)))</f>
        <v/>
      </c>
      <c r="B134" s="46" t="str">
        <f aca="false">IF($H134="","",$F134&amp;"|"&amp;$H134)</f>
        <v/>
      </c>
      <c r="C134" s="46" t="str">
        <f aca="false">IF($H134="","",$A134=$B134)</f>
        <v/>
      </c>
      <c r="D134" s="46" t="str">
        <f aca="false">IF($H134="","",IF($E134&lt;&gt;"Yes","Superseded",IF($I134&lt;&gt;"Yes, I'm available for in-person interviews at Chennai","Not Available",IF($Z134&lt;&gt;"","Panel Details","Followup"))))</f>
        <v/>
      </c>
      <c r="E134" s="46" t="str">
        <f aca="false">IF($H134="","",IF(SUMPRODUCT(($H$4:$H$503=$H134)*(($G$4:$G$503&gt;$G134)+($G$4:$G$503=$G134)*($F$4:$F$503&gt;$F134)))=0,"Yes","No"))</f>
        <v/>
      </c>
      <c r="F134" s="47" t="str">
        <f aca="false">IF('Survey Response'!$D132="","",INT('Survey Response'!$A132))</f>
        <v/>
      </c>
      <c r="G134" s="46" t="str">
        <f aca="false">IF('Survey Response'!$D132="","",'Survey Response'!$C132)</f>
        <v/>
      </c>
      <c r="H134" s="46" t="str">
        <f aca="false">IF('Survey Response'!$D132="","",LOWER(TRIM('Survey Response'!$D132)))</f>
        <v/>
      </c>
      <c r="I134" s="46" t="str">
        <f aca="false">IF($H134="","",'Survey Response'!$I132)</f>
        <v/>
      </c>
      <c r="J134" s="46" t="str">
        <f aca="false">IF($H134="","",'Survey Response'!$K132)</f>
        <v/>
      </c>
      <c r="K134" s="46" t="str">
        <f aca="false">IF($J134="","",IF(COUNTIF('Skill Mapping'!$A$2:$A$7,TRIM($J134))=0,"",INDEX('Skill Mapping'!$B$2:$B$7,MATCH(TRIM($J134),'Skill Mapping'!$A$2:$A$7,0))))</f>
        <v/>
      </c>
      <c r="L134" s="46" t="str">
        <f aca="false">IF($H134="","",'Survey Response'!$L132)</f>
        <v/>
      </c>
      <c r="M134" s="46" t="str">
        <f aca="false">IF($L134="","",IF(COUNTIF('Skill Mapping'!$A$2:$A$7,TRIM($L134))=0,"",INDEX('Skill Mapping'!$B$2:$B$7,MATCH(TRIM($L134),'Skill Mapping'!$A$2:$A$7,0))))</f>
        <v/>
      </c>
      <c r="N134" s="46" t="str">
        <f aca="false">IF($H134="","",'Survey Response'!$M132)</f>
        <v/>
      </c>
      <c r="O134" s="46" t="str">
        <f aca="false">IF($H134="","",IF('Survey Response'!$M132="Manager","R2","R1"))</f>
        <v/>
      </c>
      <c r="P134" s="46" t="str">
        <f aca="false">IF($K134="","No",IF(COUNTIFS(MasterPanel!$B:$B,$H134,MasterPanel!$I:$I,$K134,MasterPanel!$K:$K,"Y")&gt;0,"Yes","No"))</f>
        <v>No</v>
      </c>
      <c r="Q134" s="46" t="n">
        <f aca="false">IF($K134="",0,IF(COUNTIF('Gap Sheet'!$A$6:$A$11,TRIM($J134))=0,0,IF($O134="R1",INDEX('Gap Sheet'!$C$6:$C$11,MATCH(TRIM($J134),'Gap Sheet'!$A$6:$A$11,0)),INDEX('Gap Sheet'!$G$6:$G$11,MATCH(TRIM($J134),'Gap Sheet'!$A$6:$A$11,0)))))</f>
        <v>0</v>
      </c>
      <c r="R134" s="46" t="str">
        <f aca="false">IF($K134="","",$K134&amp;"|"&amp;$O134)</f>
        <v/>
      </c>
      <c r="S134" s="46" t="n">
        <f aca="false">IF($R134="",0,COUNTIF($AA$4:$AA133,$R134))</f>
        <v>0</v>
      </c>
      <c r="T134" s="46" t="str">
        <f aca="false">IF(OR($I134&lt;&gt;"Yes, I'm available for in-person interviews at Chennai",$E134&lt;&gt;"Yes",$P134&lt;&gt;"Yes"),"No",IF(($Q134-$S134)&gt;0,"Yes","No"))</f>
        <v>No</v>
      </c>
      <c r="U134" s="46" t="str">
        <f aca="false">IF($M134="","No",IF(COUNTIFS(MasterPanel!$B:$B,$H134,MasterPanel!$I:$I,$M134,MasterPanel!$K:$K,"Y")&gt;0,"Yes","No"))</f>
        <v>No</v>
      </c>
      <c r="V134" s="46" t="n">
        <f aca="false">IF($M134="",0,IF(COUNTIF('Gap Sheet'!$A$6:$A$11,TRIM($L134))=0,0,IF($O134="R1",INDEX('Gap Sheet'!$C$6:$C$11,MATCH(TRIM($L134),'Gap Sheet'!$A$6:$A$11,0)),INDEX('Gap Sheet'!$G$6:$G$11,MATCH(TRIM($L134),'Gap Sheet'!$A$6:$A$11,0)))))</f>
        <v>0</v>
      </c>
      <c r="W134" s="46" t="str">
        <f aca="false">IF($M134="","",$M134&amp;"|"&amp;$O134)</f>
        <v/>
      </c>
      <c r="X134" s="46" t="n">
        <f aca="false">IF($W134="",0,COUNTIF($AA$4:$AA133,$W134))</f>
        <v>0</v>
      </c>
      <c r="Y134" s="46" t="str">
        <f aca="false">IF(OR($I134&lt;&gt;"Yes, I'm available for in-person interviews at Chennai",$E134&lt;&gt;"Yes",$T134="Yes",$U134&lt;&gt;"Yes"),"No",IF(($V134-$X134)&gt;0,"Yes","No"))</f>
        <v>No</v>
      </c>
      <c r="Z134" s="46" t="str">
        <f aca="false">IF($T134="Yes","Primary",IF($Y134="Yes","Secondary",""))</f>
        <v/>
      </c>
      <c r="AA134" s="46" t="str">
        <f aca="false">IF($Z134="Primary",$R134,IF($Z134="Secondary",$W134,""))</f>
        <v/>
      </c>
      <c r="AB134" s="46" t="str">
        <f aca="false">IF($Z134="Primary","Matched on primary skill",IF($Z134="Secondary","Matched on secondary skill (primary not approved or not required)",""))</f>
        <v/>
      </c>
      <c r="AC134" s="47" t="str">
        <f aca="false">IF($D134="Panel Details",$F134,"")</f>
        <v/>
      </c>
      <c r="AD134" s="46" t="str">
        <f aca="false">IF($D134="Panel Details",'Survey Response'!$D132,"")</f>
        <v/>
      </c>
      <c r="AE134" s="46" t="str">
        <f aca="false">IF($D134="Panel Details",'Survey Response'!$E132,"")</f>
        <v/>
      </c>
      <c r="AF134" s="46" t="str">
        <f aca="false">IF($D134="Panel Details",'Survey Response'!$G132,"")</f>
        <v/>
      </c>
      <c r="AG134" s="46" t="str">
        <f aca="false">IF($D134="Panel Details",IF($Z134="Primary",$J134,$L134),"")</f>
        <v/>
      </c>
      <c r="AH134" s="46" t="str">
        <f aca="false">IF($D134="Panel Details",IF($Z134="Primary",$L134,$J134),"")</f>
        <v/>
      </c>
      <c r="AI134" s="46" t="str">
        <f aca="false">IF($D134="Panel Details",'Survey Response'!$H132,"")</f>
        <v/>
      </c>
      <c r="AJ134" s="46" t="str">
        <f aca="false">IF($D134="Panel Details",'Survey Response'!$M132,"")</f>
        <v/>
      </c>
      <c r="AK134" s="46" t="str">
        <f aca="false">IF($D134="Panel Details",$O134,"")</f>
        <v/>
      </c>
      <c r="AL134" s="46" t="str">
        <f aca="false">IF($D134="Panel Details",8,"")</f>
        <v/>
      </c>
      <c r="AM134" s="46" t="str">
        <f aca="false">IF($D134="Panel Details",$AB134,"")</f>
        <v/>
      </c>
      <c r="AN134" s="46" t="str">
        <f aca="false">IF($D134="Panel Details","Yes","")</f>
        <v/>
      </c>
      <c r="AO134" s="46"/>
      <c r="AP134" s="46" t="str">
        <f aca="false">IF($D134="Followup",'Survey Response'!$D132,"")</f>
        <v/>
      </c>
      <c r="AQ134" s="46" t="str">
        <f aca="false">IF($D134="Followup",'Survey Response'!$E132,"")</f>
        <v/>
      </c>
      <c r="AR134" s="46" t="str">
        <f aca="false">IF($D134="Followup",'Survey Response'!$G132,"")</f>
        <v/>
      </c>
      <c r="AS134" s="46" t="str">
        <f aca="false">IF($D134="Followup",'Survey Response'!$H132,"")</f>
        <v/>
      </c>
      <c r="AT134" s="46" t="str">
        <f aca="false">IF($D134="Followup",'Survey Response'!$M132,"")</f>
        <v/>
      </c>
      <c r="AU134" s="46" t="str">
        <f aca="false">IF($D134="Followup",'Survey Response'!$K132,"")</f>
        <v/>
      </c>
      <c r="AV134" s="46" t="str">
        <f aca="false">IF($D134="Followup",'Survey Response'!$L132,"")</f>
        <v/>
      </c>
      <c r="AW134" s="46" t="str">
        <f aca="false">IF($D134="Followup",IF(AND($P134&lt;&gt;"Yes",$U134&lt;&gt;"Yes"),"Not approved for primary or secondary skill","Approved, but skill(s) no longer have capacity (fully staffed)"),"")</f>
        <v/>
      </c>
    </row>
    <row r="135" customFormat="false" ht="15" hidden="false" customHeight="true" outlineLevel="0" collapsed="false">
      <c r="A135" s="46" t="str">
        <f aca="false">IF('Survey Response'!$D133="","",'Survey Response'!$A133&amp;"|"&amp;LOWER(TRIM('Survey Response'!$D133)))</f>
        <v/>
      </c>
      <c r="B135" s="46" t="str">
        <f aca="false">IF($H135="","",$F135&amp;"|"&amp;$H135)</f>
        <v/>
      </c>
      <c r="C135" s="46" t="str">
        <f aca="false">IF($H135="","",$A135=$B135)</f>
        <v/>
      </c>
      <c r="D135" s="46" t="str">
        <f aca="false">IF($H135="","",IF($E135&lt;&gt;"Yes","Superseded",IF($I135&lt;&gt;"Yes, I'm available for in-person interviews at Chennai","Not Available",IF($Z135&lt;&gt;"","Panel Details","Followup"))))</f>
        <v/>
      </c>
      <c r="E135" s="46" t="str">
        <f aca="false">IF($H135="","",IF(SUMPRODUCT(($H$4:$H$503=$H135)*(($G$4:$G$503&gt;$G135)+($G$4:$G$503=$G135)*($F$4:$F$503&gt;$F135)))=0,"Yes","No"))</f>
        <v/>
      </c>
      <c r="F135" s="47" t="str">
        <f aca="false">IF('Survey Response'!$D133="","",INT('Survey Response'!$A133))</f>
        <v/>
      </c>
      <c r="G135" s="46" t="str">
        <f aca="false">IF('Survey Response'!$D133="","",'Survey Response'!$C133)</f>
        <v/>
      </c>
      <c r="H135" s="46" t="str">
        <f aca="false">IF('Survey Response'!$D133="","",LOWER(TRIM('Survey Response'!$D133)))</f>
        <v/>
      </c>
      <c r="I135" s="46" t="str">
        <f aca="false">IF($H135="","",'Survey Response'!$I133)</f>
        <v/>
      </c>
      <c r="J135" s="46" t="str">
        <f aca="false">IF($H135="","",'Survey Response'!$K133)</f>
        <v/>
      </c>
      <c r="K135" s="46" t="str">
        <f aca="false">IF($J135="","",IF(COUNTIF('Skill Mapping'!$A$2:$A$7,TRIM($J135))=0,"",INDEX('Skill Mapping'!$B$2:$B$7,MATCH(TRIM($J135),'Skill Mapping'!$A$2:$A$7,0))))</f>
        <v/>
      </c>
      <c r="L135" s="46" t="str">
        <f aca="false">IF($H135="","",'Survey Response'!$L133)</f>
        <v/>
      </c>
      <c r="M135" s="46" t="str">
        <f aca="false">IF($L135="","",IF(COUNTIF('Skill Mapping'!$A$2:$A$7,TRIM($L135))=0,"",INDEX('Skill Mapping'!$B$2:$B$7,MATCH(TRIM($L135),'Skill Mapping'!$A$2:$A$7,0))))</f>
        <v/>
      </c>
      <c r="N135" s="46" t="str">
        <f aca="false">IF($H135="","",'Survey Response'!$M133)</f>
        <v/>
      </c>
      <c r="O135" s="46" t="str">
        <f aca="false">IF($H135="","",IF('Survey Response'!$M133="Manager","R2","R1"))</f>
        <v/>
      </c>
      <c r="P135" s="46" t="str">
        <f aca="false">IF($K135="","No",IF(COUNTIFS(MasterPanel!$B:$B,$H135,MasterPanel!$I:$I,$K135,MasterPanel!$K:$K,"Y")&gt;0,"Yes","No"))</f>
        <v>No</v>
      </c>
      <c r="Q135" s="46" t="n">
        <f aca="false">IF($K135="",0,IF(COUNTIF('Gap Sheet'!$A$6:$A$11,TRIM($J135))=0,0,IF($O135="R1",INDEX('Gap Sheet'!$C$6:$C$11,MATCH(TRIM($J135),'Gap Sheet'!$A$6:$A$11,0)),INDEX('Gap Sheet'!$G$6:$G$11,MATCH(TRIM($J135),'Gap Sheet'!$A$6:$A$11,0)))))</f>
        <v>0</v>
      </c>
      <c r="R135" s="46" t="str">
        <f aca="false">IF($K135="","",$K135&amp;"|"&amp;$O135)</f>
        <v/>
      </c>
      <c r="S135" s="46" t="n">
        <f aca="false">IF($R135="",0,COUNTIF($AA$4:$AA134,$R135))</f>
        <v>0</v>
      </c>
      <c r="T135" s="46" t="str">
        <f aca="false">IF(OR($I135&lt;&gt;"Yes, I'm available for in-person interviews at Chennai",$E135&lt;&gt;"Yes",$P135&lt;&gt;"Yes"),"No",IF(($Q135-$S135)&gt;0,"Yes","No"))</f>
        <v>No</v>
      </c>
      <c r="U135" s="46" t="str">
        <f aca="false">IF($M135="","No",IF(COUNTIFS(MasterPanel!$B:$B,$H135,MasterPanel!$I:$I,$M135,MasterPanel!$K:$K,"Y")&gt;0,"Yes","No"))</f>
        <v>No</v>
      </c>
      <c r="V135" s="46" t="n">
        <f aca="false">IF($M135="",0,IF(COUNTIF('Gap Sheet'!$A$6:$A$11,TRIM($L135))=0,0,IF($O135="R1",INDEX('Gap Sheet'!$C$6:$C$11,MATCH(TRIM($L135),'Gap Sheet'!$A$6:$A$11,0)),INDEX('Gap Sheet'!$G$6:$G$11,MATCH(TRIM($L135),'Gap Sheet'!$A$6:$A$11,0)))))</f>
        <v>0</v>
      </c>
      <c r="W135" s="46" t="str">
        <f aca="false">IF($M135="","",$M135&amp;"|"&amp;$O135)</f>
        <v/>
      </c>
      <c r="X135" s="46" t="n">
        <f aca="false">IF($W135="",0,COUNTIF($AA$4:$AA134,$W135))</f>
        <v>0</v>
      </c>
      <c r="Y135" s="46" t="str">
        <f aca="false">IF(OR($I135&lt;&gt;"Yes, I'm available for in-person interviews at Chennai",$E135&lt;&gt;"Yes",$T135="Yes",$U135&lt;&gt;"Yes"),"No",IF(($V135-$X135)&gt;0,"Yes","No"))</f>
        <v>No</v>
      </c>
      <c r="Z135" s="46" t="str">
        <f aca="false">IF($T135="Yes","Primary",IF($Y135="Yes","Secondary",""))</f>
        <v/>
      </c>
      <c r="AA135" s="46" t="str">
        <f aca="false">IF($Z135="Primary",$R135,IF($Z135="Secondary",$W135,""))</f>
        <v/>
      </c>
      <c r="AB135" s="46" t="str">
        <f aca="false">IF($Z135="Primary","Matched on primary skill",IF($Z135="Secondary","Matched on secondary skill (primary not approved or not required)",""))</f>
        <v/>
      </c>
      <c r="AC135" s="47" t="str">
        <f aca="false">IF($D135="Panel Details",$F135,"")</f>
        <v/>
      </c>
      <c r="AD135" s="46" t="str">
        <f aca="false">IF($D135="Panel Details",'Survey Response'!$D133,"")</f>
        <v/>
      </c>
      <c r="AE135" s="46" t="str">
        <f aca="false">IF($D135="Panel Details",'Survey Response'!$E133,"")</f>
        <v/>
      </c>
      <c r="AF135" s="46" t="str">
        <f aca="false">IF($D135="Panel Details",'Survey Response'!$G133,"")</f>
        <v/>
      </c>
      <c r="AG135" s="46" t="str">
        <f aca="false">IF($D135="Panel Details",IF($Z135="Primary",$J135,$L135),"")</f>
        <v/>
      </c>
      <c r="AH135" s="46" t="str">
        <f aca="false">IF($D135="Panel Details",IF($Z135="Primary",$L135,$J135),"")</f>
        <v/>
      </c>
      <c r="AI135" s="46" t="str">
        <f aca="false">IF($D135="Panel Details",'Survey Response'!$H133,"")</f>
        <v/>
      </c>
      <c r="AJ135" s="46" t="str">
        <f aca="false">IF($D135="Panel Details",'Survey Response'!$M133,"")</f>
        <v/>
      </c>
      <c r="AK135" s="46" t="str">
        <f aca="false">IF($D135="Panel Details",$O135,"")</f>
        <v/>
      </c>
      <c r="AL135" s="46" t="str">
        <f aca="false">IF($D135="Panel Details",8,"")</f>
        <v/>
      </c>
      <c r="AM135" s="46" t="str">
        <f aca="false">IF($D135="Panel Details",$AB135,"")</f>
        <v/>
      </c>
      <c r="AN135" s="46" t="str">
        <f aca="false">IF($D135="Panel Details","Yes","")</f>
        <v/>
      </c>
      <c r="AO135" s="46"/>
      <c r="AP135" s="46" t="str">
        <f aca="false">IF($D135="Followup",'Survey Response'!$D133,"")</f>
        <v/>
      </c>
      <c r="AQ135" s="46" t="str">
        <f aca="false">IF($D135="Followup",'Survey Response'!$E133,"")</f>
        <v/>
      </c>
      <c r="AR135" s="46" t="str">
        <f aca="false">IF($D135="Followup",'Survey Response'!$G133,"")</f>
        <v/>
      </c>
      <c r="AS135" s="46" t="str">
        <f aca="false">IF($D135="Followup",'Survey Response'!$H133,"")</f>
        <v/>
      </c>
      <c r="AT135" s="46" t="str">
        <f aca="false">IF($D135="Followup",'Survey Response'!$M133,"")</f>
        <v/>
      </c>
      <c r="AU135" s="46" t="str">
        <f aca="false">IF($D135="Followup",'Survey Response'!$K133,"")</f>
        <v/>
      </c>
      <c r="AV135" s="46" t="str">
        <f aca="false">IF($D135="Followup",'Survey Response'!$L133,"")</f>
        <v/>
      </c>
      <c r="AW135" s="46" t="str">
        <f aca="false">IF($D135="Followup",IF(AND($P135&lt;&gt;"Yes",$U135&lt;&gt;"Yes"),"Not approved for primary or secondary skill","Approved, but skill(s) no longer have capacity (fully staffed)"),"")</f>
        <v/>
      </c>
    </row>
    <row r="136" customFormat="false" ht="15" hidden="false" customHeight="true" outlineLevel="0" collapsed="false">
      <c r="A136" s="46" t="str">
        <f aca="false">IF('Survey Response'!$D134="","",'Survey Response'!$A134&amp;"|"&amp;LOWER(TRIM('Survey Response'!$D134)))</f>
        <v/>
      </c>
      <c r="B136" s="46" t="str">
        <f aca="false">IF($H136="","",$F136&amp;"|"&amp;$H136)</f>
        <v/>
      </c>
      <c r="C136" s="46" t="str">
        <f aca="false">IF($H136="","",$A136=$B136)</f>
        <v/>
      </c>
      <c r="D136" s="46" t="str">
        <f aca="false">IF($H136="","",IF($E136&lt;&gt;"Yes","Superseded",IF($I136&lt;&gt;"Yes, I'm available for in-person interviews at Chennai","Not Available",IF($Z136&lt;&gt;"","Panel Details","Followup"))))</f>
        <v/>
      </c>
      <c r="E136" s="46" t="str">
        <f aca="false">IF($H136="","",IF(SUMPRODUCT(($H$4:$H$503=$H136)*(($G$4:$G$503&gt;$G136)+($G$4:$G$503=$G136)*($F$4:$F$503&gt;$F136)))=0,"Yes","No"))</f>
        <v/>
      </c>
      <c r="F136" s="47" t="str">
        <f aca="false">IF('Survey Response'!$D134="","",INT('Survey Response'!$A134))</f>
        <v/>
      </c>
      <c r="G136" s="46" t="str">
        <f aca="false">IF('Survey Response'!$D134="","",'Survey Response'!$C134)</f>
        <v/>
      </c>
      <c r="H136" s="46" t="str">
        <f aca="false">IF('Survey Response'!$D134="","",LOWER(TRIM('Survey Response'!$D134)))</f>
        <v/>
      </c>
      <c r="I136" s="46" t="str">
        <f aca="false">IF($H136="","",'Survey Response'!$I134)</f>
        <v/>
      </c>
      <c r="J136" s="46" t="str">
        <f aca="false">IF($H136="","",'Survey Response'!$K134)</f>
        <v/>
      </c>
      <c r="K136" s="46" t="str">
        <f aca="false">IF($J136="","",IF(COUNTIF('Skill Mapping'!$A$2:$A$7,TRIM($J136))=0,"",INDEX('Skill Mapping'!$B$2:$B$7,MATCH(TRIM($J136),'Skill Mapping'!$A$2:$A$7,0))))</f>
        <v/>
      </c>
      <c r="L136" s="46" t="str">
        <f aca="false">IF($H136="","",'Survey Response'!$L134)</f>
        <v/>
      </c>
      <c r="M136" s="46" t="str">
        <f aca="false">IF($L136="","",IF(COUNTIF('Skill Mapping'!$A$2:$A$7,TRIM($L136))=0,"",INDEX('Skill Mapping'!$B$2:$B$7,MATCH(TRIM($L136),'Skill Mapping'!$A$2:$A$7,0))))</f>
        <v/>
      </c>
      <c r="N136" s="46" t="str">
        <f aca="false">IF($H136="","",'Survey Response'!$M134)</f>
        <v/>
      </c>
      <c r="O136" s="46" t="str">
        <f aca="false">IF($H136="","",IF('Survey Response'!$M134="Manager","R2","R1"))</f>
        <v/>
      </c>
      <c r="P136" s="46" t="str">
        <f aca="false">IF($K136="","No",IF(COUNTIFS(MasterPanel!$B:$B,$H136,MasterPanel!$I:$I,$K136,MasterPanel!$K:$K,"Y")&gt;0,"Yes","No"))</f>
        <v>No</v>
      </c>
      <c r="Q136" s="46" t="n">
        <f aca="false">IF($K136="",0,IF(COUNTIF('Gap Sheet'!$A$6:$A$11,TRIM($J136))=0,0,IF($O136="R1",INDEX('Gap Sheet'!$C$6:$C$11,MATCH(TRIM($J136),'Gap Sheet'!$A$6:$A$11,0)),INDEX('Gap Sheet'!$G$6:$G$11,MATCH(TRIM($J136),'Gap Sheet'!$A$6:$A$11,0)))))</f>
        <v>0</v>
      </c>
      <c r="R136" s="46" t="str">
        <f aca="false">IF($K136="","",$K136&amp;"|"&amp;$O136)</f>
        <v/>
      </c>
      <c r="S136" s="46" t="n">
        <f aca="false">IF($R136="",0,COUNTIF($AA$4:$AA135,$R136))</f>
        <v>0</v>
      </c>
      <c r="T136" s="46" t="str">
        <f aca="false">IF(OR($I136&lt;&gt;"Yes, I'm available for in-person interviews at Chennai",$E136&lt;&gt;"Yes",$P136&lt;&gt;"Yes"),"No",IF(($Q136-$S136)&gt;0,"Yes","No"))</f>
        <v>No</v>
      </c>
      <c r="U136" s="46" t="str">
        <f aca="false">IF($M136="","No",IF(COUNTIFS(MasterPanel!$B:$B,$H136,MasterPanel!$I:$I,$M136,MasterPanel!$K:$K,"Y")&gt;0,"Yes","No"))</f>
        <v>No</v>
      </c>
      <c r="V136" s="46" t="n">
        <f aca="false">IF($M136="",0,IF(COUNTIF('Gap Sheet'!$A$6:$A$11,TRIM($L136))=0,0,IF($O136="R1",INDEX('Gap Sheet'!$C$6:$C$11,MATCH(TRIM($L136),'Gap Sheet'!$A$6:$A$11,0)),INDEX('Gap Sheet'!$G$6:$G$11,MATCH(TRIM($L136),'Gap Sheet'!$A$6:$A$11,0)))))</f>
        <v>0</v>
      </c>
      <c r="W136" s="46" t="str">
        <f aca="false">IF($M136="","",$M136&amp;"|"&amp;$O136)</f>
        <v/>
      </c>
      <c r="X136" s="46" t="n">
        <f aca="false">IF($W136="",0,COUNTIF($AA$4:$AA135,$W136))</f>
        <v>0</v>
      </c>
      <c r="Y136" s="46" t="str">
        <f aca="false">IF(OR($I136&lt;&gt;"Yes, I'm available for in-person interviews at Chennai",$E136&lt;&gt;"Yes",$T136="Yes",$U136&lt;&gt;"Yes"),"No",IF(($V136-$X136)&gt;0,"Yes","No"))</f>
        <v>No</v>
      </c>
      <c r="Z136" s="46" t="str">
        <f aca="false">IF($T136="Yes","Primary",IF($Y136="Yes","Secondary",""))</f>
        <v/>
      </c>
      <c r="AA136" s="46" t="str">
        <f aca="false">IF($Z136="Primary",$R136,IF($Z136="Secondary",$W136,""))</f>
        <v/>
      </c>
      <c r="AB136" s="46" t="str">
        <f aca="false">IF($Z136="Primary","Matched on primary skill",IF($Z136="Secondary","Matched on secondary skill (primary not approved or not required)",""))</f>
        <v/>
      </c>
      <c r="AC136" s="47" t="str">
        <f aca="false">IF($D136="Panel Details",$F136,"")</f>
        <v/>
      </c>
      <c r="AD136" s="46" t="str">
        <f aca="false">IF($D136="Panel Details",'Survey Response'!$D134,"")</f>
        <v/>
      </c>
      <c r="AE136" s="46" t="str">
        <f aca="false">IF($D136="Panel Details",'Survey Response'!$E134,"")</f>
        <v/>
      </c>
      <c r="AF136" s="46" t="str">
        <f aca="false">IF($D136="Panel Details",'Survey Response'!$G134,"")</f>
        <v/>
      </c>
      <c r="AG136" s="46" t="str">
        <f aca="false">IF($D136="Panel Details",IF($Z136="Primary",$J136,$L136),"")</f>
        <v/>
      </c>
      <c r="AH136" s="46" t="str">
        <f aca="false">IF($D136="Panel Details",IF($Z136="Primary",$L136,$J136),"")</f>
        <v/>
      </c>
      <c r="AI136" s="46" t="str">
        <f aca="false">IF($D136="Panel Details",'Survey Response'!$H134,"")</f>
        <v/>
      </c>
      <c r="AJ136" s="46" t="str">
        <f aca="false">IF($D136="Panel Details",'Survey Response'!$M134,"")</f>
        <v/>
      </c>
      <c r="AK136" s="46" t="str">
        <f aca="false">IF($D136="Panel Details",$O136,"")</f>
        <v/>
      </c>
      <c r="AL136" s="46" t="str">
        <f aca="false">IF($D136="Panel Details",8,"")</f>
        <v/>
      </c>
      <c r="AM136" s="46" t="str">
        <f aca="false">IF($D136="Panel Details",$AB136,"")</f>
        <v/>
      </c>
      <c r="AN136" s="46" t="str">
        <f aca="false">IF($D136="Panel Details","Yes","")</f>
        <v/>
      </c>
      <c r="AO136" s="46"/>
      <c r="AP136" s="46" t="str">
        <f aca="false">IF($D136="Followup",'Survey Response'!$D134,"")</f>
        <v/>
      </c>
      <c r="AQ136" s="46" t="str">
        <f aca="false">IF($D136="Followup",'Survey Response'!$E134,"")</f>
        <v/>
      </c>
      <c r="AR136" s="46" t="str">
        <f aca="false">IF($D136="Followup",'Survey Response'!$G134,"")</f>
        <v/>
      </c>
      <c r="AS136" s="46" t="str">
        <f aca="false">IF($D136="Followup",'Survey Response'!$H134,"")</f>
        <v/>
      </c>
      <c r="AT136" s="46" t="str">
        <f aca="false">IF($D136="Followup",'Survey Response'!$M134,"")</f>
        <v/>
      </c>
      <c r="AU136" s="46" t="str">
        <f aca="false">IF($D136="Followup",'Survey Response'!$K134,"")</f>
        <v/>
      </c>
      <c r="AV136" s="46" t="str">
        <f aca="false">IF($D136="Followup",'Survey Response'!$L134,"")</f>
        <v/>
      </c>
      <c r="AW136" s="46" t="str">
        <f aca="false">IF($D136="Followup",IF(AND($P136&lt;&gt;"Yes",$U136&lt;&gt;"Yes"),"Not approved for primary or secondary skill","Approved, but skill(s) no longer have capacity (fully staffed)"),"")</f>
        <v/>
      </c>
    </row>
    <row r="137" customFormat="false" ht="15" hidden="false" customHeight="true" outlineLevel="0" collapsed="false">
      <c r="A137" s="46" t="str">
        <f aca="false">IF('Survey Response'!$D135="","",'Survey Response'!$A135&amp;"|"&amp;LOWER(TRIM('Survey Response'!$D135)))</f>
        <v/>
      </c>
      <c r="B137" s="46" t="str">
        <f aca="false">IF($H137="","",$F137&amp;"|"&amp;$H137)</f>
        <v/>
      </c>
      <c r="C137" s="46" t="str">
        <f aca="false">IF($H137="","",$A137=$B137)</f>
        <v/>
      </c>
      <c r="D137" s="46" t="str">
        <f aca="false">IF($H137="","",IF($E137&lt;&gt;"Yes","Superseded",IF($I137&lt;&gt;"Yes, I'm available for in-person interviews at Chennai","Not Available",IF($Z137&lt;&gt;"","Panel Details","Followup"))))</f>
        <v/>
      </c>
      <c r="E137" s="46" t="str">
        <f aca="false">IF($H137="","",IF(SUMPRODUCT(($H$4:$H$503=$H137)*(($G$4:$G$503&gt;$G137)+($G$4:$G$503=$G137)*($F$4:$F$503&gt;$F137)))=0,"Yes","No"))</f>
        <v/>
      </c>
      <c r="F137" s="47" t="str">
        <f aca="false">IF('Survey Response'!$D135="","",INT('Survey Response'!$A135))</f>
        <v/>
      </c>
      <c r="G137" s="46" t="str">
        <f aca="false">IF('Survey Response'!$D135="","",'Survey Response'!$C135)</f>
        <v/>
      </c>
      <c r="H137" s="46" t="str">
        <f aca="false">IF('Survey Response'!$D135="","",LOWER(TRIM('Survey Response'!$D135)))</f>
        <v/>
      </c>
      <c r="I137" s="46" t="str">
        <f aca="false">IF($H137="","",'Survey Response'!$I135)</f>
        <v/>
      </c>
      <c r="J137" s="46" t="str">
        <f aca="false">IF($H137="","",'Survey Response'!$K135)</f>
        <v/>
      </c>
      <c r="K137" s="46" t="str">
        <f aca="false">IF($J137="","",IF(COUNTIF('Skill Mapping'!$A$2:$A$7,TRIM($J137))=0,"",INDEX('Skill Mapping'!$B$2:$B$7,MATCH(TRIM($J137),'Skill Mapping'!$A$2:$A$7,0))))</f>
        <v/>
      </c>
      <c r="L137" s="46" t="str">
        <f aca="false">IF($H137="","",'Survey Response'!$L135)</f>
        <v/>
      </c>
      <c r="M137" s="46" t="str">
        <f aca="false">IF($L137="","",IF(COUNTIF('Skill Mapping'!$A$2:$A$7,TRIM($L137))=0,"",INDEX('Skill Mapping'!$B$2:$B$7,MATCH(TRIM($L137),'Skill Mapping'!$A$2:$A$7,0))))</f>
        <v/>
      </c>
      <c r="N137" s="46" t="str">
        <f aca="false">IF($H137="","",'Survey Response'!$M135)</f>
        <v/>
      </c>
      <c r="O137" s="46" t="str">
        <f aca="false">IF($H137="","",IF('Survey Response'!$M135="Manager","R2","R1"))</f>
        <v/>
      </c>
      <c r="P137" s="46" t="str">
        <f aca="false">IF($K137="","No",IF(COUNTIFS(MasterPanel!$B:$B,$H137,MasterPanel!$I:$I,$K137,MasterPanel!$K:$K,"Y")&gt;0,"Yes","No"))</f>
        <v>No</v>
      </c>
      <c r="Q137" s="46" t="n">
        <f aca="false">IF($K137="",0,IF(COUNTIF('Gap Sheet'!$A$6:$A$11,TRIM($J137))=0,0,IF($O137="R1",INDEX('Gap Sheet'!$C$6:$C$11,MATCH(TRIM($J137),'Gap Sheet'!$A$6:$A$11,0)),INDEX('Gap Sheet'!$G$6:$G$11,MATCH(TRIM($J137),'Gap Sheet'!$A$6:$A$11,0)))))</f>
        <v>0</v>
      </c>
      <c r="R137" s="46" t="str">
        <f aca="false">IF($K137="","",$K137&amp;"|"&amp;$O137)</f>
        <v/>
      </c>
      <c r="S137" s="46" t="n">
        <f aca="false">IF($R137="",0,COUNTIF($AA$4:$AA136,$R137))</f>
        <v>0</v>
      </c>
      <c r="T137" s="46" t="str">
        <f aca="false">IF(OR($I137&lt;&gt;"Yes, I'm available for in-person interviews at Chennai",$E137&lt;&gt;"Yes",$P137&lt;&gt;"Yes"),"No",IF(($Q137-$S137)&gt;0,"Yes","No"))</f>
        <v>No</v>
      </c>
      <c r="U137" s="46" t="str">
        <f aca="false">IF($M137="","No",IF(COUNTIFS(MasterPanel!$B:$B,$H137,MasterPanel!$I:$I,$M137,MasterPanel!$K:$K,"Y")&gt;0,"Yes","No"))</f>
        <v>No</v>
      </c>
      <c r="V137" s="46" t="n">
        <f aca="false">IF($M137="",0,IF(COUNTIF('Gap Sheet'!$A$6:$A$11,TRIM($L137))=0,0,IF($O137="R1",INDEX('Gap Sheet'!$C$6:$C$11,MATCH(TRIM($L137),'Gap Sheet'!$A$6:$A$11,0)),INDEX('Gap Sheet'!$G$6:$G$11,MATCH(TRIM($L137),'Gap Sheet'!$A$6:$A$11,0)))))</f>
        <v>0</v>
      </c>
      <c r="W137" s="46" t="str">
        <f aca="false">IF($M137="","",$M137&amp;"|"&amp;$O137)</f>
        <v/>
      </c>
      <c r="X137" s="46" t="n">
        <f aca="false">IF($W137="",0,COUNTIF($AA$4:$AA136,$W137))</f>
        <v>0</v>
      </c>
      <c r="Y137" s="46" t="str">
        <f aca="false">IF(OR($I137&lt;&gt;"Yes, I'm available for in-person interviews at Chennai",$E137&lt;&gt;"Yes",$T137="Yes",$U137&lt;&gt;"Yes"),"No",IF(($V137-$X137)&gt;0,"Yes","No"))</f>
        <v>No</v>
      </c>
      <c r="Z137" s="46" t="str">
        <f aca="false">IF($T137="Yes","Primary",IF($Y137="Yes","Secondary",""))</f>
        <v/>
      </c>
      <c r="AA137" s="46" t="str">
        <f aca="false">IF($Z137="Primary",$R137,IF($Z137="Secondary",$W137,""))</f>
        <v/>
      </c>
      <c r="AB137" s="46" t="str">
        <f aca="false">IF($Z137="Primary","Matched on primary skill",IF($Z137="Secondary","Matched on secondary skill (primary not approved or not required)",""))</f>
        <v/>
      </c>
      <c r="AC137" s="47" t="str">
        <f aca="false">IF($D137="Panel Details",$F137,"")</f>
        <v/>
      </c>
      <c r="AD137" s="46" t="str">
        <f aca="false">IF($D137="Panel Details",'Survey Response'!$D135,"")</f>
        <v/>
      </c>
      <c r="AE137" s="46" t="str">
        <f aca="false">IF($D137="Panel Details",'Survey Response'!$E135,"")</f>
        <v/>
      </c>
      <c r="AF137" s="46" t="str">
        <f aca="false">IF($D137="Panel Details",'Survey Response'!$G135,"")</f>
        <v/>
      </c>
      <c r="AG137" s="46" t="str">
        <f aca="false">IF($D137="Panel Details",IF($Z137="Primary",$J137,$L137),"")</f>
        <v/>
      </c>
      <c r="AH137" s="46" t="str">
        <f aca="false">IF($D137="Panel Details",IF($Z137="Primary",$L137,$J137),"")</f>
        <v/>
      </c>
      <c r="AI137" s="46" t="str">
        <f aca="false">IF($D137="Panel Details",'Survey Response'!$H135,"")</f>
        <v/>
      </c>
      <c r="AJ137" s="46" t="str">
        <f aca="false">IF($D137="Panel Details",'Survey Response'!$M135,"")</f>
        <v/>
      </c>
      <c r="AK137" s="46" t="str">
        <f aca="false">IF($D137="Panel Details",$O137,"")</f>
        <v/>
      </c>
      <c r="AL137" s="46" t="str">
        <f aca="false">IF($D137="Panel Details",8,"")</f>
        <v/>
      </c>
      <c r="AM137" s="46" t="str">
        <f aca="false">IF($D137="Panel Details",$AB137,"")</f>
        <v/>
      </c>
      <c r="AN137" s="46" t="str">
        <f aca="false">IF($D137="Panel Details","Yes","")</f>
        <v/>
      </c>
      <c r="AO137" s="46"/>
      <c r="AP137" s="46" t="str">
        <f aca="false">IF($D137="Followup",'Survey Response'!$D135,"")</f>
        <v/>
      </c>
      <c r="AQ137" s="46" t="str">
        <f aca="false">IF($D137="Followup",'Survey Response'!$E135,"")</f>
        <v/>
      </c>
      <c r="AR137" s="46" t="str">
        <f aca="false">IF($D137="Followup",'Survey Response'!$G135,"")</f>
        <v/>
      </c>
      <c r="AS137" s="46" t="str">
        <f aca="false">IF($D137="Followup",'Survey Response'!$H135,"")</f>
        <v/>
      </c>
      <c r="AT137" s="46" t="str">
        <f aca="false">IF($D137="Followup",'Survey Response'!$M135,"")</f>
        <v/>
      </c>
      <c r="AU137" s="46" t="str">
        <f aca="false">IF($D137="Followup",'Survey Response'!$K135,"")</f>
        <v/>
      </c>
      <c r="AV137" s="46" t="str">
        <f aca="false">IF($D137="Followup",'Survey Response'!$L135,"")</f>
        <v/>
      </c>
      <c r="AW137" s="46" t="str">
        <f aca="false">IF($D137="Followup",IF(AND($P137&lt;&gt;"Yes",$U137&lt;&gt;"Yes"),"Not approved for primary or secondary skill","Approved, but skill(s) no longer have capacity (fully staffed)"),"")</f>
        <v/>
      </c>
    </row>
    <row r="138" customFormat="false" ht="15" hidden="false" customHeight="true" outlineLevel="0" collapsed="false">
      <c r="A138" s="46" t="str">
        <f aca="false">IF('Survey Response'!$D136="","",'Survey Response'!$A136&amp;"|"&amp;LOWER(TRIM('Survey Response'!$D136)))</f>
        <v/>
      </c>
      <c r="B138" s="46" t="str">
        <f aca="false">IF($H138="","",$F138&amp;"|"&amp;$H138)</f>
        <v/>
      </c>
      <c r="C138" s="46" t="str">
        <f aca="false">IF($H138="","",$A138=$B138)</f>
        <v/>
      </c>
      <c r="D138" s="46" t="str">
        <f aca="false">IF($H138="","",IF($E138&lt;&gt;"Yes","Superseded",IF($I138&lt;&gt;"Yes, I'm available for in-person interviews at Chennai","Not Available",IF($Z138&lt;&gt;"","Panel Details","Followup"))))</f>
        <v/>
      </c>
      <c r="E138" s="46" t="str">
        <f aca="false">IF($H138="","",IF(SUMPRODUCT(($H$4:$H$503=$H138)*(($G$4:$G$503&gt;$G138)+($G$4:$G$503=$G138)*($F$4:$F$503&gt;$F138)))=0,"Yes","No"))</f>
        <v/>
      </c>
      <c r="F138" s="47" t="str">
        <f aca="false">IF('Survey Response'!$D136="","",INT('Survey Response'!$A136))</f>
        <v/>
      </c>
      <c r="G138" s="46" t="str">
        <f aca="false">IF('Survey Response'!$D136="","",'Survey Response'!$C136)</f>
        <v/>
      </c>
      <c r="H138" s="46" t="str">
        <f aca="false">IF('Survey Response'!$D136="","",LOWER(TRIM('Survey Response'!$D136)))</f>
        <v/>
      </c>
      <c r="I138" s="46" t="str">
        <f aca="false">IF($H138="","",'Survey Response'!$I136)</f>
        <v/>
      </c>
      <c r="J138" s="46" t="str">
        <f aca="false">IF($H138="","",'Survey Response'!$K136)</f>
        <v/>
      </c>
      <c r="K138" s="46" t="str">
        <f aca="false">IF($J138="","",IF(COUNTIF('Skill Mapping'!$A$2:$A$7,TRIM($J138))=0,"",INDEX('Skill Mapping'!$B$2:$B$7,MATCH(TRIM($J138),'Skill Mapping'!$A$2:$A$7,0))))</f>
        <v/>
      </c>
      <c r="L138" s="46" t="str">
        <f aca="false">IF($H138="","",'Survey Response'!$L136)</f>
        <v/>
      </c>
      <c r="M138" s="46" t="str">
        <f aca="false">IF($L138="","",IF(COUNTIF('Skill Mapping'!$A$2:$A$7,TRIM($L138))=0,"",INDEX('Skill Mapping'!$B$2:$B$7,MATCH(TRIM($L138),'Skill Mapping'!$A$2:$A$7,0))))</f>
        <v/>
      </c>
      <c r="N138" s="46" t="str">
        <f aca="false">IF($H138="","",'Survey Response'!$M136)</f>
        <v/>
      </c>
      <c r="O138" s="46" t="str">
        <f aca="false">IF($H138="","",IF('Survey Response'!$M136="Manager","R2","R1"))</f>
        <v/>
      </c>
      <c r="P138" s="46" t="str">
        <f aca="false">IF($K138="","No",IF(COUNTIFS(MasterPanel!$B:$B,$H138,MasterPanel!$I:$I,$K138,MasterPanel!$K:$K,"Y")&gt;0,"Yes","No"))</f>
        <v>No</v>
      </c>
      <c r="Q138" s="46" t="n">
        <f aca="false">IF($K138="",0,IF(COUNTIF('Gap Sheet'!$A$6:$A$11,TRIM($J138))=0,0,IF($O138="R1",INDEX('Gap Sheet'!$C$6:$C$11,MATCH(TRIM($J138),'Gap Sheet'!$A$6:$A$11,0)),INDEX('Gap Sheet'!$G$6:$G$11,MATCH(TRIM($J138),'Gap Sheet'!$A$6:$A$11,0)))))</f>
        <v>0</v>
      </c>
      <c r="R138" s="46" t="str">
        <f aca="false">IF($K138="","",$K138&amp;"|"&amp;$O138)</f>
        <v/>
      </c>
      <c r="S138" s="46" t="n">
        <f aca="false">IF($R138="",0,COUNTIF($AA$4:$AA137,$R138))</f>
        <v>0</v>
      </c>
      <c r="T138" s="46" t="str">
        <f aca="false">IF(OR($I138&lt;&gt;"Yes, I'm available for in-person interviews at Chennai",$E138&lt;&gt;"Yes",$P138&lt;&gt;"Yes"),"No",IF(($Q138-$S138)&gt;0,"Yes","No"))</f>
        <v>No</v>
      </c>
      <c r="U138" s="46" t="str">
        <f aca="false">IF($M138="","No",IF(COUNTIFS(MasterPanel!$B:$B,$H138,MasterPanel!$I:$I,$M138,MasterPanel!$K:$K,"Y")&gt;0,"Yes","No"))</f>
        <v>No</v>
      </c>
      <c r="V138" s="46" t="n">
        <f aca="false">IF($M138="",0,IF(COUNTIF('Gap Sheet'!$A$6:$A$11,TRIM($L138))=0,0,IF($O138="R1",INDEX('Gap Sheet'!$C$6:$C$11,MATCH(TRIM($L138),'Gap Sheet'!$A$6:$A$11,0)),INDEX('Gap Sheet'!$G$6:$G$11,MATCH(TRIM($L138),'Gap Sheet'!$A$6:$A$11,0)))))</f>
        <v>0</v>
      </c>
      <c r="W138" s="46" t="str">
        <f aca="false">IF($M138="","",$M138&amp;"|"&amp;$O138)</f>
        <v/>
      </c>
      <c r="X138" s="46" t="n">
        <f aca="false">IF($W138="",0,COUNTIF($AA$4:$AA137,$W138))</f>
        <v>0</v>
      </c>
      <c r="Y138" s="46" t="str">
        <f aca="false">IF(OR($I138&lt;&gt;"Yes, I'm available for in-person interviews at Chennai",$E138&lt;&gt;"Yes",$T138="Yes",$U138&lt;&gt;"Yes"),"No",IF(($V138-$X138)&gt;0,"Yes","No"))</f>
        <v>No</v>
      </c>
      <c r="Z138" s="46" t="str">
        <f aca="false">IF($T138="Yes","Primary",IF($Y138="Yes","Secondary",""))</f>
        <v/>
      </c>
      <c r="AA138" s="46" t="str">
        <f aca="false">IF($Z138="Primary",$R138,IF($Z138="Secondary",$W138,""))</f>
        <v/>
      </c>
      <c r="AB138" s="46" t="str">
        <f aca="false">IF($Z138="Primary","Matched on primary skill",IF($Z138="Secondary","Matched on secondary skill (primary not approved or not required)",""))</f>
        <v/>
      </c>
      <c r="AC138" s="47" t="str">
        <f aca="false">IF($D138="Panel Details",$F138,"")</f>
        <v/>
      </c>
      <c r="AD138" s="46" t="str">
        <f aca="false">IF($D138="Panel Details",'Survey Response'!$D136,"")</f>
        <v/>
      </c>
      <c r="AE138" s="46" t="str">
        <f aca="false">IF($D138="Panel Details",'Survey Response'!$E136,"")</f>
        <v/>
      </c>
      <c r="AF138" s="46" t="str">
        <f aca="false">IF($D138="Panel Details",'Survey Response'!$G136,"")</f>
        <v/>
      </c>
      <c r="AG138" s="46" t="str">
        <f aca="false">IF($D138="Panel Details",IF($Z138="Primary",$J138,$L138),"")</f>
        <v/>
      </c>
      <c r="AH138" s="46" t="str">
        <f aca="false">IF($D138="Panel Details",IF($Z138="Primary",$L138,$J138),"")</f>
        <v/>
      </c>
      <c r="AI138" s="46" t="str">
        <f aca="false">IF($D138="Panel Details",'Survey Response'!$H136,"")</f>
        <v/>
      </c>
      <c r="AJ138" s="46" t="str">
        <f aca="false">IF($D138="Panel Details",'Survey Response'!$M136,"")</f>
        <v/>
      </c>
      <c r="AK138" s="46" t="str">
        <f aca="false">IF($D138="Panel Details",$O138,"")</f>
        <v/>
      </c>
      <c r="AL138" s="46" t="str">
        <f aca="false">IF($D138="Panel Details",8,"")</f>
        <v/>
      </c>
      <c r="AM138" s="46" t="str">
        <f aca="false">IF($D138="Panel Details",$AB138,"")</f>
        <v/>
      </c>
      <c r="AN138" s="46" t="str">
        <f aca="false">IF($D138="Panel Details","Yes","")</f>
        <v/>
      </c>
      <c r="AO138" s="46"/>
      <c r="AP138" s="46" t="str">
        <f aca="false">IF($D138="Followup",'Survey Response'!$D136,"")</f>
        <v/>
      </c>
      <c r="AQ138" s="46" t="str">
        <f aca="false">IF($D138="Followup",'Survey Response'!$E136,"")</f>
        <v/>
      </c>
      <c r="AR138" s="46" t="str">
        <f aca="false">IF($D138="Followup",'Survey Response'!$G136,"")</f>
        <v/>
      </c>
      <c r="AS138" s="46" t="str">
        <f aca="false">IF($D138="Followup",'Survey Response'!$H136,"")</f>
        <v/>
      </c>
      <c r="AT138" s="46" t="str">
        <f aca="false">IF($D138="Followup",'Survey Response'!$M136,"")</f>
        <v/>
      </c>
      <c r="AU138" s="46" t="str">
        <f aca="false">IF($D138="Followup",'Survey Response'!$K136,"")</f>
        <v/>
      </c>
      <c r="AV138" s="46" t="str">
        <f aca="false">IF($D138="Followup",'Survey Response'!$L136,"")</f>
        <v/>
      </c>
      <c r="AW138" s="46" t="str">
        <f aca="false">IF($D138="Followup",IF(AND($P138&lt;&gt;"Yes",$U138&lt;&gt;"Yes"),"Not approved for primary or secondary skill","Approved, but skill(s) no longer have capacity (fully staffed)"),"")</f>
        <v/>
      </c>
    </row>
    <row r="139" customFormat="false" ht="15" hidden="false" customHeight="true" outlineLevel="0" collapsed="false">
      <c r="A139" s="46" t="str">
        <f aca="false">IF('Survey Response'!$D137="","",'Survey Response'!$A137&amp;"|"&amp;LOWER(TRIM('Survey Response'!$D137)))</f>
        <v/>
      </c>
      <c r="B139" s="46" t="str">
        <f aca="false">IF($H139="","",$F139&amp;"|"&amp;$H139)</f>
        <v/>
      </c>
      <c r="C139" s="46" t="str">
        <f aca="false">IF($H139="","",$A139=$B139)</f>
        <v/>
      </c>
      <c r="D139" s="46" t="str">
        <f aca="false">IF($H139="","",IF($E139&lt;&gt;"Yes","Superseded",IF($I139&lt;&gt;"Yes, I'm available for in-person interviews at Chennai","Not Available",IF($Z139&lt;&gt;"","Panel Details","Followup"))))</f>
        <v/>
      </c>
      <c r="E139" s="46" t="str">
        <f aca="false">IF($H139="","",IF(SUMPRODUCT(($H$4:$H$503=$H139)*(($G$4:$G$503&gt;$G139)+($G$4:$G$503=$G139)*($F$4:$F$503&gt;$F139)))=0,"Yes","No"))</f>
        <v/>
      </c>
      <c r="F139" s="47" t="str">
        <f aca="false">IF('Survey Response'!$D137="","",INT('Survey Response'!$A137))</f>
        <v/>
      </c>
      <c r="G139" s="46" t="str">
        <f aca="false">IF('Survey Response'!$D137="","",'Survey Response'!$C137)</f>
        <v/>
      </c>
      <c r="H139" s="46" t="str">
        <f aca="false">IF('Survey Response'!$D137="","",LOWER(TRIM('Survey Response'!$D137)))</f>
        <v/>
      </c>
      <c r="I139" s="46" t="str">
        <f aca="false">IF($H139="","",'Survey Response'!$I137)</f>
        <v/>
      </c>
      <c r="J139" s="46" t="str">
        <f aca="false">IF($H139="","",'Survey Response'!$K137)</f>
        <v/>
      </c>
      <c r="K139" s="46" t="str">
        <f aca="false">IF($J139="","",IF(COUNTIF('Skill Mapping'!$A$2:$A$7,TRIM($J139))=0,"",INDEX('Skill Mapping'!$B$2:$B$7,MATCH(TRIM($J139),'Skill Mapping'!$A$2:$A$7,0))))</f>
        <v/>
      </c>
      <c r="L139" s="46" t="str">
        <f aca="false">IF($H139="","",'Survey Response'!$L137)</f>
        <v/>
      </c>
      <c r="M139" s="46" t="str">
        <f aca="false">IF($L139="","",IF(COUNTIF('Skill Mapping'!$A$2:$A$7,TRIM($L139))=0,"",INDEX('Skill Mapping'!$B$2:$B$7,MATCH(TRIM($L139),'Skill Mapping'!$A$2:$A$7,0))))</f>
        <v/>
      </c>
      <c r="N139" s="46" t="str">
        <f aca="false">IF($H139="","",'Survey Response'!$M137)</f>
        <v/>
      </c>
      <c r="O139" s="46" t="str">
        <f aca="false">IF($H139="","",IF('Survey Response'!$M137="Manager","R2","R1"))</f>
        <v/>
      </c>
      <c r="P139" s="46" t="str">
        <f aca="false">IF($K139="","No",IF(COUNTIFS(MasterPanel!$B:$B,$H139,MasterPanel!$I:$I,$K139,MasterPanel!$K:$K,"Y")&gt;0,"Yes","No"))</f>
        <v>No</v>
      </c>
      <c r="Q139" s="46" t="n">
        <f aca="false">IF($K139="",0,IF(COUNTIF('Gap Sheet'!$A$6:$A$11,TRIM($J139))=0,0,IF($O139="R1",INDEX('Gap Sheet'!$C$6:$C$11,MATCH(TRIM($J139),'Gap Sheet'!$A$6:$A$11,0)),INDEX('Gap Sheet'!$G$6:$G$11,MATCH(TRIM($J139),'Gap Sheet'!$A$6:$A$11,0)))))</f>
        <v>0</v>
      </c>
      <c r="R139" s="46" t="str">
        <f aca="false">IF($K139="","",$K139&amp;"|"&amp;$O139)</f>
        <v/>
      </c>
      <c r="S139" s="46" t="n">
        <f aca="false">IF($R139="",0,COUNTIF($AA$4:$AA138,$R139))</f>
        <v>0</v>
      </c>
      <c r="T139" s="46" t="str">
        <f aca="false">IF(OR($I139&lt;&gt;"Yes, I'm available for in-person interviews at Chennai",$E139&lt;&gt;"Yes",$P139&lt;&gt;"Yes"),"No",IF(($Q139-$S139)&gt;0,"Yes","No"))</f>
        <v>No</v>
      </c>
      <c r="U139" s="46" t="str">
        <f aca="false">IF($M139="","No",IF(COUNTIFS(MasterPanel!$B:$B,$H139,MasterPanel!$I:$I,$M139,MasterPanel!$K:$K,"Y")&gt;0,"Yes","No"))</f>
        <v>No</v>
      </c>
      <c r="V139" s="46" t="n">
        <f aca="false">IF($M139="",0,IF(COUNTIF('Gap Sheet'!$A$6:$A$11,TRIM($L139))=0,0,IF($O139="R1",INDEX('Gap Sheet'!$C$6:$C$11,MATCH(TRIM($L139),'Gap Sheet'!$A$6:$A$11,0)),INDEX('Gap Sheet'!$G$6:$G$11,MATCH(TRIM($L139),'Gap Sheet'!$A$6:$A$11,0)))))</f>
        <v>0</v>
      </c>
      <c r="W139" s="46" t="str">
        <f aca="false">IF($M139="","",$M139&amp;"|"&amp;$O139)</f>
        <v/>
      </c>
      <c r="X139" s="46" t="n">
        <f aca="false">IF($W139="",0,COUNTIF($AA$4:$AA138,$W139))</f>
        <v>0</v>
      </c>
      <c r="Y139" s="46" t="str">
        <f aca="false">IF(OR($I139&lt;&gt;"Yes, I'm available for in-person interviews at Chennai",$E139&lt;&gt;"Yes",$T139="Yes",$U139&lt;&gt;"Yes"),"No",IF(($V139-$X139)&gt;0,"Yes","No"))</f>
        <v>No</v>
      </c>
      <c r="Z139" s="46" t="str">
        <f aca="false">IF($T139="Yes","Primary",IF($Y139="Yes","Secondary",""))</f>
        <v/>
      </c>
      <c r="AA139" s="46" t="str">
        <f aca="false">IF($Z139="Primary",$R139,IF($Z139="Secondary",$W139,""))</f>
        <v/>
      </c>
      <c r="AB139" s="46" t="str">
        <f aca="false">IF($Z139="Primary","Matched on primary skill",IF($Z139="Secondary","Matched on secondary skill (primary not approved or not required)",""))</f>
        <v/>
      </c>
      <c r="AC139" s="47" t="str">
        <f aca="false">IF($D139="Panel Details",$F139,"")</f>
        <v/>
      </c>
      <c r="AD139" s="46" t="str">
        <f aca="false">IF($D139="Panel Details",'Survey Response'!$D137,"")</f>
        <v/>
      </c>
      <c r="AE139" s="46" t="str">
        <f aca="false">IF($D139="Panel Details",'Survey Response'!$E137,"")</f>
        <v/>
      </c>
      <c r="AF139" s="46" t="str">
        <f aca="false">IF($D139="Panel Details",'Survey Response'!$G137,"")</f>
        <v/>
      </c>
      <c r="AG139" s="46" t="str">
        <f aca="false">IF($D139="Panel Details",IF($Z139="Primary",$J139,$L139),"")</f>
        <v/>
      </c>
      <c r="AH139" s="46" t="str">
        <f aca="false">IF($D139="Panel Details",IF($Z139="Primary",$L139,$J139),"")</f>
        <v/>
      </c>
      <c r="AI139" s="46" t="str">
        <f aca="false">IF($D139="Panel Details",'Survey Response'!$H137,"")</f>
        <v/>
      </c>
      <c r="AJ139" s="46" t="str">
        <f aca="false">IF($D139="Panel Details",'Survey Response'!$M137,"")</f>
        <v/>
      </c>
      <c r="AK139" s="46" t="str">
        <f aca="false">IF($D139="Panel Details",$O139,"")</f>
        <v/>
      </c>
      <c r="AL139" s="46" t="str">
        <f aca="false">IF($D139="Panel Details",8,"")</f>
        <v/>
      </c>
      <c r="AM139" s="46" t="str">
        <f aca="false">IF($D139="Panel Details",$AB139,"")</f>
        <v/>
      </c>
      <c r="AN139" s="46" t="str">
        <f aca="false">IF($D139="Panel Details","Yes","")</f>
        <v/>
      </c>
      <c r="AO139" s="46"/>
      <c r="AP139" s="46" t="str">
        <f aca="false">IF($D139="Followup",'Survey Response'!$D137,"")</f>
        <v/>
      </c>
      <c r="AQ139" s="46" t="str">
        <f aca="false">IF($D139="Followup",'Survey Response'!$E137,"")</f>
        <v/>
      </c>
      <c r="AR139" s="46" t="str">
        <f aca="false">IF($D139="Followup",'Survey Response'!$G137,"")</f>
        <v/>
      </c>
      <c r="AS139" s="46" t="str">
        <f aca="false">IF($D139="Followup",'Survey Response'!$H137,"")</f>
        <v/>
      </c>
      <c r="AT139" s="46" t="str">
        <f aca="false">IF($D139="Followup",'Survey Response'!$M137,"")</f>
        <v/>
      </c>
      <c r="AU139" s="46" t="str">
        <f aca="false">IF($D139="Followup",'Survey Response'!$K137,"")</f>
        <v/>
      </c>
      <c r="AV139" s="46" t="str">
        <f aca="false">IF($D139="Followup",'Survey Response'!$L137,"")</f>
        <v/>
      </c>
      <c r="AW139" s="46" t="str">
        <f aca="false">IF($D139="Followup",IF(AND($P139&lt;&gt;"Yes",$U139&lt;&gt;"Yes"),"Not approved for primary or secondary skill","Approved, but skill(s) no longer have capacity (fully staffed)"),"")</f>
        <v/>
      </c>
    </row>
    <row r="140" customFormat="false" ht="15" hidden="false" customHeight="true" outlineLevel="0" collapsed="false">
      <c r="A140" s="46" t="str">
        <f aca="false">IF('Survey Response'!$D138="","",'Survey Response'!$A138&amp;"|"&amp;LOWER(TRIM('Survey Response'!$D138)))</f>
        <v/>
      </c>
      <c r="B140" s="46" t="str">
        <f aca="false">IF($H140="","",$F140&amp;"|"&amp;$H140)</f>
        <v/>
      </c>
      <c r="C140" s="46" t="str">
        <f aca="false">IF($H140="","",$A140=$B140)</f>
        <v/>
      </c>
      <c r="D140" s="46" t="str">
        <f aca="false">IF($H140="","",IF($E140&lt;&gt;"Yes","Superseded",IF($I140&lt;&gt;"Yes, I'm available for in-person interviews at Chennai","Not Available",IF($Z140&lt;&gt;"","Panel Details","Followup"))))</f>
        <v/>
      </c>
      <c r="E140" s="46" t="str">
        <f aca="false">IF($H140="","",IF(SUMPRODUCT(($H$4:$H$503=$H140)*(($G$4:$G$503&gt;$G140)+($G$4:$G$503=$G140)*($F$4:$F$503&gt;$F140)))=0,"Yes","No"))</f>
        <v/>
      </c>
      <c r="F140" s="47" t="str">
        <f aca="false">IF('Survey Response'!$D138="","",INT('Survey Response'!$A138))</f>
        <v/>
      </c>
      <c r="G140" s="46" t="str">
        <f aca="false">IF('Survey Response'!$D138="","",'Survey Response'!$C138)</f>
        <v/>
      </c>
      <c r="H140" s="46" t="str">
        <f aca="false">IF('Survey Response'!$D138="","",LOWER(TRIM('Survey Response'!$D138)))</f>
        <v/>
      </c>
      <c r="I140" s="46" t="str">
        <f aca="false">IF($H140="","",'Survey Response'!$I138)</f>
        <v/>
      </c>
      <c r="J140" s="46" t="str">
        <f aca="false">IF($H140="","",'Survey Response'!$K138)</f>
        <v/>
      </c>
      <c r="K140" s="46" t="str">
        <f aca="false">IF($J140="","",IF(COUNTIF('Skill Mapping'!$A$2:$A$7,TRIM($J140))=0,"",INDEX('Skill Mapping'!$B$2:$B$7,MATCH(TRIM($J140),'Skill Mapping'!$A$2:$A$7,0))))</f>
        <v/>
      </c>
      <c r="L140" s="46" t="str">
        <f aca="false">IF($H140="","",'Survey Response'!$L138)</f>
        <v/>
      </c>
      <c r="M140" s="46" t="str">
        <f aca="false">IF($L140="","",IF(COUNTIF('Skill Mapping'!$A$2:$A$7,TRIM($L140))=0,"",INDEX('Skill Mapping'!$B$2:$B$7,MATCH(TRIM($L140),'Skill Mapping'!$A$2:$A$7,0))))</f>
        <v/>
      </c>
      <c r="N140" s="46" t="str">
        <f aca="false">IF($H140="","",'Survey Response'!$M138)</f>
        <v/>
      </c>
      <c r="O140" s="46" t="str">
        <f aca="false">IF($H140="","",IF('Survey Response'!$M138="Manager","R2","R1"))</f>
        <v/>
      </c>
      <c r="P140" s="46" t="str">
        <f aca="false">IF($K140="","No",IF(COUNTIFS(MasterPanel!$B:$B,$H140,MasterPanel!$I:$I,$K140,MasterPanel!$K:$K,"Y")&gt;0,"Yes","No"))</f>
        <v>No</v>
      </c>
      <c r="Q140" s="46" t="n">
        <f aca="false">IF($K140="",0,IF(COUNTIF('Gap Sheet'!$A$6:$A$11,TRIM($J140))=0,0,IF($O140="R1",INDEX('Gap Sheet'!$C$6:$C$11,MATCH(TRIM($J140),'Gap Sheet'!$A$6:$A$11,0)),INDEX('Gap Sheet'!$G$6:$G$11,MATCH(TRIM($J140),'Gap Sheet'!$A$6:$A$11,0)))))</f>
        <v>0</v>
      </c>
      <c r="R140" s="46" t="str">
        <f aca="false">IF($K140="","",$K140&amp;"|"&amp;$O140)</f>
        <v/>
      </c>
      <c r="S140" s="46" t="n">
        <f aca="false">IF($R140="",0,COUNTIF($AA$4:$AA139,$R140))</f>
        <v>0</v>
      </c>
      <c r="T140" s="46" t="str">
        <f aca="false">IF(OR($I140&lt;&gt;"Yes, I'm available for in-person interviews at Chennai",$E140&lt;&gt;"Yes",$P140&lt;&gt;"Yes"),"No",IF(($Q140-$S140)&gt;0,"Yes","No"))</f>
        <v>No</v>
      </c>
      <c r="U140" s="46" t="str">
        <f aca="false">IF($M140="","No",IF(COUNTIFS(MasterPanel!$B:$B,$H140,MasterPanel!$I:$I,$M140,MasterPanel!$K:$K,"Y")&gt;0,"Yes","No"))</f>
        <v>No</v>
      </c>
      <c r="V140" s="46" t="n">
        <f aca="false">IF($M140="",0,IF(COUNTIF('Gap Sheet'!$A$6:$A$11,TRIM($L140))=0,0,IF($O140="R1",INDEX('Gap Sheet'!$C$6:$C$11,MATCH(TRIM($L140),'Gap Sheet'!$A$6:$A$11,0)),INDEX('Gap Sheet'!$G$6:$G$11,MATCH(TRIM($L140),'Gap Sheet'!$A$6:$A$11,0)))))</f>
        <v>0</v>
      </c>
      <c r="W140" s="46" t="str">
        <f aca="false">IF($M140="","",$M140&amp;"|"&amp;$O140)</f>
        <v/>
      </c>
      <c r="X140" s="46" t="n">
        <f aca="false">IF($W140="",0,COUNTIF($AA$4:$AA139,$W140))</f>
        <v>0</v>
      </c>
      <c r="Y140" s="46" t="str">
        <f aca="false">IF(OR($I140&lt;&gt;"Yes, I'm available for in-person interviews at Chennai",$E140&lt;&gt;"Yes",$T140="Yes",$U140&lt;&gt;"Yes"),"No",IF(($V140-$X140)&gt;0,"Yes","No"))</f>
        <v>No</v>
      </c>
      <c r="Z140" s="46" t="str">
        <f aca="false">IF($T140="Yes","Primary",IF($Y140="Yes","Secondary",""))</f>
        <v/>
      </c>
      <c r="AA140" s="46" t="str">
        <f aca="false">IF($Z140="Primary",$R140,IF($Z140="Secondary",$W140,""))</f>
        <v/>
      </c>
      <c r="AB140" s="46" t="str">
        <f aca="false">IF($Z140="Primary","Matched on primary skill",IF($Z140="Secondary","Matched on secondary skill (primary not approved or not required)",""))</f>
        <v/>
      </c>
      <c r="AC140" s="47" t="str">
        <f aca="false">IF($D140="Panel Details",$F140,"")</f>
        <v/>
      </c>
      <c r="AD140" s="46" t="str">
        <f aca="false">IF($D140="Panel Details",'Survey Response'!$D138,"")</f>
        <v/>
      </c>
      <c r="AE140" s="46" t="str">
        <f aca="false">IF($D140="Panel Details",'Survey Response'!$E138,"")</f>
        <v/>
      </c>
      <c r="AF140" s="46" t="str">
        <f aca="false">IF($D140="Panel Details",'Survey Response'!$G138,"")</f>
        <v/>
      </c>
      <c r="AG140" s="46" t="str">
        <f aca="false">IF($D140="Panel Details",IF($Z140="Primary",$J140,$L140),"")</f>
        <v/>
      </c>
      <c r="AH140" s="46" t="str">
        <f aca="false">IF($D140="Panel Details",IF($Z140="Primary",$L140,$J140),"")</f>
        <v/>
      </c>
      <c r="AI140" s="46" t="str">
        <f aca="false">IF($D140="Panel Details",'Survey Response'!$H138,"")</f>
        <v/>
      </c>
      <c r="AJ140" s="46" t="str">
        <f aca="false">IF($D140="Panel Details",'Survey Response'!$M138,"")</f>
        <v/>
      </c>
      <c r="AK140" s="46" t="str">
        <f aca="false">IF($D140="Panel Details",$O140,"")</f>
        <v/>
      </c>
      <c r="AL140" s="46" t="str">
        <f aca="false">IF($D140="Panel Details",8,"")</f>
        <v/>
      </c>
      <c r="AM140" s="46" t="str">
        <f aca="false">IF($D140="Panel Details",$AB140,"")</f>
        <v/>
      </c>
      <c r="AN140" s="46" t="str">
        <f aca="false">IF($D140="Panel Details","Yes","")</f>
        <v/>
      </c>
      <c r="AO140" s="46"/>
      <c r="AP140" s="46" t="str">
        <f aca="false">IF($D140="Followup",'Survey Response'!$D138,"")</f>
        <v/>
      </c>
      <c r="AQ140" s="46" t="str">
        <f aca="false">IF($D140="Followup",'Survey Response'!$E138,"")</f>
        <v/>
      </c>
      <c r="AR140" s="46" t="str">
        <f aca="false">IF($D140="Followup",'Survey Response'!$G138,"")</f>
        <v/>
      </c>
      <c r="AS140" s="46" t="str">
        <f aca="false">IF($D140="Followup",'Survey Response'!$H138,"")</f>
        <v/>
      </c>
      <c r="AT140" s="46" t="str">
        <f aca="false">IF($D140="Followup",'Survey Response'!$M138,"")</f>
        <v/>
      </c>
      <c r="AU140" s="46" t="str">
        <f aca="false">IF($D140="Followup",'Survey Response'!$K138,"")</f>
        <v/>
      </c>
      <c r="AV140" s="46" t="str">
        <f aca="false">IF($D140="Followup",'Survey Response'!$L138,"")</f>
        <v/>
      </c>
      <c r="AW140" s="46" t="str">
        <f aca="false">IF($D140="Followup",IF(AND($P140&lt;&gt;"Yes",$U140&lt;&gt;"Yes"),"Not approved for primary or secondary skill","Approved, but skill(s) no longer have capacity (fully staffed)"),"")</f>
        <v/>
      </c>
    </row>
    <row r="141" customFormat="false" ht="15" hidden="false" customHeight="true" outlineLevel="0" collapsed="false">
      <c r="A141" s="46" t="str">
        <f aca="false">IF('Survey Response'!$D139="","",'Survey Response'!$A139&amp;"|"&amp;LOWER(TRIM('Survey Response'!$D139)))</f>
        <v/>
      </c>
      <c r="B141" s="46" t="str">
        <f aca="false">IF($H141="","",$F141&amp;"|"&amp;$H141)</f>
        <v/>
      </c>
      <c r="C141" s="46" t="str">
        <f aca="false">IF($H141="","",$A141=$B141)</f>
        <v/>
      </c>
      <c r="D141" s="46" t="str">
        <f aca="false">IF($H141="","",IF($E141&lt;&gt;"Yes","Superseded",IF($I141&lt;&gt;"Yes, I'm available for in-person interviews at Chennai","Not Available",IF($Z141&lt;&gt;"","Panel Details","Followup"))))</f>
        <v/>
      </c>
      <c r="E141" s="46" t="str">
        <f aca="false">IF($H141="","",IF(SUMPRODUCT(($H$4:$H$503=$H141)*(($G$4:$G$503&gt;$G141)+($G$4:$G$503=$G141)*($F$4:$F$503&gt;$F141)))=0,"Yes","No"))</f>
        <v/>
      </c>
      <c r="F141" s="47" t="str">
        <f aca="false">IF('Survey Response'!$D139="","",INT('Survey Response'!$A139))</f>
        <v/>
      </c>
      <c r="G141" s="46" t="str">
        <f aca="false">IF('Survey Response'!$D139="","",'Survey Response'!$C139)</f>
        <v/>
      </c>
      <c r="H141" s="46" t="str">
        <f aca="false">IF('Survey Response'!$D139="","",LOWER(TRIM('Survey Response'!$D139)))</f>
        <v/>
      </c>
      <c r="I141" s="46" t="str">
        <f aca="false">IF($H141="","",'Survey Response'!$I139)</f>
        <v/>
      </c>
      <c r="J141" s="46" t="str">
        <f aca="false">IF($H141="","",'Survey Response'!$K139)</f>
        <v/>
      </c>
      <c r="K141" s="46" t="str">
        <f aca="false">IF($J141="","",IF(COUNTIF('Skill Mapping'!$A$2:$A$7,TRIM($J141))=0,"",INDEX('Skill Mapping'!$B$2:$B$7,MATCH(TRIM($J141),'Skill Mapping'!$A$2:$A$7,0))))</f>
        <v/>
      </c>
      <c r="L141" s="46" t="str">
        <f aca="false">IF($H141="","",'Survey Response'!$L139)</f>
        <v/>
      </c>
      <c r="M141" s="46" t="str">
        <f aca="false">IF($L141="","",IF(COUNTIF('Skill Mapping'!$A$2:$A$7,TRIM($L141))=0,"",INDEX('Skill Mapping'!$B$2:$B$7,MATCH(TRIM($L141),'Skill Mapping'!$A$2:$A$7,0))))</f>
        <v/>
      </c>
      <c r="N141" s="46" t="str">
        <f aca="false">IF($H141="","",'Survey Response'!$M139)</f>
        <v/>
      </c>
      <c r="O141" s="46" t="str">
        <f aca="false">IF($H141="","",IF('Survey Response'!$M139="Manager","R2","R1"))</f>
        <v/>
      </c>
      <c r="P141" s="46" t="str">
        <f aca="false">IF($K141="","No",IF(COUNTIFS(MasterPanel!$B:$B,$H141,MasterPanel!$I:$I,$K141,MasterPanel!$K:$K,"Y")&gt;0,"Yes","No"))</f>
        <v>No</v>
      </c>
      <c r="Q141" s="46" t="n">
        <f aca="false">IF($K141="",0,IF(COUNTIF('Gap Sheet'!$A$6:$A$11,TRIM($J141))=0,0,IF($O141="R1",INDEX('Gap Sheet'!$C$6:$C$11,MATCH(TRIM($J141),'Gap Sheet'!$A$6:$A$11,0)),INDEX('Gap Sheet'!$G$6:$G$11,MATCH(TRIM($J141),'Gap Sheet'!$A$6:$A$11,0)))))</f>
        <v>0</v>
      </c>
      <c r="R141" s="46" t="str">
        <f aca="false">IF($K141="","",$K141&amp;"|"&amp;$O141)</f>
        <v/>
      </c>
      <c r="S141" s="46" t="n">
        <f aca="false">IF($R141="",0,COUNTIF($AA$4:$AA140,$R141))</f>
        <v>0</v>
      </c>
      <c r="T141" s="46" t="str">
        <f aca="false">IF(OR($I141&lt;&gt;"Yes, I'm available for in-person interviews at Chennai",$E141&lt;&gt;"Yes",$P141&lt;&gt;"Yes"),"No",IF(($Q141-$S141)&gt;0,"Yes","No"))</f>
        <v>No</v>
      </c>
      <c r="U141" s="46" t="str">
        <f aca="false">IF($M141="","No",IF(COUNTIFS(MasterPanel!$B:$B,$H141,MasterPanel!$I:$I,$M141,MasterPanel!$K:$K,"Y")&gt;0,"Yes","No"))</f>
        <v>No</v>
      </c>
      <c r="V141" s="46" t="n">
        <f aca="false">IF($M141="",0,IF(COUNTIF('Gap Sheet'!$A$6:$A$11,TRIM($L141))=0,0,IF($O141="R1",INDEX('Gap Sheet'!$C$6:$C$11,MATCH(TRIM($L141),'Gap Sheet'!$A$6:$A$11,0)),INDEX('Gap Sheet'!$G$6:$G$11,MATCH(TRIM($L141),'Gap Sheet'!$A$6:$A$11,0)))))</f>
        <v>0</v>
      </c>
      <c r="W141" s="46" t="str">
        <f aca="false">IF($M141="","",$M141&amp;"|"&amp;$O141)</f>
        <v/>
      </c>
      <c r="X141" s="46" t="n">
        <f aca="false">IF($W141="",0,COUNTIF($AA$4:$AA140,$W141))</f>
        <v>0</v>
      </c>
      <c r="Y141" s="46" t="str">
        <f aca="false">IF(OR($I141&lt;&gt;"Yes, I'm available for in-person interviews at Chennai",$E141&lt;&gt;"Yes",$T141="Yes",$U141&lt;&gt;"Yes"),"No",IF(($V141-$X141)&gt;0,"Yes","No"))</f>
        <v>No</v>
      </c>
      <c r="Z141" s="46" t="str">
        <f aca="false">IF($T141="Yes","Primary",IF($Y141="Yes","Secondary",""))</f>
        <v/>
      </c>
      <c r="AA141" s="46" t="str">
        <f aca="false">IF($Z141="Primary",$R141,IF($Z141="Secondary",$W141,""))</f>
        <v/>
      </c>
      <c r="AB141" s="46" t="str">
        <f aca="false">IF($Z141="Primary","Matched on primary skill",IF($Z141="Secondary","Matched on secondary skill (primary not approved or not required)",""))</f>
        <v/>
      </c>
      <c r="AC141" s="47" t="str">
        <f aca="false">IF($D141="Panel Details",$F141,"")</f>
        <v/>
      </c>
      <c r="AD141" s="46" t="str">
        <f aca="false">IF($D141="Panel Details",'Survey Response'!$D139,"")</f>
        <v/>
      </c>
      <c r="AE141" s="46" t="str">
        <f aca="false">IF($D141="Panel Details",'Survey Response'!$E139,"")</f>
        <v/>
      </c>
      <c r="AF141" s="46" t="str">
        <f aca="false">IF($D141="Panel Details",'Survey Response'!$G139,"")</f>
        <v/>
      </c>
      <c r="AG141" s="46" t="str">
        <f aca="false">IF($D141="Panel Details",IF($Z141="Primary",$J141,$L141),"")</f>
        <v/>
      </c>
      <c r="AH141" s="46" t="str">
        <f aca="false">IF($D141="Panel Details",IF($Z141="Primary",$L141,$J141),"")</f>
        <v/>
      </c>
      <c r="AI141" s="46" t="str">
        <f aca="false">IF($D141="Panel Details",'Survey Response'!$H139,"")</f>
        <v/>
      </c>
      <c r="AJ141" s="46" t="str">
        <f aca="false">IF($D141="Panel Details",'Survey Response'!$M139,"")</f>
        <v/>
      </c>
      <c r="AK141" s="46" t="str">
        <f aca="false">IF($D141="Panel Details",$O141,"")</f>
        <v/>
      </c>
      <c r="AL141" s="46" t="str">
        <f aca="false">IF($D141="Panel Details",8,"")</f>
        <v/>
      </c>
      <c r="AM141" s="46" t="str">
        <f aca="false">IF($D141="Panel Details",$AB141,"")</f>
        <v/>
      </c>
      <c r="AN141" s="46" t="str">
        <f aca="false">IF($D141="Panel Details","Yes","")</f>
        <v/>
      </c>
      <c r="AO141" s="46"/>
      <c r="AP141" s="46" t="str">
        <f aca="false">IF($D141="Followup",'Survey Response'!$D139,"")</f>
        <v/>
      </c>
      <c r="AQ141" s="46" t="str">
        <f aca="false">IF($D141="Followup",'Survey Response'!$E139,"")</f>
        <v/>
      </c>
      <c r="AR141" s="46" t="str">
        <f aca="false">IF($D141="Followup",'Survey Response'!$G139,"")</f>
        <v/>
      </c>
      <c r="AS141" s="46" t="str">
        <f aca="false">IF($D141="Followup",'Survey Response'!$H139,"")</f>
        <v/>
      </c>
      <c r="AT141" s="46" t="str">
        <f aca="false">IF($D141="Followup",'Survey Response'!$M139,"")</f>
        <v/>
      </c>
      <c r="AU141" s="46" t="str">
        <f aca="false">IF($D141="Followup",'Survey Response'!$K139,"")</f>
        <v/>
      </c>
      <c r="AV141" s="46" t="str">
        <f aca="false">IF($D141="Followup",'Survey Response'!$L139,"")</f>
        <v/>
      </c>
      <c r="AW141" s="46" t="str">
        <f aca="false">IF($D141="Followup",IF(AND($P141&lt;&gt;"Yes",$U141&lt;&gt;"Yes"),"Not approved for primary or secondary skill","Approved, but skill(s) no longer have capacity (fully staffed)"),"")</f>
        <v/>
      </c>
    </row>
    <row r="142" customFormat="false" ht="15" hidden="false" customHeight="true" outlineLevel="0" collapsed="false">
      <c r="A142" s="46" t="str">
        <f aca="false">IF('Survey Response'!$D140="","",'Survey Response'!$A140&amp;"|"&amp;LOWER(TRIM('Survey Response'!$D140)))</f>
        <v/>
      </c>
      <c r="B142" s="46" t="str">
        <f aca="false">IF($H142="","",$F142&amp;"|"&amp;$H142)</f>
        <v/>
      </c>
      <c r="C142" s="46" t="str">
        <f aca="false">IF($H142="","",$A142=$B142)</f>
        <v/>
      </c>
      <c r="D142" s="46" t="str">
        <f aca="false">IF($H142="","",IF($E142&lt;&gt;"Yes","Superseded",IF($I142&lt;&gt;"Yes, I'm available for in-person interviews at Chennai","Not Available",IF($Z142&lt;&gt;"","Panel Details","Followup"))))</f>
        <v/>
      </c>
      <c r="E142" s="46" t="str">
        <f aca="false">IF($H142="","",IF(SUMPRODUCT(($H$4:$H$503=$H142)*(($G$4:$G$503&gt;$G142)+($G$4:$G$503=$G142)*($F$4:$F$503&gt;$F142)))=0,"Yes","No"))</f>
        <v/>
      </c>
      <c r="F142" s="47" t="str">
        <f aca="false">IF('Survey Response'!$D140="","",INT('Survey Response'!$A140))</f>
        <v/>
      </c>
      <c r="G142" s="46" t="str">
        <f aca="false">IF('Survey Response'!$D140="","",'Survey Response'!$C140)</f>
        <v/>
      </c>
      <c r="H142" s="46" t="str">
        <f aca="false">IF('Survey Response'!$D140="","",LOWER(TRIM('Survey Response'!$D140)))</f>
        <v/>
      </c>
      <c r="I142" s="46" t="str">
        <f aca="false">IF($H142="","",'Survey Response'!$I140)</f>
        <v/>
      </c>
      <c r="J142" s="46" t="str">
        <f aca="false">IF($H142="","",'Survey Response'!$K140)</f>
        <v/>
      </c>
      <c r="K142" s="46" t="str">
        <f aca="false">IF($J142="","",IF(COUNTIF('Skill Mapping'!$A$2:$A$7,TRIM($J142))=0,"",INDEX('Skill Mapping'!$B$2:$B$7,MATCH(TRIM($J142),'Skill Mapping'!$A$2:$A$7,0))))</f>
        <v/>
      </c>
      <c r="L142" s="46" t="str">
        <f aca="false">IF($H142="","",'Survey Response'!$L140)</f>
        <v/>
      </c>
      <c r="M142" s="46" t="str">
        <f aca="false">IF($L142="","",IF(COUNTIF('Skill Mapping'!$A$2:$A$7,TRIM($L142))=0,"",INDEX('Skill Mapping'!$B$2:$B$7,MATCH(TRIM($L142),'Skill Mapping'!$A$2:$A$7,0))))</f>
        <v/>
      </c>
      <c r="N142" s="46" t="str">
        <f aca="false">IF($H142="","",'Survey Response'!$M140)</f>
        <v/>
      </c>
      <c r="O142" s="46" t="str">
        <f aca="false">IF($H142="","",IF('Survey Response'!$M140="Manager","R2","R1"))</f>
        <v/>
      </c>
      <c r="P142" s="46" t="str">
        <f aca="false">IF($K142="","No",IF(COUNTIFS(MasterPanel!$B:$B,$H142,MasterPanel!$I:$I,$K142,MasterPanel!$K:$K,"Y")&gt;0,"Yes","No"))</f>
        <v>No</v>
      </c>
      <c r="Q142" s="46" t="n">
        <f aca="false">IF($K142="",0,IF(COUNTIF('Gap Sheet'!$A$6:$A$11,TRIM($J142))=0,0,IF($O142="R1",INDEX('Gap Sheet'!$C$6:$C$11,MATCH(TRIM($J142),'Gap Sheet'!$A$6:$A$11,0)),INDEX('Gap Sheet'!$G$6:$G$11,MATCH(TRIM($J142),'Gap Sheet'!$A$6:$A$11,0)))))</f>
        <v>0</v>
      </c>
      <c r="R142" s="46" t="str">
        <f aca="false">IF($K142="","",$K142&amp;"|"&amp;$O142)</f>
        <v/>
      </c>
      <c r="S142" s="46" t="n">
        <f aca="false">IF($R142="",0,COUNTIF($AA$4:$AA141,$R142))</f>
        <v>0</v>
      </c>
      <c r="T142" s="46" t="str">
        <f aca="false">IF(OR($I142&lt;&gt;"Yes, I'm available for in-person interviews at Chennai",$E142&lt;&gt;"Yes",$P142&lt;&gt;"Yes"),"No",IF(($Q142-$S142)&gt;0,"Yes","No"))</f>
        <v>No</v>
      </c>
      <c r="U142" s="46" t="str">
        <f aca="false">IF($M142="","No",IF(COUNTIFS(MasterPanel!$B:$B,$H142,MasterPanel!$I:$I,$M142,MasterPanel!$K:$K,"Y")&gt;0,"Yes","No"))</f>
        <v>No</v>
      </c>
      <c r="V142" s="46" t="n">
        <f aca="false">IF($M142="",0,IF(COUNTIF('Gap Sheet'!$A$6:$A$11,TRIM($L142))=0,0,IF($O142="R1",INDEX('Gap Sheet'!$C$6:$C$11,MATCH(TRIM($L142),'Gap Sheet'!$A$6:$A$11,0)),INDEX('Gap Sheet'!$G$6:$G$11,MATCH(TRIM($L142),'Gap Sheet'!$A$6:$A$11,0)))))</f>
        <v>0</v>
      </c>
      <c r="W142" s="46" t="str">
        <f aca="false">IF($M142="","",$M142&amp;"|"&amp;$O142)</f>
        <v/>
      </c>
      <c r="X142" s="46" t="n">
        <f aca="false">IF($W142="",0,COUNTIF($AA$4:$AA141,$W142))</f>
        <v>0</v>
      </c>
      <c r="Y142" s="46" t="str">
        <f aca="false">IF(OR($I142&lt;&gt;"Yes, I'm available for in-person interviews at Chennai",$E142&lt;&gt;"Yes",$T142="Yes",$U142&lt;&gt;"Yes"),"No",IF(($V142-$X142)&gt;0,"Yes","No"))</f>
        <v>No</v>
      </c>
      <c r="Z142" s="46" t="str">
        <f aca="false">IF($T142="Yes","Primary",IF($Y142="Yes","Secondary",""))</f>
        <v/>
      </c>
      <c r="AA142" s="46" t="str">
        <f aca="false">IF($Z142="Primary",$R142,IF($Z142="Secondary",$W142,""))</f>
        <v/>
      </c>
      <c r="AB142" s="46" t="str">
        <f aca="false">IF($Z142="Primary","Matched on primary skill",IF($Z142="Secondary","Matched on secondary skill (primary not approved or not required)",""))</f>
        <v/>
      </c>
      <c r="AC142" s="47" t="str">
        <f aca="false">IF($D142="Panel Details",$F142,"")</f>
        <v/>
      </c>
      <c r="AD142" s="46" t="str">
        <f aca="false">IF($D142="Panel Details",'Survey Response'!$D140,"")</f>
        <v/>
      </c>
      <c r="AE142" s="46" t="str">
        <f aca="false">IF($D142="Panel Details",'Survey Response'!$E140,"")</f>
        <v/>
      </c>
      <c r="AF142" s="46" t="str">
        <f aca="false">IF($D142="Panel Details",'Survey Response'!$G140,"")</f>
        <v/>
      </c>
      <c r="AG142" s="46" t="str">
        <f aca="false">IF($D142="Panel Details",IF($Z142="Primary",$J142,$L142),"")</f>
        <v/>
      </c>
      <c r="AH142" s="46" t="str">
        <f aca="false">IF($D142="Panel Details",IF($Z142="Primary",$L142,$J142),"")</f>
        <v/>
      </c>
      <c r="AI142" s="46" t="str">
        <f aca="false">IF($D142="Panel Details",'Survey Response'!$H140,"")</f>
        <v/>
      </c>
      <c r="AJ142" s="46" t="str">
        <f aca="false">IF($D142="Panel Details",'Survey Response'!$M140,"")</f>
        <v/>
      </c>
      <c r="AK142" s="46" t="str">
        <f aca="false">IF($D142="Panel Details",$O142,"")</f>
        <v/>
      </c>
      <c r="AL142" s="46" t="str">
        <f aca="false">IF($D142="Panel Details",8,"")</f>
        <v/>
      </c>
      <c r="AM142" s="46" t="str">
        <f aca="false">IF($D142="Panel Details",$AB142,"")</f>
        <v/>
      </c>
      <c r="AN142" s="46" t="str">
        <f aca="false">IF($D142="Panel Details","Yes","")</f>
        <v/>
      </c>
      <c r="AO142" s="46"/>
      <c r="AP142" s="46" t="str">
        <f aca="false">IF($D142="Followup",'Survey Response'!$D140,"")</f>
        <v/>
      </c>
      <c r="AQ142" s="46" t="str">
        <f aca="false">IF($D142="Followup",'Survey Response'!$E140,"")</f>
        <v/>
      </c>
      <c r="AR142" s="46" t="str">
        <f aca="false">IF($D142="Followup",'Survey Response'!$G140,"")</f>
        <v/>
      </c>
      <c r="AS142" s="46" t="str">
        <f aca="false">IF($D142="Followup",'Survey Response'!$H140,"")</f>
        <v/>
      </c>
      <c r="AT142" s="46" t="str">
        <f aca="false">IF($D142="Followup",'Survey Response'!$M140,"")</f>
        <v/>
      </c>
      <c r="AU142" s="46" t="str">
        <f aca="false">IF($D142="Followup",'Survey Response'!$K140,"")</f>
        <v/>
      </c>
      <c r="AV142" s="46" t="str">
        <f aca="false">IF($D142="Followup",'Survey Response'!$L140,"")</f>
        <v/>
      </c>
      <c r="AW142" s="46" t="str">
        <f aca="false">IF($D142="Followup",IF(AND($P142&lt;&gt;"Yes",$U142&lt;&gt;"Yes"),"Not approved for primary or secondary skill","Approved, but skill(s) no longer have capacity (fully staffed)"),"")</f>
        <v/>
      </c>
    </row>
    <row r="143" customFormat="false" ht="15" hidden="false" customHeight="true" outlineLevel="0" collapsed="false">
      <c r="A143" s="46" t="str">
        <f aca="false">IF('Survey Response'!$D141="","",'Survey Response'!$A141&amp;"|"&amp;LOWER(TRIM('Survey Response'!$D141)))</f>
        <v/>
      </c>
      <c r="B143" s="46" t="str">
        <f aca="false">IF($H143="","",$F143&amp;"|"&amp;$H143)</f>
        <v/>
      </c>
      <c r="C143" s="46" t="str">
        <f aca="false">IF($H143="","",$A143=$B143)</f>
        <v/>
      </c>
      <c r="D143" s="46" t="str">
        <f aca="false">IF($H143="","",IF($E143&lt;&gt;"Yes","Superseded",IF($I143&lt;&gt;"Yes, I'm available for in-person interviews at Chennai","Not Available",IF($Z143&lt;&gt;"","Panel Details","Followup"))))</f>
        <v/>
      </c>
      <c r="E143" s="46" t="str">
        <f aca="false">IF($H143="","",IF(SUMPRODUCT(($H$4:$H$503=$H143)*(($G$4:$G$503&gt;$G143)+($G$4:$G$503=$G143)*($F$4:$F$503&gt;$F143)))=0,"Yes","No"))</f>
        <v/>
      </c>
      <c r="F143" s="47" t="str">
        <f aca="false">IF('Survey Response'!$D141="","",INT('Survey Response'!$A141))</f>
        <v/>
      </c>
      <c r="G143" s="46" t="str">
        <f aca="false">IF('Survey Response'!$D141="","",'Survey Response'!$C141)</f>
        <v/>
      </c>
      <c r="H143" s="46" t="str">
        <f aca="false">IF('Survey Response'!$D141="","",LOWER(TRIM('Survey Response'!$D141)))</f>
        <v/>
      </c>
      <c r="I143" s="46" t="str">
        <f aca="false">IF($H143="","",'Survey Response'!$I141)</f>
        <v/>
      </c>
      <c r="J143" s="46" t="str">
        <f aca="false">IF($H143="","",'Survey Response'!$K141)</f>
        <v/>
      </c>
      <c r="K143" s="46" t="str">
        <f aca="false">IF($J143="","",IF(COUNTIF('Skill Mapping'!$A$2:$A$7,TRIM($J143))=0,"",INDEX('Skill Mapping'!$B$2:$B$7,MATCH(TRIM($J143),'Skill Mapping'!$A$2:$A$7,0))))</f>
        <v/>
      </c>
      <c r="L143" s="46" t="str">
        <f aca="false">IF($H143="","",'Survey Response'!$L141)</f>
        <v/>
      </c>
      <c r="M143" s="46" t="str">
        <f aca="false">IF($L143="","",IF(COUNTIF('Skill Mapping'!$A$2:$A$7,TRIM($L143))=0,"",INDEX('Skill Mapping'!$B$2:$B$7,MATCH(TRIM($L143),'Skill Mapping'!$A$2:$A$7,0))))</f>
        <v/>
      </c>
      <c r="N143" s="46" t="str">
        <f aca="false">IF($H143="","",'Survey Response'!$M141)</f>
        <v/>
      </c>
      <c r="O143" s="46" t="str">
        <f aca="false">IF($H143="","",IF('Survey Response'!$M141="Manager","R2","R1"))</f>
        <v/>
      </c>
      <c r="P143" s="46" t="str">
        <f aca="false">IF($K143="","No",IF(COUNTIFS(MasterPanel!$B:$B,$H143,MasterPanel!$I:$I,$K143,MasterPanel!$K:$K,"Y")&gt;0,"Yes","No"))</f>
        <v>No</v>
      </c>
      <c r="Q143" s="46" t="n">
        <f aca="false">IF($K143="",0,IF(COUNTIF('Gap Sheet'!$A$6:$A$11,TRIM($J143))=0,0,IF($O143="R1",INDEX('Gap Sheet'!$C$6:$C$11,MATCH(TRIM($J143),'Gap Sheet'!$A$6:$A$11,0)),INDEX('Gap Sheet'!$G$6:$G$11,MATCH(TRIM($J143),'Gap Sheet'!$A$6:$A$11,0)))))</f>
        <v>0</v>
      </c>
      <c r="R143" s="46" t="str">
        <f aca="false">IF($K143="","",$K143&amp;"|"&amp;$O143)</f>
        <v/>
      </c>
      <c r="S143" s="46" t="n">
        <f aca="false">IF($R143="",0,COUNTIF($AA$4:$AA142,$R143))</f>
        <v>0</v>
      </c>
      <c r="T143" s="46" t="str">
        <f aca="false">IF(OR($I143&lt;&gt;"Yes, I'm available for in-person interviews at Chennai",$E143&lt;&gt;"Yes",$P143&lt;&gt;"Yes"),"No",IF(($Q143-$S143)&gt;0,"Yes","No"))</f>
        <v>No</v>
      </c>
      <c r="U143" s="46" t="str">
        <f aca="false">IF($M143="","No",IF(COUNTIFS(MasterPanel!$B:$B,$H143,MasterPanel!$I:$I,$M143,MasterPanel!$K:$K,"Y")&gt;0,"Yes","No"))</f>
        <v>No</v>
      </c>
      <c r="V143" s="46" t="n">
        <f aca="false">IF($M143="",0,IF(COUNTIF('Gap Sheet'!$A$6:$A$11,TRIM($L143))=0,0,IF($O143="R1",INDEX('Gap Sheet'!$C$6:$C$11,MATCH(TRIM($L143),'Gap Sheet'!$A$6:$A$11,0)),INDEX('Gap Sheet'!$G$6:$G$11,MATCH(TRIM($L143),'Gap Sheet'!$A$6:$A$11,0)))))</f>
        <v>0</v>
      </c>
      <c r="W143" s="46" t="str">
        <f aca="false">IF($M143="","",$M143&amp;"|"&amp;$O143)</f>
        <v/>
      </c>
      <c r="X143" s="46" t="n">
        <f aca="false">IF($W143="",0,COUNTIF($AA$4:$AA142,$W143))</f>
        <v>0</v>
      </c>
      <c r="Y143" s="46" t="str">
        <f aca="false">IF(OR($I143&lt;&gt;"Yes, I'm available for in-person interviews at Chennai",$E143&lt;&gt;"Yes",$T143="Yes",$U143&lt;&gt;"Yes"),"No",IF(($V143-$X143)&gt;0,"Yes","No"))</f>
        <v>No</v>
      </c>
      <c r="Z143" s="46" t="str">
        <f aca="false">IF($T143="Yes","Primary",IF($Y143="Yes","Secondary",""))</f>
        <v/>
      </c>
      <c r="AA143" s="46" t="str">
        <f aca="false">IF($Z143="Primary",$R143,IF($Z143="Secondary",$W143,""))</f>
        <v/>
      </c>
      <c r="AB143" s="46" t="str">
        <f aca="false">IF($Z143="Primary","Matched on primary skill",IF($Z143="Secondary","Matched on secondary skill (primary not approved or not required)",""))</f>
        <v/>
      </c>
      <c r="AC143" s="47" t="str">
        <f aca="false">IF($D143="Panel Details",$F143,"")</f>
        <v/>
      </c>
      <c r="AD143" s="46" t="str">
        <f aca="false">IF($D143="Panel Details",'Survey Response'!$D141,"")</f>
        <v/>
      </c>
      <c r="AE143" s="46" t="str">
        <f aca="false">IF($D143="Panel Details",'Survey Response'!$E141,"")</f>
        <v/>
      </c>
      <c r="AF143" s="46" t="str">
        <f aca="false">IF($D143="Panel Details",'Survey Response'!$G141,"")</f>
        <v/>
      </c>
      <c r="AG143" s="46" t="str">
        <f aca="false">IF($D143="Panel Details",IF($Z143="Primary",$J143,$L143),"")</f>
        <v/>
      </c>
      <c r="AH143" s="46" t="str">
        <f aca="false">IF($D143="Panel Details",IF($Z143="Primary",$L143,$J143),"")</f>
        <v/>
      </c>
      <c r="AI143" s="46" t="str">
        <f aca="false">IF($D143="Panel Details",'Survey Response'!$H141,"")</f>
        <v/>
      </c>
      <c r="AJ143" s="46" t="str">
        <f aca="false">IF($D143="Panel Details",'Survey Response'!$M141,"")</f>
        <v/>
      </c>
      <c r="AK143" s="46" t="str">
        <f aca="false">IF($D143="Panel Details",$O143,"")</f>
        <v/>
      </c>
      <c r="AL143" s="46" t="str">
        <f aca="false">IF($D143="Panel Details",8,"")</f>
        <v/>
      </c>
      <c r="AM143" s="46" t="str">
        <f aca="false">IF($D143="Panel Details",$AB143,"")</f>
        <v/>
      </c>
      <c r="AN143" s="46" t="str">
        <f aca="false">IF($D143="Panel Details","Yes","")</f>
        <v/>
      </c>
      <c r="AO143" s="46"/>
      <c r="AP143" s="46" t="str">
        <f aca="false">IF($D143="Followup",'Survey Response'!$D141,"")</f>
        <v/>
      </c>
      <c r="AQ143" s="46" t="str">
        <f aca="false">IF($D143="Followup",'Survey Response'!$E141,"")</f>
        <v/>
      </c>
      <c r="AR143" s="46" t="str">
        <f aca="false">IF($D143="Followup",'Survey Response'!$G141,"")</f>
        <v/>
      </c>
      <c r="AS143" s="46" t="str">
        <f aca="false">IF($D143="Followup",'Survey Response'!$H141,"")</f>
        <v/>
      </c>
      <c r="AT143" s="46" t="str">
        <f aca="false">IF($D143="Followup",'Survey Response'!$M141,"")</f>
        <v/>
      </c>
      <c r="AU143" s="46" t="str">
        <f aca="false">IF($D143="Followup",'Survey Response'!$K141,"")</f>
        <v/>
      </c>
      <c r="AV143" s="46" t="str">
        <f aca="false">IF($D143="Followup",'Survey Response'!$L141,"")</f>
        <v/>
      </c>
      <c r="AW143" s="46" t="str">
        <f aca="false">IF($D143="Followup",IF(AND($P143&lt;&gt;"Yes",$U143&lt;&gt;"Yes"),"Not approved for primary or secondary skill","Approved, but skill(s) no longer have capacity (fully staffed)"),"")</f>
        <v/>
      </c>
    </row>
    <row r="144" customFormat="false" ht="15" hidden="false" customHeight="true" outlineLevel="0" collapsed="false">
      <c r="A144" s="46" t="str">
        <f aca="false">IF('Survey Response'!$D142="","",'Survey Response'!$A142&amp;"|"&amp;LOWER(TRIM('Survey Response'!$D142)))</f>
        <v/>
      </c>
      <c r="B144" s="46" t="str">
        <f aca="false">IF($H144="","",$F144&amp;"|"&amp;$H144)</f>
        <v/>
      </c>
      <c r="C144" s="46" t="str">
        <f aca="false">IF($H144="","",$A144=$B144)</f>
        <v/>
      </c>
      <c r="D144" s="46" t="str">
        <f aca="false">IF($H144="","",IF($E144&lt;&gt;"Yes","Superseded",IF($I144&lt;&gt;"Yes, I'm available for in-person interviews at Chennai","Not Available",IF($Z144&lt;&gt;"","Panel Details","Followup"))))</f>
        <v/>
      </c>
      <c r="E144" s="46" t="str">
        <f aca="false">IF($H144="","",IF(SUMPRODUCT(($H$4:$H$503=$H144)*(($G$4:$G$503&gt;$G144)+($G$4:$G$503=$G144)*($F$4:$F$503&gt;$F144)))=0,"Yes","No"))</f>
        <v/>
      </c>
      <c r="F144" s="47" t="str">
        <f aca="false">IF('Survey Response'!$D142="","",INT('Survey Response'!$A142))</f>
        <v/>
      </c>
      <c r="G144" s="46" t="str">
        <f aca="false">IF('Survey Response'!$D142="","",'Survey Response'!$C142)</f>
        <v/>
      </c>
      <c r="H144" s="46" t="str">
        <f aca="false">IF('Survey Response'!$D142="","",LOWER(TRIM('Survey Response'!$D142)))</f>
        <v/>
      </c>
      <c r="I144" s="46" t="str">
        <f aca="false">IF($H144="","",'Survey Response'!$I142)</f>
        <v/>
      </c>
      <c r="J144" s="46" t="str">
        <f aca="false">IF($H144="","",'Survey Response'!$K142)</f>
        <v/>
      </c>
      <c r="K144" s="46" t="str">
        <f aca="false">IF($J144="","",IF(COUNTIF('Skill Mapping'!$A$2:$A$7,TRIM($J144))=0,"",INDEX('Skill Mapping'!$B$2:$B$7,MATCH(TRIM($J144),'Skill Mapping'!$A$2:$A$7,0))))</f>
        <v/>
      </c>
      <c r="L144" s="46" t="str">
        <f aca="false">IF($H144="","",'Survey Response'!$L142)</f>
        <v/>
      </c>
      <c r="M144" s="46" t="str">
        <f aca="false">IF($L144="","",IF(COUNTIF('Skill Mapping'!$A$2:$A$7,TRIM($L144))=0,"",INDEX('Skill Mapping'!$B$2:$B$7,MATCH(TRIM($L144),'Skill Mapping'!$A$2:$A$7,0))))</f>
        <v/>
      </c>
      <c r="N144" s="46" t="str">
        <f aca="false">IF($H144="","",'Survey Response'!$M142)</f>
        <v/>
      </c>
      <c r="O144" s="46" t="str">
        <f aca="false">IF($H144="","",IF('Survey Response'!$M142="Manager","R2","R1"))</f>
        <v/>
      </c>
      <c r="P144" s="46" t="str">
        <f aca="false">IF($K144="","No",IF(COUNTIFS(MasterPanel!$B:$B,$H144,MasterPanel!$I:$I,$K144,MasterPanel!$K:$K,"Y")&gt;0,"Yes","No"))</f>
        <v>No</v>
      </c>
      <c r="Q144" s="46" t="n">
        <f aca="false">IF($K144="",0,IF(COUNTIF('Gap Sheet'!$A$6:$A$11,TRIM($J144))=0,0,IF($O144="R1",INDEX('Gap Sheet'!$C$6:$C$11,MATCH(TRIM($J144),'Gap Sheet'!$A$6:$A$11,0)),INDEX('Gap Sheet'!$G$6:$G$11,MATCH(TRIM($J144),'Gap Sheet'!$A$6:$A$11,0)))))</f>
        <v>0</v>
      </c>
      <c r="R144" s="46" t="str">
        <f aca="false">IF($K144="","",$K144&amp;"|"&amp;$O144)</f>
        <v/>
      </c>
      <c r="S144" s="46" t="n">
        <f aca="false">IF($R144="",0,COUNTIF($AA$4:$AA143,$R144))</f>
        <v>0</v>
      </c>
      <c r="T144" s="46" t="str">
        <f aca="false">IF(OR($I144&lt;&gt;"Yes, I'm available for in-person interviews at Chennai",$E144&lt;&gt;"Yes",$P144&lt;&gt;"Yes"),"No",IF(($Q144-$S144)&gt;0,"Yes","No"))</f>
        <v>No</v>
      </c>
      <c r="U144" s="46" t="str">
        <f aca="false">IF($M144="","No",IF(COUNTIFS(MasterPanel!$B:$B,$H144,MasterPanel!$I:$I,$M144,MasterPanel!$K:$K,"Y")&gt;0,"Yes","No"))</f>
        <v>No</v>
      </c>
      <c r="V144" s="46" t="n">
        <f aca="false">IF($M144="",0,IF(COUNTIF('Gap Sheet'!$A$6:$A$11,TRIM($L144))=0,0,IF($O144="R1",INDEX('Gap Sheet'!$C$6:$C$11,MATCH(TRIM($L144),'Gap Sheet'!$A$6:$A$11,0)),INDEX('Gap Sheet'!$G$6:$G$11,MATCH(TRIM($L144),'Gap Sheet'!$A$6:$A$11,0)))))</f>
        <v>0</v>
      </c>
      <c r="W144" s="46" t="str">
        <f aca="false">IF($M144="","",$M144&amp;"|"&amp;$O144)</f>
        <v/>
      </c>
      <c r="X144" s="46" t="n">
        <f aca="false">IF($W144="",0,COUNTIF($AA$4:$AA143,$W144))</f>
        <v>0</v>
      </c>
      <c r="Y144" s="46" t="str">
        <f aca="false">IF(OR($I144&lt;&gt;"Yes, I'm available for in-person interviews at Chennai",$E144&lt;&gt;"Yes",$T144="Yes",$U144&lt;&gt;"Yes"),"No",IF(($V144-$X144)&gt;0,"Yes","No"))</f>
        <v>No</v>
      </c>
      <c r="Z144" s="46" t="str">
        <f aca="false">IF($T144="Yes","Primary",IF($Y144="Yes","Secondary",""))</f>
        <v/>
      </c>
      <c r="AA144" s="46" t="str">
        <f aca="false">IF($Z144="Primary",$R144,IF($Z144="Secondary",$W144,""))</f>
        <v/>
      </c>
      <c r="AB144" s="46" t="str">
        <f aca="false">IF($Z144="Primary","Matched on primary skill",IF($Z144="Secondary","Matched on secondary skill (primary not approved or not required)",""))</f>
        <v/>
      </c>
      <c r="AC144" s="47" t="str">
        <f aca="false">IF($D144="Panel Details",$F144,"")</f>
        <v/>
      </c>
      <c r="AD144" s="46" t="str">
        <f aca="false">IF($D144="Panel Details",'Survey Response'!$D142,"")</f>
        <v/>
      </c>
      <c r="AE144" s="46" t="str">
        <f aca="false">IF($D144="Panel Details",'Survey Response'!$E142,"")</f>
        <v/>
      </c>
      <c r="AF144" s="46" t="str">
        <f aca="false">IF($D144="Panel Details",'Survey Response'!$G142,"")</f>
        <v/>
      </c>
      <c r="AG144" s="46" t="str">
        <f aca="false">IF($D144="Panel Details",IF($Z144="Primary",$J144,$L144),"")</f>
        <v/>
      </c>
      <c r="AH144" s="46" t="str">
        <f aca="false">IF($D144="Panel Details",IF($Z144="Primary",$L144,$J144),"")</f>
        <v/>
      </c>
      <c r="AI144" s="46" t="str">
        <f aca="false">IF($D144="Panel Details",'Survey Response'!$H142,"")</f>
        <v/>
      </c>
      <c r="AJ144" s="46" t="str">
        <f aca="false">IF($D144="Panel Details",'Survey Response'!$M142,"")</f>
        <v/>
      </c>
      <c r="AK144" s="46" t="str">
        <f aca="false">IF($D144="Panel Details",$O144,"")</f>
        <v/>
      </c>
      <c r="AL144" s="46" t="str">
        <f aca="false">IF($D144="Panel Details",8,"")</f>
        <v/>
      </c>
      <c r="AM144" s="46" t="str">
        <f aca="false">IF($D144="Panel Details",$AB144,"")</f>
        <v/>
      </c>
      <c r="AN144" s="46" t="str">
        <f aca="false">IF($D144="Panel Details","Yes","")</f>
        <v/>
      </c>
      <c r="AO144" s="46"/>
      <c r="AP144" s="46" t="str">
        <f aca="false">IF($D144="Followup",'Survey Response'!$D142,"")</f>
        <v/>
      </c>
      <c r="AQ144" s="46" t="str">
        <f aca="false">IF($D144="Followup",'Survey Response'!$E142,"")</f>
        <v/>
      </c>
      <c r="AR144" s="46" t="str">
        <f aca="false">IF($D144="Followup",'Survey Response'!$G142,"")</f>
        <v/>
      </c>
      <c r="AS144" s="46" t="str">
        <f aca="false">IF($D144="Followup",'Survey Response'!$H142,"")</f>
        <v/>
      </c>
      <c r="AT144" s="46" t="str">
        <f aca="false">IF($D144="Followup",'Survey Response'!$M142,"")</f>
        <v/>
      </c>
      <c r="AU144" s="46" t="str">
        <f aca="false">IF($D144="Followup",'Survey Response'!$K142,"")</f>
        <v/>
      </c>
      <c r="AV144" s="46" t="str">
        <f aca="false">IF($D144="Followup",'Survey Response'!$L142,"")</f>
        <v/>
      </c>
      <c r="AW144" s="46" t="str">
        <f aca="false">IF($D144="Followup",IF(AND($P144&lt;&gt;"Yes",$U144&lt;&gt;"Yes"),"Not approved for primary or secondary skill","Approved, but skill(s) no longer have capacity (fully staffed)"),"")</f>
        <v/>
      </c>
    </row>
    <row r="145" customFormat="false" ht="15" hidden="false" customHeight="true" outlineLevel="0" collapsed="false">
      <c r="A145" s="46" t="str">
        <f aca="false">IF('Survey Response'!$D143="","",'Survey Response'!$A143&amp;"|"&amp;LOWER(TRIM('Survey Response'!$D143)))</f>
        <v/>
      </c>
      <c r="B145" s="46" t="str">
        <f aca="false">IF($H145="","",$F145&amp;"|"&amp;$H145)</f>
        <v/>
      </c>
      <c r="C145" s="46" t="str">
        <f aca="false">IF($H145="","",$A145=$B145)</f>
        <v/>
      </c>
      <c r="D145" s="46" t="str">
        <f aca="false">IF($H145="","",IF($E145&lt;&gt;"Yes","Superseded",IF($I145&lt;&gt;"Yes, I'm available for in-person interviews at Chennai","Not Available",IF($Z145&lt;&gt;"","Panel Details","Followup"))))</f>
        <v/>
      </c>
      <c r="E145" s="46" t="str">
        <f aca="false">IF($H145="","",IF(SUMPRODUCT(($H$4:$H$503=$H145)*(($G$4:$G$503&gt;$G145)+($G$4:$G$503=$G145)*($F$4:$F$503&gt;$F145)))=0,"Yes","No"))</f>
        <v/>
      </c>
      <c r="F145" s="47" t="str">
        <f aca="false">IF('Survey Response'!$D143="","",INT('Survey Response'!$A143))</f>
        <v/>
      </c>
      <c r="G145" s="46" t="str">
        <f aca="false">IF('Survey Response'!$D143="","",'Survey Response'!$C143)</f>
        <v/>
      </c>
      <c r="H145" s="46" t="str">
        <f aca="false">IF('Survey Response'!$D143="","",LOWER(TRIM('Survey Response'!$D143)))</f>
        <v/>
      </c>
      <c r="I145" s="46" t="str">
        <f aca="false">IF($H145="","",'Survey Response'!$I143)</f>
        <v/>
      </c>
      <c r="J145" s="46" t="str">
        <f aca="false">IF($H145="","",'Survey Response'!$K143)</f>
        <v/>
      </c>
      <c r="K145" s="46" t="str">
        <f aca="false">IF($J145="","",IF(COUNTIF('Skill Mapping'!$A$2:$A$7,TRIM($J145))=0,"",INDEX('Skill Mapping'!$B$2:$B$7,MATCH(TRIM($J145),'Skill Mapping'!$A$2:$A$7,0))))</f>
        <v/>
      </c>
      <c r="L145" s="46" t="str">
        <f aca="false">IF($H145="","",'Survey Response'!$L143)</f>
        <v/>
      </c>
      <c r="M145" s="46" t="str">
        <f aca="false">IF($L145="","",IF(COUNTIF('Skill Mapping'!$A$2:$A$7,TRIM($L145))=0,"",INDEX('Skill Mapping'!$B$2:$B$7,MATCH(TRIM($L145),'Skill Mapping'!$A$2:$A$7,0))))</f>
        <v/>
      </c>
      <c r="N145" s="46" t="str">
        <f aca="false">IF($H145="","",'Survey Response'!$M143)</f>
        <v/>
      </c>
      <c r="O145" s="46" t="str">
        <f aca="false">IF($H145="","",IF('Survey Response'!$M143="Manager","R2","R1"))</f>
        <v/>
      </c>
      <c r="P145" s="46" t="str">
        <f aca="false">IF($K145="","No",IF(COUNTIFS(MasterPanel!$B:$B,$H145,MasterPanel!$I:$I,$K145,MasterPanel!$K:$K,"Y")&gt;0,"Yes","No"))</f>
        <v>No</v>
      </c>
      <c r="Q145" s="46" t="n">
        <f aca="false">IF($K145="",0,IF(COUNTIF('Gap Sheet'!$A$6:$A$11,TRIM($J145))=0,0,IF($O145="R1",INDEX('Gap Sheet'!$C$6:$C$11,MATCH(TRIM($J145),'Gap Sheet'!$A$6:$A$11,0)),INDEX('Gap Sheet'!$G$6:$G$11,MATCH(TRIM($J145),'Gap Sheet'!$A$6:$A$11,0)))))</f>
        <v>0</v>
      </c>
      <c r="R145" s="46" t="str">
        <f aca="false">IF($K145="","",$K145&amp;"|"&amp;$O145)</f>
        <v/>
      </c>
      <c r="S145" s="46" t="n">
        <f aca="false">IF($R145="",0,COUNTIF($AA$4:$AA144,$R145))</f>
        <v>0</v>
      </c>
      <c r="T145" s="46" t="str">
        <f aca="false">IF(OR($I145&lt;&gt;"Yes, I'm available for in-person interviews at Chennai",$E145&lt;&gt;"Yes",$P145&lt;&gt;"Yes"),"No",IF(($Q145-$S145)&gt;0,"Yes","No"))</f>
        <v>No</v>
      </c>
      <c r="U145" s="46" t="str">
        <f aca="false">IF($M145="","No",IF(COUNTIFS(MasterPanel!$B:$B,$H145,MasterPanel!$I:$I,$M145,MasterPanel!$K:$K,"Y")&gt;0,"Yes","No"))</f>
        <v>No</v>
      </c>
      <c r="V145" s="46" t="n">
        <f aca="false">IF($M145="",0,IF(COUNTIF('Gap Sheet'!$A$6:$A$11,TRIM($L145))=0,0,IF($O145="R1",INDEX('Gap Sheet'!$C$6:$C$11,MATCH(TRIM($L145),'Gap Sheet'!$A$6:$A$11,0)),INDEX('Gap Sheet'!$G$6:$G$11,MATCH(TRIM($L145),'Gap Sheet'!$A$6:$A$11,0)))))</f>
        <v>0</v>
      </c>
      <c r="W145" s="46" t="str">
        <f aca="false">IF($M145="","",$M145&amp;"|"&amp;$O145)</f>
        <v/>
      </c>
      <c r="X145" s="46" t="n">
        <f aca="false">IF($W145="",0,COUNTIF($AA$4:$AA144,$W145))</f>
        <v>0</v>
      </c>
      <c r="Y145" s="46" t="str">
        <f aca="false">IF(OR($I145&lt;&gt;"Yes, I'm available for in-person interviews at Chennai",$E145&lt;&gt;"Yes",$T145="Yes",$U145&lt;&gt;"Yes"),"No",IF(($V145-$X145)&gt;0,"Yes","No"))</f>
        <v>No</v>
      </c>
      <c r="Z145" s="46" t="str">
        <f aca="false">IF($T145="Yes","Primary",IF($Y145="Yes","Secondary",""))</f>
        <v/>
      </c>
      <c r="AA145" s="46" t="str">
        <f aca="false">IF($Z145="Primary",$R145,IF($Z145="Secondary",$W145,""))</f>
        <v/>
      </c>
      <c r="AB145" s="46" t="str">
        <f aca="false">IF($Z145="Primary","Matched on primary skill",IF($Z145="Secondary","Matched on secondary skill (primary not approved or not required)",""))</f>
        <v/>
      </c>
      <c r="AC145" s="47" t="str">
        <f aca="false">IF($D145="Panel Details",$F145,"")</f>
        <v/>
      </c>
      <c r="AD145" s="46" t="str">
        <f aca="false">IF($D145="Panel Details",'Survey Response'!$D143,"")</f>
        <v/>
      </c>
      <c r="AE145" s="46" t="str">
        <f aca="false">IF($D145="Panel Details",'Survey Response'!$E143,"")</f>
        <v/>
      </c>
      <c r="AF145" s="46" t="str">
        <f aca="false">IF($D145="Panel Details",'Survey Response'!$G143,"")</f>
        <v/>
      </c>
      <c r="AG145" s="46" t="str">
        <f aca="false">IF($D145="Panel Details",IF($Z145="Primary",$J145,$L145),"")</f>
        <v/>
      </c>
      <c r="AH145" s="46" t="str">
        <f aca="false">IF($D145="Panel Details",IF($Z145="Primary",$L145,$J145),"")</f>
        <v/>
      </c>
      <c r="AI145" s="46" t="str">
        <f aca="false">IF($D145="Panel Details",'Survey Response'!$H143,"")</f>
        <v/>
      </c>
      <c r="AJ145" s="46" t="str">
        <f aca="false">IF($D145="Panel Details",'Survey Response'!$M143,"")</f>
        <v/>
      </c>
      <c r="AK145" s="46" t="str">
        <f aca="false">IF($D145="Panel Details",$O145,"")</f>
        <v/>
      </c>
      <c r="AL145" s="46" t="str">
        <f aca="false">IF($D145="Panel Details",8,"")</f>
        <v/>
      </c>
      <c r="AM145" s="46" t="str">
        <f aca="false">IF($D145="Panel Details",$AB145,"")</f>
        <v/>
      </c>
      <c r="AN145" s="46" t="str">
        <f aca="false">IF($D145="Panel Details","Yes","")</f>
        <v/>
      </c>
      <c r="AO145" s="46"/>
      <c r="AP145" s="46" t="str">
        <f aca="false">IF($D145="Followup",'Survey Response'!$D143,"")</f>
        <v/>
      </c>
      <c r="AQ145" s="46" t="str">
        <f aca="false">IF($D145="Followup",'Survey Response'!$E143,"")</f>
        <v/>
      </c>
      <c r="AR145" s="46" t="str">
        <f aca="false">IF($D145="Followup",'Survey Response'!$G143,"")</f>
        <v/>
      </c>
      <c r="AS145" s="46" t="str">
        <f aca="false">IF($D145="Followup",'Survey Response'!$H143,"")</f>
        <v/>
      </c>
      <c r="AT145" s="46" t="str">
        <f aca="false">IF($D145="Followup",'Survey Response'!$M143,"")</f>
        <v/>
      </c>
      <c r="AU145" s="46" t="str">
        <f aca="false">IF($D145="Followup",'Survey Response'!$K143,"")</f>
        <v/>
      </c>
      <c r="AV145" s="46" t="str">
        <f aca="false">IF($D145="Followup",'Survey Response'!$L143,"")</f>
        <v/>
      </c>
      <c r="AW145" s="46" t="str">
        <f aca="false">IF($D145="Followup",IF(AND($P145&lt;&gt;"Yes",$U145&lt;&gt;"Yes"),"Not approved for primary or secondary skill","Approved, but skill(s) no longer have capacity (fully staffed)"),"")</f>
        <v/>
      </c>
    </row>
    <row r="146" customFormat="false" ht="15" hidden="false" customHeight="true" outlineLevel="0" collapsed="false">
      <c r="A146" s="46" t="str">
        <f aca="false">IF('Survey Response'!$D144="","",'Survey Response'!$A144&amp;"|"&amp;LOWER(TRIM('Survey Response'!$D144)))</f>
        <v/>
      </c>
      <c r="B146" s="46" t="str">
        <f aca="false">IF($H146="","",$F146&amp;"|"&amp;$H146)</f>
        <v/>
      </c>
      <c r="C146" s="46" t="str">
        <f aca="false">IF($H146="","",$A146=$B146)</f>
        <v/>
      </c>
      <c r="D146" s="46" t="str">
        <f aca="false">IF($H146="","",IF($E146&lt;&gt;"Yes","Superseded",IF($I146&lt;&gt;"Yes, I'm available for in-person interviews at Chennai","Not Available",IF($Z146&lt;&gt;"","Panel Details","Followup"))))</f>
        <v/>
      </c>
      <c r="E146" s="46" t="str">
        <f aca="false">IF($H146="","",IF(SUMPRODUCT(($H$4:$H$503=$H146)*(($G$4:$G$503&gt;$G146)+($G$4:$G$503=$G146)*($F$4:$F$503&gt;$F146)))=0,"Yes","No"))</f>
        <v/>
      </c>
      <c r="F146" s="47" t="str">
        <f aca="false">IF('Survey Response'!$D144="","",INT('Survey Response'!$A144))</f>
        <v/>
      </c>
      <c r="G146" s="46" t="str">
        <f aca="false">IF('Survey Response'!$D144="","",'Survey Response'!$C144)</f>
        <v/>
      </c>
      <c r="H146" s="46" t="str">
        <f aca="false">IF('Survey Response'!$D144="","",LOWER(TRIM('Survey Response'!$D144)))</f>
        <v/>
      </c>
      <c r="I146" s="46" t="str">
        <f aca="false">IF($H146="","",'Survey Response'!$I144)</f>
        <v/>
      </c>
      <c r="J146" s="46" t="str">
        <f aca="false">IF($H146="","",'Survey Response'!$K144)</f>
        <v/>
      </c>
      <c r="K146" s="46" t="str">
        <f aca="false">IF($J146="","",IF(COUNTIF('Skill Mapping'!$A$2:$A$7,TRIM($J146))=0,"",INDEX('Skill Mapping'!$B$2:$B$7,MATCH(TRIM($J146),'Skill Mapping'!$A$2:$A$7,0))))</f>
        <v/>
      </c>
      <c r="L146" s="46" t="str">
        <f aca="false">IF($H146="","",'Survey Response'!$L144)</f>
        <v/>
      </c>
      <c r="M146" s="46" t="str">
        <f aca="false">IF($L146="","",IF(COUNTIF('Skill Mapping'!$A$2:$A$7,TRIM($L146))=0,"",INDEX('Skill Mapping'!$B$2:$B$7,MATCH(TRIM($L146),'Skill Mapping'!$A$2:$A$7,0))))</f>
        <v/>
      </c>
      <c r="N146" s="46" t="str">
        <f aca="false">IF($H146="","",'Survey Response'!$M144)</f>
        <v/>
      </c>
      <c r="O146" s="46" t="str">
        <f aca="false">IF($H146="","",IF('Survey Response'!$M144="Manager","R2","R1"))</f>
        <v/>
      </c>
      <c r="P146" s="46" t="str">
        <f aca="false">IF($K146="","No",IF(COUNTIFS(MasterPanel!$B:$B,$H146,MasterPanel!$I:$I,$K146,MasterPanel!$K:$K,"Y")&gt;0,"Yes","No"))</f>
        <v>No</v>
      </c>
      <c r="Q146" s="46" t="n">
        <f aca="false">IF($K146="",0,IF(COUNTIF('Gap Sheet'!$A$6:$A$11,TRIM($J146))=0,0,IF($O146="R1",INDEX('Gap Sheet'!$C$6:$C$11,MATCH(TRIM($J146),'Gap Sheet'!$A$6:$A$11,0)),INDEX('Gap Sheet'!$G$6:$G$11,MATCH(TRIM($J146),'Gap Sheet'!$A$6:$A$11,0)))))</f>
        <v>0</v>
      </c>
      <c r="R146" s="46" t="str">
        <f aca="false">IF($K146="","",$K146&amp;"|"&amp;$O146)</f>
        <v/>
      </c>
      <c r="S146" s="46" t="n">
        <f aca="false">IF($R146="",0,COUNTIF($AA$4:$AA145,$R146))</f>
        <v>0</v>
      </c>
      <c r="T146" s="46" t="str">
        <f aca="false">IF(OR($I146&lt;&gt;"Yes, I'm available for in-person interviews at Chennai",$E146&lt;&gt;"Yes",$P146&lt;&gt;"Yes"),"No",IF(($Q146-$S146)&gt;0,"Yes","No"))</f>
        <v>No</v>
      </c>
      <c r="U146" s="46" t="str">
        <f aca="false">IF($M146="","No",IF(COUNTIFS(MasterPanel!$B:$B,$H146,MasterPanel!$I:$I,$M146,MasterPanel!$K:$K,"Y")&gt;0,"Yes","No"))</f>
        <v>No</v>
      </c>
      <c r="V146" s="46" t="n">
        <f aca="false">IF($M146="",0,IF(COUNTIF('Gap Sheet'!$A$6:$A$11,TRIM($L146))=0,0,IF($O146="R1",INDEX('Gap Sheet'!$C$6:$C$11,MATCH(TRIM($L146),'Gap Sheet'!$A$6:$A$11,0)),INDEX('Gap Sheet'!$G$6:$G$11,MATCH(TRIM($L146),'Gap Sheet'!$A$6:$A$11,0)))))</f>
        <v>0</v>
      </c>
      <c r="W146" s="46" t="str">
        <f aca="false">IF($M146="","",$M146&amp;"|"&amp;$O146)</f>
        <v/>
      </c>
      <c r="X146" s="46" t="n">
        <f aca="false">IF($W146="",0,COUNTIF($AA$4:$AA145,$W146))</f>
        <v>0</v>
      </c>
      <c r="Y146" s="46" t="str">
        <f aca="false">IF(OR($I146&lt;&gt;"Yes, I'm available for in-person interviews at Chennai",$E146&lt;&gt;"Yes",$T146="Yes",$U146&lt;&gt;"Yes"),"No",IF(($V146-$X146)&gt;0,"Yes","No"))</f>
        <v>No</v>
      </c>
      <c r="Z146" s="46" t="str">
        <f aca="false">IF($T146="Yes","Primary",IF($Y146="Yes","Secondary",""))</f>
        <v/>
      </c>
      <c r="AA146" s="46" t="str">
        <f aca="false">IF($Z146="Primary",$R146,IF($Z146="Secondary",$W146,""))</f>
        <v/>
      </c>
      <c r="AB146" s="46" t="str">
        <f aca="false">IF($Z146="Primary","Matched on primary skill",IF($Z146="Secondary","Matched on secondary skill (primary not approved or not required)",""))</f>
        <v/>
      </c>
      <c r="AC146" s="47" t="str">
        <f aca="false">IF($D146="Panel Details",$F146,"")</f>
        <v/>
      </c>
      <c r="AD146" s="46" t="str">
        <f aca="false">IF($D146="Panel Details",'Survey Response'!$D144,"")</f>
        <v/>
      </c>
      <c r="AE146" s="46" t="str">
        <f aca="false">IF($D146="Panel Details",'Survey Response'!$E144,"")</f>
        <v/>
      </c>
      <c r="AF146" s="46" t="str">
        <f aca="false">IF($D146="Panel Details",'Survey Response'!$G144,"")</f>
        <v/>
      </c>
      <c r="AG146" s="46" t="str">
        <f aca="false">IF($D146="Panel Details",IF($Z146="Primary",$J146,$L146),"")</f>
        <v/>
      </c>
      <c r="AH146" s="46" t="str">
        <f aca="false">IF($D146="Panel Details",IF($Z146="Primary",$L146,$J146),"")</f>
        <v/>
      </c>
      <c r="AI146" s="46" t="str">
        <f aca="false">IF($D146="Panel Details",'Survey Response'!$H144,"")</f>
        <v/>
      </c>
      <c r="AJ146" s="46" t="str">
        <f aca="false">IF($D146="Panel Details",'Survey Response'!$M144,"")</f>
        <v/>
      </c>
      <c r="AK146" s="46" t="str">
        <f aca="false">IF($D146="Panel Details",$O146,"")</f>
        <v/>
      </c>
      <c r="AL146" s="46" t="str">
        <f aca="false">IF($D146="Panel Details",8,"")</f>
        <v/>
      </c>
      <c r="AM146" s="46" t="str">
        <f aca="false">IF($D146="Panel Details",$AB146,"")</f>
        <v/>
      </c>
      <c r="AN146" s="46" t="str">
        <f aca="false">IF($D146="Panel Details","Yes","")</f>
        <v/>
      </c>
      <c r="AO146" s="46"/>
      <c r="AP146" s="46" t="str">
        <f aca="false">IF($D146="Followup",'Survey Response'!$D144,"")</f>
        <v/>
      </c>
      <c r="AQ146" s="46" t="str">
        <f aca="false">IF($D146="Followup",'Survey Response'!$E144,"")</f>
        <v/>
      </c>
      <c r="AR146" s="46" t="str">
        <f aca="false">IF($D146="Followup",'Survey Response'!$G144,"")</f>
        <v/>
      </c>
      <c r="AS146" s="46" t="str">
        <f aca="false">IF($D146="Followup",'Survey Response'!$H144,"")</f>
        <v/>
      </c>
      <c r="AT146" s="46" t="str">
        <f aca="false">IF($D146="Followup",'Survey Response'!$M144,"")</f>
        <v/>
      </c>
      <c r="AU146" s="46" t="str">
        <f aca="false">IF($D146="Followup",'Survey Response'!$K144,"")</f>
        <v/>
      </c>
      <c r="AV146" s="46" t="str">
        <f aca="false">IF($D146="Followup",'Survey Response'!$L144,"")</f>
        <v/>
      </c>
      <c r="AW146" s="46" t="str">
        <f aca="false">IF($D146="Followup",IF(AND($P146&lt;&gt;"Yes",$U146&lt;&gt;"Yes"),"Not approved for primary or secondary skill","Approved, but skill(s) no longer have capacity (fully staffed)"),"")</f>
        <v/>
      </c>
    </row>
    <row r="147" customFormat="false" ht="15" hidden="false" customHeight="true" outlineLevel="0" collapsed="false">
      <c r="A147" s="46" t="str">
        <f aca="false">IF('Survey Response'!$D145="","",'Survey Response'!$A145&amp;"|"&amp;LOWER(TRIM('Survey Response'!$D145)))</f>
        <v/>
      </c>
      <c r="B147" s="46" t="str">
        <f aca="false">IF($H147="","",$F147&amp;"|"&amp;$H147)</f>
        <v/>
      </c>
      <c r="C147" s="46" t="str">
        <f aca="false">IF($H147="","",$A147=$B147)</f>
        <v/>
      </c>
      <c r="D147" s="46" t="str">
        <f aca="false">IF($H147="","",IF($E147&lt;&gt;"Yes","Superseded",IF($I147&lt;&gt;"Yes, I'm available for in-person interviews at Chennai","Not Available",IF($Z147&lt;&gt;"","Panel Details","Followup"))))</f>
        <v/>
      </c>
      <c r="E147" s="46" t="str">
        <f aca="false">IF($H147="","",IF(SUMPRODUCT(($H$4:$H$503=$H147)*(($G$4:$G$503&gt;$G147)+($G$4:$G$503=$G147)*($F$4:$F$503&gt;$F147)))=0,"Yes","No"))</f>
        <v/>
      </c>
      <c r="F147" s="47" t="str">
        <f aca="false">IF('Survey Response'!$D145="","",INT('Survey Response'!$A145))</f>
        <v/>
      </c>
      <c r="G147" s="46" t="str">
        <f aca="false">IF('Survey Response'!$D145="","",'Survey Response'!$C145)</f>
        <v/>
      </c>
      <c r="H147" s="46" t="str">
        <f aca="false">IF('Survey Response'!$D145="","",LOWER(TRIM('Survey Response'!$D145)))</f>
        <v/>
      </c>
      <c r="I147" s="46" t="str">
        <f aca="false">IF($H147="","",'Survey Response'!$I145)</f>
        <v/>
      </c>
      <c r="J147" s="46" t="str">
        <f aca="false">IF($H147="","",'Survey Response'!$K145)</f>
        <v/>
      </c>
      <c r="K147" s="46" t="str">
        <f aca="false">IF($J147="","",IF(COUNTIF('Skill Mapping'!$A$2:$A$7,TRIM($J147))=0,"",INDEX('Skill Mapping'!$B$2:$B$7,MATCH(TRIM($J147),'Skill Mapping'!$A$2:$A$7,0))))</f>
        <v/>
      </c>
      <c r="L147" s="46" t="str">
        <f aca="false">IF($H147="","",'Survey Response'!$L145)</f>
        <v/>
      </c>
      <c r="M147" s="46" t="str">
        <f aca="false">IF($L147="","",IF(COUNTIF('Skill Mapping'!$A$2:$A$7,TRIM($L147))=0,"",INDEX('Skill Mapping'!$B$2:$B$7,MATCH(TRIM($L147),'Skill Mapping'!$A$2:$A$7,0))))</f>
        <v/>
      </c>
      <c r="N147" s="46" t="str">
        <f aca="false">IF($H147="","",'Survey Response'!$M145)</f>
        <v/>
      </c>
      <c r="O147" s="46" t="str">
        <f aca="false">IF($H147="","",IF('Survey Response'!$M145="Manager","R2","R1"))</f>
        <v/>
      </c>
      <c r="P147" s="46" t="str">
        <f aca="false">IF($K147="","No",IF(COUNTIFS(MasterPanel!$B:$B,$H147,MasterPanel!$I:$I,$K147,MasterPanel!$K:$K,"Y")&gt;0,"Yes","No"))</f>
        <v>No</v>
      </c>
      <c r="Q147" s="46" t="n">
        <f aca="false">IF($K147="",0,IF(COUNTIF('Gap Sheet'!$A$6:$A$11,TRIM($J147))=0,0,IF($O147="R1",INDEX('Gap Sheet'!$C$6:$C$11,MATCH(TRIM($J147),'Gap Sheet'!$A$6:$A$11,0)),INDEX('Gap Sheet'!$G$6:$G$11,MATCH(TRIM($J147),'Gap Sheet'!$A$6:$A$11,0)))))</f>
        <v>0</v>
      </c>
      <c r="R147" s="46" t="str">
        <f aca="false">IF($K147="","",$K147&amp;"|"&amp;$O147)</f>
        <v/>
      </c>
      <c r="S147" s="46" t="n">
        <f aca="false">IF($R147="",0,COUNTIF($AA$4:$AA146,$R147))</f>
        <v>0</v>
      </c>
      <c r="T147" s="46" t="str">
        <f aca="false">IF(OR($I147&lt;&gt;"Yes, I'm available for in-person interviews at Chennai",$E147&lt;&gt;"Yes",$P147&lt;&gt;"Yes"),"No",IF(($Q147-$S147)&gt;0,"Yes","No"))</f>
        <v>No</v>
      </c>
      <c r="U147" s="46" t="str">
        <f aca="false">IF($M147="","No",IF(COUNTIFS(MasterPanel!$B:$B,$H147,MasterPanel!$I:$I,$M147,MasterPanel!$K:$K,"Y")&gt;0,"Yes","No"))</f>
        <v>No</v>
      </c>
      <c r="V147" s="46" t="n">
        <f aca="false">IF($M147="",0,IF(COUNTIF('Gap Sheet'!$A$6:$A$11,TRIM($L147))=0,0,IF($O147="R1",INDEX('Gap Sheet'!$C$6:$C$11,MATCH(TRIM($L147),'Gap Sheet'!$A$6:$A$11,0)),INDEX('Gap Sheet'!$G$6:$G$11,MATCH(TRIM($L147),'Gap Sheet'!$A$6:$A$11,0)))))</f>
        <v>0</v>
      </c>
      <c r="W147" s="46" t="str">
        <f aca="false">IF($M147="","",$M147&amp;"|"&amp;$O147)</f>
        <v/>
      </c>
      <c r="X147" s="46" t="n">
        <f aca="false">IF($W147="",0,COUNTIF($AA$4:$AA146,$W147))</f>
        <v>0</v>
      </c>
      <c r="Y147" s="46" t="str">
        <f aca="false">IF(OR($I147&lt;&gt;"Yes, I'm available for in-person interviews at Chennai",$E147&lt;&gt;"Yes",$T147="Yes",$U147&lt;&gt;"Yes"),"No",IF(($V147-$X147)&gt;0,"Yes","No"))</f>
        <v>No</v>
      </c>
      <c r="Z147" s="46" t="str">
        <f aca="false">IF($T147="Yes","Primary",IF($Y147="Yes","Secondary",""))</f>
        <v/>
      </c>
      <c r="AA147" s="46" t="str">
        <f aca="false">IF($Z147="Primary",$R147,IF($Z147="Secondary",$W147,""))</f>
        <v/>
      </c>
      <c r="AB147" s="46" t="str">
        <f aca="false">IF($Z147="Primary","Matched on primary skill",IF($Z147="Secondary","Matched on secondary skill (primary not approved or not required)",""))</f>
        <v/>
      </c>
      <c r="AC147" s="47" t="str">
        <f aca="false">IF($D147="Panel Details",$F147,"")</f>
        <v/>
      </c>
      <c r="AD147" s="46" t="str">
        <f aca="false">IF($D147="Panel Details",'Survey Response'!$D145,"")</f>
        <v/>
      </c>
      <c r="AE147" s="46" t="str">
        <f aca="false">IF($D147="Panel Details",'Survey Response'!$E145,"")</f>
        <v/>
      </c>
      <c r="AF147" s="46" t="str">
        <f aca="false">IF($D147="Panel Details",'Survey Response'!$G145,"")</f>
        <v/>
      </c>
      <c r="AG147" s="46" t="str">
        <f aca="false">IF($D147="Panel Details",IF($Z147="Primary",$J147,$L147),"")</f>
        <v/>
      </c>
      <c r="AH147" s="46" t="str">
        <f aca="false">IF($D147="Panel Details",IF($Z147="Primary",$L147,$J147),"")</f>
        <v/>
      </c>
      <c r="AI147" s="46" t="str">
        <f aca="false">IF($D147="Panel Details",'Survey Response'!$H145,"")</f>
        <v/>
      </c>
      <c r="AJ147" s="46" t="str">
        <f aca="false">IF($D147="Panel Details",'Survey Response'!$M145,"")</f>
        <v/>
      </c>
      <c r="AK147" s="46" t="str">
        <f aca="false">IF($D147="Panel Details",$O147,"")</f>
        <v/>
      </c>
      <c r="AL147" s="46" t="str">
        <f aca="false">IF($D147="Panel Details",8,"")</f>
        <v/>
      </c>
      <c r="AM147" s="46" t="str">
        <f aca="false">IF($D147="Panel Details",$AB147,"")</f>
        <v/>
      </c>
      <c r="AN147" s="46" t="str">
        <f aca="false">IF($D147="Panel Details","Yes","")</f>
        <v/>
      </c>
      <c r="AO147" s="46"/>
      <c r="AP147" s="46" t="str">
        <f aca="false">IF($D147="Followup",'Survey Response'!$D145,"")</f>
        <v/>
      </c>
      <c r="AQ147" s="46" t="str">
        <f aca="false">IF($D147="Followup",'Survey Response'!$E145,"")</f>
        <v/>
      </c>
      <c r="AR147" s="46" t="str">
        <f aca="false">IF($D147="Followup",'Survey Response'!$G145,"")</f>
        <v/>
      </c>
      <c r="AS147" s="46" t="str">
        <f aca="false">IF($D147="Followup",'Survey Response'!$H145,"")</f>
        <v/>
      </c>
      <c r="AT147" s="46" t="str">
        <f aca="false">IF($D147="Followup",'Survey Response'!$M145,"")</f>
        <v/>
      </c>
      <c r="AU147" s="46" t="str">
        <f aca="false">IF($D147="Followup",'Survey Response'!$K145,"")</f>
        <v/>
      </c>
      <c r="AV147" s="46" t="str">
        <f aca="false">IF($D147="Followup",'Survey Response'!$L145,"")</f>
        <v/>
      </c>
      <c r="AW147" s="46" t="str">
        <f aca="false">IF($D147="Followup",IF(AND($P147&lt;&gt;"Yes",$U147&lt;&gt;"Yes"),"Not approved for primary or secondary skill","Approved, but skill(s) no longer have capacity (fully staffed)"),"")</f>
        <v/>
      </c>
    </row>
    <row r="148" customFormat="false" ht="15" hidden="false" customHeight="true" outlineLevel="0" collapsed="false">
      <c r="A148" s="46" t="str">
        <f aca="false">IF('Survey Response'!$D146="","",'Survey Response'!$A146&amp;"|"&amp;LOWER(TRIM('Survey Response'!$D146)))</f>
        <v/>
      </c>
      <c r="B148" s="46" t="str">
        <f aca="false">IF($H148="","",$F148&amp;"|"&amp;$H148)</f>
        <v/>
      </c>
      <c r="C148" s="46" t="str">
        <f aca="false">IF($H148="","",$A148=$B148)</f>
        <v/>
      </c>
      <c r="D148" s="46" t="str">
        <f aca="false">IF($H148="","",IF($E148&lt;&gt;"Yes","Superseded",IF($I148&lt;&gt;"Yes, I'm available for in-person interviews at Chennai","Not Available",IF($Z148&lt;&gt;"","Panel Details","Followup"))))</f>
        <v/>
      </c>
      <c r="E148" s="46" t="str">
        <f aca="false">IF($H148="","",IF(SUMPRODUCT(($H$4:$H$503=$H148)*(($G$4:$G$503&gt;$G148)+($G$4:$G$503=$G148)*($F$4:$F$503&gt;$F148)))=0,"Yes","No"))</f>
        <v/>
      </c>
      <c r="F148" s="47" t="str">
        <f aca="false">IF('Survey Response'!$D146="","",INT('Survey Response'!$A146))</f>
        <v/>
      </c>
      <c r="G148" s="46" t="str">
        <f aca="false">IF('Survey Response'!$D146="","",'Survey Response'!$C146)</f>
        <v/>
      </c>
      <c r="H148" s="46" t="str">
        <f aca="false">IF('Survey Response'!$D146="","",LOWER(TRIM('Survey Response'!$D146)))</f>
        <v/>
      </c>
      <c r="I148" s="46" t="str">
        <f aca="false">IF($H148="","",'Survey Response'!$I146)</f>
        <v/>
      </c>
      <c r="J148" s="46" t="str">
        <f aca="false">IF($H148="","",'Survey Response'!$K146)</f>
        <v/>
      </c>
      <c r="K148" s="46" t="str">
        <f aca="false">IF($J148="","",IF(COUNTIF('Skill Mapping'!$A$2:$A$7,TRIM($J148))=0,"",INDEX('Skill Mapping'!$B$2:$B$7,MATCH(TRIM($J148),'Skill Mapping'!$A$2:$A$7,0))))</f>
        <v/>
      </c>
      <c r="L148" s="46" t="str">
        <f aca="false">IF($H148="","",'Survey Response'!$L146)</f>
        <v/>
      </c>
      <c r="M148" s="46" t="str">
        <f aca="false">IF($L148="","",IF(COUNTIF('Skill Mapping'!$A$2:$A$7,TRIM($L148))=0,"",INDEX('Skill Mapping'!$B$2:$B$7,MATCH(TRIM($L148),'Skill Mapping'!$A$2:$A$7,0))))</f>
        <v/>
      </c>
      <c r="N148" s="46" t="str">
        <f aca="false">IF($H148="","",'Survey Response'!$M146)</f>
        <v/>
      </c>
      <c r="O148" s="46" t="str">
        <f aca="false">IF($H148="","",IF('Survey Response'!$M146="Manager","R2","R1"))</f>
        <v/>
      </c>
      <c r="P148" s="46" t="str">
        <f aca="false">IF($K148="","No",IF(COUNTIFS(MasterPanel!$B:$B,$H148,MasterPanel!$I:$I,$K148,MasterPanel!$K:$K,"Y")&gt;0,"Yes","No"))</f>
        <v>No</v>
      </c>
      <c r="Q148" s="46" t="n">
        <f aca="false">IF($K148="",0,IF(COUNTIF('Gap Sheet'!$A$6:$A$11,TRIM($J148))=0,0,IF($O148="R1",INDEX('Gap Sheet'!$C$6:$C$11,MATCH(TRIM($J148),'Gap Sheet'!$A$6:$A$11,0)),INDEX('Gap Sheet'!$G$6:$G$11,MATCH(TRIM($J148),'Gap Sheet'!$A$6:$A$11,0)))))</f>
        <v>0</v>
      </c>
      <c r="R148" s="46" t="str">
        <f aca="false">IF($K148="","",$K148&amp;"|"&amp;$O148)</f>
        <v/>
      </c>
      <c r="S148" s="46" t="n">
        <f aca="false">IF($R148="",0,COUNTIF($AA$4:$AA147,$R148))</f>
        <v>0</v>
      </c>
      <c r="T148" s="46" t="str">
        <f aca="false">IF(OR($I148&lt;&gt;"Yes, I'm available for in-person interviews at Chennai",$E148&lt;&gt;"Yes",$P148&lt;&gt;"Yes"),"No",IF(($Q148-$S148)&gt;0,"Yes","No"))</f>
        <v>No</v>
      </c>
      <c r="U148" s="46" t="str">
        <f aca="false">IF($M148="","No",IF(COUNTIFS(MasterPanel!$B:$B,$H148,MasterPanel!$I:$I,$M148,MasterPanel!$K:$K,"Y")&gt;0,"Yes","No"))</f>
        <v>No</v>
      </c>
      <c r="V148" s="46" t="n">
        <f aca="false">IF($M148="",0,IF(COUNTIF('Gap Sheet'!$A$6:$A$11,TRIM($L148))=0,0,IF($O148="R1",INDEX('Gap Sheet'!$C$6:$C$11,MATCH(TRIM($L148),'Gap Sheet'!$A$6:$A$11,0)),INDEX('Gap Sheet'!$G$6:$G$11,MATCH(TRIM($L148),'Gap Sheet'!$A$6:$A$11,0)))))</f>
        <v>0</v>
      </c>
      <c r="W148" s="46" t="str">
        <f aca="false">IF($M148="","",$M148&amp;"|"&amp;$O148)</f>
        <v/>
      </c>
      <c r="X148" s="46" t="n">
        <f aca="false">IF($W148="",0,COUNTIF($AA$4:$AA147,$W148))</f>
        <v>0</v>
      </c>
      <c r="Y148" s="46" t="str">
        <f aca="false">IF(OR($I148&lt;&gt;"Yes, I'm available for in-person interviews at Chennai",$E148&lt;&gt;"Yes",$T148="Yes",$U148&lt;&gt;"Yes"),"No",IF(($V148-$X148)&gt;0,"Yes","No"))</f>
        <v>No</v>
      </c>
      <c r="Z148" s="46" t="str">
        <f aca="false">IF($T148="Yes","Primary",IF($Y148="Yes","Secondary",""))</f>
        <v/>
      </c>
      <c r="AA148" s="46" t="str">
        <f aca="false">IF($Z148="Primary",$R148,IF($Z148="Secondary",$W148,""))</f>
        <v/>
      </c>
      <c r="AB148" s="46" t="str">
        <f aca="false">IF($Z148="Primary","Matched on primary skill",IF($Z148="Secondary","Matched on secondary skill (primary not approved or not required)",""))</f>
        <v/>
      </c>
      <c r="AC148" s="47" t="str">
        <f aca="false">IF($D148="Panel Details",$F148,"")</f>
        <v/>
      </c>
      <c r="AD148" s="46" t="str">
        <f aca="false">IF($D148="Panel Details",'Survey Response'!$D146,"")</f>
        <v/>
      </c>
      <c r="AE148" s="46" t="str">
        <f aca="false">IF($D148="Panel Details",'Survey Response'!$E146,"")</f>
        <v/>
      </c>
      <c r="AF148" s="46" t="str">
        <f aca="false">IF($D148="Panel Details",'Survey Response'!$G146,"")</f>
        <v/>
      </c>
      <c r="AG148" s="46" t="str">
        <f aca="false">IF($D148="Panel Details",IF($Z148="Primary",$J148,$L148),"")</f>
        <v/>
      </c>
      <c r="AH148" s="46" t="str">
        <f aca="false">IF($D148="Panel Details",IF($Z148="Primary",$L148,$J148),"")</f>
        <v/>
      </c>
      <c r="AI148" s="46" t="str">
        <f aca="false">IF($D148="Panel Details",'Survey Response'!$H146,"")</f>
        <v/>
      </c>
      <c r="AJ148" s="46" t="str">
        <f aca="false">IF($D148="Panel Details",'Survey Response'!$M146,"")</f>
        <v/>
      </c>
      <c r="AK148" s="46" t="str">
        <f aca="false">IF($D148="Panel Details",$O148,"")</f>
        <v/>
      </c>
      <c r="AL148" s="46" t="str">
        <f aca="false">IF($D148="Panel Details",8,"")</f>
        <v/>
      </c>
      <c r="AM148" s="46" t="str">
        <f aca="false">IF($D148="Panel Details",$AB148,"")</f>
        <v/>
      </c>
      <c r="AN148" s="46" t="str">
        <f aca="false">IF($D148="Panel Details","Yes","")</f>
        <v/>
      </c>
      <c r="AO148" s="46"/>
      <c r="AP148" s="46" t="str">
        <f aca="false">IF($D148="Followup",'Survey Response'!$D146,"")</f>
        <v/>
      </c>
      <c r="AQ148" s="46" t="str">
        <f aca="false">IF($D148="Followup",'Survey Response'!$E146,"")</f>
        <v/>
      </c>
      <c r="AR148" s="46" t="str">
        <f aca="false">IF($D148="Followup",'Survey Response'!$G146,"")</f>
        <v/>
      </c>
      <c r="AS148" s="46" t="str">
        <f aca="false">IF($D148="Followup",'Survey Response'!$H146,"")</f>
        <v/>
      </c>
      <c r="AT148" s="46" t="str">
        <f aca="false">IF($D148="Followup",'Survey Response'!$M146,"")</f>
        <v/>
      </c>
      <c r="AU148" s="46" t="str">
        <f aca="false">IF($D148="Followup",'Survey Response'!$K146,"")</f>
        <v/>
      </c>
      <c r="AV148" s="46" t="str">
        <f aca="false">IF($D148="Followup",'Survey Response'!$L146,"")</f>
        <v/>
      </c>
      <c r="AW148" s="46" t="str">
        <f aca="false">IF($D148="Followup",IF(AND($P148&lt;&gt;"Yes",$U148&lt;&gt;"Yes"),"Not approved for primary or secondary skill","Approved, but skill(s) no longer have capacity (fully staffed)"),"")</f>
        <v/>
      </c>
    </row>
    <row r="149" customFormat="false" ht="15" hidden="false" customHeight="true" outlineLevel="0" collapsed="false">
      <c r="A149" s="46" t="str">
        <f aca="false">IF('Survey Response'!$D147="","",'Survey Response'!$A147&amp;"|"&amp;LOWER(TRIM('Survey Response'!$D147)))</f>
        <v/>
      </c>
      <c r="B149" s="46" t="str">
        <f aca="false">IF($H149="","",$F149&amp;"|"&amp;$H149)</f>
        <v/>
      </c>
      <c r="C149" s="46" t="str">
        <f aca="false">IF($H149="","",$A149=$B149)</f>
        <v/>
      </c>
      <c r="D149" s="46" t="str">
        <f aca="false">IF($H149="","",IF($E149&lt;&gt;"Yes","Superseded",IF($I149&lt;&gt;"Yes, I'm available for in-person interviews at Chennai","Not Available",IF($Z149&lt;&gt;"","Panel Details","Followup"))))</f>
        <v/>
      </c>
      <c r="E149" s="46" t="str">
        <f aca="false">IF($H149="","",IF(SUMPRODUCT(($H$4:$H$503=$H149)*(($G$4:$G$503&gt;$G149)+($G$4:$G$503=$G149)*($F$4:$F$503&gt;$F149)))=0,"Yes","No"))</f>
        <v/>
      </c>
      <c r="F149" s="47" t="str">
        <f aca="false">IF('Survey Response'!$D147="","",INT('Survey Response'!$A147))</f>
        <v/>
      </c>
      <c r="G149" s="46" t="str">
        <f aca="false">IF('Survey Response'!$D147="","",'Survey Response'!$C147)</f>
        <v/>
      </c>
      <c r="H149" s="46" t="str">
        <f aca="false">IF('Survey Response'!$D147="","",LOWER(TRIM('Survey Response'!$D147)))</f>
        <v/>
      </c>
      <c r="I149" s="46" t="str">
        <f aca="false">IF($H149="","",'Survey Response'!$I147)</f>
        <v/>
      </c>
      <c r="J149" s="46" t="str">
        <f aca="false">IF($H149="","",'Survey Response'!$K147)</f>
        <v/>
      </c>
      <c r="K149" s="46" t="str">
        <f aca="false">IF($J149="","",IF(COUNTIF('Skill Mapping'!$A$2:$A$7,TRIM($J149))=0,"",INDEX('Skill Mapping'!$B$2:$B$7,MATCH(TRIM($J149),'Skill Mapping'!$A$2:$A$7,0))))</f>
        <v/>
      </c>
      <c r="L149" s="46" t="str">
        <f aca="false">IF($H149="","",'Survey Response'!$L147)</f>
        <v/>
      </c>
      <c r="M149" s="46" t="str">
        <f aca="false">IF($L149="","",IF(COUNTIF('Skill Mapping'!$A$2:$A$7,TRIM($L149))=0,"",INDEX('Skill Mapping'!$B$2:$B$7,MATCH(TRIM($L149),'Skill Mapping'!$A$2:$A$7,0))))</f>
        <v/>
      </c>
      <c r="N149" s="46" t="str">
        <f aca="false">IF($H149="","",'Survey Response'!$M147)</f>
        <v/>
      </c>
      <c r="O149" s="46" t="str">
        <f aca="false">IF($H149="","",IF('Survey Response'!$M147="Manager","R2","R1"))</f>
        <v/>
      </c>
      <c r="P149" s="46" t="str">
        <f aca="false">IF($K149="","No",IF(COUNTIFS(MasterPanel!$B:$B,$H149,MasterPanel!$I:$I,$K149,MasterPanel!$K:$K,"Y")&gt;0,"Yes","No"))</f>
        <v>No</v>
      </c>
      <c r="Q149" s="46" t="n">
        <f aca="false">IF($K149="",0,IF(COUNTIF('Gap Sheet'!$A$6:$A$11,TRIM($J149))=0,0,IF($O149="R1",INDEX('Gap Sheet'!$C$6:$C$11,MATCH(TRIM($J149),'Gap Sheet'!$A$6:$A$11,0)),INDEX('Gap Sheet'!$G$6:$G$11,MATCH(TRIM($J149),'Gap Sheet'!$A$6:$A$11,0)))))</f>
        <v>0</v>
      </c>
      <c r="R149" s="46" t="str">
        <f aca="false">IF($K149="","",$K149&amp;"|"&amp;$O149)</f>
        <v/>
      </c>
      <c r="S149" s="46" t="n">
        <f aca="false">IF($R149="",0,COUNTIF($AA$4:$AA148,$R149))</f>
        <v>0</v>
      </c>
      <c r="T149" s="46" t="str">
        <f aca="false">IF(OR($I149&lt;&gt;"Yes, I'm available for in-person interviews at Chennai",$E149&lt;&gt;"Yes",$P149&lt;&gt;"Yes"),"No",IF(($Q149-$S149)&gt;0,"Yes","No"))</f>
        <v>No</v>
      </c>
      <c r="U149" s="46" t="str">
        <f aca="false">IF($M149="","No",IF(COUNTIFS(MasterPanel!$B:$B,$H149,MasterPanel!$I:$I,$M149,MasterPanel!$K:$K,"Y")&gt;0,"Yes","No"))</f>
        <v>No</v>
      </c>
      <c r="V149" s="46" t="n">
        <f aca="false">IF($M149="",0,IF(COUNTIF('Gap Sheet'!$A$6:$A$11,TRIM($L149))=0,0,IF($O149="R1",INDEX('Gap Sheet'!$C$6:$C$11,MATCH(TRIM($L149),'Gap Sheet'!$A$6:$A$11,0)),INDEX('Gap Sheet'!$G$6:$G$11,MATCH(TRIM($L149),'Gap Sheet'!$A$6:$A$11,0)))))</f>
        <v>0</v>
      </c>
      <c r="W149" s="46" t="str">
        <f aca="false">IF($M149="","",$M149&amp;"|"&amp;$O149)</f>
        <v/>
      </c>
      <c r="X149" s="46" t="n">
        <f aca="false">IF($W149="",0,COUNTIF($AA$4:$AA148,$W149))</f>
        <v>0</v>
      </c>
      <c r="Y149" s="46" t="str">
        <f aca="false">IF(OR($I149&lt;&gt;"Yes, I'm available for in-person interviews at Chennai",$E149&lt;&gt;"Yes",$T149="Yes",$U149&lt;&gt;"Yes"),"No",IF(($V149-$X149)&gt;0,"Yes","No"))</f>
        <v>No</v>
      </c>
      <c r="Z149" s="46" t="str">
        <f aca="false">IF($T149="Yes","Primary",IF($Y149="Yes","Secondary",""))</f>
        <v/>
      </c>
      <c r="AA149" s="46" t="str">
        <f aca="false">IF($Z149="Primary",$R149,IF($Z149="Secondary",$W149,""))</f>
        <v/>
      </c>
      <c r="AB149" s="46" t="str">
        <f aca="false">IF($Z149="Primary","Matched on primary skill",IF($Z149="Secondary","Matched on secondary skill (primary not approved or not required)",""))</f>
        <v/>
      </c>
      <c r="AC149" s="47" t="str">
        <f aca="false">IF($D149="Panel Details",$F149,"")</f>
        <v/>
      </c>
      <c r="AD149" s="46" t="str">
        <f aca="false">IF($D149="Panel Details",'Survey Response'!$D147,"")</f>
        <v/>
      </c>
      <c r="AE149" s="46" t="str">
        <f aca="false">IF($D149="Panel Details",'Survey Response'!$E147,"")</f>
        <v/>
      </c>
      <c r="AF149" s="46" t="str">
        <f aca="false">IF($D149="Panel Details",'Survey Response'!$G147,"")</f>
        <v/>
      </c>
      <c r="AG149" s="46" t="str">
        <f aca="false">IF($D149="Panel Details",IF($Z149="Primary",$J149,$L149),"")</f>
        <v/>
      </c>
      <c r="AH149" s="46" t="str">
        <f aca="false">IF($D149="Panel Details",IF($Z149="Primary",$L149,$J149),"")</f>
        <v/>
      </c>
      <c r="AI149" s="46" t="str">
        <f aca="false">IF($D149="Panel Details",'Survey Response'!$H147,"")</f>
        <v/>
      </c>
      <c r="AJ149" s="46" t="str">
        <f aca="false">IF($D149="Panel Details",'Survey Response'!$M147,"")</f>
        <v/>
      </c>
      <c r="AK149" s="46" t="str">
        <f aca="false">IF($D149="Panel Details",$O149,"")</f>
        <v/>
      </c>
      <c r="AL149" s="46" t="str">
        <f aca="false">IF($D149="Panel Details",8,"")</f>
        <v/>
      </c>
      <c r="AM149" s="46" t="str">
        <f aca="false">IF($D149="Panel Details",$AB149,"")</f>
        <v/>
      </c>
      <c r="AN149" s="46" t="str">
        <f aca="false">IF($D149="Panel Details","Yes","")</f>
        <v/>
      </c>
      <c r="AO149" s="46"/>
      <c r="AP149" s="46" t="str">
        <f aca="false">IF($D149="Followup",'Survey Response'!$D147,"")</f>
        <v/>
      </c>
      <c r="AQ149" s="46" t="str">
        <f aca="false">IF($D149="Followup",'Survey Response'!$E147,"")</f>
        <v/>
      </c>
      <c r="AR149" s="46" t="str">
        <f aca="false">IF($D149="Followup",'Survey Response'!$G147,"")</f>
        <v/>
      </c>
      <c r="AS149" s="46" t="str">
        <f aca="false">IF($D149="Followup",'Survey Response'!$H147,"")</f>
        <v/>
      </c>
      <c r="AT149" s="46" t="str">
        <f aca="false">IF($D149="Followup",'Survey Response'!$M147,"")</f>
        <v/>
      </c>
      <c r="AU149" s="46" t="str">
        <f aca="false">IF($D149="Followup",'Survey Response'!$K147,"")</f>
        <v/>
      </c>
      <c r="AV149" s="46" t="str">
        <f aca="false">IF($D149="Followup",'Survey Response'!$L147,"")</f>
        <v/>
      </c>
      <c r="AW149" s="46" t="str">
        <f aca="false">IF($D149="Followup",IF(AND($P149&lt;&gt;"Yes",$U149&lt;&gt;"Yes"),"Not approved for primary or secondary skill","Approved, but skill(s) no longer have capacity (fully staffed)"),"")</f>
        <v/>
      </c>
    </row>
    <row r="150" customFormat="false" ht="15" hidden="false" customHeight="true" outlineLevel="0" collapsed="false">
      <c r="A150" s="46" t="str">
        <f aca="false">IF('Survey Response'!$D148="","",'Survey Response'!$A148&amp;"|"&amp;LOWER(TRIM('Survey Response'!$D148)))</f>
        <v/>
      </c>
      <c r="B150" s="46" t="str">
        <f aca="false">IF($H150="","",$F150&amp;"|"&amp;$H150)</f>
        <v/>
      </c>
      <c r="C150" s="46" t="str">
        <f aca="false">IF($H150="","",$A150=$B150)</f>
        <v/>
      </c>
      <c r="D150" s="46" t="str">
        <f aca="false">IF($H150="","",IF($E150&lt;&gt;"Yes","Superseded",IF($I150&lt;&gt;"Yes, I'm available for in-person interviews at Chennai","Not Available",IF($Z150&lt;&gt;"","Panel Details","Followup"))))</f>
        <v/>
      </c>
      <c r="E150" s="46" t="str">
        <f aca="false">IF($H150="","",IF(SUMPRODUCT(($H$4:$H$503=$H150)*(($G$4:$G$503&gt;$G150)+($G$4:$G$503=$G150)*($F$4:$F$503&gt;$F150)))=0,"Yes","No"))</f>
        <v/>
      </c>
      <c r="F150" s="47" t="str">
        <f aca="false">IF('Survey Response'!$D148="","",INT('Survey Response'!$A148))</f>
        <v/>
      </c>
      <c r="G150" s="46" t="str">
        <f aca="false">IF('Survey Response'!$D148="","",'Survey Response'!$C148)</f>
        <v/>
      </c>
      <c r="H150" s="46" t="str">
        <f aca="false">IF('Survey Response'!$D148="","",LOWER(TRIM('Survey Response'!$D148)))</f>
        <v/>
      </c>
      <c r="I150" s="46" t="str">
        <f aca="false">IF($H150="","",'Survey Response'!$I148)</f>
        <v/>
      </c>
      <c r="J150" s="46" t="str">
        <f aca="false">IF($H150="","",'Survey Response'!$K148)</f>
        <v/>
      </c>
      <c r="K150" s="46" t="str">
        <f aca="false">IF($J150="","",IF(COUNTIF('Skill Mapping'!$A$2:$A$7,TRIM($J150))=0,"",INDEX('Skill Mapping'!$B$2:$B$7,MATCH(TRIM($J150),'Skill Mapping'!$A$2:$A$7,0))))</f>
        <v/>
      </c>
      <c r="L150" s="46" t="str">
        <f aca="false">IF($H150="","",'Survey Response'!$L148)</f>
        <v/>
      </c>
      <c r="M150" s="46" t="str">
        <f aca="false">IF($L150="","",IF(COUNTIF('Skill Mapping'!$A$2:$A$7,TRIM($L150))=0,"",INDEX('Skill Mapping'!$B$2:$B$7,MATCH(TRIM($L150),'Skill Mapping'!$A$2:$A$7,0))))</f>
        <v/>
      </c>
      <c r="N150" s="46" t="str">
        <f aca="false">IF($H150="","",'Survey Response'!$M148)</f>
        <v/>
      </c>
      <c r="O150" s="46" t="str">
        <f aca="false">IF($H150="","",IF('Survey Response'!$M148="Manager","R2","R1"))</f>
        <v/>
      </c>
      <c r="P150" s="46" t="str">
        <f aca="false">IF($K150="","No",IF(COUNTIFS(MasterPanel!$B:$B,$H150,MasterPanel!$I:$I,$K150,MasterPanel!$K:$K,"Y")&gt;0,"Yes","No"))</f>
        <v>No</v>
      </c>
      <c r="Q150" s="46" t="n">
        <f aca="false">IF($K150="",0,IF(COUNTIF('Gap Sheet'!$A$6:$A$11,TRIM($J150))=0,0,IF($O150="R1",INDEX('Gap Sheet'!$C$6:$C$11,MATCH(TRIM($J150),'Gap Sheet'!$A$6:$A$11,0)),INDEX('Gap Sheet'!$G$6:$G$11,MATCH(TRIM($J150),'Gap Sheet'!$A$6:$A$11,0)))))</f>
        <v>0</v>
      </c>
      <c r="R150" s="46" t="str">
        <f aca="false">IF($K150="","",$K150&amp;"|"&amp;$O150)</f>
        <v/>
      </c>
      <c r="S150" s="46" t="n">
        <f aca="false">IF($R150="",0,COUNTIF($AA$4:$AA149,$R150))</f>
        <v>0</v>
      </c>
      <c r="T150" s="46" t="str">
        <f aca="false">IF(OR($I150&lt;&gt;"Yes, I'm available for in-person interviews at Chennai",$E150&lt;&gt;"Yes",$P150&lt;&gt;"Yes"),"No",IF(($Q150-$S150)&gt;0,"Yes","No"))</f>
        <v>No</v>
      </c>
      <c r="U150" s="46" t="str">
        <f aca="false">IF($M150="","No",IF(COUNTIFS(MasterPanel!$B:$B,$H150,MasterPanel!$I:$I,$M150,MasterPanel!$K:$K,"Y")&gt;0,"Yes","No"))</f>
        <v>No</v>
      </c>
      <c r="V150" s="46" t="n">
        <f aca="false">IF($M150="",0,IF(COUNTIF('Gap Sheet'!$A$6:$A$11,TRIM($L150))=0,0,IF($O150="R1",INDEX('Gap Sheet'!$C$6:$C$11,MATCH(TRIM($L150),'Gap Sheet'!$A$6:$A$11,0)),INDEX('Gap Sheet'!$G$6:$G$11,MATCH(TRIM($L150),'Gap Sheet'!$A$6:$A$11,0)))))</f>
        <v>0</v>
      </c>
      <c r="W150" s="46" t="str">
        <f aca="false">IF($M150="","",$M150&amp;"|"&amp;$O150)</f>
        <v/>
      </c>
      <c r="X150" s="46" t="n">
        <f aca="false">IF($W150="",0,COUNTIF($AA$4:$AA149,$W150))</f>
        <v>0</v>
      </c>
      <c r="Y150" s="46" t="str">
        <f aca="false">IF(OR($I150&lt;&gt;"Yes, I'm available for in-person interviews at Chennai",$E150&lt;&gt;"Yes",$T150="Yes",$U150&lt;&gt;"Yes"),"No",IF(($V150-$X150)&gt;0,"Yes","No"))</f>
        <v>No</v>
      </c>
      <c r="Z150" s="46" t="str">
        <f aca="false">IF($T150="Yes","Primary",IF($Y150="Yes","Secondary",""))</f>
        <v/>
      </c>
      <c r="AA150" s="46" t="str">
        <f aca="false">IF($Z150="Primary",$R150,IF($Z150="Secondary",$W150,""))</f>
        <v/>
      </c>
      <c r="AB150" s="46" t="str">
        <f aca="false">IF($Z150="Primary","Matched on primary skill",IF($Z150="Secondary","Matched on secondary skill (primary not approved or not required)",""))</f>
        <v/>
      </c>
      <c r="AC150" s="47" t="str">
        <f aca="false">IF($D150="Panel Details",$F150,"")</f>
        <v/>
      </c>
      <c r="AD150" s="46" t="str">
        <f aca="false">IF($D150="Panel Details",'Survey Response'!$D148,"")</f>
        <v/>
      </c>
      <c r="AE150" s="46" t="str">
        <f aca="false">IF($D150="Panel Details",'Survey Response'!$E148,"")</f>
        <v/>
      </c>
      <c r="AF150" s="46" t="str">
        <f aca="false">IF($D150="Panel Details",'Survey Response'!$G148,"")</f>
        <v/>
      </c>
      <c r="AG150" s="46" t="str">
        <f aca="false">IF($D150="Panel Details",IF($Z150="Primary",$J150,$L150),"")</f>
        <v/>
      </c>
      <c r="AH150" s="46" t="str">
        <f aca="false">IF($D150="Panel Details",IF($Z150="Primary",$L150,$J150),"")</f>
        <v/>
      </c>
      <c r="AI150" s="46" t="str">
        <f aca="false">IF($D150="Panel Details",'Survey Response'!$H148,"")</f>
        <v/>
      </c>
      <c r="AJ150" s="46" t="str">
        <f aca="false">IF($D150="Panel Details",'Survey Response'!$M148,"")</f>
        <v/>
      </c>
      <c r="AK150" s="46" t="str">
        <f aca="false">IF($D150="Panel Details",$O150,"")</f>
        <v/>
      </c>
      <c r="AL150" s="46" t="str">
        <f aca="false">IF($D150="Panel Details",8,"")</f>
        <v/>
      </c>
      <c r="AM150" s="46" t="str">
        <f aca="false">IF($D150="Panel Details",$AB150,"")</f>
        <v/>
      </c>
      <c r="AN150" s="46" t="str">
        <f aca="false">IF($D150="Panel Details","Yes","")</f>
        <v/>
      </c>
      <c r="AO150" s="46"/>
      <c r="AP150" s="46" t="str">
        <f aca="false">IF($D150="Followup",'Survey Response'!$D148,"")</f>
        <v/>
      </c>
      <c r="AQ150" s="46" t="str">
        <f aca="false">IF($D150="Followup",'Survey Response'!$E148,"")</f>
        <v/>
      </c>
      <c r="AR150" s="46" t="str">
        <f aca="false">IF($D150="Followup",'Survey Response'!$G148,"")</f>
        <v/>
      </c>
      <c r="AS150" s="46" t="str">
        <f aca="false">IF($D150="Followup",'Survey Response'!$H148,"")</f>
        <v/>
      </c>
      <c r="AT150" s="46" t="str">
        <f aca="false">IF($D150="Followup",'Survey Response'!$M148,"")</f>
        <v/>
      </c>
      <c r="AU150" s="46" t="str">
        <f aca="false">IF($D150="Followup",'Survey Response'!$K148,"")</f>
        <v/>
      </c>
      <c r="AV150" s="46" t="str">
        <f aca="false">IF($D150="Followup",'Survey Response'!$L148,"")</f>
        <v/>
      </c>
      <c r="AW150" s="46" t="str">
        <f aca="false">IF($D150="Followup",IF(AND($P150&lt;&gt;"Yes",$U150&lt;&gt;"Yes"),"Not approved for primary or secondary skill","Approved, but skill(s) no longer have capacity (fully staffed)"),"")</f>
        <v/>
      </c>
    </row>
    <row r="151" customFormat="false" ht="15" hidden="false" customHeight="true" outlineLevel="0" collapsed="false">
      <c r="A151" s="46" t="str">
        <f aca="false">IF('Survey Response'!$D149="","",'Survey Response'!$A149&amp;"|"&amp;LOWER(TRIM('Survey Response'!$D149)))</f>
        <v/>
      </c>
      <c r="B151" s="46" t="str">
        <f aca="false">IF($H151="","",$F151&amp;"|"&amp;$H151)</f>
        <v/>
      </c>
      <c r="C151" s="46" t="str">
        <f aca="false">IF($H151="","",$A151=$B151)</f>
        <v/>
      </c>
      <c r="D151" s="46" t="str">
        <f aca="false">IF($H151="","",IF($E151&lt;&gt;"Yes","Superseded",IF($I151&lt;&gt;"Yes, I'm available for in-person interviews at Chennai","Not Available",IF($Z151&lt;&gt;"","Panel Details","Followup"))))</f>
        <v/>
      </c>
      <c r="E151" s="46" t="str">
        <f aca="false">IF($H151="","",IF(SUMPRODUCT(($H$4:$H$503=$H151)*(($G$4:$G$503&gt;$G151)+($G$4:$G$503=$G151)*($F$4:$F$503&gt;$F151)))=0,"Yes","No"))</f>
        <v/>
      </c>
      <c r="F151" s="47" t="str">
        <f aca="false">IF('Survey Response'!$D149="","",INT('Survey Response'!$A149))</f>
        <v/>
      </c>
      <c r="G151" s="46" t="str">
        <f aca="false">IF('Survey Response'!$D149="","",'Survey Response'!$C149)</f>
        <v/>
      </c>
      <c r="H151" s="46" t="str">
        <f aca="false">IF('Survey Response'!$D149="","",LOWER(TRIM('Survey Response'!$D149)))</f>
        <v/>
      </c>
      <c r="I151" s="46" t="str">
        <f aca="false">IF($H151="","",'Survey Response'!$I149)</f>
        <v/>
      </c>
      <c r="J151" s="46" t="str">
        <f aca="false">IF($H151="","",'Survey Response'!$K149)</f>
        <v/>
      </c>
      <c r="K151" s="46" t="str">
        <f aca="false">IF($J151="","",IF(COUNTIF('Skill Mapping'!$A$2:$A$7,TRIM($J151))=0,"",INDEX('Skill Mapping'!$B$2:$B$7,MATCH(TRIM($J151),'Skill Mapping'!$A$2:$A$7,0))))</f>
        <v/>
      </c>
      <c r="L151" s="46" t="str">
        <f aca="false">IF($H151="","",'Survey Response'!$L149)</f>
        <v/>
      </c>
      <c r="M151" s="46" t="str">
        <f aca="false">IF($L151="","",IF(COUNTIF('Skill Mapping'!$A$2:$A$7,TRIM($L151))=0,"",INDEX('Skill Mapping'!$B$2:$B$7,MATCH(TRIM($L151),'Skill Mapping'!$A$2:$A$7,0))))</f>
        <v/>
      </c>
      <c r="N151" s="46" t="str">
        <f aca="false">IF($H151="","",'Survey Response'!$M149)</f>
        <v/>
      </c>
      <c r="O151" s="46" t="str">
        <f aca="false">IF($H151="","",IF('Survey Response'!$M149="Manager","R2","R1"))</f>
        <v/>
      </c>
      <c r="P151" s="46" t="str">
        <f aca="false">IF($K151="","No",IF(COUNTIFS(MasterPanel!$B:$B,$H151,MasterPanel!$I:$I,$K151,MasterPanel!$K:$K,"Y")&gt;0,"Yes","No"))</f>
        <v>No</v>
      </c>
      <c r="Q151" s="46" t="n">
        <f aca="false">IF($K151="",0,IF(COUNTIF('Gap Sheet'!$A$6:$A$11,TRIM($J151))=0,0,IF($O151="R1",INDEX('Gap Sheet'!$C$6:$C$11,MATCH(TRIM($J151),'Gap Sheet'!$A$6:$A$11,0)),INDEX('Gap Sheet'!$G$6:$G$11,MATCH(TRIM($J151),'Gap Sheet'!$A$6:$A$11,0)))))</f>
        <v>0</v>
      </c>
      <c r="R151" s="46" t="str">
        <f aca="false">IF($K151="","",$K151&amp;"|"&amp;$O151)</f>
        <v/>
      </c>
      <c r="S151" s="46" t="n">
        <f aca="false">IF($R151="",0,COUNTIF($AA$4:$AA150,$R151))</f>
        <v>0</v>
      </c>
      <c r="T151" s="46" t="str">
        <f aca="false">IF(OR($I151&lt;&gt;"Yes, I'm available for in-person interviews at Chennai",$E151&lt;&gt;"Yes",$P151&lt;&gt;"Yes"),"No",IF(($Q151-$S151)&gt;0,"Yes","No"))</f>
        <v>No</v>
      </c>
      <c r="U151" s="46" t="str">
        <f aca="false">IF($M151="","No",IF(COUNTIFS(MasterPanel!$B:$B,$H151,MasterPanel!$I:$I,$M151,MasterPanel!$K:$K,"Y")&gt;0,"Yes","No"))</f>
        <v>No</v>
      </c>
      <c r="V151" s="46" t="n">
        <f aca="false">IF($M151="",0,IF(COUNTIF('Gap Sheet'!$A$6:$A$11,TRIM($L151))=0,0,IF($O151="R1",INDEX('Gap Sheet'!$C$6:$C$11,MATCH(TRIM($L151),'Gap Sheet'!$A$6:$A$11,0)),INDEX('Gap Sheet'!$G$6:$G$11,MATCH(TRIM($L151),'Gap Sheet'!$A$6:$A$11,0)))))</f>
        <v>0</v>
      </c>
      <c r="W151" s="46" t="str">
        <f aca="false">IF($M151="","",$M151&amp;"|"&amp;$O151)</f>
        <v/>
      </c>
      <c r="X151" s="46" t="n">
        <f aca="false">IF($W151="",0,COUNTIF($AA$4:$AA150,$W151))</f>
        <v>0</v>
      </c>
      <c r="Y151" s="46" t="str">
        <f aca="false">IF(OR($I151&lt;&gt;"Yes, I'm available for in-person interviews at Chennai",$E151&lt;&gt;"Yes",$T151="Yes",$U151&lt;&gt;"Yes"),"No",IF(($V151-$X151)&gt;0,"Yes","No"))</f>
        <v>No</v>
      </c>
      <c r="Z151" s="46" t="str">
        <f aca="false">IF($T151="Yes","Primary",IF($Y151="Yes","Secondary",""))</f>
        <v/>
      </c>
      <c r="AA151" s="46" t="str">
        <f aca="false">IF($Z151="Primary",$R151,IF($Z151="Secondary",$W151,""))</f>
        <v/>
      </c>
      <c r="AB151" s="46" t="str">
        <f aca="false">IF($Z151="Primary","Matched on primary skill",IF($Z151="Secondary","Matched on secondary skill (primary not approved or not required)",""))</f>
        <v/>
      </c>
      <c r="AC151" s="47" t="str">
        <f aca="false">IF($D151="Panel Details",$F151,"")</f>
        <v/>
      </c>
      <c r="AD151" s="46" t="str">
        <f aca="false">IF($D151="Panel Details",'Survey Response'!$D149,"")</f>
        <v/>
      </c>
      <c r="AE151" s="46" t="str">
        <f aca="false">IF($D151="Panel Details",'Survey Response'!$E149,"")</f>
        <v/>
      </c>
      <c r="AF151" s="46" t="str">
        <f aca="false">IF($D151="Panel Details",'Survey Response'!$G149,"")</f>
        <v/>
      </c>
      <c r="AG151" s="46" t="str">
        <f aca="false">IF($D151="Panel Details",IF($Z151="Primary",$J151,$L151),"")</f>
        <v/>
      </c>
      <c r="AH151" s="46" t="str">
        <f aca="false">IF($D151="Panel Details",IF($Z151="Primary",$L151,$J151),"")</f>
        <v/>
      </c>
      <c r="AI151" s="46" t="str">
        <f aca="false">IF($D151="Panel Details",'Survey Response'!$H149,"")</f>
        <v/>
      </c>
      <c r="AJ151" s="46" t="str">
        <f aca="false">IF($D151="Panel Details",'Survey Response'!$M149,"")</f>
        <v/>
      </c>
      <c r="AK151" s="46" t="str">
        <f aca="false">IF($D151="Panel Details",$O151,"")</f>
        <v/>
      </c>
      <c r="AL151" s="46" t="str">
        <f aca="false">IF($D151="Panel Details",8,"")</f>
        <v/>
      </c>
      <c r="AM151" s="46" t="str">
        <f aca="false">IF($D151="Panel Details",$AB151,"")</f>
        <v/>
      </c>
      <c r="AN151" s="46" t="str">
        <f aca="false">IF($D151="Panel Details","Yes","")</f>
        <v/>
      </c>
      <c r="AO151" s="46"/>
      <c r="AP151" s="46" t="str">
        <f aca="false">IF($D151="Followup",'Survey Response'!$D149,"")</f>
        <v/>
      </c>
      <c r="AQ151" s="46" t="str">
        <f aca="false">IF($D151="Followup",'Survey Response'!$E149,"")</f>
        <v/>
      </c>
      <c r="AR151" s="46" t="str">
        <f aca="false">IF($D151="Followup",'Survey Response'!$G149,"")</f>
        <v/>
      </c>
      <c r="AS151" s="46" t="str">
        <f aca="false">IF($D151="Followup",'Survey Response'!$H149,"")</f>
        <v/>
      </c>
      <c r="AT151" s="46" t="str">
        <f aca="false">IF($D151="Followup",'Survey Response'!$M149,"")</f>
        <v/>
      </c>
      <c r="AU151" s="46" t="str">
        <f aca="false">IF($D151="Followup",'Survey Response'!$K149,"")</f>
        <v/>
      </c>
      <c r="AV151" s="46" t="str">
        <f aca="false">IF($D151="Followup",'Survey Response'!$L149,"")</f>
        <v/>
      </c>
      <c r="AW151" s="46" t="str">
        <f aca="false">IF($D151="Followup",IF(AND($P151&lt;&gt;"Yes",$U151&lt;&gt;"Yes"),"Not approved for primary or secondary skill","Approved, but skill(s) no longer have capacity (fully staffed)"),"")</f>
        <v/>
      </c>
    </row>
    <row r="152" customFormat="false" ht="15" hidden="false" customHeight="true" outlineLevel="0" collapsed="false">
      <c r="A152" s="46" t="str">
        <f aca="false">IF('Survey Response'!$D150="","",'Survey Response'!$A150&amp;"|"&amp;LOWER(TRIM('Survey Response'!$D150)))</f>
        <v/>
      </c>
      <c r="B152" s="46" t="str">
        <f aca="false">IF($H152="","",$F152&amp;"|"&amp;$H152)</f>
        <v/>
      </c>
      <c r="C152" s="46" t="str">
        <f aca="false">IF($H152="","",$A152=$B152)</f>
        <v/>
      </c>
      <c r="D152" s="46" t="str">
        <f aca="false">IF($H152="","",IF($E152&lt;&gt;"Yes","Superseded",IF($I152&lt;&gt;"Yes, I'm available for in-person interviews at Chennai","Not Available",IF($Z152&lt;&gt;"","Panel Details","Followup"))))</f>
        <v/>
      </c>
      <c r="E152" s="46" t="str">
        <f aca="false">IF($H152="","",IF(SUMPRODUCT(($H$4:$H$503=$H152)*(($G$4:$G$503&gt;$G152)+($G$4:$G$503=$G152)*($F$4:$F$503&gt;$F152)))=0,"Yes","No"))</f>
        <v/>
      </c>
      <c r="F152" s="47" t="str">
        <f aca="false">IF('Survey Response'!$D150="","",INT('Survey Response'!$A150))</f>
        <v/>
      </c>
      <c r="G152" s="46" t="str">
        <f aca="false">IF('Survey Response'!$D150="","",'Survey Response'!$C150)</f>
        <v/>
      </c>
      <c r="H152" s="46" t="str">
        <f aca="false">IF('Survey Response'!$D150="","",LOWER(TRIM('Survey Response'!$D150)))</f>
        <v/>
      </c>
      <c r="I152" s="46" t="str">
        <f aca="false">IF($H152="","",'Survey Response'!$I150)</f>
        <v/>
      </c>
      <c r="J152" s="46" t="str">
        <f aca="false">IF($H152="","",'Survey Response'!$K150)</f>
        <v/>
      </c>
      <c r="K152" s="46" t="str">
        <f aca="false">IF($J152="","",IF(COUNTIF('Skill Mapping'!$A$2:$A$7,TRIM($J152))=0,"",INDEX('Skill Mapping'!$B$2:$B$7,MATCH(TRIM($J152),'Skill Mapping'!$A$2:$A$7,0))))</f>
        <v/>
      </c>
      <c r="L152" s="46" t="str">
        <f aca="false">IF($H152="","",'Survey Response'!$L150)</f>
        <v/>
      </c>
      <c r="M152" s="46" t="str">
        <f aca="false">IF($L152="","",IF(COUNTIF('Skill Mapping'!$A$2:$A$7,TRIM($L152))=0,"",INDEX('Skill Mapping'!$B$2:$B$7,MATCH(TRIM($L152),'Skill Mapping'!$A$2:$A$7,0))))</f>
        <v/>
      </c>
      <c r="N152" s="46" t="str">
        <f aca="false">IF($H152="","",'Survey Response'!$M150)</f>
        <v/>
      </c>
      <c r="O152" s="46" t="str">
        <f aca="false">IF($H152="","",IF('Survey Response'!$M150="Manager","R2","R1"))</f>
        <v/>
      </c>
      <c r="P152" s="46" t="str">
        <f aca="false">IF($K152="","No",IF(COUNTIFS(MasterPanel!$B:$B,$H152,MasterPanel!$I:$I,$K152,MasterPanel!$K:$K,"Y")&gt;0,"Yes","No"))</f>
        <v>No</v>
      </c>
      <c r="Q152" s="46" t="n">
        <f aca="false">IF($K152="",0,IF(COUNTIF('Gap Sheet'!$A$6:$A$11,TRIM($J152))=0,0,IF($O152="R1",INDEX('Gap Sheet'!$C$6:$C$11,MATCH(TRIM($J152),'Gap Sheet'!$A$6:$A$11,0)),INDEX('Gap Sheet'!$G$6:$G$11,MATCH(TRIM($J152),'Gap Sheet'!$A$6:$A$11,0)))))</f>
        <v>0</v>
      </c>
      <c r="R152" s="46" t="str">
        <f aca="false">IF($K152="","",$K152&amp;"|"&amp;$O152)</f>
        <v/>
      </c>
      <c r="S152" s="46" t="n">
        <f aca="false">IF($R152="",0,COUNTIF($AA$4:$AA151,$R152))</f>
        <v>0</v>
      </c>
      <c r="T152" s="46" t="str">
        <f aca="false">IF(OR($I152&lt;&gt;"Yes, I'm available for in-person interviews at Chennai",$E152&lt;&gt;"Yes",$P152&lt;&gt;"Yes"),"No",IF(($Q152-$S152)&gt;0,"Yes","No"))</f>
        <v>No</v>
      </c>
      <c r="U152" s="46" t="str">
        <f aca="false">IF($M152="","No",IF(COUNTIFS(MasterPanel!$B:$B,$H152,MasterPanel!$I:$I,$M152,MasterPanel!$K:$K,"Y")&gt;0,"Yes","No"))</f>
        <v>No</v>
      </c>
      <c r="V152" s="46" t="n">
        <f aca="false">IF($M152="",0,IF(COUNTIF('Gap Sheet'!$A$6:$A$11,TRIM($L152))=0,0,IF($O152="R1",INDEX('Gap Sheet'!$C$6:$C$11,MATCH(TRIM($L152),'Gap Sheet'!$A$6:$A$11,0)),INDEX('Gap Sheet'!$G$6:$G$11,MATCH(TRIM($L152),'Gap Sheet'!$A$6:$A$11,0)))))</f>
        <v>0</v>
      </c>
      <c r="W152" s="46" t="str">
        <f aca="false">IF($M152="","",$M152&amp;"|"&amp;$O152)</f>
        <v/>
      </c>
      <c r="X152" s="46" t="n">
        <f aca="false">IF($W152="",0,COUNTIF($AA$4:$AA151,$W152))</f>
        <v>0</v>
      </c>
      <c r="Y152" s="46" t="str">
        <f aca="false">IF(OR($I152&lt;&gt;"Yes, I'm available for in-person interviews at Chennai",$E152&lt;&gt;"Yes",$T152="Yes",$U152&lt;&gt;"Yes"),"No",IF(($V152-$X152)&gt;0,"Yes","No"))</f>
        <v>No</v>
      </c>
      <c r="Z152" s="46" t="str">
        <f aca="false">IF($T152="Yes","Primary",IF($Y152="Yes","Secondary",""))</f>
        <v/>
      </c>
      <c r="AA152" s="46" t="str">
        <f aca="false">IF($Z152="Primary",$R152,IF($Z152="Secondary",$W152,""))</f>
        <v/>
      </c>
      <c r="AB152" s="46" t="str">
        <f aca="false">IF($Z152="Primary","Matched on primary skill",IF($Z152="Secondary","Matched on secondary skill (primary not approved or not required)",""))</f>
        <v/>
      </c>
      <c r="AC152" s="47" t="str">
        <f aca="false">IF($D152="Panel Details",$F152,"")</f>
        <v/>
      </c>
      <c r="AD152" s="46" t="str">
        <f aca="false">IF($D152="Panel Details",'Survey Response'!$D150,"")</f>
        <v/>
      </c>
      <c r="AE152" s="46" t="str">
        <f aca="false">IF($D152="Panel Details",'Survey Response'!$E150,"")</f>
        <v/>
      </c>
      <c r="AF152" s="46" t="str">
        <f aca="false">IF($D152="Panel Details",'Survey Response'!$G150,"")</f>
        <v/>
      </c>
      <c r="AG152" s="46" t="str">
        <f aca="false">IF($D152="Panel Details",IF($Z152="Primary",$J152,$L152),"")</f>
        <v/>
      </c>
      <c r="AH152" s="46" t="str">
        <f aca="false">IF($D152="Panel Details",IF($Z152="Primary",$L152,$J152),"")</f>
        <v/>
      </c>
      <c r="AI152" s="46" t="str">
        <f aca="false">IF($D152="Panel Details",'Survey Response'!$H150,"")</f>
        <v/>
      </c>
      <c r="AJ152" s="46" t="str">
        <f aca="false">IF($D152="Panel Details",'Survey Response'!$M150,"")</f>
        <v/>
      </c>
      <c r="AK152" s="46" t="str">
        <f aca="false">IF($D152="Panel Details",$O152,"")</f>
        <v/>
      </c>
      <c r="AL152" s="46" t="str">
        <f aca="false">IF($D152="Panel Details",8,"")</f>
        <v/>
      </c>
      <c r="AM152" s="46" t="str">
        <f aca="false">IF($D152="Panel Details",$AB152,"")</f>
        <v/>
      </c>
      <c r="AN152" s="46" t="str">
        <f aca="false">IF($D152="Panel Details","Yes","")</f>
        <v/>
      </c>
      <c r="AO152" s="46"/>
      <c r="AP152" s="46" t="str">
        <f aca="false">IF($D152="Followup",'Survey Response'!$D150,"")</f>
        <v/>
      </c>
      <c r="AQ152" s="46" t="str">
        <f aca="false">IF($D152="Followup",'Survey Response'!$E150,"")</f>
        <v/>
      </c>
      <c r="AR152" s="46" t="str">
        <f aca="false">IF($D152="Followup",'Survey Response'!$G150,"")</f>
        <v/>
      </c>
      <c r="AS152" s="46" t="str">
        <f aca="false">IF($D152="Followup",'Survey Response'!$H150,"")</f>
        <v/>
      </c>
      <c r="AT152" s="46" t="str">
        <f aca="false">IF($D152="Followup",'Survey Response'!$M150,"")</f>
        <v/>
      </c>
      <c r="AU152" s="46" t="str">
        <f aca="false">IF($D152="Followup",'Survey Response'!$K150,"")</f>
        <v/>
      </c>
      <c r="AV152" s="46" t="str">
        <f aca="false">IF($D152="Followup",'Survey Response'!$L150,"")</f>
        <v/>
      </c>
      <c r="AW152" s="46" t="str">
        <f aca="false">IF($D152="Followup",IF(AND($P152&lt;&gt;"Yes",$U152&lt;&gt;"Yes"),"Not approved for primary or secondary skill","Approved, but skill(s) no longer have capacity (fully staffed)"),"")</f>
        <v/>
      </c>
    </row>
    <row r="153" customFormat="false" ht="15" hidden="false" customHeight="true" outlineLevel="0" collapsed="false">
      <c r="A153" s="46" t="str">
        <f aca="false">IF('Survey Response'!$D151="","",'Survey Response'!$A151&amp;"|"&amp;LOWER(TRIM('Survey Response'!$D151)))</f>
        <v/>
      </c>
      <c r="B153" s="46" t="str">
        <f aca="false">IF($H153="","",$F153&amp;"|"&amp;$H153)</f>
        <v/>
      </c>
      <c r="C153" s="46" t="str">
        <f aca="false">IF($H153="","",$A153=$B153)</f>
        <v/>
      </c>
      <c r="D153" s="46" t="str">
        <f aca="false">IF($H153="","",IF($E153&lt;&gt;"Yes","Superseded",IF($I153&lt;&gt;"Yes, I'm available for in-person interviews at Chennai","Not Available",IF($Z153&lt;&gt;"","Panel Details","Followup"))))</f>
        <v/>
      </c>
      <c r="E153" s="46" t="str">
        <f aca="false">IF($H153="","",IF(SUMPRODUCT(($H$4:$H$503=$H153)*(($G$4:$G$503&gt;$G153)+($G$4:$G$503=$G153)*($F$4:$F$503&gt;$F153)))=0,"Yes","No"))</f>
        <v/>
      </c>
      <c r="F153" s="47" t="str">
        <f aca="false">IF('Survey Response'!$D151="","",INT('Survey Response'!$A151))</f>
        <v/>
      </c>
      <c r="G153" s="46" t="str">
        <f aca="false">IF('Survey Response'!$D151="","",'Survey Response'!$C151)</f>
        <v/>
      </c>
      <c r="H153" s="46" t="str">
        <f aca="false">IF('Survey Response'!$D151="","",LOWER(TRIM('Survey Response'!$D151)))</f>
        <v/>
      </c>
      <c r="I153" s="46" t="str">
        <f aca="false">IF($H153="","",'Survey Response'!$I151)</f>
        <v/>
      </c>
      <c r="J153" s="46" t="str">
        <f aca="false">IF($H153="","",'Survey Response'!$K151)</f>
        <v/>
      </c>
      <c r="K153" s="46" t="str">
        <f aca="false">IF($J153="","",IF(COUNTIF('Skill Mapping'!$A$2:$A$7,TRIM($J153))=0,"",INDEX('Skill Mapping'!$B$2:$B$7,MATCH(TRIM($J153),'Skill Mapping'!$A$2:$A$7,0))))</f>
        <v/>
      </c>
      <c r="L153" s="46" t="str">
        <f aca="false">IF($H153="","",'Survey Response'!$L151)</f>
        <v/>
      </c>
      <c r="M153" s="46" t="str">
        <f aca="false">IF($L153="","",IF(COUNTIF('Skill Mapping'!$A$2:$A$7,TRIM($L153))=0,"",INDEX('Skill Mapping'!$B$2:$B$7,MATCH(TRIM($L153),'Skill Mapping'!$A$2:$A$7,0))))</f>
        <v/>
      </c>
      <c r="N153" s="46" t="str">
        <f aca="false">IF($H153="","",'Survey Response'!$M151)</f>
        <v/>
      </c>
      <c r="O153" s="46" t="str">
        <f aca="false">IF($H153="","",IF('Survey Response'!$M151="Manager","R2","R1"))</f>
        <v/>
      </c>
      <c r="P153" s="46" t="str">
        <f aca="false">IF($K153="","No",IF(COUNTIFS(MasterPanel!$B:$B,$H153,MasterPanel!$I:$I,$K153,MasterPanel!$K:$K,"Y")&gt;0,"Yes","No"))</f>
        <v>No</v>
      </c>
      <c r="Q153" s="46" t="n">
        <f aca="false">IF($K153="",0,IF(COUNTIF('Gap Sheet'!$A$6:$A$11,TRIM($J153))=0,0,IF($O153="R1",INDEX('Gap Sheet'!$C$6:$C$11,MATCH(TRIM($J153),'Gap Sheet'!$A$6:$A$11,0)),INDEX('Gap Sheet'!$G$6:$G$11,MATCH(TRIM($J153),'Gap Sheet'!$A$6:$A$11,0)))))</f>
        <v>0</v>
      </c>
      <c r="R153" s="46" t="str">
        <f aca="false">IF($K153="","",$K153&amp;"|"&amp;$O153)</f>
        <v/>
      </c>
      <c r="S153" s="46" t="n">
        <f aca="false">IF($R153="",0,COUNTIF($AA$4:$AA152,$R153))</f>
        <v>0</v>
      </c>
      <c r="T153" s="46" t="str">
        <f aca="false">IF(OR($I153&lt;&gt;"Yes, I'm available for in-person interviews at Chennai",$E153&lt;&gt;"Yes",$P153&lt;&gt;"Yes"),"No",IF(($Q153-$S153)&gt;0,"Yes","No"))</f>
        <v>No</v>
      </c>
      <c r="U153" s="46" t="str">
        <f aca="false">IF($M153="","No",IF(COUNTIFS(MasterPanel!$B:$B,$H153,MasterPanel!$I:$I,$M153,MasterPanel!$K:$K,"Y")&gt;0,"Yes","No"))</f>
        <v>No</v>
      </c>
      <c r="V153" s="46" t="n">
        <f aca="false">IF($M153="",0,IF(COUNTIF('Gap Sheet'!$A$6:$A$11,TRIM($L153))=0,0,IF($O153="R1",INDEX('Gap Sheet'!$C$6:$C$11,MATCH(TRIM($L153),'Gap Sheet'!$A$6:$A$11,0)),INDEX('Gap Sheet'!$G$6:$G$11,MATCH(TRIM($L153),'Gap Sheet'!$A$6:$A$11,0)))))</f>
        <v>0</v>
      </c>
      <c r="W153" s="46" t="str">
        <f aca="false">IF($M153="","",$M153&amp;"|"&amp;$O153)</f>
        <v/>
      </c>
      <c r="X153" s="46" t="n">
        <f aca="false">IF($W153="",0,COUNTIF($AA$4:$AA152,$W153))</f>
        <v>0</v>
      </c>
      <c r="Y153" s="46" t="str">
        <f aca="false">IF(OR($I153&lt;&gt;"Yes, I'm available for in-person interviews at Chennai",$E153&lt;&gt;"Yes",$T153="Yes",$U153&lt;&gt;"Yes"),"No",IF(($V153-$X153)&gt;0,"Yes","No"))</f>
        <v>No</v>
      </c>
      <c r="Z153" s="46" t="str">
        <f aca="false">IF($T153="Yes","Primary",IF($Y153="Yes","Secondary",""))</f>
        <v/>
      </c>
      <c r="AA153" s="46" t="str">
        <f aca="false">IF($Z153="Primary",$R153,IF($Z153="Secondary",$W153,""))</f>
        <v/>
      </c>
      <c r="AB153" s="46" t="str">
        <f aca="false">IF($Z153="Primary","Matched on primary skill",IF($Z153="Secondary","Matched on secondary skill (primary not approved or not required)",""))</f>
        <v/>
      </c>
      <c r="AC153" s="47" t="str">
        <f aca="false">IF($D153="Panel Details",$F153,"")</f>
        <v/>
      </c>
      <c r="AD153" s="46" t="str">
        <f aca="false">IF($D153="Panel Details",'Survey Response'!$D151,"")</f>
        <v/>
      </c>
      <c r="AE153" s="46" t="str">
        <f aca="false">IF($D153="Panel Details",'Survey Response'!$E151,"")</f>
        <v/>
      </c>
      <c r="AF153" s="46" t="str">
        <f aca="false">IF($D153="Panel Details",'Survey Response'!$G151,"")</f>
        <v/>
      </c>
      <c r="AG153" s="46" t="str">
        <f aca="false">IF($D153="Panel Details",IF($Z153="Primary",$J153,$L153),"")</f>
        <v/>
      </c>
      <c r="AH153" s="46" t="str">
        <f aca="false">IF($D153="Panel Details",IF($Z153="Primary",$L153,$J153),"")</f>
        <v/>
      </c>
      <c r="AI153" s="46" t="str">
        <f aca="false">IF($D153="Panel Details",'Survey Response'!$H151,"")</f>
        <v/>
      </c>
      <c r="AJ153" s="46" t="str">
        <f aca="false">IF($D153="Panel Details",'Survey Response'!$M151,"")</f>
        <v/>
      </c>
      <c r="AK153" s="46" t="str">
        <f aca="false">IF($D153="Panel Details",$O153,"")</f>
        <v/>
      </c>
      <c r="AL153" s="46" t="str">
        <f aca="false">IF($D153="Panel Details",8,"")</f>
        <v/>
      </c>
      <c r="AM153" s="46" t="str">
        <f aca="false">IF($D153="Panel Details",$AB153,"")</f>
        <v/>
      </c>
      <c r="AN153" s="46" t="str">
        <f aca="false">IF($D153="Panel Details","Yes","")</f>
        <v/>
      </c>
      <c r="AO153" s="46"/>
      <c r="AP153" s="46" t="str">
        <f aca="false">IF($D153="Followup",'Survey Response'!$D151,"")</f>
        <v/>
      </c>
      <c r="AQ153" s="46" t="str">
        <f aca="false">IF($D153="Followup",'Survey Response'!$E151,"")</f>
        <v/>
      </c>
      <c r="AR153" s="46" t="str">
        <f aca="false">IF($D153="Followup",'Survey Response'!$G151,"")</f>
        <v/>
      </c>
      <c r="AS153" s="46" t="str">
        <f aca="false">IF($D153="Followup",'Survey Response'!$H151,"")</f>
        <v/>
      </c>
      <c r="AT153" s="46" t="str">
        <f aca="false">IF($D153="Followup",'Survey Response'!$M151,"")</f>
        <v/>
      </c>
      <c r="AU153" s="46" t="str">
        <f aca="false">IF($D153="Followup",'Survey Response'!$K151,"")</f>
        <v/>
      </c>
      <c r="AV153" s="46" t="str">
        <f aca="false">IF($D153="Followup",'Survey Response'!$L151,"")</f>
        <v/>
      </c>
      <c r="AW153" s="46" t="str">
        <f aca="false">IF($D153="Followup",IF(AND($P153&lt;&gt;"Yes",$U153&lt;&gt;"Yes"),"Not approved for primary or secondary skill","Approved, but skill(s) no longer have capacity (fully staffed)"),"")</f>
        <v/>
      </c>
    </row>
    <row r="154" customFormat="false" ht="15" hidden="false" customHeight="true" outlineLevel="0" collapsed="false">
      <c r="A154" s="46" t="str">
        <f aca="false">IF('Survey Response'!$D152="","",'Survey Response'!$A152&amp;"|"&amp;LOWER(TRIM('Survey Response'!$D152)))</f>
        <v/>
      </c>
      <c r="B154" s="46" t="str">
        <f aca="false">IF($H154="","",$F154&amp;"|"&amp;$H154)</f>
        <v/>
      </c>
      <c r="C154" s="46" t="str">
        <f aca="false">IF($H154="","",$A154=$B154)</f>
        <v/>
      </c>
      <c r="D154" s="46" t="str">
        <f aca="false">IF($H154="","",IF($E154&lt;&gt;"Yes","Superseded",IF($I154&lt;&gt;"Yes, I'm available for in-person interviews at Chennai","Not Available",IF($Z154&lt;&gt;"","Panel Details","Followup"))))</f>
        <v/>
      </c>
      <c r="E154" s="46" t="str">
        <f aca="false">IF($H154="","",IF(SUMPRODUCT(($H$4:$H$503=$H154)*(($G$4:$G$503&gt;$G154)+($G$4:$G$503=$G154)*($F$4:$F$503&gt;$F154)))=0,"Yes","No"))</f>
        <v/>
      </c>
      <c r="F154" s="47" t="str">
        <f aca="false">IF('Survey Response'!$D152="","",INT('Survey Response'!$A152))</f>
        <v/>
      </c>
      <c r="G154" s="46" t="str">
        <f aca="false">IF('Survey Response'!$D152="","",'Survey Response'!$C152)</f>
        <v/>
      </c>
      <c r="H154" s="46" t="str">
        <f aca="false">IF('Survey Response'!$D152="","",LOWER(TRIM('Survey Response'!$D152)))</f>
        <v/>
      </c>
      <c r="I154" s="46" t="str">
        <f aca="false">IF($H154="","",'Survey Response'!$I152)</f>
        <v/>
      </c>
      <c r="J154" s="46" t="str">
        <f aca="false">IF($H154="","",'Survey Response'!$K152)</f>
        <v/>
      </c>
      <c r="K154" s="46" t="str">
        <f aca="false">IF($J154="","",IF(COUNTIF('Skill Mapping'!$A$2:$A$7,TRIM($J154))=0,"",INDEX('Skill Mapping'!$B$2:$B$7,MATCH(TRIM($J154),'Skill Mapping'!$A$2:$A$7,0))))</f>
        <v/>
      </c>
      <c r="L154" s="46" t="str">
        <f aca="false">IF($H154="","",'Survey Response'!$L152)</f>
        <v/>
      </c>
      <c r="M154" s="46" t="str">
        <f aca="false">IF($L154="","",IF(COUNTIF('Skill Mapping'!$A$2:$A$7,TRIM($L154))=0,"",INDEX('Skill Mapping'!$B$2:$B$7,MATCH(TRIM($L154),'Skill Mapping'!$A$2:$A$7,0))))</f>
        <v/>
      </c>
      <c r="N154" s="46" t="str">
        <f aca="false">IF($H154="","",'Survey Response'!$M152)</f>
        <v/>
      </c>
      <c r="O154" s="46" t="str">
        <f aca="false">IF($H154="","",IF('Survey Response'!$M152="Manager","R2","R1"))</f>
        <v/>
      </c>
      <c r="P154" s="46" t="str">
        <f aca="false">IF($K154="","No",IF(COUNTIFS(MasterPanel!$B:$B,$H154,MasterPanel!$I:$I,$K154,MasterPanel!$K:$K,"Y")&gt;0,"Yes","No"))</f>
        <v>No</v>
      </c>
      <c r="Q154" s="46" t="n">
        <f aca="false">IF($K154="",0,IF(COUNTIF('Gap Sheet'!$A$6:$A$11,TRIM($J154))=0,0,IF($O154="R1",INDEX('Gap Sheet'!$C$6:$C$11,MATCH(TRIM($J154),'Gap Sheet'!$A$6:$A$11,0)),INDEX('Gap Sheet'!$G$6:$G$11,MATCH(TRIM($J154),'Gap Sheet'!$A$6:$A$11,0)))))</f>
        <v>0</v>
      </c>
      <c r="R154" s="46" t="str">
        <f aca="false">IF($K154="","",$K154&amp;"|"&amp;$O154)</f>
        <v/>
      </c>
      <c r="S154" s="46" t="n">
        <f aca="false">IF($R154="",0,COUNTIF($AA$4:$AA153,$R154))</f>
        <v>0</v>
      </c>
      <c r="T154" s="46" t="str">
        <f aca="false">IF(OR($I154&lt;&gt;"Yes, I'm available for in-person interviews at Chennai",$E154&lt;&gt;"Yes",$P154&lt;&gt;"Yes"),"No",IF(($Q154-$S154)&gt;0,"Yes","No"))</f>
        <v>No</v>
      </c>
      <c r="U154" s="46" t="str">
        <f aca="false">IF($M154="","No",IF(COUNTIFS(MasterPanel!$B:$B,$H154,MasterPanel!$I:$I,$M154,MasterPanel!$K:$K,"Y")&gt;0,"Yes","No"))</f>
        <v>No</v>
      </c>
      <c r="V154" s="46" t="n">
        <f aca="false">IF($M154="",0,IF(COUNTIF('Gap Sheet'!$A$6:$A$11,TRIM($L154))=0,0,IF($O154="R1",INDEX('Gap Sheet'!$C$6:$C$11,MATCH(TRIM($L154),'Gap Sheet'!$A$6:$A$11,0)),INDEX('Gap Sheet'!$G$6:$G$11,MATCH(TRIM($L154),'Gap Sheet'!$A$6:$A$11,0)))))</f>
        <v>0</v>
      </c>
      <c r="W154" s="46" t="str">
        <f aca="false">IF($M154="","",$M154&amp;"|"&amp;$O154)</f>
        <v/>
      </c>
      <c r="X154" s="46" t="n">
        <f aca="false">IF($W154="",0,COUNTIF($AA$4:$AA153,$W154))</f>
        <v>0</v>
      </c>
      <c r="Y154" s="46" t="str">
        <f aca="false">IF(OR($I154&lt;&gt;"Yes, I'm available for in-person interviews at Chennai",$E154&lt;&gt;"Yes",$T154="Yes",$U154&lt;&gt;"Yes"),"No",IF(($V154-$X154)&gt;0,"Yes","No"))</f>
        <v>No</v>
      </c>
      <c r="Z154" s="46" t="str">
        <f aca="false">IF($T154="Yes","Primary",IF($Y154="Yes","Secondary",""))</f>
        <v/>
      </c>
      <c r="AA154" s="46" t="str">
        <f aca="false">IF($Z154="Primary",$R154,IF($Z154="Secondary",$W154,""))</f>
        <v/>
      </c>
      <c r="AB154" s="46" t="str">
        <f aca="false">IF($Z154="Primary","Matched on primary skill",IF($Z154="Secondary","Matched on secondary skill (primary not approved or not required)",""))</f>
        <v/>
      </c>
      <c r="AC154" s="47" t="str">
        <f aca="false">IF($D154="Panel Details",$F154,"")</f>
        <v/>
      </c>
      <c r="AD154" s="46" t="str">
        <f aca="false">IF($D154="Panel Details",'Survey Response'!$D152,"")</f>
        <v/>
      </c>
      <c r="AE154" s="46" t="str">
        <f aca="false">IF($D154="Panel Details",'Survey Response'!$E152,"")</f>
        <v/>
      </c>
      <c r="AF154" s="46" t="str">
        <f aca="false">IF($D154="Panel Details",'Survey Response'!$G152,"")</f>
        <v/>
      </c>
      <c r="AG154" s="46" t="str">
        <f aca="false">IF($D154="Panel Details",IF($Z154="Primary",$J154,$L154),"")</f>
        <v/>
      </c>
      <c r="AH154" s="46" t="str">
        <f aca="false">IF($D154="Panel Details",IF($Z154="Primary",$L154,$J154),"")</f>
        <v/>
      </c>
      <c r="AI154" s="46" t="str">
        <f aca="false">IF($D154="Panel Details",'Survey Response'!$H152,"")</f>
        <v/>
      </c>
      <c r="AJ154" s="46" t="str">
        <f aca="false">IF($D154="Panel Details",'Survey Response'!$M152,"")</f>
        <v/>
      </c>
      <c r="AK154" s="46" t="str">
        <f aca="false">IF($D154="Panel Details",$O154,"")</f>
        <v/>
      </c>
      <c r="AL154" s="46" t="str">
        <f aca="false">IF($D154="Panel Details",8,"")</f>
        <v/>
      </c>
      <c r="AM154" s="46" t="str">
        <f aca="false">IF($D154="Panel Details",$AB154,"")</f>
        <v/>
      </c>
      <c r="AN154" s="46" t="str">
        <f aca="false">IF($D154="Panel Details","Yes","")</f>
        <v/>
      </c>
      <c r="AO154" s="46"/>
      <c r="AP154" s="46" t="str">
        <f aca="false">IF($D154="Followup",'Survey Response'!$D152,"")</f>
        <v/>
      </c>
      <c r="AQ154" s="46" t="str">
        <f aca="false">IF($D154="Followup",'Survey Response'!$E152,"")</f>
        <v/>
      </c>
      <c r="AR154" s="46" t="str">
        <f aca="false">IF($D154="Followup",'Survey Response'!$G152,"")</f>
        <v/>
      </c>
      <c r="AS154" s="46" t="str">
        <f aca="false">IF($D154="Followup",'Survey Response'!$H152,"")</f>
        <v/>
      </c>
      <c r="AT154" s="46" t="str">
        <f aca="false">IF($D154="Followup",'Survey Response'!$M152,"")</f>
        <v/>
      </c>
      <c r="AU154" s="46" t="str">
        <f aca="false">IF($D154="Followup",'Survey Response'!$K152,"")</f>
        <v/>
      </c>
      <c r="AV154" s="46" t="str">
        <f aca="false">IF($D154="Followup",'Survey Response'!$L152,"")</f>
        <v/>
      </c>
      <c r="AW154" s="46" t="str">
        <f aca="false">IF($D154="Followup",IF(AND($P154&lt;&gt;"Yes",$U154&lt;&gt;"Yes"),"Not approved for primary or secondary skill","Approved, but skill(s) no longer have capacity (fully staffed)"),"")</f>
        <v/>
      </c>
    </row>
    <row r="155" customFormat="false" ht="15" hidden="false" customHeight="true" outlineLevel="0" collapsed="false">
      <c r="A155" s="46" t="str">
        <f aca="false">IF('Survey Response'!$D153="","",'Survey Response'!$A153&amp;"|"&amp;LOWER(TRIM('Survey Response'!$D153)))</f>
        <v/>
      </c>
      <c r="B155" s="46" t="str">
        <f aca="false">IF($H155="","",$F155&amp;"|"&amp;$H155)</f>
        <v/>
      </c>
      <c r="C155" s="46" t="str">
        <f aca="false">IF($H155="","",$A155=$B155)</f>
        <v/>
      </c>
      <c r="D155" s="46" t="str">
        <f aca="false">IF($H155="","",IF($E155&lt;&gt;"Yes","Superseded",IF($I155&lt;&gt;"Yes, I'm available for in-person interviews at Chennai","Not Available",IF($Z155&lt;&gt;"","Panel Details","Followup"))))</f>
        <v/>
      </c>
      <c r="E155" s="46" t="str">
        <f aca="false">IF($H155="","",IF(SUMPRODUCT(($H$4:$H$503=$H155)*(($G$4:$G$503&gt;$G155)+($G$4:$G$503=$G155)*($F$4:$F$503&gt;$F155)))=0,"Yes","No"))</f>
        <v/>
      </c>
      <c r="F155" s="47" t="str">
        <f aca="false">IF('Survey Response'!$D153="","",INT('Survey Response'!$A153))</f>
        <v/>
      </c>
      <c r="G155" s="46" t="str">
        <f aca="false">IF('Survey Response'!$D153="","",'Survey Response'!$C153)</f>
        <v/>
      </c>
      <c r="H155" s="46" t="str">
        <f aca="false">IF('Survey Response'!$D153="","",LOWER(TRIM('Survey Response'!$D153)))</f>
        <v/>
      </c>
      <c r="I155" s="46" t="str">
        <f aca="false">IF($H155="","",'Survey Response'!$I153)</f>
        <v/>
      </c>
      <c r="J155" s="46" t="str">
        <f aca="false">IF($H155="","",'Survey Response'!$K153)</f>
        <v/>
      </c>
      <c r="K155" s="46" t="str">
        <f aca="false">IF($J155="","",IF(COUNTIF('Skill Mapping'!$A$2:$A$7,TRIM($J155))=0,"",INDEX('Skill Mapping'!$B$2:$B$7,MATCH(TRIM($J155),'Skill Mapping'!$A$2:$A$7,0))))</f>
        <v/>
      </c>
      <c r="L155" s="46" t="str">
        <f aca="false">IF($H155="","",'Survey Response'!$L153)</f>
        <v/>
      </c>
      <c r="M155" s="46" t="str">
        <f aca="false">IF($L155="","",IF(COUNTIF('Skill Mapping'!$A$2:$A$7,TRIM($L155))=0,"",INDEX('Skill Mapping'!$B$2:$B$7,MATCH(TRIM($L155),'Skill Mapping'!$A$2:$A$7,0))))</f>
        <v/>
      </c>
      <c r="N155" s="46" t="str">
        <f aca="false">IF($H155="","",'Survey Response'!$M153)</f>
        <v/>
      </c>
      <c r="O155" s="46" t="str">
        <f aca="false">IF($H155="","",IF('Survey Response'!$M153="Manager","R2","R1"))</f>
        <v/>
      </c>
      <c r="P155" s="46" t="str">
        <f aca="false">IF($K155="","No",IF(COUNTIFS(MasterPanel!$B:$B,$H155,MasterPanel!$I:$I,$K155,MasterPanel!$K:$K,"Y")&gt;0,"Yes","No"))</f>
        <v>No</v>
      </c>
      <c r="Q155" s="46" t="n">
        <f aca="false">IF($K155="",0,IF(COUNTIF('Gap Sheet'!$A$6:$A$11,TRIM($J155))=0,0,IF($O155="R1",INDEX('Gap Sheet'!$C$6:$C$11,MATCH(TRIM($J155),'Gap Sheet'!$A$6:$A$11,0)),INDEX('Gap Sheet'!$G$6:$G$11,MATCH(TRIM($J155),'Gap Sheet'!$A$6:$A$11,0)))))</f>
        <v>0</v>
      </c>
      <c r="R155" s="46" t="str">
        <f aca="false">IF($K155="","",$K155&amp;"|"&amp;$O155)</f>
        <v/>
      </c>
      <c r="S155" s="46" t="n">
        <f aca="false">IF($R155="",0,COUNTIF($AA$4:$AA154,$R155))</f>
        <v>0</v>
      </c>
      <c r="T155" s="46" t="str">
        <f aca="false">IF(OR($I155&lt;&gt;"Yes, I'm available for in-person interviews at Chennai",$E155&lt;&gt;"Yes",$P155&lt;&gt;"Yes"),"No",IF(($Q155-$S155)&gt;0,"Yes","No"))</f>
        <v>No</v>
      </c>
      <c r="U155" s="46" t="str">
        <f aca="false">IF($M155="","No",IF(COUNTIFS(MasterPanel!$B:$B,$H155,MasterPanel!$I:$I,$M155,MasterPanel!$K:$K,"Y")&gt;0,"Yes","No"))</f>
        <v>No</v>
      </c>
      <c r="V155" s="46" t="n">
        <f aca="false">IF($M155="",0,IF(COUNTIF('Gap Sheet'!$A$6:$A$11,TRIM($L155))=0,0,IF($O155="R1",INDEX('Gap Sheet'!$C$6:$C$11,MATCH(TRIM($L155),'Gap Sheet'!$A$6:$A$11,0)),INDEX('Gap Sheet'!$G$6:$G$11,MATCH(TRIM($L155),'Gap Sheet'!$A$6:$A$11,0)))))</f>
        <v>0</v>
      </c>
      <c r="W155" s="46" t="str">
        <f aca="false">IF($M155="","",$M155&amp;"|"&amp;$O155)</f>
        <v/>
      </c>
      <c r="X155" s="46" t="n">
        <f aca="false">IF($W155="",0,COUNTIF($AA$4:$AA154,$W155))</f>
        <v>0</v>
      </c>
      <c r="Y155" s="46" t="str">
        <f aca="false">IF(OR($I155&lt;&gt;"Yes, I'm available for in-person interviews at Chennai",$E155&lt;&gt;"Yes",$T155="Yes",$U155&lt;&gt;"Yes"),"No",IF(($V155-$X155)&gt;0,"Yes","No"))</f>
        <v>No</v>
      </c>
      <c r="Z155" s="46" t="str">
        <f aca="false">IF($T155="Yes","Primary",IF($Y155="Yes","Secondary",""))</f>
        <v/>
      </c>
      <c r="AA155" s="46" t="str">
        <f aca="false">IF($Z155="Primary",$R155,IF($Z155="Secondary",$W155,""))</f>
        <v/>
      </c>
      <c r="AB155" s="46" t="str">
        <f aca="false">IF($Z155="Primary","Matched on primary skill",IF($Z155="Secondary","Matched on secondary skill (primary not approved or not required)",""))</f>
        <v/>
      </c>
      <c r="AC155" s="47" t="str">
        <f aca="false">IF($D155="Panel Details",$F155,"")</f>
        <v/>
      </c>
      <c r="AD155" s="46" t="str">
        <f aca="false">IF($D155="Panel Details",'Survey Response'!$D153,"")</f>
        <v/>
      </c>
      <c r="AE155" s="46" t="str">
        <f aca="false">IF($D155="Panel Details",'Survey Response'!$E153,"")</f>
        <v/>
      </c>
      <c r="AF155" s="46" t="str">
        <f aca="false">IF($D155="Panel Details",'Survey Response'!$G153,"")</f>
        <v/>
      </c>
      <c r="AG155" s="46" t="str">
        <f aca="false">IF($D155="Panel Details",IF($Z155="Primary",$J155,$L155),"")</f>
        <v/>
      </c>
      <c r="AH155" s="46" t="str">
        <f aca="false">IF($D155="Panel Details",IF($Z155="Primary",$L155,$J155),"")</f>
        <v/>
      </c>
      <c r="AI155" s="46" t="str">
        <f aca="false">IF($D155="Panel Details",'Survey Response'!$H153,"")</f>
        <v/>
      </c>
      <c r="AJ155" s="46" t="str">
        <f aca="false">IF($D155="Panel Details",'Survey Response'!$M153,"")</f>
        <v/>
      </c>
      <c r="AK155" s="46" t="str">
        <f aca="false">IF($D155="Panel Details",$O155,"")</f>
        <v/>
      </c>
      <c r="AL155" s="46" t="str">
        <f aca="false">IF($D155="Panel Details",8,"")</f>
        <v/>
      </c>
      <c r="AM155" s="46" t="str">
        <f aca="false">IF($D155="Panel Details",$AB155,"")</f>
        <v/>
      </c>
      <c r="AN155" s="46" t="str">
        <f aca="false">IF($D155="Panel Details","Yes","")</f>
        <v/>
      </c>
      <c r="AO155" s="46"/>
      <c r="AP155" s="46" t="str">
        <f aca="false">IF($D155="Followup",'Survey Response'!$D153,"")</f>
        <v/>
      </c>
      <c r="AQ155" s="46" t="str">
        <f aca="false">IF($D155="Followup",'Survey Response'!$E153,"")</f>
        <v/>
      </c>
      <c r="AR155" s="46" t="str">
        <f aca="false">IF($D155="Followup",'Survey Response'!$G153,"")</f>
        <v/>
      </c>
      <c r="AS155" s="46" t="str">
        <f aca="false">IF($D155="Followup",'Survey Response'!$H153,"")</f>
        <v/>
      </c>
      <c r="AT155" s="46" t="str">
        <f aca="false">IF($D155="Followup",'Survey Response'!$M153,"")</f>
        <v/>
      </c>
      <c r="AU155" s="46" t="str">
        <f aca="false">IF($D155="Followup",'Survey Response'!$K153,"")</f>
        <v/>
      </c>
      <c r="AV155" s="46" t="str">
        <f aca="false">IF($D155="Followup",'Survey Response'!$L153,"")</f>
        <v/>
      </c>
      <c r="AW155" s="46" t="str">
        <f aca="false">IF($D155="Followup",IF(AND($P155&lt;&gt;"Yes",$U155&lt;&gt;"Yes"),"Not approved for primary or secondary skill","Approved, but skill(s) no longer have capacity (fully staffed)"),"")</f>
        <v/>
      </c>
    </row>
    <row r="156" customFormat="false" ht="15" hidden="false" customHeight="true" outlineLevel="0" collapsed="false">
      <c r="A156" s="46" t="str">
        <f aca="false">IF('Survey Response'!$D154="","",'Survey Response'!$A154&amp;"|"&amp;LOWER(TRIM('Survey Response'!$D154)))</f>
        <v/>
      </c>
      <c r="B156" s="46" t="str">
        <f aca="false">IF($H156="","",$F156&amp;"|"&amp;$H156)</f>
        <v/>
      </c>
      <c r="C156" s="46" t="str">
        <f aca="false">IF($H156="","",$A156=$B156)</f>
        <v/>
      </c>
      <c r="D156" s="46" t="str">
        <f aca="false">IF($H156="","",IF($E156&lt;&gt;"Yes","Superseded",IF($I156&lt;&gt;"Yes, I'm available for in-person interviews at Chennai","Not Available",IF($Z156&lt;&gt;"","Panel Details","Followup"))))</f>
        <v/>
      </c>
      <c r="E156" s="46" t="str">
        <f aca="false">IF($H156="","",IF(SUMPRODUCT(($H$4:$H$503=$H156)*(($G$4:$G$503&gt;$G156)+($G$4:$G$503=$G156)*($F$4:$F$503&gt;$F156)))=0,"Yes","No"))</f>
        <v/>
      </c>
      <c r="F156" s="47" t="str">
        <f aca="false">IF('Survey Response'!$D154="","",INT('Survey Response'!$A154))</f>
        <v/>
      </c>
      <c r="G156" s="46" t="str">
        <f aca="false">IF('Survey Response'!$D154="","",'Survey Response'!$C154)</f>
        <v/>
      </c>
      <c r="H156" s="46" t="str">
        <f aca="false">IF('Survey Response'!$D154="","",LOWER(TRIM('Survey Response'!$D154)))</f>
        <v/>
      </c>
      <c r="I156" s="46" t="str">
        <f aca="false">IF($H156="","",'Survey Response'!$I154)</f>
        <v/>
      </c>
      <c r="J156" s="46" t="str">
        <f aca="false">IF($H156="","",'Survey Response'!$K154)</f>
        <v/>
      </c>
      <c r="K156" s="46" t="str">
        <f aca="false">IF($J156="","",IF(COUNTIF('Skill Mapping'!$A$2:$A$7,TRIM($J156))=0,"",INDEX('Skill Mapping'!$B$2:$B$7,MATCH(TRIM($J156),'Skill Mapping'!$A$2:$A$7,0))))</f>
        <v/>
      </c>
      <c r="L156" s="46" t="str">
        <f aca="false">IF($H156="","",'Survey Response'!$L154)</f>
        <v/>
      </c>
      <c r="M156" s="46" t="str">
        <f aca="false">IF($L156="","",IF(COUNTIF('Skill Mapping'!$A$2:$A$7,TRIM($L156))=0,"",INDEX('Skill Mapping'!$B$2:$B$7,MATCH(TRIM($L156),'Skill Mapping'!$A$2:$A$7,0))))</f>
        <v/>
      </c>
      <c r="N156" s="46" t="str">
        <f aca="false">IF($H156="","",'Survey Response'!$M154)</f>
        <v/>
      </c>
      <c r="O156" s="46" t="str">
        <f aca="false">IF($H156="","",IF('Survey Response'!$M154="Manager","R2","R1"))</f>
        <v/>
      </c>
      <c r="P156" s="46" t="str">
        <f aca="false">IF($K156="","No",IF(COUNTIFS(MasterPanel!$B:$B,$H156,MasterPanel!$I:$I,$K156,MasterPanel!$K:$K,"Y")&gt;0,"Yes","No"))</f>
        <v>No</v>
      </c>
      <c r="Q156" s="46" t="n">
        <f aca="false">IF($K156="",0,IF(COUNTIF('Gap Sheet'!$A$6:$A$11,TRIM($J156))=0,0,IF($O156="R1",INDEX('Gap Sheet'!$C$6:$C$11,MATCH(TRIM($J156),'Gap Sheet'!$A$6:$A$11,0)),INDEX('Gap Sheet'!$G$6:$G$11,MATCH(TRIM($J156),'Gap Sheet'!$A$6:$A$11,0)))))</f>
        <v>0</v>
      </c>
      <c r="R156" s="46" t="str">
        <f aca="false">IF($K156="","",$K156&amp;"|"&amp;$O156)</f>
        <v/>
      </c>
      <c r="S156" s="46" t="n">
        <f aca="false">IF($R156="",0,COUNTIF($AA$4:$AA155,$R156))</f>
        <v>0</v>
      </c>
      <c r="T156" s="46" t="str">
        <f aca="false">IF(OR($I156&lt;&gt;"Yes, I'm available for in-person interviews at Chennai",$E156&lt;&gt;"Yes",$P156&lt;&gt;"Yes"),"No",IF(($Q156-$S156)&gt;0,"Yes","No"))</f>
        <v>No</v>
      </c>
      <c r="U156" s="46" t="str">
        <f aca="false">IF($M156="","No",IF(COUNTIFS(MasterPanel!$B:$B,$H156,MasterPanel!$I:$I,$M156,MasterPanel!$K:$K,"Y")&gt;0,"Yes","No"))</f>
        <v>No</v>
      </c>
      <c r="V156" s="46" t="n">
        <f aca="false">IF($M156="",0,IF(COUNTIF('Gap Sheet'!$A$6:$A$11,TRIM($L156))=0,0,IF($O156="R1",INDEX('Gap Sheet'!$C$6:$C$11,MATCH(TRIM($L156),'Gap Sheet'!$A$6:$A$11,0)),INDEX('Gap Sheet'!$G$6:$G$11,MATCH(TRIM($L156),'Gap Sheet'!$A$6:$A$11,0)))))</f>
        <v>0</v>
      </c>
      <c r="W156" s="46" t="str">
        <f aca="false">IF($M156="","",$M156&amp;"|"&amp;$O156)</f>
        <v/>
      </c>
      <c r="X156" s="46" t="n">
        <f aca="false">IF($W156="",0,COUNTIF($AA$4:$AA155,$W156))</f>
        <v>0</v>
      </c>
      <c r="Y156" s="46" t="str">
        <f aca="false">IF(OR($I156&lt;&gt;"Yes, I'm available for in-person interviews at Chennai",$E156&lt;&gt;"Yes",$T156="Yes",$U156&lt;&gt;"Yes"),"No",IF(($V156-$X156)&gt;0,"Yes","No"))</f>
        <v>No</v>
      </c>
      <c r="Z156" s="46" t="str">
        <f aca="false">IF($T156="Yes","Primary",IF($Y156="Yes","Secondary",""))</f>
        <v/>
      </c>
      <c r="AA156" s="46" t="str">
        <f aca="false">IF($Z156="Primary",$R156,IF($Z156="Secondary",$W156,""))</f>
        <v/>
      </c>
      <c r="AB156" s="46" t="str">
        <f aca="false">IF($Z156="Primary","Matched on primary skill",IF($Z156="Secondary","Matched on secondary skill (primary not approved or not required)",""))</f>
        <v/>
      </c>
      <c r="AC156" s="47" t="str">
        <f aca="false">IF($D156="Panel Details",$F156,"")</f>
        <v/>
      </c>
      <c r="AD156" s="46" t="str">
        <f aca="false">IF($D156="Panel Details",'Survey Response'!$D154,"")</f>
        <v/>
      </c>
      <c r="AE156" s="46" t="str">
        <f aca="false">IF($D156="Panel Details",'Survey Response'!$E154,"")</f>
        <v/>
      </c>
      <c r="AF156" s="46" t="str">
        <f aca="false">IF($D156="Panel Details",'Survey Response'!$G154,"")</f>
        <v/>
      </c>
      <c r="AG156" s="46" t="str">
        <f aca="false">IF($D156="Panel Details",IF($Z156="Primary",$J156,$L156),"")</f>
        <v/>
      </c>
      <c r="AH156" s="46" t="str">
        <f aca="false">IF($D156="Panel Details",IF($Z156="Primary",$L156,$J156),"")</f>
        <v/>
      </c>
      <c r="AI156" s="46" t="str">
        <f aca="false">IF($D156="Panel Details",'Survey Response'!$H154,"")</f>
        <v/>
      </c>
      <c r="AJ156" s="46" t="str">
        <f aca="false">IF($D156="Panel Details",'Survey Response'!$M154,"")</f>
        <v/>
      </c>
      <c r="AK156" s="46" t="str">
        <f aca="false">IF($D156="Panel Details",$O156,"")</f>
        <v/>
      </c>
      <c r="AL156" s="46" t="str">
        <f aca="false">IF($D156="Panel Details",8,"")</f>
        <v/>
      </c>
      <c r="AM156" s="46" t="str">
        <f aca="false">IF($D156="Panel Details",$AB156,"")</f>
        <v/>
      </c>
      <c r="AN156" s="46" t="str">
        <f aca="false">IF($D156="Panel Details","Yes","")</f>
        <v/>
      </c>
      <c r="AO156" s="46"/>
      <c r="AP156" s="46" t="str">
        <f aca="false">IF($D156="Followup",'Survey Response'!$D154,"")</f>
        <v/>
      </c>
      <c r="AQ156" s="46" t="str">
        <f aca="false">IF($D156="Followup",'Survey Response'!$E154,"")</f>
        <v/>
      </c>
      <c r="AR156" s="46" t="str">
        <f aca="false">IF($D156="Followup",'Survey Response'!$G154,"")</f>
        <v/>
      </c>
      <c r="AS156" s="46" t="str">
        <f aca="false">IF($D156="Followup",'Survey Response'!$H154,"")</f>
        <v/>
      </c>
      <c r="AT156" s="46" t="str">
        <f aca="false">IF($D156="Followup",'Survey Response'!$M154,"")</f>
        <v/>
      </c>
      <c r="AU156" s="46" t="str">
        <f aca="false">IF($D156="Followup",'Survey Response'!$K154,"")</f>
        <v/>
      </c>
      <c r="AV156" s="46" t="str">
        <f aca="false">IF($D156="Followup",'Survey Response'!$L154,"")</f>
        <v/>
      </c>
      <c r="AW156" s="46" t="str">
        <f aca="false">IF($D156="Followup",IF(AND($P156&lt;&gt;"Yes",$U156&lt;&gt;"Yes"),"Not approved for primary or secondary skill","Approved, but skill(s) no longer have capacity (fully staffed)"),"")</f>
        <v/>
      </c>
    </row>
    <row r="157" customFormat="false" ht="15" hidden="false" customHeight="true" outlineLevel="0" collapsed="false">
      <c r="A157" s="46" t="str">
        <f aca="false">IF('Survey Response'!$D155="","",'Survey Response'!$A155&amp;"|"&amp;LOWER(TRIM('Survey Response'!$D155)))</f>
        <v/>
      </c>
      <c r="B157" s="46" t="str">
        <f aca="false">IF($H157="","",$F157&amp;"|"&amp;$H157)</f>
        <v/>
      </c>
      <c r="C157" s="46" t="str">
        <f aca="false">IF($H157="","",$A157=$B157)</f>
        <v/>
      </c>
      <c r="D157" s="46" t="str">
        <f aca="false">IF($H157="","",IF($E157&lt;&gt;"Yes","Superseded",IF($I157&lt;&gt;"Yes, I'm available for in-person interviews at Chennai","Not Available",IF($Z157&lt;&gt;"","Panel Details","Followup"))))</f>
        <v/>
      </c>
      <c r="E157" s="46" t="str">
        <f aca="false">IF($H157="","",IF(SUMPRODUCT(($H$4:$H$503=$H157)*(($G$4:$G$503&gt;$G157)+($G$4:$G$503=$G157)*($F$4:$F$503&gt;$F157)))=0,"Yes","No"))</f>
        <v/>
      </c>
      <c r="F157" s="47" t="str">
        <f aca="false">IF('Survey Response'!$D155="","",INT('Survey Response'!$A155))</f>
        <v/>
      </c>
      <c r="G157" s="46" t="str">
        <f aca="false">IF('Survey Response'!$D155="","",'Survey Response'!$C155)</f>
        <v/>
      </c>
      <c r="H157" s="46" t="str">
        <f aca="false">IF('Survey Response'!$D155="","",LOWER(TRIM('Survey Response'!$D155)))</f>
        <v/>
      </c>
      <c r="I157" s="46" t="str">
        <f aca="false">IF($H157="","",'Survey Response'!$I155)</f>
        <v/>
      </c>
      <c r="J157" s="46" t="str">
        <f aca="false">IF($H157="","",'Survey Response'!$K155)</f>
        <v/>
      </c>
      <c r="K157" s="46" t="str">
        <f aca="false">IF($J157="","",IF(COUNTIF('Skill Mapping'!$A$2:$A$7,TRIM($J157))=0,"",INDEX('Skill Mapping'!$B$2:$B$7,MATCH(TRIM($J157),'Skill Mapping'!$A$2:$A$7,0))))</f>
        <v/>
      </c>
      <c r="L157" s="46" t="str">
        <f aca="false">IF($H157="","",'Survey Response'!$L155)</f>
        <v/>
      </c>
      <c r="M157" s="46" t="str">
        <f aca="false">IF($L157="","",IF(COUNTIF('Skill Mapping'!$A$2:$A$7,TRIM($L157))=0,"",INDEX('Skill Mapping'!$B$2:$B$7,MATCH(TRIM($L157),'Skill Mapping'!$A$2:$A$7,0))))</f>
        <v/>
      </c>
      <c r="N157" s="46" t="str">
        <f aca="false">IF($H157="","",'Survey Response'!$M155)</f>
        <v/>
      </c>
      <c r="O157" s="46" t="str">
        <f aca="false">IF($H157="","",IF('Survey Response'!$M155="Manager","R2","R1"))</f>
        <v/>
      </c>
      <c r="P157" s="46" t="str">
        <f aca="false">IF($K157="","No",IF(COUNTIFS(MasterPanel!$B:$B,$H157,MasterPanel!$I:$I,$K157,MasterPanel!$K:$K,"Y")&gt;0,"Yes","No"))</f>
        <v>No</v>
      </c>
      <c r="Q157" s="46" t="n">
        <f aca="false">IF($K157="",0,IF(COUNTIF('Gap Sheet'!$A$6:$A$11,TRIM($J157))=0,0,IF($O157="R1",INDEX('Gap Sheet'!$C$6:$C$11,MATCH(TRIM($J157),'Gap Sheet'!$A$6:$A$11,0)),INDEX('Gap Sheet'!$G$6:$G$11,MATCH(TRIM($J157),'Gap Sheet'!$A$6:$A$11,0)))))</f>
        <v>0</v>
      </c>
      <c r="R157" s="46" t="str">
        <f aca="false">IF($K157="","",$K157&amp;"|"&amp;$O157)</f>
        <v/>
      </c>
      <c r="S157" s="46" t="n">
        <f aca="false">IF($R157="",0,COUNTIF($AA$4:$AA156,$R157))</f>
        <v>0</v>
      </c>
      <c r="T157" s="46" t="str">
        <f aca="false">IF(OR($I157&lt;&gt;"Yes, I'm available for in-person interviews at Chennai",$E157&lt;&gt;"Yes",$P157&lt;&gt;"Yes"),"No",IF(($Q157-$S157)&gt;0,"Yes","No"))</f>
        <v>No</v>
      </c>
      <c r="U157" s="46" t="str">
        <f aca="false">IF($M157="","No",IF(COUNTIFS(MasterPanel!$B:$B,$H157,MasterPanel!$I:$I,$M157,MasterPanel!$K:$K,"Y")&gt;0,"Yes","No"))</f>
        <v>No</v>
      </c>
      <c r="V157" s="46" t="n">
        <f aca="false">IF($M157="",0,IF(COUNTIF('Gap Sheet'!$A$6:$A$11,TRIM($L157))=0,0,IF($O157="R1",INDEX('Gap Sheet'!$C$6:$C$11,MATCH(TRIM($L157),'Gap Sheet'!$A$6:$A$11,0)),INDEX('Gap Sheet'!$G$6:$G$11,MATCH(TRIM($L157),'Gap Sheet'!$A$6:$A$11,0)))))</f>
        <v>0</v>
      </c>
      <c r="W157" s="46" t="str">
        <f aca="false">IF($M157="","",$M157&amp;"|"&amp;$O157)</f>
        <v/>
      </c>
      <c r="X157" s="46" t="n">
        <f aca="false">IF($W157="",0,COUNTIF($AA$4:$AA156,$W157))</f>
        <v>0</v>
      </c>
      <c r="Y157" s="46" t="str">
        <f aca="false">IF(OR($I157&lt;&gt;"Yes, I'm available for in-person interviews at Chennai",$E157&lt;&gt;"Yes",$T157="Yes",$U157&lt;&gt;"Yes"),"No",IF(($V157-$X157)&gt;0,"Yes","No"))</f>
        <v>No</v>
      </c>
      <c r="Z157" s="46" t="str">
        <f aca="false">IF($T157="Yes","Primary",IF($Y157="Yes","Secondary",""))</f>
        <v/>
      </c>
      <c r="AA157" s="46" t="str">
        <f aca="false">IF($Z157="Primary",$R157,IF($Z157="Secondary",$W157,""))</f>
        <v/>
      </c>
      <c r="AB157" s="46" t="str">
        <f aca="false">IF($Z157="Primary","Matched on primary skill",IF($Z157="Secondary","Matched on secondary skill (primary not approved or not required)",""))</f>
        <v/>
      </c>
      <c r="AC157" s="47" t="str">
        <f aca="false">IF($D157="Panel Details",$F157,"")</f>
        <v/>
      </c>
      <c r="AD157" s="46" t="str">
        <f aca="false">IF($D157="Panel Details",'Survey Response'!$D155,"")</f>
        <v/>
      </c>
      <c r="AE157" s="46" t="str">
        <f aca="false">IF($D157="Panel Details",'Survey Response'!$E155,"")</f>
        <v/>
      </c>
      <c r="AF157" s="46" t="str">
        <f aca="false">IF($D157="Panel Details",'Survey Response'!$G155,"")</f>
        <v/>
      </c>
      <c r="AG157" s="46" t="str">
        <f aca="false">IF($D157="Panel Details",IF($Z157="Primary",$J157,$L157),"")</f>
        <v/>
      </c>
      <c r="AH157" s="46" t="str">
        <f aca="false">IF($D157="Panel Details",IF($Z157="Primary",$L157,$J157),"")</f>
        <v/>
      </c>
      <c r="AI157" s="46" t="str">
        <f aca="false">IF($D157="Panel Details",'Survey Response'!$H155,"")</f>
        <v/>
      </c>
      <c r="AJ157" s="46" t="str">
        <f aca="false">IF($D157="Panel Details",'Survey Response'!$M155,"")</f>
        <v/>
      </c>
      <c r="AK157" s="46" t="str">
        <f aca="false">IF($D157="Panel Details",$O157,"")</f>
        <v/>
      </c>
      <c r="AL157" s="46" t="str">
        <f aca="false">IF($D157="Panel Details",8,"")</f>
        <v/>
      </c>
      <c r="AM157" s="46" t="str">
        <f aca="false">IF($D157="Panel Details",$AB157,"")</f>
        <v/>
      </c>
      <c r="AN157" s="46" t="str">
        <f aca="false">IF($D157="Panel Details","Yes","")</f>
        <v/>
      </c>
      <c r="AO157" s="46"/>
      <c r="AP157" s="46" t="str">
        <f aca="false">IF($D157="Followup",'Survey Response'!$D155,"")</f>
        <v/>
      </c>
      <c r="AQ157" s="46" t="str">
        <f aca="false">IF($D157="Followup",'Survey Response'!$E155,"")</f>
        <v/>
      </c>
      <c r="AR157" s="46" t="str">
        <f aca="false">IF($D157="Followup",'Survey Response'!$G155,"")</f>
        <v/>
      </c>
      <c r="AS157" s="46" t="str">
        <f aca="false">IF($D157="Followup",'Survey Response'!$H155,"")</f>
        <v/>
      </c>
      <c r="AT157" s="46" t="str">
        <f aca="false">IF($D157="Followup",'Survey Response'!$M155,"")</f>
        <v/>
      </c>
      <c r="AU157" s="46" t="str">
        <f aca="false">IF($D157="Followup",'Survey Response'!$K155,"")</f>
        <v/>
      </c>
      <c r="AV157" s="46" t="str">
        <f aca="false">IF($D157="Followup",'Survey Response'!$L155,"")</f>
        <v/>
      </c>
      <c r="AW157" s="46" t="str">
        <f aca="false">IF($D157="Followup",IF(AND($P157&lt;&gt;"Yes",$U157&lt;&gt;"Yes"),"Not approved for primary or secondary skill","Approved, but skill(s) no longer have capacity (fully staffed)"),"")</f>
        <v/>
      </c>
    </row>
    <row r="158" customFormat="false" ht="15" hidden="false" customHeight="true" outlineLevel="0" collapsed="false">
      <c r="A158" s="46" t="str">
        <f aca="false">IF('Survey Response'!$D156="","",'Survey Response'!$A156&amp;"|"&amp;LOWER(TRIM('Survey Response'!$D156)))</f>
        <v/>
      </c>
      <c r="B158" s="46" t="str">
        <f aca="false">IF($H158="","",$F158&amp;"|"&amp;$H158)</f>
        <v/>
      </c>
      <c r="C158" s="46" t="str">
        <f aca="false">IF($H158="","",$A158=$B158)</f>
        <v/>
      </c>
      <c r="D158" s="46" t="str">
        <f aca="false">IF($H158="","",IF($E158&lt;&gt;"Yes","Superseded",IF($I158&lt;&gt;"Yes, I'm available for in-person interviews at Chennai","Not Available",IF($Z158&lt;&gt;"","Panel Details","Followup"))))</f>
        <v/>
      </c>
      <c r="E158" s="46" t="str">
        <f aca="false">IF($H158="","",IF(SUMPRODUCT(($H$4:$H$503=$H158)*(($G$4:$G$503&gt;$G158)+($G$4:$G$503=$G158)*($F$4:$F$503&gt;$F158)))=0,"Yes","No"))</f>
        <v/>
      </c>
      <c r="F158" s="47" t="str">
        <f aca="false">IF('Survey Response'!$D156="","",INT('Survey Response'!$A156))</f>
        <v/>
      </c>
      <c r="G158" s="46" t="str">
        <f aca="false">IF('Survey Response'!$D156="","",'Survey Response'!$C156)</f>
        <v/>
      </c>
      <c r="H158" s="46" t="str">
        <f aca="false">IF('Survey Response'!$D156="","",LOWER(TRIM('Survey Response'!$D156)))</f>
        <v/>
      </c>
      <c r="I158" s="46" t="str">
        <f aca="false">IF($H158="","",'Survey Response'!$I156)</f>
        <v/>
      </c>
      <c r="J158" s="46" t="str">
        <f aca="false">IF($H158="","",'Survey Response'!$K156)</f>
        <v/>
      </c>
      <c r="K158" s="46" t="str">
        <f aca="false">IF($J158="","",IF(COUNTIF('Skill Mapping'!$A$2:$A$7,TRIM($J158))=0,"",INDEX('Skill Mapping'!$B$2:$B$7,MATCH(TRIM($J158),'Skill Mapping'!$A$2:$A$7,0))))</f>
        <v/>
      </c>
      <c r="L158" s="46" t="str">
        <f aca="false">IF($H158="","",'Survey Response'!$L156)</f>
        <v/>
      </c>
      <c r="M158" s="46" t="str">
        <f aca="false">IF($L158="","",IF(COUNTIF('Skill Mapping'!$A$2:$A$7,TRIM($L158))=0,"",INDEX('Skill Mapping'!$B$2:$B$7,MATCH(TRIM($L158),'Skill Mapping'!$A$2:$A$7,0))))</f>
        <v/>
      </c>
      <c r="N158" s="46" t="str">
        <f aca="false">IF($H158="","",'Survey Response'!$M156)</f>
        <v/>
      </c>
      <c r="O158" s="46" t="str">
        <f aca="false">IF($H158="","",IF('Survey Response'!$M156="Manager","R2","R1"))</f>
        <v/>
      </c>
      <c r="P158" s="46" t="str">
        <f aca="false">IF($K158="","No",IF(COUNTIFS(MasterPanel!$B:$B,$H158,MasterPanel!$I:$I,$K158,MasterPanel!$K:$K,"Y")&gt;0,"Yes","No"))</f>
        <v>No</v>
      </c>
      <c r="Q158" s="46" t="n">
        <f aca="false">IF($K158="",0,IF(COUNTIF('Gap Sheet'!$A$6:$A$11,TRIM($J158))=0,0,IF($O158="R1",INDEX('Gap Sheet'!$C$6:$C$11,MATCH(TRIM($J158),'Gap Sheet'!$A$6:$A$11,0)),INDEX('Gap Sheet'!$G$6:$G$11,MATCH(TRIM($J158),'Gap Sheet'!$A$6:$A$11,0)))))</f>
        <v>0</v>
      </c>
      <c r="R158" s="46" t="str">
        <f aca="false">IF($K158="","",$K158&amp;"|"&amp;$O158)</f>
        <v/>
      </c>
      <c r="S158" s="46" t="n">
        <f aca="false">IF($R158="",0,COUNTIF($AA$4:$AA157,$R158))</f>
        <v>0</v>
      </c>
      <c r="T158" s="46" t="str">
        <f aca="false">IF(OR($I158&lt;&gt;"Yes, I'm available for in-person interviews at Chennai",$E158&lt;&gt;"Yes",$P158&lt;&gt;"Yes"),"No",IF(($Q158-$S158)&gt;0,"Yes","No"))</f>
        <v>No</v>
      </c>
      <c r="U158" s="46" t="str">
        <f aca="false">IF($M158="","No",IF(COUNTIFS(MasterPanel!$B:$B,$H158,MasterPanel!$I:$I,$M158,MasterPanel!$K:$K,"Y")&gt;0,"Yes","No"))</f>
        <v>No</v>
      </c>
      <c r="V158" s="46" t="n">
        <f aca="false">IF($M158="",0,IF(COUNTIF('Gap Sheet'!$A$6:$A$11,TRIM($L158))=0,0,IF($O158="R1",INDEX('Gap Sheet'!$C$6:$C$11,MATCH(TRIM($L158),'Gap Sheet'!$A$6:$A$11,0)),INDEX('Gap Sheet'!$G$6:$G$11,MATCH(TRIM($L158),'Gap Sheet'!$A$6:$A$11,0)))))</f>
        <v>0</v>
      </c>
      <c r="W158" s="46" t="str">
        <f aca="false">IF($M158="","",$M158&amp;"|"&amp;$O158)</f>
        <v/>
      </c>
      <c r="X158" s="46" t="n">
        <f aca="false">IF($W158="",0,COUNTIF($AA$4:$AA157,$W158))</f>
        <v>0</v>
      </c>
      <c r="Y158" s="46" t="str">
        <f aca="false">IF(OR($I158&lt;&gt;"Yes, I'm available for in-person interviews at Chennai",$E158&lt;&gt;"Yes",$T158="Yes",$U158&lt;&gt;"Yes"),"No",IF(($V158-$X158)&gt;0,"Yes","No"))</f>
        <v>No</v>
      </c>
      <c r="Z158" s="46" t="str">
        <f aca="false">IF($T158="Yes","Primary",IF($Y158="Yes","Secondary",""))</f>
        <v/>
      </c>
      <c r="AA158" s="46" t="str">
        <f aca="false">IF($Z158="Primary",$R158,IF($Z158="Secondary",$W158,""))</f>
        <v/>
      </c>
      <c r="AB158" s="46" t="str">
        <f aca="false">IF($Z158="Primary","Matched on primary skill",IF($Z158="Secondary","Matched on secondary skill (primary not approved or not required)",""))</f>
        <v/>
      </c>
      <c r="AC158" s="47" t="str">
        <f aca="false">IF($D158="Panel Details",$F158,"")</f>
        <v/>
      </c>
      <c r="AD158" s="46" t="str">
        <f aca="false">IF($D158="Panel Details",'Survey Response'!$D156,"")</f>
        <v/>
      </c>
      <c r="AE158" s="46" t="str">
        <f aca="false">IF($D158="Panel Details",'Survey Response'!$E156,"")</f>
        <v/>
      </c>
      <c r="AF158" s="46" t="str">
        <f aca="false">IF($D158="Panel Details",'Survey Response'!$G156,"")</f>
        <v/>
      </c>
      <c r="AG158" s="46" t="str">
        <f aca="false">IF($D158="Panel Details",IF($Z158="Primary",$J158,$L158),"")</f>
        <v/>
      </c>
      <c r="AH158" s="46" t="str">
        <f aca="false">IF($D158="Panel Details",IF($Z158="Primary",$L158,$J158),"")</f>
        <v/>
      </c>
      <c r="AI158" s="46" t="str">
        <f aca="false">IF($D158="Panel Details",'Survey Response'!$H156,"")</f>
        <v/>
      </c>
      <c r="AJ158" s="46" t="str">
        <f aca="false">IF($D158="Panel Details",'Survey Response'!$M156,"")</f>
        <v/>
      </c>
      <c r="AK158" s="46" t="str">
        <f aca="false">IF($D158="Panel Details",$O158,"")</f>
        <v/>
      </c>
      <c r="AL158" s="46" t="str">
        <f aca="false">IF($D158="Panel Details",8,"")</f>
        <v/>
      </c>
      <c r="AM158" s="46" t="str">
        <f aca="false">IF($D158="Panel Details",$AB158,"")</f>
        <v/>
      </c>
      <c r="AN158" s="46" t="str">
        <f aca="false">IF($D158="Panel Details","Yes","")</f>
        <v/>
      </c>
      <c r="AO158" s="46"/>
      <c r="AP158" s="46" t="str">
        <f aca="false">IF($D158="Followup",'Survey Response'!$D156,"")</f>
        <v/>
      </c>
      <c r="AQ158" s="46" t="str">
        <f aca="false">IF($D158="Followup",'Survey Response'!$E156,"")</f>
        <v/>
      </c>
      <c r="AR158" s="46" t="str">
        <f aca="false">IF($D158="Followup",'Survey Response'!$G156,"")</f>
        <v/>
      </c>
      <c r="AS158" s="46" t="str">
        <f aca="false">IF($D158="Followup",'Survey Response'!$H156,"")</f>
        <v/>
      </c>
      <c r="AT158" s="46" t="str">
        <f aca="false">IF($D158="Followup",'Survey Response'!$M156,"")</f>
        <v/>
      </c>
      <c r="AU158" s="46" t="str">
        <f aca="false">IF($D158="Followup",'Survey Response'!$K156,"")</f>
        <v/>
      </c>
      <c r="AV158" s="46" t="str">
        <f aca="false">IF($D158="Followup",'Survey Response'!$L156,"")</f>
        <v/>
      </c>
      <c r="AW158" s="46" t="str">
        <f aca="false">IF($D158="Followup",IF(AND($P158&lt;&gt;"Yes",$U158&lt;&gt;"Yes"),"Not approved for primary or secondary skill","Approved, but skill(s) no longer have capacity (fully staffed)"),"")</f>
        <v/>
      </c>
    </row>
    <row r="159" customFormat="false" ht="15" hidden="false" customHeight="true" outlineLevel="0" collapsed="false">
      <c r="A159" s="46" t="str">
        <f aca="false">IF('Survey Response'!$D157="","",'Survey Response'!$A157&amp;"|"&amp;LOWER(TRIM('Survey Response'!$D157)))</f>
        <v/>
      </c>
      <c r="B159" s="46" t="str">
        <f aca="false">IF($H159="","",$F159&amp;"|"&amp;$H159)</f>
        <v/>
      </c>
      <c r="C159" s="46" t="str">
        <f aca="false">IF($H159="","",$A159=$B159)</f>
        <v/>
      </c>
      <c r="D159" s="46" t="str">
        <f aca="false">IF($H159="","",IF($E159&lt;&gt;"Yes","Superseded",IF($I159&lt;&gt;"Yes, I'm available for in-person interviews at Chennai","Not Available",IF($Z159&lt;&gt;"","Panel Details","Followup"))))</f>
        <v/>
      </c>
      <c r="E159" s="46" t="str">
        <f aca="false">IF($H159="","",IF(SUMPRODUCT(($H$4:$H$503=$H159)*(($G$4:$G$503&gt;$G159)+($G$4:$G$503=$G159)*($F$4:$F$503&gt;$F159)))=0,"Yes","No"))</f>
        <v/>
      </c>
      <c r="F159" s="47" t="str">
        <f aca="false">IF('Survey Response'!$D157="","",INT('Survey Response'!$A157))</f>
        <v/>
      </c>
      <c r="G159" s="46" t="str">
        <f aca="false">IF('Survey Response'!$D157="","",'Survey Response'!$C157)</f>
        <v/>
      </c>
      <c r="H159" s="46" t="str">
        <f aca="false">IF('Survey Response'!$D157="","",LOWER(TRIM('Survey Response'!$D157)))</f>
        <v/>
      </c>
      <c r="I159" s="46" t="str">
        <f aca="false">IF($H159="","",'Survey Response'!$I157)</f>
        <v/>
      </c>
      <c r="J159" s="46" t="str">
        <f aca="false">IF($H159="","",'Survey Response'!$K157)</f>
        <v/>
      </c>
      <c r="K159" s="46" t="str">
        <f aca="false">IF($J159="","",IF(COUNTIF('Skill Mapping'!$A$2:$A$7,TRIM($J159))=0,"",INDEX('Skill Mapping'!$B$2:$B$7,MATCH(TRIM($J159),'Skill Mapping'!$A$2:$A$7,0))))</f>
        <v/>
      </c>
      <c r="L159" s="46" t="str">
        <f aca="false">IF($H159="","",'Survey Response'!$L157)</f>
        <v/>
      </c>
      <c r="M159" s="46" t="str">
        <f aca="false">IF($L159="","",IF(COUNTIF('Skill Mapping'!$A$2:$A$7,TRIM($L159))=0,"",INDEX('Skill Mapping'!$B$2:$B$7,MATCH(TRIM($L159),'Skill Mapping'!$A$2:$A$7,0))))</f>
        <v/>
      </c>
      <c r="N159" s="46" t="str">
        <f aca="false">IF($H159="","",'Survey Response'!$M157)</f>
        <v/>
      </c>
      <c r="O159" s="46" t="str">
        <f aca="false">IF($H159="","",IF('Survey Response'!$M157="Manager","R2","R1"))</f>
        <v/>
      </c>
      <c r="P159" s="46" t="str">
        <f aca="false">IF($K159="","No",IF(COUNTIFS(MasterPanel!$B:$B,$H159,MasterPanel!$I:$I,$K159,MasterPanel!$K:$K,"Y")&gt;0,"Yes","No"))</f>
        <v>No</v>
      </c>
      <c r="Q159" s="46" t="n">
        <f aca="false">IF($K159="",0,IF(COUNTIF('Gap Sheet'!$A$6:$A$11,TRIM($J159))=0,0,IF($O159="R1",INDEX('Gap Sheet'!$C$6:$C$11,MATCH(TRIM($J159),'Gap Sheet'!$A$6:$A$11,0)),INDEX('Gap Sheet'!$G$6:$G$11,MATCH(TRIM($J159),'Gap Sheet'!$A$6:$A$11,0)))))</f>
        <v>0</v>
      </c>
      <c r="R159" s="46" t="str">
        <f aca="false">IF($K159="","",$K159&amp;"|"&amp;$O159)</f>
        <v/>
      </c>
      <c r="S159" s="46" t="n">
        <f aca="false">IF($R159="",0,COUNTIF($AA$4:$AA158,$R159))</f>
        <v>0</v>
      </c>
      <c r="T159" s="46" t="str">
        <f aca="false">IF(OR($I159&lt;&gt;"Yes, I'm available for in-person interviews at Chennai",$E159&lt;&gt;"Yes",$P159&lt;&gt;"Yes"),"No",IF(($Q159-$S159)&gt;0,"Yes","No"))</f>
        <v>No</v>
      </c>
      <c r="U159" s="46" t="str">
        <f aca="false">IF($M159="","No",IF(COUNTIFS(MasterPanel!$B:$B,$H159,MasterPanel!$I:$I,$M159,MasterPanel!$K:$K,"Y")&gt;0,"Yes","No"))</f>
        <v>No</v>
      </c>
      <c r="V159" s="46" t="n">
        <f aca="false">IF($M159="",0,IF(COUNTIF('Gap Sheet'!$A$6:$A$11,TRIM($L159))=0,0,IF($O159="R1",INDEX('Gap Sheet'!$C$6:$C$11,MATCH(TRIM($L159),'Gap Sheet'!$A$6:$A$11,0)),INDEX('Gap Sheet'!$G$6:$G$11,MATCH(TRIM($L159),'Gap Sheet'!$A$6:$A$11,0)))))</f>
        <v>0</v>
      </c>
      <c r="W159" s="46" t="str">
        <f aca="false">IF($M159="","",$M159&amp;"|"&amp;$O159)</f>
        <v/>
      </c>
      <c r="X159" s="46" t="n">
        <f aca="false">IF($W159="",0,COUNTIF($AA$4:$AA158,$W159))</f>
        <v>0</v>
      </c>
      <c r="Y159" s="46" t="str">
        <f aca="false">IF(OR($I159&lt;&gt;"Yes, I'm available for in-person interviews at Chennai",$E159&lt;&gt;"Yes",$T159="Yes",$U159&lt;&gt;"Yes"),"No",IF(($V159-$X159)&gt;0,"Yes","No"))</f>
        <v>No</v>
      </c>
      <c r="Z159" s="46" t="str">
        <f aca="false">IF($T159="Yes","Primary",IF($Y159="Yes","Secondary",""))</f>
        <v/>
      </c>
      <c r="AA159" s="46" t="str">
        <f aca="false">IF($Z159="Primary",$R159,IF($Z159="Secondary",$W159,""))</f>
        <v/>
      </c>
      <c r="AB159" s="46" t="str">
        <f aca="false">IF($Z159="Primary","Matched on primary skill",IF($Z159="Secondary","Matched on secondary skill (primary not approved or not required)",""))</f>
        <v/>
      </c>
      <c r="AC159" s="47" t="str">
        <f aca="false">IF($D159="Panel Details",$F159,"")</f>
        <v/>
      </c>
      <c r="AD159" s="46" t="str">
        <f aca="false">IF($D159="Panel Details",'Survey Response'!$D157,"")</f>
        <v/>
      </c>
      <c r="AE159" s="46" t="str">
        <f aca="false">IF($D159="Panel Details",'Survey Response'!$E157,"")</f>
        <v/>
      </c>
      <c r="AF159" s="46" t="str">
        <f aca="false">IF($D159="Panel Details",'Survey Response'!$G157,"")</f>
        <v/>
      </c>
      <c r="AG159" s="46" t="str">
        <f aca="false">IF($D159="Panel Details",IF($Z159="Primary",$J159,$L159),"")</f>
        <v/>
      </c>
      <c r="AH159" s="46" t="str">
        <f aca="false">IF($D159="Panel Details",IF($Z159="Primary",$L159,$J159),"")</f>
        <v/>
      </c>
      <c r="AI159" s="46" t="str">
        <f aca="false">IF($D159="Panel Details",'Survey Response'!$H157,"")</f>
        <v/>
      </c>
      <c r="AJ159" s="46" t="str">
        <f aca="false">IF($D159="Panel Details",'Survey Response'!$M157,"")</f>
        <v/>
      </c>
      <c r="AK159" s="46" t="str">
        <f aca="false">IF($D159="Panel Details",$O159,"")</f>
        <v/>
      </c>
      <c r="AL159" s="46" t="str">
        <f aca="false">IF($D159="Panel Details",8,"")</f>
        <v/>
      </c>
      <c r="AM159" s="46" t="str">
        <f aca="false">IF($D159="Panel Details",$AB159,"")</f>
        <v/>
      </c>
      <c r="AN159" s="46" t="str">
        <f aca="false">IF($D159="Panel Details","Yes","")</f>
        <v/>
      </c>
      <c r="AO159" s="46"/>
      <c r="AP159" s="46" t="str">
        <f aca="false">IF($D159="Followup",'Survey Response'!$D157,"")</f>
        <v/>
      </c>
      <c r="AQ159" s="46" t="str">
        <f aca="false">IF($D159="Followup",'Survey Response'!$E157,"")</f>
        <v/>
      </c>
      <c r="AR159" s="46" t="str">
        <f aca="false">IF($D159="Followup",'Survey Response'!$G157,"")</f>
        <v/>
      </c>
      <c r="AS159" s="46" t="str">
        <f aca="false">IF($D159="Followup",'Survey Response'!$H157,"")</f>
        <v/>
      </c>
      <c r="AT159" s="46" t="str">
        <f aca="false">IF($D159="Followup",'Survey Response'!$M157,"")</f>
        <v/>
      </c>
      <c r="AU159" s="46" t="str">
        <f aca="false">IF($D159="Followup",'Survey Response'!$K157,"")</f>
        <v/>
      </c>
      <c r="AV159" s="46" t="str">
        <f aca="false">IF($D159="Followup",'Survey Response'!$L157,"")</f>
        <v/>
      </c>
      <c r="AW159" s="46" t="str">
        <f aca="false">IF($D159="Followup",IF(AND($P159&lt;&gt;"Yes",$U159&lt;&gt;"Yes"),"Not approved for primary or secondary skill","Approved, but skill(s) no longer have capacity (fully staffed)"),"")</f>
        <v/>
      </c>
    </row>
    <row r="160" customFormat="false" ht="15" hidden="false" customHeight="true" outlineLevel="0" collapsed="false">
      <c r="A160" s="46" t="str">
        <f aca="false">IF('Survey Response'!$D158="","",'Survey Response'!$A158&amp;"|"&amp;LOWER(TRIM('Survey Response'!$D158)))</f>
        <v/>
      </c>
      <c r="B160" s="46" t="str">
        <f aca="false">IF($H160="","",$F160&amp;"|"&amp;$H160)</f>
        <v/>
      </c>
      <c r="C160" s="46" t="str">
        <f aca="false">IF($H160="","",$A160=$B160)</f>
        <v/>
      </c>
      <c r="D160" s="46" t="str">
        <f aca="false">IF($H160="","",IF($E160&lt;&gt;"Yes","Superseded",IF($I160&lt;&gt;"Yes, I'm available for in-person interviews at Chennai","Not Available",IF($Z160&lt;&gt;"","Panel Details","Followup"))))</f>
        <v/>
      </c>
      <c r="E160" s="46" t="str">
        <f aca="false">IF($H160="","",IF(SUMPRODUCT(($H$4:$H$503=$H160)*(($G$4:$G$503&gt;$G160)+($G$4:$G$503=$G160)*($F$4:$F$503&gt;$F160)))=0,"Yes","No"))</f>
        <v/>
      </c>
      <c r="F160" s="47" t="str">
        <f aca="false">IF('Survey Response'!$D158="","",INT('Survey Response'!$A158))</f>
        <v/>
      </c>
      <c r="G160" s="46" t="str">
        <f aca="false">IF('Survey Response'!$D158="","",'Survey Response'!$C158)</f>
        <v/>
      </c>
      <c r="H160" s="46" t="str">
        <f aca="false">IF('Survey Response'!$D158="","",LOWER(TRIM('Survey Response'!$D158)))</f>
        <v/>
      </c>
      <c r="I160" s="46" t="str">
        <f aca="false">IF($H160="","",'Survey Response'!$I158)</f>
        <v/>
      </c>
      <c r="J160" s="46" t="str">
        <f aca="false">IF($H160="","",'Survey Response'!$K158)</f>
        <v/>
      </c>
      <c r="K160" s="46" t="str">
        <f aca="false">IF($J160="","",IF(COUNTIF('Skill Mapping'!$A$2:$A$7,TRIM($J160))=0,"",INDEX('Skill Mapping'!$B$2:$B$7,MATCH(TRIM($J160),'Skill Mapping'!$A$2:$A$7,0))))</f>
        <v/>
      </c>
      <c r="L160" s="46" t="str">
        <f aca="false">IF($H160="","",'Survey Response'!$L158)</f>
        <v/>
      </c>
      <c r="M160" s="46" t="str">
        <f aca="false">IF($L160="","",IF(COUNTIF('Skill Mapping'!$A$2:$A$7,TRIM($L160))=0,"",INDEX('Skill Mapping'!$B$2:$B$7,MATCH(TRIM($L160),'Skill Mapping'!$A$2:$A$7,0))))</f>
        <v/>
      </c>
      <c r="N160" s="46" t="str">
        <f aca="false">IF($H160="","",'Survey Response'!$M158)</f>
        <v/>
      </c>
      <c r="O160" s="46" t="str">
        <f aca="false">IF($H160="","",IF('Survey Response'!$M158="Manager","R2","R1"))</f>
        <v/>
      </c>
      <c r="P160" s="46" t="str">
        <f aca="false">IF($K160="","No",IF(COUNTIFS(MasterPanel!$B:$B,$H160,MasterPanel!$I:$I,$K160,MasterPanel!$K:$K,"Y")&gt;0,"Yes","No"))</f>
        <v>No</v>
      </c>
      <c r="Q160" s="46" t="n">
        <f aca="false">IF($K160="",0,IF(COUNTIF('Gap Sheet'!$A$6:$A$11,TRIM($J160))=0,0,IF($O160="R1",INDEX('Gap Sheet'!$C$6:$C$11,MATCH(TRIM($J160),'Gap Sheet'!$A$6:$A$11,0)),INDEX('Gap Sheet'!$G$6:$G$11,MATCH(TRIM($J160),'Gap Sheet'!$A$6:$A$11,0)))))</f>
        <v>0</v>
      </c>
      <c r="R160" s="46" t="str">
        <f aca="false">IF($K160="","",$K160&amp;"|"&amp;$O160)</f>
        <v/>
      </c>
      <c r="S160" s="46" t="n">
        <f aca="false">IF($R160="",0,COUNTIF($AA$4:$AA159,$R160))</f>
        <v>0</v>
      </c>
      <c r="T160" s="46" t="str">
        <f aca="false">IF(OR($I160&lt;&gt;"Yes, I'm available for in-person interviews at Chennai",$E160&lt;&gt;"Yes",$P160&lt;&gt;"Yes"),"No",IF(($Q160-$S160)&gt;0,"Yes","No"))</f>
        <v>No</v>
      </c>
      <c r="U160" s="46" t="str">
        <f aca="false">IF($M160="","No",IF(COUNTIFS(MasterPanel!$B:$B,$H160,MasterPanel!$I:$I,$M160,MasterPanel!$K:$K,"Y")&gt;0,"Yes","No"))</f>
        <v>No</v>
      </c>
      <c r="V160" s="46" t="n">
        <f aca="false">IF($M160="",0,IF(COUNTIF('Gap Sheet'!$A$6:$A$11,TRIM($L160))=0,0,IF($O160="R1",INDEX('Gap Sheet'!$C$6:$C$11,MATCH(TRIM($L160),'Gap Sheet'!$A$6:$A$11,0)),INDEX('Gap Sheet'!$G$6:$G$11,MATCH(TRIM($L160),'Gap Sheet'!$A$6:$A$11,0)))))</f>
        <v>0</v>
      </c>
      <c r="W160" s="46" t="str">
        <f aca="false">IF($M160="","",$M160&amp;"|"&amp;$O160)</f>
        <v/>
      </c>
      <c r="X160" s="46" t="n">
        <f aca="false">IF($W160="",0,COUNTIF($AA$4:$AA159,$W160))</f>
        <v>0</v>
      </c>
      <c r="Y160" s="46" t="str">
        <f aca="false">IF(OR($I160&lt;&gt;"Yes, I'm available for in-person interviews at Chennai",$E160&lt;&gt;"Yes",$T160="Yes",$U160&lt;&gt;"Yes"),"No",IF(($V160-$X160)&gt;0,"Yes","No"))</f>
        <v>No</v>
      </c>
      <c r="Z160" s="46" t="str">
        <f aca="false">IF($T160="Yes","Primary",IF($Y160="Yes","Secondary",""))</f>
        <v/>
      </c>
      <c r="AA160" s="46" t="str">
        <f aca="false">IF($Z160="Primary",$R160,IF($Z160="Secondary",$W160,""))</f>
        <v/>
      </c>
      <c r="AB160" s="46" t="str">
        <f aca="false">IF($Z160="Primary","Matched on primary skill",IF($Z160="Secondary","Matched on secondary skill (primary not approved or not required)",""))</f>
        <v/>
      </c>
      <c r="AC160" s="47" t="str">
        <f aca="false">IF($D160="Panel Details",$F160,"")</f>
        <v/>
      </c>
      <c r="AD160" s="46" t="str">
        <f aca="false">IF($D160="Panel Details",'Survey Response'!$D158,"")</f>
        <v/>
      </c>
      <c r="AE160" s="46" t="str">
        <f aca="false">IF($D160="Panel Details",'Survey Response'!$E158,"")</f>
        <v/>
      </c>
      <c r="AF160" s="46" t="str">
        <f aca="false">IF($D160="Panel Details",'Survey Response'!$G158,"")</f>
        <v/>
      </c>
      <c r="AG160" s="46" t="str">
        <f aca="false">IF($D160="Panel Details",IF($Z160="Primary",$J160,$L160),"")</f>
        <v/>
      </c>
      <c r="AH160" s="46" t="str">
        <f aca="false">IF($D160="Panel Details",IF($Z160="Primary",$L160,$J160),"")</f>
        <v/>
      </c>
      <c r="AI160" s="46" t="str">
        <f aca="false">IF($D160="Panel Details",'Survey Response'!$H158,"")</f>
        <v/>
      </c>
      <c r="AJ160" s="46" t="str">
        <f aca="false">IF($D160="Panel Details",'Survey Response'!$M158,"")</f>
        <v/>
      </c>
      <c r="AK160" s="46" t="str">
        <f aca="false">IF($D160="Panel Details",$O160,"")</f>
        <v/>
      </c>
      <c r="AL160" s="46" t="str">
        <f aca="false">IF($D160="Panel Details",8,"")</f>
        <v/>
      </c>
      <c r="AM160" s="46" t="str">
        <f aca="false">IF($D160="Panel Details",$AB160,"")</f>
        <v/>
      </c>
      <c r="AN160" s="46" t="str">
        <f aca="false">IF($D160="Panel Details","Yes","")</f>
        <v/>
      </c>
      <c r="AO160" s="46"/>
      <c r="AP160" s="46" t="str">
        <f aca="false">IF($D160="Followup",'Survey Response'!$D158,"")</f>
        <v/>
      </c>
      <c r="AQ160" s="46" t="str">
        <f aca="false">IF($D160="Followup",'Survey Response'!$E158,"")</f>
        <v/>
      </c>
      <c r="AR160" s="46" t="str">
        <f aca="false">IF($D160="Followup",'Survey Response'!$G158,"")</f>
        <v/>
      </c>
      <c r="AS160" s="46" t="str">
        <f aca="false">IF($D160="Followup",'Survey Response'!$H158,"")</f>
        <v/>
      </c>
      <c r="AT160" s="46" t="str">
        <f aca="false">IF($D160="Followup",'Survey Response'!$M158,"")</f>
        <v/>
      </c>
      <c r="AU160" s="46" t="str">
        <f aca="false">IF($D160="Followup",'Survey Response'!$K158,"")</f>
        <v/>
      </c>
      <c r="AV160" s="46" t="str">
        <f aca="false">IF($D160="Followup",'Survey Response'!$L158,"")</f>
        <v/>
      </c>
      <c r="AW160" s="46" t="str">
        <f aca="false">IF($D160="Followup",IF(AND($P160&lt;&gt;"Yes",$U160&lt;&gt;"Yes"),"Not approved for primary or secondary skill","Approved, but skill(s) no longer have capacity (fully staffed)"),"")</f>
        <v/>
      </c>
    </row>
    <row r="161" customFormat="false" ht="15" hidden="false" customHeight="true" outlineLevel="0" collapsed="false">
      <c r="A161" s="46" t="str">
        <f aca="false">IF('Survey Response'!$D159="","",'Survey Response'!$A159&amp;"|"&amp;LOWER(TRIM('Survey Response'!$D159)))</f>
        <v/>
      </c>
      <c r="B161" s="46" t="str">
        <f aca="false">IF($H161="","",$F161&amp;"|"&amp;$H161)</f>
        <v/>
      </c>
      <c r="C161" s="46" t="str">
        <f aca="false">IF($H161="","",$A161=$B161)</f>
        <v/>
      </c>
      <c r="D161" s="46" t="str">
        <f aca="false">IF($H161="","",IF($E161&lt;&gt;"Yes","Superseded",IF($I161&lt;&gt;"Yes, I'm available for in-person interviews at Chennai","Not Available",IF($Z161&lt;&gt;"","Panel Details","Followup"))))</f>
        <v/>
      </c>
      <c r="E161" s="46" t="str">
        <f aca="false">IF($H161="","",IF(SUMPRODUCT(($H$4:$H$503=$H161)*(($G$4:$G$503&gt;$G161)+($G$4:$G$503=$G161)*($F$4:$F$503&gt;$F161)))=0,"Yes","No"))</f>
        <v/>
      </c>
      <c r="F161" s="47" t="str">
        <f aca="false">IF('Survey Response'!$D159="","",INT('Survey Response'!$A159))</f>
        <v/>
      </c>
      <c r="G161" s="46" t="str">
        <f aca="false">IF('Survey Response'!$D159="","",'Survey Response'!$C159)</f>
        <v/>
      </c>
      <c r="H161" s="46" t="str">
        <f aca="false">IF('Survey Response'!$D159="","",LOWER(TRIM('Survey Response'!$D159)))</f>
        <v/>
      </c>
      <c r="I161" s="46" t="str">
        <f aca="false">IF($H161="","",'Survey Response'!$I159)</f>
        <v/>
      </c>
      <c r="J161" s="46" t="str">
        <f aca="false">IF($H161="","",'Survey Response'!$K159)</f>
        <v/>
      </c>
      <c r="K161" s="46" t="str">
        <f aca="false">IF($J161="","",IF(COUNTIF('Skill Mapping'!$A$2:$A$7,TRIM($J161))=0,"",INDEX('Skill Mapping'!$B$2:$B$7,MATCH(TRIM($J161),'Skill Mapping'!$A$2:$A$7,0))))</f>
        <v/>
      </c>
      <c r="L161" s="46" t="str">
        <f aca="false">IF($H161="","",'Survey Response'!$L159)</f>
        <v/>
      </c>
      <c r="M161" s="46" t="str">
        <f aca="false">IF($L161="","",IF(COUNTIF('Skill Mapping'!$A$2:$A$7,TRIM($L161))=0,"",INDEX('Skill Mapping'!$B$2:$B$7,MATCH(TRIM($L161),'Skill Mapping'!$A$2:$A$7,0))))</f>
        <v/>
      </c>
      <c r="N161" s="46" t="str">
        <f aca="false">IF($H161="","",'Survey Response'!$M159)</f>
        <v/>
      </c>
      <c r="O161" s="46" t="str">
        <f aca="false">IF($H161="","",IF('Survey Response'!$M159="Manager","R2","R1"))</f>
        <v/>
      </c>
      <c r="P161" s="46" t="str">
        <f aca="false">IF($K161="","No",IF(COUNTIFS(MasterPanel!$B:$B,$H161,MasterPanel!$I:$I,$K161,MasterPanel!$K:$K,"Y")&gt;0,"Yes","No"))</f>
        <v>No</v>
      </c>
      <c r="Q161" s="46" t="n">
        <f aca="false">IF($K161="",0,IF(COUNTIF('Gap Sheet'!$A$6:$A$11,TRIM($J161))=0,0,IF($O161="R1",INDEX('Gap Sheet'!$C$6:$C$11,MATCH(TRIM($J161),'Gap Sheet'!$A$6:$A$11,0)),INDEX('Gap Sheet'!$G$6:$G$11,MATCH(TRIM($J161),'Gap Sheet'!$A$6:$A$11,0)))))</f>
        <v>0</v>
      </c>
      <c r="R161" s="46" t="str">
        <f aca="false">IF($K161="","",$K161&amp;"|"&amp;$O161)</f>
        <v/>
      </c>
      <c r="S161" s="46" t="n">
        <f aca="false">IF($R161="",0,COUNTIF($AA$4:$AA160,$R161))</f>
        <v>0</v>
      </c>
      <c r="T161" s="46" t="str">
        <f aca="false">IF(OR($I161&lt;&gt;"Yes, I'm available for in-person interviews at Chennai",$E161&lt;&gt;"Yes",$P161&lt;&gt;"Yes"),"No",IF(($Q161-$S161)&gt;0,"Yes","No"))</f>
        <v>No</v>
      </c>
      <c r="U161" s="46" t="str">
        <f aca="false">IF($M161="","No",IF(COUNTIFS(MasterPanel!$B:$B,$H161,MasterPanel!$I:$I,$M161,MasterPanel!$K:$K,"Y")&gt;0,"Yes","No"))</f>
        <v>No</v>
      </c>
      <c r="V161" s="46" t="n">
        <f aca="false">IF($M161="",0,IF(COUNTIF('Gap Sheet'!$A$6:$A$11,TRIM($L161))=0,0,IF($O161="R1",INDEX('Gap Sheet'!$C$6:$C$11,MATCH(TRIM($L161),'Gap Sheet'!$A$6:$A$11,0)),INDEX('Gap Sheet'!$G$6:$G$11,MATCH(TRIM($L161),'Gap Sheet'!$A$6:$A$11,0)))))</f>
        <v>0</v>
      </c>
      <c r="W161" s="46" t="str">
        <f aca="false">IF($M161="","",$M161&amp;"|"&amp;$O161)</f>
        <v/>
      </c>
      <c r="X161" s="46" t="n">
        <f aca="false">IF($W161="",0,COUNTIF($AA$4:$AA160,$W161))</f>
        <v>0</v>
      </c>
      <c r="Y161" s="46" t="str">
        <f aca="false">IF(OR($I161&lt;&gt;"Yes, I'm available for in-person interviews at Chennai",$E161&lt;&gt;"Yes",$T161="Yes",$U161&lt;&gt;"Yes"),"No",IF(($V161-$X161)&gt;0,"Yes","No"))</f>
        <v>No</v>
      </c>
      <c r="Z161" s="46" t="str">
        <f aca="false">IF($T161="Yes","Primary",IF($Y161="Yes","Secondary",""))</f>
        <v/>
      </c>
      <c r="AA161" s="46" t="str">
        <f aca="false">IF($Z161="Primary",$R161,IF($Z161="Secondary",$W161,""))</f>
        <v/>
      </c>
      <c r="AB161" s="46" t="str">
        <f aca="false">IF($Z161="Primary","Matched on primary skill",IF($Z161="Secondary","Matched on secondary skill (primary not approved or not required)",""))</f>
        <v/>
      </c>
      <c r="AC161" s="47" t="str">
        <f aca="false">IF($D161="Panel Details",$F161,"")</f>
        <v/>
      </c>
      <c r="AD161" s="46" t="str">
        <f aca="false">IF($D161="Panel Details",'Survey Response'!$D159,"")</f>
        <v/>
      </c>
      <c r="AE161" s="46" t="str">
        <f aca="false">IF($D161="Panel Details",'Survey Response'!$E159,"")</f>
        <v/>
      </c>
      <c r="AF161" s="46" t="str">
        <f aca="false">IF($D161="Panel Details",'Survey Response'!$G159,"")</f>
        <v/>
      </c>
      <c r="AG161" s="46" t="str">
        <f aca="false">IF($D161="Panel Details",IF($Z161="Primary",$J161,$L161),"")</f>
        <v/>
      </c>
      <c r="AH161" s="46" t="str">
        <f aca="false">IF($D161="Panel Details",IF($Z161="Primary",$L161,$J161),"")</f>
        <v/>
      </c>
      <c r="AI161" s="46" t="str">
        <f aca="false">IF($D161="Panel Details",'Survey Response'!$H159,"")</f>
        <v/>
      </c>
      <c r="AJ161" s="46" t="str">
        <f aca="false">IF($D161="Panel Details",'Survey Response'!$M159,"")</f>
        <v/>
      </c>
      <c r="AK161" s="46" t="str">
        <f aca="false">IF($D161="Panel Details",$O161,"")</f>
        <v/>
      </c>
      <c r="AL161" s="46" t="str">
        <f aca="false">IF($D161="Panel Details",8,"")</f>
        <v/>
      </c>
      <c r="AM161" s="46" t="str">
        <f aca="false">IF($D161="Panel Details",$AB161,"")</f>
        <v/>
      </c>
      <c r="AN161" s="46" t="str">
        <f aca="false">IF($D161="Panel Details","Yes","")</f>
        <v/>
      </c>
      <c r="AO161" s="46"/>
      <c r="AP161" s="46" t="str">
        <f aca="false">IF($D161="Followup",'Survey Response'!$D159,"")</f>
        <v/>
      </c>
      <c r="AQ161" s="46" t="str">
        <f aca="false">IF($D161="Followup",'Survey Response'!$E159,"")</f>
        <v/>
      </c>
      <c r="AR161" s="46" t="str">
        <f aca="false">IF($D161="Followup",'Survey Response'!$G159,"")</f>
        <v/>
      </c>
      <c r="AS161" s="46" t="str">
        <f aca="false">IF($D161="Followup",'Survey Response'!$H159,"")</f>
        <v/>
      </c>
      <c r="AT161" s="46" t="str">
        <f aca="false">IF($D161="Followup",'Survey Response'!$M159,"")</f>
        <v/>
      </c>
      <c r="AU161" s="46" t="str">
        <f aca="false">IF($D161="Followup",'Survey Response'!$K159,"")</f>
        <v/>
      </c>
      <c r="AV161" s="46" t="str">
        <f aca="false">IF($D161="Followup",'Survey Response'!$L159,"")</f>
        <v/>
      </c>
      <c r="AW161" s="46" t="str">
        <f aca="false">IF($D161="Followup",IF(AND($P161&lt;&gt;"Yes",$U161&lt;&gt;"Yes"),"Not approved for primary or secondary skill","Approved, but skill(s) no longer have capacity (fully staffed)"),"")</f>
        <v/>
      </c>
    </row>
    <row r="162" customFormat="false" ht="15" hidden="false" customHeight="true" outlineLevel="0" collapsed="false">
      <c r="A162" s="46" t="str">
        <f aca="false">IF('Survey Response'!$D160="","",'Survey Response'!$A160&amp;"|"&amp;LOWER(TRIM('Survey Response'!$D160)))</f>
        <v/>
      </c>
      <c r="B162" s="46" t="str">
        <f aca="false">IF($H162="","",$F162&amp;"|"&amp;$H162)</f>
        <v/>
      </c>
      <c r="C162" s="46" t="str">
        <f aca="false">IF($H162="","",$A162=$B162)</f>
        <v/>
      </c>
      <c r="D162" s="46" t="str">
        <f aca="false">IF($H162="","",IF($E162&lt;&gt;"Yes","Superseded",IF($I162&lt;&gt;"Yes, I'm available for in-person interviews at Chennai","Not Available",IF($Z162&lt;&gt;"","Panel Details","Followup"))))</f>
        <v/>
      </c>
      <c r="E162" s="46" t="str">
        <f aca="false">IF($H162="","",IF(SUMPRODUCT(($H$4:$H$503=$H162)*(($G$4:$G$503&gt;$G162)+($G$4:$G$503=$G162)*($F$4:$F$503&gt;$F162)))=0,"Yes","No"))</f>
        <v/>
      </c>
      <c r="F162" s="47" t="str">
        <f aca="false">IF('Survey Response'!$D160="","",INT('Survey Response'!$A160))</f>
        <v/>
      </c>
      <c r="G162" s="46" t="str">
        <f aca="false">IF('Survey Response'!$D160="","",'Survey Response'!$C160)</f>
        <v/>
      </c>
      <c r="H162" s="46" t="str">
        <f aca="false">IF('Survey Response'!$D160="","",LOWER(TRIM('Survey Response'!$D160)))</f>
        <v/>
      </c>
      <c r="I162" s="46" t="str">
        <f aca="false">IF($H162="","",'Survey Response'!$I160)</f>
        <v/>
      </c>
      <c r="J162" s="46" t="str">
        <f aca="false">IF($H162="","",'Survey Response'!$K160)</f>
        <v/>
      </c>
      <c r="K162" s="46" t="str">
        <f aca="false">IF($J162="","",IF(COUNTIF('Skill Mapping'!$A$2:$A$7,TRIM($J162))=0,"",INDEX('Skill Mapping'!$B$2:$B$7,MATCH(TRIM($J162),'Skill Mapping'!$A$2:$A$7,0))))</f>
        <v/>
      </c>
      <c r="L162" s="46" t="str">
        <f aca="false">IF($H162="","",'Survey Response'!$L160)</f>
        <v/>
      </c>
      <c r="M162" s="46" t="str">
        <f aca="false">IF($L162="","",IF(COUNTIF('Skill Mapping'!$A$2:$A$7,TRIM($L162))=0,"",INDEX('Skill Mapping'!$B$2:$B$7,MATCH(TRIM($L162),'Skill Mapping'!$A$2:$A$7,0))))</f>
        <v/>
      </c>
      <c r="N162" s="46" t="str">
        <f aca="false">IF($H162="","",'Survey Response'!$M160)</f>
        <v/>
      </c>
      <c r="O162" s="46" t="str">
        <f aca="false">IF($H162="","",IF('Survey Response'!$M160="Manager","R2","R1"))</f>
        <v/>
      </c>
      <c r="P162" s="46" t="str">
        <f aca="false">IF($K162="","No",IF(COUNTIFS(MasterPanel!$B:$B,$H162,MasterPanel!$I:$I,$K162,MasterPanel!$K:$K,"Y")&gt;0,"Yes","No"))</f>
        <v>No</v>
      </c>
      <c r="Q162" s="46" t="n">
        <f aca="false">IF($K162="",0,IF(COUNTIF('Gap Sheet'!$A$6:$A$11,TRIM($J162))=0,0,IF($O162="R1",INDEX('Gap Sheet'!$C$6:$C$11,MATCH(TRIM($J162),'Gap Sheet'!$A$6:$A$11,0)),INDEX('Gap Sheet'!$G$6:$G$11,MATCH(TRIM($J162),'Gap Sheet'!$A$6:$A$11,0)))))</f>
        <v>0</v>
      </c>
      <c r="R162" s="46" t="str">
        <f aca="false">IF($K162="","",$K162&amp;"|"&amp;$O162)</f>
        <v/>
      </c>
      <c r="S162" s="46" t="n">
        <f aca="false">IF($R162="",0,COUNTIF($AA$4:$AA161,$R162))</f>
        <v>0</v>
      </c>
      <c r="T162" s="46" t="str">
        <f aca="false">IF(OR($I162&lt;&gt;"Yes, I'm available for in-person interviews at Chennai",$E162&lt;&gt;"Yes",$P162&lt;&gt;"Yes"),"No",IF(($Q162-$S162)&gt;0,"Yes","No"))</f>
        <v>No</v>
      </c>
      <c r="U162" s="46" t="str">
        <f aca="false">IF($M162="","No",IF(COUNTIFS(MasterPanel!$B:$B,$H162,MasterPanel!$I:$I,$M162,MasterPanel!$K:$K,"Y")&gt;0,"Yes","No"))</f>
        <v>No</v>
      </c>
      <c r="V162" s="46" t="n">
        <f aca="false">IF($M162="",0,IF(COUNTIF('Gap Sheet'!$A$6:$A$11,TRIM($L162))=0,0,IF($O162="R1",INDEX('Gap Sheet'!$C$6:$C$11,MATCH(TRIM($L162),'Gap Sheet'!$A$6:$A$11,0)),INDEX('Gap Sheet'!$G$6:$G$11,MATCH(TRIM($L162),'Gap Sheet'!$A$6:$A$11,0)))))</f>
        <v>0</v>
      </c>
      <c r="W162" s="46" t="str">
        <f aca="false">IF($M162="","",$M162&amp;"|"&amp;$O162)</f>
        <v/>
      </c>
      <c r="X162" s="46" t="n">
        <f aca="false">IF($W162="",0,COUNTIF($AA$4:$AA161,$W162))</f>
        <v>0</v>
      </c>
      <c r="Y162" s="46" t="str">
        <f aca="false">IF(OR($I162&lt;&gt;"Yes, I'm available for in-person interviews at Chennai",$E162&lt;&gt;"Yes",$T162="Yes",$U162&lt;&gt;"Yes"),"No",IF(($V162-$X162)&gt;0,"Yes","No"))</f>
        <v>No</v>
      </c>
      <c r="Z162" s="46" t="str">
        <f aca="false">IF($T162="Yes","Primary",IF($Y162="Yes","Secondary",""))</f>
        <v/>
      </c>
      <c r="AA162" s="46" t="str">
        <f aca="false">IF($Z162="Primary",$R162,IF($Z162="Secondary",$W162,""))</f>
        <v/>
      </c>
      <c r="AB162" s="46" t="str">
        <f aca="false">IF($Z162="Primary","Matched on primary skill",IF($Z162="Secondary","Matched on secondary skill (primary not approved or not required)",""))</f>
        <v/>
      </c>
      <c r="AC162" s="47" t="str">
        <f aca="false">IF($D162="Panel Details",$F162,"")</f>
        <v/>
      </c>
      <c r="AD162" s="46" t="str">
        <f aca="false">IF($D162="Panel Details",'Survey Response'!$D160,"")</f>
        <v/>
      </c>
      <c r="AE162" s="46" t="str">
        <f aca="false">IF($D162="Panel Details",'Survey Response'!$E160,"")</f>
        <v/>
      </c>
      <c r="AF162" s="46" t="str">
        <f aca="false">IF($D162="Panel Details",'Survey Response'!$G160,"")</f>
        <v/>
      </c>
      <c r="AG162" s="46" t="str">
        <f aca="false">IF($D162="Panel Details",IF($Z162="Primary",$J162,$L162),"")</f>
        <v/>
      </c>
      <c r="AH162" s="46" t="str">
        <f aca="false">IF($D162="Panel Details",IF($Z162="Primary",$L162,$J162),"")</f>
        <v/>
      </c>
      <c r="AI162" s="46" t="str">
        <f aca="false">IF($D162="Panel Details",'Survey Response'!$H160,"")</f>
        <v/>
      </c>
      <c r="AJ162" s="46" t="str">
        <f aca="false">IF($D162="Panel Details",'Survey Response'!$M160,"")</f>
        <v/>
      </c>
      <c r="AK162" s="46" t="str">
        <f aca="false">IF($D162="Panel Details",$O162,"")</f>
        <v/>
      </c>
      <c r="AL162" s="46" t="str">
        <f aca="false">IF($D162="Panel Details",8,"")</f>
        <v/>
      </c>
      <c r="AM162" s="46" t="str">
        <f aca="false">IF($D162="Panel Details",$AB162,"")</f>
        <v/>
      </c>
      <c r="AN162" s="46" t="str">
        <f aca="false">IF($D162="Panel Details","Yes","")</f>
        <v/>
      </c>
      <c r="AO162" s="46"/>
      <c r="AP162" s="46" t="str">
        <f aca="false">IF($D162="Followup",'Survey Response'!$D160,"")</f>
        <v/>
      </c>
      <c r="AQ162" s="46" t="str">
        <f aca="false">IF($D162="Followup",'Survey Response'!$E160,"")</f>
        <v/>
      </c>
      <c r="AR162" s="46" t="str">
        <f aca="false">IF($D162="Followup",'Survey Response'!$G160,"")</f>
        <v/>
      </c>
      <c r="AS162" s="46" t="str">
        <f aca="false">IF($D162="Followup",'Survey Response'!$H160,"")</f>
        <v/>
      </c>
      <c r="AT162" s="46" t="str">
        <f aca="false">IF($D162="Followup",'Survey Response'!$M160,"")</f>
        <v/>
      </c>
      <c r="AU162" s="46" t="str">
        <f aca="false">IF($D162="Followup",'Survey Response'!$K160,"")</f>
        <v/>
      </c>
      <c r="AV162" s="46" t="str">
        <f aca="false">IF($D162="Followup",'Survey Response'!$L160,"")</f>
        <v/>
      </c>
      <c r="AW162" s="46" t="str">
        <f aca="false">IF($D162="Followup",IF(AND($P162&lt;&gt;"Yes",$U162&lt;&gt;"Yes"),"Not approved for primary or secondary skill","Approved, but skill(s) no longer have capacity (fully staffed)"),"")</f>
        <v/>
      </c>
    </row>
    <row r="163" customFormat="false" ht="15" hidden="false" customHeight="true" outlineLevel="0" collapsed="false">
      <c r="A163" s="46" t="str">
        <f aca="false">IF('Survey Response'!$D161="","",'Survey Response'!$A161&amp;"|"&amp;LOWER(TRIM('Survey Response'!$D161)))</f>
        <v/>
      </c>
      <c r="B163" s="46" t="str">
        <f aca="false">IF($H163="","",$F163&amp;"|"&amp;$H163)</f>
        <v/>
      </c>
      <c r="C163" s="46" t="str">
        <f aca="false">IF($H163="","",$A163=$B163)</f>
        <v/>
      </c>
      <c r="D163" s="46" t="str">
        <f aca="false">IF($H163="","",IF($E163&lt;&gt;"Yes","Superseded",IF($I163&lt;&gt;"Yes, I'm available for in-person interviews at Chennai","Not Available",IF($Z163&lt;&gt;"","Panel Details","Followup"))))</f>
        <v/>
      </c>
      <c r="E163" s="46" t="str">
        <f aca="false">IF($H163="","",IF(SUMPRODUCT(($H$4:$H$503=$H163)*(($G$4:$G$503&gt;$G163)+($G$4:$G$503=$G163)*($F$4:$F$503&gt;$F163)))=0,"Yes","No"))</f>
        <v/>
      </c>
      <c r="F163" s="47" t="str">
        <f aca="false">IF('Survey Response'!$D161="","",INT('Survey Response'!$A161))</f>
        <v/>
      </c>
      <c r="G163" s="46" t="str">
        <f aca="false">IF('Survey Response'!$D161="","",'Survey Response'!$C161)</f>
        <v/>
      </c>
      <c r="H163" s="46" t="str">
        <f aca="false">IF('Survey Response'!$D161="","",LOWER(TRIM('Survey Response'!$D161)))</f>
        <v/>
      </c>
      <c r="I163" s="46" t="str">
        <f aca="false">IF($H163="","",'Survey Response'!$I161)</f>
        <v/>
      </c>
      <c r="J163" s="46" t="str">
        <f aca="false">IF($H163="","",'Survey Response'!$K161)</f>
        <v/>
      </c>
      <c r="K163" s="46" t="str">
        <f aca="false">IF($J163="","",IF(COUNTIF('Skill Mapping'!$A$2:$A$7,TRIM($J163))=0,"",INDEX('Skill Mapping'!$B$2:$B$7,MATCH(TRIM($J163),'Skill Mapping'!$A$2:$A$7,0))))</f>
        <v/>
      </c>
      <c r="L163" s="46" t="str">
        <f aca="false">IF($H163="","",'Survey Response'!$L161)</f>
        <v/>
      </c>
      <c r="M163" s="46" t="str">
        <f aca="false">IF($L163="","",IF(COUNTIF('Skill Mapping'!$A$2:$A$7,TRIM($L163))=0,"",INDEX('Skill Mapping'!$B$2:$B$7,MATCH(TRIM($L163),'Skill Mapping'!$A$2:$A$7,0))))</f>
        <v/>
      </c>
      <c r="N163" s="46" t="str">
        <f aca="false">IF($H163="","",'Survey Response'!$M161)</f>
        <v/>
      </c>
      <c r="O163" s="46" t="str">
        <f aca="false">IF($H163="","",IF('Survey Response'!$M161="Manager","R2","R1"))</f>
        <v/>
      </c>
      <c r="P163" s="46" t="str">
        <f aca="false">IF($K163="","No",IF(COUNTIFS(MasterPanel!$B:$B,$H163,MasterPanel!$I:$I,$K163,MasterPanel!$K:$K,"Y")&gt;0,"Yes","No"))</f>
        <v>No</v>
      </c>
      <c r="Q163" s="46" t="n">
        <f aca="false">IF($K163="",0,IF(COUNTIF('Gap Sheet'!$A$6:$A$11,TRIM($J163))=0,0,IF($O163="R1",INDEX('Gap Sheet'!$C$6:$C$11,MATCH(TRIM($J163),'Gap Sheet'!$A$6:$A$11,0)),INDEX('Gap Sheet'!$G$6:$G$11,MATCH(TRIM($J163),'Gap Sheet'!$A$6:$A$11,0)))))</f>
        <v>0</v>
      </c>
      <c r="R163" s="46" t="str">
        <f aca="false">IF($K163="","",$K163&amp;"|"&amp;$O163)</f>
        <v/>
      </c>
      <c r="S163" s="46" t="n">
        <f aca="false">IF($R163="",0,COUNTIF($AA$4:$AA162,$R163))</f>
        <v>0</v>
      </c>
      <c r="T163" s="46" t="str">
        <f aca="false">IF(OR($I163&lt;&gt;"Yes, I'm available for in-person interviews at Chennai",$E163&lt;&gt;"Yes",$P163&lt;&gt;"Yes"),"No",IF(($Q163-$S163)&gt;0,"Yes","No"))</f>
        <v>No</v>
      </c>
      <c r="U163" s="46" t="str">
        <f aca="false">IF($M163="","No",IF(COUNTIFS(MasterPanel!$B:$B,$H163,MasterPanel!$I:$I,$M163,MasterPanel!$K:$K,"Y")&gt;0,"Yes","No"))</f>
        <v>No</v>
      </c>
      <c r="V163" s="46" t="n">
        <f aca="false">IF($M163="",0,IF(COUNTIF('Gap Sheet'!$A$6:$A$11,TRIM($L163))=0,0,IF($O163="R1",INDEX('Gap Sheet'!$C$6:$C$11,MATCH(TRIM($L163),'Gap Sheet'!$A$6:$A$11,0)),INDEX('Gap Sheet'!$G$6:$G$11,MATCH(TRIM($L163),'Gap Sheet'!$A$6:$A$11,0)))))</f>
        <v>0</v>
      </c>
      <c r="W163" s="46" t="str">
        <f aca="false">IF($M163="","",$M163&amp;"|"&amp;$O163)</f>
        <v/>
      </c>
      <c r="X163" s="46" t="n">
        <f aca="false">IF($W163="",0,COUNTIF($AA$4:$AA162,$W163))</f>
        <v>0</v>
      </c>
      <c r="Y163" s="46" t="str">
        <f aca="false">IF(OR($I163&lt;&gt;"Yes, I'm available for in-person interviews at Chennai",$E163&lt;&gt;"Yes",$T163="Yes",$U163&lt;&gt;"Yes"),"No",IF(($V163-$X163)&gt;0,"Yes","No"))</f>
        <v>No</v>
      </c>
      <c r="Z163" s="46" t="str">
        <f aca="false">IF($T163="Yes","Primary",IF($Y163="Yes","Secondary",""))</f>
        <v/>
      </c>
      <c r="AA163" s="46" t="str">
        <f aca="false">IF($Z163="Primary",$R163,IF($Z163="Secondary",$W163,""))</f>
        <v/>
      </c>
      <c r="AB163" s="46" t="str">
        <f aca="false">IF($Z163="Primary","Matched on primary skill",IF($Z163="Secondary","Matched on secondary skill (primary not approved or not required)",""))</f>
        <v/>
      </c>
      <c r="AC163" s="47" t="str">
        <f aca="false">IF($D163="Panel Details",$F163,"")</f>
        <v/>
      </c>
      <c r="AD163" s="46" t="str">
        <f aca="false">IF($D163="Panel Details",'Survey Response'!$D161,"")</f>
        <v/>
      </c>
      <c r="AE163" s="46" t="str">
        <f aca="false">IF($D163="Panel Details",'Survey Response'!$E161,"")</f>
        <v/>
      </c>
      <c r="AF163" s="46" t="str">
        <f aca="false">IF($D163="Panel Details",'Survey Response'!$G161,"")</f>
        <v/>
      </c>
      <c r="AG163" s="46" t="str">
        <f aca="false">IF($D163="Panel Details",IF($Z163="Primary",$J163,$L163),"")</f>
        <v/>
      </c>
      <c r="AH163" s="46" t="str">
        <f aca="false">IF($D163="Panel Details",IF($Z163="Primary",$L163,$J163),"")</f>
        <v/>
      </c>
      <c r="AI163" s="46" t="str">
        <f aca="false">IF($D163="Panel Details",'Survey Response'!$H161,"")</f>
        <v/>
      </c>
      <c r="AJ163" s="46" t="str">
        <f aca="false">IF($D163="Panel Details",'Survey Response'!$M161,"")</f>
        <v/>
      </c>
      <c r="AK163" s="46" t="str">
        <f aca="false">IF($D163="Panel Details",$O163,"")</f>
        <v/>
      </c>
      <c r="AL163" s="46" t="str">
        <f aca="false">IF($D163="Panel Details",8,"")</f>
        <v/>
      </c>
      <c r="AM163" s="46" t="str">
        <f aca="false">IF($D163="Panel Details",$AB163,"")</f>
        <v/>
      </c>
      <c r="AN163" s="46" t="str">
        <f aca="false">IF($D163="Panel Details","Yes","")</f>
        <v/>
      </c>
      <c r="AO163" s="46"/>
      <c r="AP163" s="46" t="str">
        <f aca="false">IF($D163="Followup",'Survey Response'!$D161,"")</f>
        <v/>
      </c>
      <c r="AQ163" s="46" t="str">
        <f aca="false">IF($D163="Followup",'Survey Response'!$E161,"")</f>
        <v/>
      </c>
      <c r="AR163" s="46" t="str">
        <f aca="false">IF($D163="Followup",'Survey Response'!$G161,"")</f>
        <v/>
      </c>
      <c r="AS163" s="46" t="str">
        <f aca="false">IF($D163="Followup",'Survey Response'!$H161,"")</f>
        <v/>
      </c>
      <c r="AT163" s="46" t="str">
        <f aca="false">IF($D163="Followup",'Survey Response'!$M161,"")</f>
        <v/>
      </c>
      <c r="AU163" s="46" t="str">
        <f aca="false">IF($D163="Followup",'Survey Response'!$K161,"")</f>
        <v/>
      </c>
      <c r="AV163" s="46" t="str">
        <f aca="false">IF($D163="Followup",'Survey Response'!$L161,"")</f>
        <v/>
      </c>
      <c r="AW163" s="46" t="str">
        <f aca="false">IF($D163="Followup",IF(AND($P163&lt;&gt;"Yes",$U163&lt;&gt;"Yes"),"Not approved for primary or secondary skill","Approved, but skill(s) no longer have capacity (fully staffed)"),"")</f>
        <v/>
      </c>
    </row>
    <row r="164" customFormat="false" ht="15" hidden="false" customHeight="true" outlineLevel="0" collapsed="false">
      <c r="A164" s="46" t="str">
        <f aca="false">IF('Survey Response'!$D162="","",'Survey Response'!$A162&amp;"|"&amp;LOWER(TRIM('Survey Response'!$D162)))</f>
        <v/>
      </c>
      <c r="B164" s="46" t="str">
        <f aca="false">IF($H164="","",$F164&amp;"|"&amp;$H164)</f>
        <v/>
      </c>
      <c r="C164" s="46" t="str">
        <f aca="false">IF($H164="","",$A164=$B164)</f>
        <v/>
      </c>
      <c r="D164" s="46" t="str">
        <f aca="false">IF($H164="","",IF($E164&lt;&gt;"Yes","Superseded",IF($I164&lt;&gt;"Yes, I'm available for in-person interviews at Chennai","Not Available",IF($Z164&lt;&gt;"","Panel Details","Followup"))))</f>
        <v/>
      </c>
      <c r="E164" s="46" t="str">
        <f aca="false">IF($H164="","",IF(SUMPRODUCT(($H$4:$H$503=$H164)*(($G$4:$G$503&gt;$G164)+($G$4:$G$503=$G164)*($F$4:$F$503&gt;$F164)))=0,"Yes","No"))</f>
        <v/>
      </c>
      <c r="F164" s="47" t="str">
        <f aca="false">IF('Survey Response'!$D162="","",INT('Survey Response'!$A162))</f>
        <v/>
      </c>
      <c r="G164" s="46" t="str">
        <f aca="false">IF('Survey Response'!$D162="","",'Survey Response'!$C162)</f>
        <v/>
      </c>
      <c r="H164" s="46" t="str">
        <f aca="false">IF('Survey Response'!$D162="","",LOWER(TRIM('Survey Response'!$D162)))</f>
        <v/>
      </c>
      <c r="I164" s="46" t="str">
        <f aca="false">IF($H164="","",'Survey Response'!$I162)</f>
        <v/>
      </c>
      <c r="J164" s="46" t="str">
        <f aca="false">IF($H164="","",'Survey Response'!$K162)</f>
        <v/>
      </c>
      <c r="K164" s="46" t="str">
        <f aca="false">IF($J164="","",IF(COUNTIF('Skill Mapping'!$A$2:$A$7,TRIM($J164))=0,"",INDEX('Skill Mapping'!$B$2:$B$7,MATCH(TRIM($J164),'Skill Mapping'!$A$2:$A$7,0))))</f>
        <v/>
      </c>
      <c r="L164" s="46" t="str">
        <f aca="false">IF($H164="","",'Survey Response'!$L162)</f>
        <v/>
      </c>
      <c r="M164" s="46" t="str">
        <f aca="false">IF($L164="","",IF(COUNTIF('Skill Mapping'!$A$2:$A$7,TRIM($L164))=0,"",INDEX('Skill Mapping'!$B$2:$B$7,MATCH(TRIM($L164),'Skill Mapping'!$A$2:$A$7,0))))</f>
        <v/>
      </c>
      <c r="N164" s="46" t="str">
        <f aca="false">IF($H164="","",'Survey Response'!$M162)</f>
        <v/>
      </c>
      <c r="O164" s="46" t="str">
        <f aca="false">IF($H164="","",IF('Survey Response'!$M162="Manager","R2","R1"))</f>
        <v/>
      </c>
      <c r="P164" s="46" t="str">
        <f aca="false">IF($K164="","No",IF(COUNTIFS(MasterPanel!$B:$B,$H164,MasterPanel!$I:$I,$K164,MasterPanel!$K:$K,"Y")&gt;0,"Yes","No"))</f>
        <v>No</v>
      </c>
      <c r="Q164" s="46" t="n">
        <f aca="false">IF($K164="",0,IF(COUNTIF('Gap Sheet'!$A$6:$A$11,TRIM($J164))=0,0,IF($O164="R1",INDEX('Gap Sheet'!$C$6:$C$11,MATCH(TRIM($J164),'Gap Sheet'!$A$6:$A$11,0)),INDEX('Gap Sheet'!$G$6:$G$11,MATCH(TRIM($J164),'Gap Sheet'!$A$6:$A$11,0)))))</f>
        <v>0</v>
      </c>
      <c r="R164" s="46" t="str">
        <f aca="false">IF($K164="","",$K164&amp;"|"&amp;$O164)</f>
        <v/>
      </c>
      <c r="S164" s="46" t="n">
        <f aca="false">IF($R164="",0,COUNTIF($AA$4:$AA163,$R164))</f>
        <v>0</v>
      </c>
      <c r="T164" s="46" t="str">
        <f aca="false">IF(OR($I164&lt;&gt;"Yes, I'm available for in-person interviews at Chennai",$E164&lt;&gt;"Yes",$P164&lt;&gt;"Yes"),"No",IF(($Q164-$S164)&gt;0,"Yes","No"))</f>
        <v>No</v>
      </c>
      <c r="U164" s="46" t="str">
        <f aca="false">IF($M164="","No",IF(COUNTIFS(MasterPanel!$B:$B,$H164,MasterPanel!$I:$I,$M164,MasterPanel!$K:$K,"Y")&gt;0,"Yes","No"))</f>
        <v>No</v>
      </c>
      <c r="V164" s="46" t="n">
        <f aca="false">IF($M164="",0,IF(COUNTIF('Gap Sheet'!$A$6:$A$11,TRIM($L164))=0,0,IF($O164="R1",INDEX('Gap Sheet'!$C$6:$C$11,MATCH(TRIM($L164),'Gap Sheet'!$A$6:$A$11,0)),INDEX('Gap Sheet'!$G$6:$G$11,MATCH(TRIM($L164),'Gap Sheet'!$A$6:$A$11,0)))))</f>
        <v>0</v>
      </c>
      <c r="W164" s="46" t="str">
        <f aca="false">IF($M164="","",$M164&amp;"|"&amp;$O164)</f>
        <v/>
      </c>
      <c r="X164" s="46" t="n">
        <f aca="false">IF($W164="",0,COUNTIF($AA$4:$AA163,$W164))</f>
        <v>0</v>
      </c>
      <c r="Y164" s="46" t="str">
        <f aca="false">IF(OR($I164&lt;&gt;"Yes, I'm available for in-person interviews at Chennai",$E164&lt;&gt;"Yes",$T164="Yes",$U164&lt;&gt;"Yes"),"No",IF(($V164-$X164)&gt;0,"Yes","No"))</f>
        <v>No</v>
      </c>
      <c r="Z164" s="46" t="str">
        <f aca="false">IF($T164="Yes","Primary",IF($Y164="Yes","Secondary",""))</f>
        <v/>
      </c>
      <c r="AA164" s="46" t="str">
        <f aca="false">IF($Z164="Primary",$R164,IF($Z164="Secondary",$W164,""))</f>
        <v/>
      </c>
      <c r="AB164" s="46" t="str">
        <f aca="false">IF($Z164="Primary","Matched on primary skill",IF($Z164="Secondary","Matched on secondary skill (primary not approved or not required)",""))</f>
        <v/>
      </c>
      <c r="AC164" s="47" t="str">
        <f aca="false">IF($D164="Panel Details",$F164,"")</f>
        <v/>
      </c>
      <c r="AD164" s="46" t="str">
        <f aca="false">IF($D164="Panel Details",'Survey Response'!$D162,"")</f>
        <v/>
      </c>
      <c r="AE164" s="46" t="str">
        <f aca="false">IF($D164="Panel Details",'Survey Response'!$E162,"")</f>
        <v/>
      </c>
      <c r="AF164" s="46" t="str">
        <f aca="false">IF($D164="Panel Details",'Survey Response'!$G162,"")</f>
        <v/>
      </c>
      <c r="AG164" s="46" t="str">
        <f aca="false">IF($D164="Panel Details",IF($Z164="Primary",$J164,$L164),"")</f>
        <v/>
      </c>
      <c r="AH164" s="46" t="str">
        <f aca="false">IF($D164="Panel Details",IF($Z164="Primary",$L164,$J164),"")</f>
        <v/>
      </c>
      <c r="AI164" s="46" t="str">
        <f aca="false">IF($D164="Panel Details",'Survey Response'!$H162,"")</f>
        <v/>
      </c>
      <c r="AJ164" s="46" t="str">
        <f aca="false">IF($D164="Panel Details",'Survey Response'!$M162,"")</f>
        <v/>
      </c>
      <c r="AK164" s="46" t="str">
        <f aca="false">IF($D164="Panel Details",$O164,"")</f>
        <v/>
      </c>
      <c r="AL164" s="46" t="str">
        <f aca="false">IF($D164="Panel Details",8,"")</f>
        <v/>
      </c>
      <c r="AM164" s="46" t="str">
        <f aca="false">IF($D164="Panel Details",$AB164,"")</f>
        <v/>
      </c>
      <c r="AN164" s="46" t="str">
        <f aca="false">IF($D164="Panel Details","Yes","")</f>
        <v/>
      </c>
      <c r="AO164" s="46"/>
      <c r="AP164" s="46" t="str">
        <f aca="false">IF($D164="Followup",'Survey Response'!$D162,"")</f>
        <v/>
      </c>
      <c r="AQ164" s="46" t="str">
        <f aca="false">IF($D164="Followup",'Survey Response'!$E162,"")</f>
        <v/>
      </c>
      <c r="AR164" s="46" t="str">
        <f aca="false">IF($D164="Followup",'Survey Response'!$G162,"")</f>
        <v/>
      </c>
      <c r="AS164" s="46" t="str">
        <f aca="false">IF($D164="Followup",'Survey Response'!$H162,"")</f>
        <v/>
      </c>
      <c r="AT164" s="46" t="str">
        <f aca="false">IF($D164="Followup",'Survey Response'!$M162,"")</f>
        <v/>
      </c>
      <c r="AU164" s="46" t="str">
        <f aca="false">IF($D164="Followup",'Survey Response'!$K162,"")</f>
        <v/>
      </c>
      <c r="AV164" s="46" t="str">
        <f aca="false">IF($D164="Followup",'Survey Response'!$L162,"")</f>
        <v/>
      </c>
      <c r="AW164" s="46" t="str">
        <f aca="false">IF($D164="Followup",IF(AND($P164&lt;&gt;"Yes",$U164&lt;&gt;"Yes"),"Not approved for primary or secondary skill","Approved, but skill(s) no longer have capacity (fully staffed)"),"")</f>
        <v/>
      </c>
    </row>
    <row r="165" customFormat="false" ht="15" hidden="false" customHeight="true" outlineLevel="0" collapsed="false">
      <c r="A165" s="46" t="str">
        <f aca="false">IF('Survey Response'!$D163="","",'Survey Response'!$A163&amp;"|"&amp;LOWER(TRIM('Survey Response'!$D163)))</f>
        <v/>
      </c>
      <c r="B165" s="46" t="str">
        <f aca="false">IF($H165="","",$F165&amp;"|"&amp;$H165)</f>
        <v/>
      </c>
      <c r="C165" s="46" t="str">
        <f aca="false">IF($H165="","",$A165=$B165)</f>
        <v/>
      </c>
      <c r="D165" s="46" t="str">
        <f aca="false">IF($H165="","",IF($E165&lt;&gt;"Yes","Superseded",IF($I165&lt;&gt;"Yes, I'm available for in-person interviews at Chennai","Not Available",IF($Z165&lt;&gt;"","Panel Details","Followup"))))</f>
        <v/>
      </c>
      <c r="E165" s="46" t="str">
        <f aca="false">IF($H165="","",IF(SUMPRODUCT(($H$4:$H$503=$H165)*(($G$4:$G$503&gt;$G165)+($G$4:$G$503=$G165)*($F$4:$F$503&gt;$F165)))=0,"Yes","No"))</f>
        <v/>
      </c>
      <c r="F165" s="47" t="str">
        <f aca="false">IF('Survey Response'!$D163="","",INT('Survey Response'!$A163))</f>
        <v/>
      </c>
      <c r="G165" s="46" t="str">
        <f aca="false">IF('Survey Response'!$D163="","",'Survey Response'!$C163)</f>
        <v/>
      </c>
      <c r="H165" s="46" t="str">
        <f aca="false">IF('Survey Response'!$D163="","",LOWER(TRIM('Survey Response'!$D163)))</f>
        <v/>
      </c>
      <c r="I165" s="46" t="str">
        <f aca="false">IF($H165="","",'Survey Response'!$I163)</f>
        <v/>
      </c>
      <c r="J165" s="46" t="str">
        <f aca="false">IF($H165="","",'Survey Response'!$K163)</f>
        <v/>
      </c>
      <c r="K165" s="46" t="str">
        <f aca="false">IF($J165="","",IF(COUNTIF('Skill Mapping'!$A$2:$A$7,TRIM($J165))=0,"",INDEX('Skill Mapping'!$B$2:$B$7,MATCH(TRIM($J165),'Skill Mapping'!$A$2:$A$7,0))))</f>
        <v/>
      </c>
      <c r="L165" s="46" t="str">
        <f aca="false">IF($H165="","",'Survey Response'!$L163)</f>
        <v/>
      </c>
      <c r="M165" s="46" t="str">
        <f aca="false">IF($L165="","",IF(COUNTIF('Skill Mapping'!$A$2:$A$7,TRIM($L165))=0,"",INDEX('Skill Mapping'!$B$2:$B$7,MATCH(TRIM($L165),'Skill Mapping'!$A$2:$A$7,0))))</f>
        <v/>
      </c>
      <c r="N165" s="46" t="str">
        <f aca="false">IF($H165="","",'Survey Response'!$M163)</f>
        <v/>
      </c>
      <c r="O165" s="46" t="str">
        <f aca="false">IF($H165="","",IF('Survey Response'!$M163="Manager","R2","R1"))</f>
        <v/>
      </c>
      <c r="P165" s="46" t="str">
        <f aca="false">IF($K165="","No",IF(COUNTIFS(MasterPanel!$B:$B,$H165,MasterPanel!$I:$I,$K165,MasterPanel!$K:$K,"Y")&gt;0,"Yes","No"))</f>
        <v>No</v>
      </c>
      <c r="Q165" s="46" t="n">
        <f aca="false">IF($K165="",0,IF(COUNTIF('Gap Sheet'!$A$6:$A$11,TRIM($J165))=0,0,IF($O165="R1",INDEX('Gap Sheet'!$C$6:$C$11,MATCH(TRIM($J165),'Gap Sheet'!$A$6:$A$11,0)),INDEX('Gap Sheet'!$G$6:$G$11,MATCH(TRIM($J165),'Gap Sheet'!$A$6:$A$11,0)))))</f>
        <v>0</v>
      </c>
      <c r="R165" s="46" t="str">
        <f aca="false">IF($K165="","",$K165&amp;"|"&amp;$O165)</f>
        <v/>
      </c>
      <c r="S165" s="46" t="n">
        <f aca="false">IF($R165="",0,COUNTIF($AA$4:$AA164,$R165))</f>
        <v>0</v>
      </c>
      <c r="T165" s="46" t="str">
        <f aca="false">IF(OR($I165&lt;&gt;"Yes, I'm available for in-person interviews at Chennai",$E165&lt;&gt;"Yes",$P165&lt;&gt;"Yes"),"No",IF(($Q165-$S165)&gt;0,"Yes","No"))</f>
        <v>No</v>
      </c>
      <c r="U165" s="46" t="str">
        <f aca="false">IF($M165="","No",IF(COUNTIFS(MasterPanel!$B:$B,$H165,MasterPanel!$I:$I,$M165,MasterPanel!$K:$K,"Y")&gt;0,"Yes","No"))</f>
        <v>No</v>
      </c>
      <c r="V165" s="46" t="n">
        <f aca="false">IF($M165="",0,IF(COUNTIF('Gap Sheet'!$A$6:$A$11,TRIM($L165))=0,0,IF($O165="R1",INDEX('Gap Sheet'!$C$6:$C$11,MATCH(TRIM($L165),'Gap Sheet'!$A$6:$A$11,0)),INDEX('Gap Sheet'!$G$6:$G$11,MATCH(TRIM($L165),'Gap Sheet'!$A$6:$A$11,0)))))</f>
        <v>0</v>
      </c>
      <c r="W165" s="46" t="str">
        <f aca="false">IF($M165="","",$M165&amp;"|"&amp;$O165)</f>
        <v/>
      </c>
      <c r="X165" s="46" t="n">
        <f aca="false">IF($W165="",0,COUNTIF($AA$4:$AA164,$W165))</f>
        <v>0</v>
      </c>
      <c r="Y165" s="46" t="str">
        <f aca="false">IF(OR($I165&lt;&gt;"Yes, I'm available for in-person interviews at Chennai",$E165&lt;&gt;"Yes",$T165="Yes",$U165&lt;&gt;"Yes"),"No",IF(($V165-$X165)&gt;0,"Yes","No"))</f>
        <v>No</v>
      </c>
      <c r="Z165" s="46" t="str">
        <f aca="false">IF($T165="Yes","Primary",IF($Y165="Yes","Secondary",""))</f>
        <v/>
      </c>
      <c r="AA165" s="46" t="str">
        <f aca="false">IF($Z165="Primary",$R165,IF($Z165="Secondary",$W165,""))</f>
        <v/>
      </c>
      <c r="AB165" s="46" t="str">
        <f aca="false">IF($Z165="Primary","Matched on primary skill",IF($Z165="Secondary","Matched on secondary skill (primary not approved or not required)",""))</f>
        <v/>
      </c>
      <c r="AC165" s="47" t="str">
        <f aca="false">IF($D165="Panel Details",$F165,"")</f>
        <v/>
      </c>
      <c r="AD165" s="46" t="str">
        <f aca="false">IF($D165="Panel Details",'Survey Response'!$D163,"")</f>
        <v/>
      </c>
      <c r="AE165" s="46" t="str">
        <f aca="false">IF($D165="Panel Details",'Survey Response'!$E163,"")</f>
        <v/>
      </c>
      <c r="AF165" s="46" t="str">
        <f aca="false">IF($D165="Panel Details",'Survey Response'!$G163,"")</f>
        <v/>
      </c>
      <c r="AG165" s="46" t="str">
        <f aca="false">IF($D165="Panel Details",IF($Z165="Primary",$J165,$L165),"")</f>
        <v/>
      </c>
      <c r="AH165" s="46" t="str">
        <f aca="false">IF($D165="Panel Details",IF($Z165="Primary",$L165,$J165),"")</f>
        <v/>
      </c>
      <c r="AI165" s="46" t="str">
        <f aca="false">IF($D165="Panel Details",'Survey Response'!$H163,"")</f>
        <v/>
      </c>
      <c r="AJ165" s="46" t="str">
        <f aca="false">IF($D165="Panel Details",'Survey Response'!$M163,"")</f>
        <v/>
      </c>
      <c r="AK165" s="46" t="str">
        <f aca="false">IF($D165="Panel Details",$O165,"")</f>
        <v/>
      </c>
      <c r="AL165" s="46" t="str">
        <f aca="false">IF($D165="Panel Details",8,"")</f>
        <v/>
      </c>
      <c r="AM165" s="46" t="str">
        <f aca="false">IF($D165="Panel Details",$AB165,"")</f>
        <v/>
      </c>
      <c r="AN165" s="46" t="str">
        <f aca="false">IF($D165="Panel Details","Yes","")</f>
        <v/>
      </c>
      <c r="AO165" s="46"/>
      <c r="AP165" s="46" t="str">
        <f aca="false">IF($D165="Followup",'Survey Response'!$D163,"")</f>
        <v/>
      </c>
      <c r="AQ165" s="46" t="str">
        <f aca="false">IF($D165="Followup",'Survey Response'!$E163,"")</f>
        <v/>
      </c>
      <c r="AR165" s="46" t="str">
        <f aca="false">IF($D165="Followup",'Survey Response'!$G163,"")</f>
        <v/>
      </c>
      <c r="AS165" s="46" t="str">
        <f aca="false">IF($D165="Followup",'Survey Response'!$H163,"")</f>
        <v/>
      </c>
      <c r="AT165" s="46" t="str">
        <f aca="false">IF($D165="Followup",'Survey Response'!$M163,"")</f>
        <v/>
      </c>
      <c r="AU165" s="46" t="str">
        <f aca="false">IF($D165="Followup",'Survey Response'!$K163,"")</f>
        <v/>
      </c>
      <c r="AV165" s="46" t="str">
        <f aca="false">IF($D165="Followup",'Survey Response'!$L163,"")</f>
        <v/>
      </c>
      <c r="AW165" s="46" t="str">
        <f aca="false">IF($D165="Followup",IF(AND($P165&lt;&gt;"Yes",$U165&lt;&gt;"Yes"),"Not approved for primary or secondary skill","Approved, but skill(s) no longer have capacity (fully staffed)"),"")</f>
        <v/>
      </c>
    </row>
    <row r="166" customFormat="false" ht="15" hidden="false" customHeight="true" outlineLevel="0" collapsed="false">
      <c r="A166" s="46" t="str">
        <f aca="false">IF('Survey Response'!$D164="","",'Survey Response'!$A164&amp;"|"&amp;LOWER(TRIM('Survey Response'!$D164)))</f>
        <v/>
      </c>
      <c r="B166" s="46" t="str">
        <f aca="false">IF($H166="","",$F166&amp;"|"&amp;$H166)</f>
        <v/>
      </c>
      <c r="C166" s="46" t="str">
        <f aca="false">IF($H166="","",$A166=$B166)</f>
        <v/>
      </c>
      <c r="D166" s="46" t="str">
        <f aca="false">IF($H166="","",IF($E166&lt;&gt;"Yes","Superseded",IF($I166&lt;&gt;"Yes, I'm available for in-person interviews at Chennai","Not Available",IF($Z166&lt;&gt;"","Panel Details","Followup"))))</f>
        <v/>
      </c>
      <c r="E166" s="46" t="str">
        <f aca="false">IF($H166="","",IF(SUMPRODUCT(($H$4:$H$503=$H166)*(($G$4:$G$503&gt;$G166)+($G$4:$G$503=$G166)*($F$4:$F$503&gt;$F166)))=0,"Yes","No"))</f>
        <v/>
      </c>
      <c r="F166" s="47" t="str">
        <f aca="false">IF('Survey Response'!$D164="","",INT('Survey Response'!$A164))</f>
        <v/>
      </c>
      <c r="G166" s="46" t="str">
        <f aca="false">IF('Survey Response'!$D164="","",'Survey Response'!$C164)</f>
        <v/>
      </c>
      <c r="H166" s="46" t="str">
        <f aca="false">IF('Survey Response'!$D164="","",LOWER(TRIM('Survey Response'!$D164)))</f>
        <v/>
      </c>
      <c r="I166" s="46" t="str">
        <f aca="false">IF($H166="","",'Survey Response'!$I164)</f>
        <v/>
      </c>
      <c r="J166" s="46" t="str">
        <f aca="false">IF($H166="","",'Survey Response'!$K164)</f>
        <v/>
      </c>
      <c r="K166" s="46" t="str">
        <f aca="false">IF($J166="","",IF(COUNTIF('Skill Mapping'!$A$2:$A$7,TRIM($J166))=0,"",INDEX('Skill Mapping'!$B$2:$B$7,MATCH(TRIM($J166),'Skill Mapping'!$A$2:$A$7,0))))</f>
        <v/>
      </c>
      <c r="L166" s="46" t="str">
        <f aca="false">IF($H166="","",'Survey Response'!$L164)</f>
        <v/>
      </c>
      <c r="M166" s="46" t="str">
        <f aca="false">IF($L166="","",IF(COUNTIF('Skill Mapping'!$A$2:$A$7,TRIM($L166))=0,"",INDEX('Skill Mapping'!$B$2:$B$7,MATCH(TRIM($L166),'Skill Mapping'!$A$2:$A$7,0))))</f>
        <v/>
      </c>
      <c r="N166" s="46" t="str">
        <f aca="false">IF($H166="","",'Survey Response'!$M164)</f>
        <v/>
      </c>
      <c r="O166" s="46" t="str">
        <f aca="false">IF($H166="","",IF('Survey Response'!$M164="Manager","R2","R1"))</f>
        <v/>
      </c>
      <c r="P166" s="46" t="str">
        <f aca="false">IF($K166="","No",IF(COUNTIFS(MasterPanel!$B:$B,$H166,MasterPanel!$I:$I,$K166,MasterPanel!$K:$K,"Y")&gt;0,"Yes","No"))</f>
        <v>No</v>
      </c>
      <c r="Q166" s="46" t="n">
        <f aca="false">IF($K166="",0,IF(COUNTIF('Gap Sheet'!$A$6:$A$11,TRIM($J166))=0,0,IF($O166="R1",INDEX('Gap Sheet'!$C$6:$C$11,MATCH(TRIM($J166),'Gap Sheet'!$A$6:$A$11,0)),INDEX('Gap Sheet'!$G$6:$G$11,MATCH(TRIM($J166),'Gap Sheet'!$A$6:$A$11,0)))))</f>
        <v>0</v>
      </c>
      <c r="R166" s="46" t="str">
        <f aca="false">IF($K166="","",$K166&amp;"|"&amp;$O166)</f>
        <v/>
      </c>
      <c r="S166" s="46" t="n">
        <f aca="false">IF($R166="",0,COUNTIF($AA$4:$AA165,$R166))</f>
        <v>0</v>
      </c>
      <c r="T166" s="46" t="str">
        <f aca="false">IF(OR($I166&lt;&gt;"Yes, I'm available for in-person interviews at Chennai",$E166&lt;&gt;"Yes",$P166&lt;&gt;"Yes"),"No",IF(($Q166-$S166)&gt;0,"Yes","No"))</f>
        <v>No</v>
      </c>
      <c r="U166" s="46" t="str">
        <f aca="false">IF($M166="","No",IF(COUNTIFS(MasterPanel!$B:$B,$H166,MasterPanel!$I:$I,$M166,MasterPanel!$K:$K,"Y")&gt;0,"Yes","No"))</f>
        <v>No</v>
      </c>
      <c r="V166" s="46" t="n">
        <f aca="false">IF($M166="",0,IF(COUNTIF('Gap Sheet'!$A$6:$A$11,TRIM($L166))=0,0,IF($O166="R1",INDEX('Gap Sheet'!$C$6:$C$11,MATCH(TRIM($L166),'Gap Sheet'!$A$6:$A$11,0)),INDEX('Gap Sheet'!$G$6:$G$11,MATCH(TRIM($L166),'Gap Sheet'!$A$6:$A$11,0)))))</f>
        <v>0</v>
      </c>
      <c r="W166" s="46" t="str">
        <f aca="false">IF($M166="","",$M166&amp;"|"&amp;$O166)</f>
        <v/>
      </c>
      <c r="X166" s="46" t="n">
        <f aca="false">IF($W166="",0,COUNTIF($AA$4:$AA165,$W166))</f>
        <v>0</v>
      </c>
      <c r="Y166" s="46" t="str">
        <f aca="false">IF(OR($I166&lt;&gt;"Yes, I'm available for in-person interviews at Chennai",$E166&lt;&gt;"Yes",$T166="Yes",$U166&lt;&gt;"Yes"),"No",IF(($V166-$X166)&gt;0,"Yes","No"))</f>
        <v>No</v>
      </c>
      <c r="Z166" s="46" t="str">
        <f aca="false">IF($T166="Yes","Primary",IF($Y166="Yes","Secondary",""))</f>
        <v/>
      </c>
      <c r="AA166" s="46" t="str">
        <f aca="false">IF($Z166="Primary",$R166,IF($Z166="Secondary",$W166,""))</f>
        <v/>
      </c>
      <c r="AB166" s="46" t="str">
        <f aca="false">IF($Z166="Primary","Matched on primary skill",IF($Z166="Secondary","Matched on secondary skill (primary not approved or not required)",""))</f>
        <v/>
      </c>
      <c r="AC166" s="47" t="str">
        <f aca="false">IF($D166="Panel Details",$F166,"")</f>
        <v/>
      </c>
      <c r="AD166" s="46" t="str">
        <f aca="false">IF($D166="Panel Details",'Survey Response'!$D164,"")</f>
        <v/>
      </c>
      <c r="AE166" s="46" t="str">
        <f aca="false">IF($D166="Panel Details",'Survey Response'!$E164,"")</f>
        <v/>
      </c>
      <c r="AF166" s="46" t="str">
        <f aca="false">IF($D166="Panel Details",'Survey Response'!$G164,"")</f>
        <v/>
      </c>
      <c r="AG166" s="46" t="str">
        <f aca="false">IF($D166="Panel Details",IF($Z166="Primary",$J166,$L166),"")</f>
        <v/>
      </c>
      <c r="AH166" s="46" t="str">
        <f aca="false">IF($D166="Panel Details",IF($Z166="Primary",$L166,$J166),"")</f>
        <v/>
      </c>
      <c r="AI166" s="46" t="str">
        <f aca="false">IF($D166="Panel Details",'Survey Response'!$H164,"")</f>
        <v/>
      </c>
      <c r="AJ166" s="46" t="str">
        <f aca="false">IF($D166="Panel Details",'Survey Response'!$M164,"")</f>
        <v/>
      </c>
      <c r="AK166" s="46" t="str">
        <f aca="false">IF($D166="Panel Details",$O166,"")</f>
        <v/>
      </c>
      <c r="AL166" s="46" t="str">
        <f aca="false">IF($D166="Panel Details",8,"")</f>
        <v/>
      </c>
      <c r="AM166" s="46" t="str">
        <f aca="false">IF($D166="Panel Details",$AB166,"")</f>
        <v/>
      </c>
      <c r="AN166" s="46" t="str">
        <f aca="false">IF($D166="Panel Details","Yes","")</f>
        <v/>
      </c>
      <c r="AO166" s="46"/>
      <c r="AP166" s="46" t="str">
        <f aca="false">IF($D166="Followup",'Survey Response'!$D164,"")</f>
        <v/>
      </c>
      <c r="AQ166" s="46" t="str">
        <f aca="false">IF($D166="Followup",'Survey Response'!$E164,"")</f>
        <v/>
      </c>
      <c r="AR166" s="46" t="str">
        <f aca="false">IF($D166="Followup",'Survey Response'!$G164,"")</f>
        <v/>
      </c>
      <c r="AS166" s="46" t="str">
        <f aca="false">IF($D166="Followup",'Survey Response'!$H164,"")</f>
        <v/>
      </c>
      <c r="AT166" s="46" t="str">
        <f aca="false">IF($D166="Followup",'Survey Response'!$M164,"")</f>
        <v/>
      </c>
      <c r="AU166" s="46" t="str">
        <f aca="false">IF($D166="Followup",'Survey Response'!$K164,"")</f>
        <v/>
      </c>
      <c r="AV166" s="46" t="str">
        <f aca="false">IF($D166="Followup",'Survey Response'!$L164,"")</f>
        <v/>
      </c>
      <c r="AW166" s="46" t="str">
        <f aca="false">IF($D166="Followup",IF(AND($P166&lt;&gt;"Yes",$U166&lt;&gt;"Yes"),"Not approved for primary or secondary skill","Approved, but skill(s) no longer have capacity (fully staffed)"),"")</f>
        <v/>
      </c>
    </row>
    <row r="167" customFormat="false" ht="15" hidden="false" customHeight="true" outlineLevel="0" collapsed="false">
      <c r="A167" s="46" t="str">
        <f aca="false">IF('Survey Response'!$D165="","",'Survey Response'!$A165&amp;"|"&amp;LOWER(TRIM('Survey Response'!$D165)))</f>
        <v/>
      </c>
      <c r="B167" s="46" t="str">
        <f aca="false">IF($H167="","",$F167&amp;"|"&amp;$H167)</f>
        <v/>
      </c>
      <c r="C167" s="46" t="str">
        <f aca="false">IF($H167="","",$A167=$B167)</f>
        <v/>
      </c>
      <c r="D167" s="46" t="str">
        <f aca="false">IF($H167="","",IF($E167&lt;&gt;"Yes","Superseded",IF($I167&lt;&gt;"Yes, I'm available for in-person interviews at Chennai","Not Available",IF($Z167&lt;&gt;"","Panel Details","Followup"))))</f>
        <v/>
      </c>
      <c r="E167" s="46" t="str">
        <f aca="false">IF($H167="","",IF(SUMPRODUCT(($H$4:$H$503=$H167)*(($G$4:$G$503&gt;$G167)+($G$4:$G$503=$G167)*($F$4:$F$503&gt;$F167)))=0,"Yes","No"))</f>
        <v/>
      </c>
      <c r="F167" s="47" t="str">
        <f aca="false">IF('Survey Response'!$D165="","",INT('Survey Response'!$A165))</f>
        <v/>
      </c>
      <c r="G167" s="46" t="str">
        <f aca="false">IF('Survey Response'!$D165="","",'Survey Response'!$C165)</f>
        <v/>
      </c>
      <c r="H167" s="46" t="str">
        <f aca="false">IF('Survey Response'!$D165="","",LOWER(TRIM('Survey Response'!$D165)))</f>
        <v/>
      </c>
      <c r="I167" s="46" t="str">
        <f aca="false">IF($H167="","",'Survey Response'!$I165)</f>
        <v/>
      </c>
      <c r="J167" s="46" t="str">
        <f aca="false">IF($H167="","",'Survey Response'!$K165)</f>
        <v/>
      </c>
      <c r="K167" s="46" t="str">
        <f aca="false">IF($J167="","",IF(COUNTIF('Skill Mapping'!$A$2:$A$7,TRIM($J167))=0,"",INDEX('Skill Mapping'!$B$2:$B$7,MATCH(TRIM($J167),'Skill Mapping'!$A$2:$A$7,0))))</f>
        <v/>
      </c>
      <c r="L167" s="46" t="str">
        <f aca="false">IF($H167="","",'Survey Response'!$L165)</f>
        <v/>
      </c>
      <c r="M167" s="46" t="str">
        <f aca="false">IF($L167="","",IF(COUNTIF('Skill Mapping'!$A$2:$A$7,TRIM($L167))=0,"",INDEX('Skill Mapping'!$B$2:$B$7,MATCH(TRIM($L167),'Skill Mapping'!$A$2:$A$7,0))))</f>
        <v/>
      </c>
      <c r="N167" s="46" t="str">
        <f aca="false">IF($H167="","",'Survey Response'!$M165)</f>
        <v/>
      </c>
      <c r="O167" s="46" t="str">
        <f aca="false">IF($H167="","",IF('Survey Response'!$M165="Manager","R2","R1"))</f>
        <v/>
      </c>
      <c r="P167" s="46" t="str">
        <f aca="false">IF($K167="","No",IF(COUNTIFS(MasterPanel!$B:$B,$H167,MasterPanel!$I:$I,$K167,MasterPanel!$K:$K,"Y")&gt;0,"Yes","No"))</f>
        <v>No</v>
      </c>
      <c r="Q167" s="46" t="n">
        <f aca="false">IF($K167="",0,IF(COUNTIF('Gap Sheet'!$A$6:$A$11,TRIM($J167))=0,0,IF($O167="R1",INDEX('Gap Sheet'!$C$6:$C$11,MATCH(TRIM($J167),'Gap Sheet'!$A$6:$A$11,0)),INDEX('Gap Sheet'!$G$6:$G$11,MATCH(TRIM($J167),'Gap Sheet'!$A$6:$A$11,0)))))</f>
        <v>0</v>
      </c>
      <c r="R167" s="46" t="str">
        <f aca="false">IF($K167="","",$K167&amp;"|"&amp;$O167)</f>
        <v/>
      </c>
      <c r="S167" s="46" t="n">
        <f aca="false">IF($R167="",0,COUNTIF($AA$4:$AA166,$R167))</f>
        <v>0</v>
      </c>
      <c r="T167" s="46" t="str">
        <f aca="false">IF(OR($I167&lt;&gt;"Yes, I'm available for in-person interviews at Chennai",$E167&lt;&gt;"Yes",$P167&lt;&gt;"Yes"),"No",IF(($Q167-$S167)&gt;0,"Yes","No"))</f>
        <v>No</v>
      </c>
      <c r="U167" s="46" t="str">
        <f aca="false">IF($M167="","No",IF(COUNTIFS(MasterPanel!$B:$B,$H167,MasterPanel!$I:$I,$M167,MasterPanel!$K:$K,"Y")&gt;0,"Yes","No"))</f>
        <v>No</v>
      </c>
      <c r="V167" s="46" t="n">
        <f aca="false">IF($M167="",0,IF(COUNTIF('Gap Sheet'!$A$6:$A$11,TRIM($L167))=0,0,IF($O167="R1",INDEX('Gap Sheet'!$C$6:$C$11,MATCH(TRIM($L167),'Gap Sheet'!$A$6:$A$11,0)),INDEX('Gap Sheet'!$G$6:$G$11,MATCH(TRIM($L167),'Gap Sheet'!$A$6:$A$11,0)))))</f>
        <v>0</v>
      </c>
      <c r="W167" s="46" t="str">
        <f aca="false">IF($M167="","",$M167&amp;"|"&amp;$O167)</f>
        <v/>
      </c>
      <c r="X167" s="46" t="n">
        <f aca="false">IF($W167="",0,COUNTIF($AA$4:$AA166,$W167))</f>
        <v>0</v>
      </c>
      <c r="Y167" s="46" t="str">
        <f aca="false">IF(OR($I167&lt;&gt;"Yes, I'm available for in-person interviews at Chennai",$E167&lt;&gt;"Yes",$T167="Yes",$U167&lt;&gt;"Yes"),"No",IF(($V167-$X167)&gt;0,"Yes","No"))</f>
        <v>No</v>
      </c>
      <c r="Z167" s="46" t="str">
        <f aca="false">IF($T167="Yes","Primary",IF($Y167="Yes","Secondary",""))</f>
        <v/>
      </c>
      <c r="AA167" s="46" t="str">
        <f aca="false">IF($Z167="Primary",$R167,IF($Z167="Secondary",$W167,""))</f>
        <v/>
      </c>
      <c r="AB167" s="46" t="str">
        <f aca="false">IF($Z167="Primary","Matched on primary skill",IF($Z167="Secondary","Matched on secondary skill (primary not approved or not required)",""))</f>
        <v/>
      </c>
      <c r="AC167" s="47" t="str">
        <f aca="false">IF($D167="Panel Details",$F167,"")</f>
        <v/>
      </c>
      <c r="AD167" s="46" t="str">
        <f aca="false">IF($D167="Panel Details",'Survey Response'!$D165,"")</f>
        <v/>
      </c>
      <c r="AE167" s="46" t="str">
        <f aca="false">IF($D167="Panel Details",'Survey Response'!$E165,"")</f>
        <v/>
      </c>
      <c r="AF167" s="46" t="str">
        <f aca="false">IF($D167="Panel Details",'Survey Response'!$G165,"")</f>
        <v/>
      </c>
      <c r="AG167" s="46" t="str">
        <f aca="false">IF($D167="Panel Details",IF($Z167="Primary",$J167,$L167),"")</f>
        <v/>
      </c>
      <c r="AH167" s="46" t="str">
        <f aca="false">IF($D167="Panel Details",IF($Z167="Primary",$L167,$J167),"")</f>
        <v/>
      </c>
      <c r="AI167" s="46" t="str">
        <f aca="false">IF($D167="Panel Details",'Survey Response'!$H165,"")</f>
        <v/>
      </c>
      <c r="AJ167" s="46" t="str">
        <f aca="false">IF($D167="Panel Details",'Survey Response'!$M165,"")</f>
        <v/>
      </c>
      <c r="AK167" s="46" t="str">
        <f aca="false">IF($D167="Panel Details",$O167,"")</f>
        <v/>
      </c>
      <c r="AL167" s="46" t="str">
        <f aca="false">IF($D167="Panel Details",8,"")</f>
        <v/>
      </c>
      <c r="AM167" s="46" t="str">
        <f aca="false">IF($D167="Panel Details",$AB167,"")</f>
        <v/>
      </c>
      <c r="AN167" s="46" t="str">
        <f aca="false">IF($D167="Panel Details","Yes","")</f>
        <v/>
      </c>
      <c r="AO167" s="46"/>
      <c r="AP167" s="46" t="str">
        <f aca="false">IF($D167="Followup",'Survey Response'!$D165,"")</f>
        <v/>
      </c>
      <c r="AQ167" s="46" t="str">
        <f aca="false">IF($D167="Followup",'Survey Response'!$E165,"")</f>
        <v/>
      </c>
      <c r="AR167" s="46" t="str">
        <f aca="false">IF($D167="Followup",'Survey Response'!$G165,"")</f>
        <v/>
      </c>
      <c r="AS167" s="46" t="str">
        <f aca="false">IF($D167="Followup",'Survey Response'!$H165,"")</f>
        <v/>
      </c>
      <c r="AT167" s="46" t="str">
        <f aca="false">IF($D167="Followup",'Survey Response'!$M165,"")</f>
        <v/>
      </c>
      <c r="AU167" s="46" t="str">
        <f aca="false">IF($D167="Followup",'Survey Response'!$K165,"")</f>
        <v/>
      </c>
      <c r="AV167" s="46" t="str">
        <f aca="false">IF($D167="Followup",'Survey Response'!$L165,"")</f>
        <v/>
      </c>
      <c r="AW167" s="46" t="str">
        <f aca="false">IF($D167="Followup",IF(AND($P167&lt;&gt;"Yes",$U167&lt;&gt;"Yes"),"Not approved for primary or secondary skill","Approved, but skill(s) no longer have capacity (fully staffed)"),"")</f>
        <v/>
      </c>
    </row>
    <row r="168" customFormat="false" ht="15" hidden="false" customHeight="true" outlineLevel="0" collapsed="false">
      <c r="A168" s="46" t="str">
        <f aca="false">IF('Survey Response'!$D166="","",'Survey Response'!$A166&amp;"|"&amp;LOWER(TRIM('Survey Response'!$D166)))</f>
        <v/>
      </c>
      <c r="B168" s="46" t="str">
        <f aca="false">IF($H168="","",$F168&amp;"|"&amp;$H168)</f>
        <v/>
      </c>
      <c r="C168" s="46" t="str">
        <f aca="false">IF($H168="","",$A168=$B168)</f>
        <v/>
      </c>
      <c r="D168" s="46" t="str">
        <f aca="false">IF($H168="","",IF($E168&lt;&gt;"Yes","Superseded",IF($I168&lt;&gt;"Yes, I'm available for in-person interviews at Chennai","Not Available",IF($Z168&lt;&gt;"","Panel Details","Followup"))))</f>
        <v/>
      </c>
      <c r="E168" s="46" t="str">
        <f aca="false">IF($H168="","",IF(SUMPRODUCT(($H$4:$H$503=$H168)*(($G$4:$G$503&gt;$G168)+($G$4:$G$503=$G168)*($F$4:$F$503&gt;$F168)))=0,"Yes","No"))</f>
        <v/>
      </c>
      <c r="F168" s="47" t="str">
        <f aca="false">IF('Survey Response'!$D166="","",INT('Survey Response'!$A166))</f>
        <v/>
      </c>
      <c r="G168" s="46" t="str">
        <f aca="false">IF('Survey Response'!$D166="","",'Survey Response'!$C166)</f>
        <v/>
      </c>
      <c r="H168" s="46" t="str">
        <f aca="false">IF('Survey Response'!$D166="","",LOWER(TRIM('Survey Response'!$D166)))</f>
        <v/>
      </c>
      <c r="I168" s="46" t="str">
        <f aca="false">IF($H168="","",'Survey Response'!$I166)</f>
        <v/>
      </c>
      <c r="J168" s="46" t="str">
        <f aca="false">IF($H168="","",'Survey Response'!$K166)</f>
        <v/>
      </c>
      <c r="K168" s="46" t="str">
        <f aca="false">IF($J168="","",IF(COUNTIF('Skill Mapping'!$A$2:$A$7,TRIM($J168))=0,"",INDEX('Skill Mapping'!$B$2:$B$7,MATCH(TRIM($J168),'Skill Mapping'!$A$2:$A$7,0))))</f>
        <v/>
      </c>
      <c r="L168" s="46" t="str">
        <f aca="false">IF($H168="","",'Survey Response'!$L166)</f>
        <v/>
      </c>
      <c r="M168" s="46" t="str">
        <f aca="false">IF($L168="","",IF(COUNTIF('Skill Mapping'!$A$2:$A$7,TRIM($L168))=0,"",INDEX('Skill Mapping'!$B$2:$B$7,MATCH(TRIM($L168),'Skill Mapping'!$A$2:$A$7,0))))</f>
        <v/>
      </c>
      <c r="N168" s="46" t="str">
        <f aca="false">IF($H168="","",'Survey Response'!$M166)</f>
        <v/>
      </c>
      <c r="O168" s="46" t="str">
        <f aca="false">IF($H168="","",IF('Survey Response'!$M166="Manager","R2","R1"))</f>
        <v/>
      </c>
      <c r="P168" s="46" t="str">
        <f aca="false">IF($K168="","No",IF(COUNTIFS(MasterPanel!$B:$B,$H168,MasterPanel!$I:$I,$K168,MasterPanel!$K:$K,"Y")&gt;0,"Yes","No"))</f>
        <v>No</v>
      </c>
      <c r="Q168" s="46" t="n">
        <f aca="false">IF($K168="",0,IF(COUNTIF('Gap Sheet'!$A$6:$A$11,TRIM($J168))=0,0,IF($O168="R1",INDEX('Gap Sheet'!$C$6:$C$11,MATCH(TRIM($J168),'Gap Sheet'!$A$6:$A$11,0)),INDEX('Gap Sheet'!$G$6:$G$11,MATCH(TRIM($J168),'Gap Sheet'!$A$6:$A$11,0)))))</f>
        <v>0</v>
      </c>
      <c r="R168" s="46" t="str">
        <f aca="false">IF($K168="","",$K168&amp;"|"&amp;$O168)</f>
        <v/>
      </c>
      <c r="S168" s="46" t="n">
        <f aca="false">IF($R168="",0,COUNTIF($AA$4:$AA167,$R168))</f>
        <v>0</v>
      </c>
      <c r="T168" s="46" t="str">
        <f aca="false">IF(OR($I168&lt;&gt;"Yes, I'm available for in-person interviews at Chennai",$E168&lt;&gt;"Yes",$P168&lt;&gt;"Yes"),"No",IF(($Q168-$S168)&gt;0,"Yes","No"))</f>
        <v>No</v>
      </c>
      <c r="U168" s="46" t="str">
        <f aca="false">IF($M168="","No",IF(COUNTIFS(MasterPanel!$B:$B,$H168,MasterPanel!$I:$I,$M168,MasterPanel!$K:$K,"Y")&gt;0,"Yes","No"))</f>
        <v>No</v>
      </c>
      <c r="V168" s="46" t="n">
        <f aca="false">IF($M168="",0,IF(COUNTIF('Gap Sheet'!$A$6:$A$11,TRIM($L168))=0,0,IF($O168="R1",INDEX('Gap Sheet'!$C$6:$C$11,MATCH(TRIM($L168),'Gap Sheet'!$A$6:$A$11,0)),INDEX('Gap Sheet'!$G$6:$G$11,MATCH(TRIM($L168),'Gap Sheet'!$A$6:$A$11,0)))))</f>
        <v>0</v>
      </c>
      <c r="W168" s="46" t="str">
        <f aca="false">IF($M168="","",$M168&amp;"|"&amp;$O168)</f>
        <v/>
      </c>
      <c r="X168" s="46" t="n">
        <f aca="false">IF($W168="",0,COUNTIF($AA$4:$AA167,$W168))</f>
        <v>0</v>
      </c>
      <c r="Y168" s="46" t="str">
        <f aca="false">IF(OR($I168&lt;&gt;"Yes, I'm available for in-person interviews at Chennai",$E168&lt;&gt;"Yes",$T168="Yes",$U168&lt;&gt;"Yes"),"No",IF(($V168-$X168)&gt;0,"Yes","No"))</f>
        <v>No</v>
      </c>
      <c r="Z168" s="46" t="str">
        <f aca="false">IF($T168="Yes","Primary",IF($Y168="Yes","Secondary",""))</f>
        <v/>
      </c>
      <c r="AA168" s="46" t="str">
        <f aca="false">IF($Z168="Primary",$R168,IF($Z168="Secondary",$W168,""))</f>
        <v/>
      </c>
      <c r="AB168" s="46" t="str">
        <f aca="false">IF($Z168="Primary","Matched on primary skill",IF($Z168="Secondary","Matched on secondary skill (primary not approved or not required)",""))</f>
        <v/>
      </c>
      <c r="AC168" s="47" t="str">
        <f aca="false">IF($D168="Panel Details",$F168,"")</f>
        <v/>
      </c>
      <c r="AD168" s="46" t="str">
        <f aca="false">IF($D168="Panel Details",'Survey Response'!$D166,"")</f>
        <v/>
      </c>
      <c r="AE168" s="46" t="str">
        <f aca="false">IF($D168="Panel Details",'Survey Response'!$E166,"")</f>
        <v/>
      </c>
      <c r="AF168" s="46" t="str">
        <f aca="false">IF($D168="Panel Details",'Survey Response'!$G166,"")</f>
        <v/>
      </c>
      <c r="AG168" s="46" t="str">
        <f aca="false">IF($D168="Panel Details",IF($Z168="Primary",$J168,$L168),"")</f>
        <v/>
      </c>
      <c r="AH168" s="46" t="str">
        <f aca="false">IF($D168="Panel Details",IF($Z168="Primary",$L168,$J168),"")</f>
        <v/>
      </c>
      <c r="AI168" s="46" t="str">
        <f aca="false">IF($D168="Panel Details",'Survey Response'!$H166,"")</f>
        <v/>
      </c>
      <c r="AJ168" s="46" t="str">
        <f aca="false">IF($D168="Panel Details",'Survey Response'!$M166,"")</f>
        <v/>
      </c>
      <c r="AK168" s="46" t="str">
        <f aca="false">IF($D168="Panel Details",$O168,"")</f>
        <v/>
      </c>
      <c r="AL168" s="46" t="str">
        <f aca="false">IF($D168="Panel Details",8,"")</f>
        <v/>
      </c>
      <c r="AM168" s="46" t="str">
        <f aca="false">IF($D168="Panel Details",$AB168,"")</f>
        <v/>
      </c>
      <c r="AN168" s="46" t="str">
        <f aca="false">IF($D168="Panel Details","Yes","")</f>
        <v/>
      </c>
      <c r="AO168" s="46"/>
      <c r="AP168" s="46" t="str">
        <f aca="false">IF($D168="Followup",'Survey Response'!$D166,"")</f>
        <v/>
      </c>
      <c r="AQ168" s="46" t="str">
        <f aca="false">IF($D168="Followup",'Survey Response'!$E166,"")</f>
        <v/>
      </c>
      <c r="AR168" s="46" t="str">
        <f aca="false">IF($D168="Followup",'Survey Response'!$G166,"")</f>
        <v/>
      </c>
      <c r="AS168" s="46" t="str">
        <f aca="false">IF($D168="Followup",'Survey Response'!$H166,"")</f>
        <v/>
      </c>
      <c r="AT168" s="46" t="str">
        <f aca="false">IF($D168="Followup",'Survey Response'!$M166,"")</f>
        <v/>
      </c>
      <c r="AU168" s="46" t="str">
        <f aca="false">IF($D168="Followup",'Survey Response'!$K166,"")</f>
        <v/>
      </c>
      <c r="AV168" s="46" t="str">
        <f aca="false">IF($D168="Followup",'Survey Response'!$L166,"")</f>
        <v/>
      </c>
      <c r="AW168" s="46" t="str">
        <f aca="false">IF($D168="Followup",IF(AND($P168&lt;&gt;"Yes",$U168&lt;&gt;"Yes"),"Not approved for primary or secondary skill","Approved, but skill(s) no longer have capacity (fully staffed)"),"")</f>
        <v/>
      </c>
    </row>
    <row r="169" customFormat="false" ht="15" hidden="false" customHeight="true" outlineLevel="0" collapsed="false">
      <c r="A169" s="46" t="str">
        <f aca="false">IF('Survey Response'!$D167="","",'Survey Response'!$A167&amp;"|"&amp;LOWER(TRIM('Survey Response'!$D167)))</f>
        <v/>
      </c>
      <c r="B169" s="46" t="str">
        <f aca="false">IF($H169="","",$F169&amp;"|"&amp;$H169)</f>
        <v/>
      </c>
      <c r="C169" s="46" t="str">
        <f aca="false">IF($H169="","",$A169=$B169)</f>
        <v/>
      </c>
      <c r="D169" s="46" t="str">
        <f aca="false">IF($H169="","",IF($E169&lt;&gt;"Yes","Superseded",IF($I169&lt;&gt;"Yes, I'm available for in-person interviews at Chennai","Not Available",IF($Z169&lt;&gt;"","Panel Details","Followup"))))</f>
        <v/>
      </c>
      <c r="E169" s="46" t="str">
        <f aca="false">IF($H169="","",IF(SUMPRODUCT(($H$4:$H$503=$H169)*(($G$4:$G$503&gt;$G169)+($G$4:$G$503=$G169)*($F$4:$F$503&gt;$F169)))=0,"Yes","No"))</f>
        <v/>
      </c>
      <c r="F169" s="47" t="str">
        <f aca="false">IF('Survey Response'!$D167="","",INT('Survey Response'!$A167))</f>
        <v/>
      </c>
      <c r="G169" s="46" t="str">
        <f aca="false">IF('Survey Response'!$D167="","",'Survey Response'!$C167)</f>
        <v/>
      </c>
      <c r="H169" s="46" t="str">
        <f aca="false">IF('Survey Response'!$D167="","",LOWER(TRIM('Survey Response'!$D167)))</f>
        <v/>
      </c>
      <c r="I169" s="46" t="str">
        <f aca="false">IF($H169="","",'Survey Response'!$I167)</f>
        <v/>
      </c>
      <c r="J169" s="46" t="str">
        <f aca="false">IF($H169="","",'Survey Response'!$K167)</f>
        <v/>
      </c>
      <c r="K169" s="46" t="str">
        <f aca="false">IF($J169="","",IF(COUNTIF('Skill Mapping'!$A$2:$A$7,TRIM($J169))=0,"",INDEX('Skill Mapping'!$B$2:$B$7,MATCH(TRIM($J169),'Skill Mapping'!$A$2:$A$7,0))))</f>
        <v/>
      </c>
      <c r="L169" s="46" t="str">
        <f aca="false">IF($H169="","",'Survey Response'!$L167)</f>
        <v/>
      </c>
      <c r="M169" s="46" t="str">
        <f aca="false">IF($L169="","",IF(COUNTIF('Skill Mapping'!$A$2:$A$7,TRIM($L169))=0,"",INDEX('Skill Mapping'!$B$2:$B$7,MATCH(TRIM($L169),'Skill Mapping'!$A$2:$A$7,0))))</f>
        <v/>
      </c>
      <c r="N169" s="46" t="str">
        <f aca="false">IF($H169="","",'Survey Response'!$M167)</f>
        <v/>
      </c>
      <c r="O169" s="46" t="str">
        <f aca="false">IF($H169="","",IF('Survey Response'!$M167="Manager","R2","R1"))</f>
        <v/>
      </c>
      <c r="P169" s="46" t="str">
        <f aca="false">IF($K169="","No",IF(COUNTIFS(MasterPanel!$B:$B,$H169,MasterPanel!$I:$I,$K169,MasterPanel!$K:$K,"Y")&gt;0,"Yes","No"))</f>
        <v>No</v>
      </c>
      <c r="Q169" s="46" t="n">
        <f aca="false">IF($K169="",0,IF(COUNTIF('Gap Sheet'!$A$6:$A$11,TRIM($J169))=0,0,IF($O169="R1",INDEX('Gap Sheet'!$C$6:$C$11,MATCH(TRIM($J169),'Gap Sheet'!$A$6:$A$11,0)),INDEX('Gap Sheet'!$G$6:$G$11,MATCH(TRIM($J169),'Gap Sheet'!$A$6:$A$11,0)))))</f>
        <v>0</v>
      </c>
      <c r="R169" s="46" t="str">
        <f aca="false">IF($K169="","",$K169&amp;"|"&amp;$O169)</f>
        <v/>
      </c>
      <c r="S169" s="46" t="n">
        <f aca="false">IF($R169="",0,COUNTIF($AA$4:$AA168,$R169))</f>
        <v>0</v>
      </c>
      <c r="T169" s="46" t="str">
        <f aca="false">IF(OR($I169&lt;&gt;"Yes, I'm available for in-person interviews at Chennai",$E169&lt;&gt;"Yes",$P169&lt;&gt;"Yes"),"No",IF(($Q169-$S169)&gt;0,"Yes","No"))</f>
        <v>No</v>
      </c>
      <c r="U169" s="46" t="str">
        <f aca="false">IF($M169="","No",IF(COUNTIFS(MasterPanel!$B:$B,$H169,MasterPanel!$I:$I,$M169,MasterPanel!$K:$K,"Y")&gt;0,"Yes","No"))</f>
        <v>No</v>
      </c>
      <c r="V169" s="46" t="n">
        <f aca="false">IF($M169="",0,IF(COUNTIF('Gap Sheet'!$A$6:$A$11,TRIM($L169))=0,0,IF($O169="R1",INDEX('Gap Sheet'!$C$6:$C$11,MATCH(TRIM($L169),'Gap Sheet'!$A$6:$A$11,0)),INDEX('Gap Sheet'!$G$6:$G$11,MATCH(TRIM($L169),'Gap Sheet'!$A$6:$A$11,0)))))</f>
        <v>0</v>
      </c>
      <c r="W169" s="46" t="str">
        <f aca="false">IF($M169="","",$M169&amp;"|"&amp;$O169)</f>
        <v/>
      </c>
      <c r="X169" s="46" t="n">
        <f aca="false">IF($W169="",0,COUNTIF($AA$4:$AA168,$W169))</f>
        <v>0</v>
      </c>
      <c r="Y169" s="46" t="str">
        <f aca="false">IF(OR($I169&lt;&gt;"Yes, I'm available for in-person interviews at Chennai",$E169&lt;&gt;"Yes",$T169="Yes",$U169&lt;&gt;"Yes"),"No",IF(($V169-$X169)&gt;0,"Yes","No"))</f>
        <v>No</v>
      </c>
      <c r="Z169" s="46" t="str">
        <f aca="false">IF($T169="Yes","Primary",IF($Y169="Yes","Secondary",""))</f>
        <v/>
      </c>
      <c r="AA169" s="46" t="str">
        <f aca="false">IF($Z169="Primary",$R169,IF($Z169="Secondary",$W169,""))</f>
        <v/>
      </c>
      <c r="AB169" s="46" t="str">
        <f aca="false">IF($Z169="Primary","Matched on primary skill",IF($Z169="Secondary","Matched on secondary skill (primary not approved or not required)",""))</f>
        <v/>
      </c>
      <c r="AC169" s="47" t="str">
        <f aca="false">IF($D169="Panel Details",$F169,"")</f>
        <v/>
      </c>
      <c r="AD169" s="46" t="str">
        <f aca="false">IF($D169="Panel Details",'Survey Response'!$D167,"")</f>
        <v/>
      </c>
      <c r="AE169" s="46" t="str">
        <f aca="false">IF($D169="Panel Details",'Survey Response'!$E167,"")</f>
        <v/>
      </c>
      <c r="AF169" s="46" t="str">
        <f aca="false">IF($D169="Panel Details",'Survey Response'!$G167,"")</f>
        <v/>
      </c>
      <c r="AG169" s="46" t="str">
        <f aca="false">IF($D169="Panel Details",IF($Z169="Primary",$J169,$L169),"")</f>
        <v/>
      </c>
      <c r="AH169" s="46" t="str">
        <f aca="false">IF($D169="Panel Details",IF($Z169="Primary",$L169,$J169),"")</f>
        <v/>
      </c>
      <c r="AI169" s="46" t="str">
        <f aca="false">IF($D169="Panel Details",'Survey Response'!$H167,"")</f>
        <v/>
      </c>
      <c r="AJ169" s="46" t="str">
        <f aca="false">IF($D169="Panel Details",'Survey Response'!$M167,"")</f>
        <v/>
      </c>
      <c r="AK169" s="46" t="str">
        <f aca="false">IF($D169="Panel Details",$O169,"")</f>
        <v/>
      </c>
      <c r="AL169" s="46" t="str">
        <f aca="false">IF($D169="Panel Details",8,"")</f>
        <v/>
      </c>
      <c r="AM169" s="46" t="str">
        <f aca="false">IF($D169="Panel Details",$AB169,"")</f>
        <v/>
      </c>
      <c r="AN169" s="46" t="str">
        <f aca="false">IF($D169="Panel Details","Yes","")</f>
        <v/>
      </c>
      <c r="AO169" s="46"/>
      <c r="AP169" s="46" t="str">
        <f aca="false">IF($D169="Followup",'Survey Response'!$D167,"")</f>
        <v/>
      </c>
      <c r="AQ169" s="46" t="str">
        <f aca="false">IF($D169="Followup",'Survey Response'!$E167,"")</f>
        <v/>
      </c>
      <c r="AR169" s="46" t="str">
        <f aca="false">IF($D169="Followup",'Survey Response'!$G167,"")</f>
        <v/>
      </c>
      <c r="AS169" s="46" t="str">
        <f aca="false">IF($D169="Followup",'Survey Response'!$H167,"")</f>
        <v/>
      </c>
      <c r="AT169" s="46" t="str">
        <f aca="false">IF($D169="Followup",'Survey Response'!$M167,"")</f>
        <v/>
      </c>
      <c r="AU169" s="46" t="str">
        <f aca="false">IF($D169="Followup",'Survey Response'!$K167,"")</f>
        <v/>
      </c>
      <c r="AV169" s="46" t="str">
        <f aca="false">IF($D169="Followup",'Survey Response'!$L167,"")</f>
        <v/>
      </c>
      <c r="AW169" s="46" t="str">
        <f aca="false">IF($D169="Followup",IF(AND($P169&lt;&gt;"Yes",$U169&lt;&gt;"Yes"),"Not approved for primary or secondary skill","Approved, but skill(s) no longer have capacity (fully staffed)"),"")</f>
        <v/>
      </c>
    </row>
    <row r="170" customFormat="false" ht="15" hidden="false" customHeight="true" outlineLevel="0" collapsed="false">
      <c r="A170" s="46" t="str">
        <f aca="false">IF('Survey Response'!$D168="","",'Survey Response'!$A168&amp;"|"&amp;LOWER(TRIM('Survey Response'!$D168)))</f>
        <v/>
      </c>
      <c r="B170" s="46" t="str">
        <f aca="false">IF($H170="","",$F170&amp;"|"&amp;$H170)</f>
        <v/>
      </c>
      <c r="C170" s="46" t="str">
        <f aca="false">IF($H170="","",$A170=$B170)</f>
        <v/>
      </c>
      <c r="D170" s="46" t="str">
        <f aca="false">IF($H170="","",IF($E170&lt;&gt;"Yes","Superseded",IF($I170&lt;&gt;"Yes, I'm available for in-person interviews at Chennai","Not Available",IF($Z170&lt;&gt;"","Panel Details","Followup"))))</f>
        <v/>
      </c>
      <c r="E170" s="46" t="str">
        <f aca="false">IF($H170="","",IF(SUMPRODUCT(($H$4:$H$503=$H170)*(($G$4:$G$503&gt;$G170)+($G$4:$G$503=$G170)*($F$4:$F$503&gt;$F170)))=0,"Yes","No"))</f>
        <v/>
      </c>
      <c r="F170" s="47" t="str">
        <f aca="false">IF('Survey Response'!$D168="","",INT('Survey Response'!$A168))</f>
        <v/>
      </c>
      <c r="G170" s="46" t="str">
        <f aca="false">IF('Survey Response'!$D168="","",'Survey Response'!$C168)</f>
        <v/>
      </c>
      <c r="H170" s="46" t="str">
        <f aca="false">IF('Survey Response'!$D168="","",LOWER(TRIM('Survey Response'!$D168)))</f>
        <v/>
      </c>
      <c r="I170" s="46" t="str">
        <f aca="false">IF($H170="","",'Survey Response'!$I168)</f>
        <v/>
      </c>
      <c r="J170" s="46" t="str">
        <f aca="false">IF($H170="","",'Survey Response'!$K168)</f>
        <v/>
      </c>
      <c r="K170" s="46" t="str">
        <f aca="false">IF($J170="","",IF(COUNTIF('Skill Mapping'!$A$2:$A$7,TRIM($J170))=0,"",INDEX('Skill Mapping'!$B$2:$B$7,MATCH(TRIM($J170),'Skill Mapping'!$A$2:$A$7,0))))</f>
        <v/>
      </c>
      <c r="L170" s="46" t="str">
        <f aca="false">IF($H170="","",'Survey Response'!$L168)</f>
        <v/>
      </c>
      <c r="M170" s="46" t="str">
        <f aca="false">IF($L170="","",IF(COUNTIF('Skill Mapping'!$A$2:$A$7,TRIM($L170))=0,"",INDEX('Skill Mapping'!$B$2:$B$7,MATCH(TRIM($L170),'Skill Mapping'!$A$2:$A$7,0))))</f>
        <v/>
      </c>
      <c r="N170" s="46" t="str">
        <f aca="false">IF($H170="","",'Survey Response'!$M168)</f>
        <v/>
      </c>
      <c r="O170" s="46" t="str">
        <f aca="false">IF($H170="","",IF('Survey Response'!$M168="Manager","R2","R1"))</f>
        <v/>
      </c>
      <c r="P170" s="46" t="str">
        <f aca="false">IF($K170="","No",IF(COUNTIFS(MasterPanel!$B:$B,$H170,MasterPanel!$I:$I,$K170,MasterPanel!$K:$K,"Y")&gt;0,"Yes","No"))</f>
        <v>No</v>
      </c>
      <c r="Q170" s="46" t="n">
        <f aca="false">IF($K170="",0,IF(COUNTIF('Gap Sheet'!$A$6:$A$11,TRIM($J170))=0,0,IF($O170="R1",INDEX('Gap Sheet'!$C$6:$C$11,MATCH(TRIM($J170),'Gap Sheet'!$A$6:$A$11,0)),INDEX('Gap Sheet'!$G$6:$G$11,MATCH(TRIM($J170),'Gap Sheet'!$A$6:$A$11,0)))))</f>
        <v>0</v>
      </c>
      <c r="R170" s="46" t="str">
        <f aca="false">IF($K170="","",$K170&amp;"|"&amp;$O170)</f>
        <v/>
      </c>
      <c r="S170" s="46" t="n">
        <f aca="false">IF($R170="",0,COUNTIF($AA$4:$AA169,$R170))</f>
        <v>0</v>
      </c>
      <c r="T170" s="46" t="str">
        <f aca="false">IF(OR($I170&lt;&gt;"Yes, I'm available for in-person interviews at Chennai",$E170&lt;&gt;"Yes",$P170&lt;&gt;"Yes"),"No",IF(($Q170-$S170)&gt;0,"Yes","No"))</f>
        <v>No</v>
      </c>
      <c r="U170" s="46" t="str">
        <f aca="false">IF($M170="","No",IF(COUNTIFS(MasterPanel!$B:$B,$H170,MasterPanel!$I:$I,$M170,MasterPanel!$K:$K,"Y")&gt;0,"Yes","No"))</f>
        <v>No</v>
      </c>
      <c r="V170" s="46" t="n">
        <f aca="false">IF($M170="",0,IF(COUNTIF('Gap Sheet'!$A$6:$A$11,TRIM($L170))=0,0,IF($O170="R1",INDEX('Gap Sheet'!$C$6:$C$11,MATCH(TRIM($L170),'Gap Sheet'!$A$6:$A$11,0)),INDEX('Gap Sheet'!$G$6:$G$11,MATCH(TRIM($L170),'Gap Sheet'!$A$6:$A$11,0)))))</f>
        <v>0</v>
      </c>
      <c r="W170" s="46" t="str">
        <f aca="false">IF($M170="","",$M170&amp;"|"&amp;$O170)</f>
        <v/>
      </c>
      <c r="X170" s="46" t="n">
        <f aca="false">IF($W170="",0,COUNTIF($AA$4:$AA169,$W170))</f>
        <v>0</v>
      </c>
      <c r="Y170" s="46" t="str">
        <f aca="false">IF(OR($I170&lt;&gt;"Yes, I'm available for in-person interviews at Chennai",$E170&lt;&gt;"Yes",$T170="Yes",$U170&lt;&gt;"Yes"),"No",IF(($V170-$X170)&gt;0,"Yes","No"))</f>
        <v>No</v>
      </c>
      <c r="Z170" s="46" t="str">
        <f aca="false">IF($T170="Yes","Primary",IF($Y170="Yes","Secondary",""))</f>
        <v/>
      </c>
      <c r="AA170" s="46" t="str">
        <f aca="false">IF($Z170="Primary",$R170,IF($Z170="Secondary",$W170,""))</f>
        <v/>
      </c>
      <c r="AB170" s="46" t="str">
        <f aca="false">IF($Z170="Primary","Matched on primary skill",IF($Z170="Secondary","Matched on secondary skill (primary not approved or not required)",""))</f>
        <v/>
      </c>
      <c r="AC170" s="47" t="str">
        <f aca="false">IF($D170="Panel Details",$F170,"")</f>
        <v/>
      </c>
      <c r="AD170" s="46" t="str">
        <f aca="false">IF($D170="Panel Details",'Survey Response'!$D168,"")</f>
        <v/>
      </c>
      <c r="AE170" s="46" t="str">
        <f aca="false">IF($D170="Panel Details",'Survey Response'!$E168,"")</f>
        <v/>
      </c>
      <c r="AF170" s="46" t="str">
        <f aca="false">IF($D170="Panel Details",'Survey Response'!$G168,"")</f>
        <v/>
      </c>
      <c r="AG170" s="46" t="str">
        <f aca="false">IF($D170="Panel Details",IF($Z170="Primary",$J170,$L170),"")</f>
        <v/>
      </c>
      <c r="AH170" s="46" t="str">
        <f aca="false">IF($D170="Panel Details",IF($Z170="Primary",$L170,$J170),"")</f>
        <v/>
      </c>
      <c r="AI170" s="46" t="str">
        <f aca="false">IF($D170="Panel Details",'Survey Response'!$H168,"")</f>
        <v/>
      </c>
      <c r="AJ170" s="46" t="str">
        <f aca="false">IF($D170="Panel Details",'Survey Response'!$M168,"")</f>
        <v/>
      </c>
      <c r="AK170" s="46" t="str">
        <f aca="false">IF($D170="Panel Details",$O170,"")</f>
        <v/>
      </c>
      <c r="AL170" s="46" t="str">
        <f aca="false">IF($D170="Panel Details",8,"")</f>
        <v/>
      </c>
      <c r="AM170" s="46" t="str">
        <f aca="false">IF($D170="Panel Details",$AB170,"")</f>
        <v/>
      </c>
      <c r="AN170" s="46" t="str">
        <f aca="false">IF($D170="Panel Details","Yes","")</f>
        <v/>
      </c>
      <c r="AO170" s="46"/>
      <c r="AP170" s="46" t="str">
        <f aca="false">IF($D170="Followup",'Survey Response'!$D168,"")</f>
        <v/>
      </c>
      <c r="AQ170" s="46" t="str">
        <f aca="false">IF($D170="Followup",'Survey Response'!$E168,"")</f>
        <v/>
      </c>
      <c r="AR170" s="46" t="str">
        <f aca="false">IF($D170="Followup",'Survey Response'!$G168,"")</f>
        <v/>
      </c>
      <c r="AS170" s="46" t="str">
        <f aca="false">IF($D170="Followup",'Survey Response'!$H168,"")</f>
        <v/>
      </c>
      <c r="AT170" s="46" t="str">
        <f aca="false">IF($D170="Followup",'Survey Response'!$M168,"")</f>
        <v/>
      </c>
      <c r="AU170" s="46" t="str">
        <f aca="false">IF($D170="Followup",'Survey Response'!$K168,"")</f>
        <v/>
      </c>
      <c r="AV170" s="46" t="str">
        <f aca="false">IF($D170="Followup",'Survey Response'!$L168,"")</f>
        <v/>
      </c>
      <c r="AW170" s="46" t="str">
        <f aca="false">IF($D170="Followup",IF(AND($P170&lt;&gt;"Yes",$U170&lt;&gt;"Yes"),"Not approved for primary or secondary skill","Approved, but skill(s) no longer have capacity (fully staffed)"),"")</f>
        <v/>
      </c>
    </row>
    <row r="171" customFormat="false" ht="15" hidden="false" customHeight="true" outlineLevel="0" collapsed="false">
      <c r="A171" s="46" t="str">
        <f aca="false">IF('Survey Response'!$D169="","",'Survey Response'!$A169&amp;"|"&amp;LOWER(TRIM('Survey Response'!$D169)))</f>
        <v/>
      </c>
      <c r="B171" s="46" t="str">
        <f aca="false">IF($H171="","",$F171&amp;"|"&amp;$H171)</f>
        <v/>
      </c>
      <c r="C171" s="46" t="str">
        <f aca="false">IF($H171="","",$A171=$B171)</f>
        <v/>
      </c>
      <c r="D171" s="46" t="str">
        <f aca="false">IF($H171="","",IF($E171&lt;&gt;"Yes","Superseded",IF($I171&lt;&gt;"Yes, I'm available for in-person interviews at Chennai","Not Available",IF($Z171&lt;&gt;"","Panel Details","Followup"))))</f>
        <v/>
      </c>
      <c r="E171" s="46" t="str">
        <f aca="false">IF($H171="","",IF(SUMPRODUCT(($H$4:$H$503=$H171)*(($G$4:$G$503&gt;$G171)+($G$4:$G$503=$G171)*($F$4:$F$503&gt;$F171)))=0,"Yes","No"))</f>
        <v/>
      </c>
      <c r="F171" s="47" t="str">
        <f aca="false">IF('Survey Response'!$D169="","",INT('Survey Response'!$A169))</f>
        <v/>
      </c>
      <c r="G171" s="46" t="str">
        <f aca="false">IF('Survey Response'!$D169="","",'Survey Response'!$C169)</f>
        <v/>
      </c>
      <c r="H171" s="46" t="str">
        <f aca="false">IF('Survey Response'!$D169="","",LOWER(TRIM('Survey Response'!$D169)))</f>
        <v/>
      </c>
      <c r="I171" s="46" t="str">
        <f aca="false">IF($H171="","",'Survey Response'!$I169)</f>
        <v/>
      </c>
      <c r="J171" s="46" t="str">
        <f aca="false">IF($H171="","",'Survey Response'!$K169)</f>
        <v/>
      </c>
      <c r="K171" s="46" t="str">
        <f aca="false">IF($J171="","",IF(COUNTIF('Skill Mapping'!$A$2:$A$7,TRIM($J171))=0,"",INDEX('Skill Mapping'!$B$2:$B$7,MATCH(TRIM($J171),'Skill Mapping'!$A$2:$A$7,0))))</f>
        <v/>
      </c>
      <c r="L171" s="46" t="str">
        <f aca="false">IF($H171="","",'Survey Response'!$L169)</f>
        <v/>
      </c>
      <c r="M171" s="46" t="str">
        <f aca="false">IF($L171="","",IF(COUNTIF('Skill Mapping'!$A$2:$A$7,TRIM($L171))=0,"",INDEX('Skill Mapping'!$B$2:$B$7,MATCH(TRIM($L171),'Skill Mapping'!$A$2:$A$7,0))))</f>
        <v/>
      </c>
      <c r="N171" s="46" t="str">
        <f aca="false">IF($H171="","",'Survey Response'!$M169)</f>
        <v/>
      </c>
      <c r="O171" s="46" t="str">
        <f aca="false">IF($H171="","",IF('Survey Response'!$M169="Manager","R2","R1"))</f>
        <v/>
      </c>
      <c r="P171" s="46" t="str">
        <f aca="false">IF($K171="","No",IF(COUNTIFS(MasterPanel!$B:$B,$H171,MasterPanel!$I:$I,$K171,MasterPanel!$K:$K,"Y")&gt;0,"Yes","No"))</f>
        <v>No</v>
      </c>
      <c r="Q171" s="46" t="n">
        <f aca="false">IF($K171="",0,IF(COUNTIF('Gap Sheet'!$A$6:$A$11,TRIM($J171))=0,0,IF($O171="R1",INDEX('Gap Sheet'!$C$6:$C$11,MATCH(TRIM($J171),'Gap Sheet'!$A$6:$A$11,0)),INDEX('Gap Sheet'!$G$6:$G$11,MATCH(TRIM($J171),'Gap Sheet'!$A$6:$A$11,0)))))</f>
        <v>0</v>
      </c>
      <c r="R171" s="46" t="str">
        <f aca="false">IF($K171="","",$K171&amp;"|"&amp;$O171)</f>
        <v/>
      </c>
      <c r="S171" s="46" t="n">
        <f aca="false">IF($R171="",0,COUNTIF($AA$4:$AA170,$R171))</f>
        <v>0</v>
      </c>
      <c r="T171" s="46" t="str">
        <f aca="false">IF(OR($I171&lt;&gt;"Yes, I'm available for in-person interviews at Chennai",$E171&lt;&gt;"Yes",$P171&lt;&gt;"Yes"),"No",IF(($Q171-$S171)&gt;0,"Yes","No"))</f>
        <v>No</v>
      </c>
      <c r="U171" s="46" t="str">
        <f aca="false">IF($M171="","No",IF(COUNTIFS(MasterPanel!$B:$B,$H171,MasterPanel!$I:$I,$M171,MasterPanel!$K:$K,"Y")&gt;0,"Yes","No"))</f>
        <v>No</v>
      </c>
      <c r="V171" s="46" t="n">
        <f aca="false">IF($M171="",0,IF(COUNTIF('Gap Sheet'!$A$6:$A$11,TRIM($L171))=0,0,IF($O171="R1",INDEX('Gap Sheet'!$C$6:$C$11,MATCH(TRIM($L171),'Gap Sheet'!$A$6:$A$11,0)),INDEX('Gap Sheet'!$G$6:$G$11,MATCH(TRIM($L171),'Gap Sheet'!$A$6:$A$11,0)))))</f>
        <v>0</v>
      </c>
      <c r="W171" s="46" t="str">
        <f aca="false">IF($M171="","",$M171&amp;"|"&amp;$O171)</f>
        <v/>
      </c>
      <c r="X171" s="46" t="n">
        <f aca="false">IF($W171="",0,COUNTIF($AA$4:$AA170,$W171))</f>
        <v>0</v>
      </c>
      <c r="Y171" s="46" t="str">
        <f aca="false">IF(OR($I171&lt;&gt;"Yes, I'm available for in-person interviews at Chennai",$E171&lt;&gt;"Yes",$T171="Yes",$U171&lt;&gt;"Yes"),"No",IF(($V171-$X171)&gt;0,"Yes","No"))</f>
        <v>No</v>
      </c>
      <c r="Z171" s="46" t="str">
        <f aca="false">IF($T171="Yes","Primary",IF($Y171="Yes","Secondary",""))</f>
        <v/>
      </c>
      <c r="AA171" s="46" t="str">
        <f aca="false">IF($Z171="Primary",$R171,IF($Z171="Secondary",$W171,""))</f>
        <v/>
      </c>
      <c r="AB171" s="46" t="str">
        <f aca="false">IF($Z171="Primary","Matched on primary skill",IF($Z171="Secondary","Matched on secondary skill (primary not approved or not required)",""))</f>
        <v/>
      </c>
      <c r="AC171" s="47" t="str">
        <f aca="false">IF($D171="Panel Details",$F171,"")</f>
        <v/>
      </c>
      <c r="AD171" s="46" t="str">
        <f aca="false">IF($D171="Panel Details",'Survey Response'!$D169,"")</f>
        <v/>
      </c>
      <c r="AE171" s="46" t="str">
        <f aca="false">IF($D171="Panel Details",'Survey Response'!$E169,"")</f>
        <v/>
      </c>
      <c r="AF171" s="46" t="str">
        <f aca="false">IF($D171="Panel Details",'Survey Response'!$G169,"")</f>
        <v/>
      </c>
      <c r="AG171" s="46" t="str">
        <f aca="false">IF($D171="Panel Details",IF($Z171="Primary",$J171,$L171),"")</f>
        <v/>
      </c>
      <c r="AH171" s="46" t="str">
        <f aca="false">IF($D171="Panel Details",IF($Z171="Primary",$L171,$J171),"")</f>
        <v/>
      </c>
      <c r="AI171" s="46" t="str">
        <f aca="false">IF($D171="Panel Details",'Survey Response'!$H169,"")</f>
        <v/>
      </c>
      <c r="AJ171" s="46" t="str">
        <f aca="false">IF($D171="Panel Details",'Survey Response'!$M169,"")</f>
        <v/>
      </c>
      <c r="AK171" s="46" t="str">
        <f aca="false">IF($D171="Panel Details",$O171,"")</f>
        <v/>
      </c>
      <c r="AL171" s="46" t="str">
        <f aca="false">IF($D171="Panel Details",8,"")</f>
        <v/>
      </c>
      <c r="AM171" s="46" t="str">
        <f aca="false">IF($D171="Panel Details",$AB171,"")</f>
        <v/>
      </c>
      <c r="AN171" s="46" t="str">
        <f aca="false">IF($D171="Panel Details","Yes","")</f>
        <v/>
      </c>
      <c r="AO171" s="46"/>
      <c r="AP171" s="46" t="str">
        <f aca="false">IF($D171="Followup",'Survey Response'!$D169,"")</f>
        <v/>
      </c>
      <c r="AQ171" s="46" t="str">
        <f aca="false">IF($D171="Followup",'Survey Response'!$E169,"")</f>
        <v/>
      </c>
      <c r="AR171" s="46" t="str">
        <f aca="false">IF($D171="Followup",'Survey Response'!$G169,"")</f>
        <v/>
      </c>
      <c r="AS171" s="46" t="str">
        <f aca="false">IF($D171="Followup",'Survey Response'!$H169,"")</f>
        <v/>
      </c>
      <c r="AT171" s="46" t="str">
        <f aca="false">IF($D171="Followup",'Survey Response'!$M169,"")</f>
        <v/>
      </c>
      <c r="AU171" s="46" t="str">
        <f aca="false">IF($D171="Followup",'Survey Response'!$K169,"")</f>
        <v/>
      </c>
      <c r="AV171" s="46" t="str">
        <f aca="false">IF($D171="Followup",'Survey Response'!$L169,"")</f>
        <v/>
      </c>
      <c r="AW171" s="46" t="str">
        <f aca="false">IF($D171="Followup",IF(AND($P171&lt;&gt;"Yes",$U171&lt;&gt;"Yes"),"Not approved for primary or secondary skill","Approved, but skill(s) no longer have capacity (fully staffed)"),"")</f>
        <v/>
      </c>
    </row>
    <row r="172" customFormat="false" ht="15" hidden="false" customHeight="true" outlineLevel="0" collapsed="false">
      <c r="A172" s="46" t="str">
        <f aca="false">IF('Survey Response'!$D170="","",'Survey Response'!$A170&amp;"|"&amp;LOWER(TRIM('Survey Response'!$D170)))</f>
        <v/>
      </c>
      <c r="B172" s="46" t="str">
        <f aca="false">IF($H172="","",$F172&amp;"|"&amp;$H172)</f>
        <v/>
      </c>
      <c r="C172" s="46" t="str">
        <f aca="false">IF($H172="","",$A172=$B172)</f>
        <v/>
      </c>
      <c r="D172" s="46" t="str">
        <f aca="false">IF($H172="","",IF($E172&lt;&gt;"Yes","Superseded",IF($I172&lt;&gt;"Yes, I'm available for in-person interviews at Chennai","Not Available",IF($Z172&lt;&gt;"","Panel Details","Followup"))))</f>
        <v/>
      </c>
      <c r="E172" s="46" t="str">
        <f aca="false">IF($H172="","",IF(SUMPRODUCT(($H$4:$H$503=$H172)*(($G$4:$G$503&gt;$G172)+($G$4:$G$503=$G172)*($F$4:$F$503&gt;$F172)))=0,"Yes","No"))</f>
        <v/>
      </c>
      <c r="F172" s="47" t="str">
        <f aca="false">IF('Survey Response'!$D170="","",INT('Survey Response'!$A170))</f>
        <v/>
      </c>
      <c r="G172" s="46" t="str">
        <f aca="false">IF('Survey Response'!$D170="","",'Survey Response'!$C170)</f>
        <v/>
      </c>
      <c r="H172" s="46" t="str">
        <f aca="false">IF('Survey Response'!$D170="","",LOWER(TRIM('Survey Response'!$D170)))</f>
        <v/>
      </c>
      <c r="I172" s="46" t="str">
        <f aca="false">IF($H172="","",'Survey Response'!$I170)</f>
        <v/>
      </c>
      <c r="J172" s="46" t="str">
        <f aca="false">IF($H172="","",'Survey Response'!$K170)</f>
        <v/>
      </c>
      <c r="K172" s="46" t="str">
        <f aca="false">IF($J172="","",IF(COUNTIF('Skill Mapping'!$A$2:$A$7,TRIM($J172))=0,"",INDEX('Skill Mapping'!$B$2:$B$7,MATCH(TRIM($J172),'Skill Mapping'!$A$2:$A$7,0))))</f>
        <v/>
      </c>
      <c r="L172" s="46" t="str">
        <f aca="false">IF($H172="","",'Survey Response'!$L170)</f>
        <v/>
      </c>
      <c r="M172" s="46" t="str">
        <f aca="false">IF($L172="","",IF(COUNTIF('Skill Mapping'!$A$2:$A$7,TRIM($L172))=0,"",INDEX('Skill Mapping'!$B$2:$B$7,MATCH(TRIM($L172),'Skill Mapping'!$A$2:$A$7,0))))</f>
        <v/>
      </c>
      <c r="N172" s="46" t="str">
        <f aca="false">IF($H172="","",'Survey Response'!$M170)</f>
        <v/>
      </c>
      <c r="O172" s="46" t="str">
        <f aca="false">IF($H172="","",IF('Survey Response'!$M170="Manager","R2","R1"))</f>
        <v/>
      </c>
      <c r="P172" s="46" t="str">
        <f aca="false">IF($K172="","No",IF(COUNTIFS(MasterPanel!$B:$B,$H172,MasterPanel!$I:$I,$K172,MasterPanel!$K:$K,"Y")&gt;0,"Yes","No"))</f>
        <v>No</v>
      </c>
      <c r="Q172" s="46" t="n">
        <f aca="false">IF($K172="",0,IF(COUNTIF('Gap Sheet'!$A$6:$A$11,TRIM($J172))=0,0,IF($O172="R1",INDEX('Gap Sheet'!$C$6:$C$11,MATCH(TRIM($J172),'Gap Sheet'!$A$6:$A$11,0)),INDEX('Gap Sheet'!$G$6:$G$11,MATCH(TRIM($J172),'Gap Sheet'!$A$6:$A$11,0)))))</f>
        <v>0</v>
      </c>
      <c r="R172" s="46" t="str">
        <f aca="false">IF($K172="","",$K172&amp;"|"&amp;$O172)</f>
        <v/>
      </c>
      <c r="S172" s="46" t="n">
        <f aca="false">IF($R172="",0,COUNTIF($AA$4:$AA171,$R172))</f>
        <v>0</v>
      </c>
      <c r="T172" s="46" t="str">
        <f aca="false">IF(OR($I172&lt;&gt;"Yes, I'm available for in-person interviews at Chennai",$E172&lt;&gt;"Yes",$P172&lt;&gt;"Yes"),"No",IF(($Q172-$S172)&gt;0,"Yes","No"))</f>
        <v>No</v>
      </c>
      <c r="U172" s="46" t="str">
        <f aca="false">IF($M172="","No",IF(COUNTIFS(MasterPanel!$B:$B,$H172,MasterPanel!$I:$I,$M172,MasterPanel!$K:$K,"Y")&gt;0,"Yes","No"))</f>
        <v>No</v>
      </c>
      <c r="V172" s="46" t="n">
        <f aca="false">IF($M172="",0,IF(COUNTIF('Gap Sheet'!$A$6:$A$11,TRIM($L172))=0,0,IF($O172="R1",INDEX('Gap Sheet'!$C$6:$C$11,MATCH(TRIM($L172),'Gap Sheet'!$A$6:$A$11,0)),INDEX('Gap Sheet'!$G$6:$G$11,MATCH(TRIM($L172),'Gap Sheet'!$A$6:$A$11,0)))))</f>
        <v>0</v>
      </c>
      <c r="W172" s="46" t="str">
        <f aca="false">IF($M172="","",$M172&amp;"|"&amp;$O172)</f>
        <v/>
      </c>
      <c r="X172" s="46" t="n">
        <f aca="false">IF($W172="",0,COUNTIF($AA$4:$AA171,$W172))</f>
        <v>0</v>
      </c>
      <c r="Y172" s="46" t="str">
        <f aca="false">IF(OR($I172&lt;&gt;"Yes, I'm available for in-person interviews at Chennai",$E172&lt;&gt;"Yes",$T172="Yes",$U172&lt;&gt;"Yes"),"No",IF(($V172-$X172)&gt;0,"Yes","No"))</f>
        <v>No</v>
      </c>
      <c r="Z172" s="46" t="str">
        <f aca="false">IF($T172="Yes","Primary",IF($Y172="Yes","Secondary",""))</f>
        <v/>
      </c>
      <c r="AA172" s="46" t="str">
        <f aca="false">IF($Z172="Primary",$R172,IF($Z172="Secondary",$W172,""))</f>
        <v/>
      </c>
      <c r="AB172" s="46" t="str">
        <f aca="false">IF($Z172="Primary","Matched on primary skill",IF($Z172="Secondary","Matched on secondary skill (primary not approved or not required)",""))</f>
        <v/>
      </c>
      <c r="AC172" s="47" t="str">
        <f aca="false">IF($D172="Panel Details",$F172,"")</f>
        <v/>
      </c>
      <c r="AD172" s="46" t="str">
        <f aca="false">IF($D172="Panel Details",'Survey Response'!$D170,"")</f>
        <v/>
      </c>
      <c r="AE172" s="46" t="str">
        <f aca="false">IF($D172="Panel Details",'Survey Response'!$E170,"")</f>
        <v/>
      </c>
      <c r="AF172" s="46" t="str">
        <f aca="false">IF($D172="Panel Details",'Survey Response'!$G170,"")</f>
        <v/>
      </c>
      <c r="AG172" s="46" t="str">
        <f aca="false">IF($D172="Panel Details",IF($Z172="Primary",$J172,$L172),"")</f>
        <v/>
      </c>
      <c r="AH172" s="46" t="str">
        <f aca="false">IF($D172="Panel Details",IF($Z172="Primary",$L172,$J172),"")</f>
        <v/>
      </c>
      <c r="AI172" s="46" t="str">
        <f aca="false">IF($D172="Panel Details",'Survey Response'!$H170,"")</f>
        <v/>
      </c>
      <c r="AJ172" s="46" t="str">
        <f aca="false">IF($D172="Panel Details",'Survey Response'!$M170,"")</f>
        <v/>
      </c>
      <c r="AK172" s="46" t="str">
        <f aca="false">IF($D172="Panel Details",$O172,"")</f>
        <v/>
      </c>
      <c r="AL172" s="46" t="str">
        <f aca="false">IF($D172="Panel Details",8,"")</f>
        <v/>
      </c>
      <c r="AM172" s="46" t="str">
        <f aca="false">IF($D172="Panel Details",$AB172,"")</f>
        <v/>
      </c>
      <c r="AN172" s="46" t="str">
        <f aca="false">IF($D172="Panel Details","Yes","")</f>
        <v/>
      </c>
      <c r="AO172" s="46"/>
      <c r="AP172" s="46" t="str">
        <f aca="false">IF($D172="Followup",'Survey Response'!$D170,"")</f>
        <v/>
      </c>
      <c r="AQ172" s="46" t="str">
        <f aca="false">IF($D172="Followup",'Survey Response'!$E170,"")</f>
        <v/>
      </c>
      <c r="AR172" s="46" t="str">
        <f aca="false">IF($D172="Followup",'Survey Response'!$G170,"")</f>
        <v/>
      </c>
      <c r="AS172" s="46" t="str">
        <f aca="false">IF($D172="Followup",'Survey Response'!$H170,"")</f>
        <v/>
      </c>
      <c r="AT172" s="46" t="str">
        <f aca="false">IF($D172="Followup",'Survey Response'!$M170,"")</f>
        <v/>
      </c>
      <c r="AU172" s="46" t="str">
        <f aca="false">IF($D172="Followup",'Survey Response'!$K170,"")</f>
        <v/>
      </c>
      <c r="AV172" s="46" t="str">
        <f aca="false">IF($D172="Followup",'Survey Response'!$L170,"")</f>
        <v/>
      </c>
      <c r="AW172" s="46" t="str">
        <f aca="false">IF($D172="Followup",IF(AND($P172&lt;&gt;"Yes",$U172&lt;&gt;"Yes"),"Not approved for primary or secondary skill","Approved, but skill(s) no longer have capacity (fully staffed)"),"")</f>
        <v/>
      </c>
    </row>
    <row r="173" customFormat="false" ht="15" hidden="false" customHeight="true" outlineLevel="0" collapsed="false">
      <c r="A173" s="46" t="str">
        <f aca="false">IF('Survey Response'!$D171="","",'Survey Response'!$A171&amp;"|"&amp;LOWER(TRIM('Survey Response'!$D171)))</f>
        <v/>
      </c>
      <c r="B173" s="46" t="str">
        <f aca="false">IF($H173="","",$F173&amp;"|"&amp;$H173)</f>
        <v/>
      </c>
      <c r="C173" s="46" t="str">
        <f aca="false">IF($H173="","",$A173=$B173)</f>
        <v/>
      </c>
      <c r="D173" s="46" t="str">
        <f aca="false">IF($H173="","",IF($E173&lt;&gt;"Yes","Superseded",IF($I173&lt;&gt;"Yes, I'm available for in-person interviews at Chennai","Not Available",IF($Z173&lt;&gt;"","Panel Details","Followup"))))</f>
        <v/>
      </c>
      <c r="E173" s="46" t="str">
        <f aca="false">IF($H173="","",IF(SUMPRODUCT(($H$4:$H$503=$H173)*(($G$4:$G$503&gt;$G173)+($G$4:$G$503=$G173)*($F$4:$F$503&gt;$F173)))=0,"Yes","No"))</f>
        <v/>
      </c>
      <c r="F173" s="47" t="str">
        <f aca="false">IF('Survey Response'!$D171="","",INT('Survey Response'!$A171))</f>
        <v/>
      </c>
      <c r="G173" s="46" t="str">
        <f aca="false">IF('Survey Response'!$D171="","",'Survey Response'!$C171)</f>
        <v/>
      </c>
      <c r="H173" s="46" t="str">
        <f aca="false">IF('Survey Response'!$D171="","",LOWER(TRIM('Survey Response'!$D171)))</f>
        <v/>
      </c>
      <c r="I173" s="46" t="str">
        <f aca="false">IF($H173="","",'Survey Response'!$I171)</f>
        <v/>
      </c>
      <c r="J173" s="46" t="str">
        <f aca="false">IF($H173="","",'Survey Response'!$K171)</f>
        <v/>
      </c>
      <c r="K173" s="46" t="str">
        <f aca="false">IF($J173="","",IF(COUNTIF('Skill Mapping'!$A$2:$A$7,TRIM($J173))=0,"",INDEX('Skill Mapping'!$B$2:$B$7,MATCH(TRIM($J173),'Skill Mapping'!$A$2:$A$7,0))))</f>
        <v/>
      </c>
      <c r="L173" s="46" t="str">
        <f aca="false">IF($H173="","",'Survey Response'!$L171)</f>
        <v/>
      </c>
      <c r="M173" s="46" t="str">
        <f aca="false">IF($L173="","",IF(COUNTIF('Skill Mapping'!$A$2:$A$7,TRIM($L173))=0,"",INDEX('Skill Mapping'!$B$2:$B$7,MATCH(TRIM($L173),'Skill Mapping'!$A$2:$A$7,0))))</f>
        <v/>
      </c>
      <c r="N173" s="46" t="str">
        <f aca="false">IF($H173="","",'Survey Response'!$M171)</f>
        <v/>
      </c>
      <c r="O173" s="46" t="str">
        <f aca="false">IF($H173="","",IF('Survey Response'!$M171="Manager","R2","R1"))</f>
        <v/>
      </c>
      <c r="P173" s="46" t="str">
        <f aca="false">IF($K173="","No",IF(COUNTIFS(MasterPanel!$B:$B,$H173,MasterPanel!$I:$I,$K173,MasterPanel!$K:$K,"Y")&gt;0,"Yes","No"))</f>
        <v>No</v>
      </c>
      <c r="Q173" s="46" t="n">
        <f aca="false">IF($K173="",0,IF(COUNTIF('Gap Sheet'!$A$6:$A$11,TRIM($J173))=0,0,IF($O173="R1",INDEX('Gap Sheet'!$C$6:$C$11,MATCH(TRIM($J173),'Gap Sheet'!$A$6:$A$11,0)),INDEX('Gap Sheet'!$G$6:$G$11,MATCH(TRIM($J173),'Gap Sheet'!$A$6:$A$11,0)))))</f>
        <v>0</v>
      </c>
      <c r="R173" s="46" t="str">
        <f aca="false">IF($K173="","",$K173&amp;"|"&amp;$O173)</f>
        <v/>
      </c>
      <c r="S173" s="46" t="n">
        <f aca="false">IF($R173="",0,COUNTIF($AA$4:$AA172,$R173))</f>
        <v>0</v>
      </c>
      <c r="T173" s="46" t="str">
        <f aca="false">IF(OR($I173&lt;&gt;"Yes, I'm available for in-person interviews at Chennai",$E173&lt;&gt;"Yes",$P173&lt;&gt;"Yes"),"No",IF(($Q173-$S173)&gt;0,"Yes","No"))</f>
        <v>No</v>
      </c>
      <c r="U173" s="46" t="str">
        <f aca="false">IF($M173="","No",IF(COUNTIFS(MasterPanel!$B:$B,$H173,MasterPanel!$I:$I,$M173,MasterPanel!$K:$K,"Y")&gt;0,"Yes","No"))</f>
        <v>No</v>
      </c>
      <c r="V173" s="46" t="n">
        <f aca="false">IF($M173="",0,IF(COUNTIF('Gap Sheet'!$A$6:$A$11,TRIM($L173))=0,0,IF($O173="R1",INDEX('Gap Sheet'!$C$6:$C$11,MATCH(TRIM($L173),'Gap Sheet'!$A$6:$A$11,0)),INDEX('Gap Sheet'!$G$6:$G$11,MATCH(TRIM($L173),'Gap Sheet'!$A$6:$A$11,0)))))</f>
        <v>0</v>
      </c>
      <c r="W173" s="46" t="str">
        <f aca="false">IF($M173="","",$M173&amp;"|"&amp;$O173)</f>
        <v/>
      </c>
      <c r="X173" s="46" t="n">
        <f aca="false">IF($W173="",0,COUNTIF($AA$4:$AA172,$W173))</f>
        <v>0</v>
      </c>
      <c r="Y173" s="46" t="str">
        <f aca="false">IF(OR($I173&lt;&gt;"Yes, I'm available for in-person interviews at Chennai",$E173&lt;&gt;"Yes",$T173="Yes",$U173&lt;&gt;"Yes"),"No",IF(($V173-$X173)&gt;0,"Yes","No"))</f>
        <v>No</v>
      </c>
      <c r="Z173" s="46" t="str">
        <f aca="false">IF($T173="Yes","Primary",IF($Y173="Yes","Secondary",""))</f>
        <v/>
      </c>
      <c r="AA173" s="46" t="str">
        <f aca="false">IF($Z173="Primary",$R173,IF($Z173="Secondary",$W173,""))</f>
        <v/>
      </c>
      <c r="AB173" s="46" t="str">
        <f aca="false">IF($Z173="Primary","Matched on primary skill",IF($Z173="Secondary","Matched on secondary skill (primary not approved or not required)",""))</f>
        <v/>
      </c>
      <c r="AC173" s="47" t="str">
        <f aca="false">IF($D173="Panel Details",$F173,"")</f>
        <v/>
      </c>
      <c r="AD173" s="46" t="str">
        <f aca="false">IF($D173="Panel Details",'Survey Response'!$D171,"")</f>
        <v/>
      </c>
      <c r="AE173" s="46" t="str">
        <f aca="false">IF($D173="Panel Details",'Survey Response'!$E171,"")</f>
        <v/>
      </c>
      <c r="AF173" s="46" t="str">
        <f aca="false">IF($D173="Panel Details",'Survey Response'!$G171,"")</f>
        <v/>
      </c>
      <c r="AG173" s="46" t="str">
        <f aca="false">IF($D173="Panel Details",IF($Z173="Primary",$J173,$L173),"")</f>
        <v/>
      </c>
      <c r="AH173" s="46" t="str">
        <f aca="false">IF($D173="Panel Details",IF($Z173="Primary",$L173,$J173),"")</f>
        <v/>
      </c>
      <c r="AI173" s="46" t="str">
        <f aca="false">IF($D173="Panel Details",'Survey Response'!$H171,"")</f>
        <v/>
      </c>
      <c r="AJ173" s="46" t="str">
        <f aca="false">IF($D173="Panel Details",'Survey Response'!$M171,"")</f>
        <v/>
      </c>
      <c r="AK173" s="46" t="str">
        <f aca="false">IF($D173="Panel Details",$O173,"")</f>
        <v/>
      </c>
      <c r="AL173" s="46" t="str">
        <f aca="false">IF($D173="Panel Details",8,"")</f>
        <v/>
      </c>
      <c r="AM173" s="46" t="str">
        <f aca="false">IF($D173="Panel Details",$AB173,"")</f>
        <v/>
      </c>
      <c r="AN173" s="46" t="str">
        <f aca="false">IF($D173="Panel Details","Yes","")</f>
        <v/>
      </c>
      <c r="AO173" s="46"/>
      <c r="AP173" s="46" t="str">
        <f aca="false">IF($D173="Followup",'Survey Response'!$D171,"")</f>
        <v/>
      </c>
      <c r="AQ173" s="46" t="str">
        <f aca="false">IF($D173="Followup",'Survey Response'!$E171,"")</f>
        <v/>
      </c>
      <c r="AR173" s="46" t="str">
        <f aca="false">IF($D173="Followup",'Survey Response'!$G171,"")</f>
        <v/>
      </c>
      <c r="AS173" s="46" t="str">
        <f aca="false">IF($D173="Followup",'Survey Response'!$H171,"")</f>
        <v/>
      </c>
      <c r="AT173" s="46" t="str">
        <f aca="false">IF($D173="Followup",'Survey Response'!$M171,"")</f>
        <v/>
      </c>
      <c r="AU173" s="46" t="str">
        <f aca="false">IF($D173="Followup",'Survey Response'!$K171,"")</f>
        <v/>
      </c>
      <c r="AV173" s="46" t="str">
        <f aca="false">IF($D173="Followup",'Survey Response'!$L171,"")</f>
        <v/>
      </c>
      <c r="AW173" s="46" t="str">
        <f aca="false">IF($D173="Followup",IF(AND($P173&lt;&gt;"Yes",$U173&lt;&gt;"Yes"),"Not approved for primary or secondary skill","Approved, but skill(s) no longer have capacity (fully staffed)"),"")</f>
        <v/>
      </c>
    </row>
    <row r="174" customFormat="false" ht="15" hidden="false" customHeight="true" outlineLevel="0" collapsed="false">
      <c r="A174" s="46" t="str">
        <f aca="false">IF('Survey Response'!$D172="","",'Survey Response'!$A172&amp;"|"&amp;LOWER(TRIM('Survey Response'!$D172)))</f>
        <v/>
      </c>
      <c r="B174" s="46" t="str">
        <f aca="false">IF($H174="","",$F174&amp;"|"&amp;$H174)</f>
        <v/>
      </c>
      <c r="C174" s="46" t="str">
        <f aca="false">IF($H174="","",$A174=$B174)</f>
        <v/>
      </c>
      <c r="D174" s="46" t="str">
        <f aca="false">IF($H174="","",IF($E174&lt;&gt;"Yes","Superseded",IF($I174&lt;&gt;"Yes, I'm available for in-person interviews at Chennai","Not Available",IF($Z174&lt;&gt;"","Panel Details","Followup"))))</f>
        <v/>
      </c>
      <c r="E174" s="46" t="str">
        <f aca="false">IF($H174="","",IF(SUMPRODUCT(($H$4:$H$503=$H174)*(($G$4:$G$503&gt;$G174)+($G$4:$G$503=$G174)*($F$4:$F$503&gt;$F174)))=0,"Yes","No"))</f>
        <v/>
      </c>
      <c r="F174" s="47" t="str">
        <f aca="false">IF('Survey Response'!$D172="","",INT('Survey Response'!$A172))</f>
        <v/>
      </c>
      <c r="G174" s="46" t="str">
        <f aca="false">IF('Survey Response'!$D172="","",'Survey Response'!$C172)</f>
        <v/>
      </c>
      <c r="H174" s="46" t="str">
        <f aca="false">IF('Survey Response'!$D172="","",LOWER(TRIM('Survey Response'!$D172)))</f>
        <v/>
      </c>
      <c r="I174" s="46" t="str">
        <f aca="false">IF($H174="","",'Survey Response'!$I172)</f>
        <v/>
      </c>
      <c r="J174" s="46" t="str">
        <f aca="false">IF($H174="","",'Survey Response'!$K172)</f>
        <v/>
      </c>
      <c r="K174" s="46" t="str">
        <f aca="false">IF($J174="","",IF(COUNTIF('Skill Mapping'!$A$2:$A$7,TRIM($J174))=0,"",INDEX('Skill Mapping'!$B$2:$B$7,MATCH(TRIM($J174),'Skill Mapping'!$A$2:$A$7,0))))</f>
        <v/>
      </c>
      <c r="L174" s="46" t="str">
        <f aca="false">IF($H174="","",'Survey Response'!$L172)</f>
        <v/>
      </c>
      <c r="M174" s="46" t="str">
        <f aca="false">IF($L174="","",IF(COUNTIF('Skill Mapping'!$A$2:$A$7,TRIM($L174))=0,"",INDEX('Skill Mapping'!$B$2:$B$7,MATCH(TRIM($L174),'Skill Mapping'!$A$2:$A$7,0))))</f>
        <v/>
      </c>
      <c r="N174" s="46" t="str">
        <f aca="false">IF($H174="","",'Survey Response'!$M172)</f>
        <v/>
      </c>
      <c r="O174" s="46" t="str">
        <f aca="false">IF($H174="","",IF('Survey Response'!$M172="Manager","R2","R1"))</f>
        <v/>
      </c>
      <c r="P174" s="46" t="str">
        <f aca="false">IF($K174="","No",IF(COUNTIFS(MasterPanel!$B:$B,$H174,MasterPanel!$I:$I,$K174,MasterPanel!$K:$K,"Y")&gt;0,"Yes","No"))</f>
        <v>No</v>
      </c>
      <c r="Q174" s="46" t="n">
        <f aca="false">IF($K174="",0,IF(COUNTIF('Gap Sheet'!$A$6:$A$11,TRIM($J174))=0,0,IF($O174="R1",INDEX('Gap Sheet'!$C$6:$C$11,MATCH(TRIM($J174),'Gap Sheet'!$A$6:$A$11,0)),INDEX('Gap Sheet'!$G$6:$G$11,MATCH(TRIM($J174),'Gap Sheet'!$A$6:$A$11,0)))))</f>
        <v>0</v>
      </c>
      <c r="R174" s="46" t="str">
        <f aca="false">IF($K174="","",$K174&amp;"|"&amp;$O174)</f>
        <v/>
      </c>
      <c r="S174" s="46" t="n">
        <f aca="false">IF($R174="",0,COUNTIF($AA$4:$AA173,$R174))</f>
        <v>0</v>
      </c>
      <c r="T174" s="46" t="str">
        <f aca="false">IF(OR($I174&lt;&gt;"Yes, I'm available for in-person interviews at Chennai",$E174&lt;&gt;"Yes",$P174&lt;&gt;"Yes"),"No",IF(($Q174-$S174)&gt;0,"Yes","No"))</f>
        <v>No</v>
      </c>
      <c r="U174" s="46" t="str">
        <f aca="false">IF($M174="","No",IF(COUNTIFS(MasterPanel!$B:$B,$H174,MasterPanel!$I:$I,$M174,MasterPanel!$K:$K,"Y")&gt;0,"Yes","No"))</f>
        <v>No</v>
      </c>
      <c r="V174" s="46" t="n">
        <f aca="false">IF($M174="",0,IF(COUNTIF('Gap Sheet'!$A$6:$A$11,TRIM($L174))=0,0,IF($O174="R1",INDEX('Gap Sheet'!$C$6:$C$11,MATCH(TRIM($L174),'Gap Sheet'!$A$6:$A$11,0)),INDEX('Gap Sheet'!$G$6:$G$11,MATCH(TRIM($L174),'Gap Sheet'!$A$6:$A$11,0)))))</f>
        <v>0</v>
      </c>
      <c r="W174" s="46" t="str">
        <f aca="false">IF($M174="","",$M174&amp;"|"&amp;$O174)</f>
        <v/>
      </c>
      <c r="X174" s="46" t="n">
        <f aca="false">IF($W174="",0,COUNTIF($AA$4:$AA173,$W174))</f>
        <v>0</v>
      </c>
      <c r="Y174" s="46" t="str">
        <f aca="false">IF(OR($I174&lt;&gt;"Yes, I'm available for in-person interviews at Chennai",$E174&lt;&gt;"Yes",$T174="Yes",$U174&lt;&gt;"Yes"),"No",IF(($V174-$X174)&gt;0,"Yes","No"))</f>
        <v>No</v>
      </c>
      <c r="Z174" s="46" t="str">
        <f aca="false">IF($T174="Yes","Primary",IF($Y174="Yes","Secondary",""))</f>
        <v/>
      </c>
      <c r="AA174" s="46" t="str">
        <f aca="false">IF($Z174="Primary",$R174,IF($Z174="Secondary",$W174,""))</f>
        <v/>
      </c>
      <c r="AB174" s="46" t="str">
        <f aca="false">IF($Z174="Primary","Matched on primary skill",IF($Z174="Secondary","Matched on secondary skill (primary not approved or not required)",""))</f>
        <v/>
      </c>
      <c r="AC174" s="47" t="str">
        <f aca="false">IF($D174="Panel Details",$F174,"")</f>
        <v/>
      </c>
      <c r="AD174" s="46" t="str">
        <f aca="false">IF($D174="Panel Details",'Survey Response'!$D172,"")</f>
        <v/>
      </c>
      <c r="AE174" s="46" t="str">
        <f aca="false">IF($D174="Panel Details",'Survey Response'!$E172,"")</f>
        <v/>
      </c>
      <c r="AF174" s="46" t="str">
        <f aca="false">IF($D174="Panel Details",'Survey Response'!$G172,"")</f>
        <v/>
      </c>
      <c r="AG174" s="46" t="str">
        <f aca="false">IF($D174="Panel Details",IF($Z174="Primary",$J174,$L174),"")</f>
        <v/>
      </c>
      <c r="AH174" s="46" t="str">
        <f aca="false">IF($D174="Panel Details",IF($Z174="Primary",$L174,$J174),"")</f>
        <v/>
      </c>
      <c r="AI174" s="46" t="str">
        <f aca="false">IF($D174="Panel Details",'Survey Response'!$H172,"")</f>
        <v/>
      </c>
      <c r="AJ174" s="46" t="str">
        <f aca="false">IF($D174="Panel Details",'Survey Response'!$M172,"")</f>
        <v/>
      </c>
      <c r="AK174" s="46" t="str">
        <f aca="false">IF($D174="Panel Details",$O174,"")</f>
        <v/>
      </c>
      <c r="AL174" s="46" t="str">
        <f aca="false">IF($D174="Panel Details",8,"")</f>
        <v/>
      </c>
      <c r="AM174" s="46" t="str">
        <f aca="false">IF($D174="Panel Details",$AB174,"")</f>
        <v/>
      </c>
      <c r="AN174" s="46" t="str">
        <f aca="false">IF($D174="Panel Details","Yes","")</f>
        <v/>
      </c>
      <c r="AO174" s="46"/>
      <c r="AP174" s="46" t="str">
        <f aca="false">IF($D174="Followup",'Survey Response'!$D172,"")</f>
        <v/>
      </c>
      <c r="AQ174" s="46" t="str">
        <f aca="false">IF($D174="Followup",'Survey Response'!$E172,"")</f>
        <v/>
      </c>
      <c r="AR174" s="46" t="str">
        <f aca="false">IF($D174="Followup",'Survey Response'!$G172,"")</f>
        <v/>
      </c>
      <c r="AS174" s="46" t="str">
        <f aca="false">IF($D174="Followup",'Survey Response'!$H172,"")</f>
        <v/>
      </c>
      <c r="AT174" s="46" t="str">
        <f aca="false">IF($D174="Followup",'Survey Response'!$M172,"")</f>
        <v/>
      </c>
      <c r="AU174" s="46" t="str">
        <f aca="false">IF($D174="Followup",'Survey Response'!$K172,"")</f>
        <v/>
      </c>
      <c r="AV174" s="46" t="str">
        <f aca="false">IF($D174="Followup",'Survey Response'!$L172,"")</f>
        <v/>
      </c>
      <c r="AW174" s="46" t="str">
        <f aca="false">IF($D174="Followup",IF(AND($P174&lt;&gt;"Yes",$U174&lt;&gt;"Yes"),"Not approved for primary or secondary skill","Approved, but skill(s) no longer have capacity (fully staffed)"),"")</f>
        <v/>
      </c>
    </row>
    <row r="175" customFormat="false" ht="15" hidden="false" customHeight="true" outlineLevel="0" collapsed="false">
      <c r="A175" s="46" t="str">
        <f aca="false">IF('Survey Response'!$D173="","",'Survey Response'!$A173&amp;"|"&amp;LOWER(TRIM('Survey Response'!$D173)))</f>
        <v/>
      </c>
      <c r="B175" s="46" t="str">
        <f aca="false">IF($H175="","",$F175&amp;"|"&amp;$H175)</f>
        <v/>
      </c>
      <c r="C175" s="46" t="str">
        <f aca="false">IF($H175="","",$A175=$B175)</f>
        <v/>
      </c>
      <c r="D175" s="46" t="str">
        <f aca="false">IF($H175="","",IF($E175&lt;&gt;"Yes","Superseded",IF($I175&lt;&gt;"Yes, I'm available for in-person interviews at Chennai","Not Available",IF($Z175&lt;&gt;"","Panel Details","Followup"))))</f>
        <v/>
      </c>
      <c r="E175" s="46" t="str">
        <f aca="false">IF($H175="","",IF(SUMPRODUCT(($H$4:$H$503=$H175)*(($G$4:$G$503&gt;$G175)+($G$4:$G$503=$G175)*($F$4:$F$503&gt;$F175)))=0,"Yes","No"))</f>
        <v/>
      </c>
      <c r="F175" s="47" t="str">
        <f aca="false">IF('Survey Response'!$D173="","",INT('Survey Response'!$A173))</f>
        <v/>
      </c>
      <c r="G175" s="46" t="str">
        <f aca="false">IF('Survey Response'!$D173="","",'Survey Response'!$C173)</f>
        <v/>
      </c>
      <c r="H175" s="46" t="str">
        <f aca="false">IF('Survey Response'!$D173="","",LOWER(TRIM('Survey Response'!$D173)))</f>
        <v/>
      </c>
      <c r="I175" s="46" t="str">
        <f aca="false">IF($H175="","",'Survey Response'!$I173)</f>
        <v/>
      </c>
      <c r="J175" s="46" t="str">
        <f aca="false">IF($H175="","",'Survey Response'!$K173)</f>
        <v/>
      </c>
      <c r="K175" s="46" t="str">
        <f aca="false">IF($J175="","",IF(COUNTIF('Skill Mapping'!$A$2:$A$7,TRIM($J175))=0,"",INDEX('Skill Mapping'!$B$2:$B$7,MATCH(TRIM($J175),'Skill Mapping'!$A$2:$A$7,0))))</f>
        <v/>
      </c>
      <c r="L175" s="46" t="str">
        <f aca="false">IF($H175="","",'Survey Response'!$L173)</f>
        <v/>
      </c>
      <c r="M175" s="46" t="str">
        <f aca="false">IF($L175="","",IF(COUNTIF('Skill Mapping'!$A$2:$A$7,TRIM($L175))=0,"",INDEX('Skill Mapping'!$B$2:$B$7,MATCH(TRIM($L175),'Skill Mapping'!$A$2:$A$7,0))))</f>
        <v/>
      </c>
      <c r="N175" s="46" t="str">
        <f aca="false">IF($H175="","",'Survey Response'!$M173)</f>
        <v/>
      </c>
      <c r="O175" s="46" t="str">
        <f aca="false">IF($H175="","",IF('Survey Response'!$M173="Manager","R2","R1"))</f>
        <v/>
      </c>
      <c r="P175" s="46" t="str">
        <f aca="false">IF($K175="","No",IF(COUNTIFS(MasterPanel!$B:$B,$H175,MasterPanel!$I:$I,$K175,MasterPanel!$K:$K,"Y")&gt;0,"Yes","No"))</f>
        <v>No</v>
      </c>
      <c r="Q175" s="46" t="n">
        <f aca="false">IF($K175="",0,IF(COUNTIF('Gap Sheet'!$A$6:$A$11,TRIM($J175))=0,0,IF($O175="R1",INDEX('Gap Sheet'!$C$6:$C$11,MATCH(TRIM($J175),'Gap Sheet'!$A$6:$A$11,0)),INDEX('Gap Sheet'!$G$6:$G$11,MATCH(TRIM($J175),'Gap Sheet'!$A$6:$A$11,0)))))</f>
        <v>0</v>
      </c>
      <c r="R175" s="46" t="str">
        <f aca="false">IF($K175="","",$K175&amp;"|"&amp;$O175)</f>
        <v/>
      </c>
      <c r="S175" s="46" t="n">
        <f aca="false">IF($R175="",0,COUNTIF($AA$4:$AA174,$R175))</f>
        <v>0</v>
      </c>
      <c r="T175" s="46" t="str">
        <f aca="false">IF(OR($I175&lt;&gt;"Yes, I'm available for in-person interviews at Chennai",$E175&lt;&gt;"Yes",$P175&lt;&gt;"Yes"),"No",IF(($Q175-$S175)&gt;0,"Yes","No"))</f>
        <v>No</v>
      </c>
      <c r="U175" s="46" t="str">
        <f aca="false">IF($M175="","No",IF(COUNTIFS(MasterPanel!$B:$B,$H175,MasterPanel!$I:$I,$M175,MasterPanel!$K:$K,"Y")&gt;0,"Yes","No"))</f>
        <v>No</v>
      </c>
      <c r="V175" s="46" t="n">
        <f aca="false">IF($M175="",0,IF(COUNTIF('Gap Sheet'!$A$6:$A$11,TRIM($L175))=0,0,IF($O175="R1",INDEX('Gap Sheet'!$C$6:$C$11,MATCH(TRIM($L175),'Gap Sheet'!$A$6:$A$11,0)),INDEX('Gap Sheet'!$G$6:$G$11,MATCH(TRIM($L175),'Gap Sheet'!$A$6:$A$11,0)))))</f>
        <v>0</v>
      </c>
      <c r="W175" s="46" t="str">
        <f aca="false">IF($M175="","",$M175&amp;"|"&amp;$O175)</f>
        <v/>
      </c>
      <c r="X175" s="46" t="n">
        <f aca="false">IF($W175="",0,COUNTIF($AA$4:$AA174,$W175))</f>
        <v>0</v>
      </c>
      <c r="Y175" s="46" t="str">
        <f aca="false">IF(OR($I175&lt;&gt;"Yes, I'm available for in-person interviews at Chennai",$E175&lt;&gt;"Yes",$T175="Yes",$U175&lt;&gt;"Yes"),"No",IF(($V175-$X175)&gt;0,"Yes","No"))</f>
        <v>No</v>
      </c>
      <c r="Z175" s="46" t="str">
        <f aca="false">IF($T175="Yes","Primary",IF($Y175="Yes","Secondary",""))</f>
        <v/>
      </c>
      <c r="AA175" s="46" t="str">
        <f aca="false">IF($Z175="Primary",$R175,IF($Z175="Secondary",$W175,""))</f>
        <v/>
      </c>
      <c r="AB175" s="46" t="str">
        <f aca="false">IF($Z175="Primary","Matched on primary skill",IF($Z175="Secondary","Matched on secondary skill (primary not approved or not required)",""))</f>
        <v/>
      </c>
      <c r="AC175" s="47" t="str">
        <f aca="false">IF($D175="Panel Details",$F175,"")</f>
        <v/>
      </c>
      <c r="AD175" s="46" t="str">
        <f aca="false">IF($D175="Panel Details",'Survey Response'!$D173,"")</f>
        <v/>
      </c>
      <c r="AE175" s="46" t="str">
        <f aca="false">IF($D175="Panel Details",'Survey Response'!$E173,"")</f>
        <v/>
      </c>
      <c r="AF175" s="46" t="str">
        <f aca="false">IF($D175="Panel Details",'Survey Response'!$G173,"")</f>
        <v/>
      </c>
      <c r="AG175" s="46" t="str">
        <f aca="false">IF($D175="Panel Details",IF($Z175="Primary",$J175,$L175),"")</f>
        <v/>
      </c>
      <c r="AH175" s="46" t="str">
        <f aca="false">IF($D175="Panel Details",IF($Z175="Primary",$L175,$J175),"")</f>
        <v/>
      </c>
      <c r="AI175" s="46" t="str">
        <f aca="false">IF($D175="Panel Details",'Survey Response'!$H173,"")</f>
        <v/>
      </c>
      <c r="AJ175" s="46" t="str">
        <f aca="false">IF($D175="Panel Details",'Survey Response'!$M173,"")</f>
        <v/>
      </c>
      <c r="AK175" s="46" t="str">
        <f aca="false">IF($D175="Panel Details",$O175,"")</f>
        <v/>
      </c>
      <c r="AL175" s="46" t="str">
        <f aca="false">IF($D175="Panel Details",8,"")</f>
        <v/>
      </c>
      <c r="AM175" s="46" t="str">
        <f aca="false">IF($D175="Panel Details",$AB175,"")</f>
        <v/>
      </c>
      <c r="AN175" s="46" t="str">
        <f aca="false">IF($D175="Panel Details","Yes","")</f>
        <v/>
      </c>
      <c r="AO175" s="46"/>
      <c r="AP175" s="46" t="str">
        <f aca="false">IF($D175="Followup",'Survey Response'!$D173,"")</f>
        <v/>
      </c>
      <c r="AQ175" s="46" t="str">
        <f aca="false">IF($D175="Followup",'Survey Response'!$E173,"")</f>
        <v/>
      </c>
      <c r="AR175" s="46" t="str">
        <f aca="false">IF($D175="Followup",'Survey Response'!$G173,"")</f>
        <v/>
      </c>
      <c r="AS175" s="46" t="str">
        <f aca="false">IF($D175="Followup",'Survey Response'!$H173,"")</f>
        <v/>
      </c>
      <c r="AT175" s="46" t="str">
        <f aca="false">IF($D175="Followup",'Survey Response'!$M173,"")</f>
        <v/>
      </c>
      <c r="AU175" s="46" t="str">
        <f aca="false">IF($D175="Followup",'Survey Response'!$K173,"")</f>
        <v/>
      </c>
      <c r="AV175" s="46" t="str">
        <f aca="false">IF($D175="Followup",'Survey Response'!$L173,"")</f>
        <v/>
      </c>
      <c r="AW175" s="46" t="str">
        <f aca="false">IF($D175="Followup",IF(AND($P175&lt;&gt;"Yes",$U175&lt;&gt;"Yes"),"Not approved for primary or secondary skill","Approved, but skill(s) no longer have capacity (fully staffed)"),"")</f>
        <v/>
      </c>
    </row>
    <row r="176" customFormat="false" ht="15" hidden="false" customHeight="true" outlineLevel="0" collapsed="false">
      <c r="A176" s="46" t="str">
        <f aca="false">IF('Survey Response'!$D174="","",'Survey Response'!$A174&amp;"|"&amp;LOWER(TRIM('Survey Response'!$D174)))</f>
        <v/>
      </c>
      <c r="B176" s="46" t="str">
        <f aca="false">IF($H176="","",$F176&amp;"|"&amp;$H176)</f>
        <v/>
      </c>
      <c r="C176" s="46" t="str">
        <f aca="false">IF($H176="","",$A176=$B176)</f>
        <v/>
      </c>
      <c r="D176" s="46" t="str">
        <f aca="false">IF($H176="","",IF($E176&lt;&gt;"Yes","Superseded",IF($I176&lt;&gt;"Yes, I'm available for in-person interviews at Chennai","Not Available",IF($Z176&lt;&gt;"","Panel Details","Followup"))))</f>
        <v/>
      </c>
      <c r="E176" s="46" t="str">
        <f aca="false">IF($H176="","",IF(SUMPRODUCT(($H$4:$H$503=$H176)*(($G$4:$G$503&gt;$G176)+($G$4:$G$503=$G176)*($F$4:$F$503&gt;$F176)))=0,"Yes","No"))</f>
        <v/>
      </c>
      <c r="F176" s="47" t="str">
        <f aca="false">IF('Survey Response'!$D174="","",INT('Survey Response'!$A174))</f>
        <v/>
      </c>
      <c r="G176" s="46" t="str">
        <f aca="false">IF('Survey Response'!$D174="","",'Survey Response'!$C174)</f>
        <v/>
      </c>
      <c r="H176" s="46" t="str">
        <f aca="false">IF('Survey Response'!$D174="","",LOWER(TRIM('Survey Response'!$D174)))</f>
        <v/>
      </c>
      <c r="I176" s="46" t="str">
        <f aca="false">IF($H176="","",'Survey Response'!$I174)</f>
        <v/>
      </c>
      <c r="J176" s="46" t="str">
        <f aca="false">IF($H176="","",'Survey Response'!$K174)</f>
        <v/>
      </c>
      <c r="K176" s="46" t="str">
        <f aca="false">IF($J176="","",IF(COUNTIF('Skill Mapping'!$A$2:$A$7,TRIM($J176))=0,"",INDEX('Skill Mapping'!$B$2:$B$7,MATCH(TRIM($J176),'Skill Mapping'!$A$2:$A$7,0))))</f>
        <v/>
      </c>
      <c r="L176" s="46" t="str">
        <f aca="false">IF($H176="","",'Survey Response'!$L174)</f>
        <v/>
      </c>
      <c r="M176" s="46" t="str">
        <f aca="false">IF($L176="","",IF(COUNTIF('Skill Mapping'!$A$2:$A$7,TRIM($L176))=0,"",INDEX('Skill Mapping'!$B$2:$B$7,MATCH(TRIM($L176),'Skill Mapping'!$A$2:$A$7,0))))</f>
        <v/>
      </c>
      <c r="N176" s="46" t="str">
        <f aca="false">IF($H176="","",'Survey Response'!$M174)</f>
        <v/>
      </c>
      <c r="O176" s="46" t="str">
        <f aca="false">IF($H176="","",IF('Survey Response'!$M174="Manager","R2","R1"))</f>
        <v/>
      </c>
      <c r="P176" s="46" t="str">
        <f aca="false">IF($K176="","No",IF(COUNTIFS(MasterPanel!$B:$B,$H176,MasterPanel!$I:$I,$K176,MasterPanel!$K:$K,"Y")&gt;0,"Yes","No"))</f>
        <v>No</v>
      </c>
      <c r="Q176" s="46" t="n">
        <f aca="false">IF($K176="",0,IF(COUNTIF('Gap Sheet'!$A$6:$A$11,TRIM($J176))=0,0,IF($O176="R1",INDEX('Gap Sheet'!$C$6:$C$11,MATCH(TRIM($J176),'Gap Sheet'!$A$6:$A$11,0)),INDEX('Gap Sheet'!$G$6:$G$11,MATCH(TRIM($J176),'Gap Sheet'!$A$6:$A$11,0)))))</f>
        <v>0</v>
      </c>
      <c r="R176" s="46" t="str">
        <f aca="false">IF($K176="","",$K176&amp;"|"&amp;$O176)</f>
        <v/>
      </c>
      <c r="S176" s="46" t="n">
        <f aca="false">IF($R176="",0,COUNTIF($AA$4:$AA175,$R176))</f>
        <v>0</v>
      </c>
      <c r="T176" s="46" t="str">
        <f aca="false">IF(OR($I176&lt;&gt;"Yes, I'm available for in-person interviews at Chennai",$E176&lt;&gt;"Yes",$P176&lt;&gt;"Yes"),"No",IF(($Q176-$S176)&gt;0,"Yes","No"))</f>
        <v>No</v>
      </c>
      <c r="U176" s="46" t="str">
        <f aca="false">IF($M176="","No",IF(COUNTIFS(MasterPanel!$B:$B,$H176,MasterPanel!$I:$I,$M176,MasterPanel!$K:$K,"Y")&gt;0,"Yes","No"))</f>
        <v>No</v>
      </c>
      <c r="V176" s="46" t="n">
        <f aca="false">IF($M176="",0,IF(COUNTIF('Gap Sheet'!$A$6:$A$11,TRIM($L176))=0,0,IF($O176="R1",INDEX('Gap Sheet'!$C$6:$C$11,MATCH(TRIM($L176),'Gap Sheet'!$A$6:$A$11,0)),INDEX('Gap Sheet'!$G$6:$G$11,MATCH(TRIM($L176),'Gap Sheet'!$A$6:$A$11,0)))))</f>
        <v>0</v>
      </c>
      <c r="W176" s="46" t="str">
        <f aca="false">IF($M176="","",$M176&amp;"|"&amp;$O176)</f>
        <v/>
      </c>
      <c r="X176" s="46" t="n">
        <f aca="false">IF($W176="",0,COUNTIF($AA$4:$AA175,$W176))</f>
        <v>0</v>
      </c>
      <c r="Y176" s="46" t="str">
        <f aca="false">IF(OR($I176&lt;&gt;"Yes, I'm available for in-person interviews at Chennai",$E176&lt;&gt;"Yes",$T176="Yes",$U176&lt;&gt;"Yes"),"No",IF(($V176-$X176)&gt;0,"Yes","No"))</f>
        <v>No</v>
      </c>
      <c r="Z176" s="46" t="str">
        <f aca="false">IF($T176="Yes","Primary",IF($Y176="Yes","Secondary",""))</f>
        <v/>
      </c>
      <c r="AA176" s="46" t="str">
        <f aca="false">IF($Z176="Primary",$R176,IF($Z176="Secondary",$W176,""))</f>
        <v/>
      </c>
      <c r="AB176" s="46" t="str">
        <f aca="false">IF($Z176="Primary","Matched on primary skill",IF($Z176="Secondary","Matched on secondary skill (primary not approved or not required)",""))</f>
        <v/>
      </c>
      <c r="AC176" s="47" t="str">
        <f aca="false">IF($D176="Panel Details",$F176,"")</f>
        <v/>
      </c>
      <c r="AD176" s="46" t="str">
        <f aca="false">IF($D176="Panel Details",'Survey Response'!$D174,"")</f>
        <v/>
      </c>
      <c r="AE176" s="46" t="str">
        <f aca="false">IF($D176="Panel Details",'Survey Response'!$E174,"")</f>
        <v/>
      </c>
      <c r="AF176" s="46" t="str">
        <f aca="false">IF($D176="Panel Details",'Survey Response'!$G174,"")</f>
        <v/>
      </c>
      <c r="AG176" s="46" t="str">
        <f aca="false">IF($D176="Panel Details",IF($Z176="Primary",$J176,$L176),"")</f>
        <v/>
      </c>
      <c r="AH176" s="46" t="str">
        <f aca="false">IF($D176="Panel Details",IF($Z176="Primary",$L176,$J176),"")</f>
        <v/>
      </c>
      <c r="AI176" s="46" t="str">
        <f aca="false">IF($D176="Panel Details",'Survey Response'!$H174,"")</f>
        <v/>
      </c>
      <c r="AJ176" s="46" t="str">
        <f aca="false">IF($D176="Panel Details",'Survey Response'!$M174,"")</f>
        <v/>
      </c>
      <c r="AK176" s="46" t="str">
        <f aca="false">IF($D176="Panel Details",$O176,"")</f>
        <v/>
      </c>
      <c r="AL176" s="46" t="str">
        <f aca="false">IF($D176="Panel Details",8,"")</f>
        <v/>
      </c>
      <c r="AM176" s="46" t="str">
        <f aca="false">IF($D176="Panel Details",$AB176,"")</f>
        <v/>
      </c>
      <c r="AN176" s="46" t="str">
        <f aca="false">IF($D176="Panel Details","Yes","")</f>
        <v/>
      </c>
      <c r="AO176" s="46"/>
      <c r="AP176" s="46" t="str">
        <f aca="false">IF($D176="Followup",'Survey Response'!$D174,"")</f>
        <v/>
      </c>
      <c r="AQ176" s="46" t="str">
        <f aca="false">IF($D176="Followup",'Survey Response'!$E174,"")</f>
        <v/>
      </c>
      <c r="AR176" s="46" t="str">
        <f aca="false">IF($D176="Followup",'Survey Response'!$G174,"")</f>
        <v/>
      </c>
      <c r="AS176" s="46" t="str">
        <f aca="false">IF($D176="Followup",'Survey Response'!$H174,"")</f>
        <v/>
      </c>
      <c r="AT176" s="46" t="str">
        <f aca="false">IF($D176="Followup",'Survey Response'!$M174,"")</f>
        <v/>
      </c>
      <c r="AU176" s="46" t="str">
        <f aca="false">IF($D176="Followup",'Survey Response'!$K174,"")</f>
        <v/>
      </c>
      <c r="AV176" s="46" t="str">
        <f aca="false">IF($D176="Followup",'Survey Response'!$L174,"")</f>
        <v/>
      </c>
      <c r="AW176" s="46" t="str">
        <f aca="false">IF($D176="Followup",IF(AND($P176&lt;&gt;"Yes",$U176&lt;&gt;"Yes"),"Not approved for primary or secondary skill","Approved, but skill(s) no longer have capacity (fully staffed)"),"")</f>
        <v/>
      </c>
    </row>
    <row r="177" customFormat="false" ht="15" hidden="false" customHeight="true" outlineLevel="0" collapsed="false">
      <c r="A177" s="46" t="str">
        <f aca="false">IF('Survey Response'!$D175="","",'Survey Response'!$A175&amp;"|"&amp;LOWER(TRIM('Survey Response'!$D175)))</f>
        <v/>
      </c>
      <c r="B177" s="46" t="str">
        <f aca="false">IF($H177="","",$F177&amp;"|"&amp;$H177)</f>
        <v/>
      </c>
      <c r="C177" s="46" t="str">
        <f aca="false">IF($H177="","",$A177=$B177)</f>
        <v/>
      </c>
      <c r="D177" s="46" t="str">
        <f aca="false">IF($H177="","",IF($E177&lt;&gt;"Yes","Superseded",IF($I177&lt;&gt;"Yes, I'm available for in-person interviews at Chennai","Not Available",IF($Z177&lt;&gt;"","Panel Details","Followup"))))</f>
        <v/>
      </c>
      <c r="E177" s="46" t="str">
        <f aca="false">IF($H177="","",IF(SUMPRODUCT(($H$4:$H$503=$H177)*(($G$4:$G$503&gt;$G177)+($G$4:$G$503=$G177)*($F$4:$F$503&gt;$F177)))=0,"Yes","No"))</f>
        <v/>
      </c>
      <c r="F177" s="47" t="str">
        <f aca="false">IF('Survey Response'!$D175="","",INT('Survey Response'!$A175))</f>
        <v/>
      </c>
      <c r="G177" s="46" t="str">
        <f aca="false">IF('Survey Response'!$D175="","",'Survey Response'!$C175)</f>
        <v/>
      </c>
      <c r="H177" s="46" t="str">
        <f aca="false">IF('Survey Response'!$D175="","",LOWER(TRIM('Survey Response'!$D175)))</f>
        <v/>
      </c>
      <c r="I177" s="46" t="str">
        <f aca="false">IF($H177="","",'Survey Response'!$I175)</f>
        <v/>
      </c>
      <c r="J177" s="46" t="str">
        <f aca="false">IF($H177="","",'Survey Response'!$K175)</f>
        <v/>
      </c>
      <c r="K177" s="46" t="str">
        <f aca="false">IF($J177="","",IF(COUNTIF('Skill Mapping'!$A$2:$A$7,TRIM($J177))=0,"",INDEX('Skill Mapping'!$B$2:$B$7,MATCH(TRIM($J177),'Skill Mapping'!$A$2:$A$7,0))))</f>
        <v/>
      </c>
      <c r="L177" s="46" t="str">
        <f aca="false">IF($H177="","",'Survey Response'!$L175)</f>
        <v/>
      </c>
      <c r="M177" s="46" t="str">
        <f aca="false">IF($L177="","",IF(COUNTIF('Skill Mapping'!$A$2:$A$7,TRIM($L177))=0,"",INDEX('Skill Mapping'!$B$2:$B$7,MATCH(TRIM($L177),'Skill Mapping'!$A$2:$A$7,0))))</f>
        <v/>
      </c>
      <c r="N177" s="46" t="str">
        <f aca="false">IF($H177="","",'Survey Response'!$M175)</f>
        <v/>
      </c>
      <c r="O177" s="46" t="str">
        <f aca="false">IF($H177="","",IF('Survey Response'!$M175="Manager","R2","R1"))</f>
        <v/>
      </c>
      <c r="P177" s="46" t="str">
        <f aca="false">IF($K177="","No",IF(COUNTIFS(MasterPanel!$B:$B,$H177,MasterPanel!$I:$I,$K177,MasterPanel!$K:$K,"Y")&gt;0,"Yes","No"))</f>
        <v>No</v>
      </c>
      <c r="Q177" s="46" t="n">
        <f aca="false">IF($K177="",0,IF(COUNTIF('Gap Sheet'!$A$6:$A$11,TRIM($J177))=0,0,IF($O177="R1",INDEX('Gap Sheet'!$C$6:$C$11,MATCH(TRIM($J177),'Gap Sheet'!$A$6:$A$11,0)),INDEX('Gap Sheet'!$G$6:$G$11,MATCH(TRIM($J177),'Gap Sheet'!$A$6:$A$11,0)))))</f>
        <v>0</v>
      </c>
      <c r="R177" s="46" t="str">
        <f aca="false">IF($K177="","",$K177&amp;"|"&amp;$O177)</f>
        <v/>
      </c>
      <c r="S177" s="46" t="n">
        <f aca="false">IF($R177="",0,COUNTIF($AA$4:$AA176,$R177))</f>
        <v>0</v>
      </c>
      <c r="T177" s="46" t="str">
        <f aca="false">IF(OR($I177&lt;&gt;"Yes, I'm available for in-person interviews at Chennai",$E177&lt;&gt;"Yes",$P177&lt;&gt;"Yes"),"No",IF(($Q177-$S177)&gt;0,"Yes","No"))</f>
        <v>No</v>
      </c>
      <c r="U177" s="46" t="str">
        <f aca="false">IF($M177="","No",IF(COUNTIFS(MasterPanel!$B:$B,$H177,MasterPanel!$I:$I,$M177,MasterPanel!$K:$K,"Y")&gt;0,"Yes","No"))</f>
        <v>No</v>
      </c>
      <c r="V177" s="46" t="n">
        <f aca="false">IF($M177="",0,IF(COUNTIF('Gap Sheet'!$A$6:$A$11,TRIM($L177))=0,0,IF($O177="R1",INDEX('Gap Sheet'!$C$6:$C$11,MATCH(TRIM($L177),'Gap Sheet'!$A$6:$A$11,0)),INDEX('Gap Sheet'!$G$6:$G$11,MATCH(TRIM($L177),'Gap Sheet'!$A$6:$A$11,0)))))</f>
        <v>0</v>
      </c>
      <c r="W177" s="46" t="str">
        <f aca="false">IF($M177="","",$M177&amp;"|"&amp;$O177)</f>
        <v/>
      </c>
      <c r="X177" s="46" t="n">
        <f aca="false">IF($W177="",0,COUNTIF($AA$4:$AA176,$W177))</f>
        <v>0</v>
      </c>
      <c r="Y177" s="46" t="str">
        <f aca="false">IF(OR($I177&lt;&gt;"Yes, I'm available for in-person interviews at Chennai",$E177&lt;&gt;"Yes",$T177="Yes",$U177&lt;&gt;"Yes"),"No",IF(($V177-$X177)&gt;0,"Yes","No"))</f>
        <v>No</v>
      </c>
      <c r="Z177" s="46" t="str">
        <f aca="false">IF($T177="Yes","Primary",IF($Y177="Yes","Secondary",""))</f>
        <v/>
      </c>
      <c r="AA177" s="46" t="str">
        <f aca="false">IF($Z177="Primary",$R177,IF($Z177="Secondary",$W177,""))</f>
        <v/>
      </c>
      <c r="AB177" s="46" t="str">
        <f aca="false">IF($Z177="Primary","Matched on primary skill",IF($Z177="Secondary","Matched on secondary skill (primary not approved or not required)",""))</f>
        <v/>
      </c>
      <c r="AC177" s="47" t="str">
        <f aca="false">IF($D177="Panel Details",$F177,"")</f>
        <v/>
      </c>
      <c r="AD177" s="46" t="str">
        <f aca="false">IF($D177="Panel Details",'Survey Response'!$D175,"")</f>
        <v/>
      </c>
      <c r="AE177" s="46" t="str">
        <f aca="false">IF($D177="Panel Details",'Survey Response'!$E175,"")</f>
        <v/>
      </c>
      <c r="AF177" s="46" t="str">
        <f aca="false">IF($D177="Panel Details",'Survey Response'!$G175,"")</f>
        <v/>
      </c>
      <c r="AG177" s="46" t="str">
        <f aca="false">IF($D177="Panel Details",IF($Z177="Primary",$J177,$L177),"")</f>
        <v/>
      </c>
      <c r="AH177" s="46" t="str">
        <f aca="false">IF($D177="Panel Details",IF($Z177="Primary",$L177,$J177),"")</f>
        <v/>
      </c>
      <c r="AI177" s="46" t="str">
        <f aca="false">IF($D177="Panel Details",'Survey Response'!$H175,"")</f>
        <v/>
      </c>
      <c r="AJ177" s="46" t="str">
        <f aca="false">IF($D177="Panel Details",'Survey Response'!$M175,"")</f>
        <v/>
      </c>
      <c r="AK177" s="46" t="str">
        <f aca="false">IF($D177="Panel Details",$O177,"")</f>
        <v/>
      </c>
      <c r="AL177" s="46" t="str">
        <f aca="false">IF($D177="Panel Details",8,"")</f>
        <v/>
      </c>
      <c r="AM177" s="46" t="str">
        <f aca="false">IF($D177="Panel Details",$AB177,"")</f>
        <v/>
      </c>
      <c r="AN177" s="46" t="str">
        <f aca="false">IF($D177="Panel Details","Yes","")</f>
        <v/>
      </c>
      <c r="AO177" s="46"/>
      <c r="AP177" s="46" t="str">
        <f aca="false">IF($D177="Followup",'Survey Response'!$D175,"")</f>
        <v/>
      </c>
      <c r="AQ177" s="46" t="str">
        <f aca="false">IF($D177="Followup",'Survey Response'!$E175,"")</f>
        <v/>
      </c>
      <c r="AR177" s="46" t="str">
        <f aca="false">IF($D177="Followup",'Survey Response'!$G175,"")</f>
        <v/>
      </c>
      <c r="AS177" s="46" t="str">
        <f aca="false">IF($D177="Followup",'Survey Response'!$H175,"")</f>
        <v/>
      </c>
      <c r="AT177" s="46" t="str">
        <f aca="false">IF($D177="Followup",'Survey Response'!$M175,"")</f>
        <v/>
      </c>
      <c r="AU177" s="46" t="str">
        <f aca="false">IF($D177="Followup",'Survey Response'!$K175,"")</f>
        <v/>
      </c>
      <c r="AV177" s="46" t="str">
        <f aca="false">IF($D177="Followup",'Survey Response'!$L175,"")</f>
        <v/>
      </c>
      <c r="AW177" s="46" t="str">
        <f aca="false">IF($D177="Followup",IF(AND($P177&lt;&gt;"Yes",$U177&lt;&gt;"Yes"),"Not approved for primary or secondary skill","Approved, but skill(s) no longer have capacity (fully staffed)"),"")</f>
        <v/>
      </c>
    </row>
    <row r="178" customFormat="false" ht="15" hidden="false" customHeight="true" outlineLevel="0" collapsed="false">
      <c r="A178" s="46" t="str">
        <f aca="false">IF('Survey Response'!$D176="","",'Survey Response'!$A176&amp;"|"&amp;LOWER(TRIM('Survey Response'!$D176)))</f>
        <v/>
      </c>
      <c r="B178" s="46" t="str">
        <f aca="false">IF($H178="","",$F178&amp;"|"&amp;$H178)</f>
        <v/>
      </c>
      <c r="C178" s="46" t="str">
        <f aca="false">IF($H178="","",$A178=$B178)</f>
        <v/>
      </c>
      <c r="D178" s="46" t="str">
        <f aca="false">IF($H178="","",IF($E178&lt;&gt;"Yes","Superseded",IF($I178&lt;&gt;"Yes, I'm available for in-person interviews at Chennai","Not Available",IF($Z178&lt;&gt;"","Panel Details","Followup"))))</f>
        <v/>
      </c>
      <c r="E178" s="46" t="str">
        <f aca="false">IF($H178="","",IF(SUMPRODUCT(($H$4:$H$503=$H178)*(($G$4:$G$503&gt;$G178)+($G$4:$G$503=$G178)*($F$4:$F$503&gt;$F178)))=0,"Yes","No"))</f>
        <v/>
      </c>
      <c r="F178" s="47" t="str">
        <f aca="false">IF('Survey Response'!$D176="","",INT('Survey Response'!$A176))</f>
        <v/>
      </c>
      <c r="G178" s="46" t="str">
        <f aca="false">IF('Survey Response'!$D176="","",'Survey Response'!$C176)</f>
        <v/>
      </c>
      <c r="H178" s="46" t="str">
        <f aca="false">IF('Survey Response'!$D176="","",LOWER(TRIM('Survey Response'!$D176)))</f>
        <v/>
      </c>
      <c r="I178" s="46" t="str">
        <f aca="false">IF($H178="","",'Survey Response'!$I176)</f>
        <v/>
      </c>
      <c r="J178" s="46" t="str">
        <f aca="false">IF($H178="","",'Survey Response'!$K176)</f>
        <v/>
      </c>
      <c r="K178" s="46" t="str">
        <f aca="false">IF($J178="","",IF(COUNTIF('Skill Mapping'!$A$2:$A$7,TRIM($J178))=0,"",INDEX('Skill Mapping'!$B$2:$B$7,MATCH(TRIM($J178),'Skill Mapping'!$A$2:$A$7,0))))</f>
        <v/>
      </c>
      <c r="L178" s="46" t="str">
        <f aca="false">IF($H178="","",'Survey Response'!$L176)</f>
        <v/>
      </c>
      <c r="M178" s="46" t="str">
        <f aca="false">IF($L178="","",IF(COUNTIF('Skill Mapping'!$A$2:$A$7,TRIM($L178))=0,"",INDEX('Skill Mapping'!$B$2:$B$7,MATCH(TRIM($L178),'Skill Mapping'!$A$2:$A$7,0))))</f>
        <v/>
      </c>
      <c r="N178" s="46" t="str">
        <f aca="false">IF($H178="","",'Survey Response'!$M176)</f>
        <v/>
      </c>
      <c r="O178" s="46" t="str">
        <f aca="false">IF($H178="","",IF('Survey Response'!$M176="Manager","R2","R1"))</f>
        <v/>
      </c>
      <c r="P178" s="46" t="str">
        <f aca="false">IF($K178="","No",IF(COUNTIFS(MasterPanel!$B:$B,$H178,MasterPanel!$I:$I,$K178,MasterPanel!$K:$K,"Y")&gt;0,"Yes","No"))</f>
        <v>No</v>
      </c>
      <c r="Q178" s="46" t="n">
        <f aca="false">IF($K178="",0,IF(COUNTIF('Gap Sheet'!$A$6:$A$11,TRIM($J178))=0,0,IF($O178="R1",INDEX('Gap Sheet'!$C$6:$C$11,MATCH(TRIM($J178),'Gap Sheet'!$A$6:$A$11,0)),INDEX('Gap Sheet'!$G$6:$G$11,MATCH(TRIM($J178),'Gap Sheet'!$A$6:$A$11,0)))))</f>
        <v>0</v>
      </c>
      <c r="R178" s="46" t="str">
        <f aca="false">IF($K178="","",$K178&amp;"|"&amp;$O178)</f>
        <v/>
      </c>
      <c r="S178" s="46" t="n">
        <f aca="false">IF($R178="",0,COUNTIF($AA$4:$AA177,$R178))</f>
        <v>0</v>
      </c>
      <c r="T178" s="46" t="str">
        <f aca="false">IF(OR($I178&lt;&gt;"Yes, I'm available for in-person interviews at Chennai",$E178&lt;&gt;"Yes",$P178&lt;&gt;"Yes"),"No",IF(($Q178-$S178)&gt;0,"Yes","No"))</f>
        <v>No</v>
      </c>
      <c r="U178" s="46" t="str">
        <f aca="false">IF($M178="","No",IF(COUNTIFS(MasterPanel!$B:$B,$H178,MasterPanel!$I:$I,$M178,MasterPanel!$K:$K,"Y")&gt;0,"Yes","No"))</f>
        <v>No</v>
      </c>
      <c r="V178" s="46" t="n">
        <f aca="false">IF($M178="",0,IF(COUNTIF('Gap Sheet'!$A$6:$A$11,TRIM($L178))=0,0,IF($O178="R1",INDEX('Gap Sheet'!$C$6:$C$11,MATCH(TRIM($L178),'Gap Sheet'!$A$6:$A$11,0)),INDEX('Gap Sheet'!$G$6:$G$11,MATCH(TRIM($L178),'Gap Sheet'!$A$6:$A$11,0)))))</f>
        <v>0</v>
      </c>
      <c r="W178" s="46" t="str">
        <f aca="false">IF($M178="","",$M178&amp;"|"&amp;$O178)</f>
        <v/>
      </c>
      <c r="X178" s="46" t="n">
        <f aca="false">IF($W178="",0,COUNTIF($AA$4:$AA177,$W178))</f>
        <v>0</v>
      </c>
      <c r="Y178" s="46" t="str">
        <f aca="false">IF(OR($I178&lt;&gt;"Yes, I'm available for in-person interviews at Chennai",$E178&lt;&gt;"Yes",$T178="Yes",$U178&lt;&gt;"Yes"),"No",IF(($V178-$X178)&gt;0,"Yes","No"))</f>
        <v>No</v>
      </c>
      <c r="Z178" s="46" t="str">
        <f aca="false">IF($T178="Yes","Primary",IF($Y178="Yes","Secondary",""))</f>
        <v/>
      </c>
      <c r="AA178" s="46" t="str">
        <f aca="false">IF($Z178="Primary",$R178,IF($Z178="Secondary",$W178,""))</f>
        <v/>
      </c>
      <c r="AB178" s="46" t="str">
        <f aca="false">IF($Z178="Primary","Matched on primary skill",IF($Z178="Secondary","Matched on secondary skill (primary not approved or not required)",""))</f>
        <v/>
      </c>
      <c r="AC178" s="47" t="str">
        <f aca="false">IF($D178="Panel Details",$F178,"")</f>
        <v/>
      </c>
      <c r="AD178" s="46" t="str">
        <f aca="false">IF($D178="Panel Details",'Survey Response'!$D176,"")</f>
        <v/>
      </c>
      <c r="AE178" s="46" t="str">
        <f aca="false">IF($D178="Panel Details",'Survey Response'!$E176,"")</f>
        <v/>
      </c>
      <c r="AF178" s="46" t="str">
        <f aca="false">IF($D178="Panel Details",'Survey Response'!$G176,"")</f>
        <v/>
      </c>
      <c r="AG178" s="46" t="str">
        <f aca="false">IF($D178="Panel Details",IF($Z178="Primary",$J178,$L178),"")</f>
        <v/>
      </c>
      <c r="AH178" s="46" t="str">
        <f aca="false">IF($D178="Panel Details",IF($Z178="Primary",$L178,$J178),"")</f>
        <v/>
      </c>
      <c r="AI178" s="46" t="str">
        <f aca="false">IF($D178="Panel Details",'Survey Response'!$H176,"")</f>
        <v/>
      </c>
      <c r="AJ178" s="46" t="str">
        <f aca="false">IF($D178="Panel Details",'Survey Response'!$M176,"")</f>
        <v/>
      </c>
      <c r="AK178" s="46" t="str">
        <f aca="false">IF($D178="Panel Details",$O178,"")</f>
        <v/>
      </c>
      <c r="AL178" s="46" t="str">
        <f aca="false">IF($D178="Panel Details",8,"")</f>
        <v/>
      </c>
      <c r="AM178" s="46" t="str">
        <f aca="false">IF($D178="Panel Details",$AB178,"")</f>
        <v/>
      </c>
      <c r="AN178" s="46" t="str">
        <f aca="false">IF($D178="Panel Details","Yes","")</f>
        <v/>
      </c>
      <c r="AO178" s="46"/>
      <c r="AP178" s="46" t="str">
        <f aca="false">IF($D178="Followup",'Survey Response'!$D176,"")</f>
        <v/>
      </c>
      <c r="AQ178" s="46" t="str">
        <f aca="false">IF($D178="Followup",'Survey Response'!$E176,"")</f>
        <v/>
      </c>
      <c r="AR178" s="46" t="str">
        <f aca="false">IF($D178="Followup",'Survey Response'!$G176,"")</f>
        <v/>
      </c>
      <c r="AS178" s="46" t="str">
        <f aca="false">IF($D178="Followup",'Survey Response'!$H176,"")</f>
        <v/>
      </c>
      <c r="AT178" s="46" t="str">
        <f aca="false">IF($D178="Followup",'Survey Response'!$M176,"")</f>
        <v/>
      </c>
      <c r="AU178" s="46" t="str">
        <f aca="false">IF($D178="Followup",'Survey Response'!$K176,"")</f>
        <v/>
      </c>
      <c r="AV178" s="46" t="str">
        <f aca="false">IF($D178="Followup",'Survey Response'!$L176,"")</f>
        <v/>
      </c>
      <c r="AW178" s="46" t="str">
        <f aca="false">IF($D178="Followup",IF(AND($P178&lt;&gt;"Yes",$U178&lt;&gt;"Yes"),"Not approved for primary or secondary skill","Approved, but skill(s) no longer have capacity (fully staffed)"),"")</f>
        <v/>
      </c>
    </row>
    <row r="179" customFormat="false" ht="15" hidden="false" customHeight="true" outlineLevel="0" collapsed="false">
      <c r="A179" s="46" t="str">
        <f aca="false">IF('Survey Response'!$D177="","",'Survey Response'!$A177&amp;"|"&amp;LOWER(TRIM('Survey Response'!$D177)))</f>
        <v/>
      </c>
      <c r="B179" s="46" t="str">
        <f aca="false">IF($H179="","",$F179&amp;"|"&amp;$H179)</f>
        <v/>
      </c>
      <c r="C179" s="46" t="str">
        <f aca="false">IF($H179="","",$A179=$B179)</f>
        <v/>
      </c>
      <c r="D179" s="46" t="str">
        <f aca="false">IF($H179="","",IF($E179&lt;&gt;"Yes","Superseded",IF($I179&lt;&gt;"Yes, I'm available for in-person interviews at Chennai","Not Available",IF($Z179&lt;&gt;"","Panel Details","Followup"))))</f>
        <v/>
      </c>
      <c r="E179" s="46" t="str">
        <f aca="false">IF($H179="","",IF(SUMPRODUCT(($H$4:$H$503=$H179)*(($G$4:$G$503&gt;$G179)+($G$4:$G$503=$G179)*($F$4:$F$503&gt;$F179)))=0,"Yes","No"))</f>
        <v/>
      </c>
      <c r="F179" s="47" t="str">
        <f aca="false">IF('Survey Response'!$D177="","",INT('Survey Response'!$A177))</f>
        <v/>
      </c>
      <c r="G179" s="46" t="str">
        <f aca="false">IF('Survey Response'!$D177="","",'Survey Response'!$C177)</f>
        <v/>
      </c>
      <c r="H179" s="46" t="str">
        <f aca="false">IF('Survey Response'!$D177="","",LOWER(TRIM('Survey Response'!$D177)))</f>
        <v/>
      </c>
      <c r="I179" s="46" t="str">
        <f aca="false">IF($H179="","",'Survey Response'!$I177)</f>
        <v/>
      </c>
      <c r="J179" s="46" t="str">
        <f aca="false">IF($H179="","",'Survey Response'!$K177)</f>
        <v/>
      </c>
      <c r="K179" s="46" t="str">
        <f aca="false">IF($J179="","",IF(COUNTIF('Skill Mapping'!$A$2:$A$7,TRIM($J179))=0,"",INDEX('Skill Mapping'!$B$2:$B$7,MATCH(TRIM($J179),'Skill Mapping'!$A$2:$A$7,0))))</f>
        <v/>
      </c>
      <c r="L179" s="46" t="str">
        <f aca="false">IF($H179="","",'Survey Response'!$L177)</f>
        <v/>
      </c>
      <c r="M179" s="46" t="str">
        <f aca="false">IF($L179="","",IF(COUNTIF('Skill Mapping'!$A$2:$A$7,TRIM($L179))=0,"",INDEX('Skill Mapping'!$B$2:$B$7,MATCH(TRIM($L179),'Skill Mapping'!$A$2:$A$7,0))))</f>
        <v/>
      </c>
      <c r="N179" s="46" t="str">
        <f aca="false">IF($H179="","",'Survey Response'!$M177)</f>
        <v/>
      </c>
      <c r="O179" s="46" t="str">
        <f aca="false">IF($H179="","",IF('Survey Response'!$M177="Manager","R2","R1"))</f>
        <v/>
      </c>
      <c r="P179" s="46" t="str">
        <f aca="false">IF($K179="","No",IF(COUNTIFS(MasterPanel!$B:$B,$H179,MasterPanel!$I:$I,$K179,MasterPanel!$K:$K,"Y")&gt;0,"Yes","No"))</f>
        <v>No</v>
      </c>
      <c r="Q179" s="46" t="n">
        <f aca="false">IF($K179="",0,IF(COUNTIF('Gap Sheet'!$A$6:$A$11,TRIM($J179))=0,0,IF($O179="R1",INDEX('Gap Sheet'!$C$6:$C$11,MATCH(TRIM($J179),'Gap Sheet'!$A$6:$A$11,0)),INDEX('Gap Sheet'!$G$6:$G$11,MATCH(TRIM($J179),'Gap Sheet'!$A$6:$A$11,0)))))</f>
        <v>0</v>
      </c>
      <c r="R179" s="46" t="str">
        <f aca="false">IF($K179="","",$K179&amp;"|"&amp;$O179)</f>
        <v/>
      </c>
      <c r="S179" s="46" t="n">
        <f aca="false">IF($R179="",0,COUNTIF($AA$4:$AA178,$R179))</f>
        <v>0</v>
      </c>
      <c r="T179" s="46" t="str">
        <f aca="false">IF(OR($I179&lt;&gt;"Yes, I'm available for in-person interviews at Chennai",$E179&lt;&gt;"Yes",$P179&lt;&gt;"Yes"),"No",IF(($Q179-$S179)&gt;0,"Yes","No"))</f>
        <v>No</v>
      </c>
      <c r="U179" s="46" t="str">
        <f aca="false">IF($M179="","No",IF(COUNTIFS(MasterPanel!$B:$B,$H179,MasterPanel!$I:$I,$M179,MasterPanel!$K:$K,"Y")&gt;0,"Yes","No"))</f>
        <v>No</v>
      </c>
      <c r="V179" s="46" t="n">
        <f aca="false">IF($M179="",0,IF(COUNTIF('Gap Sheet'!$A$6:$A$11,TRIM($L179))=0,0,IF($O179="R1",INDEX('Gap Sheet'!$C$6:$C$11,MATCH(TRIM($L179),'Gap Sheet'!$A$6:$A$11,0)),INDEX('Gap Sheet'!$G$6:$G$11,MATCH(TRIM($L179),'Gap Sheet'!$A$6:$A$11,0)))))</f>
        <v>0</v>
      </c>
      <c r="W179" s="46" t="str">
        <f aca="false">IF($M179="","",$M179&amp;"|"&amp;$O179)</f>
        <v/>
      </c>
      <c r="X179" s="46" t="n">
        <f aca="false">IF($W179="",0,COUNTIF($AA$4:$AA178,$W179))</f>
        <v>0</v>
      </c>
      <c r="Y179" s="46" t="str">
        <f aca="false">IF(OR($I179&lt;&gt;"Yes, I'm available for in-person interviews at Chennai",$E179&lt;&gt;"Yes",$T179="Yes",$U179&lt;&gt;"Yes"),"No",IF(($V179-$X179)&gt;0,"Yes","No"))</f>
        <v>No</v>
      </c>
      <c r="Z179" s="46" t="str">
        <f aca="false">IF($T179="Yes","Primary",IF($Y179="Yes","Secondary",""))</f>
        <v/>
      </c>
      <c r="AA179" s="46" t="str">
        <f aca="false">IF($Z179="Primary",$R179,IF($Z179="Secondary",$W179,""))</f>
        <v/>
      </c>
      <c r="AB179" s="46" t="str">
        <f aca="false">IF($Z179="Primary","Matched on primary skill",IF($Z179="Secondary","Matched on secondary skill (primary not approved or not required)",""))</f>
        <v/>
      </c>
      <c r="AC179" s="47" t="str">
        <f aca="false">IF($D179="Panel Details",$F179,"")</f>
        <v/>
      </c>
      <c r="AD179" s="46" t="str">
        <f aca="false">IF($D179="Panel Details",'Survey Response'!$D177,"")</f>
        <v/>
      </c>
      <c r="AE179" s="46" t="str">
        <f aca="false">IF($D179="Panel Details",'Survey Response'!$E177,"")</f>
        <v/>
      </c>
      <c r="AF179" s="46" t="str">
        <f aca="false">IF($D179="Panel Details",'Survey Response'!$G177,"")</f>
        <v/>
      </c>
      <c r="AG179" s="46" t="str">
        <f aca="false">IF($D179="Panel Details",IF($Z179="Primary",$J179,$L179),"")</f>
        <v/>
      </c>
      <c r="AH179" s="46" t="str">
        <f aca="false">IF($D179="Panel Details",IF($Z179="Primary",$L179,$J179),"")</f>
        <v/>
      </c>
      <c r="AI179" s="46" t="str">
        <f aca="false">IF($D179="Panel Details",'Survey Response'!$H177,"")</f>
        <v/>
      </c>
      <c r="AJ179" s="46" t="str">
        <f aca="false">IF($D179="Panel Details",'Survey Response'!$M177,"")</f>
        <v/>
      </c>
      <c r="AK179" s="46" t="str">
        <f aca="false">IF($D179="Panel Details",$O179,"")</f>
        <v/>
      </c>
      <c r="AL179" s="46" t="str">
        <f aca="false">IF($D179="Panel Details",8,"")</f>
        <v/>
      </c>
      <c r="AM179" s="46" t="str">
        <f aca="false">IF($D179="Panel Details",$AB179,"")</f>
        <v/>
      </c>
      <c r="AN179" s="46" t="str">
        <f aca="false">IF($D179="Panel Details","Yes","")</f>
        <v/>
      </c>
      <c r="AO179" s="46"/>
      <c r="AP179" s="46" t="str">
        <f aca="false">IF($D179="Followup",'Survey Response'!$D177,"")</f>
        <v/>
      </c>
      <c r="AQ179" s="46" t="str">
        <f aca="false">IF($D179="Followup",'Survey Response'!$E177,"")</f>
        <v/>
      </c>
      <c r="AR179" s="46" t="str">
        <f aca="false">IF($D179="Followup",'Survey Response'!$G177,"")</f>
        <v/>
      </c>
      <c r="AS179" s="46" t="str">
        <f aca="false">IF($D179="Followup",'Survey Response'!$H177,"")</f>
        <v/>
      </c>
      <c r="AT179" s="46" t="str">
        <f aca="false">IF($D179="Followup",'Survey Response'!$M177,"")</f>
        <v/>
      </c>
      <c r="AU179" s="46" t="str">
        <f aca="false">IF($D179="Followup",'Survey Response'!$K177,"")</f>
        <v/>
      </c>
      <c r="AV179" s="46" t="str">
        <f aca="false">IF($D179="Followup",'Survey Response'!$L177,"")</f>
        <v/>
      </c>
      <c r="AW179" s="46" t="str">
        <f aca="false">IF($D179="Followup",IF(AND($P179&lt;&gt;"Yes",$U179&lt;&gt;"Yes"),"Not approved for primary or secondary skill","Approved, but skill(s) no longer have capacity (fully staffed)"),"")</f>
        <v/>
      </c>
    </row>
    <row r="180" customFormat="false" ht="15" hidden="false" customHeight="true" outlineLevel="0" collapsed="false">
      <c r="A180" s="46" t="str">
        <f aca="false">IF('Survey Response'!$D178="","",'Survey Response'!$A178&amp;"|"&amp;LOWER(TRIM('Survey Response'!$D178)))</f>
        <v/>
      </c>
      <c r="B180" s="46" t="str">
        <f aca="false">IF($H180="","",$F180&amp;"|"&amp;$H180)</f>
        <v/>
      </c>
      <c r="C180" s="46" t="str">
        <f aca="false">IF($H180="","",$A180=$B180)</f>
        <v/>
      </c>
      <c r="D180" s="46" t="str">
        <f aca="false">IF($H180="","",IF($E180&lt;&gt;"Yes","Superseded",IF($I180&lt;&gt;"Yes, I'm available for in-person interviews at Chennai","Not Available",IF($Z180&lt;&gt;"","Panel Details","Followup"))))</f>
        <v/>
      </c>
      <c r="E180" s="46" t="str">
        <f aca="false">IF($H180="","",IF(SUMPRODUCT(($H$4:$H$503=$H180)*(($G$4:$G$503&gt;$G180)+($G$4:$G$503=$G180)*($F$4:$F$503&gt;$F180)))=0,"Yes","No"))</f>
        <v/>
      </c>
      <c r="F180" s="47" t="str">
        <f aca="false">IF('Survey Response'!$D178="","",INT('Survey Response'!$A178))</f>
        <v/>
      </c>
      <c r="G180" s="46" t="str">
        <f aca="false">IF('Survey Response'!$D178="","",'Survey Response'!$C178)</f>
        <v/>
      </c>
      <c r="H180" s="46" t="str">
        <f aca="false">IF('Survey Response'!$D178="","",LOWER(TRIM('Survey Response'!$D178)))</f>
        <v/>
      </c>
      <c r="I180" s="46" t="str">
        <f aca="false">IF($H180="","",'Survey Response'!$I178)</f>
        <v/>
      </c>
      <c r="J180" s="46" t="str">
        <f aca="false">IF($H180="","",'Survey Response'!$K178)</f>
        <v/>
      </c>
      <c r="K180" s="46" t="str">
        <f aca="false">IF($J180="","",IF(COUNTIF('Skill Mapping'!$A$2:$A$7,TRIM($J180))=0,"",INDEX('Skill Mapping'!$B$2:$B$7,MATCH(TRIM($J180),'Skill Mapping'!$A$2:$A$7,0))))</f>
        <v/>
      </c>
      <c r="L180" s="46" t="str">
        <f aca="false">IF($H180="","",'Survey Response'!$L178)</f>
        <v/>
      </c>
      <c r="M180" s="46" t="str">
        <f aca="false">IF($L180="","",IF(COUNTIF('Skill Mapping'!$A$2:$A$7,TRIM($L180))=0,"",INDEX('Skill Mapping'!$B$2:$B$7,MATCH(TRIM($L180),'Skill Mapping'!$A$2:$A$7,0))))</f>
        <v/>
      </c>
      <c r="N180" s="46" t="str">
        <f aca="false">IF($H180="","",'Survey Response'!$M178)</f>
        <v/>
      </c>
      <c r="O180" s="46" t="str">
        <f aca="false">IF($H180="","",IF('Survey Response'!$M178="Manager","R2","R1"))</f>
        <v/>
      </c>
      <c r="P180" s="46" t="str">
        <f aca="false">IF($K180="","No",IF(COUNTIFS(MasterPanel!$B:$B,$H180,MasterPanel!$I:$I,$K180,MasterPanel!$K:$K,"Y")&gt;0,"Yes","No"))</f>
        <v>No</v>
      </c>
      <c r="Q180" s="46" t="n">
        <f aca="false">IF($K180="",0,IF(COUNTIF('Gap Sheet'!$A$6:$A$11,TRIM($J180))=0,0,IF($O180="R1",INDEX('Gap Sheet'!$C$6:$C$11,MATCH(TRIM($J180),'Gap Sheet'!$A$6:$A$11,0)),INDEX('Gap Sheet'!$G$6:$G$11,MATCH(TRIM($J180),'Gap Sheet'!$A$6:$A$11,0)))))</f>
        <v>0</v>
      </c>
      <c r="R180" s="46" t="str">
        <f aca="false">IF($K180="","",$K180&amp;"|"&amp;$O180)</f>
        <v/>
      </c>
      <c r="S180" s="46" t="n">
        <f aca="false">IF($R180="",0,COUNTIF($AA$4:$AA179,$R180))</f>
        <v>0</v>
      </c>
      <c r="T180" s="46" t="str">
        <f aca="false">IF(OR($I180&lt;&gt;"Yes, I'm available for in-person interviews at Chennai",$E180&lt;&gt;"Yes",$P180&lt;&gt;"Yes"),"No",IF(($Q180-$S180)&gt;0,"Yes","No"))</f>
        <v>No</v>
      </c>
      <c r="U180" s="46" t="str">
        <f aca="false">IF($M180="","No",IF(COUNTIFS(MasterPanel!$B:$B,$H180,MasterPanel!$I:$I,$M180,MasterPanel!$K:$K,"Y")&gt;0,"Yes","No"))</f>
        <v>No</v>
      </c>
      <c r="V180" s="46" t="n">
        <f aca="false">IF($M180="",0,IF(COUNTIF('Gap Sheet'!$A$6:$A$11,TRIM($L180))=0,0,IF($O180="R1",INDEX('Gap Sheet'!$C$6:$C$11,MATCH(TRIM($L180),'Gap Sheet'!$A$6:$A$11,0)),INDEX('Gap Sheet'!$G$6:$G$11,MATCH(TRIM($L180),'Gap Sheet'!$A$6:$A$11,0)))))</f>
        <v>0</v>
      </c>
      <c r="W180" s="46" t="str">
        <f aca="false">IF($M180="","",$M180&amp;"|"&amp;$O180)</f>
        <v/>
      </c>
      <c r="X180" s="46" t="n">
        <f aca="false">IF($W180="",0,COUNTIF($AA$4:$AA179,$W180))</f>
        <v>0</v>
      </c>
      <c r="Y180" s="46" t="str">
        <f aca="false">IF(OR($I180&lt;&gt;"Yes, I'm available for in-person interviews at Chennai",$E180&lt;&gt;"Yes",$T180="Yes",$U180&lt;&gt;"Yes"),"No",IF(($V180-$X180)&gt;0,"Yes","No"))</f>
        <v>No</v>
      </c>
      <c r="Z180" s="46" t="str">
        <f aca="false">IF($T180="Yes","Primary",IF($Y180="Yes","Secondary",""))</f>
        <v/>
      </c>
      <c r="AA180" s="46" t="str">
        <f aca="false">IF($Z180="Primary",$R180,IF($Z180="Secondary",$W180,""))</f>
        <v/>
      </c>
      <c r="AB180" s="46" t="str">
        <f aca="false">IF($Z180="Primary","Matched on primary skill",IF($Z180="Secondary","Matched on secondary skill (primary not approved or not required)",""))</f>
        <v/>
      </c>
      <c r="AC180" s="47" t="str">
        <f aca="false">IF($D180="Panel Details",$F180,"")</f>
        <v/>
      </c>
      <c r="AD180" s="46" t="str">
        <f aca="false">IF($D180="Panel Details",'Survey Response'!$D178,"")</f>
        <v/>
      </c>
      <c r="AE180" s="46" t="str">
        <f aca="false">IF($D180="Panel Details",'Survey Response'!$E178,"")</f>
        <v/>
      </c>
      <c r="AF180" s="46" t="str">
        <f aca="false">IF($D180="Panel Details",'Survey Response'!$G178,"")</f>
        <v/>
      </c>
      <c r="AG180" s="46" t="str">
        <f aca="false">IF($D180="Panel Details",IF($Z180="Primary",$J180,$L180),"")</f>
        <v/>
      </c>
      <c r="AH180" s="46" t="str">
        <f aca="false">IF($D180="Panel Details",IF($Z180="Primary",$L180,$J180),"")</f>
        <v/>
      </c>
      <c r="AI180" s="46" t="str">
        <f aca="false">IF($D180="Panel Details",'Survey Response'!$H178,"")</f>
        <v/>
      </c>
      <c r="AJ180" s="46" t="str">
        <f aca="false">IF($D180="Panel Details",'Survey Response'!$M178,"")</f>
        <v/>
      </c>
      <c r="AK180" s="46" t="str">
        <f aca="false">IF($D180="Panel Details",$O180,"")</f>
        <v/>
      </c>
      <c r="AL180" s="46" t="str">
        <f aca="false">IF($D180="Panel Details",8,"")</f>
        <v/>
      </c>
      <c r="AM180" s="46" t="str">
        <f aca="false">IF($D180="Panel Details",$AB180,"")</f>
        <v/>
      </c>
      <c r="AN180" s="46" t="str">
        <f aca="false">IF($D180="Panel Details","Yes","")</f>
        <v/>
      </c>
      <c r="AO180" s="46"/>
      <c r="AP180" s="46" t="str">
        <f aca="false">IF($D180="Followup",'Survey Response'!$D178,"")</f>
        <v/>
      </c>
      <c r="AQ180" s="46" t="str">
        <f aca="false">IF($D180="Followup",'Survey Response'!$E178,"")</f>
        <v/>
      </c>
      <c r="AR180" s="46" t="str">
        <f aca="false">IF($D180="Followup",'Survey Response'!$G178,"")</f>
        <v/>
      </c>
      <c r="AS180" s="46" t="str">
        <f aca="false">IF($D180="Followup",'Survey Response'!$H178,"")</f>
        <v/>
      </c>
      <c r="AT180" s="46" t="str">
        <f aca="false">IF($D180="Followup",'Survey Response'!$M178,"")</f>
        <v/>
      </c>
      <c r="AU180" s="46" t="str">
        <f aca="false">IF($D180="Followup",'Survey Response'!$K178,"")</f>
        <v/>
      </c>
      <c r="AV180" s="46" t="str">
        <f aca="false">IF($D180="Followup",'Survey Response'!$L178,"")</f>
        <v/>
      </c>
      <c r="AW180" s="46" t="str">
        <f aca="false">IF($D180="Followup",IF(AND($P180&lt;&gt;"Yes",$U180&lt;&gt;"Yes"),"Not approved for primary or secondary skill","Approved, but skill(s) no longer have capacity (fully staffed)"),"")</f>
        <v/>
      </c>
    </row>
    <row r="181" customFormat="false" ht="15" hidden="false" customHeight="true" outlineLevel="0" collapsed="false">
      <c r="A181" s="46" t="str">
        <f aca="false">IF('Survey Response'!$D179="","",'Survey Response'!$A179&amp;"|"&amp;LOWER(TRIM('Survey Response'!$D179)))</f>
        <v/>
      </c>
      <c r="B181" s="46" t="str">
        <f aca="false">IF($H181="","",$F181&amp;"|"&amp;$H181)</f>
        <v/>
      </c>
      <c r="C181" s="46" t="str">
        <f aca="false">IF($H181="","",$A181=$B181)</f>
        <v/>
      </c>
      <c r="D181" s="46" t="str">
        <f aca="false">IF($H181="","",IF($E181&lt;&gt;"Yes","Superseded",IF($I181&lt;&gt;"Yes, I'm available for in-person interviews at Chennai","Not Available",IF($Z181&lt;&gt;"","Panel Details","Followup"))))</f>
        <v/>
      </c>
      <c r="E181" s="46" t="str">
        <f aca="false">IF($H181="","",IF(SUMPRODUCT(($H$4:$H$503=$H181)*(($G$4:$G$503&gt;$G181)+($G$4:$G$503=$G181)*($F$4:$F$503&gt;$F181)))=0,"Yes","No"))</f>
        <v/>
      </c>
      <c r="F181" s="47" t="str">
        <f aca="false">IF('Survey Response'!$D179="","",INT('Survey Response'!$A179))</f>
        <v/>
      </c>
      <c r="G181" s="46" t="str">
        <f aca="false">IF('Survey Response'!$D179="","",'Survey Response'!$C179)</f>
        <v/>
      </c>
      <c r="H181" s="46" t="str">
        <f aca="false">IF('Survey Response'!$D179="","",LOWER(TRIM('Survey Response'!$D179)))</f>
        <v/>
      </c>
      <c r="I181" s="46" t="str">
        <f aca="false">IF($H181="","",'Survey Response'!$I179)</f>
        <v/>
      </c>
      <c r="J181" s="46" t="str">
        <f aca="false">IF($H181="","",'Survey Response'!$K179)</f>
        <v/>
      </c>
      <c r="K181" s="46" t="str">
        <f aca="false">IF($J181="","",IF(COUNTIF('Skill Mapping'!$A$2:$A$7,TRIM($J181))=0,"",INDEX('Skill Mapping'!$B$2:$B$7,MATCH(TRIM($J181),'Skill Mapping'!$A$2:$A$7,0))))</f>
        <v/>
      </c>
      <c r="L181" s="46" t="str">
        <f aca="false">IF($H181="","",'Survey Response'!$L179)</f>
        <v/>
      </c>
      <c r="M181" s="46" t="str">
        <f aca="false">IF($L181="","",IF(COUNTIF('Skill Mapping'!$A$2:$A$7,TRIM($L181))=0,"",INDEX('Skill Mapping'!$B$2:$B$7,MATCH(TRIM($L181),'Skill Mapping'!$A$2:$A$7,0))))</f>
        <v/>
      </c>
      <c r="N181" s="46" t="str">
        <f aca="false">IF($H181="","",'Survey Response'!$M179)</f>
        <v/>
      </c>
      <c r="O181" s="46" t="str">
        <f aca="false">IF($H181="","",IF('Survey Response'!$M179="Manager","R2","R1"))</f>
        <v/>
      </c>
      <c r="P181" s="46" t="str">
        <f aca="false">IF($K181="","No",IF(COUNTIFS(MasterPanel!$B:$B,$H181,MasterPanel!$I:$I,$K181,MasterPanel!$K:$K,"Y")&gt;0,"Yes","No"))</f>
        <v>No</v>
      </c>
      <c r="Q181" s="46" t="n">
        <f aca="false">IF($K181="",0,IF(COUNTIF('Gap Sheet'!$A$6:$A$11,TRIM($J181))=0,0,IF($O181="R1",INDEX('Gap Sheet'!$C$6:$C$11,MATCH(TRIM($J181),'Gap Sheet'!$A$6:$A$11,0)),INDEX('Gap Sheet'!$G$6:$G$11,MATCH(TRIM($J181),'Gap Sheet'!$A$6:$A$11,0)))))</f>
        <v>0</v>
      </c>
      <c r="R181" s="46" t="str">
        <f aca="false">IF($K181="","",$K181&amp;"|"&amp;$O181)</f>
        <v/>
      </c>
      <c r="S181" s="46" t="n">
        <f aca="false">IF($R181="",0,COUNTIF($AA$4:$AA180,$R181))</f>
        <v>0</v>
      </c>
      <c r="T181" s="46" t="str">
        <f aca="false">IF(OR($I181&lt;&gt;"Yes, I'm available for in-person interviews at Chennai",$E181&lt;&gt;"Yes",$P181&lt;&gt;"Yes"),"No",IF(($Q181-$S181)&gt;0,"Yes","No"))</f>
        <v>No</v>
      </c>
      <c r="U181" s="46" t="str">
        <f aca="false">IF($M181="","No",IF(COUNTIFS(MasterPanel!$B:$B,$H181,MasterPanel!$I:$I,$M181,MasterPanel!$K:$K,"Y")&gt;0,"Yes","No"))</f>
        <v>No</v>
      </c>
      <c r="V181" s="46" t="n">
        <f aca="false">IF($M181="",0,IF(COUNTIF('Gap Sheet'!$A$6:$A$11,TRIM($L181))=0,0,IF($O181="R1",INDEX('Gap Sheet'!$C$6:$C$11,MATCH(TRIM($L181),'Gap Sheet'!$A$6:$A$11,0)),INDEX('Gap Sheet'!$G$6:$G$11,MATCH(TRIM($L181),'Gap Sheet'!$A$6:$A$11,0)))))</f>
        <v>0</v>
      </c>
      <c r="W181" s="46" t="str">
        <f aca="false">IF($M181="","",$M181&amp;"|"&amp;$O181)</f>
        <v/>
      </c>
      <c r="X181" s="46" t="n">
        <f aca="false">IF($W181="",0,COUNTIF($AA$4:$AA180,$W181))</f>
        <v>0</v>
      </c>
      <c r="Y181" s="46" t="str">
        <f aca="false">IF(OR($I181&lt;&gt;"Yes, I'm available for in-person interviews at Chennai",$E181&lt;&gt;"Yes",$T181="Yes",$U181&lt;&gt;"Yes"),"No",IF(($V181-$X181)&gt;0,"Yes","No"))</f>
        <v>No</v>
      </c>
      <c r="Z181" s="46" t="str">
        <f aca="false">IF($T181="Yes","Primary",IF($Y181="Yes","Secondary",""))</f>
        <v/>
      </c>
      <c r="AA181" s="46" t="str">
        <f aca="false">IF($Z181="Primary",$R181,IF($Z181="Secondary",$W181,""))</f>
        <v/>
      </c>
      <c r="AB181" s="46" t="str">
        <f aca="false">IF($Z181="Primary","Matched on primary skill",IF($Z181="Secondary","Matched on secondary skill (primary not approved or not required)",""))</f>
        <v/>
      </c>
      <c r="AC181" s="47" t="str">
        <f aca="false">IF($D181="Panel Details",$F181,"")</f>
        <v/>
      </c>
      <c r="AD181" s="46" t="str">
        <f aca="false">IF($D181="Panel Details",'Survey Response'!$D179,"")</f>
        <v/>
      </c>
      <c r="AE181" s="46" t="str">
        <f aca="false">IF($D181="Panel Details",'Survey Response'!$E179,"")</f>
        <v/>
      </c>
      <c r="AF181" s="46" t="str">
        <f aca="false">IF($D181="Panel Details",'Survey Response'!$G179,"")</f>
        <v/>
      </c>
      <c r="AG181" s="46" t="str">
        <f aca="false">IF($D181="Panel Details",IF($Z181="Primary",$J181,$L181),"")</f>
        <v/>
      </c>
      <c r="AH181" s="46" t="str">
        <f aca="false">IF($D181="Panel Details",IF($Z181="Primary",$L181,$J181),"")</f>
        <v/>
      </c>
      <c r="AI181" s="46" t="str">
        <f aca="false">IF($D181="Panel Details",'Survey Response'!$H179,"")</f>
        <v/>
      </c>
      <c r="AJ181" s="46" t="str">
        <f aca="false">IF($D181="Panel Details",'Survey Response'!$M179,"")</f>
        <v/>
      </c>
      <c r="AK181" s="46" t="str">
        <f aca="false">IF($D181="Panel Details",$O181,"")</f>
        <v/>
      </c>
      <c r="AL181" s="46" t="str">
        <f aca="false">IF($D181="Panel Details",8,"")</f>
        <v/>
      </c>
      <c r="AM181" s="46" t="str">
        <f aca="false">IF($D181="Panel Details",$AB181,"")</f>
        <v/>
      </c>
      <c r="AN181" s="46" t="str">
        <f aca="false">IF($D181="Panel Details","Yes","")</f>
        <v/>
      </c>
      <c r="AO181" s="46"/>
      <c r="AP181" s="46" t="str">
        <f aca="false">IF($D181="Followup",'Survey Response'!$D179,"")</f>
        <v/>
      </c>
      <c r="AQ181" s="46" t="str">
        <f aca="false">IF($D181="Followup",'Survey Response'!$E179,"")</f>
        <v/>
      </c>
      <c r="AR181" s="46" t="str">
        <f aca="false">IF($D181="Followup",'Survey Response'!$G179,"")</f>
        <v/>
      </c>
      <c r="AS181" s="46" t="str">
        <f aca="false">IF($D181="Followup",'Survey Response'!$H179,"")</f>
        <v/>
      </c>
      <c r="AT181" s="46" t="str">
        <f aca="false">IF($D181="Followup",'Survey Response'!$M179,"")</f>
        <v/>
      </c>
      <c r="AU181" s="46" t="str">
        <f aca="false">IF($D181="Followup",'Survey Response'!$K179,"")</f>
        <v/>
      </c>
      <c r="AV181" s="46" t="str">
        <f aca="false">IF($D181="Followup",'Survey Response'!$L179,"")</f>
        <v/>
      </c>
      <c r="AW181" s="46" t="str">
        <f aca="false">IF($D181="Followup",IF(AND($P181&lt;&gt;"Yes",$U181&lt;&gt;"Yes"),"Not approved for primary or secondary skill","Approved, but skill(s) no longer have capacity (fully staffed)"),"")</f>
        <v/>
      </c>
    </row>
    <row r="182" customFormat="false" ht="15" hidden="false" customHeight="true" outlineLevel="0" collapsed="false">
      <c r="A182" s="46" t="str">
        <f aca="false">IF('Survey Response'!$D180="","",'Survey Response'!$A180&amp;"|"&amp;LOWER(TRIM('Survey Response'!$D180)))</f>
        <v/>
      </c>
      <c r="B182" s="46" t="str">
        <f aca="false">IF($H182="","",$F182&amp;"|"&amp;$H182)</f>
        <v/>
      </c>
      <c r="C182" s="46" t="str">
        <f aca="false">IF($H182="","",$A182=$B182)</f>
        <v/>
      </c>
      <c r="D182" s="46" t="str">
        <f aca="false">IF($H182="","",IF($E182&lt;&gt;"Yes","Superseded",IF($I182&lt;&gt;"Yes, I'm available for in-person interviews at Chennai","Not Available",IF($Z182&lt;&gt;"","Panel Details","Followup"))))</f>
        <v/>
      </c>
      <c r="E182" s="46" t="str">
        <f aca="false">IF($H182="","",IF(SUMPRODUCT(($H$4:$H$503=$H182)*(($G$4:$G$503&gt;$G182)+($G$4:$G$503=$G182)*($F$4:$F$503&gt;$F182)))=0,"Yes","No"))</f>
        <v/>
      </c>
      <c r="F182" s="47" t="str">
        <f aca="false">IF('Survey Response'!$D180="","",INT('Survey Response'!$A180))</f>
        <v/>
      </c>
      <c r="G182" s="46" t="str">
        <f aca="false">IF('Survey Response'!$D180="","",'Survey Response'!$C180)</f>
        <v/>
      </c>
      <c r="H182" s="46" t="str">
        <f aca="false">IF('Survey Response'!$D180="","",LOWER(TRIM('Survey Response'!$D180)))</f>
        <v/>
      </c>
      <c r="I182" s="46" t="str">
        <f aca="false">IF($H182="","",'Survey Response'!$I180)</f>
        <v/>
      </c>
      <c r="J182" s="46" t="str">
        <f aca="false">IF($H182="","",'Survey Response'!$K180)</f>
        <v/>
      </c>
      <c r="K182" s="46" t="str">
        <f aca="false">IF($J182="","",IF(COUNTIF('Skill Mapping'!$A$2:$A$7,TRIM($J182))=0,"",INDEX('Skill Mapping'!$B$2:$B$7,MATCH(TRIM($J182),'Skill Mapping'!$A$2:$A$7,0))))</f>
        <v/>
      </c>
      <c r="L182" s="46" t="str">
        <f aca="false">IF($H182="","",'Survey Response'!$L180)</f>
        <v/>
      </c>
      <c r="M182" s="46" t="str">
        <f aca="false">IF($L182="","",IF(COUNTIF('Skill Mapping'!$A$2:$A$7,TRIM($L182))=0,"",INDEX('Skill Mapping'!$B$2:$B$7,MATCH(TRIM($L182),'Skill Mapping'!$A$2:$A$7,0))))</f>
        <v/>
      </c>
      <c r="N182" s="46" t="str">
        <f aca="false">IF($H182="","",'Survey Response'!$M180)</f>
        <v/>
      </c>
      <c r="O182" s="46" t="str">
        <f aca="false">IF($H182="","",IF('Survey Response'!$M180="Manager","R2","R1"))</f>
        <v/>
      </c>
      <c r="P182" s="46" t="str">
        <f aca="false">IF($K182="","No",IF(COUNTIFS(MasterPanel!$B:$B,$H182,MasterPanel!$I:$I,$K182,MasterPanel!$K:$K,"Y")&gt;0,"Yes","No"))</f>
        <v>No</v>
      </c>
      <c r="Q182" s="46" t="n">
        <f aca="false">IF($K182="",0,IF(COUNTIF('Gap Sheet'!$A$6:$A$11,TRIM($J182))=0,0,IF($O182="R1",INDEX('Gap Sheet'!$C$6:$C$11,MATCH(TRIM($J182),'Gap Sheet'!$A$6:$A$11,0)),INDEX('Gap Sheet'!$G$6:$G$11,MATCH(TRIM($J182),'Gap Sheet'!$A$6:$A$11,0)))))</f>
        <v>0</v>
      </c>
      <c r="R182" s="46" t="str">
        <f aca="false">IF($K182="","",$K182&amp;"|"&amp;$O182)</f>
        <v/>
      </c>
      <c r="S182" s="46" t="n">
        <f aca="false">IF($R182="",0,COUNTIF($AA$4:$AA181,$R182))</f>
        <v>0</v>
      </c>
      <c r="T182" s="46" t="str">
        <f aca="false">IF(OR($I182&lt;&gt;"Yes, I'm available for in-person interviews at Chennai",$E182&lt;&gt;"Yes",$P182&lt;&gt;"Yes"),"No",IF(($Q182-$S182)&gt;0,"Yes","No"))</f>
        <v>No</v>
      </c>
      <c r="U182" s="46" t="str">
        <f aca="false">IF($M182="","No",IF(COUNTIFS(MasterPanel!$B:$B,$H182,MasterPanel!$I:$I,$M182,MasterPanel!$K:$K,"Y")&gt;0,"Yes","No"))</f>
        <v>No</v>
      </c>
      <c r="V182" s="46" t="n">
        <f aca="false">IF($M182="",0,IF(COUNTIF('Gap Sheet'!$A$6:$A$11,TRIM($L182))=0,0,IF($O182="R1",INDEX('Gap Sheet'!$C$6:$C$11,MATCH(TRIM($L182),'Gap Sheet'!$A$6:$A$11,0)),INDEX('Gap Sheet'!$G$6:$G$11,MATCH(TRIM($L182),'Gap Sheet'!$A$6:$A$11,0)))))</f>
        <v>0</v>
      </c>
      <c r="W182" s="46" t="str">
        <f aca="false">IF($M182="","",$M182&amp;"|"&amp;$O182)</f>
        <v/>
      </c>
      <c r="X182" s="46" t="n">
        <f aca="false">IF($W182="",0,COUNTIF($AA$4:$AA181,$W182))</f>
        <v>0</v>
      </c>
      <c r="Y182" s="46" t="str">
        <f aca="false">IF(OR($I182&lt;&gt;"Yes, I'm available for in-person interviews at Chennai",$E182&lt;&gt;"Yes",$T182="Yes",$U182&lt;&gt;"Yes"),"No",IF(($V182-$X182)&gt;0,"Yes","No"))</f>
        <v>No</v>
      </c>
      <c r="Z182" s="46" t="str">
        <f aca="false">IF($T182="Yes","Primary",IF($Y182="Yes","Secondary",""))</f>
        <v/>
      </c>
      <c r="AA182" s="46" t="str">
        <f aca="false">IF($Z182="Primary",$R182,IF($Z182="Secondary",$W182,""))</f>
        <v/>
      </c>
      <c r="AB182" s="46" t="str">
        <f aca="false">IF($Z182="Primary","Matched on primary skill",IF($Z182="Secondary","Matched on secondary skill (primary not approved or not required)",""))</f>
        <v/>
      </c>
      <c r="AC182" s="47" t="str">
        <f aca="false">IF($D182="Panel Details",$F182,"")</f>
        <v/>
      </c>
      <c r="AD182" s="46" t="str">
        <f aca="false">IF($D182="Panel Details",'Survey Response'!$D180,"")</f>
        <v/>
      </c>
      <c r="AE182" s="46" t="str">
        <f aca="false">IF($D182="Panel Details",'Survey Response'!$E180,"")</f>
        <v/>
      </c>
      <c r="AF182" s="46" t="str">
        <f aca="false">IF($D182="Panel Details",'Survey Response'!$G180,"")</f>
        <v/>
      </c>
      <c r="AG182" s="46" t="str">
        <f aca="false">IF($D182="Panel Details",IF($Z182="Primary",$J182,$L182),"")</f>
        <v/>
      </c>
      <c r="AH182" s="46" t="str">
        <f aca="false">IF($D182="Panel Details",IF($Z182="Primary",$L182,$J182),"")</f>
        <v/>
      </c>
      <c r="AI182" s="46" t="str">
        <f aca="false">IF($D182="Panel Details",'Survey Response'!$H180,"")</f>
        <v/>
      </c>
      <c r="AJ182" s="46" t="str">
        <f aca="false">IF($D182="Panel Details",'Survey Response'!$M180,"")</f>
        <v/>
      </c>
      <c r="AK182" s="46" t="str">
        <f aca="false">IF($D182="Panel Details",$O182,"")</f>
        <v/>
      </c>
      <c r="AL182" s="46" t="str">
        <f aca="false">IF($D182="Panel Details",8,"")</f>
        <v/>
      </c>
      <c r="AM182" s="46" t="str">
        <f aca="false">IF($D182="Panel Details",$AB182,"")</f>
        <v/>
      </c>
      <c r="AN182" s="46" t="str">
        <f aca="false">IF($D182="Panel Details","Yes","")</f>
        <v/>
      </c>
      <c r="AO182" s="46"/>
      <c r="AP182" s="46" t="str">
        <f aca="false">IF($D182="Followup",'Survey Response'!$D180,"")</f>
        <v/>
      </c>
      <c r="AQ182" s="46" t="str">
        <f aca="false">IF($D182="Followup",'Survey Response'!$E180,"")</f>
        <v/>
      </c>
      <c r="AR182" s="46" t="str">
        <f aca="false">IF($D182="Followup",'Survey Response'!$G180,"")</f>
        <v/>
      </c>
      <c r="AS182" s="46" t="str">
        <f aca="false">IF($D182="Followup",'Survey Response'!$H180,"")</f>
        <v/>
      </c>
      <c r="AT182" s="46" t="str">
        <f aca="false">IF($D182="Followup",'Survey Response'!$M180,"")</f>
        <v/>
      </c>
      <c r="AU182" s="46" t="str">
        <f aca="false">IF($D182="Followup",'Survey Response'!$K180,"")</f>
        <v/>
      </c>
      <c r="AV182" s="46" t="str">
        <f aca="false">IF($D182="Followup",'Survey Response'!$L180,"")</f>
        <v/>
      </c>
      <c r="AW182" s="46" t="str">
        <f aca="false">IF($D182="Followup",IF(AND($P182&lt;&gt;"Yes",$U182&lt;&gt;"Yes"),"Not approved for primary or secondary skill","Approved, but skill(s) no longer have capacity (fully staffed)"),"")</f>
        <v/>
      </c>
    </row>
    <row r="183" customFormat="false" ht="15" hidden="false" customHeight="true" outlineLevel="0" collapsed="false">
      <c r="A183" s="46" t="str">
        <f aca="false">IF('Survey Response'!$D181="","",'Survey Response'!$A181&amp;"|"&amp;LOWER(TRIM('Survey Response'!$D181)))</f>
        <v/>
      </c>
      <c r="B183" s="46" t="str">
        <f aca="false">IF($H183="","",$F183&amp;"|"&amp;$H183)</f>
        <v/>
      </c>
      <c r="C183" s="46" t="str">
        <f aca="false">IF($H183="","",$A183=$B183)</f>
        <v/>
      </c>
      <c r="D183" s="46" t="str">
        <f aca="false">IF($H183="","",IF($E183&lt;&gt;"Yes","Superseded",IF($I183&lt;&gt;"Yes, I'm available for in-person interviews at Chennai","Not Available",IF($Z183&lt;&gt;"","Panel Details","Followup"))))</f>
        <v/>
      </c>
      <c r="E183" s="46" t="str">
        <f aca="false">IF($H183="","",IF(SUMPRODUCT(($H$4:$H$503=$H183)*(($G$4:$G$503&gt;$G183)+($G$4:$G$503=$G183)*($F$4:$F$503&gt;$F183)))=0,"Yes","No"))</f>
        <v/>
      </c>
      <c r="F183" s="47" t="str">
        <f aca="false">IF('Survey Response'!$D181="","",INT('Survey Response'!$A181))</f>
        <v/>
      </c>
      <c r="G183" s="46" t="str">
        <f aca="false">IF('Survey Response'!$D181="","",'Survey Response'!$C181)</f>
        <v/>
      </c>
      <c r="H183" s="46" t="str">
        <f aca="false">IF('Survey Response'!$D181="","",LOWER(TRIM('Survey Response'!$D181)))</f>
        <v/>
      </c>
      <c r="I183" s="46" t="str">
        <f aca="false">IF($H183="","",'Survey Response'!$I181)</f>
        <v/>
      </c>
      <c r="J183" s="46" t="str">
        <f aca="false">IF($H183="","",'Survey Response'!$K181)</f>
        <v/>
      </c>
      <c r="K183" s="46" t="str">
        <f aca="false">IF($J183="","",IF(COUNTIF('Skill Mapping'!$A$2:$A$7,TRIM($J183))=0,"",INDEX('Skill Mapping'!$B$2:$B$7,MATCH(TRIM($J183),'Skill Mapping'!$A$2:$A$7,0))))</f>
        <v/>
      </c>
      <c r="L183" s="46" t="str">
        <f aca="false">IF($H183="","",'Survey Response'!$L181)</f>
        <v/>
      </c>
      <c r="M183" s="46" t="str">
        <f aca="false">IF($L183="","",IF(COUNTIF('Skill Mapping'!$A$2:$A$7,TRIM($L183))=0,"",INDEX('Skill Mapping'!$B$2:$B$7,MATCH(TRIM($L183),'Skill Mapping'!$A$2:$A$7,0))))</f>
        <v/>
      </c>
      <c r="N183" s="46" t="str">
        <f aca="false">IF($H183="","",'Survey Response'!$M181)</f>
        <v/>
      </c>
      <c r="O183" s="46" t="str">
        <f aca="false">IF($H183="","",IF('Survey Response'!$M181="Manager","R2","R1"))</f>
        <v/>
      </c>
      <c r="P183" s="46" t="str">
        <f aca="false">IF($K183="","No",IF(COUNTIFS(MasterPanel!$B:$B,$H183,MasterPanel!$I:$I,$K183,MasterPanel!$K:$K,"Y")&gt;0,"Yes","No"))</f>
        <v>No</v>
      </c>
      <c r="Q183" s="46" t="n">
        <f aca="false">IF($K183="",0,IF(COUNTIF('Gap Sheet'!$A$6:$A$11,TRIM($J183))=0,0,IF($O183="R1",INDEX('Gap Sheet'!$C$6:$C$11,MATCH(TRIM($J183),'Gap Sheet'!$A$6:$A$11,0)),INDEX('Gap Sheet'!$G$6:$G$11,MATCH(TRIM($J183),'Gap Sheet'!$A$6:$A$11,0)))))</f>
        <v>0</v>
      </c>
      <c r="R183" s="46" t="str">
        <f aca="false">IF($K183="","",$K183&amp;"|"&amp;$O183)</f>
        <v/>
      </c>
      <c r="S183" s="46" t="n">
        <f aca="false">IF($R183="",0,COUNTIF($AA$4:$AA182,$R183))</f>
        <v>0</v>
      </c>
      <c r="T183" s="46" t="str">
        <f aca="false">IF(OR($I183&lt;&gt;"Yes, I'm available for in-person interviews at Chennai",$E183&lt;&gt;"Yes",$P183&lt;&gt;"Yes"),"No",IF(($Q183-$S183)&gt;0,"Yes","No"))</f>
        <v>No</v>
      </c>
      <c r="U183" s="46" t="str">
        <f aca="false">IF($M183="","No",IF(COUNTIFS(MasterPanel!$B:$B,$H183,MasterPanel!$I:$I,$M183,MasterPanel!$K:$K,"Y")&gt;0,"Yes","No"))</f>
        <v>No</v>
      </c>
      <c r="V183" s="46" t="n">
        <f aca="false">IF($M183="",0,IF(COUNTIF('Gap Sheet'!$A$6:$A$11,TRIM($L183))=0,0,IF($O183="R1",INDEX('Gap Sheet'!$C$6:$C$11,MATCH(TRIM($L183),'Gap Sheet'!$A$6:$A$11,0)),INDEX('Gap Sheet'!$G$6:$G$11,MATCH(TRIM($L183),'Gap Sheet'!$A$6:$A$11,0)))))</f>
        <v>0</v>
      </c>
      <c r="W183" s="46" t="str">
        <f aca="false">IF($M183="","",$M183&amp;"|"&amp;$O183)</f>
        <v/>
      </c>
      <c r="X183" s="46" t="n">
        <f aca="false">IF($W183="",0,COUNTIF($AA$4:$AA182,$W183))</f>
        <v>0</v>
      </c>
      <c r="Y183" s="46" t="str">
        <f aca="false">IF(OR($I183&lt;&gt;"Yes, I'm available for in-person interviews at Chennai",$E183&lt;&gt;"Yes",$T183="Yes",$U183&lt;&gt;"Yes"),"No",IF(($V183-$X183)&gt;0,"Yes","No"))</f>
        <v>No</v>
      </c>
      <c r="Z183" s="46" t="str">
        <f aca="false">IF($T183="Yes","Primary",IF($Y183="Yes","Secondary",""))</f>
        <v/>
      </c>
      <c r="AA183" s="46" t="str">
        <f aca="false">IF($Z183="Primary",$R183,IF($Z183="Secondary",$W183,""))</f>
        <v/>
      </c>
      <c r="AB183" s="46" t="str">
        <f aca="false">IF($Z183="Primary","Matched on primary skill",IF($Z183="Secondary","Matched on secondary skill (primary not approved or not required)",""))</f>
        <v/>
      </c>
      <c r="AC183" s="47" t="str">
        <f aca="false">IF($D183="Panel Details",$F183,"")</f>
        <v/>
      </c>
      <c r="AD183" s="46" t="str">
        <f aca="false">IF($D183="Panel Details",'Survey Response'!$D181,"")</f>
        <v/>
      </c>
      <c r="AE183" s="46" t="str">
        <f aca="false">IF($D183="Panel Details",'Survey Response'!$E181,"")</f>
        <v/>
      </c>
      <c r="AF183" s="46" t="str">
        <f aca="false">IF($D183="Panel Details",'Survey Response'!$G181,"")</f>
        <v/>
      </c>
      <c r="AG183" s="46" t="str">
        <f aca="false">IF($D183="Panel Details",IF($Z183="Primary",$J183,$L183),"")</f>
        <v/>
      </c>
      <c r="AH183" s="46" t="str">
        <f aca="false">IF($D183="Panel Details",IF($Z183="Primary",$L183,$J183),"")</f>
        <v/>
      </c>
      <c r="AI183" s="46" t="str">
        <f aca="false">IF($D183="Panel Details",'Survey Response'!$H181,"")</f>
        <v/>
      </c>
      <c r="AJ183" s="46" t="str">
        <f aca="false">IF($D183="Panel Details",'Survey Response'!$M181,"")</f>
        <v/>
      </c>
      <c r="AK183" s="46" t="str">
        <f aca="false">IF($D183="Panel Details",$O183,"")</f>
        <v/>
      </c>
      <c r="AL183" s="46" t="str">
        <f aca="false">IF($D183="Panel Details",8,"")</f>
        <v/>
      </c>
      <c r="AM183" s="46" t="str">
        <f aca="false">IF($D183="Panel Details",$AB183,"")</f>
        <v/>
      </c>
      <c r="AN183" s="46" t="str">
        <f aca="false">IF($D183="Panel Details","Yes","")</f>
        <v/>
      </c>
      <c r="AO183" s="46"/>
      <c r="AP183" s="46" t="str">
        <f aca="false">IF($D183="Followup",'Survey Response'!$D181,"")</f>
        <v/>
      </c>
      <c r="AQ183" s="46" t="str">
        <f aca="false">IF($D183="Followup",'Survey Response'!$E181,"")</f>
        <v/>
      </c>
      <c r="AR183" s="46" t="str">
        <f aca="false">IF($D183="Followup",'Survey Response'!$G181,"")</f>
        <v/>
      </c>
      <c r="AS183" s="46" t="str">
        <f aca="false">IF($D183="Followup",'Survey Response'!$H181,"")</f>
        <v/>
      </c>
      <c r="AT183" s="46" t="str">
        <f aca="false">IF($D183="Followup",'Survey Response'!$M181,"")</f>
        <v/>
      </c>
      <c r="AU183" s="46" t="str">
        <f aca="false">IF($D183="Followup",'Survey Response'!$K181,"")</f>
        <v/>
      </c>
      <c r="AV183" s="46" t="str">
        <f aca="false">IF($D183="Followup",'Survey Response'!$L181,"")</f>
        <v/>
      </c>
      <c r="AW183" s="46" t="str">
        <f aca="false">IF($D183="Followup",IF(AND($P183&lt;&gt;"Yes",$U183&lt;&gt;"Yes"),"Not approved for primary or secondary skill","Approved, but skill(s) no longer have capacity (fully staffed)"),"")</f>
        <v/>
      </c>
    </row>
    <row r="184" customFormat="false" ht="15" hidden="false" customHeight="true" outlineLevel="0" collapsed="false">
      <c r="A184" s="46" t="str">
        <f aca="false">IF('Survey Response'!$D182="","",'Survey Response'!$A182&amp;"|"&amp;LOWER(TRIM('Survey Response'!$D182)))</f>
        <v/>
      </c>
      <c r="B184" s="46" t="str">
        <f aca="false">IF($H184="","",$F184&amp;"|"&amp;$H184)</f>
        <v/>
      </c>
      <c r="C184" s="46" t="str">
        <f aca="false">IF($H184="","",$A184=$B184)</f>
        <v/>
      </c>
      <c r="D184" s="46" t="str">
        <f aca="false">IF($H184="","",IF($E184&lt;&gt;"Yes","Superseded",IF($I184&lt;&gt;"Yes, I'm available for in-person interviews at Chennai","Not Available",IF($Z184&lt;&gt;"","Panel Details","Followup"))))</f>
        <v/>
      </c>
      <c r="E184" s="46" t="str">
        <f aca="false">IF($H184="","",IF(SUMPRODUCT(($H$4:$H$503=$H184)*(($G$4:$G$503&gt;$G184)+($G$4:$G$503=$G184)*($F$4:$F$503&gt;$F184)))=0,"Yes","No"))</f>
        <v/>
      </c>
      <c r="F184" s="47" t="str">
        <f aca="false">IF('Survey Response'!$D182="","",INT('Survey Response'!$A182))</f>
        <v/>
      </c>
      <c r="G184" s="46" t="str">
        <f aca="false">IF('Survey Response'!$D182="","",'Survey Response'!$C182)</f>
        <v/>
      </c>
      <c r="H184" s="46" t="str">
        <f aca="false">IF('Survey Response'!$D182="","",LOWER(TRIM('Survey Response'!$D182)))</f>
        <v/>
      </c>
      <c r="I184" s="46" t="str">
        <f aca="false">IF($H184="","",'Survey Response'!$I182)</f>
        <v/>
      </c>
      <c r="J184" s="46" t="str">
        <f aca="false">IF($H184="","",'Survey Response'!$K182)</f>
        <v/>
      </c>
      <c r="K184" s="46" t="str">
        <f aca="false">IF($J184="","",IF(COUNTIF('Skill Mapping'!$A$2:$A$7,TRIM($J184))=0,"",INDEX('Skill Mapping'!$B$2:$B$7,MATCH(TRIM($J184),'Skill Mapping'!$A$2:$A$7,0))))</f>
        <v/>
      </c>
      <c r="L184" s="46" t="str">
        <f aca="false">IF($H184="","",'Survey Response'!$L182)</f>
        <v/>
      </c>
      <c r="M184" s="46" t="str">
        <f aca="false">IF($L184="","",IF(COUNTIF('Skill Mapping'!$A$2:$A$7,TRIM($L184))=0,"",INDEX('Skill Mapping'!$B$2:$B$7,MATCH(TRIM($L184),'Skill Mapping'!$A$2:$A$7,0))))</f>
        <v/>
      </c>
      <c r="N184" s="46" t="str">
        <f aca="false">IF($H184="","",'Survey Response'!$M182)</f>
        <v/>
      </c>
      <c r="O184" s="46" t="str">
        <f aca="false">IF($H184="","",IF('Survey Response'!$M182="Manager","R2","R1"))</f>
        <v/>
      </c>
      <c r="P184" s="46" t="str">
        <f aca="false">IF($K184="","No",IF(COUNTIFS(MasterPanel!$B:$B,$H184,MasterPanel!$I:$I,$K184,MasterPanel!$K:$K,"Y")&gt;0,"Yes","No"))</f>
        <v>No</v>
      </c>
      <c r="Q184" s="46" t="n">
        <f aca="false">IF($K184="",0,IF(COUNTIF('Gap Sheet'!$A$6:$A$11,TRIM($J184))=0,0,IF($O184="R1",INDEX('Gap Sheet'!$C$6:$C$11,MATCH(TRIM($J184),'Gap Sheet'!$A$6:$A$11,0)),INDEX('Gap Sheet'!$G$6:$G$11,MATCH(TRIM($J184),'Gap Sheet'!$A$6:$A$11,0)))))</f>
        <v>0</v>
      </c>
      <c r="R184" s="46" t="str">
        <f aca="false">IF($K184="","",$K184&amp;"|"&amp;$O184)</f>
        <v/>
      </c>
      <c r="S184" s="46" t="n">
        <f aca="false">IF($R184="",0,COUNTIF($AA$4:$AA183,$R184))</f>
        <v>0</v>
      </c>
      <c r="T184" s="46" t="str">
        <f aca="false">IF(OR($I184&lt;&gt;"Yes, I'm available for in-person interviews at Chennai",$E184&lt;&gt;"Yes",$P184&lt;&gt;"Yes"),"No",IF(($Q184-$S184)&gt;0,"Yes","No"))</f>
        <v>No</v>
      </c>
      <c r="U184" s="46" t="str">
        <f aca="false">IF($M184="","No",IF(COUNTIFS(MasterPanel!$B:$B,$H184,MasterPanel!$I:$I,$M184,MasterPanel!$K:$K,"Y")&gt;0,"Yes","No"))</f>
        <v>No</v>
      </c>
      <c r="V184" s="46" t="n">
        <f aca="false">IF($M184="",0,IF(COUNTIF('Gap Sheet'!$A$6:$A$11,TRIM($L184))=0,0,IF($O184="R1",INDEX('Gap Sheet'!$C$6:$C$11,MATCH(TRIM($L184),'Gap Sheet'!$A$6:$A$11,0)),INDEX('Gap Sheet'!$G$6:$G$11,MATCH(TRIM($L184),'Gap Sheet'!$A$6:$A$11,0)))))</f>
        <v>0</v>
      </c>
      <c r="W184" s="46" t="str">
        <f aca="false">IF($M184="","",$M184&amp;"|"&amp;$O184)</f>
        <v/>
      </c>
      <c r="X184" s="46" t="n">
        <f aca="false">IF($W184="",0,COUNTIF($AA$4:$AA183,$W184))</f>
        <v>0</v>
      </c>
      <c r="Y184" s="46" t="str">
        <f aca="false">IF(OR($I184&lt;&gt;"Yes, I'm available for in-person interviews at Chennai",$E184&lt;&gt;"Yes",$T184="Yes",$U184&lt;&gt;"Yes"),"No",IF(($V184-$X184)&gt;0,"Yes","No"))</f>
        <v>No</v>
      </c>
      <c r="Z184" s="46" t="str">
        <f aca="false">IF($T184="Yes","Primary",IF($Y184="Yes","Secondary",""))</f>
        <v/>
      </c>
      <c r="AA184" s="46" t="str">
        <f aca="false">IF($Z184="Primary",$R184,IF($Z184="Secondary",$W184,""))</f>
        <v/>
      </c>
      <c r="AB184" s="46" t="str">
        <f aca="false">IF($Z184="Primary","Matched on primary skill",IF($Z184="Secondary","Matched on secondary skill (primary not approved or not required)",""))</f>
        <v/>
      </c>
      <c r="AC184" s="47" t="str">
        <f aca="false">IF($D184="Panel Details",$F184,"")</f>
        <v/>
      </c>
      <c r="AD184" s="46" t="str">
        <f aca="false">IF($D184="Panel Details",'Survey Response'!$D182,"")</f>
        <v/>
      </c>
      <c r="AE184" s="46" t="str">
        <f aca="false">IF($D184="Panel Details",'Survey Response'!$E182,"")</f>
        <v/>
      </c>
      <c r="AF184" s="46" t="str">
        <f aca="false">IF($D184="Panel Details",'Survey Response'!$G182,"")</f>
        <v/>
      </c>
      <c r="AG184" s="46" t="str">
        <f aca="false">IF($D184="Panel Details",IF($Z184="Primary",$J184,$L184),"")</f>
        <v/>
      </c>
      <c r="AH184" s="46" t="str">
        <f aca="false">IF($D184="Panel Details",IF($Z184="Primary",$L184,$J184),"")</f>
        <v/>
      </c>
      <c r="AI184" s="46" t="str">
        <f aca="false">IF($D184="Panel Details",'Survey Response'!$H182,"")</f>
        <v/>
      </c>
      <c r="AJ184" s="46" t="str">
        <f aca="false">IF($D184="Panel Details",'Survey Response'!$M182,"")</f>
        <v/>
      </c>
      <c r="AK184" s="46" t="str">
        <f aca="false">IF($D184="Panel Details",$O184,"")</f>
        <v/>
      </c>
      <c r="AL184" s="46" t="str">
        <f aca="false">IF($D184="Panel Details",8,"")</f>
        <v/>
      </c>
      <c r="AM184" s="46" t="str">
        <f aca="false">IF($D184="Panel Details",$AB184,"")</f>
        <v/>
      </c>
      <c r="AN184" s="46" t="str">
        <f aca="false">IF($D184="Panel Details","Yes","")</f>
        <v/>
      </c>
      <c r="AO184" s="46"/>
      <c r="AP184" s="46" t="str">
        <f aca="false">IF($D184="Followup",'Survey Response'!$D182,"")</f>
        <v/>
      </c>
      <c r="AQ184" s="46" t="str">
        <f aca="false">IF($D184="Followup",'Survey Response'!$E182,"")</f>
        <v/>
      </c>
      <c r="AR184" s="46" t="str">
        <f aca="false">IF($D184="Followup",'Survey Response'!$G182,"")</f>
        <v/>
      </c>
      <c r="AS184" s="46" t="str">
        <f aca="false">IF($D184="Followup",'Survey Response'!$H182,"")</f>
        <v/>
      </c>
      <c r="AT184" s="46" t="str">
        <f aca="false">IF($D184="Followup",'Survey Response'!$M182,"")</f>
        <v/>
      </c>
      <c r="AU184" s="46" t="str">
        <f aca="false">IF($D184="Followup",'Survey Response'!$K182,"")</f>
        <v/>
      </c>
      <c r="AV184" s="46" t="str">
        <f aca="false">IF($D184="Followup",'Survey Response'!$L182,"")</f>
        <v/>
      </c>
      <c r="AW184" s="46" t="str">
        <f aca="false">IF($D184="Followup",IF(AND($P184&lt;&gt;"Yes",$U184&lt;&gt;"Yes"),"Not approved for primary or secondary skill","Approved, but skill(s) no longer have capacity (fully staffed)"),"")</f>
        <v/>
      </c>
    </row>
    <row r="185" customFormat="false" ht="15" hidden="false" customHeight="true" outlineLevel="0" collapsed="false">
      <c r="A185" s="46" t="str">
        <f aca="false">IF('Survey Response'!$D183="","",'Survey Response'!$A183&amp;"|"&amp;LOWER(TRIM('Survey Response'!$D183)))</f>
        <v/>
      </c>
      <c r="B185" s="46" t="str">
        <f aca="false">IF($H185="","",$F185&amp;"|"&amp;$H185)</f>
        <v/>
      </c>
      <c r="C185" s="46" t="str">
        <f aca="false">IF($H185="","",$A185=$B185)</f>
        <v/>
      </c>
      <c r="D185" s="46" t="str">
        <f aca="false">IF($H185="","",IF($E185&lt;&gt;"Yes","Superseded",IF($I185&lt;&gt;"Yes, I'm available for in-person interviews at Chennai","Not Available",IF($Z185&lt;&gt;"","Panel Details","Followup"))))</f>
        <v/>
      </c>
      <c r="E185" s="46" t="str">
        <f aca="false">IF($H185="","",IF(SUMPRODUCT(($H$4:$H$503=$H185)*(($G$4:$G$503&gt;$G185)+($G$4:$G$503=$G185)*($F$4:$F$503&gt;$F185)))=0,"Yes","No"))</f>
        <v/>
      </c>
      <c r="F185" s="47" t="str">
        <f aca="false">IF('Survey Response'!$D183="","",INT('Survey Response'!$A183))</f>
        <v/>
      </c>
      <c r="G185" s="46" t="str">
        <f aca="false">IF('Survey Response'!$D183="","",'Survey Response'!$C183)</f>
        <v/>
      </c>
      <c r="H185" s="46" t="str">
        <f aca="false">IF('Survey Response'!$D183="","",LOWER(TRIM('Survey Response'!$D183)))</f>
        <v/>
      </c>
      <c r="I185" s="46" t="str">
        <f aca="false">IF($H185="","",'Survey Response'!$I183)</f>
        <v/>
      </c>
      <c r="J185" s="46" t="str">
        <f aca="false">IF($H185="","",'Survey Response'!$K183)</f>
        <v/>
      </c>
      <c r="K185" s="46" t="str">
        <f aca="false">IF($J185="","",IF(COUNTIF('Skill Mapping'!$A$2:$A$7,TRIM($J185))=0,"",INDEX('Skill Mapping'!$B$2:$B$7,MATCH(TRIM($J185),'Skill Mapping'!$A$2:$A$7,0))))</f>
        <v/>
      </c>
      <c r="L185" s="46" t="str">
        <f aca="false">IF($H185="","",'Survey Response'!$L183)</f>
        <v/>
      </c>
      <c r="M185" s="46" t="str">
        <f aca="false">IF($L185="","",IF(COUNTIF('Skill Mapping'!$A$2:$A$7,TRIM($L185))=0,"",INDEX('Skill Mapping'!$B$2:$B$7,MATCH(TRIM($L185),'Skill Mapping'!$A$2:$A$7,0))))</f>
        <v/>
      </c>
      <c r="N185" s="46" t="str">
        <f aca="false">IF($H185="","",'Survey Response'!$M183)</f>
        <v/>
      </c>
      <c r="O185" s="46" t="str">
        <f aca="false">IF($H185="","",IF('Survey Response'!$M183="Manager","R2","R1"))</f>
        <v/>
      </c>
      <c r="P185" s="46" t="str">
        <f aca="false">IF($K185="","No",IF(COUNTIFS(MasterPanel!$B:$B,$H185,MasterPanel!$I:$I,$K185,MasterPanel!$K:$K,"Y")&gt;0,"Yes","No"))</f>
        <v>No</v>
      </c>
      <c r="Q185" s="46" t="n">
        <f aca="false">IF($K185="",0,IF(COUNTIF('Gap Sheet'!$A$6:$A$11,TRIM($J185))=0,0,IF($O185="R1",INDEX('Gap Sheet'!$C$6:$C$11,MATCH(TRIM($J185),'Gap Sheet'!$A$6:$A$11,0)),INDEX('Gap Sheet'!$G$6:$G$11,MATCH(TRIM($J185),'Gap Sheet'!$A$6:$A$11,0)))))</f>
        <v>0</v>
      </c>
      <c r="R185" s="46" t="str">
        <f aca="false">IF($K185="","",$K185&amp;"|"&amp;$O185)</f>
        <v/>
      </c>
      <c r="S185" s="46" t="n">
        <f aca="false">IF($R185="",0,COUNTIF($AA$4:$AA184,$R185))</f>
        <v>0</v>
      </c>
      <c r="T185" s="46" t="str">
        <f aca="false">IF(OR($I185&lt;&gt;"Yes, I'm available for in-person interviews at Chennai",$E185&lt;&gt;"Yes",$P185&lt;&gt;"Yes"),"No",IF(($Q185-$S185)&gt;0,"Yes","No"))</f>
        <v>No</v>
      </c>
      <c r="U185" s="46" t="str">
        <f aca="false">IF($M185="","No",IF(COUNTIFS(MasterPanel!$B:$B,$H185,MasterPanel!$I:$I,$M185,MasterPanel!$K:$K,"Y")&gt;0,"Yes","No"))</f>
        <v>No</v>
      </c>
      <c r="V185" s="46" t="n">
        <f aca="false">IF($M185="",0,IF(COUNTIF('Gap Sheet'!$A$6:$A$11,TRIM($L185))=0,0,IF($O185="R1",INDEX('Gap Sheet'!$C$6:$C$11,MATCH(TRIM($L185),'Gap Sheet'!$A$6:$A$11,0)),INDEX('Gap Sheet'!$G$6:$G$11,MATCH(TRIM($L185),'Gap Sheet'!$A$6:$A$11,0)))))</f>
        <v>0</v>
      </c>
      <c r="W185" s="46" t="str">
        <f aca="false">IF($M185="","",$M185&amp;"|"&amp;$O185)</f>
        <v/>
      </c>
      <c r="X185" s="46" t="n">
        <f aca="false">IF($W185="",0,COUNTIF($AA$4:$AA184,$W185))</f>
        <v>0</v>
      </c>
      <c r="Y185" s="46" t="str">
        <f aca="false">IF(OR($I185&lt;&gt;"Yes, I'm available for in-person interviews at Chennai",$E185&lt;&gt;"Yes",$T185="Yes",$U185&lt;&gt;"Yes"),"No",IF(($V185-$X185)&gt;0,"Yes","No"))</f>
        <v>No</v>
      </c>
      <c r="Z185" s="46" t="str">
        <f aca="false">IF($T185="Yes","Primary",IF($Y185="Yes","Secondary",""))</f>
        <v/>
      </c>
      <c r="AA185" s="46" t="str">
        <f aca="false">IF($Z185="Primary",$R185,IF($Z185="Secondary",$W185,""))</f>
        <v/>
      </c>
      <c r="AB185" s="46" t="str">
        <f aca="false">IF($Z185="Primary","Matched on primary skill",IF($Z185="Secondary","Matched on secondary skill (primary not approved or not required)",""))</f>
        <v/>
      </c>
      <c r="AC185" s="47" t="str">
        <f aca="false">IF($D185="Panel Details",$F185,"")</f>
        <v/>
      </c>
      <c r="AD185" s="46" t="str">
        <f aca="false">IF($D185="Panel Details",'Survey Response'!$D183,"")</f>
        <v/>
      </c>
      <c r="AE185" s="46" t="str">
        <f aca="false">IF($D185="Panel Details",'Survey Response'!$E183,"")</f>
        <v/>
      </c>
      <c r="AF185" s="46" t="str">
        <f aca="false">IF($D185="Panel Details",'Survey Response'!$G183,"")</f>
        <v/>
      </c>
      <c r="AG185" s="46" t="str">
        <f aca="false">IF($D185="Panel Details",IF($Z185="Primary",$J185,$L185),"")</f>
        <v/>
      </c>
      <c r="AH185" s="46" t="str">
        <f aca="false">IF($D185="Panel Details",IF($Z185="Primary",$L185,$J185),"")</f>
        <v/>
      </c>
      <c r="AI185" s="46" t="str">
        <f aca="false">IF($D185="Panel Details",'Survey Response'!$H183,"")</f>
        <v/>
      </c>
      <c r="AJ185" s="46" t="str">
        <f aca="false">IF($D185="Panel Details",'Survey Response'!$M183,"")</f>
        <v/>
      </c>
      <c r="AK185" s="46" t="str">
        <f aca="false">IF($D185="Panel Details",$O185,"")</f>
        <v/>
      </c>
      <c r="AL185" s="46" t="str">
        <f aca="false">IF($D185="Panel Details",8,"")</f>
        <v/>
      </c>
      <c r="AM185" s="46" t="str">
        <f aca="false">IF($D185="Panel Details",$AB185,"")</f>
        <v/>
      </c>
      <c r="AN185" s="46" t="str">
        <f aca="false">IF($D185="Panel Details","Yes","")</f>
        <v/>
      </c>
      <c r="AO185" s="46"/>
      <c r="AP185" s="46" t="str">
        <f aca="false">IF($D185="Followup",'Survey Response'!$D183,"")</f>
        <v/>
      </c>
      <c r="AQ185" s="46" t="str">
        <f aca="false">IF($D185="Followup",'Survey Response'!$E183,"")</f>
        <v/>
      </c>
      <c r="AR185" s="46" t="str">
        <f aca="false">IF($D185="Followup",'Survey Response'!$G183,"")</f>
        <v/>
      </c>
      <c r="AS185" s="46" t="str">
        <f aca="false">IF($D185="Followup",'Survey Response'!$H183,"")</f>
        <v/>
      </c>
      <c r="AT185" s="46" t="str">
        <f aca="false">IF($D185="Followup",'Survey Response'!$M183,"")</f>
        <v/>
      </c>
      <c r="AU185" s="46" t="str">
        <f aca="false">IF($D185="Followup",'Survey Response'!$K183,"")</f>
        <v/>
      </c>
      <c r="AV185" s="46" t="str">
        <f aca="false">IF($D185="Followup",'Survey Response'!$L183,"")</f>
        <v/>
      </c>
      <c r="AW185" s="46" t="str">
        <f aca="false">IF($D185="Followup",IF(AND($P185&lt;&gt;"Yes",$U185&lt;&gt;"Yes"),"Not approved for primary or secondary skill","Approved, but skill(s) no longer have capacity (fully staffed)"),"")</f>
        <v/>
      </c>
    </row>
    <row r="186" customFormat="false" ht="15" hidden="false" customHeight="true" outlineLevel="0" collapsed="false">
      <c r="A186" s="46" t="str">
        <f aca="false">IF('Survey Response'!$D184="","",'Survey Response'!$A184&amp;"|"&amp;LOWER(TRIM('Survey Response'!$D184)))</f>
        <v/>
      </c>
      <c r="B186" s="46" t="str">
        <f aca="false">IF($H186="","",$F186&amp;"|"&amp;$H186)</f>
        <v/>
      </c>
      <c r="C186" s="46" t="str">
        <f aca="false">IF($H186="","",$A186=$B186)</f>
        <v/>
      </c>
      <c r="D186" s="46" t="str">
        <f aca="false">IF($H186="","",IF($E186&lt;&gt;"Yes","Superseded",IF($I186&lt;&gt;"Yes, I'm available for in-person interviews at Chennai","Not Available",IF($Z186&lt;&gt;"","Panel Details","Followup"))))</f>
        <v/>
      </c>
      <c r="E186" s="46" t="str">
        <f aca="false">IF($H186="","",IF(SUMPRODUCT(($H$4:$H$503=$H186)*(($G$4:$G$503&gt;$G186)+($G$4:$G$503=$G186)*($F$4:$F$503&gt;$F186)))=0,"Yes","No"))</f>
        <v/>
      </c>
      <c r="F186" s="47" t="str">
        <f aca="false">IF('Survey Response'!$D184="","",INT('Survey Response'!$A184))</f>
        <v/>
      </c>
      <c r="G186" s="46" t="str">
        <f aca="false">IF('Survey Response'!$D184="","",'Survey Response'!$C184)</f>
        <v/>
      </c>
      <c r="H186" s="46" t="str">
        <f aca="false">IF('Survey Response'!$D184="","",LOWER(TRIM('Survey Response'!$D184)))</f>
        <v/>
      </c>
      <c r="I186" s="46" t="str">
        <f aca="false">IF($H186="","",'Survey Response'!$I184)</f>
        <v/>
      </c>
      <c r="J186" s="46" t="str">
        <f aca="false">IF($H186="","",'Survey Response'!$K184)</f>
        <v/>
      </c>
      <c r="K186" s="46" t="str">
        <f aca="false">IF($J186="","",IF(COUNTIF('Skill Mapping'!$A$2:$A$7,TRIM($J186))=0,"",INDEX('Skill Mapping'!$B$2:$B$7,MATCH(TRIM($J186),'Skill Mapping'!$A$2:$A$7,0))))</f>
        <v/>
      </c>
      <c r="L186" s="46" t="str">
        <f aca="false">IF($H186="","",'Survey Response'!$L184)</f>
        <v/>
      </c>
      <c r="M186" s="46" t="str">
        <f aca="false">IF($L186="","",IF(COUNTIF('Skill Mapping'!$A$2:$A$7,TRIM($L186))=0,"",INDEX('Skill Mapping'!$B$2:$B$7,MATCH(TRIM($L186),'Skill Mapping'!$A$2:$A$7,0))))</f>
        <v/>
      </c>
      <c r="N186" s="46" t="str">
        <f aca="false">IF($H186="","",'Survey Response'!$M184)</f>
        <v/>
      </c>
      <c r="O186" s="46" t="str">
        <f aca="false">IF($H186="","",IF('Survey Response'!$M184="Manager","R2","R1"))</f>
        <v/>
      </c>
      <c r="P186" s="46" t="str">
        <f aca="false">IF($K186="","No",IF(COUNTIFS(MasterPanel!$B:$B,$H186,MasterPanel!$I:$I,$K186,MasterPanel!$K:$K,"Y")&gt;0,"Yes","No"))</f>
        <v>No</v>
      </c>
      <c r="Q186" s="46" t="n">
        <f aca="false">IF($K186="",0,IF(COUNTIF('Gap Sheet'!$A$6:$A$11,TRIM($J186))=0,0,IF($O186="R1",INDEX('Gap Sheet'!$C$6:$C$11,MATCH(TRIM($J186),'Gap Sheet'!$A$6:$A$11,0)),INDEX('Gap Sheet'!$G$6:$G$11,MATCH(TRIM($J186),'Gap Sheet'!$A$6:$A$11,0)))))</f>
        <v>0</v>
      </c>
      <c r="R186" s="46" t="str">
        <f aca="false">IF($K186="","",$K186&amp;"|"&amp;$O186)</f>
        <v/>
      </c>
      <c r="S186" s="46" t="n">
        <f aca="false">IF($R186="",0,COUNTIF($AA$4:$AA185,$R186))</f>
        <v>0</v>
      </c>
      <c r="T186" s="46" t="str">
        <f aca="false">IF(OR($I186&lt;&gt;"Yes, I'm available for in-person interviews at Chennai",$E186&lt;&gt;"Yes",$P186&lt;&gt;"Yes"),"No",IF(($Q186-$S186)&gt;0,"Yes","No"))</f>
        <v>No</v>
      </c>
      <c r="U186" s="46" t="str">
        <f aca="false">IF($M186="","No",IF(COUNTIFS(MasterPanel!$B:$B,$H186,MasterPanel!$I:$I,$M186,MasterPanel!$K:$K,"Y")&gt;0,"Yes","No"))</f>
        <v>No</v>
      </c>
      <c r="V186" s="46" t="n">
        <f aca="false">IF($M186="",0,IF(COUNTIF('Gap Sheet'!$A$6:$A$11,TRIM($L186))=0,0,IF($O186="R1",INDEX('Gap Sheet'!$C$6:$C$11,MATCH(TRIM($L186),'Gap Sheet'!$A$6:$A$11,0)),INDEX('Gap Sheet'!$G$6:$G$11,MATCH(TRIM($L186),'Gap Sheet'!$A$6:$A$11,0)))))</f>
        <v>0</v>
      </c>
      <c r="W186" s="46" t="str">
        <f aca="false">IF($M186="","",$M186&amp;"|"&amp;$O186)</f>
        <v/>
      </c>
      <c r="X186" s="46" t="n">
        <f aca="false">IF($W186="",0,COUNTIF($AA$4:$AA185,$W186))</f>
        <v>0</v>
      </c>
      <c r="Y186" s="46" t="str">
        <f aca="false">IF(OR($I186&lt;&gt;"Yes, I'm available for in-person interviews at Chennai",$E186&lt;&gt;"Yes",$T186="Yes",$U186&lt;&gt;"Yes"),"No",IF(($V186-$X186)&gt;0,"Yes","No"))</f>
        <v>No</v>
      </c>
      <c r="Z186" s="46" t="str">
        <f aca="false">IF($T186="Yes","Primary",IF($Y186="Yes","Secondary",""))</f>
        <v/>
      </c>
      <c r="AA186" s="46" t="str">
        <f aca="false">IF($Z186="Primary",$R186,IF($Z186="Secondary",$W186,""))</f>
        <v/>
      </c>
      <c r="AB186" s="46" t="str">
        <f aca="false">IF($Z186="Primary","Matched on primary skill",IF($Z186="Secondary","Matched on secondary skill (primary not approved or not required)",""))</f>
        <v/>
      </c>
      <c r="AC186" s="47" t="str">
        <f aca="false">IF($D186="Panel Details",$F186,"")</f>
        <v/>
      </c>
      <c r="AD186" s="46" t="str">
        <f aca="false">IF($D186="Panel Details",'Survey Response'!$D184,"")</f>
        <v/>
      </c>
      <c r="AE186" s="46" t="str">
        <f aca="false">IF($D186="Panel Details",'Survey Response'!$E184,"")</f>
        <v/>
      </c>
      <c r="AF186" s="46" t="str">
        <f aca="false">IF($D186="Panel Details",'Survey Response'!$G184,"")</f>
        <v/>
      </c>
      <c r="AG186" s="46" t="str">
        <f aca="false">IF($D186="Panel Details",IF($Z186="Primary",$J186,$L186),"")</f>
        <v/>
      </c>
      <c r="AH186" s="46" t="str">
        <f aca="false">IF($D186="Panel Details",IF($Z186="Primary",$L186,$J186),"")</f>
        <v/>
      </c>
      <c r="AI186" s="46" t="str">
        <f aca="false">IF($D186="Panel Details",'Survey Response'!$H184,"")</f>
        <v/>
      </c>
      <c r="AJ186" s="46" t="str">
        <f aca="false">IF($D186="Panel Details",'Survey Response'!$M184,"")</f>
        <v/>
      </c>
      <c r="AK186" s="46" t="str">
        <f aca="false">IF($D186="Panel Details",$O186,"")</f>
        <v/>
      </c>
      <c r="AL186" s="46" t="str">
        <f aca="false">IF($D186="Panel Details",8,"")</f>
        <v/>
      </c>
      <c r="AM186" s="46" t="str">
        <f aca="false">IF($D186="Panel Details",$AB186,"")</f>
        <v/>
      </c>
      <c r="AN186" s="46" t="str">
        <f aca="false">IF($D186="Panel Details","Yes","")</f>
        <v/>
      </c>
      <c r="AO186" s="46"/>
      <c r="AP186" s="46" t="str">
        <f aca="false">IF($D186="Followup",'Survey Response'!$D184,"")</f>
        <v/>
      </c>
      <c r="AQ186" s="46" t="str">
        <f aca="false">IF($D186="Followup",'Survey Response'!$E184,"")</f>
        <v/>
      </c>
      <c r="AR186" s="46" t="str">
        <f aca="false">IF($D186="Followup",'Survey Response'!$G184,"")</f>
        <v/>
      </c>
      <c r="AS186" s="46" t="str">
        <f aca="false">IF($D186="Followup",'Survey Response'!$H184,"")</f>
        <v/>
      </c>
      <c r="AT186" s="46" t="str">
        <f aca="false">IF($D186="Followup",'Survey Response'!$M184,"")</f>
        <v/>
      </c>
      <c r="AU186" s="46" t="str">
        <f aca="false">IF($D186="Followup",'Survey Response'!$K184,"")</f>
        <v/>
      </c>
      <c r="AV186" s="46" t="str">
        <f aca="false">IF($D186="Followup",'Survey Response'!$L184,"")</f>
        <v/>
      </c>
      <c r="AW186" s="46" t="str">
        <f aca="false">IF($D186="Followup",IF(AND($P186&lt;&gt;"Yes",$U186&lt;&gt;"Yes"),"Not approved for primary or secondary skill","Approved, but skill(s) no longer have capacity (fully staffed)"),"")</f>
        <v/>
      </c>
    </row>
    <row r="187" customFormat="false" ht="15" hidden="false" customHeight="true" outlineLevel="0" collapsed="false">
      <c r="A187" s="46" t="str">
        <f aca="false">IF('Survey Response'!$D185="","",'Survey Response'!$A185&amp;"|"&amp;LOWER(TRIM('Survey Response'!$D185)))</f>
        <v/>
      </c>
      <c r="B187" s="46" t="str">
        <f aca="false">IF($H187="","",$F187&amp;"|"&amp;$H187)</f>
        <v/>
      </c>
      <c r="C187" s="46" t="str">
        <f aca="false">IF($H187="","",$A187=$B187)</f>
        <v/>
      </c>
      <c r="D187" s="46" t="str">
        <f aca="false">IF($H187="","",IF($E187&lt;&gt;"Yes","Superseded",IF($I187&lt;&gt;"Yes, I'm available for in-person interviews at Chennai","Not Available",IF($Z187&lt;&gt;"","Panel Details","Followup"))))</f>
        <v/>
      </c>
      <c r="E187" s="46" t="str">
        <f aca="false">IF($H187="","",IF(SUMPRODUCT(($H$4:$H$503=$H187)*(($G$4:$G$503&gt;$G187)+($G$4:$G$503=$G187)*($F$4:$F$503&gt;$F187)))=0,"Yes","No"))</f>
        <v/>
      </c>
      <c r="F187" s="47" t="str">
        <f aca="false">IF('Survey Response'!$D185="","",INT('Survey Response'!$A185))</f>
        <v/>
      </c>
      <c r="G187" s="46" t="str">
        <f aca="false">IF('Survey Response'!$D185="","",'Survey Response'!$C185)</f>
        <v/>
      </c>
      <c r="H187" s="46" t="str">
        <f aca="false">IF('Survey Response'!$D185="","",LOWER(TRIM('Survey Response'!$D185)))</f>
        <v/>
      </c>
      <c r="I187" s="46" t="str">
        <f aca="false">IF($H187="","",'Survey Response'!$I185)</f>
        <v/>
      </c>
      <c r="J187" s="46" t="str">
        <f aca="false">IF($H187="","",'Survey Response'!$K185)</f>
        <v/>
      </c>
      <c r="K187" s="46" t="str">
        <f aca="false">IF($J187="","",IF(COUNTIF('Skill Mapping'!$A$2:$A$7,TRIM($J187))=0,"",INDEX('Skill Mapping'!$B$2:$B$7,MATCH(TRIM($J187),'Skill Mapping'!$A$2:$A$7,0))))</f>
        <v/>
      </c>
      <c r="L187" s="46" t="str">
        <f aca="false">IF($H187="","",'Survey Response'!$L185)</f>
        <v/>
      </c>
      <c r="M187" s="46" t="str">
        <f aca="false">IF($L187="","",IF(COUNTIF('Skill Mapping'!$A$2:$A$7,TRIM($L187))=0,"",INDEX('Skill Mapping'!$B$2:$B$7,MATCH(TRIM($L187),'Skill Mapping'!$A$2:$A$7,0))))</f>
        <v/>
      </c>
      <c r="N187" s="46" t="str">
        <f aca="false">IF($H187="","",'Survey Response'!$M185)</f>
        <v/>
      </c>
      <c r="O187" s="46" t="str">
        <f aca="false">IF($H187="","",IF('Survey Response'!$M185="Manager","R2","R1"))</f>
        <v/>
      </c>
      <c r="P187" s="46" t="str">
        <f aca="false">IF($K187="","No",IF(COUNTIFS(MasterPanel!$B:$B,$H187,MasterPanel!$I:$I,$K187,MasterPanel!$K:$K,"Y")&gt;0,"Yes","No"))</f>
        <v>No</v>
      </c>
      <c r="Q187" s="46" t="n">
        <f aca="false">IF($K187="",0,IF(COUNTIF('Gap Sheet'!$A$6:$A$11,TRIM($J187))=0,0,IF($O187="R1",INDEX('Gap Sheet'!$C$6:$C$11,MATCH(TRIM($J187),'Gap Sheet'!$A$6:$A$11,0)),INDEX('Gap Sheet'!$G$6:$G$11,MATCH(TRIM($J187),'Gap Sheet'!$A$6:$A$11,0)))))</f>
        <v>0</v>
      </c>
      <c r="R187" s="46" t="str">
        <f aca="false">IF($K187="","",$K187&amp;"|"&amp;$O187)</f>
        <v/>
      </c>
      <c r="S187" s="46" t="n">
        <f aca="false">IF($R187="",0,COUNTIF($AA$4:$AA186,$R187))</f>
        <v>0</v>
      </c>
      <c r="T187" s="46" t="str">
        <f aca="false">IF(OR($I187&lt;&gt;"Yes, I'm available for in-person interviews at Chennai",$E187&lt;&gt;"Yes",$P187&lt;&gt;"Yes"),"No",IF(($Q187-$S187)&gt;0,"Yes","No"))</f>
        <v>No</v>
      </c>
      <c r="U187" s="46" t="str">
        <f aca="false">IF($M187="","No",IF(COUNTIFS(MasterPanel!$B:$B,$H187,MasterPanel!$I:$I,$M187,MasterPanel!$K:$K,"Y")&gt;0,"Yes","No"))</f>
        <v>No</v>
      </c>
      <c r="V187" s="46" t="n">
        <f aca="false">IF($M187="",0,IF(COUNTIF('Gap Sheet'!$A$6:$A$11,TRIM($L187))=0,0,IF($O187="R1",INDEX('Gap Sheet'!$C$6:$C$11,MATCH(TRIM($L187),'Gap Sheet'!$A$6:$A$11,0)),INDEX('Gap Sheet'!$G$6:$G$11,MATCH(TRIM($L187),'Gap Sheet'!$A$6:$A$11,0)))))</f>
        <v>0</v>
      </c>
      <c r="W187" s="46" t="str">
        <f aca="false">IF($M187="","",$M187&amp;"|"&amp;$O187)</f>
        <v/>
      </c>
      <c r="X187" s="46" t="n">
        <f aca="false">IF($W187="",0,COUNTIF($AA$4:$AA186,$W187))</f>
        <v>0</v>
      </c>
      <c r="Y187" s="46" t="str">
        <f aca="false">IF(OR($I187&lt;&gt;"Yes, I'm available for in-person interviews at Chennai",$E187&lt;&gt;"Yes",$T187="Yes",$U187&lt;&gt;"Yes"),"No",IF(($V187-$X187)&gt;0,"Yes","No"))</f>
        <v>No</v>
      </c>
      <c r="Z187" s="46" t="str">
        <f aca="false">IF($T187="Yes","Primary",IF($Y187="Yes","Secondary",""))</f>
        <v/>
      </c>
      <c r="AA187" s="46" t="str">
        <f aca="false">IF($Z187="Primary",$R187,IF($Z187="Secondary",$W187,""))</f>
        <v/>
      </c>
      <c r="AB187" s="46" t="str">
        <f aca="false">IF($Z187="Primary","Matched on primary skill",IF($Z187="Secondary","Matched on secondary skill (primary not approved or not required)",""))</f>
        <v/>
      </c>
      <c r="AC187" s="47" t="str">
        <f aca="false">IF($D187="Panel Details",$F187,"")</f>
        <v/>
      </c>
      <c r="AD187" s="46" t="str">
        <f aca="false">IF($D187="Panel Details",'Survey Response'!$D185,"")</f>
        <v/>
      </c>
      <c r="AE187" s="46" t="str">
        <f aca="false">IF($D187="Panel Details",'Survey Response'!$E185,"")</f>
        <v/>
      </c>
      <c r="AF187" s="46" t="str">
        <f aca="false">IF($D187="Panel Details",'Survey Response'!$G185,"")</f>
        <v/>
      </c>
      <c r="AG187" s="46" t="str">
        <f aca="false">IF($D187="Panel Details",IF($Z187="Primary",$J187,$L187),"")</f>
        <v/>
      </c>
      <c r="AH187" s="46" t="str">
        <f aca="false">IF($D187="Panel Details",IF($Z187="Primary",$L187,$J187),"")</f>
        <v/>
      </c>
      <c r="AI187" s="46" t="str">
        <f aca="false">IF($D187="Panel Details",'Survey Response'!$H185,"")</f>
        <v/>
      </c>
      <c r="AJ187" s="46" t="str">
        <f aca="false">IF($D187="Panel Details",'Survey Response'!$M185,"")</f>
        <v/>
      </c>
      <c r="AK187" s="46" t="str">
        <f aca="false">IF($D187="Panel Details",$O187,"")</f>
        <v/>
      </c>
      <c r="AL187" s="46" t="str">
        <f aca="false">IF($D187="Panel Details",8,"")</f>
        <v/>
      </c>
      <c r="AM187" s="46" t="str">
        <f aca="false">IF($D187="Panel Details",$AB187,"")</f>
        <v/>
      </c>
      <c r="AN187" s="46" t="str">
        <f aca="false">IF($D187="Panel Details","Yes","")</f>
        <v/>
      </c>
      <c r="AO187" s="46"/>
      <c r="AP187" s="46" t="str">
        <f aca="false">IF($D187="Followup",'Survey Response'!$D185,"")</f>
        <v/>
      </c>
      <c r="AQ187" s="46" t="str">
        <f aca="false">IF($D187="Followup",'Survey Response'!$E185,"")</f>
        <v/>
      </c>
      <c r="AR187" s="46" t="str">
        <f aca="false">IF($D187="Followup",'Survey Response'!$G185,"")</f>
        <v/>
      </c>
      <c r="AS187" s="46" t="str">
        <f aca="false">IF($D187="Followup",'Survey Response'!$H185,"")</f>
        <v/>
      </c>
      <c r="AT187" s="46" t="str">
        <f aca="false">IF($D187="Followup",'Survey Response'!$M185,"")</f>
        <v/>
      </c>
      <c r="AU187" s="46" t="str">
        <f aca="false">IF($D187="Followup",'Survey Response'!$K185,"")</f>
        <v/>
      </c>
      <c r="AV187" s="46" t="str">
        <f aca="false">IF($D187="Followup",'Survey Response'!$L185,"")</f>
        <v/>
      </c>
      <c r="AW187" s="46" t="str">
        <f aca="false">IF($D187="Followup",IF(AND($P187&lt;&gt;"Yes",$U187&lt;&gt;"Yes"),"Not approved for primary or secondary skill","Approved, but skill(s) no longer have capacity (fully staffed)"),"")</f>
        <v/>
      </c>
    </row>
    <row r="188" customFormat="false" ht="15" hidden="false" customHeight="true" outlineLevel="0" collapsed="false">
      <c r="A188" s="46" t="str">
        <f aca="false">IF('Survey Response'!$D186="","",'Survey Response'!$A186&amp;"|"&amp;LOWER(TRIM('Survey Response'!$D186)))</f>
        <v/>
      </c>
      <c r="B188" s="46" t="str">
        <f aca="false">IF($H188="","",$F188&amp;"|"&amp;$H188)</f>
        <v/>
      </c>
      <c r="C188" s="46" t="str">
        <f aca="false">IF($H188="","",$A188=$B188)</f>
        <v/>
      </c>
      <c r="D188" s="46" t="str">
        <f aca="false">IF($H188="","",IF($E188&lt;&gt;"Yes","Superseded",IF($I188&lt;&gt;"Yes, I'm available for in-person interviews at Chennai","Not Available",IF($Z188&lt;&gt;"","Panel Details","Followup"))))</f>
        <v/>
      </c>
      <c r="E188" s="46" t="str">
        <f aca="false">IF($H188="","",IF(SUMPRODUCT(($H$4:$H$503=$H188)*(($G$4:$G$503&gt;$G188)+($G$4:$G$503=$G188)*($F$4:$F$503&gt;$F188)))=0,"Yes","No"))</f>
        <v/>
      </c>
      <c r="F188" s="47" t="str">
        <f aca="false">IF('Survey Response'!$D186="","",INT('Survey Response'!$A186))</f>
        <v/>
      </c>
      <c r="G188" s="46" t="str">
        <f aca="false">IF('Survey Response'!$D186="","",'Survey Response'!$C186)</f>
        <v/>
      </c>
      <c r="H188" s="46" t="str">
        <f aca="false">IF('Survey Response'!$D186="","",LOWER(TRIM('Survey Response'!$D186)))</f>
        <v/>
      </c>
      <c r="I188" s="46" t="str">
        <f aca="false">IF($H188="","",'Survey Response'!$I186)</f>
        <v/>
      </c>
      <c r="J188" s="46" t="str">
        <f aca="false">IF($H188="","",'Survey Response'!$K186)</f>
        <v/>
      </c>
      <c r="K188" s="46" t="str">
        <f aca="false">IF($J188="","",IF(COUNTIF('Skill Mapping'!$A$2:$A$7,TRIM($J188))=0,"",INDEX('Skill Mapping'!$B$2:$B$7,MATCH(TRIM($J188),'Skill Mapping'!$A$2:$A$7,0))))</f>
        <v/>
      </c>
      <c r="L188" s="46" t="str">
        <f aca="false">IF($H188="","",'Survey Response'!$L186)</f>
        <v/>
      </c>
      <c r="M188" s="46" t="str">
        <f aca="false">IF($L188="","",IF(COUNTIF('Skill Mapping'!$A$2:$A$7,TRIM($L188))=0,"",INDEX('Skill Mapping'!$B$2:$B$7,MATCH(TRIM($L188),'Skill Mapping'!$A$2:$A$7,0))))</f>
        <v/>
      </c>
      <c r="N188" s="46" t="str">
        <f aca="false">IF($H188="","",'Survey Response'!$M186)</f>
        <v/>
      </c>
      <c r="O188" s="46" t="str">
        <f aca="false">IF($H188="","",IF('Survey Response'!$M186="Manager","R2","R1"))</f>
        <v/>
      </c>
      <c r="P188" s="46" t="str">
        <f aca="false">IF($K188="","No",IF(COUNTIFS(MasterPanel!$B:$B,$H188,MasterPanel!$I:$I,$K188,MasterPanel!$K:$K,"Y")&gt;0,"Yes","No"))</f>
        <v>No</v>
      </c>
      <c r="Q188" s="46" t="n">
        <f aca="false">IF($K188="",0,IF(COUNTIF('Gap Sheet'!$A$6:$A$11,TRIM($J188))=0,0,IF($O188="R1",INDEX('Gap Sheet'!$C$6:$C$11,MATCH(TRIM($J188),'Gap Sheet'!$A$6:$A$11,0)),INDEX('Gap Sheet'!$G$6:$G$11,MATCH(TRIM($J188),'Gap Sheet'!$A$6:$A$11,0)))))</f>
        <v>0</v>
      </c>
      <c r="R188" s="46" t="str">
        <f aca="false">IF($K188="","",$K188&amp;"|"&amp;$O188)</f>
        <v/>
      </c>
      <c r="S188" s="46" t="n">
        <f aca="false">IF($R188="",0,COUNTIF($AA$4:$AA187,$R188))</f>
        <v>0</v>
      </c>
      <c r="T188" s="46" t="str">
        <f aca="false">IF(OR($I188&lt;&gt;"Yes, I'm available for in-person interviews at Chennai",$E188&lt;&gt;"Yes",$P188&lt;&gt;"Yes"),"No",IF(($Q188-$S188)&gt;0,"Yes","No"))</f>
        <v>No</v>
      </c>
      <c r="U188" s="46" t="str">
        <f aca="false">IF($M188="","No",IF(COUNTIFS(MasterPanel!$B:$B,$H188,MasterPanel!$I:$I,$M188,MasterPanel!$K:$K,"Y")&gt;0,"Yes","No"))</f>
        <v>No</v>
      </c>
      <c r="V188" s="46" t="n">
        <f aca="false">IF($M188="",0,IF(COUNTIF('Gap Sheet'!$A$6:$A$11,TRIM($L188))=0,0,IF($O188="R1",INDEX('Gap Sheet'!$C$6:$C$11,MATCH(TRIM($L188),'Gap Sheet'!$A$6:$A$11,0)),INDEX('Gap Sheet'!$G$6:$G$11,MATCH(TRIM($L188),'Gap Sheet'!$A$6:$A$11,0)))))</f>
        <v>0</v>
      </c>
      <c r="W188" s="46" t="str">
        <f aca="false">IF($M188="","",$M188&amp;"|"&amp;$O188)</f>
        <v/>
      </c>
      <c r="X188" s="46" t="n">
        <f aca="false">IF($W188="",0,COUNTIF($AA$4:$AA187,$W188))</f>
        <v>0</v>
      </c>
      <c r="Y188" s="46" t="str">
        <f aca="false">IF(OR($I188&lt;&gt;"Yes, I'm available for in-person interviews at Chennai",$E188&lt;&gt;"Yes",$T188="Yes",$U188&lt;&gt;"Yes"),"No",IF(($V188-$X188)&gt;0,"Yes","No"))</f>
        <v>No</v>
      </c>
      <c r="Z188" s="46" t="str">
        <f aca="false">IF($T188="Yes","Primary",IF($Y188="Yes","Secondary",""))</f>
        <v/>
      </c>
      <c r="AA188" s="46" t="str">
        <f aca="false">IF($Z188="Primary",$R188,IF($Z188="Secondary",$W188,""))</f>
        <v/>
      </c>
      <c r="AB188" s="46" t="str">
        <f aca="false">IF($Z188="Primary","Matched on primary skill",IF($Z188="Secondary","Matched on secondary skill (primary not approved or not required)",""))</f>
        <v/>
      </c>
      <c r="AC188" s="47" t="str">
        <f aca="false">IF($D188="Panel Details",$F188,"")</f>
        <v/>
      </c>
      <c r="AD188" s="46" t="str">
        <f aca="false">IF($D188="Panel Details",'Survey Response'!$D186,"")</f>
        <v/>
      </c>
      <c r="AE188" s="46" t="str">
        <f aca="false">IF($D188="Panel Details",'Survey Response'!$E186,"")</f>
        <v/>
      </c>
      <c r="AF188" s="46" t="str">
        <f aca="false">IF($D188="Panel Details",'Survey Response'!$G186,"")</f>
        <v/>
      </c>
      <c r="AG188" s="46" t="str">
        <f aca="false">IF($D188="Panel Details",IF($Z188="Primary",$J188,$L188),"")</f>
        <v/>
      </c>
      <c r="AH188" s="46" t="str">
        <f aca="false">IF($D188="Panel Details",IF($Z188="Primary",$L188,$J188),"")</f>
        <v/>
      </c>
      <c r="AI188" s="46" t="str">
        <f aca="false">IF($D188="Panel Details",'Survey Response'!$H186,"")</f>
        <v/>
      </c>
      <c r="AJ188" s="46" t="str">
        <f aca="false">IF($D188="Panel Details",'Survey Response'!$M186,"")</f>
        <v/>
      </c>
      <c r="AK188" s="46" t="str">
        <f aca="false">IF($D188="Panel Details",$O188,"")</f>
        <v/>
      </c>
      <c r="AL188" s="46" t="str">
        <f aca="false">IF($D188="Panel Details",8,"")</f>
        <v/>
      </c>
      <c r="AM188" s="46" t="str">
        <f aca="false">IF($D188="Panel Details",$AB188,"")</f>
        <v/>
      </c>
      <c r="AN188" s="46" t="str">
        <f aca="false">IF($D188="Panel Details","Yes","")</f>
        <v/>
      </c>
      <c r="AO188" s="46"/>
      <c r="AP188" s="46" t="str">
        <f aca="false">IF($D188="Followup",'Survey Response'!$D186,"")</f>
        <v/>
      </c>
      <c r="AQ188" s="46" t="str">
        <f aca="false">IF($D188="Followup",'Survey Response'!$E186,"")</f>
        <v/>
      </c>
      <c r="AR188" s="46" t="str">
        <f aca="false">IF($D188="Followup",'Survey Response'!$G186,"")</f>
        <v/>
      </c>
      <c r="AS188" s="46" t="str">
        <f aca="false">IF($D188="Followup",'Survey Response'!$H186,"")</f>
        <v/>
      </c>
      <c r="AT188" s="46" t="str">
        <f aca="false">IF($D188="Followup",'Survey Response'!$M186,"")</f>
        <v/>
      </c>
      <c r="AU188" s="46" t="str">
        <f aca="false">IF($D188="Followup",'Survey Response'!$K186,"")</f>
        <v/>
      </c>
      <c r="AV188" s="46" t="str">
        <f aca="false">IF($D188="Followup",'Survey Response'!$L186,"")</f>
        <v/>
      </c>
      <c r="AW188" s="46" t="str">
        <f aca="false">IF($D188="Followup",IF(AND($P188&lt;&gt;"Yes",$U188&lt;&gt;"Yes"),"Not approved for primary or secondary skill","Approved, but skill(s) no longer have capacity (fully staffed)"),"")</f>
        <v/>
      </c>
    </row>
    <row r="189" customFormat="false" ht="15" hidden="false" customHeight="true" outlineLevel="0" collapsed="false">
      <c r="A189" s="46" t="str">
        <f aca="false">IF('Survey Response'!$D187="","",'Survey Response'!$A187&amp;"|"&amp;LOWER(TRIM('Survey Response'!$D187)))</f>
        <v/>
      </c>
      <c r="B189" s="46" t="str">
        <f aca="false">IF($H189="","",$F189&amp;"|"&amp;$H189)</f>
        <v/>
      </c>
      <c r="C189" s="46" t="str">
        <f aca="false">IF($H189="","",$A189=$B189)</f>
        <v/>
      </c>
      <c r="D189" s="46" t="str">
        <f aca="false">IF($H189="","",IF($E189&lt;&gt;"Yes","Superseded",IF($I189&lt;&gt;"Yes, I'm available for in-person interviews at Chennai","Not Available",IF($Z189&lt;&gt;"","Panel Details","Followup"))))</f>
        <v/>
      </c>
      <c r="E189" s="46" t="str">
        <f aca="false">IF($H189="","",IF(SUMPRODUCT(($H$4:$H$503=$H189)*(($G$4:$G$503&gt;$G189)+($G$4:$G$503=$G189)*($F$4:$F$503&gt;$F189)))=0,"Yes","No"))</f>
        <v/>
      </c>
      <c r="F189" s="47" t="str">
        <f aca="false">IF('Survey Response'!$D187="","",INT('Survey Response'!$A187))</f>
        <v/>
      </c>
      <c r="G189" s="46" t="str">
        <f aca="false">IF('Survey Response'!$D187="","",'Survey Response'!$C187)</f>
        <v/>
      </c>
      <c r="H189" s="46" t="str">
        <f aca="false">IF('Survey Response'!$D187="","",LOWER(TRIM('Survey Response'!$D187)))</f>
        <v/>
      </c>
      <c r="I189" s="46" t="str">
        <f aca="false">IF($H189="","",'Survey Response'!$I187)</f>
        <v/>
      </c>
      <c r="J189" s="46" t="str">
        <f aca="false">IF($H189="","",'Survey Response'!$K187)</f>
        <v/>
      </c>
      <c r="K189" s="46" t="str">
        <f aca="false">IF($J189="","",IF(COUNTIF('Skill Mapping'!$A$2:$A$7,TRIM($J189))=0,"",INDEX('Skill Mapping'!$B$2:$B$7,MATCH(TRIM($J189),'Skill Mapping'!$A$2:$A$7,0))))</f>
        <v/>
      </c>
      <c r="L189" s="46" t="str">
        <f aca="false">IF($H189="","",'Survey Response'!$L187)</f>
        <v/>
      </c>
      <c r="M189" s="46" t="str">
        <f aca="false">IF($L189="","",IF(COUNTIF('Skill Mapping'!$A$2:$A$7,TRIM($L189))=0,"",INDEX('Skill Mapping'!$B$2:$B$7,MATCH(TRIM($L189),'Skill Mapping'!$A$2:$A$7,0))))</f>
        <v/>
      </c>
      <c r="N189" s="46" t="str">
        <f aca="false">IF($H189="","",'Survey Response'!$M187)</f>
        <v/>
      </c>
      <c r="O189" s="46" t="str">
        <f aca="false">IF($H189="","",IF('Survey Response'!$M187="Manager","R2","R1"))</f>
        <v/>
      </c>
      <c r="P189" s="46" t="str">
        <f aca="false">IF($K189="","No",IF(COUNTIFS(MasterPanel!$B:$B,$H189,MasterPanel!$I:$I,$K189,MasterPanel!$K:$K,"Y")&gt;0,"Yes","No"))</f>
        <v>No</v>
      </c>
      <c r="Q189" s="46" t="n">
        <f aca="false">IF($K189="",0,IF(COUNTIF('Gap Sheet'!$A$6:$A$11,TRIM($J189))=0,0,IF($O189="R1",INDEX('Gap Sheet'!$C$6:$C$11,MATCH(TRIM($J189),'Gap Sheet'!$A$6:$A$11,0)),INDEX('Gap Sheet'!$G$6:$G$11,MATCH(TRIM($J189),'Gap Sheet'!$A$6:$A$11,0)))))</f>
        <v>0</v>
      </c>
      <c r="R189" s="46" t="str">
        <f aca="false">IF($K189="","",$K189&amp;"|"&amp;$O189)</f>
        <v/>
      </c>
      <c r="S189" s="46" t="n">
        <f aca="false">IF($R189="",0,COUNTIF($AA$4:$AA188,$R189))</f>
        <v>0</v>
      </c>
      <c r="T189" s="46" t="str">
        <f aca="false">IF(OR($I189&lt;&gt;"Yes, I'm available for in-person interviews at Chennai",$E189&lt;&gt;"Yes",$P189&lt;&gt;"Yes"),"No",IF(($Q189-$S189)&gt;0,"Yes","No"))</f>
        <v>No</v>
      </c>
      <c r="U189" s="46" t="str">
        <f aca="false">IF($M189="","No",IF(COUNTIFS(MasterPanel!$B:$B,$H189,MasterPanel!$I:$I,$M189,MasterPanel!$K:$K,"Y")&gt;0,"Yes","No"))</f>
        <v>No</v>
      </c>
      <c r="V189" s="46" t="n">
        <f aca="false">IF($M189="",0,IF(COUNTIF('Gap Sheet'!$A$6:$A$11,TRIM($L189))=0,0,IF($O189="R1",INDEX('Gap Sheet'!$C$6:$C$11,MATCH(TRIM($L189),'Gap Sheet'!$A$6:$A$11,0)),INDEX('Gap Sheet'!$G$6:$G$11,MATCH(TRIM($L189),'Gap Sheet'!$A$6:$A$11,0)))))</f>
        <v>0</v>
      </c>
      <c r="W189" s="46" t="str">
        <f aca="false">IF($M189="","",$M189&amp;"|"&amp;$O189)</f>
        <v/>
      </c>
      <c r="X189" s="46" t="n">
        <f aca="false">IF($W189="",0,COUNTIF($AA$4:$AA188,$W189))</f>
        <v>0</v>
      </c>
      <c r="Y189" s="46" t="str">
        <f aca="false">IF(OR($I189&lt;&gt;"Yes, I'm available for in-person interviews at Chennai",$E189&lt;&gt;"Yes",$T189="Yes",$U189&lt;&gt;"Yes"),"No",IF(($V189-$X189)&gt;0,"Yes","No"))</f>
        <v>No</v>
      </c>
      <c r="Z189" s="46" t="str">
        <f aca="false">IF($T189="Yes","Primary",IF($Y189="Yes","Secondary",""))</f>
        <v/>
      </c>
      <c r="AA189" s="46" t="str">
        <f aca="false">IF($Z189="Primary",$R189,IF($Z189="Secondary",$W189,""))</f>
        <v/>
      </c>
      <c r="AB189" s="46" t="str">
        <f aca="false">IF($Z189="Primary","Matched on primary skill",IF($Z189="Secondary","Matched on secondary skill (primary not approved or not required)",""))</f>
        <v/>
      </c>
      <c r="AC189" s="47" t="str">
        <f aca="false">IF($D189="Panel Details",$F189,"")</f>
        <v/>
      </c>
      <c r="AD189" s="46" t="str">
        <f aca="false">IF($D189="Panel Details",'Survey Response'!$D187,"")</f>
        <v/>
      </c>
      <c r="AE189" s="46" t="str">
        <f aca="false">IF($D189="Panel Details",'Survey Response'!$E187,"")</f>
        <v/>
      </c>
      <c r="AF189" s="46" t="str">
        <f aca="false">IF($D189="Panel Details",'Survey Response'!$G187,"")</f>
        <v/>
      </c>
      <c r="AG189" s="46" t="str">
        <f aca="false">IF($D189="Panel Details",IF($Z189="Primary",$J189,$L189),"")</f>
        <v/>
      </c>
      <c r="AH189" s="46" t="str">
        <f aca="false">IF($D189="Panel Details",IF($Z189="Primary",$L189,$J189),"")</f>
        <v/>
      </c>
      <c r="AI189" s="46" t="str">
        <f aca="false">IF($D189="Panel Details",'Survey Response'!$H187,"")</f>
        <v/>
      </c>
      <c r="AJ189" s="46" t="str">
        <f aca="false">IF($D189="Panel Details",'Survey Response'!$M187,"")</f>
        <v/>
      </c>
      <c r="AK189" s="46" t="str">
        <f aca="false">IF($D189="Panel Details",$O189,"")</f>
        <v/>
      </c>
      <c r="AL189" s="46" t="str">
        <f aca="false">IF($D189="Panel Details",8,"")</f>
        <v/>
      </c>
      <c r="AM189" s="46" t="str">
        <f aca="false">IF($D189="Panel Details",$AB189,"")</f>
        <v/>
      </c>
      <c r="AN189" s="46" t="str">
        <f aca="false">IF($D189="Panel Details","Yes","")</f>
        <v/>
      </c>
      <c r="AO189" s="46"/>
      <c r="AP189" s="46" t="str">
        <f aca="false">IF($D189="Followup",'Survey Response'!$D187,"")</f>
        <v/>
      </c>
      <c r="AQ189" s="46" t="str">
        <f aca="false">IF($D189="Followup",'Survey Response'!$E187,"")</f>
        <v/>
      </c>
      <c r="AR189" s="46" t="str">
        <f aca="false">IF($D189="Followup",'Survey Response'!$G187,"")</f>
        <v/>
      </c>
      <c r="AS189" s="46" t="str">
        <f aca="false">IF($D189="Followup",'Survey Response'!$H187,"")</f>
        <v/>
      </c>
      <c r="AT189" s="46" t="str">
        <f aca="false">IF($D189="Followup",'Survey Response'!$M187,"")</f>
        <v/>
      </c>
      <c r="AU189" s="46" t="str">
        <f aca="false">IF($D189="Followup",'Survey Response'!$K187,"")</f>
        <v/>
      </c>
      <c r="AV189" s="46" t="str">
        <f aca="false">IF($D189="Followup",'Survey Response'!$L187,"")</f>
        <v/>
      </c>
      <c r="AW189" s="46" t="str">
        <f aca="false">IF($D189="Followup",IF(AND($P189&lt;&gt;"Yes",$U189&lt;&gt;"Yes"),"Not approved for primary or secondary skill","Approved, but skill(s) no longer have capacity (fully staffed)"),"")</f>
        <v/>
      </c>
    </row>
    <row r="190" customFormat="false" ht="15" hidden="false" customHeight="true" outlineLevel="0" collapsed="false">
      <c r="A190" s="46" t="str">
        <f aca="false">IF('Survey Response'!$D188="","",'Survey Response'!$A188&amp;"|"&amp;LOWER(TRIM('Survey Response'!$D188)))</f>
        <v/>
      </c>
      <c r="B190" s="46" t="str">
        <f aca="false">IF($H190="","",$F190&amp;"|"&amp;$H190)</f>
        <v/>
      </c>
      <c r="C190" s="46" t="str">
        <f aca="false">IF($H190="","",$A190=$B190)</f>
        <v/>
      </c>
      <c r="D190" s="46" t="str">
        <f aca="false">IF($H190="","",IF($E190&lt;&gt;"Yes","Superseded",IF($I190&lt;&gt;"Yes, I'm available for in-person interviews at Chennai","Not Available",IF($Z190&lt;&gt;"","Panel Details","Followup"))))</f>
        <v/>
      </c>
      <c r="E190" s="46" t="str">
        <f aca="false">IF($H190="","",IF(SUMPRODUCT(($H$4:$H$503=$H190)*(($G$4:$G$503&gt;$G190)+($G$4:$G$503=$G190)*($F$4:$F$503&gt;$F190)))=0,"Yes","No"))</f>
        <v/>
      </c>
      <c r="F190" s="47" t="str">
        <f aca="false">IF('Survey Response'!$D188="","",INT('Survey Response'!$A188))</f>
        <v/>
      </c>
      <c r="G190" s="46" t="str">
        <f aca="false">IF('Survey Response'!$D188="","",'Survey Response'!$C188)</f>
        <v/>
      </c>
      <c r="H190" s="46" t="str">
        <f aca="false">IF('Survey Response'!$D188="","",LOWER(TRIM('Survey Response'!$D188)))</f>
        <v/>
      </c>
      <c r="I190" s="46" t="str">
        <f aca="false">IF($H190="","",'Survey Response'!$I188)</f>
        <v/>
      </c>
      <c r="J190" s="46" t="str">
        <f aca="false">IF($H190="","",'Survey Response'!$K188)</f>
        <v/>
      </c>
      <c r="K190" s="46" t="str">
        <f aca="false">IF($J190="","",IF(COUNTIF('Skill Mapping'!$A$2:$A$7,TRIM($J190))=0,"",INDEX('Skill Mapping'!$B$2:$B$7,MATCH(TRIM($J190),'Skill Mapping'!$A$2:$A$7,0))))</f>
        <v/>
      </c>
      <c r="L190" s="46" t="str">
        <f aca="false">IF($H190="","",'Survey Response'!$L188)</f>
        <v/>
      </c>
      <c r="M190" s="46" t="str">
        <f aca="false">IF($L190="","",IF(COUNTIF('Skill Mapping'!$A$2:$A$7,TRIM($L190))=0,"",INDEX('Skill Mapping'!$B$2:$B$7,MATCH(TRIM($L190),'Skill Mapping'!$A$2:$A$7,0))))</f>
        <v/>
      </c>
      <c r="N190" s="46" t="str">
        <f aca="false">IF($H190="","",'Survey Response'!$M188)</f>
        <v/>
      </c>
      <c r="O190" s="46" t="str">
        <f aca="false">IF($H190="","",IF('Survey Response'!$M188="Manager","R2","R1"))</f>
        <v/>
      </c>
      <c r="P190" s="46" t="str">
        <f aca="false">IF($K190="","No",IF(COUNTIFS(MasterPanel!$B:$B,$H190,MasterPanel!$I:$I,$K190,MasterPanel!$K:$K,"Y")&gt;0,"Yes","No"))</f>
        <v>No</v>
      </c>
      <c r="Q190" s="46" t="n">
        <f aca="false">IF($K190="",0,IF(COUNTIF('Gap Sheet'!$A$6:$A$11,TRIM($J190))=0,0,IF($O190="R1",INDEX('Gap Sheet'!$C$6:$C$11,MATCH(TRIM($J190),'Gap Sheet'!$A$6:$A$11,0)),INDEX('Gap Sheet'!$G$6:$G$11,MATCH(TRIM($J190),'Gap Sheet'!$A$6:$A$11,0)))))</f>
        <v>0</v>
      </c>
      <c r="R190" s="46" t="str">
        <f aca="false">IF($K190="","",$K190&amp;"|"&amp;$O190)</f>
        <v/>
      </c>
      <c r="S190" s="46" t="n">
        <f aca="false">IF($R190="",0,COUNTIF($AA$4:$AA189,$R190))</f>
        <v>0</v>
      </c>
      <c r="T190" s="46" t="str">
        <f aca="false">IF(OR($I190&lt;&gt;"Yes, I'm available for in-person interviews at Chennai",$E190&lt;&gt;"Yes",$P190&lt;&gt;"Yes"),"No",IF(($Q190-$S190)&gt;0,"Yes","No"))</f>
        <v>No</v>
      </c>
      <c r="U190" s="46" t="str">
        <f aca="false">IF($M190="","No",IF(COUNTIFS(MasterPanel!$B:$B,$H190,MasterPanel!$I:$I,$M190,MasterPanel!$K:$K,"Y")&gt;0,"Yes","No"))</f>
        <v>No</v>
      </c>
      <c r="V190" s="46" t="n">
        <f aca="false">IF($M190="",0,IF(COUNTIF('Gap Sheet'!$A$6:$A$11,TRIM($L190))=0,0,IF($O190="R1",INDEX('Gap Sheet'!$C$6:$C$11,MATCH(TRIM($L190),'Gap Sheet'!$A$6:$A$11,0)),INDEX('Gap Sheet'!$G$6:$G$11,MATCH(TRIM($L190),'Gap Sheet'!$A$6:$A$11,0)))))</f>
        <v>0</v>
      </c>
      <c r="W190" s="46" t="str">
        <f aca="false">IF($M190="","",$M190&amp;"|"&amp;$O190)</f>
        <v/>
      </c>
      <c r="X190" s="46" t="n">
        <f aca="false">IF($W190="",0,COUNTIF($AA$4:$AA189,$W190))</f>
        <v>0</v>
      </c>
      <c r="Y190" s="46" t="str">
        <f aca="false">IF(OR($I190&lt;&gt;"Yes, I'm available for in-person interviews at Chennai",$E190&lt;&gt;"Yes",$T190="Yes",$U190&lt;&gt;"Yes"),"No",IF(($V190-$X190)&gt;0,"Yes","No"))</f>
        <v>No</v>
      </c>
      <c r="Z190" s="46" t="str">
        <f aca="false">IF($T190="Yes","Primary",IF($Y190="Yes","Secondary",""))</f>
        <v/>
      </c>
      <c r="AA190" s="46" t="str">
        <f aca="false">IF($Z190="Primary",$R190,IF($Z190="Secondary",$W190,""))</f>
        <v/>
      </c>
      <c r="AB190" s="46" t="str">
        <f aca="false">IF($Z190="Primary","Matched on primary skill",IF($Z190="Secondary","Matched on secondary skill (primary not approved or not required)",""))</f>
        <v/>
      </c>
      <c r="AC190" s="47" t="str">
        <f aca="false">IF($D190="Panel Details",$F190,"")</f>
        <v/>
      </c>
      <c r="AD190" s="46" t="str">
        <f aca="false">IF($D190="Panel Details",'Survey Response'!$D188,"")</f>
        <v/>
      </c>
      <c r="AE190" s="46" t="str">
        <f aca="false">IF($D190="Panel Details",'Survey Response'!$E188,"")</f>
        <v/>
      </c>
      <c r="AF190" s="46" t="str">
        <f aca="false">IF($D190="Panel Details",'Survey Response'!$G188,"")</f>
        <v/>
      </c>
      <c r="AG190" s="46" t="str">
        <f aca="false">IF($D190="Panel Details",IF($Z190="Primary",$J190,$L190),"")</f>
        <v/>
      </c>
      <c r="AH190" s="46" t="str">
        <f aca="false">IF($D190="Panel Details",IF($Z190="Primary",$L190,$J190),"")</f>
        <v/>
      </c>
      <c r="AI190" s="46" t="str">
        <f aca="false">IF($D190="Panel Details",'Survey Response'!$H188,"")</f>
        <v/>
      </c>
      <c r="AJ190" s="46" t="str">
        <f aca="false">IF($D190="Panel Details",'Survey Response'!$M188,"")</f>
        <v/>
      </c>
      <c r="AK190" s="46" t="str">
        <f aca="false">IF($D190="Panel Details",$O190,"")</f>
        <v/>
      </c>
      <c r="AL190" s="46" t="str">
        <f aca="false">IF($D190="Panel Details",8,"")</f>
        <v/>
      </c>
      <c r="AM190" s="46" t="str">
        <f aca="false">IF($D190="Panel Details",$AB190,"")</f>
        <v/>
      </c>
      <c r="AN190" s="46" t="str">
        <f aca="false">IF($D190="Panel Details","Yes","")</f>
        <v/>
      </c>
      <c r="AO190" s="46"/>
      <c r="AP190" s="46" t="str">
        <f aca="false">IF($D190="Followup",'Survey Response'!$D188,"")</f>
        <v/>
      </c>
      <c r="AQ190" s="46" t="str">
        <f aca="false">IF($D190="Followup",'Survey Response'!$E188,"")</f>
        <v/>
      </c>
      <c r="AR190" s="46" t="str">
        <f aca="false">IF($D190="Followup",'Survey Response'!$G188,"")</f>
        <v/>
      </c>
      <c r="AS190" s="46" t="str">
        <f aca="false">IF($D190="Followup",'Survey Response'!$H188,"")</f>
        <v/>
      </c>
      <c r="AT190" s="46" t="str">
        <f aca="false">IF($D190="Followup",'Survey Response'!$M188,"")</f>
        <v/>
      </c>
      <c r="AU190" s="46" t="str">
        <f aca="false">IF($D190="Followup",'Survey Response'!$K188,"")</f>
        <v/>
      </c>
      <c r="AV190" s="46" t="str">
        <f aca="false">IF($D190="Followup",'Survey Response'!$L188,"")</f>
        <v/>
      </c>
      <c r="AW190" s="46" t="str">
        <f aca="false">IF($D190="Followup",IF(AND($P190&lt;&gt;"Yes",$U190&lt;&gt;"Yes"),"Not approved for primary or secondary skill","Approved, but skill(s) no longer have capacity (fully staffed)"),"")</f>
        <v/>
      </c>
    </row>
    <row r="191" customFormat="false" ht="15" hidden="false" customHeight="true" outlineLevel="0" collapsed="false">
      <c r="A191" s="46" t="str">
        <f aca="false">IF('Survey Response'!$D189="","",'Survey Response'!$A189&amp;"|"&amp;LOWER(TRIM('Survey Response'!$D189)))</f>
        <v/>
      </c>
      <c r="B191" s="46" t="str">
        <f aca="false">IF($H191="","",$F191&amp;"|"&amp;$H191)</f>
        <v/>
      </c>
      <c r="C191" s="46" t="str">
        <f aca="false">IF($H191="","",$A191=$B191)</f>
        <v/>
      </c>
      <c r="D191" s="46" t="str">
        <f aca="false">IF($H191="","",IF($E191&lt;&gt;"Yes","Superseded",IF($I191&lt;&gt;"Yes, I'm available for in-person interviews at Chennai","Not Available",IF($Z191&lt;&gt;"","Panel Details","Followup"))))</f>
        <v/>
      </c>
      <c r="E191" s="46" t="str">
        <f aca="false">IF($H191="","",IF(SUMPRODUCT(($H$4:$H$503=$H191)*(($G$4:$G$503&gt;$G191)+($G$4:$G$503=$G191)*($F$4:$F$503&gt;$F191)))=0,"Yes","No"))</f>
        <v/>
      </c>
      <c r="F191" s="47" t="str">
        <f aca="false">IF('Survey Response'!$D189="","",INT('Survey Response'!$A189))</f>
        <v/>
      </c>
      <c r="G191" s="46" t="str">
        <f aca="false">IF('Survey Response'!$D189="","",'Survey Response'!$C189)</f>
        <v/>
      </c>
      <c r="H191" s="46" t="str">
        <f aca="false">IF('Survey Response'!$D189="","",LOWER(TRIM('Survey Response'!$D189)))</f>
        <v/>
      </c>
      <c r="I191" s="46" t="str">
        <f aca="false">IF($H191="","",'Survey Response'!$I189)</f>
        <v/>
      </c>
      <c r="J191" s="46" t="str">
        <f aca="false">IF($H191="","",'Survey Response'!$K189)</f>
        <v/>
      </c>
      <c r="K191" s="46" t="str">
        <f aca="false">IF($J191="","",IF(COUNTIF('Skill Mapping'!$A$2:$A$7,TRIM($J191))=0,"",INDEX('Skill Mapping'!$B$2:$B$7,MATCH(TRIM($J191),'Skill Mapping'!$A$2:$A$7,0))))</f>
        <v/>
      </c>
      <c r="L191" s="46" t="str">
        <f aca="false">IF($H191="","",'Survey Response'!$L189)</f>
        <v/>
      </c>
      <c r="M191" s="46" t="str">
        <f aca="false">IF($L191="","",IF(COUNTIF('Skill Mapping'!$A$2:$A$7,TRIM($L191))=0,"",INDEX('Skill Mapping'!$B$2:$B$7,MATCH(TRIM($L191),'Skill Mapping'!$A$2:$A$7,0))))</f>
        <v/>
      </c>
      <c r="N191" s="46" t="str">
        <f aca="false">IF($H191="","",'Survey Response'!$M189)</f>
        <v/>
      </c>
      <c r="O191" s="46" t="str">
        <f aca="false">IF($H191="","",IF('Survey Response'!$M189="Manager","R2","R1"))</f>
        <v/>
      </c>
      <c r="P191" s="46" t="str">
        <f aca="false">IF($K191="","No",IF(COUNTIFS(MasterPanel!$B:$B,$H191,MasterPanel!$I:$I,$K191,MasterPanel!$K:$K,"Y")&gt;0,"Yes","No"))</f>
        <v>No</v>
      </c>
      <c r="Q191" s="46" t="n">
        <f aca="false">IF($K191="",0,IF(COUNTIF('Gap Sheet'!$A$6:$A$11,TRIM($J191))=0,0,IF($O191="R1",INDEX('Gap Sheet'!$C$6:$C$11,MATCH(TRIM($J191),'Gap Sheet'!$A$6:$A$11,0)),INDEX('Gap Sheet'!$G$6:$G$11,MATCH(TRIM($J191),'Gap Sheet'!$A$6:$A$11,0)))))</f>
        <v>0</v>
      </c>
      <c r="R191" s="46" t="str">
        <f aca="false">IF($K191="","",$K191&amp;"|"&amp;$O191)</f>
        <v/>
      </c>
      <c r="S191" s="46" t="n">
        <f aca="false">IF($R191="",0,COUNTIF($AA$4:$AA190,$R191))</f>
        <v>0</v>
      </c>
      <c r="T191" s="46" t="str">
        <f aca="false">IF(OR($I191&lt;&gt;"Yes, I'm available for in-person interviews at Chennai",$E191&lt;&gt;"Yes",$P191&lt;&gt;"Yes"),"No",IF(($Q191-$S191)&gt;0,"Yes","No"))</f>
        <v>No</v>
      </c>
      <c r="U191" s="46" t="str">
        <f aca="false">IF($M191="","No",IF(COUNTIFS(MasterPanel!$B:$B,$H191,MasterPanel!$I:$I,$M191,MasterPanel!$K:$K,"Y")&gt;0,"Yes","No"))</f>
        <v>No</v>
      </c>
      <c r="V191" s="46" t="n">
        <f aca="false">IF($M191="",0,IF(COUNTIF('Gap Sheet'!$A$6:$A$11,TRIM($L191))=0,0,IF($O191="R1",INDEX('Gap Sheet'!$C$6:$C$11,MATCH(TRIM($L191),'Gap Sheet'!$A$6:$A$11,0)),INDEX('Gap Sheet'!$G$6:$G$11,MATCH(TRIM($L191),'Gap Sheet'!$A$6:$A$11,0)))))</f>
        <v>0</v>
      </c>
      <c r="W191" s="46" t="str">
        <f aca="false">IF($M191="","",$M191&amp;"|"&amp;$O191)</f>
        <v/>
      </c>
      <c r="X191" s="46" t="n">
        <f aca="false">IF($W191="",0,COUNTIF($AA$4:$AA190,$W191))</f>
        <v>0</v>
      </c>
      <c r="Y191" s="46" t="str">
        <f aca="false">IF(OR($I191&lt;&gt;"Yes, I'm available for in-person interviews at Chennai",$E191&lt;&gt;"Yes",$T191="Yes",$U191&lt;&gt;"Yes"),"No",IF(($V191-$X191)&gt;0,"Yes","No"))</f>
        <v>No</v>
      </c>
      <c r="Z191" s="46" t="str">
        <f aca="false">IF($T191="Yes","Primary",IF($Y191="Yes","Secondary",""))</f>
        <v/>
      </c>
      <c r="AA191" s="46" t="str">
        <f aca="false">IF($Z191="Primary",$R191,IF($Z191="Secondary",$W191,""))</f>
        <v/>
      </c>
      <c r="AB191" s="46" t="str">
        <f aca="false">IF($Z191="Primary","Matched on primary skill",IF($Z191="Secondary","Matched on secondary skill (primary not approved or not required)",""))</f>
        <v/>
      </c>
      <c r="AC191" s="47" t="str">
        <f aca="false">IF($D191="Panel Details",$F191,"")</f>
        <v/>
      </c>
      <c r="AD191" s="46" t="str">
        <f aca="false">IF($D191="Panel Details",'Survey Response'!$D189,"")</f>
        <v/>
      </c>
      <c r="AE191" s="46" t="str">
        <f aca="false">IF($D191="Panel Details",'Survey Response'!$E189,"")</f>
        <v/>
      </c>
      <c r="AF191" s="46" t="str">
        <f aca="false">IF($D191="Panel Details",'Survey Response'!$G189,"")</f>
        <v/>
      </c>
      <c r="AG191" s="46" t="str">
        <f aca="false">IF($D191="Panel Details",IF($Z191="Primary",$J191,$L191),"")</f>
        <v/>
      </c>
      <c r="AH191" s="46" t="str">
        <f aca="false">IF($D191="Panel Details",IF($Z191="Primary",$L191,$J191),"")</f>
        <v/>
      </c>
      <c r="AI191" s="46" t="str">
        <f aca="false">IF($D191="Panel Details",'Survey Response'!$H189,"")</f>
        <v/>
      </c>
      <c r="AJ191" s="46" t="str">
        <f aca="false">IF($D191="Panel Details",'Survey Response'!$M189,"")</f>
        <v/>
      </c>
      <c r="AK191" s="46" t="str">
        <f aca="false">IF($D191="Panel Details",$O191,"")</f>
        <v/>
      </c>
      <c r="AL191" s="46" t="str">
        <f aca="false">IF($D191="Panel Details",8,"")</f>
        <v/>
      </c>
      <c r="AM191" s="46" t="str">
        <f aca="false">IF($D191="Panel Details",$AB191,"")</f>
        <v/>
      </c>
      <c r="AN191" s="46" t="str">
        <f aca="false">IF($D191="Panel Details","Yes","")</f>
        <v/>
      </c>
      <c r="AO191" s="46"/>
      <c r="AP191" s="46" t="str">
        <f aca="false">IF($D191="Followup",'Survey Response'!$D189,"")</f>
        <v/>
      </c>
      <c r="AQ191" s="46" t="str">
        <f aca="false">IF($D191="Followup",'Survey Response'!$E189,"")</f>
        <v/>
      </c>
      <c r="AR191" s="46" t="str">
        <f aca="false">IF($D191="Followup",'Survey Response'!$G189,"")</f>
        <v/>
      </c>
      <c r="AS191" s="46" t="str">
        <f aca="false">IF($D191="Followup",'Survey Response'!$H189,"")</f>
        <v/>
      </c>
      <c r="AT191" s="46" t="str">
        <f aca="false">IF($D191="Followup",'Survey Response'!$M189,"")</f>
        <v/>
      </c>
      <c r="AU191" s="46" t="str">
        <f aca="false">IF($D191="Followup",'Survey Response'!$K189,"")</f>
        <v/>
      </c>
      <c r="AV191" s="46" t="str">
        <f aca="false">IF($D191="Followup",'Survey Response'!$L189,"")</f>
        <v/>
      </c>
      <c r="AW191" s="46" t="str">
        <f aca="false">IF($D191="Followup",IF(AND($P191&lt;&gt;"Yes",$U191&lt;&gt;"Yes"),"Not approved for primary or secondary skill","Approved, but skill(s) no longer have capacity (fully staffed)"),"")</f>
        <v/>
      </c>
    </row>
    <row r="192" customFormat="false" ht="15" hidden="false" customHeight="true" outlineLevel="0" collapsed="false">
      <c r="A192" s="46" t="str">
        <f aca="false">IF('Survey Response'!$D190="","",'Survey Response'!$A190&amp;"|"&amp;LOWER(TRIM('Survey Response'!$D190)))</f>
        <v/>
      </c>
      <c r="B192" s="46" t="str">
        <f aca="false">IF($H192="","",$F192&amp;"|"&amp;$H192)</f>
        <v/>
      </c>
      <c r="C192" s="46" t="str">
        <f aca="false">IF($H192="","",$A192=$B192)</f>
        <v/>
      </c>
      <c r="D192" s="46" t="str">
        <f aca="false">IF($H192="","",IF($E192&lt;&gt;"Yes","Superseded",IF($I192&lt;&gt;"Yes, I'm available for in-person interviews at Chennai","Not Available",IF($Z192&lt;&gt;"","Panel Details","Followup"))))</f>
        <v/>
      </c>
      <c r="E192" s="46" t="str">
        <f aca="false">IF($H192="","",IF(SUMPRODUCT(($H$4:$H$503=$H192)*(($G$4:$G$503&gt;$G192)+($G$4:$G$503=$G192)*($F$4:$F$503&gt;$F192)))=0,"Yes","No"))</f>
        <v/>
      </c>
      <c r="F192" s="47" t="str">
        <f aca="false">IF('Survey Response'!$D190="","",INT('Survey Response'!$A190))</f>
        <v/>
      </c>
      <c r="G192" s="46" t="str">
        <f aca="false">IF('Survey Response'!$D190="","",'Survey Response'!$C190)</f>
        <v/>
      </c>
      <c r="H192" s="46" t="str">
        <f aca="false">IF('Survey Response'!$D190="","",LOWER(TRIM('Survey Response'!$D190)))</f>
        <v/>
      </c>
      <c r="I192" s="46" t="str">
        <f aca="false">IF($H192="","",'Survey Response'!$I190)</f>
        <v/>
      </c>
      <c r="J192" s="46" t="str">
        <f aca="false">IF($H192="","",'Survey Response'!$K190)</f>
        <v/>
      </c>
      <c r="K192" s="46" t="str">
        <f aca="false">IF($J192="","",IF(COUNTIF('Skill Mapping'!$A$2:$A$7,TRIM($J192))=0,"",INDEX('Skill Mapping'!$B$2:$B$7,MATCH(TRIM($J192),'Skill Mapping'!$A$2:$A$7,0))))</f>
        <v/>
      </c>
      <c r="L192" s="46" t="str">
        <f aca="false">IF($H192="","",'Survey Response'!$L190)</f>
        <v/>
      </c>
      <c r="M192" s="46" t="str">
        <f aca="false">IF($L192="","",IF(COUNTIF('Skill Mapping'!$A$2:$A$7,TRIM($L192))=0,"",INDEX('Skill Mapping'!$B$2:$B$7,MATCH(TRIM($L192),'Skill Mapping'!$A$2:$A$7,0))))</f>
        <v/>
      </c>
      <c r="N192" s="46" t="str">
        <f aca="false">IF($H192="","",'Survey Response'!$M190)</f>
        <v/>
      </c>
      <c r="O192" s="46" t="str">
        <f aca="false">IF($H192="","",IF('Survey Response'!$M190="Manager","R2","R1"))</f>
        <v/>
      </c>
      <c r="P192" s="46" t="str">
        <f aca="false">IF($K192="","No",IF(COUNTIFS(MasterPanel!$B:$B,$H192,MasterPanel!$I:$I,$K192,MasterPanel!$K:$K,"Y")&gt;0,"Yes","No"))</f>
        <v>No</v>
      </c>
      <c r="Q192" s="46" t="n">
        <f aca="false">IF($K192="",0,IF(COUNTIF('Gap Sheet'!$A$6:$A$11,TRIM($J192))=0,0,IF($O192="R1",INDEX('Gap Sheet'!$C$6:$C$11,MATCH(TRIM($J192),'Gap Sheet'!$A$6:$A$11,0)),INDEX('Gap Sheet'!$G$6:$G$11,MATCH(TRIM($J192),'Gap Sheet'!$A$6:$A$11,0)))))</f>
        <v>0</v>
      </c>
      <c r="R192" s="46" t="str">
        <f aca="false">IF($K192="","",$K192&amp;"|"&amp;$O192)</f>
        <v/>
      </c>
      <c r="S192" s="46" t="n">
        <f aca="false">IF($R192="",0,COUNTIF($AA$4:$AA191,$R192))</f>
        <v>0</v>
      </c>
      <c r="T192" s="46" t="str">
        <f aca="false">IF(OR($I192&lt;&gt;"Yes, I'm available for in-person interviews at Chennai",$E192&lt;&gt;"Yes",$P192&lt;&gt;"Yes"),"No",IF(($Q192-$S192)&gt;0,"Yes","No"))</f>
        <v>No</v>
      </c>
      <c r="U192" s="46" t="str">
        <f aca="false">IF($M192="","No",IF(COUNTIFS(MasterPanel!$B:$B,$H192,MasterPanel!$I:$I,$M192,MasterPanel!$K:$K,"Y")&gt;0,"Yes","No"))</f>
        <v>No</v>
      </c>
      <c r="V192" s="46" t="n">
        <f aca="false">IF($M192="",0,IF(COUNTIF('Gap Sheet'!$A$6:$A$11,TRIM($L192))=0,0,IF($O192="R1",INDEX('Gap Sheet'!$C$6:$C$11,MATCH(TRIM($L192),'Gap Sheet'!$A$6:$A$11,0)),INDEX('Gap Sheet'!$G$6:$G$11,MATCH(TRIM($L192),'Gap Sheet'!$A$6:$A$11,0)))))</f>
        <v>0</v>
      </c>
      <c r="W192" s="46" t="str">
        <f aca="false">IF($M192="","",$M192&amp;"|"&amp;$O192)</f>
        <v/>
      </c>
      <c r="X192" s="46" t="n">
        <f aca="false">IF($W192="",0,COUNTIF($AA$4:$AA191,$W192))</f>
        <v>0</v>
      </c>
      <c r="Y192" s="46" t="str">
        <f aca="false">IF(OR($I192&lt;&gt;"Yes, I'm available for in-person interviews at Chennai",$E192&lt;&gt;"Yes",$T192="Yes",$U192&lt;&gt;"Yes"),"No",IF(($V192-$X192)&gt;0,"Yes","No"))</f>
        <v>No</v>
      </c>
      <c r="Z192" s="46" t="str">
        <f aca="false">IF($T192="Yes","Primary",IF($Y192="Yes","Secondary",""))</f>
        <v/>
      </c>
      <c r="AA192" s="46" t="str">
        <f aca="false">IF($Z192="Primary",$R192,IF($Z192="Secondary",$W192,""))</f>
        <v/>
      </c>
      <c r="AB192" s="46" t="str">
        <f aca="false">IF($Z192="Primary","Matched on primary skill",IF($Z192="Secondary","Matched on secondary skill (primary not approved or not required)",""))</f>
        <v/>
      </c>
      <c r="AC192" s="47" t="str">
        <f aca="false">IF($D192="Panel Details",$F192,"")</f>
        <v/>
      </c>
      <c r="AD192" s="46" t="str">
        <f aca="false">IF($D192="Panel Details",'Survey Response'!$D190,"")</f>
        <v/>
      </c>
      <c r="AE192" s="46" t="str">
        <f aca="false">IF($D192="Panel Details",'Survey Response'!$E190,"")</f>
        <v/>
      </c>
      <c r="AF192" s="46" t="str">
        <f aca="false">IF($D192="Panel Details",'Survey Response'!$G190,"")</f>
        <v/>
      </c>
      <c r="AG192" s="46" t="str">
        <f aca="false">IF($D192="Panel Details",IF($Z192="Primary",$J192,$L192),"")</f>
        <v/>
      </c>
      <c r="AH192" s="46" t="str">
        <f aca="false">IF($D192="Panel Details",IF($Z192="Primary",$L192,$J192),"")</f>
        <v/>
      </c>
      <c r="AI192" s="46" t="str">
        <f aca="false">IF($D192="Panel Details",'Survey Response'!$H190,"")</f>
        <v/>
      </c>
      <c r="AJ192" s="46" t="str">
        <f aca="false">IF($D192="Panel Details",'Survey Response'!$M190,"")</f>
        <v/>
      </c>
      <c r="AK192" s="46" t="str">
        <f aca="false">IF($D192="Panel Details",$O192,"")</f>
        <v/>
      </c>
      <c r="AL192" s="46" t="str">
        <f aca="false">IF($D192="Panel Details",8,"")</f>
        <v/>
      </c>
      <c r="AM192" s="46" t="str">
        <f aca="false">IF($D192="Panel Details",$AB192,"")</f>
        <v/>
      </c>
      <c r="AN192" s="46" t="str">
        <f aca="false">IF($D192="Panel Details","Yes","")</f>
        <v/>
      </c>
      <c r="AO192" s="46"/>
      <c r="AP192" s="46" t="str">
        <f aca="false">IF($D192="Followup",'Survey Response'!$D190,"")</f>
        <v/>
      </c>
      <c r="AQ192" s="46" t="str">
        <f aca="false">IF($D192="Followup",'Survey Response'!$E190,"")</f>
        <v/>
      </c>
      <c r="AR192" s="46" t="str">
        <f aca="false">IF($D192="Followup",'Survey Response'!$G190,"")</f>
        <v/>
      </c>
      <c r="AS192" s="46" t="str">
        <f aca="false">IF($D192="Followup",'Survey Response'!$H190,"")</f>
        <v/>
      </c>
      <c r="AT192" s="46" t="str">
        <f aca="false">IF($D192="Followup",'Survey Response'!$M190,"")</f>
        <v/>
      </c>
      <c r="AU192" s="46" t="str">
        <f aca="false">IF($D192="Followup",'Survey Response'!$K190,"")</f>
        <v/>
      </c>
      <c r="AV192" s="46" t="str">
        <f aca="false">IF($D192="Followup",'Survey Response'!$L190,"")</f>
        <v/>
      </c>
      <c r="AW192" s="46" t="str">
        <f aca="false">IF($D192="Followup",IF(AND($P192&lt;&gt;"Yes",$U192&lt;&gt;"Yes"),"Not approved for primary or secondary skill","Approved, but skill(s) no longer have capacity (fully staffed)"),"")</f>
        <v/>
      </c>
    </row>
    <row r="193" customFormat="false" ht="15" hidden="false" customHeight="true" outlineLevel="0" collapsed="false">
      <c r="A193" s="46" t="str">
        <f aca="false">IF('Survey Response'!$D191="","",'Survey Response'!$A191&amp;"|"&amp;LOWER(TRIM('Survey Response'!$D191)))</f>
        <v/>
      </c>
      <c r="B193" s="46" t="str">
        <f aca="false">IF($H193="","",$F193&amp;"|"&amp;$H193)</f>
        <v/>
      </c>
      <c r="C193" s="46" t="str">
        <f aca="false">IF($H193="","",$A193=$B193)</f>
        <v/>
      </c>
      <c r="D193" s="46" t="str">
        <f aca="false">IF($H193="","",IF($E193&lt;&gt;"Yes","Superseded",IF($I193&lt;&gt;"Yes, I'm available for in-person interviews at Chennai","Not Available",IF($Z193&lt;&gt;"","Panel Details","Followup"))))</f>
        <v/>
      </c>
      <c r="E193" s="46" t="str">
        <f aca="false">IF($H193="","",IF(SUMPRODUCT(($H$4:$H$503=$H193)*(($G$4:$G$503&gt;$G193)+($G$4:$G$503=$G193)*($F$4:$F$503&gt;$F193)))=0,"Yes","No"))</f>
        <v/>
      </c>
      <c r="F193" s="47" t="str">
        <f aca="false">IF('Survey Response'!$D191="","",INT('Survey Response'!$A191))</f>
        <v/>
      </c>
      <c r="G193" s="46" t="str">
        <f aca="false">IF('Survey Response'!$D191="","",'Survey Response'!$C191)</f>
        <v/>
      </c>
      <c r="H193" s="46" t="str">
        <f aca="false">IF('Survey Response'!$D191="","",LOWER(TRIM('Survey Response'!$D191)))</f>
        <v/>
      </c>
      <c r="I193" s="46" t="str">
        <f aca="false">IF($H193="","",'Survey Response'!$I191)</f>
        <v/>
      </c>
      <c r="J193" s="46" t="str">
        <f aca="false">IF($H193="","",'Survey Response'!$K191)</f>
        <v/>
      </c>
      <c r="K193" s="46" t="str">
        <f aca="false">IF($J193="","",IF(COUNTIF('Skill Mapping'!$A$2:$A$7,TRIM($J193))=0,"",INDEX('Skill Mapping'!$B$2:$B$7,MATCH(TRIM($J193),'Skill Mapping'!$A$2:$A$7,0))))</f>
        <v/>
      </c>
      <c r="L193" s="46" t="str">
        <f aca="false">IF($H193="","",'Survey Response'!$L191)</f>
        <v/>
      </c>
      <c r="M193" s="46" t="str">
        <f aca="false">IF($L193="","",IF(COUNTIF('Skill Mapping'!$A$2:$A$7,TRIM($L193))=0,"",INDEX('Skill Mapping'!$B$2:$B$7,MATCH(TRIM($L193),'Skill Mapping'!$A$2:$A$7,0))))</f>
        <v/>
      </c>
      <c r="N193" s="46" t="str">
        <f aca="false">IF($H193="","",'Survey Response'!$M191)</f>
        <v/>
      </c>
      <c r="O193" s="46" t="str">
        <f aca="false">IF($H193="","",IF('Survey Response'!$M191="Manager","R2","R1"))</f>
        <v/>
      </c>
      <c r="P193" s="46" t="str">
        <f aca="false">IF($K193="","No",IF(COUNTIFS(MasterPanel!$B:$B,$H193,MasterPanel!$I:$I,$K193,MasterPanel!$K:$K,"Y")&gt;0,"Yes","No"))</f>
        <v>No</v>
      </c>
      <c r="Q193" s="46" t="n">
        <f aca="false">IF($K193="",0,IF(COUNTIF('Gap Sheet'!$A$6:$A$11,TRIM($J193))=0,0,IF($O193="R1",INDEX('Gap Sheet'!$C$6:$C$11,MATCH(TRIM($J193),'Gap Sheet'!$A$6:$A$11,0)),INDEX('Gap Sheet'!$G$6:$G$11,MATCH(TRIM($J193),'Gap Sheet'!$A$6:$A$11,0)))))</f>
        <v>0</v>
      </c>
      <c r="R193" s="46" t="str">
        <f aca="false">IF($K193="","",$K193&amp;"|"&amp;$O193)</f>
        <v/>
      </c>
      <c r="S193" s="46" t="n">
        <f aca="false">IF($R193="",0,COUNTIF($AA$4:$AA192,$R193))</f>
        <v>0</v>
      </c>
      <c r="T193" s="46" t="str">
        <f aca="false">IF(OR($I193&lt;&gt;"Yes, I'm available for in-person interviews at Chennai",$E193&lt;&gt;"Yes",$P193&lt;&gt;"Yes"),"No",IF(($Q193-$S193)&gt;0,"Yes","No"))</f>
        <v>No</v>
      </c>
      <c r="U193" s="46" t="str">
        <f aca="false">IF($M193="","No",IF(COUNTIFS(MasterPanel!$B:$B,$H193,MasterPanel!$I:$I,$M193,MasterPanel!$K:$K,"Y")&gt;0,"Yes","No"))</f>
        <v>No</v>
      </c>
      <c r="V193" s="46" t="n">
        <f aca="false">IF($M193="",0,IF(COUNTIF('Gap Sheet'!$A$6:$A$11,TRIM($L193))=0,0,IF($O193="R1",INDEX('Gap Sheet'!$C$6:$C$11,MATCH(TRIM($L193),'Gap Sheet'!$A$6:$A$11,0)),INDEX('Gap Sheet'!$G$6:$G$11,MATCH(TRIM($L193),'Gap Sheet'!$A$6:$A$11,0)))))</f>
        <v>0</v>
      </c>
      <c r="W193" s="46" t="str">
        <f aca="false">IF($M193="","",$M193&amp;"|"&amp;$O193)</f>
        <v/>
      </c>
      <c r="X193" s="46" t="n">
        <f aca="false">IF($W193="",0,COUNTIF($AA$4:$AA192,$W193))</f>
        <v>0</v>
      </c>
      <c r="Y193" s="46" t="str">
        <f aca="false">IF(OR($I193&lt;&gt;"Yes, I'm available for in-person interviews at Chennai",$E193&lt;&gt;"Yes",$T193="Yes",$U193&lt;&gt;"Yes"),"No",IF(($V193-$X193)&gt;0,"Yes","No"))</f>
        <v>No</v>
      </c>
      <c r="Z193" s="46" t="str">
        <f aca="false">IF($T193="Yes","Primary",IF($Y193="Yes","Secondary",""))</f>
        <v/>
      </c>
      <c r="AA193" s="46" t="str">
        <f aca="false">IF($Z193="Primary",$R193,IF($Z193="Secondary",$W193,""))</f>
        <v/>
      </c>
      <c r="AB193" s="46" t="str">
        <f aca="false">IF($Z193="Primary","Matched on primary skill",IF($Z193="Secondary","Matched on secondary skill (primary not approved or not required)",""))</f>
        <v/>
      </c>
      <c r="AC193" s="47" t="str">
        <f aca="false">IF($D193="Panel Details",$F193,"")</f>
        <v/>
      </c>
      <c r="AD193" s="46" t="str">
        <f aca="false">IF($D193="Panel Details",'Survey Response'!$D191,"")</f>
        <v/>
      </c>
      <c r="AE193" s="46" t="str">
        <f aca="false">IF($D193="Panel Details",'Survey Response'!$E191,"")</f>
        <v/>
      </c>
      <c r="AF193" s="46" t="str">
        <f aca="false">IF($D193="Panel Details",'Survey Response'!$G191,"")</f>
        <v/>
      </c>
      <c r="AG193" s="46" t="str">
        <f aca="false">IF($D193="Panel Details",IF($Z193="Primary",$J193,$L193),"")</f>
        <v/>
      </c>
      <c r="AH193" s="46" t="str">
        <f aca="false">IF($D193="Panel Details",IF($Z193="Primary",$L193,$J193),"")</f>
        <v/>
      </c>
      <c r="AI193" s="46" t="str">
        <f aca="false">IF($D193="Panel Details",'Survey Response'!$H191,"")</f>
        <v/>
      </c>
      <c r="AJ193" s="46" t="str">
        <f aca="false">IF($D193="Panel Details",'Survey Response'!$M191,"")</f>
        <v/>
      </c>
      <c r="AK193" s="46" t="str">
        <f aca="false">IF($D193="Panel Details",$O193,"")</f>
        <v/>
      </c>
      <c r="AL193" s="46" t="str">
        <f aca="false">IF($D193="Panel Details",8,"")</f>
        <v/>
      </c>
      <c r="AM193" s="46" t="str">
        <f aca="false">IF($D193="Panel Details",$AB193,"")</f>
        <v/>
      </c>
      <c r="AN193" s="46" t="str">
        <f aca="false">IF($D193="Panel Details","Yes","")</f>
        <v/>
      </c>
      <c r="AO193" s="46"/>
      <c r="AP193" s="46" t="str">
        <f aca="false">IF($D193="Followup",'Survey Response'!$D191,"")</f>
        <v/>
      </c>
      <c r="AQ193" s="46" t="str">
        <f aca="false">IF($D193="Followup",'Survey Response'!$E191,"")</f>
        <v/>
      </c>
      <c r="AR193" s="46" t="str">
        <f aca="false">IF($D193="Followup",'Survey Response'!$G191,"")</f>
        <v/>
      </c>
      <c r="AS193" s="46" t="str">
        <f aca="false">IF($D193="Followup",'Survey Response'!$H191,"")</f>
        <v/>
      </c>
      <c r="AT193" s="46" t="str">
        <f aca="false">IF($D193="Followup",'Survey Response'!$M191,"")</f>
        <v/>
      </c>
      <c r="AU193" s="46" t="str">
        <f aca="false">IF($D193="Followup",'Survey Response'!$K191,"")</f>
        <v/>
      </c>
      <c r="AV193" s="46" t="str">
        <f aca="false">IF($D193="Followup",'Survey Response'!$L191,"")</f>
        <v/>
      </c>
      <c r="AW193" s="46" t="str">
        <f aca="false">IF($D193="Followup",IF(AND($P193&lt;&gt;"Yes",$U193&lt;&gt;"Yes"),"Not approved for primary or secondary skill","Approved, but skill(s) no longer have capacity (fully staffed)"),"")</f>
        <v/>
      </c>
    </row>
    <row r="194" customFormat="false" ht="15" hidden="false" customHeight="true" outlineLevel="0" collapsed="false">
      <c r="A194" s="46" t="str">
        <f aca="false">IF('Survey Response'!$D192="","",'Survey Response'!$A192&amp;"|"&amp;LOWER(TRIM('Survey Response'!$D192)))</f>
        <v/>
      </c>
      <c r="B194" s="46" t="str">
        <f aca="false">IF($H194="","",$F194&amp;"|"&amp;$H194)</f>
        <v/>
      </c>
      <c r="C194" s="46" t="str">
        <f aca="false">IF($H194="","",$A194=$B194)</f>
        <v/>
      </c>
      <c r="D194" s="46" t="str">
        <f aca="false">IF($H194="","",IF($E194&lt;&gt;"Yes","Superseded",IF($I194&lt;&gt;"Yes, I'm available for in-person interviews at Chennai","Not Available",IF($Z194&lt;&gt;"","Panel Details","Followup"))))</f>
        <v/>
      </c>
      <c r="E194" s="46" t="str">
        <f aca="false">IF($H194="","",IF(SUMPRODUCT(($H$4:$H$503=$H194)*(($G$4:$G$503&gt;$G194)+($G$4:$G$503=$G194)*($F$4:$F$503&gt;$F194)))=0,"Yes","No"))</f>
        <v/>
      </c>
      <c r="F194" s="47" t="str">
        <f aca="false">IF('Survey Response'!$D192="","",INT('Survey Response'!$A192))</f>
        <v/>
      </c>
      <c r="G194" s="46" t="str">
        <f aca="false">IF('Survey Response'!$D192="","",'Survey Response'!$C192)</f>
        <v/>
      </c>
      <c r="H194" s="46" t="str">
        <f aca="false">IF('Survey Response'!$D192="","",LOWER(TRIM('Survey Response'!$D192)))</f>
        <v/>
      </c>
      <c r="I194" s="46" t="str">
        <f aca="false">IF($H194="","",'Survey Response'!$I192)</f>
        <v/>
      </c>
      <c r="J194" s="46" t="str">
        <f aca="false">IF($H194="","",'Survey Response'!$K192)</f>
        <v/>
      </c>
      <c r="K194" s="46" t="str">
        <f aca="false">IF($J194="","",IF(COUNTIF('Skill Mapping'!$A$2:$A$7,TRIM($J194))=0,"",INDEX('Skill Mapping'!$B$2:$B$7,MATCH(TRIM($J194),'Skill Mapping'!$A$2:$A$7,0))))</f>
        <v/>
      </c>
      <c r="L194" s="46" t="str">
        <f aca="false">IF($H194="","",'Survey Response'!$L192)</f>
        <v/>
      </c>
      <c r="M194" s="46" t="str">
        <f aca="false">IF($L194="","",IF(COUNTIF('Skill Mapping'!$A$2:$A$7,TRIM($L194))=0,"",INDEX('Skill Mapping'!$B$2:$B$7,MATCH(TRIM($L194),'Skill Mapping'!$A$2:$A$7,0))))</f>
        <v/>
      </c>
      <c r="N194" s="46" t="str">
        <f aca="false">IF($H194="","",'Survey Response'!$M192)</f>
        <v/>
      </c>
      <c r="O194" s="46" t="str">
        <f aca="false">IF($H194="","",IF('Survey Response'!$M192="Manager","R2","R1"))</f>
        <v/>
      </c>
      <c r="P194" s="46" t="str">
        <f aca="false">IF($K194="","No",IF(COUNTIFS(MasterPanel!$B:$B,$H194,MasterPanel!$I:$I,$K194,MasterPanel!$K:$K,"Y")&gt;0,"Yes","No"))</f>
        <v>No</v>
      </c>
      <c r="Q194" s="46" t="n">
        <f aca="false">IF($K194="",0,IF(COUNTIF('Gap Sheet'!$A$6:$A$11,TRIM($J194))=0,0,IF($O194="R1",INDEX('Gap Sheet'!$C$6:$C$11,MATCH(TRIM($J194),'Gap Sheet'!$A$6:$A$11,0)),INDEX('Gap Sheet'!$G$6:$G$11,MATCH(TRIM($J194),'Gap Sheet'!$A$6:$A$11,0)))))</f>
        <v>0</v>
      </c>
      <c r="R194" s="46" t="str">
        <f aca="false">IF($K194="","",$K194&amp;"|"&amp;$O194)</f>
        <v/>
      </c>
      <c r="S194" s="46" t="n">
        <f aca="false">IF($R194="",0,COUNTIF($AA$4:$AA193,$R194))</f>
        <v>0</v>
      </c>
      <c r="T194" s="46" t="str">
        <f aca="false">IF(OR($I194&lt;&gt;"Yes, I'm available for in-person interviews at Chennai",$E194&lt;&gt;"Yes",$P194&lt;&gt;"Yes"),"No",IF(($Q194-$S194)&gt;0,"Yes","No"))</f>
        <v>No</v>
      </c>
      <c r="U194" s="46" t="str">
        <f aca="false">IF($M194="","No",IF(COUNTIFS(MasterPanel!$B:$B,$H194,MasterPanel!$I:$I,$M194,MasterPanel!$K:$K,"Y")&gt;0,"Yes","No"))</f>
        <v>No</v>
      </c>
      <c r="V194" s="46" t="n">
        <f aca="false">IF($M194="",0,IF(COUNTIF('Gap Sheet'!$A$6:$A$11,TRIM($L194))=0,0,IF($O194="R1",INDEX('Gap Sheet'!$C$6:$C$11,MATCH(TRIM($L194),'Gap Sheet'!$A$6:$A$11,0)),INDEX('Gap Sheet'!$G$6:$G$11,MATCH(TRIM($L194),'Gap Sheet'!$A$6:$A$11,0)))))</f>
        <v>0</v>
      </c>
      <c r="W194" s="46" t="str">
        <f aca="false">IF($M194="","",$M194&amp;"|"&amp;$O194)</f>
        <v/>
      </c>
      <c r="X194" s="46" t="n">
        <f aca="false">IF($W194="",0,COUNTIF($AA$4:$AA193,$W194))</f>
        <v>0</v>
      </c>
      <c r="Y194" s="46" t="str">
        <f aca="false">IF(OR($I194&lt;&gt;"Yes, I'm available for in-person interviews at Chennai",$E194&lt;&gt;"Yes",$T194="Yes",$U194&lt;&gt;"Yes"),"No",IF(($V194-$X194)&gt;0,"Yes","No"))</f>
        <v>No</v>
      </c>
      <c r="Z194" s="46" t="str">
        <f aca="false">IF($T194="Yes","Primary",IF($Y194="Yes","Secondary",""))</f>
        <v/>
      </c>
      <c r="AA194" s="46" t="str">
        <f aca="false">IF($Z194="Primary",$R194,IF($Z194="Secondary",$W194,""))</f>
        <v/>
      </c>
      <c r="AB194" s="46" t="str">
        <f aca="false">IF($Z194="Primary","Matched on primary skill",IF($Z194="Secondary","Matched on secondary skill (primary not approved or not required)",""))</f>
        <v/>
      </c>
      <c r="AC194" s="47" t="str">
        <f aca="false">IF($D194="Panel Details",$F194,"")</f>
        <v/>
      </c>
      <c r="AD194" s="46" t="str">
        <f aca="false">IF($D194="Panel Details",'Survey Response'!$D192,"")</f>
        <v/>
      </c>
      <c r="AE194" s="46" t="str">
        <f aca="false">IF($D194="Panel Details",'Survey Response'!$E192,"")</f>
        <v/>
      </c>
      <c r="AF194" s="46" t="str">
        <f aca="false">IF($D194="Panel Details",'Survey Response'!$G192,"")</f>
        <v/>
      </c>
      <c r="AG194" s="46" t="str">
        <f aca="false">IF($D194="Panel Details",IF($Z194="Primary",$J194,$L194),"")</f>
        <v/>
      </c>
      <c r="AH194" s="46" t="str">
        <f aca="false">IF($D194="Panel Details",IF($Z194="Primary",$L194,$J194),"")</f>
        <v/>
      </c>
      <c r="AI194" s="46" t="str">
        <f aca="false">IF($D194="Panel Details",'Survey Response'!$H192,"")</f>
        <v/>
      </c>
      <c r="AJ194" s="46" t="str">
        <f aca="false">IF($D194="Panel Details",'Survey Response'!$M192,"")</f>
        <v/>
      </c>
      <c r="AK194" s="46" t="str">
        <f aca="false">IF($D194="Panel Details",$O194,"")</f>
        <v/>
      </c>
      <c r="AL194" s="46" t="str">
        <f aca="false">IF($D194="Panel Details",8,"")</f>
        <v/>
      </c>
      <c r="AM194" s="46" t="str">
        <f aca="false">IF($D194="Panel Details",$AB194,"")</f>
        <v/>
      </c>
      <c r="AN194" s="46" t="str">
        <f aca="false">IF($D194="Panel Details","Yes","")</f>
        <v/>
      </c>
      <c r="AO194" s="46"/>
      <c r="AP194" s="46" t="str">
        <f aca="false">IF($D194="Followup",'Survey Response'!$D192,"")</f>
        <v/>
      </c>
      <c r="AQ194" s="46" t="str">
        <f aca="false">IF($D194="Followup",'Survey Response'!$E192,"")</f>
        <v/>
      </c>
      <c r="AR194" s="46" t="str">
        <f aca="false">IF($D194="Followup",'Survey Response'!$G192,"")</f>
        <v/>
      </c>
      <c r="AS194" s="46" t="str">
        <f aca="false">IF($D194="Followup",'Survey Response'!$H192,"")</f>
        <v/>
      </c>
      <c r="AT194" s="46" t="str">
        <f aca="false">IF($D194="Followup",'Survey Response'!$M192,"")</f>
        <v/>
      </c>
      <c r="AU194" s="46" t="str">
        <f aca="false">IF($D194="Followup",'Survey Response'!$K192,"")</f>
        <v/>
      </c>
      <c r="AV194" s="46" t="str">
        <f aca="false">IF($D194="Followup",'Survey Response'!$L192,"")</f>
        <v/>
      </c>
      <c r="AW194" s="46" t="str">
        <f aca="false">IF($D194="Followup",IF(AND($P194&lt;&gt;"Yes",$U194&lt;&gt;"Yes"),"Not approved for primary or secondary skill","Approved, but skill(s) no longer have capacity (fully staffed)"),"")</f>
        <v/>
      </c>
    </row>
    <row r="195" customFormat="false" ht="15" hidden="false" customHeight="true" outlineLevel="0" collapsed="false">
      <c r="A195" s="46" t="str">
        <f aca="false">IF('Survey Response'!$D193="","",'Survey Response'!$A193&amp;"|"&amp;LOWER(TRIM('Survey Response'!$D193)))</f>
        <v/>
      </c>
      <c r="B195" s="46" t="str">
        <f aca="false">IF($H195="","",$F195&amp;"|"&amp;$H195)</f>
        <v/>
      </c>
      <c r="C195" s="46" t="str">
        <f aca="false">IF($H195="","",$A195=$B195)</f>
        <v/>
      </c>
      <c r="D195" s="46" t="str">
        <f aca="false">IF($H195="","",IF($E195&lt;&gt;"Yes","Superseded",IF($I195&lt;&gt;"Yes, I'm available for in-person interviews at Chennai","Not Available",IF($Z195&lt;&gt;"","Panel Details","Followup"))))</f>
        <v/>
      </c>
      <c r="E195" s="46" t="str">
        <f aca="false">IF($H195="","",IF(SUMPRODUCT(($H$4:$H$503=$H195)*(($G$4:$G$503&gt;$G195)+($G$4:$G$503=$G195)*($F$4:$F$503&gt;$F195)))=0,"Yes","No"))</f>
        <v/>
      </c>
      <c r="F195" s="47" t="str">
        <f aca="false">IF('Survey Response'!$D193="","",INT('Survey Response'!$A193))</f>
        <v/>
      </c>
      <c r="G195" s="46" t="str">
        <f aca="false">IF('Survey Response'!$D193="","",'Survey Response'!$C193)</f>
        <v/>
      </c>
      <c r="H195" s="46" t="str">
        <f aca="false">IF('Survey Response'!$D193="","",LOWER(TRIM('Survey Response'!$D193)))</f>
        <v/>
      </c>
      <c r="I195" s="46" t="str">
        <f aca="false">IF($H195="","",'Survey Response'!$I193)</f>
        <v/>
      </c>
      <c r="J195" s="46" t="str">
        <f aca="false">IF($H195="","",'Survey Response'!$K193)</f>
        <v/>
      </c>
      <c r="K195" s="46" t="str">
        <f aca="false">IF($J195="","",IF(COUNTIF('Skill Mapping'!$A$2:$A$7,TRIM($J195))=0,"",INDEX('Skill Mapping'!$B$2:$B$7,MATCH(TRIM($J195),'Skill Mapping'!$A$2:$A$7,0))))</f>
        <v/>
      </c>
      <c r="L195" s="46" t="str">
        <f aca="false">IF($H195="","",'Survey Response'!$L193)</f>
        <v/>
      </c>
      <c r="M195" s="46" t="str">
        <f aca="false">IF($L195="","",IF(COUNTIF('Skill Mapping'!$A$2:$A$7,TRIM($L195))=0,"",INDEX('Skill Mapping'!$B$2:$B$7,MATCH(TRIM($L195),'Skill Mapping'!$A$2:$A$7,0))))</f>
        <v/>
      </c>
      <c r="N195" s="46" t="str">
        <f aca="false">IF($H195="","",'Survey Response'!$M193)</f>
        <v/>
      </c>
      <c r="O195" s="46" t="str">
        <f aca="false">IF($H195="","",IF('Survey Response'!$M193="Manager","R2","R1"))</f>
        <v/>
      </c>
      <c r="P195" s="46" t="str">
        <f aca="false">IF($K195="","No",IF(COUNTIFS(MasterPanel!$B:$B,$H195,MasterPanel!$I:$I,$K195,MasterPanel!$K:$K,"Y")&gt;0,"Yes","No"))</f>
        <v>No</v>
      </c>
      <c r="Q195" s="46" t="n">
        <f aca="false">IF($K195="",0,IF(COUNTIF('Gap Sheet'!$A$6:$A$11,TRIM($J195))=0,0,IF($O195="R1",INDEX('Gap Sheet'!$C$6:$C$11,MATCH(TRIM($J195),'Gap Sheet'!$A$6:$A$11,0)),INDEX('Gap Sheet'!$G$6:$G$11,MATCH(TRIM($J195),'Gap Sheet'!$A$6:$A$11,0)))))</f>
        <v>0</v>
      </c>
      <c r="R195" s="46" t="str">
        <f aca="false">IF($K195="","",$K195&amp;"|"&amp;$O195)</f>
        <v/>
      </c>
      <c r="S195" s="46" t="n">
        <f aca="false">IF($R195="",0,COUNTIF($AA$4:$AA194,$R195))</f>
        <v>0</v>
      </c>
      <c r="T195" s="46" t="str">
        <f aca="false">IF(OR($I195&lt;&gt;"Yes, I'm available for in-person interviews at Chennai",$E195&lt;&gt;"Yes",$P195&lt;&gt;"Yes"),"No",IF(($Q195-$S195)&gt;0,"Yes","No"))</f>
        <v>No</v>
      </c>
      <c r="U195" s="46" t="str">
        <f aca="false">IF($M195="","No",IF(COUNTIFS(MasterPanel!$B:$B,$H195,MasterPanel!$I:$I,$M195,MasterPanel!$K:$K,"Y")&gt;0,"Yes","No"))</f>
        <v>No</v>
      </c>
      <c r="V195" s="46" t="n">
        <f aca="false">IF($M195="",0,IF(COUNTIF('Gap Sheet'!$A$6:$A$11,TRIM($L195))=0,0,IF($O195="R1",INDEX('Gap Sheet'!$C$6:$C$11,MATCH(TRIM($L195),'Gap Sheet'!$A$6:$A$11,0)),INDEX('Gap Sheet'!$G$6:$G$11,MATCH(TRIM($L195),'Gap Sheet'!$A$6:$A$11,0)))))</f>
        <v>0</v>
      </c>
      <c r="W195" s="46" t="str">
        <f aca="false">IF($M195="","",$M195&amp;"|"&amp;$O195)</f>
        <v/>
      </c>
      <c r="X195" s="46" t="n">
        <f aca="false">IF($W195="",0,COUNTIF($AA$4:$AA194,$W195))</f>
        <v>0</v>
      </c>
      <c r="Y195" s="46" t="str">
        <f aca="false">IF(OR($I195&lt;&gt;"Yes, I'm available for in-person interviews at Chennai",$E195&lt;&gt;"Yes",$T195="Yes",$U195&lt;&gt;"Yes"),"No",IF(($V195-$X195)&gt;0,"Yes","No"))</f>
        <v>No</v>
      </c>
      <c r="Z195" s="46" t="str">
        <f aca="false">IF($T195="Yes","Primary",IF($Y195="Yes","Secondary",""))</f>
        <v/>
      </c>
      <c r="AA195" s="46" t="str">
        <f aca="false">IF($Z195="Primary",$R195,IF($Z195="Secondary",$W195,""))</f>
        <v/>
      </c>
      <c r="AB195" s="46" t="str">
        <f aca="false">IF($Z195="Primary","Matched on primary skill",IF($Z195="Secondary","Matched on secondary skill (primary not approved or not required)",""))</f>
        <v/>
      </c>
      <c r="AC195" s="47" t="str">
        <f aca="false">IF($D195="Panel Details",$F195,"")</f>
        <v/>
      </c>
      <c r="AD195" s="46" t="str">
        <f aca="false">IF($D195="Panel Details",'Survey Response'!$D193,"")</f>
        <v/>
      </c>
      <c r="AE195" s="46" t="str">
        <f aca="false">IF($D195="Panel Details",'Survey Response'!$E193,"")</f>
        <v/>
      </c>
      <c r="AF195" s="46" t="str">
        <f aca="false">IF($D195="Panel Details",'Survey Response'!$G193,"")</f>
        <v/>
      </c>
      <c r="AG195" s="46" t="str">
        <f aca="false">IF($D195="Panel Details",IF($Z195="Primary",$J195,$L195),"")</f>
        <v/>
      </c>
      <c r="AH195" s="46" t="str">
        <f aca="false">IF($D195="Panel Details",IF($Z195="Primary",$L195,$J195),"")</f>
        <v/>
      </c>
      <c r="AI195" s="46" t="str">
        <f aca="false">IF($D195="Panel Details",'Survey Response'!$H193,"")</f>
        <v/>
      </c>
      <c r="AJ195" s="46" t="str">
        <f aca="false">IF($D195="Panel Details",'Survey Response'!$M193,"")</f>
        <v/>
      </c>
      <c r="AK195" s="46" t="str">
        <f aca="false">IF($D195="Panel Details",$O195,"")</f>
        <v/>
      </c>
      <c r="AL195" s="46" t="str">
        <f aca="false">IF($D195="Panel Details",8,"")</f>
        <v/>
      </c>
      <c r="AM195" s="46" t="str">
        <f aca="false">IF($D195="Panel Details",$AB195,"")</f>
        <v/>
      </c>
      <c r="AN195" s="46" t="str">
        <f aca="false">IF($D195="Panel Details","Yes","")</f>
        <v/>
      </c>
      <c r="AO195" s="46"/>
      <c r="AP195" s="46" t="str">
        <f aca="false">IF($D195="Followup",'Survey Response'!$D193,"")</f>
        <v/>
      </c>
      <c r="AQ195" s="46" t="str">
        <f aca="false">IF($D195="Followup",'Survey Response'!$E193,"")</f>
        <v/>
      </c>
      <c r="AR195" s="46" t="str">
        <f aca="false">IF($D195="Followup",'Survey Response'!$G193,"")</f>
        <v/>
      </c>
      <c r="AS195" s="46" t="str">
        <f aca="false">IF($D195="Followup",'Survey Response'!$H193,"")</f>
        <v/>
      </c>
      <c r="AT195" s="46" t="str">
        <f aca="false">IF($D195="Followup",'Survey Response'!$M193,"")</f>
        <v/>
      </c>
      <c r="AU195" s="46" t="str">
        <f aca="false">IF($D195="Followup",'Survey Response'!$K193,"")</f>
        <v/>
      </c>
      <c r="AV195" s="46" t="str">
        <f aca="false">IF($D195="Followup",'Survey Response'!$L193,"")</f>
        <v/>
      </c>
      <c r="AW195" s="46" t="str">
        <f aca="false">IF($D195="Followup",IF(AND($P195&lt;&gt;"Yes",$U195&lt;&gt;"Yes"),"Not approved for primary or secondary skill","Approved, but skill(s) no longer have capacity (fully staffed)"),"")</f>
        <v/>
      </c>
    </row>
    <row r="196" customFormat="false" ht="15" hidden="false" customHeight="true" outlineLevel="0" collapsed="false">
      <c r="A196" s="46" t="str">
        <f aca="false">IF('Survey Response'!$D194="","",'Survey Response'!$A194&amp;"|"&amp;LOWER(TRIM('Survey Response'!$D194)))</f>
        <v/>
      </c>
      <c r="B196" s="46" t="str">
        <f aca="false">IF($H196="","",$F196&amp;"|"&amp;$H196)</f>
        <v/>
      </c>
      <c r="C196" s="46" t="str">
        <f aca="false">IF($H196="","",$A196=$B196)</f>
        <v/>
      </c>
      <c r="D196" s="46" t="str">
        <f aca="false">IF($H196="","",IF($E196&lt;&gt;"Yes","Superseded",IF($I196&lt;&gt;"Yes, I'm available for in-person interviews at Chennai","Not Available",IF($Z196&lt;&gt;"","Panel Details","Followup"))))</f>
        <v/>
      </c>
      <c r="E196" s="46" t="str">
        <f aca="false">IF($H196="","",IF(SUMPRODUCT(($H$4:$H$503=$H196)*(($G$4:$G$503&gt;$G196)+($G$4:$G$503=$G196)*($F$4:$F$503&gt;$F196)))=0,"Yes","No"))</f>
        <v/>
      </c>
      <c r="F196" s="47" t="str">
        <f aca="false">IF('Survey Response'!$D194="","",INT('Survey Response'!$A194))</f>
        <v/>
      </c>
      <c r="G196" s="46" t="str">
        <f aca="false">IF('Survey Response'!$D194="","",'Survey Response'!$C194)</f>
        <v/>
      </c>
      <c r="H196" s="46" t="str">
        <f aca="false">IF('Survey Response'!$D194="","",LOWER(TRIM('Survey Response'!$D194)))</f>
        <v/>
      </c>
      <c r="I196" s="46" t="str">
        <f aca="false">IF($H196="","",'Survey Response'!$I194)</f>
        <v/>
      </c>
      <c r="J196" s="46" t="str">
        <f aca="false">IF($H196="","",'Survey Response'!$K194)</f>
        <v/>
      </c>
      <c r="K196" s="46" t="str">
        <f aca="false">IF($J196="","",IF(COUNTIF('Skill Mapping'!$A$2:$A$7,TRIM($J196))=0,"",INDEX('Skill Mapping'!$B$2:$B$7,MATCH(TRIM($J196),'Skill Mapping'!$A$2:$A$7,0))))</f>
        <v/>
      </c>
      <c r="L196" s="46" t="str">
        <f aca="false">IF($H196="","",'Survey Response'!$L194)</f>
        <v/>
      </c>
      <c r="M196" s="46" t="str">
        <f aca="false">IF($L196="","",IF(COUNTIF('Skill Mapping'!$A$2:$A$7,TRIM($L196))=0,"",INDEX('Skill Mapping'!$B$2:$B$7,MATCH(TRIM($L196),'Skill Mapping'!$A$2:$A$7,0))))</f>
        <v/>
      </c>
      <c r="N196" s="46" t="str">
        <f aca="false">IF($H196="","",'Survey Response'!$M194)</f>
        <v/>
      </c>
      <c r="O196" s="46" t="str">
        <f aca="false">IF($H196="","",IF('Survey Response'!$M194="Manager","R2","R1"))</f>
        <v/>
      </c>
      <c r="P196" s="46" t="str">
        <f aca="false">IF($K196="","No",IF(COUNTIFS(MasterPanel!$B:$B,$H196,MasterPanel!$I:$I,$K196,MasterPanel!$K:$K,"Y")&gt;0,"Yes","No"))</f>
        <v>No</v>
      </c>
      <c r="Q196" s="46" t="n">
        <f aca="false">IF($K196="",0,IF(COUNTIF('Gap Sheet'!$A$6:$A$11,TRIM($J196))=0,0,IF($O196="R1",INDEX('Gap Sheet'!$C$6:$C$11,MATCH(TRIM($J196),'Gap Sheet'!$A$6:$A$11,0)),INDEX('Gap Sheet'!$G$6:$G$11,MATCH(TRIM($J196),'Gap Sheet'!$A$6:$A$11,0)))))</f>
        <v>0</v>
      </c>
      <c r="R196" s="46" t="str">
        <f aca="false">IF($K196="","",$K196&amp;"|"&amp;$O196)</f>
        <v/>
      </c>
      <c r="S196" s="46" t="n">
        <f aca="false">IF($R196="",0,COUNTIF($AA$4:$AA195,$R196))</f>
        <v>0</v>
      </c>
      <c r="T196" s="46" t="str">
        <f aca="false">IF(OR($I196&lt;&gt;"Yes, I'm available for in-person interviews at Chennai",$E196&lt;&gt;"Yes",$P196&lt;&gt;"Yes"),"No",IF(($Q196-$S196)&gt;0,"Yes","No"))</f>
        <v>No</v>
      </c>
      <c r="U196" s="46" t="str">
        <f aca="false">IF($M196="","No",IF(COUNTIFS(MasterPanel!$B:$B,$H196,MasterPanel!$I:$I,$M196,MasterPanel!$K:$K,"Y")&gt;0,"Yes","No"))</f>
        <v>No</v>
      </c>
      <c r="V196" s="46" t="n">
        <f aca="false">IF($M196="",0,IF(COUNTIF('Gap Sheet'!$A$6:$A$11,TRIM($L196))=0,0,IF($O196="R1",INDEX('Gap Sheet'!$C$6:$C$11,MATCH(TRIM($L196),'Gap Sheet'!$A$6:$A$11,0)),INDEX('Gap Sheet'!$G$6:$G$11,MATCH(TRIM($L196),'Gap Sheet'!$A$6:$A$11,0)))))</f>
        <v>0</v>
      </c>
      <c r="W196" s="46" t="str">
        <f aca="false">IF($M196="","",$M196&amp;"|"&amp;$O196)</f>
        <v/>
      </c>
      <c r="X196" s="46" t="n">
        <f aca="false">IF($W196="",0,COUNTIF($AA$4:$AA195,$W196))</f>
        <v>0</v>
      </c>
      <c r="Y196" s="46" t="str">
        <f aca="false">IF(OR($I196&lt;&gt;"Yes, I'm available for in-person interviews at Chennai",$E196&lt;&gt;"Yes",$T196="Yes",$U196&lt;&gt;"Yes"),"No",IF(($V196-$X196)&gt;0,"Yes","No"))</f>
        <v>No</v>
      </c>
      <c r="Z196" s="46" t="str">
        <f aca="false">IF($T196="Yes","Primary",IF($Y196="Yes","Secondary",""))</f>
        <v/>
      </c>
      <c r="AA196" s="46" t="str">
        <f aca="false">IF($Z196="Primary",$R196,IF($Z196="Secondary",$W196,""))</f>
        <v/>
      </c>
      <c r="AB196" s="46" t="str">
        <f aca="false">IF($Z196="Primary","Matched on primary skill",IF($Z196="Secondary","Matched on secondary skill (primary not approved or not required)",""))</f>
        <v/>
      </c>
      <c r="AC196" s="47" t="str">
        <f aca="false">IF($D196="Panel Details",$F196,"")</f>
        <v/>
      </c>
      <c r="AD196" s="46" t="str">
        <f aca="false">IF($D196="Panel Details",'Survey Response'!$D194,"")</f>
        <v/>
      </c>
      <c r="AE196" s="46" t="str">
        <f aca="false">IF($D196="Panel Details",'Survey Response'!$E194,"")</f>
        <v/>
      </c>
      <c r="AF196" s="46" t="str">
        <f aca="false">IF($D196="Panel Details",'Survey Response'!$G194,"")</f>
        <v/>
      </c>
      <c r="AG196" s="46" t="str">
        <f aca="false">IF($D196="Panel Details",IF($Z196="Primary",$J196,$L196),"")</f>
        <v/>
      </c>
      <c r="AH196" s="46" t="str">
        <f aca="false">IF($D196="Panel Details",IF($Z196="Primary",$L196,$J196),"")</f>
        <v/>
      </c>
      <c r="AI196" s="46" t="str">
        <f aca="false">IF($D196="Panel Details",'Survey Response'!$H194,"")</f>
        <v/>
      </c>
      <c r="AJ196" s="46" t="str">
        <f aca="false">IF($D196="Panel Details",'Survey Response'!$M194,"")</f>
        <v/>
      </c>
      <c r="AK196" s="46" t="str">
        <f aca="false">IF($D196="Panel Details",$O196,"")</f>
        <v/>
      </c>
      <c r="AL196" s="46" t="str">
        <f aca="false">IF($D196="Panel Details",8,"")</f>
        <v/>
      </c>
      <c r="AM196" s="46" t="str">
        <f aca="false">IF($D196="Panel Details",$AB196,"")</f>
        <v/>
      </c>
      <c r="AN196" s="46" t="str">
        <f aca="false">IF($D196="Panel Details","Yes","")</f>
        <v/>
      </c>
      <c r="AO196" s="46"/>
      <c r="AP196" s="46" t="str">
        <f aca="false">IF($D196="Followup",'Survey Response'!$D194,"")</f>
        <v/>
      </c>
      <c r="AQ196" s="46" t="str">
        <f aca="false">IF($D196="Followup",'Survey Response'!$E194,"")</f>
        <v/>
      </c>
      <c r="AR196" s="46" t="str">
        <f aca="false">IF($D196="Followup",'Survey Response'!$G194,"")</f>
        <v/>
      </c>
      <c r="AS196" s="46" t="str">
        <f aca="false">IF($D196="Followup",'Survey Response'!$H194,"")</f>
        <v/>
      </c>
      <c r="AT196" s="46" t="str">
        <f aca="false">IF($D196="Followup",'Survey Response'!$M194,"")</f>
        <v/>
      </c>
      <c r="AU196" s="46" t="str">
        <f aca="false">IF($D196="Followup",'Survey Response'!$K194,"")</f>
        <v/>
      </c>
      <c r="AV196" s="46" t="str">
        <f aca="false">IF($D196="Followup",'Survey Response'!$L194,"")</f>
        <v/>
      </c>
      <c r="AW196" s="46" t="str">
        <f aca="false">IF($D196="Followup",IF(AND($P196&lt;&gt;"Yes",$U196&lt;&gt;"Yes"),"Not approved for primary or secondary skill","Approved, but skill(s) no longer have capacity (fully staffed)"),"")</f>
        <v/>
      </c>
    </row>
    <row r="197" customFormat="false" ht="15" hidden="false" customHeight="true" outlineLevel="0" collapsed="false">
      <c r="A197" s="46" t="str">
        <f aca="false">IF('Survey Response'!$D195="","",'Survey Response'!$A195&amp;"|"&amp;LOWER(TRIM('Survey Response'!$D195)))</f>
        <v/>
      </c>
      <c r="B197" s="46" t="str">
        <f aca="false">IF($H197="","",$F197&amp;"|"&amp;$H197)</f>
        <v/>
      </c>
      <c r="C197" s="46" t="str">
        <f aca="false">IF($H197="","",$A197=$B197)</f>
        <v/>
      </c>
      <c r="D197" s="46" t="str">
        <f aca="false">IF($H197="","",IF($E197&lt;&gt;"Yes","Superseded",IF($I197&lt;&gt;"Yes, I'm available for in-person interviews at Chennai","Not Available",IF($Z197&lt;&gt;"","Panel Details","Followup"))))</f>
        <v/>
      </c>
      <c r="E197" s="46" t="str">
        <f aca="false">IF($H197="","",IF(SUMPRODUCT(($H$4:$H$503=$H197)*(($G$4:$G$503&gt;$G197)+($G$4:$G$503=$G197)*($F$4:$F$503&gt;$F197)))=0,"Yes","No"))</f>
        <v/>
      </c>
      <c r="F197" s="47" t="str">
        <f aca="false">IF('Survey Response'!$D195="","",INT('Survey Response'!$A195))</f>
        <v/>
      </c>
      <c r="G197" s="46" t="str">
        <f aca="false">IF('Survey Response'!$D195="","",'Survey Response'!$C195)</f>
        <v/>
      </c>
      <c r="H197" s="46" t="str">
        <f aca="false">IF('Survey Response'!$D195="","",LOWER(TRIM('Survey Response'!$D195)))</f>
        <v/>
      </c>
      <c r="I197" s="46" t="str">
        <f aca="false">IF($H197="","",'Survey Response'!$I195)</f>
        <v/>
      </c>
      <c r="J197" s="46" t="str">
        <f aca="false">IF($H197="","",'Survey Response'!$K195)</f>
        <v/>
      </c>
      <c r="K197" s="46" t="str">
        <f aca="false">IF($J197="","",IF(COUNTIF('Skill Mapping'!$A$2:$A$7,TRIM($J197))=0,"",INDEX('Skill Mapping'!$B$2:$B$7,MATCH(TRIM($J197),'Skill Mapping'!$A$2:$A$7,0))))</f>
        <v/>
      </c>
      <c r="L197" s="46" t="str">
        <f aca="false">IF($H197="","",'Survey Response'!$L195)</f>
        <v/>
      </c>
      <c r="M197" s="46" t="str">
        <f aca="false">IF($L197="","",IF(COUNTIF('Skill Mapping'!$A$2:$A$7,TRIM($L197))=0,"",INDEX('Skill Mapping'!$B$2:$B$7,MATCH(TRIM($L197),'Skill Mapping'!$A$2:$A$7,0))))</f>
        <v/>
      </c>
      <c r="N197" s="46" t="str">
        <f aca="false">IF($H197="","",'Survey Response'!$M195)</f>
        <v/>
      </c>
      <c r="O197" s="46" t="str">
        <f aca="false">IF($H197="","",IF('Survey Response'!$M195="Manager","R2","R1"))</f>
        <v/>
      </c>
      <c r="P197" s="46" t="str">
        <f aca="false">IF($K197="","No",IF(COUNTIFS(MasterPanel!$B:$B,$H197,MasterPanel!$I:$I,$K197,MasterPanel!$K:$K,"Y")&gt;0,"Yes","No"))</f>
        <v>No</v>
      </c>
      <c r="Q197" s="46" t="n">
        <f aca="false">IF($K197="",0,IF(COUNTIF('Gap Sheet'!$A$6:$A$11,TRIM($J197))=0,0,IF($O197="R1",INDEX('Gap Sheet'!$C$6:$C$11,MATCH(TRIM($J197),'Gap Sheet'!$A$6:$A$11,0)),INDEX('Gap Sheet'!$G$6:$G$11,MATCH(TRIM($J197),'Gap Sheet'!$A$6:$A$11,0)))))</f>
        <v>0</v>
      </c>
      <c r="R197" s="46" t="str">
        <f aca="false">IF($K197="","",$K197&amp;"|"&amp;$O197)</f>
        <v/>
      </c>
      <c r="S197" s="46" t="n">
        <f aca="false">IF($R197="",0,COUNTIF($AA$4:$AA196,$R197))</f>
        <v>0</v>
      </c>
      <c r="T197" s="46" t="str">
        <f aca="false">IF(OR($I197&lt;&gt;"Yes, I'm available for in-person interviews at Chennai",$E197&lt;&gt;"Yes",$P197&lt;&gt;"Yes"),"No",IF(($Q197-$S197)&gt;0,"Yes","No"))</f>
        <v>No</v>
      </c>
      <c r="U197" s="46" t="str">
        <f aca="false">IF($M197="","No",IF(COUNTIFS(MasterPanel!$B:$B,$H197,MasterPanel!$I:$I,$M197,MasterPanel!$K:$K,"Y")&gt;0,"Yes","No"))</f>
        <v>No</v>
      </c>
      <c r="V197" s="46" t="n">
        <f aca="false">IF($M197="",0,IF(COUNTIF('Gap Sheet'!$A$6:$A$11,TRIM($L197))=0,0,IF($O197="R1",INDEX('Gap Sheet'!$C$6:$C$11,MATCH(TRIM($L197),'Gap Sheet'!$A$6:$A$11,0)),INDEX('Gap Sheet'!$G$6:$G$11,MATCH(TRIM($L197),'Gap Sheet'!$A$6:$A$11,0)))))</f>
        <v>0</v>
      </c>
      <c r="W197" s="46" t="str">
        <f aca="false">IF($M197="","",$M197&amp;"|"&amp;$O197)</f>
        <v/>
      </c>
      <c r="X197" s="46" t="n">
        <f aca="false">IF($W197="",0,COUNTIF($AA$4:$AA196,$W197))</f>
        <v>0</v>
      </c>
      <c r="Y197" s="46" t="str">
        <f aca="false">IF(OR($I197&lt;&gt;"Yes, I'm available for in-person interviews at Chennai",$E197&lt;&gt;"Yes",$T197="Yes",$U197&lt;&gt;"Yes"),"No",IF(($V197-$X197)&gt;0,"Yes","No"))</f>
        <v>No</v>
      </c>
      <c r="Z197" s="46" t="str">
        <f aca="false">IF($T197="Yes","Primary",IF($Y197="Yes","Secondary",""))</f>
        <v/>
      </c>
      <c r="AA197" s="46" t="str">
        <f aca="false">IF($Z197="Primary",$R197,IF($Z197="Secondary",$W197,""))</f>
        <v/>
      </c>
      <c r="AB197" s="46" t="str">
        <f aca="false">IF($Z197="Primary","Matched on primary skill",IF($Z197="Secondary","Matched on secondary skill (primary not approved or not required)",""))</f>
        <v/>
      </c>
      <c r="AC197" s="47" t="str">
        <f aca="false">IF($D197="Panel Details",$F197,"")</f>
        <v/>
      </c>
      <c r="AD197" s="46" t="str">
        <f aca="false">IF($D197="Panel Details",'Survey Response'!$D195,"")</f>
        <v/>
      </c>
      <c r="AE197" s="46" t="str">
        <f aca="false">IF($D197="Panel Details",'Survey Response'!$E195,"")</f>
        <v/>
      </c>
      <c r="AF197" s="46" t="str">
        <f aca="false">IF($D197="Panel Details",'Survey Response'!$G195,"")</f>
        <v/>
      </c>
      <c r="AG197" s="46" t="str">
        <f aca="false">IF($D197="Panel Details",IF($Z197="Primary",$J197,$L197),"")</f>
        <v/>
      </c>
      <c r="AH197" s="46" t="str">
        <f aca="false">IF($D197="Panel Details",IF($Z197="Primary",$L197,$J197),"")</f>
        <v/>
      </c>
      <c r="AI197" s="46" t="str">
        <f aca="false">IF($D197="Panel Details",'Survey Response'!$H195,"")</f>
        <v/>
      </c>
      <c r="AJ197" s="46" t="str">
        <f aca="false">IF($D197="Panel Details",'Survey Response'!$M195,"")</f>
        <v/>
      </c>
      <c r="AK197" s="46" t="str">
        <f aca="false">IF($D197="Panel Details",$O197,"")</f>
        <v/>
      </c>
      <c r="AL197" s="46" t="str">
        <f aca="false">IF($D197="Panel Details",8,"")</f>
        <v/>
      </c>
      <c r="AM197" s="46" t="str">
        <f aca="false">IF($D197="Panel Details",$AB197,"")</f>
        <v/>
      </c>
      <c r="AN197" s="46" t="str">
        <f aca="false">IF($D197="Panel Details","Yes","")</f>
        <v/>
      </c>
      <c r="AO197" s="46"/>
      <c r="AP197" s="46" t="str">
        <f aca="false">IF($D197="Followup",'Survey Response'!$D195,"")</f>
        <v/>
      </c>
      <c r="AQ197" s="46" t="str">
        <f aca="false">IF($D197="Followup",'Survey Response'!$E195,"")</f>
        <v/>
      </c>
      <c r="AR197" s="46" t="str">
        <f aca="false">IF($D197="Followup",'Survey Response'!$G195,"")</f>
        <v/>
      </c>
      <c r="AS197" s="46" t="str">
        <f aca="false">IF($D197="Followup",'Survey Response'!$H195,"")</f>
        <v/>
      </c>
      <c r="AT197" s="46" t="str">
        <f aca="false">IF($D197="Followup",'Survey Response'!$M195,"")</f>
        <v/>
      </c>
      <c r="AU197" s="46" t="str">
        <f aca="false">IF($D197="Followup",'Survey Response'!$K195,"")</f>
        <v/>
      </c>
      <c r="AV197" s="46" t="str">
        <f aca="false">IF($D197="Followup",'Survey Response'!$L195,"")</f>
        <v/>
      </c>
      <c r="AW197" s="46" t="str">
        <f aca="false">IF($D197="Followup",IF(AND($P197&lt;&gt;"Yes",$U197&lt;&gt;"Yes"),"Not approved for primary or secondary skill","Approved, but skill(s) no longer have capacity (fully staffed)"),"")</f>
        <v/>
      </c>
    </row>
    <row r="198" customFormat="false" ht="15" hidden="false" customHeight="true" outlineLevel="0" collapsed="false">
      <c r="A198" s="46" t="str">
        <f aca="false">IF('Survey Response'!$D196="","",'Survey Response'!$A196&amp;"|"&amp;LOWER(TRIM('Survey Response'!$D196)))</f>
        <v/>
      </c>
      <c r="B198" s="46" t="str">
        <f aca="false">IF($H198="","",$F198&amp;"|"&amp;$H198)</f>
        <v/>
      </c>
      <c r="C198" s="46" t="str">
        <f aca="false">IF($H198="","",$A198=$B198)</f>
        <v/>
      </c>
      <c r="D198" s="46" t="str">
        <f aca="false">IF($H198="","",IF($E198&lt;&gt;"Yes","Superseded",IF($I198&lt;&gt;"Yes, I'm available for in-person interviews at Chennai","Not Available",IF($Z198&lt;&gt;"","Panel Details","Followup"))))</f>
        <v/>
      </c>
      <c r="E198" s="46" t="str">
        <f aca="false">IF($H198="","",IF(SUMPRODUCT(($H$4:$H$503=$H198)*(($G$4:$G$503&gt;$G198)+($G$4:$G$503=$G198)*($F$4:$F$503&gt;$F198)))=0,"Yes","No"))</f>
        <v/>
      </c>
      <c r="F198" s="47" t="str">
        <f aca="false">IF('Survey Response'!$D196="","",INT('Survey Response'!$A196))</f>
        <v/>
      </c>
      <c r="G198" s="46" t="str">
        <f aca="false">IF('Survey Response'!$D196="","",'Survey Response'!$C196)</f>
        <v/>
      </c>
      <c r="H198" s="46" t="str">
        <f aca="false">IF('Survey Response'!$D196="","",LOWER(TRIM('Survey Response'!$D196)))</f>
        <v/>
      </c>
      <c r="I198" s="46" t="str">
        <f aca="false">IF($H198="","",'Survey Response'!$I196)</f>
        <v/>
      </c>
      <c r="J198" s="46" t="str">
        <f aca="false">IF($H198="","",'Survey Response'!$K196)</f>
        <v/>
      </c>
      <c r="K198" s="46" t="str">
        <f aca="false">IF($J198="","",IF(COUNTIF('Skill Mapping'!$A$2:$A$7,TRIM($J198))=0,"",INDEX('Skill Mapping'!$B$2:$B$7,MATCH(TRIM($J198),'Skill Mapping'!$A$2:$A$7,0))))</f>
        <v/>
      </c>
      <c r="L198" s="46" t="str">
        <f aca="false">IF($H198="","",'Survey Response'!$L196)</f>
        <v/>
      </c>
      <c r="M198" s="46" t="str">
        <f aca="false">IF($L198="","",IF(COUNTIF('Skill Mapping'!$A$2:$A$7,TRIM($L198))=0,"",INDEX('Skill Mapping'!$B$2:$B$7,MATCH(TRIM($L198),'Skill Mapping'!$A$2:$A$7,0))))</f>
        <v/>
      </c>
      <c r="N198" s="46" t="str">
        <f aca="false">IF($H198="","",'Survey Response'!$M196)</f>
        <v/>
      </c>
      <c r="O198" s="46" t="str">
        <f aca="false">IF($H198="","",IF('Survey Response'!$M196="Manager","R2","R1"))</f>
        <v/>
      </c>
      <c r="P198" s="46" t="str">
        <f aca="false">IF($K198="","No",IF(COUNTIFS(MasterPanel!$B:$B,$H198,MasterPanel!$I:$I,$K198,MasterPanel!$K:$K,"Y")&gt;0,"Yes","No"))</f>
        <v>No</v>
      </c>
      <c r="Q198" s="46" t="n">
        <f aca="false">IF($K198="",0,IF(COUNTIF('Gap Sheet'!$A$6:$A$11,TRIM($J198))=0,0,IF($O198="R1",INDEX('Gap Sheet'!$C$6:$C$11,MATCH(TRIM($J198),'Gap Sheet'!$A$6:$A$11,0)),INDEX('Gap Sheet'!$G$6:$G$11,MATCH(TRIM($J198),'Gap Sheet'!$A$6:$A$11,0)))))</f>
        <v>0</v>
      </c>
      <c r="R198" s="46" t="str">
        <f aca="false">IF($K198="","",$K198&amp;"|"&amp;$O198)</f>
        <v/>
      </c>
      <c r="S198" s="46" t="n">
        <f aca="false">IF($R198="",0,COUNTIF($AA$4:$AA197,$R198))</f>
        <v>0</v>
      </c>
      <c r="T198" s="46" t="str">
        <f aca="false">IF(OR($I198&lt;&gt;"Yes, I'm available for in-person interviews at Chennai",$E198&lt;&gt;"Yes",$P198&lt;&gt;"Yes"),"No",IF(($Q198-$S198)&gt;0,"Yes","No"))</f>
        <v>No</v>
      </c>
      <c r="U198" s="46" t="str">
        <f aca="false">IF($M198="","No",IF(COUNTIFS(MasterPanel!$B:$B,$H198,MasterPanel!$I:$I,$M198,MasterPanel!$K:$K,"Y")&gt;0,"Yes","No"))</f>
        <v>No</v>
      </c>
      <c r="V198" s="46" t="n">
        <f aca="false">IF($M198="",0,IF(COUNTIF('Gap Sheet'!$A$6:$A$11,TRIM($L198))=0,0,IF($O198="R1",INDEX('Gap Sheet'!$C$6:$C$11,MATCH(TRIM($L198),'Gap Sheet'!$A$6:$A$11,0)),INDEX('Gap Sheet'!$G$6:$G$11,MATCH(TRIM($L198),'Gap Sheet'!$A$6:$A$11,0)))))</f>
        <v>0</v>
      </c>
      <c r="W198" s="46" t="str">
        <f aca="false">IF($M198="","",$M198&amp;"|"&amp;$O198)</f>
        <v/>
      </c>
      <c r="X198" s="46" t="n">
        <f aca="false">IF($W198="",0,COUNTIF($AA$4:$AA197,$W198))</f>
        <v>0</v>
      </c>
      <c r="Y198" s="46" t="str">
        <f aca="false">IF(OR($I198&lt;&gt;"Yes, I'm available for in-person interviews at Chennai",$E198&lt;&gt;"Yes",$T198="Yes",$U198&lt;&gt;"Yes"),"No",IF(($V198-$X198)&gt;0,"Yes","No"))</f>
        <v>No</v>
      </c>
      <c r="Z198" s="46" t="str">
        <f aca="false">IF($T198="Yes","Primary",IF($Y198="Yes","Secondary",""))</f>
        <v/>
      </c>
      <c r="AA198" s="46" t="str">
        <f aca="false">IF($Z198="Primary",$R198,IF($Z198="Secondary",$W198,""))</f>
        <v/>
      </c>
      <c r="AB198" s="46" t="str">
        <f aca="false">IF($Z198="Primary","Matched on primary skill",IF($Z198="Secondary","Matched on secondary skill (primary not approved or not required)",""))</f>
        <v/>
      </c>
      <c r="AC198" s="47" t="str">
        <f aca="false">IF($D198="Panel Details",$F198,"")</f>
        <v/>
      </c>
      <c r="AD198" s="46" t="str">
        <f aca="false">IF($D198="Panel Details",'Survey Response'!$D196,"")</f>
        <v/>
      </c>
      <c r="AE198" s="46" t="str">
        <f aca="false">IF($D198="Panel Details",'Survey Response'!$E196,"")</f>
        <v/>
      </c>
      <c r="AF198" s="46" t="str">
        <f aca="false">IF($D198="Panel Details",'Survey Response'!$G196,"")</f>
        <v/>
      </c>
      <c r="AG198" s="46" t="str">
        <f aca="false">IF($D198="Panel Details",IF($Z198="Primary",$J198,$L198),"")</f>
        <v/>
      </c>
      <c r="AH198" s="46" t="str">
        <f aca="false">IF($D198="Panel Details",IF($Z198="Primary",$L198,$J198),"")</f>
        <v/>
      </c>
      <c r="AI198" s="46" t="str">
        <f aca="false">IF($D198="Panel Details",'Survey Response'!$H196,"")</f>
        <v/>
      </c>
      <c r="AJ198" s="46" t="str">
        <f aca="false">IF($D198="Panel Details",'Survey Response'!$M196,"")</f>
        <v/>
      </c>
      <c r="AK198" s="46" t="str">
        <f aca="false">IF($D198="Panel Details",$O198,"")</f>
        <v/>
      </c>
      <c r="AL198" s="46" t="str">
        <f aca="false">IF($D198="Panel Details",8,"")</f>
        <v/>
      </c>
      <c r="AM198" s="46" t="str">
        <f aca="false">IF($D198="Panel Details",$AB198,"")</f>
        <v/>
      </c>
      <c r="AN198" s="46" t="str">
        <f aca="false">IF($D198="Panel Details","Yes","")</f>
        <v/>
      </c>
      <c r="AO198" s="46"/>
      <c r="AP198" s="46" t="str">
        <f aca="false">IF($D198="Followup",'Survey Response'!$D196,"")</f>
        <v/>
      </c>
      <c r="AQ198" s="46" t="str">
        <f aca="false">IF($D198="Followup",'Survey Response'!$E196,"")</f>
        <v/>
      </c>
      <c r="AR198" s="46" t="str">
        <f aca="false">IF($D198="Followup",'Survey Response'!$G196,"")</f>
        <v/>
      </c>
      <c r="AS198" s="46" t="str">
        <f aca="false">IF($D198="Followup",'Survey Response'!$H196,"")</f>
        <v/>
      </c>
      <c r="AT198" s="46" t="str">
        <f aca="false">IF($D198="Followup",'Survey Response'!$M196,"")</f>
        <v/>
      </c>
      <c r="AU198" s="46" t="str">
        <f aca="false">IF($D198="Followup",'Survey Response'!$K196,"")</f>
        <v/>
      </c>
      <c r="AV198" s="46" t="str">
        <f aca="false">IF($D198="Followup",'Survey Response'!$L196,"")</f>
        <v/>
      </c>
      <c r="AW198" s="46" t="str">
        <f aca="false">IF($D198="Followup",IF(AND($P198&lt;&gt;"Yes",$U198&lt;&gt;"Yes"),"Not approved for primary or secondary skill","Approved, but skill(s) no longer have capacity (fully staffed)"),"")</f>
        <v/>
      </c>
    </row>
    <row r="199" customFormat="false" ht="15" hidden="false" customHeight="true" outlineLevel="0" collapsed="false">
      <c r="A199" s="46" t="str">
        <f aca="false">IF('Survey Response'!$D197="","",'Survey Response'!$A197&amp;"|"&amp;LOWER(TRIM('Survey Response'!$D197)))</f>
        <v/>
      </c>
      <c r="B199" s="46" t="str">
        <f aca="false">IF($H199="","",$F199&amp;"|"&amp;$H199)</f>
        <v/>
      </c>
      <c r="C199" s="46" t="str">
        <f aca="false">IF($H199="","",$A199=$B199)</f>
        <v/>
      </c>
      <c r="D199" s="46" t="str">
        <f aca="false">IF($H199="","",IF($E199&lt;&gt;"Yes","Superseded",IF($I199&lt;&gt;"Yes, I'm available for in-person interviews at Chennai","Not Available",IF($Z199&lt;&gt;"","Panel Details","Followup"))))</f>
        <v/>
      </c>
      <c r="E199" s="46" t="str">
        <f aca="false">IF($H199="","",IF(SUMPRODUCT(($H$4:$H$503=$H199)*(($G$4:$G$503&gt;$G199)+($G$4:$G$503=$G199)*($F$4:$F$503&gt;$F199)))=0,"Yes","No"))</f>
        <v/>
      </c>
      <c r="F199" s="47" t="str">
        <f aca="false">IF('Survey Response'!$D197="","",INT('Survey Response'!$A197))</f>
        <v/>
      </c>
      <c r="G199" s="46" t="str">
        <f aca="false">IF('Survey Response'!$D197="","",'Survey Response'!$C197)</f>
        <v/>
      </c>
      <c r="H199" s="46" t="str">
        <f aca="false">IF('Survey Response'!$D197="","",LOWER(TRIM('Survey Response'!$D197)))</f>
        <v/>
      </c>
      <c r="I199" s="46" t="str">
        <f aca="false">IF($H199="","",'Survey Response'!$I197)</f>
        <v/>
      </c>
      <c r="J199" s="46" t="str">
        <f aca="false">IF($H199="","",'Survey Response'!$K197)</f>
        <v/>
      </c>
      <c r="K199" s="46" t="str">
        <f aca="false">IF($J199="","",IF(COUNTIF('Skill Mapping'!$A$2:$A$7,TRIM($J199))=0,"",INDEX('Skill Mapping'!$B$2:$B$7,MATCH(TRIM($J199),'Skill Mapping'!$A$2:$A$7,0))))</f>
        <v/>
      </c>
      <c r="L199" s="46" t="str">
        <f aca="false">IF($H199="","",'Survey Response'!$L197)</f>
        <v/>
      </c>
      <c r="M199" s="46" t="str">
        <f aca="false">IF($L199="","",IF(COUNTIF('Skill Mapping'!$A$2:$A$7,TRIM($L199))=0,"",INDEX('Skill Mapping'!$B$2:$B$7,MATCH(TRIM($L199),'Skill Mapping'!$A$2:$A$7,0))))</f>
        <v/>
      </c>
      <c r="N199" s="46" t="str">
        <f aca="false">IF($H199="","",'Survey Response'!$M197)</f>
        <v/>
      </c>
      <c r="O199" s="46" t="str">
        <f aca="false">IF($H199="","",IF('Survey Response'!$M197="Manager","R2","R1"))</f>
        <v/>
      </c>
      <c r="P199" s="46" t="str">
        <f aca="false">IF($K199="","No",IF(COUNTIFS(MasterPanel!$B:$B,$H199,MasterPanel!$I:$I,$K199,MasterPanel!$K:$K,"Y")&gt;0,"Yes","No"))</f>
        <v>No</v>
      </c>
      <c r="Q199" s="46" t="n">
        <f aca="false">IF($K199="",0,IF(COUNTIF('Gap Sheet'!$A$6:$A$11,TRIM($J199))=0,0,IF($O199="R1",INDEX('Gap Sheet'!$C$6:$C$11,MATCH(TRIM($J199),'Gap Sheet'!$A$6:$A$11,0)),INDEX('Gap Sheet'!$G$6:$G$11,MATCH(TRIM($J199),'Gap Sheet'!$A$6:$A$11,0)))))</f>
        <v>0</v>
      </c>
      <c r="R199" s="46" t="str">
        <f aca="false">IF($K199="","",$K199&amp;"|"&amp;$O199)</f>
        <v/>
      </c>
      <c r="S199" s="46" t="n">
        <f aca="false">IF($R199="",0,COUNTIF($AA$4:$AA198,$R199))</f>
        <v>0</v>
      </c>
      <c r="T199" s="46" t="str">
        <f aca="false">IF(OR($I199&lt;&gt;"Yes, I'm available for in-person interviews at Chennai",$E199&lt;&gt;"Yes",$P199&lt;&gt;"Yes"),"No",IF(($Q199-$S199)&gt;0,"Yes","No"))</f>
        <v>No</v>
      </c>
      <c r="U199" s="46" t="str">
        <f aca="false">IF($M199="","No",IF(COUNTIFS(MasterPanel!$B:$B,$H199,MasterPanel!$I:$I,$M199,MasterPanel!$K:$K,"Y")&gt;0,"Yes","No"))</f>
        <v>No</v>
      </c>
      <c r="V199" s="46" t="n">
        <f aca="false">IF($M199="",0,IF(COUNTIF('Gap Sheet'!$A$6:$A$11,TRIM($L199))=0,0,IF($O199="R1",INDEX('Gap Sheet'!$C$6:$C$11,MATCH(TRIM($L199),'Gap Sheet'!$A$6:$A$11,0)),INDEX('Gap Sheet'!$G$6:$G$11,MATCH(TRIM($L199),'Gap Sheet'!$A$6:$A$11,0)))))</f>
        <v>0</v>
      </c>
      <c r="W199" s="46" t="str">
        <f aca="false">IF($M199="","",$M199&amp;"|"&amp;$O199)</f>
        <v/>
      </c>
      <c r="X199" s="46" t="n">
        <f aca="false">IF($W199="",0,COUNTIF($AA$4:$AA198,$W199))</f>
        <v>0</v>
      </c>
      <c r="Y199" s="46" t="str">
        <f aca="false">IF(OR($I199&lt;&gt;"Yes, I'm available for in-person interviews at Chennai",$E199&lt;&gt;"Yes",$T199="Yes",$U199&lt;&gt;"Yes"),"No",IF(($V199-$X199)&gt;0,"Yes","No"))</f>
        <v>No</v>
      </c>
      <c r="Z199" s="46" t="str">
        <f aca="false">IF($T199="Yes","Primary",IF($Y199="Yes","Secondary",""))</f>
        <v/>
      </c>
      <c r="AA199" s="46" t="str">
        <f aca="false">IF($Z199="Primary",$R199,IF($Z199="Secondary",$W199,""))</f>
        <v/>
      </c>
      <c r="AB199" s="46" t="str">
        <f aca="false">IF($Z199="Primary","Matched on primary skill",IF($Z199="Secondary","Matched on secondary skill (primary not approved or not required)",""))</f>
        <v/>
      </c>
      <c r="AC199" s="47" t="str">
        <f aca="false">IF($D199="Panel Details",$F199,"")</f>
        <v/>
      </c>
      <c r="AD199" s="46" t="str">
        <f aca="false">IF($D199="Panel Details",'Survey Response'!$D197,"")</f>
        <v/>
      </c>
      <c r="AE199" s="46" t="str">
        <f aca="false">IF($D199="Panel Details",'Survey Response'!$E197,"")</f>
        <v/>
      </c>
      <c r="AF199" s="46" t="str">
        <f aca="false">IF($D199="Panel Details",'Survey Response'!$G197,"")</f>
        <v/>
      </c>
      <c r="AG199" s="46" t="str">
        <f aca="false">IF($D199="Panel Details",IF($Z199="Primary",$J199,$L199),"")</f>
        <v/>
      </c>
      <c r="AH199" s="46" t="str">
        <f aca="false">IF($D199="Panel Details",IF($Z199="Primary",$L199,$J199),"")</f>
        <v/>
      </c>
      <c r="AI199" s="46" t="str">
        <f aca="false">IF($D199="Panel Details",'Survey Response'!$H197,"")</f>
        <v/>
      </c>
      <c r="AJ199" s="46" t="str">
        <f aca="false">IF($D199="Panel Details",'Survey Response'!$M197,"")</f>
        <v/>
      </c>
      <c r="AK199" s="46" t="str">
        <f aca="false">IF($D199="Panel Details",$O199,"")</f>
        <v/>
      </c>
      <c r="AL199" s="46" t="str">
        <f aca="false">IF($D199="Panel Details",8,"")</f>
        <v/>
      </c>
      <c r="AM199" s="46" t="str">
        <f aca="false">IF($D199="Panel Details",$AB199,"")</f>
        <v/>
      </c>
      <c r="AN199" s="46" t="str">
        <f aca="false">IF($D199="Panel Details","Yes","")</f>
        <v/>
      </c>
      <c r="AO199" s="46"/>
      <c r="AP199" s="46" t="str">
        <f aca="false">IF($D199="Followup",'Survey Response'!$D197,"")</f>
        <v/>
      </c>
      <c r="AQ199" s="46" t="str">
        <f aca="false">IF($D199="Followup",'Survey Response'!$E197,"")</f>
        <v/>
      </c>
      <c r="AR199" s="46" t="str">
        <f aca="false">IF($D199="Followup",'Survey Response'!$G197,"")</f>
        <v/>
      </c>
      <c r="AS199" s="46" t="str">
        <f aca="false">IF($D199="Followup",'Survey Response'!$H197,"")</f>
        <v/>
      </c>
      <c r="AT199" s="46" t="str">
        <f aca="false">IF($D199="Followup",'Survey Response'!$M197,"")</f>
        <v/>
      </c>
      <c r="AU199" s="46" t="str">
        <f aca="false">IF($D199="Followup",'Survey Response'!$K197,"")</f>
        <v/>
      </c>
      <c r="AV199" s="46" t="str">
        <f aca="false">IF($D199="Followup",'Survey Response'!$L197,"")</f>
        <v/>
      </c>
      <c r="AW199" s="46" t="str">
        <f aca="false">IF($D199="Followup",IF(AND($P199&lt;&gt;"Yes",$U199&lt;&gt;"Yes"),"Not approved for primary or secondary skill","Approved, but skill(s) no longer have capacity (fully staffed)"),"")</f>
        <v/>
      </c>
    </row>
    <row r="200" customFormat="false" ht="15" hidden="false" customHeight="true" outlineLevel="0" collapsed="false">
      <c r="A200" s="46" t="str">
        <f aca="false">IF('Survey Response'!$D198="","",'Survey Response'!$A198&amp;"|"&amp;LOWER(TRIM('Survey Response'!$D198)))</f>
        <v/>
      </c>
      <c r="B200" s="46" t="str">
        <f aca="false">IF($H200="","",$F200&amp;"|"&amp;$H200)</f>
        <v/>
      </c>
      <c r="C200" s="46" t="str">
        <f aca="false">IF($H200="","",$A200=$B200)</f>
        <v/>
      </c>
      <c r="D200" s="46" t="str">
        <f aca="false">IF($H200="","",IF($E200&lt;&gt;"Yes","Superseded",IF($I200&lt;&gt;"Yes, I'm available for in-person interviews at Chennai","Not Available",IF($Z200&lt;&gt;"","Panel Details","Followup"))))</f>
        <v/>
      </c>
      <c r="E200" s="46" t="str">
        <f aca="false">IF($H200="","",IF(SUMPRODUCT(($H$4:$H$503=$H200)*(($G$4:$G$503&gt;$G200)+($G$4:$G$503=$G200)*($F$4:$F$503&gt;$F200)))=0,"Yes","No"))</f>
        <v/>
      </c>
      <c r="F200" s="47" t="str">
        <f aca="false">IF('Survey Response'!$D198="","",INT('Survey Response'!$A198))</f>
        <v/>
      </c>
      <c r="G200" s="46" t="str">
        <f aca="false">IF('Survey Response'!$D198="","",'Survey Response'!$C198)</f>
        <v/>
      </c>
      <c r="H200" s="46" t="str">
        <f aca="false">IF('Survey Response'!$D198="","",LOWER(TRIM('Survey Response'!$D198)))</f>
        <v/>
      </c>
      <c r="I200" s="46" t="str">
        <f aca="false">IF($H200="","",'Survey Response'!$I198)</f>
        <v/>
      </c>
      <c r="J200" s="46" t="str">
        <f aca="false">IF($H200="","",'Survey Response'!$K198)</f>
        <v/>
      </c>
      <c r="K200" s="46" t="str">
        <f aca="false">IF($J200="","",IF(COUNTIF('Skill Mapping'!$A$2:$A$7,TRIM($J200))=0,"",INDEX('Skill Mapping'!$B$2:$B$7,MATCH(TRIM($J200),'Skill Mapping'!$A$2:$A$7,0))))</f>
        <v/>
      </c>
      <c r="L200" s="46" t="str">
        <f aca="false">IF($H200="","",'Survey Response'!$L198)</f>
        <v/>
      </c>
      <c r="M200" s="46" t="str">
        <f aca="false">IF($L200="","",IF(COUNTIF('Skill Mapping'!$A$2:$A$7,TRIM($L200))=0,"",INDEX('Skill Mapping'!$B$2:$B$7,MATCH(TRIM($L200),'Skill Mapping'!$A$2:$A$7,0))))</f>
        <v/>
      </c>
      <c r="N200" s="46" t="str">
        <f aca="false">IF($H200="","",'Survey Response'!$M198)</f>
        <v/>
      </c>
      <c r="O200" s="46" t="str">
        <f aca="false">IF($H200="","",IF('Survey Response'!$M198="Manager","R2","R1"))</f>
        <v/>
      </c>
      <c r="P200" s="46" t="str">
        <f aca="false">IF($K200="","No",IF(COUNTIFS(MasterPanel!$B:$B,$H200,MasterPanel!$I:$I,$K200,MasterPanel!$K:$K,"Y")&gt;0,"Yes","No"))</f>
        <v>No</v>
      </c>
      <c r="Q200" s="46" t="n">
        <f aca="false">IF($K200="",0,IF(COUNTIF('Gap Sheet'!$A$6:$A$11,TRIM($J200))=0,0,IF($O200="R1",INDEX('Gap Sheet'!$C$6:$C$11,MATCH(TRIM($J200),'Gap Sheet'!$A$6:$A$11,0)),INDEX('Gap Sheet'!$G$6:$G$11,MATCH(TRIM($J200),'Gap Sheet'!$A$6:$A$11,0)))))</f>
        <v>0</v>
      </c>
      <c r="R200" s="46" t="str">
        <f aca="false">IF($K200="","",$K200&amp;"|"&amp;$O200)</f>
        <v/>
      </c>
      <c r="S200" s="46" t="n">
        <f aca="false">IF($R200="",0,COUNTIF($AA$4:$AA199,$R200))</f>
        <v>0</v>
      </c>
      <c r="T200" s="46" t="str">
        <f aca="false">IF(OR($I200&lt;&gt;"Yes, I'm available for in-person interviews at Chennai",$E200&lt;&gt;"Yes",$P200&lt;&gt;"Yes"),"No",IF(($Q200-$S200)&gt;0,"Yes","No"))</f>
        <v>No</v>
      </c>
      <c r="U200" s="46" t="str">
        <f aca="false">IF($M200="","No",IF(COUNTIFS(MasterPanel!$B:$B,$H200,MasterPanel!$I:$I,$M200,MasterPanel!$K:$K,"Y")&gt;0,"Yes","No"))</f>
        <v>No</v>
      </c>
      <c r="V200" s="46" t="n">
        <f aca="false">IF($M200="",0,IF(COUNTIF('Gap Sheet'!$A$6:$A$11,TRIM($L200))=0,0,IF($O200="R1",INDEX('Gap Sheet'!$C$6:$C$11,MATCH(TRIM($L200),'Gap Sheet'!$A$6:$A$11,0)),INDEX('Gap Sheet'!$G$6:$G$11,MATCH(TRIM($L200),'Gap Sheet'!$A$6:$A$11,0)))))</f>
        <v>0</v>
      </c>
      <c r="W200" s="46" t="str">
        <f aca="false">IF($M200="","",$M200&amp;"|"&amp;$O200)</f>
        <v/>
      </c>
      <c r="X200" s="46" t="n">
        <f aca="false">IF($W200="",0,COUNTIF($AA$4:$AA199,$W200))</f>
        <v>0</v>
      </c>
      <c r="Y200" s="46" t="str">
        <f aca="false">IF(OR($I200&lt;&gt;"Yes, I'm available for in-person interviews at Chennai",$E200&lt;&gt;"Yes",$T200="Yes",$U200&lt;&gt;"Yes"),"No",IF(($V200-$X200)&gt;0,"Yes","No"))</f>
        <v>No</v>
      </c>
      <c r="Z200" s="46" t="str">
        <f aca="false">IF($T200="Yes","Primary",IF($Y200="Yes","Secondary",""))</f>
        <v/>
      </c>
      <c r="AA200" s="46" t="str">
        <f aca="false">IF($Z200="Primary",$R200,IF($Z200="Secondary",$W200,""))</f>
        <v/>
      </c>
      <c r="AB200" s="46" t="str">
        <f aca="false">IF($Z200="Primary","Matched on primary skill",IF($Z200="Secondary","Matched on secondary skill (primary not approved or not required)",""))</f>
        <v/>
      </c>
      <c r="AC200" s="47" t="str">
        <f aca="false">IF($D200="Panel Details",$F200,"")</f>
        <v/>
      </c>
      <c r="AD200" s="46" t="str">
        <f aca="false">IF($D200="Panel Details",'Survey Response'!$D198,"")</f>
        <v/>
      </c>
      <c r="AE200" s="46" t="str">
        <f aca="false">IF($D200="Panel Details",'Survey Response'!$E198,"")</f>
        <v/>
      </c>
      <c r="AF200" s="46" t="str">
        <f aca="false">IF($D200="Panel Details",'Survey Response'!$G198,"")</f>
        <v/>
      </c>
      <c r="AG200" s="46" t="str">
        <f aca="false">IF($D200="Panel Details",IF($Z200="Primary",$J200,$L200),"")</f>
        <v/>
      </c>
      <c r="AH200" s="46" t="str">
        <f aca="false">IF($D200="Panel Details",IF($Z200="Primary",$L200,$J200),"")</f>
        <v/>
      </c>
      <c r="AI200" s="46" t="str">
        <f aca="false">IF($D200="Panel Details",'Survey Response'!$H198,"")</f>
        <v/>
      </c>
      <c r="AJ200" s="46" t="str">
        <f aca="false">IF($D200="Panel Details",'Survey Response'!$M198,"")</f>
        <v/>
      </c>
      <c r="AK200" s="46" t="str">
        <f aca="false">IF($D200="Panel Details",$O200,"")</f>
        <v/>
      </c>
      <c r="AL200" s="46" t="str">
        <f aca="false">IF($D200="Panel Details",8,"")</f>
        <v/>
      </c>
      <c r="AM200" s="46" t="str">
        <f aca="false">IF($D200="Panel Details",$AB200,"")</f>
        <v/>
      </c>
      <c r="AN200" s="46" t="str">
        <f aca="false">IF($D200="Panel Details","Yes","")</f>
        <v/>
      </c>
      <c r="AO200" s="46"/>
      <c r="AP200" s="46" t="str">
        <f aca="false">IF($D200="Followup",'Survey Response'!$D198,"")</f>
        <v/>
      </c>
      <c r="AQ200" s="46" t="str">
        <f aca="false">IF($D200="Followup",'Survey Response'!$E198,"")</f>
        <v/>
      </c>
      <c r="AR200" s="46" t="str">
        <f aca="false">IF($D200="Followup",'Survey Response'!$G198,"")</f>
        <v/>
      </c>
      <c r="AS200" s="46" t="str">
        <f aca="false">IF($D200="Followup",'Survey Response'!$H198,"")</f>
        <v/>
      </c>
      <c r="AT200" s="46" t="str">
        <f aca="false">IF($D200="Followup",'Survey Response'!$M198,"")</f>
        <v/>
      </c>
      <c r="AU200" s="46" t="str">
        <f aca="false">IF($D200="Followup",'Survey Response'!$K198,"")</f>
        <v/>
      </c>
      <c r="AV200" s="46" t="str">
        <f aca="false">IF($D200="Followup",'Survey Response'!$L198,"")</f>
        <v/>
      </c>
      <c r="AW200" s="46" t="str">
        <f aca="false">IF($D200="Followup",IF(AND($P200&lt;&gt;"Yes",$U200&lt;&gt;"Yes"),"Not approved for primary or secondary skill","Approved, but skill(s) no longer have capacity (fully staffed)"),"")</f>
        <v/>
      </c>
    </row>
    <row r="201" customFormat="false" ht="15" hidden="false" customHeight="true" outlineLevel="0" collapsed="false">
      <c r="A201" s="46" t="str">
        <f aca="false">IF('Survey Response'!$D199="","",'Survey Response'!$A199&amp;"|"&amp;LOWER(TRIM('Survey Response'!$D199)))</f>
        <v/>
      </c>
      <c r="B201" s="46" t="str">
        <f aca="false">IF($H201="","",$F201&amp;"|"&amp;$H201)</f>
        <v/>
      </c>
      <c r="C201" s="46" t="str">
        <f aca="false">IF($H201="","",$A201=$B201)</f>
        <v/>
      </c>
      <c r="D201" s="46" t="str">
        <f aca="false">IF($H201="","",IF($E201&lt;&gt;"Yes","Superseded",IF($I201&lt;&gt;"Yes, I'm available for in-person interviews at Chennai","Not Available",IF($Z201&lt;&gt;"","Panel Details","Followup"))))</f>
        <v/>
      </c>
      <c r="E201" s="46" t="str">
        <f aca="false">IF($H201="","",IF(SUMPRODUCT(($H$4:$H$503=$H201)*(($G$4:$G$503&gt;$G201)+($G$4:$G$503=$G201)*($F$4:$F$503&gt;$F201)))=0,"Yes","No"))</f>
        <v/>
      </c>
      <c r="F201" s="47" t="str">
        <f aca="false">IF('Survey Response'!$D199="","",INT('Survey Response'!$A199))</f>
        <v/>
      </c>
      <c r="G201" s="46" t="str">
        <f aca="false">IF('Survey Response'!$D199="","",'Survey Response'!$C199)</f>
        <v/>
      </c>
      <c r="H201" s="46" t="str">
        <f aca="false">IF('Survey Response'!$D199="","",LOWER(TRIM('Survey Response'!$D199)))</f>
        <v/>
      </c>
      <c r="I201" s="46" t="str">
        <f aca="false">IF($H201="","",'Survey Response'!$I199)</f>
        <v/>
      </c>
      <c r="J201" s="46" t="str">
        <f aca="false">IF($H201="","",'Survey Response'!$K199)</f>
        <v/>
      </c>
      <c r="K201" s="46" t="str">
        <f aca="false">IF($J201="","",IF(COUNTIF('Skill Mapping'!$A$2:$A$7,TRIM($J201))=0,"",INDEX('Skill Mapping'!$B$2:$B$7,MATCH(TRIM($J201),'Skill Mapping'!$A$2:$A$7,0))))</f>
        <v/>
      </c>
      <c r="L201" s="46" t="str">
        <f aca="false">IF($H201="","",'Survey Response'!$L199)</f>
        <v/>
      </c>
      <c r="M201" s="46" t="str">
        <f aca="false">IF($L201="","",IF(COUNTIF('Skill Mapping'!$A$2:$A$7,TRIM($L201))=0,"",INDEX('Skill Mapping'!$B$2:$B$7,MATCH(TRIM($L201),'Skill Mapping'!$A$2:$A$7,0))))</f>
        <v/>
      </c>
      <c r="N201" s="46" t="str">
        <f aca="false">IF($H201="","",'Survey Response'!$M199)</f>
        <v/>
      </c>
      <c r="O201" s="46" t="str">
        <f aca="false">IF($H201="","",IF('Survey Response'!$M199="Manager","R2","R1"))</f>
        <v/>
      </c>
      <c r="P201" s="46" t="str">
        <f aca="false">IF($K201="","No",IF(COUNTIFS(MasterPanel!$B:$B,$H201,MasterPanel!$I:$I,$K201,MasterPanel!$K:$K,"Y")&gt;0,"Yes","No"))</f>
        <v>No</v>
      </c>
      <c r="Q201" s="46" t="n">
        <f aca="false">IF($K201="",0,IF(COUNTIF('Gap Sheet'!$A$6:$A$11,TRIM($J201))=0,0,IF($O201="R1",INDEX('Gap Sheet'!$C$6:$C$11,MATCH(TRIM($J201),'Gap Sheet'!$A$6:$A$11,0)),INDEX('Gap Sheet'!$G$6:$G$11,MATCH(TRIM($J201),'Gap Sheet'!$A$6:$A$11,0)))))</f>
        <v>0</v>
      </c>
      <c r="R201" s="46" t="str">
        <f aca="false">IF($K201="","",$K201&amp;"|"&amp;$O201)</f>
        <v/>
      </c>
      <c r="S201" s="46" t="n">
        <f aca="false">IF($R201="",0,COUNTIF($AA$4:$AA200,$R201))</f>
        <v>0</v>
      </c>
      <c r="T201" s="46" t="str">
        <f aca="false">IF(OR($I201&lt;&gt;"Yes, I'm available for in-person interviews at Chennai",$E201&lt;&gt;"Yes",$P201&lt;&gt;"Yes"),"No",IF(($Q201-$S201)&gt;0,"Yes","No"))</f>
        <v>No</v>
      </c>
      <c r="U201" s="46" t="str">
        <f aca="false">IF($M201="","No",IF(COUNTIFS(MasterPanel!$B:$B,$H201,MasterPanel!$I:$I,$M201,MasterPanel!$K:$K,"Y")&gt;0,"Yes","No"))</f>
        <v>No</v>
      </c>
      <c r="V201" s="46" t="n">
        <f aca="false">IF($M201="",0,IF(COUNTIF('Gap Sheet'!$A$6:$A$11,TRIM($L201))=0,0,IF($O201="R1",INDEX('Gap Sheet'!$C$6:$C$11,MATCH(TRIM($L201),'Gap Sheet'!$A$6:$A$11,0)),INDEX('Gap Sheet'!$G$6:$G$11,MATCH(TRIM($L201),'Gap Sheet'!$A$6:$A$11,0)))))</f>
        <v>0</v>
      </c>
      <c r="W201" s="46" t="str">
        <f aca="false">IF($M201="","",$M201&amp;"|"&amp;$O201)</f>
        <v/>
      </c>
      <c r="X201" s="46" t="n">
        <f aca="false">IF($W201="",0,COUNTIF($AA$4:$AA200,$W201))</f>
        <v>0</v>
      </c>
      <c r="Y201" s="46" t="str">
        <f aca="false">IF(OR($I201&lt;&gt;"Yes, I'm available for in-person interviews at Chennai",$E201&lt;&gt;"Yes",$T201="Yes",$U201&lt;&gt;"Yes"),"No",IF(($V201-$X201)&gt;0,"Yes","No"))</f>
        <v>No</v>
      </c>
      <c r="Z201" s="46" t="str">
        <f aca="false">IF($T201="Yes","Primary",IF($Y201="Yes","Secondary",""))</f>
        <v/>
      </c>
      <c r="AA201" s="46" t="str">
        <f aca="false">IF($Z201="Primary",$R201,IF($Z201="Secondary",$W201,""))</f>
        <v/>
      </c>
      <c r="AB201" s="46" t="str">
        <f aca="false">IF($Z201="Primary","Matched on primary skill",IF($Z201="Secondary","Matched on secondary skill (primary not approved or not required)",""))</f>
        <v/>
      </c>
      <c r="AC201" s="47" t="str">
        <f aca="false">IF($D201="Panel Details",$F201,"")</f>
        <v/>
      </c>
      <c r="AD201" s="46" t="str">
        <f aca="false">IF($D201="Panel Details",'Survey Response'!$D199,"")</f>
        <v/>
      </c>
      <c r="AE201" s="46" t="str">
        <f aca="false">IF($D201="Panel Details",'Survey Response'!$E199,"")</f>
        <v/>
      </c>
      <c r="AF201" s="46" t="str">
        <f aca="false">IF($D201="Panel Details",'Survey Response'!$G199,"")</f>
        <v/>
      </c>
      <c r="AG201" s="46" t="str">
        <f aca="false">IF($D201="Panel Details",IF($Z201="Primary",$J201,$L201),"")</f>
        <v/>
      </c>
      <c r="AH201" s="46" t="str">
        <f aca="false">IF($D201="Panel Details",IF($Z201="Primary",$L201,$J201),"")</f>
        <v/>
      </c>
      <c r="AI201" s="46" t="str">
        <f aca="false">IF($D201="Panel Details",'Survey Response'!$H199,"")</f>
        <v/>
      </c>
      <c r="AJ201" s="46" t="str">
        <f aca="false">IF($D201="Panel Details",'Survey Response'!$M199,"")</f>
        <v/>
      </c>
      <c r="AK201" s="46" t="str">
        <f aca="false">IF($D201="Panel Details",$O201,"")</f>
        <v/>
      </c>
      <c r="AL201" s="46" t="str">
        <f aca="false">IF($D201="Panel Details",8,"")</f>
        <v/>
      </c>
      <c r="AM201" s="46" t="str">
        <f aca="false">IF($D201="Panel Details",$AB201,"")</f>
        <v/>
      </c>
      <c r="AN201" s="46" t="str">
        <f aca="false">IF($D201="Panel Details","Yes","")</f>
        <v/>
      </c>
      <c r="AO201" s="46"/>
      <c r="AP201" s="46" t="str">
        <f aca="false">IF($D201="Followup",'Survey Response'!$D199,"")</f>
        <v/>
      </c>
      <c r="AQ201" s="46" t="str">
        <f aca="false">IF($D201="Followup",'Survey Response'!$E199,"")</f>
        <v/>
      </c>
      <c r="AR201" s="46" t="str">
        <f aca="false">IF($D201="Followup",'Survey Response'!$G199,"")</f>
        <v/>
      </c>
      <c r="AS201" s="46" t="str">
        <f aca="false">IF($D201="Followup",'Survey Response'!$H199,"")</f>
        <v/>
      </c>
      <c r="AT201" s="46" t="str">
        <f aca="false">IF($D201="Followup",'Survey Response'!$M199,"")</f>
        <v/>
      </c>
      <c r="AU201" s="46" t="str">
        <f aca="false">IF($D201="Followup",'Survey Response'!$K199,"")</f>
        <v/>
      </c>
      <c r="AV201" s="46" t="str">
        <f aca="false">IF($D201="Followup",'Survey Response'!$L199,"")</f>
        <v/>
      </c>
      <c r="AW201" s="46" t="str">
        <f aca="false">IF($D201="Followup",IF(AND($P201&lt;&gt;"Yes",$U201&lt;&gt;"Yes"),"Not approved for primary or secondary skill","Approved, but skill(s) no longer have capacity (fully staffed)"),"")</f>
        <v/>
      </c>
    </row>
    <row r="202" customFormat="false" ht="15" hidden="false" customHeight="true" outlineLevel="0" collapsed="false">
      <c r="A202" s="46" t="str">
        <f aca="false">IF('Survey Response'!$D200="","",'Survey Response'!$A200&amp;"|"&amp;LOWER(TRIM('Survey Response'!$D200)))</f>
        <v/>
      </c>
      <c r="B202" s="46" t="str">
        <f aca="false">IF($H202="","",$F202&amp;"|"&amp;$H202)</f>
        <v/>
      </c>
      <c r="C202" s="46" t="str">
        <f aca="false">IF($H202="","",$A202=$B202)</f>
        <v/>
      </c>
      <c r="D202" s="46" t="str">
        <f aca="false">IF($H202="","",IF($E202&lt;&gt;"Yes","Superseded",IF($I202&lt;&gt;"Yes, I'm available for in-person interviews at Chennai","Not Available",IF($Z202&lt;&gt;"","Panel Details","Followup"))))</f>
        <v/>
      </c>
      <c r="E202" s="46" t="str">
        <f aca="false">IF($H202="","",IF(SUMPRODUCT(($H$4:$H$503=$H202)*(($G$4:$G$503&gt;$G202)+($G$4:$G$503=$G202)*($F$4:$F$503&gt;$F202)))=0,"Yes","No"))</f>
        <v/>
      </c>
      <c r="F202" s="47" t="str">
        <f aca="false">IF('Survey Response'!$D200="","",INT('Survey Response'!$A200))</f>
        <v/>
      </c>
      <c r="G202" s="46" t="str">
        <f aca="false">IF('Survey Response'!$D200="","",'Survey Response'!$C200)</f>
        <v/>
      </c>
      <c r="H202" s="46" t="str">
        <f aca="false">IF('Survey Response'!$D200="","",LOWER(TRIM('Survey Response'!$D200)))</f>
        <v/>
      </c>
      <c r="I202" s="46" t="str">
        <f aca="false">IF($H202="","",'Survey Response'!$I200)</f>
        <v/>
      </c>
      <c r="J202" s="46" t="str">
        <f aca="false">IF($H202="","",'Survey Response'!$K200)</f>
        <v/>
      </c>
      <c r="K202" s="46" t="str">
        <f aca="false">IF($J202="","",IF(COUNTIF('Skill Mapping'!$A$2:$A$7,TRIM($J202))=0,"",INDEX('Skill Mapping'!$B$2:$B$7,MATCH(TRIM($J202),'Skill Mapping'!$A$2:$A$7,0))))</f>
        <v/>
      </c>
      <c r="L202" s="46" t="str">
        <f aca="false">IF($H202="","",'Survey Response'!$L200)</f>
        <v/>
      </c>
      <c r="M202" s="46" t="str">
        <f aca="false">IF($L202="","",IF(COUNTIF('Skill Mapping'!$A$2:$A$7,TRIM($L202))=0,"",INDEX('Skill Mapping'!$B$2:$B$7,MATCH(TRIM($L202),'Skill Mapping'!$A$2:$A$7,0))))</f>
        <v/>
      </c>
      <c r="N202" s="46" t="str">
        <f aca="false">IF($H202="","",'Survey Response'!$M200)</f>
        <v/>
      </c>
      <c r="O202" s="46" t="str">
        <f aca="false">IF($H202="","",IF('Survey Response'!$M200="Manager","R2","R1"))</f>
        <v/>
      </c>
      <c r="P202" s="46" t="str">
        <f aca="false">IF($K202="","No",IF(COUNTIFS(MasterPanel!$B:$B,$H202,MasterPanel!$I:$I,$K202,MasterPanel!$K:$K,"Y")&gt;0,"Yes","No"))</f>
        <v>No</v>
      </c>
      <c r="Q202" s="46" t="n">
        <f aca="false">IF($K202="",0,IF(COUNTIF('Gap Sheet'!$A$6:$A$11,TRIM($J202))=0,0,IF($O202="R1",INDEX('Gap Sheet'!$C$6:$C$11,MATCH(TRIM($J202),'Gap Sheet'!$A$6:$A$11,0)),INDEX('Gap Sheet'!$G$6:$G$11,MATCH(TRIM($J202),'Gap Sheet'!$A$6:$A$11,0)))))</f>
        <v>0</v>
      </c>
      <c r="R202" s="46" t="str">
        <f aca="false">IF($K202="","",$K202&amp;"|"&amp;$O202)</f>
        <v/>
      </c>
      <c r="S202" s="46" t="n">
        <f aca="false">IF($R202="",0,COUNTIF($AA$4:$AA201,$R202))</f>
        <v>0</v>
      </c>
      <c r="T202" s="46" t="str">
        <f aca="false">IF(OR($I202&lt;&gt;"Yes, I'm available for in-person interviews at Chennai",$E202&lt;&gt;"Yes",$P202&lt;&gt;"Yes"),"No",IF(($Q202-$S202)&gt;0,"Yes","No"))</f>
        <v>No</v>
      </c>
      <c r="U202" s="46" t="str">
        <f aca="false">IF($M202="","No",IF(COUNTIFS(MasterPanel!$B:$B,$H202,MasterPanel!$I:$I,$M202,MasterPanel!$K:$K,"Y")&gt;0,"Yes","No"))</f>
        <v>No</v>
      </c>
      <c r="V202" s="46" t="n">
        <f aca="false">IF($M202="",0,IF(COUNTIF('Gap Sheet'!$A$6:$A$11,TRIM($L202))=0,0,IF($O202="R1",INDEX('Gap Sheet'!$C$6:$C$11,MATCH(TRIM($L202),'Gap Sheet'!$A$6:$A$11,0)),INDEX('Gap Sheet'!$G$6:$G$11,MATCH(TRIM($L202),'Gap Sheet'!$A$6:$A$11,0)))))</f>
        <v>0</v>
      </c>
      <c r="W202" s="46" t="str">
        <f aca="false">IF($M202="","",$M202&amp;"|"&amp;$O202)</f>
        <v/>
      </c>
      <c r="X202" s="46" t="n">
        <f aca="false">IF($W202="",0,COUNTIF($AA$4:$AA201,$W202))</f>
        <v>0</v>
      </c>
      <c r="Y202" s="46" t="str">
        <f aca="false">IF(OR($I202&lt;&gt;"Yes, I'm available for in-person interviews at Chennai",$E202&lt;&gt;"Yes",$T202="Yes",$U202&lt;&gt;"Yes"),"No",IF(($V202-$X202)&gt;0,"Yes","No"))</f>
        <v>No</v>
      </c>
      <c r="Z202" s="46" t="str">
        <f aca="false">IF($T202="Yes","Primary",IF($Y202="Yes","Secondary",""))</f>
        <v/>
      </c>
      <c r="AA202" s="46" t="str">
        <f aca="false">IF($Z202="Primary",$R202,IF($Z202="Secondary",$W202,""))</f>
        <v/>
      </c>
      <c r="AB202" s="46" t="str">
        <f aca="false">IF($Z202="Primary","Matched on primary skill",IF($Z202="Secondary","Matched on secondary skill (primary not approved or not required)",""))</f>
        <v/>
      </c>
      <c r="AC202" s="47" t="str">
        <f aca="false">IF($D202="Panel Details",$F202,"")</f>
        <v/>
      </c>
      <c r="AD202" s="46" t="str">
        <f aca="false">IF($D202="Panel Details",'Survey Response'!$D200,"")</f>
        <v/>
      </c>
      <c r="AE202" s="46" t="str">
        <f aca="false">IF($D202="Panel Details",'Survey Response'!$E200,"")</f>
        <v/>
      </c>
      <c r="AF202" s="46" t="str">
        <f aca="false">IF($D202="Panel Details",'Survey Response'!$G200,"")</f>
        <v/>
      </c>
      <c r="AG202" s="46" t="str">
        <f aca="false">IF($D202="Panel Details",IF($Z202="Primary",$J202,$L202),"")</f>
        <v/>
      </c>
      <c r="AH202" s="46" t="str">
        <f aca="false">IF($D202="Panel Details",IF($Z202="Primary",$L202,$J202),"")</f>
        <v/>
      </c>
      <c r="AI202" s="46" t="str">
        <f aca="false">IF($D202="Panel Details",'Survey Response'!$H200,"")</f>
        <v/>
      </c>
      <c r="AJ202" s="46" t="str">
        <f aca="false">IF($D202="Panel Details",'Survey Response'!$M200,"")</f>
        <v/>
      </c>
      <c r="AK202" s="46" t="str">
        <f aca="false">IF($D202="Panel Details",$O202,"")</f>
        <v/>
      </c>
      <c r="AL202" s="46" t="str">
        <f aca="false">IF($D202="Panel Details",8,"")</f>
        <v/>
      </c>
      <c r="AM202" s="46" t="str">
        <f aca="false">IF($D202="Panel Details",$AB202,"")</f>
        <v/>
      </c>
      <c r="AN202" s="46" t="str">
        <f aca="false">IF($D202="Panel Details","Yes","")</f>
        <v/>
      </c>
      <c r="AO202" s="46"/>
      <c r="AP202" s="46" t="str">
        <f aca="false">IF($D202="Followup",'Survey Response'!$D200,"")</f>
        <v/>
      </c>
      <c r="AQ202" s="46" t="str">
        <f aca="false">IF($D202="Followup",'Survey Response'!$E200,"")</f>
        <v/>
      </c>
      <c r="AR202" s="46" t="str">
        <f aca="false">IF($D202="Followup",'Survey Response'!$G200,"")</f>
        <v/>
      </c>
      <c r="AS202" s="46" t="str">
        <f aca="false">IF($D202="Followup",'Survey Response'!$H200,"")</f>
        <v/>
      </c>
      <c r="AT202" s="46" t="str">
        <f aca="false">IF($D202="Followup",'Survey Response'!$M200,"")</f>
        <v/>
      </c>
      <c r="AU202" s="46" t="str">
        <f aca="false">IF($D202="Followup",'Survey Response'!$K200,"")</f>
        <v/>
      </c>
      <c r="AV202" s="46" t="str">
        <f aca="false">IF($D202="Followup",'Survey Response'!$L200,"")</f>
        <v/>
      </c>
      <c r="AW202" s="46" t="str">
        <f aca="false">IF($D202="Followup",IF(AND($P202&lt;&gt;"Yes",$U202&lt;&gt;"Yes"),"Not approved for primary or secondary skill","Approved, but skill(s) no longer have capacity (fully staffed)"),"")</f>
        <v/>
      </c>
    </row>
    <row r="203" customFormat="false" ht="15" hidden="false" customHeight="true" outlineLevel="0" collapsed="false">
      <c r="A203" s="46" t="str">
        <f aca="false">IF('Survey Response'!$D201="","",'Survey Response'!$A201&amp;"|"&amp;LOWER(TRIM('Survey Response'!$D201)))</f>
        <v/>
      </c>
      <c r="B203" s="46" t="str">
        <f aca="false">IF($H203="","",$F203&amp;"|"&amp;$H203)</f>
        <v/>
      </c>
      <c r="C203" s="46" t="str">
        <f aca="false">IF($H203="","",$A203=$B203)</f>
        <v/>
      </c>
      <c r="D203" s="46" t="str">
        <f aca="false">IF($H203="","",IF($E203&lt;&gt;"Yes","Superseded",IF($I203&lt;&gt;"Yes, I'm available for in-person interviews at Chennai","Not Available",IF($Z203&lt;&gt;"","Panel Details","Followup"))))</f>
        <v/>
      </c>
      <c r="E203" s="46" t="str">
        <f aca="false">IF($H203="","",IF(SUMPRODUCT(($H$4:$H$503=$H203)*(($G$4:$G$503&gt;$G203)+($G$4:$G$503=$G203)*($F$4:$F$503&gt;$F203)))=0,"Yes","No"))</f>
        <v/>
      </c>
      <c r="F203" s="47" t="str">
        <f aca="false">IF('Survey Response'!$D201="","",INT('Survey Response'!$A201))</f>
        <v/>
      </c>
      <c r="G203" s="46" t="str">
        <f aca="false">IF('Survey Response'!$D201="","",'Survey Response'!$C201)</f>
        <v/>
      </c>
      <c r="H203" s="46" t="str">
        <f aca="false">IF('Survey Response'!$D201="","",LOWER(TRIM('Survey Response'!$D201)))</f>
        <v/>
      </c>
      <c r="I203" s="46" t="str">
        <f aca="false">IF($H203="","",'Survey Response'!$I201)</f>
        <v/>
      </c>
      <c r="J203" s="46" t="str">
        <f aca="false">IF($H203="","",'Survey Response'!$K201)</f>
        <v/>
      </c>
      <c r="K203" s="46" t="str">
        <f aca="false">IF($J203="","",IF(COUNTIF('Skill Mapping'!$A$2:$A$7,TRIM($J203))=0,"",INDEX('Skill Mapping'!$B$2:$B$7,MATCH(TRIM($J203),'Skill Mapping'!$A$2:$A$7,0))))</f>
        <v/>
      </c>
      <c r="L203" s="46" t="str">
        <f aca="false">IF($H203="","",'Survey Response'!$L201)</f>
        <v/>
      </c>
      <c r="M203" s="46" t="str">
        <f aca="false">IF($L203="","",IF(COUNTIF('Skill Mapping'!$A$2:$A$7,TRIM($L203))=0,"",INDEX('Skill Mapping'!$B$2:$B$7,MATCH(TRIM($L203),'Skill Mapping'!$A$2:$A$7,0))))</f>
        <v/>
      </c>
      <c r="N203" s="46" t="str">
        <f aca="false">IF($H203="","",'Survey Response'!$M201)</f>
        <v/>
      </c>
      <c r="O203" s="46" t="str">
        <f aca="false">IF($H203="","",IF('Survey Response'!$M201="Manager","R2","R1"))</f>
        <v/>
      </c>
      <c r="P203" s="46" t="str">
        <f aca="false">IF($K203="","No",IF(COUNTIFS(MasterPanel!$B:$B,$H203,MasterPanel!$I:$I,$K203,MasterPanel!$K:$K,"Y")&gt;0,"Yes","No"))</f>
        <v>No</v>
      </c>
      <c r="Q203" s="46" t="n">
        <f aca="false">IF($K203="",0,IF(COUNTIF('Gap Sheet'!$A$6:$A$11,TRIM($J203))=0,0,IF($O203="R1",INDEX('Gap Sheet'!$C$6:$C$11,MATCH(TRIM($J203),'Gap Sheet'!$A$6:$A$11,0)),INDEX('Gap Sheet'!$G$6:$G$11,MATCH(TRIM($J203),'Gap Sheet'!$A$6:$A$11,0)))))</f>
        <v>0</v>
      </c>
      <c r="R203" s="46" t="str">
        <f aca="false">IF($K203="","",$K203&amp;"|"&amp;$O203)</f>
        <v/>
      </c>
      <c r="S203" s="46" t="n">
        <f aca="false">IF($R203="",0,COUNTIF($AA$4:$AA202,$R203))</f>
        <v>0</v>
      </c>
      <c r="T203" s="46" t="str">
        <f aca="false">IF(OR($I203&lt;&gt;"Yes, I'm available for in-person interviews at Chennai",$E203&lt;&gt;"Yes",$P203&lt;&gt;"Yes"),"No",IF(($Q203-$S203)&gt;0,"Yes","No"))</f>
        <v>No</v>
      </c>
      <c r="U203" s="46" t="str">
        <f aca="false">IF($M203="","No",IF(COUNTIFS(MasterPanel!$B:$B,$H203,MasterPanel!$I:$I,$M203,MasterPanel!$K:$K,"Y")&gt;0,"Yes","No"))</f>
        <v>No</v>
      </c>
      <c r="V203" s="46" t="n">
        <f aca="false">IF($M203="",0,IF(COUNTIF('Gap Sheet'!$A$6:$A$11,TRIM($L203))=0,0,IF($O203="R1",INDEX('Gap Sheet'!$C$6:$C$11,MATCH(TRIM($L203),'Gap Sheet'!$A$6:$A$11,0)),INDEX('Gap Sheet'!$G$6:$G$11,MATCH(TRIM($L203),'Gap Sheet'!$A$6:$A$11,0)))))</f>
        <v>0</v>
      </c>
      <c r="W203" s="46" t="str">
        <f aca="false">IF($M203="","",$M203&amp;"|"&amp;$O203)</f>
        <v/>
      </c>
      <c r="X203" s="46" t="n">
        <f aca="false">IF($W203="",0,COUNTIF($AA$4:$AA202,$W203))</f>
        <v>0</v>
      </c>
      <c r="Y203" s="46" t="str">
        <f aca="false">IF(OR($I203&lt;&gt;"Yes, I'm available for in-person interviews at Chennai",$E203&lt;&gt;"Yes",$T203="Yes",$U203&lt;&gt;"Yes"),"No",IF(($V203-$X203)&gt;0,"Yes","No"))</f>
        <v>No</v>
      </c>
      <c r="Z203" s="46" t="str">
        <f aca="false">IF($T203="Yes","Primary",IF($Y203="Yes","Secondary",""))</f>
        <v/>
      </c>
      <c r="AA203" s="46" t="str">
        <f aca="false">IF($Z203="Primary",$R203,IF($Z203="Secondary",$W203,""))</f>
        <v/>
      </c>
      <c r="AB203" s="46" t="str">
        <f aca="false">IF($Z203="Primary","Matched on primary skill",IF($Z203="Secondary","Matched on secondary skill (primary not approved or not required)",""))</f>
        <v/>
      </c>
      <c r="AC203" s="47" t="str">
        <f aca="false">IF($D203="Panel Details",$F203,"")</f>
        <v/>
      </c>
      <c r="AD203" s="46" t="str">
        <f aca="false">IF($D203="Panel Details",'Survey Response'!$D201,"")</f>
        <v/>
      </c>
      <c r="AE203" s="46" t="str">
        <f aca="false">IF($D203="Panel Details",'Survey Response'!$E201,"")</f>
        <v/>
      </c>
      <c r="AF203" s="46" t="str">
        <f aca="false">IF($D203="Panel Details",'Survey Response'!$G201,"")</f>
        <v/>
      </c>
      <c r="AG203" s="46" t="str">
        <f aca="false">IF($D203="Panel Details",IF($Z203="Primary",$J203,$L203),"")</f>
        <v/>
      </c>
      <c r="AH203" s="46" t="str">
        <f aca="false">IF($D203="Panel Details",IF($Z203="Primary",$L203,$J203),"")</f>
        <v/>
      </c>
      <c r="AI203" s="46" t="str">
        <f aca="false">IF($D203="Panel Details",'Survey Response'!$H201,"")</f>
        <v/>
      </c>
      <c r="AJ203" s="46" t="str">
        <f aca="false">IF($D203="Panel Details",'Survey Response'!$M201,"")</f>
        <v/>
      </c>
      <c r="AK203" s="46" t="str">
        <f aca="false">IF($D203="Panel Details",$O203,"")</f>
        <v/>
      </c>
      <c r="AL203" s="46" t="str">
        <f aca="false">IF($D203="Panel Details",8,"")</f>
        <v/>
      </c>
      <c r="AM203" s="46" t="str">
        <f aca="false">IF($D203="Panel Details",$AB203,"")</f>
        <v/>
      </c>
      <c r="AN203" s="46" t="str">
        <f aca="false">IF($D203="Panel Details","Yes","")</f>
        <v/>
      </c>
      <c r="AO203" s="46"/>
      <c r="AP203" s="46" t="str">
        <f aca="false">IF($D203="Followup",'Survey Response'!$D201,"")</f>
        <v/>
      </c>
      <c r="AQ203" s="46" t="str">
        <f aca="false">IF($D203="Followup",'Survey Response'!$E201,"")</f>
        <v/>
      </c>
      <c r="AR203" s="46" t="str">
        <f aca="false">IF($D203="Followup",'Survey Response'!$G201,"")</f>
        <v/>
      </c>
      <c r="AS203" s="46" t="str">
        <f aca="false">IF($D203="Followup",'Survey Response'!$H201,"")</f>
        <v/>
      </c>
      <c r="AT203" s="46" t="str">
        <f aca="false">IF($D203="Followup",'Survey Response'!$M201,"")</f>
        <v/>
      </c>
      <c r="AU203" s="46" t="str">
        <f aca="false">IF($D203="Followup",'Survey Response'!$K201,"")</f>
        <v/>
      </c>
      <c r="AV203" s="46" t="str">
        <f aca="false">IF($D203="Followup",'Survey Response'!$L201,"")</f>
        <v/>
      </c>
      <c r="AW203" s="46" t="str">
        <f aca="false">IF($D203="Followup",IF(AND($P203&lt;&gt;"Yes",$U203&lt;&gt;"Yes"),"Not approved for primary or secondary skill","Approved, but skill(s) no longer have capacity (fully staffed)"),"")</f>
        <v/>
      </c>
    </row>
    <row r="204" customFormat="false" ht="15" hidden="false" customHeight="true" outlineLevel="0" collapsed="false">
      <c r="A204" s="46" t="str">
        <f aca="false">IF('Survey Response'!$D202="","",'Survey Response'!$A202&amp;"|"&amp;LOWER(TRIM('Survey Response'!$D202)))</f>
        <v/>
      </c>
      <c r="B204" s="46" t="str">
        <f aca="false">IF($H204="","",$F204&amp;"|"&amp;$H204)</f>
        <v/>
      </c>
      <c r="C204" s="46" t="str">
        <f aca="false">IF($H204="","",$A204=$B204)</f>
        <v/>
      </c>
      <c r="D204" s="46" t="str">
        <f aca="false">IF($H204="","",IF($E204&lt;&gt;"Yes","Superseded",IF($I204&lt;&gt;"Yes, I'm available for in-person interviews at Chennai","Not Available",IF($Z204&lt;&gt;"","Panel Details","Followup"))))</f>
        <v/>
      </c>
      <c r="E204" s="46" t="str">
        <f aca="false">IF($H204="","",IF(SUMPRODUCT(($H$4:$H$503=$H204)*(($G$4:$G$503&gt;$G204)+($G$4:$G$503=$G204)*($F$4:$F$503&gt;$F204)))=0,"Yes","No"))</f>
        <v/>
      </c>
      <c r="F204" s="47" t="str">
        <f aca="false">IF('Survey Response'!$D202="","",INT('Survey Response'!$A202))</f>
        <v/>
      </c>
      <c r="G204" s="46" t="str">
        <f aca="false">IF('Survey Response'!$D202="","",'Survey Response'!$C202)</f>
        <v/>
      </c>
      <c r="H204" s="46" t="str">
        <f aca="false">IF('Survey Response'!$D202="","",LOWER(TRIM('Survey Response'!$D202)))</f>
        <v/>
      </c>
      <c r="I204" s="46" t="str">
        <f aca="false">IF($H204="","",'Survey Response'!$I202)</f>
        <v/>
      </c>
      <c r="J204" s="46" t="str">
        <f aca="false">IF($H204="","",'Survey Response'!$K202)</f>
        <v/>
      </c>
      <c r="K204" s="46" t="str">
        <f aca="false">IF($J204="","",IF(COUNTIF('Skill Mapping'!$A$2:$A$7,TRIM($J204))=0,"",INDEX('Skill Mapping'!$B$2:$B$7,MATCH(TRIM($J204),'Skill Mapping'!$A$2:$A$7,0))))</f>
        <v/>
      </c>
      <c r="L204" s="46" t="str">
        <f aca="false">IF($H204="","",'Survey Response'!$L202)</f>
        <v/>
      </c>
      <c r="M204" s="46" t="str">
        <f aca="false">IF($L204="","",IF(COUNTIF('Skill Mapping'!$A$2:$A$7,TRIM($L204))=0,"",INDEX('Skill Mapping'!$B$2:$B$7,MATCH(TRIM($L204),'Skill Mapping'!$A$2:$A$7,0))))</f>
        <v/>
      </c>
      <c r="N204" s="46" t="str">
        <f aca="false">IF($H204="","",'Survey Response'!$M202)</f>
        <v/>
      </c>
      <c r="O204" s="46" t="str">
        <f aca="false">IF($H204="","",IF('Survey Response'!$M202="Manager","R2","R1"))</f>
        <v/>
      </c>
      <c r="P204" s="46" t="str">
        <f aca="false">IF($K204="","No",IF(COUNTIFS(MasterPanel!$B:$B,$H204,MasterPanel!$I:$I,$K204,MasterPanel!$K:$K,"Y")&gt;0,"Yes","No"))</f>
        <v>No</v>
      </c>
      <c r="Q204" s="46" t="n">
        <f aca="false">IF($K204="",0,IF(COUNTIF('Gap Sheet'!$A$6:$A$11,TRIM($J204))=0,0,IF($O204="R1",INDEX('Gap Sheet'!$C$6:$C$11,MATCH(TRIM($J204),'Gap Sheet'!$A$6:$A$11,0)),INDEX('Gap Sheet'!$G$6:$G$11,MATCH(TRIM($J204),'Gap Sheet'!$A$6:$A$11,0)))))</f>
        <v>0</v>
      </c>
      <c r="R204" s="46" t="str">
        <f aca="false">IF($K204="","",$K204&amp;"|"&amp;$O204)</f>
        <v/>
      </c>
      <c r="S204" s="46" t="n">
        <f aca="false">IF($R204="",0,COUNTIF($AA$4:$AA203,$R204))</f>
        <v>0</v>
      </c>
      <c r="T204" s="46" t="str">
        <f aca="false">IF(OR($I204&lt;&gt;"Yes, I'm available for in-person interviews at Chennai",$E204&lt;&gt;"Yes",$P204&lt;&gt;"Yes"),"No",IF(($Q204-$S204)&gt;0,"Yes","No"))</f>
        <v>No</v>
      </c>
      <c r="U204" s="46" t="str">
        <f aca="false">IF($M204="","No",IF(COUNTIFS(MasterPanel!$B:$B,$H204,MasterPanel!$I:$I,$M204,MasterPanel!$K:$K,"Y")&gt;0,"Yes","No"))</f>
        <v>No</v>
      </c>
      <c r="V204" s="46" t="n">
        <f aca="false">IF($M204="",0,IF(COUNTIF('Gap Sheet'!$A$6:$A$11,TRIM($L204))=0,0,IF($O204="R1",INDEX('Gap Sheet'!$C$6:$C$11,MATCH(TRIM($L204),'Gap Sheet'!$A$6:$A$11,0)),INDEX('Gap Sheet'!$G$6:$G$11,MATCH(TRIM($L204),'Gap Sheet'!$A$6:$A$11,0)))))</f>
        <v>0</v>
      </c>
      <c r="W204" s="46" t="str">
        <f aca="false">IF($M204="","",$M204&amp;"|"&amp;$O204)</f>
        <v/>
      </c>
      <c r="X204" s="46" t="n">
        <f aca="false">IF($W204="",0,COUNTIF($AA$4:$AA203,$W204))</f>
        <v>0</v>
      </c>
      <c r="Y204" s="46" t="str">
        <f aca="false">IF(OR($I204&lt;&gt;"Yes, I'm available for in-person interviews at Chennai",$E204&lt;&gt;"Yes",$T204="Yes",$U204&lt;&gt;"Yes"),"No",IF(($V204-$X204)&gt;0,"Yes","No"))</f>
        <v>No</v>
      </c>
      <c r="Z204" s="46" t="str">
        <f aca="false">IF($T204="Yes","Primary",IF($Y204="Yes","Secondary",""))</f>
        <v/>
      </c>
      <c r="AA204" s="46" t="str">
        <f aca="false">IF($Z204="Primary",$R204,IF($Z204="Secondary",$W204,""))</f>
        <v/>
      </c>
      <c r="AB204" s="46" t="str">
        <f aca="false">IF($Z204="Primary","Matched on primary skill",IF($Z204="Secondary","Matched on secondary skill (primary not approved or not required)",""))</f>
        <v/>
      </c>
      <c r="AC204" s="47" t="str">
        <f aca="false">IF($D204="Panel Details",$F204,"")</f>
        <v/>
      </c>
      <c r="AD204" s="46" t="str">
        <f aca="false">IF($D204="Panel Details",'Survey Response'!$D202,"")</f>
        <v/>
      </c>
      <c r="AE204" s="46" t="str">
        <f aca="false">IF($D204="Panel Details",'Survey Response'!$E202,"")</f>
        <v/>
      </c>
      <c r="AF204" s="46" t="str">
        <f aca="false">IF($D204="Panel Details",'Survey Response'!$G202,"")</f>
        <v/>
      </c>
      <c r="AG204" s="46" t="str">
        <f aca="false">IF($D204="Panel Details",IF($Z204="Primary",$J204,$L204),"")</f>
        <v/>
      </c>
      <c r="AH204" s="46" t="str">
        <f aca="false">IF($D204="Panel Details",IF($Z204="Primary",$L204,$J204),"")</f>
        <v/>
      </c>
      <c r="AI204" s="46" t="str">
        <f aca="false">IF($D204="Panel Details",'Survey Response'!$H202,"")</f>
        <v/>
      </c>
      <c r="AJ204" s="46" t="str">
        <f aca="false">IF($D204="Panel Details",'Survey Response'!$M202,"")</f>
        <v/>
      </c>
      <c r="AK204" s="46" t="str">
        <f aca="false">IF($D204="Panel Details",$O204,"")</f>
        <v/>
      </c>
      <c r="AL204" s="46" t="str">
        <f aca="false">IF($D204="Panel Details",8,"")</f>
        <v/>
      </c>
      <c r="AM204" s="46" t="str">
        <f aca="false">IF($D204="Panel Details",$AB204,"")</f>
        <v/>
      </c>
      <c r="AN204" s="46" t="str">
        <f aca="false">IF($D204="Panel Details","Yes","")</f>
        <v/>
      </c>
      <c r="AO204" s="46"/>
      <c r="AP204" s="46" t="str">
        <f aca="false">IF($D204="Followup",'Survey Response'!$D202,"")</f>
        <v/>
      </c>
      <c r="AQ204" s="46" t="str">
        <f aca="false">IF($D204="Followup",'Survey Response'!$E202,"")</f>
        <v/>
      </c>
      <c r="AR204" s="46" t="str">
        <f aca="false">IF($D204="Followup",'Survey Response'!$G202,"")</f>
        <v/>
      </c>
      <c r="AS204" s="46" t="str">
        <f aca="false">IF($D204="Followup",'Survey Response'!$H202,"")</f>
        <v/>
      </c>
      <c r="AT204" s="46" t="str">
        <f aca="false">IF($D204="Followup",'Survey Response'!$M202,"")</f>
        <v/>
      </c>
      <c r="AU204" s="46" t="str">
        <f aca="false">IF($D204="Followup",'Survey Response'!$K202,"")</f>
        <v/>
      </c>
      <c r="AV204" s="46" t="str">
        <f aca="false">IF($D204="Followup",'Survey Response'!$L202,"")</f>
        <v/>
      </c>
      <c r="AW204" s="46" t="str">
        <f aca="false">IF($D204="Followup",IF(AND($P204&lt;&gt;"Yes",$U204&lt;&gt;"Yes"),"Not approved for primary or secondary skill","Approved, but skill(s) no longer have capacity (fully staffed)"),"")</f>
        <v/>
      </c>
    </row>
    <row r="205" customFormat="false" ht="15" hidden="false" customHeight="true" outlineLevel="0" collapsed="false">
      <c r="A205" s="46" t="str">
        <f aca="false">IF('Survey Response'!$D203="","",'Survey Response'!$A203&amp;"|"&amp;LOWER(TRIM('Survey Response'!$D203)))</f>
        <v/>
      </c>
      <c r="B205" s="46" t="str">
        <f aca="false">IF($H205="","",$F205&amp;"|"&amp;$H205)</f>
        <v/>
      </c>
      <c r="C205" s="46" t="str">
        <f aca="false">IF($H205="","",$A205=$B205)</f>
        <v/>
      </c>
      <c r="D205" s="46" t="str">
        <f aca="false">IF($H205="","",IF($E205&lt;&gt;"Yes","Superseded",IF($I205&lt;&gt;"Yes, I'm available for in-person interviews at Chennai","Not Available",IF($Z205&lt;&gt;"","Panel Details","Followup"))))</f>
        <v/>
      </c>
      <c r="E205" s="46" t="str">
        <f aca="false">IF($H205="","",IF(SUMPRODUCT(($H$4:$H$503=$H205)*(($G$4:$G$503&gt;$G205)+($G$4:$G$503=$G205)*($F$4:$F$503&gt;$F205)))=0,"Yes","No"))</f>
        <v/>
      </c>
      <c r="F205" s="47" t="str">
        <f aca="false">IF('Survey Response'!$D203="","",INT('Survey Response'!$A203))</f>
        <v/>
      </c>
      <c r="G205" s="46" t="str">
        <f aca="false">IF('Survey Response'!$D203="","",'Survey Response'!$C203)</f>
        <v/>
      </c>
      <c r="H205" s="46" t="str">
        <f aca="false">IF('Survey Response'!$D203="","",LOWER(TRIM('Survey Response'!$D203)))</f>
        <v/>
      </c>
      <c r="I205" s="46" t="str">
        <f aca="false">IF($H205="","",'Survey Response'!$I203)</f>
        <v/>
      </c>
      <c r="J205" s="46" t="str">
        <f aca="false">IF($H205="","",'Survey Response'!$K203)</f>
        <v/>
      </c>
      <c r="K205" s="46" t="str">
        <f aca="false">IF($J205="","",IF(COUNTIF('Skill Mapping'!$A$2:$A$7,TRIM($J205))=0,"",INDEX('Skill Mapping'!$B$2:$B$7,MATCH(TRIM($J205),'Skill Mapping'!$A$2:$A$7,0))))</f>
        <v/>
      </c>
      <c r="L205" s="46" t="str">
        <f aca="false">IF($H205="","",'Survey Response'!$L203)</f>
        <v/>
      </c>
      <c r="M205" s="46" t="str">
        <f aca="false">IF($L205="","",IF(COUNTIF('Skill Mapping'!$A$2:$A$7,TRIM($L205))=0,"",INDEX('Skill Mapping'!$B$2:$B$7,MATCH(TRIM($L205),'Skill Mapping'!$A$2:$A$7,0))))</f>
        <v/>
      </c>
      <c r="N205" s="46" t="str">
        <f aca="false">IF($H205="","",'Survey Response'!$M203)</f>
        <v/>
      </c>
      <c r="O205" s="46" t="str">
        <f aca="false">IF($H205="","",IF('Survey Response'!$M203="Manager","R2","R1"))</f>
        <v/>
      </c>
      <c r="P205" s="46" t="str">
        <f aca="false">IF($K205="","No",IF(COUNTIFS(MasterPanel!$B:$B,$H205,MasterPanel!$I:$I,$K205,MasterPanel!$K:$K,"Y")&gt;0,"Yes","No"))</f>
        <v>No</v>
      </c>
      <c r="Q205" s="46" t="n">
        <f aca="false">IF($K205="",0,IF(COUNTIF('Gap Sheet'!$A$6:$A$11,TRIM($J205))=0,0,IF($O205="R1",INDEX('Gap Sheet'!$C$6:$C$11,MATCH(TRIM($J205),'Gap Sheet'!$A$6:$A$11,0)),INDEX('Gap Sheet'!$G$6:$G$11,MATCH(TRIM($J205),'Gap Sheet'!$A$6:$A$11,0)))))</f>
        <v>0</v>
      </c>
      <c r="R205" s="46" t="str">
        <f aca="false">IF($K205="","",$K205&amp;"|"&amp;$O205)</f>
        <v/>
      </c>
      <c r="S205" s="46" t="n">
        <f aca="false">IF($R205="",0,COUNTIF($AA$4:$AA204,$R205))</f>
        <v>0</v>
      </c>
      <c r="T205" s="46" t="str">
        <f aca="false">IF(OR($I205&lt;&gt;"Yes, I'm available for in-person interviews at Chennai",$E205&lt;&gt;"Yes",$P205&lt;&gt;"Yes"),"No",IF(($Q205-$S205)&gt;0,"Yes","No"))</f>
        <v>No</v>
      </c>
      <c r="U205" s="46" t="str">
        <f aca="false">IF($M205="","No",IF(COUNTIFS(MasterPanel!$B:$B,$H205,MasterPanel!$I:$I,$M205,MasterPanel!$K:$K,"Y")&gt;0,"Yes","No"))</f>
        <v>No</v>
      </c>
      <c r="V205" s="46" t="n">
        <f aca="false">IF($M205="",0,IF(COUNTIF('Gap Sheet'!$A$6:$A$11,TRIM($L205))=0,0,IF($O205="R1",INDEX('Gap Sheet'!$C$6:$C$11,MATCH(TRIM($L205),'Gap Sheet'!$A$6:$A$11,0)),INDEX('Gap Sheet'!$G$6:$G$11,MATCH(TRIM($L205),'Gap Sheet'!$A$6:$A$11,0)))))</f>
        <v>0</v>
      </c>
      <c r="W205" s="46" t="str">
        <f aca="false">IF($M205="","",$M205&amp;"|"&amp;$O205)</f>
        <v/>
      </c>
      <c r="X205" s="46" t="n">
        <f aca="false">IF($W205="",0,COUNTIF($AA$4:$AA204,$W205))</f>
        <v>0</v>
      </c>
      <c r="Y205" s="46" t="str">
        <f aca="false">IF(OR($I205&lt;&gt;"Yes, I'm available for in-person interviews at Chennai",$E205&lt;&gt;"Yes",$T205="Yes",$U205&lt;&gt;"Yes"),"No",IF(($V205-$X205)&gt;0,"Yes","No"))</f>
        <v>No</v>
      </c>
      <c r="Z205" s="46" t="str">
        <f aca="false">IF($T205="Yes","Primary",IF($Y205="Yes","Secondary",""))</f>
        <v/>
      </c>
      <c r="AA205" s="46" t="str">
        <f aca="false">IF($Z205="Primary",$R205,IF($Z205="Secondary",$W205,""))</f>
        <v/>
      </c>
      <c r="AB205" s="46" t="str">
        <f aca="false">IF($Z205="Primary","Matched on primary skill",IF($Z205="Secondary","Matched on secondary skill (primary not approved or not required)",""))</f>
        <v/>
      </c>
      <c r="AC205" s="47" t="str">
        <f aca="false">IF($D205="Panel Details",$F205,"")</f>
        <v/>
      </c>
      <c r="AD205" s="46" t="str">
        <f aca="false">IF($D205="Panel Details",'Survey Response'!$D203,"")</f>
        <v/>
      </c>
      <c r="AE205" s="46" t="str">
        <f aca="false">IF($D205="Panel Details",'Survey Response'!$E203,"")</f>
        <v/>
      </c>
      <c r="AF205" s="46" t="str">
        <f aca="false">IF($D205="Panel Details",'Survey Response'!$G203,"")</f>
        <v/>
      </c>
      <c r="AG205" s="46" t="str">
        <f aca="false">IF($D205="Panel Details",IF($Z205="Primary",$J205,$L205),"")</f>
        <v/>
      </c>
      <c r="AH205" s="46" t="str">
        <f aca="false">IF($D205="Panel Details",IF($Z205="Primary",$L205,$J205),"")</f>
        <v/>
      </c>
      <c r="AI205" s="46" t="str">
        <f aca="false">IF($D205="Panel Details",'Survey Response'!$H203,"")</f>
        <v/>
      </c>
      <c r="AJ205" s="46" t="str">
        <f aca="false">IF($D205="Panel Details",'Survey Response'!$M203,"")</f>
        <v/>
      </c>
      <c r="AK205" s="46" t="str">
        <f aca="false">IF($D205="Panel Details",$O205,"")</f>
        <v/>
      </c>
      <c r="AL205" s="46" t="str">
        <f aca="false">IF($D205="Panel Details",8,"")</f>
        <v/>
      </c>
      <c r="AM205" s="46" t="str">
        <f aca="false">IF($D205="Panel Details",$AB205,"")</f>
        <v/>
      </c>
      <c r="AN205" s="46" t="str">
        <f aca="false">IF($D205="Panel Details","Yes","")</f>
        <v/>
      </c>
      <c r="AO205" s="46"/>
      <c r="AP205" s="46" t="str">
        <f aca="false">IF($D205="Followup",'Survey Response'!$D203,"")</f>
        <v/>
      </c>
      <c r="AQ205" s="46" t="str">
        <f aca="false">IF($D205="Followup",'Survey Response'!$E203,"")</f>
        <v/>
      </c>
      <c r="AR205" s="46" t="str">
        <f aca="false">IF($D205="Followup",'Survey Response'!$G203,"")</f>
        <v/>
      </c>
      <c r="AS205" s="46" t="str">
        <f aca="false">IF($D205="Followup",'Survey Response'!$H203,"")</f>
        <v/>
      </c>
      <c r="AT205" s="46" t="str">
        <f aca="false">IF($D205="Followup",'Survey Response'!$M203,"")</f>
        <v/>
      </c>
      <c r="AU205" s="46" t="str">
        <f aca="false">IF($D205="Followup",'Survey Response'!$K203,"")</f>
        <v/>
      </c>
      <c r="AV205" s="46" t="str">
        <f aca="false">IF($D205="Followup",'Survey Response'!$L203,"")</f>
        <v/>
      </c>
      <c r="AW205" s="46" t="str">
        <f aca="false">IF($D205="Followup",IF(AND($P205&lt;&gt;"Yes",$U205&lt;&gt;"Yes"),"Not approved for primary or secondary skill","Approved, but skill(s) no longer have capacity (fully staffed)"),"")</f>
        <v/>
      </c>
    </row>
    <row r="206" customFormat="false" ht="15" hidden="false" customHeight="true" outlineLevel="0" collapsed="false">
      <c r="A206" s="46" t="str">
        <f aca="false">IF('Survey Response'!$D204="","",'Survey Response'!$A204&amp;"|"&amp;LOWER(TRIM('Survey Response'!$D204)))</f>
        <v/>
      </c>
      <c r="B206" s="46" t="str">
        <f aca="false">IF($H206="","",$F206&amp;"|"&amp;$H206)</f>
        <v/>
      </c>
      <c r="C206" s="46" t="str">
        <f aca="false">IF($H206="","",$A206=$B206)</f>
        <v/>
      </c>
      <c r="D206" s="46" t="str">
        <f aca="false">IF($H206="","",IF($E206&lt;&gt;"Yes","Superseded",IF($I206&lt;&gt;"Yes, I'm available for in-person interviews at Chennai","Not Available",IF($Z206&lt;&gt;"","Panel Details","Followup"))))</f>
        <v/>
      </c>
      <c r="E206" s="46" t="str">
        <f aca="false">IF($H206="","",IF(SUMPRODUCT(($H$4:$H$503=$H206)*(($G$4:$G$503&gt;$G206)+($G$4:$G$503=$G206)*($F$4:$F$503&gt;$F206)))=0,"Yes","No"))</f>
        <v/>
      </c>
      <c r="F206" s="47" t="str">
        <f aca="false">IF('Survey Response'!$D204="","",INT('Survey Response'!$A204))</f>
        <v/>
      </c>
      <c r="G206" s="46" t="str">
        <f aca="false">IF('Survey Response'!$D204="","",'Survey Response'!$C204)</f>
        <v/>
      </c>
      <c r="H206" s="46" t="str">
        <f aca="false">IF('Survey Response'!$D204="","",LOWER(TRIM('Survey Response'!$D204)))</f>
        <v/>
      </c>
      <c r="I206" s="46" t="str">
        <f aca="false">IF($H206="","",'Survey Response'!$I204)</f>
        <v/>
      </c>
      <c r="J206" s="46" t="str">
        <f aca="false">IF($H206="","",'Survey Response'!$K204)</f>
        <v/>
      </c>
      <c r="K206" s="46" t="str">
        <f aca="false">IF($J206="","",IF(COUNTIF('Skill Mapping'!$A$2:$A$7,TRIM($J206))=0,"",INDEX('Skill Mapping'!$B$2:$B$7,MATCH(TRIM($J206),'Skill Mapping'!$A$2:$A$7,0))))</f>
        <v/>
      </c>
      <c r="L206" s="46" t="str">
        <f aca="false">IF($H206="","",'Survey Response'!$L204)</f>
        <v/>
      </c>
      <c r="M206" s="46" t="str">
        <f aca="false">IF($L206="","",IF(COUNTIF('Skill Mapping'!$A$2:$A$7,TRIM($L206))=0,"",INDEX('Skill Mapping'!$B$2:$B$7,MATCH(TRIM($L206),'Skill Mapping'!$A$2:$A$7,0))))</f>
        <v/>
      </c>
      <c r="N206" s="46" t="str">
        <f aca="false">IF($H206="","",'Survey Response'!$M204)</f>
        <v/>
      </c>
      <c r="O206" s="46" t="str">
        <f aca="false">IF($H206="","",IF('Survey Response'!$M204="Manager","R2","R1"))</f>
        <v/>
      </c>
      <c r="P206" s="46" t="str">
        <f aca="false">IF($K206="","No",IF(COUNTIFS(MasterPanel!$B:$B,$H206,MasterPanel!$I:$I,$K206,MasterPanel!$K:$K,"Y")&gt;0,"Yes","No"))</f>
        <v>No</v>
      </c>
      <c r="Q206" s="46" t="n">
        <f aca="false">IF($K206="",0,IF(COUNTIF('Gap Sheet'!$A$6:$A$11,TRIM($J206))=0,0,IF($O206="R1",INDEX('Gap Sheet'!$C$6:$C$11,MATCH(TRIM($J206),'Gap Sheet'!$A$6:$A$11,0)),INDEX('Gap Sheet'!$G$6:$G$11,MATCH(TRIM($J206),'Gap Sheet'!$A$6:$A$11,0)))))</f>
        <v>0</v>
      </c>
      <c r="R206" s="46" t="str">
        <f aca="false">IF($K206="","",$K206&amp;"|"&amp;$O206)</f>
        <v/>
      </c>
      <c r="S206" s="46" t="n">
        <f aca="false">IF($R206="",0,COUNTIF($AA$4:$AA205,$R206))</f>
        <v>0</v>
      </c>
      <c r="T206" s="46" t="str">
        <f aca="false">IF(OR($I206&lt;&gt;"Yes, I'm available for in-person interviews at Chennai",$E206&lt;&gt;"Yes",$P206&lt;&gt;"Yes"),"No",IF(($Q206-$S206)&gt;0,"Yes","No"))</f>
        <v>No</v>
      </c>
      <c r="U206" s="46" t="str">
        <f aca="false">IF($M206="","No",IF(COUNTIFS(MasterPanel!$B:$B,$H206,MasterPanel!$I:$I,$M206,MasterPanel!$K:$K,"Y")&gt;0,"Yes","No"))</f>
        <v>No</v>
      </c>
      <c r="V206" s="46" t="n">
        <f aca="false">IF($M206="",0,IF(COUNTIF('Gap Sheet'!$A$6:$A$11,TRIM($L206))=0,0,IF($O206="R1",INDEX('Gap Sheet'!$C$6:$C$11,MATCH(TRIM($L206),'Gap Sheet'!$A$6:$A$11,0)),INDEX('Gap Sheet'!$G$6:$G$11,MATCH(TRIM($L206),'Gap Sheet'!$A$6:$A$11,0)))))</f>
        <v>0</v>
      </c>
      <c r="W206" s="46" t="str">
        <f aca="false">IF($M206="","",$M206&amp;"|"&amp;$O206)</f>
        <v/>
      </c>
      <c r="X206" s="46" t="n">
        <f aca="false">IF($W206="",0,COUNTIF($AA$4:$AA205,$W206))</f>
        <v>0</v>
      </c>
      <c r="Y206" s="46" t="str">
        <f aca="false">IF(OR($I206&lt;&gt;"Yes, I'm available for in-person interviews at Chennai",$E206&lt;&gt;"Yes",$T206="Yes",$U206&lt;&gt;"Yes"),"No",IF(($V206-$X206)&gt;0,"Yes","No"))</f>
        <v>No</v>
      </c>
      <c r="Z206" s="46" t="str">
        <f aca="false">IF($T206="Yes","Primary",IF($Y206="Yes","Secondary",""))</f>
        <v/>
      </c>
      <c r="AA206" s="46" t="str">
        <f aca="false">IF($Z206="Primary",$R206,IF($Z206="Secondary",$W206,""))</f>
        <v/>
      </c>
      <c r="AB206" s="46" t="str">
        <f aca="false">IF($Z206="Primary","Matched on primary skill",IF($Z206="Secondary","Matched on secondary skill (primary not approved or not required)",""))</f>
        <v/>
      </c>
      <c r="AC206" s="47" t="str">
        <f aca="false">IF($D206="Panel Details",$F206,"")</f>
        <v/>
      </c>
      <c r="AD206" s="46" t="str">
        <f aca="false">IF($D206="Panel Details",'Survey Response'!$D204,"")</f>
        <v/>
      </c>
      <c r="AE206" s="46" t="str">
        <f aca="false">IF($D206="Panel Details",'Survey Response'!$E204,"")</f>
        <v/>
      </c>
      <c r="AF206" s="46" t="str">
        <f aca="false">IF($D206="Panel Details",'Survey Response'!$G204,"")</f>
        <v/>
      </c>
      <c r="AG206" s="46" t="str">
        <f aca="false">IF($D206="Panel Details",IF($Z206="Primary",$J206,$L206),"")</f>
        <v/>
      </c>
      <c r="AH206" s="46" t="str">
        <f aca="false">IF($D206="Panel Details",IF($Z206="Primary",$L206,$J206),"")</f>
        <v/>
      </c>
      <c r="AI206" s="46" t="str">
        <f aca="false">IF($D206="Panel Details",'Survey Response'!$H204,"")</f>
        <v/>
      </c>
      <c r="AJ206" s="46" t="str">
        <f aca="false">IF($D206="Panel Details",'Survey Response'!$M204,"")</f>
        <v/>
      </c>
      <c r="AK206" s="46" t="str">
        <f aca="false">IF($D206="Panel Details",$O206,"")</f>
        <v/>
      </c>
      <c r="AL206" s="46" t="str">
        <f aca="false">IF($D206="Panel Details",8,"")</f>
        <v/>
      </c>
      <c r="AM206" s="46" t="str">
        <f aca="false">IF($D206="Panel Details",$AB206,"")</f>
        <v/>
      </c>
      <c r="AN206" s="46" t="str">
        <f aca="false">IF($D206="Panel Details","Yes","")</f>
        <v/>
      </c>
      <c r="AO206" s="46"/>
      <c r="AP206" s="46" t="str">
        <f aca="false">IF($D206="Followup",'Survey Response'!$D204,"")</f>
        <v/>
      </c>
      <c r="AQ206" s="46" t="str">
        <f aca="false">IF($D206="Followup",'Survey Response'!$E204,"")</f>
        <v/>
      </c>
      <c r="AR206" s="46" t="str">
        <f aca="false">IF($D206="Followup",'Survey Response'!$G204,"")</f>
        <v/>
      </c>
      <c r="AS206" s="46" t="str">
        <f aca="false">IF($D206="Followup",'Survey Response'!$H204,"")</f>
        <v/>
      </c>
      <c r="AT206" s="46" t="str">
        <f aca="false">IF($D206="Followup",'Survey Response'!$M204,"")</f>
        <v/>
      </c>
      <c r="AU206" s="46" t="str">
        <f aca="false">IF($D206="Followup",'Survey Response'!$K204,"")</f>
        <v/>
      </c>
      <c r="AV206" s="46" t="str">
        <f aca="false">IF($D206="Followup",'Survey Response'!$L204,"")</f>
        <v/>
      </c>
      <c r="AW206" s="46" t="str">
        <f aca="false">IF($D206="Followup",IF(AND($P206&lt;&gt;"Yes",$U206&lt;&gt;"Yes"),"Not approved for primary or secondary skill","Approved, but skill(s) no longer have capacity (fully staffed)"),"")</f>
        <v/>
      </c>
    </row>
    <row r="207" customFormat="false" ht="15" hidden="false" customHeight="true" outlineLevel="0" collapsed="false">
      <c r="A207" s="46" t="str">
        <f aca="false">IF('Survey Response'!$D205="","",'Survey Response'!$A205&amp;"|"&amp;LOWER(TRIM('Survey Response'!$D205)))</f>
        <v/>
      </c>
      <c r="B207" s="46" t="str">
        <f aca="false">IF($H207="","",$F207&amp;"|"&amp;$H207)</f>
        <v/>
      </c>
      <c r="C207" s="46" t="str">
        <f aca="false">IF($H207="","",$A207=$B207)</f>
        <v/>
      </c>
      <c r="D207" s="46" t="str">
        <f aca="false">IF($H207="","",IF($E207&lt;&gt;"Yes","Superseded",IF($I207&lt;&gt;"Yes, I'm available for in-person interviews at Chennai","Not Available",IF($Z207&lt;&gt;"","Panel Details","Followup"))))</f>
        <v/>
      </c>
      <c r="E207" s="46" t="str">
        <f aca="false">IF($H207="","",IF(SUMPRODUCT(($H$4:$H$503=$H207)*(($G$4:$G$503&gt;$G207)+($G$4:$G$503=$G207)*($F$4:$F$503&gt;$F207)))=0,"Yes","No"))</f>
        <v/>
      </c>
      <c r="F207" s="47" t="str">
        <f aca="false">IF('Survey Response'!$D205="","",INT('Survey Response'!$A205))</f>
        <v/>
      </c>
      <c r="G207" s="46" t="str">
        <f aca="false">IF('Survey Response'!$D205="","",'Survey Response'!$C205)</f>
        <v/>
      </c>
      <c r="H207" s="46" t="str">
        <f aca="false">IF('Survey Response'!$D205="","",LOWER(TRIM('Survey Response'!$D205)))</f>
        <v/>
      </c>
      <c r="I207" s="46" t="str">
        <f aca="false">IF($H207="","",'Survey Response'!$I205)</f>
        <v/>
      </c>
      <c r="J207" s="46" t="str">
        <f aca="false">IF($H207="","",'Survey Response'!$K205)</f>
        <v/>
      </c>
      <c r="K207" s="46" t="str">
        <f aca="false">IF($J207="","",IF(COUNTIF('Skill Mapping'!$A$2:$A$7,TRIM($J207))=0,"",INDEX('Skill Mapping'!$B$2:$B$7,MATCH(TRIM($J207),'Skill Mapping'!$A$2:$A$7,0))))</f>
        <v/>
      </c>
      <c r="L207" s="46" t="str">
        <f aca="false">IF($H207="","",'Survey Response'!$L205)</f>
        <v/>
      </c>
      <c r="M207" s="46" t="str">
        <f aca="false">IF($L207="","",IF(COUNTIF('Skill Mapping'!$A$2:$A$7,TRIM($L207))=0,"",INDEX('Skill Mapping'!$B$2:$B$7,MATCH(TRIM($L207),'Skill Mapping'!$A$2:$A$7,0))))</f>
        <v/>
      </c>
      <c r="N207" s="46" t="str">
        <f aca="false">IF($H207="","",'Survey Response'!$M205)</f>
        <v/>
      </c>
      <c r="O207" s="46" t="str">
        <f aca="false">IF($H207="","",IF('Survey Response'!$M205="Manager","R2","R1"))</f>
        <v/>
      </c>
      <c r="P207" s="46" t="str">
        <f aca="false">IF($K207="","No",IF(COUNTIFS(MasterPanel!$B:$B,$H207,MasterPanel!$I:$I,$K207,MasterPanel!$K:$K,"Y")&gt;0,"Yes","No"))</f>
        <v>No</v>
      </c>
      <c r="Q207" s="46" t="n">
        <f aca="false">IF($K207="",0,IF(COUNTIF('Gap Sheet'!$A$6:$A$11,TRIM($J207))=0,0,IF($O207="R1",INDEX('Gap Sheet'!$C$6:$C$11,MATCH(TRIM($J207),'Gap Sheet'!$A$6:$A$11,0)),INDEX('Gap Sheet'!$G$6:$G$11,MATCH(TRIM($J207),'Gap Sheet'!$A$6:$A$11,0)))))</f>
        <v>0</v>
      </c>
      <c r="R207" s="46" t="str">
        <f aca="false">IF($K207="","",$K207&amp;"|"&amp;$O207)</f>
        <v/>
      </c>
      <c r="S207" s="46" t="n">
        <f aca="false">IF($R207="",0,COUNTIF($AA$4:$AA206,$R207))</f>
        <v>0</v>
      </c>
      <c r="T207" s="46" t="str">
        <f aca="false">IF(OR($I207&lt;&gt;"Yes, I'm available for in-person interviews at Chennai",$E207&lt;&gt;"Yes",$P207&lt;&gt;"Yes"),"No",IF(($Q207-$S207)&gt;0,"Yes","No"))</f>
        <v>No</v>
      </c>
      <c r="U207" s="46" t="str">
        <f aca="false">IF($M207="","No",IF(COUNTIFS(MasterPanel!$B:$B,$H207,MasterPanel!$I:$I,$M207,MasterPanel!$K:$K,"Y")&gt;0,"Yes","No"))</f>
        <v>No</v>
      </c>
      <c r="V207" s="46" t="n">
        <f aca="false">IF($M207="",0,IF(COUNTIF('Gap Sheet'!$A$6:$A$11,TRIM($L207))=0,0,IF($O207="R1",INDEX('Gap Sheet'!$C$6:$C$11,MATCH(TRIM($L207),'Gap Sheet'!$A$6:$A$11,0)),INDEX('Gap Sheet'!$G$6:$G$11,MATCH(TRIM($L207),'Gap Sheet'!$A$6:$A$11,0)))))</f>
        <v>0</v>
      </c>
      <c r="W207" s="46" t="str">
        <f aca="false">IF($M207="","",$M207&amp;"|"&amp;$O207)</f>
        <v/>
      </c>
      <c r="X207" s="46" t="n">
        <f aca="false">IF($W207="",0,COUNTIF($AA$4:$AA206,$W207))</f>
        <v>0</v>
      </c>
      <c r="Y207" s="46" t="str">
        <f aca="false">IF(OR($I207&lt;&gt;"Yes, I'm available for in-person interviews at Chennai",$E207&lt;&gt;"Yes",$T207="Yes",$U207&lt;&gt;"Yes"),"No",IF(($V207-$X207)&gt;0,"Yes","No"))</f>
        <v>No</v>
      </c>
      <c r="Z207" s="46" t="str">
        <f aca="false">IF($T207="Yes","Primary",IF($Y207="Yes","Secondary",""))</f>
        <v/>
      </c>
      <c r="AA207" s="46" t="str">
        <f aca="false">IF($Z207="Primary",$R207,IF($Z207="Secondary",$W207,""))</f>
        <v/>
      </c>
      <c r="AB207" s="46" t="str">
        <f aca="false">IF($Z207="Primary","Matched on primary skill",IF($Z207="Secondary","Matched on secondary skill (primary not approved or not required)",""))</f>
        <v/>
      </c>
      <c r="AC207" s="47" t="str">
        <f aca="false">IF($D207="Panel Details",$F207,"")</f>
        <v/>
      </c>
      <c r="AD207" s="46" t="str">
        <f aca="false">IF($D207="Panel Details",'Survey Response'!$D205,"")</f>
        <v/>
      </c>
      <c r="AE207" s="46" t="str">
        <f aca="false">IF($D207="Panel Details",'Survey Response'!$E205,"")</f>
        <v/>
      </c>
      <c r="AF207" s="46" t="str">
        <f aca="false">IF($D207="Panel Details",'Survey Response'!$G205,"")</f>
        <v/>
      </c>
      <c r="AG207" s="46" t="str">
        <f aca="false">IF($D207="Panel Details",IF($Z207="Primary",$J207,$L207),"")</f>
        <v/>
      </c>
      <c r="AH207" s="46" t="str">
        <f aca="false">IF($D207="Panel Details",IF($Z207="Primary",$L207,$J207),"")</f>
        <v/>
      </c>
      <c r="AI207" s="46" t="str">
        <f aca="false">IF($D207="Panel Details",'Survey Response'!$H205,"")</f>
        <v/>
      </c>
      <c r="AJ207" s="46" t="str">
        <f aca="false">IF($D207="Panel Details",'Survey Response'!$M205,"")</f>
        <v/>
      </c>
      <c r="AK207" s="46" t="str">
        <f aca="false">IF($D207="Panel Details",$O207,"")</f>
        <v/>
      </c>
      <c r="AL207" s="46" t="str">
        <f aca="false">IF($D207="Panel Details",8,"")</f>
        <v/>
      </c>
      <c r="AM207" s="46" t="str">
        <f aca="false">IF($D207="Panel Details",$AB207,"")</f>
        <v/>
      </c>
      <c r="AN207" s="46" t="str">
        <f aca="false">IF($D207="Panel Details","Yes","")</f>
        <v/>
      </c>
      <c r="AO207" s="46"/>
      <c r="AP207" s="46" t="str">
        <f aca="false">IF($D207="Followup",'Survey Response'!$D205,"")</f>
        <v/>
      </c>
      <c r="AQ207" s="46" t="str">
        <f aca="false">IF($D207="Followup",'Survey Response'!$E205,"")</f>
        <v/>
      </c>
      <c r="AR207" s="46" t="str">
        <f aca="false">IF($D207="Followup",'Survey Response'!$G205,"")</f>
        <v/>
      </c>
      <c r="AS207" s="46" t="str">
        <f aca="false">IF($D207="Followup",'Survey Response'!$H205,"")</f>
        <v/>
      </c>
      <c r="AT207" s="46" t="str">
        <f aca="false">IF($D207="Followup",'Survey Response'!$M205,"")</f>
        <v/>
      </c>
      <c r="AU207" s="46" t="str">
        <f aca="false">IF($D207="Followup",'Survey Response'!$K205,"")</f>
        <v/>
      </c>
      <c r="AV207" s="46" t="str">
        <f aca="false">IF($D207="Followup",'Survey Response'!$L205,"")</f>
        <v/>
      </c>
      <c r="AW207" s="46" t="str">
        <f aca="false">IF($D207="Followup",IF(AND($P207&lt;&gt;"Yes",$U207&lt;&gt;"Yes"),"Not approved for primary or secondary skill","Approved, but skill(s) no longer have capacity (fully staffed)"),"")</f>
        <v/>
      </c>
    </row>
    <row r="208" customFormat="false" ht="15" hidden="false" customHeight="true" outlineLevel="0" collapsed="false">
      <c r="A208" s="46" t="str">
        <f aca="false">IF('Survey Response'!$D206="","",'Survey Response'!$A206&amp;"|"&amp;LOWER(TRIM('Survey Response'!$D206)))</f>
        <v/>
      </c>
      <c r="B208" s="46" t="str">
        <f aca="false">IF($H208="","",$F208&amp;"|"&amp;$H208)</f>
        <v/>
      </c>
      <c r="C208" s="46" t="str">
        <f aca="false">IF($H208="","",$A208=$B208)</f>
        <v/>
      </c>
      <c r="D208" s="46" t="str">
        <f aca="false">IF($H208="","",IF($E208&lt;&gt;"Yes","Superseded",IF($I208&lt;&gt;"Yes, I'm available for in-person interviews at Chennai","Not Available",IF($Z208&lt;&gt;"","Panel Details","Followup"))))</f>
        <v/>
      </c>
      <c r="E208" s="46" t="str">
        <f aca="false">IF($H208="","",IF(SUMPRODUCT(($H$4:$H$503=$H208)*(($G$4:$G$503&gt;$G208)+($G$4:$G$503=$G208)*($F$4:$F$503&gt;$F208)))=0,"Yes","No"))</f>
        <v/>
      </c>
      <c r="F208" s="47" t="str">
        <f aca="false">IF('Survey Response'!$D206="","",INT('Survey Response'!$A206))</f>
        <v/>
      </c>
      <c r="G208" s="46" t="str">
        <f aca="false">IF('Survey Response'!$D206="","",'Survey Response'!$C206)</f>
        <v/>
      </c>
      <c r="H208" s="46" t="str">
        <f aca="false">IF('Survey Response'!$D206="","",LOWER(TRIM('Survey Response'!$D206)))</f>
        <v/>
      </c>
      <c r="I208" s="46" t="str">
        <f aca="false">IF($H208="","",'Survey Response'!$I206)</f>
        <v/>
      </c>
      <c r="J208" s="46" t="str">
        <f aca="false">IF($H208="","",'Survey Response'!$K206)</f>
        <v/>
      </c>
      <c r="K208" s="46" t="str">
        <f aca="false">IF($J208="","",IF(COUNTIF('Skill Mapping'!$A$2:$A$7,TRIM($J208))=0,"",INDEX('Skill Mapping'!$B$2:$B$7,MATCH(TRIM($J208),'Skill Mapping'!$A$2:$A$7,0))))</f>
        <v/>
      </c>
      <c r="L208" s="46" t="str">
        <f aca="false">IF($H208="","",'Survey Response'!$L206)</f>
        <v/>
      </c>
      <c r="M208" s="46" t="str">
        <f aca="false">IF($L208="","",IF(COUNTIF('Skill Mapping'!$A$2:$A$7,TRIM($L208))=0,"",INDEX('Skill Mapping'!$B$2:$B$7,MATCH(TRIM($L208),'Skill Mapping'!$A$2:$A$7,0))))</f>
        <v/>
      </c>
      <c r="N208" s="46" t="str">
        <f aca="false">IF($H208="","",'Survey Response'!$M206)</f>
        <v/>
      </c>
      <c r="O208" s="46" t="str">
        <f aca="false">IF($H208="","",IF('Survey Response'!$M206="Manager","R2","R1"))</f>
        <v/>
      </c>
      <c r="P208" s="46" t="str">
        <f aca="false">IF($K208="","No",IF(COUNTIFS(MasterPanel!$B:$B,$H208,MasterPanel!$I:$I,$K208,MasterPanel!$K:$K,"Y")&gt;0,"Yes","No"))</f>
        <v>No</v>
      </c>
      <c r="Q208" s="46" t="n">
        <f aca="false">IF($K208="",0,IF(COUNTIF('Gap Sheet'!$A$6:$A$11,TRIM($J208))=0,0,IF($O208="R1",INDEX('Gap Sheet'!$C$6:$C$11,MATCH(TRIM($J208),'Gap Sheet'!$A$6:$A$11,0)),INDEX('Gap Sheet'!$G$6:$G$11,MATCH(TRIM($J208),'Gap Sheet'!$A$6:$A$11,0)))))</f>
        <v>0</v>
      </c>
      <c r="R208" s="46" t="str">
        <f aca="false">IF($K208="","",$K208&amp;"|"&amp;$O208)</f>
        <v/>
      </c>
      <c r="S208" s="46" t="n">
        <f aca="false">IF($R208="",0,COUNTIF($AA$4:$AA207,$R208))</f>
        <v>0</v>
      </c>
      <c r="T208" s="46" t="str">
        <f aca="false">IF(OR($I208&lt;&gt;"Yes, I'm available for in-person interviews at Chennai",$E208&lt;&gt;"Yes",$P208&lt;&gt;"Yes"),"No",IF(($Q208-$S208)&gt;0,"Yes","No"))</f>
        <v>No</v>
      </c>
      <c r="U208" s="46" t="str">
        <f aca="false">IF($M208="","No",IF(COUNTIFS(MasterPanel!$B:$B,$H208,MasterPanel!$I:$I,$M208,MasterPanel!$K:$K,"Y")&gt;0,"Yes","No"))</f>
        <v>No</v>
      </c>
      <c r="V208" s="46" t="n">
        <f aca="false">IF($M208="",0,IF(COUNTIF('Gap Sheet'!$A$6:$A$11,TRIM($L208))=0,0,IF($O208="R1",INDEX('Gap Sheet'!$C$6:$C$11,MATCH(TRIM($L208),'Gap Sheet'!$A$6:$A$11,0)),INDEX('Gap Sheet'!$G$6:$G$11,MATCH(TRIM($L208),'Gap Sheet'!$A$6:$A$11,0)))))</f>
        <v>0</v>
      </c>
      <c r="W208" s="46" t="str">
        <f aca="false">IF($M208="","",$M208&amp;"|"&amp;$O208)</f>
        <v/>
      </c>
      <c r="X208" s="46" t="n">
        <f aca="false">IF($W208="",0,COUNTIF($AA$4:$AA207,$W208))</f>
        <v>0</v>
      </c>
      <c r="Y208" s="46" t="str">
        <f aca="false">IF(OR($I208&lt;&gt;"Yes, I'm available for in-person interviews at Chennai",$E208&lt;&gt;"Yes",$T208="Yes",$U208&lt;&gt;"Yes"),"No",IF(($V208-$X208)&gt;0,"Yes","No"))</f>
        <v>No</v>
      </c>
      <c r="Z208" s="46" t="str">
        <f aca="false">IF($T208="Yes","Primary",IF($Y208="Yes","Secondary",""))</f>
        <v/>
      </c>
      <c r="AA208" s="46" t="str">
        <f aca="false">IF($Z208="Primary",$R208,IF($Z208="Secondary",$W208,""))</f>
        <v/>
      </c>
      <c r="AB208" s="46" t="str">
        <f aca="false">IF($Z208="Primary","Matched on primary skill",IF($Z208="Secondary","Matched on secondary skill (primary not approved or not required)",""))</f>
        <v/>
      </c>
      <c r="AC208" s="47" t="str">
        <f aca="false">IF($D208="Panel Details",$F208,"")</f>
        <v/>
      </c>
      <c r="AD208" s="46" t="str">
        <f aca="false">IF($D208="Panel Details",'Survey Response'!$D206,"")</f>
        <v/>
      </c>
      <c r="AE208" s="46" t="str">
        <f aca="false">IF($D208="Panel Details",'Survey Response'!$E206,"")</f>
        <v/>
      </c>
      <c r="AF208" s="46" t="str">
        <f aca="false">IF($D208="Panel Details",'Survey Response'!$G206,"")</f>
        <v/>
      </c>
      <c r="AG208" s="46" t="str">
        <f aca="false">IF($D208="Panel Details",IF($Z208="Primary",$J208,$L208),"")</f>
        <v/>
      </c>
      <c r="AH208" s="46" t="str">
        <f aca="false">IF($D208="Panel Details",IF($Z208="Primary",$L208,$J208),"")</f>
        <v/>
      </c>
      <c r="AI208" s="46" t="str">
        <f aca="false">IF($D208="Panel Details",'Survey Response'!$H206,"")</f>
        <v/>
      </c>
      <c r="AJ208" s="46" t="str">
        <f aca="false">IF($D208="Panel Details",'Survey Response'!$M206,"")</f>
        <v/>
      </c>
      <c r="AK208" s="46" t="str">
        <f aca="false">IF($D208="Panel Details",$O208,"")</f>
        <v/>
      </c>
      <c r="AL208" s="46" t="str">
        <f aca="false">IF($D208="Panel Details",8,"")</f>
        <v/>
      </c>
      <c r="AM208" s="46" t="str">
        <f aca="false">IF($D208="Panel Details",$AB208,"")</f>
        <v/>
      </c>
      <c r="AN208" s="46" t="str">
        <f aca="false">IF($D208="Panel Details","Yes","")</f>
        <v/>
      </c>
      <c r="AO208" s="46"/>
      <c r="AP208" s="46" t="str">
        <f aca="false">IF($D208="Followup",'Survey Response'!$D206,"")</f>
        <v/>
      </c>
      <c r="AQ208" s="46" t="str">
        <f aca="false">IF($D208="Followup",'Survey Response'!$E206,"")</f>
        <v/>
      </c>
      <c r="AR208" s="46" t="str">
        <f aca="false">IF($D208="Followup",'Survey Response'!$G206,"")</f>
        <v/>
      </c>
      <c r="AS208" s="46" t="str">
        <f aca="false">IF($D208="Followup",'Survey Response'!$H206,"")</f>
        <v/>
      </c>
      <c r="AT208" s="46" t="str">
        <f aca="false">IF($D208="Followup",'Survey Response'!$M206,"")</f>
        <v/>
      </c>
      <c r="AU208" s="46" t="str">
        <f aca="false">IF($D208="Followup",'Survey Response'!$K206,"")</f>
        <v/>
      </c>
      <c r="AV208" s="46" t="str">
        <f aca="false">IF($D208="Followup",'Survey Response'!$L206,"")</f>
        <v/>
      </c>
      <c r="AW208" s="46" t="str">
        <f aca="false">IF($D208="Followup",IF(AND($P208&lt;&gt;"Yes",$U208&lt;&gt;"Yes"),"Not approved for primary or secondary skill","Approved, but skill(s) no longer have capacity (fully staffed)"),"")</f>
        <v/>
      </c>
    </row>
    <row r="209" customFormat="false" ht="15" hidden="false" customHeight="true" outlineLevel="0" collapsed="false">
      <c r="A209" s="46" t="str">
        <f aca="false">IF('Survey Response'!$D207="","",'Survey Response'!$A207&amp;"|"&amp;LOWER(TRIM('Survey Response'!$D207)))</f>
        <v/>
      </c>
      <c r="B209" s="46" t="str">
        <f aca="false">IF($H209="","",$F209&amp;"|"&amp;$H209)</f>
        <v/>
      </c>
      <c r="C209" s="46" t="str">
        <f aca="false">IF($H209="","",$A209=$B209)</f>
        <v/>
      </c>
      <c r="D209" s="46" t="str">
        <f aca="false">IF($H209="","",IF($E209&lt;&gt;"Yes","Superseded",IF($I209&lt;&gt;"Yes, I'm available for in-person interviews at Chennai","Not Available",IF($Z209&lt;&gt;"","Panel Details","Followup"))))</f>
        <v/>
      </c>
      <c r="E209" s="46" t="str">
        <f aca="false">IF($H209="","",IF(SUMPRODUCT(($H$4:$H$503=$H209)*(($G$4:$G$503&gt;$G209)+($G$4:$G$503=$G209)*($F$4:$F$503&gt;$F209)))=0,"Yes","No"))</f>
        <v/>
      </c>
      <c r="F209" s="47" t="str">
        <f aca="false">IF('Survey Response'!$D207="","",INT('Survey Response'!$A207))</f>
        <v/>
      </c>
      <c r="G209" s="46" t="str">
        <f aca="false">IF('Survey Response'!$D207="","",'Survey Response'!$C207)</f>
        <v/>
      </c>
      <c r="H209" s="46" t="str">
        <f aca="false">IF('Survey Response'!$D207="","",LOWER(TRIM('Survey Response'!$D207)))</f>
        <v/>
      </c>
      <c r="I209" s="46" t="str">
        <f aca="false">IF($H209="","",'Survey Response'!$I207)</f>
        <v/>
      </c>
      <c r="J209" s="46" t="str">
        <f aca="false">IF($H209="","",'Survey Response'!$K207)</f>
        <v/>
      </c>
      <c r="K209" s="46" t="str">
        <f aca="false">IF($J209="","",IF(COUNTIF('Skill Mapping'!$A$2:$A$7,TRIM($J209))=0,"",INDEX('Skill Mapping'!$B$2:$B$7,MATCH(TRIM($J209),'Skill Mapping'!$A$2:$A$7,0))))</f>
        <v/>
      </c>
      <c r="L209" s="46" t="str">
        <f aca="false">IF($H209="","",'Survey Response'!$L207)</f>
        <v/>
      </c>
      <c r="M209" s="46" t="str">
        <f aca="false">IF($L209="","",IF(COUNTIF('Skill Mapping'!$A$2:$A$7,TRIM($L209))=0,"",INDEX('Skill Mapping'!$B$2:$B$7,MATCH(TRIM($L209),'Skill Mapping'!$A$2:$A$7,0))))</f>
        <v/>
      </c>
      <c r="N209" s="46" t="str">
        <f aca="false">IF($H209="","",'Survey Response'!$M207)</f>
        <v/>
      </c>
      <c r="O209" s="46" t="str">
        <f aca="false">IF($H209="","",IF('Survey Response'!$M207="Manager","R2","R1"))</f>
        <v/>
      </c>
      <c r="P209" s="46" t="str">
        <f aca="false">IF($K209="","No",IF(COUNTIFS(MasterPanel!$B:$B,$H209,MasterPanel!$I:$I,$K209,MasterPanel!$K:$K,"Y")&gt;0,"Yes","No"))</f>
        <v>No</v>
      </c>
      <c r="Q209" s="46" t="n">
        <f aca="false">IF($K209="",0,IF(COUNTIF('Gap Sheet'!$A$6:$A$11,TRIM($J209))=0,0,IF($O209="R1",INDEX('Gap Sheet'!$C$6:$C$11,MATCH(TRIM($J209),'Gap Sheet'!$A$6:$A$11,0)),INDEX('Gap Sheet'!$G$6:$G$11,MATCH(TRIM($J209),'Gap Sheet'!$A$6:$A$11,0)))))</f>
        <v>0</v>
      </c>
      <c r="R209" s="46" t="str">
        <f aca="false">IF($K209="","",$K209&amp;"|"&amp;$O209)</f>
        <v/>
      </c>
      <c r="S209" s="46" t="n">
        <f aca="false">IF($R209="",0,COUNTIF($AA$4:$AA208,$R209))</f>
        <v>0</v>
      </c>
      <c r="T209" s="46" t="str">
        <f aca="false">IF(OR($I209&lt;&gt;"Yes, I'm available for in-person interviews at Chennai",$E209&lt;&gt;"Yes",$P209&lt;&gt;"Yes"),"No",IF(($Q209-$S209)&gt;0,"Yes","No"))</f>
        <v>No</v>
      </c>
      <c r="U209" s="46" t="str">
        <f aca="false">IF($M209="","No",IF(COUNTIFS(MasterPanel!$B:$B,$H209,MasterPanel!$I:$I,$M209,MasterPanel!$K:$K,"Y")&gt;0,"Yes","No"))</f>
        <v>No</v>
      </c>
      <c r="V209" s="46" t="n">
        <f aca="false">IF($M209="",0,IF(COUNTIF('Gap Sheet'!$A$6:$A$11,TRIM($L209))=0,0,IF($O209="R1",INDEX('Gap Sheet'!$C$6:$C$11,MATCH(TRIM($L209),'Gap Sheet'!$A$6:$A$11,0)),INDEX('Gap Sheet'!$G$6:$G$11,MATCH(TRIM($L209),'Gap Sheet'!$A$6:$A$11,0)))))</f>
        <v>0</v>
      </c>
      <c r="W209" s="46" t="str">
        <f aca="false">IF($M209="","",$M209&amp;"|"&amp;$O209)</f>
        <v/>
      </c>
      <c r="X209" s="46" t="n">
        <f aca="false">IF($W209="",0,COUNTIF($AA$4:$AA208,$W209))</f>
        <v>0</v>
      </c>
      <c r="Y209" s="46" t="str">
        <f aca="false">IF(OR($I209&lt;&gt;"Yes, I'm available for in-person interviews at Chennai",$E209&lt;&gt;"Yes",$T209="Yes",$U209&lt;&gt;"Yes"),"No",IF(($V209-$X209)&gt;0,"Yes","No"))</f>
        <v>No</v>
      </c>
      <c r="Z209" s="46" t="str">
        <f aca="false">IF($T209="Yes","Primary",IF($Y209="Yes","Secondary",""))</f>
        <v/>
      </c>
      <c r="AA209" s="46" t="str">
        <f aca="false">IF($Z209="Primary",$R209,IF($Z209="Secondary",$W209,""))</f>
        <v/>
      </c>
      <c r="AB209" s="46" t="str">
        <f aca="false">IF($Z209="Primary","Matched on primary skill",IF($Z209="Secondary","Matched on secondary skill (primary not approved or not required)",""))</f>
        <v/>
      </c>
      <c r="AC209" s="47" t="str">
        <f aca="false">IF($D209="Panel Details",$F209,"")</f>
        <v/>
      </c>
      <c r="AD209" s="46" t="str">
        <f aca="false">IF($D209="Panel Details",'Survey Response'!$D207,"")</f>
        <v/>
      </c>
      <c r="AE209" s="46" t="str">
        <f aca="false">IF($D209="Panel Details",'Survey Response'!$E207,"")</f>
        <v/>
      </c>
      <c r="AF209" s="46" t="str">
        <f aca="false">IF($D209="Panel Details",'Survey Response'!$G207,"")</f>
        <v/>
      </c>
      <c r="AG209" s="46" t="str">
        <f aca="false">IF($D209="Panel Details",IF($Z209="Primary",$J209,$L209),"")</f>
        <v/>
      </c>
      <c r="AH209" s="46" t="str">
        <f aca="false">IF($D209="Panel Details",IF($Z209="Primary",$L209,$J209),"")</f>
        <v/>
      </c>
      <c r="AI209" s="46" t="str">
        <f aca="false">IF($D209="Panel Details",'Survey Response'!$H207,"")</f>
        <v/>
      </c>
      <c r="AJ209" s="46" t="str">
        <f aca="false">IF($D209="Panel Details",'Survey Response'!$M207,"")</f>
        <v/>
      </c>
      <c r="AK209" s="46" t="str">
        <f aca="false">IF($D209="Panel Details",$O209,"")</f>
        <v/>
      </c>
      <c r="AL209" s="46" t="str">
        <f aca="false">IF($D209="Panel Details",8,"")</f>
        <v/>
      </c>
      <c r="AM209" s="46" t="str">
        <f aca="false">IF($D209="Panel Details",$AB209,"")</f>
        <v/>
      </c>
      <c r="AN209" s="46" t="str">
        <f aca="false">IF($D209="Panel Details","Yes","")</f>
        <v/>
      </c>
      <c r="AO209" s="46"/>
      <c r="AP209" s="46" t="str">
        <f aca="false">IF($D209="Followup",'Survey Response'!$D207,"")</f>
        <v/>
      </c>
      <c r="AQ209" s="46" t="str">
        <f aca="false">IF($D209="Followup",'Survey Response'!$E207,"")</f>
        <v/>
      </c>
      <c r="AR209" s="46" t="str">
        <f aca="false">IF($D209="Followup",'Survey Response'!$G207,"")</f>
        <v/>
      </c>
      <c r="AS209" s="46" t="str">
        <f aca="false">IF($D209="Followup",'Survey Response'!$H207,"")</f>
        <v/>
      </c>
      <c r="AT209" s="46" t="str">
        <f aca="false">IF($D209="Followup",'Survey Response'!$M207,"")</f>
        <v/>
      </c>
      <c r="AU209" s="46" t="str">
        <f aca="false">IF($D209="Followup",'Survey Response'!$K207,"")</f>
        <v/>
      </c>
      <c r="AV209" s="46" t="str">
        <f aca="false">IF($D209="Followup",'Survey Response'!$L207,"")</f>
        <v/>
      </c>
      <c r="AW209" s="46" t="str">
        <f aca="false">IF($D209="Followup",IF(AND($P209&lt;&gt;"Yes",$U209&lt;&gt;"Yes"),"Not approved for primary or secondary skill","Approved, but skill(s) no longer have capacity (fully staffed)"),"")</f>
        <v/>
      </c>
    </row>
    <row r="210" customFormat="false" ht="15" hidden="false" customHeight="true" outlineLevel="0" collapsed="false">
      <c r="A210" s="46" t="str">
        <f aca="false">IF('Survey Response'!$D208="","",'Survey Response'!$A208&amp;"|"&amp;LOWER(TRIM('Survey Response'!$D208)))</f>
        <v/>
      </c>
      <c r="B210" s="46" t="str">
        <f aca="false">IF($H210="","",$F210&amp;"|"&amp;$H210)</f>
        <v/>
      </c>
      <c r="C210" s="46" t="str">
        <f aca="false">IF($H210="","",$A210=$B210)</f>
        <v/>
      </c>
      <c r="D210" s="46" t="str">
        <f aca="false">IF($H210="","",IF($E210&lt;&gt;"Yes","Superseded",IF($I210&lt;&gt;"Yes, I'm available for in-person interviews at Chennai","Not Available",IF($Z210&lt;&gt;"","Panel Details","Followup"))))</f>
        <v/>
      </c>
      <c r="E210" s="46" t="str">
        <f aca="false">IF($H210="","",IF(SUMPRODUCT(($H$4:$H$503=$H210)*(($G$4:$G$503&gt;$G210)+($G$4:$G$503=$G210)*($F$4:$F$503&gt;$F210)))=0,"Yes","No"))</f>
        <v/>
      </c>
      <c r="F210" s="47" t="str">
        <f aca="false">IF('Survey Response'!$D208="","",INT('Survey Response'!$A208))</f>
        <v/>
      </c>
      <c r="G210" s="46" t="str">
        <f aca="false">IF('Survey Response'!$D208="","",'Survey Response'!$C208)</f>
        <v/>
      </c>
      <c r="H210" s="46" t="str">
        <f aca="false">IF('Survey Response'!$D208="","",LOWER(TRIM('Survey Response'!$D208)))</f>
        <v/>
      </c>
      <c r="I210" s="46" t="str">
        <f aca="false">IF($H210="","",'Survey Response'!$I208)</f>
        <v/>
      </c>
      <c r="J210" s="46" t="str">
        <f aca="false">IF($H210="","",'Survey Response'!$K208)</f>
        <v/>
      </c>
      <c r="K210" s="46" t="str">
        <f aca="false">IF($J210="","",IF(COUNTIF('Skill Mapping'!$A$2:$A$7,TRIM($J210))=0,"",INDEX('Skill Mapping'!$B$2:$B$7,MATCH(TRIM($J210),'Skill Mapping'!$A$2:$A$7,0))))</f>
        <v/>
      </c>
      <c r="L210" s="46" t="str">
        <f aca="false">IF($H210="","",'Survey Response'!$L208)</f>
        <v/>
      </c>
      <c r="M210" s="46" t="str">
        <f aca="false">IF($L210="","",IF(COUNTIF('Skill Mapping'!$A$2:$A$7,TRIM($L210))=0,"",INDEX('Skill Mapping'!$B$2:$B$7,MATCH(TRIM($L210),'Skill Mapping'!$A$2:$A$7,0))))</f>
        <v/>
      </c>
      <c r="N210" s="46" t="str">
        <f aca="false">IF($H210="","",'Survey Response'!$M208)</f>
        <v/>
      </c>
      <c r="O210" s="46" t="str">
        <f aca="false">IF($H210="","",IF('Survey Response'!$M208="Manager","R2","R1"))</f>
        <v/>
      </c>
      <c r="P210" s="46" t="str">
        <f aca="false">IF($K210="","No",IF(COUNTIFS(MasterPanel!$B:$B,$H210,MasterPanel!$I:$I,$K210,MasterPanel!$K:$K,"Y")&gt;0,"Yes","No"))</f>
        <v>No</v>
      </c>
      <c r="Q210" s="46" t="n">
        <f aca="false">IF($K210="",0,IF(COUNTIF('Gap Sheet'!$A$6:$A$11,TRIM($J210))=0,0,IF($O210="R1",INDEX('Gap Sheet'!$C$6:$C$11,MATCH(TRIM($J210),'Gap Sheet'!$A$6:$A$11,0)),INDEX('Gap Sheet'!$G$6:$G$11,MATCH(TRIM($J210),'Gap Sheet'!$A$6:$A$11,0)))))</f>
        <v>0</v>
      </c>
      <c r="R210" s="46" t="str">
        <f aca="false">IF($K210="","",$K210&amp;"|"&amp;$O210)</f>
        <v/>
      </c>
      <c r="S210" s="46" t="n">
        <f aca="false">IF($R210="",0,COUNTIF($AA$4:$AA209,$R210))</f>
        <v>0</v>
      </c>
      <c r="T210" s="46" t="str">
        <f aca="false">IF(OR($I210&lt;&gt;"Yes, I'm available for in-person interviews at Chennai",$E210&lt;&gt;"Yes",$P210&lt;&gt;"Yes"),"No",IF(($Q210-$S210)&gt;0,"Yes","No"))</f>
        <v>No</v>
      </c>
      <c r="U210" s="46" t="str">
        <f aca="false">IF($M210="","No",IF(COUNTIFS(MasterPanel!$B:$B,$H210,MasterPanel!$I:$I,$M210,MasterPanel!$K:$K,"Y")&gt;0,"Yes","No"))</f>
        <v>No</v>
      </c>
      <c r="V210" s="46" t="n">
        <f aca="false">IF($M210="",0,IF(COUNTIF('Gap Sheet'!$A$6:$A$11,TRIM($L210))=0,0,IF($O210="R1",INDEX('Gap Sheet'!$C$6:$C$11,MATCH(TRIM($L210),'Gap Sheet'!$A$6:$A$11,0)),INDEX('Gap Sheet'!$G$6:$G$11,MATCH(TRIM($L210),'Gap Sheet'!$A$6:$A$11,0)))))</f>
        <v>0</v>
      </c>
      <c r="W210" s="46" t="str">
        <f aca="false">IF($M210="","",$M210&amp;"|"&amp;$O210)</f>
        <v/>
      </c>
      <c r="X210" s="46" t="n">
        <f aca="false">IF($W210="",0,COUNTIF($AA$4:$AA209,$W210))</f>
        <v>0</v>
      </c>
      <c r="Y210" s="46" t="str">
        <f aca="false">IF(OR($I210&lt;&gt;"Yes, I'm available for in-person interviews at Chennai",$E210&lt;&gt;"Yes",$T210="Yes",$U210&lt;&gt;"Yes"),"No",IF(($V210-$X210)&gt;0,"Yes","No"))</f>
        <v>No</v>
      </c>
      <c r="Z210" s="46" t="str">
        <f aca="false">IF($T210="Yes","Primary",IF($Y210="Yes","Secondary",""))</f>
        <v/>
      </c>
      <c r="AA210" s="46" t="str">
        <f aca="false">IF($Z210="Primary",$R210,IF($Z210="Secondary",$W210,""))</f>
        <v/>
      </c>
      <c r="AB210" s="46" t="str">
        <f aca="false">IF($Z210="Primary","Matched on primary skill",IF($Z210="Secondary","Matched on secondary skill (primary not approved or not required)",""))</f>
        <v/>
      </c>
      <c r="AC210" s="47" t="str">
        <f aca="false">IF($D210="Panel Details",$F210,"")</f>
        <v/>
      </c>
      <c r="AD210" s="46" t="str">
        <f aca="false">IF($D210="Panel Details",'Survey Response'!$D208,"")</f>
        <v/>
      </c>
      <c r="AE210" s="46" t="str">
        <f aca="false">IF($D210="Panel Details",'Survey Response'!$E208,"")</f>
        <v/>
      </c>
      <c r="AF210" s="46" t="str">
        <f aca="false">IF($D210="Panel Details",'Survey Response'!$G208,"")</f>
        <v/>
      </c>
      <c r="AG210" s="46" t="str">
        <f aca="false">IF($D210="Panel Details",IF($Z210="Primary",$J210,$L210),"")</f>
        <v/>
      </c>
      <c r="AH210" s="46" t="str">
        <f aca="false">IF($D210="Panel Details",IF($Z210="Primary",$L210,$J210),"")</f>
        <v/>
      </c>
      <c r="AI210" s="46" t="str">
        <f aca="false">IF($D210="Panel Details",'Survey Response'!$H208,"")</f>
        <v/>
      </c>
      <c r="AJ210" s="46" t="str">
        <f aca="false">IF($D210="Panel Details",'Survey Response'!$M208,"")</f>
        <v/>
      </c>
      <c r="AK210" s="46" t="str">
        <f aca="false">IF($D210="Panel Details",$O210,"")</f>
        <v/>
      </c>
      <c r="AL210" s="46" t="str">
        <f aca="false">IF($D210="Panel Details",8,"")</f>
        <v/>
      </c>
      <c r="AM210" s="46" t="str">
        <f aca="false">IF($D210="Panel Details",$AB210,"")</f>
        <v/>
      </c>
      <c r="AN210" s="46" t="str">
        <f aca="false">IF($D210="Panel Details","Yes","")</f>
        <v/>
      </c>
      <c r="AO210" s="46"/>
      <c r="AP210" s="46" t="str">
        <f aca="false">IF($D210="Followup",'Survey Response'!$D208,"")</f>
        <v/>
      </c>
      <c r="AQ210" s="46" t="str">
        <f aca="false">IF($D210="Followup",'Survey Response'!$E208,"")</f>
        <v/>
      </c>
      <c r="AR210" s="46" t="str">
        <f aca="false">IF($D210="Followup",'Survey Response'!$G208,"")</f>
        <v/>
      </c>
      <c r="AS210" s="46" t="str">
        <f aca="false">IF($D210="Followup",'Survey Response'!$H208,"")</f>
        <v/>
      </c>
      <c r="AT210" s="46" t="str">
        <f aca="false">IF($D210="Followup",'Survey Response'!$M208,"")</f>
        <v/>
      </c>
      <c r="AU210" s="46" t="str">
        <f aca="false">IF($D210="Followup",'Survey Response'!$K208,"")</f>
        <v/>
      </c>
      <c r="AV210" s="46" t="str">
        <f aca="false">IF($D210="Followup",'Survey Response'!$L208,"")</f>
        <v/>
      </c>
      <c r="AW210" s="46" t="str">
        <f aca="false">IF($D210="Followup",IF(AND($P210&lt;&gt;"Yes",$U210&lt;&gt;"Yes"),"Not approved for primary or secondary skill","Approved, but skill(s) no longer have capacity (fully staffed)"),"")</f>
        <v/>
      </c>
    </row>
    <row r="211" customFormat="false" ht="15" hidden="false" customHeight="true" outlineLevel="0" collapsed="false">
      <c r="A211" s="46" t="str">
        <f aca="false">IF('Survey Response'!$D209="","",'Survey Response'!$A209&amp;"|"&amp;LOWER(TRIM('Survey Response'!$D209)))</f>
        <v/>
      </c>
      <c r="B211" s="46" t="str">
        <f aca="false">IF($H211="","",$F211&amp;"|"&amp;$H211)</f>
        <v/>
      </c>
      <c r="C211" s="46" t="str">
        <f aca="false">IF($H211="","",$A211=$B211)</f>
        <v/>
      </c>
      <c r="D211" s="46" t="str">
        <f aca="false">IF($H211="","",IF($E211&lt;&gt;"Yes","Superseded",IF($I211&lt;&gt;"Yes, I'm available for in-person interviews at Chennai","Not Available",IF($Z211&lt;&gt;"","Panel Details","Followup"))))</f>
        <v/>
      </c>
      <c r="E211" s="46" t="str">
        <f aca="false">IF($H211="","",IF(SUMPRODUCT(($H$4:$H$503=$H211)*(($G$4:$G$503&gt;$G211)+($G$4:$G$503=$G211)*($F$4:$F$503&gt;$F211)))=0,"Yes","No"))</f>
        <v/>
      </c>
      <c r="F211" s="47" t="str">
        <f aca="false">IF('Survey Response'!$D209="","",INT('Survey Response'!$A209))</f>
        <v/>
      </c>
      <c r="G211" s="46" t="str">
        <f aca="false">IF('Survey Response'!$D209="","",'Survey Response'!$C209)</f>
        <v/>
      </c>
      <c r="H211" s="46" t="str">
        <f aca="false">IF('Survey Response'!$D209="","",LOWER(TRIM('Survey Response'!$D209)))</f>
        <v/>
      </c>
      <c r="I211" s="46" t="str">
        <f aca="false">IF($H211="","",'Survey Response'!$I209)</f>
        <v/>
      </c>
      <c r="J211" s="46" t="str">
        <f aca="false">IF($H211="","",'Survey Response'!$K209)</f>
        <v/>
      </c>
      <c r="K211" s="46" t="str">
        <f aca="false">IF($J211="","",IF(COUNTIF('Skill Mapping'!$A$2:$A$7,TRIM($J211))=0,"",INDEX('Skill Mapping'!$B$2:$B$7,MATCH(TRIM($J211),'Skill Mapping'!$A$2:$A$7,0))))</f>
        <v/>
      </c>
      <c r="L211" s="46" t="str">
        <f aca="false">IF($H211="","",'Survey Response'!$L209)</f>
        <v/>
      </c>
      <c r="M211" s="46" t="str">
        <f aca="false">IF($L211="","",IF(COUNTIF('Skill Mapping'!$A$2:$A$7,TRIM($L211))=0,"",INDEX('Skill Mapping'!$B$2:$B$7,MATCH(TRIM($L211),'Skill Mapping'!$A$2:$A$7,0))))</f>
        <v/>
      </c>
      <c r="N211" s="46" t="str">
        <f aca="false">IF($H211="","",'Survey Response'!$M209)</f>
        <v/>
      </c>
      <c r="O211" s="46" t="str">
        <f aca="false">IF($H211="","",IF('Survey Response'!$M209="Manager","R2","R1"))</f>
        <v/>
      </c>
      <c r="P211" s="46" t="str">
        <f aca="false">IF($K211="","No",IF(COUNTIFS(MasterPanel!$B:$B,$H211,MasterPanel!$I:$I,$K211,MasterPanel!$K:$K,"Y")&gt;0,"Yes","No"))</f>
        <v>No</v>
      </c>
      <c r="Q211" s="46" t="n">
        <f aca="false">IF($K211="",0,IF(COUNTIF('Gap Sheet'!$A$6:$A$11,TRIM($J211))=0,0,IF($O211="R1",INDEX('Gap Sheet'!$C$6:$C$11,MATCH(TRIM($J211),'Gap Sheet'!$A$6:$A$11,0)),INDEX('Gap Sheet'!$G$6:$G$11,MATCH(TRIM($J211),'Gap Sheet'!$A$6:$A$11,0)))))</f>
        <v>0</v>
      </c>
      <c r="R211" s="46" t="str">
        <f aca="false">IF($K211="","",$K211&amp;"|"&amp;$O211)</f>
        <v/>
      </c>
      <c r="S211" s="46" t="n">
        <f aca="false">IF($R211="",0,COUNTIF($AA$4:$AA210,$R211))</f>
        <v>0</v>
      </c>
      <c r="T211" s="46" t="str">
        <f aca="false">IF(OR($I211&lt;&gt;"Yes, I'm available for in-person interviews at Chennai",$E211&lt;&gt;"Yes",$P211&lt;&gt;"Yes"),"No",IF(($Q211-$S211)&gt;0,"Yes","No"))</f>
        <v>No</v>
      </c>
      <c r="U211" s="46" t="str">
        <f aca="false">IF($M211="","No",IF(COUNTIFS(MasterPanel!$B:$B,$H211,MasterPanel!$I:$I,$M211,MasterPanel!$K:$K,"Y")&gt;0,"Yes","No"))</f>
        <v>No</v>
      </c>
      <c r="V211" s="46" t="n">
        <f aca="false">IF($M211="",0,IF(COUNTIF('Gap Sheet'!$A$6:$A$11,TRIM($L211))=0,0,IF($O211="R1",INDEX('Gap Sheet'!$C$6:$C$11,MATCH(TRIM($L211),'Gap Sheet'!$A$6:$A$11,0)),INDEX('Gap Sheet'!$G$6:$G$11,MATCH(TRIM($L211),'Gap Sheet'!$A$6:$A$11,0)))))</f>
        <v>0</v>
      </c>
      <c r="W211" s="46" t="str">
        <f aca="false">IF($M211="","",$M211&amp;"|"&amp;$O211)</f>
        <v/>
      </c>
      <c r="X211" s="46" t="n">
        <f aca="false">IF($W211="",0,COUNTIF($AA$4:$AA210,$W211))</f>
        <v>0</v>
      </c>
      <c r="Y211" s="46" t="str">
        <f aca="false">IF(OR($I211&lt;&gt;"Yes, I'm available for in-person interviews at Chennai",$E211&lt;&gt;"Yes",$T211="Yes",$U211&lt;&gt;"Yes"),"No",IF(($V211-$X211)&gt;0,"Yes","No"))</f>
        <v>No</v>
      </c>
      <c r="Z211" s="46" t="str">
        <f aca="false">IF($T211="Yes","Primary",IF($Y211="Yes","Secondary",""))</f>
        <v/>
      </c>
      <c r="AA211" s="46" t="str">
        <f aca="false">IF($Z211="Primary",$R211,IF($Z211="Secondary",$W211,""))</f>
        <v/>
      </c>
      <c r="AB211" s="46" t="str">
        <f aca="false">IF($Z211="Primary","Matched on primary skill",IF($Z211="Secondary","Matched on secondary skill (primary not approved or not required)",""))</f>
        <v/>
      </c>
      <c r="AC211" s="47" t="str">
        <f aca="false">IF($D211="Panel Details",$F211,"")</f>
        <v/>
      </c>
      <c r="AD211" s="46" t="str">
        <f aca="false">IF($D211="Panel Details",'Survey Response'!$D209,"")</f>
        <v/>
      </c>
      <c r="AE211" s="46" t="str">
        <f aca="false">IF($D211="Panel Details",'Survey Response'!$E209,"")</f>
        <v/>
      </c>
      <c r="AF211" s="46" t="str">
        <f aca="false">IF($D211="Panel Details",'Survey Response'!$G209,"")</f>
        <v/>
      </c>
      <c r="AG211" s="46" t="str">
        <f aca="false">IF($D211="Panel Details",IF($Z211="Primary",$J211,$L211),"")</f>
        <v/>
      </c>
      <c r="AH211" s="46" t="str">
        <f aca="false">IF($D211="Panel Details",IF($Z211="Primary",$L211,$J211),"")</f>
        <v/>
      </c>
      <c r="AI211" s="46" t="str">
        <f aca="false">IF($D211="Panel Details",'Survey Response'!$H209,"")</f>
        <v/>
      </c>
      <c r="AJ211" s="46" t="str">
        <f aca="false">IF($D211="Panel Details",'Survey Response'!$M209,"")</f>
        <v/>
      </c>
      <c r="AK211" s="46" t="str">
        <f aca="false">IF($D211="Panel Details",$O211,"")</f>
        <v/>
      </c>
      <c r="AL211" s="46" t="str">
        <f aca="false">IF($D211="Panel Details",8,"")</f>
        <v/>
      </c>
      <c r="AM211" s="46" t="str">
        <f aca="false">IF($D211="Panel Details",$AB211,"")</f>
        <v/>
      </c>
      <c r="AN211" s="46" t="str">
        <f aca="false">IF($D211="Panel Details","Yes","")</f>
        <v/>
      </c>
      <c r="AO211" s="46"/>
      <c r="AP211" s="46" t="str">
        <f aca="false">IF($D211="Followup",'Survey Response'!$D209,"")</f>
        <v/>
      </c>
      <c r="AQ211" s="46" t="str">
        <f aca="false">IF($D211="Followup",'Survey Response'!$E209,"")</f>
        <v/>
      </c>
      <c r="AR211" s="46" t="str">
        <f aca="false">IF($D211="Followup",'Survey Response'!$G209,"")</f>
        <v/>
      </c>
      <c r="AS211" s="46" t="str">
        <f aca="false">IF($D211="Followup",'Survey Response'!$H209,"")</f>
        <v/>
      </c>
      <c r="AT211" s="46" t="str">
        <f aca="false">IF($D211="Followup",'Survey Response'!$M209,"")</f>
        <v/>
      </c>
      <c r="AU211" s="46" t="str">
        <f aca="false">IF($D211="Followup",'Survey Response'!$K209,"")</f>
        <v/>
      </c>
      <c r="AV211" s="46" t="str">
        <f aca="false">IF($D211="Followup",'Survey Response'!$L209,"")</f>
        <v/>
      </c>
      <c r="AW211" s="46" t="str">
        <f aca="false">IF($D211="Followup",IF(AND($P211&lt;&gt;"Yes",$U211&lt;&gt;"Yes"),"Not approved for primary or secondary skill","Approved, but skill(s) no longer have capacity (fully staffed)"),"")</f>
        <v/>
      </c>
    </row>
    <row r="212" customFormat="false" ht="15" hidden="false" customHeight="true" outlineLevel="0" collapsed="false">
      <c r="A212" s="46" t="str">
        <f aca="false">IF('Survey Response'!$D210="","",'Survey Response'!$A210&amp;"|"&amp;LOWER(TRIM('Survey Response'!$D210)))</f>
        <v/>
      </c>
      <c r="B212" s="46" t="str">
        <f aca="false">IF($H212="","",$F212&amp;"|"&amp;$H212)</f>
        <v/>
      </c>
      <c r="C212" s="46" t="str">
        <f aca="false">IF($H212="","",$A212=$B212)</f>
        <v/>
      </c>
      <c r="D212" s="46" t="str">
        <f aca="false">IF($H212="","",IF($E212&lt;&gt;"Yes","Superseded",IF($I212&lt;&gt;"Yes, I'm available for in-person interviews at Chennai","Not Available",IF($Z212&lt;&gt;"","Panel Details","Followup"))))</f>
        <v/>
      </c>
      <c r="E212" s="46" t="str">
        <f aca="false">IF($H212="","",IF(SUMPRODUCT(($H$4:$H$503=$H212)*(($G$4:$G$503&gt;$G212)+($G$4:$G$503=$G212)*($F$4:$F$503&gt;$F212)))=0,"Yes","No"))</f>
        <v/>
      </c>
      <c r="F212" s="47" t="str">
        <f aca="false">IF('Survey Response'!$D210="","",INT('Survey Response'!$A210))</f>
        <v/>
      </c>
      <c r="G212" s="46" t="str">
        <f aca="false">IF('Survey Response'!$D210="","",'Survey Response'!$C210)</f>
        <v/>
      </c>
      <c r="H212" s="46" t="str">
        <f aca="false">IF('Survey Response'!$D210="","",LOWER(TRIM('Survey Response'!$D210)))</f>
        <v/>
      </c>
      <c r="I212" s="46" t="str">
        <f aca="false">IF($H212="","",'Survey Response'!$I210)</f>
        <v/>
      </c>
      <c r="J212" s="46" t="str">
        <f aca="false">IF($H212="","",'Survey Response'!$K210)</f>
        <v/>
      </c>
      <c r="K212" s="46" t="str">
        <f aca="false">IF($J212="","",IF(COUNTIF('Skill Mapping'!$A$2:$A$7,TRIM($J212))=0,"",INDEX('Skill Mapping'!$B$2:$B$7,MATCH(TRIM($J212),'Skill Mapping'!$A$2:$A$7,0))))</f>
        <v/>
      </c>
      <c r="L212" s="46" t="str">
        <f aca="false">IF($H212="","",'Survey Response'!$L210)</f>
        <v/>
      </c>
      <c r="M212" s="46" t="str">
        <f aca="false">IF($L212="","",IF(COUNTIF('Skill Mapping'!$A$2:$A$7,TRIM($L212))=0,"",INDEX('Skill Mapping'!$B$2:$B$7,MATCH(TRIM($L212),'Skill Mapping'!$A$2:$A$7,0))))</f>
        <v/>
      </c>
      <c r="N212" s="46" t="str">
        <f aca="false">IF($H212="","",'Survey Response'!$M210)</f>
        <v/>
      </c>
      <c r="O212" s="46" t="str">
        <f aca="false">IF($H212="","",IF('Survey Response'!$M210="Manager","R2","R1"))</f>
        <v/>
      </c>
      <c r="P212" s="46" t="str">
        <f aca="false">IF($K212="","No",IF(COUNTIFS(MasterPanel!$B:$B,$H212,MasterPanel!$I:$I,$K212,MasterPanel!$K:$K,"Y")&gt;0,"Yes","No"))</f>
        <v>No</v>
      </c>
      <c r="Q212" s="46" t="n">
        <f aca="false">IF($K212="",0,IF(COUNTIF('Gap Sheet'!$A$6:$A$11,TRIM($J212))=0,0,IF($O212="R1",INDEX('Gap Sheet'!$C$6:$C$11,MATCH(TRIM($J212),'Gap Sheet'!$A$6:$A$11,0)),INDEX('Gap Sheet'!$G$6:$G$11,MATCH(TRIM($J212),'Gap Sheet'!$A$6:$A$11,0)))))</f>
        <v>0</v>
      </c>
      <c r="R212" s="46" t="str">
        <f aca="false">IF($K212="","",$K212&amp;"|"&amp;$O212)</f>
        <v/>
      </c>
      <c r="S212" s="46" t="n">
        <f aca="false">IF($R212="",0,COUNTIF($AA$4:$AA211,$R212))</f>
        <v>0</v>
      </c>
      <c r="T212" s="46" t="str">
        <f aca="false">IF(OR($I212&lt;&gt;"Yes, I'm available for in-person interviews at Chennai",$E212&lt;&gt;"Yes",$P212&lt;&gt;"Yes"),"No",IF(($Q212-$S212)&gt;0,"Yes","No"))</f>
        <v>No</v>
      </c>
      <c r="U212" s="46" t="str">
        <f aca="false">IF($M212="","No",IF(COUNTIFS(MasterPanel!$B:$B,$H212,MasterPanel!$I:$I,$M212,MasterPanel!$K:$K,"Y")&gt;0,"Yes","No"))</f>
        <v>No</v>
      </c>
      <c r="V212" s="46" t="n">
        <f aca="false">IF($M212="",0,IF(COUNTIF('Gap Sheet'!$A$6:$A$11,TRIM($L212))=0,0,IF($O212="R1",INDEX('Gap Sheet'!$C$6:$C$11,MATCH(TRIM($L212),'Gap Sheet'!$A$6:$A$11,0)),INDEX('Gap Sheet'!$G$6:$G$11,MATCH(TRIM($L212),'Gap Sheet'!$A$6:$A$11,0)))))</f>
        <v>0</v>
      </c>
      <c r="W212" s="46" t="str">
        <f aca="false">IF($M212="","",$M212&amp;"|"&amp;$O212)</f>
        <v/>
      </c>
      <c r="X212" s="46" t="n">
        <f aca="false">IF($W212="",0,COUNTIF($AA$4:$AA211,$W212))</f>
        <v>0</v>
      </c>
      <c r="Y212" s="46" t="str">
        <f aca="false">IF(OR($I212&lt;&gt;"Yes, I'm available for in-person interviews at Chennai",$E212&lt;&gt;"Yes",$T212="Yes",$U212&lt;&gt;"Yes"),"No",IF(($V212-$X212)&gt;0,"Yes","No"))</f>
        <v>No</v>
      </c>
      <c r="Z212" s="46" t="str">
        <f aca="false">IF($T212="Yes","Primary",IF($Y212="Yes","Secondary",""))</f>
        <v/>
      </c>
      <c r="AA212" s="46" t="str">
        <f aca="false">IF($Z212="Primary",$R212,IF($Z212="Secondary",$W212,""))</f>
        <v/>
      </c>
      <c r="AB212" s="46" t="str">
        <f aca="false">IF($Z212="Primary","Matched on primary skill",IF($Z212="Secondary","Matched on secondary skill (primary not approved or not required)",""))</f>
        <v/>
      </c>
      <c r="AC212" s="47" t="str">
        <f aca="false">IF($D212="Panel Details",$F212,"")</f>
        <v/>
      </c>
      <c r="AD212" s="46" t="str">
        <f aca="false">IF($D212="Panel Details",'Survey Response'!$D210,"")</f>
        <v/>
      </c>
      <c r="AE212" s="46" t="str">
        <f aca="false">IF($D212="Panel Details",'Survey Response'!$E210,"")</f>
        <v/>
      </c>
      <c r="AF212" s="46" t="str">
        <f aca="false">IF($D212="Panel Details",'Survey Response'!$G210,"")</f>
        <v/>
      </c>
      <c r="AG212" s="46" t="str">
        <f aca="false">IF($D212="Panel Details",IF($Z212="Primary",$J212,$L212),"")</f>
        <v/>
      </c>
      <c r="AH212" s="46" t="str">
        <f aca="false">IF($D212="Panel Details",IF($Z212="Primary",$L212,$J212),"")</f>
        <v/>
      </c>
      <c r="AI212" s="46" t="str">
        <f aca="false">IF($D212="Panel Details",'Survey Response'!$H210,"")</f>
        <v/>
      </c>
      <c r="AJ212" s="46" t="str">
        <f aca="false">IF($D212="Panel Details",'Survey Response'!$M210,"")</f>
        <v/>
      </c>
      <c r="AK212" s="46" t="str">
        <f aca="false">IF($D212="Panel Details",$O212,"")</f>
        <v/>
      </c>
      <c r="AL212" s="46" t="str">
        <f aca="false">IF($D212="Panel Details",8,"")</f>
        <v/>
      </c>
      <c r="AM212" s="46" t="str">
        <f aca="false">IF($D212="Panel Details",$AB212,"")</f>
        <v/>
      </c>
      <c r="AN212" s="46" t="str">
        <f aca="false">IF($D212="Panel Details","Yes","")</f>
        <v/>
      </c>
      <c r="AO212" s="46"/>
      <c r="AP212" s="46" t="str">
        <f aca="false">IF($D212="Followup",'Survey Response'!$D210,"")</f>
        <v/>
      </c>
      <c r="AQ212" s="46" t="str">
        <f aca="false">IF($D212="Followup",'Survey Response'!$E210,"")</f>
        <v/>
      </c>
      <c r="AR212" s="46" t="str">
        <f aca="false">IF($D212="Followup",'Survey Response'!$G210,"")</f>
        <v/>
      </c>
      <c r="AS212" s="46" t="str">
        <f aca="false">IF($D212="Followup",'Survey Response'!$H210,"")</f>
        <v/>
      </c>
      <c r="AT212" s="46" t="str">
        <f aca="false">IF($D212="Followup",'Survey Response'!$M210,"")</f>
        <v/>
      </c>
      <c r="AU212" s="46" t="str">
        <f aca="false">IF($D212="Followup",'Survey Response'!$K210,"")</f>
        <v/>
      </c>
      <c r="AV212" s="46" t="str">
        <f aca="false">IF($D212="Followup",'Survey Response'!$L210,"")</f>
        <v/>
      </c>
      <c r="AW212" s="46" t="str">
        <f aca="false">IF($D212="Followup",IF(AND($P212&lt;&gt;"Yes",$U212&lt;&gt;"Yes"),"Not approved for primary or secondary skill","Approved, but skill(s) no longer have capacity (fully staffed)"),"")</f>
        <v/>
      </c>
    </row>
    <row r="213" customFormat="false" ht="15" hidden="false" customHeight="true" outlineLevel="0" collapsed="false">
      <c r="A213" s="46" t="str">
        <f aca="false">IF('Survey Response'!$D211="","",'Survey Response'!$A211&amp;"|"&amp;LOWER(TRIM('Survey Response'!$D211)))</f>
        <v/>
      </c>
      <c r="B213" s="46" t="str">
        <f aca="false">IF($H213="","",$F213&amp;"|"&amp;$H213)</f>
        <v/>
      </c>
      <c r="C213" s="46" t="str">
        <f aca="false">IF($H213="","",$A213=$B213)</f>
        <v/>
      </c>
      <c r="D213" s="46" t="str">
        <f aca="false">IF($H213="","",IF($E213&lt;&gt;"Yes","Superseded",IF($I213&lt;&gt;"Yes, I'm available for in-person interviews at Chennai","Not Available",IF($Z213&lt;&gt;"","Panel Details","Followup"))))</f>
        <v/>
      </c>
      <c r="E213" s="46" t="str">
        <f aca="false">IF($H213="","",IF(SUMPRODUCT(($H$4:$H$503=$H213)*(($G$4:$G$503&gt;$G213)+($G$4:$G$503=$G213)*($F$4:$F$503&gt;$F213)))=0,"Yes","No"))</f>
        <v/>
      </c>
      <c r="F213" s="47" t="str">
        <f aca="false">IF('Survey Response'!$D211="","",INT('Survey Response'!$A211))</f>
        <v/>
      </c>
      <c r="G213" s="46" t="str">
        <f aca="false">IF('Survey Response'!$D211="","",'Survey Response'!$C211)</f>
        <v/>
      </c>
      <c r="H213" s="46" t="str">
        <f aca="false">IF('Survey Response'!$D211="","",LOWER(TRIM('Survey Response'!$D211)))</f>
        <v/>
      </c>
      <c r="I213" s="46" t="str">
        <f aca="false">IF($H213="","",'Survey Response'!$I211)</f>
        <v/>
      </c>
      <c r="J213" s="46" t="str">
        <f aca="false">IF($H213="","",'Survey Response'!$K211)</f>
        <v/>
      </c>
      <c r="K213" s="46" t="str">
        <f aca="false">IF($J213="","",IF(COUNTIF('Skill Mapping'!$A$2:$A$7,TRIM($J213))=0,"",INDEX('Skill Mapping'!$B$2:$B$7,MATCH(TRIM($J213),'Skill Mapping'!$A$2:$A$7,0))))</f>
        <v/>
      </c>
      <c r="L213" s="46" t="str">
        <f aca="false">IF($H213="","",'Survey Response'!$L211)</f>
        <v/>
      </c>
      <c r="M213" s="46" t="str">
        <f aca="false">IF($L213="","",IF(COUNTIF('Skill Mapping'!$A$2:$A$7,TRIM($L213))=0,"",INDEX('Skill Mapping'!$B$2:$B$7,MATCH(TRIM($L213),'Skill Mapping'!$A$2:$A$7,0))))</f>
        <v/>
      </c>
      <c r="N213" s="46" t="str">
        <f aca="false">IF($H213="","",'Survey Response'!$M211)</f>
        <v/>
      </c>
      <c r="O213" s="46" t="str">
        <f aca="false">IF($H213="","",IF('Survey Response'!$M211="Manager","R2","R1"))</f>
        <v/>
      </c>
      <c r="P213" s="46" t="str">
        <f aca="false">IF($K213="","No",IF(COUNTIFS(MasterPanel!$B:$B,$H213,MasterPanel!$I:$I,$K213,MasterPanel!$K:$K,"Y")&gt;0,"Yes","No"))</f>
        <v>No</v>
      </c>
      <c r="Q213" s="46" t="n">
        <f aca="false">IF($K213="",0,IF(COUNTIF('Gap Sheet'!$A$6:$A$11,TRIM($J213))=0,0,IF($O213="R1",INDEX('Gap Sheet'!$C$6:$C$11,MATCH(TRIM($J213),'Gap Sheet'!$A$6:$A$11,0)),INDEX('Gap Sheet'!$G$6:$G$11,MATCH(TRIM($J213),'Gap Sheet'!$A$6:$A$11,0)))))</f>
        <v>0</v>
      </c>
      <c r="R213" s="46" t="str">
        <f aca="false">IF($K213="","",$K213&amp;"|"&amp;$O213)</f>
        <v/>
      </c>
      <c r="S213" s="46" t="n">
        <f aca="false">IF($R213="",0,COUNTIF($AA$4:$AA212,$R213))</f>
        <v>0</v>
      </c>
      <c r="T213" s="46" t="str">
        <f aca="false">IF(OR($I213&lt;&gt;"Yes, I'm available for in-person interviews at Chennai",$E213&lt;&gt;"Yes",$P213&lt;&gt;"Yes"),"No",IF(($Q213-$S213)&gt;0,"Yes","No"))</f>
        <v>No</v>
      </c>
      <c r="U213" s="46" t="str">
        <f aca="false">IF($M213="","No",IF(COUNTIFS(MasterPanel!$B:$B,$H213,MasterPanel!$I:$I,$M213,MasterPanel!$K:$K,"Y")&gt;0,"Yes","No"))</f>
        <v>No</v>
      </c>
      <c r="V213" s="46" t="n">
        <f aca="false">IF($M213="",0,IF(COUNTIF('Gap Sheet'!$A$6:$A$11,TRIM($L213))=0,0,IF($O213="R1",INDEX('Gap Sheet'!$C$6:$C$11,MATCH(TRIM($L213),'Gap Sheet'!$A$6:$A$11,0)),INDEX('Gap Sheet'!$G$6:$G$11,MATCH(TRIM($L213),'Gap Sheet'!$A$6:$A$11,0)))))</f>
        <v>0</v>
      </c>
      <c r="W213" s="46" t="str">
        <f aca="false">IF($M213="","",$M213&amp;"|"&amp;$O213)</f>
        <v/>
      </c>
      <c r="X213" s="46" t="n">
        <f aca="false">IF($W213="",0,COUNTIF($AA$4:$AA212,$W213))</f>
        <v>0</v>
      </c>
      <c r="Y213" s="46" t="str">
        <f aca="false">IF(OR($I213&lt;&gt;"Yes, I'm available for in-person interviews at Chennai",$E213&lt;&gt;"Yes",$T213="Yes",$U213&lt;&gt;"Yes"),"No",IF(($V213-$X213)&gt;0,"Yes","No"))</f>
        <v>No</v>
      </c>
      <c r="Z213" s="46" t="str">
        <f aca="false">IF($T213="Yes","Primary",IF($Y213="Yes","Secondary",""))</f>
        <v/>
      </c>
      <c r="AA213" s="46" t="str">
        <f aca="false">IF($Z213="Primary",$R213,IF($Z213="Secondary",$W213,""))</f>
        <v/>
      </c>
      <c r="AB213" s="46" t="str">
        <f aca="false">IF($Z213="Primary","Matched on primary skill",IF($Z213="Secondary","Matched on secondary skill (primary not approved or not required)",""))</f>
        <v/>
      </c>
      <c r="AC213" s="47" t="str">
        <f aca="false">IF($D213="Panel Details",$F213,"")</f>
        <v/>
      </c>
      <c r="AD213" s="46" t="str">
        <f aca="false">IF($D213="Panel Details",'Survey Response'!$D211,"")</f>
        <v/>
      </c>
      <c r="AE213" s="46" t="str">
        <f aca="false">IF($D213="Panel Details",'Survey Response'!$E211,"")</f>
        <v/>
      </c>
      <c r="AF213" s="46" t="str">
        <f aca="false">IF($D213="Panel Details",'Survey Response'!$G211,"")</f>
        <v/>
      </c>
      <c r="AG213" s="46" t="str">
        <f aca="false">IF($D213="Panel Details",IF($Z213="Primary",$J213,$L213),"")</f>
        <v/>
      </c>
      <c r="AH213" s="46" t="str">
        <f aca="false">IF($D213="Panel Details",IF($Z213="Primary",$L213,$J213),"")</f>
        <v/>
      </c>
      <c r="AI213" s="46" t="str">
        <f aca="false">IF($D213="Panel Details",'Survey Response'!$H211,"")</f>
        <v/>
      </c>
      <c r="AJ213" s="46" t="str">
        <f aca="false">IF($D213="Panel Details",'Survey Response'!$M211,"")</f>
        <v/>
      </c>
      <c r="AK213" s="46" t="str">
        <f aca="false">IF($D213="Panel Details",$O213,"")</f>
        <v/>
      </c>
      <c r="AL213" s="46" t="str">
        <f aca="false">IF($D213="Panel Details",8,"")</f>
        <v/>
      </c>
      <c r="AM213" s="46" t="str">
        <f aca="false">IF($D213="Panel Details",$AB213,"")</f>
        <v/>
      </c>
      <c r="AN213" s="46" t="str">
        <f aca="false">IF($D213="Panel Details","Yes","")</f>
        <v/>
      </c>
      <c r="AO213" s="46"/>
      <c r="AP213" s="46" t="str">
        <f aca="false">IF($D213="Followup",'Survey Response'!$D211,"")</f>
        <v/>
      </c>
      <c r="AQ213" s="46" t="str">
        <f aca="false">IF($D213="Followup",'Survey Response'!$E211,"")</f>
        <v/>
      </c>
      <c r="AR213" s="46" t="str">
        <f aca="false">IF($D213="Followup",'Survey Response'!$G211,"")</f>
        <v/>
      </c>
      <c r="AS213" s="46" t="str">
        <f aca="false">IF($D213="Followup",'Survey Response'!$H211,"")</f>
        <v/>
      </c>
      <c r="AT213" s="46" t="str">
        <f aca="false">IF($D213="Followup",'Survey Response'!$M211,"")</f>
        <v/>
      </c>
      <c r="AU213" s="46" t="str">
        <f aca="false">IF($D213="Followup",'Survey Response'!$K211,"")</f>
        <v/>
      </c>
      <c r="AV213" s="46" t="str">
        <f aca="false">IF($D213="Followup",'Survey Response'!$L211,"")</f>
        <v/>
      </c>
      <c r="AW213" s="46" t="str">
        <f aca="false">IF($D213="Followup",IF(AND($P213&lt;&gt;"Yes",$U213&lt;&gt;"Yes"),"Not approved for primary or secondary skill","Approved, but skill(s) no longer have capacity (fully staffed)"),"")</f>
        <v/>
      </c>
    </row>
    <row r="214" customFormat="false" ht="15" hidden="false" customHeight="true" outlineLevel="0" collapsed="false">
      <c r="A214" s="46" t="str">
        <f aca="false">IF('Survey Response'!$D212="","",'Survey Response'!$A212&amp;"|"&amp;LOWER(TRIM('Survey Response'!$D212)))</f>
        <v/>
      </c>
      <c r="B214" s="46" t="str">
        <f aca="false">IF($H214="","",$F214&amp;"|"&amp;$H214)</f>
        <v/>
      </c>
      <c r="C214" s="46" t="str">
        <f aca="false">IF($H214="","",$A214=$B214)</f>
        <v/>
      </c>
      <c r="D214" s="46" t="str">
        <f aca="false">IF($H214="","",IF($E214&lt;&gt;"Yes","Superseded",IF($I214&lt;&gt;"Yes, I'm available for in-person interviews at Chennai","Not Available",IF($Z214&lt;&gt;"","Panel Details","Followup"))))</f>
        <v/>
      </c>
      <c r="E214" s="46" t="str">
        <f aca="false">IF($H214="","",IF(SUMPRODUCT(($H$4:$H$503=$H214)*(($G$4:$G$503&gt;$G214)+($G$4:$G$503=$G214)*($F$4:$F$503&gt;$F214)))=0,"Yes","No"))</f>
        <v/>
      </c>
      <c r="F214" s="47" t="str">
        <f aca="false">IF('Survey Response'!$D212="","",INT('Survey Response'!$A212))</f>
        <v/>
      </c>
      <c r="G214" s="46" t="str">
        <f aca="false">IF('Survey Response'!$D212="","",'Survey Response'!$C212)</f>
        <v/>
      </c>
      <c r="H214" s="46" t="str">
        <f aca="false">IF('Survey Response'!$D212="","",LOWER(TRIM('Survey Response'!$D212)))</f>
        <v/>
      </c>
      <c r="I214" s="46" t="str">
        <f aca="false">IF($H214="","",'Survey Response'!$I212)</f>
        <v/>
      </c>
      <c r="J214" s="46" t="str">
        <f aca="false">IF($H214="","",'Survey Response'!$K212)</f>
        <v/>
      </c>
      <c r="K214" s="46" t="str">
        <f aca="false">IF($J214="","",IF(COUNTIF('Skill Mapping'!$A$2:$A$7,TRIM($J214))=0,"",INDEX('Skill Mapping'!$B$2:$B$7,MATCH(TRIM($J214),'Skill Mapping'!$A$2:$A$7,0))))</f>
        <v/>
      </c>
      <c r="L214" s="46" t="str">
        <f aca="false">IF($H214="","",'Survey Response'!$L212)</f>
        <v/>
      </c>
      <c r="M214" s="46" t="str">
        <f aca="false">IF($L214="","",IF(COUNTIF('Skill Mapping'!$A$2:$A$7,TRIM($L214))=0,"",INDEX('Skill Mapping'!$B$2:$B$7,MATCH(TRIM($L214),'Skill Mapping'!$A$2:$A$7,0))))</f>
        <v/>
      </c>
      <c r="N214" s="46" t="str">
        <f aca="false">IF($H214="","",'Survey Response'!$M212)</f>
        <v/>
      </c>
      <c r="O214" s="46" t="str">
        <f aca="false">IF($H214="","",IF('Survey Response'!$M212="Manager","R2","R1"))</f>
        <v/>
      </c>
      <c r="P214" s="46" t="str">
        <f aca="false">IF($K214="","No",IF(COUNTIFS(MasterPanel!$B:$B,$H214,MasterPanel!$I:$I,$K214,MasterPanel!$K:$K,"Y")&gt;0,"Yes","No"))</f>
        <v>No</v>
      </c>
      <c r="Q214" s="46" t="n">
        <f aca="false">IF($K214="",0,IF(COUNTIF('Gap Sheet'!$A$6:$A$11,TRIM($J214))=0,0,IF($O214="R1",INDEX('Gap Sheet'!$C$6:$C$11,MATCH(TRIM($J214),'Gap Sheet'!$A$6:$A$11,0)),INDEX('Gap Sheet'!$G$6:$G$11,MATCH(TRIM($J214),'Gap Sheet'!$A$6:$A$11,0)))))</f>
        <v>0</v>
      </c>
      <c r="R214" s="46" t="str">
        <f aca="false">IF($K214="","",$K214&amp;"|"&amp;$O214)</f>
        <v/>
      </c>
      <c r="S214" s="46" t="n">
        <f aca="false">IF($R214="",0,COUNTIF($AA$4:$AA213,$R214))</f>
        <v>0</v>
      </c>
      <c r="T214" s="46" t="str">
        <f aca="false">IF(OR($I214&lt;&gt;"Yes, I'm available for in-person interviews at Chennai",$E214&lt;&gt;"Yes",$P214&lt;&gt;"Yes"),"No",IF(($Q214-$S214)&gt;0,"Yes","No"))</f>
        <v>No</v>
      </c>
      <c r="U214" s="46" t="str">
        <f aca="false">IF($M214="","No",IF(COUNTIFS(MasterPanel!$B:$B,$H214,MasterPanel!$I:$I,$M214,MasterPanel!$K:$K,"Y")&gt;0,"Yes","No"))</f>
        <v>No</v>
      </c>
      <c r="V214" s="46" t="n">
        <f aca="false">IF($M214="",0,IF(COUNTIF('Gap Sheet'!$A$6:$A$11,TRIM($L214))=0,0,IF($O214="R1",INDEX('Gap Sheet'!$C$6:$C$11,MATCH(TRIM($L214),'Gap Sheet'!$A$6:$A$11,0)),INDEX('Gap Sheet'!$G$6:$G$11,MATCH(TRIM($L214),'Gap Sheet'!$A$6:$A$11,0)))))</f>
        <v>0</v>
      </c>
      <c r="W214" s="46" t="str">
        <f aca="false">IF($M214="","",$M214&amp;"|"&amp;$O214)</f>
        <v/>
      </c>
      <c r="X214" s="46" t="n">
        <f aca="false">IF($W214="",0,COUNTIF($AA$4:$AA213,$W214))</f>
        <v>0</v>
      </c>
      <c r="Y214" s="46" t="str">
        <f aca="false">IF(OR($I214&lt;&gt;"Yes, I'm available for in-person interviews at Chennai",$E214&lt;&gt;"Yes",$T214="Yes",$U214&lt;&gt;"Yes"),"No",IF(($V214-$X214)&gt;0,"Yes","No"))</f>
        <v>No</v>
      </c>
      <c r="Z214" s="46" t="str">
        <f aca="false">IF($T214="Yes","Primary",IF($Y214="Yes","Secondary",""))</f>
        <v/>
      </c>
      <c r="AA214" s="46" t="str">
        <f aca="false">IF($Z214="Primary",$R214,IF($Z214="Secondary",$W214,""))</f>
        <v/>
      </c>
      <c r="AB214" s="46" t="str">
        <f aca="false">IF($Z214="Primary","Matched on primary skill",IF($Z214="Secondary","Matched on secondary skill (primary not approved or not required)",""))</f>
        <v/>
      </c>
      <c r="AC214" s="47" t="str">
        <f aca="false">IF($D214="Panel Details",$F214,"")</f>
        <v/>
      </c>
      <c r="AD214" s="46" t="str">
        <f aca="false">IF($D214="Panel Details",'Survey Response'!$D212,"")</f>
        <v/>
      </c>
      <c r="AE214" s="46" t="str">
        <f aca="false">IF($D214="Panel Details",'Survey Response'!$E212,"")</f>
        <v/>
      </c>
      <c r="AF214" s="46" t="str">
        <f aca="false">IF($D214="Panel Details",'Survey Response'!$G212,"")</f>
        <v/>
      </c>
      <c r="AG214" s="46" t="str">
        <f aca="false">IF($D214="Panel Details",IF($Z214="Primary",$J214,$L214),"")</f>
        <v/>
      </c>
      <c r="AH214" s="46" t="str">
        <f aca="false">IF($D214="Panel Details",IF($Z214="Primary",$L214,$J214),"")</f>
        <v/>
      </c>
      <c r="AI214" s="46" t="str">
        <f aca="false">IF($D214="Panel Details",'Survey Response'!$H212,"")</f>
        <v/>
      </c>
      <c r="AJ214" s="46" t="str">
        <f aca="false">IF($D214="Panel Details",'Survey Response'!$M212,"")</f>
        <v/>
      </c>
      <c r="AK214" s="46" t="str">
        <f aca="false">IF($D214="Panel Details",$O214,"")</f>
        <v/>
      </c>
      <c r="AL214" s="46" t="str">
        <f aca="false">IF($D214="Panel Details",8,"")</f>
        <v/>
      </c>
      <c r="AM214" s="46" t="str">
        <f aca="false">IF($D214="Panel Details",$AB214,"")</f>
        <v/>
      </c>
      <c r="AN214" s="46" t="str">
        <f aca="false">IF($D214="Panel Details","Yes","")</f>
        <v/>
      </c>
      <c r="AO214" s="46"/>
      <c r="AP214" s="46" t="str">
        <f aca="false">IF($D214="Followup",'Survey Response'!$D212,"")</f>
        <v/>
      </c>
      <c r="AQ214" s="46" t="str">
        <f aca="false">IF($D214="Followup",'Survey Response'!$E212,"")</f>
        <v/>
      </c>
      <c r="AR214" s="46" t="str">
        <f aca="false">IF($D214="Followup",'Survey Response'!$G212,"")</f>
        <v/>
      </c>
      <c r="AS214" s="46" t="str">
        <f aca="false">IF($D214="Followup",'Survey Response'!$H212,"")</f>
        <v/>
      </c>
      <c r="AT214" s="46" t="str">
        <f aca="false">IF($D214="Followup",'Survey Response'!$M212,"")</f>
        <v/>
      </c>
      <c r="AU214" s="46" t="str">
        <f aca="false">IF($D214="Followup",'Survey Response'!$K212,"")</f>
        <v/>
      </c>
      <c r="AV214" s="46" t="str">
        <f aca="false">IF($D214="Followup",'Survey Response'!$L212,"")</f>
        <v/>
      </c>
      <c r="AW214" s="46" t="str">
        <f aca="false">IF($D214="Followup",IF(AND($P214&lt;&gt;"Yes",$U214&lt;&gt;"Yes"),"Not approved for primary or secondary skill","Approved, but skill(s) no longer have capacity (fully staffed)"),"")</f>
        <v/>
      </c>
    </row>
    <row r="215" customFormat="false" ht="15" hidden="false" customHeight="true" outlineLevel="0" collapsed="false">
      <c r="A215" s="46" t="str">
        <f aca="false">IF('Survey Response'!$D213="","",'Survey Response'!$A213&amp;"|"&amp;LOWER(TRIM('Survey Response'!$D213)))</f>
        <v/>
      </c>
      <c r="B215" s="46" t="str">
        <f aca="false">IF($H215="","",$F215&amp;"|"&amp;$H215)</f>
        <v/>
      </c>
      <c r="C215" s="46" t="str">
        <f aca="false">IF($H215="","",$A215=$B215)</f>
        <v/>
      </c>
      <c r="D215" s="46" t="str">
        <f aca="false">IF($H215="","",IF($E215&lt;&gt;"Yes","Superseded",IF($I215&lt;&gt;"Yes, I'm available for in-person interviews at Chennai","Not Available",IF($Z215&lt;&gt;"","Panel Details","Followup"))))</f>
        <v/>
      </c>
      <c r="E215" s="46" t="str">
        <f aca="false">IF($H215="","",IF(SUMPRODUCT(($H$4:$H$503=$H215)*(($G$4:$G$503&gt;$G215)+($G$4:$G$503=$G215)*($F$4:$F$503&gt;$F215)))=0,"Yes","No"))</f>
        <v/>
      </c>
      <c r="F215" s="47" t="str">
        <f aca="false">IF('Survey Response'!$D213="","",INT('Survey Response'!$A213))</f>
        <v/>
      </c>
      <c r="G215" s="46" t="str">
        <f aca="false">IF('Survey Response'!$D213="","",'Survey Response'!$C213)</f>
        <v/>
      </c>
      <c r="H215" s="46" t="str">
        <f aca="false">IF('Survey Response'!$D213="","",LOWER(TRIM('Survey Response'!$D213)))</f>
        <v/>
      </c>
      <c r="I215" s="46" t="str">
        <f aca="false">IF($H215="","",'Survey Response'!$I213)</f>
        <v/>
      </c>
      <c r="J215" s="46" t="str">
        <f aca="false">IF($H215="","",'Survey Response'!$K213)</f>
        <v/>
      </c>
      <c r="K215" s="46" t="str">
        <f aca="false">IF($J215="","",IF(COUNTIF('Skill Mapping'!$A$2:$A$7,TRIM($J215))=0,"",INDEX('Skill Mapping'!$B$2:$B$7,MATCH(TRIM($J215),'Skill Mapping'!$A$2:$A$7,0))))</f>
        <v/>
      </c>
      <c r="L215" s="46" t="str">
        <f aca="false">IF($H215="","",'Survey Response'!$L213)</f>
        <v/>
      </c>
      <c r="M215" s="46" t="str">
        <f aca="false">IF($L215="","",IF(COUNTIF('Skill Mapping'!$A$2:$A$7,TRIM($L215))=0,"",INDEX('Skill Mapping'!$B$2:$B$7,MATCH(TRIM($L215),'Skill Mapping'!$A$2:$A$7,0))))</f>
        <v/>
      </c>
      <c r="N215" s="46" t="str">
        <f aca="false">IF($H215="","",'Survey Response'!$M213)</f>
        <v/>
      </c>
      <c r="O215" s="46" t="str">
        <f aca="false">IF($H215="","",IF('Survey Response'!$M213="Manager","R2","R1"))</f>
        <v/>
      </c>
      <c r="P215" s="46" t="str">
        <f aca="false">IF($K215="","No",IF(COUNTIFS(MasterPanel!$B:$B,$H215,MasterPanel!$I:$I,$K215,MasterPanel!$K:$K,"Y")&gt;0,"Yes","No"))</f>
        <v>No</v>
      </c>
      <c r="Q215" s="46" t="n">
        <f aca="false">IF($K215="",0,IF(COUNTIF('Gap Sheet'!$A$6:$A$11,TRIM($J215))=0,0,IF($O215="R1",INDEX('Gap Sheet'!$C$6:$C$11,MATCH(TRIM($J215),'Gap Sheet'!$A$6:$A$11,0)),INDEX('Gap Sheet'!$G$6:$G$11,MATCH(TRIM($J215),'Gap Sheet'!$A$6:$A$11,0)))))</f>
        <v>0</v>
      </c>
      <c r="R215" s="46" t="str">
        <f aca="false">IF($K215="","",$K215&amp;"|"&amp;$O215)</f>
        <v/>
      </c>
      <c r="S215" s="46" t="n">
        <f aca="false">IF($R215="",0,COUNTIF($AA$4:$AA214,$R215))</f>
        <v>0</v>
      </c>
      <c r="T215" s="46" t="str">
        <f aca="false">IF(OR($I215&lt;&gt;"Yes, I'm available for in-person interviews at Chennai",$E215&lt;&gt;"Yes",$P215&lt;&gt;"Yes"),"No",IF(($Q215-$S215)&gt;0,"Yes","No"))</f>
        <v>No</v>
      </c>
      <c r="U215" s="46" t="str">
        <f aca="false">IF($M215="","No",IF(COUNTIFS(MasterPanel!$B:$B,$H215,MasterPanel!$I:$I,$M215,MasterPanel!$K:$K,"Y")&gt;0,"Yes","No"))</f>
        <v>No</v>
      </c>
      <c r="V215" s="46" t="n">
        <f aca="false">IF($M215="",0,IF(COUNTIF('Gap Sheet'!$A$6:$A$11,TRIM($L215))=0,0,IF($O215="R1",INDEX('Gap Sheet'!$C$6:$C$11,MATCH(TRIM($L215),'Gap Sheet'!$A$6:$A$11,0)),INDEX('Gap Sheet'!$G$6:$G$11,MATCH(TRIM($L215),'Gap Sheet'!$A$6:$A$11,0)))))</f>
        <v>0</v>
      </c>
      <c r="W215" s="46" t="str">
        <f aca="false">IF($M215="","",$M215&amp;"|"&amp;$O215)</f>
        <v/>
      </c>
      <c r="X215" s="46" t="n">
        <f aca="false">IF($W215="",0,COUNTIF($AA$4:$AA214,$W215))</f>
        <v>0</v>
      </c>
      <c r="Y215" s="46" t="str">
        <f aca="false">IF(OR($I215&lt;&gt;"Yes, I'm available for in-person interviews at Chennai",$E215&lt;&gt;"Yes",$T215="Yes",$U215&lt;&gt;"Yes"),"No",IF(($V215-$X215)&gt;0,"Yes","No"))</f>
        <v>No</v>
      </c>
      <c r="Z215" s="46" t="str">
        <f aca="false">IF($T215="Yes","Primary",IF($Y215="Yes","Secondary",""))</f>
        <v/>
      </c>
      <c r="AA215" s="46" t="str">
        <f aca="false">IF($Z215="Primary",$R215,IF($Z215="Secondary",$W215,""))</f>
        <v/>
      </c>
      <c r="AB215" s="46" t="str">
        <f aca="false">IF($Z215="Primary","Matched on primary skill",IF($Z215="Secondary","Matched on secondary skill (primary not approved or not required)",""))</f>
        <v/>
      </c>
      <c r="AC215" s="47" t="str">
        <f aca="false">IF($D215="Panel Details",$F215,"")</f>
        <v/>
      </c>
      <c r="AD215" s="46" t="str">
        <f aca="false">IF($D215="Panel Details",'Survey Response'!$D213,"")</f>
        <v/>
      </c>
      <c r="AE215" s="46" t="str">
        <f aca="false">IF($D215="Panel Details",'Survey Response'!$E213,"")</f>
        <v/>
      </c>
      <c r="AF215" s="46" t="str">
        <f aca="false">IF($D215="Panel Details",'Survey Response'!$G213,"")</f>
        <v/>
      </c>
      <c r="AG215" s="46" t="str">
        <f aca="false">IF($D215="Panel Details",IF($Z215="Primary",$J215,$L215),"")</f>
        <v/>
      </c>
      <c r="AH215" s="46" t="str">
        <f aca="false">IF($D215="Panel Details",IF($Z215="Primary",$L215,$J215),"")</f>
        <v/>
      </c>
      <c r="AI215" s="46" t="str">
        <f aca="false">IF($D215="Panel Details",'Survey Response'!$H213,"")</f>
        <v/>
      </c>
      <c r="AJ215" s="46" t="str">
        <f aca="false">IF($D215="Panel Details",'Survey Response'!$M213,"")</f>
        <v/>
      </c>
      <c r="AK215" s="46" t="str">
        <f aca="false">IF($D215="Panel Details",$O215,"")</f>
        <v/>
      </c>
      <c r="AL215" s="46" t="str">
        <f aca="false">IF($D215="Panel Details",8,"")</f>
        <v/>
      </c>
      <c r="AM215" s="46" t="str">
        <f aca="false">IF($D215="Panel Details",$AB215,"")</f>
        <v/>
      </c>
      <c r="AN215" s="46" t="str">
        <f aca="false">IF($D215="Panel Details","Yes","")</f>
        <v/>
      </c>
      <c r="AO215" s="46"/>
      <c r="AP215" s="46" t="str">
        <f aca="false">IF($D215="Followup",'Survey Response'!$D213,"")</f>
        <v/>
      </c>
      <c r="AQ215" s="46" t="str">
        <f aca="false">IF($D215="Followup",'Survey Response'!$E213,"")</f>
        <v/>
      </c>
      <c r="AR215" s="46" t="str">
        <f aca="false">IF($D215="Followup",'Survey Response'!$G213,"")</f>
        <v/>
      </c>
      <c r="AS215" s="46" t="str">
        <f aca="false">IF($D215="Followup",'Survey Response'!$H213,"")</f>
        <v/>
      </c>
      <c r="AT215" s="46" t="str">
        <f aca="false">IF($D215="Followup",'Survey Response'!$M213,"")</f>
        <v/>
      </c>
      <c r="AU215" s="46" t="str">
        <f aca="false">IF($D215="Followup",'Survey Response'!$K213,"")</f>
        <v/>
      </c>
      <c r="AV215" s="46" t="str">
        <f aca="false">IF($D215="Followup",'Survey Response'!$L213,"")</f>
        <v/>
      </c>
      <c r="AW215" s="46" t="str">
        <f aca="false">IF($D215="Followup",IF(AND($P215&lt;&gt;"Yes",$U215&lt;&gt;"Yes"),"Not approved for primary or secondary skill","Approved, but skill(s) no longer have capacity (fully staffed)"),"")</f>
        <v/>
      </c>
    </row>
    <row r="216" customFormat="false" ht="15" hidden="false" customHeight="true" outlineLevel="0" collapsed="false">
      <c r="A216" s="46" t="str">
        <f aca="false">IF('Survey Response'!$D214="","",'Survey Response'!$A214&amp;"|"&amp;LOWER(TRIM('Survey Response'!$D214)))</f>
        <v/>
      </c>
      <c r="B216" s="46" t="str">
        <f aca="false">IF($H216="","",$F216&amp;"|"&amp;$H216)</f>
        <v/>
      </c>
      <c r="C216" s="46" t="str">
        <f aca="false">IF($H216="","",$A216=$B216)</f>
        <v/>
      </c>
      <c r="D216" s="46" t="str">
        <f aca="false">IF($H216="","",IF($E216&lt;&gt;"Yes","Superseded",IF($I216&lt;&gt;"Yes, I'm available for in-person interviews at Chennai","Not Available",IF($Z216&lt;&gt;"","Panel Details","Followup"))))</f>
        <v/>
      </c>
      <c r="E216" s="46" t="str">
        <f aca="false">IF($H216="","",IF(SUMPRODUCT(($H$4:$H$503=$H216)*(($G$4:$G$503&gt;$G216)+($G$4:$G$503=$G216)*($F$4:$F$503&gt;$F216)))=0,"Yes","No"))</f>
        <v/>
      </c>
      <c r="F216" s="47" t="str">
        <f aca="false">IF('Survey Response'!$D214="","",INT('Survey Response'!$A214))</f>
        <v/>
      </c>
      <c r="G216" s="46" t="str">
        <f aca="false">IF('Survey Response'!$D214="","",'Survey Response'!$C214)</f>
        <v/>
      </c>
      <c r="H216" s="46" t="str">
        <f aca="false">IF('Survey Response'!$D214="","",LOWER(TRIM('Survey Response'!$D214)))</f>
        <v/>
      </c>
      <c r="I216" s="46" t="str">
        <f aca="false">IF($H216="","",'Survey Response'!$I214)</f>
        <v/>
      </c>
      <c r="J216" s="46" t="str">
        <f aca="false">IF($H216="","",'Survey Response'!$K214)</f>
        <v/>
      </c>
      <c r="K216" s="46" t="str">
        <f aca="false">IF($J216="","",IF(COUNTIF('Skill Mapping'!$A$2:$A$7,TRIM($J216))=0,"",INDEX('Skill Mapping'!$B$2:$B$7,MATCH(TRIM($J216),'Skill Mapping'!$A$2:$A$7,0))))</f>
        <v/>
      </c>
      <c r="L216" s="46" t="str">
        <f aca="false">IF($H216="","",'Survey Response'!$L214)</f>
        <v/>
      </c>
      <c r="M216" s="46" t="str">
        <f aca="false">IF($L216="","",IF(COUNTIF('Skill Mapping'!$A$2:$A$7,TRIM($L216))=0,"",INDEX('Skill Mapping'!$B$2:$B$7,MATCH(TRIM($L216),'Skill Mapping'!$A$2:$A$7,0))))</f>
        <v/>
      </c>
      <c r="N216" s="46" t="str">
        <f aca="false">IF($H216="","",'Survey Response'!$M214)</f>
        <v/>
      </c>
      <c r="O216" s="46" t="str">
        <f aca="false">IF($H216="","",IF('Survey Response'!$M214="Manager","R2","R1"))</f>
        <v/>
      </c>
      <c r="P216" s="46" t="str">
        <f aca="false">IF($K216="","No",IF(COUNTIFS(MasterPanel!$B:$B,$H216,MasterPanel!$I:$I,$K216,MasterPanel!$K:$K,"Y")&gt;0,"Yes","No"))</f>
        <v>No</v>
      </c>
      <c r="Q216" s="46" t="n">
        <f aca="false">IF($K216="",0,IF(COUNTIF('Gap Sheet'!$A$6:$A$11,TRIM($J216))=0,0,IF($O216="R1",INDEX('Gap Sheet'!$C$6:$C$11,MATCH(TRIM($J216),'Gap Sheet'!$A$6:$A$11,0)),INDEX('Gap Sheet'!$G$6:$G$11,MATCH(TRIM($J216),'Gap Sheet'!$A$6:$A$11,0)))))</f>
        <v>0</v>
      </c>
      <c r="R216" s="46" t="str">
        <f aca="false">IF($K216="","",$K216&amp;"|"&amp;$O216)</f>
        <v/>
      </c>
      <c r="S216" s="46" t="n">
        <f aca="false">IF($R216="",0,COUNTIF($AA$4:$AA215,$R216))</f>
        <v>0</v>
      </c>
      <c r="T216" s="46" t="str">
        <f aca="false">IF(OR($I216&lt;&gt;"Yes, I'm available for in-person interviews at Chennai",$E216&lt;&gt;"Yes",$P216&lt;&gt;"Yes"),"No",IF(($Q216-$S216)&gt;0,"Yes","No"))</f>
        <v>No</v>
      </c>
      <c r="U216" s="46" t="str">
        <f aca="false">IF($M216="","No",IF(COUNTIFS(MasterPanel!$B:$B,$H216,MasterPanel!$I:$I,$M216,MasterPanel!$K:$K,"Y")&gt;0,"Yes","No"))</f>
        <v>No</v>
      </c>
      <c r="V216" s="46" t="n">
        <f aca="false">IF($M216="",0,IF(COUNTIF('Gap Sheet'!$A$6:$A$11,TRIM($L216))=0,0,IF($O216="R1",INDEX('Gap Sheet'!$C$6:$C$11,MATCH(TRIM($L216),'Gap Sheet'!$A$6:$A$11,0)),INDEX('Gap Sheet'!$G$6:$G$11,MATCH(TRIM($L216),'Gap Sheet'!$A$6:$A$11,0)))))</f>
        <v>0</v>
      </c>
      <c r="W216" s="46" t="str">
        <f aca="false">IF($M216="","",$M216&amp;"|"&amp;$O216)</f>
        <v/>
      </c>
      <c r="X216" s="46" t="n">
        <f aca="false">IF($W216="",0,COUNTIF($AA$4:$AA215,$W216))</f>
        <v>0</v>
      </c>
      <c r="Y216" s="46" t="str">
        <f aca="false">IF(OR($I216&lt;&gt;"Yes, I'm available for in-person interviews at Chennai",$E216&lt;&gt;"Yes",$T216="Yes",$U216&lt;&gt;"Yes"),"No",IF(($V216-$X216)&gt;0,"Yes","No"))</f>
        <v>No</v>
      </c>
      <c r="Z216" s="46" t="str">
        <f aca="false">IF($T216="Yes","Primary",IF($Y216="Yes","Secondary",""))</f>
        <v/>
      </c>
      <c r="AA216" s="46" t="str">
        <f aca="false">IF($Z216="Primary",$R216,IF($Z216="Secondary",$W216,""))</f>
        <v/>
      </c>
      <c r="AB216" s="46" t="str">
        <f aca="false">IF($Z216="Primary","Matched on primary skill",IF($Z216="Secondary","Matched on secondary skill (primary not approved or not required)",""))</f>
        <v/>
      </c>
      <c r="AC216" s="47" t="str">
        <f aca="false">IF($D216="Panel Details",$F216,"")</f>
        <v/>
      </c>
      <c r="AD216" s="46" t="str">
        <f aca="false">IF($D216="Panel Details",'Survey Response'!$D214,"")</f>
        <v/>
      </c>
      <c r="AE216" s="46" t="str">
        <f aca="false">IF($D216="Panel Details",'Survey Response'!$E214,"")</f>
        <v/>
      </c>
      <c r="AF216" s="46" t="str">
        <f aca="false">IF($D216="Panel Details",'Survey Response'!$G214,"")</f>
        <v/>
      </c>
      <c r="AG216" s="46" t="str">
        <f aca="false">IF($D216="Panel Details",IF($Z216="Primary",$J216,$L216),"")</f>
        <v/>
      </c>
      <c r="AH216" s="46" t="str">
        <f aca="false">IF($D216="Panel Details",IF($Z216="Primary",$L216,$J216),"")</f>
        <v/>
      </c>
      <c r="AI216" s="46" t="str">
        <f aca="false">IF($D216="Panel Details",'Survey Response'!$H214,"")</f>
        <v/>
      </c>
      <c r="AJ216" s="46" t="str">
        <f aca="false">IF($D216="Panel Details",'Survey Response'!$M214,"")</f>
        <v/>
      </c>
      <c r="AK216" s="46" t="str">
        <f aca="false">IF($D216="Panel Details",$O216,"")</f>
        <v/>
      </c>
      <c r="AL216" s="46" t="str">
        <f aca="false">IF($D216="Panel Details",8,"")</f>
        <v/>
      </c>
      <c r="AM216" s="46" t="str">
        <f aca="false">IF($D216="Panel Details",$AB216,"")</f>
        <v/>
      </c>
      <c r="AN216" s="46" t="str">
        <f aca="false">IF($D216="Panel Details","Yes","")</f>
        <v/>
      </c>
      <c r="AO216" s="46"/>
      <c r="AP216" s="46" t="str">
        <f aca="false">IF($D216="Followup",'Survey Response'!$D214,"")</f>
        <v/>
      </c>
      <c r="AQ216" s="46" t="str">
        <f aca="false">IF($D216="Followup",'Survey Response'!$E214,"")</f>
        <v/>
      </c>
      <c r="AR216" s="46" t="str">
        <f aca="false">IF($D216="Followup",'Survey Response'!$G214,"")</f>
        <v/>
      </c>
      <c r="AS216" s="46" t="str">
        <f aca="false">IF($D216="Followup",'Survey Response'!$H214,"")</f>
        <v/>
      </c>
      <c r="AT216" s="46" t="str">
        <f aca="false">IF($D216="Followup",'Survey Response'!$M214,"")</f>
        <v/>
      </c>
      <c r="AU216" s="46" t="str">
        <f aca="false">IF($D216="Followup",'Survey Response'!$K214,"")</f>
        <v/>
      </c>
      <c r="AV216" s="46" t="str">
        <f aca="false">IF($D216="Followup",'Survey Response'!$L214,"")</f>
        <v/>
      </c>
      <c r="AW216" s="46" t="str">
        <f aca="false">IF($D216="Followup",IF(AND($P216&lt;&gt;"Yes",$U216&lt;&gt;"Yes"),"Not approved for primary or secondary skill","Approved, but skill(s) no longer have capacity (fully staffed)"),"")</f>
        <v/>
      </c>
    </row>
    <row r="217" customFormat="false" ht="15" hidden="false" customHeight="true" outlineLevel="0" collapsed="false">
      <c r="A217" s="46" t="str">
        <f aca="false">IF('Survey Response'!$D215="","",'Survey Response'!$A215&amp;"|"&amp;LOWER(TRIM('Survey Response'!$D215)))</f>
        <v/>
      </c>
      <c r="B217" s="46" t="str">
        <f aca="false">IF($H217="","",$F217&amp;"|"&amp;$H217)</f>
        <v/>
      </c>
      <c r="C217" s="46" t="str">
        <f aca="false">IF($H217="","",$A217=$B217)</f>
        <v/>
      </c>
      <c r="D217" s="46" t="str">
        <f aca="false">IF($H217="","",IF($E217&lt;&gt;"Yes","Superseded",IF($I217&lt;&gt;"Yes, I'm available for in-person interviews at Chennai","Not Available",IF($Z217&lt;&gt;"","Panel Details","Followup"))))</f>
        <v/>
      </c>
      <c r="E217" s="46" t="str">
        <f aca="false">IF($H217="","",IF(SUMPRODUCT(($H$4:$H$503=$H217)*(($G$4:$G$503&gt;$G217)+($G$4:$G$503=$G217)*($F$4:$F$503&gt;$F217)))=0,"Yes","No"))</f>
        <v/>
      </c>
      <c r="F217" s="47" t="str">
        <f aca="false">IF('Survey Response'!$D215="","",INT('Survey Response'!$A215))</f>
        <v/>
      </c>
      <c r="G217" s="46" t="str">
        <f aca="false">IF('Survey Response'!$D215="","",'Survey Response'!$C215)</f>
        <v/>
      </c>
      <c r="H217" s="46" t="str">
        <f aca="false">IF('Survey Response'!$D215="","",LOWER(TRIM('Survey Response'!$D215)))</f>
        <v/>
      </c>
      <c r="I217" s="46" t="str">
        <f aca="false">IF($H217="","",'Survey Response'!$I215)</f>
        <v/>
      </c>
      <c r="J217" s="46" t="str">
        <f aca="false">IF($H217="","",'Survey Response'!$K215)</f>
        <v/>
      </c>
      <c r="K217" s="46" t="str">
        <f aca="false">IF($J217="","",IF(COUNTIF('Skill Mapping'!$A$2:$A$7,TRIM($J217))=0,"",INDEX('Skill Mapping'!$B$2:$B$7,MATCH(TRIM($J217),'Skill Mapping'!$A$2:$A$7,0))))</f>
        <v/>
      </c>
      <c r="L217" s="46" t="str">
        <f aca="false">IF($H217="","",'Survey Response'!$L215)</f>
        <v/>
      </c>
      <c r="M217" s="46" t="str">
        <f aca="false">IF($L217="","",IF(COUNTIF('Skill Mapping'!$A$2:$A$7,TRIM($L217))=0,"",INDEX('Skill Mapping'!$B$2:$B$7,MATCH(TRIM($L217),'Skill Mapping'!$A$2:$A$7,0))))</f>
        <v/>
      </c>
      <c r="N217" s="46" t="str">
        <f aca="false">IF($H217="","",'Survey Response'!$M215)</f>
        <v/>
      </c>
      <c r="O217" s="46" t="str">
        <f aca="false">IF($H217="","",IF('Survey Response'!$M215="Manager","R2","R1"))</f>
        <v/>
      </c>
      <c r="P217" s="46" t="str">
        <f aca="false">IF($K217="","No",IF(COUNTIFS(MasterPanel!$B:$B,$H217,MasterPanel!$I:$I,$K217,MasterPanel!$K:$K,"Y")&gt;0,"Yes","No"))</f>
        <v>No</v>
      </c>
      <c r="Q217" s="46" t="n">
        <f aca="false">IF($K217="",0,IF(COUNTIF('Gap Sheet'!$A$6:$A$11,TRIM($J217))=0,0,IF($O217="R1",INDEX('Gap Sheet'!$C$6:$C$11,MATCH(TRIM($J217),'Gap Sheet'!$A$6:$A$11,0)),INDEX('Gap Sheet'!$G$6:$G$11,MATCH(TRIM($J217),'Gap Sheet'!$A$6:$A$11,0)))))</f>
        <v>0</v>
      </c>
      <c r="R217" s="46" t="str">
        <f aca="false">IF($K217="","",$K217&amp;"|"&amp;$O217)</f>
        <v/>
      </c>
      <c r="S217" s="46" t="n">
        <f aca="false">IF($R217="",0,COUNTIF($AA$4:$AA216,$R217))</f>
        <v>0</v>
      </c>
      <c r="T217" s="46" t="str">
        <f aca="false">IF(OR($I217&lt;&gt;"Yes, I'm available for in-person interviews at Chennai",$E217&lt;&gt;"Yes",$P217&lt;&gt;"Yes"),"No",IF(($Q217-$S217)&gt;0,"Yes","No"))</f>
        <v>No</v>
      </c>
      <c r="U217" s="46" t="str">
        <f aca="false">IF($M217="","No",IF(COUNTIFS(MasterPanel!$B:$B,$H217,MasterPanel!$I:$I,$M217,MasterPanel!$K:$K,"Y")&gt;0,"Yes","No"))</f>
        <v>No</v>
      </c>
      <c r="V217" s="46" t="n">
        <f aca="false">IF($M217="",0,IF(COUNTIF('Gap Sheet'!$A$6:$A$11,TRIM($L217))=0,0,IF($O217="R1",INDEX('Gap Sheet'!$C$6:$C$11,MATCH(TRIM($L217),'Gap Sheet'!$A$6:$A$11,0)),INDEX('Gap Sheet'!$G$6:$G$11,MATCH(TRIM($L217),'Gap Sheet'!$A$6:$A$11,0)))))</f>
        <v>0</v>
      </c>
      <c r="W217" s="46" t="str">
        <f aca="false">IF($M217="","",$M217&amp;"|"&amp;$O217)</f>
        <v/>
      </c>
      <c r="X217" s="46" t="n">
        <f aca="false">IF($W217="",0,COUNTIF($AA$4:$AA216,$W217))</f>
        <v>0</v>
      </c>
      <c r="Y217" s="46" t="str">
        <f aca="false">IF(OR($I217&lt;&gt;"Yes, I'm available for in-person interviews at Chennai",$E217&lt;&gt;"Yes",$T217="Yes",$U217&lt;&gt;"Yes"),"No",IF(($V217-$X217)&gt;0,"Yes","No"))</f>
        <v>No</v>
      </c>
      <c r="Z217" s="46" t="str">
        <f aca="false">IF($T217="Yes","Primary",IF($Y217="Yes","Secondary",""))</f>
        <v/>
      </c>
      <c r="AA217" s="46" t="str">
        <f aca="false">IF($Z217="Primary",$R217,IF($Z217="Secondary",$W217,""))</f>
        <v/>
      </c>
      <c r="AB217" s="46" t="str">
        <f aca="false">IF($Z217="Primary","Matched on primary skill",IF($Z217="Secondary","Matched on secondary skill (primary not approved or not required)",""))</f>
        <v/>
      </c>
      <c r="AC217" s="47" t="str">
        <f aca="false">IF($D217="Panel Details",$F217,"")</f>
        <v/>
      </c>
      <c r="AD217" s="46" t="str">
        <f aca="false">IF($D217="Panel Details",'Survey Response'!$D215,"")</f>
        <v/>
      </c>
      <c r="AE217" s="46" t="str">
        <f aca="false">IF($D217="Panel Details",'Survey Response'!$E215,"")</f>
        <v/>
      </c>
      <c r="AF217" s="46" t="str">
        <f aca="false">IF($D217="Panel Details",'Survey Response'!$G215,"")</f>
        <v/>
      </c>
      <c r="AG217" s="46" t="str">
        <f aca="false">IF($D217="Panel Details",IF($Z217="Primary",$J217,$L217),"")</f>
        <v/>
      </c>
      <c r="AH217" s="46" t="str">
        <f aca="false">IF($D217="Panel Details",IF($Z217="Primary",$L217,$J217),"")</f>
        <v/>
      </c>
      <c r="AI217" s="46" t="str">
        <f aca="false">IF($D217="Panel Details",'Survey Response'!$H215,"")</f>
        <v/>
      </c>
      <c r="AJ217" s="46" t="str">
        <f aca="false">IF($D217="Panel Details",'Survey Response'!$M215,"")</f>
        <v/>
      </c>
      <c r="AK217" s="46" t="str">
        <f aca="false">IF($D217="Panel Details",$O217,"")</f>
        <v/>
      </c>
      <c r="AL217" s="46" t="str">
        <f aca="false">IF($D217="Panel Details",8,"")</f>
        <v/>
      </c>
      <c r="AM217" s="46" t="str">
        <f aca="false">IF($D217="Panel Details",$AB217,"")</f>
        <v/>
      </c>
      <c r="AN217" s="46" t="str">
        <f aca="false">IF($D217="Panel Details","Yes","")</f>
        <v/>
      </c>
      <c r="AO217" s="46"/>
      <c r="AP217" s="46" t="str">
        <f aca="false">IF($D217="Followup",'Survey Response'!$D215,"")</f>
        <v/>
      </c>
      <c r="AQ217" s="46" t="str">
        <f aca="false">IF($D217="Followup",'Survey Response'!$E215,"")</f>
        <v/>
      </c>
      <c r="AR217" s="46" t="str">
        <f aca="false">IF($D217="Followup",'Survey Response'!$G215,"")</f>
        <v/>
      </c>
      <c r="AS217" s="46" t="str">
        <f aca="false">IF($D217="Followup",'Survey Response'!$H215,"")</f>
        <v/>
      </c>
      <c r="AT217" s="46" t="str">
        <f aca="false">IF($D217="Followup",'Survey Response'!$M215,"")</f>
        <v/>
      </c>
      <c r="AU217" s="46" t="str">
        <f aca="false">IF($D217="Followup",'Survey Response'!$K215,"")</f>
        <v/>
      </c>
      <c r="AV217" s="46" t="str">
        <f aca="false">IF($D217="Followup",'Survey Response'!$L215,"")</f>
        <v/>
      </c>
      <c r="AW217" s="46" t="str">
        <f aca="false">IF($D217="Followup",IF(AND($P217&lt;&gt;"Yes",$U217&lt;&gt;"Yes"),"Not approved for primary or secondary skill","Approved, but skill(s) no longer have capacity (fully staffed)"),"")</f>
        <v/>
      </c>
    </row>
    <row r="218" customFormat="false" ht="15" hidden="false" customHeight="true" outlineLevel="0" collapsed="false">
      <c r="A218" s="46" t="str">
        <f aca="false">IF('Survey Response'!$D216="","",'Survey Response'!$A216&amp;"|"&amp;LOWER(TRIM('Survey Response'!$D216)))</f>
        <v/>
      </c>
      <c r="B218" s="46" t="str">
        <f aca="false">IF($H218="","",$F218&amp;"|"&amp;$H218)</f>
        <v/>
      </c>
      <c r="C218" s="46" t="str">
        <f aca="false">IF($H218="","",$A218=$B218)</f>
        <v/>
      </c>
      <c r="D218" s="46" t="str">
        <f aca="false">IF($H218="","",IF($E218&lt;&gt;"Yes","Superseded",IF($I218&lt;&gt;"Yes, I'm available for in-person interviews at Chennai","Not Available",IF($Z218&lt;&gt;"","Panel Details","Followup"))))</f>
        <v/>
      </c>
      <c r="E218" s="46" t="str">
        <f aca="false">IF($H218="","",IF(SUMPRODUCT(($H$4:$H$503=$H218)*(($G$4:$G$503&gt;$G218)+($G$4:$G$503=$G218)*($F$4:$F$503&gt;$F218)))=0,"Yes","No"))</f>
        <v/>
      </c>
      <c r="F218" s="47" t="str">
        <f aca="false">IF('Survey Response'!$D216="","",INT('Survey Response'!$A216))</f>
        <v/>
      </c>
      <c r="G218" s="46" t="str">
        <f aca="false">IF('Survey Response'!$D216="","",'Survey Response'!$C216)</f>
        <v/>
      </c>
      <c r="H218" s="46" t="str">
        <f aca="false">IF('Survey Response'!$D216="","",LOWER(TRIM('Survey Response'!$D216)))</f>
        <v/>
      </c>
      <c r="I218" s="46" t="str">
        <f aca="false">IF($H218="","",'Survey Response'!$I216)</f>
        <v/>
      </c>
      <c r="J218" s="46" t="str">
        <f aca="false">IF($H218="","",'Survey Response'!$K216)</f>
        <v/>
      </c>
      <c r="K218" s="46" t="str">
        <f aca="false">IF($J218="","",IF(COUNTIF('Skill Mapping'!$A$2:$A$7,TRIM($J218))=0,"",INDEX('Skill Mapping'!$B$2:$B$7,MATCH(TRIM($J218),'Skill Mapping'!$A$2:$A$7,0))))</f>
        <v/>
      </c>
      <c r="L218" s="46" t="str">
        <f aca="false">IF($H218="","",'Survey Response'!$L216)</f>
        <v/>
      </c>
      <c r="M218" s="46" t="str">
        <f aca="false">IF($L218="","",IF(COUNTIF('Skill Mapping'!$A$2:$A$7,TRIM($L218))=0,"",INDEX('Skill Mapping'!$B$2:$B$7,MATCH(TRIM($L218),'Skill Mapping'!$A$2:$A$7,0))))</f>
        <v/>
      </c>
      <c r="N218" s="46" t="str">
        <f aca="false">IF($H218="","",'Survey Response'!$M216)</f>
        <v/>
      </c>
      <c r="O218" s="46" t="str">
        <f aca="false">IF($H218="","",IF('Survey Response'!$M216="Manager","R2","R1"))</f>
        <v/>
      </c>
      <c r="P218" s="46" t="str">
        <f aca="false">IF($K218="","No",IF(COUNTIFS(MasterPanel!$B:$B,$H218,MasterPanel!$I:$I,$K218,MasterPanel!$K:$K,"Y")&gt;0,"Yes","No"))</f>
        <v>No</v>
      </c>
      <c r="Q218" s="46" t="n">
        <f aca="false">IF($K218="",0,IF(COUNTIF('Gap Sheet'!$A$6:$A$11,TRIM($J218))=0,0,IF($O218="R1",INDEX('Gap Sheet'!$C$6:$C$11,MATCH(TRIM($J218),'Gap Sheet'!$A$6:$A$11,0)),INDEX('Gap Sheet'!$G$6:$G$11,MATCH(TRIM($J218),'Gap Sheet'!$A$6:$A$11,0)))))</f>
        <v>0</v>
      </c>
      <c r="R218" s="46" t="str">
        <f aca="false">IF($K218="","",$K218&amp;"|"&amp;$O218)</f>
        <v/>
      </c>
      <c r="S218" s="46" t="n">
        <f aca="false">IF($R218="",0,COUNTIF($AA$4:$AA217,$R218))</f>
        <v>0</v>
      </c>
      <c r="T218" s="46" t="str">
        <f aca="false">IF(OR($I218&lt;&gt;"Yes, I'm available for in-person interviews at Chennai",$E218&lt;&gt;"Yes",$P218&lt;&gt;"Yes"),"No",IF(($Q218-$S218)&gt;0,"Yes","No"))</f>
        <v>No</v>
      </c>
      <c r="U218" s="46" t="str">
        <f aca="false">IF($M218="","No",IF(COUNTIFS(MasterPanel!$B:$B,$H218,MasterPanel!$I:$I,$M218,MasterPanel!$K:$K,"Y")&gt;0,"Yes","No"))</f>
        <v>No</v>
      </c>
      <c r="V218" s="46" t="n">
        <f aca="false">IF($M218="",0,IF(COUNTIF('Gap Sheet'!$A$6:$A$11,TRIM($L218))=0,0,IF($O218="R1",INDEX('Gap Sheet'!$C$6:$C$11,MATCH(TRIM($L218),'Gap Sheet'!$A$6:$A$11,0)),INDEX('Gap Sheet'!$G$6:$G$11,MATCH(TRIM($L218),'Gap Sheet'!$A$6:$A$11,0)))))</f>
        <v>0</v>
      </c>
      <c r="W218" s="46" t="str">
        <f aca="false">IF($M218="","",$M218&amp;"|"&amp;$O218)</f>
        <v/>
      </c>
      <c r="X218" s="46" t="n">
        <f aca="false">IF($W218="",0,COUNTIF($AA$4:$AA217,$W218))</f>
        <v>0</v>
      </c>
      <c r="Y218" s="46" t="str">
        <f aca="false">IF(OR($I218&lt;&gt;"Yes, I'm available for in-person interviews at Chennai",$E218&lt;&gt;"Yes",$T218="Yes",$U218&lt;&gt;"Yes"),"No",IF(($V218-$X218)&gt;0,"Yes","No"))</f>
        <v>No</v>
      </c>
      <c r="Z218" s="46" t="str">
        <f aca="false">IF($T218="Yes","Primary",IF($Y218="Yes","Secondary",""))</f>
        <v/>
      </c>
      <c r="AA218" s="46" t="str">
        <f aca="false">IF($Z218="Primary",$R218,IF($Z218="Secondary",$W218,""))</f>
        <v/>
      </c>
      <c r="AB218" s="46" t="str">
        <f aca="false">IF($Z218="Primary","Matched on primary skill",IF($Z218="Secondary","Matched on secondary skill (primary not approved or not required)",""))</f>
        <v/>
      </c>
      <c r="AC218" s="47" t="str">
        <f aca="false">IF($D218="Panel Details",$F218,"")</f>
        <v/>
      </c>
      <c r="AD218" s="46" t="str">
        <f aca="false">IF($D218="Panel Details",'Survey Response'!$D216,"")</f>
        <v/>
      </c>
      <c r="AE218" s="46" t="str">
        <f aca="false">IF($D218="Panel Details",'Survey Response'!$E216,"")</f>
        <v/>
      </c>
      <c r="AF218" s="46" t="str">
        <f aca="false">IF($D218="Panel Details",'Survey Response'!$G216,"")</f>
        <v/>
      </c>
      <c r="AG218" s="46" t="str">
        <f aca="false">IF($D218="Panel Details",IF($Z218="Primary",$J218,$L218),"")</f>
        <v/>
      </c>
      <c r="AH218" s="46" t="str">
        <f aca="false">IF($D218="Panel Details",IF($Z218="Primary",$L218,$J218),"")</f>
        <v/>
      </c>
      <c r="AI218" s="46" t="str">
        <f aca="false">IF($D218="Panel Details",'Survey Response'!$H216,"")</f>
        <v/>
      </c>
      <c r="AJ218" s="46" t="str">
        <f aca="false">IF($D218="Panel Details",'Survey Response'!$M216,"")</f>
        <v/>
      </c>
      <c r="AK218" s="46" t="str">
        <f aca="false">IF($D218="Panel Details",$O218,"")</f>
        <v/>
      </c>
      <c r="AL218" s="46" t="str">
        <f aca="false">IF($D218="Panel Details",8,"")</f>
        <v/>
      </c>
      <c r="AM218" s="46" t="str">
        <f aca="false">IF($D218="Panel Details",$AB218,"")</f>
        <v/>
      </c>
      <c r="AN218" s="46" t="str">
        <f aca="false">IF($D218="Panel Details","Yes","")</f>
        <v/>
      </c>
      <c r="AO218" s="46"/>
      <c r="AP218" s="46" t="str">
        <f aca="false">IF($D218="Followup",'Survey Response'!$D216,"")</f>
        <v/>
      </c>
      <c r="AQ218" s="46" t="str">
        <f aca="false">IF($D218="Followup",'Survey Response'!$E216,"")</f>
        <v/>
      </c>
      <c r="AR218" s="46" t="str">
        <f aca="false">IF($D218="Followup",'Survey Response'!$G216,"")</f>
        <v/>
      </c>
      <c r="AS218" s="46" t="str">
        <f aca="false">IF($D218="Followup",'Survey Response'!$H216,"")</f>
        <v/>
      </c>
      <c r="AT218" s="46" t="str">
        <f aca="false">IF($D218="Followup",'Survey Response'!$M216,"")</f>
        <v/>
      </c>
      <c r="AU218" s="46" t="str">
        <f aca="false">IF($D218="Followup",'Survey Response'!$K216,"")</f>
        <v/>
      </c>
      <c r="AV218" s="46" t="str">
        <f aca="false">IF($D218="Followup",'Survey Response'!$L216,"")</f>
        <v/>
      </c>
      <c r="AW218" s="46" t="str">
        <f aca="false">IF($D218="Followup",IF(AND($P218&lt;&gt;"Yes",$U218&lt;&gt;"Yes"),"Not approved for primary or secondary skill","Approved, but skill(s) no longer have capacity (fully staffed)"),"")</f>
        <v/>
      </c>
    </row>
    <row r="219" customFormat="false" ht="15" hidden="false" customHeight="true" outlineLevel="0" collapsed="false">
      <c r="A219" s="46" t="str">
        <f aca="false">IF('Survey Response'!$D217="","",'Survey Response'!$A217&amp;"|"&amp;LOWER(TRIM('Survey Response'!$D217)))</f>
        <v/>
      </c>
      <c r="B219" s="46" t="str">
        <f aca="false">IF($H219="","",$F219&amp;"|"&amp;$H219)</f>
        <v/>
      </c>
      <c r="C219" s="46" t="str">
        <f aca="false">IF($H219="","",$A219=$B219)</f>
        <v/>
      </c>
      <c r="D219" s="46" t="str">
        <f aca="false">IF($H219="","",IF($E219&lt;&gt;"Yes","Superseded",IF($I219&lt;&gt;"Yes, I'm available for in-person interviews at Chennai","Not Available",IF($Z219&lt;&gt;"","Panel Details","Followup"))))</f>
        <v/>
      </c>
      <c r="E219" s="46" t="str">
        <f aca="false">IF($H219="","",IF(SUMPRODUCT(($H$4:$H$503=$H219)*(($G$4:$G$503&gt;$G219)+($G$4:$G$503=$G219)*($F$4:$F$503&gt;$F219)))=0,"Yes","No"))</f>
        <v/>
      </c>
      <c r="F219" s="47" t="str">
        <f aca="false">IF('Survey Response'!$D217="","",INT('Survey Response'!$A217))</f>
        <v/>
      </c>
      <c r="G219" s="46" t="str">
        <f aca="false">IF('Survey Response'!$D217="","",'Survey Response'!$C217)</f>
        <v/>
      </c>
      <c r="H219" s="46" t="str">
        <f aca="false">IF('Survey Response'!$D217="","",LOWER(TRIM('Survey Response'!$D217)))</f>
        <v/>
      </c>
      <c r="I219" s="46" t="str">
        <f aca="false">IF($H219="","",'Survey Response'!$I217)</f>
        <v/>
      </c>
      <c r="J219" s="46" t="str">
        <f aca="false">IF($H219="","",'Survey Response'!$K217)</f>
        <v/>
      </c>
      <c r="K219" s="46" t="str">
        <f aca="false">IF($J219="","",IF(COUNTIF('Skill Mapping'!$A$2:$A$7,TRIM($J219))=0,"",INDEX('Skill Mapping'!$B$2:$B$7,MATCH(TRIM($J219),'Skill Mapping'!$A$2:$A$7,0))))</f>
        <v/>
      </c>
      <c r="L219" s="46" t="str">
        <f aca="false">IF($H219="","",'Survey Response'!$L217)</f>
        <v/>
      </c>
      <c r="M219" s="46" t="str">
        <f aca="false">IF($L219="","",IF(COUNTIF('Skill Mapping'!$A$2:$A$7,TRIM($L219))=0,"",INDEX('Skill Mapping'!$B$2:$B$7,MATCH(TRIM($L219),'Skill Mapping'!$A$2:$A$7,0))))</f>
        <v/>
      </c>
      <c r="N219" s="46" t="str">
        <f aca="false">IF($H219="","",'Survey Response'!$M217)</f>
        <v/>
      </c>
      <c r="O219" s="46" t="str">
        <f aca="false">IF($H219="","",IF('Survey Response'!$M217="Manager","R2","R1"))</f>
        <v/>
      </c>
      <c r="P219" s="46" t="str">
        <f aca="false">IF($K219="","No",IF(COUNTIFS(MasterPanel!$B:$B,$H219,MasterPanel!$I:$I,$K219,MasterPanel!$K:$K,"Y")&gt;0,"Yes","No"))</f>
        <v>No</v>
      </c>
      <c r="Q219" s="46" t="n">
        <f aca="false">IF($K219="",0,IF(COUNTIF('Gap Sheet'!$A$6:$A$11,TRIM($J219))=0,0,IF($O219="R1",INDEX('Gap Sheet'!$C$6:$C$11,MATCH(TRIM($J219),'Gap Sheet'!$A$6:$A$11,0)),INDEX('Gap Sheet'!$G$6:$G$11,MATCH(TRIM($J219),'Gap Sheet'!$A$6:$A$11,0)))))</f>
        <v>0</v>
      </c>
      <c r="R219" s="46" t="str">
        <f aca="false">IF($K219="","",$K219&amp;"|"&amp;$O219)</f>
        <v/>
      </c>
      <c r="S219" s="46" t="n">
        <f aca="false">IF($R219="",0,COUNTIF($AA$4:$AA218,$R219))</f>
        <v>0</v>
      </c>
      <c r="T219" s="46" t="str">
        <f aca="false">IF(OR($I219&lt;&gt;"Yes, I'm available for in-person interviews at Chennai",$E219&lt;&gt;"Yes",$P219&lt;&gt;"Yes"),"No",IF(($Q219-$S219)&gt;0,"Yes","No"))</f>
        <v>No</v>
      </c>
      <c r="U219" s="46" t="str">
        <f aca="false">IF($M219="","No",IF(COUNTIFS(MasterPanel!$B:$B,$H219,MasterPanel!$I:$I,$M219,MasterPanel!$K:$K,"Y")&gt;0,"Yes","No"))</f>
        <v>No</v>
      </c>
      <c r="V219" s="46" t="n">
        <f aca="false">IF($M219="",0,IF(COUNTIF('Gap Sheet'!$A$6:$A$11,TRIM($L219))=0,0,IF($O219="R1",INDEX('Gap Sheet'!$C$6:$C$11,MATCH(TRIM($L219),'Gap Sheet'!$A$6:$A$11,0)),INDEX('Gap Sheet'!$G$6:$G$11,MATCH(TRIM($L219),'Gap Sheet'!$A$6:$A$11,0)))))</f>
        <v>0</v>
      </c>
      <c r="W219" s="46" t="str">
        <f aca="false">IF($M219="","",$M219&amp;"|"&amp;$O219)</f>
        <v/>
      </c>
      <c r="X219" s="46" t="n">
        <f aca="false">IF($W219="",0,COUNTIF($AA$4:$AA218,$W219))</f>
        <v>0</v>
      </c>
      <c r="Y219" s="46" t="str">
        <f aca="false">IF(OR($I219&lt;&gt;"Yes, I'm available for in-person interviews at Chennai",$E219&lt;&gt;"Yes",$T219="Yes",$U219&lt;&gt;"Yes"),"No",IF(($V219-$X219)&gt;0,"Yes","No"))</f>
        <v>No</v>
      </c>
      <c r="Z219" s="46" t="str">
        <f aca="false">IF($T219="Yes","Primary",IF($Y219="Yes","Secondary",""))</f>
        <v/>
      </c>
      <c r="AA219" s="46" t="str">
        <f aca="false">IF($Z219="Primary",$R219,IF($Z219="Secondary",$W219,""))</f>
        <v/>
      </c>
      <c r="AB219" s="46" t="str">
        <f aca="false">IF($Z219="Primary","Matched on primary skill",IF($Z219="Secondary","Matched on secondary skill (primary not approved or not required)",""))</f>
        <v/>
      </c>
      <c r="AC219" s="47" t="str">
        <f aca="false">IF($D219="Panel Details",$F219,"")</f>
        <v/>
      </c>
      <c r="AD219" s="46" t="str">
        <f aca="false">IF($D219="Panel Details",'Survey Response'!$D217,"")</f>
        <v/>
      </c>
      <c r="AE219" s="46" t="str">
        <f aca="false">IF($D219="Panel Details",'Survey Response'!$E217,"")</f>
        <v/>
      </c>
      <c r="AF219" s="46" t="str">
        <f aca="false">IF($D219="Panel Details",'Survey Response'!$G217,"")</f>
        <v/>
      </c>
      <c r="AG219" s="46" t="str">
        <f aca="false">IF($D219="Panel Details",IF($Z219="Primary",$J219,$L219),"")</f>
        <v/>
      </c>
      <c r="AH219" s="46" t="str">
        <f aca="false">IF($D219="Panel Details",IF($Z219="Primary",$L219,$J219),"")</f>
        <v/>
      </c>
      <c r="AI219" s="46" t="str">
        <f aca="false">IF($D219="Panel Details",'Survey Response'!$H217,"")</f>
        <v/>
      </c>
      <c r="AJ219" s="46" t="str">
        <f aca="false">IF($D219="Panel Details",'Survey Response'!$M217,"")</f>
        <v/>
      </c>
      <c r="AK219" s="46" t="str">
        <f aca="false">IF($D219="Panel Details",$O219,"")</f>
        <v/>
      </c>
      <c r="AL219" s="46" t="str">
        <f aca="false">IF($D219="Panel Details",8,"")</f>
        <v/>
      </c>
      <c r="AM219" s="46" t="str">
        <f aca="false">IF($D219="Panel Details",$AB219,"")</f>
        <v/>
      </c>
      <c r="AN219" s="46" t="str">
        <f aca="false">IF($D219="Panel Details","Yes","")</f>
        <v/>
      </c>
      <c r="AO219" s="46"/>
      <c r="AP219" s="46" t="str">
        <f aca="false">IF($D219="Followup",'Survey Response'!$D217,"")</f>
        <v/>
      </c>
      <c r="AQ219" s="46" t="str">
        <f aca="false">IF($D219="Followup",'Survey Response'!$E217,"")</f>
        <v/>
      </c>
      <c r="AR219" s="46" t="str">
        <f aca="false">IF($D219="Followup",'Survey Response'!$G217,"")</f>
        <v/>
      </c>
      <c r="AS219" s="46" t="str">
        <f aca="false">IF($D219="Followup",'Survey Response'!$H217,"")</f>
        <v/>
      </c>
      <c r="AT219" s="46" t="str">
        <f aca="false">IF($D219="Followup",'Survey Response'!$M217,"")</f>
        <v/>
      </c>
      <c r="AU219" s="46" t="str">
        <f aca="false">IF($D219="Followup",'Survey Response'!$K217,"")</f>
        <v/>
      </c>
      <c r="AV219" s="46" t="str">
        <f aca="false">IF($D219="Followup",'Survey Response'!$L217,"")</f>
        <v/>
      </c>
      <c r="AW219" s="46" t="str">
        <f aca="false">IF($D219="Followup",IF(AND($P219&lt;&gt;"Yes",$U219&lt;&gt;"Yes"),"Not approved for primary or secondary skill","Approved, but skill(s) no longer have capacity (fully staffed)"),"")</f>
        <v/>
      </c>
    </row>
    <row r="220" customFormat="false" ht="15" hidden="false" customHeight="true" outlineLevel="0" collapsed="false">
      <c r="A220" s="46" t="str">
        <f aca="false">IF('Survey Response'!$D218="","",'Survey Response'!$A218&amp;"|"&amp;LOWER(TRIM('Survey Response'!$D218)))</f>
        <v/>
      </c>
      <c r="B220" s="46" t="str">
        <f aca="false">IF($H220="","",$F220&amp;"|"&amp;$H220)</f>
        <v/>
      </c>
      <c r="C220" s="46" t="str">
        <f aca="false">IF($H220="","",$A220=$B220)</f>
        <v/>
      </c>
      <c r="D220" s="46" t="str">
        <f aca="false">IF($H220="","",IF($E220&lt;&gt;"Yes","Superseded",IF($I220&lt;&gt;"Yes, I'm available for in-person interviews at Chennai","Not Available",IF($Z220&lt;&gt;"","Panel Details","Followup"))))</f>
        <v/>
      </c>
      <c r="E220" s="46" t="str">
        <f aca="false">IF($H220="","",IF(SUMPRODUCT(($H$4:$H$503=$H220)*(($G$4:$G$503&gt;$G220)+($G$4:$G$503=$G220)*($F$4:$F$503&gt;$F220)))=0,"Yes","No"))</f>
        <v/>
      </c>
      <c r="F220" s="47" t="str">
        <f aca="false">IF('Survey Response'!$D218="","",INT('Survey Response'!$A218))</f>
        <v/>
      </c>
      <c r="G220" s="46" t="str">
        <f aca="false">IF('Survey Response'!$D218="","",'Survey Response'!$C218)</f>
        <v/>
      </c>
      <c r="H220" s="46" t="str">
        <f aca="false">IF('Survey Response'!$D218="","",LOWER(TRIM('Survey Response'!$D218)))</f>
        <v/>
      </c>
      <c r="I220" s="46" t="str">
        <f aca="false">IF($H220="","",'Survey Response'!$I218)</f>
        <v/>
      </c>
      <c r="J220" s="46" t="str">
        <f aca="false">IF($H220="","",'Survey Response'!$K218)</f>
        <v/>
      </c>
      <c r="K220" s="46" t="str">
        <f aca="false">IF($J220="","",IF(COUNTIF('Skill Mapping'!$A$2:$A$7,TRIM($J220))=0,"",INDEX('Skill Mapping'!$B$2:$B$7,MATCH(TRIM($J220),'Skill Mapping'!$A$2:$A$7,0))))</f>
        <v/>
      </c>
      <c r="L220" s="46" t="str">
        <f aca="false">IF($H220="","",'Survey Response'!$L218)</f>
        <v/>
      </c>
      <c r="M220" s="46" t="str">
        <f aca="false">IF($L220="","",IF(COUNTIF('Skill Mapping'!$A$2:$A$7,TRIM($L220))=0,"",INDEX('Skill Mapping'!$B$2:$B$7,MATCH(TRIM($L220),'Skill Mapping'!$A$2:$A$7,0))))</f>
        <v/>
      </c>
      <c r="N220" s="46" t="str">
        <f aca="false">IF($H220="","",'Survey Response'!$M218)</f>
        <v/>
      </c>
      <c r="O220" s="46" t="str">
        <f aca="false">IF($H220="","",IF('Survey Response'!$M218="Manager","R2","R1"))</f>
        <v/>
      </c>
      <c r="P220" s="46" t="str">
        <f aca="false">IF($K220="","No",IF(COUNTIFS(MasterPanel!$B:$B,$H220,MasterPanel!$I:$I,$K220,MasterPanel!$K:$K,"Y")&gt;0,"Yes","No"))</f>
        <v>No</v>
      </c>
      <c r="Q220" s="46" t="n">
        <f aca="false">IF($K220="",0,IF(COUNTIF('Gap Sheet'!$A$6:$A$11,TRIM($J220))=0,0,IF($O220="R1",INDEX('Gap Sheet'!$C$6:$C$11,MATCH(TRIM($J220),'Gap Sheet'!$A$6:$A$11,0)),INDEX('Gap Sheet'!$G$6:$G$11,MATCH(TRIM($J220),'Gap Sheet'!$A$6:$A$11,0)))))</f>
        <v>0</v>
      </c>
      <c r="R220" s="46" t="str">
        <f aca="false">IF($K220="","",$K220&amp;"|"&amp;$O220)</f>
        <v/>
      </c>
      <c r="S220" s="46" t="n">
        <f aca="false">IF($R220="",0,COUNTIF($AA$4:$AA219,$R220))</f>
        <v>0</v>
      </c>
      <c r="T220" s="46" t="str">
        <f aca="false">IF(OR($I220&lt;&gt;"Yes, I'm available for in-person interviews at Chennai",$E220&lt;&gt;"Yes",$P220&lt;&gt;"Yes"),"No",IF(($Q220-$S220)&gt;0,"Yes","No"))</f>
        <v>No</v>
      </c>
      <c r="U220" s="46" t="str">
        <f aca="false">IF($M220="","No",IF(COUNTIFS(MasterPanel!$B:$B,$H220,MasterPanel!$I:$I,$M220,MasterPanel!$K:$K,"Y")&gt;0,"Yes","No"))</f>
        <v>No</v>
      </c>
      <c r="V220" s="46" t="n">
        <f aca="false">IF($M220="",0,IF(COUNTIF('Gap Sheet'!$A$6:$A$11,TRIM($L220))=0,0,IF($O220="R1",INDEX('Gap Sheet'!$C$6:$C$11,MATCH(TRIM($L220),'Gap Sheet'!$A$6:$A$11,0)),INDEX('Gap Sheet'!$G$6:$G$11,MATCH(TRIM($L220),'Gap Sheet'!$A$6:$A$11,0)))))</f>
        <v>0</v>
      </c>
      <c r="W220" s="46" t="str">
        <f aca="false">IF($M220="","",$M220&amp;"|"&amp;$O220)</f>
        <v/>
      </c>
      <c r="X220" s="46" t="n">
        <f aca="false">IF($W220="",0,COUNTIF($AA$4:$AA219,$W220))</f>
        <v>0</v>
      </c>
      <c r="Y220" s="46" t="str">
        <f aca="false">IF(OR($I220&lt;&gt;"Yes, I'm available for in-person interviews at Chennai",$E220&lt;&gt;"Yes",$T220="Yes",$U220&lt;&gt;"Yes"),"No",IF(($V220-$X220)&gt;0,"Yes","No"))</f>
        <v>No</v>
      </c>
      <c r="Z220" s="46" t="str">
        <f aca="false">IF($T220="Yes","Primary",IF($Y220="Yes","Secondary",""))</f>
        <v/>
      </c>
      <c r="AA220" s="46" t="str">
        <f aca="false">IF($Z220="Primary",$R220,IF($Z220="Secondary",$W220,""))</f>
        <v/>
      </c>
      <c r="AB220" s="46" t="str">
        <f aca="false">IF($Z220="Primary","Matched on primary skill",IF($Z220="Secondary","Matched on secondary skill (primary not approved or not required)",""))</f>
        <v/>
      </c>
      <c r="AC220" s="47" t="str">
        <f aca="false">IF($D220="Panel Details",$F220,"")</f>
        <v/>
      </c>
      <c r="AD220" s="46" t="str">
        <f aca="false">IF($D220="Panel Details",'Survey Response'!$D218,"")</f>
        <v/>
      </c>
      <c r="AE220" s="46" t="str">
        <f aca="false">IF($D220="Panel Details",'Survey Response'!$E218,"")</f>
        <v/>
      </c>
      <c r="AF220" s="46" t="str">
        <f aca="false">IF($D220="Panel Details",'Survey Response'!$G218,"")</f>
        <v/>
      </c>
      <c r="AG220" s="46" t="str">
        <f aca="false">IF($D220="Panel Details",IF($Z220="Primary",$J220,$L220),"")</f>
        <v/>
      </c>
      <c r="AH220" s="46" t="str">
        <f aca="false">IF($D220="Panel Details",IF($Z220="Primary",$L220,$J220),"")</f>
        <v/>
      </c>
      <c r="AI220" s="46" t="str">
        <f aca="false">IF($D220="Panel Details",'Survey Response'!$H218,"")</f>
        <v/>
      </c>
      <c r="AJ220" s="46" t="str">
        <f aca="false">IF($D220="Panel Details",'Survey Response'!$M218,"")</f>
        <v/>
      </c>
      <c r="AK220" s="46" t="str">
        <f aca="false">IF($D220="Panel Details",$O220,"")</f>
        <v/>
      </c>
      <c r="AL220" s="46" t="str">
        <f aca="false">IF($D220="Panel Details",8,"")</f>
        <v/>
      </c>
      <c r="AM220" s="46" t="str">
        <f aca="false">IF($D220="Panel Details",$AB220,"")</f>
        <v/>
      </c>
      <c r="AN220" s="46" t="str">
        <f aca="false">IF($D220="Panel Details","Yes","")</f>
        <v/>
      </c>
      <c r="AO220" s="46"/>
      <c r="AP220" s="46" t="str">
        <f aca="false">IF($D220="Followup",'Survey Response'!$D218,"")</f>
        <v/>
      </c>
      <c r="AQ220" s="46" t="str">
        <f aca="false">IF($D220="Followup",'Survey Response'!$E218,"")</f>
        <v/>
      </c>
      <c r="AR220" s="46" t="str">
        <f aca="false">IF($D220="Followup",'Survey Response'!$G218,"")</f>
        <v/>
      </c>
      <c r="AS220" s="46" t="str">
        <f aca="false">IF($D220="Followup",'Survey Response'!$H218,"")</f>
        <v/>
      </c>
      <c r="AT220" s="46" t="str">
        <f aca="false">IF($D220="Followup",'Survey Response'!$M218,"")</f>
        <v/>
      </c>
      <c r="AU220" s="46" t="str">
        <f aca="false">IF($D220="Followup",'Survey Response'!$K218,"")</f>
        <v/>
      </c>
      <c r="AV220" s="46" t="str">
        <f aca="false">IF($D220="Followup",'Survey Response'!$L218,"")</f>
        <v/>
      </c>
      <c r="AW220" s="46" t="str">
        <f aca="false">IF($D220="Followup",IF(AND($P220&lt;&gt;"Yes",$U220&lt;&gt;"Yes"),"Not approved for primary or secondary skill","Approved, but skill(s) no longer have capacity (fully staffed)"),"")</f>
        <v/>
      </c>
    </row>
    <row r="221" customFormat="false" ht="15" hidden="false" customHeight="true" outlineLevel="0" collapsed="false">
      <c r="A221" s="46" t="str">
        <f aca="false">IF('Survey Response'!$D219="","",'Survey Response'!$A219&amp;"|"&amp;LOWER(TRIM('Survey Response'!$D219)))</f>
        <v/>
      </c>
      <c r="B221" s="46" t="str">
        <f aca="false">IF($H221="","",$F221&amp;"|"&amp;$H221)</f>
        <v/>
      </c>
      <c r="C221" s="46" t="str">
        <f aca="false">IF($H221="","",$A221=$B221)</f>
        <v/>
      </c>
      <c r="D221" s="46" t="str">
        <f aca="false">IF($H221="","",IF($E221&lt;&gt;"Yes","Superseded",IF($I221&lt;&gt;"Yes, I'm available for in-person interviews at Chennai","Not Available",IF($Z221&lt;&gt;"","Panel Details","Followup"))))</f>
        <v/>
      </c>
      <c r="E221" s="46" t="str">
        <f aca="false">IF($H221="","",IF(SUMPRODUCT(($H$4:$H$503=$H221)*(($G$4:$G$503&gt;$G221)+($G$4:$G$503=$G221)*($F$4:$F$503&gt;$F221)))=0,"Yes","No"))</f>
        <v/>
      </c>
      <c r="F221" s="47" t="str">
        <f aca="false">IF('Survey Response'!$D219="","",INT('Survey Response'!$A219))</f>
        <v/>
      </c>
      <c r="G221" s="46" t="str">
        <f aca="false">IF('Survey Response'!$D219="","",'Survey Response'!$C219)</f>
        <v/>
      </c>
      <c r="H221" s="46" t="str">
        <f aca="false">IF('Survey Response'!$D219="","",LOWER(TRIM('Survey Response'!$D219)))</f>
        <v/>
      </c>
      <c r="I221" s="46" t="str">
        <f aca="false">IF($H221="","",'Survey Response'!$I219)</f>
        <v/>
      </c>
      <c r="J221" s="46" t="str">
        <f aca="false">IF($H221="","",'Survey Response'!$K219)</f>
        <v/>
      </c>
      <c r="K221" s="46" t="str">
        <f aca="false">IF($J221="","",IF(COUNTIF('Skill Mapping'!$A$2:$A$7,TRIM($J221))=0,"",INDEX('Skill Mapping'!$B$2:$B$7,MATCH(TRIM($J221),'Skill Mapping'!$A$2:$A$7,0))))</f>
        <v/>
      </c>
      <c r="L221" s="46" t="str">
        <f aca="false">IF($H221="","",'Survey Response'!$L219)</f>
        <v/>
      </c>
      <c r="M221" s="46" t="str">
        <f aca="false">IF($L221="","",IF(COUNTIF('Skill Mapping'!$A$2:$A$7,TRIM($L221))=0,"",INDEX('Skill Mapping'!$B$2:$B$7,MATCH(TRIM($L221),'Skill Mapping'!$A$2:$A$7,0))))</f>
        <v/>
      </c>
      <c r="N221" s="46" t="str">
        <f aca="false">IF($H221="","",'Survey Response'!$M219)</f>
        <v/>
      </c>
      <c r="O221" s="46" t="str">
        <f aca="false">IF($H221="","",IF('Survey Response'!$M219="Manager","R2","R1"))</f>
        <v/>
      </c>
      <c r="P221" s="46" t="str">
        <f aca="false">IF($K221="","No",IF(COUNTIFS(MasterPanel!$B:$B,$H221,MasterPanel!$I:$I,$K221,MasterPanel!$K:$K,"Y")&gt;0,"Yes","No"))</f>
        <v>No</v>
      </c>
      <c r="Q221" s="46" t="n">
        <f aca="false">IF($K221="",0,IF(COUNTIF('Gap Sheet'!$A$6:$A$11,TRIM($J221))=0,0,IF($O221="R1",INDEX('Gap Sheet'!$C$6:$C$11,MATCH(TRIM($J221),'Gap Sheet'!$A$6:$A$11,0)),INDEX('Gap Sheet'!$G$6:$G$11,MATCH(TRIM($J221),'Gap Sheet'!$A$6:$A$11,0)))))</f>
        <v>0</v>
      </c>
      <c r="R221" s="46" t="str">
        <f aca="false">IF($K221="","",$K221&amp;"|"&amp;$O221)</f>
        <v/>
      </c>
      <c r="S221" s="46" t="n">
        <f aca="false">IF($R221="",0,COUNTIF($AA$4:$AA220,$R221))</f>
        <v>0</v>
      </c>
      <c r="T221" s="46" t="str">
        <f aca="false">IF(OR($I221&lt;&gt;"Yes, I'm available for in-person interviews at Chennai",$E221&lt;&gt;"Yes",$P221&lt;&gt;"Yes"),"No",IF(($Q221-$S221)&gt;0,"Yes","No"))</f>
        <v>No</v>
      </c>
      <c r="U221" s="46" t="str">
        <f aca="false">IF($M221="","No",IF(COUNTIFS(MasterPanel!$B:$B,$H221,MasterPanel!$I:$I,$M221,MasterPanel!$K:$K,"Y")&gt;0,"Yes","No"))</f>
        <v>No</v>
      </c>
      <c r="V221" s="46" t="n">
        <f aca="false">IF($M221="",0,IF(COUNTIF('Gap Sheet'!$A$6:$A$11,TRIM($L221))=0,0,IF($O221="R1",INDEX('Gap Sheet'!$C$6:$C$11,MATCH(TRIM($L221),'Gap Sheet'!$A$6:$A$11,0)),INDEX('Gap Sheet'!$G$6:$G$11,MATCH(TRIM($L221),'Gap Sheet'!$A$6:$A$11,0)))))</f>
        <v>0</v>
      </c>
      <c r="W221" s="46" t="str">
        <f aca="false">IF($M221="","",$M221&amp;"|"&amp;$O221)</f>
        <v/>
      </c>
      <c r="X221" s="46" t="n">
        <f aca="false">IF($W221="",0,COUNTIF($AA$4:$AA220,$W221))</f>
        <v>0</v>
      </c>
      <c r="Y221" s="46" t="str">
        <f aca="false">IF(OR($I221&lt;&gt;"Yes, I'm available for in-person interviews at Chennai",$E221&lt;&gt;"Yes",$T221="Yes",$U221&lt;&gt;"Yes"),"No",IF(($V221-$X221)&gt;0,"Yes","No"))</f>
        <v>No</v>
      </c>
      <c r="Z221" s="46" t="str">
        <f aca="false">IF($T221="Yes","Primary",IF($Y221="Yes","Secondary",""))</f>
        <v/>
      </c>
      <c r="AA221" s="46" t="str">
        <f aca="false">IF($Z221="Primary",$R221,IF($Z221="Secondary",$W221,""))</f>
        <v/>
      </c>
      <c r="AB221" s="46" t="str">
        <f aca="false">IF($Z221="Primary","Matched on primary skill",IF($Z221="Secondary","Matched on secondary skill (primary not approved or not required)",""))</f>
        <v/>
      </c>
      <c r="AC221" s="47" t="str">
        <f aca="false">IF($D221="Panel Details",$F221,"")</f>
        <v/>
      </c>
      <c r="AD221" s="46" t="str">
        <f aca="false">IF($D221="Panel Details",'Survey Response'!$D219,"")</f>
        <v/>
      </c>
      <c r="AE221" s="46" t="str">
        <f aca="false">IF($D221="Panel Details",'Survey Response'!$E219,"")</f>
        <v/>
      </c>
      <c r="AF221" s="46" t="str">
        <f aca="false">IF($D221="Panel Details",'Survey Response'!$G219,"")</f>
        <v/>
      </c>
      <c r="AG221" s="46" t="str">
        <f aca="false">IF($D221="Panel Details",IF($Z221="Primary",$J221,$L221),"")</f>
        <v/>
      </c>
      <c r="AH221" s="46" t="str">
        <f aca="false">IF($D221="Panel Details",IF($Z221="Primary",$L221,$J221),"")</f>
        <v/>
      </c>
      <c r="AI221" s="46" t="str">
        <f aca="false">IF($D221="Panel Details",'Survey Response'!$H219,"")</f>
        <v/>
      </c>
      <c r="AJ221" s="46" t="str">
        <f aca="false">IF($D221="Panel Details",'Survey Response'!$M219,"")</f>
        <v/>
      </c>
      <c r="AK221" s="46" t="str">
        <f aca="false">IF($D221="Panel Details",$O221,"")</f>
        <v/>
      </c>
      <c r="AL221" s="46" t="str">
        <f aca="false">IF($D221="Panel Details",8,"")</f>
        <v/>
      </c>
      <c r="AM221" s="46" t="str">
        <f aca="false">IF($D221="Panel Details",$AB221,"")</f>
        <v/>
      </c>
      <c r="AN221" s="46" t="str">
        <f aca="false">IF($D221="Panel Details","Yes","")</f>
        <v/>
      </c>
      <c r="AO221" s="46"/>
      <c r="AP221" s="46" t="str">
        <f aca="false">IF($D221="Followup",'Survey Response'!$D219,"")</f>
        <v/>
      </c>
      <c r="AQ221" s="46" t="str">
        <f aca="false">IF($D221="Followup",'Survey Response'!$E219,"")</f>
        <v/>
      </c>
      <c r="AR221" s="46" t="str">
        <f aca="false">IF($D221="Followup",'Survey Response'!$G219,"")</f>
        <v/>
      </c>
      <c r="AS221" s="46" t="str">
        <f aca="false">IF($D221="Followup",'Survey Response'!$H219,"")</f>
        <v/>
      </c>
      <c r="AT221" s="46" t="str">
        <f aca="false">IF($D221="Followup",'Survey Response'!$M219,"")</f>
        <v/>
      </c>
      <c r="AU221" s="46" t="str">
        <f aca="false">IF($D221="Followup",'Survey Response'!$K219,"")</f>
        <v/>
      </c>
      <c r="AV221" s="46" t="str">
        <f aca="false">IF($D221="Followup",'Survey Response'!$L219,"")</f>
        <v/>
      </c>
      <c r="AW221" s="46" t="str">
        <f aca="false">IF($D221="Followup",IF(AND($P221&lt;&gt;"Yes",$U221&lt;&gt;"Yes"),"Not approved for primary or secondary skill","Approved, but skill(s) no longer have capacity (fully staffed)"),"")</f>
        <v/>
      </c>
    </row>
    <row r="222" customFormat="false" ht="15" hidden="false" customHeight="true" outlineLevel="0" collapsed="false">
      <c r="A222" s="46" t="str">
        <f aca="false">IF('Survey Response'!$D220="","",'Survey Response'!$A220&amp;"|"&amp;LOWER(TRIM('Survey Response'!$D220)))</f>
        <v/>
      </c>
      <c r="B222" s="46" t="str">
        <f aca="false">IF($H222="","",$F222&amp;"|"&amp;$H222)</f>
        <v/>
      </c>
      <c r="C222" s="46" t="str">
        <f aca="false">IF($H222="","",$A222=$B222)</f>
        <v/>
      </c>
      <c r="D222" s="46" t="str">
        <f aca="false">IF($H222="","",IF($E222&lt;&gt;"Yes","Superseded",IF($I222&lt;&gt;"Yes, I'm available for in-person interviews at Chennai","Not Available",IF($Z222&lt;&gt;"","Panel Details","Followup"))))</f>
        <v/>
      </c>
      <c r="E222" s="46" t="str">
        <f aca="false">IF($H222="","",IF(SUMPRODUCT(($H$4:$H$503=$H222)*(($G$4:$G$503&gt;$G222)+($G$4:$G$503=$G222)*($F$4:$F$503&gt;$F222)))=0,"Yes","No"))</f>
        <v/>
      </c>
      <c r="F222" s="47" t="str">
        <f aca="false">IF('Survey Response'!$D220="","",INT('Survey Response'!$A220))</f>
        <v/>
      </c>
      <c r="G222" s="46" t="str">
        <f aca="false">IF('Survey Response'!$D220="","",'Survey Response'!$C220)</f>
        <v/>
      </c>
      <c r="H222" s="46" t="str">
        <f aca="false">IF('Survey Response'!$D220="","",LOWER(TRIM('Survey Response'!$D220)))</f>
        <v/>
      </c>
      <c r="I222" s="46" t="str">
        <f aca="false">IF($H222="","",'Survey Response'!$I220)</f>
        <v/>
      </c>
      <c r="J222" s="46" t="str">
        <f aca="false">IF($H222="","",'Survey Response'!$K220)</f>
        <v/>
      </c>
      <c r="K222" s="46" t="str">
        <f aca="false">IF($J222="","",IF(COUNTIF('Skill Mapping'!$A$2:$A$7,TRIM($J222))=0,"",INDEX('Skill Mapping'!$B$2:$B$7,MATCH(TRIM($J222),'Skill Mapping'!$A$2:$A$7,0))))</f>
        <v/>
      </c>
      <c r="L222" s="46" t="str">
        <f aca="false">IF($H222="","",'Survey Response'!$L220)</f>
        <v/>
      </c>
      <c r="M222" s="46" t="str">
        <f aca="false">IF($L222="","",IF(COUNTIF('Skill Mapping'!$A$2:$A$7,TRIM($L222))=0,"",INDEX('Skill Mapping'!$B$2:$B$7,MATCH(TRIM($L222),'Skill Mapping'!$A$2:$A$7,0))))</f>
        <v/>
      </c>
      <c r="N222" s="46" t="str">
        <f aca="false">IF($H222="","",'Survey Response'!$M220)</f>
        <v/>
      </c>
      <c r="O222" s="46" t="str">
        <f aca="false">IF($H222="","",IF('Survey Response'!$M220="Manager","R2","R1"))</f>
        <v/>
      </c>
      <c r="P222" s="46" t="str">
        <f aca="false">IF($K222="","No",IF(COUNTIFS(MasterPanel!$B:$B,$H222,MasterPanel!$I:$I,$K222,MasterPanel!$K:$K,"Y")&gt;0,"Yes","No"))</f>
        <v>No</v>
      </c>
      <c r="Q222" s="46" t="n">
        <f aca="false">IF($K222="",0,IF(COUNTIF('Gap Sheet'!$A$6:$A$11,TRIM($J222))=0,0,IF($O222="R1",INDEX('Gap Sheet'!$C$6:$C$11,MATCH(TRIM($J222),'Gap Sheet'!$A$6:$A$11,0)),INDEX('Gap Sheet'!$G$6:$G$11,MATCH(TRIM($J222),'Gap Sheet'!$A$6:$A$11,0)))))</f>
        <v>0</v>
      </c>
      <c r="R222" s="46" t="str">
        <f aca="false">IF($K222="","",$K222&amp;"|"&amp;$O222)</f>
        <v/>
      </c>
      <c r="S222" s="46" t="n">
        <f aca="false">IF($R222="",0,COUNTIF($AA$4:$AA221,$R222))</f>
        <v>0</v>
      </c>
      <c r="T222" s="46" t="str">
        <f aca="false">IF(OR($I222&lt;&gt;"Yes, I'm available for in-person interviews at Chennai",$E222&lt;&gt;"Yes",$P222&lt;&gt;"Yes"),"No",IF(($Q222-$S222)&gt;0,"Yes","No"))</f>
        <v>No</v>
      </c>
      <c r="U222" s="46" t="str">
        <f aca="false">IF($M222="","No",IF(COUNTIFS(MasterPanel!$B:$B,$H222,MasterPanel!$I:$I,$M222,MasterPanel!$K:$K,"Y")&gt;0,"Yes","No"))</f>
        <v>No</v>
      </c>
      <c r="V222" s="46" t="n">
        <f aca="false">IF($M222="",0,IF(COUNTIF('Gap Sheet'!$A$6:$A$11,TRIM($L222))=0,0,IF($O222="R1",INDEX('Gap Sheet'!$C$6:$C$11,MATCH(TRIM($L222),'Gap Sheet'!$A$6:$A$11,0)),INDEX('Gap Sheet'!$G$6:$G$11,MATCH(TRIM($L222),'Gap Sheet'!$A$6:$A$11,0)))))</f>
        <v>0</v>
      </c>
      <c r="W222" s="46" t="str">
        <f aca="false">IF($M222="","",$M222&amp;"|"&amp;$O222)</f>
        <v/>
      </c>
      <c r="X222" s="46" t="n">
        <f aca="false">IF($W222="",0,COUNTIF($AA$4:$AA221,$W222))</f>
        <v>0</v>
      </c>
      <c r="Y222" s="46" t="str">
        <f aca="false">IF(OR($I222&lt;&gt;"Yes, I'm available for in-person interviews at Chennai",$E222&lt;&gt;"Yes",$T222="Yes",$U222&lt;&gt;"Yes"),"No",IF(($V222-$X222)&gt;0,"Yes","No"))</f>
        <v>No</v>
      </c>
      <c r="Z222" s="46" t="str">
        <f aca="false">IF($T222="Yes","Primary",IF($Y222="Yes","Secondary",""))</f>
        <v/>
      </c>
      <c r="AA222" s="46" t="str">
        <f aca="false">IF($Z222="Primary",$R222,IF($Z222="Secondary",$W222,""))</f>
        <v/>
      </c>
      <c r="AB222" s="46" t="str">
        <f aca="false">IF($Z222="Primary","Matched on primary skill",IF($Z222="Secondary","Matched on secondary skill (primary not approved or not required)",""))</f>
        <v/>
      </c>
      <c r="AC222" s="47" t="str">
        <f aca="false">IF($D222="Panel Details",$F222,"")</f>
        <v/>
      </c>
      <c r="AD222" s="46" t="str">
        <f aca="false">IF($D222="Panel Details",'Survey Response'!$D220,"")</f>
        <v/>
      </c>
      <c r="AE222" s="46" t="str">
        <f aca="false">IF($D222="Panel Details",'Survey Response'!$E220,"")</f>
        <v/>
      </c>
      <c r="AF222" s="46" t="str">
        <f aca="false">IF($D222="Panel Details",'Survey Response'!$G220,"")</f>
        <v/>
      </c>
      <c r="AG222" s="46" t="str">
        <f aca="false">IF($D222="Panel Details",IF($Z222="Primary",$J222,$L222),"")</f>
        <v/>
      </c>
      <c r="AH222" s="46" t="str">
        <f aca="false">IF($D222="Panel Details",IF($Z222="Primary",$L222,$J222),"")</f>
        <v/>
      </c>
      <c r="AI222" s="46" t="str">
        <f aca="false">IF($D222="Panel Details",'Survey Response'!$H220,"")</f>
        <v/>
      </c>
      <c r="AJ222" s="46" t="str">
        <f aca="false">IF($D222="Panel Details",'Survey Response'!$M220,"")</f>
        <v/>
      </c>
      <c r="AK222" s="46" t="str">
        <f aca="false">IF($D222="Panel Details",$O222,"")</f>
        <v/>
      </c>
      <c r="AL222" s="46" t="str">
        <f aca="false">IF($D222="Panel Details",8,"")</f>
        <v/>
      </c>
      <c r="AM222" s="46" t="str">
        <f aca="false">IF($D222="Panel Details",$AB222,"")</f>
        <v/>
      </c>
      <c r="AN222" s="46" t="str">
        <f aca="false">IF($D222="Panel Details","Yes","")</f>
        <v/>
      </c>
      <c r="AO222" s="46"/>
      <c r="AP222" s="46" t="str">
        <f aca="false">IF($D222="Followup",'Survey Response'!$D220,"")</f>
        <v/>
      </c>
      <c r="AQ222" s="46" t="str">
        <f aca="false">IF($D222="Followup",'Survey Response'!$E220,"")</f>
        <v/>
      </c>
      <c r="AR222" s="46" t="str">
        <f aca="false">IF($D222="Followup",'Survey Response'!$G220,"")</f>
        <v/>
      </c>
      <c r="AS222" s="46" t="str">
        <f aca="false">IF($D222="Followup",'Survey Response'!$H220,"")</f>
        <v/>
      </c>
      <c r="AT222" s="46" t="str">
        <f aca="false">IF($D222="Followup",'Survey Response'!$M220,"")</f>
        <v/>
      </c>
      <c r="AU222" s="46" t="str">
        <f aca="false">IF($D222="Followup",'Survey Response'!$K220,"")</f>
        <v/>
      </c>
      <c r="AV222" s="46" t="str">
        <f aca="false">IF($D222="Followup",'Survey Response'!$L220,"")</f>
        <v/>
      </c>
      <c r="AW222" s="46" t="str">
        <f aca="false">IF($D222="Followup",IF(AND($P222&lt;&gt;"Yes",$U222&lt;&gt;"Yes"),"Not approved for primary or secondary skill","Approved, but skill(s) no longer have capacity (fully staffed)"),"")</f>
        <v/>
      </c>
    </row>
    <row r="223" customFormat="false" ht="15" hidden="false" customHeight="true" outlineLevel="0" collapsed="false">
      <c r="A223" s="46" t="str">
        <f aca="false">IF('Survey Response'!$D221="","",'Survey Response'!$A221&amp;"|"&amp;LOWER(TRIM('Survey Response'!$D221)))</f>
        <v/>
      </c>
      <c r="B223" s="46" t="str">
        <f aca="false">IF($H223="","",$F223&amp;"|"&amp;$H223)</f>
        <v/>
      </c>
      <c r="C223" s="46" t="str">
        <f aca="false">IF($H223="","",$A223=$B223)</f>
        <v/>
      </c>
      <c r="D223" s="46" t="str">
        <f aca="false">IF($H223="","",IF($E223&lt;&gt;"Yes","Superseded",IF($I223&lt;&gt;"Yes, I'm available for in-person interviews at Chennai","Not Available",IF($Z223&lt;&gt;"","Panel Details","Followup"))))</f>
        <v/>
      </c>
      <c r="E223" s="46" t="str">
        <f aca="false">IF($H223="","",IF(SUMPRODUCT(($H$4:$H$503=$H223)*(($G$4:$G$503&gt;$G223)+($G$4:$G$503=$G223)*($F$4:$F$503&gt;$F223)))=0,"Yes","No"))</f>
        <v/>
      </c>
      <c r="F223" s="47" t="str">
        <f aca="false">IF('Survey Response'!$D221="","",INT('Survey Response'!$A221))</f>
        <v/>
      </c>
      <c r="G223" s="46" t="str">
        <f aca="false">IF('Survey Response'!$D221="","",'Survey Response'!$C221)</f>
        <v/>
      </c>
      <c r="H223" s="46" t="str">
        <f aca="false">IF('Survey Response'!$D221="","",LOWER(TRIM('Survey Response'!$D221)))</f>
        <v/>
      </c>
      <c r="I223" s="46" t="str">
        <f aca="false">IF($H223="","",'Survey Response'!$I221)</f>
        <v/>
      </c>
      <c r="J223" s="46" t="str">
        <f aca="false">IF($H223="","",'Survey Response'!$K221)</f>
        <v/>
      </c>
      <c r="K223" s="46" t="str">
        <f aca="false">IF($J223="","",IF(COUNTIF('Skill Mapping'!$A$2:$A$7,TRIM($J223))=0,"",INDEX('Skill Mapping'!$B$2:$B$7,MATCH(TRIM($J223),'Skill Mapping'!$A$2:$A$7,0))))</f>
        <v/>
      </c>
      <c r="L223" s="46" t="str">
        <f aca="false">IF($H223="","",'Survey Response'!$L221)</f>
        <v/>
      </c>
      <c r="M223" s="46" t="str">
        <f aca="false">IF($L223="","",IF(COUNTIF('Skill Mapping'!$A$2:$A$7,TRIM($L223))=0,"",INDEX('Skill Mapping'!$B$2:$B$7,MATCH(TRIM($L223),'Skill Mapping'!$A$2:$A$7,0))))</f>
        <v/>
      </c>
      <c r="N223" s="46" t="str">
        <f aca="false">IF($H223="","",'Survey Response'!$M221)</f>
        <v/>
      </c>
      <c r="O223" s="46" t="str">
        <f aca="false">IF($H223="","",IF('Survey Response'!$M221="Manager","R2","R1"))</f>
        <v/>
      </c>
      <c r="P223" s="46" t="str">
        <f aca="false">IF($K223="","No",IF(COUNTIFS(MasterPanel!$B:$B,$H223,MasterPanel!$I:$I,$K223,MasterPanel!$K:$K,"Y")&gt;0,"Yes","No"))</f>
        <v>No</v>
      </c>
      <c r="Q223" s="46" t="n">
        <f aca="false">IF($K223="",0,IF(COUNTIF('Gap Sheet'!$A$6:$A$11,TRIM($J223))=0,0,IF($O223="R1",INDEX('Gap Sheet'!$C$6:$C$11,MATCH(TRIM($J223),'Gap Sheet'!$A$6:$A$11,0)),INDEX('Gap Sheet'!$G$6:$G$11,MATCH(TRIM($J223),'Gap Sheet'!$A$6:$A$11,0)))))</f>
        <v>0</v>
      </c>
      <c r="R223" s="46" t="str">
        <f aca="false">IF($K223="","",$K223&amp;"|"&amp;$O223)</f>
        <v/>
      </c>
      <c r="S223" s="46" t="n">
        <f aca="false">IF($R223="",0,COUNTIF($AA$4:$AA222,$R223))</f>
        <v>0</v>
      </c>
      <c r="T223" s="46" t="str">
        <f aca="false">IF(OR($I223&lt;&gt;"Yes, I'm available for in-person interviews at Chennai",$E223&lt;&gt;"Yes",$P223&lt;&gt;"Yes"),"No",IF(($Q223-$S223)&gt;0,"Yes","No"))</f>
        <v>No</v>
      </c>
      <c r="U223" s="46" t="str">
        <f aca="false">IF($M223="","No",IF(COUNTIFS(MasterPanel!$B:$B,$H223,MasterPanel!$I:$I,$M223,MasterPanel!$K:$K,"Y")&gt;0,"Yes","No"))</f>
        <v>No</v>
      </c>
      <c r="V223" s="46" t="n">
        <f aca="false">IF($M223="",0,IF(COUNTIF('Gap Sheet'!$A$6:$A$11,TRIM($L223))=0,0,IF($O223="R1",INDEX('Gap Sheet'!$C$6:$C$11,MATCH(TRIM($L223),'Gap Sheet'!$A$6:$A$11,0)),INDEX('Gap Sheet'!$G$6:$G$11,MATCH(TRIM($L223),'Gap Sheet'!$A$6:$A$11,0)))))</f>
        <v>0</v>
      </c>
      <c r="W223" s="46" t="str">
        <f aca="false">IF($M223="","",$M223&amp;"|"&amp;$O223)</f>
        <v/>
      </c>
      <c r="X223" s="46" t="n">
        <f aca="false">IF($W223="",0,COUNTIF($AA$4:$AA222,$W223))</f>
        <v>0</v>
      </c>
      <c r="Y223" s="46" t="str">
        <f aca="false">IF(OR($I223&lt;&gt;"Yes, I'm available for in-person interviews at Chennai",$E223&lt;&gt;"Yes",$T223="Yes",$U223&lt;&gt;"Yes"),"No",IF(($V223-$X223)&gt;0,"Yes","No"))</f>
        <v>No</v>
      </c>
      <c r="Z223" s="46" t="str">
        <f aca="false">IF($T223="Yes","Primary",IF($Y223="Yes","Secondary",""))</f>
        <v/>
      </c>
      <c r="AA223" s="46" t="str">
        <f aca="false">IF($Z223="Primary",$R223,IF($Z223="Secondary",$W223,""))</f>
        <v/>
      </c>
      <c r="AB223" s="46" t="str">
        <f aca="false">IF($Z223="Primary","Matched on primary skill",IF($Z223="Secondary","Matched on secondary skill (primary not approved or not required)",""))</f>
        <v/>
      </c>
      <c r="AC223" s="47" t="str">
        <f aca="false">IF($D223="Panel Details",$F223,"")</f>
        <v/>
      </c>
      <c r="AD223" s="46" t="str">
        <f aca="false">IF($D223="Panel Details",'Survey Response'!$D221,"")</f>
        <v/>
      </c>
      <c r="AE223" s="46" t="str">
        <f aca="false">IF($D223="Panel Details",'Survey Response'!$E221,"")</f>
        <v/>
      </c>
      <c r="AF223" s="46" t="str">
        <f aca="false">IF($D223="Panel Details",'Survey Response'!$G221,"")</f>
        <v/>
      </c>
      <c r="AG223" s="46" t="str">
        <f aca="false">IF($D223="Panel Details",IF($Z223="Primary",$J223,$L223),"")</f>
        <v/>
      </c>
      <c r="AH223" s="46" t="str">
        <f aca="false">IF($D223="Panel Details",IF($Z223="Primary",$L223,$J223),"")</f>
        <v/>
      </c>
      <c r="AI223" s="46" t="str">
        <f aca="false">IF($D223="Panel Details",'Survey Response'!$H221,"")</f>
        <v/>
      </c>
      <c r="AJ223" s="46" t="str">
        <f aca="false">IF($D223="Panel Details",'Survey Response'!$M221,"")</f>
        <v/>
      </c>
      <c r="AK223" s="46" t="str">
        <f aca="false">IF($D223="Panel Details",$O223,"")</f>
        <v/>
      </c>
      <c r="AL223" s="46" t="str">
        <f aca="false">IF($D223="Panel Details",8,"")</f>
        <v/>
      </c>
      <c r="AM223" s="46" t="str">
        <f aca="false">IF($D223="Panel Details",$AB223,"")</f>
        <v/>
      </c>
      <c r="AN223" s="46" t="str">
        <f aca="false">IF($D223="Panel Details","Yes","")</f>
        <v/>
      </c>
      <c r="AO223" s="46"/>
      <c r="AP223" s="46" t="str">
        <f aca="false">IF($D223="Followup",'Survey Response'!$D221,"")</f>
        <v/>
      </c>
      <c r="AQ223" s="46" t="str">
        <f aca="false">IF($D223="Followup",'Survey Response'!$E221,"")</f>
        <v/>
      </c>
      <c r="AR223" s="46" t="str">
        <f aca="false">IF($D223="Followup",'Survey Response'!$G221,"")</f>
        <v/>
      </c>
      <c r="AS223" s="46" t="str">
        <f aca="false">IF($D223="Followup",'Survey Response'!$H221,"")</f>
        <v/>
      </c>
      <c r="AT223" s="46" t="str">
        <f aca="false">IF($D223="Followup",'Survey Response'!$M221,"")</f>
        <v/>
      </c>
      <c r="AU223" s="46" t="str">
        <f aca="false">IF($D223="Followup",'Survey Response'!$K221,"")</f>
        <v/>
      </c>
      <c r="AV223" s="46" t="str">
        <f aca="false">IF($D223="Followup",'Survey Response'!$L221,"")</f>
        <v/>
      </c>
      <c r="AW223" s="46" t="str">
        <f aca="false">IF($D223="Followup",IF(AND($P223&lt;&gt;"Yes",$U223&lt;&gt;"Yes"),"Not approved for primary or secondary skill","Approved, but skill(s) no longer have capacity (fully staffed)"),"")</f>
        <v/>
      </c>
    </row>
    <row r="224" customFormat="false" ht="15" hidden="false" customHeight="true" outlineLevel="0" collapsed="false">
      <c r="A224" s="46" t="str">
        <f aca="false">IF('Survey Response'!$D222="","",'Survey Response'!$A222&amp;"|"&amp;LOWER(TRIM('Survey Response'!$D222)))</f>
        <v/>
      </c>
      <c r="B224" s="46" t="str">
        <f aca="false">IF($H224="","",$F224&amp;"|"&amp;$H224)</f>
        <v/>
      </c>
      <c r="C224" s="46" t="str">
        <f aca="false">IF($H224="","",$A224=$B224)</f>
        <v/>
      </c>
      <c r="D224" s="46" t="str">
        <f aca="false">IF($H224="","",IF($E224&lt;&gt;"Yes","Superseded",IF($I224&lt;&gt;"Yes, I'm available for in-person interviews at Chennai","Not Available",IF($Z224&lt;&gt;"","Panel Details","Followup"))))</f>
        <v/>
      </c>
      <c r="E224" s="46" t="str">
        <f aca="false">IF($H224="","",IF(SUMPRODUCT(($H$4:$H$503=$H224)*(($G$4:$G$503&gt;$G224)+($G$4:$G$503=$G224)*($F$4:$F$503&gt;$F224)))=0,"Yes","No"))</f>
        <v/>
      </c>
      <c r="F224" s="47" t="str">
        <f aca="false">IF('Survey Response'!$D222="","",INT('Survey Response'!$A222))</f>
        <v/>
      </c>
      <c r="G224" s="46" t="str">
        <f aca="false">IF('Survey Response'!$D222="","",'Survey Response'!$C222)</f>
        <v/>
      </c>
      <c r="H224" s="46" t="str">
        <f aca="false">IF('Survey Response'!$D222="","",LOWER(TRIM('Survey Response'!$D222)))</f>
        <v/>
      </c>
      <c r="I224" s="46" t="str">
        <f aca="false">IF($H224="","",'Survey Response'!$I222)</f>
        <v/>
      </c>
      <c r="J224" s="46" t="str">
        <f aca="false">IF($H224="","",'Survey Response'!$K222)</f>
        <v/>
      </c>
      <c r="K224" s="46" t="str">
        <f aca="false">IF($J224="","",IF(COUNTIF('Skill Mapping'!$A$2:$A$7,TRIM($J224))=0,"",INDEX('Skill Mapping'!$B$2:$B$7,MATCH(TRIM($J224),'Skill Mapping'!$A$2:$A$7,0))))</f>
        <v/>
      </c>
      <c r="L224" s="46" t="str">
        <f aca="false">IF($H224="","",'Survey Response'!$L222)</f>
        <v/>
      </c>
      <c r="M224" s="46" t="str">
        <f aca="false">IF($L224="","",IF(COUNTIF('Skill Mapping'!$A$2:$A$7,TRIM($L224))=0,"",INDEX('Skill Mapping'!$B$2:$B$7,MATCH(TRIM($L224),'Skill Mapping'!$A$2:$A$7,0))))</f>
        <v/>
      </c>
      <c r="N224" s="46" t="str">
        <f aca="false">IF($H224="","",'Survey Response'!$M222)</f>
        <v/>
      </c>
      <c r="O224" s="46" t="str">
        <f aca="false">IF($H224="","",IF('Survey Response'!$M222="Manager","R2","R1"))</f>
        <v/>
      </c>
      <c r="P224" s="46" t="str">
        <f aca="false">IF($K224="","No",IF(COUNTIFS(MasterPanel!$B:$B,$H224,MasterPanel!$I:$I,$K224,MasterPanel!$K:$K,"Y")&gt;0,"Yes","No"))</f>
        <v>No</v>
      </c>
      <c r="Q224" s="46" t="n">
        <f aca="false">IF($K224="",0,IF(COUNTIF('Gap Sheet'!$A$6:$A$11,TRIM($J224))=0,0,IF($O224="R1",INDEX('Gap Sheet'!$C$6:$C$11,MATCH(TRIM($J224),'Gap Sheet'!$A$6:$A$11,0)),INDEX('Gap Sheet'!$G$6:$G$11,MATCH(TRIM($J224),'Gap Sheet'!$A$6:$A$11,0)))))</f>
        <v>0</v>
      </c>
      <c r="R224" s="46" t="str">
        <f aca="false">IF($K224="","",$K224&amp;"|"&amp;$O224)</f>
        <v/>
      </c>
      <c r="S224" s="46" t="n">
        <f aca="false">IF($R224="",0,COUNTIF($AA$4:$AA223,$R224))</f>
        <v>0</v>
      </c>
      <c r="T224" s="46" t="str">
        <f aca="false">IF(OR($I224&lt;&gt;"Yes, I'm available for in-person interviews at Chennai",$E224&lt;&gt;"Yes",$P224&lt;&gt;"Yes"),"No",IF(($Q224-$S224)&gt;0,"Yes","No"))</f>
        <v>No</v>
      </c>
      <c r="U224" s="46" t="str">
        <f aca="false">IF($M224="","No",IF(COUNTIFS(MasterPanel!$B:$B,$H224,MasterPanel!$I:$I,$M224,MasterPanel!$K:$K,"Y")&gt;0,"Yes","No"))</f>
        <v>No</v>
      </c>
      <c r="V224" s="46" t="n">
        <f aca="false">IF($M224="",0,IF(COUNTIF('Gap Sheet'!$A$6:$A$11,TRIM($L224))=0,0,IF($O224="R1",INDEX('Gap Sheet'!$C$6:$C$11,MATCH(TRIM($L224),'Gap Sheet'!$A$6:$A$11,0)),INDEX('Gap Sheet'!$G$6:$G$11,MATCH(TRIM($L224),'Gap Sheet'!$A$6:$A$11,0)))))</f>
        <v>0</v>
      </c>
      <c r="W224" s="46" t="str">
        <f aca="false">IF($M224="","",$M224&amp;"|"&amp;$O224)</f>
        <v/>
      </c>
      <c r="X224" s="46" t="n">
        <f aca="false">IF($W224="",0,COUNTIF($AA$4:$AA223,$W224))</f>
        <v>0</v>
      </c>
      <c r="Y224" s="46" t="str">
        <f aca="false">IF(OR($I224&lt;&gt;"Yes, I'm available for in-person interviews at Chennai",$E224&lt;&gt;"Yes",$T224="Yes",$U224&lt;&gt;"Yes"),"No",IF(($V224-$X224)&gt;0,"Yes","No"))</f>
        <v>No</v>
      </c>
      <c r="Z224" s="46" t="str">
        <f aca="false">IF($T224="Yes","Primary",IF($Y224="Yes","Secondary",""))</f>
        <v/>
      </c>
      <c r="AA224" s="46" t="str">
        <f aca="false">IF($Z224="Primary",$R224,IF($Z224="Secondary",$W224,""))</f>
        <v/>
      </c>
      <c r="AB224" s="46" t="str">
        <f aca="false">IF($Z224="Primary","Matched on primary skill",IF($Z224="Secondary","Matched on secondary skill (primary not approved or not required)",""))</f>
        <v/>
      </c>
      <c r="AC224" s="47" t="str">
        <f aca="false">IF($D224="Panel Details",$F224,"")</f>
        <v/>
      </c>
      <c r="AD224" s="46" t="str">
        <f aca="false">IF($D224="Panel Details",'Survey Response'!$D222,"")</f>
        <v/>
      </c>
      <c r="AE224" s="46" t="str">
        <f aca="false">IF($D224="Panel Details",'Survey Response'!$E222,"")</f>
        <v/>
      </c>
      <c r="AF224" s="46" t="str">
        <f aca="false">IF($D224="Panel Details",'Survey Response'!$G222,"")</f>
        <v/>
      </c>
      <c r="AG224" s="46" t="str">
        <f aca="false">IF($D224="Panel Details",IF($Z224="Primary",$J224,$L224),"")</f>
        <v/>
      </c>
      <c r="AH224" s="46" t="str">
        <f aca="false">IF($D224="Panel Details",IF($Z224="Primary",$L224,$J224),"")</f>
        <v/>
      </c>
      <c r="AI224" s="46" t="str">
        <f aca="false">IF($D224="Panel Details",'Survey Response'!$H222,"")</f>
        <v/>
      </c>
      <c r="AJ224" s="46" t="str">
        <f aca="false">IF($D224="Panel Details",'Survey Response'!$M222,"")</f>
        <v/>
      </c>
      <c r="AK224" s="46" t="str">
        <f aca="false">IF($D224="Panel Details",$O224,"")</f>
        <v/>
      </c>
      <c r="AL224" s="46" t="str">
        <f aca="false">IF($D224="Panel Details",8,"")</f>
        <v/>
      </c>
      <c r="AM224" s="46" t="str">
        <f aca="false">IF($D224="Panel Details",$AB224,"")</f>
        <v/>
      </c>
      <c r="AN224" s="46" t="str">
        <f aca="false">IF($D224="Panel Details","Yes","")</f>
        <v/>
      </c>
      <c r="AO224" s="46"/>
      <c r="AP224" s="46" t="str">
        <f aca="false">IF($D224="Followup",'Survey Response'!$D222,"")</f>
        <v/>
      </c>
      <c r="AQ224" s="46" t="str">
        <f aca="false">IF($D224="Followup",'Survey Response'!$E222,"")</f>
        <v/>
      </c>
      <c r="AR224" s="46" t="str">
        <f aca="false">IF($D224="Followup",'Survey Response'!$G222,"")</f>
        <v/>
      </c>
      <c r="AS224" s="46" t="str">
        <f aca="false">IF($D224="Followup",'Survey Response'!$H222,"")</f>
        <v/>
      </c>
      <c r="AT224" s="46" t="str">
        <f aca="false">IF($D224="Followup",'Survey Response'!$M222,"")</f>
        <v/>
      </c>
      <c r="AU224" s="46" t="str">
        <f aca="false">IF($D224="Followup",'Survey Response'!$K222,"")</f>
        <v/>
      </c>
      <c r="AV224" s="46" t="str">
        <f aca="false">IF($D224="Followup",'Survey Response'!$L222,"")</f>
        <v/>
      </c>
      <c r="AW224" s="46" t="str">
        <f aca="false">IF($D224="Followup",IF(AND($P224&lt;&gt;"Yes",$U224&lt;&gt;"Yes"),"Not approved for primary or secondary skill","Approved, but skill(s) no longer have capacity (fully staffed)"),"")</f>
        <v/>
      </c>
    </row>
    <row r="225" customFormat="false" ht="15" hidden="false" customHeight="true" outlineLevel="0" collapsed="false">
      <c r="A225" s="46" t="str">
        <f aca="false">IF('Survey Response'!$D223="","",'Survey Response'!$A223&amp;"|"&amp;LOWER(TRIM('Survey Response'!$D223)))</f>
        <v/>
      </c>
      <c r="B225" s="46" t="str">
        <f aca="false">IF($H225="","",$F225&amp;"|"&amp;$H225)</f>
        <v/>
      </c>
      <c r="C225" s="46" t="str">
        <f aca="false">IF($H225="","",$A225=$B225)</f>
        <v/>
      </c>
      <c r="D225" s="46" t="str">
        <f aca="false">IF($H225="","",IF($E225&lt;&gt;"Yes","Superseded",IF($I225&lt;&gt;"Yes, I'm available for in-person interviews at Chennai","Not Available",IF($Z225&lt;&gt;"","Panel Details","Followup"))))</f>
        <v/>
      </c>
      <c r="E225" s="46" t="str">
        <f aca="false">IF($H225="","",IF(SUMPRODUCT(($H$4:$H$503=$H225)*(($G$4:$G$503&gt;$G225)+($G$4:$G$503=$G225)*($F$4:$F$503&gt;$F225)))=0,"Yes","No"))</f>
        <v/>
      </c>
      <c r="F225" s="47" t="str">
        <f aca="false">IF('Survey Response'!$D223="","",INT('Survey Response'!$A223))</f>
        <v/>
      </c>
      <c r="G225" s="46" t="str">
        <f aca="false">IF('Survey Response'!$D223="","",'Survey Response'!$C223)</f>
        <v/>
      </c>
      <c r="H225" s="46" t="str">
        <f aca="false">IF('Survey Response'!$D223="","",LOWER(TRIM('Survey Response'!$D223)))</f>
        <v/>
      </c>
      <c r="I225" s="46" t="str">
        <f aca="false">IF($H225="","",'Survey Response'!$I223)</f>
        <v/>
      </c>
      <c r="J225" s="46" t="str">
        <f aca="false">IF($H225="","",'Survey Response'!$K223)</f>
        <v/>
      </c>
      <c r="K225" s="46" t="str">
        <f aca="false">IF($J225="","",IF(COUNTIF('Skill Mapping'!$A$2:$A$7,TRIM($J225))=0,"",INDEX('Skill Mapping'!$B$2:$B$7,MATCH(TRIM($J225),'Skill Mapping'!$A$2:$A$7,0))))</f>
        <v/>
      </c>
      <c r="L225" s="46" t="str">
        <f aca="false">IF($H225="","",'Survey Response'!$L223)</f>
        <v/>
      </c>
      <c r="M225" s="46" t="str">
        <f aca="false">IF($L225="","",IF(COUNTIF('Skill Mapping'!$A$2:$A$7,TRIM($L225))=0,"",INDEX('Skill Mapping'!$B$2:$B$7,MATCH(TRIM($L225),'Skill Mapping'!$A$2:$A$7,0))))</f>
        <v/>
      </c>
      <c r="N225" s="46" t="str">
        <f aca="false">IF($H225="","",'Survey Response'!$M223)</f>
        <v/>
      </c>
      <c r="O225" s="46" t="str">
        <f aca="false">IF($H225="","",IF('Survey Response'!$M223="Manager","R2","R1"))</f>
        <v/>
      </c>
      <c r="P225" s="46" t="str">
        <f aca="false">IF($K225="","No",IF(COUNTIFS(MasterPanel!$B:$B,$H225,MasterPanel!$I:$I,$K225,MasterPanel!$K:$K,"Y")&gt;0,"Yes","No"))</f>
        <v>No</v>
      </c>
      <c r="Q225" s="46" t="n">
        <f aca="false">IF($K225="",0,IF(COUNTIF('Gap Sheet'!$A$6:$A$11,TRIM($J225))=0,0,IF($O225="R1",INDEX('Gap Sheet'!$C$6:$C$11,MATCH(TRIM($J225),'Gap Sheet'!$A$6:$A$11,0)),INDEX('Gap Sheet'!$G$6:$G$11,MATCH(TRIM($J225),'Gap Sheet'!$A$6:$A$11,0)))))</f>
        <v>0</v>
      </c>
      <c r="R225" s="46" t="str">
        <f aca="false">IF($K225="","",$K225&amp;"|"&amp;$O225)</f>
        <v/>
      </c>
      <c r="S225" s="46" t="n">
        <f aca="false">IF($R225="",0,COUNTIF($AA$4:$AA224,$R225))</f>
        <v>0</v>
      </c>
      <c r="T225" s="46" t="str">
        <f aca="false">IF(OR($I225&lt;&gt;"Yes, I'm available for in-person interviews at Chennai",$E225&lt;&gt;"Yes",$P225&lt;&gt;"Yes"),"No",IF(($Q225-$S225)&gt;0,"Yes","No"))</f>
        <v>No</v>
      </c>
      <c r="U225" s="46" t="str">
        <f aca="false">IF($M225="","No",IF(COUNTIFS(MasterPanel!$B:$B,$H225,MasterPanel!$I:$I,$M225,MasterPanel!$K:$K,"Y")&gt;0,"Yes","No"))</f>
        <v>No</v>
      </c>
      <c r="V225" s="46" t="n">
        <f aca="false">IF($M225="",0,IF(COUNTIF('Gap Sheet'!$A$6:$A$11,TRIM($L225))=0,0,IF($O225="R1",INDEX('Gap Sheet'!$C$6:$C$11,MATCH(TRIM($L225),'Gap Sheet'!$A$6:$A$11,0)),INDEX('Gap Sheet'!$G$6:$G$11,MATCH(TRIM($L225),'Gap Sheet'!$A$6:$A$11,0)))))</f>
        <v>0</v>
      </c>
      <c r="W225" s="46" t="str">
        <f aca="false">IF($M225="","",$M225&amp;"|"&amp;$O225)</f>
        <v/>
      </c>
      <c r="X225" s="46" t="n">
        <f aca="false">IF($W225="",0,COUNTIF($AA$4:$AA224,$W225))</f>
        <v>0</v>
      </c>
      <c r="Y225" s="46" t="str">
        <f aca="false">IF(OR($I225&lt;&gt;"Yes, I'm available for in-person interviews at Chennai",$E225&lt;&gt;"Yes",$T225="Yes",$U225&lt;&gt;"Yes"),"No",IF(($V225-$X225)&gt;0,"Yes","No"))</f>
        <v>No</v>
      </c>
      <c r="Z225" s="46" t="str">
        <f aca="false">IF($T225="Yes","Primary",IF($Y225="Yes","Secondary",""))</f>
        <v/>
      </c>
      <c r="AA225" s="46" t="str">
        <f aca="false">IF($Z225="Primary",$R225,IF($Z225="Secondary",$W225,""))</f>
        <v/>
      </c>
      <c r="AB225" s="46" t="str">
        <f aca="false">IF($Z225="Primary","Matched on primary skill",IF($Z225="Secondary","Matched on secondary skill (primary not approved or not required)",""))</f>
        <v/>
      </c>
      <c r="AC225" s="47" t="str">
        <f aca="false">IF($D225="Panel Details",$F225,"")</f>
        <v/>
      </c>
      <c r="AD225" s="46" t="str">
        <f aca="false">IF($D225="Panel Details",'Survey Response'!$D223,"")</f>
        <v/>
      </c>
      <c r="AE225" s="46" t="str">
        <f aca="false">IF($D225="Panel Details",'Survey Response'!$E223,"")</f>
        <v/>
      </c>
      <c r="AF225" s="46" t="str">
        <f aca="false">IF($D225="Panel Details",'Survey Response'!$G223,"")</f>
        <v/>
      </c>
      <c r="AG225" s="46" t="str">
        <f aca="false">IF($D225="Panel Details",IF($Z225="Primary",$J225,$L225),"")</f>
        <v/>
      </c>
      <c r="AH225" s="46" t="str">
        <f aca="false">IF($D225="Panel Details",IF($Z225="Primary",$L225,$J225),"")</f>
        <v/>
      </c>
      <c r="AI225" s="46" t="str">
        <f aca="false">IF($D225="Panel Details",'Survey Response'!$H223,"")</f>
        <v/>
      </c>
      <c r="AJ225" s="46" t="str">
        <f aca="false">IF($D225="Panel Details",'Survey Response'!$M223,"")</f>
        <v/>
      </c>
      <c r="AK225" s="46" t="str">
        <f aca="false">IF($D225="Panel Details",$O225,"")</f>
        <v/>
      </c>
      <c r="AL225" s="46" t="str">
        <f aca="false">IF($D225="Panel Details",8,"")</f>
        <v/>
      </c>
      <c r="AM225" s="46" t="str">
        <f aca="false">IF($D225="Panel Details",$AB225,"")</f>
        <v/>
      </c>
      <c r="AN225" s="46" t="str">
        <f aca="false">IF($D225="Panel Details","Yes","")</f>
        <v/>
      </c>
      <c r="AO225" s="46"/>
      <c r="AP225" s="46" t="str">
        <f aca="false">IF($D225="Followup",'Survey Response'!$D223,"")</f>
        <v/>
      </c>
      <c r="AQ225" s="46" t="str">
        <f aca="false">IF($D225="Followup",'Survey Response'!$E223,"")</f>
        <v/>
      </c>
      <c r="AR225" s="46" t="str">
        <f aca="false">IF($D225="Followup",'Survey Response'!$G223,"")</f>
        <v/>
      </c>
      <c r="AS225" s="46" t="str">
        <f aca="false">IF($D225="Followup",'Survey Response'!$H223,"")</f>
        <v/>
      </c>
      <c r="AT225" s="46" t="str">
        <f aca="false">IF($D225="Followup",'Survey Response'!$M223,"")</f>
        <v/>
      </c>
      <c r="AU225" s="46" t="str">
        <f aca="false">IF($D225="Followup",'Survey Response'!$K223,"")</f>
        <v/>
      </c>
      <c r="AV225" s="46" t="str">
        <f aca="false">IF($D225="Followup",'Survey Response'!$L223,"")</f>
        <v/>
      </c>
      <c r="AW225" s="46" t="str">
        <f aca="false">IF($D225="Followup",IF(AND($P225&lt;&gt;"Yes",$U225&lt;&gt;"Yes"),"Not approved for primary or secondary skill","Approved, but skill(s) no longer have capacity (fully staffed)"),"")</f>
        <v/>
      </c>
    </row>
    <row r="226" customFormat="false" ht="15" hidden="false" customHeight="true" outlineLevel="0" collapsed="false">
      <c r="A226" s="46" t="str">
        <f aca="false">IF('Survey Response'!$D224="","",'Survey Response'!$A224&amp;"|"&amp;LOWER(TRIM('Survey Response'!$D224)))</f>
        <v/>
      </c>
      <c r="B226" s="46" t="str">
        <f aca="false">IF($H226="","",$F226&amp;"|"&amp;$H226)</f>
        <v/>
      </c>
      <c r="C226" s="46" t="str">
        <f aca="false">IF($H226="","",$A226=$B226)</f>
        <v/>
      </c>
      <c r="D226" s="46" t="str">
        <f aca="false">IF($H226="","",IF($E226&lt;&gt;"Yes","Superseded",IF($I226&lt;&gt;"Yes, I'm available for in-person interviews at Chennai","Not Available",IF($Z226&lt;&gt;"","Panel Details","Followup"))))</f>
        <v/>
      </c>
      <c r="E226" s="46" t="str">
        <f aca="false">IF($H226="","",IF(SUMPRODUCT(($H$4:$H$503=$H226)*(($G$4:$G$503&gt;$G226)+($G$4:$G$503=$G226)*($F$4:$F$503&gt;$F226)))=0,"Yes","No"))</f>
        <v/>
      </c>
      <c r="F226" s="47" t="str">
        <f aca="false">IF('Survey Response'!$D224="","",INT('Survey Response'!$A224))</f>
        <v/>
      </c>
      <c r="G226" s="46" t="str">
        <f aca="false">IF('Survey Response'!$D224="","",'Survey Response'!$C224)</f>
        <v/>
      </c>
      <c r="H226" s="46" t="str">
        <f aca="false">IF('Survey Response'!$D224="","",LOWER(TRIM('Survey Response'!$D224)))</f>
        <v/>
      </c>
      <c r="I226" s="46" t="str">
        <f aca="false">IF($H226="","",'Survey Response'!$I224)</f>
        <v/>
      </c>
      <c r="J226" s="46" t="str">
        <f aca="false">IF($H226="","",'Survey Response'!$K224)</f>
        <v/>
      </c>
      <c r="K226" s="46" t="str">
        <f aca="false">IF($J226="","",IF(COUNTIF('Skill Mapping'!$A$2:$A$7,TRIM($J226))=0,"",INDEX('Skill Mapping'!$B$2:$B$7,MATCH(TRIM($J226),'Skill Mapping'!$A$2:$A$7,0))))</f>
        <v/>
      </c>
      <c r="L226" s="46" t="str">
        <f aca="false">IF($H226="","",'Survey Response'!$L224)</f>
        <v/>
      </c>
      <c r="M226" s="46" t="str">
        <f aca="false">IF($L226="","",IF(COUNTIF('Skill Mapping'!$A$2:$A$7,TRIM($L226))=0,"",INDEX('Skill Mapping'!$B$2:$B$7,MATCH(TRIM($L226),'Skill Mapping'!$A$2:$A$7,0))))</f>
        <v/>
      </c>
      <c r="N226" s="46" t="str">
        <f aca="false">IF($H226="","",'Survey Response'!$M224)</f>
        <v/>
      </c>
      <c r="O226" s="46" t="str">
        <f aca="false">IF($H226="","",IF('Survey Response'!$M224="Manager","R2","R1"))</f>
        <v/>
      </c>
      <c r="P226" s="46" t="str">
        <f aca="false">IF($K226="","No",IF(COUNTIFS(MasterPanel!$B:$B,$H226,MasterPanel!$I:$I,$K226,MasterPanel!$K:$K,"Y")&gt;0,"Yes","No"))</f>
        <v>No</v>
      </c>
      <c r="Q226" s="46" t="n">
        <f aca="false">IF($K226="",0,IF(COUNTIF('Gap Sheet'!$A$6:$A$11,TRIM($J226))=0,0,IF($O226="R1",INDEX('Gap Sheet'!$C$6:$C$11,MATCH(TRIM($J226),'Gap Sheet'!$A$6:$A$11,0)),INDEX('Gap Sheet'!$G$6:$G$11,MATCH(TRIM($J226),'Gap Sheet'!$A$6:$A$11,0)))))</f>
        <v>0</v>
      </c>
      <c r="R226" s="46" t="str">
        <f aca="false">IF($K226="","",$K226&amp;"|"&amp;$O226)</f>
        <v/>
      </c>
      <c r="S226" s="46" t="n">
        <f aca="false">IF($R226="",0,COUNTIF($AA$4:$AA225,$R226))</f>
        <v>0</v>
      </c>
      <c r="T226" s="46" t="str">
        <f aca="false">IF(OR($I226&lt;&gt;"Yes, I'm available for in-person interviews at Chennai",$E226&lt;&gt;"Yes",$P226&lt;&gt;"Yes"),"No",IF(($Q226-$S226)&gt;0,"Yes","No"))</f>
        <v>No</v>
      </c>
      <c r="U226" s="46" t="str">
        <f aca="false">IF($M226="","No",IF(COUNTIFS(MasterPanel!$B:$B,$H226,MasterPanel!$I:$I,$M226,MasterPanel!$K:$K,"Y")&gt;0,"Yes","No"))</f>
        <v>No</v>
      </c>
      <c r="V226" s="46" t="n">
        <f aca="false">IF($M226="",0,IF(COUNTIF('Gap Sheet'!$A$6:$A$11,TRIM($L226))=0,0,IF($O226="R1",INDEX('Gap Sheet'!$C$6:$C$11,MATCH(TRIM($L226),'Gap Sheet'!$A$6:$A$11,0)),INDEX('Gap Sheet'!$G$6:$G$11,MATCH(TRIM($L226),'Gap Sheet'!$A$6:$A$11,0)))))</f>
        <v>0</v>
      </c>
      <c r="W226" s="46" t="str">
        <f aca="false">IF($M226="","",$M226&amp;"|"&amp;$O226)</f>
        <v/>
      </c>
      <c r="X226" s="46" t="n">
        <f aca="false">IF($W226="",0,COUNTIF($AA$4:$AA225,$W226))</f>
        <v>0</v>
      </c>
      <c r="Y226" s="46" t="str">
        <f aca="false">IF(OR($I226&lt;&gt;"Yes, I'm available for in-person interviews at Chennai",$E226&lt;&gt;"Yes",$T226="Yes",$U226&lt;&gt;"Yes"),"No",IF(($V226-$X226)&gt;0,"Yes","No"))</f>
        <v>No</v>
      </c>
      <c r="Z226" s="46" t="str">
        <f aca="false">IF($T226="Yes","Primary",IF($Y226="Yes","Secondary",""))</f>
        <v/>
      </c>
      <c r="AA226" s="46" t="str">
        <f aca="false">IF($Z226="Primary",$R226,IF($Z226="Secondary",$W226,""))</f>
        <v/>
      </c>
      <c r="AB226" s="46" t="str">
        <f aca="false">IF($Z226="Primary","Matched on primary skill",IF($Z226="Secondary","Matched on secondary skill (primary not approved or not required)",""))</f>
        <v/>
      </c>
      <c r="AC226" s="47" t="str">
        <f aca="false">IF($D226="Panel Details",$F226,"")</f>
        <v/>
      </c>
      <c r="AD226" s="46" t="str">
        <f aca="false">IF($D226="Panel Details",'Survey Response'!$D224,"")</f>
        <v/>
      </c>
      <c r="AE226" s="46" t="str">
        <f aca="false">IF($D226="Panel Details",'Survey Response'!$E224,"")</f>
        <v/>
      </c>
      <c r="AF226" s="46" t="str">
        <f aca="false">IF($D226="Panel Details",'Survey Response'!$G224,"")</f>
        <v/>
      </c>
      <c r="AG226" s="46" t="str">
        <f aca="false">IF($D226="Panel Details",IF($Z226="Primary",$J226,$L226),"")</f>
        <v/>
      </c>
      <c r="AH226" s="46" t="str">
        <f aca="false">IF($D226="Panel Details",IF($Z226="Primary",$L226,$J226),"")</f>
        <v/>
      </c>
      <c r="AI226" s="46" t="str">
        <f aca="false">IF($D226="Panel Details",'Survey Response'!$H224,"")</f>
        <v/>
      </c>
      <c r="AJ226" s="46" t="str">
        <f aca="false">IF($D226="Panel Details",'Survey Response'!$M224,"")</f>
        <v/>
      </c>
      <c r="AK226" s="46" t="str">
        <f aca="false">IF($D226="Panel Details",$O226,"")</f>
        <v/>
      </c>
      <c r="AL226" s="46" t="str">
        <f aca="false">IF($D226="Panel Details",8,"")</f>
        <v/>
      </c>
      <c r="AM226" s="46" t="str">
        <f aca="false">IF($D226="Panel Details",$AB226,"")</f>
        <v/>
      </c>
      <c r="AN226" s="46" t="str">
        <f aca="false">IF($D226="Panel Details","Yes","")</f>
        <v/>
      </c>
      <c r="AO226" s="46"/>
      <c r="AP226" s="46" t="str">
        <f aca="false">IF($D226="Followup",'Survey Response'!$D224,"")</f>
        <v/>
      </c>
      <c r="AQ226" s="46" t="str">
        <f aca="false">IF($D226="Followup",'Survey Response'!$E224,"")</f>
        <v/>
      </c>
      <c r="AR226" s="46" t="str">
        <f aca="false">IF($D226="Followup",'Survey Response'!$G224,"")</f>
        <v/>
      </c>
      <c r="AS226" s="46" t="str">
        <f aca="false">IF($D226="Followup",'Survey Response'!$H224,"")</f>
        <v/>
      </c>
      <c r="AT226" s="46" t="str">
        <f aca="false">IF($D226="Followup",'Survey Response'!$M224,"")</f>
        <v/>
      </c>
      <c r="AU226" s="46" t="str">
        <f aca="false">IF($D226="Followup",'Survey Response'!$K224,"")</f>
        <v/>
      </c>
      <c r="AV226" s="46" t="str">
        <f aca="false">IF($D226="Followup",'Survey Response'!$L224,"")</f>
        <v/>
      </c>
      <c r="AW226" s="46" t="str">
        <f aca="false">IF($D226="Followup",IF(AND($P226&lt;&gt;"Yes",$U226&lt;&gt;"Yes"),"Not approved for primary or secondary skill","Approved, but skill(s) no longer have capacity (fully staffed)"),"")</f>
        <v/>
      </c>
    </row>
    <row r="227" customFormat="false" ht="15" hidden="false" customHeight="true" outlineLevel="0" collapsed="false">
      <c r="A227" s="46" t="str">
        <f aca="false">IF('Survey Response'!$D225="","",'Survey Response'!$A225&amp;"|"&amp;LOWER(TRIM('Survey Response'!$D225)))</f>
        <v/>
      </c>
      <c r="B227" s="46" t="str">
        <f aca="false">IF($H227="","",$F227&amp;"|"&amp;$H227)</f>
        <v/>
      </c>
      <c r="C227" s="46" t="str">
        <f aca="false">IF($H227="","",$A227=$B227)</f>
        <v/>
      </c>
      <c r="D227" s="46" t="str">
        <f aca="false">IF($H227="","",IF($E227&lt;&gt;"Yes","Superseded",IF($I227&lt;&gt;"Yes, I'm available for in-person interviews at Chennai","Not Available",IF($Z227&lt;&gt;"","Panel Details","Followup"))))</f>
        <v/>
      </c>
      <c r="E227" s="46" t="str">
        <f aca="false">IF($H227="","",IF(SUMPRODUCT(($H$4:$H$503=$H227)*(($G$4:$G$503&gt;$G227)+($G$4:$G$503=$G227)*($F$4:$F$503&gt;$F227)))=0,"Yes","No"))</f>
        <v/>
      </c>
      <c r="F227" s="47" t="str">
        <f aca="false">IF('Survey Response'!$D225="","",INT('Survey Response'!$A225))</f>
        <v/>
      </c>
      <c r="G227" s="46" t="str">
        <f aca="false">IF('Survey Response'!$D225="","",'Survey Response'!$C225)</f>
        <v/>
      </c>
      <c r="H227" s="46" t="str">
        <f aca="false">IF('Survey Response'!$D225="","",LOWER(TRIM('Survey Response'!$D225)))</f>
        <v/>
      </c>
      <c r="I227" s="46" t="str">
        <f aca="false">IF($H227="","",'Survey Response'!$I225)</f>
        <v/>
      </c>
      <c r="J227" s="46" t="str">
        <f aca="false">IF($H227="","",'Survey Response'!$K225)</f>
        <v/>
      </c>
      <c r="K227" s="46" t="str">
        <f aca="false">IF($J227="","",IF(COUNTIF('Skill Mapping'!$A$2:$A$7,TRIM($J227))=0,"",INDEX('Skill Mapping'!$B$2:$B$7,MATCH(TRIM($J227),'Skill Mapping'!$A$2:$A$7,0))))</f>
        <v/>
      </c>
      <c r="L227" s="46" t="str">
        <f aca="false">IF($H227="","",'Survey Response'!$L225)</f>
        <v/>
      </c>
      <c r="M227" s="46" t="str">
        <f aca="false">IF($L227="","",IF(COUNTIF('Skill Mapping'!$A$2:$A$7,TRIM($L227))=0,"",INDEX('Skill Mapping'!$B$2:$B$7,MATCH(TRIM($L227),'Skill Mapping'!$A$2:$A$7,0))))</f>
        <v/>
      </c>
      <c r="N227" s="46" t="str">
        <f aca="false">IF($H227="","",'Survey Response'!$M225)</f>
        <v/>
      </c>
      <c r="O227" s="46" t="str">
        <f aca="false">IF($H227="","",IF('Survey Response'!$M225="Manager","R2","R1"))</f>
        <v/>
      </c>
      <c r="P227" s="46" t="str">
        <f aca="false">IF($K227="","No",IF(COUNTIFS(MasterPanel!$B:$B,$H227,MasterPanel!$I:$I,$K227,MasterPanel!$K:$K,"Y")&gt;0,"Yes","No"))</f>
        <v>No</v>
      </c>
      <c r="Q227" s="46" t="n">
        <f aca="false">IF($K227="",0,IF(COUNTIF('Gap Sheet'!$A$6:$A$11,TRIM($J227))=0,0,IF($O227="R1",INDEX('Gap Sheet'!$C$6:$C$11,MATCH(TRIM($J227),'Gap Sheet'!$A$6:$A$11,0)),INDEX('Gap Sheet'!$G$6:$G$11,MATCH(TRIM($J227),'Gap Sheet'!$A$6:$A$11,0)))))</f>
        <v>0</v>
      </c>
      <c r="R227" s="46" t="str">
        <f aca="false">IF($K227="","",$K227&amp;"|"&amp;$O227)</f>
        <v/>
      </c>
      <c r="S227" s="46" t="n">
        <f aca="false">IF($R227="",0,COUNTIF($AA$4:$AA226,$R227))</f>
        <v>0</v>
      </c>
      <c r="T227" s="46" t="str">
        <f aca="false">IF(OR($I227&lt;&gt;"Yes, I'm available for in-person interviews at Chennai",$E227&lt;&gt;"Yes",$P227&lt;&gt;"Yes"),"No",IF(($Q227-$S227)&gt;0,"Yes","No"))</f>
        <v>No</v>
      </c>
      <c r="U227" s="46" t="str">
        <f aca="false">IF($M227="","No",IF(COUNTIFS(MasterPanel!$B:$B,$H227,MasterPanel!$I:$I,$M227,MasterPanel!$K:$K,"Y")&gt;0,"Yes","No"))</f>
        <v>No</v>
      </c>
      <c r="V227" s="46" t="n">
        <f aca="false">IF($M227="",0,IF(COUNTIF('Gap Sheet'!$A$6:$A$11,TRIM($L227))=0,0,IF($O227="R1",INDEX('Gap Sheet'!$C$6:$C$11,MATCH(TRIM($L227),'Gap Sheet'!$A$6:$A$11,0)),INDEX('Gap Sheet'!$G$6:$G$11,MATCH(TRIM($L227),'Gap Sheet'!$A$6:$A$11,0)))))</f>
        <v>0</v>
      </c>
      <c r="W227" s="46" t="str">
        <f aca="false">IF($M227="","",$M227&amp;"|"&amp;$O227)</f>
        <v/>
      </c>
      <c r="X227" s="46" t="n">
        <f aca="false">IF($W227="",0,COUNTIF($AA$4:$AA226,$W227))</f>
        <v>0</v>
      </c>
      <c r="Y227" s="46" t="str">
        <f aca="false">IF(OR($I227&lt;&gt;"Yes, I'm available for in-person interviews at Chennai",$E227&lt;&gt;"Yes",$T227="Yes",$U227&lt;&gt;"Yes"),"No",IF(($V227-$X227)&gt;0,"Yes","No"))</f>
        <v>No</v>
      </c>
      <c r="Z227" s="46" t="str">
        <f aca="false">IF($T227="Yes","Primary",IF($Y227="Yes","Secondary",""))</f>
        <v/>
      </c>
      <c r="AA227" s="46" t="str">
        <f aca="false">IF($Z227="Primary",$R227,IF($Z227="Secondary",$W227,""))</f>
        <v/>
      </c>
      <c r="AB227" s="46" t="str">
        <f aca="false">IF($Z227="Primary","Matched on primary skill",IF($Z227="Secondary","Matched on secondary skill (primary not approved or not required)",""))</f>
        <v/>
      </c>
      <c r="AC227" s="47" t="str">
        <f aca="false">IF($D227="Panel Details",$F227,"")</f>
        <v/>
      </c>
      <c r="AD227" s="46" t="str">
        <f aca="false">IF($D227="Panel Details",'Survey Response'!$D225,"")</f>
        <v/>
      </c>
      <c r="AE227" s="46" t="str">
        <f aca="false">IF($D227="Panel Details",'Survey Response'!$E225,"")</f>
        <v/>
      </c>
      <c r="AF227" s="46" t="str">
        <f aca="false">IF($D227="Panel Details",'Survey Response'!$G225,"")</f>
        <v/>
      </c>
      <c r="AG227" s="46" t="str">
        <f aca="false">IF($D227="Panel Details",IF($Z227="Primary",$J227,$L227),"")</f>
        <v/>
      </c>
      <c r="AH227" s="46" t="str">
        <f aca="false">IF($D227="Panel Details",IF($Z227="Primary",$L227,$J227),"")</f>
        <v/>
      </c>
      <c r="AI227" s="46" t="str">
        <f aca="false">IF($D227="Panel Details",'Survey Response'!$H225,"")</f>
        <v/>
      </c>
      <c r="AJ227" s="46" t="str">
        <f aca="false">IF($D227="Panel Details",'Survey Response'!$M225,"")</f>
        <v/>
      </c>
      <c r="AK227" s="46" t="str">
        <f aca="false">IF($D227="Panel Details",$O227,"")</f>
        <v/>
      </c>
      <c r="AL227" s="46" t="str">
        <f aca="false">IF($D227="Panel Details",8,"")</f>
        <v/>
      </c>
      <c r="AM227" s="46" t="str">
        <f aca="false">IF($D227="Panel Details",$AB227,"")</f>
        <v/>
      </c>
      <c r="AN227" s="46" t="str">
        <f aca="false">IF($D227="Panel Details","Yes","")</f>
        <v/>
      </c>
      <c r="AO227" s="46"/>
      <c r="AP227" s="46" t="str">
        <f aca="false">IF($D227="Followup",'Survey Response'!$D225,"")</f>
        <v/>
      </c>
      <c r="AQ227" s="46" t="str">
        <f aca="false">IF($D227="Followup",'Survey Response'!$E225,"")</f>
        <v/>
      </c>
      <c r="AR227" s="46" t="str">
        <f aca="false">IF($D227="Followup",'Survey Response'!$G225,"")</f>
        <v/>
      </c>
      <c r="AS227" s="46" t="str">
        <f aca="false">IF($D227="Followup",'Survey Response'!$H225,"")</f>
        <v/>
      </c>
      <c r="AT227" s="46" t="str">
        <f aca="false">IF($D227="Followup",'Survey Response'!$M225,"")</f>
        <v/>
      </c>
      <c r="AU227" s="46" t="str">
        <f aca="false">IF($D227="Followup",'Survey Response'!$K225,"")</f>
        <v/>
      </c>
      <c r="AV227" s="46" t="str">
        <f aca="false">IF($D227="Followup",'Survey Response'!$L225,"")</f>
        <v/>
      </c>
      <c r="AW227" s="46" t="str">
        <f aca="false">IF($D227="Followup",IF(AND($P227&lt;&gt;"Yes",$U227&lt;&gt;"Yes"),"Not approved for primary or secondary skill","Approved, but skill(s) no longer have capacity (fully staffed)"),"")</f>
        <v/>
      </c>
    </row>
    <row r="228" customFormat="false" ht="15" hidden="false" customHeight="true" outlineLevel="0" collapsed="false">
      <c r="A228" s="46" t="str">
        <f aca="false">IF('Survey Response'!$D226="","",'Survey Response'!$A226&amp;"|"&amp;LOWER(TRIM('Survey Response'!$D226)))</f>
        <v/>
      </c>
      <c r="B228" s="46" t="str">
        <f aca="false">IF($H228="","",$F228&amp;"|"&amp;$H228)</f>
        <v/>
      </c>
      <c r="C228" s="46" t="str">
        <f aca="false">IF($H228="","",$A228=$B228)</f>
        <v/>
      </c>
      <c r="D228" s="46" t="str">
        <f aca="false">IF($H228="","",IF($E228&lt;&gt;"Yes","Superseded",IF($I228&lt;&gt;"Yes, I'm available for in-person interviews at Chennai","Not Available",IF($Z228&lt;&gt;"","Panel Details","Followup"))))</f>
        <v/>
      </c>
      <c r="E228" s="46" t="str">
        <f aca="false">IF($H228="","",IF(SUMPRODUCT(($H$4:$H$503=$H228)*(($G$4:$G$503&gt;$G228)+($G$4:$G$503=$G228)*($F$4:$F$503&gt;$F228)))=0,"Yes","No"))</f>
        <v/>
      </c>
      <c r="F228" s="47" t="str">
        <f aca="false">IF('Survey Response'!$D226="","",INT('Survey Response'!$A226))</f>
        <v/>
      </c>
      <c r="G228" s="46" t="str">
        <f aca="false">IF('Survey Response'!$D226="","",'Survey Response'!$C226)</f>
        <v/>
      </c>
      <c r="H228" s="46" t="str">
        <f aca="false">IF('Survey Response'!$D226="","",LOWER(TRIM('Survey Response'!$D226)))</f>
        <v/>
      </c>
      <c r="I228" s="46" t="str">
        <f aca="false">IF($H228="","",'Survey Response'!$I226)</f>
        <v/>
      </c>
      <c r="J228" s="46" t="str">
        <f aca="false">IF($H228="","",'Survey Response'!$K226)</f>
        <v/>
      </c>
      <c r="K228" s="46" t="str">
        <f aca="false">IF($J228="","",IF(COUNTIF('Skill Mapping'!$A$2:$A$7,TRIM($J228))=0,"",INDEX('Skill Mapping'!$B$2:$B$7,MATCH(TRIM($J228),'Skill Mapping'!$A$2:$A$7,0))))</f>
        <v/>
      </c>
      <c r="L228" s="46" t="str">
        <f aca="false">IF($H228="","",'Survey Response'!$L226)</f>
        <v/>
      </c>
      <c r="M228" s="46" t="str">
        <f aca="false">IF($L228="","",IF(COUNTIF('Skill Mapping'!$A$2:$A$7,TRIM($L228))=0,"",INDEX('Skill Mapping'!$B$2:$B$7,MATCH(TRIM($L228),'Skill Mapping'!$A$2:$A$7,0))))</f>
        <v/>
      </c>
      <c r="N228" s="46" t="str">
        <f aca="false">IF($H228="","",'Survey Response'!$M226)</f>
        <v/>
      </c>
      <c r="O228" s="46" t="str">
        <f aca="false">IF($H228="","",IF('Survey Response'!$M226="Manager","R2","R1"))</f>
        <v/>
      </c>
      <c r="P228" s="46" t="str">
        <f aca="false">IF($K228="","No",IF(COUNTIFS(MasterPanel!$B:$B,$H228,MasterPanel!$I:$I,$K228,MasterPanel!$K:$K,"Y")&gt;0,"Yes","No"))</f>
        <v>No</v>
      </c>
      <c r="Q228" s="46" t="n">
        <f aca="false">IF($K228="",0,IF(COUNTIF('Gap Sheet'!$A$6:$A$11,TRIM($J228))=0,0,IF($O228="R1",INDEX('Gap Sheet'!$C$6:$C$11,MATCH(TRIM($J228),'Gap Sheet'!$A$6:$A$11,0)),INDEX('Gap Sheet'!$G$6:$G$11,MATCH(TRIM($J228),'Gap Sheet'!$A$6:$A$11,0)))))</f>
        <v>0</v>
      </c>
      <c r="R228" s="46" t="str">
        <f aca="false">IF($K228="","",$K228&amp;"|"&amp;$O228)</f>
        <v/>
      </c>
      <c r="S228" s="46" t="n">
        <f aca="false">IF($R228="",0,COUNTIF($AA$4:$AA227,$R228))</f>
        <v>0</v>
      </c>
      <c r="T228" s="46" t="str">
        <f aca="false">IF(OR($I228&lt;&gt;"Yes, I'm available for in-person interviews at Chennai",$E228&lt;&gt;"Yes",$P228&lt;&gt;"Yes"),"No",IF(($Q228-$S228)&gt;0,"Yes","No"))</f>
        <v>No</v>
      </c>
      <c r="U228" s="46" t="str">
        <f aca="false">IF($M228="","No",IF(COUNTIFS(MasterPanel!$B:$B,$H228,MasterPanel!$I:$I,$M228,MasterPanel!$K:$K,"Y")&gt;0,"Yes","No"))</f>
        <v>No</v>
      </c>
      <c r="V228" s="46" t="n">
        <f aca="false">IF($M228="",0,IF(COUNTIF('Gap Sheet'!$A$6:$A$11,TRIM($L228))=0,0,IF($O228="R1",INDEX('Gap Sheet'!$C$6:$C$11,MATCH(TRIM($L228),'Gap Sheet'!$A$6:$A$11,0)),INDEX('Gap Sheet'!$G$6:$G$11,MATCH(TRIM($L228),'Gap Sheet'!$A$6:$A$11,0)))))</f>
        <v>0</v>
      </c>
      <c r="W228" s="46" t="str">
        <f aca="false">IF($M228="","",$M228&amp;"|"&amp;$O228)</f>
        <v/>
      </c>
      <c r="X228" s="46" t="n">
        <f aca="false">IF($W228="",0,COUNTIF($AA$4:$AA227,$W228))</f>
        <v>0</v>
      </c>
      <c r="Y228" s="46" t="str">
        <f aca="false">IF(OR($I228&lt;&gt;"Yes, I'm available for in-person interviews at Chennai",$E228&lt;&gt;"Yes",$T228="Yes",$U228&lt;&gt;"Yes"),"No",IF(($V228-$X228)&gt;0,"Yes","No"))</f>
        <v>No</v>
      </c>
      <c r="Z228" s="46" t="str">
        <f aca="false">IF($T228="Yes","Primary",IF($Y228="Yes","Secondary",""))</f>
        <v/>
      </c>
      <c r="AA228" s="46" t="str">
        <f aca="false">IF($Z228="Primary",$R228,IF($Z228="Secondary",$W228,""))</f>
        <v/>
      </c>
      <c r="AB228" s="46" t="str">
        <f aca="false">IF($Z228="Primary","Matched on primary skill",IF($Z228="Secondary","Matched on secondary skill (primary not approved or not required)",""))</f>
        <v/>
      </c>
      <c r="AC228" s="47" t="str">
        <f aca="false">IF($D228="Panel Details",$F228,"")</f>
        <v/>
      </c>
      <c r="AD228" s="46" t="str">
        <f aca="false">IF($D228="Panel Details",'Survey Response'!$D226,"")</f>
        <v/>
      </c>
      <c r="AE228" s="46" t="str">
        <f aca="false">IF($D228="Panel Details",'Survey Response'!$E226,"")</f>
        <v/>
      </c>
      <c r="AF228" s="46" t="str">
        <f aca="false">IF($D228="Panel Details",'Survey Response'!$G226,"")</f>
        <v/>
      </c>
      <c r="AG228" s="46" t="str">
        <f aca="false">IF($D228="Panel Details",IF($Z228="Primary",$J228,$L228),"")</f>
        <v/>
      </c>
      <c r="AH228" s="46" t="str">
        <f aca="false">IF($D228="Panel Details",IF($Z228="Primary",$L228,$J228),"")</f>
        <v/>
      </c>
      <c r="AI228" s="46" t="str">
        <f aca="false">IF($D228="Panel Details",'Survey Response'!$H226,"")</f>
        <v/>
      </c>
      <c r="AJ228" s="46" t="str">
        <f aca="false">IF($D228="Panel Details",'Survey Response'!$M226,"")</f>
        <v/>
      </c>
      <c r="AK228" s="46" t="str">
        <f aca="false">IF($D228="Panel Details",$O228,"")</f>
        <v/>
      </c>
      <c r="AL228" s="46" t="str">
        <f aca="false">IF($D228="Panel Details",8,"")</f>
        <v/>
      </c>
      <c r="AM228" s="46" t="str">
        <f aca="false">IF($D228="Panel Details",$AB228,"")</f>
        <v/>
      </c>
      <c r="AN228" s="46" t="str">
        <f aca="false">IF($D228="Panel Details","Yes","")</f>
        <v/>
      </c>
      <c r="AO228" s="46"/>
      <c r="AP228" s="46" t="str">
        <f aca="false">IF($D228="Followup",'Survey Response'!$D226,"")</f>
        <v/>
      </c>
      <c r="AQ228" s="46" t="str">
        <f aca="false">IF($D228="Followup",'Survey Response'!$E226,"")</f>
        <v/>
      </c>
      <c r="AR228" s="46" t="str">
        <f aca="false">IF($D228="Followup",'Survey Response'!$G226,"")</f>
        <v/>
      </c>
      <c r="AS228" s="46" t="str">
        <f aca="false">IF($D228="Followup",'Survey Response'!$H226,"")</f>
        <v/>
      </c>
      <c r="AT228" s="46" t="str">
        <f aca="false">IF($D228="Followup",'Survey Response'!$M226,"")</f>
        <v/>
      </c>
      <c r="AU228" s="46" t="str">
        <f aca="false">IF($D228="Followup",'Survey Response'!$K226,"")</f>
        <v/>
      </c>
      <c r="AV228" s="46" t="str">
        <f aca="false">IF($D228="Followup",'Survey Response'!$L226,"")</f>
        <v/>
      </c>
      <c r="AW228" s="46" t="str">
        <f aca="false">IF($D228="Followup",IF(AND($P228&lt;&gt;"Yes",$U228&lt;&gt;"Yes"),"Not approved for primary or secondary skill","Approved, but skill(s) no longer have capacity (fully staffed)"),"")</f>
        <v/>
      </c>
    </row>
    <row r="229" customFormat="false" ht="15" hidden="false" customHeight="true" outlineLevel="0" collapsed="false">
      <c r="A229" s="46" t="str">
        <f aca="false">IF('Survey Response'!$D227="","",'Survey Response'!$A227&amp;"|"&amp;LOWER(TRIM('Survey Response'!$D227)))</f>
        <v/>
      </c>
      <c r="B229" s="46" t="str">
        <f aca="false">IF($H229="","",$F229&amp;"|"&amp;$H229)</f>
        <v/>
      </c>
      <c r="C229" s="46" t="str">
        <f aca="false">IF($H229="","",$A229=$B229)</f>
        <v/>
      </c>
      <c r="D229" s="46" t="str">
        <f aca="false">IF($H229="","",IF($E229&lt;&gt;"Yes","Superseded",IF($I229&lt;&gt;"Yes, I'm available for in-person interviews at Chennai","Not Available",IF($Z229&lt;&gt;"","Panel Details","Followup"))))</f>
        <v/>
      </c>
      <c r="E229" s="46" t="str">
        <f aca="false">IF($H229="","",IF(SUMPRODUCT(($H$4:$H$503=$H229)*(($G$4:$G$503&gt;$G229)+($G$4:$G$503=$G229)*($F$4:$F$503&gt;$F229)))=0,"Yes","No"))</f>
        <v/>
      </c>
      <c r="F229" s="47" t="str">
        <f aca="false">IF('Survey Response'!$D227="","",INT('Survey Response'!$A227))</f>
        <v/>
      </c>
      <c r="G229" s="46" t="str">
        <f aca="false">IF('Survey Response'!$D227="","",'Survey Response'!$C227)</f>
        <v/>
      </c>
      <c r="H229" s="46" t="str">
        <f aca="false">IF('Survey Response'!$D227="","",LOWER(TRIM('Survey Response'!$D227)))</f>
        <v/>
      </c>
      <c r="I229" s="46" t="str">
        <f aca="false">IF($H229="","",'Survey Response'!$I227)</f>
        <v/>
      </c>
      <c r="J229" s="46" t="str">
        <f aca="false">IF($H229="","",'Survey Response'!$K227)</f>
        <v/>
      </c>
      <c r="K229" s="46" t="str">
        <f aca="false">IF($J229="","",IF(COUNTIF('Skill Mapping'!$A$2:$A$7,TRIM($J229))=0,"",INDEX('Skill Mapping'!$B$2:$B$7,MATCH(TRIM($J229),'Skill Mapping'!$A$2:$A$7,0))))</f>
        <v/>
      </c>
      <c r="L229" s="46" t="str">
        <f aca="false">IF($H229="","",'Survey Response'!$L227)</f>
        <v/>
      </c>
      <c r="M229" s="46" t="str">
        <f aca="false">IF($L229="","",IF(COUNTIF('Skill Mapping'!$A$2:$A$7,TRIM($L229))=0,"",INDEX('Skill Mapping'!$B$2:$B$7,MATCH(TRIM($L229),'Skill Mapping'!$A$2:$A$7,0))))</f>
        <v/>
      </c>
      <c r="N229" s="46" t="str">
        <f aca="false">IF($H229="","",'Survey Response'!$M227)</f>
        <v/>
      </c>
      <c r="O229" s="46" t="str">
        <f aca="false">IF($H229="","",IF('Survey Response'!$M227="Manager","R2","R1"))</f>
        <v/>
      </c>
      <c r="P229" s="46" t="str">
        <f aca="false">IF($K229="","No",IF(COUNTIFS(MasterPanel!$B:$B,$H229,MasterPanel!$I:$I,$K229,MasterPanel!$K:$K,"Y")&gt;0,"Yes","No"))</f>
        <v>No</v>
      </c>
      <c r="Q229" s="46" t="n">
        <f aca="false">IF($K229="",0,IF(COUNTIF('Gap Sheet'!$A$6:$A$11,TRIM($J229))=0,0,IF($O229="R1",INDEX('Gap Sheet'!$C$6:$C$11,MATCH(TRIM($J229),'Gap Sheet'!$A$6:$A$11,0)),INDEX('Gap Sheet'!$G$6:$G$11,MATCH(TRIM($J229),'Gap Sheet'!$A$6:$A$11,0)))))</f>
        <v>0</v>
      </c>
      <c r="R229" s="46" t="str">
        <f aca="false">IF($K229="","",$K229&amp;"|"&amp;$O229)</f>
        <v/>
      </c>
      <c r="S229" s="46" t="n">
        <f aca="false">IF($R229="",0,COUNTIF($AA$4:$AA228,$R229))</f>
        <v>0</v>
      </c>
      <c r="T229" s="46" t="str">
        <f aca="false">IF(OR($I229&lt;&gt;"Yes, I'm available for in-person interviews at Chennai",$E229&lt;&gt;"Yes",$P229&lt;&gt;"Yes"),"No",IF(($Q229-$S229)&gt;0,"Yes","No"))</f>
        <v>No</v>
      </c>
      <c r="U229" s="46" t="str">
        <f aca="false">IF($M229="","No",IF(COUNTIFS(MasterPanel!$B:$B,$H229,MasterPanel!$I:$I,$M229,MasterPanel!$K:$K,"Y")&gt;0,"Yes","No"))</f>
        <v>No</v>
      </c>
      <c r="V229" s="46" t="n">
        <f aca="false">IF($M229="",0,IF(COUNTIF('Gap Sheet'!$A$6:$A$11,TRIM($L229))=0,0,IF($O229="R1",INDEX('Gap Sheet'!$C$6:$C$11,MATCH(TRIM($L229),'Gap Sheet'!$A$6:$A$11,0)),INDEX('Gap Sheet'!$G$6:$G$11,MATCH(TRIM($L229),'Gap Sheet'!$A$6:$A$11,0)))))</f>
        <v>0</v>
      </c>
      <c r="W229" s="46" t="str">
        <f aca="false">IF($M229="","",$M229&amp;"|"&amp;$O229)</f>
        <v/>
      </c>
      <c r="X229" s="46" t="n">
        <f aca="false">IF($W229="",0,COUNTIF($AA$4:$AA228,$W229))</f>
        <v>0</v>
      </c>
      <c r="Y229" s="46" t="str">
        <f aca="false">IF(OR($I229&lt;&gt;"Yes, I'm available for in-person interviews at Chennai",$E229&lt;&gt;"Yes",$T229="Yes",$U229&lt;&gt;"Yes"),"No",IF(($V229-$X229)&gt;0,"Yes","No"))</f>
        <v>No</v>
      </c>
      <c r="Z229" s="46" t="str">
        <f aca="false">IF($T229="Yes","Primary",IF($Y229="Yes","Secondary",""))</f>
        <v/>
      </c>
      <c r="AA229" s="46" t="str">
        <f aca="false">IF($Z229="Primary",$R229,IF($Z229="Secondary",$W229,""))</f>
        <v/>
      </c>
      <c r="AB229" s="46" t="str">
        <f aca="false">IF($Z229="Primary","Matched on primary skill",IF($Z229="Secondary","Matched on secondary skill (primary not approved or not required)",""))</f>
        <v/>
      </c>
      <c r="AC229" s="47" t="str">
        <f aca="false">IF($D229="Panel Details",$F229,"")</f>
        <v/>
      </c>
      <c r="AD229" s="46" t="str">
        <f aca="false">IF($D229="Panel Details",'Survey Response'!$D227,"")</f>
        <v/>
      </c>
      <c r="AE229" s="46" t="str">
        <f aca="false">IF($D229="Panel Details",'Survey Response'!$E227,"")</f>
        <v/>
      </c>
      <c r="AF229" s="46" t="str">
        <f aca="false">IF($D229="Panel Details",'Survey Response'!$G227,"")</f>
        <v/>
      </c>
      <c r="AG229" s="46" t="str">
        <f aca="false">IF($D229="Panel Details",IF($Z229="Primary",$J229,$L229),"")</f>
        <v/>
      </c>
      <c r="AH229" s="46" t="str">
        <f aca="false">IF($D229="Panel Details",IF($Z229="Primary",$L229,$J229),"")</f>
        <v/>
      </c>
      <c r="AI229" s="46" t="str">
        <f aca="false">IF($D229="Panel Details",'Survey Response'!$H227,"")</f>
        <v/>
      </c>
      <c r="AJ229" s="46" t="str">
        <f aca="false">IF($D229="Panel Details",'Survey Response'!$M227,"")</f>
        <v/>
      </c>
      <c r="AK229" s="46" t="str">
        <f aca="false">IF($D229="Panel Details",$O229,"")</f>
        <v/>
      </c>
      <c r="AL229" s="46" t="str">
        <f aca="false">IF($D229="Panel Details",8,"")</f>
        <v/>
      </c>
      <c r="AM229" s="46" t="str">
        <f aca="false">IF($D229="Panel Details",$AB229,"")</f>
        <v/>
      </c>
      <c r="AN229" s="46" t="str">
        <f aca="false">IF($D229="Panel Details","Yes","")</f>
        <v/>
      </c>
      <c r="AO229" s="46"/>
      <c r="AP229" s="46" t="str">
        <f aca="false">IF($D229="Followup",'Survey Response'!$D227,"")</f>
        <v/>
      </c>
      <c r="AQ229" s="46" t="str">
        <f aca="false">IF($D229="Followup",'Survey Response'!$E227,"")</f>
        <v/>
      </c>
      <c r="AR229" s="46" t="str">
        <f aca="false">IF($D229="Followup",'Survey Response'!$G227,"")</f>
        <v/>
      </c>
      <c r="AS229" s="46" t="str">
        <f aca="false">IF($D229="Followup",'Survey Response'!$H227,"")</f>
        <v/>
      </c>
      <c r="AT229" s="46" t="str">
        <f aca="false">IF($D229="Followup",'Survey Response'!$M227,"")</f>
        <v/>
      </c>
      <c r="AU229" s="46" t="str">
        <f aca="false">IF($D229="Followup",'Survey Response'!$K227,"")</f>
        <v/>
      </c>
      <c r="AV229" s="46" t="str">
        <f aca="false">IF($D229="Followup",'Survey Response'!$L227,"")</f>
        <v/>
      </c>
      <c r="AW229" s="46" t="str">
        <f aca="false">IF($D229="Followup",IF(AND($P229&lt;&gt;"Yes",$U229&lt;&gt;"Yes"),"Not approved for primary or secondary skill","Approved, but skill(s) no longer have capacity (fully staffed)"),"")</f>
        <v/>
      </c>
    </row>
    <row r="230" customFormat="false" ht="15" hidden="false" customHeight="true" outlineLevel="0" collapsed="false">
      <c r="A230" s="46" t="str">
        <f aca="false">IF('Survey Response'!$D228="","",'Survey Response'!$A228&amp;"|"&amp;LOWER(TRIM('Survey Response'!$D228)))</f>
        <v/>
      </c>
      <c r="B230" s="46" t="str">
        <f aca="false">IF($H230="","",$F230&amp;"|"&amp;$H230)</f>
        <v/>
      </c>
      <c r="C230" s="46" t="str">
        <f aca="false">IF($H230="","",$A230=$B230)</f>
        <v/>
      </c>
      <c r="D230" s="46" t="str">
        <f aca="false">IF($H230="","",IF($E230&lt;&gt;"Yes","Superseded",IF($I230&lt;&gt;"Yes, I'm available for in-person interviews at Chennai","Not Available",IF($Z230&lt;&gt;"","Panel Details","Followup"))))</f>
        <v/>
      </c>
      <c r="E230" s="46" t="str">
        <f aca="false">IF($H230="","",IF(SUMPRODUCT(($H$4:$H$503=$H230)*(($G$4:$G$503&gt;$G230)+($G$4:$G$503=$G230)*($F$4:$F$503&gt;$F230)))=0,"Yes","No"))</f>
        <v/>
      </c>
      <c r="F230" s="47" t="str">
        <f aca="false">IF('Survey Response'!$D228="","",INT('Survey Response'!$A228))</f>
        <v/>
      </c>
      <c r="G230" s="46" t="str">
        <f aca="false">IF('Survey Response'!$D228="","",'Survey Response'!$C228)</f>
        <v/>
      </c>
      <c r="H230" s="46" t="str">
        <f aca="false">IF('Survey Response'!$D228="","",LOWER(TRIM('Survey Response'!$D228)))</f>
        <v/>
      </c>
      <c r="I230" s="46" t="str">
        <f aca="false">IF($H230="","",'Survey Response'!$I228)</f>
        <v/>
      </c>
      <c r="J230" s="46" t="str">
        <f aca="false">IF($H230="","",'Survey Response'!$K228)</f>
        <v/>
      </c>
      <c r="K230" s="46" t="str">
        <f aca="false">IF($J230="","",IF(COUNTIF('Skill Mapping'!$A$2:$A$7,TRIM($J230))=0,"",INDEX('Skill Mapping'!$B$2:$B$7,MATCH(TRIM($J230),'Skill Mapping'!$A$2:$A$7,0))))</f>
        <v/>
      </c>
      <c r="L230" s="46" t="str">
        <f aca="false">IF($H230="","",'Survey Response'!$L228)</f>
        <v/>
      </c>
      <c r="M230" s="46" t="str">
        <f aca="false">IF($L230="","",IF(COUNTIF('Skill Mapping'!$A$2:$A$7,TRIM($L230))=0,"",INDEX('Skill Mapping'!$B$2:$B$7,MATCH(TRIM($L230),'Skill Mapping'!$A$2:$A$7,0))))</f>
        <v/>
      </c>
      <c r="N230" s="46" t="str">
        <f aca="false">IF($H230="","",'Survey Response'!$M228)</f>
        <v/>
      </c>
      <c r="O230" s="46" t="str">
        <f aca="false">IF($H230="","",IF('Survey Response'!$M228="Manager","R2","R1"))</f>
        <v/>
      </c>
      <c r="P230" s="46" t="str">
        <f aca="false">IF($K230="","No",IF(COUNTIFS(MasterPanel!$B:$B,$H230,MasterPanel!$I:$I,$K230,MasterPanel!$K:$K,"Y")&gt;0,"Yes","No"))</f>
        <v>No</v>
      </c>
      <c r="Q230" s="46" t="n">
        <f aca="false">IF($K230="",0,IF(COUNTIF('Gap Sheet'!$A$6:$A$11,TRIM($J230))=0,0,IF($O230="R1",INDEX('Gap Sheet'!$C$6:$C$11,MATCH(TRIM($J230),'Gap Sheet'!$A$6:$A$11,0)),INDEX('Gap Sheet'!$G$6:$G$11,MATCH(TRIM($J230),'Gap Sheet'!$A$6:$A$11,0)))))</f>
        <v>0</v>
      </c>
      <c r="R230" s="46" t="str">
        <f aca="false">IF($K230="","",$K230&amp;"|"&amp;$O230)</f>
        <v/>
      </c>
      <c r="S230" s="46" t="n">
        <f aca="false">IF($R230="",0,COUNTIF($AA$4:$AA229,$R230))</f>
        <v>0</v>
      </c>
      <c r="T230" s="46" t="str">
        <f aca="false">IF(OR($I230&lt;&gt;"Yes, I'm available for in-person interviews at Chennai",$E230&lt;&gt;"Yes",$P230&lt;&gt;"Yes"),"No",IF(($Q230-$S230)&gt;0,"Yes","No"))</f>
        <v>No</v>
      </c>
      <c r="U230" s="46" t="str">
        <f aca="false">IF($M230="","No",IF(COUNTIFS(MasterPanel!$B:$B,$H230,MasterPanel!$I:$I,$M230,MasterPanel!$K:$K,"Y")&gt;0,"Yes","No"))</f>
        <v>No</v>
      </c>
      <c r="V230" s="46" t="n">
        <f aca="false">IF($M230="",0,IF(COUNTIF('Gap Sheet'!$A$6:$A$11,TRIM($L230))=0,0,IF($O230="R1",INDEX('Gap Sheet'!$C$6:$C$11,MATCH(TRIM($L230),'Gap Sheet'!$A$6:$A$11,0)),INDEX('Gap Sheet'!$G$6:$G$11,MATCH(TRIM($L230),'Gap Sheet'!$A$6:$A$11,0)))))</f>
        <v>0</v>
      </c>
      <c r="W230" s="46" t="str">
        <f aca="false">IF($M230="","",$M230&amp;"|"&amp;$O230)</f>
        <v/>
      </c>
      <c r="X230" s="46" t="n">
        <f aca="false">IF($W230="",0,COUNTIF($AA$4:$AA229,$W230))</f>
        <v>0</v>
      </c>
      <c r="Y230" s="46" t="str">
        <f aca="false">IF(OR($I230&lt;&gt;"Yes, I'm available for in-person interviews at Chennai",$E230&lt;&gt;"Yes",$T230="Yes",$U230&lt;&gt;"Yes"),"No",IF(($V230-$X230)&gt;0,"Yes","No"))</f>
        <v>No</v>
      </c>
      <c r="Z230" s="46" t="str">
        <f aca="false">IF($T230="Yes","Primary",IF($Y230="Yes","Secondary",""))</f>
        <v/>
      </c>
      <c r="AA230" s="46" t="str">
        <f aca="false">IF($Z230="Primary",$R230,IF($Z230="Secondary",$W230,""))</f>
        <v/>
      </c>
      <c r="AB230" s="46" t="str">
        <f aca="false">IF($Z230="Primary","Matched on primary skill",IF($Z230="Secondary","Matched on secondary skill (primary not approved or not required)",""))</f>
        <v/>
      </c>
      <c r="AC230" s="47" t="str">
        <f aca="false">IF($D230="Panel Details",$F230,"")</f>
        <v/>
      </c>
      <c r="AD230" s="46" t="str">
        <f aca="false">IF($D230="Panel Details",'Survey Response'!$D228,"")</f>
        <v/>
      </c>
      <c r="AE230" s="46" t="str">
        <f aca="false">IF($D230="Panel Details",'Survey Response'!$E228,"")</f>
        <v/>
      </c>
      <c r="AF230" s="46" t="str">
        <f aca="false">IF($D230="Panel Details",'Survey Response'!$G228,"")</f>
        <v/>
      </c>
      <c r="AG230" s="46" t="str">
        <f aca="false">IF($D230="Panel Details",IF($Z230="Primary",$J230,$L230),"")</f>
        <v/>
      </c>
      <c r="AH230" s="46" t="str">
        <f aca="false">IF($D230="Panel Details",IF($Z230="Primary",$L230,$J230),"")</f>
        <v/>
      </c>
      <c r="AI230" s="46" t="str">
        <f aca="false">IF($D230="Panel Details",'Survey Response'!$H228,"")</f>
        <v/>
      </c>
      <c r="AJ230" s="46" t="str">
        <f aca="false">IF($D230="Panel Details",'Survey Response'!$M228,"")</f>
        <v/>
      </c>
      <c r="AK230" s="46" t="str">
        <f aca="false">IF($D230="Panel Details",$O230,"")</f>
        <v/>
      </c>
      <c r="AL230" s="46" t="str">
        <f aca="false">IF($D230="Panel Details",8,"")</f>
        <v/>
      </c>
      <c r="AM230" s="46" t="str">
        <f aca="false">IF($D230="Panel Details",$AB230,"")</f>
        <v/>
      </c>
      <c r="AN230" s="46" t="str">
        <f aca="false">IF($D230="Panel Details","Yes","")</f>
        <v/>
      </c>
      <c r="AO230" s="46"/>
      <c r="AP230" s="46" t="str">
        <f aca="false">IF($D230="Followup",'Survey Response'!$D228,"")</f>
        <v/>
      </c>
      <c r="AQ230" s="46" t="str">
        <f aca="false">IF($D230="Followup",'Survey Response'!$E228,"")</f>
        <v/>
      </c>
      <c r="AR230" s="46" t="str">
        <f aca="false">IF($D230="Followup",'Survey Response'!$G228,"")</f>
        <v/>
      </c>
      <c r="AS230" s="46" t="str">
        <f aca="false">IF($D230="Followup",'Survey Response'!$H228,"")</f>
        <v/>
      </c>
      <c r="AT230" s="46" t="str">
        <f aca="false">IF($D230="Followup",'Survey Response'!$M228,"")</f>
        <v/>
      </c>
      <c r="AU230" s="46" t="str">
        <f aca="false">IF($D230="Followup",'Survey Response'!$K228,"")</f>
        <v/>
      </c>
      <c r="AV230" s="46" t="str">
        <f aca="false">IF($D230="Followup",'Survey Response'!$L228,"")</f>
        <v/>
      </c>
      <c r="AW230" s="46" t="str">
        <f aca="false">IF($D230="Followup",IF(AND($P230&lt;&gt;"Yes",$U230&lt;&gt;"Yes"),"Not approved for primary or secondary skill","Approved, but skill(s) no longer have capacity (fully staffed)"),"")</f>
        <v/>
      </c>
    </row>
    <row r="231" customFormat="false" ht="15" hidden="false" customHeight="true" outlineLevel="0" collapsed="false">
      <c r="A231" s="46" t="str">
        <f aca="false">IF('Survey Response'!$D229="","",'Survey Response'!$A229&amp;"|"&amp;LOWER(TRIM('Survey Response'!$D229)))</f>
        <v/>
      </c>
      <c r="B231" s="46" t="str">
        <f aca="false">IF($H231="","",$F231&amp;"|"&amp;$H231)</f>
        <v/>
      </c>
      <c r="C231" s="46" t="str">
        <f aca="false">IF($H231="","",$A231=$B231)</f>
        <v/>
      </c>
      <c r="D231" s="46" t="str">
        <f aca="false">IF($H231="","",IF($E231&lt;&gt;"Yes","Superseded",IF($I231&lt;&gt;"Yes, I'm available for in-person interviews at Chennai","Not Available",IF($Z231&lt;&gt;"","Panel Details","Followup"))))</f>
        <v/>
      </c>
      <c r="E231" s="46" t="str">
        <f aca="false">IF($H231="","",IF(SUMPRODUCT(($H$4:$H$503=$H231)*(($G$4:$G$503&gt;$G231)+($G$4:$G$503=$G231)*($F$4:$F$503&gt;$F231)))=0,"Yes","No"))</f>
        <v/>
      </c>
      <c r="F231" s="47" t="str">
        <f aca="false">IF('Survey Response'!$D229="","",INT('Survey Response'!$A229))</f>
        <v/>
      </c>
      <c r="G231" s="46" t="str">
        <f aca="false">IF('Survey Response'!$D229="","",'Survey Response'!$C229)</f>
        <v/>
      </c>
      <c r="H231" s="46" t="str">
        <f aca="false">IF('Survey Response'!$D229="","",LOWER(TRIM('Survey Response'!$D229)))</f>
        <v/>
      </c>
      <c r="I231" s="46" t="str">
        <f aca="false">IF($H231="","",'Survey Response'!$I229)</f>
        <v/>
      </c>
      <c r="J231" s="46" t="str">
        <f aca="false">IF($H231="","",'Survey Response'!$K229)</f>
        <v/>
      </c>
      <c r="K231" s="46" t="str">
        <f aca="false">IF($J231="","",IF(COUNTIF('Skill Mapping'!$A$2:$A$7,TRIM($J231))=0,"",INDEX('Skill Mapping'!$B$2:$B$7,MATCH(TRIM($J231),'Skill Mapping'!$A$2:$A$7,0))))</f>
        <v/>
      </c>
      <c r="L231" s="46" t="str">
        <f aca="false">IF($H231="","",'Survey Response'!$L229)</f>
        <v/>
      </c>
      <c r="M231" s="46" t="str">
        <f aca="false">IF($L231="","",IF(COUNTIF('Skill Mapping'!$A$2:$A$7,TRIM($L231))=0,"",INDEX('Skill Mapping'!$B$2:$B$7,MATCH(TRIM($L231),'Skill Mapping'!$A$2:$A$7,0))))</f>
        <v/>
      </c>
      <c r="N231" s="46" t="str">
        <f aca="false">IF($H231="","",'Survey Response'!$M229)</f>
        <v/>
      </c>
      <c r="O231" s="46" t="str">
        <f aca="false">IF($H231="","",IF('Survey Response'!$M229="Manager","R2","R1"))</f>
        <v/>
      </c>
      <c r="P231" s="46" t="str">
        <f aca="false">IF($K231="","No",IF(COUNTIFS(MasterPanel!$B:$B,$H231,MasterPanel!$I:$I,$K231,MasterPanel!$K:$K,"Y")&gt;0,"Yes","No"))</f>
        <v>No</v>
      </c>
      <c r="Q231" s="46" t="n">
        <f aca="false">IF($K231="",0,IF(COUNTIF('Gap Sheet'!$A$6:$A$11,TRIM($J231))=0,0,IF($O231="R1",INDEX('Gap Sheet'!$C$6:$C$11,MATCH(TRIM($J231),'Gap Sheet'!$A$6:$A$11,0)),INDEX('Gap Sheet'!$G$6:$G$11,MATCH(TRIM($J231),'Gap Sheet'!$A$6:$A$11,0)))))</f>
        <v>0</v>
      </c>
      <c r="R231" s="46" t="str">
        <f aca="false">IF($K231="","",$K231&amp;"|"&amp;$O231)</f>
        <v/>
      </c>
      <c r="S231" s="46" t="n">
        <f aca="false">IF($R231="",0,COUNTIF($AA$4:$AA230,$R231))</f>
        <v>0</v>
      </c>
      <c r="T231" s="46" t="str">
        <f aca="false">IF(OR($I231&lt;&gt;"Yes, I'm available for in-person interviews at Chennai",$E231&lt;&gt;"Yes",$P231&lt;&gt;"Yes"),"No",IF(($Q231-$S231)&gt;0,"Yes","No"))</f>
        <v>No</v>
      </c>
      <c r="U231" s="46" t="str">
        <f aca="false">IF($M231="","No",IF(COUNTIFS(MasterPanel!$B:$B,$H231,MasterPanel!$I:$I,$M231,MasterPanel!$K:$K,"Y")&gt;0,"Yes","No"))</f>
        <v>No</v>
      </c>
      <c r="V231" s="46" t="n">
        <f aca="false">IF($M231="",0,IF(COUNTIF('Gap Sheet'!$A$6:$A$11,TRIM($L231))=0,0,IF($O231="R1",INDEX('Gap Sheet'!$C$6:$C$11,MATCH(TRIM($L231),'Gap Sheet'!$A$6:$A$11,0)),INDEX('Gap Sheet'!$G$6:$G$11,MATCH(TRIM($L231),'Gap Sheet'!$A$6:$A$11,0)))))</f>
        <v>0</v>
      </c>
      <c r="W231" s="46" t="str">
        <f aca="false">IF($M231="","",$M231&amp;"|"&amp;$O231)</f>
        <v/>
      </c>
      <c r="X231" s="46" t="n">
        <f aca="false">IF($W231="",0,COUNTIF($AA$4:$AA230,$W231))</f>
        <v>0</v>
      </c>
      <c r="Y231" s="46" t="str">
        <f aca="false">IF(OR($I231&lt;&gt;"Yes, I'm available for in-person interviews at Chennai",$E231&lt;&gt;"Yes",$T231="Yes",$U231&lt;&gt;"Yes"),"No",IF(($V231-$X231)&gt;0,"Yes","No"))</f>
        <v>No</v>
      </c>
      <c r="Z231" s="46" t="str">
        <f aca="false">IF($T231="Yes","Primary",IF($Y231="Yes","Secondary",""))</f>
        <v/>
      </c>
      <c r="AA231" s="46" t="str">
        <f aca="false">IF($Z231="Primary",$R231,IF($Z231="Secondary",$W231,""))</f>
        <v/>
      </c>
      <c r="AB231" s="46" t="str">
        <f aca="false">IF($Z231="Primary","Matched on primary skill",IF($Z231="Secondary","Matched on secondary skill (primary not approved or not required)",""))</f>
        <v/>
      </c>
      <c r="AC231" s="47" t="str">
        <f aca="false">IF($D231="Panel Details",$F231,"")</f>
        <v/>
      </c>
      <c r="AD231" s="46" t="str">
        <f aca="false">IF($D231="Panel Details",'Survey Response'!$D229,"")</f>
        <v/>
      </c>
      <c r="AE231" s="46" t="str">
        <f aca="false">IF($D231="Panel Details",'Survey Response'!$E229,"")</f>
        <v/>
      </c>
      <c r="AF231" s="46" t="str">
        <f aca="false">IF($D231="Panel Details",'Survey Response'!$G229,"")</f>
        <v/>
      </c>
      <c r="AG231" s="46" t="str">
        <f aca="false">IF($D231="Panel Details",IF($Z231="Primary",$J231,$L231),"")</f>
        <v/>
      </c>
      <c r="AH231" s="46" t="str">
        <f aca="false">IF($D231="Panel Details",IF($Z231="Primary",$L231,$J231),"")</f>
        <v/>
      </c>
      <c r="AI231" s="46" t="str">
        <f aca="false">IF($D231="Panel Details",'Survey Response'!$H229,"")</f>
        <v/>
      </c>
      <c r="AJ231" s="46" t="str">
        <f aca="false">IF($D231="Panel Details",'Survey Response'!$M229,"")</f>
        <v/>
      </c>
      <c r="AK231" s="46" t="str">
        <f aca="false">IF($D231="Panel Details",$O231,"")</f>
        <v/>
      </c>
      <c r="AL231" s="46" t="str">
        <f aca="false">IF($D231="Panel Details",8,"")</f>
        <v/>
      </c>
      <c r="AM231" s="46" t="str">
        <f aca="false">IF($D231="Panel Details",$AB231,"")</f>
        <v/>
      </c>
      <c r="AN231" s="46" t="str">
        <f aca="false">IF($D231="Panel Details","Yes","")</f>
        <v/>
      </c>
      <c r="AO231" s="46"/>
      <c r="AP231" s="46" t="str">
        <f aca="false">IF($D231="Followup",'Survey Response'!$D229,"")</f>
        <v/>
      </c>
      <c r="AQ231" s="46" t="str">
        <f aca="false">IF($D231="Followup",'Survey Response'!$E229,"")</f>
        <v/>
      </c>
      <c r="AR231" s="46" t="str">
        <f aca="false">IF($D231="Followup",'Survey Response'!$G229,"")</f>
        <v/>
      </c>
      <c r="AS231" s="46" t="str">
        <f aca="false">IF($D231="Followup",'Survey Response'!$H229,"")</f>
        <v/>
      </c>
      <c r="AT231" s="46" t="str">
        <f aca="false">IF($D231="Followup",'Survey Response'!$M229,"")</f>
        <v/>
      </c>
      <c r="AU231" s="46" t="str">
        <f aca="false">IF($D231="Followup",'Survey Response'!$K229,"")</f>
        <v/>
      </c>
      <c r="AV231" s="46" t="str">
        <f aca="false">IF($D231="Followup",'Survey Response'!$L229,"")</f>
        <v/>
      </c>
      <c r="AW231" s="46" t="str">
        <f aca="false">IF($D231="Followup",IF(AND($P231&lt;&gt;"Yes",$U231&lt;&gt;"Yes"),"Not approved for primary or secondary skill","Approved, but skill(s) no longer have capacity (fully staffed)"),"")</f>
        <v/>
      </c>
    </row>
    <row r="232" customFormat="false" ht="15" hidden="false" customHeight="true" outlineLevel="0" collapsed="false">
      <c r="A232" s="46" t="str">
        <f aca="false">IF('Survey Response'!$D230="","",'Survey Response'!$A230&amp;"|"&amp;LOWER(TRIM('Survey Response'!$D230)))</f>
        <v/>
      </c>
      <c r="B232" s="46" t="str">
        <f aca="false">IF($H232="","",$F232&amp;"|"&amp;$H232)</f>
        <v/>
      </c>
      <c r="C232" s="46" t="str">
        <f aca="false">IF($H232="","",$A232=$B232)</f>
        <v/>
      </c>
      <c r="D232" s="46" t="str">
        <f aca="false">IF($H232="","",IF($E232&lt;&gt;"Yes","Superseded",IF($I232&lt;&gt;"Yes, I'm available for in-person interviews at Chennai","Not Available",IF($Z232&lt;&gt;"","Panel Details","Followup"))))</f>
        <v/>
      </c>
      <c r="E232" s="46" t="str">
        <f aca="false">IF($H232="","",IF(SUMPRODUCT(($H$4:$H$503=$H232)*(($G$4:$G$503&gt;$G232)+($G$4:$G$503=$G232)*($F$4:$F$503&gt;$F232)))=0,"Yes","No"))</f>
        <v/>
      </c>
      <c r="F232" s="47" t="str">
        <f aca="false">IF('Survey Response'!$D230="","",INT('Survey Response'!$A230))</f>
        <v/>
      </c>
      <c r="G232" s="46" t="str">
        <f aca="false">IF('Survey Response'!$D230="","",'Survey Response'!$C230)</f>
        <v/>
      </c>
      <c r="H232" s="46" t="str">
        <f aca="false">IF('Survey Response'!$D230="","",LOWER(TRIM('Survey Response'!$D230)))</f>
        <v/>
      </c>
      <c r="I232" s="46" t="str">
        <f aca="false">IF($H232="","",'Survey Response'!$I230)</f>
        <v/>
      </c>
      <c r="J232" s="46" t="str">
        <f aca="false">IF($H232="","",'Survey Response'!$K230)</f>
        <v/>
      </c>
      <c r="K232" s="46" t="str">
        <f aca="false">IF($J232="","",IF(COUNTIF('Skill Mapping'!$A$2:$A$7,TRIM($J232))=0,"",INDEX('Skill Mapping'!$B$2:$B$7,MATCH(TRIM($J232),'Skill Mapping'!$A$2:$A$7,0))))</f>
        <v/>
      </c>
      <c r="L232" s="46" t="str">
        <f aca="false">IF($H232="","",'Survey Response'!$L230)</f>
        <v/>
      </c>
      <c r="M232" s="46" t="str">
        <f aca="false">IF($L232="","",IF(COUNTIF('Skill Mapping'!$A$2:$A$7,TRIM($L232))=0,"",INDEX('Skill Mapping'!$B$2:$B$7,MATCH(TRIM($L232),'Skill Mapping'!$A$2:$A$7,0))))</f>
        <v/>
      </c>
      <c r="N232" s="46" t="str">
        <f aca="false">IF($H232="","",'Survey Response'!$M230)</f>
        <v/>
      </c>
      <c r="O232" s="46" t="str">
        <f aca="false">IF($H232="","",IF('Survey Response'!$M230="Manager","R2","R1"))</f>
        <v/>
      </c>
      <c r="P232" s="46" t="str">
        <f aca="false">IF($K232="","No",IF(COUNTIFS(MasterPanel!$B:$B,$H232,MasterPanel!$I:$I,$K232,MasterPanel!$K:$K,"Y")&gt;0,"Yes","No"))</f>
        <v>No</v>
      </c>
      <c r="Q232" s="46" t="n">
        <f aca="false">IF($K232="",0,IF(COUNTIF('Gap Sheet'!$A$6:$A$11,TRIM($J232))=0,0,IF($O232="R1",INDEX('Gap Sheet'!$C$6:$C$11,MATCH(TRIM($J232),'Gap Sheet'!$A$6:$A$11,0)),INDEX('Gap Sheet'!$G$6:$G$11,MATCH(TRIM($J232),'Gap Sheet'!$A$6:$A$11,0)))))</f>
        <v>0</v>
      </c>
      <c r="R232" s="46" t="str">
        <f aca="false">IF($K232="","",$K232&amp;"|"&amp;$O232)</f>
        <v/>
      </c>
      <c r="S232" s="46" t="n">
        <f aca="false">IF($R232="",0,COUNTIF($AA$4:$AA231,$R232))</f>
        <v>0</v>
      </c>
      <c r="T232" s="46" t="str">
        <f aca="false">IF(OR($I232&lt;&gt;"Yes, I'm available for in-person interviews at Chennai",$E232&lt;&gt;"Yes",$P232&lt;&gt;"Yes"),"No",IF(($Q232-$S232)&gt;0,"Yes","No"))</f>
        <v>No</v>
      </c>
      <c r="U232" s="46" t="str">
        <f aca="false">IF($M232="","No",IF(COUNTIFS(MasterPanel!$B:$B,$H232,MasterPanel!$I:$I,$M232,MasterPanel!$K:$K,"Y")&gt;0,"Yes","No"))</f>
        <v>No</v>
      </c>
      <c r="V232" s="46" t="n">
        <f aca="false">IF($M232="",0,IF(COUNTIF('Gap Sheet'!$A$6:$A$11,TRIM($L232))=0,0,IF($O232="R1",INDEX('Gap Sheet'!$C$6:$C$11,MATCH(TRIM($L232),'Gap Sheet'!$A$6:$A$11,0)),INDEX('Gap Sheet'!$G$6:$G$11,MATCH(TRIM($L232),'Gap Sheet'!$A$6:$A$11,0)))))</f>
        <v>0</v>
      </c>
      <c r="W232" s="46" t="str">
        <f aca="false">IF($M232="","",$M232&amp;"|"&amp;$O232)</f>
        <v/>
      </c>
      <c r="X232" s="46" t="n">
        <f aca="false">IF($W232="",0,COUNTIF($AA$4:$AA231,$W232))</f>
        <v>0</v>
      </c>
      <c r="Y232" s="46" t="str">
        <f aca="false">IF(OR($I232&lt;&gt;"Yes, I'm available for in-person interviews at Chennai",$E232&lt;&gt;"Yes",$T232="Yes",$U232&lt;&gt;"Yes"),"No",IF(($V232-$X232)&gt;0,"Yes","No"))</f>
        <v>No</v>
      </c>
      <c r="Z232" s="46" t="str">
        <f aca="false">IF($T232="Yes","Primary",IF($Y232="Yes","Secondary",""))</f>
        <v/>
      </c>
      <c r="AA232" s="46" t="str">
        <f aca="false">IF($Z232="Primary",$R232,IF($Z232="Secondary",$W232,""))</f>
        <v/>
      </c>
      <c r="AB232" s="46" t="str">
        <f aca="false">IF($Z232="Primary","Matched on primary skill",IF($Z232="Secondary","Matched on secondary skill (primary not approved or not required)",""))</f>
        <v/>
      </c>
      <c r="AC232" s="47" t="str">
        <f aca="false">IF($D232="Panel Details",$F232,"")</f>
        <v/>
      </c>
      <c r="AD232" s="46" t="str">
        <f aca="false">IF($D232="Panel Details",'Survey Response'!$D230,"")</f>
        <v/>
      </c>
      <c r="AE232" s="46" t="str">
        <f aca="false">IF($D232="Panel Details",'Survey Response'!$E230,"")</f>
        <v/>
      </c>
      <c r="AF232" s="46" t="str">
        <f aca="false">IF($D232="Panel Details",'Survey Response'!$G230,"")</f>
        <v/>
      </c>
      <c r="AG232" s="46" t="str">
        <f aca="false">IF($D232="Panel Details",IF($Z232="Primary",$J232,$L232),"")</f>
        <v/>
      </c>
      <c r="AH232" s="46" t="str">
        <f aca="false">IF($D232="Panel Details",IF($Z232="Primary",$L232,$J232),"")</f>
        <v/>
      </c>
      <c r="AI232" s="46" t="str">
        <f aca="false">IF($D232="Panel Details",'Survey Response'!$H230,"")</f>
        <v/>
      </c>
      <c r="AJ232" s="46" t="str">
        <f aca="false">IF($D232="Panel Details",'Survey Response'!$M230,"")</f>
        <v/>
      </c>
      <c r="AK232" s="46" t="str">
        <f aca="false">IF($D232="Panel Details",$O232,"")</f>
        <v/>
      </c>
      <c r="AL232" s="46" t="str">
        <f aca="false">IF($D232="Panel Details",8,"")</f>
        <v/>
      </c>
      <c r="AM232" s="46" t="str">
        <f aca="false">IF($D232="Panel Details",$AB232,"")</f>
        <v/>
      </c>
      <c r="AN232" s="46" t="str">
        <f aca="false">IF($D232="Panel Details","Yes","")</f>
        <v/>
      </c>
      <c r="AO232" s="46"/>
      <c r="AP232" s="46" t="str">
        <f aca="false">IF($D232="Followup",'Survey Response'!$D230,"")</f>
        <v/>
      </c>
      <c r="AQ232" s="46" t="str">
        <f aca="false">IF($D232="Followup",'Survey Response'!$E230,"")</f>
        <v/>
      </c>
      <c r="AR232" s="46" t="str">
        <f aca="false">IF($D232="Followup",'Survey Response'!$G230,"")</f>
        <v/>
      </c>
      <c r="AS232" s="46" t="str">
        <f aca="false">IF($D232="Followup",'Survey Response'!$H230,"")</f>
        <v/>
      </c>
      <c r="AT232" s="46" t="str">
        <f aca="false">IF($D232="Followup",'Survey Response'!$M230,"")</f>
        <v/>
      </c>
      <c r="AU232" s="46" t="str">
        <f aca="false">IF($D232="Followup",'Survey Response'!$K230,"")</f>
        <v/>
      </c>
      <c r="AV232" s="46" t="str">
        <f aca="false">IF($D232="Followup",'Survey Response'!$L230,"")</f>
        <v/>
      </c>
      <c r="AW232" s="46" t="str">
        <f aca="false">IF($D232="Followup",IF(AND($P232&lt;&gt;"Yes",$U232&lt;&gt;"Yes"),"Not approved for primary or secondary skill","Approved, but skill(s) no longer have capacity (fully staffed)"),"")</f>
        <v/>
      </c>
    </row>
    <row r="233" customFormat="false" ht="15" hidden="false" customHeight="true" outlineLevel="0" collapsed="false">
      <c r="A233" s="46" t="str">
        <f aca="false">IF('Survey Response'!$D231="","",'Survey Response'!$A231&amp;"|"&amp;LOWER(TRIM('Survey Response'!$D231)))</f>
        <v/>
      </c>
      <c r="B233" s="46" t="str">
        <f aca="false">IF($H233="","",$F233&amp;"|"&amp;$H233)</f>
        <v/>
      </c>
      <c r="C233" s="46" t="str">
        <f aca="false">IF($H233="","",$A233=$B233)</f>
        <v/>
      </c>
      <c r="D233" s="46" t="str">
        <f aca="false">IF($H233="","",IF($E233&lt;&gt;"Yes","Superseded",IF($I233&lt;&gt;"Yes, I'm available for in-person interviews at Chennai","Not Available",IF($Z233&lt;&gt;"","Panel Details","Followup"))))</f>
        <v/>
      </c>
      <c r="E233" s="46" t="str">
        <f aca="false">IF($H233="","",IF(SUMPRODUCT(($H$4:$H$503=$H233)*(($G$4:$G$503&gt;$G233)+($G$4:$G$503=$G233)*($F$4:$F$503&gt;$F233)))=0,"Yes","No"))</f>
        <v/>
      </c>
      <c r="F233" s="47" t="str">
        <f aca="false">IF('Survey Response'!$D231="","",INT('Survey Response'!$A231))</f>
        <v/>
      </c>
      <c r="G233" s="46" t="str">
        <f aca="false">IF('Survey Response'!$D231="","",'Survey Response'!$C231)</f>
        <v/>
      </c>
      <c r="H233" s="46" t="str">
        <f aca="false">IF('Survey Response'!$D231="","",LOWER(TRIM('Survey Response'!$D231)))</f>
        <v/>
      </c>
      <c r="I233" s="46" t="str">
        <f aca="false">IF($H233="","",'Survey Response'!$I231)</f>
        <v/>
      </c>
      <c r="J233" s="46" t="str">
        <f aca="false">IF($H233="","",'Survey Response'!$K231)</f>
        <v/>
      </c>
      <c r="K233" s="46" t="str">
        <f aca="false">IF($J233="","",IF(COUNTIF('Skill Mapping'!$A$2:$A$7,TRIM($J233))=0,"",INDEX('Skill Mapping'!$B$2:$B$7,MATCH(TRIM($J233),'Skill Mapping'!$A$2:$A$7,0))))</f>
        <v/>
      </c>
      <c r="L233" s="46" t="str">
        <f aca="false">IF($H233="","",'Survey Response'!$L231)</f>
        <v/>
      </c>
      <c r="M233" s="46" t="str">
        <f aca="false">IF($L233="","",IF(COUNTIF('Skill Mapping'!$A$2:$A$7,TRIM($L233))=0,"",INDEX('Skill Mapping'!$B$2:$B$7,MATCH(TRIM($L233),'Skill Mapping'!$A$2:$A$7,0))))</f>
        <v/>
      </c>
      <c r="N233" s="46" t="str">
        <f aca="false">IF($H233="","",'Survey Response'!$M231)</f>
        <v/>
      </c>
      <c r="O233" s="46" t="str">
        <f aca="false">IF($H233="","",IF('Survey Response'!$M231="Manager","R2","R1"))</f>
        <v/>
      </c>
      <c r="P233" s="46" t="str">
        <f aca="false">IF($K233="","No",IF(COUNTIFS(MasterPanel!$B:$B,$H233,MasterPanel!$I:$I,$K233,MasterPanel!$K:$K,"Y")&gt;0,"Yes","No"))</f>
        <v>No</v>
      </c>
      <c r="Q233" s="46" t="n">
        <f aca="false">IF($K233="",0,IF(COUNTIF('Gap Sheet'!$A$6:$A$11,TRIM($J233))=0,0,IF($O233="R1",INDEX('Gap Sheet'!$C$6:$C$11,MATCH(TRIM($J233),'Gap Sheet'!$A$6:$A$11,0)),INDEX('Gap Sheet'!$G$6:$G$11,MATCH(TRIM($J233),'Gap Sheet'!$A$6:$A$11,0)))))</f>
        <v>0</v>
      </c>
      <c r="R233" s="46" t="str">
        <f aca="false">IF($K233="","",$K233&amp;"|"&amp;$O233)</f>
        <v/>
      </c>
      <c r="S233" s="46" t="n">
        <f aca="false">IF($R233="",0,COUNTIF($AA$4:$AA232,$R233))</f>
        <v>0</v>
      </c>
      <c r="T233" s="46" t="str">
        <f aca="false">IF(OR($I233&lt;&gt;"Yes, I'm available for in-person interviews at Chennai",$E233&lt;&gt;"Yes",$P233&lt;&gt;"Yes"),"No",IF(($Q233-$S233)&gt;0,"Yes","No"))</f>
        <v>No</v>
      </c>
      <c r="U233" s="46" t="str">
        <f aca="false">IF($M233="","No",IF(COUNTIFS(MasterPanel!$B:$B,$H233,MasterPanel!$I:$I,$M233,MasterPanel!$K:$K,"Y")&gt;0,"Yes","No"))</f>
        <v>No</v>
      </c>
      <c r="V233" s="46" t="n">
        <f aca="false">IF($M233="",0,IF(COUNTIF('Gap Sheet'!$A$6:$A$11,TRIM($L233))=0,0,IF($O233="R1",INDEX('Gap Sheet'!$C$6:$C$11,MATCH(TRIM($L233),'Gap Sheet'!$A$6:$A$11,0)),INDEX('Gap Sheet'!$G$6:$G$11,MATCH(TRIM($L233),'Gap Sheet'!$A$6:$A$11,0)))))</f>
        <v>0</v>
      </c>
      <c r="W233" s="46" t="str">
        <f aca="false">IF($M233="","",$M233&amp;"|"&amp;$O233)</f>
        <v/>
      </c>
      <c r="X233" s="46" t="n">
        <f aca="false">IF($W233="",0,COUNTIF($AA$4:$AA232,$W233))</f>
        <v>0</v>
      </c>
      <c r="Y233" s="46" t="str">
        <f aca="false">IF(OR($I233&lt;&gt;"Yes, I'm available for in-person interviews at Chennai",$E233&lt;&gt;"Yes",$T233="Yes",$U233&lt;&gt;"Yes"),"No",IF(($V233-$X233)&gt;0,"Yes","No"))</f>
        <v>No</v>
      </c>
      <c r="Z233" s="46" t="str">
        <f aca="false">IF($T233="Yes","Primary",IF($Y233="Yes","Secondary",""))</f>
        <v/>
      </c>
      <c r="AA233" s="46" t="str">
        <f aca="false">IF($Z233="Primary",$R233,IF($Z233="Secondary",$W233,""))</f>
        <v/>
      </c>
      <c r="AB233" s="46" t="str">
        <f aca="false">IF($Z233="Primary","Matched on primary skill",IF($Z233="Secondary","Matched on secondary skill (primary not approved or not required)",""))</f>
        <v/>
      </c>
      <c r="AC233" s="47" t="str">
        <f aca="false">IF($D233="Panel Details",$F233,"")</f>
        <v/>
      </c>
      <c r="AD233" s="46" t="str">
        <f aca="false">IF($D233="Panel Details",'Survey Response'!$D231,"")</f>
        <v/>
      </c>
      <c r="AE233" s="46" t="str">
        <f aca="false">IF($D233="Panel Details",'Survey Response'!$E231,"")</f>
        <v/>
      </c>
      <c r="AF233" s="46" t="str">
        <f aca="false">IF($D233="Panel Details",'Survey Response'!$G231,"")</f>
        <v/>
      </c>
      <c r="AG233" s="46" t="str">
        <f aca="false">IF($D233="Panel Details",IF($Z233="Primary",$J233,$L233),"")</f>
        <v/>
      </c>
      <c r="AH233" s="46" t="str">
        <f aca="false">IF($D233="Panel Details",IF($Z233="Primary",$L233,$J233),"")</f>
        <v/>
      </c>
      <c r="AI233" s="46" t="str">
        <f aca="false">IF($D233="Panel Details",'Survey Response'!$H231,"")</f>
        <v/>
      </c>
      <c r="AJ233" s="46" t="str">
        <f aca="false">IF($D233="Panel Details",'Survey Response'!$M231,"")</f>
        <v/>
      </c>
      <c r="AK233" s="46" t="str">
        <f aca="false">IF($D233="Panel Details",$O233,"")</f>
        <v/>
      </c>
      <c r="AL233" s="46" t="str">
        <f aca="false">IF($D233="Panel Details",8,"")</f>
        <v/>
      </c>
      <c r="AM233" s="46" t="str">
        <f aca="false">IF($D233="Panel Details",$AB233,"")</f>
        <v/>
      </c>
      <c r="AN233" s="46" t="str">
        <f aca="false">IF($D233="Panel Details","Yes","")</f>
        <v/>
      </c>
      <c r="AO233" s="46"/>
      <c r="AP233" s="46" t="str">
        <f aca="false">IF($D233="Followup",'Survey Response'!$D231,"")</f>
        <v/>
      </c>
      <c r="AQ233" s="46" t="str">
        <f aca="false">IF($D233="Followup",'Survey Response'!$E231,"")</f>
        <v/>
      </c>
      <c r="AR233" s="46" t="str">
        <f aca="false">IF($D233="Followup",'Survey Response'!$G231,"")</f>
        <v/>
      </c>
      <c r="AS233" s="46" t="str">
        <f aca="false">IF($D233="Followup",'Survey Response'!$H231,"")</f>
        <v/>
      </c>
      <c r="AT233" s="46" t="str">
        <f aca="false">IF($D233="Followup",'Survey Response'!$M231,"")</f>
        <v/>
      </c>
      <c r="AU233" s="46" t="str">
        <f aca="false">IF($D233="Followup",'Survey Response'!$K231,"")</f>
        <v/>
      </c>
      <c r="AV233" s="46" t="str">
        <f aca="false">IF($D233="Followup",'Survey Response'!$L231,"")</f>
        <v/>
      </c>
      <c r="AW233" s="46" t="str">
        <f aca="false">IF($D233="Followup",IF(AND($P233&lt;&gt;"Yes",$U233&lt;&gt;"Yes"),"Not approved for primary or secondary skill","Approved, but skill(s) no longer have capacity (fully staffed)"),"")</f>
        <v/>
      </c>
    </row>
    <row r="234" customFormat="false" ht="15" hidden="false" customHeight="true" outlineLevel="0" collapsed="false">
      <c r="A234" s="46" t="str">
        <f aca="false">IF('Survey Response'!$D232="","",'Survey Response'!$A232&amp;"|"&amp;LOWER(TRIM('Survey Response'!$D232)))</f>
        <v/>
      </c>
      <c r="B234" s="46" t="str">
        <f aca="false">IF($H234="","",$F234&amp;"|"&amp;$H234)</f>
        <v/>
      </c>
      <c r="C234" s="46" t="str">
        <f aca="false">IF($H234="","",$A234=$B234)</f>
        <v/>
      </c>
      <c r="D234" s="46" t="str">
        <f aca="false">IF($H234="","",IF($E234&lt;&gt;"Yes","Superseded",IF($I234&lt;&gt;"Yes, I'm available for in-person interviews at Chennai","Not Available",IF($Z234&lt;&gt;"","Panel Details","Followup"))))</f>
        <v/>
      </c>
      <c r="E234" s="46" t="str">
        <f aca="false">IF($H234="","",IF(SUMPRODUCT(($H$4:$H$503=$H234)*(($G$4:$G$503&gt;$G234)+($G$4:$G$503=$G234)*($F$4:$F$503&gt;$F234)))=0,"Yes","No"))</f>
        <v/>
      </c>
      <c r="F234" s="47" t="str">
        <f aca="false">IF('Survey Response'!$D232="","",INT('Survey Response'!$A232))</f>
        <v/>
      </c>
      <c r="G234" s="46" t="str">
        <f aca="false">IF('Survey Response'!$D232="","",'Survey Response'!$C232)</f>
        <v/>
      </c>
      <c r="H234" s="46" t="str">
        <f aca="false">IF('Survey Response'!$D232="","",LOWER(TRIM('Survey Response'!$D232)))</f>
        <v/>
      </c>
      <c r="I234" s="46" t="str">
        <f aca="false">IF($H234="","",'Survey Response'!$I232)</f>
        <v/>
      </c>
      <c r="J234" s="46" t="str">
        <f aca="false">IF($H234="","",'Survey Response'!$K232)</f>
        <v/>
      </c>
      <c r="K234" s="46" t="str">
        <f aca="false">IF($J234="","",IF(COUNTIF('Skill Mapping'!$A$2:$A$7,TRIM($J234))=0,"",INDEX('Skill Mapping'!$B$2:$B$7,MATCH(TRIM($J234),'Skill Mapping'!$A$2:$A$7,0))))</f>
        <v/>
      </c>
      <c r="L234" s="46" t="str">
        <f aca="false">IF($H234="","",'Survey Response'!$L232)</f>
        <v/>
      </c>
      <c r="M234" s="46" t="str">
        <f aca="false">IF($L234="","",IF(COUNTIF('Skill Mapping'!$A$2:$A$7,TRIM($L234))=0,"",INDEX('Skill Mapping'!$B$2:$B$7,MATCH(TRIM($L234),'Skill Mapping'!$A$2:$A$7,0))))</f>
        <v/>
      </c>
      <c r="N234" s="46" t="str">
        <f aca="false">IF($H234="","",'Survey Response'!$M232)</f>
        <v/>
      </c>
      <c r="O234" s="46" t="str">
        <f aca="false">IF($H234="","",IF('Survey Response'!$M232="Manager","R2","R1"))</f>
        <v/>
      </c>
      <c r="P234" s="46" t="str">
        <f aca="false">IF($K234="","No",IF(COUNTIFS(MasterPanel!$B:$B,$H234,MasterPanel!$I:$I,$K234,MasterPanel!$K:$K,"Y")&gt;0,"Yes","No"))</f>
        <v>No</v>
      </c>
      <c r="Q234" s="46" t="n">
        <f aca="false">IF($K234="",0,IF(COUNTIF('Gap Sheet'!$A$6:$A$11,TRIM($J234))=0,0,IF($O234="R1",INDEX('Gap Sheet'!$C$6:$C$11,MATCH(TRIM($J234),'Gap Sheet'!$A$6:$A$11,0)),INDEX('Gap Sheet'!$G$6:$G$11,MATCH(TRIM($J234),'Gap Sheet'!$A$6:$A$11,0)))))</f>
        <v>0</v>
      </c>
      <c r="R234" s="46" t="str">
        <f aca="false">IF($K234="","",$K234&amp;"|"&amp;$O234)</f>
        <v/>
      </c>
      <c r="S234" s="46" t="n">
        <f aca="false">IF($R234="",0,COUNTIF($AA$4:$AA233,$R234))</f>
        <v>0</v>
      </c>
      <c r="T234" s="46" t="str">
        <f aca="false">IF(OR($I234&lt;&gt;"Yes, I'm available for in-person interviews at Chennai",$E234&lt;&gt;"Yes",$P234&lt;&gt;"Yes"),"No",IF(($Q234-$S234)&gt;0,"Yes","No"))</f>
        <v>No</v>
      </c>
      <c r="U234" s="46" t="str">
        <f aca="false">IF($M234="","No",IF(COUNTIFS(MasterPanel!$B:$B,$H234,MasterPanel!$I:$I,$M234,MasterPanel!$K:$K,"Y")&gt;0,"Yes","No"))</f>
        <v>No</v>
      </c>
      <c r="V234" s="46" t="n">
        <f aca="false">IF($M234="",0,IF(COUNTIF('Gap Sheet'!$A$6:$A$11,TRIM($L234))=0,0,IF($O234="R1",INDEX('Gap Sheet'!$C$6:$C$11,MATCH(TRIM($L234),'Gap Sheet'!$A$6:$A$11,0)),INDEX('Gap Sheet'!$G$6:$G$11,MATCH(TRIM($L234),'Gap Sheet'!$A$6:$A$11,0)))))</f>
        <v>0</v>
      </c>
      <c r="W234" s="46" t="str">
        <f aca="false">IF($M234="","",$M234&amp;"|"&amp;$O234)</f>
        <v/>
      </c>
      <c r="X234" s="46" t="n">
        <f aca="false">IF($W234="",0,COUNTIF($AA$4:$AA233,$W234))</f>
        <v>0</v>
      </c>
      <c r="Y234" s="46" t="str">
        <f aca="false">IF(OR($I234&lt;&gt;"Yes, I'm available for in-person interviews at Chennai",$E234&lt;&gt;"Yes",$T234="Yes",$U234&lt;&gt;"Yes"),"No",IF(($V234-$X234)&gt;0,"Yes","No"))</f>
        <v>No</v>
      </c>
      <c r="Z234" s="46" t="str">
        <f aca="false">IF($T234="Yes","Primary",IF($Y234="Yes","Secondary",""))</f>
        <v/>
      </c>
      <c r="AA234" s="46" t="str">
        <f aca="false">IF($Z234="Primary",$R234,IF($Z234="Secondary",$W234,""))</f>
        <v/>
      </c>
      <c r="AB234" s="46" t="str">
        <f aca="false">IF($Z234="Primary","Matched on primary skill",IF($Z234="Secondary","Matched on secondary skill (primary not approved or not required)",""))</f>
        <v/>
      </c>
      <c r="AC234" s="47" t="str">
        <f aca="false">IF($D234="Panel Details",$F234,"")</f>
        <v/>
      </c>
      <c r="AD234" s="46" t="str">
        <f aca="false">IF($D234="Panel Details",'Survey Response'!$D232,"")</f>
        <v/>
      </c>
      <c r="AE234" s="46" t="str">
        <f aca="false">IF($D234="Panel Details",'Survey Response'!$E232,"")</f>
        <v/>
      </c>
      <c r="AF234" s="46" t="str">
        <f aca="false">IF($D234="Panel Details",'Survey Response'!$G232,"")</f>
        <v/>
      </c>
      <c r="AG234" s="46" t="str">
        <f aca="false">IF($D234="Panel Details",IF($Z234="Primary",$J234,$L234),"")</f>
        <v/>
      </c>
      <c r="AH234" s="46" t="str">
        <f aca="false">IF($D234="Panel Details",IF($Z234="Primary",$L234,$J234),"")</f>
        <v/>
      </c>
      <c r="AI234" s="46" t="str">
        <f aca="false">IF($D234="Panel Details",'Survey Response'!$H232,"")</f>
        <v/>
      </c>
      <c r="AJ234" s="46" t="str">
        <f aca="false">IF($D234="Panel Details",'Survey Response'!$M232,"")</f>
        <v/>
      </c>
      <c r="AK234" s="46" t="str">
        <f aca="false">IF($D234="Panel Details",$O234,"")</f>
        <v/>
      </c>
      <c r="AL234" s="46" t="str">
        <f aca="false">IF($D234="Panel Details",8,"")</f>
        <v/>
      </c>
      <c r="AM234" s="46" t="str">
        <f aca="false">IF($D234="Panel Details",$AB234,"")</f>
        <v/>
      </c>
      <c r="AN234" s="46" t="str">
        <f aca="false">IF($D234="Panel Details","Yes","")</f>
        <v/>
      </c>
      <c r="AO234" s="46"/>
      <c r="AP234" s="46" t="str">
        <f aca="false">IF($D234="Followup",'Survey Response'!$D232,"")</f>
        <v/>
      </c>
      <c r="AQ234" s="46" t="str">
        <f aca="false">IF($D234="Followup",'Survey Response'!$E232,"")</f>
        <v/>
      </c>
      <c r="AR234" s="46" t="str">
        <f aca="false">IF($D234="Followup",'Survey Response'!$G232,"")</f>
        <v/>
      </c>
      <c r="AS234" s="46" t="str">
        <f aca="false">IF($D234="Followup",'Survey Response'!$H232,"")</f>
        <v/>
      </c>
      <c r="AT234" s="46" t="str">
        <f aca="false">IF($D234="Followup",'Survey Response'!$M232,"")</f>
        <v/>
      </c>
      <c r="AU234" s="46" t="str">
        <f aca="false">IF($D234="Followup",'Survey Response'!$K232,"")</f>
        <v/>
      </c>
      <c r="AV234" s="46" t="str">
        <f aca="false">IF($D234="Followup",'Survey Response'!$L232,"")</f>
        <v/>
      </c>
      <c r="AW234" s="46" t="str">
        <f aca="false">IF($D234="Followup",IF(AND($P234&lt;&gt;"Yes",$U234&lt;&gt;"Yes"),"Not approved for primary or secondary skill","Approved, but skill(s) no longer have capacity (fully staffed)"),"")</f>
        <v/>
      </c>
    </row>
    <row r="235" customFormat="false" ht="15" hidden="false" customHeight="true" outlineLevel="0" collapsed="false">
      <c r="A235" s="46" t="str">
        <f aca="false">IF('Survey Response'!$D233="","",'Survey Response'!$A233&amp;"|"&amp;LOWER(TRIM('Survey Response'!$D233)))</f>
        <v/>
      </c>
      <c r="B235" s="46" t="str">
        <f aca="false">IF($H235="","",$F235&amp;"|"&amp;$H235)</f>
        <v/>
      </c>
      <c r="C235" s="46" t="str">
        <f aca="false">IF($H235="","",$A235=$B235)</f>
        <v/>
      </c>
      <c r="D235" s="46" t="str">
        <f aca="false">IF($H235="","",IF($E235&lt;&gt;"Yes","Superseded",IF($I235&lt;&gt;"Yes, I'm available for in-person interviews at Chennai","Not Available",IF($Z235&lt;&gt;"","Panel Details","Followup"))))</f>
        <v/>
      </c>
      <c r="E235" s="46" t="str">
        <f aca="false">IF($H235="","",IF(SUMPRODUCT(($H$4:$H$503=$H235)*(($G$4:$G$503&gt;$G235)+($G$4:$G$503=$G235)*($F$4:$F$503&gt;$F235)))=0,"Yes","No"))</f>
        <v/>
      </c>
      <c r="F235" s="47" t="str">
        <f aca="false">IF('Survey Response'!$D233="","",INT('Survey Response'!$A233))</f>
        <v/>
      </c>
      <c r="G235" s="46" t="str">
        <f aca="false">IF('Survey Response'!$D233="","",'Survey Response'!$C233)</f>
        <v/>
      </c>
      <c r="H235" s="46" t="str">
        <f aca="false">IF('Survey Response'!$D233="","",LOWER(TRIM('Survey Response'!$D233)))</f>
        <v/>
      </c>
      <c r="I235" s="46" t="str">
        <f aca="false">IF($H235="","",'Survey Response'!$I233)</f>
        <v/>
      </c>
      <c r="J235" s="46" t="str">
        <f aca="false">IF($H235="","",'Survey Response'!$K233)</f>
        <v/>
      </c>
      <c r="K235" s="46" t="str">
        <f aca="false">IF($J235="","",IF(COUNTIF('Skill Mapping'!$A$2:$A$7,TRIM($J235))=0,"",INDEX('Skill Mapping'!$B$2:$B$7,MATCH(TRIM($J235),'Skill Mapping'!$A$2:$A$7,0))))</f>
        <v/>
      </c>
      <c r="L235" s="46" t="str">
        <f aca="false">IF($H235="","",'Survey Response'!$L233)</f>
        <v/>
      </c>
      <c r="M235" s="46" t="str">
        <f aca="false">IF($L235="","",IF(COUNTIF('Skill Mapping'!$A$2:$A$7,TRIM($L235))=0,"",INDEX('Skill Mapping'!$B$2:$B$7,MATCH(TRIM($L235),'Skill Mapping'!$A$2:$A$7,0))))</f>
        <v/>
      </c>
      <c r="N235" s="46" t="str">
        <f aca="false">IF($H235="","",'Survey Response'!$M233)</f>
        <v/>
      </c>
      <c r="O235" s="46" t="str">
        <f aca="false">IF($H235="","",IF('Survey Response'!$M233="Manager","R2","R1"))</f>
        <v/>
      </c>
      <c r="P235" s="46" t="str">
        <f aca="false">IF($K235="","No",IF(COUNTIFS(MasterPanel!$B:$B,$H235,MasterPanel!$I:$I,$K235,MasterPanel!$K:$K,"Y")&gt;0,"Yes","No"))</f>
        <v>No</v>
      </c>
      <c r="Q235" s="46" t="n">
        <f aca="false">IF($K235="",0,IF(COUNTIF('Gap Sheet'!$A$6:$A$11,TRIM($J235))=0,0,IF($O235="R1",INDEX('Gap Sheet'!$C$6:$C$11,MATCH(TRIM($J235),'Gap Sheet'!$A$6:$A$11,0)),INDEX('Gap Sheet'!$G$6:$G$11,MATCH(TRIM($J235),'Gap Sheet'!$A$6:$A$11,0)))))</f>
        <v>0</v>
      </c>
      <c r="R235" s="46" t="str">
        <f aca="false">IF($K235="","",$K235&amp;"|"&amp;$O235)</f>
        <v/>
      </c>
      <c r="S235" s="46" t="n">
        <f aca="false">IF($R235="",0,COUNTIF($AA$4:$AA234,$R235))</f>
        <v>0</v>
      </c>
      <c r="T235" s="46" t="str">
        <f aca="false">IF(OR($I235&lt;&gt;"Yes, I'm available for in-person interviews at Chennai",$E235&lt;&gt;"Yes",$P235&lt;&gt;"Yes"),"No",IF(($Q235-$S235)&gt;0,"Yes","No"))</f>
        <v>No</v>
      </c>
      <c r="U235" s="46" t="str">
        <f aca="false">IF($M235="","No",IF(COUNTIFS(MasterPanel!$B:$B,$H235,MasterPanel!$I:$I,$M235,MasterPanel!$K:$K,"Y")&gt;0,"Yes","No"))</f>
        <v>No</v>
      </c>
      <c r="V235" s="46" t="n">
        <f aca="false">IF($M235="",0,IF(COUNTIF('Gap Sheet'!$A$6:$A$11,TRIM($L235))=0,0,IF($O235="R1",INDEX('Gap Sheet'!$C$6:$C$11,MATCH(TRIM($L235),'Gap Sheet'!$A$6:$A$11,0)),INDEX('Gap Sheet'!$G$6:$G$11,MATCH(TRIM($L235),'Gap Sheet'!$A$6:$A$11,0)))))</f>
        <v>0</v>
      </c>
      <c r="W235" s="46" t="str">
        <f aca="false">IF($M235="","",$M235&amp;"|"&amp;$O235)</f>
        <v/>
      </c>
      <c r="X235" s="46" t="n">
        <f aca="false">IF($W235="",0,COUNTIF($AA$4:$AA234,$W235))</f>
        <v>0</v>
      </c>
      <c r="Y235" s="46" t="str">
        <f aca="false">IF(OR($I235&lt;&gt;"Yes, I'm available for in-person interviews at Chennai",$E235&lt;&gt;"Yes",$T235="Yes",$U235&lt;&gt;"Yes"),"No",IF(($V235-$X235)&gt;0,"Yes","No"))</f>
        <v>No</v>
      </c>
      <c r="Z235" s="46" t="str">
        <f aca="false">IF($T235="Yes","Primary",IF($Y235="Yes","Secondary",""))</f>
        <v/>
      </c>
      <c r="AA235" s="46" t="str">
        <f aca="false">IF($Z235="Primary",$R235,IF($Z235="Secondary",$W235,""))</f>
        <v/>
      </c>
      <c r="AB235" s="46" t="str">
        <f aca="false">IF($Z235="Primary","Matched on primary skill",IF($Z235="Secondary","Matched on secondary skill (primary not approved or not required)",""))</f>
        <v/>
      </c>
      <c r="AC235" s="47" t="str">
        <f aca="false">IF($D235="Panel Details",$F235,"")</f>
        <v/>
      </c>
      <c r="AD235" s="46" t="str">
        <f aca="false">IF($D235="Panel Details",'Survey Response'!$D233,"")</f>
        <v/>
      </c>
      <c r="AE235" s="46" t="str">
        <f aca="false">IF($D235="Panel Details",'Survey Response'!$E233,"")</f>
        <v/>
      </c>
      <c r="AF235" s="46" t="str">
        <f aca="false">IF($D235="Panel Details",'Survey Response'!$G233,"")</f>
        <v/>
      </c>
      <c r="AG235" s="46" t="str">
        <f aca="false">IF($D235="Panel Details",IF($Z235="Primary",$J235,$L235),"")</f>
        <v/>
      </c>
      <c r="AH235" s="46" t="str">
        <f aca="false">IF($D235="Panel Details",IF($Z235="Primary",$L235,$J235),"")</f>
        <v/>
      </c>
      <c r="AI235" s="46" t="str">
        <f aca="false">IF($D235="Panel Details",'Survey Response'!$H233,"")</f>
        <v/>
      </c>
      <c r="AJ235" s="46" t="str">
        <f aca="false">IF($D235="Panel Details",'Survey Response'!$M233,"")</f>
        <v/>
      </c>
      <c r="AK235" s="46" t="str">
        <f aca="false">IF($D235="Panel Details",$O235,"")</f>
        <v/>
      </c>
      <c r="AL235" s="46" t="str">
        <f aca="false">IF($D235="Panel Details",8,"")</f>
        <v/>
      </c>
      <c r="AM235" s="46" t="str">
        <f aca="false">IF($D235="Panel Details",$AB235,"")</f>
        <v/>
      </c>
      <c r="AN235" s="46" t="str">
        <f aca="false">IF($D235="Panel Details","Yes","")</f>
        <v/>
      </c>
      <c r="AO235" s="46"/>
      <c r="AP235" s="46" t="str">
        <f aca="false">IF($D235="Followup",'Survey Response'!$D233,"")</f>
        <v/>
      </c>
      <c r="AQ235" s="46" t="str">
        <f aca="false">IF($D235="Followup",'Survey Response'!$E233,"")</f>
        <v/>
      </c>
      <c r="AR235" s="46" t="str">
        <f aca="false">IF($D235="Followup",'Survey Response'!$G233,"")</f>
        <v/>
      </c>
      <c r="AS235" s="46" t="str">
        <f aca="false">IF($D235="Followup",'Survey Response'!$H233,"")</f>
        <v/>
      </c>
      <c r="AT235" s="46" t="str">
        <f aca="false">IF($D235="Followup",'Survey Response'!$M233,"")</f>
        <v/>
      </c>
      <c r="AU235" s="46" t="str">
        <f aca="false">IF($D235="Followup",'Survey Response'!$K233,"")</f>
        <v/>
      </c>
      <c r="AV235" s="46" t="str">
        <f aca="false">IF($D235="Followup",'Survey Response'!$L233,"")</f>
        <v/>
      </c>
      <c r="AW235" s="46" t="str">
        <f aca="false">IF($D235="Followup",IF(AND($P235&lt;&gt;"Yes",$U235&lt;&gt;"Yes"),"Not approved for primary or secondary skill","Approved, but skill(s) no longer have capacity (fully staffed)"),"")</f>
        <v/>
      </c>
    </row>
    <row r="236" customFormat="false" ht="15" hidden="false" customHeight="true" outlineLevel="0" collapsed="false">
      <c r="A236" s="46" t="str">
        <f aca="false">IF('Survey Response'!$D234="","",'Survey Response'!$A234&amp;"|"&amp;LOWER(TRIM('Survey Response'!$D234)))</f>
        <v/>
      </c>
      <c r="B236" s="46" t="str">
        <f aca="false">IF($H236="","",$F236&amp;"|"&amp;$H236)</f>
        <v/>
      </c>
      <c r="C236" s="46" t="str">
        <f aca="false">IF($H236="","",$A236=$B236)</f>
        <v/>
      </c>
      <c r="D236" s="46" t="str">
        <f aca="false">IF($H236="","",IF($E236&lt;&gt;"Yes","Superseded",IF($I236&lt;&gt;"Yes, I'm available for in-person interviews at Chennai","Not Available",IF($Z236&lt;&gt;"","Panel Details","Followup"))))</f>
        <v/>
      </c>
      <c r="E236" s="46" t="str">
        <f aca="false">IF($H236="","",IF(SUMPRODUCT(($H$4:$H$503=$H236)*(($G$4:$G$503&gt;$G236)+($G$4:$G$503=$G236)*($F$4:$F$503&gt;$F236)))=0,"Yes","No"))</f>
        <v/>
      </c>
      <c r="F236" s="47" t="str">
        <f aca="false">IF('Survey Response'!$D234="","",INT('Survey Response'!$A234))</f>
        <v/>
      </c>
      <c r="G236" s="46" t="str">
        <f aca="false">IF('Survey Response'!$D234="","",'Survey Response'!$C234)</f>
        <v/>
      </c>
      <c r="H236" s="46" t="str">
        <f aca="false">IF('Survey Response'!$D234="","",LOWER(TRIM('Survey Response'!$D234)))</f>
        <v/>
      </c>
      <c r="I236" s="46" t="str">
        <f aca="false">IF($H236="","",'Survey Response'!$I234)</f>
        <v/>
      </c>
      <c r="J236" s="46" t="str">
        <f aca="false">IF($H236="","",'Survey Response'!$K234)</f>
        <v/>
      </c>
      <c r="K236" s="46" t="str">
        <f aca="false">IF($J236="","",IF(COUNTIF('Skill Mapping'!$A$2:$A$7,TRIM($J236))=0,"",INDEX('Skill Mapping'!$B$2:$B$7,MATCH(TRIM($J236),'Skill Mapping'!$A$2:$A$7,0))))</f>
        <v/>
      </c>
      <c r="L236" s="46" t="str">
        <f aca="false">IF($H236="","",'Survey Response'!$L234)</f>
        <v/>
      </c>
      <c r="M236" s="46" t="str">
        <f aca="false">IF($L236="","",IF(COUNTIF('Skill Mapping'!$A$2:$A$7,TRIM($L236))=0,"",INDEX('Skill Mapping'!$B$2:$B$7,MATCH(TRIM($L236),'Skill Mapping'!$A$2:$A$7,0))))</f>
        <v/>
      </c>
      <c r="N236" s="46" t="str">
        <f aca="false">IF($H236="","",'Survey Response'!$M234)</f>
        <v/>
      </c>
      <c r="O236" s="46" t="str">
        <f aca="false">IF($H236="","",IF('Survey Response'!$M234="Manager","R2","R1"))</f>
        <v/>
      </c>
      <c r="P236" s="46" t="str">
        <f aca="false">IF($K236="","No",IF(COUNTIFS(MasterPanel!$B:$B,$H236,MasterPanel!$I:$I,$K236,MasterPanel!$K:$K,"Y")&gt;0,"Yes","No"))</f>
        <v>No</v>
      </c>
      <c r="Q236" s="46" t="n">
        <f aca="false">IF($K236="",0,IF(COUNTIF('Gap Sheet'!$A$6:$A$11,TRIM($J236))=0,0,IF($O236="R1",INDEX('Gap Sheet'!$C$6:$C$11,MATCH(TRIM($J236),'Gap Sheet'!$A$6:$A$11,0)),INDEX('Gap Sheet'!$G$6:$G$11,MATCH(TRIM($J236),'Gap Sheet'!$A$6:$A$11,0)))))</f>
        <v>0</v>
      </c>
      <c r="R236" s="46" t="str">
        <f aca="false">IF($K236="","",$K236&amp;"|"&amp;$O236)</f>
        <v/>
      </c>
      <c r="S236" s="46" t="n">
        <f aca="false">IF($R236="",0,COUNTIF($AA$4:$AA235,$R236))</f>
        <v>0</v>
      </c>
      <c r="T236" s="46" t="str">
        <f aca="false">IF(OR($I236&lt;&gt;"Yes, I'm available for in-person interviews at Chennai",$E236&lt;&gt;"Yes",$P236&lt;&gt;"Yes"),"No",IF(($Q236-$S236)&gt;0,"Yes","No"))</f>
        <v>No</v>
      </c>
      <c r="U236" s="46" t="str">
        <f aca="false">IF($M236="","No",IF(COUNTIFS(MasterPanel!$B:$B,$H236,MasterPanel!$I:$I,$M236,MasterPanel!$K:$K,"Y")&gt;0,"Yes","No"))</f>
        <v>No</v>
      </c>
      <c r="V236" s="46" t="n">
        <f aca="false">IF($M236="",0,IF(COUNTIF('Gap Sheet'!$A$6:$A$11,TRIM($L236))=0,0,IF($O236="R1",INDEX('Gap Sheet'!$C$6:$C$11,MATCH(TRIM($L236),'Gap Sheet'!$A$6:$A$11,0)),INDEX('Gap Sheet'!$G$6:$G$11,MATCH(TRIM($L236),'Gap Sheet'!$A$6:$A$11,0)))))</f>
        <v>0</v>
      </c>
      <c r="W236" s="46" t="str">
        <f aca="false">IF($M236="","",$M236&amp;"|"&amp;$O236)</f>
        <v/>
      </c>
      <c r="X236" s="46" t="n">
        <f aca="false">IF($W236="",0,COUNTIF($AA$4:$AA235,$W236))</f>
        <v>0</v>
      </c>
      <c r="Y236" s="46" t="str">
        <f aca="false">IF(OR($I236&lt;&gt;"Yes, I'm available for in-person interviews at Chennai",$E236&lt;&gt;"Yes",$T236="Yes",$U236&lt;&gt;"Yes"),"No",IF(($V236-$X236)&gt;0,"Yes","No"))</f>
        <v>No</v>
      </c>
      <c r="Z236" s="46" t="str">
        <f aca="false">IF($T236="Yes","Primary",IF($Y236="Yes","Secondary",""))</f>
        <v/>
      </c>
      <c r="AA236" s="46" t="str">
        <f aca="false">IF($Z236="Primary",$R236,IF($Z236="Secondary",$W236,""))</f>
        <v/>
      </c>
      <c r="AB236" s="46" t="str">
        <f aca="false">IF($Z236="Primary","Matched on primary skill",IF($Z236="Secondary","Matched on secondary skill (primary not approved or not required)",""))</f>
        <v/>
      </c>
      <c r="AC236" s="47" t="str">
        <f aca="false">IF($D236="Panel Details",$F236,"")</f>
        <v/>
      </c>
      <c r="AD236" s="46" t="str">
        <f aca="false">IF($D236="Panel Details",'Survey Response'!$D234,"")</f>
        <v/>
      </c>
      <c r="AE236" s="46" t="str">
        <f aca="false">IF($D236="Panel Details",'Survey Response'!$E234,"")</f>
        <v/>
      </c>
      <c r="AF236" s="46" t="str">
        <f aca="false">IF($D236="Panel Details",'Survey Response'!$G234,"")</f>
        <v/>
      </c>
      <c r="AG236" s="46" t="str">
        <f aca="false">IF($D236="Panel Details",IF($Z236="Primary",$J236,$L236),"")</f>
        <v/>
      </c>
      <c r="AH236" s="46" t="str">
        <f aca="false">IF($D236="Panel Details",IF($Z236="Primary",$L236,$J236),"")</f>
        <v/>
      </c>
      <c r="AI236" s="46" t="str">
        <f aca="false">IF($D236="Panel Details",'Survey Response'!$H234,"")</f>
        <v/>
      </c>
      <c r="AJ236" s="46" t="str">
        <f aca="false">IF($D236="Panel Details",'Survey Response'!$M234,"")</f>
        <v/>
      </c>
      <c r="AK236" s="46" t="str">
        <f aca="false">IF($D236="Panel Details",$O236,"")</f>
        <v/>
      </c>
      <c r="AL236" s="46" t="str">
        <f aca="false">IF($D236="Panel Details",8,"")</f>
        <v/>
      </c>
      <c r="AM236" s="46" t="str">
        <f aca="false">IF($D236="Panel Details",$AB236,"")</f>
        <v/>
      </c>
      <c r="AN236" s="46" t="str">
        <f aca="false">IF($D236="Panel Details","Yes","")</f>
        <v/>
      </c>
      <c r="AO236" s="46"/>
      <c r="AP236" s="46" t="str">
        <f aca="false">IF($D236="Followup",'Survey Response'!$D234,"")</f>
        <v/>
      </c>
      <c r="AQ236" s="46" t="str">
        <f aca="false">IF($D236="Followup",'Survey Response'!$E234,"")</f>
        <v/>
      </c>
      <c r="AR236" s="46" t="str">
        <f aca="false">IF($D236="Followup",'Survey Response'!$G234,"")</f>
        <v/>
      </c>
      <c r="AS236" s="46" t="str">
        <f aca="false">IF($D236="Followup",'Survey Response'!$H234,"")</f>
        <v/>
      </c>
      <c r="AT236" s="46" t="str">
        <f aca="false">IF($D236="Followup",'Survey Response'!$M234,"")</f>
        <v/>
      </c>
      <c r="AU236" s="46" t="str">
        <f aca="false">IF($D236="Followup",'Survey Response'!$K234,"")</f>
        <v/>
      </c>
      <c r="AV236" s="46" t="str">
        <f aca="false">IF($D236="Followup",'Survey Response'!$L234,"")</f>
        <v/>
      </c>
      <c r="AW236" s="46" t="str">
        <f aca="false">IF($D236="Followup",IF(AND($P236&lt;&gt;"Yes",$U236&lt;&gt;"Yes"),"Not approved for primary or secondary skill","Approved, but skill(s) no longer have capacity (fully staffed)"),"")</f>
        <v/>
      </c>
    </row>
    <row r="237" customFormat="false" ht="15" hidden="false" customHeight="true" outlineLevel="0" collapsed="false">
      <c r="A237" s="46" t="str">
        <f aca="false">IF('Survey Response'!$D235="","",'Survey Response'!$A235&amp;"|"&amp;LOWER(TRIM('Survey Response'!$D235)))</f>
        <v/>
      </c>
      <c r="B237" s="46" t="str">
        <f aca="false">IF($H237="","",$F237&amp;"|"&amp;$H237)</f>
        <v/>
      </c>
      <c r="C237" s="46" t="str">
        <f aca="false">IF($H237="","",$A237=$B237)</f>
        <v/>
      </c>
      <c r="D237" s="46" t="str">
        <f aca="false">IF($H237="","",IF($E237&lt;&gt;"Yes","Superseded",IF($I237&lt;&gt;"Yes, I'm available for in-person interviews at Chennai","Not Available",IF($Z237&lt;&gt;"","Panel Details","Followup"))))</f>
        <v/>
      </c>
      <c r="E237" s="46" t="str">
        <f aca="false">IF($H237="","",IF(SUMPRODUCT(($H$4:$H$503=$H237)*(($G$4:$G$503&gt;$G237)+($G$4:$G$503=$G237)*($F$4:$F$503&gt;$F237)))=0,"Yes","No"))</f>
        <v/>
      </c>
      <c r="F237" s="47" t="str">
        <f aca="false">IF('Survey Response'!$D235="","",INT('Survey Response'!$A235))</f>
        <v/>
      </c>
      <c r="G237" s="46" t="str">
        <f aca="false">IF('Survey Response'!$D235="","",'Survey Response'!$C235)</f>
        <v/>
      </c>
      <c r="H237" s="46" t="str">
        <f aca="false">IF('Survey Response'!$D235="","",LOWER(TRIM('Survey Response'!$D235)))</f>
        <v/>
      </c>
      <c r="I237" s="46" t="str">
        <f aca="false">IF($H237="","",'Survey Response'!$I235)</f>
        <v/>
      </c>
      <c r="J237" s="46" t="str">
        <f aca="false">IF($H237="","",'Survey Response'!$K235)</f>
        <v/>
      </c>
      <c r="K237" s="46" t="str">
        <f aca="false">IF($J237="","",IF(COUNTIF('Skill Mapping'!$A$2:$A$7,TRIM($J237))=0,"",INDEX('Skill Mapping'!$B$2:$B$7,MATCH(TRIM($J237),'Skill Mapping'!$A$2:$A$7,0))))</f>
        <v/>
      </c>
      <c r="L237" s="46" t="str">
        <f aca="false">IF($H237="","",'Survey Response'!$L235)</f>
        <v/>
      </c>
      <c r="M237" s="46" t="str">
        <f aca="false">IF($L237="","",IF(COUNTIF('Skill Mapping'!$A$2:$A$7,TRIM($L237))=0,"",INDEX('Skill Mapping'!$B$2:$B$7,MATCH(TRIM($L237),'Skill Mapping'!$A$2:$A$7,0))))</f>
        <v/>
      </c>
      <c r="N237" s="46" t="str">
        <f aca="false">IF($H237="","",'Survey Response'!$M235)</f>
        <v/>
      </c>
      <c r="O237" s="46" t="str">
        <f aca="false">IF($H237="","",IF('Survey Response'!$M235="Manager","R2","R1"))</f>
        <v/>
      </c>
      <c r="P237" s="46" t="str">
        <f aca="false">IF($K237="","No",IF(COUNTIFS(MasterPanel!$B:$B,$H237,MasterPanel!$I:$I,$K237,MasterPanel!$K:$K,"Y")&gt;0,"Yes","No"))</f>
        <v>No</v>
      </c>
      <c r="Q237" s="46" t="n">
        <f aca="false">IF($K237="",0,IF(COUNTIF('Gap Sheet'!$A$6:$A$11,TRIM($J237))=0,0,IF($O237="R1",INDEX('Gap Sheet'!$C$6:$C$11,MATCH(TRIM($J237),'Gap Sheet'!$A$6:$A$11,0)),INDEX('Gap Sheet'!$G$6:$G$11,MATCH(TRIM($J237),'Gap Sheet'!$A$6:$A$11,0)))))</f>
        <v>0</v>
      </c>
      <c r="R237" s="46" t="str">
        <f aca="false">IF($K237="","",$K237&amp;"|"&amp;$O237)</f>
        <v/>
      </c>
      <c r="S237" s="46" t="n">
        <f aca="false">IF($R237="",0,COUNTIF($AA$4:$AA236,$R237))</f>
        <v>0</v>
      </c>
      <c r="T237" s="46" t="str">
        <f aca="false">IF(OR($I237&lt;&gt;"Yes, I'm available for in-person interviews at Chennai",$E237&lt;&gt;"Yes",$P237&lt;&gt;"Yes"),"No",IF(($Q237-$S237)&gt;0,"Yes","No"))</f>
        <v>No</v>
      </c>
      <c r="U237" s="46" t="str">
        <f aca="false">IF($M237="","No",IF(COUNTIFS(MasterPanel!$B:$B,$H237,MasterPanel!$I:$I,$M237,MasterPanel!$K:$K,"Y")&gt;0,"Yes","No"))</f>
        <v>No</v>
      </c>
      <c r="V237" s="46" t="n">
        <f aca="false">IF($M237="",0,IF(COUNTIF('Gap Sheet'!$A$6:$A$11,TRIM($L237))=0,0,IF($O237="R1",INDEX('Gap Sheet'!$C$6:$C$11,MATCH(TRIM($L237),'Gap Sheet'!$A$6:$A$11,0)),INDEX('Gap Sheet'!$G$6:$G$11,MATCH(TRIM($L237),'Gap Sheet'!$A$6:$A$11,0)))))</f>
        <v>0</v>
      </c>
      <c r="W237" s="46" t="str">
        <f aca="false">IF($M237="","",$M237&amp;"|"&amp;$O237)</f>
        <v/>
      </c>
      <c r="X237" s="46" t="n">
        <f aca="false">IF($W237="",0,COUNTIF($AA$4:$AA236,$W237))</f>
        <v>0</v>
      </c>
      <c r="Y237" s="46" t="str">
        <f aca="false">IF(OR($I237&lt;&gt;"Yes, I'm available for in-person interviews at Chennai",$E237&lt;&gt;"Yes",$T237="Yes",$U237&lt;&gt;"Yes"),"No",IF(($V237-$X237)&gt;0,"Yes","No"))</f>
        <v>No</v>
      </c>
      <c r="Z237" s="46" t="str">
        <f aca="false">IF($T237="Yes","Primary",IF($Y237="Yes","Secondary",""))</f>
        <v/>
      </c>
      <c r="AA237" s="46" t="str">
        <f aca="false">IF($Z237="Primary",$R237,IF($Z237="Secondary",$W237,""))</f>
        <v/>
      </c>
      <c r="AB237" s="46" t="str">
        <f aca="false">IF($Z237="Primary","Matched on primary skill",IF($Z237="Secondary","Matched on secondary skill (primary not approved or not required)",""))</f>
        <v/>
      </c>
      <c r="AC237" s="47" t="str">
        <f aca="false">IF($D237="Panel Details",$F237,"")</f>
        <v/>
      </c>
      <c r="AD237" s="46" t="str">
        <f aca="false">IF($D237="Panel Details",'Survey Response'!$D235,"")</f>
        <v/>
      </c>
      <c r="AE237" s="46" t="str">
        <f aca="false">IF($D237="Panel Details",'Survey Response'!$E235,"")</f>
        <v/>
      </c>
      <c r="AF237" s="46" t="str">
        <f aca="false">IF($D237="Panel Details",'Survey Response'!$G235,"")</f>
        <v/>
      </c>
      <c r="AG237" s="46" t="str">
        <f aca="false">IF($D237="Panel Details",IF($Z237="Primary",$J237,$L237),"")</f>
        <v/>
      </c>
      <c r="AH237" s="46" t="str">
        <f aca="false">IF($D237="Panel Details",IF($Z237="Primary",$L237,$J237),"")</f>
        <v/>
      </c>
      <c r="AI237" s="46" t="str">
        <f aca="false">IF($D237="Panel Details",'Survey Response'!$H235,"")</f>
        <v/>
      </c>
      <c r="AJ237" s="46" t="str">
        <f aca="false">IF($D237="Panel Details",'Survey Response'!$M235,"")</f>
        <v/>
      </c>
      <c r="AK237" s="46" t="str">
        <f aca="false">IF($D237="Panel Details",$O237,"")</f>
        <v/>
      </c>
      <c r="AL237" s="46" t="str">
        <f aca="false">IF($D237="Panel Details",8,"")</f>
        <v/>
      </c>
      <c r="AM237" s="46" t="str">
        <f aca="false">IF($D237="Panel Details",$AB237,"")</f>
        <v/>
      </c>
      <c r="AN237" s="46" t="str">
        <f aca="false">IF($D237="Panel Details","Yes","")</f>
        <v/>
      </c>
      <c r="AO237" s="46"/>
      <c r="AP237" s="46" t="str">
        <f aca="false">IF($D237="Followup",'Survey Response'!$D235,"")</f>
        <v/>
      </c>
      <c r="AQ237" s="46" t="str">
        <f aca="false">IF($D237="Followup",'Survey Response'!$E235,"")</f>
        <v/>
      </c>
      <c r="AR237" s="46" t="str">
        <f aca="false">IF($D237="Followup",'Survey Response'!$G235,"")</f>
        <v/>
      </c>
      <c r="AS237" s="46" t="str">
        <f aca="false">IF($D237="Followup",'Survey Response'!$H235,"")</f>
        <v/>
      </c>
      <c r="AT237" s="46" t="str">
        <f aca="false">IF($D237="Followup",'Survey Response'!$M235,"")</f>
        <v/>
      </c>
      <c r="AU237" s="46" t="str">
        <f aca="false">IF($D237="Followup",'Survey Response'!$K235,"")</f>
        <v/>
      </c>
      <c r="AV237" s="46" t="str">
        <f aca="false">IF($D237="Followup",'Survey Response'!$L235,"")</f>
        <v/>
      </c>
      <c r="AW237" s="46" t="str">
        <f aca="false">IF($D237="Followup",IF(AND($P237&lt;&gt;"Yes",$U237&lt;&gt;"Yes"),"Not approved for primary or secondary skill","Approved, but skill(s) no longer have capacity (fully staffed)"),"")</f>
        <v/>
      </c>
    </row>
    <row r="238" customFormat="false" ht="15" hidden="false" customHeight="true" outlineLevel="0" collapsed="false">
      <c r="A238" s="46" t="str">
        <f aca="false">IF('Survey Response'!$D236="","",'Survey Response'!$A236&amp;"|"&amp;LOWER(TRIM('Survey Response'!$D236)))</f>
        <v/>
      </c>
      <c r="B238" s="46" t="str">
        <f aca="false">IF($H238="","",$F238&amp;"|"&amp;$H238)</f>
        <v/>
      </c>
      <c r="C238" s="46" t="str">
        <f aca="false">IF($H238="","",$A238=$B238)</f>
        <v/>
      </c>
      <c r="D238" s="46" t="str">
        <f aca="false">IF($H238="","",IF($E238&lt;&gt;"Yes","Superseded",IF($I238&lt;&gt;"Yes, I'm available for in-person interviews at Chennai","Not Available",IF($Z238&lt;&gt;"","Panel Details","Followup"))))</f>
        <v/>
      </c>
      <c r="E238" s="46" t="str">
        <f aca="false">IF($H238="","",IF(SUMPRODUCT(($H$4:$H$503=$H238)*(($G$4:$G$503&gt;$G238)+($G$4:$G$503=$G238)*($F$4:$F$503&gt;$F238)))=0,"Yes","No"))</f>
        <v/>
      </c>
      <c r="F238" s="47" t="str">
        <f aca="false">IF('Survey Response'!$D236="","",INT('Survey Response'!$A236))</f>
        <v/>
      </c>
      <c r="G238" s="46" t="str">
        <f aca="false">IF('Survey Response'!$D236="","",'Survey Response'!$C236)</f>
        <v/>
      </c>
      <c r="H238" s="46" t="str">
        <f aca="false">IF('Survey Response'!$D236="","",LOWER(TRIM('Survey Response'!$D236)))</f>
        <v/>
      </c>
      <c r="I238" s="46" t="str">
        <f aca="false">IF($H238="","",'Survey Response'!$I236)</f>
        <v/>
      </c>
      <c r="J238" s="46" t="str">
        <f aca="false">IF($H238="","",'Survey Response'!$K236)</f>
        <v/>
      </c>
      <c r="K238" s="46" t="str">
        <f aca="false">IF($J238="","",IF(COUNTIF('Skill Mapping'!$A$2:$A$7,TRIM($J238))=0,"",INDEX('Skill Mapping'!$B$2:$B$7,MATCH(TRIM($J238),'Skill Mapping'!$A$2:$A$7,0))))</f>
        <v/>
      </c>
      <c r="L238" s="46" t="str">
        <f aca="false">IF($H238="","",'Survey Response'!$L236)</f>
        <v/>
      </c>
      <c r="M238" s="46" t="str">
        <f aca="false">IF($L238="","",IF(COUNTIF('Skill Mapping'!$A$2:$A$7,TRIM($L238))=0,"",INDEX('Skill Mapping'!$B$2:$B$7,MATCH(TRIM($L238),'Skill Mapping'!$A$2:$A$7,0))))</f>
        <v/>
      </c>
      <c r="N238" s="46" t="str">
        <f aca="false">IF($H238="","",'Survey Response'!$M236)</f>
        <v/>
      </c>
      <c r="O238" s="46" t="str">
        <f aca="false">IF($H238="","",IF('Survey Response'!$M236="Manager","R2","R1"))</f>
        <v/>
      </c>
      <c r="P238" s="46" t="str">
        <f aca="false">IF($K238="","No",IF(COUNTIFS(MasterPanel!$B:$B,$H238,MasterPanel!$I:$I,$K238,MasterPanel!$K:$K,"Y")&gt;0,"Yes","No"))</f>
        <v>No</v>
      </c>
      <c r="Q238" s="46" t="n">
        <f aca="false">IF($K238="",0,IF(COUNTIF('Gap Sheet'!$A$6:$A$11,TRIM($J238))=0,0,IF($O238="R1",INDEX('Gap Sheet'!$C$6:$C$11,MATCH(TRIM($J238),'Gap Sheet'!$A$6:$A$11,0)),INDEX('Gap Sheet'!$G$6:$G$11,MATCH(TRIM($J238),'Gap Sheet'!$A$6:$A$11,0)))))</f>
        <v>0</v>
      </c>
      <c r="R238" s="46" t="str">
        <f aca="false">IF($K238="","",$K238&amp;"|"&amp;$O238)</f>
        <v/>
      </c>
      <c r="S238" s="46" t="n">
        <f aca="false">IF($R238="",0,COUNTIF($AA$4:$AA237,$R238))</f>
        <v>0</v>
      </c>
      <c r="T238" s="46" t="str">
        <f aca="false">IF(OR($I238&lt;&gt;"Yes, I'm available for in-person interviews at Chennai",$E238&lt;&gt;"Yes",$P238&lt;&gt;"Yes"),"No",IF(($Q238-$S238)&gt;0,"Yes","No"))</f>
        <v>No</v>
      </c>
      <c r="U238" s="46" t="str">
        <f aca="false">IF($M238="","No",IF(COUNTIFS(MasterPanel!$B:$B,$H238,MasterPanel!$I:$I,$M238,MasterPanel!$K:$K,"Y")&gt;0,"Yes","No"))</f>
        <v>No</v>
      </c>
      <c r="V238" s="46" t="n">
        <f aca="false">IF($M238="",0,IF(COUNTIF('Gap Sheet'!$A$6:$A$11,TRIM($L238))=0,0,IF($O238="R1",INDEX('Gap Sheet'!$C$6:$C$11,MATCH(TRIM($L238),'Gap Sheet'!$A$6:$A$11,0)),INDEX('Gap Sheet'!$G$6:$G$11,MATCH(TRIM($L238),'Gap Sheet'!$A$6:$A$11,0)))))</f>
        <v>0</v>
      </c>
      <c r="W238" s="46" t="str">
        <f aca="false">IF($M238="","",$M238&amp;"|"&amp;$O238)</f>
        <v/>
      </c>
      <c r="X238" s="46" t="n">
        <f aca="false">IF($W238="",0,COUNTIF($AA$4:$AA237,$W238))</f>
        <v>0</v>
      </c>
      <c r="Y238" s="46" t="str">
        <f aca="false">IF(OR($I238&lt;&gt;"Yes, I'm available for in-person interviews at Chennai",$E238&lt;&gt;"Yes",$T238="Yes",$U238&lt;&gt;"Yes"),"No",IF(($V238-$X238)&gt;0,"Yes","No"))</f>
        <v>No</v>
      </c>
      <c r="Z238" s="46" t="str">
        <f aca="false">IF($T238="Yes","Primary",IF($Y238="Yes","Secondary",""))</f>
        <v/>
      </c>
      <c r="AA238" s="46" t="str">
        <f aca="false">IF($Z238="Primary",$R238,IF($Z238="Secondary",$W238,""))</f>
        <v/>
      </c>
      <c r="AB238" s="46" t="str">
        <f aca="false">IF($Z238="Primary","Matched on primary skill",IF($Z238="Secondary","Matched on secondary skill (primary not approved or not required)",""))</f>
        <v/>
      </c>
      <c r="AC238" s="47" t="str">
        <f aca="false">IF($D238="Panel Details",$F238,"")</f>
        <v/>
      </c>
      <c r="AD238" s="46" t="str">
        <f aca="false">IF($D238="Panel Details",'Survey Response'!$D236,"")</f>
        <v/>
      </c>
      <c r="AE238" s="46" t="str">
        <f aca="false">IF($D238="Panel Details",'Survey Response'!$E236,"")</f>
        <v/>
      </c>
      <c r="AF238" s="46" t="str">
        <f aca="false">IF($D238="Panel Details",'Survey Response'!$G236,"")</f>
        <v/>
      </c>
      <c r="AG238" s="46" t="str">
        <f aca="false">IF($D238="Panel Details",IF($Z238="Primary",$J238,$L238),"")</f>
        <v/>
      </c>
      <c r="AH238" s="46" t="str">
        <f aca="false">IF($D238="Panel Details",IF($Z238="Primary",$L238,$J238),"")</f>
        <v/>
      </c>
      <c r="AI238" s="46" t="str">
        <f aca="false">IF($D238="Panel Details",'Survey Response'!$H236,"")</f>
        <v/>
      </c>
      <c r="AJ238" s="46" t="str">
        <f aca="false">IF($D238="Panel Details",'Survey Response'!$M236,"")</f>
        <v/>
      </c>
      <c r="AK238" s="46" t="str">
        <f aca="false">IF($D238="Panel Details",$O238,"")</f>
        <v/>
      </c>
      <c r="AL238" s="46" t="str">
        <f aca="false">IF($D238="Panel Details",8,"")</f>
        <v/>
      </c>
      <c r="AM238" s="46" t="str">
        <f aca="false">IF($D238="Panel Details",$AB238,"")</f>
        <v/>
      </c>
      <c r="AN238" s="46" t="str">
        <f aca="false">IF($D238="Panel Details","Yes","")</f>
        <v/>
      </c>
      <c r="AO238" s="46"/>
      <c r="AP238" s="46" t="str">
        <f aca="false">IF($D238="Followup",'Survey Response'!$D236,"")</f>
        <v/>
      </c>
      <c r="AQ238" s="46" t="str">
        <f aca="false">IF($D238="Followup",'Survey Response'!$E236,"")</f>
        <v/>
      </c>
      <c r="AR238" s="46" t="str">
        <f aca="false">IF($D238="Followup",'Survey Response'!$G236,"")</f>
        <v/>
      </c>
      <c r="AS238" s="46" t="str">
        <f aca="false">IF($D238="Followup",'Survey Response'!$H236,"")</f>
        <v/>
      </c>
      <c r="AT238" s="46" t="str">
        <f aca="false">IF($D238="Followup",'Survey Response'!$M236,"")</f>
        <v/>
      </c>
      <c r="AU238" s="46" t="str">
        <f aca="false">IF($D238="Followup",'Survey Response'!$K236,"")</f>
        <v/>
      </c>
      <c r="AV238" s="46" t="str">
        <f aca="false">IF($D238="Followup",'Survey Response'!$L236,"")</f>
        <v/>
      </c>
      <c r="AW238" s="46" t="str">
        <f aca="false">IF($D238="Followup",IF(AND($P238&lt;&gt;"Yes",$U238&lt;&gt;"Yes"),"Not approved for primary or secondary skill","Approved, but skill(s) no longer have capacity (fully staffed)"),"")</f>
        <v/>
      </c>
    </row>
    <row r="239" customFormat="false" ht="15" hidden="false" customHeight="true" outlineLevel="0" collapsed="false">
      <c r="A239" s="46" t="str">
        <f aca="false">IF('Survey Response'!$D237="","",'Survey Response'!$A237&amp;"|"&amp;LOWER(TRIM('Survey Response'!$D237)))</f>
        <v/>
      </c>
      <c r="B239" s="46" t="str">
        <f aca="false">IF($H239="","",$F239&amp;"|"&amp;$H239)</f>
        <v/>
      </c>
      <c r="C239" s="46" t="str">
        <f aca="false">IF($H239="","",$A239=$B239)</f>
        <v/>
      </c>
      <c r="D239" s="46" t="str">
        <f aca="false">IF($H239="","",IF($E239&lt;&gt;"Yes","Superseded",IF($I239&lt;&gt;"Yes, I'm available for in-person interviews at Chennai","Not Available",IF($Z239&lt;&gt;"","Panel Details","Followup"))))</f>
        <v/>
      </c>
      <c r="E239" s="46" t="str">
        <f aca="false">IF($H239="","",IF(SUMPRODUCT(($H$4:$H$503=$H239)*(($G$4:$G$503&gt;$G239)+($G$4:$G$503=$G239)*($F$4:$F$503&gt;$F239)))=0,"Yes","No"))</f>
        <v/>
      </c>
      <c r="F239" s="47" t="str">
        <f aca="false">IF('Survey Response'!$D237="","",INT('Survey Response'!$A237))</f>
        <v/>
      </c>
      <c r="G239" s="46" t="str">
        <f aca="false">IF('Survey Response'!$D237="","",'Survey Response'!$C237)</f>
        <v/>
      </c>
      <c r="H239" s="46" t="str">
        <f aca="false">IF('Survey Response'!$D237="","",LOWER(TRIM('Survey Response'!$D237)))</f>
        <v/>
      </c>
      <c r="I239" s="46" t="str">
        <f aca="false">IF($H239="","",'Survey Response'!$I237)</f>
        <v/>
      </c>
      <c r="J239" s="46" t="str">
        <f aca="false">IF($H239="","",'Survey Response'!$K237)</f>
        <v/>
      </c>
      <c r="K239" s="46" t="str">
        <f aca="false">IF($J239="","",IF(COUNTIF('Skill Mapping'!$A$2:$A$7,TRIM($J239))=0,"",INDEX('Skill Mapping'!$B$2:$B$7,MATCH(TRIM($J239),'Skill Mapping'!$A$2:$A$7,0))))</f>
        <v/>
      </c>
      <c r="L239" s="46" t="str">
        <f aca="false">IF($H239="","",'Survey Response'!$L237)</f>
        <v/>
      </c>
      <c r="M239" s="46" t="str">
        <f aca="false">IF($L239="","",IF(COUNTIF('Skill Mapping'!$A$2:$A$7,TRIM($L239))=0,"",INDEX('Skill Mapping'!$B$2:$B$7,MATCH(TRIM($L239),'Skill Mapping'!$A$2:$A$7,0))))</f>
        <v/>
      </c>
      <c r="N239" s="46" t="str">
        <f aca="false">IF($H239="","",'Survey Response'!$M237)</f>
        <v/>
      </c>
      <c r="O239" s="46" t="str">
        <f aca="false">IF($H239="","",IF('Survey Response'!$M237="Manager","R2","R1"))</f>
        <v/>
      </c>
      <c r="P239" s="46" t="str">
        <f aca="false">IF($K239="","No",IF(COUNTIFS(MasterPanel!$B:$B,$H239,MasterPanel!$I:$I,$K239,MasterPanel!$K:$K,"Y")&gt;0,"Yes","No"))</f>
        <v>No</v>
      </c>
      <c r="Q239" s="46" t="n">
        <f aca="false">IF($K239="",0,IF(COUNTIF('Gap Sheet'!$A$6:$A$11,TRIM($J239))=0,0,IF($O239="R1",INDEX('Gap Sheet'!$C$6:$C$11,MATCH(TRIM($J239),'Gap Sheet'!$A$6:$A$11,0)),INDEX('Gap Sheet'!$G$6:$G$11,MATCH(TRIM($J239),'Gap Sheet'!$A$6:$A$11,0)))))</f>
        <v>0</v>
      </c>
      <c r="R239" s="46" t="str">
        <f aca="false">IF($K239="","",$K239&amp;"|"&amp;$O239)</f>
        <v/>
      </c>
      <c r="S239" s="46" t="n">
        <f aca="false">IF($R239="",0,COUNTIF($AA$4:$AA238,$R239))</f>
        <v>0</v>
      </c>
      <c r="T239" s="46" t="str">
        <f aca="false">IF(OR($I239&lt;&gt;"Yes, I'm available for in-person interviews at Chennai",$E239&lt;&gt;"Yes",$P239&lt;&gt;"Yes"),"No",IF(($Q239-$S239)&gt;0,"Yes","No"))</f>
        <v>No</v>
      </c>
      <c r="U239" s="46" t="str">
        <f aca="false">IF($M239="","No",IF(COUNTIFS(MasterPanel!$B:$B,$H239,MasterPanel!$I:$I,$M239,MasterPanel!$K:$K,"Y")&gt;0,"Yes","No"))</f>
        <v>No</v>
      </c>
      <c r="V239" s="46" t="n">
        <f aca="false">IF($M239="",0,IF(COUNTIF('Gap Sheet'!$A$6:$A$11,TRIM($L239))=0,0,IF($O239="R1",INDEX('Gap Sheet'!$C$6:$C$11,MATCH(TRIM($L239),'Gap Sheet'!$A$6:$A$11,0)),INDEX('Gap Sheet'!$G$6:$G$11,MATCH(TRIM($L239),'Gap Sheet'!$A$6:$A$11,0)))))</f>
        <v>0</v>
      </c>
      <c r="W239" s="46" t="str">
        <f aca="false">IF($M239="","",$M239&amp;"|"&amp;$O239)</f>
        <v/>
      </c>
      <c r="X239" s="46" t="n">
        <f aca="false">IF($W239="",0,COUNTIF($AA$4:$AA238,$W239))</f>
        <v>0</v>
      </c>
      <c r="Y239" s="46" t="str">
        <f aca="false">IF(OR($I239&lt;&gt;"Yes, I'm available for in-person interviews at Chennai",$E239&lt;&gt;"Yes",$T239="Yes",$U239&lt;&gt;"Yes"),"No",IF(($V239-$X239)&gt;0,"Yes","No"))</f>
        <v>No</v>
      </c>
      <c r="Z239" s="46" t="str">
        <f aca="false">IF($T239="Yes","Primary",IF($Y239="Yes","Secondary",""))</f>
        <v/>
      </c>
      <c r="AA239" s="46" t="str">
        <f aca="false">IF($Z239="Primary",$R239,IF($Z239="Secondary",$W239,""))</f>
        <v/>
      </c>
      <c r="AB239" s="46" t="str">
        <f aca="false">IF($Z239="Primary","Matched on primary skill",IF($Z239="Secondary","Matched on secondary skill (primary not approved or not required)",""))</f>
        <v/>
      </c>
      <c r="AC239" s="47" t="str">
        <f aca="false">IF($D239="Panel Details",$F239,"")</f>
        <v/>
      </c>
      <c r="AD239" s="46" t="str">
        <f aca="false">IF($D239="Panel Details",'Survey Response'!$D237,"")</f>
        <v/>
      </c>
      <c r="AE239" s="46" t="str">
        <f aca="false">IF($D239="Panel Details",'Survey Response'!$E237,"")</f>
        <v/>
      </c>
      <c r="AF239" s="46" t="str">
        <f aca="false">IF($D239="Panel Details",'Survey Response'!$G237,"")</f>
        <v/>
      </c>
      <c r="AG239" s="46" t="str">
        <f aca="false">IF($D239="Panel Details",IF($Z239="Primary",$J239,$L239),"")</f>
        <v/>
      </c>
      <c r="AH239" s="46" t="str">
        <f aca="false">IF($D239="Panel Details",IF($Z239="Primary",$L239,$J239),"")</f>
        <v/>
      </c>
      <c r="AI239" s="46" t="str">
        <f aca="false">IF($D239="Panel Details",'Survey Response'!$H237,"")</f>
        <v/>
      </c>
      <c r="AJ239" s="46" t="str">
        <f aca="false">IF($D239="Panel Details",'Survey Response'!$M237,"")</f>
        <v/>
      </c>
      <c r="AK239" s="46" t="str">
        <f aca="false">IF($D239="Panel Details",$O239,"")</f>
        <v/>
      </c>
      <c r="AL239" s="46" t="str">
        <f aca="false">IF($D239="Panel Details",8,"")</f>
        <v/>
      </c>
      <c r="AM239" s="46" t="str">
        <f aca="false">IF($D239="Panel Details",$AB239,"")</f>
        <v/>
      </c>
      <c r="AN239" s="46" t="str">
        <f aca="false">IF($D239="Panel Details","Yes","")</f>
        <v/>
      </c>
      <c r="AO239" s="46"/>
      <c r="AP239" s="46" t="str">
        <f aca="false">IF($D239="Followup",'Survey Response'!$D237,"")</f>
        <v/>
      </c>
      <c r="AQ239" s="46" t="str">
        <f aca="false">IF($D239="Followup",'Survey Response'!$E237,"")</f>
        <v/>
      </c>
      <c r="AR239" s="46" t="str">
        <f aca="false">IF($D239="Followup",'Survey Response'!$G237,"")</f>
        <v/>
      </c>
      <c r="AS239" s="46" t="str">
        <f aca="false">IF($D239="Followup",'Survey Response'!$H237,"")</f>
        <v/>
      </c>
      <c r="AT239" s="46" t="str">
        <f aca="false">IF($D239="Followup",'Survey Response'!$M237,"")</f>
        <v/>
      </c>
      <c r="AU239" s="46" t="str">
        <f aca="false">IF($D239="Followup",'Survey Response'!$K237,"")</f>
        <v/>
      </c>
      <c r="AV239" s="46" t="str">
        <f aca="false">IF($D239="Followup",'Survey Response'!$L237,"")</f>
        <v/>
      </c>
      <c r="AW239" s="46" t="str">
        <f aca="false">IF($D239="Followup",IF(AND($P239&lt;&gt;"Yes",$U239&lt;&gt;"Yes"),"Not approved for primary or secondary skill","Approved, but skill(s) no longer have capacity (fully staffed)"),"")</f>
        <v/>
      </c>
    </row>
    <row r="240" customFormat="false" ht="15" hidden="false" customHeight="true" outlineLevel="0" collapsed="false">
      <c r="A240" s="46" t="str">
        <f aca="false">IF('Survey Response'!$D238="","",'Survey Response'!$A238&amp;"|"&amp;LOWER(TRIM('Survey Response'!$D238)))</f>
        <v/>
      </c>
      <c r="B240" s="46" t="str">
        <f aca="false">IF($H240="","",$F240&amp;"|"&amp;$H240)</f>
        <v/>
      </c>
      <c r="C240" s="46" t="str">
        <f aca="false">IF($H240="","",$A240=$B240)</f>
        <v/>
      </c>
      <c r="D240" s="46" t="str">
        <f aca="false">IF($H240="","",IF($E240&lt;&gt;"Yes","Superseded",IF($I240&lt;&gt;"Yes, I'm available for in-person interviews at Chennai","Not Available",IF($Z240&lt;&gt;"","Panel Details","Followup"))))</f>
        <v/>
      </c>
      <c r="E240" s="46" t="str">
        <f aca="false">IF($H240="","",IF(SUMPRODUCT(($H$4:$H$503=$H240)*(($G$4:$G$503&gt;$G240)+($G$4:$G$503=$G240)*($F$4:$F$503&gt;$F240)))=0,"Yes","No"))</f>
        <v/>
      </c>
      <c r="F240" s="47" t="str">
        <f aca="false">IF('Survey Response'!$D238="","",INT('Survey Response'!$A238))</f>
        <v/>
      </c>
      <c r="G240" s="46" t="str">
        <f aca="false">IF('Survey Response'!$D238="","",'Survey Response'!$C238)</f>
        <v/>
      </c>
      <c r="H240" s="46" t="str">
        <f aca="false">IF('Survey Response'!$D238="","",LOWER(TRIM('Survey Response'!$D238)))</f>
        <v/>
      </c>
      <c r="I240" s="46" t="str">
        <f aca="false">IF($H240="","",'Survey Response'!$I238)</f>
        <v/>
      </c>
      <c r="J240" s="46" t="str">
        <f aca="false">IF($H240="","",'Survey Response'!$K238)</f>
        <v/>
      </c>
      <c r="K240" s="46" t="str">
        <f aca="false">IF($J240="","",IF(COUNTIF('Skill Mapping'!$A$2:$A$7,TRIM($J240))=0,"",INDEX('Skill Mapping'!$B$2:$B$7,MATCH(TRIM($J240),'Skill Mapping'!$A$2:$A$7,0))))</f>
        <v/>
      </c>
      <c r="L240" s="46" t="str">
        <f aca="false">IF($H240="","",'Survey Response'!$L238)</f>
        <v/>
      </c>
      <c r="M240" s="46" t="str">
        <f aca="false">IF($L240="","",IF(COUNTIF('Skill Mapping'!$A$2:$A$7,TRIM($L240))=0,"",INDEX('Skill Mapping'!$B$2:$B$7,MATCH(TRIM($L240),'Skill Mapping'!$A$2:$A$7,0))))</f>
        <v/>
      </c>
      <c r="N240" s="46" t="str">
        <f aca="false">IF($H240="","",'Survey Response'!$M238)</f>
        <v/>
      </c>
      <c r="O240" s="46" t="str">
        <f aca="false">IF($H240="","",IF('Survey Response'!$M238="Manager","R2","R1"))</f>
        <v/>
      </c>
      <c r="P240" s="46" t="str">
        <f aca="false">IF($K240="","No",IF(COUNTIFS(MasterPanel!$B:$B,$H240,MasterPanel!$I:$I,$K240,MasterPanel!$K:$K,"Y")&gt;0,"Yes","No"))</f>
        <v>No</v>
      </c>
      <c r="Q240" s="46" t="n">
        <f aca="false">IF($K240="",0,IF(COUNTIF('Gap Sheet'!$A$6:$A$11,TRIM($J240))=0,0,IF($O240="R1",INDEX('Gap Sheet'!$C$6:$C$11,MATCH(TRIM($J240),'Gap Sheet'!$A$6:$A$11,0)),INDEX('Gap Sheet'!$G$6:$G$11,MATCH(TRIM($J240),'Gap Sheet'!$A$6:$A$11,0)))))</f>
        <v>0</v>
      </c>
      <c r="R240" s="46" t="str">
        <f aca="false">IF($K240="","",$K240&amp;"|"&amp;$O240)</f>
        <v/>
      </c>
      <c r="S240" s="46" t="n">
        <f aca="false">IF($R240="",0,COUNTIF($AA$4:$AA239,$R240))</f>
        <v>0</v>
      </c>
      <c r="T240" s="46" t="str">
        <f aca="false">IF(OR($I240&lt;&gt;"Yes, I'm available for in-person interviews at Chennai",$E240&lt;&gt;"Yes",$P240&lt;&gt;"Yes"),"No",IF(($Q240-$S240)&gt;0,"Yes","No"))</f>
        <v>No</v>
      </c>
      <c r="U240" s="46" t="str">
        <f aca="false">IF($M240="","No",IF(COUNTIFS(MasterPanel!$B:$B,$H240,MasterPanel!$I:$I,$M240,MasterPanel!$K:$K,"Y")&gt;0,"Yes","No"))</f>
        <v>No</v>
      </c>
      <c r="V240" s="46" t="n">
        <f aca="false">IF($M240="",0,IF(COUNTIF('Gap Sheet'!$A$6:$A$11,TRIM($L240))=0,0,IF($O240="R1",INDEX('Gap Sheet'!$C$6:$C$11,MATCH(TRIM($L240),'Gap Sheet'!$A$6:$A$11,0)),INDEX('Gap Sheet'!$G$6:$G$11,MATCH(TRIM($L240),'Gap Sheet'!$A$6:$A$11,0)))))</f>
        <v>0</v>
      </c>
      <c r="W240" s="46" t="str">
        <f aca="false">IF($M240="","",$M240&amp;"|"&amp;$O240)</f>
        <v/>
      </c>
      <c r="X240" s="46" t="n">
        <f aca="false">IF($W240="",0,COUNTIF($AA$4:$AA239,$W240))</f>
        <v>0</v>
      </c>
      <c r="Y240" s="46" t="str">
        <f aca="false">IF(OR($I240&lt;&gt;"Yes, I'm available for in-person interviews at Chennai",$E240&lt;&gt;"Yes",$T240="Yes",$U240&lt;&gt;"Yes"),"No",IF(($V240-$X240)&gt;0,"Yes","No"))</f>
        <v>No</v>
      </c>
      <c r="Z240" s="46" t="str">
        <f aca="false">IF($T240="Yes","Primary",IF($Y240="Yes","Secondary",""))</f>
        <v/>
      </c>
      <c r="AA240" s="46" t="str">
        <f aca="false">IF($Z240="Primary",$R240,IF($Z240="Secondary",$W240,""))</f>
        <v/>
      </c>
      <c r="AB240" s="46" t="str">
        <f aca="false">IF($Z240="Primary","Matched on primary skill",IF($Z240="Secondary","Matched on secondary skill (primary not approved or not required)",""))</f>
        <v/>
      </c>
      <c r="AC240" s="47" t="str">
        <f aca="false">IF($D240="Panel Details",$F240,"")</f>
        <v/>
      </c>
      <c r="AD240" s="46" t="str">
        <f aca="false">IF($D240="Panel Details",'Survey Response'!$D238,"")</f>
        <v/>
      </c>
      <c r="AE240" s="46" t="str">
        <f aca="false">IF($D240="Panel Details",'Survey Response'!$E238,"")</f>
        <v/>
      </c>
      <c r="AF240" s="46" t="str">
        <f aca="false">IF($D240="Panel Details",'Survey Response'!$G238,"")</f>
        <v/>
      </c>
      <c r="AG240" s="46" t="str">
        <f aca="false">IF($D240="Panel Details",IF($Z240="Primary",$J240,$L240),"")</f>
        <v/>
      </c>
      <c r="AH240" s="46" t="str">
        <f aca="false">IF($D240="Panel Details",IF($Z240="Primary",$L240,$J240),"")</f>
        <v/>
      </c>
      <c r="AI240" s="46" t="str">
        <f aca="false">IF($D240="Panel Details",'Survey Response'!$H238,"")</f>
        <v/>
      </c>
      <c r="AJ240" s="46" t="str">
        <f aca="false">IF($D240="Panel Details",'Survey Response'!$M238,"")</f>
        <v/>
      </c>
      <c r="AK240" s="46" t="str">
        <f aca="false">IF($D240="Panel Details",$O240,"")</f>
        <v/>
      </c>
      <c r="AL240" s="46" t="str">
        <f aca="false">IF($D240="Panel Details",8,"")</f>
        <v/>
      </c>
      <c r="AM240" s="46" t="str">
        <f aca="false">IF($D240="Panel Details",$AB240,"")</f>
        <v/>
      </c>
      <c r="AN240" s="46" t="str">
        <f aca="false">IF($D240="Panel Details","Yes","")</f>
        <v/>
      </c>
      <c r="AO240" s="46"/>
      <c r="AP240" s="46" t="str">
        <f aca="false">IF($D240="Followup",'Survey Response'!$D238,"")</f>
        <v/>
      </c>
      <c r="AQ240" s="46" t="str">
        <f aca="false">IF($D240="Followup",'Survey Response'!$E238,"")</f>
        <v/>
      </c>
      <c r="AR240" s="46" t="str">
        <f aca="false">IF($D240="Followup",'Survey Response'!$G238,"")</f>
        <v/>
      </c>
      <c r="AS240" s="46" t="str">
        <f aca="false">IF($D240="Followup",'Survey Response'!$H238,"")</f>
        <v/>
      </c>
      <c r="AT240" s="46" t="str">
        <f aca="false">IF($D240="Followup",'Survey Response'!$M238,"")</f>
        <v/>
      </c>
      <c r="AU240" s="46" t="str">
        <f aca="false">IF($D240="Followup",'Survey Response'!$K238,"")</f>
        <v/>
      </c>
      <c r="AV240" s="46" t="str">
        <f aca="false">IF($D240="Followup",'Survey Response'!$L238,"")</f>
        <v/>
      </c>
      <c r="AW240" s="46" t="str">
        <f aca="false">IF($D240="Followup",IF(AND($P240&lt;&gt;"Yes",$U240&lt;&gt;"Yes"),"Not approved for primary or secondary skill","Approved, but skill(s) no longer have capacity (fully staffed)"),"")</f>
        <v/>
      </c>
    </row>
    <row r="241" customFormat="false" ht="15" hidden="false" customHeight="true" outlineLevel="0" collapsed="false">
      <c r="A241" s="46" t="str">
        <f aca="false">IF('Survey Response'!$D239="","",'Survey Response'!$A239&amp;"|"&amp;LOWER(TRIM('Survey Response'!$D239)))</f>
        <v/>
      </c>
      <c r="B241" s="46" t="str">
        <f aca="false">IF($H241="","",$F241&amp;"|"&amp;$H241)</f>
        <v/>
      </c>
      <c r="C241" s="46" t="str">
        <f aca="false">IF($H241="","",$A241=$B241)</f>
        <v/>
      </c>
      <c r="D241" s="46" t="str">
        <f aca="false">IF($H241="","",IF($E241&lt;&gt;"Yes","Superseded",IF($I241&lt;&gt;"Yes, I'm available for in-person interviews at Chennai","Not Available",IF($Z241&lt;&gt;"","Panel Details","Followup"))))</f>
        <v/>
      </c>
      <c r="E241" s="46" t="str">
        <f aca="false">IF($H241="","",IF(SUMPRODUCT(($H$4:$H$503=$H241)*(($G$4:$G$503&gt;$G241)+($G$4:$G$503=$G241)*($F$4:$F$503&gt;$F241)))=0,"Yes","No"))</f>
        <v/>
      </c>
      <c r="F241" s="47" t="str">
        <f aca="false">IF('Survey Response'!$D239="","",INT('Survey Response'!$A239))</f>
        <v/>
      </c>
      <c r="G241" s="46" t="str">
        <f aca="false">IF('Survey Response'!$D239="","",'Survey Response'!$C239)</f>
        <v/>
      </c>
      <c r="H241" s="46" t="str">
        <f aca="false">IF('Survey Response'!$D239="","",LOWER(TRIM('Survey Response'!$D239)))</f>
        <v/>
      </c>
      <c r="I241" s="46" t="str">
        <f aca="false">IF($H241="","",'Survey Response'!$I239)</f>
        <v/>
      </c>
      <c r="J241" s="46" t="str">
        <f aca="false">IF($H241="","",'Survey Response'!$K239)</f>
        <v/>
      </c>
      <c r="K241" s="46" t="str">
        <f aca="false">IF($J241="","",IF(COUNTIF('Skill Mapping'!$A$2:$A$7,TRIM($J241))=0,"",INDEX('Skill Mapping'!$B$2:$B$7,MATCH(TRIM($J241),'Skill Mapping'!$A$2:$A$7,0))))</f>
        <v/>
      </c>
      <c r="L241" s="46" t="str">
        <f aca="false">IF($H241="","",'Survey Response'!$L239)</f>
        <v/>
      </c>
      <c r="M241" s="46" t="str">
        <f aca="false">IF($L241="","",IF(COUNTIF('Skill Mapping'!$A$2:$A$7,TRIM($L241))=0,"",INDEX('Skill Mapping'!$B$2:$B$7,MATCH(TRIM($L241),'Skill Mapping'!$A$2:$A$7,0))))</f>
        <v/>
      </c>
      <c r="N241" s="46" t="str">
        <f aca="false">IF($H241="","",'Survey Response'!$M239)</f>
        <v/>
      </c>
      <c r="O241" s="46" t="str">
        <f aca="false">IF($H241="","",IF('Survey Response'!$M239="Manager","R2","R1"))</f>
        <v/>
      </c>
      <c r="P241" s="46" t="str">
        <f aca="false">IF($K241="","No",IF(COUNTIFS(MasterPanel!$B:$B,$H241,MasterPanel!$I:$I,$K241,MasterPanel!$K:$K,"Y")&gt;0,"Yes","No"))</f>
        <v>No</v>
      </c>
      <c r="Q241" s="46" t="n">
        <f aca="false">IF($K241="",0,IF(COUNTIF('Gap Sheet'!$A$6:$A$11,TRIM($J241))=0,0,IF($O241="R1",INDEX('Gap Sheet'!$C$6:$C$11,MATCH(TRIM($J241),'Gap Sheet'!$A$6:$A$11,0)),INDEX('Gap Sheet'!$G$6:$G$11,MATCH(TRIM($J241),'Gap Sheet'!$A$6:$A$11,0)))))</f>
        <v>0</v>
      </c>
      <c r="R241" s="46" t="str">
        <f aca="false">IF($K241="","",$K241&amp;"|"&amp;$O241)</f>
        <v/>
      </c>
      <c r="S241" s="46" t="n">
        <f aca="false">IF($R241="",0,COUNTIF($AA$4:$AA240,$R241))</f>
        <v>0</v>
      </c>
      <c r="T241" s="46" t="str">
        <f aca="false">IF(OR($I241&lt;&gt;"Yes, I'm available for in-person interviews at Chennai",$E241&lt;&gt;"Yes",$P241&lt;&gt;"Yes"),"No",IF(($Q241-$S241)&gt;0,"Yes","No"))</f>
        <v>No</v>
      </c>
      <c r="U241" s="46" t="str">
        <f aca="false">IF($M241="","No",IF(COUNTIFS(MasterPanel!$B:$B,$H241,MasterPanel!$I:$I,$M241,MasterPanel!$K:$K,"Y")&gt;0,"Yes","No"))</f>
        <v>No</v>
      </c>
      <c r="V241" s="46" t="n">
        <f aca="false">IF($M241="",0,IF(COUNTIF('Gap Sheet'!$A$6:$A$11,TRIM($L241))=0,0,IF($O241="R1",INDEX('Gap Sheet'!$C$6:$C$11,MATCH(TRIM($L241),'Gap Sheet'!$A$6:$A$11,0)),INDEX('Gap Sheet'!$G$6:$G$11,MATCH(TRIM($L241),'Gap Sheet'!$A$6:$A$11,0)))))</f>
        <v>0</v>
      </c>
      <c r="W241" s="46" t="str">
        <f aca="false">IF($M241="","",$M241&amp;"|"&amp;$O241)</f>
        <v/>
      </c>
      <c r="X241" s="46" t="n">
        <f aca="false">IF($W241="",0,COUNTIF($AA$4:$AA240,$W241))</f>
        <v>0</v>
      </c>
      <c r="Y241" s="46" t="str">
        <f aca="false">IF(OR($I241&lt;&gt;"Yes, I'm available for in-person interviews at Chennai",$E241&lt;&gt;"Yes",$T241="Yes",$U241&lt;&gt;"Yes"),"No",IF(($V241-$X241)&gt;0,"Yes","No"))</f>
        <v>No</v>
      </c>
      <c r="Z241" s="46" t="str">
        <f aca="false">IF($T241="Yes","Primary",IF($Y241="Yes","Secondary",""))</f>
        <v/>
      </c>
      <c r="AA241" s="46" t="str">
        <f aca="false">IF($Z241="Primary",$R241,IF($Z241="Secondary",$W241,""))</f>
        <v/>
      </c>
      <c r="AB241" s="46" t="str">
        <f aca="false">IF($Z241="Primary","Matched on primary skill",IF($Z241="Secondary","Matched on secondary skill (primary not approved or not required)",""))</f>
        <v/>
      </c>
      <c r="AC241" s="47" t="str">
        <f aca="false">IF($D241="Panel Details",$F241,"")</f>
        <v/>
      </c>
      <c r="AD241" s="46" t="str">
        <f aca="false">IF($D241="Panel Details",'Survey Response'!$D239,"")</f>
        <v/>
      </c>
      <c r="AE241" s="46" t="str">
        <f aca="false">IF($D241="Panel Details",'Survey Response'!$E239,"")</f>
        <v/>
      </c>
      <c r="AF241" s="46" t="str">
        <f aca="false">IF($D241="Panel Details",'Survey Response'!$G239,"")</f>
        <v/>
      </c>
      <c r="AG241" s="46" t="str">
        <f aca="false">IF($D241="Panel Details",IF($Z241="Primary",$J241,$L241),"")</f>
        <v/>
      </c>
      <c r="AH241" s="46" t="str">
        <f aca="false">IF($D241="Panel Details",IF($Z241="Primary",$L241,$J241),"")</f>
        <v/>
      </c>
      <c r="AI241" s="46" t="str">
        <f aca="false">IF($D241="Panel Details",'Survey Response'!$H239,"")</f>
        <v/>
      </c>
      <c r="AJ241" s="46" t="str">
        <f aca="false">IF($D241="Panel Details",'Survey Response'!$M239,"")</f>
        <v/>
      </c>
      <c r="AK241" s="46" t="str">
        <f aca="false">IF($D241="Panel Details",$O241,"")</f>
        <v/>
      </c>
      <c r="AL241" s="46" t="str">
        <f aca="false">IF($D241="Panel Details",8,"")</f>
        <v/>
      </c>
      <c r="AM241" s="46" t="str">
        <f aca="false">IF($D241="Panel Details",$AB241,"")</f>
        <v/>
      </c>
      <c r="AN241" s="46" t="str">
        <f aca="false">IF($D241="Panel Details","Yes","")</f>
        <v/>
      </c>
      <c r="AO241" s="46"/>
      <c r="AP241" s="46" t="str">
        <f aca="false">IF($D241="Followup",'Survey Response'!$D239,"")</f>
        <v/>
      </c>
      <c r="AQ241" s="46" t="str">
        <f aca="false">IF($D241="Followup",'Survey Response'!$E239,"")</f>
        <v/>
      </c>
      <c r="AR241" s="46" t="str">
        <f aca="false">IF($D241="Followup",'Survey Response'!$G239,"")</f>
        <v/>
      </c>
      <c r="AS241" s="46" t="str">
        <f aca="false">IF($D241="Followup",'Survey Response'!$H239,"")</f>
        <v/>
      </c>
      <c r="AT241" s="46" t="str">
        <f aca="false">IF($D241="Followup",'Survey Response'!$M239,"")</f>
        <v/>
      </c>
      <c r="AU241" s="46" t="str">
        <f aca="false">IF($D241="Followup",'Survey Response'!$K239,"")</f>
        <v/>
      </c>
      <c r="AV241" s="46" t="str">
        <f aca="false">IF($D241="Followup",'Survey Response'!$L239,"")</f>
        <v/>
      </c>
      <c r="AW241" s="46" t="str">
        <f aca="false">IF($D241="Followup",IF(AND($P241&lt;&gt;"Yes",$U241&lt;&gt;"Yes"),"Not approved for primary or secondary skill","Approved, but skill(s) no longer have capacity (fully staffed)"),"")</f>
        <v/>
      </c>
    </row>
    <row r="242" customFormat="false" ht="15" hidden="false" customHeight="true" outlineLevel="0" collapsed="false">
      <c r="A242" s="46" t="str">
        <f aca="false">IF('Survey Response'!$D240="","",'Survey Response'!$A240&amp;"|"&amp;LOWER(TRIM('Survey Response'!$D240)))</f>
        <v/>
      </c>
      <c r="B242" s="46" t="str">
        <f aca="false">IF($H242="","",$F242&amp;"|"&amp;$H242)</f>
        <v/>
      </c>
      <c r="C242" s="46" t="str">
        <f aca="false">IF($H242="","",$A242=$B242)</f>
        <v/>
      </c>
      <c r="D242" s="46" t="str">
        <f aca="false">IF($H242="","",IF($E242&lt;&gt;"Yes","Superseded",IF($I242&lt;&gt;"Yes, I'm available for in-person interviews at Chennai","Not Available",IF($Z242&lt;&gt;"","Panel Details","Followup"))))</f>
        <v/>
      </c>
      <c r="E242" s="46" t="str">
        <f aca="false">IF($H242="","",IF(SUMPRODUCT(($H$4:$H$503=$H242)*(($G$4:$G$503&gt;$G242)+($G$4:$G$503=$G242)*($F$4:$F$503&gt;$F242)))=0,"Yes","No"))</f>
        <v/>
      </c>
      <c r="F242" s="47" t="str">
        <f aca="false">IF('Survey Response'!$D240="","",INT('Survey Response'!$A240))</f>
        <v/>
      </c>
      <c r="G242" s="46" t="str">
        <f aca="false">IF('Survey Response'!$D240="","",'Survey Response'!$C240)</f>
        <v/>
      </c>
      <c r="H242" s="46" t="str">
        <f aca="false">IF('Survey Response'!$D240="","",LOWER(TRIM('Survey Response'!$D240)))</f>
        <v/>
      </c>
      <c r="I242" s="46" t="str">
        <f aca="false">IF($H242="","",'Survey Response'!$I240)</f>
        <v/>
      </c>
      <c r="J242" s="46" t="str">
        <f aca="false">IF($H242="","",'Survey Response'!$K240)</f>
        <v/>
      </c>
      <c r="K242" s="46" t="str">
        <f aca="false">IF($J242="","",IF(COUNTIF('Skill Mapping'!$A$2:$A$7,TRIM($J242))=0,"",INDEX('Skill Mapping'!$B$2:$B$7,MATCH(TRIM($J242),'Skill Mapping'!$A$2:$A$7,0))))</f>
        <v/>
      </c>
      <c r="L242" s="46" t="str">
        <f aca="false">IF($H242="","",'Survey Response'!$L240)</f>
        <v/>
      </c>
      <c r="M242" s="46" t="str">
        <f aca="false">IF($L242="","",IF(COUNTIF('Skill Mapping'!$A$2:$A$7,TRIM($L242))=0,"",INDEX('Skill Mapping'!$B$2:$B$7,MATCH(TRIM($L242),'Skill Mapping'!$A$2:$A$7,0))))</f>
        <v/>
      </c>
      <c r="N242" s="46" t="str">
        <f aca="false">IF($H242="","",'Survey Response'!$M240)</f>
        <v/>
      </c>
      <c r="O242" s="46" t="str">
        <f aca="false">IF($H242="","",IF('Survey Response'!$M240="Manager","R2","R1"))</f>
        <v/>
      </c>
      <c r="P242" s="46" t="str">
        <f aca="false">IF($K242="","No",IF(COUNTIFS(MasterPanel!$B:$B,$H242,MasterPanel!$I:$I,$K242,MasterPanel!$K:$K,"Y")&gt;0,"Yes","No"))</f>
        <v>No</v>
      </c>
      <c r="Q242" s="46" t="n">
        <f aca="false">IF($K242="",0,IF(COUNTIF('Gap Sheet'!$A$6:$A$11,TRIM($J242))=0,0,IF($O242="R1",INDEX('Gap Sheet'!$C$6:$C$11,MATCH(TRIM($J242),'Gap Sheet'!$A$6:$A$11,0)),INDEX('Gap Sheet'!$G$6:$G$11,MATCH(TRIM($J242),'Gap Sheet'!$A$6:$A$11,0)))))</f>
        <v>0</v>
      </c>
      <c r="R242" s="46" t="str">
        <f aca="false">IF($K242="","",$K242&amp;"|"&amp;$O242)</f>
        <v/>
      </c>
      <c r="S242" s="46" t="n">
        <f aca="false">IF($R242="",0,COUNTIF($AA$4:$AA241,$R242))</f>
        <v>0</v>
      </c>
      <c r="T242" s="46" t="str">
        <f aca="false">IF(OR($I242&lt;&gt;"Yes, I'm available for in-person interviews at Chennai",$E242&lt;&gt;"Yes",$P242&lt;&gt;"Yes"),"No",IF(($Q242-$S242)&gt;0,"Yes","No"))</f>
        <v>No</v>
      </c>
      <c r="U242" s="46" t="str">
        <f aca="false">IF($M242="","No",IF(COUNTIFS(MasterPanel!$B:$B,$H242,MasterPanel!$I:$I,$M242,MasterPanel!$K:$K,"Y")&gt;0,"Yes","No"))</f>
        <v>No</v>
      </c>
      <c r="V242" s="46" t="n">
        <f aca="false">IF($M242="",0,IF(COUNTIF('Gap Sheet'!$A$6:$A$11,TRIM($L242))=0,0,IF($O242="R1",INDEX('Gap Sheet'!$C$6:$C$11,MATCH(TRIM($L242),'Gap Sheet'!$A$6:$A$11,0)),INDEX('Gap Sheet'!$G$6:$G$11,MATCH(TRIM($L242),'Gap Sheet'!$A$6:$A$11,0)))))</f>
        <v>0</v>
      </c>
      <c r="W242" s="46" t="str">
        <f aca="false">IF($M242="","",$M242&amp;"|"&amp;$O242)</f>
        <v/>
      </c>
      <c r="X242" s="46" t="n">
        <f aca="false">IF($W242="",0,COUNTIF($AA$4:$AA241,$W242))</f>
        <v>0</v>
      </c>
      <c r="Y242" s="46" t="str">
        <f aca="false">IF(OR($I242&lt;&gt;"Yes, I'm available for in-person interviews at Chennai",$E242&lt;&gt;"Yes",$T242="Yes",$U242&lt;&gt;"Yes"),"No",IF(($V242-$X242)&gt;0,"Yes","No"))</f>
        <v>No</v>
      </c>
      <c r="Z242" s="46" t="str">
        <f aca="false">IF($T242="Yes","Primary",IF($Y242="Yes","Secondary",""))</f>
        <v/>
      </c>
      <c r="AA242" s="46" t="str">
        <f aca="false">IF($Z242="Primary",$R242,IF($Z242="Secondary",$W242,""))</f>
        <v/>
      </c>
      <c r="AB242" s="46" t="str">
        <f aca="false">IF($Z242="Primary","Matched on primary skill",IF($Z242="Secondary","Matched on secondary skill (primary not approved or not required)",""))</f>
        <v/>
      </c>
      <c r="AC242" s="47" t="str">
        <f aca="false">IF($D242="Panel Details",$F242,"")</f>
        <v/>
      </c>
      <c r="AD242" s="46" t="str">
        <f aca="false">IF($D242="Panel Details",'Survey Response'!$D240,"")</f>
        <v/>
      </c>
      <c r="AE242" s="46" t="str">
        <f aca="false">IF($D242="Panel Details",'Survey Response'!$E240,"")</f>
        <v/>
      </c>
      <c r="AF242" s="46" t="str">
        <f aca="false">IF($D242="Panel Details",'Survey Response'!$G240,"")</f>
        <v/>
      </c>
      <c r="AG242" s="46" t="str">
        <f aca="false">IF($D242="Panel Details",IF($Z242="Primary",$J242,$L242),"")</f>
        <v/>
      </c>
      <c r="AH242" s="46" t="str">
        <f aca="false">IF($D242="Panel Details",IF($Z242="Primary",$L242,$J242),"")</f>
        <v/>
      </c>
      <c r="AI242" s="46" t="str">
        <f aca="false">IF($D242="Panel Details",'Survey Response'!$H240,"")</f>
        <v/>
      </c>
      <c r="AJ242" s="46" t="str">
        <f aca="false">IF($D242="Panel Details",'Survey Response'!$M240,"")</f>
        <v/>
      </c>
      <c r="AK242" s="46" t="str">
        <f aca="false">IF($D242="Panel Details",$O242,"")</f>
        <v/>
      </c>
      <c r="AL242" s="46" t="str">
        <f aca="false">IF($D242="Panel Details",8,"")</f>
        <v/>
      </c>
      <c r="AM242" s="46" t="str">
        <f aca="false">IF($D242="Panel Details",$AB242,"")</f>
        <v/>
      </c>
      <c r="AN242" s="46" t="str">
        <f aca="false">IF($D242="Panel Details","Yes","")</f>
        <v/>
      </c>
      <c r="AO242" s="46"/>
      <c r="AP242" s="46" t="str">
        <f aca="false">IF($D242="Followup",'Survey Response'!$D240,"")</f>
        <v/>
      </c>
      <c r="AQ242" s="46" t="str">
        <f aca="false">IF($D242="Followup",'Survey Response'!$E240,"")</f>
        <v/>
      </c>
      <c r="AR242" s="46" t="str">
        <f aca="false">IF($D242="Followup",'Survey Response'!$G240,"")</f>
        <v/>
      </c>
      <c r="AS242" s="46" t="str">
        <f aca="false">IF($D242="Followup",'Survey Response'!$H240,"")</f>
        <v/>
      </c>
      <c r="AT242" s="46" t="str">
        <f aca="false">IF($D242="Followup",'Survey Response'!$M240,"")</f>
        <v/>
      </c>
      <c r="AU242" s="46" t="str">
        <f aca="false">IF($D242="Followup",'Survey Response'!$K240,"")</f>
        <v/>
      </c>
      <c r="AV242" s="46" t="str">
        <f aca="false">IF($D242="Followup",'Survey Response'!$L240,"")</f>
        <v/>
      </c>
      <c r="AW242" s="46" t="str">
        <f aca="false">IF($D242="Followup",IF(AND($P242&lt;&gt;"Yes",$U242&lt;&gt;"Yes"),"Not approved for primary or secondary skill","Approved, but skill(s) no longer have capacity (fully staffed)"),"")</f>
        <v/>
      </c>
    </row>
    <row r="243" customFormat="false" ht="15" hidden="false" customHeight="true" outlineLevel="0" collapsed="false">
      <c r="A243" s="46" t="str">
        <f aca="false">IF('Survey Response'!$D241="","",'Survey Response'!$A241&amp;"|"&amp;LOWER(TRIM('Survey Response'!$D241)))</f>
        <v/>
      </c>
      <c r="B243" s="46" t="str">
        <f aca="false">IF($H243="","",$F243&amp;"|"&amp;$H243)</f>
        <v/>
      </c>
      <c r="C243" s="46" t="str">
        <f aca="false">IF($H243="","",$A243=$B243)</f>
        <v/>
      </c>
      <c r="D243" s="46" t="str">
        <f aca="false">IF($H243="","",IF($E243&lt;&gt;"Yes","Superseded",IF($I243&lt;&gt;"Yes, I'm available for in-person interviews at Chennai","Not Available",IF($Z243&lt;&gt;"","Panel Details","Followup"))))</f>
        <v/>
      </c>
      <c r="E243" s="46" t="str">
        <f aca="false">IF($H243="","",IF(SUMPRODUCT(($H$4:$H$503=$H243)*(($G$4:$G$503&gt;$G243)+($G$4:$G$503=$G243)*($F$4:$F$503&gt;$F243)))=0,"Yes","No"))</f>
        <v/>
      </c>
      <c r="F243" s="47" t="str">
        <f aca="false">IF('Survey Response'!$D241="","",INT('Survey Response'!$A241))</f>
        <v/>
      </c>
      <c r="G243" s="46" t="str">
        <f aca="false">IF('Survey Response'!$D241="","",'Survey Response'!$C241)</f>
        <v/>
      </c>
      <c r="H243" s="46" t="str">
        <f aca="false">IF('Survey Response'!$D241="","",LOWER(TRIM('Survey Response'!$D241)))</f>
        <v/>
      </c>
      <c r="I243" s="46" t="str">
        <f aca="false">IF($H243="","",'Survey Response'!$I241)</f>
        <v/>
      </c>
      <c r="J243" s="46" t="str">
        <f aca="false">IF($H243="","",'Survey Response'!$K241)</f>
        <v/>
      </c>
      <c r="K243" s="46" t="str">
        <f aca="false">IF($J243="","",IF(COUNTIF('Skill Mapping'!$A$2:$A$7,TRIM($J243))=0,"",INDEX('Skill Mapping'!$B$2:$B$7,MATCH(TRIM($J243),'Skill Mapping'!$A$2:$A$7,0))))</f>
        <v/>
      </c>
      <c r="L243" s="46" t="str">
        <f aca="false">IF($H243="","",'Survey Response'!$L241)</f>
        <v/>
      </c>
      <c r="M243" s="46" t="str">
        <f aca="false">IF($L243="","",IF(COUNTIF('Skill Mapping'!$A$2:$A$7,TRIM($L243))=0,"",INDEX('Skill Mapping'!$B$2:$B$7,MATCH(TRIM($L243),'Skill Mapping'!$A$2:$A$7,0))))</f>
        <v/>
      </c>
      <c r="N243" s="46" t="str">
        <f aca="false">IF($H243="","",'Survey Response'!$M241)</f>
        <v/>
      </c>
      <c r="O243" s="46" t="str">
        <f aca="false">IF($H243="","",IF('Survey Response'!$M241="Manager","R2","R1"))</f>
        <v/>
      </c>
      <c r="P243" s="46" t="str">
        <f aca="false">IF($K243="","No",IF(COUNTIFS(MasterPanel!$B:$B,$H243,MasterPanel!$I:$I,$K243,MasterPanel!$K:$K,"Y")&gt;0,"Yes","No"))</f>
        <v>No</v>
      </c>
      <c r="Q243" s="46" t="n">
        <f aca="false">IF($K243="",0,IF(COUNTIF('Gap Sheet'!$A$6:$A$11,TRIM($J243))=0,0,IF($O243="R1",INDEX('Gap Sheet'!$C$6:$C$11,MATCH(TRIM($J243),'Gap Sheet'!$A$6:$A$11,0)),INDEX('Gap Sheet'!$G$6:$G$11,MATCH(TRIM($J243),'Gap Sheet'!$A$6:$A$11,0)))))</f>
        <v>0</v>
      </c>
      <c r="R243" s="46" t="str">
        <f aca="false">IF($K243="","",$K243&amp;"|"&amp;$O243)</f>
        <v/>
      </c>
      <c r="S243" s="46" t="n">
        <f aca="false">IF($R243="",0,COUNTIF($AA$4:$AA242,$R243))</f>
        <v>0</v>
      </c>
      <c r="T243" s="46" t="str">
        <f aca="false">IF(OR($I243&lt;&gt;"Yes, I'm available for in-person interviews at Chennai",$E243&lt;&gt;"Yes",$P243&lt;&gt;"Yes"),"No",IF(($Q243-$S243)&gt;0,"Yes","No"))</f>
        <v>No</v>
      </c>
      <c r="U243" s="46" t="str">
        <f aca="false">IF($M243="","No",IF(COUNTIFS(MasterPanel!$B:$B,$H243,MasterPanel!$I:$I,$M243,MasterPanel!$K:$K,"Y")&gt;0,"Yes","No"))</f>
        <v>No</v>
      </c>
      <c r="V243" s="46" t="n">
        <f aca="false">IF($M243="",0,IF(COUNTIF('Gap Sheet'!$A$6:$A$11,TRIM($L243))=0,0,IF($O243="R1",INDEX('Gap Sheet'!$C$6:$C$11,MATCH(TRIM($L243),'Gap Sheet'!$A$6:$A$11,0)),INDEX('Gap Sheet'!$G$6:$G$11,MATCH(TRIM($L243),'Gap Sheet'!$A$6:$A$11,0)))))</f>
        <v>0</v>
      </c>
      <c r="W243" s="46" t="str">
        <f aca="false">IF($M243="","",$M243&amp;"|"&amp;$O243)</f>
        <v/>
      </c>
      <c r="X243" s="46" t="n">
        <f aca="false">IF($W243="",0,COUNTIF($AA$4:$AA242,$W243))</f>
        <v>0</v>
      </c>
      <c r="Y243" s="46" t="str">
        <f aca="false">IF(OR($I243&lt;&gt;"Yes, I'm available for in-person interviews at Chennai",$E243&lt;&gt;"Yes",$T243="Yes",$U243&lt;&gt;"Yes"),"No",IF(($V243-$X243)&gt;0,"Yes","No"))</f>
        <v>No</v>
      </c>
      <c r="Z243" s="46" t="str">
        <f aca="false">IF($T243="Yes","Primary",IF($Y243="Yes","Secondary",""))</f>
        <v/>
      </c>
      <c r="AA243" s="46" t="str">
        <f aca="false">IF($Z243="Primary",$R243,IF($Z243="Secondary",$W243,""))</f>
        <v/>
      </c>
      <c r="AB243" s="46" t="str">
        <f aca="false">IF($Z243="Primary","Matched on primary skill",IF($Z243="Secondary","Matched on secondary skill (primary not approved or not required)",""))</f>
        <v/>
      </c>
      <c r="AC243" s="47" t="str">
        <f aca="false">IF($D243="Panel Details",$F243,"")</f>
        <v/>
      </c>
      <c r="AD243" s="46" t="str">
        <f aca="false">IF($D243="Panel Details",'Survey Response'!$D241,"")</f>
        <v/>
      </c>
      <c r="AE243" s="46" t="str">
        <f aca="false">IF($D243="Panel Details",'Survey Response'!$E241,"")</f>
        <v/>
      </c>
      <c r="AF243" s="46" t="str">
        <f aca="false">IF($D243="Panel Details",'Survey Response'!$G241,"")</f>
        <v/>
      </c>
      <c r="AG243" s="46" t="str">
        <f aca="false">IF($D243="Panel Details",IF($Z243="Primary",$J243,$L243),"")</f>
        <v/>
      </c>
      <c r="AH243" s="46" t="str">
        <f aca="false">IF($D243="Panel Details",IF($Z243="Primary",$L243,$J243),"")</f>
        <v/>
      </c>
      <c r="AI243" s="46" t="str">
        <f aca="false">IF($D243="Panel Details",'Survey Response'!$H241,"")</f>
        <v/>
      </c>
      <c r="AJ243" s="46" t="str">
        <f aca="false">IF($D243="Panel Details",'Survey Response'!$M241,"")</f>
        <v/>
      </c>
      <c r="AK243" s="46" t="str">
        <f aca="false">IF($D243="Panel Details",$O243,"")</f>
        <v/>
      </c>
      <c r="AL243" s="46" t="str">
        <f aca="false">IF($D243="Panel Details",8,"")</f>
        <v/>
      </c>
      <c r="AM243" s="46" t="str">
        <f aca="false">IF($D243="Panel Details",$AB243,"")</f>
        <v/>
      </c>
      <c r="AN243" s="46" t="str">
        <f aca="false">IF($D243="Panel Details","Yes","")</f>
        <v/>
      </c>
      <c r="AO243" s="46"/>
      <c r="AP243" s="46" t="str">
        <f aca="false">IF($D243="Followup",'Survey Response'!$D241,"")</f>
        <v/>
      </c>
      <c r="AQ243" s="46" t="str">
        <f aca="false">IF($D243="Followup",'Survey Response'!$E241,"")</f>
        <v/>
      </c>
      <c r="AR243" s="46" t="str">
        <f aca="false">IF($D243="Followup",'Survey Response'!$G241,"")</f>
        <v/>
      </c>
      <c r="AS243" s="46" t="str">
        <f aca="false">IF($D243="Followup",'Survey Response'!$H241,"")</f>
        <v/>
      </c>
      <c r="AT243" s="46" t="str">
        <f aca="false">IF($D243="Followup",'Survey Response'!$M241,"")</f>
        <v/>
      </c>
      <c r="AU243" s="46" t="str">
        <f aca="false">IF($D243="Followup",'Survey Response'!$K241,"")</f>
        <v/>
      </c>
      <c r="AV243" s="46" t="str">
        <f aca="false">IF($D243="Followup",'Survey Response'!$L241,"")</f>
        <v/>
      </c>
      <c r="AW243" s="46" t="str">
        <f aca="false">IF($D243="Followup",IF(AND($P243&lt;&gt;"Yes",$U243&lt;&gt;"Yes"),"Not approved for primary or secondary skill","Approved, but skill(s) no longer have capacity (fully staffed)"),"")</f>
        <v/>
      </c>
    </row>
    <row r="244" customFormat="false" ht="15" hidden="false" customHeight="true" outlineLevel="0" collapsed="false">
      <c r="A244" s="46" t="str">
        <f aca="false">IF('Survey Response'!$D242="","",'Survey Response'!$A242&amp;"|"&amp;LOWER(TRIM('Survey Response'!$D242)))</f>
        <v/>
      </c>
      <c r="B244" s="46" t="str">
        <f aca="false">IF($H244="","",$F244&amp;"|"&amp;$H244)</f>
        <v/>
      </c>
      <c r="C244" s="46" t="str">
        <f aca="false">IF($H244="","",$A244=$B244)</f>
        <v/>
      </c>
      <c r="D244" s="46" t="str">
        <f aca="false">IF($H244="","",IF($E244&lt;&gt;"Yes","Superseded",IF($I244&lt;&gt;"Yes, I'm available for in-person interviews at Chennai","Not Available",IF($Z244&lt;&gt;"","Panel Details","Followup"))))</f>
        <v/>
      </c>
      <c r="E244" s="46" t="str">
        <f aca="false">IF($H244="","",IF(SUMPRODUCT(($H$4:$H$503=$H244)*(($G$4:$G$503&gt;$G244)+($G$4:$G$503=$G244)*($F$4:$F$503&gt;$F244)))=0,"Yes","No"))</f>
        <v/>
      </c>
      <c r="F244" s="47" t="str">
        <f aca="false">IF('Survey Response'!$D242="","",INT('Survey Response'!$A242))</f>
        <v/>
      </c>
      <c r="G244" s="46" t="str">
        <f aca="false">IF('Survey Response'!$D242="","",'Survey Response'!$C242)</f>
        <v/>
      </c>
      <c r="H244" s="46" t="str">
        <f aca="false">IF('Survey Response'!$D242="","",LOWER(TRIM('Survey Response'!$D242)))</f>
        <v/>
      </c>
      <c r="I244" s="46" t="str">
        <f aca="false">IF($H244="","",'Survey Response'!$I242)</f>
        <v/>
      </c>
      <c r="J244" s="46" t="str">
        <f aca="false">IF($H244="","",'Survey Response'!$K242)</f>
        <v/>
      </c>
      <c r="K244" s="46" t="str">
        <f aca="false">IF($J244="","",IF(COUNTIF('Skill Mapping'!$A$2:$A$7,TRIM($J244))=0,"",INDEX('Skill Mapping'!$B$2:$B$7,MATCH(TRIM($J244),'Skill Mapping'!$A$2:$A$7,0))))</f>
        <v/>
      </c>
      <c r="L244" s="46" t="str">
        <f aca="false">IF($H244="","",'Survey Response'!$L242)</f>
        <v/>
      </c>
      <c r="M244" s="46" t="str">
        <f aca="false">IF($L244="","",IF(COUNTIF('Skill Mapping'!$A$2:$A$7,TRIM($L244))=0,"",INDEX('Skill Mapping'!$B$2:$B$7,MATCH(TRIM($L244),'Skill Mapping'!$A$2:$A$7,0))))</f>
        <v/>
      </c>
      <c r="N244" s="46" t="str">
        <f aca="false">IF($H244="","",'Survey Response'!$M242)</f>
        <v/>
      </c>
      <c r="O244" s="46" t="str">
        <f aca="false">IF($H244="","",IF('Survey Response'!$M242="Manager","R2","R1"))</f>
        <v/>
      </c>
      <c r="P244" s="46" t="str">
        <f aca="false">IF($K244="","No",IF(COUNTIFS(MasterPanel!$B:$B,$H244,MasterPanel!$I:$I,$K244,MasterPanel!$K:$K,"Y")&gt;0,"Yes","No"))</f>
        <v>No</v>
      </c>
      <c r="Q244" s="46" t="n">
        <f aca="false">IF($K244="",0,IF(COUNTIF('Gap Sheet'!$A$6:$A$11,TRIM($J244))=0,0,IF($O244="R1",INDEX('Gap Sheet'!$C$6:$C$11,MATCH(TRIM($J244),'Gap Sheet'!$A$6:$A$11,0)),INDEX('Gap Sheet'!$G$6:$G$11,MATCH(TRIM($J244),'Gap Sheet'!$A$6:$A$11,0)))))</f>
        <v>0</v>
      </c>
      <c r="R244" s="46" t="str">
        <f aca="false">IF($K244="","",$K244&amp;"|"&amp;$O244)</f>
        <v/>
      </c>
      <c r="S244" s="46" t="n">
        <f aca="false">IF($R244="",0,COUNTIF($AA$4:$AA243,$R244))</f>
        <v>0</v>
      </c>
      <c r="T244" s="46" t="str">
        <f aca="false">IF(OR($I244&lt;&gt;"Yes, I'm available for in-person interviews at Chennai",$E244&lt;&gt;"Yes",$P244&lt;&gt;"Yes"),"No",IF(($Q244-$S244)&gt;0,"Yes","No"))</f>
        <v>No</v>
      </c>
      <c r="U244" s="46" t="str">
        <f aca="false">IF($M244="","No",IF(COUNTIFS(MasterPanel!$B:$B,$H244,MasterPanel!$I:$I,$M244,MasterPanel!$K:$K,"Y")&gt;0,"Yes","No"))</f>
        <v>No</v>
      </c>
      <c r="V244" s="46" t="n">
        <f aca="false">IF($M244="",0,IF(COUNTIF('Gap Sheet'!$A$6:$A$11,TRIM($L244))=0,0,IF($O244="R1",INDEX('Gap Sheet'!$C$6:$C$11,MATCH(TRIM($L244),'Gap Sheet'!$A$6:$A$11,0)),INDEX('Gap Sheet'!$G$6:$G$11,MATCH(TRIM($L244),'Gap Sheet'!$A$6:$A$11,0)))))</f>
        <v>0</v>
      </c>
      <c r="W244" s="46" t="str">
        <f aca="false">IF($M244="","",$M244&amp;"|"&amp;$O244)</f>
        <v/>
      </c>
      <c r="X244" s="46" t="n">
        <f aca="false">IF($W244="",0,COUNTIF($AA$4:$AA243,$W244))</f>
        <v>0</v>
      </c>
      <c r="Y244" s="46" t="str">
        <f aca="false">IF(OR($I244&lt;&gt;"Yes, I'm available for in-person interviews at Chennai",$E244&lt;&gt;"Yes",$T244="Yes",$U244&lt;&gt;"Yes"),"No",IF(($V244-$X244)&gt;0,"Yes","No"))</f>
        <v>No</v>
      </c>
      <c r="Z244" s="46" t="str">
        <f aca="false">IF($T244="Yes","Primary",IF($Y244="Yes","Secondary",""))</f>
        <v/>
      </c>
      <c r="AA244" s="46" t="str">
        <f aca="false">IF($Z244="Primary",$R244,IF($Z244="Secondary",$W244,""))</f>
        <v/>
      </c>
      <c r="AB244" s="46" t="str">
        <f aca="false">IF($Z244="Primary","Matched on primary skill",IF($Z244="Secondary","Matched on secondary skill (primary not approved or not required)",""))</f>
        <v/>
      </c>
      <c r="AC244" s="47" t="str">
        <f aca="false">IF($D244="Panel Details",$F244,"")</f>
        <v/>
      </c>
      <c r="AD244" s="46" t="str">
        <f aca="false">IF($D244="Panel Details",'Survey Response'!$D242,"")</f>
        <v/>
      </c>
      <c r="AE244" s="46" t="str">
        <f aca="false">IF($D244="Panel Details",'Survey Response'!$E242,"")</f>
        <v/>
      </c>
      <c r="AF244" s="46" t="str">
        <f aca="false">IF($D244="Panel Details",'Survey Response'!$G242,"")</f>
        <v/>
      </c>
      <c r="AG244" s="46" t="str">
        <f aca="false">IF($D244="Panel Details",IF($Z244="Primary",$J244,$L244),"")</f>
        <v/>
      </c>
      <c r="AH244" s="46" t="str">
        <f aca="false">IF($D244="Panel Details",IF($Z244="Primary",$L244,$J244),"")</f>
        <v/>
      </c>
      <c r="AI244" s="46" t="str">
        <f aca="false">IF($D244="Panel Details",'Survey Response'!$H242,"")</f>
        <v/>
      </c>
      <c r="AJ244" s="46" t="str">
        <f aca="false">IF($D244="Panel Details",'Survey Response'!$M242,"")</f>
        <v/>
      </c>
      <c r="AK244" s="46" t="str">
        <f aca="false">IF($D244="Panel Details",$O244,"")</f>
        <v/>
      </c>
      <c r="AL244" s="46" t="str">
        <f aca="false">IF($D244="Panel Details",8,"")</f>
        <v/>
      </c>
      <c r="AM244" s="46" t="str">
        <f aca="false">IF($D244="Panel Details",$AB244,"")</f>
        <v/>
      </c>
      <c r="AN244" s="46" t="str">
        <f aca="false">IF($D244="Panel Details","Yes","")</f>
        <v/>
      </c>
      <c r="AO244" s="46"/>
      <c r="AP244" s="46" t="str">
        <f aca="false">IF($D244="Followup",'Survey Response'!$D242,"")</f>
        <v/>
      </c>
      <c r="AQ244" s="46" t="str">
        <f aca="false">IF($D244="Followup",'Survey Response'!$E242,"")</f>
        <v/>
      </c>
      <c r="AR244" s="46" t="str">
        <f aca="false">IF($D244="Followup",'Survey Response'!$G242,"")</f>
        <v/>
      </c>
      <c r="AS244" s="46" t="str">
        <f aca="false">IF($D244="Followup",'Survey Response'!$H242,"")</f>
        <v/>
      </c>
      <c r="AT244" s="46" t="str">
        <f aca="false">IF($D244="Followup",'Survey Response'!$M242,"")</f>
        <v/>
      </c>
      <c r="AU244" s="46" t="str">
        <f aca="false">IF($D244="Followup",'Survey Response'!$K242,"")</f>
        <v/>
      </c>
      <c r="AV244" s="46" t="str">
        <f aca="false">IF($D244="Followup",'Survey Response'!$L242,"")</f>
        <v/>
      </c>
      <c r="AW244" s="46" t="str">
        <f aca="false">IF($D244="Followup",IF(AND($P244&lt;&gt;"Yes",$U244&lt;&gt;"Yes"),"Not approved for primary or secondary skill","Approved, but skill(s) no longer have capacity (fully staffed)"),"")</f>
        <v/>
      </c>
    </row>
    <row r="245" customFormat="false" ht="15" hidden="false" customHeight="true" outlineLevel="0" collapsed="false">
      <c r="A245" s="46" t="str">
        <f aca="false">IF('Survey Response'!$D243="","",'Survey Response'!$A243&amp;"|"&amp;LOWER(TRIM('Survey Response'!$D243)))</f>
        <v/>
      </c>
      <c r="B245" s="46" t="str">
        <f aca="false">IF($H245="","",$F245&amp;"|"&amp;$H245)</f>
        <v/>
      </c>
      <c r="C245" s="46" t="str">
        <f aca="false">IF($H245="","",$A245=$B245)</f>
        <v/>
      </c>
      <c r="D245" s="46" t="str">
        <f aca="false">IF($H245="","",IF($E245&lt;&gt;"Yes","Superseded",IF($I245&lt;&gt;"Yes, I'm available for in-person interviews at Chennai","Not Available",IF($Z245&lt;&gt;"","Panel Details","Followup"))))</f>
        <v/>
      </c>
      <c r="E245" s="46" t="str">
        <f aca="false">IF($H245="","",IF(SUMPRODUCT(($H$4:$H$503=$H245)*(($G$4:$G$503&gt;$G245)+($G$4:$G$503=$G245)*($F$4:$F$503&gt;$F245)))=0,"Yes","No"))</f>
        <v/>
      </c>
      <c r="F245" s="47" t="str">
        <f aca="false">IF('Survey Response'!$D243="","",INT('Survey Response'!$A243))</f>
        <v/>
      </c>
      <c r="G245" s="46" t="str">
        <f aca="false">IF('Survey Response'!$D243="","",'Survey Response'!$C243)</f>
        <v/>
      </c>
      <c r="H245" s="46" t="str">
        <f aca="false">IF('Survey Response'!$D243="","",LOWER(TRIM('Survey Response'!$D243)))</f>
        <v/>
      </c>
      <c r="I245" s="46" t="str">
        <f aca="false">IF($H245="","",'Survey Response'!$I243)</f>
        <v/>
      </c>
      <c r="J245" s="46" t="str">
        <f aca="false">IF($H245="","",'Survey Response'!$K243)</f>
        <v/>
      </c>
      <c r="K245" s="46" t="str">
        <f aca="false">IF($J245="","",IF(COUNTIF('Skill Mapping'!$A$2:$A$7,TRIM($J245))=0,"",INDEX('Skill Mapping'!$B$2:$B$7,MATCH(TRIM($J245),'Skill Mapping'!$A$2:$A$7,0))))</f>
        <v/>
      </c>
      <c r="L245" s="46" t="str">
        <f aca="false">IF($H245="","",'Survey Response'!$L243)</f>
        <v/>
      </c>
      <c r="M245" s="46" t="str">
        <f aca="false">IF($L245="","",IF(COUNTIF('Skill Mapping'!$A$2:$A$7,TRIM($L245))=0,"",INDEX('Skill Mapping'!$B$2:$B$7,MATCH(TRIM($L245),'Skill Mapping'!$A$2:$A$7,0))))</f>
        <v/>
      </c>
      <c r="N245" s="46" t="str">
        <f aca="false">IF($H245="","",'Survey Response'!$M243)</f>
        <v/>
      </c>
      <c r="O245" s="46" t="str">
        <f aca="false">IF($H245="","",IF('Survey Response'!$M243="Manager","R2","R1"))</f>
        <v/>
      </c>
      <c r="P245" s="46" t="str">
        <f aca="false">IF($K245="","No",IF(COUNTIFS(MasterPanel!$B:$B,$H245,MasterPanel!$I:$I,$K245,MasterPanel!$K:$K,"Y")&gt;0,"Yes","No"))</f>
        <v>No</v>
      </c>
      <c r="Q245" s="46" t="n">
        <f aca="false">IF($K245="",0,IF(COUNTIF('Gap Sheet'!$A$6:$A$11,TRIM($J245))=0,0,IF($O245="R1",INDEX('Gap Sheet'!$C$6:$C$11,MATCH(TRIM($J245),'Gap Sheet'!$A$6:$A$11,0)),INDEX('Gap Sheet'!$G$6:$G$11,MATCH(TRIM($J245),'Gap Sheet'!$A$6:$A$11,0)))))</f>
        <v>0</v>
      </c>
      <c r="R245" s="46" t="str">
        <f aca="false">IF($K245="","",$K245&amp;"|"&amp;$O245)</f>
        <v/>
      </c>
      <c r="S245" s="46" t="n">
        <f aca="false">IF($R245="",0,COUNTIF($AA$4:$AA244,$R245))</f>
        <v>0</v>
      </c>
      <c r="T245" s="46" t="str">
        <f aca="false">IF(OR($I245&lt;&gt;"Yes, I'm available for in-person interviews at Chennai",$E245&lt;&gt;"Yes",$P245&lt;&gt;"Yes"),"No",IF(($Q245-$S245)&gt;0,"Yes","No"))</f>
        <v>No</v>
      </c>
      <c r="U245" s="46" t="str">
        <f aca="false">IF($M245="","No",IF(COUNTIFS(MasterPanel!$B:$B,$H245,MasterPanel!$I:$I,$M245,MasterPanel!$K:$K,"Y")&gt;0,"Yes","No"))</f>
        <v>No</v>
      </c>
      <c r="V245" s="46" t="n">
        <f aca="false">IF($M245="",0,IF(COUNTIF('Gap Sheet'!$A$6:$A$11,TRIM($L245))=0,0,IF($O245="R1",INDEX('Gap Sheet'!$C$6:$C$11,MATCH(TRIM($L245),'Gap Sheet'!$A$6:$A$11,0)),INDEX('Gap Sheet'!$G$6:$G$11,MATCH(TRIM($L245),'Gap Sheet'!$A$6:$A$11,0)))))</f>
        <v>0</v>
      </c>
      <c r="W245" s="46" t="str">
        <f aca="false">IF($M245="","",$M245&amp;"|"&amp;$O245)</f>
        <v/>
      </c>
      <c r="X245" s="46" t="n">
        <f aca="false">IF($W245="",0,COUNTIF($AA$4:$AA244,$W245))</f>
        <v>0</v>
      </c>
      <c r="Y245" s="46" t="str">
        <f aca="false">IF(OR($I245&lt;&gt;"Yes, I'm available for in-person interviews at Chennai",$E245&lt;&gt;"Yes",$T245="Yes",$U245&lt;&gt;"Yes"),"No",IF(($V245-$X245)&gt;0,"Yes","No"))</f>
        <v>No</v>
      </c>
      <c r="Z245" s="46" t="str">
        <f aca="false">IF($T245="Yes","Primary",IF($Y245="Yes","Secondary",""))</f>
        <v/>
      </c>
      <c r="AA245" s="46" t="str">
        <f aca="false">IF($Z245="Primary",$R245,IF($Z245="Secondary",$W245,""))</f>
        <v/>
      </c>
      <c r="AB245" s="46" t="str">
        <f aca="false">IF($Z245="Primary","Matched on primary skill",IF($Z245="Secondary","Matched on secondary skill (primary not approved or not required)",""))</f>
        <v/>
      </c>
      <c r="AC245" s="47" t="str">
        <f aca="false">IF($D245="Panel Details",$F245,"")</f>
        <v/>
      </c>
      <c r="AD245" s="46" t="str">
        <f aca="false">IF($D245="Panel Details",'Survey Response'!$D243,"")</f>
        <v/>
      </c>
      <c r="AE245" s="46" t="str">
        <f aca="false">IF($D245="Panel Details",'Survey Response'!$E243,"")</f>
        <v/>
      </c>
      <c r="AF245" s="46" t="str">
        <f aca="false">IF($D245="Panel Details",'Survey Response'!$G243,"")</f>
        <v/>
      </c>
      <c r="AG245" s="46" t="str">
        <f aca="false">IF($D245="Panel Details",IF($Z245="Primary",$J245,$L245),"")</f>
        <v/>
      </c>
      <c r="AH245" s="46" t="str">
        <f aca="false">IF($D245="Panel Details",IF($Z245="Primary",$L245,$J245),"")</f>
        <v/>
      </c>
      <c r="AI245" s="46" t="str">
        <f aca="false">IF($D245="Panel Details",'Survey Response'!$H243,"")</f>
        <v/>
      </c>
      <c r="AJ245" s="46" t="str">
        <f aca="false">IF($D245="Panel Details",'Survey Response'!$M243,"")</f>
        <v/>
      </c>
      <c r="AK245" s="46" t="str">
        <f aca="false">IF($D245="Panel Details",$O245,"")</f>
        <v/>
      </c>
      <c r="AL245" s="46" t="str">
        <f aca="false">IF($D245="Panel Details",8,"")</f>
        <v/>
      </c>
      <c r="AM245" s="46" t="str">
        <f aca="false">IF($D245="Panel Details",$AB245,"")</f>
        <v/>
      </c>
      <c r="AN245" s="46" t="str">
        <f aca="false">IF($D245="Panel Details","Yes","")</f>
        <v/>
      </c>
      <c r="AO245" s="46"/>
      <c r="AP245" s="46" t="str">
        <f aca="false">IF($D245="Followup",'Survey Response'!$D243,"")</f>
        <v/>
      </c>
      <c r="AQ245" s="46" t="str">
        <f aca="false">IF($D245="Followup",'Survey Response'!$E243,"")</f>
        <v/>
      </c>
      <c r="AR245" s="46" t="str">
        <f aca="false">IF($D245="Followup",'Survey Response'!$G243,"")</f>
        <v/>
      </c>
      <c r="AS245" s="46" t="str">
        <f aca="false">IF($D245="Followup",'Survey Response'!$H243,"")</f>
        <v/>
      </c>
      <c r="AT245" s="46" t="str">
        <f aca="false">IF($D245="Followup",'Survey Response'!$M243,"")</f>
        <v/>
      </c>
      <c r="AU245" s="46" t="str">
        <f aca="false">IF($D245="Followup",'Survey Response'!$K243,"")</f>
        <v/>
      </c>
      <c r="AV245" s="46" t="str">
        <f aca="false">IF($D245="Followup",'Survey Response'!$L243,"")</f>
        <v/>
      </c>
      <c r="AW245" s="46" t="str">
        <f aca="false">IF($D245="Followup",IF(AND($P245&lt;&gt;"Yes",$U245&lt;&gt;"Yes"),"Not approved for primary or secondary skill","Approved, but skill(s) no longer have capacity (fully staffed)"),"")</f>
        <v/>
      </c>
    </row>
    <row r="246" customFormat="false" ht="15" hidden="false" customHeight="true" outlineLevel="0" collapsed="false">
      <c r="A246" s="46" t="str">
        <f aca="false">IF('Survey Response'!$D244="","",'Survey Response'!$A244&amp;"|"&amp;LOWER(TRIM('Survey Response'!$D244)))</f>
        <v/>
      </c>
      <c r="B246" s="46" t="str">
        <f aca="false">IF($H246="","",$F246&amp;"|"&amp;$H246)</f>
        <v/>
      </c>
      <c r="C246" s="46" t="str">
        <f aca="false">IF($H246="","",$A246=$B246)</f>
        <v/>
      </c>
      <c r="D246" s="46" t="str">
        <f aca="false">IF($H246="","",IF($E246&lt;&gt;"Yes","Superseded",IF($I246&lt;&gt;"Yes, I'm available for in-person interviews at Chennai","Not Available",IF($Z246&lt;&gt;"","Panel Details","Followup"))))</f>
        <v/>
      </c>
      <c r="E246" s="46" t="str">
        <f aca="false">IF($H246="","",IF(SUMPRODUCT(($H$4:$H$503=$H246)*(($G$4:$G$503&gt;$G246)+($G$4:$G$503=$G246)*($F$4:$F$503&gt;$F246)))=0,"Yes","No"))</f>
        <v/>
      </c>
      <c r="F246" s="47" t="str">
        <f aca="false">IF('Survey Response'!$D244="","",INT('Survey Response'!$A244))</f>
        <v/>
      </c>
      <c r="G246" s="46" t="str">
        <f aca="false">IF('Survey Response'!$D244="","",'Survey Response'!$C244)</f>
        <v/>
      </c>
      <c r="H246" s="46" t="str">
        <f aca="false">IF('Survey Response'!$D244="","",LOWER(TRIM('Survey Response'!$D244)))</f>
        <v/>
      </c>
      <c r="I246" s="46" t="str">
        <f aca="false">IF($H246="","",'Survey Response'!$I244)</f>
        <v/>
      </c>
      <c r="J246" s="46" t="str">
        <f aca="false">IF($H246="","",'Survey Response'!$K244)</f>
        <v/>
      </c>
      <c r="K246" s="46" t="str">
        <f aca="false">IF($J246="","",IF(COUNTIF('Skill Mapping'!$A$2:$A$7,TRIM($J246))=0,"",INDEX('Skill Mapping'!$B$2:$B$7,MATCH(TRIM($J246),'Skill Mapping'!$A$2:$A$7,0))))</f>
        <v/>
      </c>
      <c r="L246" s="46" t="str">
        <f aca="false">IF($H246="","",'Survey Response'!$L244)</f>
        <v/>
      </c>
      <c r="M246" s="46" t="str">
        <f aca="false">IF($L246="","",IF(COUNTIF('Skill Mapping'!$A$2:$A$7,TRIM($L246))=0,"",INDEX('Skill Mapping'!$B$2:$B$7,MATCH(TRIM($L246),'Skill Mapping'!$A$2:$A$7,0))))</f>
        <v/>
      </c>
      <c r="N246" s="46" t="str">
        <f aca="false">IF($H246="","",'Survey Response'!$M244)</f>
        <v/>
      </c>
      <c r="O246" s="46" t="str">
        <f aca="false">IF($H246="","",IF('Survey Response'!$M244="Manager","R2","R1"))</f>
        <v/>
      </c>
      <c r="P246" s="46" t="str">
        <f aca="false">IF($K246="","No",IF(COUNTIFS(MasterPanel!$B:$B,$H246,MasterPanel!$I:$I,$K246,MasterPanel!$K:$K,"Y")&gt;0,"Yes","No"))</f>
        <v>No</v>
      </c>
      <c r="Q246" s="46" t="n">
        <f aca="false">IF($K246="",0,IF(COUNTIF('Gap Sheet'!$A$6:$A$11,TRIM($J246))=0,0,IF($O246="R1",INDEX('Gap Sheet'!$C$6:$C$11,MATCH(TRIM($J246),'Gap Sheet'!$A$6:$A$11,0)),INDEX('Gap Sheet'!$G$6:$G$11,MATCH(TRIM($J246),'Gap Sheet'!$A$6:$A$11,0)))))</f>
        <v>0</v>
      </c>
      <c r="R246" s="46" t="str">
        <f aca="false">IF($K246="","",$K246&amp;"|"&amp;$O246)</f>
        <v/>
      </c>
      <c r="S246" s="46" t="n">
        <f aca="false">IF($R246="",0,COUNTIF($AA$4:$AA245,$R246))</f>
        <v>0</v>
      </c>
      <c r="T246" s="46" t="str">
        <f aca="false">IF(OR($I246&lt;&gt;"Yes, I'm available for in-person interviews at Chennai",$E246&lt;&gt;"Yes",$P246&lt;&gt;"Yes"),"No",IF(($Q246-$S246)&gt;0,"Yes","No"))</f>
        <v>No</v>
      </c>
      <c r="U246" s="46" t="str">
        <f aca="false">IF($M246="","No",IF(COUNTIFS(MasterPanel!$B:$B,$H246,MasterPanel!$I:$I,$M246,MasterPanel!$K:$K,"Y")&gt;0,"Yes","No"))</f>
        <v>No</v>
      </c>
      <c r="V246" s="46" t="n">
        <f aca="false">IF($M246="",0,IF(COUNTIF('Gap Sheet'!$A$6:$A$11,TRIM($L246))=0,0,IF($O246="R1",INDEX('Gap Sheet'!$C$6:$C$11,MATCH(TRIM($L246),'Gap Sheet'!$A$6:$A$11,0)),INDEX('Gap Sheet'!$G$6:$G$11,MATCH(TRIM($L246),'Gap Sheet'!$A$6:$A$11,0)))))</f>
        <v>0</v>
      </c>
      <c r="W246" s="46" t="str">
        <f aca="false">IF($M246="","",$M246&amp;"|"&amp;$O246)</f>
        <v/>
      </c>
      <c r="X246" s="46" t="n">
        <f aca="false">IF($W246="",0,COUNTIF($AA$4:$AA245,$W246))</f>
        <v>0</v>
      </c>
      <c r="Y246" s="46" t="str">
        <f aca="false">IF(OR($I246&lt;&gt;"Yes, I'm available for in-person interviews at Chennai",$E246&lt;&gt;"Yes",$T246="Yes",$U246&lt;&gt;"Yes"),"No",IF(($V246-$X246)&gt;0,"Yes","No"))</f>
        <v>No</v>
      </c>
      <c r="Z246" s="46" t="str">
        <f aca="false">IF($T246="Yes","Primary",IF($Y246="Yes","Secondary",""))</f>
        <v/>
      </c>
      <c r="AA246" s="46" t="str">
        <f aca="false">IF($Z246="Primary",$R246,IF($Z246="Secondary",$W246,""))</f>
        <v/>
      </c>
      <c r="AB246" s="46" t="str">
        <f aca="false">IF($Z246="Primary","Matched on primary skill",IF($Z246="Secondary","Matched on secondary skill (primary not approved or not required)",""))</f>
        <v/>
      </c>
      <c r="AC246" s="47" t="str">
        <f aca="false">IF($D246="Panel Details",$F246,"")</f>
        <v/>
      </c>
      <c r="AD246" s="46" t="str">
        <f aca="false">IF($D246="Panel Details",'Survey Response'!$D244,"")</f>
        <v/>
      </c>
      <c r="AE246" s="46" t="str">
        <f aca="false">IF($D246="Panel Details",'Survey Response'!$E244,"")</f>
        <v/>
      </c>
      <c r="AF246" s="46" t="str">
        <f aca="false">IF($D246="Panel Details",'Survey Response'!$G244,"")</f>
        <v/>
      </c>
      <c r="AG246" s="46" t="str">
        <f aca="false">IF($D246="Panel Details",IF($Z246="Primary",$J246,$L246),"")</f>
        <v/>
      </c>
      <c r="AH246" s="46" t="str">
        <f aca="false">IF($D246="Panel Details",IF($Z246="Primary",$L246,$J246),"")</f>
        <v/>
      </c>
      <c r="AI246" s="46" t="str">
        <f aca="false">IF($D246="Panel Details",'Survey Response'!$H244,"")</f>
        <v/>
      </c>
      <c r="AJ246" s="46" t="str">
        <f aca="false">IF($D246="Panel Details",'Survey Response'!$M244,"")</f>
        <v/>
      </c>
      <c r="AK246" s="46" t="str">
        <f aca="false">IF($D246="Panel Details",$O246,"")</f>
        <v/>
      </c>
      <c r="AL246" s="46" t="str">
        <f aca="false">IF($D246="Panel Details",8,"")</f>
        <v/>
      </c>
      <c r="AM246" s="46" t="str">
        <f aca="false">IF($D246="Panel Details",$AB246,"")</f>
        <v/>
      </c>
      <c r="AN246" s="46" t="str">
        <f aca="false">IF($D246="Panel Details","Yes","")</f>
        <v/>
      </c>
      <c r="AO246" s="46"/>
      <c r="AP246" s="46" t="str">
        <f aca="false">IF($D246="Followup",'Survey Response'!$D244,"")</f>
        <v/>
      </c>
      <c r="AQ246" s="46" t="str">
        <f aca="false">IF($D246="Followup",'Survey Response'!$E244,"")</f>
        <v/>
      </c>
      <c r="AR246" s="46" t="str">
        <f aca="false">IF($D246="Followup",'Survey Response'!$G244,"")</f>
        <v/>
      </c>
      <c r="AS246" s="46" t="str">
        <f aca="false">IF($D246="Followup",'Survey Response'!$H244,"")</f>
        <v/>
      </c>
      <c r="AT246" s="46" t="str">
        <f aca="false">IF($D246="Followup",'Survey Response'!$M244,"")</f>
        <v/>
      </c>
      <c r="AU246" s="46" t="str">
        <f aca="false">IF($D246="Followup",'Survey Response'!$K244,"")</f>
        <v/>
      </c>
      <c r="AV246" s="46" t="str">
        <f aca="false">IF($D246="Followup",'Survey Response'!$L244,"")</f>
        <v/>
      </c>
      <c r="AW246" s="46" t="str">
        <f aca="false">IF($D246="Followup",IF(AND($P246&lt;&gt;"Yes",$U246&lt;&gt;"Yes"),"Not approved for primary or secondary skill","Approved, but skill(s) no longer have capacity (fully staffed)"),"")</f>
        <v/>
      </c>
    </row>
    <row r="247" customFormat="false" ht="15" hidden="false" customHeight="true" outlineLevel="0" collapsed="false">
      <c r="A247" s="46" t="str">
        <f aca="false">IF('Survey Response'!$D245="","",'Survey Response'!$A245&amp;"|"&amp;LOWER(TRIM('Survey Response'!$D245)))</f>
        <v/>
      </c>
      <c r="B247" s="46" t="str">
        <f aca="false">IF($H247="","",$F247&amp;"|"&amp;$H247)</f>
        <v/>
      </c>
      <c r="C247" s="46" t="str">
        <f aca="false">IF($H247="","",$A247=$B247)</f>
        <v/>
      </c>
      <c r="D247" s="46" t="str">
        <f aca="false">IF($H247="","",IF($E247&lt;&gt;"Yes","Superseded",IF($I247&lt;&gt;"Yes, I'm available for in-person interviews at Chennai","Not Available",IF($Z247&lt;&gt;"","Panel Details","Followup"))))</f>
        <v/>
      </c>
      <c r="E247" s="46" t="str">
        <f aca="false">IF($H247="","",IF(SUMPRODUCT(($H$4:$H$503=$H247)*(($G$4:$G$503&gt;$G247)+($G$4:$G$503=$G247)*($F$4:$F$503&gt;$F247)))=0,"Yes","No"))</f>
        <v/>
      </c>
      <c r="F247" s="47" t="str">
        <f aca="false">IF('Survey Response'!$D245="","",INT('Survey Response'!$A245))</f>
        <v/>
      </c>
      <c r="G247" s="46" t="str">
        <f aca="false">IF('Survey Response'!$D245="","",'Survey Response'!$C245)</f>
        <v/>
      </c>
      <c r="H247" s="46" t="str">
        <f aca="false">IF('Survey Response'!$D245="","",LOWER(TRIM('Survey Response'!$D245)))</f>
        <v/>
      </c>
      <c r="I247" s="46" t="str">
        <f aca="false">IF($H247="","",'Survey Response'!$I245)</f>
        <v/>
      </c>
      <c r="J247" s="46" t="str">
        <f aca="false">IF($H247="","",'Survey Response'!$K245)</f>
        <v/>
      </c>
      <c r="K247" s="46" t="str">
        <f aca="false">IF($J247="","",IF(COUNTIF('Skill Mapping'!$A$2:$A$7,TRIM($J247))=0,"",INDEX('Skill Mapping'!$B$2:$B$7,MATCH(TRIM($J247),'Skill Mapping'!$A$2:$A$7,0))))</f>
        <v/>
      </c>
      <c r="L247" s="46" t="str">
        <f aca="false">IF($H247="","",'Survey Response'!$L245)</f>
        <v/>
      </c>
      <c r="M247" s="46" t="str">
        <f aca="false">IF($L247="","",IF(COUNTIF('Skill Mapping'!$A$2:$A$7,TRIM($L247))=0,"",INDEX('Skill Mapping'!$B$2:$B$7,MATCH(TRIM($L247),'Skill Mapping'!$A$2:$A$7,0))))</f>
        <v/>
      </c>
      <c r="N247" s="46" t="str">
        <f aca="false">IF($H247="","",'Survey Response'!$M245)</f>
        <v/>
      </c>
      <c r="O247" s="46" t="str">
        <f aca="false">IF($H247="","",IF('Survey Response'!$M245="Manager","R2","R1"))</f>
        <v/>
      </c>
      <c r="P247" s="46" t="str">
        <f aca="false">IF($K247="","No",IF(COUNTIFS(MasterPanel!$B:$B,$H247,MasterPanel!$I:$I,$K247,MasterPanel!$K:$K,"Y")&gt;0,"Yes","No"))</f>
        <v>No</v>
      </c>
      <c r="Q247" s="46" t="n">
        <f aca="false">IF($K247="",0,IF(COUNTIF('Gap Sheet'!$A$6:$A$11,TRIM($J247))=0,0,IF($O247="R1",INDEX('Gap Sheet'!$C$6:$C$11,MATCH(TRIM($J247),'Gap Sheet'!$A$6:$A$11,0)),INDEX('Gap Sheet'!$G$6:$G$11,MATCH(TRIM($J247),'Gap Sheet'!$A$6:$A$11,0)))))</f>
        <v>0</v>
      </c>
      <c r="R247" s="46" t="str">
        <f aca="false">IF($K247="","",$K247&amp;"|"&amp;$O247)</f>
        <v/>
      </c>
      <c r="S247" s="46" t="n">
        <f aca="false">IF($R247="",0,COUNTIF($AA$4:$AA246,$R247))</f>
        <v>0</v>
      </c>
      <c r="T247" s="46" t="str">
        <f aca="false">IF(OR($I247&lt;&gt;"Yes, I'm available for in-person interviews at Chennai",$E247&lt;&gt;"Yes",$P247&lt;&gt;"Yes"),"No",IF(($Q247-$S247)&gt;0,"Yes","No"))</f>
        <v>No</v>
      </c>
      <c r="U247" s="46" t="str">
        <f aca="false">IF($M247="","No",IF(COUNTIFS(MasterPanel!$B:$B,$H247,MasterPanel!$I:$I,$M247,MasterPanel!$K:$K,"Y")&gt;0,"Yes","No"))</f>
        <v>No</v>
      </c>
      <c r="V247" s="46" t="n">
        <f aca="false">IF($M247="",0,IF(COUNTIF('Gap Sheet'!$A$6:$A$11,TRIM($L247))=0,0,IF($O247="R1",INDEX('Gap Sheet'!$C$6:$C$11,MATCH(TRIM($L247),'Gap Sheet'!$A$6:$A$11,0)),INDEX('Gap Sheet'!$G$6:$G$11,MATCH(TRIM($L247),'Gap Sheet'!$A$6:$A$11,0)))))</f>
        <v>0</v>
      </c>
      <c r="W247" s="46" t="str">
        <f aca="false">IF($M247="","",$M247&amp;"|"&amp;$O247)</f>
        <v/>
      </c>
      <c r="X247" s="46" t="n">
        <f aca="false">IF($W247="",0,COUNTIF($AA$4:$AA246,$W247))</f>
        <v>0</v>
      </c>
      <c r="Y247" s="46" t="str">
        <f aca="false">IF(OR($I247&lt;&gt;"Yes, I'm available for in-person interviews at Chennai",$E247&lt;&gt;"Yes",$T247="Yes",$U247&lt;&gt;"Yes"),"No",IF(($V247-$X247)&gt;0,"Yes","No"))</f>
        <v>No</v>
      </c>
      <c r="Z247" s="46" t="str">
        <f aca="false">IF($T247="Yes","Primary",IF($Y247="Yes","Secondary",""))</f>
        <v/>
      </c>
      <c r="AA247" s="46" t="str">
        <f aca="false">IF($Z247="Primary",$R247,IF($Z247="Secondary",$W247,""))</f>
        <v/>
      </c>
      <c r="AB247" s="46" t="str">
        <f aca="false">IF($Z247="Primary","Matched on primary skill",IF($Z247="Secondary","Matched on secondary skill (primary not approved or not required)",""))</f>
        <v/>
      </c>
      <c r="AC247" s="47" t="str">
        <f aca="false">IF($D247="Panel Details",$F247,"")</f>
        <v/>
      </c>
      <c r="AD247" s="46" t="str">
        <f aca="false">IF($D247="Panel Details",'Survey Response'!$D245,"")</f>
        <v/>
      </c>
      <c r="AE247" s="46" t="str">
        <f aca="false">IF($D247="Panel Details",'Survey Response'!$E245,"")</f>
        <v/>
      </c>
      <c r="AF247" s="46" t="str">
        <f aca="false">IF($D247="Panel Details",'Survey Response'!$G245,"")</f>
        <v/>
      </c>
      <c r="AG247" s="46" t="str">
        <f aca="false">IF($D247="Panel Details",IF($Z247="Primary",$J247,$L247),"")</f>
        <v/>
      </c>
      <c r="AH247" s="46" t="str">
        <f aca="false">IF($D247="Panel Details",IF($Z247="Primary",$L247,$J247),"")</f>
        <v/>
      </c>
      <c r="AI247" s="46" t="str">
        <f aca="false">IF($D247="Panel Details",'Survey Response'!$H245,"")</f>
        <v/>
      </c>
      <c r="AJ247" s="46" t="str">
        <f aca="false">IF($D247="Panel Details",'Survey Response'!$M245,"")</f>
        <v/>
      </c>
      <c r="AK247" s="46" t="str">
        <f aca="false">IF($D247="Panel Details",$O247,"")</f>
        <v/>
      </c>
      <c r="AL247" s="46" t="str">
        <f aca="false">IF($D247="Panel Details",8,"")</f>
        <v/>
      </c>
      <c r="AM247" s="46" t="str">
        <f aca="false">IF($D247="Panel Details",$AB247,"")</f>
        <v/>
      </c>
      <c r="AN247" s="46" t="str">
        <f aca="false">IF($D247="Panel Details","Yes","")</f>
        <v/>
      </c>
      <c r="AO247" s="46"/>
      <c r="AP247" s="46" t="str">
        <f aca="false">IF($D247="Followup",'Survey Response'!$D245,"")</f>
        <v/>
      </c>
      <c r="AQ247" s="46" t="str">
        <f aca="false">IF($D247="Followup",'Survey Response'!$E245,"")</f>
        <v/>
      </c>
      <c r="AR247" s="46" t="str">
        <f aca="false">IF($D247="Followup",'Survey Response'!$G245,"")</f>
        <v/>
      </c>
      <c r="AS247" s="46" t="str">
        <f aca="false">IF($D247="Followup",'Survey Response'!$H245,"")</f>
        <v/>
      </c>
      <c r="AT247" s="46" t="str">
        <f aca="false">IF($D247="Followup",'Survey Response'!$M245,"")</f>
        <v/>
      </c>
      <c r="AU247" s="46" t="str">
        <f aca="false">IF($D247="Followup",'Survey Response'!$K245,"")</f>
        <v/>
      </c>
      <c r="AV247" s="46" t="str">
        <f aca="false">IF($D247="Followup",'Survey Response'!$L245,"")</f>
        <v/>
      </c>
      <c r="AW247" s="46" t="str">
        <f aca="false">IF($D247="Followup",IF(AND($P247&lt;&gt;"Yes",$U247&lt;&gt;"Yes"),"Not approved for primary or secondary skill","Approved, but skill(s) no longer have capacity (fully staffed)"),"")</f>
        <v/>
      </c>
    </row>
    <row r="248" customFormat="false" ht="15" hidden="false" customHeight="true" outlineLevel="0" collapsed="false">
      <c r="A248" s="46" t="str">
        <f aca="false">IF('Survey Response'!$D246="","",'Survey Response'!$A246&amp;"|"&amp;LOWER(TRIM('Survey Response'!$D246)))</f>
        <v/>
      </c>
      <c r="B248" s="46" t="str">
        <f aca="false">IF($H248="","",$F248&amp;"|"&amp;$H248)</f>
        <v/>
      </c>
      <c r="C248" s="46" t="str">
        <f aca="false">IF($H248="","",$A248=$B248)</f>
        <v/>
      </c>
      <c r="D248" s="46" t="str">
        <f aca="false">IF($H248="","",IF($E248&lt;&gt;"Yes","Superseded",IF($I248&lt;&gt;"Yes, I'm available for in-person interviews at Chennai","Not Available",IF($Z248&lt;&gt;"","Panel Details","Followup"))))</f>
        <v/>
      </c>
      <c r="E248" s="46" t="str">
        <f aca="false">IF($H248="","",IF(SUMPRODUCT(($H$4:$H$503=$H248)*(($G$4:$G$503&gt;$G248)+($G$4:$G$503=$G248)*($F$4:$F$503&gt;$F248)))=0,"Yes","No"))</f>
        <v/>
      </c>
      <c r="F248" s="47" t="str">
        <f aca="false">IF('Survey Response'!$D246="","",INT('Survey Response'!$A246))</f>
        <v/>
      </c>
      <c r="G248" s="46" t="str">
        <f aca="false">IF('Survey Response'!$D246="","",'Survey Response'!$C246)</f>
        <v/>
      </c>
      <c r="H248" s="46" t="str">
        <f aca="false">IF('Survey Response'!$D246="","",LOWER(TRIM('Survey Response'!$D246)))</f>
        <v/>
      </c>
      <c r="I248" s="46" t="str">
        <f aca="false">IF($H248="","",'Survey Response'!$I246)</f>
        <v/>
      </c>
      <c r="J248" s="46" t="str">
        <f aca="false">IF($H248="","",'Survey Response'!$K246)</f>
        <v/>
      </c>
      <c r="K248" s="46" t="str">
        <f aca="false">IF($J248="","",IF(COUNTIF('Skill Mapping'!$A$2:$A$7,TRIM($J248))=0,"",INDEX('Skill Mapping'!$B$2:$B$7,MATCH(TRIM($J248),'Skill Mapping'!$A$2:$A$7,0))))</f>
        <v/>
      </c>
      <c r="L248" s="46" t="str">
        <f aca="false">IF($H248="","",'Survey Response'!$L246)</f>
        <v/>
      </c>
      <c r="M248" s="46" t="str">
        <f aca="false">IF($L248="","",IF(COUNTIF('Skill Mapping'!$A$2:$A$7,TRIM($L248))=0,"",INDEX('Skill Mapping'!$B$2:$B$7,MATCH(TRIM($L248),'Skill Mapping'!$A$2:$A$7,0))))</f>
        <v/>
      </c>
      <c r="N248" s="46" t="str">
        <f aca="false">IF($H248="","",'Survey Response'!$M246)</f>
        <v/>
      </c>
      <c r="O248" s="46" t="str">
        <f aca="false">IF($H248="","",IF('Survey Response'!$M246="Manager","R2","R1"))</f>
        <v/>
      </c>
      <c r="P248" s="46" t="str">
        <f aca="false">IF($K248="","No",IF(COUNTIFS(MasterPanel!$B:$B,$H248,MasterPanel!$I:$I,$K248,MasterPanel!$K:$K,"Y")&gt;0,"Yes","No"))</f>
        <v>No</v>
      </c>
      <c r="Q248" s="46" t="n">
        <f aca="false">IF($K248="",0,IF(COUNTIF('Gap Sheet'!$A$6:$A$11,TRIM($J248))=0,0,IF($O248="R1",INDEX('Gap Sheet'!$C$6:$C$11,MATCH(TRIM($J248),'Gap Sheet'!$A$6:$A$11,0)),INDEX('Gap Sheet'!$G$6:$G$11,MATCH(TRIM($J248),'Gap Sheet'!$A$6:$A$11,0)))))</f>
        <v>0</v>
      </c>
      <c r="R248" s="46" t="str">
        <f aca="false">IF($K248="","",$K248&amp;"|"&amp;$O248)</f>
        <v/>
      </c>
      <c r="S248" s="46" t="n">
        <f aca="false">IF($R248="",0,COUNTIF($AA$4:$AA247,$R248))</f>
        <v>0</v>
      </c>
      <c r="T248" s="46" t="str">
        <f aca="false">IF(OR($I248&lt;&gt;"Yes, I'm available for in-person interviews at Chennai",$E248&lt;&gt;"Yes",$P248&lt;&gt;"Yes"),"No",IF(($Q248-$S248)&gt;0,"Yes","No"))</f>
        <v>No</v>
      </c>
      <c r="U248" s="46" t="str">
        <f aca="false">IF($M248="","No",IF(COUNTIFS(MasterPanel!$B:$B,$H248,MasterPanel!$I:$I,$M248,MasterPanel!$K:$K,"Y")&gt;0,"Yes","No"))</f>
        <v>No</v>
      </c>
      <c r="V248" s="46" t="n">
        <f aca="false">IF($M248="",0,IF(COUNTIF('Gap Sheet'!$A$6:$A$11,TRIM($L248))=0,0,IF($O248="R1",INDEX('Gap Sheet'!$C$6:$C$11,MATCH(TRIM($L248),'Gap Sheet'!$A$6:$A$11,0)),INDEX('Gap Sheet'!$G$6:$G$11,MATCH(TRIM($L248),'Gap Sheet'!$A$6:$A$11,0)))))</f>
        <v>0</v>
      </c>
      <c r="W248" s="46" t="str">
        <f aca="false">IF($M248="","",$M248&amp;"|"&amp;$O248)</f>
        <v/>
      </c>
      <c r="X248" s="46" t="n">
        <f aca="false">IF($W248="",0,COUNTIF($AA$4:$AA247,$W248))</f>
        <v>0</v>
      </c>
      <c r="Y248" s="46" t="str">
        <f aca="false">IF(OR($I248&lt;&gt;"Yes, I'm available for in-person interviews at Chennai",$E248&lt;&gt;"Yes",$T248="Yes",$U248&lt;&gt;"Yes"),"No",IF(($V248-$X248)&gt;0,"Yes","No"))</f>
        <v>No</v>
      </c>
      <c r="Z248" s="46" t="str">
        <f aca="false">IF($T248="Yes","Primary",IF($Y248="Yes","Secondary",""))</f>
        <v/>
      </c>
      <c r="AA248" s="46" t="str">
        <f aca="false">IF($Z248="Primary",$R248,IF($Z248="Secondary",$W248,""))</f>
        <v/>
      </c>
      <c r="AB248" s="46" t="str">
        <f aca="false">IF($Z248="Primary","Matched on primary skill",IF($Z248="Secondary","Matched on secondary skill (primary not approved or not required)",""))</f>
        <v/>
      </c>
      <c r="AC248" s="47" t="str">
        <f aca="false">IF($D248="Panel Details",$F248,"")</f>
        <v/>
      </c>
      <c r="AD248" s="46" t="str">
        <f aca="false">IF($D248="Panel Details",'Survey Response'!$D246,"")</f>
        <v/>
      </c>
      <c r="AE248" s="46" t="str">
        <f aca="false">IF($D248="Panel Details",'Survey Response'!$E246,"")</f>
        <v/>
      </c>
      <c r="AF248" s="46" t="str">
        <f aca="false">IF($D248="Panel Details",'Survey Response'!$G246,"")</f>
        <v/>
      </c>
      <c r="AG248" s="46" t="str">
        <f aca="false">IF($D248="Panel Details",IF($Z248="Primary",$J248,$L248),"")</f>
        <v/>
      </c>
      <c r="AH248" s="46" t="str">
        <f aca="false">IF($D248="Panel Details",IF($Z248="Primary",$L248,$J248),"")</f>
        <v/>
      </c>
      <c r="AI248" s="46" t="str">
        <f aca="false">IF($D248="Panel Details",'Survey Response'!$H246,"")</f>
        <v/>
      </c>
      <c r="AJ248" s="46" t="str">
        <f aca="false">IF($D248="Panel Details",'Survey Response'!$M246,"")</f>
        <v/>
      </c>
      <c r="AK248" s="46" t="str">
        <f aca="false">IF($D248="Panel Details",$O248,"")</f>
        <v/>
      </c>
      <c r="AL248" s="46" t="str">
        <f aca="false">IF($D248="Panel Details",8,"")</f>
        <v/>
      </c>
      <c r="AM248" s="46" t="str">
        <f aca="false">IF($D248="Panel Details",$AB248,"")</f>
        <v/>
      </c>
      <c r="AN248" s="46" t="str">
        <f aca="false">IF($D248="Panel Details","Yes","")</f>
        <v/>
      </c>
      <c r="AO248" s="46"/>
      <c r="AP248" s="46" t="str">
        <f aca="false">IF($D248="Followup",'Survey Response'!$D246,"")</f>
        <v/>
      </c>
      <c r="AQ248" s="46" t="str">
        <f aca="false">IF($D248="Followup",'Survey Response'!$E246,"")</f>
        <v/>
      </c>
      <c r="AR248" s="46" t="str">
        <f aca="false">IF($D248="Followup",'Survey Response'!$G246,"")</f>
        <v/>
      </c>
      <c r="AS248" s="46" t="str">
        <f aca="false">IF($D248="Followup",'Survey Response'!$H246,"")</f>
        <v/>
      </c>
      <c r="AT248" s="46" t="str">
        <f aca="false">IF($D248="Followup",'Survey Response'!$M246,"")</f>
        <v/>
      </c>
      <c r="AU248" s="46" t="str">
        <f aca="false">IF($D248="Followup",'Survey Response'!$K246,"")</f>
        <v/>
      </c>
      <c r="AV248" s="46" t="str">
        <f aca="false">IF($D248="Followup",'Survey Response'!$L246,"")</f>
        <v/>
      </c>
      <c r="AW248" s="46" t="str">
        <f aca="false">IF($D248="Followup",IF(AND($P248&lt;&gt;"Yes",$U248&lt;&gt;"Yes"),"Not approved for primary or secondary skill","Approved, but skill(s) no longer have capacity (fully staffed)"),"")</f>
        <v/>
      </c>
    </row>
    <row r="249" customFormat="false" ht="15" hidden="false" customHeight="true" outlineLevel="0" collapsed="false">
      <c r="A249" s="46" t="str">
        <f aca="false">IF('Survey Response'!$D247="","",'Survey Response'!$A247&amp;"|"&amp;LOWER(TRIM('Survey Response'!$D247)))</f>
        <v/>
      </c>
      <c r="B249" s="46" t="str">
        <f aca="false">IF($H249="","",$F249&amp;"|"&amp;$H249)</f>
        <v/>
      </c>
      <c r="C249" s="46" t="str">
        <f aca="false">IF($H249="","",$A249=$B249)</f>
        <v/>
      </c>
      <c r="D249" s="46" t="str">
        <f aca="false">IF($H249="","",IF($E249&lt;&gt;"Yes","Superseded",IF($I249&lt;&gt;"Yes, I'm available for in-person interviews at Chennai","Not Available",IF($Z249&lt;&gt;"","Panel Details","Followup"))))</f>
        <v/>
      </c>
      <c r="E249" s="46" t="str">
        <f aca="false">IF($H249="","",IF(SUMPRODUCT(($H$4:$H$503=$H249)*(($G$4:$G$503&gt;$G249)+($G$4:$G$503=$G249)*($F$4:$F$503&gt;$F249)))=0,"Yes","No"))</f>
        <v/>
      </c>
      <c r="F249" s="47" t="str">
        <f aca="false">IF('Survey Response'!$D247="","",INT('Survey Response'!$A247))</f>
        <v/>
      </c>
      <c r="G249" s="46" t="str">
        <f aca="false">IF('Survey Response'!$D247="","",'Survey Response'!$C247)</f>
        <v/>
      </c>
      <c r="H249" s="46" t="str">
        <f aca="false">IF('Survey Response'!$D247="","",LOWER(TRIM('Survey Response'!$D247)))</f>
        <v/>
      </c>
      <c r="I249" s="46" t="str">
        <f aca="false">IF($H249="","",'Survey Response'!$I247)</f>
        <v/>
      </c>
      <c r="J249" s="46" t="str">
        <f aca="false">IF($H249="","",'Survey Response'!$K247)</f>
        <v/>
      </c>
      <c r="K249" s="46" t="str">
        <f aca="false">IF($J249="","",IF(COUNTIF('Skill Mapping'!$A$2:$A$7,TRIM($J249))=0,"",INDEX('Skill Mapping'!$B$2:$B$7,MATCH(TRIM($J249),'Skill Mapping'!$A$2:$A$7,0))))</f>
        <v/>
      </c>
      <c r="L249" s="46" t="str">
        <f aca="false">IF($H249="","",'Survey Response'!$L247)</f>
        <v/>
      </c>
      <c r="M249" s="46" t="str">
        <f aca="false">IF($L249="","",IF(COUNTIF('Skill Mapping'!$A$2:$A$7,TRIM($L249))=0,"",INDEX('Skill Mapping'!$B$2:$B$7,MATCH(TRIM($L249),'Skill Mapping'!$A$2:$A$7,0))))</f>
        <v/>
      </c>
      <c r="N249" s="46" t="str">
        <f aca="false">IF($H249="","",'Survey Response'!$M247)</f>
        <v/>
      </c>
      <c r="O249" s="46" t="str">
        <f aca="false">IF($H249="","",IF('Survey Response'!$M247="Manager","R2","R1"))</f>
        <v/>
      </c>
      <c r="P249" s="46" t="str">
        <f aca="false">IF($K249="","No",IF(COUNTIFS(MasterPanel!$B:$B,$H249,MasterPanel!$I:$I,$K249,MasterPanel!$K:$K,"Y")&gt;0,"Yes","No"))</f>
        <v>No</v>
      </c>
      <c r="Q249" s="46" t="n">
        <f aca="false">IF($K249="",0,IF(COUNTIF('Gap Sheet'!$A$6:$A$11,TRIM($J249))=0,0,IF($O249="R1",INDEX('Gap Sheet'!$C$6:$C$11,MATCH(TRIM($J249),'Gap Sheet'!$A$6:$A$11,0)),INDEX('Gap Sheet'!$G$6:$G$11,MATCH(TRIM($J249),'Gap Sheet'!$A$6:$A$11,0)))))</f>
        <v>0</v>
      </c>
      <c r="R249" s="46" t="str">
        <f aca="false">IF($K249="","",$K249&amp;"|"&amp;$O249)</f>
        <v/>
      </c>
      <c r="S249" s="46" t="n">
        <f aca="false">IF($R249="",0,COUNTIF($AA$4:$AA248,$R249))</f>
        <v>0</v>
      </c>
      <c r="T249" s="46" t="str">
        <f aca="false">IF(OR($I249&lt;&gt;"Yes, I'm available for in-person interviews at Chennai",$E249&lt;&gt;"Yes",$P249&lt;&gt;"Yes"),"No",IF(($Q249-$S249)&gt;0,"Yes","No"))</f>
        <v>No</v>
      </c>
      <c r="U249" s="46" t="str">
        <f aca="false">IF($M249="","No",IF(COUNTIFS(MasterPanel!$B:$B,$H249,MasterPanel!$I:$I,$M249,MasterPanel!$K:$K,"Y")&gt;0,"Yes","No"))</f>
        <v>No</v>
      </c>
      <c r="V249" s="46" t="n">
        <f aca="false">IF($M249="",0,IF(COUNTIF('Gap Sheet'!$A$6:$A$11,TRIM($L249))=0,0,IF($O249="R1",INDEX('Gap Sheet'!$C$6:$C$11,MATCH(TRIM($L249),'Gap Sheet'!$A$6:$A$11,0)),INDEX('Gap Sheet'!$G$6:$G$11,MATCH(TRIM($L249),'Gap Sheet'!$A$6:$A$11,0)))))</f>
        <v>0</v>
      </c>
      <c r="W249" s="46" t="str">
        <f aca="false">IF($M249="","",$M249&amp;"|"&amp;$O249)</f>
        <v/>
      </c>
      <c r="X249" s="46" t="n">
        <f aca="false">IF($W249="",0,COUNTIF($AA$4:$AA248,$W249))</f>
        <v>0</v>
      </c>
      <c r="Y249" s="46" t="str">
        <f aca="false">IF(OR($I249&lt;&gt;"Yes, I'm available for in-person interviews at Chennai",$E249&lt;&gt;"Yes",$T249="Yes",$U249&lt;&gt;"Yes"),"No",IF(($V249-$X249)&gt;0,"Yes","No"))</f>
        <v>No</v>
      </c>
      <c r="Z249" s="46" t="str">
        <f aca="false">IF($T249="Yes","Primary",IF($Y249="Yes","Secondary",""))</f>
        <v/>
      </c>
      <c r="AA249" s="46" t="str">
        <f aca="false">IF($Z249="Primary",$R249,IF($Z249="Secondary",$W249,""))</f>
        <v/>
      </c>
      <c r="AB249" s="46" t="str">
        <f aca="false">IF($Z249="Primary","Matched on primary skill",IF($Z249="Secondary","Matched on secondary skill (primary not approved or not required)",""))</f>
        <v/>
      </c>
      <c r="AC249" s="47" t="str">
        <f aca="false">IF($D249="Panel Details",$F249,"")</f>
        <v/>
      </c>
      <c r="AD249" s="46" t="str">
        <f aca="false">IF($D249="Panel Details",'Survey Response'!$D247,"")</f>
        <v/>
      </c>
      <c r="AE249" s="46" t="str">
        <f aca="false">IF($D249="Panel Details",'Survey Response'!$E247,"")</f>
        <v/>
      </c>
      <c r="AF249" s="46" t="str">
        <f aca="false">IF($D249="Panel Details",'Survey Response'!$G247,"")</f>
        <v/>
      </c>
      <c r="AG249" s="46" t="str">
        <f aca="false">IF($D249="Panel Details",IF($Z249="Primary",$J249,$L249),"")</f>
        <v/>
      </c>
      <c r="AH249" s="46" t="str">
        <f aca="false">IF($D249="Panel Details",IF($Z249="Primary",$L249,$J249),"")</f>
        <v/>
      </c>
      <c r="AI249" s="46" t="str">
        <f aca="false">IF($D249="Panel Details",'Survey Response'!$H247,"")</f>
        <v/>
      </c>
      <c r="AJ249" s="46" t="str">
        <f aca="false">IF($D249="Panel Details",'Survey Response'!$M247,"")</f>
        <v/>
      </c>
      <c r="AK249" s="46" t="str">
        <f aca="false">IF($D249="Panel Details",$O249,"")</f>
        <v/>
      </c>
      <c r="AL249" s="46" t="str">
        <f aca="false">IF($D249="Panel Details",8,"")</f>
        <v/>
      </c>
      <c r="AM249" s="46" t="str">
        <f aca="false">IF($D249="Panel Details",$AB249,"")</f>
        <v/>
      </c>
      <c r="AN249" s="46" t="str">
        <f aca="false">IF($D249="Panel Details","Yes","")</f>
        <v/>
      </c>
      <c r="AO249" s="46"/>
      <c r="AP249" s="46" t="str">
        <f aca="false">IF($D249="Followup",'Survey Response'!$D247,"")</f>
        <v/>
      </c>
      <c r="AQ249" s="46" t="str">
        <f aca="false">IF($D249="Followup",'Survey Response'!$E247,"")</f>
        <v/>
      </c>
      <c r="AR249" s="46" t="str">
        <f aca="false">IF($D249="Followup",'Survey Response'!$G247,"")</f>
        <v/>
      </c>
      <c r="AS249" s="46" t="str">
        <f aca="false">IF($D249="Followup",'Survey Response'!$H247,"")</f>
        <v/>
      </c>
      <c r="AT249" s="46" t="str">
        <f aca="false">IF($D249="Followup",'Survey Response'!$M247,"")</f>
        <v/>
      </c>
      <c r="AU249" s="46" t="str">
        <f aca="false">IF($D249="Followup",'Survey Response'!$K247,"")</f>
        <v/>
      </c>
      <c r="AV249" s="46" t="str">
        <f aca="false">IF($D249="Followup",'Survey Response'!$L247,"")</f>
        <v/>
      </c>
      <c r="AW249" s="46" t="str">
        <f aca="false">IF($D249="Followup",IF(AND($P249&lt;&gt;"Yes",$U249&lt;&gt;"Yes"),"Not approved for primary or secondary skill","Approved, but skill(s) no longer have capacity (fully staffed)"),"")</f>
        <v/>
      </c>
    </row>
    <row r="250" customFormat="false" ht="15" hidden="false" customHeight="true" outlineLevel="0" collapsed="false">
      <c r="A250" s="46" t="str">
        <f aca="false">IF('Survey Response'!$D248="","",'Survey Response'!$A248&amp;"|"&amp;LOWER(TRIM('Survey Response'!$D248)))</f>
        <v/>
      </c>
      <c r="B250" s="46" t="str">
        <f aca="false">IF($H250="","",$F250&amp;"|"&amp;$H250)</f>
        <v/>
      </c>
      <c r="C250" s="46" t="str">
        <f aca="false">IF($H250="","",$A250=$B250)</f>
        <v/>
      </c>
      <c r="D250" s="46" t="str">
        <f aca="false">IF($H250="","",IF($E250&lt;&gt;"Yes","Superseded",IF($I250&lt;&gt;"Yes, I'm available for in-person interviews at Chennai","Not Available",IF($Z250&lt;&gt;"","Panel Details","Followup"))))</f>
        <v/>
      </c>
      <c r="E250" s="46" t="str">
        <f aca="false">IF($H250="","",IF(SUMPRODUCT(($H$4:$H$503=$H250)*(($G$4:$G$503&gt;$G250)+($G$4:$G$503=$G250)*($F$4:$F$503&gt;$F250)))=0,"Yes","No"))</f>
        <v/>
      </c>
      <c r="F250" s="47" t="str">
        <f aca="false">IF('Survey Response'!$D248="","",INT('Survey Response'!$A248))</f>
        <v/>
      </c>
      <c r="G250" s="46" t="str">
        <f aca="false">IF('Survey Response'!$D248="","",'Survey Response'!$C248)</f>
        <v/>
      </c>
      <c r="H250" s="46" t="str">
        <f aca="false">IF('Survey Response'!$D248="","",LOWER(TRIM('Survey Response'!$D248)))</f>
        <v/>
      </c>
      <c r="I250" s="46" t="str">
        <f aca="false">IF($H250="","",'Survey Response'!$I248)</f>
        <v/>
      </c>
      <c r="J250" s="46" t="str">
        <f aca="false">IF($H250="","",'Survey Response'!$K248)</f>
        <v/>
      </c>
      <c r="K250" s="46" t="str">
        <f aca="false">IF($J250="","",IF(COUNTIF('Skill Mapping'!$A$2:$A$7,TRIM($J250))=0,"",INDEX('Skill Mapping'!$B$2:$B$7,MATCH(TRIM($J250),'Skill Mapping'!$A$2:$A$7,0))))</f>
        <v/>
      </c>
      <c r="L250" s="46" t="str">
        <f aca="false">IF($H250="","",'Survey Response'!$L248)</f>
        <v/>
      </c>
      <c r="M250" s="46" t="str">
        <f aca="false">IF($L250="","",IF(COUNTIF('Skill Mapping'!$A$2:$A$7,TRIM($L250))=0,"",INDEX('Skill Mapping'!$B$2:$B$7,MATCH(TRIM($L250),'Skill Mapping'!$A$2:$A$7,0))))</f>
        <v/>
      </c>
      <c r="N250" s="46" t="str">
        <f aca="false">IF($H250="","",'Survey Response'!$M248)</f>
        <v/>
      </c>
      <c r="O250" s="46" t="str">
        <f aca="false">IF($H250="","",IF('Survey Response'!$M248="Manager","R2","R1"))</f>
        <v/>
      </c>
      <c r="P250" s="46" t="str">
        <f aca="false">IF($K250="","No",IF(COUNTIFS(MasterPanel!$B:$B,$H250,MasterPanel!$I:$I,$K250,MasterPanel!$K:$K,"Y")&gt;0,"Yes","No"))</f>
        <v>No</v>
      </c>
      <c r="Q250" s="46" t="n">
        <f aca="false">IF($K250="",0,IF(COUNTIF('Gap Sheet'!$A$6:$A$11,TRIM($J250))=0,0,IF($O250="R1",INDEX('Gap Sheet'!$C$6:$C$11,MATCH(TRIM($J250),'Gap Sheet'!$A$6:$A$11,0)),INDEX('Gap Sheet'!$G$6:$G$11,MATCH(TRIM($J250),'Gap Sheet'!$A$6:$A$11,0)))))</f>
        <v>0</v>
      </c>
      <c r="R250" s="46" t="str">
        <f aca="false">IF($K250="","",$K250&amp;"|"&amp;$O250)</f>
        <v/>
      </c>
      <c r="S250" s="46" t="n">
        <f aca="false">IF($R250="",0,COUNTIF($AA$4:$AA249,$R250))</f>
        <v>0</v>
      </c>
      <c r="T250" s="46" t="str">
        <f aca="false">IF(OR($I250&lt;&gt;"Yes, I'm available for in-person interviews at Chennai",$E250&lt;&gt;"Yes",$P250&lt;&gt;"Yes"),"No",IF(($Q250-$S250)&gt;0,"Yes","No"))</f>
        <v>No</v>
      </c>
      <c r="U250" s="46" t="str">
        <f aca="false">IF($M250="","No",IF(COUNTIFS(MasterPanel!$B:$B,$H250,MasterPanel!$I:$I,$M250,MasterPanel!$K:$K,"Y")&gt;0,"Yes","No"))</f>
        <v>No</v>
      </c>
      <c r="V250" s="46" t="n">
        <f aca="false">IF($M250="",0,IF(COUNTIF('Gap Sheet'!$A$6:$A$11,TRIM($L250))=0,0,IF($O250="R1",INDEX('Gap Sheet'!$C$6:$C$11,MATCH(TRIM($L250),'Gap Sheet'!$A$6:$A$11,0)),INDEX('Gap Sheet'!$G$6:$G$11,MATCH(TRIM($L250),'Gap Sheet'!$A$6:$A$11,0)))))</f>
        <v>0</v>
      </c>
      <c r="W250" s="46" t="str">
        <f aca="false">IF($M250="","",$M250&amp;"|"&amp;$O250)</f>
        <v/>
      </c>
      <c r="X250" s="46" t="n">
        <f aca="false">IF($W250="",0,COUNTIF($AA$4:$AA249,$W250))</f>
        <v>0</v>
      </c>
      <c r="Y250" s="46" t="str">
        <f aca="false">IF(OR($I250&lt;&gt;"Yes, I'm available for in-person interviews at Chennai",$E250&lt;&gt;"Yes",$T250="Yes",$U250&lt;&gt;"Yes"),"No",IF(($V250-$X250)&gt;0,"Yes","No"))</f>
        <v>No</v>
      </c>
      <c r="Z250" s="46" t="str">
        <f aca="false">IF($T250="Yes","Primary",IF($Y250="Yes","Secondary",""))</f>
        <v/>
      </c>
      <c r="AA250" s="46" t="str">
        <f aca="false">IF($Z250="Primary",$R250,IF($Z250="Secondary",$W250,""))</f>
        <v/>
      </c>
      <c r="AB250" s="46" t="str">
        <f aca="false">IF($Z250="Primary","Matched on primary skill",IF($Z250="Secondary","Matched on secondary skill (primary not approved or not required)",""))</f>
        <v/>
      </c>
      <c r="AC250" s="47" t="str">
        <f aca="false">IF($D250="Panel Details",$F250,"")</f>
        <v/>
      </c>
      <c r="AD250" s="46" t="str">
        <f aca="false">IF($D250="Panel Details",'Survey Response'!$D248,"")</f>
        <v/>
      </c>
      <c r="AE250" s="46" t="str">
        <f aca="false">IF($D250="Panel Details",'Survey Response'!$E248,"")</f>
        <v/>
      </c>
      <c r="AF250" s="46" t="str">
        <f aca="false">IF($D250="Panel Details",'Survey Response'!$G248,"")</f>
        <v/>
      </c>
      <c r="AG250" s="46" t="str">
        <f aca="false">IF($D250="Panel Details",IF($Z250="Primary",$J250,$L250),"")</f>
        <v/>
      </c>
      <c r="AH250" s="46" t="str">
        <f aca="false">IF($D250="Panel Details",IF($Z250="Primary",$L250,$J250),"")</f>
        <v/>
      </c>
      <c r="AI250" s="46" t="str">
        <f aca="false">IF($D250="Panel Details",'Survey Response'!$H248,"")</f>
        <v/>
      </c>
      <c r="AJ250" s="46" t="str">
        <f aca="false">IF($D250="Panel Details",'Survey Response'!$M248,"")</f>
        <v/>
      </c>
      <c r="AK250" s="46" t="str">
        <f aca="false">IF($D250="Panel Details",$O250,"")</f>
        <v/>
      </c>
      <c r="AL250" s="46" t="str">
        <f aca="false">IF($D250="Panel Details",8,"")</f>
        <v/>
      </c>
      <c r="AM250" s="46" t="str">
        <f aca="false">IF($D250="Panel Details",$AB250,"")</f>
        <v/>
      </c>
      <c r="AN250" s="46" t="str">
        <f aca="false">IF($D250="Panel Details","Yes","")</f>
        <v/>
      </c>
      <c r="AO250" s="46"/>
      <c r="AP250" s="46" t="str">
        <f aca="false">IF($D250="Followup",'Survey Response'!$D248,"")</f>
        <v/>
      </c>
      <c r="AQ250" s="46" t="str">
        <f aca="false">IF($D250="Followup",'Survey Response'!$E248,"")</f>
        <v/>
      </c>
      <c r="AR250" s="46" t="str">
        <f aca="false">IF($D250="Followup",'Survey Response'!$G248,"")</f>
        <v/>
      </c>
      <c r="AS250" s="46" t="str">
        <f aca="false">IF($D250="Followup",'Survey Response'!$H248,"")</f>
        <v/>
      </c>
      <c r="AT250" s="46" t="str">
        <f aca="false">IF($D250="Followup",'Survey Response'!$M248,"")</f>
        <v/>
      </c>
      <c r="AU250" s="46" t="str">
        <f aca="false">IF($D250="Followup",'Survey Response'!$K248,"")</f>
        <v/>
      </c>
      <c r="AV250" s="46" t="str">
        <f aca="false">IF($D250="Followup",'Survey Response'!$L248,"")</f>
        <v/>
      </c>
      <c r="AW250" s="46" t="str">
        <f aca="false">IF($D250="Followup",IF(AND($P250&lt;&gt;"Yes",$U250&lt;&gt;"Yes"),"Not approved for primary or secondary skill","Approved, but skill(s) no longer have capacity (fully staffed)"),"")</f>
        <v/>
      </c>
    </row>
    <row r="251" customFormat="false" ht="15" hidden="false" customHeight="true" outlineLevel="0" collapsed="false">
      <c r="A251" s="46" t="str">
        <f aca="false">IF('Survey Response'!$D249="","",'Survey Response'!$A249&amp;"|"&amp;LOWER(TRIM('Survey Response'!$D249)))</f>
        <v/>
      </c>
      <c r="B251" s="46" t="str">
        <f aca="false">IF($H251="","",$F251&amp;"|"&amp;$H251)</f>
        <v/>
      </c>
      <c r="C251" s="46" t="str">
        <f aca="false">IF($H251="","",$A251=$B251)</f>
        <v/>
      </c>
      <c r="D251" s="46" t="str">
        <f aca="false">IF($H251="","",IF($E251&lt;&gt;"Yes","Superseded",IF($I251&lt;&gt;"Yes, I'm available for in-person interviews at Chennai","Not Available",IF($Z251&lt;&gt;"","Panel Details","Followup"))))</f>
        <v/>
      </c>
      <c r="E251" s="46" t="str">
        <f aca="false">IF($H251="","",IF(SUMPRODUCT(($H$4:$H$503=$H251)*(($G$4:$G$503&gt;$G251)+($G$4:$G$503=$G251)*($F$4:$F$503&gt;$F251)))=0,"Yes","No"))</f>
        <v/>
      </c>
      <c r="F251" s="47" t="str">
        <f aca="false">IF('Survey Response'!$D249="","",INT('Survey Response'!$A249))</f>
        <v/>
      </c>
      <c r="G251" s="46" t="str">
        <f aca="false">IF('Survey Response'!$D249="","",'Survey Response'!$C249)</f>
        <v/>
      </c>
      <c r="H251" s="46" t="str">
        <f aca="false">IF('Survey Response'!$D249="","",LOWER(TRIM('Survey Response'!$D249)))</f>
        <v/>
      </c>
      <c r="I251" s="46" t="str">
        <f aca="false">IF($H251="","",'Survey Response'!$I249)</f>
        <v/>
      </c>
      <c r="J251" s="46" t="str">
        <f aca="false">IF($H251="","",'Survey Response'!$K249)</f>
        <v/>
      </c>
      <c r="K251" s="46" t="str">
        <f aca="false">IF($J251="","",IF(COUNTIF('Skill Mapping'!$A$2:$A$7,TRIM($J251))=0,"",INDEX('Skill Mapping'!$B$2:$B$7,MATCH(TRIM($J251),'Skill Mapping'!$A$2:$A$7,0))))</f>
        <v/>
      </c>
      <c r="L251" s="46" t="str">
        <f aca="false">IF($H251="","",'Survey Response'!$L249)</f>
        <v/>
      </c>
      <c r="M251" s="46" t="str">
        <f aca="false">IF($L251="","",IF(COUNTIF('Skill Mapping'!$A$2:$A$7,TRIM($L251))=0,"",INDEX('Skill Mapping'!$B$2:$B$7,MATCH(TRIM($L251),'Skill Mapping'!$A$2:$A$7,0))))</f>
        <v/>
      </c>
      <c r="N251" s="46" t="str">
        <f aca="false">IF($H251="","",'Survey Response'!$M249)</f>
        <v/>
      </c>
      <c r="O251" s="46" t="str">
        <f aca="false">IF($H251="","",IF('Survey Response'!$M249="Manager","R2","R1"))</f>
        <v/>
      </c>
      <c r="P251" s="46" t="str">
        <f aca="false">IF($K251="","No",IF(COUNTIFS(MasterPanel!$B:$B,$H251,MasterPanel!$I:$I,$K251,MasterPanel!$K:$K,"Y")&gt;0,"Yes","No"))</f>
        <v>No</v>
      </c>
      <c r="Q251" s="46" t="n">
        <f aca="false">IF($K251="",0,IF(COUNTIF('Gap Sheet'!$A$6:$A$11,TRIM($J251))=0,0,IF($O251="R1",INDEX('Gap Sheet'!$C$6:$C$11,MATCH(TRIM($J251),'Gap Sheet'!$A$6:$A$11,0)),INDEX('Gap Sheet'!$G$6:$G$11,MATCH(TRIM($J251),'Gap Sheet'!$A$6:$A$11,0)))))</f>
        <v>0</v>
      </c>
      <c r="R251" s="46" t="str">
        <f aca="false">IF($K251="","",$K251&amp;"|"&amp;$O251)</f>
        <v/>
      </c>
      <c r="S251" s="46" t="n">
        <f aca="false">IF($R251="",0,COUNTIF($AA$4:$AA250,$R251))</f>
        <v>0</v>
      </c>
      <c r="T251" s="46" t="str">
        <f aca="false">IF(OR($I251&lt;&gt;"Yes, I'm available for in-person interviews at Chennai",$E251&lt;&gt;"Yes",$P251&lt;&gt;"Yes"),"No",IF(($Q251-$S251)&gt;0,"Yes","No"))</f>
        <v>No</v>
      </c>
      <c r="U251" s="46" t="str">
        <f aca="false">IF($M251="","No",IF(COUNTIFS(MasterPanel!$B:$B,$H251,MasterPanel!$I:$I,$M251,MasterPanel!$K:$K,"Y")&gt;0,"Yes","No"))</f>
        <v>No</v>
      </c>
      <c r="V251" s="46" t="n">
        <f aca="false">IF($M251="",0,IF(COUNTIF('Gap Sheet'!$A$6:$A$11,TRIM($L251))=0,0,IF($O251="R1",INDEX('Gap Sheet'!$C$6:$C$11,MATCH(TRIM($L251),'Gap Sheet'!$A$6:$A$11,0)),INDEX('Gap Sheet'!$G$6:$G$11,MATCH(TRIM($L251),'Gap Sheet'!$A$6:$A$11,0)))))</f>
        <v>0</v>
      </c>
      <c r="W251" s="46" t="str">
        <f aca="false">IF($M251="","",$M251&amp;"|"&amp;$O251)</f>
        <v/>
      </c>
      <c r="X251" s="46" t="n">
        <f aca="false">IF($W251="",0,COUNTIF($AA$4:$AA250,$W251))</f>
        <v>0</v>
      </c>
      <c r="Y251" s="46" t="str">
        <f aca="false">IF(OR($I251&lt;&gt;"Yes, I'm available for in-person interviews at Chennai",$E251&lt;&gt;"Yes",$T251="Yes",$U251&lt;&gt;"Yes"),"No",IF(($V251-$X251)&gt;0,"Yes","No"))</f>
        <v>No</v>
      </c>
      <c r="Z251" s="46" t="str">
        <f aca="false">IF($T251="Yes","Primary",IF($Y251="Yes","Secondary",""))</f>
        <v/>
      </c>
      <c r="AA251" s="46" t="str">
        <f aca="false">IF($Z251="Primary",$R251,IF($Z251="Secondary",$W251,""))</f>
        <v/>
      </c>
      <c r="AB251" s="46" t="str">
        <f aca="false">IF($Z251="Primary","Matched on primary skill",IF($Z251="Secondary","Matched on secondary skill (primary not approved or not required)",""))</f>
        <v/>
      </c>
      <c r="AC251" s="47" t="str">
        <f aca="false">IF($D251="Panel Details",$F251,"")</f>
        <v/>
      </c>
      <c r="AD251" s="46" t="str">
        <f aca="false">IF($D251="Panel Details",'Survey Response'!$D249,"")</f>
        <v/>
      </c>
      <c r="AE251" s="46" t="str">
        <f aca="false">IF($D251="Panel Details",'Survey Response'!$E249,"")</f>
        <v/>
      </c>
      <c r="AF251" s="46" t="str">
        <f aca="false">IF($D251="Panel Details",'Survey Response'!$G249,"")</f>
        <v/>
      </c>
      <c r="AG251" s="46" t="str">
        <f aca="false">IF($D251="Panel Details",IF($Z251="Primary",$J251,$L251),"")</f>
        <v/>
      </c>
      <c r="AH251" s="46" t="str">
        <f aca="false">IF($D251="Panel Details",IF($Z251="Primary",$L251,$J251),"")</f>
        <v/>
      </c>
      <c r="AI251" s="46" t="str">
        <f aca="false">IF($D251="Panel Details",'Survey Response'!$H249,"")</f>
        <v/>
      </c>
      <c r="AJ251" s="46" t="str">
        <f aca="false">IF($D251="Panel Details",'Survey Response'!$M249,"")</f>
        <v/>
      </c>
      <c r="AK251" s="46" t="str">
        <f aca="false">IF($D251="Panel Details",$O251,"")</f>
        <v/>
      </c>
      <c r="AL251" s="46" t="str">
        <f aca="false">IF($D251="Panel Details",8,"")</f>
        <v/>
      </c>
      <c r="AM251" s="46" t="str">
        <f aca="false">IF($D251="Panel Details",$AB251,"")</f>
        <v/>
      </c>
      <c r="AN251" s="46" t="str">
        <f aca="false">IF($D251="Panel Details","Yes","")</f>
        <v/>
      </c>
      <c r="AO251" s="46"/>
      <c r="AP251" s="46" t="str">
        <f aca="false">IF($D251="Followup",'Survey Response'!$D249,"")</f>
        <v/>
      </c>
      <c r="AQ251" s="46" t="str">
        <f aca="false">IF($D251="Followup",'Survey Response'!$E249,"")</f>
        <v/>
      </c>
      <c r="AR251" s="46" t="str">
        <f aca="false">IF($D251="Followup",'Survey Response'!$G249,"")</f>
        <v/>
      </c>
      <c r="AS251" s="46" t="str">
        <f aca="false">IF($D251="Followup",'Survey Response'!$H249,"")</f>
        <v/>
      </c>
      <c r="AT251" s="46" t="str">
        <f aca="false">IF($D251="Followup",'Survey Response'!$M249,"")</f>
        <v/>
      </c>
      <c r="AU251" s="46" t="str">
        <f aca="false">IF($D251="Followup",'Survey Response'!$K249,"")</f>
        <v/>
      </c>
      <c r="AV251" s="46" t="str">
        <f aca="false">IF($D251="Followup",'Survey Response'!$L249,"")</f>
        <v/>
      </c>
      <c r="AW251" s="46" t="str">
        <f aca="false">IF($D251="Followup",IF(AND($P251&lt;&gt;"Yes",$U251&lt;&gt;"Yes"),"Not approved for primary or secondary skill","Approved, but skill(s) no longer have capacity (fully staffed)"),"")</f>
        <v/>
      </c>
    </row>
    <row r="252" customFormat="false" ht="15" hidden="false" customHeight="true" outlineLevel="0" collapsed="false">
      <c r="A252" s="46" t="str">
        <f aca="false">IF('Survey Response'!$D250="","",'Survey Response'!$A250&amp;"|"&amp;LOWER(TRIM('Survey Response'!$D250)))</f>
        <v/>
      </c>
      <c r="B252" s="46" t="str">
        <f aca="false">IF($H252="","",$F252&amp;"|"&amp;$H252)</f>
        <v/>
      </c>
      <c r="C252" s="46" t="str">
        <f aca="false">IF($H252="","",$A252=$B252)</f>
        <v/>
      </c>
      <c r="D252" s="46" t="str">
        <f aca="false">IF($H252="","",IF($E252&lt;&gt;"Yes","Superseded",IF($I252&lt;&gt;"Yes, I'm available for in-person interviews at Chennai","Not Available",IF($Z252&lt;&gt;"","Panel Details","Followup"))))</f>
        <v/>
      </c>
      <c r="E252" s="46" t="str">
        <f aca="false">IF($H252="","",IF(SUMPRODUCT(($H$4:$H$503=$H252)*(($G$4:$G$503&gt;$G252)+($G$4:$G$503=$G252)*($F$4:$F$503&gt;$F252)))=0,"Yes","No"))</f>
        <v/>
      </c>
      <c r="F252" s="47" t="str">
        <f aca="false">IF('Survey Response'!$D250="","",INT('Survey Response'!$A250))</f>
        <v/>
      </c>
      <c r="G252" s="46" t="str">
        <f aca="false">IF('Survey Response'!$D250="","",'Survey Response'!$C250)</f>
        <v/>
      </c>
      <c r="H252" s="46" t="str">
        <f aca="false">IF('Survey Response'!$D250="","",LOWER(TRIM('Survey Response'!$D250)))</f>
        <v/>
      </c>
      <c r="I252" s="46" t="str">
        <f aca="false">IF($H252="","",'Survey Response'!$I250)</f>
        <v/>
      </c>
      <c r="J252" s="46" t="str">
        <f aca="false">IF($H252="","",'Survey Response'!$K250)</f>
        <v/>
      </c>
      <c r="K252" s="46" t="str">
        <f aca="false">IF($J252="","",IF(COUNTIF('Skill Mapping'!$A$2:$A$7,TRIM($J252))=0,"",INDEX('Skill Mapping'!$B$2:$B$7,MATCH(TRIM($J252),'Skill Mapping'!$A$2:$A$7,0))))</f>
        <v/>
      </c>
      <c r="L252" s="46" t="str">
        <f aca="false">IF($H252="","",'Survey Response'!$L250)</f>
        <v/>
      </c>
      <c r="M252" s="46" t="str">
        <f aca="false">IF($L252="","",IF(COUNTIF('Skill Mapping'!$A$2:$A$7,TRIM($L252))=0,"",INDEX('Skill Mapping'!$B$2:$B$7,MATCH(TRIM($L252),'Skill Mapping'!$A$2:$A$7,0))))</f>
        <v/>
      </c>
      <c r="N252" s="46" t="str">
        <f aca="false">IF($H252="","",'Survey Response'!$M250)</f>
        <v/>
      </c>
      <c r="O252" s="46" t="str">
        <f aca="false">IF($H252="","",IF('Survey Response'!$M250="Manager","R2","R1"))</f>
        <v/>
      </c>
      <c r="P252" s="46" t="str">
        <f aca="false">IF($K252="","No",IF(COUNTIFS(MasterPanel!$B:$B,$H252,MasterPanel!$I:$I,$K252,MasterPanel!$K:$K,"Y")&gt;0,"Yes","No"))</f>
        <v>No</v>
      </c>
      <c r="Q252" s="46" t="n">
        <f aca="false">IF($K252="",0,IF(COUNTIF('Gap Sheet'!$A$6:$A$11,TRIM($J252))=0,0,IF($O252="R1",INDEX('Gap Sheet'!$C$6:$C$11,MATCH(TRIM($J252),'Gap Sheet'!$A$6:$A$11,0)),INDEX('Gap Sheet'!$G$6:$G$11,MATCH(TRIM($J252),'Gap Sheet'!$A$6:$A$11,0)))))</f>
        <v>0</v>
      </c>
      <c r="R252" s="46" t="str">
        <f aca="false">IF($K252="","",$K252&amp;"|"&amp;$O252)</f>
        <v/>
      </c>
      <c r="S252" s="46" t="n">
        <f aca="false">IF($R252="",0,COUNTIF($AA$4:$AA251,$R252))</f>
        <v>0</v>
      </c>
      <c r="T252" s="46" t="str">
        <f aca="false">IF(OR($I252&lt;&gt;"Yes, I'm available for in-person interviews at Chennai",$E252&lt;&gt;"Yes",$P252&lt;&gt;"Yes"),"No",IF(($Q252-$S252)&gt;0,"Yes","No"))</f>
        <v>No</v>
      </c>
      <c r="U252" s="46" t="str">
        <f aca="false">IF($M252="","No",IF(COUNTIFS(MasterPanel!$B:$B,$H252,MasterPanel!$I:$I,$M252,MasterPanel!$K:$K,"Y")&gt;0,"Yes","No"))</f>
        <v>No</v>
      </c>
      <c r="V252" s="46" t="n">
        <f aca="false">IF($M252="",0,IF(COUNTIF('Gap Sheet'!$A$6:$A$11,TRIM($L252))=0,0,IF($O252="R1",INDEX('Gap Sheet'!$C$6:$C$11,MATCH(TRIM($L252),'Gap Sheet'!$A$6:$A$11,0)),INDEX('Gap Sheet'!$G$6:$G$11,MATCH(TRIM($L252),'Gap Sheet'!$A$6:$A$11,0)))))</f>
        <v>0</v>
      </c>
      <c r="W252" s="46" t="str">
        <f aca="false">IF($M252="","",$M252&amp;"|"&amp;$O252)</f>
        <v/>
      </c>
      <c r="X252" s="46" t="n">
        <f aca="false">IF($W252="",0,COUNTIF($AA$4:$AA251,$W252))</f>
        <v>0</v>
      </c>
      <c r="Y252" s="46" t="str">
        <f aca="false">IF(OR($I252&lt;&gt;"Yes, I'm available for in-person interviews at Chennai",$E252&lt;&gt;"Yes",$T252="Yes",$U252&lt;&gt;"Yes"),"No",IF(($V252-$X252)&gt;0,"Yes","No"))</f>
        <v>No</v>
      </c>
      <c r="Z252" s="46" t="str">
        <f aca="false">IF($T252="Yes","Primary",IF($Y252="Yes","Secondary",""))</f>
        <v/>
      </c>
      <c r="AA252" s="46" t="str">
        <f aca="false">IF($Z252="Primary",$R252,IF($Z252="Secondary",$W252,""))</f>
        <v/>
      </c>
      <c r="AB252" s="46" t="str">
        <f aca="false">IF($Z252="Primary","Matched on primary skill",IF($Z252="Secondary","Matched on secondary skill (primary not approved or not required)",""))</f>
        <v/>
      </c>
      <c r="AC252" s="47" t="str">
        <f aca="false">IF($D252="Panel Details",$F252,"")</f>
        <v/>
      </c>
      <c r="AD252" s="46" t="str">
        <f aca="false">IF($D252="Panel Details",'Survey Response'!$D250,"")</f>
        <v/>
      </c>
      <c r="AE252" s="46" t="str">
        <f aca="false">IF($D252="Panel Details",'Survey Response'!$E250,"")</f>
        <v/>
      </c>
      <c r="AF252" s="46" t="str">
        <f aca="false">IF($D252="Panel Details",'Survey Response'!$G250,"")</f>
        <v/>
      </c>
      <c r="AG252" s="46" t="str">
        <f aca="false">IF($D252="Panel Details",IF($Z252="Primary",$J252,$L252),"")</f>
        <v/>
      </c>
      <c r="AH252" s="46" t="str">
        <f aca="false">IF($D252="Panel Details",IF($Z252="Primary",$L252,$J252),"")</f>
        <v/>
      </c>
      <c r="AI252" s="46" t="str">
        <f aca="false">IF($D252="Panel Details",'Survey Response'!$H250,"")</f>
        <v/>
      </c>
      <c r="AJ252" s="46" t="str">
        <f aca="false">IF($D252="Panel Details",'Survey Response'!$M250,"")</f>
        <v/>
      </c>
      <c r="AK252" s="46" t="str">
        <f aca="false">IF($D252="Panel Details",$O252,"")</f>
        <v/>
      </c>
      <c r="AL252" s="46" t="str">
        <f aca="false">IF($D252="Panel Details",8,"")</f>
        <v/>
      </c>
      <c r="AM252" s="46" t="str">
        <f aca="false">IF($D252="Panel Details",$AB252,"")</f>
        <v/>
      </c>
      <c r="AN252" s="46" t="str">
        <f aca="false">IF($D252="Panel Details","Yes","")</f>
        <v/>
      </c>
      <c r="AO252" s="46"/>
      <c r="AP252" s="46" t="str">
        <f aca="false">IF($D252="Followup",'Survey Response'!$D250,"")</f>
        <v/>
      </c>
      <c r="AQ252" s="46" t="str">
        <f aca="false">IF($D252="Followup",'Survey Response'!$E250,"")</f>
        <v/>
      </c>
      <c r="AR252" s="46" t="str">
        <f aca="false">IF($D252="Followup",'Survey Response'!$G250,"")</f>
        <v/>
      </c>
      <c r="AS252" s="46" t="str">
        <f aca="false">IF($D252="Followup",'Survey Response'!$H250,"")</f>
        <v/>
      </c>
      <c r="AT252" s="46" t="str">
        <f aca="false">IF($D252="Followup",'Survey Response'!$M250,"")</f>
        <v/>
      </c>
      <c r="AU252" s="46" t="str">
        <f aca="false">IF($D252="Followup",'Survey Response'!$K250,"")</f>
        <v/>
      </c>
      <c r="AV252" s="46" t="str">
        <f aca="false">IF($D252="Followup",'Survey Response'!$L250,"")</f>
        <v/>
      </c>
      <c r="AW252" s="46" t="str">
        <f aca="false">IF($D252="Followup",IF(AND($P252&lt;&gt;"Yes",$U252&lt;&gt;"Yes"),"Not approved for primary or secondary skill","Approved, but skill(s) no longer have capacity (fully staffed)"),"")</f>
        <v/>
      </c>
    </row>
    <row r="253" customFormat="false" ht="15" hidden="false" customHeight="true" outlineLevel="0" collapsed="false">
      <c r="A253" s="46" t="str">
        <f aca="false">IF('Survey Response'!$D251="","",'Survey Response'!$A251&amp;"|"&amp;LOWER(TRIM('Survey Response'!$D251)))</f>
        <v/>
      </c>
      <c r="B253" s="46" t="str">
        <f aca="false">IF($H253="","",$F253&amp;"|"&amp;$H253)</f>
        <v/>
      </c>
      <c r="C253" s="46" t="str">
        <f aca="false">IF($H253="","",$A253=$B253)</f>
        <v/>
      </c>
      <c r="D253" s="46" t="str">
        <f aca="false">IF($H253="","",IF($E253&lt;&gt;"Yes","Superseded",IF($I253&lt;&gt;"Yes, I'm available for in-person interviews at Chennai","Not Available",IF($Z253&lt;&gt;"","Panel Details","Followup"))))</f>
        <v/>
      </c>
      <c r="E253" s="46" t="str">
        <f aca="false">IF($H253="","",IF(SUMPRODUCT(($H$4:$H$503=$H253)*(($G$4:$G$503&gt;$G253)+($G$4:$G$503=$G253)*($F$4:$F$503&gt;$F253)))=0,"Yes","No"))</f>
        <v/>
      </c>
      <c r="F253" s="47" t="str">
        <f aca="false">IF('Survey Response'!$D251="","",INT('Survey Response'!$A251))</f>
        <v/>
      </c>
      <c r="G253" s="46" t="str">
        <f aca="false">IF('Survey Response'!$D251="","",'Survey Response'!$C251)</f>
        <v/>
      </c>
      <c r="H253" s="46" t="str">
        <f aca="false">IF('Survey Response'!$D251="","",LOWER(TRIM('Survey Response'!$D251)))</f>
        <v/>
      </c>
      <c r="I253" s="46" t="str">
        <f aca="false">IF($H253="","",'Survey Response'!$I251)</f>
        <v/>
      </c>
      <c r="J253" s="46" t="str">
        <f aca="false">IF($H253="","",'Survey Response'!$K251)</f>
        <v/>
      </c>
      <c r="K253" s="46" t="str">
        <f aca="false">IF($J253="","",IF(COUNTIF('Skill Mapping'!$A$2:$A$7,TRIM($J253))=0,"",INDEX('Skill Mapping'!$B$2:$B$7,MATCH(TRIM($J253),'Skill Mapping'!$A$2:$A$7,0))))</f>
        <v/>
      </c>
      <c r="L253" s="46" t="str">
        <f aca="false">IF($H253="","",'Survey Response'!$L251)</f>
        <v/>
      </c>
      <c r="M253" s="46" t="str">
        <f aca="false">IF($L253="","",IF(COUNTIF('Skill Mapping'!$A$2:$A$7,TRIM($L253))=0,"",INDEX('Skill Mapping'!$B$2:$B$7,MATCH(TRIM($L253),'Skill Mapping'!$A$2:$A$7,0))))</f>
        <v/>
      </c>
      <c r="N253" s="46" t="str">
        <f aca="false">IF($H253="","",'Survey Response'!$M251)</f>
        <v/>
      </c>
      <c r="O253" s="46" t="str">
        <f aca="false">IF($H253="","",IF('Survey Response'!$M251="Manager","R2","R1"))</f>
        <v/>
      </c>
      <c r="P253" s="46" t="str">
        <f aca="false">IF($K253="","No",IF(COUNTIFS(MasterPanel!$B:$B,$H253,MasterPanel!$I:$I,$K253,MasterPanel!$K:$K,"Y")&gt;0,"Yes","No"))</f>
        <v>No</v>
      </c>
      <c r="Q253" s="46" t="n">
        <f aca="false">IF($K253="",0,IF(COUNTIF('Gap Sheet'!$A$6:$A$11,TRIM($J253))=0,0,IF($O253="R1",INDEX('Gap Sheet'!$C$6:$C$11,MATCH(TRIM($J253),'Gap Sheet'!$A$6:$A$11,0)),INDEX('Gap Sheet'!$G$6:$G$11,MATCH(TRIM($J253),'Gap Sheet'!$A$6:$A$11,0)))))</f>
        <v>0</v>
      </c>
      <c r="R253" s="46" t="str">
        <f aca="false">IF($K253="","",$K253&amp;"|"&amp;$O253)</f>
        <v/>
      </c>
      <c r="S253" s="46" t="n">
        <f aca="false">IF($R253="",0,COUNTIF($AA$4:$AA252,$R253))</f>
        <v>0</v>
      </c>
      <c r="T253" s="46" t="str">
        <f aca="false">IF(OR($I253&lt;&gt;"Yes, I'm available for in-person interviews at Chennai",$E253&lt;&gt;"Yes",$P253&lt;&gt;"Yes"),"No",IF(($Q253-$S253)&gt;0,"Yes","No"))</f>
        <v>No</v>
      </c>
      <c r="U253" s="46" t="str">
        <f aca="false">IF($M253="","No",IF(COUNTIFS(MasterPanel!$B:$B,$H253,MasterPanel!$I:$I,$M253,MasterPanel!$K:$K,"Y")&gt;0,"Yes","No"))</f>
        <v>No</v>
      </c>
      <c r="V253" s="46" t="n">
        <f aca="false">IF($M253="",0,IF(COUNTIF('Gap Sheet'!$A$6:$A$11,TRIM($L253))=0,0,IF($O253="R1",INDEX('Gap Sheet'!$C$6:$C$11,MATCH(TRIM($L253),'Gap Sheet'!$A$6:$A$11,0)),INDEX('Gap Sheet'!$G$6:$G$11,MATCH(TRIM($L253),'Gap Sheet'!$A$6:$A$11,0)))))</f>
        <v>0</v>
      </c>
      <c r="W253" s="46" t="str">
        <f aca="false">IF($M253="","",$M253&amp;"|"&amp;$O253)</f>
        <v/>
      </c>
      <c r="X253" s="46" t="n">
        <f aca="false">IF($W253="",0,COUNTIF($AA$4:$AA252,$W253))</f>
        <v>0</v>
      </c>
      <c r="Y253" s="46" t="str">
        <f aca="false">IF(OR($I253&lt;&gt;"Yes, I'm available for in-person interviews at Chennai",$E253&lt;&gt;"Yes",$T253="Yes",$U253&lt;&gt;"Yes"),"No",IF(($V253-$X253)&gt;0,"Yes","No"))</f>
        <v>No</v>
      </c>
      <c r="Z253" s="46" t="str">
        <f aca="false">IF($T253="Yes","Primary",IF($Y253="Yes","Secondary",""))</f>
        <v/>
      </c>
      <c r="AA253" s="46" t="str">
        <f aca="false">IF($Z253="Primary",$R253,IF($Z253="Secondary",$W253,""))</f>
        <v/>
      </c>
      <c r="AB253" s="46" t="str">
        <f aca="false">IF($Z253="Primary","Matched on primary skill",IF($Z253="Secondary","Matched on secondary skill (primary not approved or not required)",""))</f>
        <v/>
      </c>
      <c r="AC253" s="47" t="str">
        <f aca="false">IF($D253="Panel Details",$F253,"")</f>
        <v/>
      </c>
      <c r="AD253" s="46" t="str">
        <f aca="false">IF($D253="Panel Details",'Survey Response'!$D251,"")</f>
        <v/>
      </c>
      <c r="AE253" s="46" t="str">
        <f aca="false">IF($D253="Panel Details",'Survey Response'!$E251,"")</f>
        <v/>
      </c>
      <c r="AF253" s="46" t="str">
        <f aca="false">IF($D253="Panel Details",'Survey Response'!$G251,"")</f>
        <v/>
      </c>
      <c r="AG253" s="46" t="str">
        <f aca="false">IF($D253="Panel Details",IF($Z253="Primary",$J253,$L253),"")</f>
        <v/>
      </c>
      <c r="AH253" s="46" t="str">
        <f aca="false">IF($D253="Panel Details",IF($Z253="Primary",$L253,$J253),"")</f>
        <v/>
      </c>
      <c r="AI253" s="46" t="str">
        <f aca="false">IF($D253="Panel Details",'Survey Response'!$H251,"")</f>
        <v/>
      </c>
      <c r="AJ253" s="46" t="str">
        <f aca="false">IF($D253="Panel Details",'Survey Response'!$M251,"")</f>
        <v/>
      </c>
      <c r="AK253" s="46" t="str">
        <f aca="false">IF($D253="Panel Details",$O253,"")</f>
        <v/>
      </c>
      <c r="AL253" s="46" t="str">
        <f aca="false">IF($D253="Panel Details",8,"")</f>
        <v/>
      </c>
      <c r="AM253" s="46" t="str">
        <f aca="false">IF($D253="Panel Details",$AB253,"")</f>
        <v/>
      </c>
      <c r="AN253" s="46" t="str">
        <f aca="false">IF($D253="Panel Details","Yes","")</f>
        <v/>
      </c>
      <c r="AO253" s="46"/>
      <c r="AP253" s="46" t="str">
        <f aca="false">IF($D253="Followup",'Survey Response'!$D251,"")</f>
        <v/>
      </c>
      <c r="AQ253" s="46" t="str">
        <f aca="false">IF($D253="Followup",'Survey Response'!$E251,"")</f>
        <v/>
      </c>
      <c r="AR253" s="46" t="str">
        <f aca="false">IF($D253="Followup",'Survey Response'!$G251,"")</f>
        <v/>
      </c>
      <c r="AS253" s="46" t="str">
        <f aca="false">IF($D253="Followup",'Survey Response'!$H251,"")</f>
        <v/>
      </c>
      <c r="AT253" s="46" t="str">
        <f aca="false">IF($D253="Followup",'Survey Response'!$M251,"")</f>
        <v/>
      </c>
      <c r="AU253" s="46" t="str">
        <f aca="false">IF($D253="Followup",'Survey Response'!$K251,"")</f>
        <v/>
      </c>
      <c r="AV253" s="46" t="str">
        <f aca="false">IF($D253="Followup",'Survey Response'!$L251,"")</f>
        <v/>
      </c>
      <c r="AW253" s="46" t="str">
        <f aca="false">IF($D253="Followup",IF(AND($P253&lt;&gt;"Yes",$U253&lt;&gt;"Yes"),"Not approved for primary or secondary skill","Approved, but skill(s) no longer have capacity (fully staffed)"),"")</f>
        <v/>
      </c>
    </row>
    <row r="254" customFormat="false" ht="15" hidden="false" customHeight="true" outlineLevel="0" collapsed="false">
      <c r="A254" s="46" t="str">
        <f aca="false">IF('Survey Response'!$D252="","",'Survey Response'!$A252&amp;"|"&amp;LOWER(TRIM('Survey Response'!$D252)))</f>
        <v/>
      </c>
      <c r="B254" s="46" t="str">
        <f aca="false">IF($H254="","",$F254&amp;"|"&amp;$H254)</f>
        <v/>
      </c>
      <c r="C254" s="46" t="str">
        <f aca="false">IF($H254="","",$A254=$B254)</f>
        <v/>
      </c>
      <c r="D254" s="46" t="str">
        <f aca="false">IF($H254="","",IF($E254&lt;&gt;"Yes","Superseded",IF($I254&lt;&gt;"Yes, I'm available for in-person interviews at Chennai","Not Available",IF($Z254&lt;&gt;"","Panel Details","Followup"))))</f>
        <v/>
      </c>
      <c r="E254" s="46" t="str">
        <f aca="false">IF($H254="","",IF(SUMPRODUCT(($H$4:$H$503=$H254)*(($G$4:$G$503&gt;$G254)+($G$4:$G$503=$G254)*($F$4:$F$503&gt;$F254)))=0,"Yes","No"))</f>
        <v/>
      </c>
      <c r="F254" s="47" t="str">
        <f aca="false">IF('Survey Response'!$D252="","",INT('Survey Response'!$A252))</f>
        <v/>
      </c>
      <c r="G254" s="46" t="str">
        <f aca="false">IF('Survey Response'!$D252="","",'Survey Response'!$C252)</f>
        <v/>
      </c>
      <c r="H254" s="46" t="str">
        <f aca="false">IF('Survey Response'!$D252="","",LOWER(TRIM('Survey Response'!$D252)))</f>
        <v/>
      </c>
      <c r="I254" s="46" t="str">
        <f aca="false">IF($H254="","",'Survey Response'!$I252)</f>
        <v/>
      </c>
      <c r="J254" s="46" t="str">
        <f aca="false">IF($H254="","",'Survey Response'!$K252)</f>
        <v/>
      </c>
      <c r="K254" s="46" t="str">
        <f aca="false">IF($J254="","",IF(COUNTIF('Skill Mapping'!$A$2:$A$7,TRIM($J254))=0,"",INDEX('Skill Mapping'!$B$2:$B$7,MATCH(TRIM($J254),'Skill Mapping'!$A$2:$A$7,0))))</f>
        <v/>
      </c>
      <c r="L254" s="46" t="str">
        <f aca="false">IF($H254="","",'Survey Response'!$L252)</f>
        <v/>
      </c>
      <c r="M254" s="46" t="str">
        <f aca="false">IF($L254="","",IF(COUNTIF('Skill Mapping'!$A$2:$A$7,TRIM($L254))=0,"",INDEX('Skill Mapping'!$B$2:$B$7,MATCH(TRIM($L254),'Skill Mapping'!$A$2:$A$7,0))))</f>
        <v/>
      </c>
      <c r="N254" s="46" t="str">
        <f aca="false">IF($H254="","",'Survey Response'!$M252)</f>
        <v/>
      </c>
      <c r="O254" s="46" t="str">
        <f aca="false">IF($H254="","",IF('Survey Response'!$M252="Manager","R2","R1"))</f>
        <v/>
      </c>
      <c r="P254" s="46" t="str">
        <f aca="false">IF($K254="","No",IF(COUNTIFS(MasterPanel!$B:$B,$H254,MasterPanel!$I:$I,$K254,MasterPanel!$K:$K,"Y")&gt;0,"Yes","No"))</f>
        <v>No</v>
      </c>
      <c r="Q254" s="46" t="n">
        <f aca="false">IF($K254="",0,IF(COUNTIF('Gap Sheet'!$A$6:$A$11,TRIM($J254))=0,0,IF($O254="R1",INDEX('Gap Sheet'!$C$6:$C$11,MATCH(TRIM($J254),'Gap Sheet'!$A$6:$A$11,0)),INDEX('Gap Sheet'!$G$6:$G$11,MATCH(TRIM($J254),'Gap Sheet'!$A$6:$A$11,0)))))</f>
        <v>0</v>
      </c>
      <c r="R254" s="46" t="str">
        <f aca="false">IF($K254="","",$K254&amp;"|"&amp;$O254)</f>
        <v/>
      </c>
      <c r="S254" s="46" t="n">
        <f aca="false">IF($R254="",0,COUNTIF($AA$4:$AA253,$R254))</f>
        <v>0</v>
      </c>
      <c r="T254" s="46" t="str">
        <f aca="false">IF(OR($I254&lt;&gt;"Yes, I'm available for in-person interviews at Chennai",$E254&lt;&gt;"Yes",$P254&lt;&gt;"Yes"),"No",IF(($Q254-$S254)&gt;0,"Yes","No"))</f>
        <v>No</v>
      </c>
      <c r="U254" s="46" t="str">
        <f aca="false">IF($M254="","No",IF(COUNTIFS(MasterPanel!$B:$B,$H254,MasterPanel!$I:$I,$M254,MasterPanel!$K:$K,"Y")&gt;0,"Yes","No"))</f>
        <v>No</v>
      </c>
      <c r="V254" s="46" t="n">
        <f aca="false">IF($M254="",0,IF(COUNTIF('Gap Sheet'!$A$6:$A$11,TRIM($L254))=0,0,IF($O254="R1",INDEX('Gap Sheet'!$C$6:$C$11,MATCH(TRIM($L254),'Gap Sheet'!$A$6:$A$11,0)),INDEX('Gap Sheet'!$G$6:$G$11,MATCH(TRIM($L254),'Gap Sheet'!$A$6:$A$11,0)))))</f>
        <v>0</v>
      </c>
      <c r="W254" s="46" t="str">
        <f aca="false">IF($M254="","",$M254&amp;"|"&amp;$O254)</f>
        <v/>
      </c>
      <c r="X254" s="46" t="n">
        <f aca="false">IF($W254="",0,COUNTIF($AA$4:$AA253,$W254))</f>
        <v>0</v>
      </c>
      <c r="Y254" s="46" t="str">
        <f aca="false">IF(OR($I254&lt;&gt;"Yes, I'm available for in-person interviews at Chennai",$E254&lt;&gt;"Yes",$T254="Yes",$U254&lt;&gt;"Yes"),"No",IF(($V254-$X254)&gt;0,"Yes","No"))</f>
        <v>No</v>
      </c>
      <c r="Z254" s="46" t="str">
        <f aca="false">IF($T254="Yes","Primary",IF($Y254="Yes","Secondary",""))</f>
        <v/>
      </c>
      <c r="AA254" s="46" t="str">
        <f aca="false">IF($Z254="Primary",$R254,IF($Z254="Secondary",$W254,""))</f>
        <v/>
      </c>
      <c r="AB254" s="46" t="str">
        <f aca="false">IF($Z254="Primary","Matched on primary skill",IF($Z254="Secondary","Matched on secondary skill (primary not approved or not required)",""))</f>
        <v/>
      </c>
      <c r="AC254" s="47" t="str">
        <f aca="false">IF($D254="Panel Details",$F254,"")</f>
        <v/>
      </c>
      <c r="AD254" s="46" t="str">
        <f aca="false">IF($D254="Panel Details",'Survey Response'!$D252,"")</f>
        <v/>
      </c>
      <c r="AE254" s="46" t="str">
        <f aca="false">IF($D254="Panel Details",'Survey Response'!$E252,"")</f>
        <v/>
      </c>
      <c r="AF254" s="46" t="str">
        <f aca="false">IF($D254="Panel Details",'Survey Response'!$G252,"")</f>
        <v/>
      </c>
      <c r="AG254" s="46" t="str">
        <f aca="false">IF($D254="Panel Details",IF($Z254="Primary",$J254,$L254),"")</f>
        <v/>
      </c>
      <c r="AH254" s="46" t="str">
        <f aca="false">IF($D254="Panel Details",IF($Z254="Primary",$L254,$J254),"")</f>
        <v/>
      </c>
      <c r="AI254" s="46" t="str">
        <f aca="false">IF($D254="Panel Details",'Survey Response'!$H252,"")</f>
        <v/>
      </c>
      <c r="AJ254" s="46" t="str">
        <f aca="false">IF($D254="Panel Details",'Survey Response'!$M252,"")</f>
        <v/>
      </c>
      <c r="AK254" s="46" t="str">
        <f aca="false">IF($D254="Panel Details",$O254,"")</f>
        <v/>
      </c>
      <c r="AL254" s="46" t="str">
        <f aca="false">IF($D254="Panel Details",8,"")</f>
        <v/>
      </c>
      <c r="AM254" s="46" t="str">
        <f aca="false">IF($D254="Panel Details",$AB254,"")</f>
        <v/>
      </c>
      <c r="AN254" s="46" t="str">
        <f aca="false">IF($D254="Panel Details","Yes","")</f>
        <v/>
      </c>
      <c r="AO254" s="46"/>
      <c r="AP254" s="46" t="str">
        <f aca="false">IF($D254="Followup",'Survey Response'!$D252,"")</f>
        <v/>
      </c>
      <c r="AQ254" s="46" t="str">
        <f aca="false">IF($D254="Followup",'Survey Response'!$E252,"")</f>
        <v/>
      </c>
      <c r="AR254" s="46" t="str">
        <f aca="false">IF($D254="Followup",'Survey Response'!$G252,"")</f>
        <v/>
      </c>
      <c r="AS254" s="46" t="str">
        <f aca="false">IF($D254="Followup",'Survey Response'!$H252,"")</f>
        <v/>
      </c>
      <c r="AT254" s="46" t="str">
        <f aca="false">IF($D254="Followup",'Survey Response'!$M252,"")</f>
        <v/>
      </c>
      <c r="AU254" s="46" t="str">
        <f aca="false">IF($D254="Followup",'Survey Response'!$K252,"")</f>
        <v/>
      </c>
      <c r="AV254" s="46" t="str">
        <f aca="false">IF($D254="Followup",'Survey Response'!$L252,"")</f>
        <v/>
      </c>
      <c r="AW254" s="46" t="str">
        <f aca="false">IF($D254="Followup",IF(AND($P254&lt;&gt;"Yes",$U254&lt;&gt;"Yes"),"Not approved for primary or secondary skill","Approved, but skill(s) no longer have capacity (fully staffed)"),"")</f>
        <v/>
      </c>
    </row>
    <row r="255" customFormat="false" ht="15" hidden="false" customHeight="true" outlineLevel="0" collapsed="false">
      <c r="A255" s="46" t="str">
        <f aca="false">IF('Survey Response'!$D253="","",'Survey Response'!$A253&amp;"|"&amp;LOWER(TRIM('Survey Response'!$D253)))</f>
        <v/>
      </c>
      <c r="B255" s="46" t="str">
        <f aca="false">IF($H255="","",$F255&amp;"|"&amp;$H255)</f>
        <v/>
      </c>
      <c r="C255" s="46" t="str">
        <f aca="false">IF($H255="","",$A255=$B255)</f>
        <v/>
      </c>
      <c r="D255" s="46" t="str">
        <f aca="false">IF($H255="","",IF($E255&lt;&gt;"Yes","Superseded",IF($I255&lt;&gt;"Yes, I'm available for in-person interviews at Chennai","Not Available",IF($Z255&lt;&gt;"","Panel Details","Followup"))))</f>
        <v/>
      </c>
      <c r="E255" s="46" t="str">
        <f aca="false">IF($H255="","",IF(SUMPRODUCT(($H$4:$H$503=$H255)*(($G$4:$G$503&gt;$G255)+($G$4:$G$503=$G255)*($F$4:$F$503&gt;$F255)))=0,"Yes","No"))</f>
        <v/>
      </c>
      <c r="F255" s="47" t="str">
        <f aca="false">IF('Survey Response'!$D253="","",INT('Survey Response'!$A253))</f>
        <v/>
      </c>
      <c r="G255" s="46" t="str">
        <f aca="false">IF('Survey Response'!$D253="","",'Survey Response'!$C253)</f>
        <v/>
      </c>
      <c r="H255" s="46" t="str">
        <f aca="false">IF('Survey Response'!$D253="","",LOWER(TRIM('Survey Response'!$D253)))</f>
        <v/>
      </c>
      <c r="I255" s="46" t="str">
        <f aca="false">IF($H255="","",'Survey Response'!$I253)</f>
        <v/>
      </c>
      <c r="J255" s="46" t="str">
        <f aca="false">IF($H255="","",'Survey Response'!$K253)</f>
        <v/>
      </c>
      <c r="K255" s="46" t="str">
        <f aca="false">IF($J255="","",IF(COUNTIF('Skill Mapping'!$A$2:$A$7,TRIM($J255))=0,"",INDEX('Skill Mapping'!$B$2:$B$7,MATCH(TRIM($J255),'Skill Mapping'!$A$2:$A$7,0))))</f>
        <v/>
      </c>
      <c r="L255" s="46" t="str">
        <f aca="false">IF($H255="","",'Survey Response'!$L253)</f>
        <v/>
      </c>
      <c r="M255" s="46" t="str">
        <f aca="false">IF($L255="","",IF(COUNTIF('Skill Mapping'!$A$2:$A$7,TRIM($L255))=0,"",INDEX('Skill Mapping'!$B$2:$B$7,MATCH(TRIM($L255),'Skill Mapping'!$A$2:$A$7,0))))</f>
        <v/>
      </c>
      <c r="N255" s="46" t="str">
        <f aca="false">IF($H255="","",'Survey Response'!$M253)</f>
        <v/>
      </c>
      <c r="O255" s="46" t="str">
        <f aca="false">IF($H255="","",IF('Survey Response'!$M253="Manager","R2","R1"))</f>
        <v/>
      </c>
      <c r="P255" s="46" t="str">
        <f aca="false">IF($K255="","No",IF(COUNTIFS(MasterPanel!$B:$B,$H255,MasterPanel!$I:$I,$K255,MasterPanel!$K:$K,"Y")&gt;0,"Yes","No"))</f>
        <v>No</v>
      </c>
      <c r="Q255" s="46" t="n">
        <f aca="false">IF($K255="",0,IF(COUNTIF('Gap Sheet'!$A$6:$A$11,TRIM($J255))=0,0,IF($O255="R1",INDEX('Gap Sheet'!$C$6:$C$11,MATCH(TRIM($J255),'Gap Sheet'!$A$6:$A$11,0)),INDEX('Gap Sheet'!$G$6:$G$11,MATCH(TRIM($J255),'Gap Sheet'!$A$6:$A$11,0)))))</f>
        <v>0</v>
      </c>
      <c r="R255" s="46" t="str">
        <f aca="false">IF($K255="","",$K255&amp;"|"&amp;$O255)</f>
        <v/>
      </c>
      <c r="S255" s="46" t="n">
        <f aca="false">IF($R255="",0,COUNTIF($AA$4:$AA254,$R255))</f>
        <v>0</v>
      </c>
      <c r="T255" s="46" t="str">
        <f aca="false">IF(OR($I255&lt;&gt;"Yes, I'm available for in-person interviews at Chennai",$E255&lt;&gt;"Yes",$P255&lt;&gt;"Yes"),"No",IF(($Q255-$S255)&gt;0,"Yes","No"))</f>
        <v>No</v>
      </c>
      <c r="U255" s="46" t="str">
        <f aca="false">IF($M255="","No",IF(COUNTIFS(MasterPanel!$B:$B,$H255,MasterPanel!$I:$I,$M255,MasterPanel!$K:$K,"Y")&gt;0,"Yes","No"))</f>
        <v>No</v>
      </c>
      <c r="V255" s="46" t="n">
        <f aca="false">IF($M255="",0,IF(COUNTIF('Gap Sheet'!$A$6:$A$11,TRIM($L255))=0,0,IF($O255="R1",INDEX('Gap Sheet'!$C$6:$C$11,MATCH(TRIM($L255),'Gap Sheet'!$A$6:$A$11,0)),INDEX('Gap Sheet'!$G$6:$G$11,MATCH(TRIM($L255),'Gap Sheet'!$A$6:$A$11,0)))))</f>
        <v>0</v>
      </c>
      <c r="W255" s="46" t="str">
        <f aca="false">IF($M255="","",$M255&amp;"|"&amp;$O255)</f>
        <v/>
      </c>
      <c r="X255" s="46" t="n">
        <f aca="false">IF($W255="",0,COUNTIF($AA$4:$AA254,$W255))</f>
        <v>0</v>
      </c>
      <c r="Y255" s="46" t="str">
        <f aca="false">IF(OR($I255&lt;&gt;"Yes, I'm available for in-person interviews at Chennai",$E255&lt;&gt;"Yes",$T255="Yes",$U255&lt;&gt;"Yes"),"No",IF(($V255-$X255)&gt;0,"Yes","No"))</f>
        <v>No</v>
      </c>
      <c r="Z255" s="46" t="str">
        <f aca="false">IF($T255="Yes","Primary",IF($Y255="Yes","Secondary",""))</f>
        <v/>
      </c>
      <c r="AA255" s="46" t="str">
        <f aca="false">IF($Z255="Primary",$R255,IF($Z255="Secondary",$W255,""))</f>
        <v/>
      </c>
      <c r="AB255" s="46" t="str">
        <f aca="false">IF($Z255="Primary","Matched on primary skill",IF($Z255="Secondary","Matched on secondary skill (primary not approved or not required)",""))</f>
        <v/>
      </c>
      <c r="AC255" s="47" t="str">
        <f aca="false">IF($D255="Panel Details",$F255,"")</f>
        <v/>
      </c>
      <c r="AD255" s="46" t="str">
        <f aca="false">IF($D255="Panel Details",'Survey Response'!$D253,"")</f>
        <v/>
      </c>
      <c r="AE255" s="46" t="str">
        <f aca="false">IF($D255="Panel Details",'Survey Response'!$E253,"")</f>
        <v/>
      </c>
      <c r="AF255" s="46" t="str">
        <f aca="false">IF($D255="Panel Details",'Survey Response'!$G253,"")</f>
        <v/>
      </c>
      <c r="AG255" s="46" t="str">
        <f aca="false">IF($D255="Panel Details",IF($Z255="Primary",$J255,$L255),"")</f>
        <v/>
      </c>
      <c r="AH255" s="46" t="str">
        <f aca="false">IF($D255="Panel Details",IF($Z255="Primary",$L255,$J255),"")</f>
        <v/>
      </c>
      <c r="AI255" s="46" t="str">
        <f aca="false">IF($D255="Panel Details",'Survey Response'!$H253,"")</f>
        <v/>
      </c>
      <c r="AJ255" s="46" t="str">
        <f aca="false">IF($D255="Panel Details",'Survey Response'!$M253,"")</f>
        <v/>
      </c>
      <c r="AK255" s="46" t="str">
        <f aca="false">IF($D255="Panel Details",$O255,"")</f>
        <v/>
      </c>
      <c r="AL255" s="46" t="str">
        <f aca="false">IF($D255="Panel Details",8,"")</f>
        <v/>
      </c>
      <c r="AM255" s="46" t="str">
        <f aca="false">IF($D255="Panel Details",$AB255,"")</f>
        <v/>
      </c>
      <c r="AN255" s="46" t="str">
        <f aca="false">IF($D255="Panel Details","Yes","")</f>
        <v/>
      </c>
      <c r="AO255" s="46"/>
      <c r="AP255" s="46" t="str">
        <f aca="false">IF($D255="Followup",'Survey Response'!$D253,"")</f>
        <v/>
      </c>
      <c r="AQ255" s="46" t="str">
        <f aca="false">IF($D255="Followup",'Survey Response'!$E253,"")</f>
        <v/>
      </c>
      <c r="AR255" s="46" t="str">
        <f aca="false">IF($D255="Followup",'Survey Response'!$G253,"")</f>
        <v/>
      </c>
      <c r="AS255" s="46" t="str">
        <f aca="false">IF($D255="Followup",'Survey Response'!$H253,"")</f>
        <v/>
      </c>
      <c r="AT255" s="46" t="str">
        <f aca="false">IF($D255="Followup",'Survey Response'!$M253,"")</f>
        <v/>
      </c>
      <c r="AU255" s="46" t="str">
        <f aca="false">IF($D255="Followup",'Survey Response'!$K253,"")</f>
        <v/>
      </c>
      <c r="AV255" s="46" t="str">
        <f aca="false">IF($D255="Followup",'Survey Response'!$L253,"")</f>
        <v/>
      </c>
      <c r="AW255" s="46" t="str">
        <f aca="false">IF($D255="Followup",IF(AND($P255&lt;&gt;"Yes",$U255&lt;&gt;"Yes"),"Not approved for primary or secondary skill","Approved, but skill(s) no longer have capacity (fully staffed)"),"")</f>
        <v/>
      </c>
    </row>
    <row r="256" customFormat="false" ht="15" hidden="false" customHeight="true" outlineLevel="0" collapsed="false">
      <c r="A256" s="46" t="str">
        <f aca="false">IF('Survey Response'!$D254="","",'Survey Response'!$A254&amp;"|"&amp;LOWER(TRIM('Survey Response'!$D254)))</f>
        <v/>
      </c>
      <c r="B256" s="46" t="str">
        <f aca="false">IF($H256="","",$F256&amp;"|"&amp;$H256)</f>
        <v/>
      </c>
      <c r="C256" s="46" t="str">
        <f aca="false">IF($H256="","",$A256=$B256)</f>
        <v/>
      </c>
      <c r="D256" s="46" t="str">
        <f aca="false">IF($H256="","",IF($E256&lt;&gt;"Yes","Superseded",IF($I256&lt;&gt;"Yes, I'm available for in-person interviews at Chennai","Not Available",IF($Z256&lt;&gt;"","Panel Details","Followup"))))</f>
        <v/>
      </c>
      <c r="E256" s="46" t="str">
        <f aca="false">IF($H256="","",IF(SUMPRODUCT(($H$4:$H$503=$H256)*(($G$4:$G$503&gt;$G256)+($G$4:$G$503=$G256)*($F$4:$F$503&gt;$F256)))=0,"Yes","No"))</f>
        <v/>
      </c>
      <c r="F256" s="47" t="str">
        <f aca="false">IF('Survey Response'!$D254="","",INT('Survey Response'!$A254))</f>
        <v/>
      </c>
      <c r="G256" s="46" t="str">
        <f aca="false">IF('Survey Response'!$D254="","",'Survey Response'!$C254)</f>
        <v/>
      </c>
      <c r="H256" s="46" t="str">
        <f aca="false">IF('Survey Response'!$D254="","",LOWER(TRIM('Survey Response'!$D254)))</f>
        <v/>
      </c>
      <c r="I256" s="46" t="str">
        <f aca="false">IF($H256="","",'Survey Response'!$I254)</f>
        <v/>
      </c>
      <c r="J256" s="46" t="str">
        <f aca="false">IF($H256="","",'Survey Response'!$K254)</f>
        <v/>
      </c>
      <c r="K256" s="46" t="str">
        <f aca="false">IF($J256="","",IF(COUNTIF('Skill Mapping'!$A$2:$A$7,TRIM($J256))=0,"",INDEX('Skill Mapping'!$B$2:$B$7,MATCH(TRIM($J256),'Skill Mapping'!$A$2:$A$7,0))))</f>
        <v/>
      </c>
      <c r="L256" s="46" t="str">
        <f aca="false">IF($H256="","",'Survey Response'!$L254)</f>
        <v/>
      </c>
      <c r="M256" s="46" t="str">
        <f aca="false">IF($L256="","",IF(COUNTIF('Skill Mapping'!$A$2:$A$7,TRIM($L256))=0,"",INDEX('Skill Mapping'!$B$2:$B$7,MATCH(TRIM($L256),'Skill Mapping'!$A$2:$A$7,0))))</f>
        <v/>
      </c>
      <c r="N256" s="46" t="str">
        <f aca="false">IF($H256="","",'Survey Response'!$M254)</f>
        <v/>
      </c>
      <c r="O256" s="46" t="str">
        <f aca="false">IF($H256="","",IF('Survey Response'!$M254="Manager","R2","R1"))</f>
        <v/>
      </c>
      <c r="P256" s="46" t="str">
        <f aca="false">IF($K256="","No",IF(COUNTIFS(MasterPanel!$B:$B,$H256,MasterPanel!$I:$I,$K256,MasterPanel!$K:$K,"Y")&gt;0,"Yes","No"))</f>
        <v>No</v>
      </c>
      <c r="Q256" s="46" t="n">
        <f aca="false">IF($K256="",0,IF(COUNTIF('Gap Sheet'!$A$6:$A$11,TRIM($J256))=0,0,IF($O256="R1",INDEX('Gap Sheet'!$C$6:$C$11,MATCH(TRIM($J256),'Gap Sheet'!$A$6:$A$11,0)),INDEX('Gap Sheet'!$G$6:$G$11,MATCH(TRIM($J256),'Gap Sheet'!$A$6:$A$11,0)))))</f>
        <v>0</v>
      </c>
      <c r="R256" s="46" t="str">
        <f aca="false">IF($K256="","",$K256&amp;"|"&amp;$O256)</f>
        <v/>
      </c>
      <c r="S256" s="46" t="n">
        <f aca="false">IF($R256="",0,COUNTIF($AA$4:$AA255,$R256))</f>
        <v>0</v>
      </c>
      <c r="T256" s="46" t="str">
        <f aca="false">IF(OR($I256&lt;&gt;"Yes, I'm available for in-person interviews at Chennai",$E256&lt;&gt;"Yes",$P256&lt;&gt;"Yes"),"No",IF(($Q256-$S256)&gt;0,"Yes","No"))</f>
        <v>No</v>
      </c>
      <c r="U256" s="46" t="str">
        <f aca="false">IF($M256="","No",IF(COUNTIFS(MasterPanel!$B:$B,$H256,MasterPanel!$I:$I,$M256,MasterPanel!$K:$K,"Y")&gt;0,"Yes","No"))</f>
        <v>No</v>
      </c>
      <c r="V256" s="46" t="n">
        <f aca="false">IF($M256="",0,IF(COUNTIF('Gap Sheet'!$A$6:$A$11,TRIM($L256))=0,0,IF($O256="R1",INDEX('Gap Sheet'!$C$6:$C$11,MATCH(TRIM($L256),'Gap Sheet'!$A$6:$A$11,0)),INDEX('Gap Sheet'!$G$6:$G$11,MATCH(TRIM($L256),'Gap Sheet'!$A$6:$A$11,0)))))</f>
        <v>0</v>
      </c>
      <c r="W256" s="46" t="str">
        <f aca="false">IF($M256="","",$M256&amp;"|"&amp;$O256)</f>
        <v/>
      </c>
      <c r="X256" s="46" t="n">
        <f aca="false">IF($W256="",0,COUNTIF($AA$4:$AA255,$W256))</f>
        <v>0</v>
      </c>
      <c r="Y256" s="46" t="str">
        <f aca="false">IF(OR($I256&lt;&gt;"Yes, I'm available for in-person interviews at Chennai",$E256&lt;&gt;"Yes",$T256="Yes",$U256&lt;&gt;"Yes"),"No",IF(($V256-$X256)&gt;0,"Yes","No"))</f>
        <v>No</v>
      </c>
      <c r="Z256" s="46" t="str">
        <f aca="false">IF($T256="Yes","Primary",IF($Y256="Yes","Secondary",""))</f>
        <v/>
      </c>
      <c r="AA256" s="46" t="str">
        <f aca="false">IF($Z256="Primary",$R256,IF($Z256="Secondary",$W256,""))</f>
        <v/>
      </c>
      <c r="AB256" s="46" t="str">
        <f aca="false">IF($Z256="Primary","Matched on primary skill",IF($Z256="Secondary","Matched on secondary skill (primary not approved or not required)",""))</f>
        <v/>
      </c>
      <c r="AC256" s="47" t="str">
        <f aca="false">IF($D256="Panel Details",$F256,"")</f>
        <v/>
      </c>
      <c r="AD256" s="46" t="str">
        <f aca="false">IF($D256="Panel Details",'Survey Response'!$D254,"")</f>
        <v/>
      </c>
      <c r="AE256" s="46" t="str">
        <f aca="false">IF($D256="Panel Details",'Survey Response'!$E254,"")</f>
        <v/>
      </c>
      <c r="AF256" s="46" t="str">
        <f aca="false">IF($D256="Panel Details",'Survey Response'!$G254,"")</f>
        <v/>
      </c>
      <c r="AG256" s="46" t="str">
        <f aca="false">IF($D256="Panel Details",IF($Z256="Primary",$J256,$L256),"")</f>
        <v/>
      </c>
      <c r="AH256" s="46" t="str">
        <f aca="false">IF($D256="Panel Details",IF($Z256="Primary",$L256,$J256),"")</f>
        <v/>
      </c>
      <c r="AI256" s="46" t="str">
        <f aca="false">IF($D256="Panel Details",'Survey Response'!$H254,"")</f>
        <v/>
      </c>
      <c r="AJ256" s="46" t="str">
        <f aca="false">IF($D256="Panel Details",'Survey Response'!$M254,"")</f>
        <v/>
      </c>
      <c r="AK256" s="46" t="str">
        <f aca="false">IF($D256="Panel Details",$O256,"")</f>
        <v/>
      </c>
      <c r="AL256" s="46" t="str">
        <f aca="false">IF($D256="Panel Details",8,"")</f>
        <v/>
      </c>
      <c r="AM256" s="46" t="str">
        <f aca="false">IF($D256="Panel Details",$AB256,"")</f>
        <v/>
      </c>
      <c r="AN256" s="46" t="str">
        <f aca="false">IF($D256="Panel Details","Yes","")</f>
        <v/>
      </c>
      <c r="AO256" s="46"/>
      <c r="AP256" s="46" t="str">
        <f aca="false">IF($D256="Followup",'Survey Response'!$D254,"")</f>
        <v/>
      </c>
      <c r="AQ256" s="46" t="str">
        <f aca="false">IF($D256="Followup",'Survey Response'!$E254,"")</f>
        <v/>
      </c>
      <c r="AR256" s="46" t="str">
        <f aca="false">IF($D256="Followup",'Survey Response'!$G254,"")</f>
        <v/>
      </c>
      <c r="AS256" s="46" t="str">
        <f aca="false">IF($D256="Followup",'Survey Response'!$H254,"")</f>
        <v/>
      </c>
      <c r="AT256" s="46" t="str">
        <f aca="false">IF($D256="Followup",'Survey Response'!$M254,"")</f>
        <v/>
      </c>
      <c r="AU256" s="46" t="str">
        <f aca="false">IF($D256="Followup",'Survey Response'!$K254,"")</f>
        <v/>
      </c>
      <c r="AV256" s="46" t="str">
        <f aca="false">IF($D256="Followup",'Survey Response'!$L254,"")</f>
        <v/>
      </c>
      <c r="AW256" s="46" t="str">
        <f aca="false">IF($D256="Followup",IF(AND($P256&lt;&gt;"Yes",$U256&lt;&gt;"Yes"),"Not approved for primary or secondary skill","Approved, but skill(s) no longer have capacity (fully staffed)"),"")</f>
        <v/>
      </c>
    </row>
    <row r="257" customFormat="false" ht="15" hidden="false" customHeight="true" outlineLevel="0" collapsed="false">
      <c r="A257" s="46" t="str">
        <f aca="false">IF('Survey Response'!$D255="","",'Survey Response'!$A255&amp;"|"&amp;LOWER(TRIM('Survey Response'!$D255)))</f>
        <v/>
      </c>
      <c r="B257" s="46" t="str">
        <f aca="false">IF($H257="","",$F257&amp;"|"&amp;$H257)</f>
        <v/>
      </c>
      <c r="C257" s="46" t="str">
        <f aca="false">IF($H257="","",$A257=$B257)</f>
        <v/>
      </c>
      <c r="D257" s="46" t="str">
        <f aca="false">IF($H257="","",IF($E257&lt;&gt;"Yes","Superseded",IF($I257&lt;&gt;"Yes, I'm available for in-person interviews at Chennai","Not Available",IF($Z257&lt;&gt;"","Panel Details","Followup"))))</f>
        <v/>
      </c>
      <c r="E257" s="46" t="str">
        <f aca="false">IF($H257="","",IF(SUMPRODUCT(($H$4:$H$503=$H257)*(($G$4:$G$503&gt;$G257)+($G$4:$G$503=$G257)*($F$4:$F$503&gt;$F257)))=0,"Yes","No"))</f>
        <v/>
      </c>
      <c r="F257" s="47" t="str">
        <f aca="false">IF('Survey Response'!$D255="","",INT('Survey Response'!$A255))</f>
        <v/>
      </c>
      <c r="G257" s="46" t="str">
        <f aca="false">IF('Survey Response'!$D255="","",'Survey Response'!$C255)</f>
        <v/>
      </c>
      <c r="H257" s="46" t="str">
        <f aca="false">IF('Survey Response'!$D255="","",LOWER(TRIM('Survey Response'!$D255)))</f>
        <v/>
      </c>
      <c r="I257" s="46" t="str">
        <f aca="false">IF($H257="","",'Survey Response'!$I255)</f>
        <v/>
      </c>
      <c r="J257" s="46" t="str">
        <f aca="false">IF($H257="","",'Survey Response'!$K255)</f>
        <v/>
      </c>
      <c r="K257" s="46" t="str">
        <f aca="false">IF($J257="","",IF(COUNTIF('Skill Mapping'!$A$2:$A$7,TRIM($J257))=0,"",INDEX('Skill Mapping'!$B$2:$B$7,MATCH(TRIM($J257),'Skill Mapping'!$A$2:$A$7,0))))</f>
        <v/>
      </c>
      <c r="L257" s="46" t="str">
        <f aca="false">IF($H257="","",'Survey Response'!$L255)</f>
        <v/>
      </c>
      <c r="M257" s="46" t="str">
        <f aca="false">IF($L257="","",IF(COUNTIF('Skill Mapping'!$A$2:$A$7,TRIM($L257))=0,"",INDEX('Skill Mapping'!$B$2:$B$7,MATCH(TRIM($L257),'Skill Mapping'!$A$2:$A$7,0))))</f>
        <v/>
      </c>
      <c r="N257" s="46" t="str">
        <f aca="false">IF($H257="","",'Survey Response'!$M255)</f>
        <v/>
      </c>
      <c r="O257" s="46" t="str">
        <f aca="false">IF($H257="","",IF('Survey Response'!$M255="Manager","R2","R1"))</f>
        <v/>
      </c>
      <c r="P257" s="46" t="str">
        <f aca="false">IF($K257="","No",IF(COUNTIFS(MasterPanel!$B:$B,$H257,MasterPanel!$I:$I,$K257,MasterPanel!$K:$K,"Y")&gt;0,"Yes","No"))</f>
        <v>No</v>
      </c>
      <c r="Q257" s="46" t="n">
        <f aca="false">IF($K257="",0,IF(COUNTIF('Gap Sheet'!$A$6:$A$11,TRIM($J257))=0,0,IF($O257="R1",INDEX('Gap Sheet'!$C$6:$C$11,MATCH(TRIM($J257),'Gap Sheet'!$A$6:$A$11,0)),INDEX('Gap Sheet'!$G$6:$G$11,MATCH(TRIM($J257),'Gap Sheet'!$A$6:$A$11,0)))))</f>
        <v>0</v>
      </c>
      <c r="R257" s="46" t="str">
        <f aca="false">IF($K257="","",$K257&amp;"|"&amp;$O257)</f>
        <v/>
      </c>
      <c r="S257" s="46" t="n">
        <f aca="false">IF($R257="",0,COUNTIF($AA$4:$AA256,$R257))</f>
        <v>0</v>
      </c>
      <c r="T257" s="46" t="str">
        <f aca="false">IF(OR($I257&lt;&gt;"Yes, I'm available for in-person interviews at Chennai",$E257&lt;&gt;"Yes",$P257&lt;&gt;"Yes"),"No",IF(($Q257-$S257)&gt;0,"Yes","No"))</f>
        <v>No</v>
      </c>
      <c r="U257" s="46" t="str">
        <f aca="false">IF($M257="","No",IF(COUNTIFS(MasterPanel!$B:$B,$H257,MasterPanel!$I:$I,$M257,MasterPanel!$K:$K,"Y")&gt;0,"Yes","No"))</f>
        <v>No</v>
      </c>
      <c r="V257" s="46" t="n">
        <f aca="false">IF($M257="",0,IF(COUNTIF('Gap Sheet'!$A$6:$A$11,TRIM($L257))=0,0,IF($O257="R1",INDEX('Gap Sheet'!$C$6:$C$11,MATCH(TRIM($L257),'Gap Sheet'!$A$6:$A$11,0)),INDEX('Gap Sheet'!$G$6:$G$11,MATCH(TRIM($L257),'Gap Sheet'!$A$6:$A$11,0)))))</f>
        <v>0</v>
      </c>
      <c r="W257" s="46" t="str">
        <f aca="false">IF($M257="","",$M257&amp;"|"&amp;$O257)</f>
        <v/>
      </c>
      <c r="X257" s="46" t="n">
        <f aca="false">IF($W257="",0,COUNTIF($AA$4:$AA256,$W257))</f>
        <v>0</v>
      </c>
      <c r="Y257" s="46" t="str">
        <f aca="false">IF(OR($I257&lt;&gt;"Yes, I'm available for in-person interviews at Chennai",$E257&lt;&gt;"Yes",$T257="Yes",$U257&lt;&gt;"Yes"),"No",IF(($V257-$X257)&gt;0,"Yes","No"))</f>
        <v>No</v>
      </c>
      <c r="Z257" s="46" t="str">
        <f aca="false">IF($T257="Yes","Primary",IF($Y257="Yes","Secondary",""))</f>
        <v/>
      </c>
      <c r="AA257" s="46" t="str">
        <f aca="false">IF($Z257="Primary",$R257,IF($Z257="Secondary",$W257,""))</f>
        <v/>
      </c>
      <c r="AB257" s="46" t="str">
        <f aca="false">IF($Z257="Primary","Matched on primary skill",IF($Z257="Secondary","Matched on secondary skill (primary not approved or not required)",""))</f>
        <v/>
      </c>
      <c r="AC257" s="47" t="str">
        <f aca="false">IF($D257="Panel Details",$F257,"")</f>
        <v/>
      </c>
      <c r="AD257" s="46" t="str">
        <f aca="false">IF($D257="Panel Details",'Survey Response'!$D255,"")</f>
        <v/>
      </c>
      <c r="AE257" s="46" t="str">
        <f aca="false">IF($D257="Panel Details",'Survey Response'!$E255,"")</f>
        <v/>
      </c>
      <c r="AF257" s="46" t="str">
        <f aca="false">IF($D257="Panel Details",'Survey Response'!$G255,"")</f>
        <v/>
      </c>
      <c r="AG257" s="46" t="str">
        <f aca="false">IF($D257="Panel Details",IF($Z257="Primary",$J257,$L257),"")</f>
        <v/>
      </c>
      <c r="AH257" s="46" t="str">
        <f aca="false">IF($D257="Panel Details",IF($Z257="Primary",$L257,$J257),"")</f>
        <v/>
      </c>
      <c r="AI257" s="46" t="str">
        <f aca="false">IF($D257="Panel Details",'Survey Response'!$H255,"")</f>
        <v/>
      </c>
      <c r="AJ257" s="46" t="str">
        <f aca="false">IF($D257="Panel Details",'Survey Response'!$M255,"")</f>
        <v/>
      </c>
      <c r="AK257" s="46" t="str">
        <f aca="false">IF($D257="Panel Details",$O257,"")</f>
        <v/>
      </c>
      <c r="AL257" s="46" t="str">
        <f aca="false">IF($D257="Panel Details",8,"")</f>
        <v/>
      </c>
      <c r="AM257" s="46" t="str">
        <f aca="false">IF($D257="Panel Details",$AB257,"")</f>
        <v/>
      </c>
      <c r="AN257" s="46" t="str">
        <f aca="false">IF($D257="Panel Details","Yes","")</f>
        <v/>
      </c>
      <c r="AO257" s="46"/>
      <c r="AP257" s="46" t="str">
        <f aca="false">IF($D257="Followup",'Survey Response'!$D255,"")</f>
        <v/>
      </c>
      <c r="AQ257" s="46" t="str">
        <f aca="false">IF($D257="Followup",'Survey Response'!$E255,"")</f>
        <v/>
      </c>
      <c r="AR257" s="46" t="str">
        <f aca="false">IF($D257="Followup",'Survey Response'!$G255,"")</f>
        <v/>
      </c>
      <c r="AS257" s="46" t="str">
        <f aca="false">IF($D257="Followup",'Survey Response'!$H255,"")</f>
        <v/>
      </c>
      <c r="AT257" s="46" t="str">
        <f aca="false">IF($D257="Followup",'Survey Response'!$M255,"")</f>
        <v/>
      </c>
      <c r="AU257" s="46" t="str">
        <f aca="false">IF($D257="Followup",'Survey Response'!$K255,"")</f>
        <v/>
      </c>
      <c r="AV257" s="46" t="str">
        <f aca="false">IF($D257="Followup",'Survey Response'!$L255,"")</f>
        <v/>
      </c>
      <c r="AW257" s="46" t="str">
        <f aca="false">IF($D257="Followup",IF(AND($P257&lt;&gt;"Yes",$U257&lt;&gt;"Yes"),"Not approved for primary or secondary skill","Approved, but skill(s) no longer have capacity (fully staffed)"),"")</f>
        <v/>
      </c>
    </row>
    <row r="258" customFormat="false" ht="15" hidden="false" customHeight="true" outlineLevel="0" collapsed="false">
      <c r="A258" s="46" t="str">
        <f aca="false">IF('Survey Response'!$D256="","",'Survey Response'!$A256&amp;"|"&amp;LOWER(TRIM('Survey Response'!$D256)))</f>
        <v/>
      </c>
      <c r="B258" s="46" t="str">
        <f aca="false">IF($H258="","",$F258&amp;"|"&amp;$H258)</f>
        <v/>
      </c>
      <c r="C258" s="46" t="str">
        <f aca="false">IF($H258="","",$A258=$B258)</f>
        <v/>
      </c>
      <c r="D258" s="46" t="str">
        <f aca="false">IF($H258="","",IF($E258&lt;&gt;"Yes","Superseded",IF($I258&lt;&gt;"Yes, I'm available for in-person interviews at Chennai","Not Available",IF($Z258&lt;&gt;"","Panel Details","Followup"))))</f>
        <v/>
      </c>
      <c r="E258" s="46" t="str">
        <f aca="false">IF($H258="","",IF(SUMPRODUCT(($H$4:$H$503=$H258)*(($G$4:$G$503&gt;$G258)+($G$4:$G$503=$G258)*($F$4:$F$503&gt;$F258)))=0,"Yes","No"))</f>
        <v/>
      </c>
      <c r="F258" s="47" t="str">
        <f aca="false">IF('Survey Response'!$D256="","",INT('Survey Response'!$A256))</f>
        <v/>
      </c>
      <c r="G258" s="46" t="str">
        <f aca="false">IF('Survey Response'!$D256="","",'Survey Response'!$C256)</f>
        <v/>
      </c>
      <c r="H258" s="46" t="str">
        <f aca="false">IF('Survey Response'!$D256="","",LOWER(TRIM('Survey Response'!$D256)))</f>
        <v/>
      </c>
      <c r="I258" s="46" t="str">
        <f aca="false">IF($H258="","",'Survey Response'!$I256)</f>
        <v/>
      </c>
      <c r="J258" s="46" t="str">
        <f aca="false">IF($H258="","",'Survey Response'!$K256)</f>
        <v/>
      </c>
      <c r="K258" s="46" t="str">
        <f aca="false">IF($J258="","",IF(COUNTIF('Skill Mapping'!$A$2:$A$7,TRIM($J258))=0,"",INDEX('Skill Mapping'!$B$2:$B$7,MATCH(TRIM($J258),'Skill Mapping'!$A$2:$A$7,0))))</f>
        <v/>
      </c>
      <c r="L258" s="46" t="str">
        <f aca="false">IF($H258="","",'Survey Response'!$L256)</f>
        <v/>
      </c>
      <c r="M258" s="46" t="str">
        <f aca="false">IF($L258="","",IF(COUNTIF('Skill Mapping'!$A$2:$A$7,TRIM($L258))=0,"",INDEX('Skill Mapping'!$B$2:$B$7,MATCH(TRIM($L258),'Skill Mapping'!$A$2:$A$7,0))))</f>
        <v/>
      </c>
      <c r="N258" s="46" t="str">
        <f aca="false">IF($H258="","",'Survey Response'!$M256)</f>
        <v/>
      </c>
      <c r="O258" s="46" t="str">
        <f aca="false">IF($H258="","",IF('Survey Response'!$M256="Manager","R2","R1"))</f>
        <v/>
      </c>
      <c r="P258" s="46" t="str">
        <f aca="false">IF($K258="","No",IF(COUNTIFS(MasterPanel!$B:$B,$H258,MasterPanel!$I:$I,$K258,MasterPanel!$K:$K,"Y")&gt;0,"Yes","No"))</f>
        <v>No</v>
      </c>
      <c r="Q258" s="46" t="n">
        <f aca="false">IF($K258="",0,IF(COUNTIF('Gap Sheet'!$A$6:$A$11,TRIM($J258))=0,0,IF($O258="R1",INDEX('Gap Sheet'!$C$6:$C$11,MATCH(TRIM($J258),'Gap Sheet'!$A$6:$A$11,0)),INDEX('Gap Sheet'!$G$6:$G$11,MATCH(TRIM($J258),'Gap Sheet'!$A$6:$A$11,0)))))</f>
        <v>0</v>
      </c>
      <c r="R258" s="46" t="str">
        <f aca="false">IF($K258="","",$K258&amp;"|"&amp;$O258)</f>
        <v/>
      </c>
      <c r="S258" s="46" t="n">
        <f aca="false">IF($R258="",0,COUNTIF($AA$4:$AA257,$R258))</f>
        <v>0</v>
      </c>
      <c r="T258" s="46" t="str">
        <f aca="false">IF(OR($I258&lt;&gt;"Yes, I'm available for in-person interviews at Chennai",$E258&lt;&gt;"Yes",$P258&lt;&gt;"Yes"),"No",IF(($Q258-$S258)&gt;0,"Yes","No"))</f>
        <v>No</v>
      </c>
      <c r="U258" s="46" t="str">
        <f aca="false">IF($M258="","No",IF(COUNTIFS(MasterPanel!$B:$B,$H258,MasterPanel!$I:$I,$M258,MasterPanel!$K:$K,"Y")&gt;0,"Yes","No"))</f>
        <v>No</v>
      </c>
      <c r="V258" s="46" t="n">
        <f aca="false">IF($M258="",0,IF(COUNTIF('Gap Sheet'!$A$6:$A$11,TRIM($L258))=0,0,IF($O258="R1",INDEX('Gap Sheet'!$C$6:$C$11,MATCH(TRIM($L258),'Gap Sheet'!$A$6:$A$11,0)),INDEX('Gap Sheet'!$G$6:$G$11,MATCH(TRIM($L258),'Gap Sheet'!$A$6:$A$11,0)))))</f>
        <v>0</v>
      </c>
      <c r="W258" s="46" t="str">
        <f aca="false">IF($M258="","",$M258&amp;"|"&amp;$O258)</f>
        <v/>
      </c>
      <c r="X258" s="46" t="n">
        <f aca="false">IF($W258="",0,COUNTIF($AA$4:$AA257,$W258))</f>
        <v>0</v>
      </c>
      <c r="Y258" s="46" t="str">
        <f aca="false">IF(OR($I258&lt;&gt;"Yes, I'm available for in-person interviews at Chennai",$E258&lt;&gt;"Yes",$T258="Yes",$U258&lt;&gt;"Yes"),"No",IF(($V258-$X258)&gt;0,"Yes","No"))</f>
        <v>No</v>
      </c>
      <c r="Z258" s="46" t="str">
        <f aca="false">IF($T258="Yes","Primary",IF($Y258="Yes","Secondary",""))</f>
        <v/>
      </c>
      <c r="AA258" s="46" t="str">
        <f aca="false">IF($Z258="Primary",$R258,IF($Z258="Secondary",$W258,""))</f>
        <v/>
      </c>
      <c r="AB258" s="46" t="str">
        <f aca="false">IF($Z258="Primary","Matched on primary skill",IF($Z258="Secondary","Matched on secondary skill (primary not approved or not required)",""))</f>
        <v/>
      </c>
      <c r="AC258" s="47" t="str">
        <f aca="false">IF($D258="Panel Details",$F258,"")</f>
        <v/>
      </c>
      <c r="AD258" s="46" t="str">
        <f aca="false">IF($D258="Panel Details",'Survey Response'!$D256,"")</f>
        <v/>
      </c>
      <c r="AE258" s="46" t="str">
        <f aca="false">IF($D258="Panel Details",'Survey Response'!$E256,"")</f>
        <v/>
      </c>
      <c r="AF258" s="46" t="str">
        <f aca="false">IF($D258="Panel Details",'Survey Response'!$G256,"")</f>
        <v/>
      </c>
      <c r="AG258" s="46" t="str">
        <f aca="false">IF($D258="Panel Details",IF($Z258="Primary",$J258,$L258),"")</f>
        <v/>
      </c>
      <c r="AH258" s="46" t="str">
        <f aca="false">IF($D258="Panel Details",IF($Z258="Primary",$L258,$J258),"")</f>
        <v/>
      </c>
      <c r="AI258" s="46" t="str">
        <f aca="false">IF($D258="Panel Details",'Survey Response'!$H256,"")</f>
        <v/>
      </c>
      <c r="AJ258" s="46" t="str">
        <f aca="false">IF($D258="Panel Details",'Survey Response'!$M256,"")</f>
        <v/>
      </c>
      <c r="AK258" s="46" t="str">
        <f aca="false">IF($D258="Panel Details",$O258,"")</f>
        <v/>
      </c>
      <c r="AL258" s="46" t="str">
        <f aca="false">IF($D258="Panel Details",8,"")</f>
        <v/>
      </c>
      <c r="AM258" s="46" t="str">
        <f aca="false">IF($D258="Panel Details",$AB258,"")</f>
        <v/>
      </c>
      <c r="AN258" s="46" t="str">
        <f aca="false">IF($D258="Panel Details","Yes","")</f>
        <v/>
      </c>
      <c r="AO258" s="46"/>
      <c r="AP258" s="46" t="str">
        <f aca="false">IF($D258="Followup",'Survey Response'!$D256,"")</f>
        <v/>
      </c>
      <c r="AQ258" s="46" t="str">
        <f aca="false">IF($D258="Followup",'Survey Response'!$E256,"")</f>
        <v/>
      </c>
      <c r="AR258" s="46" t="str">
        <f aca="false">IF($D258="Followup",'Survey Response'!$G256,"")</f>
        <v/>
      </c>
      <c r="AS258" s="46" t="str">
        <f aca="false">IF($D258="Followup",'Survey Response'!$H256,"")</f>
        <v/>
      </c>
      <c r="AT258" s="46" t="str">
        <f aca="false">IF($D258="Followup",'Survey Response'!$M256,"")</f>
        <v/>
      </c>
      <c r="AU258" s="46" t="str">
        <f aca="false">IF($D258="Followup",'Survey Response'!$K256,"")</f>
        <v/>
      </c>
      <c r="AV258" s="46" t="str">
        <f aca="false">IF($D258="Followup",'Survey Response'!$L256,"")</f>
        <v/>
      </c>
      <c r="AW258" s="46" t="str">
        <f aca="false">IF($D258="Followup",IF(AND($P258&lt;&gt;"Yes",$U258&lt;&gt;"Yes"),"Not approved for primary or secondary skill","Approved, but skill(s) no longer have capacity (fully staffed)"),"")</f>
        <v/>
      </c>
    </row>
    <row r="259" customFormat="false" ht="15" hidden="false" customHeight="true" outlineLevel="0" collapsed="false">
      <c r="A259" s="46" t="str">
        <f aca="false">IF('Survey Response'!$D257="","",'Survey Response'!$A257&amp;"|"&amp;LOWER(TRIM('Survey Response'!$D257)))</f>
        <v/>
      </c>
      <c r="B259" s="46" t="str">
        <f aca="false">IF($H259="","",$F259&amp;"|"&amp;$H259)</f>
        <v/>
      </c>
      <c r="C259" s="46" t="str">
        <f aca="false">IF($H259="","",$A259=$B259)</f>
        <v/>
      </c>
      <c r="D259" s="46" t="str">
        <f aca="false">IF($H259="","",IF($E259&lt;&gt;"Yes","Superseded",IF($I259&lt;&gt;"Yes, I'm available for in-person interviews at Chennai","Not Available",IF($Z259&lt;&gt;"","Panel Details","Followup"))))</f>
        <v/>
      </c>
      <c r="E259" s="46" t="str">
        <f aca="false">IF($H259="","",IF(SUMPRODUCT(($H$4:$H$503=$H259)*(($G$4:$G$503&gt;$G259)+($G$4:$G$503=$G259)*($F$4:$F$503&gt;$F259)))=0,"Yes","No"))</f>
        <v/>
      </c>
      <c r="F259" s="47" t="str">
        <f aca="false">IF('Survey Response'!$D257="","",INT('Survey Response'!$A257))</f>
        <v/>
      </c>
      <c r="G259" s="46" t="str">
        <f aca="false">IF('Survey Response'!$D257="","",'Survey Response'!$C257)</f>
        <v/>
      </c>
      <c r="H259" s="46" t="str">
        <f aca="false">IF('Survey Response'!$D257="","",LOWER(TRIM('Survey Response'!$D257)))</f>
        <v/>
      </c>
      <c r="I259" s="46" t="str">
        <f aca="false">IF($H259="","",'Survey Response'!$I257)</f>
        <v/>
      </c>
      <c r="J259" s="46" t="str">
        <f aca="false">IF($H259="","",'Survey Response'!$K257)</f>
        <v/>
      </c>
      <c r="K259" s="46" t="str">
        <f aca="false">IF($J259="","",IF(COUNTIF('Skill Mapping'!$A$2:$A$7,TRIM($J259))=0,"",INDEX('Skill Mapping'!$B$2:$B$7,MATCH(TRIM($J259),'Skill Mapping'!$A$2:$A$7,0))))</f>
        <v/>
      </c>
      <c r="L259" s="46" t="str">
        <f aca="false">IF($H259="","",'Survey Response'!$L257)</f>
        <v/>
      </c>
      <c r="M259" s="46" t="str">
        <f aca="false">IF($L259="","",IF(COUNTIF('Skill Mapping'!$A$2:$A$7,TRIM($L259))=0,"",INDEX('Skill Mapping'!$B$2:$B$7,MATCH(TRIM($L259),'Skill Mapping'!$A$2:$A$7,0))))</f>
        <v/>
      </c>
      <c r="N259" s="46" t="str">
        <f aca="false">IF($H259="","",'Survey Response'!$M257)</f>
        <v/>
      </c>
      <c r="O259" s="46" t="str">
        <f aca="false">IF($H259="","",IF('Survey Response'!$M257="Manager","R2","R1"))</f>
        <v/>
      </c>
      <c r="P259" s="46" t="str">
        <f aca="false">IF($K259="","No",IF(COUNTIFS(MasterPanel!$B:$B,$H259,MasterPanel!$I:$I,$K259,MasterPanel!$K:$K,"Y")&gt;0,"Yes","No"))</f>
        <v>No</v>
      </c>
      <c r="Q259" s="46" t="n">
        <f aca="false">IF($K259="",0,IF(COUNTIF('Gap Sheet'!$A$6:$A$11,TRIM($J259))=0,0,IF($O259="R1",INDEX('Gap Sheet'!$C$6:$C$11,MATCH(TRIM($J259),'Gap Sheet'!$A$6:$A$11,0)),INDEX('Gap Sheet'!$G$6:$G$11,MATCH(TRIM($J259),'Gap Sheet'!$A$6:$A$11,0)))))</f>
        <v>0</v>
      </c>
      <c r="R259" s="46" t="str">
        <f aca="false">IF($K259="","",$K259&amp;"|"&amp;$O259)</f>
        <v/>
      </c>
      <c r="S259" s="46" t="n">
        <f aca="false">IF($R259="",0,COUNTIF($AA$4:$AA258,$R259))</f>
        <v>0</v>
      </c>
      <c r="T259" s="46" t="str">
        <f aca="false">IF(OR($I259&lt;&gt;"Yes, I'm available for in-person interviews at Chennai",$E259&lt;&gt;"Yes",$P259&lt;&gt;"Yes"),"No",IF(($Q259-$S259)&gt;0,"Yes","No"))</f>
        <v>No</v>
      </c>
      <c r="U259" s="46" t="str">
        <f aca="false">IF($M259="","No",IF(COUNTIFS(MasterPanel!$B:$B,$H259,MasterPanel!$I:$I,$M259,MasterPanel!$K:$K,"Y")&gt;0,"Yes","No"))</f>
        <v>No</v>
      </c>
      <c r="V259" s="46" t="n">
        <f aca="false">IF($M259="",0,IF(COUNTIF('Gap Sheet'!$A$6:$A$11,TRIM($L259))=0,0,IF($O259="R1",INDEX('Gap Sheet'!$C$6:$C$11,MATCH(TRIM($L259),'Gap Sheet'!$A$6:$A$11,0)),INDEX('Gap Sheet'!$G$6:$G$11,MATCH(TRIM($L259),'Gap Sheet'!$A$6:$A$11,0)))))</f>
        <v>0</v>
      </c>
      <c r="W259" s="46" t="str">
        <f aca="false">IF($M259="","",$M259&amp;"|"&amp;$O259)</f>
        <v/>
      </c>
      <c r="X259" s="46" t="n">
        <f aca="false">IF($W259="",0,COUNTIF($AA$4:$AA258,$W259))</f>
        <v>0</v>
      </c>
      <c r="Y259" s="46" t="str">
        <f aca="false">IF(OR($I259&lt;&gt;"Yes, I'm available for in-person interviews at Chennai",$E259&lt;&gt;"Yes",$T259="Yes",$U259&lt;&gt;"Yes"),"No",IF(($V259-$X259)&gt;0,"Yes","No"))</f>
        <v>No</v>
      </c>
      <c r="Z259" s="46" t="str">
        <f aca="false">IF($T259="Yes","Primary",IF($Y259="Yes","Secondary",""))</f>
        <v/>
      </c>
      <c r="AA259" s="46" t="str">
        <f aca="false">IF($Z259="Primary",$R259,IF($Z259="Secondary",$W259,""))</f>
        <v/>
      </c>
      <c r="AB259" s="46" t="str">
        <f aca="false">IF($Z259="Primary","Matched on primary skill",IF($Z259="Secondary","Matched on secondary skill (primary not approved or not required)",""))</f>
        <v/>
      </c>
      <c r="AC259" s="47" t="str">
        <f aca="false">IF($D259="Panel Details",$F259,"")</f>
        <v/>
      </c>
      <c r="AD259" s="46" t="str">
        <f aca="false">IF($D259="Panel Details",'Survey Response'!$D257,"")</f>
        <v/>
      </c>
      <c r="AE259" s="46" t="str">
        <f aca="false">IF($D259="Panel Details",'Survey Response'!$E257,"")</f>
        <v/>
      </c>
      <c r="AF259" s="46" t="str">
        <f aca="false">IF($D259="Panel Details",'Survey Response'!$G257,"")</f>
        <v/>
      </c>
      <c r="AG259" s="46" t="str">
        <f aca="false">IF($D259="Panel Details",IF($Z259="Primary",$J259,$L259),"")</f>
        <v/>
      </c>
      <c r="AH259" s="46" t="str">
        <f aca="false">IF($D259="Panel Details",IF($Z259="Primary",$L259,$J259),"")</f>
        <v/>
      </c>
      <c r="AI259" s="46" t="str">
        <f aca="false">IF($D259="Panel Details",'Survey Response'!$H257,"")</f>
        <v/>
      </c>
      <c r="AJ259" s="46" t="str">
        <f aca="false">IF($D259="Panel Details",'Survey Response'!$M257,"")</f>
        <v/>
      </c>
      <c r="AK259" s="46" t="str">
        <f aca="false">IF($D259="Panel Details",$O259,"")</f>
        <v/>
      </c>
      <c r="AL259" s="46" t="str">
        <f aca="false">IF($D259="Panel Details",8,"")</f>
        <v/>
      </c>
      <c r="AM259" s="46" t="str">
        <f aca="false">IF($D259="Panel Details",$AB259,"")</f>
        <v/>
      </c>
      <c r="AN259" s="46" t="str">
        <f aca="false">IF($D259="Panel Details","Yes","")</f>
        <v/>
      </c>
      <c r="AO259" s="46"/>
      <c r="AP259" s="46" t="str">
        <f aca="false">IF($D259="Followup",'Survey Response'!$D257,"")</f>
        <v/>
      </c>
      <c r="AQ259" s="46" t="str">
        <f aca="false">IF($D259="Followup",'Survey Response'!$E257,"")</f>
        <v/>
      </c>
      <c r="AR259" s="46" t="str">
        <f aca="false">IF($D259="Followup",'Survey Response'!$G257,"")</f>
        <v/>
      </c>
      <c r="AS259" s="46" t="str">
        <f aca="false">IF($D259="Followup",'Survey Response'!$H257,"")</f>
        <v/>
      </c>
      <c r="AT259" s="46" t="str">
        <f aca="false">IF($D259="Followup",'Survey Response'!$M257,"")</f>
        <v/>
      </c>
      <c r="AU259" s="46" t="str">
        <f aca="false">IF($D259="Followup",'Survey Response'!$K257,"")</f>
        <v/>
      </c>
      <c r="AV259" s="46" t="str">
        <f aca="false">IF($D259="Followup",'Survey Response'!$L257,"")</f>
        <v/>
      </c>
      <c r="AW259" s="46" t="str">
        <f aca="false">IF($D259="Followup",IF(AND($P259&lt;&gt;"Yes",$U259&lt;&gt;"Yes"),"Not approved for primary or secondary skill","Approved, but skill(s) no longer have capacity (fully staffed)"),"")</f>
        <v/>
      </c>
    </row>
    <row r="260" customFormat="false" ht="15" hidden="false" customHeight="true" outlineLevel="0" collapsed="false">
      <c r="A260" s="46" t="str">
        <f aca="false">IF('Survey Response'!$D258="","",'Survey Response'!$A258&amp;"|"&amp;LOWER(TRIM('Survey Response'!$D258)))</f>
        <v/>
      </c>
      <c r="B260" s="46" t="str">
        <f aca="false">IF($H260="","",$F260&amp;"|"&amp;$H260)</f>
        <v/>
      </c>
      <c r="C260" s="46" t="str">
        <f aca="false">IF($H260="","",$A260=$B260)</f>
        <v/>
      </c>
      <c r="D260" s="46" t="str">
        <f aca="false">IF($H260="","",IF($E260&lt;&gt;"Yes","Superseded",IF($I260&lt;&gt;"Yes, I'm available for in-person interviews at Chennai","Not Available",IF($Z260&lt;&gt;"","Panel Details","Followup"))))</f>
        <v/>
      </c>
      <c r="E260" s="46" t="str">
        <f aca="false">IF($H260="","",IF(SUMPRODUCT(($H$4:$H$503=$H260)*(($G$4:$G$503&gt;$G260)+($G$4:$G$503=$G260)*($F$4:$F$503&gt;$F260)))=0,"Yes","No"))</f>
        <v/>
      </c>
      <c r="F260" s="47" t="str">
        <f aca="false">IF('Survey Response'!$D258="","",INT('Survey Response'!$A258))</f>
        <v/>
      </c>
      <c r="G260" s="46" t="str">
        <f aca="false">IF('Survey Response'!$D258="","",'Survey Response'!$C258)</f>
        <v/>
      </c>
      <c r="H260" s="46" t="str">
        <f aca="false">IF('Survey Response'!$D258="","",LOWER(TRIM('Survey Response'!$D258)))</f>
        <v/>
      </c>
      <c r="I260" s="46" t="str">
        <f aca="false">IF($H260="","",'Survey Response'!$I258)</f>
        <v/>
      </c>
      <c r="J260" s="46" t="str">
        <f aca="false">IF($H260="","",'Survey Response'!$K258)</f>
        <v/>
      </c>
      <c r="K260" s="46" t="str">
        <f aca="false">IF($J260="","",IF(COUNTIF('Skill Mapping'!$A$2:$A$7,TRIM($J260))=0,"",INDEX('Skill Mapping'!$B$2:$B$7,MATCH(TRIM($J260),'Skill Mapping'!$A$2:$A$7,0))))</f>
        <v/>
      </c>
      <c r="L260" s="46" t="str">
        <f aca="false">IF($H260="","",'Survey Response'!$L258)</f>
        <v/>
      </c>
      <c r="M260" s="46" t="str">
        <f aca="false">IF($L260="","",IF(COUNTIF('Skill Mapping'!$A$2:$A$7,TRIM($L260))=0,"",INDEX('Skill Mapping'!$B$2:$B$7,MATCH(TRIM($L260),'Skill Mapping'!$A$2:$A$7,0))))</f>
        <v/>
      </c>
      <c r="N260" s="46" t="str">
        <f aca="false">IF($H260="","",'Survey Response'!$M258)</f>
        <v/>
      </c>
      <c r="O260" s="46" t="str">
        <f aca="false">IF($H260="","",IF('Survey Response'!$M258="Manager","R2","R1"))</f>
        <v/>
      </c>
      <c r="P260" s="46" t="str">
        <f aca="false">IF($K260="","No",IF(COUNTIFS(MasterPanel!$B:$B,$H260,MasterPanel!$I:$I,$K260,MasterPanel!$K:$K,"Y")&gt;0,"Yes","No"))</f>
        <v>No</v>
      </c>
      <c r="Q260" s="46" t="n">
        <f aca="false">IF($K260="",0,IF(COUNTIF('Gap Sheet'!$A$6:$A$11,TRIM($J260))=0,0,IF($O260="R1",INDEX('Gap Sheet'!$C$6:$C$11,MATCH(TRIM($J260),'Gap Sheet'!$A$6:$A$11,0)),INDEX('Gap Sheet'!$G$6:$G$11,MATCH(TRIM($J260),'Gap Sheet'!$A$6:$A$11,0)))))</f>
        <v>0</v>
      </c>
      <c r="R260" s="46" t="str">
        <f aca="false">IF($K260="","",$K260&amp;"|"&amp;$O260)</f>
        <v/>
      </c>
      <c r="S260" s="46" t="n">
        <f aca="false">IF($R260="",0,COUNTIF($AA$4:$AA259,$R260))</f>
        <v>0</v>
      </c>
      <c r="T260" s="46" t="str">
        <f aca="false">IF(OR($I260&lt;&gt;"Yes, I'm available for in-person interviews at Chennai",$E260&lt;&gt;"Yes",$P260&lt;&gt;"Yes"),"No",IF(($Q260-$S260)&gt;0,"Yes","No"))</f>
        <v>No</v>
      </c>
      <c r="U260" s="46" t="str">
        <f aca="false">IF($M260="","No",IF(COUNTIFS(MasterPanel!$B:$B,$H260,MasterPanel!$I:$I,$M260,MasterPanel!$K:$K,"Y")&gt;0,"Yes","No"))</f>
        <v>No</v>
      </c>
      <c r="V260" s="46" t="n">
        <f aca="false">IF($M260="",0,IF(COUNTIF('Gap Sheet'!$A$6:$A$11,TRIM($L260))=0,0,IF($O260="R1",INDEX('Gap Sheet'!$C$6:$C$11,MATCH(TRIM($L260),'Gap Sheet'!$A$6:$A$11,0)),INDEX('Gap Sheet'!$G$6:$G$11,MATCH(TRIM($L260),'Gap Sheet'!$A$6:$A$11,0)))))</f>
        <v>0</v>
      </c>
      <c r="W260" s="46" t="str">
        <f aca="false">IF($M260="","",$M260&amp;"|"&amp;$O260)</f>
        <v/>
      </c>
      <c r="X260" s="46" t="n">
        <f aca="false">IF($W260="",0,COUNTIF($AA$4:$AA259,$W260))</f>
        <v>0</v>
      </c>
      <c r="Y260" s="46" t="str">
        <f aca="false">IF(OR($I260&lt;&gt;"Yes, I'm available for in-person interviews at Chennai",$E260&lt;&gt;"Yes",$T260="Yes",$U260&lt;&gt;"Yes"),"No",IF(($V260-$X260)&gt;0,"Yes","No"))</f>
        <v>No</v>
      </c>
      <c r="Z260" s="46" t="str">
        <f aca="false">IF($T260="Yes","Primary",IF($Y260="Yes","Secondary",""))</f>
        <v/>
      </c>
      <c r="AA260" s="46" t="str">
        <f aca="false">IF($Z260="Primary",$R260,IF($Z260="Secondary",$W260,""))</f>
        <v/>
      </c>
      <c r="AB260" s="46" t="str">
        <f aca="false">IF($Z260="Primary","Matched on primary skill",IF($Z260="Secondary","Matched on secondary skill (primary not approved or not required)",""))</f>
        <v/>
      </c>
      <c r="AC260" s="47" t="str">
        <f aca="false">IF($D260="Panel Details",$F260,"")</f>
        <v/>
      </c>
      <c r="AD260" s="46" t="str">
        <f aca="false">IF($D260="Panel Details",'Survey Response'!$D258,"")</f>
        <v/>
      </c>
      <c r="AE260" s="46" t="str">
        <f aca="false">IF($D260="Panel Details",'Survey Response'!$E258,"")</f>
        <v/>
      </c>
      <c r="AF260" s="46" t="str">
        <f aca="false">IF($D260="Panel Details",'Survey Response'!$G258,"")</f>
        <v/>
      </c>
      <c r="AG260" s="46" t="str">
        <f aca="false">IF($D260="Panel Details",IF($Z260="Primary",$J260,$L260),"")</f>
        <v/>
      </c>
      <c r="AH260" s="46" t="str">
        <f aca="false">IF($D260="Panel Details",IF($Z260="Primary",$L260,$J260),"")</f>
        <v/>
      </c>
      <c r="AI260" s="46" t="str">
        <f aca="false">IF($D260="Panel Details",'Survey Response'!$H258,"")</f>
        <v/>
      </c>
      <c r="AJ260" s="46" t="str">
        <f aca="false">IF($D260="Panel Details",'Survey Response'!$M258,"")</f>
        <v/>
      </c>
      <c r="AK260" s="46" t="str">
        <f aca="false">IF($D260="Panel Details",$O260,"")</f>
        <v/>
      </c>
      <c r="AL260" s="46" t="str">
        <f aca="false">IF($D260="Panel Details",8,"")</f>
        <v/>
      </c>
      <c r="AM260" s="46" t="str">
        <f aca="false">IF($D260="Panel Details",$AB260,"")</f>
        <v/>
      </c>
      <c r="AN260" s="46" t="str">
        <f aca="false">IF($D260="Panel Details","Yes","")</f>
        <v/>
      </c>
      <c r="AO260" s="46"/>
      <c r="AP260" s="46" t="str">
        <f aca="false">IF($D260="Followup",'Survey Response'!$D258,"")</f>
        <v/>
      </c>
      <c r="AQ260" s="46" t="str">
        <f aca="false">IF($D260="Followup",'Survey Response'!$E258,"")</f>
        <v/>
      </c>
      <c r="AR260" s="46" t="str">
        <f aca="false">IF($D260="Followup",'Survey Response'!$G258,"")</f>
        <v/>
      </c>
      <c r="AS260" s="46" t="str">
        <f aca="false">IF($D260="Followup",'Survey Response'!$H258,"")</f>
        <v/>
      </c>
      <c r="AT260" s="46" t="str">
        <f aca="false">IF($D260="Followup",'Survey Response'!$M258,"")</f>
        <v/>
      </c>
      <c r="AU260" s="46" t="str">
        <f aca="false">IF($D260="Followup",'Survey Response'!$K258,"")</f>
        <v/>
      </c>
      <c r="AV260" s="46" t="str">
        <f aca="false">IF($D260="Followup",'Survey Response'!$L258,"")</f>
        <v/>
      </c>
      <c r="AW260" s="46" t="str">
        <f aca="false">IF($D260="Followup",IF(AND($P260&lt;&gt;"Yes",$U260&lt;&gt;"Yes"),"Not approved for primary or secondary skill","Approved, but skill(s) no longer have capacity (fully staffed)"),"")</f>
        <v/>
      </c>
    </row>
    <row r="261" customFormat="false" ht="15" hidden="false" customHeight="true" outlineLevel="0" collapsed="false">
      <c r="A261" s="46" t="str">
        <f aca="false">IF('Survey Response'!$D259="","",'Survey Response'!$A259&amp;"|"&amp;LOWER(TRIM('Survey Response'!$D259)))</f>
        <v/>
      </c>
      <c r="B261" s="46" t="str">
        <f aca="false">IF($H261="","",$F261&amp;"|"&amp;$H261)</f>
        <v/>
      </c>
      <c r="C261" s="46" t="str">
        <f aca="false">IF($H261="","",$A261=$B261)</f>
        <v/>
      </c>
      <c r="D261" s="46" t="str">
        <f aca="false">IF($H261="","",IF($E261&lt;&gt;"Yes","Superseded",IF($I261&lt;&gt;"Yes, I'm available for in-person interviews at Chennai","Not Available",IF($Z261&lt;&gt;"","Panel Details","Followup"))))</f>
        <v/>
      </c>
      <c r="E261" s="46" t="str">
        <f aca="false">IF($H261="","",IF(SUMPRODUCT(($H$4:$H$503=$H261)*(($G$4:$G$503&gt;$G261)+($G$4:$G$503=$G261)*($F$4:$F$503&gt;$F261)))=0,"Yes","No"))</f>
        <v/>
      </c>
      <c r="F261" s="47" t="str">
        <f aca="false">IF('Survey Response'!$D259="","",INT('Survey Response'!$A259))</f>
        <v/>
      </c>
      <c r="G261" s="46" t="str">
        <f aca="false">IF('Survey Response'!$D259="","",'Survey Response'!$C259)</f>
        <v/>
      </c>
      <c r="H261" s="46" t="str">
        <f aca="false">IF('Survey Response'!$D259="","",LOWER(TRIM('Survey Response'!$D259)))</f>
        <v/>
      </c>
      <c r="I261" s="46" t="str">
        <f aca="false">IF($H261="","",'Survey Response'!$I259)</f>
        <v/>
      </c>
      <c r="J261" s="46" t="str">
        <f aca="false">IF($H261="","",'Survey Response'!$K259)</f>
        <v/>
      </c>
      <c r="K261" s="46" t="str">
        <f aca="false">IF($J261="","",IF(COUNTIF('Skill Mapping'!$A$2:$A$7,TRIM($J261))=0,"",INDEX('Skill Mapping'!$B$2:$B$7,MATCH(TRIM($J261),'Skill Mapping'!$A$2:$A$7,0))))</f>
        <v/>
      </c>
      <c r="L261" s="46" t="str">
        <f aca="false">IF($H261="","",'Survey Response'!$L259)</f>
        <v/>
      </c>
      <c r="M261" s="46" t="str">
        <f aca="false">IF($L261="","",IF(COUNTIF('Skill Mapping'!$A$2:$A$7,TRIM($L261))=0,"",INDEX('Skill Mapping'!$B$2:$B$7,MATCH(TRIM($L261),'Skill Mapping'!$A$2:$A$7,0))))</f>
        <v/>
      </c>
      <c r="N261" s="46" t="str">
        <f aca="false">IF($H261="","",'Survey Response'!$M259)</f>
        <v/>
      </c>
      <c r="O261" s="46" t="str">
        <f aca="false">IF($H261="","",IF('Survey Response'!$M259="Manager","R2","R1"))</f>
        <v/>
      </c>
      <c r="P261" s="46" t="str">
        <f aca="false">IF($K261="","No",IF(COUNTIFS(MasterPanel!$B:$B,$H261,MasterPanel!$I:$I,$K261,MasterPanel!$K:$K,"Y")&gt;0,"Yes","No"))</f>
        <v>No</v>
      </c>
      <c r="Q261" s="46" t="n">
        <f aca="false">IF($K261="",0,IF(COUNTIF('Gap Sheet'!$A$6:$A$11,TRIM($J261))=0,0,IF($O261="R1",INDEX('Gap Sheet'!$C$6:$C$11,MATCH(TRIM($J261),'Gap Sheet'!$A$6:$A$11,0)),INDEX('Gap Sheet'!$G$6:$G$11,MATCH(TRIM($J261),'Gap Sheet'!$A$6:$A$11,0)))))</f>
        <v>0</v>
      </c>
      <c r="R261" s="46" t="str">
        <f aca="false">IF($K261="","",$K261&amp;"|"&amp;$O261)</f>
        <v/>
      </c>
      <c r="S261" s="46" t="n">
        <f aca="false">IF($R261="",0,COUNTIF($AA$4:$AA260,$R261))</f>
        <v>0</v>
      </c>
      <c r="T261" s="46" t="str">
        <f aca="false">IF(OR($I261&lt;&gt;"Yes, I'm available for in-person interviews at Chennai",$E261&lt;&gt;"Yes",$P261&lt;&gt;"Yes"),"No",IF(($Q261-$S261)&gt;0,"Yes","No"))</f>
        <v>No</v>
      </c>
      <c r="U261" s="46" t="str">
        <f aca="false">IF($M261="","No",IF(COUNTIFS(MasterPanel!$B:$B,$H261,MasterPanel!$I:$I,$M261,MasterPanel!$K:$K,"Y")&gt;0,"Yes","No"))</f>
        <v>No</v>
      </c>
      <c r="V261" s="46" t="n">
        <f aca="false">IF($M261="",0,IF(COUNTIF('Gap Sheet'!$A$6:$A$11,TRIM($L261))=0,0,IF($O261="R1",INDEX('Gap Sheet'!$C$6:$C$11,MATCH(TRIM($L261),'Gap Sheet'!$A$6:$A$11,0)),INDEX('Gap Sheet'!$G$6:$G$11,MATCH(TRIM($L261),'Gap Sheet'!$A$6:$A$11,0)))))</f>
        <v>0</v>
      </c>
      <c r="W261" s="46" t="str">
        <f aca="false">IF($M261="","",$M261&amp;"|"&amp;$O261)</f>
        <v/>
      </c>
      <c r="X261" s="46" t="n">
        <f aca="false">IF($W261="",0,COUNTIF($AA$4:$AA260,$W261))</f>
        <v>0</v>
      </c>
      <c r="Y261" s="46" t="str">
        <f aca="false">IF(OR($I261&lt;&gt;"Yes, I'm available for in-person interviews at Chennai",$E261&lt;&gt;"Yes",$T261="Yes",$U261&lt;&gt;"Yes"),"No",IF(($V261-$X261)&gt;0,"Yes","No"))</f>
        <v>No</v>
      </c>
      <c r="Z261" s="46" t="str">
        <f aca="false">IF($T261="Yes","Primary",IF($Y261="Yes","Secondary",""))</f>
        <v/>
      </c>
      <c r="AA261" s="46" t="str">
        <f aca="false">IF($Z261="Primary",$R261,IF($Z261="Secondary",$W261,""))</f>
        <v/>
      </c>
      <c r="AB261" s="46" t="str">
        <f aca="false">IF($Z261="Primary","Matched on primary skill",IF($Z261="Secondary","Matched on secondary skill (primary not approved or not required)",""))</f>
        <v/>
      </c>
      <c r="AC261" s="47" t="str">
        <f aca="false">IF($D261="Panel Details",$F261,"")</f>
        <v/>
      </c>
      <c r="AD261" s="46" t="str">
        <f aca="false">IF($D261="Panel Details",'Survey Response'!$D259,"")</f>
        <v/>
      </c>
      <c r="AE261" s="46" t="str">
        <f aca="false">IF($D261="Panel Details",'Survey Response'!$E259,"")</f>
        <v/>
      </c>
      <c r="AF261" s="46" t="str">
        <f aca="false">IF($D261="Panel Details",'Survey Response'!$G259,"")</f>
        <v/>
      </c>
      <c r="AG261" s="46" t="str">
        <f aca="false">IF($D261="Panel Details",IF($Z261="Primary",$J261,$L261),"")</f>
        <v/>
      </c>
      <c r="AH261" s="46" t="str">
        <f aca="false">IF($D261="Panel Details",IF($Z261="Primary",$L261,$J261),"")</f>
        <v/>
      </c>
      <c r="AI261" s="46" t="str">
        <f aca="false">IF($D261="Panel Details",'Survey Response'!$H259,"")</f>
        <v/>
      </c>
      <c r="AJ261" s="46" t="str">
        <f aca="false">IF($D261="Panel Details",'Survey Response'!$M259,"")</f>
        <v/>
      </c>
      <c r="AK261" s="46" t="str">
        <f aca="false">IF($D261="Panel Details",$O261,"")</f>
        <v/>
      </c>
      <c r="AL261" s="46" t="str">
        <f aca="false">IF($D261="Panel Details",8,"")</f>
        <v/>
      </c>
      <c r="AM261" s="46" t="str">
        <f aca="false">IF($D261="Panel Details",$AB261,"")</f>
        <v/>
      </c>
      <c r="AN261" s="46" t="str">
        <f aca="false">IF($D261="Panel Details","Yes","")</f>
        <v/>
      </c>
      <c r="AO261" s="46"/>
      <c r="AP261" s="46" t="str">
        <f aca="false">IF($D261="Followup",'Survey Response'!$D259,"")</f>
        <v/>
      </c>
      <c r="AQ261" s="46" t="str">
        <f aca="false">IF($D261="Followup",'Survey Response'!$E259,"")</f>
        <v/>
      </c>
      <c r="AR261" s="46" t="str">
        <f aca="false">IF($D261="Followup",'Survey Response'!$G259,"")</f>
        <v/>
      </c>
      <c r="AS261" s="46" t="str">
        <f aca="false">IF($D261="Followup",'Survey Response'!$H259,"")</f>
        <v/>
      </c>
      <c r="AT261" s="46" t="str">
        <f aca="false">IF($D261="Followup",'Survey Response'!$M259,"")</f>
        <v/>
      </c>
      <c r="AU261" s="46" t="str">
        <f aca="false">IF($D261="Followup",'Survey Response'!$K259,"")</f>
        <v/>
      </c>
      <c r="AV261" s="46" t="str">
        <f aca="false">IF($D261="Followup",'Survey Response'!$L259,"")</f>
        <v/>
      </c>
      <c r="AW261" s="46" t="str">
        <f aca="false">IF($D261="Followup",IF(AND($P261&lt;&gt;"Yes",$U261&lt;&gt;"Yes"),"Not approved for primary or secondary skill","Approved, but skill(s) no longer have capacity (fully staffed)"),"")</f>
        <v/>
      </c>
    </row>
    <row r="262" customFormat="false" ht="15" hidden="false" customHeight="true" outlineLevel="0" collapsed="false">
      <c r="A262" s="46" t="str">
        <f aca="false">IF('Survey Response'!$D260="","",'Survey Response'!$A260&amp;"|"&amp;LOWER(TRIM('Survey Response'!$D260)))</f>
        <v/>
      </c>
      <c r="B262" s="46" t="str">
        <f aca="false">IF($H262="","",$F262&amp;"|"&amp;$H262)</f>
        <v/>
      </c>
      <c r="C262" s="46" t="str">
        <f aca="false">IF($H262="","",$A262=$B262)</f>
        <v/>
      </c>
      <c r="D262" s="46" t="str">
        <f aca="false">IF($H262="","",IF($E262&lt;&gt;"Yes","Superseded",IF($I262&lt;&gt;"Yes, I'm available for in-person interviews at Chennai","Not Available",IF($Z262&lt;&gt;"","Panel Details","Followup"))))</f>
        <v/>
      </c>
      <c r="E262" s="46" t="str">
        <f aca="false">IF($H262="","",IF(SUMPRODUCT(($H$4:$H$503=$H262)*(($G$4:$G$503&gt;$G262)+($G$4:$G$503=$G262)*($F$4:$F$503&gt;$F262)))=0,"Yes","No"))</f>
        <v/>
      </c>
      <c r="F262" s="47" t="str">
        <f aca="false">IF('Survey Response'!$D260="","",INT('Survey Response'!$A260))</f>
        <v/>
      </c>
      <c r="G262" s="46" t="str">
        <f aca="false">IF('Survey Response'!$D260="","",'Survey Response'!$C260)</f>
        <v/>
      </c>
      <c r="H262" s="46" t="str">
        <f aca="false">IF('Survey Response'!$D260="","",LOWER(TRIM('Survey Response'!$D260)))</f>
        <v/>
      </c>
      <c r="I262" s="46" t="str">
        <f aca="false">IF($H262="","",'Survey Response'!$I260)</f>
        <v/>
      </c>
      <c r="J262" s="46" t="str">
        <f aca="false">IF($H262="","",'Survey Response'!$K260)</f>
        <v/>
      </c>
      <c r="K262" s="46" t="str">
        <f aca="false">IF($J262="","",IF(COUNTIF('Skill Mapping'!$A$2:$A$7,TRIM($J262))=0,"",INDEX('Skill Mapping'!$B$2:$B$7,MATCH(TRIM($J262),'Skill Mapping'!$A$2:$A$7,0))))</f>
        <v/>
      </c>
      <c r="L262" s="46" t="str">
        <f aca="false">IF($H262="","",'Survey Response'!$L260)</f>
        <v/>
      </c>
      <c r="M262" s="46" t="str">
        <f aca="false">IF($L262="","",IF(COUNTIF('Skill Mapping'!$A$2:$A$7,TRIM($L262))=0,"",INDEX('Skill Mapping'!$B$2:$B$7,MATCH(TRIM($L262),'Skill Mapping'!$A$2:$A$7,0))))</f>
        <v/>
      </c>
      <c r="N262" s="46" t="str">
        <f aca="false">IF($H262="","",'Survey Response'!$M260)</f>
        <v/>
      </c>
      <c r="O262" s="46" t="str">
        <f aca="false">IF($H262="","",IF('Survey Response'!$M260="Manager","R2","R1"))</f>
        <v/>
      </c>
      <c r="P262" s="46" t="str">
        <f aca="false">IF($K262="","No",IF(COUNTIFS(MasterPanel!$B:$B,$H262,MasterPanel!$I:$I,$K262,MasterPanel!$K:$K,"Y")&gt;0,"Yes","No"))</f>
        <v>No</v>
      </c>
      <c r="Q262" s="46" t="n">
        <f aca="false">IF($K262="",0,IF(COUNTIF('Gap Sheet'!$A$6:$A$11,TRIM($J262))=0,0,IF($O262="R1",INDEX('Gap Sheet'!$C$6:$C$11,MATCH(TRIM($J262),'Gap Sheet'!$A$6:$A$11,0)),INDEX('Gap Sheet'!$G$6:$G$11,MATCH(TRIM($J262),'Gap Sheet'!$A$6:$A$11,0)))))</f>
        <v>0</v>
      </c>
      <c r="R262" s="46" t="str">
        <f aca="false">IF($K262="","",$K262&amp;"|"&amp;$O262)</f>
        <v/>
      </c>
      <c r="S262" s="46" t="n">
        <f aca="false">IF($R262="",0,COUNTIF($AA$4:$AA261,$R262))</f>
        <v>0</v>
      </c>
      <c r="T262" s="46" t="str">
        <f aca="false">IF(OR($I262&lt;&gt;"Yes, I'm available for in-person interviews at Chennai",$E262&lt;&gt;"Yes",$P262&lt;&gt;"Yes"),"No",IF(($Q262-$S262)&gt;0,"Yes","No"))</f>
        <v>No</v>
      </c>
      <c r="U262" s="46" t="str">
        <f aca="false">IF($M262="","No",IF(COUNTIFS(MasterPanel!$B:$B,$H262,MasterPanel!$I:$I,$M262,MasterPanel!$K:$K,"Y")&gt;0,"Yes","No"))</f>
        <v>No</v>
      </c>
      <c r="V262" s="46" t="n">
        <f aca="false">IF($M262="",0,IF(COUNTIF('Gap Sheet'!$A$6:$A$11,TRIM($L262))=0,0,IF($O262="R1",INDEX('Gap Sheet'!$C$6:$C$11,MATCH(TRIM($L262),'Gap Sheet'!$A$6:$A$11,0)),INDEX('Gap Sheet'!$G$6:$G$11,MATCH(TRIM($L262),'Gap Sheet'!$A$6:$A$11,0)))))</f>
        <v>0</v>
      </c>
      <c r="W262" s="46" t="str">
        <f aca="false">IF($M262="","",$M262&amp;"|"&amp;$O262)</f>
        <v/>
      </c>
      <c r="X262" s="46" t="n">
        <f aca="false">IF($W262="",0,COUNTIF($AA$4:$AA261,$W262))</f>
        <v>0</v>
      </c>
      <c r="Y262" s="46" t="str">
        <f aca="false">IF(OR($I262&lt;&gt;"Yes, I'm available for in-person interviews at Chennai",$E262&lt;&gt;"Yes",$T262="Yes",$U262&lt;&gt;"Yes"),"No",IF(($V262-$X262)&gt;0,"Yes","No"))</f>
        <v>No</v>
      </c>
      <c r="Z262" s="46" t="str">
        <f aca="false">IF($T262="Yes","Primary",IF($Y262="Yes","Secondary",""))</f>
        <v/>
      </c>
      <c r="AA262" s="46" t="str">
        <f aca="false">IF($Z262="Primary",$R262,IF($Z262="Secondary",$W262,""))</f>
        <v/>
      </c>
      <c r="AB262" s="46" t="str">
        <f aca="false">IF($Z262="Primary","Matched on primary skill",IF($Z262="Secondary","Matched on secondary skill (primary not approved or not required)",""))</f>
        <v/>
      </c>
      <c r="AC262" s="47" t="str">
        <f aca="false">IF($D262="Panel Details",$F262,"")</f>
        <v/>
      </c>
      <c r="AD262" s="46" t="str">
        <f aca="false">IF($D262="Panel Details",'Survey Response'!$D260,"")</f>
        <v/>
      </c>
      <c r="AE262" s="46" t="str">
        <f aca="false">IF($D262="Panel Details",'Survey Response'!$E260,"")</f>
        <v/>
      </c>
      <c r="AF262" s="46" t="str">
        <f aca="false">IF($D262="Panel Details",'Survey Response'!$G260,"")</f>
        <v/>
      </c>
      <c r="AG262" s="46" t="str">
        <f aca="false">IF($D262="Panel Details",IF($Z262="Primary",$J262,$L262),"")</f>
        <v/>
      </c>
      <c r="AH262" s="46" t="str">
        <f aca="false">IF($D262="Panel Details",IF($Z262="Primary",$L262,$J262),"")</f>
        <v/>
      </c>
      <c r="AI262" s="46" t="str">
        <f aca="false">IF($D262="Panel Details",'Survey Response'!$H260,"")</f>
        <v/>
      </c>
      <c r="AJ262" s="46" t="str">
        <f aca="false">IF($D262="Panel Details",'Survey Response'!$M260,"")</f>
        <v/>
      </c>
      <c r="AK262" s="46" t="str">
        <f aca="false">IF($D262="Panel Details",$O262,"")</f>
        <v/>
      </c>
      <c r="AL262" s="46" t="str">
        <f aca="false">IF($D262="Panel Details",8,"")</f>
        <v/>
      </c>
      <c r="AM262" s="46" t="str">
        <f aca="false">IF($D262="Panel Details",$AB262,"")</f>
        <v/>
      </c>
      <c r="AN262" s="46" t="str">
        <f aca="false">IF($D262="Panel Details","Yes","")</f>
        <v/>
      </c>
      <c r="AO262" s="46"/>
      <c r="AP262" s="46" t="str">
        <f aca="false">IF($D262="Followup",'Survey Response'!$D260,"")</f>
        <v/>
      </c>
      <c r="AQ262" s="46" t="str">
        <f aca="false">IF($D262="Followup",'Survey Response'!$E260,"")</f>
        <v/>
      </c>
      <c r="AR262" s="46" t="str">
        <f aca="false">IF($D262="Followup",'Survey Response'!$G260,"")</f>
        <v/>
      </c>
      <c r="AS262" s="46" t="str">
        <f aca="false">IF($D262="Followup",'Survey Response'!$H260,"")</f>
        <v/>
      </c>
      <c r="AT262" s="46" t="str">
        <f aca="false">IF($D262="Followup",'Survey Response'!$M260,"")</f>
        <v/>
      </c>
      <c r="AU262" s="46" t="str">
        <f aca="false">IF($D262="Followup",'Survey Response'!$K260,"")</f>
        <v/>
      </c>
      <c r="AV262" s="46" t="str">
        <f aca="false">IF($D262="Followup",'Survey Response'!$L260,"")</f>
        <v/>
      </c>
      <c r="AW262" s="46" t="str">
        <f aca="false">IF($D262="Followup",IF(AND($P262&lt;&gt;"Yes",$U262&lt;&gt;"Yes"),"Not approved for primary or secondary skill","Approved, but skill(s) no longer have capacity (fully staffed)"),"")</f>
        <v/>
      </c>
    </row>
    <row r="263" customFormat="false" ht="15" hidden="false" customHeight="true" outlineLevel="0" collapsed="false">
      <c r="A263" s="46" t="str">
        <f aca="false">IF('Survey Response'!$D261="","",'Survey Response'!$A261&amp;"|"&amp;LOWER(TRIM('Survey Response'!$D261)))</f>
        <v/>
      </c>
      <c r="B263" s="46" t="str">
        <f aca="false">IF($H263="","",$F263&amp;"|"&amp;$H263)</f>
        <v/>
      </c>
      <c r="C263" s="46" t="str">
        <f aca="false">IF($H263="","",$A263=$B263)</f>
        <v/>
      </c>
      <c r="D263" s="46" t="str">
        <f aca="false">IF($H263="","",IF($E263&lt;&gt;"Yes","Superseded",IF($I263&lt;&gt;"Yes, I'm available for in-person interviews at Chennai","Not Available",IF($Z263&lt;&gt;"","Panel Details","Followup"))))</f>
        <v/>
      </c>
      <c r="E263" s="46" t="str">
        <f aca="false">IF($H263="","",IF(SUMPRODUCT(($H$4:$H$503=$H263)*(($G$4:$G$503&gt;$G263)+($G$4:$G$503=$G263)*($F$4:$F$503&gt;$F263)))=0,"Yes","No"))</f>
        <v/>
      </c>
      <c r="F263" s="47" t="str">
        <f aca="false">IF('Survey Response'!$D261="","",INT('Survey Response'!$A261))</f>
        <v/>
      </c>
      <c r="G263" s="46" t="str">
        <f aca="false">IF('Survey Response'!$D261="","",'Survey Response'!$C261)</f>
        <v/>
      </c>
      <c r="H263" s="46" t="str">
        <f aca="false">IF('Survey Response'!$D261="","",LOWER(TRIM('Survey Response'!$D261)))</f>
        <v/>
      </c>
      <c r="I263" s="46" t="str">
        <f aca="false">IF($H263="","",'Survey Response'!$I261)</f>
        <v/>
      </c>
      <c r="J263" s="46" t="str">
        <f aca="false">IF($H263="","",'Survey Response'!$K261)</f>
        <v/>
      </c>
      <c r="K263" s="46" t="str">
        <f aca="false">IF($J263="","",IF(COUNTIF('Skill Mapping'!$A$2:$A$7,TRIM($J263))=0,"",INDEX('Skill Mapping'!$B$2:$B$7,MATCH(TRIM($J263),'Skill Mapping'!$A$2:$A$7,0))))</f>
        <v/>
      </c>
      <c r="L263" s="46" t="str">
        <f aca="false">IF($H263="","",'Survey Response'!$L261)</f>
        <v/>
      </c>
      <c r="M263" s="46" t="str">
        <f aca="false">IF($L263="","",IF(COUNTIF('Skill Mapping'!$A$2:$A$7,TRIM($L263))=0,"",INDEX('Skill Mapping'!$B$2:$B$7,MATCH(TRIM($L263),'Skill Mapping'!$A$2:$A$7,0))))</f>
        <v/>
      </c>
      <c r="N263" s="46" t="str">
        <f aca="false">IF($H263="","",'Survey Response'!$M261)</f>
        <v/>
      </c>
      <c r="O263" s="46" t="str">
        <f aca="false">IF($H263="","",IF('Survey Response'!$M261="Manager","R2","R1"))</f>
        <v/>
      </c>
      <c r="P263" s="46" t="str">
        <f aca="false">IF($K263="","No",IF(COUNTIFS(MasterPanel!$B:$B,$H263,MasterPanel!$I:$I,$K263,MasterPanel!$K:$K,"Y")&gt;0,"Yes","No"))</f>
        <v>No</v>
      </c>
      <c r="Q263" s="46" t="n">
        <f aca="false">IF($K263="",0,IF(COUNTIF('Gap Sheet'!$A$6:$A$11,TRIM($J263))=0,0,IF($O263="R1",INDEX('Gap Sheet'!$C$6:$C$11,MATCH(TRIM($J263),'Gap Sheet'!$A$6:$A$11,0)),INDEX('Gap Sheet'!$G$6:$G$11,MATCH(TRIM($J263),'Gap Sheet'!$A$6:$A$11,0)))))</f>
        <v>0</v>
      </c>
      <c r="R263" s="46" t="str">
        <f aca="false">IF($K263="","",$K263&amp;"|"&amp;$O263)</f>
        <v/>
      </c>
      <c r="S263" s="46" t="n">
        <f aca="false">IF($R263="",0,COUNTIF($AA$4:$AA262,$R263))</f>
        <v>0</v>
      </c>
      <c r="T263" s="46" t="str">
        <f aca="false">IF(OR($I263&lt;&gt;"Yes, I'm available for in-person interviews at Chennai",$E263&lt;&gt;"Yes",$P263&lt;&gt;"Yes"),"No",IF(($Q263-$S263)&gt;0,"Yes","No"))</f>
        <v>No</v>
      </c>
      <c r="U263" s="46" t="str">
        <f aca="false">IF($M263="","No",IF(COUNTIFS(MasterPanel!$B:$B,$H263,MasterPanel!$I:$I,$M263,MasterPanel!$K:$K,"Y")&gt;0,"Yes","No"))</f>
        <v>No</v>
      </c>
      <c r="V263" s="46" t="n">
        <f aca="false">IF($M263="",0,IF(COUNTIF('Gap Sheet'!$A$6:$A$11,TRIM($L263))=0,0,IF($O263="R1",INDEX('Gap Sheet'!$C$6:$C$11,MATCH(TRIM($L263),'Gap Sheet'!$A$6:$A$11,0)),INDEX('Gap Sheet'!$G$6:$G$11,MATCH(TRIM($L263),'Gap Sheet'!$A$6:$A$11,0)))))</f>
        <v>0</v>
      </c>
      <c r="W263" s="46" t="str">
        <f aca="false">IF($M263="","",$M263&amp;"|"&amp;$O263)</f>
        <v/>
      </c>
      <c r="X263" s="46" t="n">
        <f aca="false">IF($W263="",0,COUNTIF($AA$4:$AA262,$W263))</f>
        <v>0</v>
      </c>
      <c r="Y263" s="46" t="str">
        <f aca="false">IF(OR($I263&lt;&gt;"Yes, I'm available for in-person interviews at Chennai",$E263&lt;&gt;"Yes",$T263="Yes",$U263&lt;&gt;"Yes"),"No",IF(($V263-$X263)&gt;0,"Yes","No"))</f>
        <v>No</v>
      </c>
      <c r="Z263" s="46" t="str">
        <f aca="false">IF($T263="Yes","Primary",IF($Y263="Yes","Secondary",""))</f>
        <v/>
      </c>
      <c r="AA263" s="46" t="str">
        <f aca="false">IF($Z263="Primary",$R263,IF($Z263="Secondary",$W263,""))</f>
        <v/>
      </c>
      <c r="AB263" s="46" t="str">
        <f aca="false">IF($Z263="Primary","Matched on primary skill",IF($Z263="Secondary","Matched on secondary skill (primary not approved or not required)",""))</f>
        <v/>
      </c>
      <c r="AC263" s="47" t="str">
        <f aca="false">IF($D263="Panel Details",$F263,"")</f>
        <v/>
      </c>
      <c r="AD263" s="46" t="str">
        <f aca="false">IF($D263="Panel Details",'Survey Response'!$D261,"")</f>
        <v/>
      </c>
      <c r="AE263" s="46" t="str">
        <f aca="false">IF($D263="Panel Details",'Survey Response'!$E261,"")</f>
        <v/>
      </c>
      <c r="AF263" s="46" t="str">
        <f aca="false">IF($D263="Panel Details",'Survey Response'!$G261,"")</f>
        <v/>
      </c>
      <c r="AG263" s="46" t="str">
        <f aca="false">IF($D263="Panel Details",IF($Z263="Primary",$J263,$L263),"")</f>
        <v/>
      </c>
      <c r="AH263" s="46" t="str">
        <f aca="false">IF($D263="Panel Details",IF($Z263="Primary",$L263,$J263),"")</f>
        <v/>
      </c>
      <c r="AI263" s="46" t="str">
        <f aca="false">IF($D263="Panel Details",'Survey Response'!$H261,"")</f>
        <v/>
      </c>
      <c r="AJ263" s="46" t="str">
        <f aca="false">IF($D263="Panel Details",'Survey Response'!$M261,"")</f>
        <v/>
      </c>
      <c r="AK263" s="46" t="str">
        <f aca="false">IF($D263="Panel Details",$O263,"")</f>
        <v/>
      </c>
      <c r="AL263" s="46" t="str">
        <f aca="false">IF($D263="Panel Details",8,"")</f>
        <v/>
      </c>
      <c r="AM263" s="46" t="str">
        <f aca="false">IF($D263="Panel Details",$AB263,"")</f>
        <v/>
      </c>
      <c r="AN263" s="46" t="str">
        <f aca="false">IF($D263="Panel Details","Yes","")</f>
        <v/>
      </c>
      <c r="AO263" s="46"/>
      <c r="AP263" s="46" t="str">
        <f aca="false">IF($D263="Followup",'Survey Response'!$D261,"")</f>
        <v/>
      </c>
      <c r="AQ263" s="46" t="str">
        <f aca="false">IF($D263="Followup",'Survey Response'!$E261,"")</f>
        <v/>
      </c>
      <c r="AR263" s="46" t="str">
        <f aca="false">IF($D263="Followup",'Survey Response'!$G261,"")</f>
        <v/>
      </c>
      <c r="AS263" s="46" t="str">
        <f aca="false">IF($D263="Followup",'Survey Response'!$H261,"")</f>
        <v/>
      </c>
      <c r="AT263" s="46" t="str">
        <f aca="false">IF($D263="Followup",'Survey Response'!$M261,"")</f>
        <v/>
      </c>
      <c r="AU263" s="46" t="str">
        <f aca="false">IF($D263="Followup",'Survey Response'!$K261,"")</f>
        <v/>
      </c>
      <c r="AV263" s="46" t="str">
        <f aca="false">IF($D263="Followup",'Survey Response'!$L261,"")</f>
        <v/>
      </c>
      <c r="AW263" s="46" t="str">
        <f aca="false">IF($D263="Followup",IF(AND($P263&lt;&gt;"Yes",$U263&lt;&gt;"Yes"),"Not approved for primary or secondary skill","Approved, but skill(s) no longer have capacity (fully staffed)"),"")</f>
        <v/>
      </c>
    </row>
    <row r="264" customFormat="false" ht="15" hidden="false" customHeight="true" outlineLevel="0" collapsed="false">
      <c r="A264" s="46" t="str">
        <f aca="false">IF('Survey Response'!$D262="","",'Survey Response'!$A262&amp;"|"&amp;LOWER(TRIM('Survey Response'!$D262)))</f>
        <v/>
      </c>
      <c r="B264" s="46" t="str">
        <f aca="false">IF($H264="","",$F264&amp;"|"&amp;$H264)</f>
        <v/>
      </c>
      <c r="C264" s="46" t="str">
        <f aca="false">IF($H264="","",$A264=$B264)</f>
        <v/>
      </c>
      <c r="D264" s="46" t="str">
        <f aca="false">IF($H264="","",IF($E264&lt;&gt;"Yes","Superseded",IF($I264&lt;&gt;"Yes, I'm available for in-person interviews at Chennai","Not Available",IF($Z264&lt;&gt;"","Panel Details","Followup"))))</f>
        <v/>
      </c>
      <c r="E264" s="46" t="str">
        <f aca="false">IF($H264="","",IF(SUMPRODUCT(($H$4:$H$503=$H264)*(($G$4:$G$503&gt;$G264)+($G$4:$G$503=$G264)*($F$4:$F$503&gt;$F264)))=0,"Yes","No"))</f>
        <v/>
      </c>
      <c r="F264" s="47" t="str">
        <f aca="false">IF('Survey Response'!$D262="","",INT('Survey Response'!$A262))</f>
        <v/>
      </c>
      <c r="G264" s="46" t="str">
        <f aca="false">IF('Survey Response'!$D262="","",'Survey Response'!$C262)</f>
        <v/>
      </c>
      <c r="H264" s="46" t="str">
        <f aca="false">IF('Survey Response'!$D262="","",LOWER(TRIM('Survey Response'!$D262)))</f>
        <v/>
      </c>
      <c r="I264" s="46" t="str">
        <f aca="false">IF($H264="","",'Survey Response'!$I262)</f>
        <v/>
      </c>
      <c r="J264" s="46" t="str">
        <f aca="false">IF($H264="","",'Survey Response'!$K262)</f>
        <v/>
      </c>
      <c r="K264" s="46" t="str">
        <f aca="false">IF($J264="","",IF(COUNTIF('Skill Mapping'!$A$2:$A$7,TRIM($J264))=0,"",INDEX('Skill Mapping'!$B$2:$B$7,MATCH(TRIM($J264),'Skill Mapping'!$A$2:$A$7,0))))</f>
        <v/>
      </c>
      <c r="L264" s="46" t="str">
        <f aca="false">IF($H264="","",'Survey Response'!$L262)</f>
        <v/>
      </c>
      <c r="M264" s="46" t="str">
        <f aca="false">IF($L264="","",IF(COUNTIF('Skill Mapping'!$A$2:$A$7,TRIM($L264))=0,"",INDEX('Skill Mapping'!$B$2:$B$7,MATCH(TRIM($L264),'Skill Mapping'!$A$2:$A$7,0))))</f>
        <v/>
      </c>
      <c r="N264" s="46" t="str">
        <f aca="false">IF($H264="","",'Survey Response'!$M262)</f>
        <v/>
      </c>
      <c r="O264" s="46" t="str">
        <f aca="false">IF($H264="","",IF('Survey Response'!$M262="Manager","R2","R1"))</f>
        <v/>
      </c>
      <c r="P264" s="46" t="str">
        <f aca="false">IF($K264="","No",IF(COUNTIFS(MasterPanel!$B:$B,$H264,MasterPanel!$I:$I,$K264,MasterPanel!$K:$K,"Y")&gt;0,"Yes","No"))</f>
        <v>No</v>
      </c>
      <c r="Q264" s="46" t="n">
        <f aca="false">IF($K264="",0,IF(COUNTIF('Gap Sheet'!$A$6:$A$11,TRIM($J264))=0,0,IF($O264="R1",INDEX('Gap Sheet'!$C$6:$C$11,MATCH(TRIM($J264),'Gap Sheet'!$A$6:$A$11,0)),INDEX('Gap Sheet'!$G$6:$G$11,MATCH(TRIM($J264),'Gap Sheet'!$A$6:$A$11,0)))))</f>
        <v>0</v>
      </c>
      <c r="R264" s="46" t="str">
        <f aca="false">IF($K264="","",$K264&amp;"|"&amp;$O264)</f>
        <v/>
      </c>
      <c r="S264" s="46" t="n">
        <f aca="false">IF($R264="",0,COUNTIF($AA$4:$AA263,$R264))</f>
        <v>0</v>
      </c>
      <c r="T264" s="46" t="str">
        <f aca="false">IF(OR($I264&lt;&gt;"Yes, I'm available for in-person interviews at Chennai",$E264&lt;&gt;"Yes",$P264&lt;&gt;"Yes"),"No",IF(($Q264-$S264)&gt;0,"Yes","No"))</f>
        <v>No</v>
      </c>
      <c r="U264" s="46" t="str">
        <f aca="false">IF($M264="","No",IF(COUNTIFS(MasterPanel!$B:$B,$H264,MasterPanel!$I:$I,$M264,MasterPanel!$K:$K,"Y")&gt;0,"Yes","No"))</f>
        <v>No</v>
      </c>
      <c r="V264" s="46" t="n">
        <f aca="false">IF($M264="",0,IF(COUNTIF('Gap Sheet'!$A$6:$A$11,TRIM($L264))=0,0,IF($O264="R1",INDEX('Gap Sheet'!$C$6:$C$11,MATCH(TRIM($L264),'Gap Sheet'!$A$6:$A$11,0)),INDEX('Gap Sheet'!$G$6:$G$11,MATCH(TRIM($L264),'Gap Sheet'!$A$6:$A$11,0)))))</f>
        <v>0</v>
      </c>
      <c r="W264" s="46" t="str">
        <f aca="false">IF($M264="","",$M264&amp;"|"&amp;$O264)</f>
        <v/>
      </c>
      <c r="X264" s="46" t="n">
        <f aca="false">IF($W264="",0,COUNTIF($AA$4:$AA263,$W264))</f>
        <v>0</v>
      </c>
      <c r="Y264" s="46" t="str">
        <f aca="false">IF(OR($I264&lt;&gt;"Yes, I'm available for in-person interviews at Chennai",$E264&lt;&gt;"Yes",$T264="Yes",$U264&lt;&gt;"Yes"),"No",IF(($V264-$X264)&gt;0,"Yes","No"))</f>
        <v>No</v>
      </c>
      <c r="Z264" s="46" t="str">
        <f aca="false">IF($T264="Yes","Primary",IF($Y264="Yes","Secondary",""))</f>
        <v/>
      </c>
      <c r="AA264" s="46" t="str">
        <f aca="false">IF($Z264="Primary",$R264,IF($Z264="Secondary",$W264,""))</f>
        <v/>
      </c>
      <c r="AB264" s="46" t="str">
        <f aca="false">IF($Z264="Primary","Matched on primary skill",IF($Z264="Secondary","Matched on secondary skill (primary not approved or not required)",""))</f>
        <v/>
      </c>
      <c r="AC264" s="47" t="str">
        <f aca="false">IF($D264="Panel Details",$F264,"")</f>
        <v/>
      </c>
      <c r="AD264" s="46" t="str">
        <f aca="false">IF($D264="Panel Details",'Survey Response'!$D262,"")</f>
        <v/>
      </c>
      <c r="AE264" s="46" t="str">
        <f aca="false">IF($D264="Panel Details",'Survey Response'!$E262,"")</f>
        <v/>
      </c>
      <c r="AF264" s="46" t="str">
        <f aca="false">IF($D264="Panel Details",'Survey Response'!$G262,"")</f>
        <v/>
      </c>
      <c r="AG264" s="46" t="str">
        <f aca="false">IF($D264="Panel Details",IF($Z264="Primary",$J264,$L264),"")</f>
        <v/>
      </c>
      <c r="AH264" s="46" t="str">
        <f aca="false">IF($D264="Panel Details",IF($Z264="Primary",$L264,$J264),"")</f>
        <v/>
      </c>
      <c r="AI264" s="46" t="str">
        <f aca="false">IF($D264="Panel Details",'Survey Response'!$H262,"")</f>
        <v/>
      </c>
      <c r="AJ264" s="46" t="str">
        <f aca="false">IF($D264="Panel Details",'Survey Response'!$M262,"")</f>
        <v/>
      </c>
      <c r="AK264" s="46" t="str">
        <f aca="false">IF($D264="Panel Details",$O264,"")</f>
        <v/>
      </c>
      <c r="AL264" s="46" t="str">
        <f aca="false">IF($D264="Panel Details",8,"")</f>
        <v/>
      </c>
      <c r="AM264" s="46" t="str">
        <f aca="false">IF($D264="Panel Details",$AB264,"")</f>
        <v/>
      </c>
      <c r="AN264" s="46" t="str">
        <f aca="false">IF($D264="Panel Details","Yes","")</f>
        <v/>
      </c>
      <c r="AO264" s="46"/>
      <c r="AP264" s="46" t="str">
        <f aca="false">IF($D264="Followup",'Survey Response'!$D262,"")</f>
        <v/>
      </c>
      <c r="AQ264" s="46" t="str">
        <f aca="false">IF($D264="Followup",'Survey Response'!$E262,"")</f>
        <v/>
      </c>
      <c r="AR264" s="46" t="str">
        <f aca="false">IF($D264="Followup",'Survey Response'!$G262,"")</f>
        <v/>
      </c>
      <c r="AS264" s="46" t="str">
        <f aca="false">IF($D264="Followup",'Survey Response'!$H262,"")</f>
        <v/>
      </c>
      <c r="AT264" s="46" t="str">
        <f aca="false">IF($D264="Followup",'Survey Response'!$M262,"")</f>
        <v/>
      </c>
      <c r="AU264" s="46" t="str">
        <f aca="false">IF($D264="Followup",'Survey Response'!$K262,"")</f>
        <v/>
      </c>
      <c r="AV264" s="46" t="str">
        <f aca="false">IF($D264="Followup",'Survey Response'!$L262,"")</f>
        <v/>
      </c>
      <c r="AW264" s="46" t="str">
        <f aca="false">IF($D264="Followup",IF(AND($P264&lt;&gt;"Yes",$U264&lt;&gt;"Yes"),"Not approved for primary or secondary skill","Approved, but skill(s) no longer have capacity (fully staffed)"),"")</f>
        <v/>
      </c>
    </row>
    <row r="265" customFormat="false" ht="15" hidden="false" customHeight="true" outlineLevel="0" collapsed="false">
      <c r="A265" s="46" t="str">
        <f aca="false">IF('Survey Response'!$D263="","",'Survey Response'!$A263&amp;"|"&amp;LOWER(TRIM('Survey Response'!$D263)))</f>
        <v/>
      </c>
      <c r="B265" s="46" t="str">
        <f aca="false">IF($H265="","",$F265&amp;"|"&amp;$H265)</f>
        <v/>
      </c>
      <c r="C265" s="46" t="str">
        <f aca="false">IF($H265="","",$A265=$B265)</f>
        <v/>
      </c>
      <c r="D265" s="46" t="str">
        <f aca="false">IF($H265="","",IF($E265&lt;&gt;"Yes","Superseded",IF($I265&lt;&gt;"Yes, I'm available for in-person interviews at Chennai","Not Available",IF($Z265&lt;&gt;"","Panel Details","Followup"))))</f>
        <v/>
      </c>
      <c r="E265" s="46" t="str">
        <f aca="false">IF($H265="","",IF(SUMPRODUCT(($H$4:$H$503=$H265)*(($G$4:$G$503&gt;$G265)+($G$4:$G$503=$G265)*($F$4:$F$503&gt;$F265)))=0,"Yes","No"))</f>
        <v/>
      </c>
      <c r="F265" s="47" t="str">
        <f aca="false">IF('Survey Response'!$D263="","",INT('Survey Response'!$A263))</f>
        <v/>
      </c>
      <c r="G265" s="46" t="str">
        <f aca="false">IF('Survey Response'!$D263="","",'Survey Response'!$C263)</f>
        <v/>
      </c>
      <c r="H265" s="46" t="str">
        <f aca="false">IF('Survey Response'!$D263="","",LOWER(TRIM('Survey Response'!$D263)))</f>
        <v/>
      </c>
      <c r="I265" s="46" t="str">
        <f aca="false">IF($H265="","",'Survey Response'!$I263)</f>
        <v/>
      </c>
      <c r="J265" s="46" t="str">
        <f aca="false">IF($H265="","",'Survey Response'!$K263)</f>
        <v/>
      </c>
      <c r="K265" s="46" t="str">
        <f aca="false">IF($J265="","",IF(COUNTIF('Skill Mapping'!$A$2:$A$7,TRIM($J265))=0,"",INDEX('Skill Mapping'!$B$2:$B$7,MATCH(TRIM($J265),'Skill Mapping'!$A$2:$A$7,0))))</f>
        <v/>
      </c>
      <c r="L265" s="46" t="str">
        <f aca="false">IF($H265="","",'Survey Response'!$L263)</f>
        <v/>
      </c>
      <c r="M265" s="46" t="str">
        <f aca="false">IF($L265="","",IF(COUNTIF('Skill Mapping'!$A$2:$A$7,TRIM($L265))=0,"",INDEX('Skill Mapping'!$B$2:$B$7,MATCH(TRIM($L265),'Skill Mapping'!$A$2:$A$7,0))))</f>
        <v/>
      </c>
      <c r="N265" s="46" t="str">
        <f aca="false">IF($H265="","",'Survey Response'!$M263)</f>
        <v/>
      </c>
      <c r="O265" s="46" t="str">
        <f aca="false">IF($H265="","",IF('Survey Response'!$M263="Manager","R2","R1"))</f>
        <v/>
      </c>
      <c r="P265" s="46" t="str">
        <f aca="false">IF($K265="","No",IF(COUNTIFS(MasterPanel!$B:$B,$H265,MasterPanel!$I:$I,$K265,MasterPanel!$K:$K,"Y")&gt;0,"Yes","No"))</f>
        <v>No</v>
      </c>
      <c r="Q265" s="46" t="n">
        <f aca="false">IF($K265="",0,IF(COUNTIF('Gap Sheet'!$A$6:$A$11,TRIM($J265))=0,0,IF($O265="R1",INDEX('Gap Sheet'!$C$6:$C$11,MATCH(TRIM($J265),'Gap Sheet'!$A$6:$A$11,0)),INDEX('Gap Sheet'!$G$6:$G$11,MATCH(TRIM($J265),'Gap Sheet'!$A$6:$A$11,0)))))</f>
        <v>0</v>
      </c>
      <c r="R265" s="46" t="str">
        <f aca="false">IF($K265="","",$K265&amp;"|"&amp;$O265)</f>
        <v/>
      </c>
      <c r="S265" s="46" t="n">
        <f aca="false">IF($R265="",0,COUNTIF($AA$4:$AA264,$R265))</f>
        <v>0</v>
      </c>
      <c r="T265" s="46" t="str">
        <f aca="false">IF(OR($I265&lt;&gt;"Yes, I'm available for in-person interviews at Chennai",$E265&lt;&gt;"Yes",$P265&lt;&gt;"Yes"),"No",IF(($Q265-$S265)&gt;0,"Yes","No"))</f>
        <v>No</v>
      </c>
      <c r="U265" s="46" t="str">
        <f aca="false">IF($M265="","No",IF(COUNTIFS(MasterPanel!$B:$B,$H265,MasterPanel!$I:$I,$M265,MasterPanel!$K:$K,"Y")&gt;0,"Yes","No"))</f>
        <v>No</v>
      </c>
      <c r="V265" s="46" t="n">
        <f aca="false">IF($M265="",0,IF(COUNTIF('Gap Sheet'!$A$6:$A$11,TRIM($L265))=0,0,IF($O265="R1",INDEX('Gap Sheet'!$C$6:$C$11,MATCH(TRIM($L265),'Gap Sheet'!$A$6:$A$11,0)),INDEX('Gap Sheet'!$G$6:$G$11,MATCH(TRIM($L265),'Gap Sheet'!$A$6:$A$11,0)))))</f>
        <v>0</v>
      </c>
      <c r="W265" s="46" t="str">
        <f aca="false">IF($M265="","",$M265&amp;"|"&amp;$O265)</f>
        <v/>
      </c>
      <c r="X265" s="46" t="n">
        <f aca="false">IF($W265="",0,COUNTIF($AA$4:$AA264,$W265))</f>
        <v>0</v>
      </c>
      <c r="Y265" s="46" t="str">
        <f aca="false">IF(OR($I265&lt;&gt;"Yes, I'm available for in-person interviews at Chennai",$E265&lt;&gt;"Yes",$T265="Yes",$U265&lt;&gt;"Yes"),"No",IF(($V265-$X265)&gt;0,"Yes","No"))</f>
        <v>No</v>
      </c>
      <c r="Z265" s="46" t="str">
        <f aca="false">IF($T265="Yes","Primary",IF($Y265="Yes","Secondary",""))</f>
        <v/>
      </c>
      <c r="AA265" s="46" t="str">
        <f aca="false">IF($Z265="Primary",$R265,IF($Z265="Secondary",$W265,""))</f>
        <v/>
      </c>
      <c r="AB265" s="46" t="str">
        <f aca="false">IF($Z265="Primary","Matched on primary skill",IF($Z265="Secondary","Matched on secondary skill (primary not approved or not required)",""))</f>
        <v/>
      </c>
      <c r="AC265" s="47" t="str">
        <f aca="false">IF($D265="Panel Details",$F265,"")</f>
        <v/>
      </c>
      <c r="AD265" s="46" t="str">
        <f aca="false">IF($D265="Panel Details",'Survey Response'!$D263,"")</f>
        <v/>
      </c>
      <c r="AE265" s="46" t="str">
        <f aca="false">IF($D265="Panel Details",'Survey Response'!$E263,"")</f>
        <v/>
      </c>
      <c r="AF265" s="46" t="str">
        <f aca="false">IF($D265="Panel Details",'Survey Response'!$G263,"")</f>
        <v/>
      </c>
      <c r="AG265" s="46" t="str">
        <f aca="false">IF($D265="Panel Details",IF($Z265="Primary",$J265,$L265),"")</f>
        <v/>
      </c>
      <c r="AH265" s="46" t="str">
        <f aca="false">IF($D265="Panel Details",IF($Z265="Primary",$L265,$J265),"")</f>
        <v/>
      </c>
      <c r="AI265" s="46" t="str">
        <f aca="false">IF($D265="Panel Details",'Survey Response'!$H263,"")</f>
        <v/>
      </c>
      <c r="AJ265" s="46" t="str">
        <f aca="false">IF($D265="Panel Details",'Survey Response'!$M263,"")</f>
        <v/>
      </c>
      <c r="AK265" s="46" t="str">
        <f aca="false">IF($D265="Panel Details",$O265,"")</f>
        <v/>
      </c>
      <c r="AL265" s="46" t="str">
        <f aca="false">IF($D265="Panel Details",8,"")</f>
        <v/>
      </c>
      <c r="AM265" s="46" t="str">
        <f aca="false">IF($D265="Panel Details",$AB265,"")</f>
        <v/>
      </c>
      <c r="AN265" s="46" t="str">
        <f aca="false">IF($D265="Panel Details","Yes","")</f>
        <v/>
      </c>
      <c r="AO265" s="46"/>
      <c r="AP265" s="46" t="str">
        <f aca="false">IF($D265="Followup",'Survey Response'!$D263,"")</f>
        <v/>
      </c>
      <c r="AQ265" s="46" t="str">
        <f aca="false">IF($D265="Followup",'Survey Response'!$E263,"")</f>
        <v/>
      </c>
      <c r="AR265" s="46" t="str">
        <f aca="false">IF($D265="Followup",'Survey Response'!$G263,"")</f>
        <v/>
      </c>
      <c r="AS265" s="46" t="str">
        <f aca="false">IF($D265="Followup",'Survey Response'!$H263,"")</f>
        <v/>
      </c>
      <c r="AT265" s="46" t="str">
        <f aca="false">IF($D265="Followup",'Survey Response'!$M263,"")</f>
        <v/>
      </c>
      <c r="AU265" s="46" t="str">
        <f aca="false">IF($D265="Followup",'Survey Response'!$K263,"")</f>
        <v/>
      </c>
      <c r="AV265" s="46" t="str">
        <f aca="false">IF($D265="Followup",'Survey Response'!$L263,"")</f>
        <v/>
      </c>
      <c r="AW265" s="46" t="str">
        <f aca="false">IF($D265="Followup",IF(AND($P265&lt;&gt;"Yes",$U265&lt;&gt;"Yes"),"Not approved for primary or secondary skill","Approved, but skill(s) no longer have capacity (fully staffed)"),"")</f>
        <v/>
      </c>
    </row>
    <row r="266" customFormat="false" ht="15" hidden="false" customHeight="true" outlineLevel="0" collapsed="false">
      <c r="A266" s="46" t="str">
        <f aca="false">IF('Survey Response'!$D264="","",'Survey Response'!$A264&amp;"|"&amp;LOWER(TRIM('Survey Response'!$D264)))</f>
        <v/>
      </c>
      <c r="B266" s="46" t="str">
        <f aca="false">IF($H266="","",$F266&amp;"|"&amp;$H266)</f>
        <v/>
      </c>
      <c r="C266" s="46" t="str">
        <f aca="false">IF($H266="","",$A266=$B266)</f>
        <v/>
      </c>
      <c r="D266" s="46" t="str">
        <f aca="false">IF($H266="","",IF($E266&lt;&gt;"Yes","Superseded",IF($I266&lt;&gt;"Yes, I'm available for in-person interviews at Chennai","Not Available",IF($Z266&lt;&gt;"","Panel Details","Followup"))))</f>
        <v/>
      </c>
      <c r="E266" s="46" t="str">
        <f aca="false">IF($H266="","",IF(SUMPRODUCT(($H$4:$H$503=$H266)*(($G$4:$G$503&gt;$G266)+($G$4:$G$503=$G266)*($F$4:$F$503&gt;$F266)))=0,"Yes","No"))</f>
        <v/>
      </c>
      <c r="F266" s="47" t="str">
        <f aca="false">IF('Survey Response'!$D264="","",INT('Survey Response'!$A264))</f>
        <v/>
      </c>
      <c r="G266" s="46" t="str">
        <f aca="false">IF('Survey Response'!$D264="","",'Survey Response'!$C264)</f>
        <v/>
      </c>
      <c r="H266" s="46" t="str">
        <f aca="false">IF('Survey Response'!$D264="","",LOWER(TRIM('Survey Response'!$D264)))</f>
        <v/>
      </c>
      <c r="I266" s="46" t="str">
        <f aca="false">IF($H266="","",'Survey Response'!$I264)</f>
        <v/>
      </c>
      <c r="J266" s="46" t="str">
        <f aca="false">IF($H266="","",'Survey Response'!$K264)</f>
        <v/>
      </c>
      <c r="K266" s="46" t="str">
        <f aca="false">IF($J266="","",IF(COUNTIF('Skill Mapping'!$A$2:$A$7,TRIM($J266))=0,"",INDEX('Skill Mapping'!$B$2:$B$7,MATCH(TRIM($J266),'Skill Mapping'!$A$2:$A$7,0))))</f>
        <v/>
      </c>
      <c r="L266" s="46" t="str">
        <f aca="false">IF($H266="","",'Survey Response'!$L264)</f>
        <v/>
      </c>
      <c r="M266" s="46" t="str">
        <f aca="false">IF($L266="","",IF(COUNTIF('Skill Mapping'!$A$2:$A$7,TRIM($L266))=0,"",INDEX('Skill Mapping'!$B$2:$B$7,MATCH(TRIM($L266),'Skill Mapping'!$A$2:$A$7,0))))</f>
        <v/>
      </c>
      <c r="N266" s="46" t="str">
        <f aca="false">IF($H266="","",'Survey Response'!$M264)</f>
        <v/>
      </c>
      <c r="O266" s="46" t="str">
        <f aca="false">IF($H266="","",IF('Survey Response'!$M264="Manager","R2","R1"))</f>
        <v/>
      </c>
      <c r="P266" s="46" t="str">
        <f aca="false">IF($K266="","No",IF(COUNTIFS(MasterPanel!$B:$B,$H266,MasterPanel!$I:$I,$K266,MasterPanel!$K:$K,"Y")&gt;0,"Yes","No"))</f>
        <v>No</v>
      </c>
      <c r="Q266" s="46" t="n">
        <f aca="false">IF($K266="",0,IF(COUNTIF('Gap Sheet'!$A$6:$A$11,TRIM($J266))=0,0,IF($O266="R1",INDEX('Gap Sheet'!$C$6:$C$11,MATCH(TRIM($J266),'Gap Sheet'!$A$6:$A$11,0)),INDEX('Gap Sheet'!$G$6:$G$11,MATCH(TRIM($J266),'Gap Sheet'!$A$6:$A$11,0)))))</f>
        <v>0</v>
      </c>
      <c r="R266" s="46" t="str">
        <f aca="false">IF($K266="","",$K266&amp;"|"&amp;$O266)</f>
        <v/>
      </c>
      <c r="S266" s="46" t="n">
        <f aca="false">IF($R266="",0,COUNTIF($AA$4:$AA265,$R266))</f>
        <v>0</v>
      </c>
      <c r="T266" s="46" t="str">
        <f aca="false">IF(OR($I266&lt;&gt;"Yes, I'm available for in-person interviews at Chennai",$E266&lt;&gt;"Yes",$P266&lt;&gt;"Yes"),"No",IF(($Q266-$S266)&gt;0,"Yes","No"))</f>
        <v>No</v>
      </c>
      <c r="U266" s="46" t="str">
        <f aca="false">IF($M266="","No",IF(COUNTIFS(MasterPanel!$B:$B,$H266,MasterPanel!$I:$I,$M266,MasterPanel!$K:$K,"Y")&gt;0,"Yes","No"))</f>
        <v>No</v>
      </c>
      <c r="V266" s="46" t="n">
        <f aca="false">IF($M266="",0,IF(COUNTIF('Gap Sheet'!$A$6:$A$11,TRIM($L266))=0,0,IF($O266="R1",INDEX('Gap Sheet'!$C$6:$C$11,MATCH(TRIM($L266),'Gap Sheet'!$A$6:$A$11,0)),INDEX('Gap Sheet'!$G$6:$G$11,MATCH(TRIM($L266),'Gap Sheet'!$A$6:$A$11,0)))))</f>
        <v>0</v>
      </c>
      <c r="W266" s="46" t="str">
        <f aca="false">IF($M266="","",$M266&amp;"|"&amp;$O266)</f>
        <v/>
      </c>
      <c r="X266" s="46" t="n">
        <f aca="false">IF($W266="",0,COUNTIF($AA$4:$AA265,$W266))</f>
        <v>0</v>
      </c>
      <c r="Y266" s="46" t="str">
        <f aca="false">IF(OR($I266&lt;&gt;"Yes, I'm available for in-person interviews at Chennai",$E266&lt;&gt;"Yes",$T266="Yes",$U266&lt;&gt;"Yes"),"No",IF(($V266-$X266)&gt;0,"Yes","No"))</f>
        <v>No</v>
      </c>
      <c r="Z266" s="46" t="str">
        <f aca="false">IF($T266="Yes","Primary",IF($Y266="Yes","Secondary",""))</f>
        <v/>
      </c>
      <c r="AA266" s="46" t="str">
        <f aca="false">IF($Z266="Primary",$R266,IF($Z266="Secondary",$W266,""))</f>
        <v/>
      </c>
      <c r="AB266" s="46" t="str">
        <f aca="false">IF($Z266="Primary","Matched on primary skill",IF($Z266="Secondary","Matched on secondary skill (primary not approved or not required)",""))</f>
        <v/>
      </c>
      <c r="AC266" s="47" t="str">
        <f aca="false">IF($D266="Panel Details",$F266,"")</f>
        <v/>
      </c>
      <c r="AD266" s="46" t="str">
        <f aca="false">IF($D266="Panel Details",'Survey Response'!$D264,"")</f>
        <v/>
      </c>
      <c r="AE266" s="46" t="str">
        <f aca="false">IF($D266="Panel Details",'Survey Response'!$E264,"")</f>
        <v/>
      </c>
      <c r="AF266" s="46" t="str">
        <f aca="false">IF($D266="Panel Details",'Survey Response'!$G264,"")</f>
        <v/>
      </c>
      <c r="AG266" s="46" t="str">
        <f aca="false">IF($D266="Panel Details",IF($Z266="Primary",$J266,$L266),"")</f>
        <v/>
      </c>
      <c r="AH266" s="46" t="str">
        <f aca="false">IF($D266="Panel Details",IF($Z266="Primary",$L266,$J266),"")</f>
        <v/>
      </c>
      <c r="AI266" s="46" t="str">
        <f aca="false">IF($D266="Panel Details",'Survey Response'!$H264,"")</f>
        <v/>
      </c>
      <c r="AJ266" s="46" t="str">
        <f aca="false">IF($D266="Panel Details",'Survey Response'!$M264,"")</f>
        <v/>
      </c>
      <c r="AK266" s="46" t="str">
        <f aca="false">IF($D266="Panel Details",$O266,"")</f>
        <v/>
      </c>
      <c r="AL266" s="46" t="str">
        <f aca="false">IF($D266="Panel Details",8,"")</f>
        <v/>
      </c>
      <c r="AM266" s="46" t="str">
        <f aca="false">IF($D266="Panel Details",$AB266,"")</f>
        <v/>
      </c>
      <c r="AN266" s="46" t="str">
        <f aca="false">IF($D266="Panel Details","Yes","")</f>
        <v/>
      </c>
      <c r="AO266" s="46"/>
      <c r="AP266" s="46" t="str">
        <f aca="false">IF($D266="Followup",'Survey Response'!$D264,"")</f>
        <v/>
      </c>
      <c r="AQ266" s="46" t="str">
        <f aca="false">IF($D266="Followup",'Survey Response'!$E264,"")</f>
        <v/>
      </c>
      <c r="AR266" s="46" t="str">
        <f aca="false">IF($D266="Followup",'Survey Response'!$G264,"")</f>
        <v/>
      </c>
      <c r="AS266" s="46" t="str">
        <f aca="false">IF($D266="Followup",'Survey Response'!$H264,"")</f>
        <v/>
      </c>
      <c r="AT266" s="46" t="str">
        <f aca="false">IF($D266="Followup",'Survey Response'!$M264,"")</f>
        <v/>
      </c>
      <c r="AU266" s="46" t="str">
        <f aca="false">IF($D266="Followup",'Survey Response'!$K264,"")</f>
        <v/>
      </c>
      <c r="AV266" s="46" t="str">
        <f aca="false">IF($D266="Followup",'Survey Response'!$L264,"")</f>
        <v/>
      </c>
      <c r="AW266" s="46" t="str">
        <f aca="false">IF($D266="Followup",IF(AND($P266&lt;&gt;"Yes",$U266&lt;&gt;"Yes"),"Not approved for primary or secondary skill","Approved, but skill(s) no longer have capacity (fully staffed)"),"")</f>
        <v/>
      </c>
    </row>
    <row r="267" customFormat="false" ht="15" hidden="false" customHeight="true" outlineLevel="0" collapsed="false">
      <c r="A267" s="46" t="str">
        <f aca="false">IF('Survey Response'!$D265="","",'Survey Response'!$A265&amp;"|"&amp;LOWER(TRIM('Survey Response'!$D265)))</f>
        <v/>
      </c>
      <c r="B267" s="46" t="str">
        <f aca="false">IF($H267="","",$F267&amp;"|"&amp;$H267)</f>
        <v/>
      </c>
      <c r="C267" s="46" t="str">
        <f aca="false">IF($H267="","",$A267=$B267)</f>
        <v/>
      </c>
      <c r="D267" s="46" t="str">
        <f aca="false">IF($H267="","",IF($E267&lt;&gt;"Yes","Superseded",IF($I267&lt;&gt;"Yes, I'm available for in-person interviews at Chennai","Not Available",IF($Z267&lt;&gt;"","Panel Details","Followup"))))</f>
        <v/>
      </c>
      <c r="E267" s="46" t="str">
        <f aca="false">IF($H267="","",IF(SUMPRODUCT(($H$4:$H$503=$H267)*(($G$4:$G$503&gt;$G267)+($G$4:$G$503=$G267)*($F$4:$F$503&gt;$F267)))=0,"Yes","No"))</f>
        <v/>
      </c>
      <c r="F267" s="47" t="str">
        <f aca="false">IF('Survey Response'!$D265="","",INT('Survey Response'!$A265))</f>
        <v/>
      </c>
      <c r="G267" s="46" t="str">
        <f aca="false">IF('Survey Response'!$D265="","",'Survey Response'!$C265)</f>
        <v/>
      </c>
      <c r="H267" s="46" t="str">
        <f aca="false">IF('Survey Response'!$D265="","",LOWER(TRIM('Survey Response'!$D265)))</f>
        <v/>
      </c>
      <c r="I267" s="46" t="str">
        <f aca="false">IF($H267="","",'Survey Response'!$I265)</f>
        <v/>
      </c>
      <c r="J267" s="46" t="str">
        <f aca="false">IF($H267="","",'Survey Response'!$K265)</f>
        <v/>
      </c>
      <c r="K267" s="46" t="str">
        <f aca="false">IF($J267="","",IF(COUNTIF('Skill Mapping'!$A$2:$A$7,TRIM($J267))=0,"",INDEX('Skill Mapping'!$B$2:$B$7,MATCH(TRIM($J267),'Skill Mapping'!$A$2:$A$7,0))))</f>
        <v/>
      </c>
      <c r="L267" s="46" t="str">
        <f aca="false">IF($H267="","",'Survey Response'!$L265)</f>
        <v/>
      </c>
      <c r="M267" s="46" t="str">
        <f aca="false">IF($L267="","",IF(COUNTIF('Skill Mapping'!$A$2:$A$7,TRIM($L267))=0,"",INDEX('Skill Mapping'!$B$2:$B$7,MATCH(TRIM($L267),'Skill Mapping'!$A$2:$A$7,0))))</f>
        <v/>
      </c>
      <c r="N267" s="46" t="str">
        <f aca="false">IF($H267="","",'Survey Response'!$M265)</f>
        <v/>
      </c>
      <c r="O267" s="46" t="str">
        <f aca="false">IF($H267="","",IF('Survey Response'!$M265="Manager","R2","R1"))</f>
        <v/>
      </c>
      <c r="P267" s="46" t="str">
        <f aca="false">IF($K267="","No",IF(COUNTIFS(MasterPanel!$B:$B,$H267,MasterPanel!$I:$I,$K267,MasterPanel!$K:$K,"Y")&gt;0,"Yes","No"))</f>
        <v>No</v>
      </c>
      <c r="Q267" s="46" t="n">
        <f aca="false">IF($K267="",0,IF(COUNTIF('Gap Sheet'!$A$6:$A$11,TRIM($J267))=0,0,IF($O267="R1",INDEX('Gap Sheet'!$C$6:$C$11,MATCH(TRIM($J267),'Gap Sheet'!$A$6:$A$11,0)),INDEX('Gap Sheet'!$G$6:$G$11,MATCH(TRIM($J267),'Gap Sheet'!$A$6:$A$11,0)))))</f>
        <v>0</v>
      </c>
      <c r="R267" s="46" t="str">
        <f aca="false">IF($K267="","",$K267&amp;"|"&amp;$O267)</f>
        <v/>
      </c>
      <c r="S267" s="46" t="n">
        <f aca="false">IF($R267="",0,COUNTIF($AA$4:$AA266,$R267))</f>
        <v>0</v>
      </c>
      <c r="T267" s="46" t="str">
        <f aca="false">IF(OR($I267&lt;&gt;"Yes, I'm available for in-person interviews at Chennai",$E267&lt;&gt;"Yes",$P267&lt;&gt;"Yes"),"No",IF(($Q267-$S267)&gt;0,"Yes","No"))</f>
        <v>No</v>
      </c>
      <c r="U267" s="46" t="str">
        <f aca="false">IF($M267="","No",IF(COUNTIFS(MasterPanel!$B:$B,$H267,MasterPanel!$I:$I,$M267,MasterPanel!$K:$K,"Y")&gt;0,"Yes","No"))</f>
        <v>No</v>
      </c>
      <c r="V267" s="46" t="n">
        <f aca="false">IF($M267="",0,IF(COUNTIF('Gap Sheet'!$A$6:$A$11,TRIM($L267))=0,0,IF($O267="R1",INDEX('Gap Sheet'!$C$6:$C$11,MATCH(TRIM($L267),'Gap Sheet'!$A$6:$A$11,0)),INDEX('Gap Sheet'!$G$6:$G$11,MATCH(TRIM($L267),'Gap Sheet'!$A$6:$A$11,0)))))</f>
        <v>0</v>
      </c>
      <c r="W267" s="46" t="str">
        <f aca="false">IF($M267="","",$M267&amp;"|"&amp;$O267)</f>
        <v/>
      </c>
      <c r="X267" s="46" t="n">
        <f aca="false">IF($W267="",0,COUNTIF($AA$4:$AA266,$W267))</f>
        <v>0</v>
      </c>
      <c r="Y267" s="46" t="str">
        <f aca="false">IF(OR($I267&lt;&gt;"Yes, I'm available for in-person interviews at Chennai",$E267&lt;&gt;"Yes",$T267="Yes",$U267&lt;&gt;"Yes"),"No",IF(($V267-$X267)&gt;0,"Yes","No"))</f>
        <v>No</v>
      </c>
      <c r="Z267" s="46" t="str">
        <f aca="false">IF($T267="Yes","Primary",IF($Y267="Yes","Secondary",""))</f>
        <v/>
      </c>
      <c r="AA267" s="46" t="str">
        <f aca="false">IF($Z267="Primary",$R267,IF($Z267="Secondary",$W267,""))</f>
        <v/>
      </c>
      <c r="AB267" s="46" t="str">
        <f aca="false">IF($Z267="Primary","Matched on primary skill",IF($Z267="Secondary","Matched on secondary skill (primary not approved or not required)",""))</f>
        <v/>
      </c>
      <c r="AC267" s="47" t="str">
        <f aca="false">IF($D267="Panel Details",$F267,"")</f>
        <v/>
      </c>
      <c r="AD267" s="46" t="str">
        <f aca="false">IF($D267="Panel Details",'Survey Response'!$D265,"")</f>
        <v/>
      </c>
      <c r="AE267" s="46" t="str">
        <f aca="false">IF($D267="Panel Details",'Survey Response'!$E265,"")</f>
        <v/>
      </c>
      <c r="AF267" s="46" t="str">
        <f aca="false">IF($D267="Panel Details",'Survey Response'!$G265,"")</f>
        <v/>
      </c>
      <c r="AG267" s="46" t="str">
        <f aca="false">IF($D267="Panel Details",IF($Z267="Primary",$J267,$L267),"")</f>
        <v/>
      </c>
      <c r="AH267" s="46" t="str">
        <f aca="false">IF($D267="Panel Details",IF($Z267="Primary",$L267,$J267),"")</f>
        <v/>
      </c>
      <c r="AI267" s="46" t="str">
        <f aca="false">IF($D267="Panel Details",'Survey Response'!$H265,"")</f>
        <v/>
      </c>
      <c r="AJ267" s="46" t="str">
        <f aca="false">IF($D267="Panel Details",'Survey Response'!$M265,"")</f>
        <v/>
      </c>
      <c r="AK267" s="46" t="str">
        <f aca="false">IF($D267="Panel Details",$O267,"")</f>
        <v/>
      </c>
      <c r="AL267" s="46" t="str">
        <f aca="false">IF($D267="Panel Details",8,"")</f>
        <v/>
      </c>
      <c r="AM267" s="46" t="str">
        <f aca="false">IF($D267="Panel Details",$AB267,"")</f>
        <v/>
      </c>
      <c r="AN267" s="46" t="str">
        <f aca="false">IF($D267="Panel Details","Yes","")</f>
        <v/>
      </c>
      <c r="AO267" s="46"/>
      <c r="AP267" s="46" t="str">
        <f aca="false">IF($D267="Followup",'Survey Response'!$D265,"")</f>
        <v/>
      </c>
      <c r="AQ267" s="46" t="str">
        <f aca="false">IF($D267="Followup",'Survey Response'!$E265,"")</f>
        <v/>
      </c>
      <c r="AR267" s="46" t="str">
        <f aca="false">IF($D267="Followup",'Survey Response'!$G265,"")</f>
        <v/>
      </c>
      <c r="AS267" s="46" t="str">
        <f aca="false">IF($D267="Followup",'Survey Response'!$H265,"")</f>
        <v/>
      </c>
      <c r="AT267" s="46" t="str">
        <f aca="false">IF($D267="Followup",'Survey Response'!$M265,"")</f>
        <v/>
      </c>
      <c r="AU267" s="46" t="str">
        <f aca="false">IF($D267="Followup",'Survey Response'!$K265,"")</f>
        <v/>
      </c>
      <c r="AV267" s="46" t="str">
        <f aca="false">IF($D267="Followup",'Survey Response'!$L265,"")</f>
        <v/>
      </c>
      <c r="AW267" s="46" t="str">
        <f aca="false">IF($D267="Followup",IF(AND($P267&lt;&gt;"Yes",$U267&lt;&gt;"Yes"),"Not approved for primary or secondary skill","Approved, but skill(s) no longer have capacity (fully staffed)"),"")</f>
        <v/>
      </c>
    </row>
    <row r="268" customFormat="false" ht="15" hidden="false" customHeight="true" outlineLevel="0" collapsed="false">
      <c r="A268" s="46" t="str">
        <f aca="false">IF('Survey Response'!$D266="","",'Survey Response'!$A266&amp;"|"&amp;LOWER(TRIM('Survey Response'!$D266)))</f>
        <v/>
      </c>
      <c r="B268" s="46" t="str">
        <f aca="false">IF($H268="","",$F268&amp;"|"&amp;$H268)</f>
        <v/>
      </c>
      <c r="C268" s="46" t="str">
        <f aca="false">IF($H268="","",$A268=$B268)</f>
        <v/>
      </c>
      <c r="D268" s="46" t="str">
        <f aca="false">IF($H268="","",IF($E268&lt;&gt;"Yes","Superseded",IF($I268&lt;&gt;"Yes, I'm available for in-person interviews at Chennai","Not Available",IF($Z268&lt;&gt;"","Panel Details","Followup"))))</f>
        <v/>
      </c>
      <c r="E268" s="46" t="str">
        <f aca="false">IF($H268="","",IF(SUMPRODUCT(($H$4:$H$503=$H268)*(($G$4:$G$503&gt;$G268)+($G$4:$G$503=$G268)*($F$4:$F$503&gt;$F268)))=0,"Yes","No"))</f>
        <v/>
      </c>
      <c r="F268" s="47" t="str">
        <f aca="false">IF('Survey Response'!$D266="","",INT('Survey Response'!$A266))</f>
        <v/>
      </c>
      <c r="G268" s="46" t="str">
        <f aca="false">IF('Survey Response'!$D266="","",'Survey Response'!$C266)</f>
        <v/>
      </c>
      <c r="H268" s="46" t="str">
        <f aca="false">IF('Survey Response'!$D266="","",LOWER(TRIM('Survey Response'!$D266)))</f>
        <v/>
      </c>
      <c r="I268" s="46" t="str">
        <f aca="false">IF($H268="","",'Survey Response'!$I266)</f>
        <v/>
      </c>
      <c r="J268" s="46" t="str">
        <f aca="false">IF($H268="","",'Survey Response'!$K266)</f>
        <v/>
      </c>
      <c r="K268" s="46" t="str">
        <f aca="false">IF($J268="","",IF(COUNTIF('Skill Mapping'!$A$2:$A$7,TRIM($J268))=0,"",INDEX('Skill Mapping'!$B$2:$B$7,MATCH(TRIM($J268),'Skill Mapping'!$A$2:$A$7,0))))</f>
        <v/>
      </c>
      <c r="L268" s="46" t="str">
        <f aca="false">IF($H268="","",'Survey Response'!$L266)</f>
        <v/>
      </c>
      <c r="M268" s="46" t="str">
        <f aca="false">IF($L268="","",IF(COUNTIF('Skill Mapping'!$A$2:$A$7,TRIM($L268))=0,"",INDEX('Skill Mapping'!$B$2:$B$7,MATCH(TRIM($L268),'Skill Mapping'!$A$2:$A$7,0))))</f>
        <v/>
      </c>
      <c r="N268" s="46" t="str">
        <f aca="false">IF($H268="","",'Survey Response'!$M266)</f>
        <v/>
      </c>
      <c r="O268" s="46" t="str">
        <f aca="false">IF($H268="","",IF('Survey Response'!$M266="Manager","R2","R1"))</f>
        <v/>
      </c>
      <c r="P268" s="46" t="str">
        <f aca="false">IF($K268="","No",IF(COUNTIFS(MasterPanel!$B:$B,$H268,MasterPanel!$I:$I,$K268,MasterPanel!$K:$K,"Y")&gt;0,"Yes","No"))</f>
        <v>No</v>
      </c>
      <c r="Q268" s="46" t="n">
        <f aca="false">IF($K268="",0,IF(COUNTIF('Gap Sheet'!$A$6:$A$11,TRIM($J268))=0,0,IF($O268="R1",INDEX('Gap Sheet'!$C$6:$C$11,MATCH(TRIM($J268),'Gap Sheet'!$A$6:$A$11,0)),INDEX('Gap Sheet'!$G$6:$G$11,MATCH(TRIM($J268),'Gap Sheet'!$A$6:$A$11,0)))))</f>
        <v>0</v>
      </c>
      <c r="R268" s="46" t="str">
        <f aca="false">IF($K268="","",$K268&amp;"|"&amp;$O268)</f>
        <v/>
      </c>
      <c r="S268" s="46" t="n">
        <f aca="false">IF($R268="",0,COUNTIF($AA$4:$AA267,$R268))</f>
        <v>0</v>
      </c>
      <c r="T268" s="46" t="str">
        <f aca="false">IF(OR($I268&lt;&gt;"Yes, I'm available for in-person interviews at Chennai",$E268&lt;&gt;"Yes",$P268&lt;&gt;"Yes"),"No",IF(($Q268-$S268)&gt;0,"Yes","No"))</f>
        <v>No</v>
      </c>
      <c r="U268" s="46" t="str">
        <f aca="false">IF($M268="","No",IF(COUNTIFS(MasterPanel!$B:$B,$H268,MasterPanel!$I:$I,$M268,MasterPanel!$K:$K,"Y")&gt;0,"Yes","No"))</f>
        <v>No</v>
      </c>
      <c r="V268" s="46" t="n">
        <f aca="false">IF($M268="",0,IF(COUNTIF('Gap Sheet'!$A$6:$A$11,TRIM($L268))=0,0,IF($O268="R1",INDEX('Gap Sheet'!$C$6:$C$11,MATCH(TRIM($L268),'Gap Sheet'!$A$6:$A$11,0)),INDEX('Gap Sheet'!$G$6:$G$11,MATCH(TRIM($L268),'Gap Sheet'!$A$6:$A$11,0)))))</f>
        <v>0</v>
      </c>
      <c r="W268" s="46" t="str">
        <f aca="false">IF($M268="","",$M268&amp;"|"&amp;$O268)</f>
        <v/>
      </c>
      <c r="X268" s="46" t="n">
        <f aca="false">IF($W268="",0,COUNTIF($AA$4:$AA267,$W268))</f>
        <v>0</v>
      </c>
      <c r="Y268" s="46" t="str">
        <f aca="false">IF(OR($I268&lt;&gt;"Yes, I'm available for in-person interviews at Chennai",$E268&lt;&gt;"Yes",$T268="Yes",$U268&lt;&gt;"Yes"),"No",IF(($V268-$X268)&gt;0,"Yes","No"))</f>
        <v>No</v>
      </c>
      <c r="Z268" s="46" t="str">
        <f aca="false">IF($T268="Yes","Primary",IF($Y268="Yes","Secondary",""))</f>
        <v/>
      </c>
      <c r="AA268" s="46" t="str">
        <f aca="false">IF($Z268="Primary",$R268,IF($Z268="Secondary",$W268,""))</f>
        <v/>
      </c>
      <c r="AB268" s="46" t="str">
        <f aca="false">IF($Z268="Primary","Matched on primary skill",IF($Z268="Secondary","Matched on secondary skill (primary not approved or not required)",""))</f>
        <v/>
      </c>
      <c r="AC268" s="47" t="str">
        <f aca="false">IF($D268="Panel Details",$F268,"")</f>
        <v/>
      </c>
      <c r="AD268" s="46" t="str">
        <f aca="false">IF($D268="Panel Details",'Survey Response'!$D266,"")</f>
        <v/>
      </c>
      <c r="AE268" s="46" t="str">
        <f aca="false">IF($D268="Panel Details",'Survey Response'!$E266,"")</f>
        <v/>
      </c>
      <c r="AF268" s="46" t="str">
        <f aca="false">IF($D268="Panel Details",'Survey Response'!$G266,"")</f>
        <v/>
      </c>
      <c r="AG268" s="46" t="str">
        <f aca="false">IF($D268="Panel Details",IF($Z268="Primary",$J268,$L268),"")</f>
        <v/>
      </c>
      <c r="AH268" s="46" t="str">
        <f aca="false">IF($D268="Panel Details",IF($Z268="Primary",$L268,$J268),"")</f>
        <v/>
      </c>
      <c r="AI268" s="46" t="str">
        <f aca="false">IF($D268="Panel Details",'Survey Response'!$H266,"")</f>
        <v/>
      </c>
      <c r="AJ268" s="46" t="str">
        <f aca="false">IF($D268="Panel Details",'Survey Response'!$M266,"")</f>
        <v/>
      </c>
      <c r="AK268" s="46" t="str">
        <f aca="false">IF($D268="Panel Details",$O268,"")</f>
        <v/>
      </c>
      <c r="AL268" s="46" t="str">
        <f aca="false">IF($D268="Panel Details",8,"")</f>
        <v/>
      </c>
      <c r="AM268" s="46" t="str">
        <f aca="false">IF($D268="Panel Details",$AB268,"")</f>
        <v/>
      </c>
      <c r="AN268" s="46" t="str">
        <f aca="false">IF($D268="Panel Details","Yes","")</f>
        <v/>
      </c>
      <c r="AO268" s="46"/>
      <c r="AP268" s="46" t="str">
        <f aca="false">IF($D268="Followup",'Survey Response'!$D266,"")</f>
        <v/>
      </c>
      <c r="AQ268" s="46" t="str">
        <f aca="false">IF($D268="Followup",'Survey Response'!$E266,"")</f>
        <v/>
      </c>
      <c r="AR268" s="46" t="str">
        <f aca="false">IF($D268="Followup",'Survey Response'!$G266,"")</f>
        <v/>
      </c>
      <c r="AS268" s="46" t="str">
        <f aca="false">IF($D268="Followup",'Survey Response'!$H266,"")</f>
        <v/>
      </c>
      <c r="AT268" s="46" t="str">
        <f aca="false">IF($D268="Followup",'Survey Response'!$M266,"")</f>
        <v/>
      </c>
      <c r="AU268" s="46" t="str">
        <f aca="false">IF($D268="Followup",'Survey Response'!$K266,"")</f>
        <v/>
      </c>
      <c r="AV268" s="46" t="str">
        <f aca="false">IF($D268="Followup",'Survey Response'!$L266,"")</f>
        <v/>
      </c>
      <c r="AW268" s="46" t="str">
        <f aca="false">IF($D268="Followup",IF(AND($P268&lt;&gt;"Yes",$U268&lt;&gt;"Yes"),"Not approved for primary or secondary skill","Approved, but skill(s) no longer have capacity (fully staffed)"),"")</f>
        <v/>
      </c>
    </row>
    <row r="269" customFormat="false" ht="15" hidden="false" customHeight="true" outlineLevel="0" collapsed="false">
      <c r="A269" s="46" t="str">
        <f aca="false">IF('Survey Response'!$D267="","",'Survey Response'!$A267&amp;"|"&amp;LOWER(TRIM('Survey Response'!$D267)))</f>
        <v/>
      </c>
      <c r="B269" s="46" t="str">
        <f aca="false">IF($H269="","",$F269&amp;"|"&amp;$H269)</f>
        <v/>
      </c>
      <c r="C269" s="46" t="str">
        <f aca="false">IF($H269="","",$A269=$B269)</f>
        <v/>
      </c>
      <c r="D269" s="46" t="str">
        <f aca="false">IF($H269="","",IF($E269&lt;&gt;"Yes","Superseded",IF($I269&lt;&gt;"Yes, I'm available for in-person interviews at Chennai","Not Available",IF($Z269&lt;&gt;"","Panel Details","Followup"))))</f>
        <v/>
      </c>
      <c r="E269" s="46" t="str">
        <f aca="false">IF($H269="","",IF(SUMPRODUCT(($H$4:$H$503=$H269)*(($G$4:$G$503&gt;$G269)+($G$4:$G$503=$G269)*($F$4:$F$503&gt;$F269)))=0,"Yes","No"))</f>
        <v/>
      </c>
      <c r="F269" s="47" t="str">
        <f aca="false">IF('Survey Response'!$D267="","",INT('Survey Response'!$A267))</f>
        <v/>
      </c>
      <c r="G269" s="46" t="str">
        <f aca="false">IF('Survey Response'!$D267="","",'Survey Response'!$C267)</f>
        <v/>
      </c>
      <c r="H269" s="46" t="str">
        <f aca="false">IF('Survey Response'!$D267="","",LOWER(TRIM('Survey Response'!$D267)))</f>
        <v/>
      </c>
      <c r="I269" s="46" t="str">
        <f aca="false">IF($H269="","",'Survey Response'!$I267)</f>
        <v/>
      </c>
      <c r="J269" s="46" t="str">
        <f aca="false">IF($H269="","",'Survey Response'!$K267)</f>
        <v/>
      </c>
      <c r="K269" s="46" t="str">
        <f aca="false">IF($J269="","",IF(COUNTIF('Skill Mapping'!$A$2:$A$7,TRIM($J269))=0,"",INDEX('Skill Mapping'!$B$2:$B$7,MATCH(TRIM($J269),'Skill Mapping'!$A$2:$A$7,0))))</f>
        <v/>
      </c>
      <c r="L269" s="46" t="str">
        <f aca="false">IF($H269="","",'Survey Response'!$L267)</f>
        <v/>
      </c>
      <c r="M269" s="46" t="str">
        <f aca="false">IF($L269="","",IF(COUNTIF('Skill Mapping'!$A$2:$A$7,TRIM($L269))=0,"",INDEX('Skill Mapping'!$B$2:$B$7,MATCH(TRIM($L269),'Skill Mapping'!$A$2:$A$7,0))))</f>
        <v/>
      </c>
      <c r="N269" s="46" t="str">
        <f aca="false">IF($H269="","",'Survey Response'!$M267)</f>
        <v/>
      </c>
      <c r="O269" s="46" t="str">
        <f aca="false">IF($H269="","",IF('Survey Response'!$M267="Manager","R2","R1"))</f>
        <v/>
      </c>
      <c r="P269" s="46" t="str">
        <f aca="false">IF($K269="","No",IF(COUNTIFS(MasterPanel!$B:$B,$H269,MasterPanel!$I:$I,$K269,MasterPanel!$K:$K,"Y")&gt;0,"Yes","No"))</f>
        <v>No</v>
      </c>
      <c r="Q269" s="46" t="n">
        <f aca="false">IF($K269="",0,IF(COUNTIF('Gap Sheet'!$A$6:$A$11,TRIM($J269))=0,0,IF($O269="R1",INDEX('Gap Sheet'!$C$6:$C$11,MATCH(TRIM($J269),'Gap Sheet'!$A$6:$A$11,0)),INDEX('Gap Sheet'!$G$6:$G$11,MATCH(TRIM($J269),'Gap Sheet'!$A$6:$A$11,0)))))</f>
        <v>0</v>
      </c>
      <c r="R269" s="46" t="str">
        <f aca="false">IF($K269="","",$K269&amp;"|"&amp;$O269)</f>
        <v/>
      </c>
      <c r="S269" s="46" t="n">
        <f aca="false">IF($R269="",0,COUNTIF($AA$4:$AA268,$R269))</f>
        <v>0</v>
      </c>
      <c r="T269" s="46" t="str">
        <f aca="false">IF(OR($I269&lt;&gt;"Yes, I'm available for in-person interviews at Chennai",$E269&lt;&gt;"Yes",$P269&lt;&gt;"Yes"),"No",IF(($Q269-$S269)&gt;0,"Yes","No"))</f>
        <v>No</v>
      </c>
      <c r="U269" s="46" t="str">
        <f aca="false">IF($M269="","No",IF(COUNTIFS(MasterPanel!$B:$B,$H269,MasterPanel!$I:$I,$M269,MasterPanel!$K:$K,"Y")&gt;0,"Yes","No"))</f>
        <v>No</v>
      </c>
      <c r="V269" s="46" t="n">
        <f aca="false">IF($M269="",0,IF(COUNTIF('Gap Sheet'!$A$6:$A$11,TRIM($L269))=0,0,IF($O269="R1",INDEX('Gap Sheet'!$C$6:$C$11,MATCH(TRIM($L269),'Gap Sheet'!$A$6:$A$11,0)),INDEX('Gap Sheet'!$G$6:$G$11,MATCH(TRIM($L269),'Gap Sheet'!$A$6:$A$11,0)))))</f>
        <v>0</v>
      </c>
      <c r="W269" s="46" t="str">
        <f aca="false">IF($M269="","",$M269&amp;"|"&amp;$O269)</f>
        <v/>
      </c>
      <c r="X269" s="46" t="n">
        <f aca="false">IF($W269="",0,COUNTIF($AA$4:$AA268,$W269))</f>
        <v>0</v>
      </c>
      <c r="Y269" s="46" t="str">
        <f aca="false">IF(OR($I269&lt;&gt;"Yes, I'm available for in-person interviews at Chennai",$E269&lt;&gt;"Yes",$T269="Yes",$U269&lt;&gt;"Yes"),"No",IF(($V269-$X269)&gt;0,"Yes","No"))</f>
        <v>No</v>
      </c>
      <c r="Z269" s="46" t="str">
        <f aca="false">IF($T269="Yes","Primary",IF($Y269="Yes","Secondary",""))</f>
        <v/>
      </c>
      <c r="AA269" s="46" t="str">
        <f aca="false">IF($Z269="Primary",$R269,IF($Z269="Secondary",$W269,""))</f>
        <v/>
      </c>
      <c r="AB269" s="46" t="str">
        <f aca="false">IF($Z269="Primary","Matched on primary skill",IF($Z269="Secondary","Matched on secondary skill (primary not approved or not required)",""))</f>
        <v/>
      </c>
      <c r="AC269" s="47" t="str">
        <f aca="false">IF($D269="Panel Details",$F269,"")</f>
        <v/>
      </c>
      <c r="AD269" s="46" t="str">
        <f aca="false">IF($D269="Panel Details",'Survey Response'!$D267,"")</f>
        <v/>
      </c>
      <c r="AE269" s="46" t="str">
        <f aca="false">IF($D269="Panel Details",'Survey Response'!$E267,"")</f>
        <v/>
      </c>
      <c r="AF269" s="46" t="str">
        <f aca="false">IF($D269="Panel Details",'Survey Response'!$G267,"")</f>
        <v/>
      </c>
      <c r="AG269" s="46" t="str">
        <f aca="false">IF($D269="Panel Details",IF($Z269="Primary",$J269,$L269),"")</f>
        <v/>
      </c>
      <c r="AH269" s="46" t="str">
        <f aca="false">IF($D269="Panel Details",IF($Z269="Primary",$L269,$J269),"")</f>
        <v/>
      </c>
      <c r="AI269" s="46" t="str">
        <f aca="false">IF($D269="Panel Details",'Survey Response'!$H267,"")</f>
        <v/>
      </c>
      <c r="AJ269" s="46" t="str">
        <f aca="false">IF($D269="Panel Details",'Survey Response'!$M267,"")</f>
        <v/>
      </c>
      <c r="AK269" s="46" t="str">
        <f aca="false">IF($D269="Panel Details",$O269,"")</f>
        <v/>
      </c>
      <c r="AL269" s="46" t="str">
        <f aca="false">IF($D269="Panel Details",8,"")</f>
        <v/>
      </c>
      <c r="AM269" s="46" t="str">
        <f aca="false">IF($D269="Panel Details",$AB269,"")</f>
        <v/>
      </c>
      <c r="AN269" s="46" t="str">
        <f aca="false">IF($D269="Panel Details","Yes","")</f>
        <v/>
      </c>
      <c r="AO269" s="46"/>
      <c r="AP269" s="46" t="str">
        <f aca="false">IF($D269="Followup",'Survey Response'!$D267,"")</f>
        <v/>
      </c>
      <c r="AQ269" s="46" t="str">
        <f aca="false">IF($D269="Followup",'Survey Response'!$E267,"")</f>
        <v/>
      </c>
      <c r="AR269" s="46" t="str">
        <f aca="false">IF($D269="Followup",'Survey Response'!$G267,"")</f>
        <v/>
      </c>
      <c r="AS269" s="46" t="str">
        <f aca="false">IF($D269="Followup",'Survey Response'!$H267,"")</f>
        <v/>
      </c>
      <c r="AT269" s="46" t="str">
        <f aca="false">IF($D269="Followup",'Survey Response'!$M267,"")</f>
        <v/>
      </c>
      <c r="AU269" s="46" t="str">
        <f aca="false">IF($D269="Followup",'Survey Response'!$K267,"")</f>
        <v/>
      </c>
      <c r="AV269" s="46" t="str">
        <f aca="false">IF($D269="Followup",'Survey Response'!$L267,"")</f>
        <v/>
      </c>
      <c r="AW269" s="46" t="str">
        <f aca="false">IF($D269="Followup",IF(AND($P269&lt;&gt;"Yes",$U269&lt;&gt;"Yes"),"Not approved for primary or secondary skill","Approved, but skill(s) no longer have capacity (fully staffed)"),"")</f>
        <v/>
      </c>
    </row>
    <row r="270" customFormat="false" ht="15" hidden="false" customHeight="true" outlineLevel="0" collapsed="false">
      <c r="A270" s="46" t="str">
        <f aca="false">IF('Survey Response'!$D268="","",'Survey Response'!$A268&amp;"|"&amp;LOWER(TRIM('Survey Response'!$D268)))</f>
        <v/>
      </c>
      <c r="B270" s="46" t="str">
        <f aca="false">IF($H270="","",$F270&amp;"|"&amp;$H270)</f>
        <v/>
      </c>
      <c r="C270" s="46" t="str">
        <f aca="false">IF($H270="","",$A270=$B270)</f>
        <v/>
      </c>
      <c r="D270" s="46" t="str">
        <f aca="false">IF($H270="","",IF($E270&lt;&gt;"Yes","Superseded",IF($I270&lt;&gt;"Yes, I'm available for in-person interviews at Chennai","Not Available",IF($Z270&lt;&gt;"","Panel Details","Followup"))))</f>
        <v/>
      </c>
      <c r="E270" s="46" t="str">
        <f aca="false">IF($H270="","",IF(SUMPRODUCT(($H$4:$H$503=$H270)*(($G$4:$G$503&gt;$G270)+($G$4:$G$503=$G270)*($F$4:$F$503&gt;$F270)))=0,"Yes","No"))</f>
        <v/>
      </c>
      <c r="F270" s="47" t="str">
        <f aca="false">IF('Survey Response'!$D268="","",INT('Survey Response'!$A268))</f>
        <v/>
      </c>
      <c r="G270" s="46" t="str">
        <f aca="false">IF('Survey Response'!$D268="","",'Survey Response'!$C268)</f>
        <v/>
      </c>
      <c r="H270" s="46" t="str">
        <f aca="false">IF('Survey Response'!$D268="","",LOWER(TRIM('Survey Response'!$D268)))</f>
        <v/>
      </c>
      <c r="I270" s="46" t="str">
        <f aca="false">IF($H270="","",'Survey Response'!$I268)</f>
        <v/>
      </c>
      <c r="J270" s="46" t="str">
        <f aca="false">IF($H270="","",'Survey Response'!$K268)</f>
        <v/>
      </c>
      <c r="K270" s="46" t="str">
        <f aca="false">IF($J270="","",IF(COUNTIF('Skill Mapping'!$A$2:$A$7,TRIM($J270))=0,"",INDEX('Skill Mapping'!$B$2:$B$7,MATCH(TRIM($J270),'Skill Mapping'!$A$2:$A$7,0))))</f>
        <v/>
      </c>
      <c r="L270" s="46" t="str">
        <f aca="false">IF($H270="","",'Survey Response'!$L268)</f>
        <v/>
      </c>
      <c r="M270" s="46" t="str">
        <f aca="false">IF($L270="","",IF(COUNTIF('Skill Mapping'!$A$2:$A$7,TRIM($L270))=0,"",INDEX('Skill Mapping'!$B$2:$B$7,MATCH(TRIM($L270),'Skill Mapping'!$A$2:$A$7,0))))</f>
        <v/>
      </c>
      <c r="N270" s="46" t="str">
        <f aca="false">IF($H270="","",'Survey Response'!$M268)</f>
        <v/>
      </c>
      <c r="O270" s="46" t="str">
        <f aca="false">IF($H270="","",IF('Survey Response'!$M268="Manager","R2","R1"))</f>
        <v/>
      </c>
      <c r="P270" s="46" t="str">
        <f aca="false">IF($K270="","No",IF(COUNTIFS(MasterPanel!$B:$B,$H270,MasterPanel!$I:$I,$K270,MasterPanel!$K:$K,"Y")&gt;0,"Yes","No"))</f>
        <v>No</v>
      </c>
      <c r="Q270" s="46" t="n">
        <f aca="false">IF($K270="",0,IF(COUNTIF('Gap Sheet'!$A$6:$A$11,TRIM($J270))=0,0,IF($O270="R1",INDEX('Gap Sheet'!$C$6:$C$11,MATCH(TRIM($J270),'Gap Sheet'!$A$6:$A$11,0)),INDEX('Gap Sheet'!$G$6:$G$11,MATCH(TRIM($J270),'Gap Sheet'!$A$6:$A$11,0)))))</f>
        <v>0</v>
      </c>
      <c r="R270" s="46" t="str">
        <f aca="false">IF($K270="","",$K270&amp;"|"&amp;$O270)</f>
        <v/>
      </c>
      <c r="S270" s="46" t="n">
        <f aca="false">IF($R270="",0,COUNTIF($AA$4:$AA269,$R270))</f>
        <v>0</v>
      </c>
      <c r="T270" s="46" t="str">
        <f aca="false">IF(OR($I270&lt;&gt;"Yes, I'm available for in-person interviews at Chennai",$E270&lt;&gt;"Yes",$P270&lt;&gt;"Yes"),"No",IF(($Q270-$S270)&gt;0,"Yes","No"))</f>
        <v>No</v>
      </c>
      <c r="U270" s="46" t="str">
        <f aca="false">IF($M270="","No",IF(COUNTIFS(MasterPanel!$B:$B,$H270,MasterPanel!$I:$I,$M270,MasterPanel!$K:$K,"Y")&gt;0,"Yes","No"))</f>
        <v>No</v>
      </c>
      <c r="V270" s="46" t="n">
        <f aca="false">IF($M270="",0,IF(COUNTIF('Gap Sheet'!$A$6:$A$11,TRIM($L270))=0,0,IF($O270="R1",INDEX('Gap Sheet'!$C$6:$C$11,MATCH(TRIM($L270),'Gap Sheet'!$A$6:$A$11,0)),INDEX('Gap Sheet'!$G$6:$G$11,MATCH(TRIM($L270),'Gap Sheet'!$A$6:$A$11,0)))))</f>
        <v>0</v>
      </c>
      <c r="W270" s="46" t="str">
        <f aca="false">IF($M270="","",$M270&amp;"|"&amp;$O270)</f>
        <v/>
      </c>
      <c r="X270" s="46" t="n">
        <f aca="false">IF($W270="",0,COUNTIF($AA$4:$AA269,$W270))</f>
        <v>0</v>
      </c>
      <c r="Y270" s="46" t="str">
        <f aca="false">IF(OR($I270&lt;&gt;"Yes, I'm available for in-person interviews at Chennai",$E270&lt;&gt;"Yes",$T270="Yes",$U270&lt;&gt;"Yes"),"No",IF(($V270-$X270)&gt;0,"Yes","No"))</f>
        <v>No</v>
      </c>
      <c r="Z270" s="46" t="str">
        <f aca="false">IF($T270="Yes","Primary",IF($Y270="Yes","Secondary",""))</f>
        <v/>
      </c>
      <c r="AA270" s="46" t="str">
        <f aca="false">IF($Z270="Primary",$R270,IF($Z270="Secondary",$W270,""))</f>
        <v/>
      </c>
      <c r="AB270" s="46" t="str">
        <f aca="false">IF($Z270="Primary","Matched on primary skill",IF($Z270="Secondary","Matched on secondary skill (primary not approved or not required)",""))</f>
        <v/>
      </c>
      <c r="AC270" s="47" t="str">
        <f aca="false">IF($D270="Panel Details",$F270,"")</f>
        <v/>
      </c>
      <c r="AD270" s="46" t="str">
        <f aca="false">IF($D270="Panel Details",'Survey Response'!$D268,"")</f>
        <v/>
      </c>
      <c r="AE270" s="46" t="str">
        <f aca="false">IF($D270="Panel Details",'Survey Response'!$E268,"")</f>
        <v/>
      </c>
      <c r="AF270" s="46" t="str">
        <f aca="false">IF($D270="Panel Details",'Survey Response'!$G268,"")</f>
        <v/>
      </c>
      <c r="AG270" s="46" t="str">
        <f aca="false">IF($D270="Panel Details",IF($Z270="Primary",$J270,$L270),"")</f>
        <v/>
      </c>
      <c r="AH270" s="46" t="str">
        <f aca="false">IF($D270="Panel Details",IF($Z270="Primary",$L270,$J270),"")</f>
        <v/>
      </c>
      <c r="AI270" s="46" t="str">
        <f aca="false">IF($D270="Panel Details",'Survey Response'!$H268,"")</f>
        <v/>
      </c>
      <c r="AJ270" s="46" t="str">
        <f aca="false">IF($D270="Panel Details",'Survey Response'!$M268,"")</f>
        <v/>
      </c>
      <c r="AK270" s="46" t="str">
        <f aca="false">IF($D270="Panel Details",$O270,"")</f>
        <v/>
      </c>
      <c r="AL270" s="46" t="str">
        <f aca="false">IF($D270="Panel Details",8,"")</f>
        <v/>
      </c>
      <c r="AM270" s="46" t="str">
        <f aca="false">IF($D270="Panel Details",$AB270,"")</f>
        <v/>
      </c>
      <c r="AN270" s="46" t="str">
        <f aca="false">IF($D270="Panel Details","Yes","")</f>
        <v/>
      </c>
      <c r="AO270" s="46"/>
      <c r="AP270" s="46" t="str">
        <f aca="false">IF($D270="Followup",'Survey Response'!$D268,"")</f>
        <v/>
      </c>
      <c r="AQ270" s="46" t="str">
        <f aca="false">IF($D270="Followup",'Survey Response'!$E268,"")</f>
        <v/>
      </c>
      <c r="AR270" s="46" t="str">
        <f aca="false">IF($D270="Followup",'Survey Response'!$G268,"")</f>
        <v/>
      </c>
      <c r="AS270" s="46" t="str">
        <f aca="false">IF($D270="Followup",'Survey Response'!$H268,"")</f>
        <v/>
      </c>
      <c r="AT270" s="46" t="str">
        <f aca="false">IF($D270="Followup",'Survey Response'!$M268,"")</f>
        <v/>
      </c>
      <c r="AU270" s="46" t="str">
        <f aca="false">IF($D270="Followup",'Survey Response'!$K268,"")</f>
        <v/>
      </c>
      <c r="AV270" s="46" t="str">
        <f aca="false">IF($D270="Followup",'Survey Response'!$L268,"")</f>
        <v/>
      </c>
      <c r="AW270" s="46" t="str">
        <f aca="false">IF($D270="Followup",IF(AND($P270&lt;&gt;"Yes",$U270&lt;&gt;"Yes"),"Not approved for primary or secondary skill","Approved, but skill(s) no longer have capacity (fully staffed)"),"")</f>
        <v/>
      </c>
    </row>
    <row r="271" customFormat="false" ht="15" hidden="false" customHeight="true" outlineLevel="0" collapsed="false">
      <c r="A271" s="46" t="str">
        <f aca="false">IF('Survey Response'!$D269="","",'Survey Response'!$A269&amp;"|"&amp;LOWER(TRIM('Survey Response'!$D269)))</f>
        <v/>
      </c>
      <c r="B271" s="46" t="str">
        <f aca="false">IF($H271="","",$F271&amp;"|"&amp;$H271)</f>
        <v/>
      </c>
      <c r="C271" s="46" t="str">
        <f aca="false">IF($H271="","",$A271=$B271)</f>
        <v/>
      </c>
      <c r="D271" s="46" t="str">
        <f aca="false">IF($H271="","",IF($E271&lt;&gt;"Yes","Superseded",IF($I271&lt;&gt;"Yes, I'm available for in-person interviews at Chennai","Not Available",IF($Z271&lt;&gt;"","Panel Details","Followup"))))</f>
        <v/>
      </c>
      <c r="E271" s="46" t="str">
        <f aca="false">IF($H271="","",IF(SUMPRODUCT(($H$4:$H$503=$H271)*(($G$4:$G$503&gt;$G271)+($G$4:$G$503=$G271)*($F$4:$F$503&gt;$F271)))=0,"Yes","No"))</f>
        <v/>
      </c>
      <c r="F271" s="47" t="str">
        <f aca="false">IF('Survey Response'!$D269="","",INT('Survey Response'!$A269))</f>
        <v/>
      </c>
      <c r="G271" s="46" t="str">
        <f aca="false">IF('Survey Response'!$D269="","",'Survey Response'!$C269)</f>
        <v/>
      </c>
      <c r="H271" s="46" t="str">
        <f aca="false">IF('Survey Response'!$D269="","",LOWER(TRIM('Survey Response'!$D269)))</f>
        <v/>
      </c>
      <c r="I271" s="46" t="str">
        <f aca="false">IF($H271="","",'Survey Response'!$I269)</f>
        <v/>
      </c>
      <c r="J271" s="46" t="str">
        <f aca="false">IF($H271="","",'Survey Response'!$K269)</f>
        <v/>
      </c>
      <c r="K271" s="46" t="str">
        <f aca="false">IF($J271="","",IF(COUNTIF('Skill Mapping'!$A$2:$A$7,TRIM($J271))=0,"",INDEX('Skill Mapping'!$B$2:$B$7,MATCH(TRIM($J271),'Skill Mapping'!$A$2:$A$7,0))))</f>
        <v/>
      </c>
      <c r="L271" s="46" t="str">
        <f aca="false">IF($H271="","",'Survey Response'!$L269)</f>
        <v/>
      </c>
      <c r="M271" s="46" t="str">
        <f aca="false">IF($L271="","",IF(COUNTIF('Skill Mapping'!$A$2:$A$7,TRIM($L271))=0,"",INDEX('Skill Mapping'!$B$2:$B$7,MATCH(TRIM($L271),'Skill Mapping'!$A$2:$A$7,0))))</f>
        <v/>
      </c>
      <c r="N271" s="46" t="str">
        <f aca="false">IF($H271="","",'Survey Response'!$M269)</f>
        <v/>
      </c>
      <c r="O271" s="46" t="str">
        <f aca="false">IF($H271="","",IF('Survey Response'!$M269="Manager","R2","R1"))</f>
        <v/>
      </c>
      <c r="P271" s="46" t="str">
        <f aca="false">IF($K271="","No",IF(COUNTIFS(MasterPanel!$B:$B,$H271,MasterPanel!$I:$I,$K271,MasterPanel!$K:$K,"Y")&gt;0,"Yes","No"))</f>
        <v>No</v>
      </c>
      <c r="Q271" s="46" t="n">
        <f aca="false">IF($K271="",0,IF(COUNTIF('Gap Sheet'!$A$6:$A$11,TRIM($J271))=0,0,IF($O271="R1",INDEX('Gap Sheet'!$C$6:$C$11,MATCH(TRIM($J271),'Gap Sheet'!$A$6:$A$11,0)),INDEX('Gap Sheet'!$G$6:$G$11,MATCH(TRIM($J271),'Gap Sheet'!$A$6:$A$11,0)))))</f>
        <v>0</v>
      </c>
      <c r="R271" s="46" t="str">
        <f aca="false">IF($K271="","",$K271&amp;"|"&amp;$O271)</f>
        <v/>
      </c>
      <c r="S271" s="46" t="n">
        <f aca="false">IF($R271="",0,COUNTIF($AA$4:$AA270,$R271))</f>
        <v>0</v>
      </c>
      <c r="T271" s="46" t="str">
        <f aca="false">IF(OR($I271&lt;&gt;"Yes, I'm available for in-person interviews at Chennai",$E271&lt;&gt;"Yes",$P271&lt;&gt;"Yes"),"No",IF(($Q271-$S271)&gt;0,"Yes","No"))</f>
        <v>No</v>
      </c>
      <c r="U271" s="46" t="str">
        <f aca="false">IF($M271="","No",IF(COUNTIFS(MasterPanel!$B:$B,$H271,MasterPanel!$I:$I,$M271,MasterPanel!$K:$K,"Y")&gt;0,"Yes","No"))</f>
        <v>No</v>
      </c>
      <c r="V271" s="46" t="n">
        <f aca="false">IF($M271="",0,IF(COUNTIF('Gap Sheet'!$A$6:$A$11,TRIM($L271))=0,0,IF($O271="R1",INDEX('Gap Sheet'!$C$6:$C$11,MATCH(TRIM($L271),'Gap Sheet'!$A$6:$A$11,0)),INDEX('Gap Sheet'!$G$6:$G$11,MATCH(TRIM($L271),'Gap Sheet'!$A$6:$A$11,0)))))</f>
        <v>0</v>
      </c>
      <c r="W271" s="46" t="str">
        <f aca="false">IF($M271="","",$M271&amp;"|"&amp;$O271)</f>
        <v/>
      </c>
      <c r="X271" s="46" t="n">
        <f aca="false">IF($W271="",0,COUNTIF($AA$4:$AA270,$W271))</f>
        <v>0</v>
      </c>
      <c r="Y271" s="46" t="str">
        <f aca="false">IF(OR($I271&lt;&gt;"Yes, I'm available for in-person interviews at Chennai",$E271&lt;&gt;"Yes",$T271="Yes",$U271&lt;&gt;"Yes"),"No",IF(($V271-$X271)&gt;0,"Yes","No"))</f>
        <v>No</v>
      </c>
      <c r="Z271" s="46" t="str">
        <f aca="false">IF($T271="Yes","Primary",IF($Y271="Yes","Secondary",""))</f>
        <v/>
      </c>
      <c r="AA271" s="46" t="str">
        <f aca="false">IF($Z271="Primary",$R271,IF($Z271="Secondary",$W271,""))</f>
        <v/>
      </c>
      <c r="AB271" s="46" t="str">
        <f aca="false">IF($Z271="Primary","Matched on primary skill",IF($Z271="Secondary","Matched on secondary skill (primary not approved or not required)",""))</f>
        <v/>
      </c>
      <c r="AC271" s="47" t="str">
        <f aca="false">IF($D271="Panel Details",$F271,"")</f>
        <v/>
      </c>
      <c r="AD271" s="46" t="str">
        <f aca="false">IF($D271="Panel Details",'Survey Response'!$D269,"")</f>
        <v/>
      </c>
      <c r="AE271" s="46" t="str">
        <f aca="false">IF($D271="Panel Details",'Survey Response'!$E269,"")</f>
        <v/>
      </c>
      <c r="AF271" s="46" t="str">
        <f aca="false">IF($D271="Panel Details",'Survey Response'!$G269,"")</f>
        <v/>
      </c>
      <c r="AG271" s="46" t="str">
        <f aca="false">IF($D271="Panel Details",IF($Z271="Primary",$J271,$L271),"")</f>
        <v/>
      </c>
      <c r="AH271" s="46" t="str">
        <f aca="false">IF($D271="Panel Details",IF($Z271="Primary",$L271,$J271),"")</f>
        <v/>
      </c>
      <c r="AI271" s="46" t="str">
        <f aca="false">IF($D271="Panel Details",'Survey Response'!$H269,"")</f>
        <v/>
      </c>
      <c r="AJ271" s="46" t="str">
        <f aca="false">IF($D271="Panel Details",'Survey Response'!$M269,"")</f>
        <v/>
      </c>
      <c r="AK271" s="46" t="str">
        <f aca="false">IF($D271="Panel Details",$O271,"")</f>
        <v/>
      </c>
      <c r="AL271" s="46" t="str">
        <f aca="false">IF($D271="Panel Details",8,"")</f>
        <v/>
      </c>
      <c r="AM271" s="46" t="str">
        <f aca="false">IF($D271="Panel Details",$AB271,"")</f>
        <v/>
      </c>
      <c r="AN271" s="46" t="str">
        <f aca="false">IF($D271="Panel Details","Yes","")</f>
        <v/>
      </c>
      <c r="AO271" s="46"/>
      <c r="AP271" s="46" t="str">
        <f aca="false">IF($D271="Followup",'Survey Response'!$D269,"")</f>
        <v/>
      </c>
      <c r="AQ271" s="46" t="str">
        <f aca="false">IF($D271="Followup",'Survey Response'!$E269,"")</f>
        <v/>
      </c>
      <c r="AR271" s="46" t="str">
        <f aca="false">IF($D271="Followup",'Survey Response'!$G269,"")</f>
        <v/>
      </c>
      <c r="AS271" s="46" t="str">
        <f aca="false">IF($D271="Followup",'Survey Response'!$H269,"")</f>
        <v/>
      </c>
      <c r="AT271" s="46" t="str">
        <f aca="false">IF($D271="Followup",'Survey Response'!$M269,"")</f>
        <v/>
      </c>
      <c r="AU271" s="46" t="str">
        <f aca="false">IF($D271="Followup",'Survey Response'!$K269,"")</f>
        <v/>
      </c>
      <c r="AV271" s="46" t="str">
        <f aca="false">IF($D271="Followup",'Survey Response'!$L269,"")</f>
        <v/>
      </c>
      <c r="AW271" s="46" t="str">
        <f aca="false">IF($D271="Followup",IF(AND($P271&lt;&gt;"Yes",$U271&lt;&gt;"Yes"),"Not approved for primary or secondary skill","Approved, but skill(s) no longer have capacity (fully staffed)"),"")</f>
        <v/>
      </c>
    </row>
    <row r="272" customFormat="false" ht="15" hidden="false" customHeight="true" outlineLevel="0" collapsed="false">
      <c r="A272" s="46" t="str">
        <f aca="false">IF('Survey Response'!$D270="","",'Survey Response'!$A270&amp;"|"&amp;LOWER(TRIM('Survey Response'!$D270)))</f>
        <v/>
      </c>
      <c r="B272" s="46" t="str">
        <f aca="false">IF($H272="","",$F272&amp;"|"&amp;$H272)</f>
        <v/>
      </c>
      <c r="C272" s="46" t="str">
        <f aca="false">IF($H272="","",$A272=$B272)</f>
        <v/>
      </c>
      <c r="D272" s="46" t="str">
        <f aca="false">IF($H272="","",IF($E272&lt;&gt;"Yes","Superseded",IF($I272&lt;&gt;"Yes, I'm available for in-person interviews at Chennai","Not Available",IF($Z272&lt;&gt;"","Panel Details","Followup"))))</f>
        <v/>
      </c>
      <c r="E272" s="46" t="str">
        <f aca="false">IF($H272="","",IF(SUMPRODUCT(($H$4:$H$503=$H272)*(($G$4:$G$503&gt;$G272)+($G$4:$G$503=$G272)*($F$4:$F$503&gt;$F272)))=0,"Yes","No"))</f>
        <v/>
      </c>
      <c r="F272" s="47" t="str">
        <f aca="false">IF('Survey Response'!$D270="","",INT('Survey Response'!$A270))</f>
        <v/>
      </c>
      <c r="G272" s="46" t="str">
        <f aca="false">IF('Survey Response'!$D270="","",'Survey Response'!$C270)</f>
        <v/>
      </c>
      <c r="H272" s="46" t="str">
        <f aca="false">IF('Survey Response'!$D270="","",LOWER(TRIM('Survey Response'!$D270)))</f>
        <v/>
      </c>
      <c r="I272" s="46" t="str">
        <f aca="false">IF($H272="","",'Survey Response'!$I270)</f>
        <v/>
      </c>
      <c r="J272" s="46" t="str">
        <f aca="false">IF($H272="","",'Survey Response'!$K270)</f>
        <v/>
      </c>
      <c r="K272" s="46" t="str">
        <f aca="false">IF($J272="","",IF(COUNTIF('Skill Mapping'!$A$2:$A$7,TRIM($J272))=0,"",INDEX('Skill Mapping'!$B$2:$B$7,MATCH(TRIM($J272),'Skill Mapping'!$A$2:$A$7,0))))</f>
        <v/>
      </c>
      <c r="L272" s="46" t="str">
        <f aca="false">IF($H272="","",'Survey Response'!$L270)</f>
        <v/>
      </c>
      <c r="M272" s="46" t="str">
        <f aca="false">IF($L272="","",IF(COUNTIF('Skill Mapping'!$A$2:$A$7,TRIM($L272))=0,"",INDEX('Skill Mapping'!$B$2:$B$7,MATCH(TRIM($L272),'Skill Mapping'!$A$2:$A$7,0))))</f>
        <v/>
      </c>
      <c r="N272" s="46" t="str">
        <f aca="false">IF($H272="","",'Survey Response'!$M270)</f>
        <v/>
      </c>
      <c r="O272" s="46" t="str">
        <f aca="false">IF($H272="","",IF('Survey Response'!$M270="Manager","R2","R1"))</f>
        <v/>
      </c>
      <c r="P272" s="46" t="str">
        <f aca="false">IF($K272="","No",IF(COUNTIFS(MasterPanel!$B:$B,$H272,MasterPanel!$I:$I,$K272,MasterPanel!$K:$K,"Y")&gt;0,"Yes","No"))</f>
        <v>No</v>
      </c>
      <c r="Q272" s="46" t="n">
        <f aca="false">IF($K272="",0,IF(COUNTIF('Gap Sheet'!$A$6:$A$11,TRIM($J272))=0,0,IF($O272="R1",INDEX('Gap Sheet'!$C$6:$C$11,MATCH(TRIM($J272),'Gap Sheet'!$A$6:$A$11,0)),INDEX('Gap Sheet'!$G$6:$G$11,MATCH(TRIM($J272),'Gap Sheet'!$A$6:$A$11,0)))))</f>
        <v>0</v>
      </c>
      <c r="R272" s="46" t="str">
        <f aca="false">IF($K272="","",$K272&amp;"|"&amp;$O272)</f>
        <v/>
      </c>
      <c r="S272" s="46" t="n">
        <f aca="false">IF($R272="",0,COUNTIF($AA$4:$AA271,$R272))</f>
        <v>0</v>
      </c>
      <c r="T272" s="46" t="str">
        <f aca="false">IF(OR($I272&lt;&gt;"Yes, I'm available for in-person interviews at Chennai",$E272&lt;&gt;"Yes",$P272&lt;&gt;"Yes"),"No",IF(($Q272-$S272)&gt;0,"Yes","No"))</f>
        <v>No</v>
      </c>
      <c r="U272" s="46" t="str">
        <f aca="false">IF($M272="","No",IF(COUNTIFS(MasterPanel!$B:$B,$H272,MasterPanel!$I:$I,$M272,MasterPanel!$K:$K,"Y")&gt;0,"Yes","No"))</f>
        <v>No</v>
      </c>
      <c r="V272" s="46" t="n">
        <f aca="false">IF($M272="",0,IF(COUNTIF('Gap Sheet'!$A$6:$A$11,TRIM($L272))=0,0,IF($O272="R1",INDEX('Gap Sheet'!$C$6:$C$11,MATCH(TRIM($L272),'Gap Sheet'!$A$6:$A$11,0)),INDEX('Gap Sheet'!$G$6:$G$11,MATCH(TRIM($L272),'Gap Sheet'!$A$6:$A$11,0)))))</f>
        <v>0</v>
      </c>
      <c r="W272" s="46" t="str">
        <f aca="false">IF($M272="","",$M272&amp;"|"&amp;$O272)</f>
        <v/>
      </c>
      <c r="X272" s="46" t="n">
        <f aca="false">IF($W272="",0,COUNTIF($AA$4:$AA271,$W272))</f>
        <v>0</v>
      </c>
      <c r="Y272" s="46" t="str">
        <f aca="false">IF(OR($I272&lt;&gt;"Yes, I'm available for in-person interviews at Chennai",$E272&lt;&gt;"Yes",$T272="Yes",$U272&lt;&gt;"Yes"),"No",IF(($V272-$X272)&gt;0,"Yes","No"))</f>
        <v>No</v>
      </c>
      <c r="Z272" s="46" t="str">
        <f aca="false">IF($T272="Yes","Primary",IF($Y272="Yes","Secondary",""))</f>
        <v/>
      </c>
      <c r="AA272" s="46" t="str">
        <f aca="false">IF($Z272="Primary",$R272,IF($Z272="Secondary",$W272,""))</f>
        <v/>
      </c>
      <c r="AB272" s="46" t="str">
        <f aca="false">IF($Z272="Primary","Matched on primary skill",IF($Z272="Secondary","Matched on secondary skill (primary not approved or not required)",""))</f>
        <v/>
      </c>
      <c r="AC272" s="47" t="str">
        <f aca="false">IF($D272="Panel Details",$F272,"")</f>
        <v/>
      </c>
      <c r="AD272" s="46" t="str">
        <f aca="false">IF($D272="Panel Details",'Survey Response'!$D270,"")</f>
        <v/>
      </c>
      <c r="AE272" s="46" t="str">
        <f aca="false">IF($D272="Panel Details",'Survey Response'!$E270,"")</f>
        <v/>
      </c>
      <c r="AF272" s="46" t="str">
        <f aca="false">IF($D272="Panel Details",'Survey Response'!$G270,"")</f>
        <v/>
      </c>
      <c r="AG272" s="46" t="str">
        <f aca="false">IF($D272="Panel Details",IF($Z272="Primary",$J272,$L272),"")</f>
        <v/>
      </c>
      <c r="AH272" s="46" t="str">
        <f aca="false">IF($D272="Panel Details",IF($Z272="Primary",$L272,$J272),"")</f>
        <v/>
      </c>
      <c r="AI272" s="46" t="str">
        <f aca="false">IF($D272="Panel Details",'Survey Response'!$H270,"")</f>
        <v/>
      </c>
      <c r="AJ272" s="46" t="str">
        <f aca="false">IF($D272="Panel Details",'Survey Response'!$M270,"")</f>
        <v/>
      </c>
      <c r="AK272" s="46" t="str">
        <f aca="false">IF($D272="Panel Details",$O272,"")</f>
        <v/>
      </c>
      <c r="AL272" s="46" t="str">
        <f aca="false">IF($D272="Panel Details",8,"")</f>
        <v/>
      </c>
      <c r="AM272" s="46" t="str">
        <f aca="false">IF($D272="Panel Details",$AB272,"")</f>
        <v/>
      </c>
      <c r="AN272" s="46" t="str">
        <f aca="false">IF($D272="Panel Details","Yes","")</f>
        <v/>
      </c>
      <c r="AO272" s="46"/>
      <c r="AP272" s="46" t="str">
        <f aca="false">IF($D272="Followup",'Survey Response'!$D270,"")</f>
        <v/>
      </c>
      <c r="AQ272" s="46" t="str">
        <f aca="false">IF($D272="Followup",'Survey Response'!$E270,"")</f>
        <v/>
      </c>
      <c r="AR272" s="46" t="str">
        <f aca="false">IF($D272="Followup",'Survey Response'!$G270,"")</f>
        <v/>
      </c>
      <c r="AS272" s="46" t="str">
        <f aca="false">IF($D272="Followup",'Survey Response'!$H270,"")</f>
        <v/>
      </c>
      <c r="AT272" s="46" t="str">
        <f aca="false">IF($D272="Followup",'Survey Response'!$M270,"")</f>
        <v/>
      </c>
      <c r="AU272" s="46" t="str">
        <f aca="false">IF($D272="Followup",'Survey Response'!$K270,"")</f>
        <v/>
      </c>
      <c r="AV272" s="46" t="str">
        <f aca="false">IF($D272="Followup",'Survey Response'!$L270,"")</f>
        <v/>
      </c>
      <c r="AW272" s="46" t="str">
        <f aca="false">IF($D272="Followup",IF(AND($P272&lt;&gt;"Yes",$U272&lt;&gt;"Yes"),"Not approved for primary or secondary skill","Approved, but skill(s) no longer have capacity (fully staffed)"),"")</f>
        <v/>
      </c>
    </row>
    <row r="273" customFormat="false" ht="15" hidden="false" customHeight="true" outlineLevel="0" collapsed="false">
      <c r="A273" s="46" t="str">
        <f aca="false">IF('Survey Response'!$D271="","",'Survey Response'!$A271&amp;"|"&amp;LOWER(TRIM('Survey Response'!$D271)))</f>
        <v/>
      </c>
      <c r="B273" s="46" t="str">
        <f aca="false">IF($H273="","",$F273&amp;"|"&amp;$H273)</f>
        <v/>
      </c>
      <c r="C273" s="46" t="str">
        <f aca="false">IF($H273="","",$A273=$B273)</f>
        <v/>
      </c>
      <c r="D273" s="46" t="str">
        <f aca="false">IF($H273="","",IF($E273&lt;&gt;"Yes","Superseded",IF($I273&lt;&gt;"Yes, I'm available for in-person interviews at Chennai","Not Available",IF($Z273&lt;&gt;"","Panel Details","Followup"))))</f>
        <v/>
      </c>
      <c r="E273" s="46" t="str">
        <f aca="false">IF($H273="","",IF(SUMPRODUCT(($H$4:$H$503=$H273)*(($G$4:$G$503&gt;$G273)+($G$4:$G$503=$G273)*($F$4:$F$503&gt;$F273)))=0,"Yes","No"))</f>
        <v/>
      </c>
      <c r="F273" s="47" t="str">
        <f aca="false">IF('Survey Response'!$D271="","",INT('Survey Response'!$A271))</f>
        <v/>
      </c>
      <c r="G273" s="46" t="str">
        <f aca="false">IF('Survey Response'!$D271="","",'Survey Response'!$C271)</f>
        <v/>
      </c>
      <c r="H273" s="46" t="str">
        <f aca="false">IF('Survey Response'!$D271="","",LOWER(TRIM('Survey Response'!$D271)))</f>
        <v/>
      </c>
      <c r="I273" s="46" t="str">
        <f aca="false">IF($H273="","",'Survey Response'!$I271)</f>
        <v/>
      </c>
      <c r="J273" s="46" t="str">
        <f aca="false">IF($H273="","",'Survey Response'!$K271)</f>
        <v/>
      </c>
      <c r="K273" s="46" t="str">
        <f aca="false">IF($J273="","",IF(COUNTIF('Skill Mapping'!$A$2:$A$7,TRIM($J273))=0,"",INDEX('Skill Mapping'!$B$2:$B$7,MATCH(TRIM($J273),'Skill Mapping'!$A$2:$A$7,0))))</f>
        <v/>
      </c>
      <c r="L273" s="46" t="str">
        <f aca="false">IF($H273="","",'Survey Response'!$L271)</f>
        <v/>
      </c>
      <c r="M273" s="46" t="str">
        <f aca="false">IF($L273="","",IF(COUNTIF('Skill Mapping'!$A$2:$A$7,TRIM($L273))=0,"",INDEX('Skill Mapping'!$B$2:$B$7,MATCH(TRIM($L273),'Skill Mapping'!$A$2:$A$7,0))))</f>
        <v/>
      </c>
      <c r="N273" s="46" t="str">
        <f aca="false">IF($H273="","",'Survey Response'!$M271)</f>
        <v/>
      </c>
      <c r="O273" s="46" t="str">
        <f aca="false">IF($H273="","",IF('Survey Response'!$M271="Manager","R2","R1"))</f>
        <v/>
      </c>
      <c r="P273" s="46" t="str">
        <f aca="false">IF($K273="","No",IF(COUNTIFS(MasterPanel!$B:$B,$H273,MasterPanel!$I:$I,$K273,MasterPanel!$K:$K,"Y")&gt;0,"Yes","No"))</f>
        <v>No</v>
      </c>
      <c r="Q273" s="46" t="n">
        <f aca="false">IF($K273="",0,IF(COUNTIF('Gap Sheet'!$A$6:$A$11,TRIM($J273))=0,0,IF($O273="R1",INDEX('Gap Sheet'!$C$6:$C$11,MATCH(TRIM($J273),'Gap Sheet'!$A$6:$A$11,0)),INDEX('Gap Sheet'!$G$6:$G$11,MATCH(TRIM($J273),'Gap Sheet'!$A$6:$A$11,0)))))</f>
        <v>0</v>
      </c>
      <c r="R273" s="46" t="str">
        <f aca="false">IF($K273="","",$K273&amp;"|"&amp;$O273)</f>
        <v/>
      </c>
      <c r="S273" s="46" t="n">
        <f aca="false">IF($R273="",0,COUNTIF($AA$4:$AA272,$R273))</f>
        <v>0</v>
      </c>
      <c r="T273" s="46" t="str">
        <f aca="false">IF(OR($I273&lt;&gt;"Yes, I'm available for in-person interviews at Chennai",$E273&lt;&gt;"Yes",$P273&lt;&gt;"Yes"),"No",IF(($Q273-$S273)&gt;0,"Yes","No"))</f>
        <v>No</v>
      </c>
      <c r="U273" s="46" t="str">
        <f aca="false">IF($M273="","No",IF(COUNTIFS(MasterPanel!$B:$B,$H273,MasterPanel!$I:$I,$M273,MasterPanel!$K:$K,"Y")&gt;0,"Yes","No"))</f>
        <v>No</v>
      </c>
      <c r="V273" s="46" t="n">
        <f aca="false">IF($M273="",0,IF(COUNTIF('Gap Sheet'!$A$6:$A$11,TRIM($L273))=0,0,IF($O273="R1",INDEX('Gap Sheet'!$C$6:$C$11,MATCH(TRIM($L273),'Gap Sheet'!$A$6:$A$11,0)),INDEX('Gap Sheet'!$G$6:$G$11,MATCH(TRIM($L273),'Gap Sheet'!$A$6:$A$11,0)))))</f>
        <v>0</v>
      </c>
      <c r="W273" s="46" t="str">
        <f aca="false">IF($M273="","",$M273&amp;"|"&amp;$O273)</f>
        <v/>
      </c>
      <c r="X273" s="46" t="n">
        <f aca="false">IF($W273="",0,COUNTIF($AA$4:$AA272,$W273))</f>
        <v>0</v>
      </c>
      <c r="Y273" s="46" t="str">
        <f aca="false">IF(OR($I273&lt;&gt;"Yes, I'm available for in-person interviews at Chennai",$E273&lt;&gt;"Yes",$T273="Yes",$U273&lt;&gt;"Yes"),"No",IF(($V273-$X273)&gt;0,"Yes","No"))</f>
        <v>No</v>
      </c>
      <c r="Z273" s="46" t="str">
        <f aca="false">IF($T273="Yes","Primary",IF($Y273="Yes","Secondary",""))</f>
        <v/>
      </c>
      <c r="AA273" s="46" t="str">
        <f aca="false">IF($Z273="Primary",$R273,IF($Z273="Secondary",$W273,""))</f>
        <v/>
      </c>
      <c r="AB273" s="46" t="str">
        <f aca="false">IF($Z273="Primary","Matched on primary skill",IF($Z273="Secondary","Matched on secondary skill (primary not approved or not required)",""))</f>
        <v/>
      </c>
      <c r="AC273" s="47" t="str">
        <f aca="false">IF($D273="Panel Details",$F273,"")</f>
        <v/>
      </c>
      <c r="AD273" s="46" t="str">
        <f aca="false">IF($D273="Panel Details",'Survey Response'!$D271,"")</f>
        <v/>
      </c>
      <c r="AE273" s="46" t="str">
        <f aca="false">IF($D273="Panel Details",'Survey Response'!$E271,"")</f>
        <v/>
      </c>
      <c r="AF273" s="46" t="str">
        <f aca="false">IF($D273="Panel Details",'Survey Response'!$G271,"")</f>
        <v/>
      </c>
      <c r="AG273" s="46" t="str">
        <f aca="false">IF($D273="Panel Details",IF($Z273="Primary",$J273,$L273),"")</f>
        <v/>
      </c>
      <c r="AH273" s="46" t="str">
        <f aca="false">IF($D273="Panel Details",IF($Z273="Primary",$L273,$J273),"")</f>
        <v/>
      </c>
      <c r="AI273" s="46" t="str">
        <f aca="false">IF($D273="Panel Details",'Survey Response'!$H271,"")</f>
        <v/>
      </c>
      <c r="AJ273" s="46" t="str">
        <f aca="false">IF($D273="Panel Details",'Survey Response'!$M271,"")</f>
        <v/>
      </c>
      <c r="AK273" s="46" t="str">
        <f aca="false">IF($D273="Panel Details",$O273,"")</f>
        <v/>
      </c>
      <c r="AL273" s="46" t="str">
        <f aca="false">IF($D273="Panel Details",8,"")</f>
        <v/>
      </c>
      <c r="AM273" s="46" t="str">
        <f aca="false">IF($D273="Panel Details",$AB273,"")</f>
        <v/>
      </c>
      <c r="AN273" s="46" t="str">
        <f aca="false">IF($D273="Panel Details","Yes","")</f>
        <v/>
      </c>
      <c r="AO273" s="46"/>
      <c r="AP273" s="46" t="str">
        <f aca="false">IF($D273="Followup",'Survey Response'!$D271,"")</f>
        <v/>
      </c>
      <c r="AQ273" s="46" t="str">
        <f aca="false">IF($D273="Followup",'Survey Response'!$E271,"")</f>
        <v/>
      </c>
      <c r="AR273" s="46" t="str">
        <f aca="false">IF($D273="Followup",'Survey Response'!$G271,"")</f>
        <v/>
      </c>
      <c r="AS273" s="46" t="str">
        <f aca="false">IF($D273="Followup",'Survey Response'!$H271,"")</f>
        <v/>
      </c>
      <c r="AT273" s="46" t="str">
        <f aca="false">IF($D273="Followup",'Survey Response'!$M271,"")</f>
        <v/>
      </c>
      <c r="AU273" s="46" t="str">
        <f aca="false">IF($D273="Followup",'Survey Response'!$K271,"")</f>
        <v/>
      </c>
      <c r="AV273" s="46" t="str">
        <f aca="false">IF($D273="Followup",'Survey Response'!$L271,"")</f>
        <v/>
      </c>
      <c r="AW273" s="46" t="str">
        <f aca="false">IF($D273="Followup",IF(AND($P273&lt;&gt;"Yes",$U273&lt;&gt;"Yes"),"Not approved for primary or secondary skill","Approved, but skill(s) no longer have capacity (fully staffed)"),"")</f>
        <v/>
      </c>
    </row>
    <row r="274" customFormat="false" ht="15" hidden="false" customHeight="true" outlineLevel="0" collapsed="false">
      <c r="A274" s="46" t="str">
        <f aca="false">IF('Survey Response'!$D272="","",'Survey Response'!$A272&amp;"|"&amp;LOWER(TRIM('Survey Response'!$D272)))</f>
        <v/>
      </c>
      <c r="B274" s="46" t="str">
        <f aca="false">IF($H274="","",$F274&amp;"|"&amp;$H274)</f>
        <v/>
      </c>
      <c r="C274" s="46" t="str">
        <f aca="false">IF($H274="","",$A274=$B274)</f>
        <v/>
      </c>
      <c r="D274" s="46" t="str">
        <f aca="false">IF($H274="","",IF($E274&lt;&gt;"Yes","Superseded",IF($I274&lt;&gt;"Yes, I'm available for in-person interviews at Chennai","Not Available",IF($Z274&lt;&gt;"","Panel Details","Followup"))))</f>
        <v/>
      </c>
      <c r="E274" s="46" t="str">
        <f aca="false">IF($H274="","",IF(SUMPRODUCT(($H$4:$H$503=$H274)*(($G$4:$G$503&gt;$G274)+($G$4:$G$503=$G274)*($F$4:$F$503&gt;$F274)))=0,"Yes","No"))</f>
        <v/>
      </c>
      <c r="F274" s="47" t="str">
        <f aca="false">IF('Survey Response'!$D272="","",INT('Survey Response'!$A272))</f>
        <v/>
      </c>
      <c r="G274" s="46" t="str">
        <f aca="false">IF('Survey Response'!$D272="","",'Survey Response'!$C272)</f>
        <v/>
      </c>
      <c r="H274" s="46" t="str">
        <f aca="false">IF('Survey Response'!$D272="","",LOWER(TRIM('Survey Response'!$D272)))</f>
        <v/>
      </c>
      <c r="I274" s="46" t="str">
        <f aca="false">IF($H274="","",'Survey Response'!$I272)</f>
        <v/>
      </c>
      <c r="J274" s="46" t="str">
        <f aca="false">IF($H274="","",'Survey Response'!$K272)</f>
        <v/>
      </c>
      <c r="K274" s="46" t="str">
        <f aca="false">IF($J274="","",IF(COUNTIF('Skill Mapping'!$A$2:$A$7,TRIM($J274))=0,"",INDEX('Skill Mapping'!$B$2:$B$7,MATCH(TRIM($J274),'Skill Mapping'!$A$2:$A$7,0))))</f>
        <v/>
      </c>
      <c r="L274" s="46" t="str">
        <f aca="false">IF($H274="","",'Survey Response'!$L272)</f>
        <v/>
      </c>
      <c r="M274" s="46" t="str">
        <f aca="false">IF($L274="","",IF(COUNTIF('Skill Mapping'!$A$2:$A$7,TRIM($L274))=0,"",INDEX('Skill Mapping'!$B$2:$B$7,MATCH(TRIM($L274),'Skill Mapping'!$A$2:$A$7,0))))</f>
        <v/>
      </c>
      <c r="N274" s="46" t="str">
        <f aca="false">IF($H274="","",'Survey Response'!$M272)</f>
        <v/>
      </c>
      <c r="O274" s="46" t="str">
        <f aca="false">IF($H274="","",IF('Survey Response'!$M272="Manager","R2","R1"))</f>
        <v/>
      </c>
      <c r="P274" s="46" t="str">
        <f aca="false">IF($K274="","No",IF(COUNTIFS(MasterPanel!$B:$B,$H274,MasterPanel!$I:$I,$K274,MasterPanel!$K:$K,"Y")&gt;0,"Yes","No"))</f>
        <v>No</v>
      </c>
      <c r="Q274" s="46" t="n">
        <f aca="false">IF($K274="",0,IF(COUNTIF('Gap Sheet'!$A$6:$A$11,TRIM($J274))=0,0,IF($O274="R1",INDEX('Gap Sheet'!$C$6:$C$11,MATCH(TRIM($J274),'Gap Sheet'!$A$6:$A$11,0)),INDEX('Gap Sheet'!$G$6:$G$11,MATCH(TRIM($J274),'Gap Sheet'!$A$6:$A$11,0)))))</f>
        <v>0</v>
      </c>
      <c r="R274" s="46" t="str">
        <f aca="false">IF($K274="","",$K274&amp;"|"&amp;$O274)</f>
        <v/>
      </c>
      <c r="S274" s="46" t="n">
        <f aca="false">IF($R274="",0,COUNTIF($AA$4:$AA273,$R274))</f>
        <v>0</v>
      </c>
      <c r="T274" s="46" t="str">
        <f aca="false">IF(OR($I274&lt;&gt;"Yes, I'm available for in-person interviews at Chennai",$E274&lt;&gt;"Yes",$P274&lt;&gt;"Yes"),"No",IF(($Q274-$S274)&gt;0,"Yes","No"))</f>
        <v>No</v>
      </c>
      <c r="U274" s="46" t="str">
        <f aca="false">IF($M274="","No",IF(COUNTIFS(MasterPanel!$B:$B,$H274,MasterPanel!$I:$I,$M274,MasterPanel!$K:$K,"Y")&gt;0,"Yes","No"))</f>
        <v>No</v>
      </c>
      <c r="V274" s="46" t="n">
        <f aca="false">IF($M274="",0,IF(COUNTIF('Gap Sheet'!$A$6:$A$11,TRIM($L274))=0,0,IF($O274="R1",INDEX('Gap Sheet'!$C$6:$C$11,MATCH(TRIM($L274),'Gap Sheet'!$A$6:$A$11,0)),INDEX('Gap Sheet'!$G$6:$G$11,MATCH(TRIM($L274),'Gap Sheet'!$A$6:$A$11,0)))))</f>
        <v>0</v>
      </c>
      <c r="W274" s="46" t="str">
        <f aca="false">IF($M274="","",$M274&amp;"|"&amp;$O274)</f>
        <v/>
      </c>
      <c r="X274" s="46" t="n">
        <f aca="false">IF($W274="",0,COUNTIF($AA$4:$AA273,$W274))</f>
        <v>0</v>
      </c>
      <c r="Y274" s="46" t="str">
        <f aca="false">IF(OR($I274&lt;&gt;"Yes, I'm available for in-person interviews at Chennai",$E274&lt;&gt;"Yes",$T274="Yes",$U274&lt;&gt;"Yes"),"No",IF(($V274-$X274)&gt;0,"Yes","No"))</f>
        <v>No</v>
      </c>
      <c r="Z274" s="46" t="str">
        <f aca="false">IF($T274="Yes","Primary",IF($Y274="Yes","Secondary",""))</f>
        <v/>
      </c>
      <c r="AA274" s="46" t="str">
        <f aca="false">IF($Z274="Primary",$R274,IF($Z274="Secondary",$W274,""))</f>
        <v/>
      </c>
      <c r="AB274" s="46" t="str">
        <f aca="false">IF($Z274="Primary","Matched on primary skill",IF($Z274="Secondary","Matched on secondary skill (primary not approved or not required)",""))</f>
        <v/>
      </c>
      <c r="AC274" s="47" t="str">
        <f aca="false">IF($D274="Panel Details",$F274,"")</f>
        <v/>
      </c>
      <c r="AD274" s="46" t="str">
        <f aca="false">IF($D274="Panel Details",'Survey Response'!$D272,"")</f>
        <v/>
      </c>
      <c r="AE274" s="46" t="str">
        <f aca="false">IF($D274="Panel Details",'Survey Response'!$E272,"")</f>
        <v/>
      </c>
      <c r="AF274" s="46" t="str">
        <f aca="false">IF($D274="Panel Details",'Survey Response'!$G272,"")</f>
        <v/>
      </c>
      <c r="AG274" s="46" t="str">
        <f aca="false">IF($D274="Panel Details",IF($Z274="Primary",$J274,$L274),"")</f>
        <v/>
      </c>
      <c r="AH274" s="46" t="str">
        <f aca="false">IF($D274="Panel Details",IF($Z274="Primary",$L274,$J274),"")</f>
        <v/>
      </c>
      <c r="AI274" s="46" t="str">
        <f aca="false">IF($D274="Panel Details",'Survey Response'!$H272,"")</f>
        <v/>
      </c>
      <c r="AJ274" s="46" t="str">
        <f aca="false">IF($D274="Panel Details",'Survey Response'!$M272,"")</f>
        <v/>
      </c>
      <c r="AK274" s="46" t="str">
        <f aca="false">IF($D274="Panel Details",$O274,"")</f>
        <v/>
      </c>
      <c r="AL274" s="46" t="str">
        <f aca="false">IF($D274="Panel Details",8,"")</f>
        <v/>
      </c>
      <c r="AM274" s="46" t="str">
        <f aca="false">IF($D274="Panel Details",$AB274,"")</f>
        <v/>
      </c>
      <c r="AN274" s="46" t="str">
        <f aca="false">IF($D274="Panel Details","Yes","")</f>
        <v/>
      </c>
      <c r="AO274" s="46"/>
      <c r="AP274" s="46" t="str">
        <f aca="false">IF($D274="Followup",'Survey Response'!$D272,"")</f>
        <v/>
      </c>
      <c r="AQ274" s="46" t="str">
        <f aca="false">IF($D274="Followup",'Survey Response'!$E272,"")</f>
        <v/>
      </c>
      <c r="AR274" s="46" t="str">
        <f aca="false">IF($D274="Followup",'Survey Response'!$G272,"")</f>
        <v/>
      </c>
      <c r="AS274" s="46" t="str">
        <f aca="false">IF($D274="Followup",'Survey Response'!$H272,"")</f>
        <v/>
      </c>
      <c r="AT274" s="46" t="str">
        <f aca="false">IF($D274="Followup",'Survey Response'!$M272,"")</f>
        <v/>
      </c>
      <c r="AU274" s="46" t="str">
        <f aca="false">IF($D274="Followup",'Survey Response'!$K272,"")</f>
        <v/>
      </c>
      <c r="AV274" s="46" t="str">
        <f aca="false">IF($D274="Followup",'Survey Response'!$L272,"")</f>
        <v/>
      </c>
      <c r="AW274" s="46" t="str">
        <f aca="false">IF($D274="Followup",IF(AND($P274&lt;&gt;"Yes",$U274&lt;&gt;"Yes"),"Not approved for primary or secondary skill","Approved, but skill(s) no longer have capacity (fully staffed)"),"")</f>
        <v/>
      </c>
    </row>
    <row r="275" customFormat="false" ht="15" hidden="false" customHeight="true" outlineLevel="0" collapsed="false">
      <c r="A275" s="46" t="str">
        <f aca="false">IF('Survey Response'!$D273="","",'Survey Response'!$A273&amp;"|"&amp;LOWER(TRIM('Survey Response'!$D273)))</f>
        <v/>
      </c>
      <c r="B275" s="46" t="str">
        <f aca="false">IF($H275="","",$F275&amp;"|"&amp;$H275)</f>
        <v/>
      </c>
      <c r="C275" s="46" t="str">
        <f aca="false">IF($H275="","",$A275=$B275)</f>
        <v/>
      </c>
      <c r="D275" s="46" t="str">
        <f aca="false">IF($H275="","",IF($E275&lt;&gt;"Yes","Superseded",IF($I275&lt;&gt;"Yes, I'm available for in-person interviews at Chennai","Not Available",IF($Z275&lt;&gt;"","Panel Details","Followup"))))</f>
        <v/>
      </c>
      <c r="E275" s="46" t="str">
        <f aca="false">IF($H275="","",IF(SUMPRODUCT(($H$4:$H$503=$H275)*(($G$4:$G$503&gt;$G275)+($G$4:$G$503=$G275)*($F$4:$F$503&gt;$F275)))=0,"Yes","No"))</f>
        <v/>
      </c>
      <c r="F275" s="47" t="str">
        <f aca="false">IF('Survey Response'!$D273="","",INT('Survey Response'!$A273))</f>
        <v/>
      </c>
      <c r="G275" s="46" t="str">
        <f aca="false">IF('Survey Response'!$D273="","",'Survey Response'!$C273)</f>
        <v/>
      </c>
      <c r="H275" s="46" t="str">
        <f aca="false">IF('Survey Response'!$D273="","",LOWER(TRIM('Survey Response'!$D273)))</f>
        <v/>
      </c>
      <c r="I275" s="46" t="str">
        <f aca="false">IF($H275="","",'Survey Response'!$I273)</f>
        <v/>
      </c>
      <c r="J275" s="46" t="str">
        <f aca="false">IF($H275="","",'Survey Response'!$K273)</f>
        <v/>
      </c>
      <c r="K275" s="46" t="str">
        <f aca="false">IF($J275="","",IF(COUNTIF('Skill Mapping'!$A$2:$A$7,TRIM($J275))=0,"",INDEX('Skill Mapping'!$B$2:$B$7,MATCH(TRIM($J275),'Skill Mapping'!$A$2:$A$7,0))))</f>
        <v/>
      </c>
      <c r="L275" s="46" t="str">
        <f aca="false">IF($H275="","",'Survey Response'!$L273)</f>
        <v/>
      </c>
      <c r="M275" s="46" t="str">
        <f aca="false">IF($L275="","",IF(COUNTIF('Skill Mapping'!$A$2:$A$7,TRIM($L275))=0,"",INDEX('Skill Mapping'!$B$2:$B$7,MATCH(TRIM($L275),'Skill Mapping'!$A$2:$A$7,0))))</f>
        <v/>
      </c>
      <c r="N275" s="46" t="str">
        <f aca="false">IF($H275="","",'Survey Response'!$M273)</f>
        <v/>
      </c>
      <c r="O275" s="46" t="str">
        <f aca="false">IF($H275="","",IF('Survey Response'!$M273="Manager","R2","R1"))</f>
        <v/>
      </c>
      <c r="P275" s="46" t="str">
        <f aca="false">IF($K275="","No",IF(COUNTIFS(MasterPanel!$B:$B,$H275,MasterPanel!$I:$I,$K275,MasterPanel!$K:$K,"Y")&gt;0,"Yes","No"))</f>
        <v>No</v>
      </c>
      <c r="Q275" s="46" t="n">
        <f aca="false">IF($K275="",0,IF(COUNTIF('Gap Sheet'!$A$6:$A$11,TRIM($J275))=0,0,IF($O275="R1",INDEX('Gap Sheet'!$C$6:$C$11,MATCH(TRIM($J275),'Gap Sheet'!$A$6:$A$11,0)),INDEX('Gap Sheet'!$G$6:$G$11,MATCH(TRIM($J275),'Gap Sheet'!$A$6:$A$11,0)))))</f>
        <v>0</v>
      </c>
      <c r="R275" s="46" t="str">
        <f aca="false">IF($K275="","",$K275&amp;"|"&amp;$O275)</f>
        <v/>
      </c>
      <c r="S275" s="46" t="n">
        <f aca="false">IF($R275="",0,COUNTIF($AA$4:$AA274,$R275))</f>
        <v>0</v>
      </c>
      <c r="T275" s="46" t="str">
        <f aca="false">IF(OR($I275&lt;&gt;"Yes, I'm available for in-person interviews at Chennai",$E275&lt;&gt;"Yes",$P275&lt;&gt;"Yes"),"No",IF(($Q275-$S275)&gt;0,"Yes","No"))</f>
        <v>No</v>
      </c>
      <c r="U275" s="46" t="str">
        <f aca="false">IF($M275="","No",IF(COUNTIFS(MasterPanel!$B:$B,$H275,MasterPanel!$I:$I,$M275,MasterPanel!$K:$K,"Y")&gt;0,"Yes","No"))</f>
        <v>No</v>
      </c>
      <c r="V275" s="46" t="n">
        <f aca="false">IF($M275="",0,IF(COUNTIF('Gap Sheet'!$A$6:$A$11,TRIM($L275))=0,0,IF($O275="R1",INDEX('Gap Sheet'!$C$6:$C$11,MATCH(TRIM($L275),'Gap Sheet'!$A$6:$A$11,0)),INDEX('Gap Sheet'!$G$6:$G$11,MATCH(TRIM($L275),'Gap Sheet'!$A$6:$A$11,0)))))</f>
        <v>0</v>
      </c>
      <c r="W275" s="46" t="str">
        <f aca="false">IF($M275="","",$M275&amp;"|"&amp;$O275)</f>
        <v/>
      </c>
      <c r="X275" s="46" t="n">
        <f aca="false">IF($W275="",0,COUNTIF($AA$4:$AA274,$W275))</f>
        <v>0</v>
      </c>
      <c r="Y275" s="46" t="str">
        <f aca="false">IF(OR($I275&lt;&gt;"Yes, I'm available for in-person interviews at Chennai",$E275&lt;&gt;"Yes",$T275="Yes",$U275&lt;&gt;"Yes"),"No",IF(($V275-$X275)&gt;0,"Yes","No"))</f>
        <v>No</v>
      </c>
      <c r="Z275" s="46" t="str">
        <f aca="false">IF($T275="Yes","Primary",IF($Y275="Yes","Secondary",""))</f>
        <v/>
      </c>
      <c r="AA275" s="46" t="str">
        <f aca="false">IF($Z275="Primary",$R275,IF($Z275="Secondary",$W275,""))</f>
        <v/>
      </c>
      <c r="AB275" s="46" t="str">
        <f aca="false">IF($Z275="Primary","Matched on primary skill",IF($Z275="Secondary","Matched on secondary skill (primary not approved or not required)",""))</f>
        <v/>
      </c>
      <c r="AC275" s="47" t="str">
        <f aca="false">IF($D275="Panel Details",$F275,"")</f>
        <v/>
      </c>
      <c r="AD275" s="46" t="str">
        <f aca="false">IF($D275="Panel Details",'Survey Response'!$D273,"")</f>
        <v/>
      </c>
      <c r="AE275" s="46" t="str">
        <f aca="false">IF($D275="Panel Details",'Survey Response'!$E273,"")</f>
        <v/>
      </c>
      <c r="AF275" s="46" t="str">
        <f aca="false">IF($D275="Panel Details",'Survey Response'!$G273,"")</f>
        <v/>
      </c>
      <c r="AG275" s="46" t="str">
        <f aca="false">IF($D275="Panel Details",IF($Z275="Primary",$J275,$L275),"")</f>
        <v/>
      </c>
      <c r="AH275" s="46" t="str">
        <f aca="false">IF($D275="Panel Details",IF($Z275="Primary",$L275,$J275),"")</f>
        <v/>
      </c>
      <c r="AI275" s="46" t="str">
        <f aca="false">IF($D275="Panel Details",'Survey Response'!$H273,"")</f>
        <v/>
      </c>
      <c r="AJ275" s="46" t="str">
        <f aca="false">IF($D275="Panel Details",'Survey Response'!$M273,"")</f>
        <v/>
      </c>
      <c r="AK275" s="46" t="str">
        <f aca="false">IF($D275="Panel Details",$O275,"")</f>
        <v/>
      </c>
      <c r="AL275" s="46" t="str">
        <f aca="false">IF($D275="Panel Details",8,"")</f>
        <v/>
      </c>
      <c r="AM275" s="46" t="str">
        <f aca="false">IF($D275="Panel Details",$AB275,"")</f>
        <v/>
      </c>
      <c r="AN275" s="46" t="str">
        <f aca="false">IF($D275="Panel Details","Yes","")</f>
        <v/>
      </c>
      <c r="AO275" s="46"/>
      <c r="AP275" s="46" t="str">
        <f aca="false">IF($D275="Followup",'Survey Response'!$D273,"")</f>
        <v/>
      </c>
      <c r="AQ275" s="46" t="str">
        <f aca="false">IF($D275="Followup",'Survey Response'!$E273,"")</f>
        <v/>
      </c>
      <c r="AR275" s="46" t="str">
        <f aca="false">IF($D275="Followup",'Survey Response'!$G273,"")</f>
        <v/>
      </c>
      <c r="AS275" s="46" t="str">
        <f aca="false">IF($D275="Followup",'Survey Response'!$H273,"")</f>
        <v/>
      </c>
      <c r="AT275" s="46" t="str">
        <f aca="false">IF($D275="Followup",'Survey Response'!$M273,"")</f>
        <v/>
      </c>
      <c r="AU275" s="46" t="str">
        <f aca="false">IF($D275="Followup",'Survey Response'!$K273,"")</f>
        <v/>
      </c>
      <c r="AV275" s="46" t="str">
        <f aca="false">IF($D275="Followup",'Survey Response'!$L273,"")</f>
        <v/>
      </c>
      <c r="AW275" s="46" t="str">
        <f aca="false">IF($D275="Followup",IF(AND($P275&lt;&gt;"Yes",$U275&lt;&gt;"Yes"),"Not approved for primary or secondary skill","Approved, but skill(s) no longer have capacity (fully staffed)"),"")</f>
        <v/>
      </c>
    </row>
    <row r="276" customFormat="false" ht="15" hidden="false" customHeight="true" outlineLevel="0" collapsed="false">
      <c r="A276" s="46" t="str">
        <f aca="false">IF('Survey Response'!$D274="","",'Survey Response'!$A274&amp;"|"&amp;LOWER(TRIM('Survey Response'!$D274)))</f>
        <v/>
      </c>
      <c r="B276" s="46" t="str">
        <f aca="false">IF($H276="","",$F276&amp;"|"&amp;$H276)</f>
        <v/>
      </c>
      <c r="C276" s="46" t="str">
        <f aca="false">IF($H276="","",$A276=$B276)</f>
        <v/>
      </c>
      <c r="D276" s="46" t="str">
        <f aca="false">IF($H276="","",IF($E276&lt;&gt;"Yes","Superseded",IF($I276&lt;&gt;"Yes, I'm available for in-person interviews at Chennai","Not Available",IF($Z276&lt;&gt;"","Panel Details","Followup"))))</f>
        <v/>
      </c>
      <c r="E276" s="46" t="str">
        <f aca="false">IF($H276="","",IF(SUMPRODUCT(($H$4:$H$503=$H276)*(($G$4:$G$503&gt;$G276)+($G$4:$G$503=$G276)*($F$4:$F$503&gt;$F276)))=0,"Yes","No"))</f>
        <v/>
      </c>
      <c r="F276" s="47" t="str">
        <f aca="false">IF('Survey Response'!$D274="","",INT('Survey Response'!$A274))</f>
        <v/>
      </c>
      <c r="G276" s="46" t="str">
        <f aca="false">IF('Survey Response'!$D274="","",'Survey Response'!$C274)</f>
        <v/>
      </c>
      <c r="H276" s="46" t="str">
        <f aca="false">IF('Survey Response'!$D274="","",LOWER(TRIM('Survey Response'!$D274)))</f>
        <v/>
      </c>
      <c r="I276" s="46" t="str">
        <f aca="false">IF($H276="","",'Survey Response'!$I274)</f>
        <v/>
      </c>
      <c r="J276" s="46" t="str">
        <f aca="false">IF($H276="","",'Survey Response'!$K274)</f>
        <v/>
      </c>
      <c r="K276" s="46" t="str">
        <f aca="false">IF($J276="","",IF(COUNTIF('Skill Mapping'!$A$2:$A$7,TRIM($J276))=0,"",INDEX('Skill Mapping'!$B$2:$B$7,MATCH(TRIM($J276),'Skill Mapping'!$A$2:$A$7,0))))</f>
        <v/>
      </c>
      <c r="L276" s="46" t="str">
        <f aca="false">IF($H276="","",'Survey Response'!$L274)</f>
        <v/>
      </c>
      <c r="M276" s="46" t="str">
        <f aca="false">IF($L276="","",IF(COUNTIF('Skill Mapping'!$A$2:$A$7,TRIM($L276))=0,"",INDEX('Skill Mapping'!$B$2:$B$7,MATCH(TRIM($L276),'Skill Mapping'!$A$2:$A$7,0))))</f>
        <v/>
      </c>
      <c r="N276" s="46" t="str">
        <f aca="false">IF($H276="","",'Survey Response'!$M274)</f>
        <v/>
      </c>
      <c r="O276" s="46" t="str">
        <f aca="false">IF($H276="","",IF('Survey Response'!$M274="Manager","R2","R1"))</f>
        <v/>
      </c>
      <c r="P276" s="46" t="str">
        <f aca="false">IF($K276="","No",IF(COUNTIFS(MasterPanel!$B:$B,$H276,MasterPanel!$I:$I,$K276,MasterPanel!$K:$K,"Y")&gt;0,"Yes","No"))</f>
        <v>No</v>
      </c>
      <c r="Q276" s="46" t="n">
        <f aca="false">IF($K276="",0,IF(COUNTIF('Gap Sheet'!$A$6:$A$11,TRIM($J276))=0,0,IF($O276="R1",INDEX('Gap Sheet'!$C$6:$C$11,MATCH(TRIM($J276),'Gap Sheet'!$A$6:$A$11,0)),INDEX('Gap Sheet'!$G$6:$G$11,MATCH(TRIM($J276),'Gap Sheet'!$A$6:$A$11,0)))))</f>
        <v>0</v>
      </c>
      <c r="R276" s="46" t="str">
        <f aca="false">IF($K276="","",$K276&amp;"|"&amp;$O276)</f>
        <v/>
      </c>
      <c r="S276" s="46" t="n">
        <f aca="false">IF($R276="",0,COUNTIF($AA$4:$AA275,$R276))</f>
        <v>0</v>
      </c>
      <c r="T276" s="46" t="str">
        <f aca="false">IF(OR($I276&lt;&gt;"Yes, I'm available for in-person interviews at Chennai",$E276&lt;&gt;"Yes",$P276&lt;&gt;"Yes"),"No",IF(($Q276-$S276)&gt;0,"Yes","No"))</f>
        <v>No</v>
      </c>
      <c r="U276" s="46" t="str">
        <f aca="false">IF($M276="","No",IF(COUNTIFS(MasterPanel!$B:$B,$H276,MasterPanel!$I:$I,$M276,MasterPanel!$K:$K,"Y")&gt;0,"Yes","No"))</f>
        <v>No</v>
      </c>
      <c r="V276" s="46" t="n">
        <f aca="false">IF($M276="",0,IF(COUNTIF('Gap Sheet'!$A$6:$A$11,TRIM($L276))=0,0,IF($O276="R1",INDEX('Gap Sheet'!$C$6:$C$11,MATCH(TRIM($L276),'Gap Sheet'!$A$6:$A$11,0)),INDEX('Gap Sheet'!$G$6:$G$11,MATCH(TRIM($L276),'Gap Sheet'!$A$6:$A$11,0)))))</f>
        <v>0</v>
      </c>
      <c r="W276" s="46" t="str">
        <f aca="false">IF($M276="","",$M276&amp;"|"&amp;$O276)</f>
        <v/>
      </c>
      <c r="X276" s="46" t="n">
        <f aca="false">IF($W276="",0,COUNTIF($AA$4:$AA275,$W276))</f>
        <v>0</v>
      </c>
      <c r="Y276" s="46" t="str">
        <f aca="false">IF(OR($I276&lt;&gt;"Yes, I'm available for in-person interviews at Chennai",$E276&lt;&gt;"Yes",$T276="Yes",$U276&lt;&gt;"Yes"),"No",IF(($V276-$X276)&gt;0,"Yes","No"))</f>
        <v>No</v>
      </c>
      <c r="Z276" s="46" t="str">
        <f aca="false">IF($T276="Yes","Primary",IF($Y276="Yes","Secondary",""))</f>
        <v/>
      </c>
      <c r="AA276" s="46" t="str">
        <f aca="false">IF($Z276="Primary",$R276,IF($Z276="Secondary",$W276,""))</f>
        <v/>
      </c>
      <c r="AB276" s="46" t="str">
        <f aca="false">IF($Z276="Primary","Matched on primary skill",IF($Z276="Secondary","Matched on secondary skill (primary not approved or not required)",""))</f>
        <v/>
      </c>
      <c r="AC276" s="47" t="str">
        <f aca="false">IF($D276="Panel Details",$F276,"")</f>
        <v/>
      </c>
      <c r="AD276" s="46" t="str">
        <f aca="false">IF($D276="Panel Details",'Survey Response'!$D274,"")</f>
        <v/>
      </c>
      <c r="AE276" s="46" t="str">
        <f aca="false">IF($D276="Panel Details",'Survey Response'!$E274,"")</f>
        <v/>
      </c>
      <c r="AF276" s="46" t="str">
        <f aca="false">IF($D276="Panel Details",'Survey Response'!$G274,"")</f>
        <v/>
      </c>
      <c r="AG276" s="46" t="str">
        <f aca="false">IF($D276="Panel Details",IF($Z276="Primary",$J276,$L276),"")</f>
        <v/>
      </c>
      <c r="AH276" s="46" t="str">
        <f aca="false">IF($D276="Panel Details",IF($Z276="Primary",$L276,$J276),"")</f>
        <v/>
      </c>
      <c r="AI276" s="46" t="str">
        <f aca="false">IF($D276="Panel Details",'Survey Response'!$H274,"")</f>
        <v/>
      </c>
      <c r="AJ276" s="46" t="str">
        <f aca="false">IF($D276="Panel Details",'Survey Response'!$M274,"")</f>
        <v/>
      </c>
      <c r="AK276" s="46" t="str">
        <f aca="false">IF($D276="Panel Details",$O276,"")</f>
        <v/>
      </c>
      <c r="AL276" s="46" t="str">
        <f aca="false">IF($D276="Panel Details",8,"")</f>
        <v/>
      </c>
      <c r="AM276" s="46" t="str">
        <f aca="false">IF($D276="Panel Details",$AB276,"")</f>
        <v/>
      </c>
      <c r="AN276" s="46" t="str">
        <f aca="false">IF($D276="Panel Details","Yes","")</f>
        <v/>
      </c>
      <c r="AO276" s="46"/>
      <c r="AP276" s="46" t="str">
        <f aca="false">IF($D276="Followup",'Survey Response'!$D274,"")</f>
        <v/>
      </c>
      <c r="AQ276" s="46" t="str">
        <f aca="false">IF($D276="Followup",'Survey Response'!$E274,"")</f>
        <v/>
      </c>
      <c r="AR276" s="46" t="str">
        <f aca="false">IF($D276="Followup",'Survey Response'!$G274,"")</f>
        <v/>
      </c>
      <c r="AS276" s="46" t="str">
        <f aca="false">IF($D276="Followup",'Survey Response'!$H274,"")</f>
        <v/>
      </c>
      <c r="AT276" s="46" t="str">
        <f aca="false">IF($D276="Followup",'Survey Response'!$M274,"")</f>
        <v/>
      </c>
      <c r="AU276" s="46" t="str">
        <f aca="false">IF($D276="Followup",'Survey Response'!$K274,"")</f>
        <v/>
      </c>
      <c r="AV276" s="46" t="str">
        <f aca="false">IF($D276="Followup",'Survey Response'!$L274,"")</f>
        <v/>
      </c>
      <c r="AW276" s="46" t="str">
        <f aca="false">IF($D276="Followup",IF(AND($P276&lt;&gt;"Yes",$U276&lt;&gt;"Yes"),"Not approved for primary or secondary skill","Approved, but skill(s) no longer have capacity (fully staffed)"),"")</f>
        <v/>
      </c>
    </row>
    <row r="277" customFormat="false" ht="15" hidden="false" customHeight="true" outlineLevel="0" collapsed="false">
      <c r="A277" s="46" t="str">
        <f aca="false">IF('Survey Response'!$D275="","",'Survey Response'!$A275&amp;"|"&amp;LOWER(TRIM('Survey Response'!$D275)))</f>
        <v/>
      </c>
      <c r="B277" s="46" t="str">
        <f aca="false">IF($H277="","",$F277&amp;"|"&amp;$H277)</f>
        <v/>
      </c>
      <c r="C277" s="46" t="str">
        <f aca="false">IF($H277="","",$A277=$B277)</f>
        <v/>
      </c>
      <c r="D277" s="46" t="str">
        <f aca="false">IF($H277="","",IF($E277&lt;&gt;"Yes","Superseded",IF($I277&lt;&gt;"Yes, I'm available for in-person interviews at Chennai","Not Available",IF($Z277&lt;&gt;"","Panel Details","Followup"))))</f>
        <v/>
      </c>
      <c r="E277" s="46" t="str">
        <f aca="false">IF($H277="","",IF(SUMPRODUCT(($H$4:$H$503=$H277)*(($G$4:$G$503&gt;$G277)+($G$4:$G$503=$G277)*($F$4:$F$503&gt;$F277)))=0,"Yes","No"))</f>
        <v/>
      </c>
      <c r="F277" s="47" t="str">
        <f aca="false">IF('Survey Response'!$D275="","",INT('Survey Response'!$A275))</f>
        <v/>
      </c>
      <c r="G277" s="46" t="str">
        <f aca="false">IF('Survey Response'!$D275="","",'Survey Response'!$C275)</f>
        <v/>
      </c>
      <c r="H277" s="46" t="str">
        <f aca="false">IF('Survey Response'!$D275="","",LOWER(TRIM('Survey Response'!$D275)))</f>
        <v/>
      </c>
      <c r="I277" s="46" t="str">
        <f aca="false">IF($H277="","",'Survey Response'!$I275)</f>
        <v/>
      </c>
      <c r="J277" s="46" t="str">
        <f aca="false">IF($H277="","",'Survey Response'!$K275)</f>
        <v/>
      </c>
      <c r="K277" s="46" t="str">
        <f aca="false">IF($J277="","",IF(COUNTIF('Skill Mapping'!$A$2:$A$7,TRIM($J277))=0,"",INDEX('Skill Mapping'!$B$2:$B$7,MATCH(TRIM($J277),'Skill Mapping'!$A$2:$A$7,0))))</f>
        <v/>
      </c>
      <c r="L277" s="46" t="str">
        <f aca="false">IF($H277="","",'Survey Response'!$L275)</f>
        <v/>
      </c>
      <c r="M277" s="46" t="str">
        <f aca="false">IF($L277="","",IF(COUNTIF('Skill Mapping'!$A$2:$A$7,TRIM($L277))=0,"",INDEX('Skill Mapping'!$B$2:$B$7,MATCH(TRIM($L277),'Skill Mapping'!$A$2:$A$7,0))))</f>
        <v/>
      </c>
      <c r="N277" s="46" t="str">
        <f aca="false">IF($H277="","",'Survey Response'!$M275)</f>
        <v/>
      </c>
      <c r="O277" s="46" t="str">
        <f aca="false">IF($H277="","",IF('Survey Response'!$M275="Manager","R2","R1"))</f>
        <v/>
      </c>
      <c r="P277" s="46" t="str">
        <f aca="false">IF($K277="","No",IF(COUNTIFS(MasterPanel!$B:$B,$H277,MasterPanel!$I:$I,$K277,MasterPanel!$K:$K,"Y")&gt;0,"Yes","No"))</f>
        <v>No</v>
      </c>
      <c r="Q277" s="46" t="n">
        <f aca="false">IF($K277="",0,IF(COUNTIF('Gap Sheet'!$A$6:$A$11,TRIM($J277))=0,0,IF($O277="R1",INDEX('Gap Sheet'!$C$6:$C$11,MATCH(TRIM($J277),'Gap Sheet'!$A$6:$A$11,0)),INDEX('Gap Sheet'!$G$6:$G$11,MATCH(TRIM($J277),'Gap Sheet'!$A$6:$A$11,0)))))</f>
        <v>0</v>
      </c>
      <c r="R277" s="46" t="str">
        <f aca="false">IF($K277="","",$K277&amp;"|"&amp;$O277)</f>
        <v/>
      </c>
      <c r="S277" s="46" t="n">
        <f aca="false">IF($R277="",0,COUNTIF($AA$4:$AA276,$R277))</f>
        <v>0</v>
      </c>
      <c r="T277" s="46" t="str">
        <f aca="false">IF(OR($I277&lt;&gt;"Yes, I'm available for in-person interviews at Chennai",$E277&lt;&gt;"Yes",$P277&lt;&gt;"Yes"),"No",IF(($Q277-$S277)&gt;0,"Yes","No"))</f>
        <v>No</v>
      </c>
      <c r="U277" s="46" t="str">
        <f aca="false">IF($M277="","No",IF(COUNTIFS(MasterPanel!$B:$B,$H277,MasterPanel!$I:$I,$M277,MasterPanel!$K:$K,"Y")&gt;0,"Yes","No"))</f>
        <v>No</v>
      </c>
      <c r="V277" s="46" t="n">
        <f aca="false">IF($M277="",0,IF(COUNTIF('Gap Sheet'!$A$6:$A$11,TRIM($L277))=0,0,IF($O277="R1",INDEX('Gap Sheet'!$C$6:$C$11,MATCH(TRIM($L277),'Gap Sheet'!$A$6:$A$11,0)),INDEX('Gap Sheet'!$G$6:$G$11,MATCH(TRIM($L277),'Gap Sheet'!$A$6:$A$11,0)))))</f>
        <v>0</v>
      </c>
      <c r="W277" s="46" t="str">
        <f aca="false">IF($M277="","",$M277&amp;"|"&amp;$O277)</f>
        <v/>
      </c>
      <c r="X277" s="46" t="n">
        <f aca="false">IF($W277="",0,COUNTIF($AA$4:$AA276,$W277))</f>
        <v>0</v>
      </c>
      <c r="Y277" s="46" t="str">
        <f aca="false">IF(OR($I277&lt;&gt;"Yes, I'm available for in-person interviews at Chennai",$E277&lt;&gt;"Yes",$T277="Yes",$U277&lt;&gt;"Yes"),"No",IF(($V277-$X277)&gt;0,"Yes","No"))</f>
        <v>No</v>
      </c>
      <c r="Z277" s="46" t="str">
        <f aca="false">IF($T277="Yes","Primary",IF($Y277="Yes","Secondary",""))</f>
        <v/>
      </c>
      <c r="AA277" s="46" t="str">
        <f aca="false">IF($Z277="Primary",$R277,IF($Z277="Secondary",$W277,""))</f>
        <v/>
      </c>
      <c r="AB277" s="46" t="str">
        <f aca="false">IF($Z277="Primary","Matched on primary skill",IF($Z277="Secondary","Matched on secondary skill (primary not approved or not required)",""))</f>
        <v/>
      </c>
      <c r="AC277" s="47" t="str">
        <f aca="false">IF($D277="Panel Details",$F277,"")</f>
        <v/>
      </c>
      <c r="AD277" s="46" t="str">
        <f aca="false">IF($D277="Panel Details",'Survey Response'!$D275,"")</f>
        <v/>
      </c>
      <c r="AE277" s="46" t="str">
        <f aca="false">IF($D277="Panel Details",'Survey Response'!$E275,"")</f>
        <v/>
      </c>
      <c r="AF277" s="46" t="str">
        <f aca="false">IF($D277="Panel Details",'Survey Response'!$G275,"")</f>
        <v/>
      </c>
      <c r="AG277" s="46" t="str">
        <f aca="false">IF($D277="Panel Details",IF($Z277="Primary",$J277,$L277),"")</f>
        <v/>
      </c>
      <c r="AH277" s="46" t="str">
        <f aca="false">IF($D277="Panel Details",IF($Z277="Primary",$L277,$J277),"")</f>
        <v/>
      </c>
      <c r="AI277" s="46" t="str">
        <f aca="false">IF($D277="Panel Details",'Survey Response'!$H275,"")</f>
        <v/>
      </c>
      <c r="AJ277" s="46" t="str">
        <f aca="false">IF($D277="Panel Details",'Survey Response'!$M275,"")</f>
        <v/>
      </c>
      <c r="AK277" s="46" t="str">
        <f aca="false">IF($D277="Panel Details",$O277,"")</f>
        <v/>
      </c>
      <c r="AL277" s="46" t="str">
        <f aca="false">IF($D277="Panel Details",8,"")</f>
        <v/>
      </c>
      <c r="AM277" s="46" t="str">
        <f aca="false">IF($D277="Panel Details",$AB277,"")</f>
        <v/>
      </c>
      <c r="AN277" s="46" t="str">
        <f aca="false">IF($D277="Panel Details","Yes","")</f>
        <v/>
      </c>
      <c r="AO277" s="46"/>
      <c r="AP277" s="46" t="str">
        <f aca="false">IF($D277="Followup",'Survey Response'!$D275,"")</f>
        <v/>
      </c>
      <c r="AQ277" s="46" t="str">
        <f aca="false">IF($D277="Followup",'Survey Response'!$E275,"")</f>
        <v/>
      </c>
      <c r="AR277" s="46" t="str">
        <f aca="false">IF($D277="Followup",'Survey Response'!$G275,"")</f>
        <v/>
      </c>
      <c r="AS277" s="46" t="str">
        <f aca="false">IF($D277="Followup",'Survey Response'!$H275,"")</f>
        <v/>
      </c>
      <c r="AT277" s="46" t="str">
        <f aca="false">IF($D277="Followup",'Survey Response'!$M275,"")</f>
        <v/>
      </c>
      <c r="AU277" s="46" t="str">
        <f aca="false">IF($D277="Followup",'Survey Response'!$K275,"")</f>
        <v/>
      </c>
      <c r="AV277" s="46" t="str">
        <f aca="false">IF($D277="Followup",'Survey Response'!$L275,"")</f>
        <v/>
      </c>
      <c r="AW277" s="46" t="str">
        <f aca="false">IF($D277="Followup",IF(AND($P277&lt;&gt;"Yes",$U277&lt;&gt;"Yes"),"Not approved for primary or secondary skill","Approved, but skill(s) no longer have capacity (fully staffed)"),"")</f>
        <v/>
      </c>
    </row>
    <row r="278" customFormat="false" ht="15" hidden="false" customHeight="true" outlineLevel="0" collapsed="false">
      <c r="A278" s="46" t="str">
        <f aca="false">IF('Survey Response'!$D276="","",'Survey Response'!$A276&amp;"|"&amp;LOWER(TRIM('Survey Response'!$D276)))</f>
        <v/>
      </c>
      <c r="B278" s="46" t="str">
        <f aca="false">IF($H278="","",$F278&amp;"|"&amp;$H278)</f>
        <v/>
      </c>
      <c r="C278" s="46" t="str">
        <f aca="false">IF($H278="","",$A278=$B278)</f>
        <v/>
      </c>
      <c r="D278" s="46" t="str">
        <f aca="false">IF($H278="","",IF($E278&lt;&gt;"Yes","Superseded",IF($I278&lt;&gt;"Yes, I'm available for in-person interviews at Chennai","Not Available",IF($Z278&lt;&gt;"","Panel Details","Followup"))))</f>
        <v/>
      </c>
      <c r="E278" s="46" t="str">
        <f aca="false">IF($H278="","",IF(SUMPRODUCT(($H$4:$H$503=$H278)*(($G$4:$G$503&gt;$G278)+($G$4:$G$503=$G278)*($F$4:$F$503&gt;$F278)))=0,"Yes","No"))</f>
        <v/>
      </c>
      <c r="F278" s="47" t="str">
        <f aca="false">IF('Survey Response'!$D276="","",INT('Survey Response'!$A276))</f>
        <v/>
      </c>
      <c r="G278" s="46" t="str">
        <f aca="false">IF('Survey Response'!$D276="","",'Survey Response'!$C276)</f>
        <v/>
      </c>
      <c r="H278" s="46" t="str">
        <f aca="false">IF('Survey Response'!$D276="","",LOWER(TRIM('Survey Response'!$D276)))</f>
        <v/>
      </c>
      <c r="I278" s="46" t="str">
        <f aca="false">IF($H278="","",'Survey Response'!$I276)</f>
        <v/>
      </c>
      <c r="J278" s="46" t="str">
        <f aca="false">IF($H278="","",'Survey Response'!$K276)</f>
        <v/>
      </c>
      <c r="K278" s="46" t="str">
        <f aca="false">IF($J278="","",IF(COUNTIF('Skill Mapping'!$A$2:$A$7,TRIM($J278))=0,"",INDEX('Skill Mapping'!$B$2:$B$7,MATCH(TRIM($J278),'Skill Mapping'!$A$2:$A$7,0))))</f>
        <v/>
      </c>
      <c r="L278" s="46" t="str">
        <f aca="false">IF($H278="","",'Survey Response'!$L276)</f>
        <v/>
      </c>
      <c r="M278" s="46" t="str">
        <f aca="false">IF($L278="","",IF(COUNTIF('Skill Mapping'!$A$2:$A$7,TRIM($L278))=0,"",INDEX('Skill Mapping'!$B$2:$B$7,MATCH(TRIM($L278),'Skill Mapping'!$A$2:$A$7,0))))</f>
        <v/>
      </c>
      <c r="N278" s="46" t="str">
        <f aca="false">IF($H278="","",'Survey Response'!$M276)</f>
        <v/>
      </c>
      <c r="O278" s="46" t="str">
        <f aca="false">IF($H278="","",IF('Survey Response'!$M276="Manager","R2","R1"))</f>
        <v/>
      </c>
      <c r="P278" s="46" t="str">
        <f aca="false">IF($K278="","No",IF(COUNTIFS(MasterPanel!$B:$B,$H278,MasterPanel!$I:$I,$K278,MasterPanel!$K:$K,"Y")&gt;0,"Yes","No"))</f>
        <v>No</v>
      </c>
      <c r="Q278" s="46" t="n">
        <f aca="false">IF($K278="",0,IF(COUNTIF('Gap Sheet'!$A$6:$A$11,TRIM($J278))=0,0,IF($O278="R1",INDEX('Gap Sheet'!$C$6:$C$11,MATCH(TRIM($J278),'Gap Sheet'!$A$6:$A$11,0)),INDEX('Gap Sheet'!$G$6:$G$11,MATCH(TRIM($J278),'Gap Sheet'!$A$6:$A$11,0)))))</f>
        <v>0</v>
      </c>
      <c r="R278" s="46" t="str">
        <f aca="false">IF($K278="","",$K278&amp;"|"&amp;$O278)</f>
        <v/>
      </c>
      <c r="S278" s="46" t="n">
        <f aca="false">IF($R278="",0,COUNTIF($AA$4:$AA277,$R278))</f>
        <v>0</v>
      </c>
      <c r="T278" s="46" t="str">
        <f aca="false">IF(OR($I278&lt;&gt;"Yes, I'm available for in-person interviews at Chennai",$E278&lt;&gt;"Yes",$P278&lt;&gt;"Yes"),"No",IF(($Q278-$S278)&gt;0,"Yes","No"))</f>
        <v>No</v>
      </c>
      <c r="U278" s="46" t="str">
        <f aca="false">IF($M278="","No",IF(COUNTIFS(MasterPanel!$B:$B,$H278,MasterPanel!$I:$I,$M278,MasterPanel!$K:$K,"Y")&gt;0,"Yes","No"))</f>
        <v>No</v>
      </c>
      <c r="V278" s="46" t="n">
        <f aca="false">IF($M278="",0,IF(COUNTIF('Gap Sheet'!$A$6:$A$11,TRIM($L278))=0,0,IF($O278="R1",INDEX('Gap Sheet'!$C$6:$C$11,MATCH(TRIM($L278),'Gap Sheet'!$A$6:$A$11,0)),INDEX('Gap Sheet'!$G$6:$G$11,MATCH(TRIM($L278),'Gap Sheet'!$A$6:$A$11,0)))))</f>
        <v>0</v>
      </c>
      <c r="W278" s="46" t="str">
        <f aca="false">IF($M278="","",$M278&amp;"|"&amp;$O278)</f>
        <v/>
      </c>
      <c r="X278" s="46" t="n">
        <f aca="false">IF($W278="",0,COUNTIF($AA$4:$AA277,$W278))</f>
        <v>0</v>
      </c>
      <c r="Y278" s="46" t="str">
        <f aca="false">IF(OR($I278&lt;&gt;"Yes, I'm available for in-person interviews at Chennai",$E278&lt;&gt;"Yes",$T278="Yes",$U278&lt;&gt;"Yes"),"No",IF(($V278-$X278)&gt;0,"Yes","No"))</f>
        <v>No</v>
      </c>
      <c r="Z278" s="46" t="str">
        <f aca="false">IF($T278="Yes","Primary",IF($Y278="Yes","Secondary",""))</f>
        <v/>
      </c>
      <c r="AA278" s="46" t="str">
        <f aca="false">IF($Z278="Primary",$R278,IF($Z278="Secondary",$W278,""))</f>
        <v/>
      </c>
      <c r="AB278" s="46" t="str">
        <f aca="false">IF($Z278="Primary","Matched on primary skill",IF($Z278="Secondary","Matched on secondary skill (primary not approved or not required)",""))</f>
        <v/>
      </c>
      <c r="AC278" s="47" t="str">
        <f aca="false">IF($D278="Panel Details",$F278,"")</f>
        <v/>
      </c>
      <c r="AD278" s="46" t="str">
        <f aca="false">IF($D278="Panel Details",'Survey Response'!$D276,"")</f>
        <v/>
      </c>
      <c r="AE278" s="46" t="str">
        <f aca="false">IF($D278="Panel Details",'Survey Response'!$E276,"")</f>
        <v/>
      </c>
      <c r="AF278" s="46" t="str">
        <f aca="false">IF($D278="Panel Details",'Survey Response'!$G276,"")</f>
        <v/>
      </c>
      <c r="AG278" s="46" t="str">
        <f aca="false">IF($D278="Panel Details",IF($Z278="Primary",$J278,$L278),"")</f>
        <v/>
      </c>
      <c r="AH278" s="46" t="str">
        <f aca="false">IF($D278="Panel Details",IF($Z278="Primary",$L278,$J278),"")</f>
        <v/>
      </c>
      <c r="AI278" s="46" t="str">
        <f aca="false">IF($D278="Panel Details",'Survey Response'!$H276,"")</f>
        <v/>
      </c>
      <c r="AJ278" s="46" t="str">
        <f aca="false">IF($D278="Panel Details",'Survey Response'!$M276,"")</f>
        <v/>
      </c>
      <c r="AK278" s="46" t="str">
        <f aca="false">IF($D278="Panel Details",$O278,"")</f>
        <v/>
      </c>
      <c r="AL278" s="46" t="str">
        <f aca="false">IF($D278="Panel Details",8,"")</f>
        <v/>
      </c>
      <c r="AM278" s="46" t="str">
        <f aca="false">IF($D278="Panel Details",$AB278,"")</f>
        <v/>
      </c>
      <c r="AN278" s="46" t="str">
        <f aca="false">IF($D278="Panel Details","Yes","")</f>
        <v/>
      </c>
      <c r="AO278" s="46"/>
      <c r="AP278" s="46" t="str">
        <f aca="false">IF($D278="Followup",'Survey Response'!$D276,"")</f>
        <v/>
      </c>
      <c r="AQ278" s="46" t="str">
        <f aca="false">IF($D278="Followup",'Survey Response'!$E276,"")</f>
        <v/>
      </c>
      <c r="AR278" s="46" t="str">
        <f aca="false">IF($D278="Followup",'Survey Response'!$G276,"")</f>
        <v/>
      </c>
      <c r="AS278" s="46" t="str">
        <f aca="false">IF($D278="Followup",'Survey Response'!$H276,"")</f>
        <v/>
      </c>
      <c r="AT278" s="46" t="str">
        <f aca="false">IF($D278="Followup",'Survey Response'!$M276,"")</f>
        <v/>
      </c>
      <c r="AU278" s="46" t="str">
        <f aca="false">IF($D278="Followup",'Survey Response'!$K276,"")</f>
        <v/>
      </c>
      <c r="AV278" s="46" t="str">
        <f aca="false">IF($D278="Followup",'Survey Response'!$L276,"")</f>
        <v/>
      </c>
      <c r="AW278" s="46" t="str">
        <f aca="false">IF($D278="Followup",IF(AND($P278&lt;&gt;"Yes",$U278&lt;&gt;"Yes"),"Not approved for primary or secondary skill","Approved, but skill(s) no longer have capacity (fully staffed)"),"")</f>
        <v/>
      </c>
    </row>
    <row r="279" customFormat="false" ht="15" hidden="false" customHeight="true" outlineLevel="0" collapsed="false">
      <c r="A279" s="46" t="str">
        <f aca="false">IF('Survey Response'!$D277="","",'Survey Response'!$A277&amp;"|"&amp;LOWER(TRIM('Survey Response'!$D277)))</f>
        <v/>
      </c>
      <c r="B279" s="46" t="str">
        <f aca="false">IF($H279="","",$F279&amp;"|"&amp;$H279)</f>
        <v/>
      </c>
      <c r="C279" s="46" t="str">
        <f aca="false">IF($H279="","",$A279=$B279)</f>
        <v/>
      </c>
      <c r="D279" s="46" t="str">
        <f aca="false">IF($H279="","",IF($E279&lt;&gt;"Yes","Superseded",IF($I279&lt;&gt;"Yes, I'm available for in-person interviews at Chennai","Not Available",IF($Z279&lt;&gt;"","Panel Details","Followup"))))</f>
        <v/>
      </c>
      <c r="E279" s="46" t="str">
        <f aca="false">IF($H279="","",IF(SUMPRODUCT(($H$4:$H$503=$H279)*(($G$4:$G$503&gt;$G279)+($G$4:$G$503=$G279)*($F$4:$F$503&gt;$F279)))=0,"Yes","No"))</f>
        <v/>
      </c>
      <c r="F279" s="47" t="str">
        <f aca="false">IF('Survey Response'!$D277="","",INT('Survey Response'!$A277))</f>
        <v/>
      </c>
      <c r="G279" s="46" t="str">
        <f aca="false">IF('Survey Response'!$D277="","",'Survey Response'!$C277)</f>
        <v/>
      </c>
      <c r="H279" s="46" t="str">
        <f aca="false">IF('Survey Response'!$D277="","",LOWER(TRIM('Survey Response'!$D277)))</f>
        <v/>
      </c>
      <c r="I279" s="46" t="str">
        <f aca="false">IF($H279="","",'Survey Response'!$I277)</f>
        <v/>
      </c>
      <c r="J279" s="46" t="str">
        <f aca="false">IF($H279="","",'Survey Response'!$K277)</f>
        <v/>
      </c>
      <c r="K279" s="46" t="str">
        <f aca="false">IF($J279="","",IF(COUNTIF('Skill Mapping'!$A$2:$A$7,TRIM($J279))=0,"",INDEX('Skill Mapping'!$B$2:$B$7,MATCH(TRIM($J279),'Skill Mapping'!$A$2:$A$7,0))))</f>
        <v/>
      </c>
      <c r="L279" s="46" t="str">
        <f aca="false">IF($H279="","",'Survey Response'!$L277)</f>
        <v/>
      </c>
      <c r="M279" s="46" t="str">
        <f aca="false">IF($L279="","",IF(COUNTIF('Skill Mapping'!$A$2:$A$7,TRIM($L279))=0,"",INDEX('Skill Mapping'!$B$2:$B$7,MATCH(TRIM($L279),'Skill Mapping'!$A$2:$A$7,0))))</f>
        <v/>
      </c>
      <c r="N279" s="46" t="str">
        <f aca="false">IF($H279="","",'Survey Response'!$M277)</f>
        <v/>
      </c>
      <c r="O279" s="46" t="str">
        <f aca="false">IF($H279="","",IF('Survey Response'!$M277="Manager","R2","R1"))</f>
        <v/>
      </c>
      <c r="P279" s="46" t="str">
        <f aca="false">IF($K279="","No",IF(COUNTIFS(MasterPanel!$B:$B,$H279,MasterPanel!$I:$I,$K279,MasterPanel!$K:$K,"Y")&gt;0,"Yes","No"))</f>
        <v>No</v>
      </c>
      <c r="Q279" s="46" t="n">
        <f aca="false">IF($K279="",0,IF(COUNTIF('Gap Sheet'!$A$6:$A$11,TRIM($J279))=0,0,IF($O279="R1",INDEX('Gap Sheet'!$C$6:$C$11,MATCH(TRIM($J279),'Gap Sheet'!$A$6:$A$11,0)),INDEX('Gap Sheet'!$G$6:$G$11,MATCH(TRIM($J279),'Gap Sheet'!$A$6:$A$11,0)))))</f>
        <v>0</v>
      </c>
      <c r="R279" s="46" t="str">
        <f aca="false">IF($K279="","",$K279&amp;"|"&amp;$O279)</f>
        <v/>
      </c>
      <c r="S279" s="46" t="n">
        <f aca="false">IF($R279="",0,COUNTIF($AA$4:$AA278,$R279))</f>
        <v>0</v>
      </c>
      <c r="T279" s="46" t="str">
        <f aca="false">IF(OR($I279&lt;&gt;"Yes, I'm available for in-person interviews at Chennai",$E279&lt;&gt;"Yes",$P279&lt;&gt;"Yes"),"No",IF(($Q279-$S279)&gt;0,"Yes","No"))</f>
        <v>No</v>
      </c>
      <c r="U279" s="46" t="str">
        <f aca="false">IF($M279="","No",IF(COUNTIFS(MasterPanel!$B:$B,$H279,MasterPanel!$I:$I,$M279,MasterPanel!$K:$K,"Y")&gt;0,"Yes","No"))</f>
        <v>No</v>
      </c>
      <c r="V279" s="46" t="n">
        <f aca="false">IF($M279="",0,IF(COUNTIF('Gap Sheet'!$A$6:$A$11,TRIM($L279))=0,0,IF($O279="R1",INDEX('Gap Sheet'!$C$6:$C$11,MATCH(TRIM($L279),'Gap Sheet'!$A$6:$A$11,0)),INDEX('Gap Sheet'!$G$6:$G$11,MATCH(TRIM($L279),'Gap Sheet'!$A$6:$A$11,0)))))</f>
        <v>0</v>
      </c>
      <c r="W279" s="46" t="str">
        <f aca="false">IF($M279="","",$M279&amp;"|"&amp;$O279)</f>
        <v/>
      </c>
      <c r="X279" s="46" t="n">
        <f aca="false">IF($W279="",0,COUNTIF($AA$4:$AA278,$W279))</f>
        <v>0</v>
      </c>
      <c r="Y279" s="46" t="str">
        <f aca="false">IF(OR($I279&lt;&gt;"Yes, I'm available for in-person interviews at Chennai",$E279&lt;&gt;"Yes",$T279="Yes",$U279&lt;&gt;"Yes"),"No",IF(($V279-$X279)&gt;0,"Yes","No"))</f>
        <v>No</v>
      </c>
      <c r="Z279" s="46" t="str">
        <f aca="false">IF($T279="Yes","Primary",IF($Y279="Yes","Secondary",""))</f>
        <v/>
      </c>
      <c r="AA279" s="46" t="str">
        <f aca="false">IF($Z279="Primary",$R279,IF($Z279="Secondary",$W279,""))</f>
        <v/>
      </c>
      <c r="AB279" s="46" t="str">
        <f aca="false">IF($Z279="Primary","Matched on primary skill",IF($Z279="Secondary","Matched on secondary skill (primary not approved or not required)",""))</f>
        <v/>
      </c>
      <c r="AC279" s="47" t="str">
        <f aca="false">IF($D279="Panel Details",$F279,"")</f>
        <v/>
      </c>
      <c r="AD279" s="46" t="str">
        <f aca="false">IF($D279="Panel Details",'Survey Response'!$D277,"")</f>
        <v/>
      </c>
      <c r="AE279" s="46" t="str">
        <f aca="false">IF($D279="Panel Details",'Survey Response'!$E277,"")</f>
        <v/>
      </c>
      <c r="AF279" s="46" t="str">
        <f aca="false">IF($D279="Panel Details",'Survey Response'!$G277,"")</f>
        <v/>
      </c>
      <c r="AG279" s="46" t="str">
        <f aca="false">IF($D279="Panel Details",IF($Z279="Primary",$J279,$L279),"")</f>
        <v/>
      </c>
      <c r="AH279" s="46" t="str">
        <f aca="false">IF($D279="Panel Details",IF($Z279="Primary",$L279,$J279),"")</f>
        <v/>
      </c>
      <c r="AI279" s="46" t="str">
        <f aca="false">IF($D279="Panel Details",'Survey Response'!$H277,"")</f>
        <v/>
      </c>
      <c r="AJ279" s="46" t="str">
        <f aca="false">IF($D279="Panel Details",'Survey Response'!$M277,"")</f>
        <v/>
      </c>
      <c r="AK279" s="46" t="str">
        <f aca="false">IF($D279="Panel Details",$O279,"")</f>
        <v/>
      </c>
      <c r="AL279" s="46" t="str">
        <f aca="false">IF($D279="Panel Details",8,"")</f>
        <v/>
      </c>
      <c r="AM279" s="46" t="str">
        <f aca="false">IF($D279="Panel Details",$AB279,"")</f>
        <v/>
      </c>
      <c r="AN279" s="46" t="str">
        <f aca="false">IF($D279="Panel Details","Yes","")</f>
        <v/>
      </c>
      <c r="AO279" s="46"/>
      <c r="AP279" s="46" t="str">
        <f aca="false">IF($D279="Followup",'Survey Response'!$D277,"")</f>
        <v/>
      </c>
      <c r="AQ279" s="46" t="str">
        <f aca="false">IF($D279="Followup",'Survey Response'!$E277,"")</f>
        <v/>
      </c>
      <c r="AR279" s="46" t="str">
        <f aca="false">IF($D279="Followup",'Survey Response'!$G277,"")</f>
        <v/>
      </c>
      <c r="AS279" s="46" t="str">
        <f aca="false">IF($D279="Followup",'Survey Response'!$H277,"")</f>
        <v/>
      </c>
      <c r="AT279" s="46" t="str">
        <f aca="false">IF($D279="Followup",'Survey Response'!$M277,"")</f>
        <v/>
      </c>
      <c r="AU279" s="46" t="str">
        <f aca="false">IF($D279="Followup",'Survey Response'!$K277,"")</f>
        <v/>
      </c>
      <c r="AV279" s="46" t="str">
        <f aca="false">IF($D279="Followup",'Survey Response'!$L277,"")</f>
        <v/>
      </c>
      <c r="AW279" s="46" t="str">
        <f aca="false">IF($D279="Followup",IF(AND($P279&lt;&gt;"Yes",$U279&lt;&gt;"Yes"),"Not approved for primary or secondary skill","Approved, but skill(s) no longer have capacity (fully staffed)"),"")</f>
        <v/>
      </c>
    </row>
    <row r="280" customFormat="false" ht="15" hidden="false" customHeight="true" outlineLevel="0" collapsed="false">
      <c r="A280" s="46" t="str">
        <f aca="false">IF('Survey Response'!$D278="","",'Survey Response'!$A278&amp;"|"&amp;LOWER(TRIM('Survey Response'!$D278)))</f>
        <v/>
      </c>
      <c r="B280" s="46" t="str">
        <f aca="false">IF($H280="","",$F280&amp;"|"&amp;$H280)</f>
        <v/>
      </c>
      <c r="C280" s="46" t="str">
        <f aca="false">IF($H280="","",$A280=$B280)</f>
        <v/>
      </c>
      <c r="D280" s="46" t="str">
        <f aca="false">IF($H280="","",IF($E280&lt;&gt;"Yes","Superseded",IF($I280&lt;&gt;"Yes, I'm available for in-person interviews at Chennai","Not Available",IF($Z280&lt;&gt;"","Panel Details","Followup"))))</f>
        <v/>
      </c>
      <c r="E280" s="46" t="str">
        <f aca="false">IF($H280="","",IF(SUMPRODUCT(($H$4:$H$503=$H280)*(($G$4:$G$503&gt;$G280)+($G$4:$G$503=$G280)*($F$4:$F$503&gt;$F280)))=0,"Yes","No"))</f>
        <v/>
      </c>
      <c r="F280" s="47" t="str">
        <f aca="false">IF('Survey Response'!$D278="","",INT('Survey Response'!$A278))</f>
        <v/>
      </c>
      <c r="G280" s="46" t="str">
        <f aca="false">IF('Survey Response'!$D278="","",'Survey Response'!$C278)</f>
        <v/>
      </c>
      <c r="H280" s="46" t="str">
        <f aca="false">IF('Survey Response'!$D278="","",LOWER(TRIM('Survey Response'!$D278)))</f>
        <v/>
      </c>
      <c r="I280" s="46" t="str">
        <f aca="false">IF($H280="","",'Survey Response'!$I278)</f>
        <v/>
      </c>
      <c r="J280" s="46" t="str">
        <f aca="false">IF($H280="","",'Survey Response'!$K278)</f>
        <v/>
      </c>
      <c r="K280" s="46" t="str">
        <f aca="false">IF($J280="","",IF(COUNTIF('Skill Mapping'!$A$2:$A$7,TRIM($J280))=0,"",INDEX('Skill Mapping'!$B$2:$B$7,MATCH(TRIM($J280),'Skill Mapping'!$A$2:$A$7,0))))</f>
        <v/>
      </c>
      <c r="L280" s="46" t="str">
        <f aca="false">IF($H280="","",'Survey Response'!$L278)</f>
        <v/>
      </c>
      <c r="M280" s="46" t="str">
        <f aca="false">IF($L280="","",IF(COUNTIF('Skill Mapping'!$A$2:$A$7,TRIM($L280))=0,"",INDEX('Skill Mapping'!$B$2:$B$7,MATCH(TRIM($L280),'Skill Mapping'!$A$2:$A$7,0))))</f>
        <v/>
      </c>
      <c r="N280" s="46" t="str">
        <f aca="false">IF($H280="","",'Survey Response'!$M278)</f>
        <v/>
      </c>
      <c r="O280" s="46" t="str">
        <f aca="false">IF($H280="","",IF('Survey Response'!$M278="Manager","R2","R1"))</f>
        <v/>
      </c>
      <c r="P280" s="46" t="str">
        <f aca="false">IF($K280="","No",IF(COUNTIFS(MasterPanel!$B:$B,$H280,MasterPanel!$I:$I,$K280,MasterPanel!$K:$K,"Y")&gt;0,"Yes","No"))</f>
        <v>No</v>
      </c>
      <c r="Q280" s="46" t="n">
        <f aca="false">IF($K280="",0,IF(COUNTIF('Gap Sheet'!$A$6:$A$11,TRIM($J280))=0,0,IF($O280="R1",INDEX('Gap Sheet'!$C$6:$C$11,MATCH(TRIM($J280),'Gap Sheet'!$A$6:$A$11,0)),INDEX('Gap Sheet'!$G$6:$G$11,MATCH(TRIM($J280),'Gap Sheet'!$A$6:$A$11,0)))))</f>
        <v>0</v>
      </c>
      <c r="R280" s="46" t="str">
        <f aca="false">IF($K280="","",$K280&amp;"|"&amp;$O280)</f>
        <v/>
      </c>
      <c r="S280" s="46" t="n">
        <f aca="false">IF($R280="",0,COUNTIF($AA$4:$AA279,$R280))</f>
        <v>0</v>
      </c>
      <c r="T280" s="46" t="str">
        <f aca="false">IF(OR($I280&lt;&gt;"Yes, I'm available for in-person interviews at Chennai",$E280&lt;&gt;"Yes",$P280&lt;&gt;"Yes"),"No",IF(($Q280-$S280)&gt;0,"Yes","No"))</f>
        <v>No</v>
      </c>
      <c r="U280" s="46" t="str">
        <f aca="false">IF($M280="","No",IF(COUNTIFS(MasterPanel!$B:$B,$H280,MasterPanel!$I:$I,$M280,MasterPanel!$K:$K,"Y")&gt;0,"Yes","No"))</f>
        <v>No</v>
      </c>
      <c r="V280" s="46" t="n">
        <f aca="false">IF($M280="",0,IF(COUNTIF('Gap Sheet'!$A$6:$A$11,TRIM($L280))=0,0,IF($O280="R1",INDEX('Gap Sheet'!$C$6:$C$11,MATCH(TRIM($L280),'Gap Sheet'!$A$6:$A$11,0)),INDEX('Gap Sheet'!$G$6:$G$11,MATCH(TRIM($L280),'Gap Sheet'!$A$6:$A$11,0)))))</f>
        <v>0</v>
      </c>
      <c r="W280" s="46" t="str">
        <f aca="false">IF($M280="","",$M280&amp;"|"&amp;$O280)</f>
        <v/>
      </c>
      <c r="X280" s="46" t="n">
        <f aca="false">IF($W280="",0,COUNTIF($AA$4:$AA279,$W280))</f>
        <v>0</v>
      </c>
      <c r="Y280" s="46" t="str">
        <f aca="false">IF(OR($I280&lt;&gt;"Yes, I'm available for in-person interviews at Chennai",$E280&lt;&gt;"Yes",$T280="Yes",$U280&lt;&gt;"Yes"),"No",IF(($V280-$X280)&gt;0,"Yes","No"))</f>
        <v>No</v>
      </c>
      <c r="Z280" s="46" t="str">
        <f aca="false">IF($T280="Yes","Primary",IF($Y280="Yes","Secondary",""))</f>
        <v/>
      </c>
      <c r="AA280" s="46" t="str">
        <f aca="false">IF($Z280="Primary",$R280,IF($Z280="Secondary",$W280,""))</f>
        <v/>
      </c>
      <c r="AB280" s="46" t="str">
        <f aca="false">IF($Z280="Primary","Matched on primary skill",IF($Z280="Secondary","Matched on secondary skill (primary not approved or not required)",""))</f>
        <v/>
      </c>
      <c r="AC280" s="47" t="str">
        <f aca="false">IF($D280="Panel Details",$F280,"")</f>
        <v/>
      </c>
      <c r="AD280" s="46" t="str">
        <f aca="false">IF($D280="Panel Details",'Survey Response'!$D278,"")</f>
        <v/>
      </c>
      <c r="AE280" s="46" t="str">
        <f aca="false">IF($D280="Panel Details",'Survey Response'!$E278,"")</f>
        <v/>
      </c>
      <c r="AF280" s="46" t="str">
        <f aca="false">IF($D280="Panel Details",'Survey Response'!$G278,"")</f>
        <v/>
      </c>
      <c r="AG280" s="46" t="str">
        <f aca="false">IF($D280="Panel Details",IF($Z280="Primary",$J280,$L280),"")</f>
        <v/>
      </c>
      <c r="AH280" s="46" t="str">
        <f aca="false">IF($D280="Panel Details",IF($Z280="Primary",$L280,$J280),"")</f>
        <v/>
      </c>
      <c r="AI280" s="46" t="str">
        <f aca="false">IF($D280="Panel Details",'Survey Response'!$H278,"")</f>
        <v/>
      </c>
      <c r="AJ280" s="46" t="str">
        <f aca="false">IF($D280="Panel Details",'Survey Response'!$M278,"")</f>
        <v/>
      </c>
      <c r="AK280" s="46" t="str">
        <f aca="false">IF($D280="Panel Details",$O280,"")</f>
        <v/>
      </c>
      <c r="AL280" s="46" t="str">
        <f aca="false">IF($D280="Panel Details",8,"")</f>
        <v/>
      </c>
      <c r="AM280" s="46" t="str">
        <f aca="false">IF($D280="Panel Details",$AB280,"")</f>
        <v/>
      </c>
      <c r="AN280" s="46" t="str">
        <f aca="false">IF($D280="Panel Details","Yes","")</f>
        <v/>
      </c>
      <c r="AO280" s="46"/>
      <c r="AP280" s="46" t="str">
        <f aca="false">IF($D280="Followup",'Survey Response'!$D278,"")</f>
        <v/>
      </c>
      <c r="AQ280" s="46" t="str">
        <f aca="false">IF($D280="Followup",'Survey Response'!$E278,"")</f>
        <v/>
      </c>
      <c r="AR280" s="46" t="str">
        <f aca="false">IF($D280="Followup",'Survey Response'!$G278,"")</f>
        <v/>
      </c>
      <c r="AS280" s="46" t="str">
        <f aca="false">IF($D280="Followup",'Survey Response'!$H278,"")</f>
        <v/>
      </c>
      <c r="AT280" s="46" t="str">
        <f aca="false">IF($D280="Followup",'Survey Response'!$M278,"")</f>
        <v/>
      </c>
      <c r="AU280" s="46" t="str">
        <f aca="false">IF($D280="Followup",'Survey Response'!$K278,"")</f>
        <v/>
      </c>
      <c r="AV280" s="46" t="str">
        <f aca="false">IF($D280="Followup",'Survey Response'!$L278,"")</f>
        <v/>
      </c>
      <c r="AW280" s="46" t="str">
        <f aca="false">IF($D280="Followup",IF(AND($P280&lt;&gt;"Yes",$U280&lt;&gt;"Yes"),"Not approved for primary or secondary skill","Approved, but skill(s) no longer have capacity (fully staffed)"),"")</f>
        <v/>
      </c>
    </row>
    <row r="281" customFormat="false" ht="15" hidden="false" customHeight="true" outlineLevel="0" collapsed="false">
      <c r="A281" s="46" t="str">
        <f aca="false">IF('Survey Response'!$D279="","",'Survey Response'!$A279&amp;"|"&amp;LOWER(TRIM('Survey Response'!$D279)))</f>
        <v/>
      </c>
      <c r="B281" s="46" t="str">
        <f aca="false">IF($H281="","",$F281&amp;"|"&amp;$H281)</f>
        <v/>
      </c>
      <c r="C281" s="46" t="str">
        <f aca="false">IF($H281="","",$A281=$B281)</f>
        <v/>
      </c>
      <c r="D281" s="46" t="str">
        <f aca="false">IF($H281="","",IF($E281&lt;&gt;"Yes","Superseded",IF($I281&lt;&gt;"Yes, I'm available for in-person interviews at Chennai","Not Available",IF($Z281&lt;&gt;"","Panel Details","Followup"))))</f>
        <v/>
      </c>
      <c r="E281" s="46" t="str">
        <f aca="false">IF($H281="","",IF(SUMPRODUCT(($H$4:$H$503=$H281)*(($G$4:$G$503&gt;$G281)+($G$4:$G$503=$G281)*($F$4:$F$503&gt;$F281)))=0,"Yes","No"))</f>
        <v/>
      </c>
      <c r="F281" s="47" t="str">
        <f aca="false">IF('Survey Response'!$D279="","",INT('Survey Response'!$A279))</f>
        <v/>
      </c>
      <c r="G281" s="46" t="str">
        <f aca="false">IF('Survey Response'!$D279="","",'Survey Response'!$C279)</f>
        <v/>
      </c>
      <c r="H281" s="46" t="str">
        <f aca="false">IF('Survey Response'!$D279="","",LOWER(TRIM('Survey Response'!$D279)))</f>
        <v/>
      </c>
      <c r="I281" s="46" t="str">
        <f aca="false">IF($H281="","",'Survey Response'!$I279)</f>
        <v/>
      </c>
      <c r="J281" s="46" t="str">
        <f aca="false">IF($H281="","",'Survey Response'!$K279)</f>
        <v/>
      </c>
      <c r="K281" s="46" t="str">
        <f aca="false">IF($J281="","",IF(COUNTIF('Skill Mapping'!$A$2:$A$7,TRIM($J281))=0,"",INDEX('Skill Mapping'!$B$2:$B$7,MATCH(TRIM($J281),'Skill Mapping'!$A$2:$A$7,0))))</f>
        <v/>
      </c>
      <c r="L281" s="46" t="str">
        <f aca="false">IF($H281="","",'Survey Response'!$L279)</f>
        <v/>
      </c>
      <c r="M281" s="46" t="str">
        <f aca="false">IF($L281="","",IF(COUNTIF('Skill Mapping'!$A$2:$A$7,TRIM($L281))=0,"",INDEX('Skill Mapping'!$B$2:$B$7,MATCH(TRIM($L281),'Skill Mapping'!$A$2:$A$7,0))))</f>
        <v/>
      </c>
      <c r="N281" s="46" t="str">
        <f aca="false">IF($H281="","",'Survey Response'!$M279)</f>
        <v/>
      </c>
      <c r="O281" s="46" t="str">
        <f aca="false">IF($H281="","",IF('Survey Response'!$M279="Manager","R2","R1"))</f>
        <v/>
      </c>
      <c r="P281" s="46" t="str">
        <f aca="false">IF($K281="","No",IF(COUNTIFS(MasterPanel!$B:$B,$H281,MasterPanel!$I:$I,$K281,MasterPanel!$K:$K,"Y")&gt;0,"Yes","No"))</f>
        <v>No</v>
      </c>
      <c r="Q281" s="46" t="n">
        <f aca="false">IF($K281="",0,IF(COUNTIF('Gap Sheet'!$A$6:$A$11,TRIM($J281))=0,0,IF($O281="R1",INDEX('Gap Sheet'!$C$6:$C$11,MATCH(TRIM($J281),'Gap Sheet'!$A$6:$A$11,0)),INDEX('Gap Sheet'!$G$6:$G$11,MATCH(TRIM($J281),'Gap Sheet'!$A$6:$A$11,0)))))</f>
        <v>0</v>
      </c>
      <c r="R281" s="46" t="str">
        <f aca="false">IF($K281="","",$K281&amp;"|"&amp;$O281)</f>
        <v/>
      </c>
      <c r="S281" s="46" t="n">
        <f aca="false">IF($R281="",0,COUNTIF($AA$4:$AA280,$R281))</f>
        <v>0</v>
      </c>
      <c r="T281" s="46" t="str">
        <f aca="false">IF(OR($I281&lt;&gt;"Yes, I'm available for in-person interviews at Chennai",$E281&lt;&gt;"Yes",$P281&lt;&gt;"Yes"),"No",IF(($Q281-$S281)&gt;0,"Yes","No"))</f>
        <v>No</v>
      </c>
      <c r="U281" s="46" t="str">
        <f aca="false">IF($M281="","No",IF(COUNTIFS(MasterPanel!$B:$B,$H281,MasterPanel!$I:$I,$M281,MasterPanel!$K:$K,"Y")&gt;0,"Yes","No"))</f>
        <v>No</v>
      </c>
      <c r="V281" s="46" t="n">
        <f aca="false">IF($M281="",0,IF(COUNTIF('Gap Sheet'!$A$6:$A$11,TRIM($L281))=0,0,IF($O281="R1",INDEX('Gap Sheet'!$C$6:$C$11,MATCH(TRIM($L281),'Gap Sheet'!$A$6:$A$11,0)),INDEX('Gap Sheet'!$G$6:$G$11,MATCH(TRIM($L281),'Gap Sheet'!$A$6:$A$11,0)))))</f>
        <v>0</v>
      </c>
      <c r="W281" s="46" t="str">
        <f aca="false">IF($M281="","",$M281&amp;"|"&amp;$O281)</f>
        <v/>
      </c>
      <c r="X281" s="46" t="n">
        <f aca="false">IF($W281="",0,COUNTIF($AA$4:$AA280,$W281))</f>
        <v>0</v>
      </c>
      <c r="Y281" s="46" t="str">
        <f aca="false">IF(OR($I281&lt;&gt;"Yes, I'm available for in-person interviews at Chennai",$E281&lt;&gt;"Yes",$T281="Yes",$U281&lt;&gt;"Yes"),"No",IF(($V281-$X281)&gt;0,"Yes","No"))</f>
        <v>No</v>
      </c>
      <c r="Z281" s="46" t="str">
        <f aca="false">IF($T281="Yes","Primary",IF($Y281="Yes","Secondary",""))</f>
        <v/>
      </c>
      <c r="AA281" s="46" t="str">
        <f aca="false">IF($Z281="Primary",$R281,IF($Z281="Secondary",$W281,""))</f>
        <v/>
      </c>
      <c r="AB281" s="46" t="str">
        <f aca="false">IF($Z281="Primary","Matched on primary skill",IF($Z281="Secondary","Matched on secondary skill (primary not approved or not required)",""))</f>
        <v/>
      </c>
      <c r="AC281" s="47" t="str">
        <f aca="false">IF($D281="Panel Details",$F281,"")</f>
        <v/>
      </c>
      <c r="AD281" s="46" t="str">
        <f aca="false">IF($D281="Panel Details",'Survey Response'!$D279,"")</f>
        <v/>
      </c>
      <c r="AE281" s="46" t="str">
        <f aca="false">IF($D281="Panel Details",'Survey Response'!$E279,"")</f>
        <v/>
      </c>
      <c r="AF281" s="46" t="str">
        <f aca="false">IF($D281="Panel Details",'Survey Response'!$G279,"")</f>
        <v/>
      </c>
      <c r="AG281" s="46" t="str">
        <f aca="false">IF($D281="Panel Details",IF($Z281="Primary",$J281,$L281),"")</f>
        <v/>
      </c>
      <c r="AH281" s="46" t="str">
        <f aca="false">IF($D281="Panel Details",IF($Z281="Primary",$L281,$J281),"")</f>
        <v/>
      </c>
      <c r="AI281" s="46" t="str">
        <f aca="false">IF($D281="Panel Details",'Survey Response'!$H279,"")</f>
        <v/>
      </c>
      <c r="AJ281" s="46" t="str">
        <f aca="false">IF($D281="Panel Details",'Survey Response'!$M279,"")</f>
        <v/>
      </c>
      <c r="AK281" s="46" t="str">
        <f aca="false">IF($D281="Panel Details",$O281,"")</f>
        <v/>
      </c>
      <c r="AL281" s="46" t="str">
        <f aca="false">IF($D281="Panel Details",8,"")</f>
        <v/>
      </c>
      <c r="AM281" s="46" t="str">
        <f aca="false">IF($D281="Panel Details",$AB281,"")</f>
        <v/>
      </c>
      <c r="AN281" s="46" t="str">
        <f aca="false">IF($D281="Panel Details","Yes","")</f>
        <v/>
      </c>
      <c r="AO281" s="46"/>
      <c r="AP281" s="46" t="str">
        <f aca="false">IF($D281="Followup",'Survey Response'!$D279,"")</f>
        <v/>
      </c>
      <c r="AQ281" s="46" t="str">
        <f aca="false">IF($D281="Followup",'Survey Response'!$E279,"")</f>
        <v/>
      </c>
      <c r="AR281" s="46" t="str">
        <f aca="false">IF($D281="Followup",'Survey Response'!$G279,"")</f>
        <v/>
      </c>
      <c r="AS281" s="46" t="str">
        <f aca="false">IF($D281="Followup",'Survey Response'!$H279,"")</f>
        <v/>
      </c>
      <c r="AT281" s="46" t="str">
        <f aca="false">IF($D281="Followup",'Survey Response'!$M279,"")</f>
        <v/>
      </c>
      <c r="AU281" s="46" t="str">
        <f aca="false">IF($D281="Followup",'Survey Response'!$K279,"")</f>
        <v/>
      </c>
      <c r="AV281" s="46" t="str">
        <f aca="false">IF($D281="Followup",'Survey Response'!$L279,"")</f>
        <v/>
      </c>
      <c r="AW281" s="46" t="str">
        <f aca="false">IF($D281="Followup",IF(AND($P281&lt;&gt;"Yes",$U281&lt;&gt;"Yes"),"Not approved for primary or secondary skill","Approved, but skill(s) no longer have capacity (fully staffed)"),"")</f>
        <v/>
      </c>
    </row>
    <row r="282" customFormat="false" ht="15" hidden="false" customHeight="true" outlineLevel="0" collapsed="false">
      <c r="A282" s="46" t="str">
        <f aca="false">IF('Survey Response'!$D280="","",'Survey Response'!$A280&amp;"|"&amp;LOWER(TRIM('Survey Response'!$D280)))</f>
        <v/>
      </c>
      <c r="B282" s="46" t="str">
        <f aca="false">IF($H282="","",$F282&amp;"|"&amp;$H282)</f>
        <v/>
      </c>
      <c r="C282" s="46" t="str">
        <f aca="false">IF($H282="","",$A282=$B282)</f>
        <v/>
      </c>
      <c r="D282" s="46" t="str">
        <f aca="false">IF($H282="","",IF($E282&lt;&gt;"Yes","Superseded",IF($I282&lt;&gt;"Yes, I'm available for in-person interviews at Chennai","Not Available",IF($Z282&lt;&gt;"","Panel Details","Followup"))))</f>
        <v/>
      </c>
      <c r="E282" s="46" t="str">
        <f aca="false">IF($H282="","",IF(SUMPRODUCT(($H$4:$H$503=$H282)*(($G$4:$G$503&gt;$G282)+($G$4:$G$503=$G282)*($F$4:$F$503&gt;$F282)))=0,"Yes","No"))</f>
        <v/>
      </c>
      <c r="F282" s="47" t="str">
        <f aca="false">IF('Survey Response'!$D280="","",INT('Survey Response'!$A280))</f>
        <v/>
      </c>
      <c r="G282" s="46" t="str">
        <f aca="false">IF('Survey Response'!$D280="","",'Survey Response'!$C280)</f>
        <v/>
      </c>
      <c r="H282" s="46" t="str">
        <f aca="false">IF('Survey Response'!$D280="","",LOWER(TRIM('Survey Response'!$D280)))</f>
        <v/>
      </c>
      <c r="I282" s="46" t="str">
        <f aca="false">IF($H282="","",'Survey Response'!$I280)</f>
        <v/>
      </c>
      <c r="J282" s="46" t="str">
        <f aca="false">IF($H282="","",'Survey Response'!$K280)</f>
        <v/>
      </c>
      <c r="K282" s="46" t="str">
        <f aca="false">IF($J282="","",IF(COUNTIF('Skill Mapping'!$A$2:$A$7,TRIM($J282))=0,"",INDEX('Skill Mapping'!$B$2:$B$7,MATCH(TRIM($J282),'Skill Mapping'!$A$2:$A$7,0))))</f>
        <v/>
      </c>
      <c r="L282" s="46" t="str">
        <f aca="false">IF($H282="","",'Survey Response'!$L280)</f>
        <v/>
      </c>
      <c r="M282" s="46" t="str">
        <f aca="false">IF($L282="","",IF(COUNTIF('Skill Mapping'!$A$2:$A$7,TRIM($L282))=0,"",INDEX('Skill Mapping'!$B$2:$B$7,MATCH(TRIM($L282),'Skill Mapping'!$A$2:$A$7,0))))</f>
        <v/>
      </c>
      <c r="N282" s="46" t="str">
        <f aca="false">IF($H282="","",'Survey Response'!$M280)</f>
        <v/>
      </c>
      <c r="O282" s="46" t="str">
        <f aca="false">IF($H282="","",IF('Survey Response'!$M280="Manager","R2","R1"))</f>
        <v/>
      </c>
      <c r="P282" s="46" t="str">
        <f aca="false">IF($K282="","No",IF(COUNTIFS(MasterPanel!$B:$B,$H282,MasterPanel!$I:$I,$K282,MasterPanel!$K:$K,"Y")&gt;0,"Yes","No"))</f>
        <v>No</v>
      </c>
      <c r="Q282" s="46" t="n">
        <f aca="false">IF($K282="",0,IF(COUNTIF('Gap Sheet'!$A$6:$A$11,TRIM($J282))=0,0,IF($O282="R1",INDEX('Gap Sheet'!$C$6:$C$11,MATCH(TRIM($J282),'Gap Sheet'!$A$6:$A$11,0)),INDEX('Gap Sheet'!$G$6:$G$11,MATCH(TRIM($J282),'Gap Sheet'!$A$6:$A$11,0)))))</f>
        <v>0</v>
      </c>
      <c r="R282" s="46" t="str">
        <f aca="false">IF($K282="","",$K282&amp;"|"&amp;$O282)</f>
        <v/>
      </c>
      <c r="S282" s="46" t="n">
        <f aca="false">IF($R282="",0,COUNTIF($AA$4:$AA281,$R282))</f>
        <v>0</v>
      </c>
      <c r="T282" s="46" t="str">
        <f aca="false">IF(OR($I282&lt;&gt;"Yes, I'm available for in-person interviews at Chennai",$E282&lt;&gt;"Yes",$P282&lt;&gt;"Yes"),"No",IF(($Q282-$S282)&gt;0,"Yes","No"))</f>
        <v>No</v>
      </c>
      <c r="U282" s="46" t="str">
        <f aca="false">IF($M282="","No",IF(COUNTIFS(MasterPanel!$B:$B,$H282,MasterPanel!$I:$I,$M282,MasterPanel!$K:$K,"Y")&gt;0,"Yes","No"))</f>
        <v>No</v>
      </c>
      <c r="V282" s="46" t="n">
        <f aca="false">IF($M282="",0,IF(COUNTIF('Gap Sheet'!$A$6:$A$11,TRIM($L282))=0,0,IF($O282="R1",INDEX('Gap Sheet'!$C$6:$C$11,MATCH(TRIM($L282),'Gap Sheet'!$A$6:$A$11,0)),INDEX('Gap Sheet'!$G$6:$G$11,MATCH(TRIM($L282),'Gap Sheet'!$A$6:$A$11,0)))))</f>
        <v>0</v>
      </c>
      <c r="W282" s="46" t="str">
        <f aca="false">IF($M282="","",$M282&amp;"|"&amp;$O282)</f>
        <v/>
      </c>
      <c r="X282" s="46" t="n">
        <f aca="false">IF($W282="",0,COUNTIF($AA$4:$AA281,$W282))</f>
        <v>0</v>
      </c>
      <c r="Y282" s="46" t="str">
        <f aca="false">IF(OR($I282&lt;&gt;"Yes, I'm available for in-person interviews at Chennai",$E282&lt;&gt;"Yes",$T282="Yes",$U282&lt;&gt;"Yes"),"No",IF(($V282-$X282)&gt;0,"Yes","No"))</f>
        <v>No</v>
      </c>
      <c r="Z282" s="46" t="str">
        <f aca="false">IF($T282="Yes","Primary",IF($Y282="Yes","Secondary",""))</f>
        <v/>
      </c>
      <c r="AA282" s="46" t="str">
        <f aca="false">IF($Z282="Primary",$R282,IF($Z282="Secondary",$W282,""))</f>
        <v/>
      </c>
      <c r="AB282" s="46" t="str">
        <f aca="false">IF($Z282="Primary","Matched on primary skill",IF($Z282="Secondary","Matched on secondary skill (primary not approved or not required)",""))</f>
        <v/>
      </c>
      <c r="AC282" s="47" t="str">
        <f aca="false">IF($D282="Panel Details",$F282,"")</f>
        <v/>
      </c>
      <c r="AD282" s="46" t="str">
        <f aca="false">IF($D282="Panel Details",'Survey Response'!$D280,"")</f>
        <v/>
      </c>
      <c r="AE282" s="46" t="str">
        <f aca="false">IF($D282="Panel Details",'Survey Response'!$E280,"")</f>
        <v/>
      </c>
      <c r="AF282" s="46" t="str">
        <f aca="false">IF($D282="Panel Details",'Survey Response'!$G280,"")</f>
        <v/>
      </c>
      <c r="AG282" s="46" t="str">
        <f aca="false">IF($D282="Panel Details",IF($Z282="Primary",$J282,$L282),"")</f>
        <v/>
      </c>
      <c r="AH282" s="46" t="str">
        <f aca="false">IF($D282="Panel Details",IF($Z282="Primary",$L282,$J282),"")</f>
        <v/>
      </c>
      <c r="AI282" s="46" t="str">
        <f aca="false">IF($D282="Panel Details",'Survey Response'!$H280,"")</f>
        <v/>
      </c>
      <c r="AJ282" s="46" t="str">
        <f aca="false">IF($D282="Panel Details",'Survey Response'!$M280,"")</f>
        <v/>
      </c>
      <c r="AK282" s="46" t="str">
        <f aca="false">IF($D282="Panel Details",$O282,"")</f>
        <v/>
      </c>
      <c r="AL282" s="46" t="str">
        <f aca="false">IF($D282="Panel Details",8,"")</f>
        <v/>
      </c>
      <c r="AM282" s="46" t="str">
        <f aca="false">IF($D282="Panel Details",$AB282,"")</f>
        <v/>
      </c>
      <c r="AN282" s="46" t="str">
        <f aca="false">IF($D282="Panel Details","Yes","")</f>
        <v/>
      </c>
      <c r="AO282" s="46"/>
      <c r="AP282" s="46" t="str">
        <f aca="false">IF($D282="Followup",'Survey Response'!$D280,"")</f>
        <v/>
      </c>
      <c r="AQ282" s="46" t="str">
        <f aca="false">IF($D282="Followup",'Survey Response'!$E280,"")</f>
        <v/>
      </c>
      <c r="AR282" s="46" t="str">
        <f aca="false">IF($D282="Followup",'Survey Response'!$G280,"")</f>
        <v/>
      </c>
      <c r="AS282" s="46" t="str">
        <f aca="false">IF($D282="Followup",'Survey Response'!$H280,"")</f>
        <v/>
      </c>
      <c r="AT282" s="46" t="str">
        <f aca="false">IF($D282="Followup",'Survey Response'!$M280,"")</f>
        <v/>
      </c>
      <c r="AU282" s="46" t="str">
        <f aca="false">IF($D282="Followup",'Survey Response'!$K280,"")</f>
        <v/>
      </c>
      <c r="AV282" s="46" t="str">
        <f aca="false">IF($D282="Followup",'Survey Response'!$L280,"")</f>
        <v/>
      </c>
      <c r="AW282" s="46" t="str">
        <f aca="false">IF($D282="Followup",IF(AND($P282&lt;&gt;"Yes",$U282&lt;&gt;"Yes"),"Not approved for primary or secondary skill","Approved, but skill(s) no longer have capacity (fully staffed)"),"")</f>
        <v/>
      </c>
    </row>
    <row r="283" customFormat="false" ht="15" hidden="false" customHeight="true" outlineLevel="0" collapsed="false">
      <c r="A283" s="46" t="str">
        <f aca="false">IF('Survey Response'!$D281="","",'Survey Response'!$A281&amp;"|"&amp;LOWER(TRIM('Survey Response'!$D281)))</f>
        <v/>
      </c>
      <c r="B283" s="46" t="str">
        <f aca="false">IF($H283="","",$F283&amp;"|"&amp;$H283)</f>
        <v/>
      </c>
      <c r="C283" s="46" t="str">
        <f aca="false">IF($H283="","",$A283=$B283)</f>
        <v/>
      </c>
      <c r="D283" s="46" t="str">
        <f aca="false">IF($H283="","",IF($E283&lt;&gt;"Yes","Superseded",IF($I283&lt;&gt;"Yes, I'm available for in-person interviews at Chennai","Not Available",IF($Z283&lt;&gt;"","Panel Details","Followup"))))</f>
        <v/>
      </c>
      <c r="E283" s="46" t="str">
        <f aca="false">IF($H283="","",IF(SUMPRODUCT(($H$4:$H$503=$H283)*(($G$4:$G$503&gt;$G283)+($G$4:$G$503=$G283)*($F$4:$F$503&gt;$F283)))=0,"Yes","No"))</f>
        <v/>
      </c>
      <c r="F283" s="47" t="str">
        <f aca="false">IF('Survey Response'!$D281="","",INT('Survey Response'!$A281))</f>
        <v/>
      </c>
      <c r="G283" s="46" t="str">
        <f aca="false">IF('Survey Response'!$D281="","",'Survey Response'!$C281)</f>
        <v/>
      </c>
      <c r="H283" s="46" t="str">
        <f aca="false">IF('Survey Response'!$D281="","",LOWER(TRIM('Survey Response'!$D281)))</f>
        <v/>
      </c>
      <c r="I283" s="46" t="str">
        <f aca="false">IF($H283="","",'Survey Response'!$I281)</f>
        <v/>
      </c>
      <c r="J283" s="46" t="str">
        <f aca="false">IF($H283="","",'Survey Response'!$K281)</f>
        <v/>
      </c>
      <c r="K283" s="46" t="str">
        <f aca="false">IF($J283="","",IF(COUNTIF('Skill Mapping'!$A$2:$A$7,TRIM($J283))=0,"",INDEX('Skill Mapping'!$B$2:$B$7,MATCH(TRIM($J283),'Skill Mapping'!$A$2:$A$7,0))))</f>
        <v/>
      </c>
      <c r="L283" s="46" t="str">
        <f aca="false">IF($H283="","",'Survey Response'!$L281)</f>
        <v/>
      </c>
      <c r="M283" s="46" t="str">
        <f aca="false">IF($L283="","",IF(COUNTIF('Skill Mapping'!$A$2:$A$7,TRIM($L283))=0,"",INDEX('Skill Mapping'!$B$2:$B$7,MATCH(TRIM($L283),'Skill Mapping'!$A$2:$A$7,0))))</f>
        <v/>
      </c>
      <c r="N283" s="46" t="str">
        <f aca="false">IF($H283="","",'Survey Response'!$M281)</f>
        <v/>
      </c>
      <c r="O283" s="46" t="str">
        <f aca="false">IF($H283="","",IF('Survey Response'!$M281="Manager","R2","R1"))</f>
        <v/>
      </c>
      <c r="P283" s="46" t="str">
        <f aca="false">IF($K283="","No",IF(COUNTIFS(MasterPanel!$B:$B,$H283,MasterPanel!$I:$I,$K283,MasterPanel!$K:$K,"Y")&gt;0,"Yes","No"))</f>
        <v>No</v>
      </c>
      <c r="Q283" s="46" t="n">
        <f aca="false">IF($K283="",0,IF(COUNTIF('Gap Sheet'!$A$6:$A$11,TRIM($J283))=0,0,IF($O283="R1",INDEX('Gap Sheet'!$C$6:$C$11,MATCH(TRIM($J283),'Gap Sheet'!$A$6:$A$11,0)),INDEX('Gap Sheet'!$G$6:$G$11,MATCH(TRIM($J283),'Gap Sheet'!$A$6:$A$11,0)))))</f>
        <v>0</v>
      </c>
      <c r="R283" s="46" t="str">
        <f aca="false">IF($K283="","",$K283&amp;"|"&amp;$O283)</f>
        <v/>
      </c>
      <c r="S283" s="46" t="n">
        <f aca="false">IF($R283="",0,COUNTIF($AA$4:$AA282,$R283))</f>
        <v>0</v>
      </c>
      <c r="T283" s="46" t="str">
        <f aca="false">IF(OR($I283&lt;&gt;"Yes, I'm available for in-person interviews at Chennai",$E283&lt;&gt;"Yes",$P283&lt;&gt;"Yes"),"No",IF(($Q283-$S283)&gt;0,"Yes","No"))</f>
        <v>No</v>
      </c>
      <c r="U283" s="46" t="str">
        <f aca="false">IF($M283="","No",IF(COUNTIFS(MasterPanel!$B:$B,$H283,MasterPanel!$I:$I,$M283,MasterPanel!$K:$K,"Y")&gt;0,"Yes","No"))</f>
        <v>No</v>
      </c>
      <c r="V283" s="46" t="n">
        <f aca="false">IF($M283="",0,IF(COUNTIF('Gap Sheet'!$A$6:$A$11,TRIM($L283))=0,0,IF($O283="R1",INDEX('Gap Sheet'!$C$6:$C$11,MATCH(TRIM($L283),'Gap Sheet'!$A$6:$A$11,0)),INDEX('Gap Sheet'!$G$6:$G$11,MATCH(TRIM($L283),'Gap Sheet'!$A$6:$A$11,0)))))</f>
        <v>0</v>
      </c>
      <c r="W283" s="46" t="str">
        <f aca="false">IF($M283="","",$M283&amp;"|"&amp;$O283)</f>
        <v/>
      </c>
      <c r="X283" s="46" t="n">
        <f aca="false">IF($W283="",0,COUNTIF($AA$4:$AA282,$W283))</f>
        <v>0</v>
      </c>
      <c r="Y283" s="46" t="str">
        <f aca="false">IF(OR($I283&lt;&gt;"Yes, I'm available for in-person interviews at Chennai",$E283&lt;&gt;"Yes",$T283="Yes",$U283&lt;&gt;"Yes"),"No",IF(($V283-$X283)&gt;0,"Yes","No"))</f>
        <v>No</v>
      </c>
      <c r="Z283" s="46" t="str">
        <f aca="false">IF($T283="Yes","Primary",IF($Y283="Yes","Secondary",""))</f>
        <v/>
      </c>
      <c r="AA283" s="46" t="str">
        <f aca="false">IF($Z283="Primary",$R283,IF($Z283="Secondary",$W283,""))</f>
        <v/>
      </c>
      <c r="AB283" s="46" t="str">
        <f aca="false">IF($Z283="Primary","Matched on primary skill",IF($Z283="Secondary","Matched on secondary skill (primary not approved or not required)",""))</f>
        <v/>
      </c>
      <c r="AC283" s="47" t="str">
        <f aca="false">IF($D283="Panel Details",$F283,"")</f>
        <v/>
      </c>
      <c r="AD283" s="46" t="str">
        <f aca="false">IF($D283="Panel Details",'Survey Response'!$D281,"")</f>
        <v/>
      </c>
      <c r="AE283" s="46" t="str">
        <f aca="false">IF($D283="Panel Details",'Survey Response'!$E281,"")</f>
        <v/>
      </c>
      <c r="AF283" s="46" t="str">
        <f aca="false">IF($D283="Panel Details",'Survey Response'!$G281,"")</f>
        <v/>
      </c>
      <c r="AG283" s="46" t="str">
        <f aca="false">IF($D283="Panel Details",IF($Z283="Primary",$J283,$L283),"")</f>
        <v/>
      </c>
      <c r="AH283" s="46" t="str">
        <f aca="false">IF($D283="Panel Details",IF($Z283="Primary",$L283,$J283),"")</f>
        <v/>
      </c>
      <c r="AI283" s="46" t="str">
        <f aca="false">IF($D283="Panel Details",'Survey Response'!$H281,"")</f>
        <v/>
      </c>
      <c r="AJ283" s="46" t="str">
        <f aca="false">IF($D283="Panel Details",'Survey Response'!$M281,"")</f>
        <v/>
      </c>
      <c r="AK283" s="46" t="str">
        <f aca="false">IF($D283="Panel Details",$O283,"")</f>
        <v/>
      </c>
      <c r="AL283" s="46" t="str">
        <f aca="false">IF($D283="Panel Details",8,"")</f>
        <v/>
      </c>
      <c r="AM283" s="46" t="str">
        <f aca="false">IF($D283="Panel Details",$AB283,"")</f>
        <v/>
      </c>
      <c r="AN283" s="46" t="str">
        <f aca="false">IF($D283="Panel Details","Yes","")</f>
        <v/>
      </c>
      <c r="AO283" s="46"/>
      <c r="AP283" s="46" t="str">
        <f aca="false">IF($D283="Followup",'Survey Response'!$D281,"")</f>
        <v/>
      </c>
      <c r="AQ283" s="46" t="str">
        <f aca="false">IF($D283="Followup",'Survey Response'!$E281,"")</f>
        <v/>
      </c>
      <c r="AR283" s="46" t="str">
        <f aca="false">IF($D283="Followup",'Survey Response'!$G281,"")</f>
        <v/>
      </c>
      <c r="AS283" s="46" t="str">
        <f aca="false">IF($D283="Followup",'Survey Response'!$H281,"")</f>
        <v/>
      </c>
      <c r="AT283" s="46" t="str">
        <f aca="false">IF($D283="Followup",'Survey Response'!$M281,"")</f>
        <v/>
      </c>
      <c r="AU283" s="46" t="str">
        <f aca="false">IF($D283="Followup",'Survey Response'!$K281,"")</f>
        <v/>
      </c>
      <c r="AV283" s="46" t="str">
        <f aca="false">IF($D283="Followup",'Survey Response'!$L281,"")</f>
        <v/>
      </c>
      <c r="AW283" s="46" t="str">
        <f aca="false">IF($D283="Followup",IF(AND($P283&lt;&gt;"Yes",$U283&lt;&gt;"Yes"),"Not approved for primary or secondary skill","Approved, but skill(s) no longer have capacity (fully staffed)"),"")</f>
        <v/>
      </c>
    </row>
    <row r="284" customFormat="false" ht="15" hidden="false" customHeight="true" outlineLevel="0" collapsed="false">
      <c r="A284" s="46" t="str">
        <f aca="false">IF('Survey Response'!$D282="","",'Survey Response'!$A282&amp;"|"&amp;LOWER(TRIM('Survey Response'!$D282)))</f>
        <v/>
      </c>
      <c r="B284" s="46" t="str">
        <f aca="false">IF($H284="","",$F284&amp;"|"&amp;$H284)</f>
        <v/>
      </c>
      <c r="C284" s="46" t="str">
        <f aca="false">IF($H284="","",$A284=$B284)</f>
        <v/>
      </c>
      <c r="D284" s="46" t="str">
        <f aca="false">IF($H284="","",IF($E284&lt;&gt;"Yes","Superseded",IF($I284&lt;&gt;"Yes, I'm available for in-person interviews at Chennai","Not Available",IF($Z284&lt;&gt;"","Panel Details","Followup"))))</f>
        <v/>
      </c>
      <c r="E284" s="46" t="str">
        <f aca="false">IF($H284="","",IF(SUMPRODUCT(($H$4:$H$503=$H284)*(($G$4:$G$503&gt;$G284)+($G$4:$G$503=$G284)*($F$4:$F$503&gt;$F284)))=0,"Yes","No"))</f>
        <v/>
      </c>
      <c r="F284" s="47" t="str">
        <f aca="false">IF('Survey Response'!$D282="","",INT('Survey Response'!$A282))</f>
        <v/>
      </c>
      <c r="G284" s="46" t="str">
        <f aca="false">IF('Survey Response'!$D282="","",'Survey Response'!$C282)</f>
        <v/>
      </c>
      <c r="H284" s="46" t="str">
        <f aca="false">IF('Survey Response'!$D282="","",LOWER(TRIM('Survey Response'!$D282)))</f>
        <v/>
      </c>
      <c r="I284" s="46" t="str">
        <f aca="false">IF($H284="","",'Survey Response'!$I282)</f>
        <v/>
      </c>
      <c r="J284" s="46" t="str">
        <f aca="false">IF($H284="","",'Survey Response'!$K282)</f>
        <v/>
      </c>
      <c r="K284" s="46" t="str">
        <f aca="false">IF($J284="","",IF(COUNTIF('Skill Mapping'!$A$2:$A$7,TRIM($J284))=0,"",INDEX('Skill Mapping'!$B$2:$B$7,MATCH(TRIM($J284),'Skill Mapping'!$A$2:$A$7,0))))</f>
        <v/>
      </c>
      <c r="L284" s="46" t="str">
        <f aca="false">IF($H284="","",'Survey Response'!$L282)</f>
        <v/>
      </c>
      <c r="M284" s="46" t="str">
        <f aca="false">IF($L284="","",IF(COUNTIF('Skill Mapping'!$A$2:$A$7,TRIM($L284))=0,"",INDEX('Skill Mapping'!$B$2:$B$7,MATCH(TRIM($L284),'Skill Mapping'!$A$2:$A$7,0))))</f>
        <v/>
      </c>
      <c r="N284" s="46" t="str">
        <f aca="false">IF($H284="","",'Survey Response'!$M282)</f>
        <v/>
      </c>
      <c r="O284" s="46" t="str">
        <f aca="false">IF($H284="","",IF('Survey Response'!$M282="Manager","R2","R1"))</f>
        <v/>
      </c>
      <c r="P284" s="46" t="str">
        <f aca="false">IF($K284="","No",IF(COUNTIFS(MasterPanel!$B:$B,$H284,MasterPanel!$I:$I,$K284,MasterPanel!$K:$K,"Y")&gt;0,"Yes","No"))</f>
        <v>No</v>
      </c>
      <c r="Q284" s="46" t="n">
        <f aca="false">IF($K284="",0,IF(COUNTIF('Gap Sheet'!$A$6:$A$11,TRIM($J284))=0,0,IF($O284="R1",INDEX('Gap Sheet'!$C$6:$C$11,MATCH(TRIM($J284),'Gap Sheet'!$A$6:$A$11,0)),INDEX('Gap Sheet'!$G$6:$G$11,MATCH(TRIM($J284),'Gap Sheet'!$A$6:$A$11,0)))))</f>
        <v>0</v>
      </c>
      <c r="R284" s="46" t="str">
        <f aca="false">IF($K284="","",$K284&amp;"|"&amp;$O284)</f>
        <v/>
      </c>
      <c r="S284" s="46" t="n">
        <f aca="false">IF($R284="",0,COUNTIF($AA$4:$AA283,$R284))</f>
        <v>0</v>
      </c>
      <c r="T284" s="46" t="str">
        <f aca="false">IF(OR($I284&lt;&gt;"Yes, I'm available for in-person interviews at Chennai",$E284&lt;&gt;"Yes",$P284&lt;&gt;"Yes"),"No",IF(($Q284-$S284)&gt;0,"Yes","No"))</f>
        <v>No</v>
      </c>
      <c r="U284" s="46" t="str">
        <f aca="false">IF($M284="","No",IF(COUNTIFS(MasterPanel!$B:$B,$H284,MasterPanel!$I:$I,$M284,MasterPanel!$K:$K,"Y")&gt;0,"Yes","No"))</f>
        <v>No</v>
      </c>
      <c r="V284" s="46" t="n">
        <f aca="false">IF($M284="",0,IF(COUNTIF('Gap Sheet'!$A$6:$A$11,TRIM($L284))=0,0,IF($O284="R1",INDEX('Gap Sheet'!$C$6:$C$11,MATCH(TRIM($L284),'Gap Sheet'!$A$6:$A$11,0)),INDEX('Gap Sheet'!$G$6:$G$11,MATCH(TRIM($L284),'Gap Sheet'!$A$6:$A$11,0)))))</f>
        <v>0</v>
      </c>
      <c r="W284" s="46" t="str">
        <f aca="false">IF($M284="","",$M284&amp;"|"&amp;$O284)</f>
        <v/>
      </c>
      <c r="X284" s="46" t="n">
        <f aca="false">IF($W284="",0,COUNTIF($AA$4:$AA283,$W284))</f>
        <v>0</v>
      </c>
      <c r="Y284" s="46" t="str">
        <f aca="false">IF(OR($I284&lt;&gt;"Yes, I'm available for in-person interviews at Chennai",$E284&lt;&gt;"Yes",$T284="Yes",$U284&lt;&gt;"Yes"),"No",IF(($V284-$X284)&gt;0,"Yes","No"))</f>
        <v>No</v>
      </c>
      <c r="Z284" s="46" t="str">
        <f aca="false">IF($T284="Yes","Primary",IF($Y284="Yes","Secondary",""))</f>
        <v/>
      </c>
      <c r="AA284" s="46" t="str">
        <f aca="false">IF($Z284="Primary",$R284,IF($Z284="Secondary",$W284,""))</f>
        <v/>
      </c>
      <c r="AB284" s="46" t="str">
        <f aca="false">IF($Z284="Primary","Matched on primary skill",IF($Z284="Secondary","Matched on secondary skill (primary not approved or not required)",""))</f>
        <v/>
      </c>
      <c r="AC284" s="47" t="str">
        <f aca="false">IF($D284="Panel Details",$F284,"")</f>
        <v/>
      </c>
      <c r="AD284" s="46" t="str">
        <f aca="false">IF($D284="Panel Details",'Survey Response'!$D282,"")</f>
        <v/>
      </c>
      <c r="AE284" s="46" t="str">
        <f aca="false">IF($D284="Panel Details",'Survey Response'!$E282,"")</f>
        <v/>
      </c>
      <c r="AF284" s="46" t="str">
        <f aca="false">IF($D284="Panel Details",'Survey Response'!$G282,"")</f>
        <v/>
      </c>
      <c r="AG284" s="46" t="str">
        <f aca="false">IF($D284="Panel Details",IF($Z284="Primary",$J284,$L284),"")</f>
        <v/>
      </c>
      <c r="AH284" s="46" t="str">
        <f aca="false">IF($D284="Panel Details",IF($Z284="Primary",$L284,$J284),"")</f>
        <v/>
      </c>
      <c r="AI284" s="46" t="str">
        <f aca="false">IF($D284="Panel Details",'Survey Response'!$H282,"")</f>
        <v/>
      </c>
      <c r="AJ284" s="46" t="str">
        <f aca="false">IF($D284="Panel Details",'Survey Response'!$M282,"")</f>
        <v/>
      </c>
      <c r="AK284" s="46" t="str">
        <f aca="false">IF($D284="Panel Details",$O284,"")</f>
        <v/>
      </c>
      <c r="AL284" s="46" t="str">
        <f aca="false">IF($D284="Panel Details",8,"")</f>
        <v/>
      </c>
      <c r="AM284" s="46" t="str">
        <f aca="false">IF($D284="Panel Details",$AB284,"")</f>
        <v/>
      </c>
      <c r="AN284" s="46" t="str">
        <f aca="false">IF($D284="Panel Details","Yes","")</f>
        <v/>
      </c>
      <c r="AO284" s="46"/>
      <c r="AP284" s="46" t="str">
        <f aca="false">IF($D284="Followup",'Survey Response'!$D282,"")</f>
        <v/>
      </c>
      <c r="AQ284" s="46" t="str">
        <f aca="false">IF($D284="Followup",'Survey Response'!$E282,"")</f>
        <v/>
      </c>
      <c r="AR284" s="46" t="str">
        <f aca="false">IF($D284="Followup",'Survey Response'!$G282,"")</f>
        <v/>
      </c>
      <c r="AS284" s="46" t="str">
        <f aca="false">IF($D284="Followup",'Survey Response'!$H282,"")</f>
        <v/>
      </c>
      <c r="AT284" s="46" t="str">
        <f aca="false">IF($D284="Followup",'Survey Response'!$M282,"")</f>
        <v/>
      </c>
      <c r="AU284" s="46" t="str">
        <f aca="false">IF($D284="Followup",'Survey Response'!$K282,"")</f>
        <v/>
      </c>
      <c r="AV284" s="46" t="str">
        <f aca="false">IF($D284="Followup",'Survey Response'!$L282,"")</f>
        <v/>
      </c>
      <c r="AW284" s="46" t="str">
        <f aca="false">IF($D284="Followup",IF(AND($P284&lt;&gt;"Yes",$U284&lt;&gt;"Yes"),"Not approved for primary or secondary skill","Approved, but skill(s) no longer have capacity (fully staffed)"),"")</f>
        <v/>
      </c>
    </row>
    <row r="285" customFormat="false" ht="15" hidden="false" customHeight="true" outlineLevel="0" collapsed="false">
      <c r="A285" s="46" t="str">
        <f aca="false">IF('Survey Response'!$D283="","",'Survey Response'!$A283&amp;"|"&amp;LOWER(TRIM('Survey Response'!$D283)))</f>
        <v/>
      </c>
      <c r="B285" s="46" t="str">
        <f aca="false">IF($H285="","",$F285&amp;"|"&amp;$H285)</f>
        <v/>
      </c>
      <c r="C285" s="46" t="str">
        <f aca="false">IF($H285="","",$A285=$B285)</f>
        <v/>
      </c>
      <c r="D285" s="46" t="str">
        <f aca="false">IF($H285="","",IF($E285&lt;&gt;"Yes","Superseded",IF($I285&lt;&gt;"Yes, I'm available for in-person interviews at Chennai","Not Available",IF($Z285&lt;&gt;"","Panel Details","Followup"))))</f>
        <v/>
      </c>
      <c r="E285" s="46" t="str">
        <f aca="false">IF($H285="","",IF(SUMPRODUCT(($H$4:$H$503=$H285)*(($G$4:$G$503&gt;$G285)+($G$4:$G$503=$G285)*($F$4:$F$503&gt;$F285)))=0,"Yes","No"))</f>
        <v/>
      </c>
      <c r="F285" s="47" t="str">
        <f aca="false">IF('Survey Response'!$D283="","",INT('Survey Response'!$A283))</f>
        <v/>
      </c>
      <c r="G285" s="46" t="str">
        <f aca="false">IF('Survey Response'!$D283="","",'Survey Response'!$C283)</f>
        <v/>
      </c>
      <c r="H285" s="46" t="str">
        <f aca="false">IF('Survey Response'!$D283="","",LOWER(TRIM('Survey Response'!$D283)))</f>
        <v/>
      </c>
      <c r="I285" s="46" t="str">
        <f aca="false">IF($H285="","",'Survey Response'!$I283)</f>
        <v/>
      </c>
      <c r="J285" s="46" t="str">
        <f aca="false">IF($H285="","",'Survey Response'!$K283)</f>
        <v/>
      </c>
      <c r="K285" s="46" t="str">
        <f aca="false">IF($J285="","",IF(COUNTIF('Skill Mapping'!$A$2:$A$7,TRIM($J285))=0,"",INDEX('Skill Mapping'!$B$2:$B$7,MATCH(TRIM($J285),'Skill Mapping'!$A$2:$A$7,0))))</f>
        <v/>
      </c>
      <c r="L285" s="46" t="str">
        <f aca="false">IF($H285="","",'Survey Response'!$L283)</f>
        <v/>
      </c>
      <c r="M285" s="46" t="str">
        <f aca="false">IF($L285="","",IF(COUNTIF('Skill Mapping'!$A$2:$A$7,TRIM($L285))=0,"",INDEX('Skill Mapping'!$B$2:$B$7,MATCH(TRIM($L285),'Skill Mapping'!$A$2:$A$7,0))))</f>
        <v/>
      </c>
      <c r="N285" s="46" t="str">
        <f aca="false">IF($H285="","",'Survey Response'!$M283)</f>
        <v/>
      </c>
      <c r="O285" s="46" t="str">
        <f aca="false">IF($H285="","",IF('Survey Response'!$M283="Manager","R2","R1"))</f>
        <v/>
      </c>
      <c r="P285" s="46" t="str">
        <f aca="false">IF($K285="","No",IF(COUNTIFS(MasterPanel!$B:$B,$H285,MasterPanel!$I:$I,$K285,MasterPanel!$K:$K,"Y")&gt;0,"Yes","No"))</f>
        <v>No</v>
      </c>
      <c r="Q285" s="46" t="n">
        <f aca="false">IF($K285="",0,IF(COUNTIF('Gap Sheet'!$A$6:$A$11,TRIM($J285))=0,0,IF($O285="R1",INDEX('Gap Sheet'!$C$6:$C$11,MATCH(TRIM($J285),'Gap Sheet'!$A$6:$A$11,0)),INDEX('Gap Sheet'!$G$6:$G$11,MATCH(TRIM($J285),'Gap Sheet'!$A$6:$A$11,0)))))</f>
        <v>0</v>
      </c>
      <c r="R285" s="46" t="str">
        <f aca="false">IF($K285="","",$K285&amp;"|"&amp;$O285)</f>
        <v/>
      </c>
      <c r="S285" s="46" t="n">
        <f aca="false">IF($R285="",0,COUNTIF($AA$4:$AA284,$R285))</f>
        <v>0</v>
      </c>
      <c r="T285" s="46" t="str">
        <f aca="false">IF(OR($I285&lt;&gt;"Yes, I'm available for in-person interviews at Chennai",$E285&lt;&gt;"Yes",$P285&lt;&gt;"Yes"),"No",IF(($Q285-$S285)&gt;0,"Yes","No"))</f>
        <v>No</v>
      </c>
      <c r="U285" s="46" t="str">
        <f aca="false">IF($M285="","No",IF(COUNTIFS(MasterPanel!$B:$B,$H285,MasterPanel!$I:$I,$M285,MasterPanel!$K:$K,"Y")&gt;0,"Yes","No"))</f>
        <v>No</v>
      </c>
      <c r="V285" s="46" t="n">
        <f aca="false">IF($M285="",0,IF(COUNTIF('Gap Sheet'!$A$6:$A$11,TRIM($L285))=0,0,IF($O285="R1",INDEX('Gap Sheet'!$C$6:$C$11,MATCH(TRIM($L285),'Gap Sheet'!$A$6:$A$11,0)),INDEX('Gap Sheet'!$G$6:$G$11,MATCH(TRIM($L285),'Gap Sheet'!$A$6:$A$11,0)))))</f>
        <v>0</v>
      </c>
      <c r="W285" s="46" t="str">
        <f aca="false">IF($M285="","",$M285&amp;"|"&amp;$O285)</f>
        <v/>
      </c>
      <c r="X285" s="46" t="n">
        <f aca="false">IF($W285="",0,COUNTIF($AA$4:$AA284,$W285))</f>
        <v>0</v>
      </c>
      <c r="Y285" s="46" t="str">
        <f aca="false">IF(OR($I285&lt;&gt;"Yes, I'm available for in-person interviews at Chennai",$E285&lt;&gt;"Yes",$T285="Yes",$U285&lt;&gt;"Yes"),"No",IF(($V285-$X285)&gt;0,"Yes","No"))</f>
        <v>No</v>
      </c>
      <c r="Z285" s="46" t="str">
        <f aca="false">IF($T285="Yes","Primary",IF($Y285="Yes","Secondary",""))</f>
        <v/>
      </c>
      <c r="AA285" s="46" t="str">
        <f aca="false">IF($Z285="Primary",$R285,IF($Z285="Secondary",$W285,""))</f>
        <v/>
      </c>
      <c r="AB285" s="46" t="str">
        <f aca="false">IF($Z285="Primary","Matched on primary skill",IF($Z285="Secondary","Matched on secondary skill (primary not approved or not required)",""))</f>
        <v/>
      </c>
      <c r="AC285" s="47" t="str">
        <f aca="false">IF($D285="Panel Details",$F285,"")</f>
        <v/>
      </c>
      <c r="AD285" s="46" t="str">
        <f aca="false">IF($D285="Panel Details",'Survey Response'!$D283,"")</f>
        <v/>
      </c>
      <c r="AE285" s="46" t="str">
        <f aca="false">IF($D285="Panel Details",'Survey Response'!$E283,"")</f>
        <v/>
      </c>
      <c r="AF285" s="46" t="str">
        <f aca="false">IF($D285="Panel Details",'Survey Response'!$G283,"")</f>
        <v/>
      </c>
      <c r="AG285" s="46" t="str">
        <f aca="false">IF($D285="Panel Details",IF($Z285="Primary",$J285,$L285),"")</f>
        <v/>
      </c>
      <c r="AH285" s="46" t="str">
        <f aca="false">IF($D285="Panel Details",IF($Z285="Primary",$L285,$J285),"")</f>
        <v/>
      </c>
      <c r="AI285" s="46" t="str">
        <f aca="false">IF($D285="Panel Details",'Survey Response'!$H283,"")</f>
        <v/>
      </c>
      <c r="AJ285" s="46" t="str">
        <f aca="false">IF($D285="Panel Details",'Survey Response'!$M283,"")</f>
        <v/>
      </c>
      <c r="AK285" s="46" t="str">
        <f aca="false">IF($D285="Panel Details",$O285,"")</f>
        <v/>
      </c>
      <c r="AL285" s="46" t="str">
        <f aca="false">IF($D285="Panel Details",8,"")</f>
        <v/>
      </c>
      <c r="AM285" s="46" t="str">
        <f aca="false">IF($D285="Panel Details",$AB285,"")</f>
        <v/>
      </c>
      <c r="AN285" s="46" t="str">
        <f aca="false">IF($D285="Panel Details","Yes","")</f>
        <v/>
      </c>
      <c r="AO285" s="46"/>
      <c r="AP285" s="46" t="str">
        <f aca="false">IF($D285="Followup",'Survey Response'!$D283,"")</f>
        <v/>
      </c>
      <c r="AQ285" s="46" t="str">
        <f aca="false">IF($D285="Followup",'Survey Response'!$E283,"")</f>
        <v/>
      </c>
      <c r="AR285" s="46" t="str">
        <f aca="false">IF($D285="Followup",'Survey Response'!$G283,"")</f>
        <v/>
      </c>
      <c r="AS285" s="46" t="str">
        <f aca="false">IF($D285="Followup",'Survey Response'!$H283,"")</f>
        <v/>
      </c>
      <c r="AT285" s="46" t="str">
        <f aca="false">IF($D285="Followup",'Survey Response'!$M283,"")</f>
        <v/>
      </c>
      <c r="AU285" s="46" t="str">
        <f aca="false">IF($D285="Followup",'Survey Response'!$K283,"")</f>
        <v/>
      </c>
      <c r="AV285" s="46" t="str">
        <f aca="false">IF($D285="Followup",'Survey Response'!$L283,"")</f>
        <v/>
      </c>
      <c r="AW285" s="46" t="str">
        <f aca="false">IF($D285="Followup",IF(AND($P285&lt;&gt;"Yes",$U285&lt;&gt;"Yes"),"Not approved for primary or secondary skill","Approved, but skill(s) no longer have capacity (fully staffed)"),"")</f>
        <v/>
      </c>
    </row>
    <row r="286" customFormat="false" ht="15" hidden="false" customHeight="true" outlineLevel="0" collapsed="false">
      <c r="A286" s="46" t="str">
        <f aca="false">IF('Survey Response'!$D284="","",'Survey Response'!$A284&amp;"|"&amp;LOWER(TRIM('Survey Response'!$D284)))</f>
        <v/>
      </c>
      <c r="B286" s="46" t="str">
        <f aca="false">IF($H286="","",$F286&amp;"|"&amp;$H286)</f>
        <v/>
      </c>
      <c r="C286" s="46" t="str">
        <f aca="false">IF($H286="","",$A286=$B286)</f>
        <v/>
      </c>
      <c r="D286" s="46" t="str">
        <f aca="false">IF($H286="","",IF($E286&lt;&gt;"Yes","Superseded",IF($I286&lt;&gt;"Yes, I'm available for in-person interviews at Chennai","Not Available",IF($Z286&lt;&gt;"","Panel Details","Followup"))))</f>
        <v/>
      </c>
      <c r="E286" s="46" t="str">
        <f aca="false">IF($H286="","",IF(SUMPRODUCT(($H$4:$H$503=$H286)*(($G$4:$G$503&gt;$G286)+($G$4:$G$503=$G286)*($F$4:$F$503&gt;$F286)))=0,"Yes","No"))</f>
        <v/>
      </c>
      <c r="F286" s="47" t="str">
        <f aca="false">IF('Survey Response'!$D284="","",INT('Survey Response'!$A284))</f>
        <v/>
      </c>
      <c r="G286" s="46" t="str">
        <f aca="false">IF('Survey Response'!$D284="","",'Survey Response'!$C284)</f>
        <v/>
      </c>
      <c r="H286" s="46" t="str">
        <f aca="false">IF('Survey Response'!$D284="","",LOWER(TRIM('Survey Response'!$D284)))</f>
        <v/>
      </c>
      <c r="I286" s="46" t="str">
        <f aca="false">IF($H286="","",'Survey Response'!$I284)</f>
        <v/>
      </c>
      <c r="J286" s="46" t="str">
        <f aca="false">IF($H286="","",'Survey Response'!$K284)</f>
        <v/>
      </c>
      <c r="K286" s="46" t="str">
        <f aca="false">IF($J286="","",IF(COUNTIF('Skill Mapping'!$A$2:$A$7,TRIM($J286))=0,"",INDEX('Skill Mapping'!$B$2:$B$7,MATCH(TRIM($J286),'Skill Mapping'!$A$2:$A$7,0))))</f>
        <v/>
      </c>
      <c r="L286" s="46" t="str">
        <f aca="false">IF($H286="","",'Survey Response'!$L284)</f>
        <v/>
      </c>
      <c r="M286" s="46" t="str">
        <f aca="false">IF($L286="","",IF(COUNTIF('Skill Mapping'!$A$2:$A$7,TRIM($L286))=0,"",INDEX('Skill Mapping'!$B$2:$B$7,MATCH(TRIM($L286),'Skill Mapping'!$A$2:$A$7,0))))</f>
        <v/>
      </c>
      <c r="N286" s="46" t="str">
        <f aca="false">IF($H286="","",'Survey Response'!$M284)</f>
        <v/>
      </c>
      <c r="O286" s="46" t="str">
        <f aca="false">IF($H286="","",IF('Survey Response'!$M284="Manager","R2","R1"))</f>
        <v/>
      </c>
      <c r="P286" s="46" t="str">
        <f aca="false">IF($K286="","No",IF(COUNTIFS(MasterPanel!$B:$B,$H286,MasterPanel!$I:$I,$K286,MasterPanel!$K:$K,"Y")&gt;0,"Yes","No"))</f>
        <v>No</v>
      </c>
      <c r="Q286" s="46" t="n">
        <f aca="false">IF($K286="",0,IF(COUNTIF('Gap Sheet'!$A$6:$A$11,TRIM($J286))=0,0,IF($O286="R1",INDEX('Gap Sheet'!$C$6:$C$11,MATCH(TRIM($J286),'Gap Sheet'!$A$6:$A$11,0)),INDEX('Gap Sheet'!$G$6:$G$11,MATCH(TRIM($J286),'Gap Sheet'!$A$6:$A$11,0)))))</f>
        <v>0</v>
      </c>
      <c r="R286" s="46" t="str">
        <f aca="false">IF($K286="","",$K286&amp;"|"&amp;$O286)</f>
        <v/>
      </c>
      <c r="S286" s="46" t="n">
        <f aca="false">IF($R286="",0,COUNTIF($AA$4:$AA285,$R286))</f>
        <v>0</v>
      </c>
      <c r="T286" s="46" t="str">
        <f aca="false">IF(OR($I286&lt;&gt;"Yes, I'm available for in-person interviews at Chennai",$E286&lt;&gt;"Yes",$P286&lt;&gt;"Yes"),"No",IF(($Q286-$S286)&gt;0,"Yes","No"))</f>
        <v>No</v>
      </c>
      <c r="U286" s="46" t="str">
        <f aca="false">IF($M286="","No",IF(COUNTIFS(MasterPanel!$B:$B,$H286,MasterPanel!$I:$I,$M286,MasterPanel!$K:$K,"Y")&gt;0,"Yes","No"))</f>
        <v>No</v>
      </c>
      <c r="V286" s="46" t="n">
        <f aca="false">IF($M286="",0,IF(COUNTIF('Gap Sheet'!$A$6:$A$11,TRIM($L286))=0,0,IF($O286="R1",INDEX('Gap Sheet'!$C$6:$C$11,MATCH(TRIM($L286),'Gap Sheet'!$A$6:$A$11,0)),INDEX('Gap Sheet'!$G$6:$G$11,MATCH(TRIM($L286),'Gap Sheet'!$A$6:$A$11,0)))))</f>
        <v>0</v>
      </c>
      <c r="W286" s="46" t="str">
        <f aca="false">IF($M286="","",$M286&amp;"|"&amp;$O286)</f>
        <v/>
      </c>
      <c r="X286" s="46" t="n">
        <f aca="false">IF($W286="",0,COUNTIF($AA$4:$AA285,$W286))</f>
        <v>0</v>
      </c>
      <c r="Y286" s="46" t="str">
        <f aca="false">IF(OR($I286&lt;&gt;"Yes, I'm available for in-person interviews at Chennai",$E286&lt;&gt;"Yes",$T286="Yes",$U286&lt;&gt;"Yes"),"No",IF(($V286-$X286)&gt;0,"Yes","No"))</f>
        <v>No</v>
      </c>
      <c r="Z286" s="46" t="str">
        <f aca="false">IF($T286="Yes","Primary",IF($Y286="Yes","Secondary",""))</f>
        <v/>
      </c>
      <c r="AA286" s="46" t="str">
        <f aca="false">IF($Z286="Primary",$R286,IF($Z286="Secondary",$W286,""))</f>
        <v/>
      </c>
      <c r="AB286" s="46" t="str">
        <f aca="false">IF($Z286="Primary","Matched on primary skill",IF($Z286="Secondary","Matched on secondary skill (primary not approved or not required)",""))</f>
        <v/>
      </c>
      <c r="AC286" s="47" t="str">
        <f aca="false">IF($D286="Panel Details",$F286,"")</f>
        <v/>
      </c>
      <c r="AD286" s="46" t="str">
        <f aca="false">IF($D286="Panel Details",'Survey Response'!$D284,"")</f>
        <v/>
      </c>
      <c r="AE286" s="46" t="str">
        <f aca="false">IF($D286="Panel Details",'Survey Response'!$E284,"")</f>
        <v/>
      </c>
      <c r="AF286" s="46" t="str">
        <f aca="false">IF($D286="Panel Details",'Survey Response'!$G284,"")</f>
        <v/>
      </c>
      <c r="AG286" s="46" t="str">
        <f aca="false">IF($D286="Panel Details",IF($Z286="Primary",$J286,$L286),"")</f>
        <v/>
      </c>
      <c r="AH286" s="46" t="str">
        <f aca="false">IF($D286="Panel Details",IF($Z286="Primary",$L286,$J286),"")</f>
        <v/>
      </c>
      <c r="AI286" s="46" t="str">
        <f aca="false">IF($D286="Panel Details",'Survey Response'!$H284,"")</f>
        <v/>
      </c>
      <c r="AJ286" s="46" t="str">
        <f aca="false">IF($D286="Panel Details",'Survey Response'!$M284,"")</f>
        <v/>
      </c>
      <c r="AK286" s="46" t="str">
        <f aca="false">IF($D286="Panel Details",$O286,"")</f>
        <v/>
      </c>
      <c r="AL286" s="46" t="str">
        <f aca="false">IF($D286="Panel Details",8,"")</f>
        <v/>
      </c>
      <c r="AM286" s="46" t="str">
        <f aca="false">IF($D286="Panel Details",$AB286,"")</f>
        <v/>
      </c>
      <c r="AN286" s="46" t="str">
        <f aca="false">IF($D286="Panel Details","Yes","")</f>
        <v/>
      </c>
      <c r="AO286" s="46"/>
      <c r="AP286" s="46" t="str">
        <f aca="false">IF($D286="Followup",'Survey Response'!$D284,"")</f>
        <v/>
      </c>
      <c r="AQ286" s="46" t="str">
        <f aca="false">IF($D286="Followup",'Survey Response'!$E284,"")</f>
        <v/>
      </c>
      <c r="AR286" s="46" t="str">
        <f aca="false">IF($D286="Followup",'Survey Response'!$G284,"")</f>
        <v/>
      </c>
      <c r="AS286" s="46" t="str">
        <f aca="false">IF($D286="Followup",'Survey Response'!$H284,"")</f>
        <v/>
      </c>
      <c r="AT286" s="46" t="str">
        <f aca="false">IF($D286="Followup",'Survey Response'!$M284,"")</f>
        <v/>
      </c>
      <c r="AU286" s="46" t="str">
        <f aca="false">IF($D286="Followup",'Survey Response'!$K284,"")</f>
        <v/>
      </c>
      <c r="AV286" s="46" t="str">
        <f aca="false">IF($D286="Followup",'Survey Response'!$L284,"")</f>
        <v/>
      </c>
      <c r="AW286" s="46" t="str">
        <f aca="false">IF($D286="Followup",IF(AND($P286&lt;&gt;"Yes",$U286&lt;&gt;"Yes"),"Not approved for primary or secondary skill","Approved, but skill(s) no longer have capacity (fully staffed)"),"")</f>
        <v/>
      </c>
    </row>
    <row r="287" customFormat="false" ht="15" hidden="false" customHeight="true" outlineLevel="0" collapsed="false">
      <c r="A287" s="46" t="str">
        <f aca="false">IF('Survey Response'!$D285="","",'Survey Response'!$A285&amp;"|"&amp;LOWER(TRIM('Survey Response'!$D285)))</f>
        <v/>
      </c>
      <c r="B287" s="46" t="str">
        <f aca="false">IF($H287="","",$F287&amp;"|"&amp;$H287)</f>
        <v/>
      </c>
      <c r="C287" s="46" t="str">
        <f aca="false">IF($H287="","",$A287=$B287)</f>
        <v/>
      </c>
      <c r="D287" s="46" t="str">
        <f aca="false">IF($H287="","",IF($E287&lt;&gt;"Yes","Superseded",IF($I287&lt;&gt;"Yes, I'm available for in-person interviews at Chennai","Not Available",IF($Z287&lt;&gt;"","Panel Details","Followup"))))</f>
        <v/>
      </c>
      <c r="E287" s="46" t="str">
        <f aca="false">IF($H287="","",IF(SUMPRODUCT(($H$4:$H$503=$H287)*(($G$4:$G$503&gt;$G287)+($G$4:$G$503=$G287)*($F$4:$F$503&gt;$F287)))=0,"Yes","No"))</f>
        <v/>
      </c>
      <c r="F287" s="47" t="str">
        <f aca="false">IF('Survey Response'!$D285="","",INT('Survey Response'!$A285))</f>
        <v/>
      </c>
      <c r="G287" s="46" t="str">
        <f aca="false">IF('Survey Response'!$D285="","",'Survey Response'!$C285)</f>
        <v/>
      </c>
      <c r="H287" s="46" t="str">
        <f aca="false">IF('Survey Response'!$D285="","",LOWER(TRIM('Survey Response'!$D285)))</f>
        <v/>
      </c>
      <c r="I287" s="46" t="str">
        <f aca="false">IF($H287="","",'Survey Response'!$I285)</f>
        <v/>
      </c>
      <c r="J287" s="46" t="str">
        <f aca="false">IF($H287="","",'Survey Response'!$K285)</f>
        <v/>
      </c>
      <c r="K287" s="46" t="str">
        <f aca="false">IF($J287="","",IF(COUNTIF('Skill Mapping'!$A$2:$A$7,TRIM($J287))=0,"",INDEX('Skill Mapping'!$B$2:$B$7,MATCH(TRIM($J287),'Skill Mapping'!$A$2:$A$7,0))))</f>
        <v/>
      </c>
      <c r="L287" s="46" t="str">
        <f aca="false">IF($H287="","",'Survey Response'!$L285)</f>
        <v/>
      </c>
      <c r="M287" s="46" t="str">
        <f aca="false">IF($L287="","",IF(COUNTIF('Skill Mapping'!$A$2:$A$7,TRIM($L287))=0,"",INDEX('Skill Mapping'!$B$2:$B$7,MATCH(TRIM($L287),'Skill Mapping'!$A$2:$A$7,0))))</f>
        <v/>
      </c>
      <c r="N287" s="46" t="str">
        <f aca="false">IF($H287="","",'Survey Response'!$M285)</f>
        <v/>
      </c>
      <c r="O287" s="46" t="str">
        <f aca="false">IF($H287="","",IF('Survey Response'!$M285="Manager","R2","R1"))</f>
        <v/>
      </c>
      <c r="P287" s="46" t="str">
        <f aca="false">IF($K287="","No",IF(COUNTIFS(MasterPanel!$B:$B,$H287,MasterPanel!$I:$I,$K287,MasterPanel!$K:$K,"Y")&gt;0,"Yes","No"))</f>
        <v>No</v>
      </c>
      <c r="Q287" s="46" t="n">
        <f aca="false">IF($K287="",0,IF(COUNTIF('Gap Sheet'!$A$6:$A$11,TRIM($J287))=0,0,IF($O287="R1",INDEX('Gap Sheet'!$C$6:$C$11,MATCH(TRIM($J287),'Gap Sheet'!$A$6:$A$11,0)),INDEX('Gap Sheet'!$G$6:$G$11,MATCH(TRIM($J287),'Gap Sheet'!$A$6:$A$11,0)))))</f>
        <v>0</v>
      </c>
      <c r="R287" s="46" t="str">
        <f aca="false">IF($K287="","",$K287&amp;"|"&amp;$O287)</f>
        <v/>
      </c>
      <c r="S287" s="46" t="n">
        <f aca="false">IF($R287="",0,COUNTIF($AA$4:$AA286,$R287))</f>
        <v>0</v>
      </c>
      <c r="T287" s="46" t="str">
        <f aca="false">IF(OR($I287&lt;&gt;"Yes, I'm available for in-person interviews at Chennai",$E287&lt;&gt;"Yes",$P287&lt;&gt;"Yes"),"No",IF(($Q287-$S287)&gt;0,"Yes","No"))</f>
        <v>No</v>
      </c>
      <c r="U287" s="46" t="str">
        <f aca="false">IF($M287="","No",IF(COUNTIFS(MasterPanel!$B:$B,$H287,MasterPanel!$I:$I,$M287,MasterPanel!$K:$K,"Y")&gt;0,"Yes","No"))</f>
        <v>No</v>
      </c>
      <c r="V287" s="46" t="n">
        <f aca="false">IF($M287="",0,IF(COUNTIF('Gap Sheet'!$A$6:$A$11,TRIM($L287))=0,0,IF($O287="R1",INDEX('Gap Sheet'!$C$6:$C$11,MATCH(TRIM($L287),'Gap Sheet'!$A$6:$A$11,0)),INDEX('Gap Sheet'!$G$6:$G$11,MATCH(TRIM($L287),'Gap Sheet'!$A$6:$A$11,0)))))</f>
        <v>0</v>
      </c>
      <c r="W287" s="46" t="str">
        <f aca="false">IF($M287="","",$M287&amp;"|"&amp;$O287)</f>
        <v/>
      </c>
      <c r="X287" s="46" t="n">
        <f aca="false">IF($W287="",0,COUNTIF($AA$4:$AA286,$W287))</f>
        <v>0</v>
      </c>
      <c r="Y287" s="46" t="str">
        <f aca="false">IF(OR($I287&lt;&gt;"Yes, I'm available for in-person interviews at Chennai",$E287&lt;&gt;"Yes",$T287="Yes",$U287&lt;&gt;"Yes"),"No",IF(($V287-$X287)&gt;0,"Yes","No"))</f>
        <v>No</v>
      </c>
      <c r="Z287" s="46" t="str">
        <f aca="false">IF($T287="Yes","Primary",IF($Y287="Yes","Secondary",""))</f>
        <v/>
      </c>
      <c r="AA287" s="46" t="str">
        <f aca="false">IF($Z287="Primary",$R287,IF($Z287="Secondary",$W287,""))</f>
        <v/>
      </c>
      <c r="AB287" s="46" t="str">
        <f aca="false">IF($Z287="Primary","Matched on primary skill",IF($Z287="Secondary","Matched on secondary skill (primary not approved or not required)",""))</f>
        <v/>
      </c>
      <c r="AC287" s="47" t="str">
        <f aca="false">IF($D287="Panel Details",$F287,"")</f>
        <v/>
      </c>
      <c r="AD287" s="46" t="str">
        <f aca="false">IF($D287="Panel Details",'Survey Response'!$D285,"")</f>
        <v/>
      </c>
      <c r="AE287" s="46" t="str">
        <f aca="false">IF($D287="Panel Details",'Survey Response'!$E285,"")</f>
        <v/>
      </c>
      <c r="AF287" s="46" t="str">
        <f aca="false">IF($D287="Panel Details",'Survey Response'!$G285,"")</f>
        <v/>
      </c>
      <c r="AG287" s="46" t="str">
        <f aca="false">IF($D287="Panel Details",IF($Z287="Primary",$J287,$L287),"")</f>
        <v/>
      </c>
      <c r="AH287" s="46" t="str">
        <f aca="false">IF($D287="Panel Details",IF($Z287="Primary",$L287,$J287),"")</f>
        <v/>
      </c>
      <c r="AI287" s="46" t="str">
        <f aca="false">IF($D287="Panel Details",'Survey Response'!$H285,"")</f>
        <v/>
      </c>
      <c r="AJ287" s="46" t="str">
        <f aca="false">IF($D287="Panel Details",'Survey Response'!$M285,"")</f>
        <v/>
      </c>
      <c r="AK287" s="46" t="str">
        <f aca="false">IF($D287="Panel Details",$O287,"")</f>
        <v/>
      </c>
      <c r="AL287" s="46" t="str">
        <f aca="false">IF($D287="Panel Details",8,"")</f>
        <v/>
      </c>
      <c r="AM287" s="46" t="str">
        <f aca="false">IF($D287="Panel Details",$AB287,"")</f>
        <v/>
      </c>
      <c r="AN287" s="46" t="str">
        <f aca="false">IF($D287="Panel Details","Yes","")</f>
        <v/>
      </c>
      <c r="AO287" s="46"/>
      <c r="AP287" s="46" t="str">
        <f aca="false">IF($D287="Followup",'Survey Response'!$D285,"")</f>
        <v/>
      </c>
      <c r="AQ287" s="46" t="str">
        <f aca="false">IF($D287="Followup",'Survey Response'!$E285,"")</f>
        <v/>
      </c>
      <c r="AR287" s="46" t="str">
        <f aca="false">IF($D287="Followup",'Survey Response'!$G285,"")</f>
        <v/>
      </c>
      <c r="AS287" s="46" t="str">
        <f aca="false">IF($D287="Followup",'Survey Response'!$H285,"")</f>
        <v/>
      </c>
      <c r="AT287" s="46" t="str">
        <f aca="false">IF($D287="Followup",'Survey Response'!$M285,"")</f>
        <v/>
      </c>
      <c r="AU287" s="46" t="str">
        <f aca="false">IF($D287="Followup",'Survey Response'!$K285,"")</f>
        <v/>
      </c>
      <c r="AV287" s="46" t="str">
        <f aca="false">IF($D287="Followup",'Survey Response'!$L285,"")</f>
        <v/>
      </c>
      <c r="AW287" s="46" t="str">
        <f aca="false">IF($D287="Followup",IF(AND($P287&lt;&gt;"Yes",$U287&lt;&gt;"Yes"),"Not approved for primary or secondary skill","Approved, but skill(s) no longer have capacity (fully staffed)"),"")</f>
        <v/>
      </c>
    </row>
    <row r="288" customFormat="false" ht="15" hidden="false" customHeight="true" outlineLevel="0" collapsed="false">
      <c r="A288" s="46" t="str">
        <f aca="false">IF('Survey Response'!$D286="","",'Survey Response'!$A286&amp;"|"&amp;LOWER(TRIM('Survey Response'!$D286)))</f>
        <v/>
      </c>
      <c r="B288" s="46" t="str">
        <f aca="false">IF($H288="","",$F288&amp;"|"&amp;$H288)</f>
        <v/>
      </c>
      <c r="C288" s="46" t="str">
        <f aca="false">IF($H288="","",$A288=$B288)</f>
        <v/>
      </c>
      <c r="D288" s="46" t="str">
        <f aca="false">IF($H288="","",IF($E288&lt;&gt;"Yes","Superseded",IF($I288&lt;&gt;"Yes, I'm available for in-person interviews at Chennai","Not Available",IF($Z288&lt;&gt;"","Panel Details","Followup"))))</f>
        <v/>
      </c>
      <c r="E288" s="46" t="str">
        <f aca="false">IF($H288="","",IF(SUMPRODUCT(($H$4:$H$503=$H288)*(($G$4:$G$503&gt;$G288)+($G$4:$G$503=$G288)*($F$4:$F$503&gt;$F288)))=0,"Yes","No"))</f>
        <v/>
      </c>
      <c r="F288" s="47" t="str">
        <f aca="false">IF('Survey Response'!$D286="","",INT('Survey Response'!$A286))</f>
        <v/>
      </c>
      <c r="G288" s="46" t="str">
        <f aca="false">IF('Survey Response'!$D286="","",'Survey Response'!$C286)</f>
        <v/>
      </c>
      <c r="H288" s="46" t="str">
        <f aca="false">IF('Survey Response'!$D286="","",LOWER(TRIM('Survey Response'!$D286)))</f>
        <v/>
      </c>
      <c r="I288" s="46" t="str">
        <f aca="false">IF($H288="","",'Survey Response'!$I286)</f>
        <v/>
      </c>
      <c r="J288" s="46" t="str">
        <f aca="false">IF($H288="","",'Survey Response'!$K286)</f>
        <v/>
      </c>
      <c r="K288" s="46" t="str">
        <f aca="false">IF($J288="","",IF(COUNTIF('Skill Mapping'!$A$2:$A$7,TRIM($J288))=0,"",INDEX('Skill Mapping'!$B$2:$B$7,MATCH(TRIM($J288),'Skill Mapping'!$A$2:$A$7,0))))</f>
        <v/>
      </c>
      <c r="L288" s="46" t="str">
        <f aca="false">IF($H288="","",'Survey Response'!$L286)</f>
        <v/>
      </c>
      <c r="M288" s="46" t="str">
        <f aca="false">IF($L288="","",IF(COUNTIF('Skill Mapping'!$A$2:$A$7,TRIM($L288))=0,"",INDEX('Skill Mapping'!$B$2:$B$7,MATCH(TRIM($L288),'Skill Mapping'!$A$2:$A$7,0))))</f>
        <v/>
      </c>
      <c r="N288" s="46" t="str">
        <f aca="false">IF($H288="","",'Survey Response'!$M286)</f>
        <v/>
      </c>
      <c r="O288" s="46" t="str">
        <f aca="false">IF($H288="","",IF('Survey Response'!$M286="Manager","R2","R1"))</f>
        <v/>
      </c>
      <c r="P288" s="46" t="str">
        <f aca="false">IF($K288="","No",IF(COUNTIFS(MasterPanel!$B:$B,$H288,MasterPanel!$I:$I,$K288,MasterPanel!$K:$K,"Y")&gt;0,"Yes","No"))</f>
        <v>No</v>
      </c>
      <c r="Q288" s="46" t="n">
        <f aca="false">IF($K288="",0,IF(COUNTIF('Gap Sheet'!$A$6:$A$11,TRIM($J288))=0,0,IF($O288="R1",INDEX('Gap Sheet'!$C$6:$C$11,MATCH(TRIM($J288),'Gap Sheet'!$A$6:$A$11,0)),INDEX('Gap Sheet'!$G$6:$G$11,MATCH(TRIM($J288),'Gap Sheet'!$A$6:$A$11,0)))))</f>
        <v>0</v>
      </c>
      <c r="R288" s="46" t="str">
        <f aca="false">IF($K288="","",$K288&amp;"|"&amp;$O288)</f>
        <v/>
      </c>
      <c r="S288" s="46" t="n">
        <f aca="false">IF($R288="",0,COUNTIF($AA$4:$AA287,$R288))</f>
        <v>0</v>
      </c>
      <c r="T288" s="46" t="str">
        <f aca="false">IF(OR($I288&lt;&gt;"Yes, I'm available for in-person interviews at Chennai",$E288&lt;&gt;"Yes",$P288&lt;&gt;"Yes"),"No",IF(($Q288-$S288)&gt;0,"Yes","No"))</f>
        <v>No</v>
      </c>
      <c r="U288" s="46" t="str">
        <f aca="false">IF($M288="","No",IF(COUNTIFS(MasterPanel!$B:$B,$H288,MasterPanel!$I:$I,$M288,MasterPanel!$K:$K,"Y")&gt;0,"Yes","No"))</f>
        <v>No</v>
      </c>
      <c r="V288" s="46" t="n">
        <f aca="false">IF($M288="",0,IF(COUNTIF('Gap Sheet'!$A$6:$A$11,TRIM($L288))=0,0,IF($O288="R1",INDEX('Gap Sheet'!$C$6:$C$11,MATCH(TRIM($L288),'Gap Sheet'!$A$6:$A$11,0)),INDEX('Gap Sheet'!$G$6:$G$11,MATCH(TRIM($L288),'Gap Sheet'!$A$6:$A$11,0)))))</f>
        <v>0</v>
      </c>
      <c r="W288" s="46" t="str">
        <f aca="false">IF($M288="","",$M288&amp;"|"&amp;$O288)</f>
        <v/>
      </c>
      <c r="X288" s="46" t="n">
        <f aca="false">IF($W288="",0,COUNTIF($AA$4:$AA287,$W288))</f>
        <v>0</v>
      </c>
      <c r="Y288" s="46" t="str">
        <f aca="false">IF(OR($I288&lt;&gt;"Yes, I'm available for in-person interviews at Chennai",$E288&lt;&gt;"Yes",$T288="Yes",$U288&lt;&gt;"Yes"),"No",IF(($V288-$X288)&gt;0,"Yes","No"))</f>
        <v>No</v>
      </c>
      <c r="Z288" s="46" t="str">
        <f aca="false">IF($T288="Yes","Primary",IF($Y288="Yes","Secondary",""))</f>
        <v/>
      </c>
      <c r="AA288" s="46" t="str">
        <f aca="false">IF($Z288="Primary",$R288,IF($Z288="Secondary",$W288,""))</f>
        <v/>
      </c>
      <c r="AB288" s="46" t="str">
        <f aca="false">IF($Z288="Primary","Matched on primary skill",IF($Z288="Secondary","Matched on secondary skill (primary not approved or not required)",""))</f>
        <v/>
      </c>
      <c r="AC288" s="47" t="str">
        <f aca="false">IF($D288="Panel Details",$F288,"")</f>
        <v/>
      </c>
      <c r="AD288" s="46" t="str">
        <f aca="false">IF($D288="Panel Details",'Survey Response'!$D286,"")</f>
        <v/>
      </c>
      <c r="AE288" s="46" t="str">
        <f aca="false">IF($D288="Panel Details",'Survey Response'!$E286,"")</f>
        <v/>
      </c>
      <c r="AF288" s="46" t="str">
        <f aca="false">IF($D288="Panel Details",'Survey Response'!$G286,"")</f>
        <v/>
      </c>
      <c r="AG288" s="46" t="str">
        <f aca="false">IF($D288="Panel Details",IF($Z288="Primary",$J288,$L288),"")</f>
        <v/>
      </c>
      <c r="AH288" s="46" t="str">
        <f aca="false">IF($D288="Panel Details",IF($Z288="Primary",$L288,$J288),"")</f>
        <v/>
      </c>
      <c r="AI288" s="46" t="str">
        <f aca="false">IF($D288="Panel Details",'Survey Response'!$H286,"")</f>
        <v/>
      </c>
      <c r="AJ288" s="46" t="str">
        <f aca="false">IF($D288="Panel Details",'Survey Response'!$M286,"")</f>
        <v/>
      </c>
      <c r="AK288" s="46" t="str">
        <f aca="false">IF($D288="Panel Details",$O288,"")</f>
        <v/>
      </c>
      <c r="AL288" s="46" t="str">
        <f aca="false">IF($D288="Panel Details",8,"")</f>
        <v/>
      </c>
      <c r="AM288" s="46" t="str">
        <f aca="false">IF($D288="Panel Details",$AB288,"")</f>
        <v/>
      </c>
      <c r="AN288" s="46" t="str">
        <f aca="false">IF($D288="Panel Details","Yes","")</f>
        <v/>
      </c>
      <c r="AO288" s="46"/>
      <c r="AP288" s="46" t="str">
        <f aca="false">IF($D288="Followup",'Survey Response'!$D286,"")</f>
        <v/>
      </c>
      <c r="AQ288" s="46" t="str">
        <f aca="false">IF($D288="Followup",'Survey Response'!$E286,"")</f>
        <v/>
      </c>
      <c r="AR288" s="46" t="str">
        <f aca="false">IF($D288="Followup",'Survey Response'!$G286,"")</f>
        <v/>
      </c>
      <c r="AS288" s="46" t="str">
        <f aca="false">IF($D288="Followup",'Survey Response'!$H286,"")</f>
        <v/>
      </c>
      <c r="AT288" s="46" t="str">
        <f aca="false">IF($D288="Followup",'Survey Response'!$M286,"")</f>
        <v/>
      </c>
      <c r="AU288" s="46" t="str">
        <f aca="false">IF($D288="Followup",'Survey Response'!$K286,"")</f>
        <v/>
      </c>
      <c r="AV288" s="46" t="str">
        <f aca="false">IF($D288="Followup",'Survey Response'!$L286,"")</f>
        <v/>
      </c>
      <c r="AW288" s="46" t="str">
        <f aca="false">IF($D288="Followup",IF(AND($P288&lt;&gt;"Yes",$U288&lt;&gt;"Yes"),"Not approved for primary or secondary skill","Approved, but skill(s) no longer have capacity (fully staffed)"),"")</f>
        <v/>
      </c>
    </row>
    <row r="289" customFormat="false" ht="15" hidden="false" customHeight="true" outlineLevel="0" collapsed="false">
      <c r="A289" s="46" t="str">
        <f aca="false">IF('Survey Response'!$D287="","",'Survey Response'!$A287&amp;"|"&amp;LOWER(TRIM('Survey Response'!$D287)))</f>
        <v/>
      </c>
      <c r="B289" s="46" t="str">
        <f aca="false">IF($H289="","",$F289&amp;"|"&amp;$H289)</f>
        <v/>
      </c>
      <c r="C289" s="46" t="str">
        <f aca="false">IF($H289="","",$A289=$B289)</f>
        <v/>
      </c>
      <c r="D289" s="46" t="str">
        <f aca="false">IF($H289="","",IF($E289&lt;&gt;"Yes","Superseded",IF($I289&lt;&gt;"Yes, I'm available for in-person interviews at Chennai","Not Available",IF($Z289&lt;&gt;"","Panel Details","Followup"))))</f>
        <v/>
      </c>
      <c r="E289" s="46" t="str">
        <f aca="false">IF($H289="","",IF(SUMPRODUCT(($H$4:$H$503=$H289)*(($G$4:$G$503&gt;$G289)+($G$4:$G$503=$G289)*($F$4:$F$503&gt;$F289)))=0,"Yes","No"))</f>
        <v/>
      </c>
      <c r="F289" s="47" t="str">
        <f aca="false">IF('Survey Response'!$D287="","",INT('Survey Response'!$A287))</f>
        <v/>
      </c>
      <c r="G289" s="46" t="str">
        <f aca="false">IF('Survey Response'!$D287="","",'Survey Response'!$C287)</f>
        <v/>
      </c>
      <c r="H289" s="46" t="str">
        <f aca="false">IF('Survey Response'!$D287="","",LOWER(TRIM('Survey Response'!$D287)))</f>
        <v/>
      </c>
      <c r="I289" s="46" t="str">
        <f aca="false">IF($H289="","",'Survey Response'!$I287)</f>
        <v/>
      </c>
      <c r="J289" s="46" t="str">
        <f aca="false">IF($H289="","",'Survey Response'!$K287)</f>
        <v/>
      </c>
      <c r="K289" s="46" t="str">
        <f aca="false">IF($J289="","",IF(COUNTIF('Skill Mapping'!$A$2:$A$7,TRIM($J289))=0,"",INDEX('Skill Mapping'!$B$2:$B$7,MATCH(TRIM($J289),'Skill Mapping'!$A$2:$A$7,0))))</f>
        <v/>
      </c>
      <c r="L289" s="46" t="str">
        <f aca="false">IF($H289="","",'Survey Response'!$L287)</f>
        <v/>
      </c>
      <c r="M289" s="46" t="str">
        <f aca="false">IF($L289="","",IF(COUNTIF('Skill Mapping'!$A$2:$A$7,TRIM($L289))=0,"",INDEX('Skill Mapping'!$B$2:$B$7,MATCH(TRIM($L289),'Skill Mapping'!$A$2:$A$7,0))))</f>
        <v/>
      </c>
      <c r="N289" s="46" t="str">
        <f aca="false">IF($H289="","",'Survey Response'!$M287)</f>
        <v/>
      </c>
      <c r="O289" s="46" t="str">
        <f aca="false">IF($H289="","",IF('Survey Response'!$M287="Manager","R2","R1"))</f>
        <v/>
      </c>
      <c r="P289" s="46" t="str">
        <f aca="false">IF($K289="","No",IF(COUNTIFS(MasterPanel!$B:$B,$H289,MasterPanel!$I:$I,$K289,MasterPanel!$K:$K,"Y")&gt;0,"Yes","No"))</f>
        <v>No</v>
      </c>
      <c r="Q289" s="46" t="n">
        <f aca="false">IF($K289="",0,IF(COUNTIF('Gap Sheet'!$A$6:$A$11,TRIM($J289))=0,0,IF($O289="R1",INDEX('Gap Sheet'!$C$6:$C$11,MATCH(TRIM($J289),'Gap Sheet'!$A$6:$A$11,0)),INDEX('Gap Sheet'!$G$6:$G$11,MATCH(TRIM($J289),'Gap Sheet'!$A$6:$A$11,0)))))</f>
        <v>0</v>
      </c>
      <c r="R289" s="46" t="str">
        <f aca="false">IF($K289="","",$K289&amp;"|"&amp;$O289)</f>
        <v/>
      </c>
      <c r="S289" s="46" t="n">
        <f aca="false">IF($R289="",0,COUNTIF($AA$4:$AA288,$R289))</f>
        <v>0</v>
      </c>
      <c r="T289" s="46" t="str">
        <f aca="false">IF(OR($I289&lt;&gt;"Yes, I'm available for in-person interviews at Chennai",$E289&lt;&gt;"Yes",$P289&lt;&gt;"Yes"),"No",IF(($Q289-$S289)&gt;0,"Yes","No"))</f>
        <v>No</v>
      </c>
      <c r="U289" s="46" t="str">
        <f aca="false">IF($M289="","No",IF(COUNTIFS(MasterPanel!$B:$B,$H289,MasterPanel!$I:$I,$M289,MasterPanel!$K:$K,"Y")&gt;0,"Yes","No"))</f>
        <v>No</v>
      </c>
      <c r="V289" s="46" t="n">
        <f aca="false">IF($M289="",0,IF(COUNTIF('Gap Sheet'!$A$6:$A$11,TRIM($L289))=0,0,IF($O289="R1",INDEX('Gap Sheet'!$C$6:$C$11,MATCH(TRIM($L289),'Gap Sheet'!$A$6:$A$11,0)),INDEX('Gap Sheet'!$G$6:$G$11,MATCH(TRIM($L289),'Gap Sheet'!$A$6:$A$11,0)))))</f>
        <v>0</v>
      </c>
      <c r="W289" s="46" t="str">
        <f aca="false">IF($M289="","",$M289&amp;"|"&amp;$O289)</f>
        <v/>
      </c>
      <c r="X289" s="46" t="n">
        <f aca="false">IF($W289="",0,COUNTIF($AA$4:$AA288,$W289))</f>
        <v>0</v>
      </c>
      <c r="Y289" s="46" t="str">
        <f aca="false">IF(OR($I289&lt;&gt;"Yes, I'm available for in-person interviews at Chennai",$E289&lt;&gt;"Yes",$T289="Yes",$U289&lt;&gt;"Yes"),"No",IF(($V289-$X289)&gt;0,"Yes","No"))</f>
        <v>No</v>
      </c>
      <c r="Z289" s="46" t="str">
        <f aca="false">IF($T289="Yes","Primary",IF($Y289="Yes","Secondary",""))</f>
        <v/>
      </c>
      <c r="AA289" s="46" t="str">
        <f aca="false">IF($Z289="Primary",$R289,IF($Z289="Secondary",$W289,""))</f>
        <v/>
      </c>
      <c r="AB289" s="46" t="str">
        <f aca="false">IF($Z289="Primary","Matched on primary skill",IF($Z289="Secondary","Matched on secondary skill (primary not approved or not required)",""))</f>
        <v/>
      </c>
      <c r="AC289" s="47" t="str">
        <f aca="false">IF($D289="Panel Details",$F289,"")</f>
        <v/>
      </c>
      <c r="AD289" s="46" t="str">
        <f aca="false">IF($D289="Panel Details",'Survey Response'!$D287,"")</f>
        <v/>
      </c>
      <c r="AE289" s="46" t="str">
        <f aca="false">IF($D289="Panel Details",'Survey Response'!$E287,"")</f>
        <v/>
      </c>
      <c r="AF289" s="46" t="str">
        <f aca="false">IF($D289="Panel Details",'Survey Response'!$G287,"")</f>
        <v/>
      </c>
      <c r="AG289" s="46" t="str">
        <f aca="false">IF($D289="Panel Details",IF($Z289="Primary",$J289,$L289),"")</f>
        <v/>
      </c>
      <c r="AH289" s="46" t="str">
        <f aca="false">IF($D289="Panel Details",IF($Z289="Primary",$L289,$J289),"")</f>
        <v/>
      </c>
      <c r="AI289" s="46" t="str">
        <f aca="false">IF($D289="Panel Details",'Survey Response'!$H287,"")</f>
        <v/>
      </c>
      <c r="AJ289" s="46" t="str">
        <f aca="false">IF($D289="Panel Details",'Survey Response'!$M287,"")</f>
        <v/>
      </c>
      <c r="AK289" s="46" t="str">
        <f aca="false">IF($D289="Panel Details",$O289,"")</f>
        <v/>
      </c>
      <c r="AL289" s="46" t="str">
        <f aca="false">IF($D289="Panel Details",8,"")</f>
        <v/>
      </c>
      <c r="AM289" s="46" t="str">
        <f aca="false">IF($D289="Panel Details",$AB289,"")</f>
        <v/>
      </c>
      <c r="AN289" s="46" t="str">
        <f aca="false">IF($D289="Panel Details","Yes","")</f>
        <v/>
      </c>
      <c r="AO289" s="46"/>
      <c r="AP289" s="46" t="str">
        <f aca="false">IF($D289="Followup",'Survey Response'!$D287,"")</f>
        <v/>
      </c>
      <c r="AQ289" s="46" t="str">
        <f aca="false">IF($D289="Followup",'Survey Response'!$E287,"")</f>
        <v/>
      </c>
      <c r="AR289" s="46" t="str">
        <f aca="false">IF($D289="Followup",'Survey Response'!$G287,"")</f>
        <v/>
      </c>
      <c r="AS289" s="46" t="str">
        <f aca="false">IF($D289="Followup",'Survey Response'!$H287,"")</f>
        <v/>
      </c>
      <c r="AT289" s="46" t="str">
        <f aca="false">IF($D289="Followup",'Survey Response'!$M287,"")</f>
        <v/>
      </c>
      <c r="AU289" s="46" t="str">
        <f aca="false">IF($D289="Followup",'Survey Response'!$K287,"")</f>
        <v/>
      </c>
      <c r="AV289" s="46" t="str">
        <f aca="false">IF($D289="Followup",'Survey Response'!$L287,"")</f>
        <v/>
      </c>
      <c r="AW289" s="46" t="str">
        <f aca="false">IF($D289="Followup",IF(AND($P289&lt;&gt;"Yes",$U289&lt;&gt;"Yes"),"Not approved for primary or secondary skill","Approved, but skill(s) no longer have capacity (fully staffed)"),"")</f>
        <v/>
      </c>
    </row>
    <row r="290" customFormat="false" ht="15" hidden="false" customHeight="true" outlineLevel="0" collapsed="false">
      <c r="A290" s="46" t="str">
        <f aca="false">IF('Survey Response'!$D288="","",'Survey Response'!$A288&amp;"|"&amp;LOWER(TRIM('Survey Response'!$D288)))</f>
        <v/>
      </c>
      <c r="B290" s="46" t="str">
        <f aca="false">IF($H290="","",$F290&amp;"|"&amp;$H290)</f>
        <v/>
      </c>
      <c r="C290" s="46" t="str">
        <f aca="false">IF($H290="","",$A290=$B290)</f>
        <v/>
      </c>
      <c r="D290" s="46" t="str">
        <f aca="false">IF($H290="","",IF($E290&lt;&gt;"Yes","Superseded",IF($I290&lt;&gt;"Yes, I'm available for in-person interviews at Chennai","Not Available",IF($Z290&lt;&gt;"","Panel Details","Followup"))))</f>
        <v/>
      </c>
      <c r="E290" s="46" t="str">
        <f aca="false">IF($H290="","",IF(SUMPRODUCT(($H$4:$H$503=$H290)*(($G$4:$G$503&gt;$G290)+($G$4:$G$503=$G290)*($F$4:$F$503&gt;$F290)))=0,"Yes","No"))</f>
        <v/>
      </c>
      <c r="F290" s="47" t="str">
        <f aca="false">IF('Survey Response'!$D288="","",INT('Survey Response'!$A288))</f>
        <v/>
      </c>
      <c r="G290" s="46" t="str">
        <f aca="false">IF('Survey Response'!$D288="","",'Survey Response'!$C288)</f>
        <v/>
      </c>
      <c r="H290" s="46" t="str">
        <f aca="false">IF('Survey Response'!$D288="","",LOWER(TRIM('Survey Response'!$D288)))</f>
        <v/>
      </c>
      <c r="I290" s="46" t="str">
        <f aca="false">IF($H290="","",'Survey Response'!$I288)</f>
        <v/>
      </c>
      <c r="J290" s="46" t="str">
        <f aca="false">IF($H290="","",'Survey Response'!$K288)</f>
        <v/>
      </c>
      <c r="K290" s="46" t="str">
        <f aca="false">IF($J290="","",IF(COUNTIF('Skill Mapping'!$A$2:$A$7,TRIM($J290))=0,"",INDEX('Skill Mapping'!$B$2:$B$7,MATCH(TRIM($J290),'Skill Mapping'!$A$2:$A$7,0))))</f>
        <v/>
      </c>
      <c r="L290" s="46" t="str">
        <f aca="false">IF($H290="","",'Survey Response'!$L288)</f>
        <v/>
      </c>
      <c r="M290" s="46" t="str">
        <f aca="false">IF($L290="","",IF(COUNTIF('Skill Mapping'!$A$2:$A$7,TRIM($L290))=0,"",INDEX('Skill Mapping'!$B$2:$B$7,MATCH(TRIM($L290),'Skill Mapping'!$A$2:$A$7,0))))</f>
        <v/>
      </c>
      <c r="N290" s="46" t="str">
        <f aca="false">IF($H290="","",'Survey Response'!$M288)</f>
        <v/>
      </c>
      <c r="O290" s="46" t="str">
        <f aca="false">IF($H290="","",IF('Survey Response'!$M288="Manager","R2","R1"))</f>
        <v/>
      </c>
      <c r="P290" s="46" t="str">
        <f aca="false">IF($K290="","No",IF(COUNTIFS(MasterPanel!$B:$B,$H290,MasterPanel!$I:$I,$K290,MasterPanel!$K:$K,"Y")&gt;0,"Yes","No"))</f>
        <v>No</v>
      </c>
      <c r="Q290" s="46" t="n">
        <f aca="false">IF($K290="",0,IF(COUNTIF('Gap Sheet'!$A$6:$A$11,TRIM($J290))=0,0,IF($O290="R1",INDEX('Gap Sheet'!$C$6:$C$11,MATCH(TRIM($J290),'Gap Sheet'!$A$6:$A$11,0)),INDEX('Gap Sheet'!$G$6:$G$11,MATCH(TRIM($J290),'Gap Sheet'!$A$6:$A$11,0)))))</f>
        <v>0</v>
      </c>
      <c r="R290" s="46" t="str">
        <f aca="false">IF($K290="","",$K290&amp;"|"&amp;$O290)</f>
        <v/>
      </c>
      <c r="S290" s="46" t="n">
        <f aca="false">IF($R290="",0,COUNTIF($AA$4:$AA289,$R290))</f>
        <v>0</v>
      </c>
      <c r="T290" s="46" t="str">
        <f aca="false">IF(OR($I290&lt;&gt;"Yes, I'm available for in-person interviews at Chennai",$E290&lt;&gt;"Yes",$P290&lt;&gt;"Yes"),"No",IF(($Q290-$S290)&gt;0,"Yes","No"))</f>
        <v>No</v>
      </c>
      <c r="U290" s="46" t="str">
        <f aca="false">IF($M290="","No",IF(COUNTIFS(MasterPanel!$B:$B,$H290,MasterPanel!$I:$I,$M290,MasterPanel!$K:$K,"Y")&gt;0,"Yes","No"))</f>
        <v>No</v>
      </c>
      <c r="V290" s="46" t="n">
        <f aca="false">IF($M290="",0,IF(COUNTIF('Gap Sheet'!$A$6:$A$11,TRIM($L290))=0,0,IF($O290="R1",INDEX('Gap Sheet'!$C$6:$C$11,MATCH(TRIM($L290),'Gap Sheet'!$A$6:$A$11,0)),INDEX('Gap Sheet'!$G$6:$G$11,MATCH(TRIM($L290),'Gap Sheet'!$A$6:$A$11,0)))))</f>
        <v>0</v>
      </c>
      <c r="W290" s="46" t="str">
        <f aca="false">IF($M290="","",$M290&amp;"|"&amp;$O290)</f>
        <v/>
      </c>
      <c r="X290" s="46" t="n">
        <f aca="false">IF($W290="",0,COUNTIF($AA$4:$AA289,$W290))</f>
        <v>0</v>
      </c>
      <c r="Y290" s="46" t="str">
        <f aca="false">IF(OR($I290&lt;&gt;"Yes, I'm available for in-person interviews at Chennai",$E290&lt;&gt;"Yes",$T290="Yes",$U290&lt;&gt;"Yes"),"No",IF(($V290-$X290)&gt;0,"Yes","No"))</f>
        <v>No</v>
      </c>
      <c r="Z290" s="46" t="str">
        <f aca="false">IF($T290="Yes","Primary",IF($Y290="Yes","Secondary",""))</f>
        <v/>
      </c>
      <c r="AA290" s="46" t="str">
        <f aca="false">IF($Z290="Primary",$R290,IF($Z290="Secondary",$W290,""))</f>
        <v/>
      </c>
      <c r="AB290" s="46" t="str">
        <f aca="false">IF($Z290="Primary","Matched on primary skill",IF($Z290="Secondary","Matched on secondary skill (primary not approved or not required)",""))</f>
        <v/>
      </c>
      <c r="AC290" s="47" t="str">
        <f aca="false">IF($D290="Panel Details",$F290,"")</f>
        <v/>
      </c>
      <c r="AD290" s="46" t="str">
        <f aca="false">IF($D290="Panel Details",'Survey Response'!$D288,"")</f>
        <v/>
      </c>
      <c r="AE290" s="46" t="str">
        <f aca="false">IF($D290="Panel Details",'Survey Response'!$E288,"")</f>
        <v/>
      </c>
      <c r="AF290" s="46" t="str">
        <f aca="false">IF($D290="Panel Details",'Survey Response'!$G288,"")</f>
        <v/>
      </c>
      <c r="AG290" s="46" t="str">
        <f aca="false">IF($D290="Panel Details",IF($Z290="Primary",$J290,$L290),"")</f>
        <v/>
      </c>
      <c r="AH290" s="46" t="str">
        <f aca="false">IF($D290="Panel Details",IF($Z290="Primary",$L290,$J290),"")</f>
        <v/>
      </c>
      <c r="AI290" s="46" t="str">
        <f aca="false">IF($D290="Panel Details",'Survey Response'!$H288,"")</f>
        <v/>
      </c>
      <c r="AJ290" s="46" t="str">
        <f aca="false">IF($D290="Panel Details",'Survey Response'!$M288,"")</f>
        <v/>
      </c>
      <c r="AK290" s="46" t="str">
        <f aca="false">IF($D290="Panel Details",$O290,"")</f>
        <v/>
      </c>
      <c r="AL290" s="46" t="str">
        <f aca="false">IF($D290="Panel Details",8,"")</f>
        <v/>
      </c>
      <c r="AM290" s="46" t="str">
        <f aca="false">IF($D290="Panel Details",$AB290,"")</f>
        <v/>
      </c>
      <c r="AN290" s="46" t="str">
        <f aca="false">IF($D290="Panel Details","Yes","")</f>
        <v/>
      </c>
      <c r="AO290" s="46"/>
      <c r="AP290" s="46" t="str">
        <f aca="false">IF($D290="Followup",'Survey Response'!$D288,"")</f>
        <v/>
      </c>
      <c r="AQ290" s="46" t="str">
        <f aca="false">IF($D290="Followup",'Survey Response'!$E288,"")</f>
        <v/>
      </c>
      <c r="AR290" s="46" t="str">
        <f aca="false">IF($D290="Followup",'Survey Response'!$G288,"")</f>
        <v/>
      </c>
      <c r="AS290" s="46" t="str">
        <f aca="false">IF($D290="Followup",'Survey Response'!$H288,"")</f>
        <v/>
      </c>
      <c r="AT290" s="46" t="str">
        <f aca="false">IF($D290="Followup",'Survey Response'!$M288,"")</f>
        <v/>
      </c>
      <c r="AU290" s="46" t="str">
        <f aca="false">IF($D290="Followup",'Survey Response'!$K288,"")</f>
        <v/>
      </c>
      <c r="AV290" s="46" t="str">
        <f aca="false">IF($D290="Followup",'Survey Response'!$L288,"")</f>
        <v/>
      </c>
      <c r="AW290" s="46" t="str">
        <f aca="false">IF($D290="Followup",IF(AND($P290&lt;&gt;"Yes",$U290&lt;&gt;"Yes"),"Not approved for primary or secondary skill","Approved, but skill(s) no longer have capacity (fully staffed)"),"")</f>
        <v/>
      </c>
    </row>
    <row r="291" customFormat="false" ht="15" hidden="false" customHeight="true" outlineLevel="0" collapsed="false">
      <c r="A291" s="46" t="str">
        <f aca="false">IF('Survey Response'!$D289="","",'Survey Response'!$A289&amp;"|"&amp;LOWER(TRIM('Survey Response'!$D289)))</f>
        <v/>
      </c>
      <c r="B291" s="46" t="str">
        <f aca="false">IF($H291="","",$F291&amp;"|"&amp;$H291)</f>
        <v/>
      </c>
      <c r="C291" s="46" t="str">
        <f aca="false">IF($H291="","",$A291=$B291)</f>
        <v/>
      </c>
      <c r="D291" s="46" t="str">
        <f aca="false">IF($H291="","",IF($E291&lt;&gt;"Yes","Superseded",IF($I291&lt;&gt;"Yes, I'm available for in-person interviews at Chennai","Not Available",IF($Z291&lt;&gt;"","Panel Details","Followup"))))</f>
        <v/>
      </c>
      <c r="E291" s="46" t="str">
        <f aca="false">IF($H291="","",IF(SUMPRODUCT(($H$4:$H$503=$H291)*(($G$4:$G$503&gt;$G291)+($G$4:$G$503=$G291)*($F$4:$F$503&gt;$F291)))=0,"Yes","No"))</f>
        <v/>
      </c>
      <c r="F291" s="47" t="str">
        <f aca="false">IF('Survey Response'!$D289="","",INT('Survey Response'!$A289))</f>
        <v/>
      </c>
      <c r="G291" s="46" t="str">
        <f aca="false">IF('Survey Response'!$D289="","",'Survey Response'!$C289)</f>
        <v/>
      </c>
      <c r="H291" s="46" t="str">
        <f aca="false">IF('Survey Response'!$D289="","",LOWER(TRIM('Survey Response'!$D289)))</f>
        <v/>
      </c>
      <c r="I291" s="46" t="str">
        <f aca="false">IF($H291="","",'Survey Response'!$I289)</f>
        <v/>
      </c>
      <c r="J291" s="46" t="str">
        <f aca="false">IF($H291="","",'Survey Response'!$K289)</f>
        <v/>
      </c>
      <c r="K291" s="46" t="str">
        <f aca="false">IF($J291="","",IF(COUNTIF('Skill Mapping'!$A$2:$A$7,TRIM($J291))=0,"",INDEX('Skill Mapping'!$B$2:$B$7,MATCH(TRIM($J291),'Skill Mapping'!$A$2:$A$7,0))))</f>
        <v/>
      </c>
      <c r="L291" s="46" t="str">
        <f aca="false">IF($H291="","",'Survey Response'!$L289)</f>
        <v/>
      </c>
      <c r="M291" s="46" t="str">
        <f aca="false">IF($L291="","",IF(COUNTIF('Skill Mapping'!$A$2:$A$7,TRIM($L291))=0,"",INDEX('Skill Mapping'!$B$2:$B$7,MATCH(TRIM($L291),'Skill Mapping'!$A$2:$A$7,0))))</f>
        <v/>
      </c>
      <c r="N291" s="46" t="str">
        <f aca="false">IF($H291="","",'Survey Response'!$M289)</f>
        <v/>
      </c>
      <c r="O291" s="46" t="str">
        <f aca="false">IF($H291="","",IF('Survey Response'!$M289="Manager","R2","R1"))</f>
        <v/>
      </c>
      <c r="P291" s="46" t="str">
        <f aca="false">IF($K291="","No",IF(COUNTIFS(MasterPanel!$B:$B,$H291,MasterPanel!$I:$I,$K291,MasterPanel!$K:$K,"Y")&gt;0,"Yes","No"))</f>
        <v>No</v>
      </c>
      <c r="Q291" s="46" t="n">
        <f aca="false">IF($K291="",0,IF(COUNTIF('Gap Sheet'!$A$6:$A$11,TRIM($J291))=0,0,IF($O291="R1",INDEX('Gap Sheet'!$C$6:$C$11,MATCH(TRIM($J291),'Gap Sheet'!$A$6:$A$11,0)),INDEX('Gap Sheet'!$G$6:$G$11,MATCH(TRIM($J291),'Gap Sheet'!$A$6:$A$11,0)))))</f>
        <v>0</v>
      </c>
      <c r="R291" s="46" t="str">
        <f aca="false">IF($K291="","",$K291&amp;"|"&amp;$O291)</f>
        <v/>
      </c>
      <c r="S291" s="46" t="n">
        <f aca="false">IF($R291="",0,COUNTIF($AA$4:$AA290,$R291))</f>
        <v>0</v>
      </c>
      <c r="T291" s="46" t="str">
        <f aca="false">IF(OR($I291&lt;&gt;"Yes, I'm available for in-person interviews at Chennai",$E291&lt;&gt;"Yes",$P291&lt;&gt;"Yes"),"No",IF(($Q291-$S291)&gt;0,"Yes","No"))</f>
        <v>No</v>
      </c>
      <c r="U291" s="46" t="str">
        <f aca="false">IF($M291="","No",IF(COUNTIFS(MasterPanel!$B:$B,$H291,MasterPanel!$I:$I,$M291,MasterPanel!$K:$K,"Y")&gt;0,"Yes","No"))</f>
        <v>No</v>
      </c>
      <c r="V291" s="46" t="n">
        <f aca="false">IF($M291="",0,IF(COUNTIF('Gap Sheet'!$A$6:$A$11,TRIM($L291))=0,0,IF($O291="R1",INDEX('Gap Sheet'!$C$6:$C$11,MATCH(TRIM($L291),'Gap Sheet'!$A$6:$A$11,0)),INDEX('Gap Sheet'!$G$6:$G$11,MATCH(TRIM($L291),'Gap Sheet'!$A$6:$A$11,0)))))</f>
        <v>0</v>
      </c>
      <c r="W291" s="46" t="str">
        <f aca="false">IF($M291="","",$M291&amp;"|"&amp;$O291)</f>
        <v/>
      </c>
      <c r="X291" s="46" t="n">
        <f aca="false">IF($W291="",0,COUNTIF($AA$4:$AA290,$W291))</f>
        <v>0</v>
      </c>
      <c r="Y291" s="46" t="str">
        <f aca="false">IF(OR($I291&lt;&gt;"Yes, I'm available for in-person interviews at Chennai",$E291&lt;&gt;"Yes",$T291="Yes",$U291&lt;&gt;"Yes"),"No",IF(($V291-$X291)&gt;0,"Yes","No"))</f>
        <v>No</v>
      </c>
      <c r="Z291" s="46" t="str">
        <f aca="false">IF($T291="Yes","Primary",IF($Y291="Yes","Secondary",""))</f>
        <v/>
      </c>
      <c r="AA291" s="46" t="str">
        <f aca="false">IF($Z291="Primary",$R291,IF($Z291="Secondary",$W291,""))</f>
        <v/>
      </c>
      <c r="AB291" s="46" t="str">
        <f aca="false">IF($Z291="Primary","Matched on primary skill",IF($Z291="Secondary","Matched on secondary skill (primary not approved or not required)",""))</f>
        <v/>
      </c>
      <c r="AC291" s="47" t="str">
        <f aca="false">IF($D291="Panel Details",$F291,"")</f>
        <v/>
      </c>
      <c r="AD291" s="46" t="str">
        <f aca="false">IF($D291="Panel Details",'Survey Response'!$D289,"")</f>
        <v/>
      </c>
      <c r="AE291" s="46" t="str">
        <f aca="false">IF($D291="Panel Details",'Survey Response'!$E289,"")</f>
        <v/>
      </c>
      <c r="AF291" s="46" t="str">
        <f aca="false">IF($D291="Panel Details",'Survey Response'!$G289,"")</f>
        <v/>
      </c>
      <c r="AG291" s="46" t="str">
        <f aca="false">IF($D291="Panel Details",IF($Z291="Primary",$J291,$L291),"")</f>
        <v/>
      </c>
      <c r="AH291" s="46" t="str">
        <f aca="false">IF($D291="Panel Details",IF($Z291="Primary",$L291,$J291),"")</f>
        <v/>
      </c>
      <c r="AI291" s="46" t="str">
        <f aca="false">IF($D291="Panel Details",'Survey Response'!$H289,"")</f>
        <v/>
      </c>
      <c r="AJ291" s="46" t="str">
        <f aca="false">IF($D291="Panel Details",'Survey Response'!$M289,"")</f>
        <v/>
      </c>
      <c r="AK291" s="46" t="str">
        <f aca="false">IF($D291="Panel Details",$O291,"")</f>
        <v/>
      </c>
      <c r="AL291" s="46" t="str">
        <f aca="false">IF($D291="Panel Details",8,"")</f>
        <v/>
      </c>
      <c r="AM291" s="46" t="str">
        <f aca="false">IF($D291="Panel Details",$AB291,"")</f>
        <v/>
      </c>
      <c r="AN291" s="46" t="str">
        <f aca="false">IF($D291="Panel Details","Yes","")</f>
        <v/>
      </c>
      <c r="AO291" s="46"/>
      <c r="AP291" s="46" t="str">
        <f aca="false">IF($D291="Followup",'Survey Response'!$D289,"")</f>
        <v/>
      </c>
      <c r="AQ291" s="46" t="str">
        <f aca="false">IF($D291="Followup",'Survey Response'!$E289,"")</f>
        <v/>
      </c>
      <c r="AR291" s="46" t="str">
        <f aca="false">IF($D291="Followup",'Survey Response'!$G289,"")</f>
        <v/>
      </c>
      <c r="AS291" s="46" t="str">
        <f aca="false">IF($D291="Followup",'Survey Response'!$H289,"")</f>
        <v/>
      </c>
      <c r="AT291" s="46" t="str">
        <f aca="false">IF($D291="Followup",'Survey Response'!$M289,"")</f>
        <v/>
      </c>
      <c r="AU291" s="46" t="str">
        <f aca="false">IF($D291="Followup",'Survey Response'!$K289,"")</f>
        <v/>
      </c>
      <c r="AV291" s="46" t="str">
        <f aca="false">IF($D291="Followup",'Survey Response'!$L289,"")</f>
        <v/>
      </c>
      <c r="AW291" s="46" t="str">
        <f aca="false">IF($D291="Followup",IF(AND($P291&lt;&gt;"Yes",$U291&lt;&gt;"Yes"),"Not approved for primary or secondary skill","Approved, but skill(s) no longer have capacity (fully staffed)"),"")</f>
        <v/>
      </c>
    </row>
    <row r="292" customFormat="false" ht="15" hidden="false" customHeight="true" outlineLevel="0" collapsed="false">
      <c r="A292" s="46" t="str">
        <f aca="false">IF('Survey Response'!$D290="","",'Survey Response'!$A290&amp;"|"&amp;LOWER(TRIM('Survey Response'!$D290)))</f>
        <v/>
      </c>
      <c r="B292" s="46" t="str">
        <f aca="false">IF($H292="","",$F292&amp;"|"&amp;$H292)</f>
        <v/>
      </c>
      <c r="C292" s="46" t="str">
        <f aca="false">IF($H292="","",$A292=$B292)</f>
        <v/>
      </c>
      <c r="D292" s="46" t="str">
        <f aca="false">IF($H292="","",IF($E292&lt;&gt;"Yes","Superseded",IF($I292&lt;&gt;"Yes, I'm available for in-person interviews at Chennai","Not Available",IF($Z292&lt;&gt;"","Panel Details","Followup"))))</f>
        <v/>
      </c>
      <c r="E292" s="46" t="str">
        <f aca="false">IF($H292="","",IF(SUMPRODUCT(($H$4:$H$503=$H292)*(($G$4:$G$503&gt;$G292)+($G$4:$G$503=$G292)*($F$4:$F$503&gt;$F292)))=0,"Yes","No"))</f>
        <v/>
      </c>
      <c r="F292" s="47" t="str">
        <f aca="false">IF('Survey Response'!$D290="","",INT('Survey Response'!$A290))</f>
        <v/>
      </c>
      <c r="G292" s="46" t="str">
        <f aca="false">IF('Survey Response'!$D290="","",'Survey Response'!$C290)</f>
        <v/>
      </c>
      <c r="H292" s="46" t="str">
        <f aca="false">IF('Survey Response'!$D290="","",LOWER(TRIM('Survey Response'!$D290)))</f>
        <v/>
      </c>
      <c r="I292" s="46" t="str">
        <f aca="false">IF($H292="","",'Survey Response'!$I290)</f>
        <v/>
      </c>
      <c r="J292" s="46" t="str">
        <f aca="false">IF($H292="","",'Survey Response'!$K290)</f>
        <v/>
      </c>
      <c r="K292" s="46" t="str">
        <f aca="false">IF($J292="","",IF(COUNTIF('Skill Mapping'!$A$2:$A$7,TRIM($J292))=0,"",INDEX('Skill Mapping'!$B$2:$B$7,MATCH(TRIM($J292),'Skill Mapping'!$A$2:$A$7,0))))</f>
        <v/>
      </c>
      <c r="L292" s="46" t="str">
        <f aca="false">IF($H292="","",'Survey Response'!$L290)</f>
        <v/>
      </c>
      <c r="M292" s="46" t="str">
        <f aca="false">IF($L292="","",IF(COUNTIF('Skill Mapping'!$A$2:$A$7,TRIM($L292))=0,"",INDEX('Skill Mapping'!$B$2:$B$7,MATCH(TRIM($L292),'Skill Mapping'!$A$2:$A$7,0))))</f>
        <v/>
      </c>
      <c r="N292" s="46" t="str">
        <f aca="false">IF($H292="","",'Survey Response'!$M290)</f>
        <v/>
      </c>
      <c r="O292" s="46" t="str">
        <f aca="false">IF($H292="","",IF('Survey Response'!$M290="Manager","R2","R1"))</f>
        <v/>
      </c>
      <c r="P292" s="46" t="str">
        <f aca="false">IF($K292="","No",IF(COUNTIFS(MasterPanel!$B:$B,$H292,MasterPanel!$I:$I,$K292,MasterPanel!$K:$K,"Y")&gt;0,"Yes","No"))</f>
        <v>No</v>
      </c>
      <c r="Q292" s="46" t="n">
        <f aca="false">IF($K292="",0,IF(COUNTIF('Gap Sheet'!$A$6:$A$11,TRIM($J292))=0,0,IF($O292="R1",INDEX('Gap Sheet'!$C$6:$C$11,MATCH(TRIM($J292),'Gap Sheet'!$A$6:$A$11,0)),INDEX('Gap Sheet'!$G$6:$G$11,MATCH(TRIM($J292),'Gap Sheet'!$A$6:$A$11,0)))))</f>
        <v>0</v>
      </c>
      <c r="R292" s="46" t="str">
        <f aca="false">IF($K292="","",$K292&amp;"|"&amp;$O292)</f>
        <v/>
      </c>
      <c r="S292" s="46" t="n">
        <f aca="false">IF($R292="",0,COUNTIF($AA$4:$AA291,$R292))</f>
        <v>0</v>
      </c>
      <c r="T292" s="46" t="str">
        <f aca="false">IF(OR($I292&lt;&gt;"Yes, I'm available for in-person interviews at Chennai",$E292&lt;&gt;"Yes",$P292&lt;&gt;"Yes"),"No",IF(($Q292-$S292)&gt;0,"Yes","No"))</f>
        <v>No</v>
      </c>
      <c r="U292" s="46" t="str">
        <f aca="false">IF($M292="","No",IF(COUNTIFS(MasterPanel!$B:$B,$H292,MasterPanel!$I:$I,$M292,MasterPanel!$K:$K,"Y")&gt;0,"Yes","No"))</f>
        <v>No</v>
      </c>
      <c r="V292" s="46" t="n">
        <f aca="false">IF($M292="",0,IF(COUNTIF('Gap Sheet'!$A$6:$A$11,TRIM($L292))=0,0,IF($O292="R1",INDEX('Gap Sheet'!$C$6:$C$11,MATCH(TRIM($L292),'Gap Sheet'!$A$6:$A$11,0)),INDEX('Gap Sheet'!$G$6:$G$11,MATCH(TRIM($L292),'Gap Sheet'!$A$6:$A$11,0)))))</f>
        <v>0</v>
      </c>
      <c r="W292" s="46" t="str">
        <f aca="false">IF($M292="","",$M292&amp;"|"&amp;$O292)</f>
        <v/>
      </c>
      <c r="X292" s="46" t="n">
        <f aca="false">IF($W292="",0,COUNTIF($AA$4:$AA291,$W292))</f>
        <v>0</v>
      </c>
      <c r="Y292" s="46" t="str">
        <f aca="false">IF(OR($I292&lt;&gt;"Yes, I'm available for in-person interviews at Chennai",$E292&lt;&gt;"Yes",$T292="Yes",$U292&lt;&gt;"Yes"),"No",IF(($V292-$X292)&gt;0,"Yes","No"))</f>
        <v>No</v>
      </c>
      <c r="Z292" s="46" t="str">
        <f aca="false">IF($T292="Yes","Primary",IF($Y292="Yes","Secondary",""))</f>
        <v/>
      </c>
      <c r="AA292" s="46" t="str">
        <f aca="false">IF($Z292="Primary",$R292,IF($Z292="Secondary",$W292,""))</f>
        <v/>
      </c>
      <c r="AB292" s="46" t="str">
        <f aca="false">IF($Z292="Primary","Matched on primary skill",IF($Z292="Secondary","Matched on secondary skill (primary not approved or not required)",""))</f>
        <v/>
      </c>
      <c r="AC292" s="47" t="str">
        <f aca="false">IF($D292="Panel Details",$F292,"")</f>
        <v/>
      </c>
      <c r="AD292" s="46" t="str">
        <f aca="false">IF($D292="Panel Details",'Survey Response'!$D290,"")</f>
        <v/>
      </c>
      <c r="AE292" s="46" t="str">
        <f aca="false">IF($D292="Panel Details",'Survey Response'!$E290,"")</f>
        <v/>
      </c>
      <c r="AF292" s="46" t="str">
        <f aca="false">IF($D292="Panel Details",'Survey Response'!$G290,"")</f>
        <v/>
      </c>
      <c r="AG292" s="46" t="str">
        <f aca="false">IF($D292="Panel Details",IF($Z292="Primary",$J292,$L292),"")</f>
        <v/>
      </c>
      <c r="AH292" s="46" t="str">
        <f aca="false">IF($D292="Panel Details",IF($Z292="Primary",$L292,$J292),"")</f>
        <v/>
      </c>
      <c r="AI292" s="46" t="str">
        <f aca="false">IF($D292="Panel Details",'Survey Response'!$H290,"")</f>
        <v/>
      </c>
      <c r="AJ292" s="46" t="str">
        <f aca="false">IF($D292="Panel Details",'Survey Response'!$M290,"")</f>
        <v/>
      </c>
      <c r="AK292" s="46" t="str">
        <f aca="false">IF($D292="Panel Details",$O292,"")</f>
        <v/>
      </c>
      <c r="AL292" s="46" t="str">
        <f aca="false">IF($D292="Panel Details",8,"")</f>
        <v/>
      </c>
      <c r="AM292" s="46" t="str">
        <f aca="false">IF($D292="Panel Details",$AB292,"")</f>
        <v/>
      </c>
      <c r="AN292" s="46" t="str">
        <f aca="false">IF($D292="Panel Details","Yes","")</f>
        <v/>
      </c>
      <c r="AO292" s="46"/>
      <c r="AP292" s="46" t="str">
        <f aca="false">IF($D292="Followup",'Survey Response'!$D290,"")</f>
        <v/>
      </c>
      <c r="AQ292" s="46" t="str">
        <f aca="false">IF($D292="Followup",'Survey Response'!$E290,"")</f>
        <v/>
      </c>
      <c r="AR292" s="46" t="str">
        <f aca="false">IF($D292="Followup",'Survey Response'!$G290,"")</f>
        <v/>
      </c>
      <c r="AS292" s="46" t="str">
        <f aca="false">IF($D292="Followup",'Survey Response'!$H290,"")</f>
        <v/>
      </c>
      <c r="AT292" s="46" t="str">
        <f aca="false">IF($D292="Followup",'Survey Response'!$M290,"")</f>
        <v/>
      </c>
      <c r="AU292" s="46" t="str">
        <f aca="false">IF($D292="Followup",'Survey Response'!$K290,"")</f>
        <v/>
      </c>
      <c r="AV292" s="46" t="str">
        <f aca="false">IF($D292="Followup",'Survey Response'!$L290,"")</f>
        <v/>
      </c>
      <c r="AW292" s="46" t="str">
        <f aca="false">IF($D292="Followup",IF(AND($P292&lt;&gt;"Yes",$U292&lt;&gt;"Yes"),"Not approved for primary or secondary skill","Approved, but skill(s) no longer have capacity (fully staffed)"),"")</f>
        <v/>
      </c>
    </row>
    <row r="293" customFormat="false" ht="15" hidden="false" customHeight="true" outlineLevel="0" collapsed="false">
      <c r="A293" s="46" t="str">
        <f aca="false">IF('Survey Response'!$D291="","",'Survey Response'!$A291&amp;"|"&amp;LOWER(TRIM('Survey Response'!$D291)))</f>
        <v/>
      </c>
      <c r="B293" s="46" t="str">
        <f aca="false">IF($H293="","",$F293&amp;"|"&amp;$H293)</f>
        <v/>
      </c>
      <c r="C293" s="46" t="str">
        <f aca="false">IF($H293="","",$A293=$B293)</f>
        <v/>
      </c>
      <c r="D293" s="46" t="str">
        <f aca="false">IF($H293="","",IF($E293&lt;&gt;"Yes","Superseded",IF($I293&lt;&gt;"Yes, I'm available for in-person interviews at Chennai","Not Available",IF($Z293&lt;&gt;"","Panel Details","Followup"))))</f>
        <v/>
      </c>
      <c r="E293" s="46" t="str">
        <f aca="false">IF($H293="","",IF(SUMPRODUCT(($H$4:$H$503=$H293)*(($G$4:$G$503&gt;$G293)+($G$4:$G$503=$G293)*($F$4:$F$503&gt;$F293)))=0,"Yes","No"))</f>
        <v/>
      </c>
      <c r="F293" s="47" t="str">
        <f aca="false">IF('Survey Response'!$D291="","",INT('Survey Response'!$A291))</f>
        <v/>
      </c>
      <c r="G293" s="46" t="str">
        <f aca="false">IF('Survey Response'!$D291="","",'Survey Response'!$C291)</f>
        <v/>
      </c>
      <c r="H293" s="46" t="str">
        <f aca="false">IF('Survey Response'!$D291="","",LOWER(TRIM('Survey Response'!$D291)))</f>
        <v/>
      </c>
      <c r="I293" s="46" t="str">
        <f aca="false">IF($H293="","",'Survey Response'!$I291)</f>
        <v/>
      </c>
      <c r="J293" s="46" t="str">
        <f aca="false">IF($H293="","",'Survey Response'!$K291)</f>
        <v/>
      </c>
      <c r="K293" s="46" t="str">
        <f aca="false">IF($J293="","",IF(COUNTIF('Skill Mapping'!$A$2:$A$7,TRIM($J293))=0,"",INDEX('Skill Mapping'!$B$2:$B$7,MATCH(TRIM($J293),'Skill Mapping'!$A$2:$A$7,0))))</f>
        <v/>
      </c>
      <c r="L293" s="46" t="str">
        <f aca="false">IF($H293="","",'Survey Response'!$L291)</f>
        <v/>
      </c>
      <c r="M293" s="46" t="str">
        <f aca="false">IF($L293="","",IF(COUNTIF('Skill Mapping'!$A$2:$A$7,TRIM($L293))=0,"",INDEX('Skill Mapping'!$B$2:$B$7,MATCH(TRIM($L293),'Skill Mapping'!$A$2:$A$7,0))))</f>
        <v/>
      </c>
      <c r="N293" s="46" t="str">
        <f aca="false">IF($H293="","",'Survey Response'!$M291)</f>
        <v/>
      </c>
      <c r="O293" s="46" t="str">
        <f aca="false">IF($H293="","",IF('Survey Response'!$M291="Manager","R2","R1"))</f>
        <v/>
      </c>
      <c r="P293" s="46" t="str">
        <f aca="false">IF($K293="","No",IF(COUNTIFS(MasterPanel!$B:$B,$H293,MasterPanel!$I:$I,$K293,MasterPanel!$K:$K,"Y")&gt;0,"Yes","No"))</f>
        <v>No</v>
      </c>
      <c r="Q293" s="46" t="n">
        <f aca="false">IF($K293="",0,IF(COUNTIF('Gap Sheet'!$A$6:$A$11,TRIM($J293))=0,0,IF($O293="R1",INDEX('Gap Sheet'!$C$6:$C$11,MATCH(TRIM($J293),'Gap Sheet'!$A$6:$A$11,0)),INDEX('Gap Sheet'!$G$6:$G$11,MATCH(TRIM($J293),'Gap Sheet'!$A$6:$A$11,0)))))</f>
        <v>0</v>
      </c>
      <c r="R293" s="46" t="str">
        <f aca="false">IF($K293="","",$K293&amp;"|"&amp;$O293)</f>
        <v/>
      </c>
      <c r="S293" s="46" t="n">
        <f aca="false">IF($R293="",0,COUNTIF($AA$4:$AA292,$R293))</f>
        <v>0</v>
      </c>
      <c r="T293" s="46" t="str">
        <f aca="false">IF(OR($I293&lt;&gt;"Yes, I'm available for in-person interviews at Chennai",$E293&lt;&gt;"Yes",$P293&lt;&gt;"Yes"),"No",IF(($Q293-$S293)&gt;0,"Yes","No"))</f>
        <v>No</v>
      </c>
      <c r="U293" s="46" t="str">
        <f aca="false">IF($M293="","No",IF(COUNTIFS(MasterPanel!$B:$B,$H293,MasterPanel!$I:$I,$M293,MasterPanel!$K:$K,"Y")&gt;0,"Yes","No"))</f>
        <v>No</v>
      </c>
      <c r="V293" s="46" t="n">
        <f aca="false">IF($M293="",0,IF(COUNTIF('Gap Sheet'!$A$6:$A$11,TRIM($L293))=0,0,IF($O293="R1",INDEX('Gap Sheet'!$C$6:$C$11,MATCH(TRIM($L293),'Gap Sheet'!$A$6:$A$11,0)),INDEX('Gap Sheet'!$G$6:$G$11,MATCH(TRIM($L293),'Gap Sheet'!$A$6:$A$11,0)))))</f>
        <v>0</v>
      </c>
      <c r="W293" s="46" t="str">
        <f aca="false">IF($M293="","",$M293&amp;"|"&amp;$O293)</f>
        <v/>
      </c>
      <c r="X293" s="46" t="n">
        <f aca="false">IF($W293="",0,COUNTIF($AA$4:$AA292,$W293))</f>
        <v>0</v>
      </c>
      <c r="Y293" s="46" t="str">
        <f aca="false">IF(OR($I293&lt;&gt;"Yes, I'm available for in-person interviews at Chennai",$E293&lt;&gt;"Yes",$T293="Yes",$U293&lt;&gt;"Yes"),"No",IF(($V293-$X293)&gt;0,"Yes","No"))</f>
        <v>No</v>
      </c>
      <c r="Z293" s="46" t="str">
        <f aca="false">IF($T293="Yes","Primary",IF($Y293="Yes","Secondary",""))</f>
        <v/>
      </c>
      <c r="AA293" s="46" t="str">
        <f aca="false">IF($Z293="Primary",$R293,IF($Z293="Secondary",$W293,""))</f>
        <v/>
      </c>
      <c r="AB293" s="46" t="str">
        <f aca="false">IF($Z293="Primary","Matched on primary skill",IF($Z293="Secondary","Matched on secondary skill (primary not approved or not required)",""))</f>
        <v/>
      </c>
      <c r="AC293" s="47" t="str">
        <f aca="false">IF($D293="Panel Details",$F293,"")</f>
        <v/>
      </c>
      <c r="AD293" s="46" t="str">
        <f aca="false">IF($D293="Panel Details",'Survey Response'!$D291,"")</f>
        <v/>
      </c>
      <c r="AE293" s="46" t="str">
        <f aca="false">IF($D293="Panel Details",'Survey Response'!$E291,"")</f>
        <v/>
      </c>
      <c r="AF293" s="46" t="str">
        <f aca="false">IF($D293="Panel Details",'Survey Response'!$G291,"")</f>
        <v/>
      </c>
      <c r="AG293" s="46" t="str">
        <f aca="false">IF($D293="Panel Details",IF($Z293="Primary",$J293,$L293),"")</f>
        <v/>
      </c>
      <c r="AH293" s="46" t="str">
        <f aca="false">IF($D293="Panel Details",IF($Z293="Primary",$L293,$J293),"")</f>
        <v/>
      </c>
      <c r="AI293" s="46" t="str">
        <f aca="false">IF($D293="Panel Details",'Survey Response'!$H291,"")</f>
        <v/>
      </c>
      <c r="AJ293" s="46" t="str">
        <f aca="false">IF($D293="Panel Details",'Survey Response'!$M291,"")</f>
        <v/>
      </c>
      <c r="AK293" s="46" t="str">
        <f aca="false">IF($D293="Panel Details",$O293,"")</f>
        <v/>
      </c>
      <c r="AL293" s="46" t="str">
        <f aca="false">IF($D293="Panel Details",8,"")</f>
        <v/>
      </c>
      <c r="AM293" s="46" t="str">
        <f aca="false">IF($D293="Panel Details",$AB293,"")</f>
        <v/>
      </c>
      <c r="AN293" s="46" t="str">
        <f aca="false">IF($D293="Panel Details","Yes","")</f>
        <v/>
      </c>
      <c r="AO293" s="46"/>
      <c r="AP293" s="46" t="str">
        <f aca="false">IF($D293="Followup",'Survey Response'!$D291,"")</f>
        <v/>
      </c>
      <c r="AQ293" s="46" t="str">
        <f aca="false">IF($D293="Followup",'Survey Response'!$E291,"")</f>
        <v/>
      </c>
      <c r="AR293" s="46" t="str">
        <f aca="false">IF($D293="Followup",'Survey Response'!$G291,"")</f>
        <v/>
      </c>
      <c r="AS293" s="46" t="str">
        <f aca="false">IF($D293="Followup",'Survey Response'!$H291,"")</f>
        <v/>
      </c>
      <c r="AT293" s="46" t="str">
        <f aca="false">IF($D293="Followup",'Survey Response'!$M291,"")</f>
        <v/>
      </c>
      <c r="AU293" s="46" t="str">
        <f aca="false">IF($D293="Followup",'Survey Response'!$K291,"")</f>
        <v/>
      </c>
      <c r="AV293" s="46" t="str">
        <f aca="false">IF($D293="Followup",'Survey Response'!$L291,"")</f>
        <v/>
      </c>
      <c r="AW293" s="46" t="str">
        <f aca="false">IF($D293="Followup",IF(AND($P293&lt;&gt;"Yes",$U293&lt;&gt;"Yes"),"Not approved for primary or secondary skill","Approved, but skill(s) no longer have capacity (fully staffed)"),"")</f>
        <v/>
      </c>
    </row>
    <row r="294" customFormat="false" ht="15" hidden="false" customHeight="true" outlineLevel="0" collapsed="false">
      <c r="A294" s="46" t="str">
        <f aca="false">IF('Survey Response'!$D292="","",'Survey Response'!$A292&amp;"|"&amp;LOWER(TRIM('Survey Response'!$D292)))</f>
        <v/>
      </c>
      <c r="B294" s="46" t="str">
        <f aca="false">IF($H294="","",$F294&amp;"|"&amp;$H294)</f>
        <v/>
      </c>
      <c r="C294" s="46" t="str">
        <f aca="false">IF($H294="","",$A294=$B294)</f>
        <v/>
      </c>
      <c r="D294" s="46" t="str">
        <f aca="false">IF($H294="","",IF($E294&lt;&gt;"Yes","Superseded",IF($I294&lt;&gt;"Yes, I'm available for in-person interviews at Chennai","Not Available",IF($Z294&lt;&gt;"","Panel Details","Followup"))))</f>
        <v/>
      </c>
      <c r="E294" s="46" t="str">
        <f aca="false">IF($H294="","",IF(SUMPRODUCT(($H$4:$H$503=$H294)*(($G$4:$G$503&gt;$G294)+($G$4:$G$503=$G294)*($F$4:$F$503&gt;$F294)))=0,"Yes","No"))</f>
        <v/>
      </c>
      <c r="F294" s="47" t="str">
        <f aca="false">IF('Survey Response'!$D292="","",INT('Survey Response'!$A292))</f>
        <v/>
      </c>
      <c r="G294" s="46" t="str">
        <f aca="false">IF('Survey Response'!$D292="","",'Survey Response'!$C292)</f>
        <v/>
      </c>
      <c r="H294" s="46" t="str">
        <f aca="false">IF('Survey Response'!$D292="","",LOWER(TRIM('Survey Response'!$D292)))</f>
        <v/>
      </c>
      <c r="I294" s="46" t="str">
        <f aca="false">IF($H294="","",'Survey Response'!$I292)</f>
        <v/>
      </c>
      <c r="J294" s="46" t="str">
        <f aca="false">IF($H294="","",'Survey Response'!$K292)</f>
        <v/>
      </c>
      <c r="K294" s="46" t="str">
        <f aca="false">IF($J294="","",IF(COUNTIF('Skill Mapping'!$A$2:$A$7,TRIM($J294))=0,"",INDEX('Skill Mapping'!$B$2:$B$7,MATCH(TRIM($J294),'Skill Mapping'!$A$2:$A$7,0))))</f>
        <v/>
      </c>
      <c r="L294" s="46" t="str">
        <f aca="false">IF($H294="","",'Survey Response'!$L292)</f>
        <v/>
      </c>
      <c r="M294" s="46" t="str">
        <f aca="false">IF($L294="","",IF(COUNTIF('Skill Mapping'!$A$2:$A$7,TRIM($L294))=0,"",INDEX('Skill Mapping'!$B$2:$B$7,MATCH(TRIM($L294),'Skill Mapping'!$A$2:$A$7,0))))</f>
        <v/>
      </c>
      <c r="N294" s="46" t="str">
        <f aca="false">IF($H294="","",'Survey Response'!$M292)</f>
        <v/>
      </c>
      <c r="O294" s="46" t="str">
        <f aca="false">IF($H294="","",IF('Survey Response'!$M292="Manager","R2","R1"))</f>
        <v/>
      </c>
      <c r="P294" s="46" t="str">
        <f aca="false">IF($K294="","No",IF(COUNTIFS(MasterPanel!$B:$B,$H294,MasterPanel!$I:$I,$K294,MasterPanel!$K:$K,"Y")&gt;0,"Yes","No"))</f>
        <v>No</v>
      </c>
      <c r="Q294" s="46" t="n">
        <f aca="false">IF($K294="",0,IF(COUNTIF('Gap Sheet'!$A$6:$A$11,TRIM($J294))=0,0,IF($O294="R1",INDEX('Gap Sheet'!$C$6:$C$11,MATCH(TRIM($J294),'Gap Sheet'!$A$6:$A$11,0)),INDEX('Gap Sheet'!$G$6:$G$11,MATCH(TRIM($J294),'Gap Sheet'!$A$6:$A$11,0)))))</f>
        <v>0</v>
      </c>
      <c r="R294" s="46" t="str">
        <f aca="false">IF($K294="","",$K294&amp;"|"&amp;$O294)</f>
        <v/>
      </c>
      <c r="S294" s="46" t="n">
        <f aca="false">IF($R294="",0,COUNTIF($AA$4:$AA293,$R294))</f>
        <v>0</v>
      </c>
      <c r="T294" s="46" t="str">
        <f aca="false">IF(OR($I294&lt;&gt;"Yes, I'm available for in-person interviews at Chennai",$E294&lt;&gt;"Yes",$P294&lt;&gt;"Yes"),"No",IF(($Q294-$S294)&gt;0,"Yes","No"))</f>
        <v>No</v>
      </c>
      <c r="U294" s="46" t="str">
        <f aca="false">IF($M294="","No",IF(COUNTIFS(MasterPanel!$B:$B,$H294,MasterPanel!$I:$I,$M294,MasterPanel!$K:$K,"Y")&gt;0,"Yes","No"))</f>
        <v>No</v>
      </c>
      <c r="V294" s="46" t="n">
        <f aca="false">IF($M294="",0,IF(COUNTIF('Gap Sheet'!$A$6:$A$11,TRIM($L294))=0,0,IF($O294="R1",INDEX('Gap Sheet'!$C$6:$C$11,MATCH(TRIM($L294),'Gap Sheet'!$A$6:$A$11,0)),INDEX('Gap Sheet'!$G$6:$G$11,MATCH(TRIM($L294),'Gap Sheet'!$A$6:$A$11,0)))))</f>
        <v>0</v>
      </c>
      <c r="W294" s="46" t="str">
        <f aca="false">IF($M294="","",$M294&amp;"|"&amp;$O294)</f>
        <v/>
      </c>
      <c r="X294" s="46" t="n">
        <f aca="false">IF($W294="",0,COUNTIF($AA$4:$AA293,$W294))</f>
        <v>0</v>
      </c>
      <c r="Y294" s="46" t="str">
        <f aca="false">IF(OR($I294&lt;&gt;"Yes, I'm available for in-person interviews at Chennai",$E294&lt;&gt;"Yes",$T294="Yes",$U294&lt;&gt;"Yes"),"No",IF(($V294-$X294)&gt;0,"Yes","No"))</f>
        <v>No</v>
      </c>
      <c r="Z294" s="46" t="str">
        <f aca="false">IF($T294="Yes","Primary",IF($Y294="Yes","Secondary",""))</f>
        <v/>
      </c>
      <c r="AA294" s="46" t="str">
        <f aca="false">IF($Z294="Primary",$R294,IF($Z294="Secondary",$W294,""))</f>
        <v/>
      </c>
      <c r="AB294" s="46" t="str">
        <f aca="false">IF($Z294="Primary","Matched on primary skill",IF($Z294="Secondary","Matched on secondary skill (primary not approved or not required)",""))</f>
        <v/>
      </c>
      <c r="AC294" s="47" t="str">
        <f aca="false">IF($D294="Panel Details",$F294,"")</f>
        <v/>
      </c>
      <c r="AD294" s="46" t="str">
        <f aca="false">IF($D294="Panel Details",'Survey Response'!$D292,"")</f>
        <v/>
      </c>
      <c r="AE294" s="46" t="str">
        <f aca="false">IF($D294="Panel Details",'Survey Response'!$E292,"")</f>
        <v/>
      </c>
      <c r="AF294" s="46" t="str">
        <f aca="false">IF($D294="Panel Details",'Survey Response'!$G292,"")</f>
        <v/>
      </c>
      <c r="AG294" s="46" t="str">
        <f aca="false">IF($D294="Panel Details",IF($Z294="Primary",$J294,$L294),"")</f>
        <v/>
      </c>
      <c r="AH294" s="46" t="str">
        <f aca="false">IF($D294="Panel Details",IF($Z294="Primary",$L294,$J294),"")</f>
        <v/>
      </c>
      <c r="AI294" s="46" t="str">
        <f aca="false">IF($D294="Panel Details",'Survey Response'!$H292,"")</f>
        <v/>
      </c>
      <c r="AJ294" s="46" t="str">
        <f aca="false">IF($D294="Panel Details",'Survey Response'!$M292,"")</f>
        <v/>
      </c>
      <c r="AK294" s="46" t="str">
        <f aca="false">IF($D294="Panel Details",$O294,"")</f>
        <v/>
      </c>
      <c r="AL294" s="46" t="str">
        <f aca="false">IF($D294="Panel Details",8,"")</f>
        <v/>
      </c>
      <c r="AM294" s="46" t="str">
        <f aca="false">IF($D294="Panel Details",$AB294,"")</f>
        <v/>
      </c>
      <c r="AN294" s="46" t="str">
        <f aca="false">IF($D294="Panel Details","Yes","")</f>
        <v/>
      </c>
      <c r="AO294" s="46"/>
      <c r="AP294" s="46" t="str">
        <f aca="false">IF($D294="Followup",'Survey Response'!$D292,"")</f>
        <v/>
      </c>
      <c r="AQ294" s="46" t="str">
        <f aca="false">IF($D294="Followup",'Survey Response'!$E292,"")</f>
        <v/>
      </c>
      <c r="AR294" s="46" t="str">
        <f aca="false">IF($D294="Followup",'Survey Response'!$G292,"")</f>
        <v/>
      </c>
      <c r="AS294" s="46" t="str">
        <f aca="false">IF($D294="Followup",'Survey Response'!$H292,"")</f>
        <v/>
      </c>
      <c r="AT294" s="46" t="str">
        <f aca="false">IF($D294="Followup",'Survey Response'!$M292,"")</f>
        <v/>
      </c>
      <c r="AU294" s="46" t="str">
        <f aca="false">IF($D294="Followup",'Survey Response'!$K292,"")</f>
        <v/>
      </c>
      <c r="AV294" s="46" t="str">
        <f aca="false">IF($D294="Followup",'Survey Response'!$L292,"")</f>
        <v/>
      </c>
      <c r="AW294" s="46" t="str">
        <f aca="false">IF($D294="Followup",IF(AND($P294&lt;&gt;"Yes",$U294&lt;&gt;"Yes"),"Not approved for primary or secondary skill","Approved, but skill(s) no longer have capacity (fully staffed)"),"")</f>
        <v/>
      </c>
    </row>
    <row r="295" customFormat="false" ht="15" hidden="false" customHeight="true" outlineLevel="0" collapsed="false">
      <c r="A295" s="46" t="str">
        <f aca="false">IF('Survey Response'!$D293="","",'Survey Response'!$A293&amp;"|"&amp;LOWER(TRIM('Survey Response'!$D293)))</f>
        <v/>
      </c>
      <c r="B295" s="46" t="str">
        <f aca="false">IF($H295="","",$F295&amp;"|"&amp;$H295)</f>
        <v/>
      </c>
      <c r="C295" s="46" t="str">
        <f aca="false">IF($H295="","",$A295=$B295)</f>
        <v/>
      </c>
      <c r="D295" s="46" t="str">
        <f aca="false">IF($H295="","",IF($E295&lt;&gt;"Yes","Superseded",IF($I295&lt;&gt;"Yes, I'm available for in-person interviews at Chennai","Not Available",IF($Z295&lt;&gt;"","Panel Details","Followup"))))</f>
        <v/>
      </c>
      <c r="E295" s="46" t="str">
        <f aca="false">IF($H295="","",IF(SUMPRODUCT(($H$4:$H$503=$H295)*(($G$4:$G$503&gt;$G295)+($G$4:$G$503=$G295)*($F$4:$F$503&gt;$F295)))=0,"Yes","No"))</f>
        <v/>
      </c>
      <c r="F295" s="47" t="str">
        <f aca="false">IF('Survey Response'!$D293="","",INT('Survey Response'!$A293))</f>
        <v/>
      </c>
      <c r="G295" s="46" t="str">
        <f aca="false">IF('Survey Response'!$D293="","",'Survey Response'!$C293)</f>
        <v/>
      </c>
      <c r="H295" s="46" t="str">
        <f aca="false">IF('Survey Response'!$D293="","",LOWER(TRIM('Survey Response'!$D293)))</f>
        <v/>
      </c>
      <c r="I295" s="46" t="str">
        <f aca="false">IF($H295="","",'Survey Response'!$I293)</f>
        <v/>
      </c>
      <c r="J295" s="46" t="str">
        <f aca="false">IF($H295="","",'Survey Response'!$K293)</f>
        <v/>
      </c>
      <c r="K295" s="46" t="str">
        <f aca="false">IF($J295="","",IF(COUNTIF('Skill Mapping'!$A$2:$A$7,TRIM($J295))=0,"",INDEX('Skill Mapping'!$B$2:$B$7,MATCH(TRIM($J295),'Skill Mapping'!$A$2:$A$7,0))))</f>
        <v/>
      </c>
      <c r="L295" s="46" t="str">
        <f aca="false">IF($H295="","",'Survey Response'!$L293)</f>
        <v/>
      </c>
      <c r="M295" s="46" t="str">
        <f aca="false">IF($L295="","",IF(COUNTIF('Skill Mapping'!$A$2:$A$7,TRIM($L295))=0,"",INDEX('Skill Mapping'!$B$2:$B$7,MATCH(TRIM($L295),'Skill Mapping'!$A$2:$A$7,0))))</f>
        <v/>
      </c>
      <c r="N295" s="46" t="str">
        <f aca="false">IF($H295="","",'Survey Response'!$M293)</f>
        <v/>
      </c>
      <c r="O295" s="46" t="str">
        <f aca="false">IF($H295="","",IF('Survey Response'!$M293="Manager","R2","R1"))</f>
        <v/>
      </c>
      <c r="P295" s="46" t="str">
        <f aca="false">IF($K295="","No",IF(COUNTIFS(MasterPanel!$B:$B,$H295,MasterPanel!$I:$I,$K295,MasterPanel!$K:$K,"Y")&gt;0,"Yes","No"))</f>
        <v>No</v>
      </c>
      <c r="Q295" s="46" t="n">
        <f aca="false">IF($K295="",0,IF(COUNTIF('Gap Sheet'!$A$6:$A$11,TRIM($J295))=0,0,IF($O295="R1",INDEX('Gap Sheet'!$C$6:$C$11,MATCH(TRIM($J295),'Gap Sheet'!$A$6:$A$11,0)),INDEX('Gap Sheet'!$G$6:$G$11,MATCH(TRIM($J295),'Gap Sheet'!$A$6:$A$11,0)))))</f>
        <v>0</v>
      </c>
      <c r="R295" s="46" t="str">
        <f aca="false">IF($K295="","",$K295&amp;"|"&amp;$O295)</f>
        <v/>
      </c>
      <c r="S295" s="46" t="n">
        <f aca="false">IF($R295="",0,COUNTIF($AA$4:$AA294,$R295))</f>
        <v>0</v>
      </c>
      <c r="T295" s="46" t="str">
        <f aca="false">IF(OR($I295&lt;&gt;"Yes, I'm available for in-person interviews at Chennai",$E295&lt;&gt;"Yes",$P295&lt;&gt;"Yes"),"No",IF(($Q295-$S295)&gt;0,"Yes","No"))</f>
        <v>No</v>
      </c>
      <c r="U295" s="46" t="str">
        <f aca="false">IF($M295="","No",IF(COUNTIFS(MasterPanel!$B:$B,$H295,MasterPanel!$I:$I,$M295,MasterPanel!$K:$K,"Y")&gt;0,"Yes","No"))</f>
        <v>No</v>
      </c>
      <c r="V295" s="46" t="n">
        <f aca="false">IF($M295="",0,IF(COUNTIF('Gap Sheet'!$A$6:$A$11,TRIM($L295))=0,0,IF($O295="R1",INDEX('Gap Sheet'!$C$6:$C$11,MATCH(TRIM($L295),'Gap Sheet'!$A$6:$A$11,0)),INDEX('Gap Sheet'!$G$6:$G$11,MATCH(TRIM($L295),'Gap Sheet'!$A$6:$A$11,0)))))</f>
        <v>0</v>
      </c>
      <c r="W295" s="46" t="str">
        <f aca="false">IF($M295="","",$M295&amp;"|"&amp;$O295)</f>
        <v/>
      </c>
      <c r="X295" s="46" t="n">
        <f aca="false">IF($W295="",0,COUNTIF($AA$4:$AA294,$W295))</f>
        <v>0</v>
      </c>
      <c r="Y295" s="46" t="str">
        <f aca="false">IF(OR($I295&lt;&gt;"Yes, I'm available for in-person interviews at Chennai",$E295&lt;&gt;"Yes",$T295="Yes",$U295&lt;&gt;"Yes"),"No",IF(($V295-$X295)&gt;0,"Yes","No"))</f>
        <v>No</v>
      </c>
      <c r="Z295" s="46" t="str">
        <f aca="false">IF($T295="Yes","Primary",IF($Y295="Yes","Secondary",""))</f>
        <v/>
      </c>
      <c r="AA295" s="46" t="str">
        <f aca="false">IF($Z295="Primary",$R295,IF($Z295="Secondary",$W295,""))</f>
        <v/>
      </c>
      <c r="AB295" s="46" t="str">
        <f aca="false">IF($Z295="Primary","Matched on primary skill",IF($Z295="Secondary","Matched on secondary skill (primary not approved or not required)",""))</f>
        <v/>
      </c>
      <c r="AC295" s="47" t="str">
        <f aca="false">IF($D295="Panel Details",$F295,"")</f>
        <v/>
      </c>
      <c r="AD295" s="46" t="str">
        <f aca="false">IF($D295="Panel Details",'Survey Response'!$D293,"")</f>
        <v/>
      </c>
      <c r="AE295" s="46" t="str">
        <f aca="false">IF($D295="Panel Details",'Survey Response'!$E293,"")</f>
        <v/>
      </c>
      <c r="AF295" s="46" t="str">
        <f aca="false">IF($D295="Panel Details",'Survey Response'!$G293,"")</f>
        <v/>
      </c>
      <c r="AG295" s="46" t="str">
        <f aca="false">IF($D295="Panel Details",IF($Z295="Primary",$J295,$L295),"")</f>
        <v/>
      </c>
      <c r="AH295" s="46" t="str">
        <f aca="false">IF($D295="Panel Details",IF($Z295="Primary",$L295,$J295),"")</f>
        <v/>
      </c>
      <c r="AI295" s="46" t="str">
        <f aca="false">IF($D295="Panel Details",'Survey Response'!$H293,"")</f>
        <v/>
      </c>
      <c r="AJ295" s="46" t="str">
        <f aca="false">IF($D295="Panel Details",'Survey Response'!$M293,"")</f>
        <v/>
      </c>
      <c r="AK295" s="46" t="str">
        <f aca="false">IF($D295="Panel Details",$O295,"")</f>
        <v/>
      </c>
      <c r="AL295" s="46" t="str">
        <f aca="false">IF($D295="Panel Details",8,"")</f>
        <v/>
      </c>
      <c r="AM295" s="46" t="str">
        <f aca="false">IF($D295="Panel Details",$AB295,"")</f>
        <v/>
      </c>
      <c r="AN295" s="46" t="str">
        <f aca="false">IF($D295="Panel Details","Yes","")</f>
        <v/>
      </c>
      <c r="AO295" s="46"/>
      <c r="AP295" s="46" t="str">
        <f aca="false">IF($D295="Followup",'Survey Response'!$D293,"")</f>
        <v/>
      </c>
      <c r="AQ295" s="46" t="str">
        <f aca="false">IF($D295="Followup",'Survey Response'!$E293,"")</f>
        <v/>
      </c>
      <c r="AR295" s="46" t="str">
        <f aca="false">IF($D295="Followup",'Survey Response'!$G293,"")</f>
        <v/>
      </c>
      <c r="AS295" s="46" t="str">
        <f aca="false">IF($D295="Followup",'Survey Response'!$H293,"")</f>
        <v/>
      </c>
      <c r="AT295" s="46" t="str">
        <f aca="false">IF($D295="Followup",'Survey Response'!$M293,"")</f>
        <v/>
      </c>
      <c r="AU295" s="46" t="str">
        <f aca="false">IF($D295="Followup",'Survey Response'!$K293,"")</f>
        <v/>
      </c>
      <c r="AV295" s="46" t="str">
        <f aca="false">IF($D295="Followup",'Survey Response'!$L293,"")</f>
        <v/>
      </c>
      <c r="AW295" s="46" t="str">
        <f aca="false">IF($D295="Followup",IF(AND($P295&lt;&gt;"Yes",$U295&lt;&gt;"Yes"),"Not approved for primary or secondary skill","Approved, but skill(s) no longer have capacity (fully staffed)"),"")</f>
        <v/>
      </c>
    </row>
    <row r="296" customFormat="false" ht="15" hidden="false" customHeight="true" outlineLevel="0" collapsed="false">
      <c r="A296" s="46" t="str">
        <f aca="false">IF('Survey Response'!$D294="","",'Survey Response'!$A294&amp;"|"&amp;LOWER(TRIM('Survey Response'!$D294)))</f>
        <v/>
      </c>
      <c r="B296" s="46" t="str">
        <f aca="false">IF($H296="","",$F296&amp;"|"&amp;$H296)</f>
        <v/>
      </c>
      <c r="C296" s="46" t="str">
        <f aca="false">IF($H296="","",$A296=$B296)</f>
        <v/>
      </c>
      <c r="D296" s="46" t="str">
        <f aca="false">IF($H296="","",IF($E296&lt;&gt;"Yes","Superseded",IF($I296&lt;&gt;"Yes, I'm available for in-person interviews at Chennai","Not Available",IF($Z296&lt;&gt;"","Panel Details","Followup"))))</f>
        <v/>
      </c>
      <c r="E296" s="46" t="str">
        <f aca="false">IF($H296="","",IF(SUMPRODUCT(($H$4:$H$503=$H296)*(($G$4:$G$503&gt;$G296)+($G$4:$G$503=$G296)*($F$4:$F$503&gt;$F296)))=0,"Yes","No"))</f>
        <v/>
      </c>
      <c r="F296" s="47" t="str">
        <f aca="false">IF('Survey Response'!$D294="","",INT('Survey Response'!$A294))</f>
        <v/>
      </c>
      <c r="G296" s="46" t="str">
        <f aca="false">IF('Survey Response'!$D294="","",'Survey Response'!$C294)</f>
        <v/>
      </c>
      <c r="H296" s="46" t="str">
        <f aca="false">IF('Survey Response'!$D294="","",LOWER(TRIM('Survey Response'!$D294)))</f>
        <v/>
      </c>
      <c r="I296" s="46" t="str">
        <f aca="false">IF($H296="","",'Survey Response'!$I294)</f>
        <v/>
      </c>
      <c r="J296" s="46" t="str">
        <f aca="false">IF($H296="","",'Survey Response'!$K294)</f>
        <v/>
      </c>
      <c r="K296" s="46" t="str">
        <f aca="false">IF($J296="","",IF(COUNTIF('Skill Mapping'!$A$2:$A$7,TRIM($J296))=0,"",INDEX('Skill Mapping'!$B$2:$B$7,MATCH(TRIM($J296),'Skill Mapping'!$A$2:$A$7,0))))</f>
        <v/>
      </c>
      <c r="L296" s="46" t="str">
        <f aca="false">IF($H296="","",'Survey Response'!$L294)</f>
        <v/>
      </c>
      <c r="M296" s="46" t="str">
        <f aca="false">IF($L296="","",IF(COUNTIF('Skill Mapping'!$A$2:$A$7,TRIM($L296))=0,"",INDEX('Skill Mapping'!$B$2:$B$7,MATCH(TRIM($L296),'Skill Mapping'!$A$2:$A$7,0))))</f>
        <v/>
      </c>
      <c r="N296" s="46" t="str">
        <f aca="false">IF($H296="","",'Survey Response'!$M294)</f>
        <v/>
      </c>
      <c r="O296" s="46" t="str">
        <f aca="false">IF($H296="","",IF('Survey Response'!$M294="Manager","R2","R1"))</f>
        <v/>
      </c>
      <c r="P296" s="46" t="str">
        <f aca="false">IF($K296="","No",IF(COUNTIFS(MasterPanel!$B:$B,$H296,MasterPanel!$I:$I,$K296,MasterPanel!$K:$K,"Y")&gt;0,"Yes","No"))</f>
        <v>No</v>
      </c>
      <c r="Q296" s="46" t="n">
        <f aca="false">IF($K296="",0,IF(COUNTIF('Gap Sheet'!$A$6:$A$11,TRIM($J296))=0,0,IF($O296="R1",INDEX('Gap Sheet'!$C$6:$C$11,MATCH(TRIM($J296),'Gap Sheet'!$A$6:$A$11,0)),INDEX('Gap Sheet'!$G$6:$G$11,MATCH(TRIM($J296),'Gap Sheet'!$A$6:$A$11,0)))))</f>
        <v>0</v>
      </c>
      <c r="R296" s="46" t="str">
        <f aca="false">IF($K296="","",$K296&amp;"|"&amp;$O296)</f>
        <v/>
      </c>
      <c r="S296" s="46" t="n">
        <f aca="false">IF($R296="",0,COUNTIF($AA$4:$AA295,$R296))</f>
        <v>0</v>
      </c>
      <c r="T296" s="46" t="str">
        <f aca="false">IF(OR($I296&lt;&gt;"Yes, I'm available for in-person interviews at Chennai",$E296&lt;&gt;"Yes",$P296&lt;&gt;"Yes"),"No",IF(($Q296-$S296)&gt;0,"Yes","No"))</f>
        <v>No</v>
      </c>
      <c r="U296" s="46" t="str">
        <f aca="false">IF($M296="","No",IF(COUNTIFS(MasterPanel!$B:$B,$H296,MasterPanel!$I:$I,$M296,MasterPanel!$K:$K,"Y")&gt;0,"Yes","No"))</f>
        <v>No</v>
      </c>
      <c r="V296" s="46" t="n">
        <f aca="false">IF($M296="",0,IF(COUNTIF('Gap Sheet'!$A$6:$A$11,TRIM($L296))=0,0,IF($O296="R1",INDEX('Gap Sheet'!$C$6:$C$11,MATCH(TRIM($L296),'Gap Sheet'!$A$6:$A$11,0)),INDEX('Gap Sheet'!$G$6:$G$11,MATCH(TRIM($L296),'Gap Sheet'!$A$6:$A$11,0)))))</f>
        <v>0</v>
      </c>
      <c r="W296" s="46" t="str">
        <f aca="false">IF($M296="","",$M296&amp;"|"&amp;$O296)</f>
        <v/>
      </c>
      <c r="X296" s="46" t="n">
        <f aca="false">IF($W296="",0,COUNTIF($AA$4:$AA295,$W296))</f>
        <v>0</v>
      </c>
      <c r="Y296" s="46" t="str">
        <f aca="false">IF(OR($I296&lt;&gt;"Yes, I'm available for in-person interviews at Chennai",$E296&lt;&gt;"Yes",$T296="Yes",$U296&lt;&gt;"Yes"),"No",IF(($V296-$X296)&gt;0,"Yes","No"))</f>
        <v>No</v>
      </c>
      <c r="Z296" s="46" t="str">
        <f aca="false">IF($T296="Yes","Primary",IF($Y296="Yes","Secondary",""))</f>
        <v/>
      </c>
      <c r="AA296" s="46" t="str">
        <f aca="false">IF($Z296="Primary",$R296,IF($Z296="Secondary",$W296,""))</f>
        <v/>
      </c>
      <c r="AB296" s="46" t="str">
        <f aca="false">IF($Z296="Primary","Matched on primary skill",IF($Z296="Secondary","Matched on secondary skill (primary not approved or not required)",""))</f>
        <v/>
      </c>
      <c r="AC296" s="47" t="str">
        <f aca="false">IF($D296="Panel Details",$F296,"")</f>
        <v/>
      </c>
      <c r="AD296" s="46" t="str">
        <f aca="false">IF($D296="Panel Details",'Survey Response'!$D294,"")</f>
        <v/>
      </c>
      <c r="AE296" s="46" t="str">
        <f aca="false">IF($D296="Panel Details",'Survey Response'!$E294,"")</f>
        <v/>
      </c>
      <c r="AF296" s="46" t="str">
        <f aca="false">IF($D296="Panel Details",'Survey Response'!$G294,"")</f>
        <v/>
      </c>
      <c r="AG296" s="46" t="str">
        <f aca="false">IF($D296="Panel Details",IF($Z296="Primary",$J296,$L296),"")</f>
        <v/>
      </c>
      <c r="AH296" s="46" t="str">
        <f aca="false">IF($D296="Panel Details",IF($Z296="Primary",$L296,$J296),"")</f>
        <v/>
      </c>
      <c r="AI296" s="46" t="str">
        <f aca="false">IF($D296="Panel Details",'Survey Response'!$H294,"")</f>
        <v/>
      </c>
      <c r="AJ296" s="46" t="str">
        <f aca="false">IF($D296="Panel Details",'Survey Response'!$M294,"")</f>
        <v/>
      </c>
      <c r="AK296" s="46" t="str">
        <f aca="false">IF($D296="Panel Details",$O296,"")</f>
        <v/>
      </c>
      <c r="AL296" s="46" t="str">
        <f aca="false">IF($D296="Panel Details",8,"")</f>
        <v/>
      </c>
      <c r="AM296" s="46" t="str">
        <f aca="false">IF($D296="Panel Details",$AB296,"")</f>
        <v/>
      </c>
      <c r="AN296" s="46" t="str">
        <f aca="false">IF($D296="Panel Details","Yes","")</f>
        <v/>
      </c>
      <c r="AO296" s="46"/>
      <c r="AP296" s="46" t="str">
        <f aca="false">IF($D296="Followup",'Survey Response'!$D294,"")</f>
        <v/>
      </c>
      <c r="AQ296" s="46" t="str">
        <f aca="false">IF($D296="Followup",'Survey Response'!$E294,"")</f>
        <v/>
      </c>
      <c r="AR296" s="46" t="str">
        <f aca="false">IF($D296="Followup",'Survey Response'!$G294,"")</f>
        <v/>
      </c>
      <c r="AS296" s="46" t="str">
        <f aca="false">IF($D296="Followup",'Survey Response'!$H294,"")</f>
        <v/>
      </c>
      <c r="AT296" s="46" t="str">
        <f aca="false">IF($D296="Followup",'Survey Response'!$M294,"")</f>
        <v/>
      </c>
      <c r="AU296" s="46" t="str">
        <f aca="false">IF($D296="Followup",'Survey Response'!$K294,"")</f>
        <v/>
      </c>
      <c r="AV296" s="46" t="str">
        <f aca="false">IF($D296="Followup",'Survey Response'!$L294,"")</f>
        <v/>
      </c>
      <c r="AW296" s="46" t="str">
        <f aca="false">IF($D296="Followup",IF(AND($P296&lt;&gt;"Yes",$U296&lt;&gt;"Yes"),"Not approved for primary or secondary skill","Approved, but skill(s) no longer have capacity (fully staffed)"),"")</f>
        <v/>
      </c>
    </row>
    <row r="297" customFormat="false" ht="15" hidden="false" customHeight="true" outlineLevel="0" collapsed="false">
      <c r="A297" s="46" t="str">
        <f aca="false">IF('Survey Response'!$D295="","",'Survey Response'!$A295&amp;"|"&amp;LOWER(TRIM('Survey Response'!$D295)))</f>
        <v/>
      </c>
      <c r="B297" s="46" t="str">
        <f aca="false">IF($H297="","",$F297&amp;"|"&amp;$H297)</f>
        <v/>
      </c>
      <c r="C297" s="46" t="str">
        <f aca="false">IF($H297="","",$A297=$B297)</f>
        <v/>
      </c>
      <c r="D297" s="46" t="str">
        <f aca="false">IF($H297="","",IF($E297&lt;&gt;"Yes","Superseded",IF($I297&lt;&gt;"Yes, I'm available for in-person interviews at Chennai","Not Available",IF($Z297&lt;&gt;"","Panel Details","Followup"))))</f>
        <v/>
      </c>
      <c r="E297" s="46" t="str">
        <f aca="false">IF($H297="","",IF(SUMPRODUCT(($H$4:$H$503=$H297)*(($G$4:$G$503&gt;$G297)+($G$4:$G$503=$G297)*($F$4:$F$503&gt;$F297)))=0,"Yes","No"))</f>
        <v/>
      </c>
      <c r="F297" s="47" t="str">
        <f aca="false">IF('Survey Response'!$D295="","",INT('Survey Response'!$A295))</f>
        <v/>
      </c>
      <c r="G297" s="46" t="str">
        <f aca="false">IF('Survey Response'!$D295="","",'Survey Response'!$C295)</f>
        <v/>
      </c>
      <c r="H297" s="46" t="str">
        <f aca="false">IF('Survey Response'!$D295="","",LOWER(TRIM('Survey Response'!$D295)))</f>
        <v/>
      </c>
      <c r="I297" s="46" t="str">
        <f aca="false">IF($H297="","",'Survey Response'!$I295)</f>
        <v/>
      </c>
      <c r="J297" s="46" t="str">
        <f aca="false">IF($H297="","",'Survey Response'!$K295)</f>
        <v/>
      </c>
      <c r="K297" s="46" t="str">
        <f aca="false">IF($J297="","",IF(COUNTIF('Skill Mapping'!$A$2:$A$7,TRIM($J297))=0,"",INDEX('Skill Mapping'!$B$2:$B$7,MATCH(TRIM($J297),'Skill Mapping'!$A$2:$A$7,0))))</f>
        <v/>
      </c>
      <c r="L297" s="46" t="str">
        <f aca="false">IF($H297="","",'Survey Response'!$L295)</f>
        <v/>
      </c>
      <c r="M297" s="46" t="str">
        <f aca="false">IF($L297="","",IF(COUNTIF('Skill Mapping'!$A$2:$A$7,TRIM($L297))=0,"",INDEX('Skill Mapping'!$B$2:$B$7,MATCH(TRIM($L297),'Skill Mapping'!$A$2:$A$7,0))))</f>
        <v/>
      </c>
      <c r="N297" s="46" t="str">
        <f aca="false">IF($H297="","",'Survey Response'!$M295)</f>
        <v/>
      </c>
      <c r="O297" s="46" t="str">
        <f aca="false">IF($H297="","",IF('Survey Response'!$M295="Manager","R2","R1"))</f>
        <v/>
      </c>
      <c r="P297" s="46" t="str">
        <f aca="false">IF($K297="","No",IF(COUNTIFS(MasterPanel!$B:$B,$H297,MasterPanel!$I:$I,$K297,MasterPanel!$K:$K,"Y")&gt;0,"Yes","No"))</f>
        <v>No</v>
      </c>
      <c r="Q297" s="46" t="n">
        <f aca="false">IF($K297="",0,IF(COUNTIF('Gap Sheet'!$A$6:$A$11,TRIM($J297))=0,0,IF($O297="R1",INDEX('Gap Sheet'!$C$6:$C$11,MATCH(TRIM($J297),'Gap Sheet'!$A$6:$A$11,0)),INDEX('Gap Sheet'!$G$6:$G$11,MATCH(TRIM($J297),'Gap Sheet'!$A$6:$A$11,0)))))</f>
        <v>0</v>
      </c>
      <c r="R297" s="46" t="str">
        <f aca="false">IF($K297="","",$K297&amp;"|"&amp;$O297)</f>
        <v/>
      </c>
      <c r="S297" s="46" t="n">
        <f aca="false">IF($R297="",0,COUNTIF($AA$4:$AA296,$R297))</f>
        <v>0</v>
      </c>
      <c r="T297" s="46" t="str">
        <f aca="false">IF(OR($I297&lt;&gt;"Yes, I'm available for in-person interviews at Chennai",$E297&lt;&gt;"Yes",$P297&lt;&gt;"Yes"),"No",IF(($Q297-$S297)&gt;0,"Yes","No"))</f>
        <v>No</v>
      </c>
      <c r="U297" s="46" t="str">
        <f aca="false">IF($M297="","No",IF(COUNTIFS(MasterPanel!$B:$B,$H297,MasterPanel!$I:$I,$M297,MasterPanel!$K:$K,"Y")&gt;0,"Yes","No"))</f>
        <v>No</v>
      </c>
      <c r="V297" s="46" t="n">
        <f aca="false">IF($M297="",0,IF(COUNTIF('Gap Sheet'!$A$6:$A$11,TRIM($L297))=0,0,IF($O297="R1",INDEX('Gap Sheet'!$C$6:$C$11,MATCH(TRIM($L297),'Gap Sheet'!$A$6:$A$11,0)),INDEX('Gap Sheet'!$G$6:$G$11,MATCH(TRIM($L297),'Gap Sheet'!$A$6:$A$11,0)))))</f>
        <v>0</v>
      </c>
      <c r="W297" s="46" t="str">
        <f aca="false">IF($M297="","",$M297&amp;"|"&amp;$O297)</f>
        <v/>
      </c>
      <c r="X297" s="46" t="n">
        <f aca="false">IF($W297="",0,COUNTIF($AA$4:$AA296,$W297))</f>
        <v>0</v>
      </c>
      <c r="Y297" s="46" t="str">
        <f aca="false">IF(OR($I297&lt;&gt;"Yes, I'm available for in-person interviews at Chennai",$E297&lt;&gt;"Yes",$T297="Yes",$U297&lt;&gt;"Yes"),"No",IF(($V297-$X297)&gt;0,"Yes","No"))</f>
        <v>No</v>
      </c>
      <c r="Z297" s="46" t="str">
        <f aca="false">IF($T297="Yes","Primary",IF($Y297="Yes","Secondary",""))</f>
        <v/>
      </c>
      <c r="AA297" s="46" t="str">
        <f aca="false">IF($Z297="Primary",$R297,IF($Z297="Secondary",$W297,""))</f>
        <v/>
      </c>
      <c r="AB297" s="46" t="str">
        <f aca="false">IF($Z297="Primary","Matched on primary skill",IF($Z297="Secondary","Matched on secondary skill (primary not approved or not required)",""))</f>
        <v/>
      </c>
      <c r="AC297" s="47" t="str">
        <f aca="false">IF($D297="Panel Details",$F297,"")</f>
        <v/>
      </c>
      <c r="AD297" s="46" t="str">
        <f aca="false">IF($D297="Panel Details",'Survey Response'!$D295,"")</f>
        <v/>
      </c>
      <c r="AE297" s="46" t="str">
        <f aca="false">IF($D297="Panel Details",'Survey Response'!$E295,"")</f>
        <v/>
      </c>
      <c r="AF297" s="46" t="str">
        <f aca="false">IF($D297="Panel Details",'Survey Response'!$G295,"")</f>
        <v/>
      </c>
      <c r="AG297" s="46" t="str">
        <f aca="false">IF($D297="Panel Details",IF($Z297="Primary",$J297,$L297),"")</f>
        <v/>
      </c>
      <c r="AH297" s="46" t="str">
        <f aca="false">IF($D297="Panel Details",IF($Z297="Primary",$L297,$J297),"")</f>
        <v/>
      </c>
      <c r="AI297" s="46" t="str">
        <f aca="false">IF($D297="Panel Details",'Survey Response'!$H295,"")</f>
        <v/>
      </c>
      <c r="AJ297" s="46" t="str">
        <f aca="false">IF($D297="Panel Details",'Survey Response'!$M295,"")</f>
        <v/>
      </c>
      <c r="AK297" s="46" t="str">
        <f aca="false">IF($D297="Panel Details",$O297,"")</f>
        <v/>
      </c>
      <c r="AL297" s="46" t="str">
        <f aca="false">IF($D297="Panel Details",8,"")</f>
        <v/>
      </c>
      <c r="AM297" s="46" t="str">
        <f aca="false">IF($D297="Panel Details",$AB297,"")</f>
        <v/>
      </c>
      <c r="AN297" s="46" t="str">
        <f aca="false">IF($D297="Panel Details","Yes","")</f>
        <v/>
      </c>
      <c r="AO297" s="46"/>
      <c r="AP297" s="46" t="str">
        <f aca="false">IF($D297="Followup",'Survey Response'!$D295,"")</f>
        <v/>
      </c>
      <c r="AQ297" s="46" t="str">
        <f aca="false">IF($D297="Followup",'Survey Response'!$E295,"")</f>
        <v/>
      </c>
      <c r="AR297" s="46" t="str">
        <f aca="false">IF($D297="Followup",'Survey Response'!$G295,"")</f>
        <v/>
      </c>
      <c r="AS297" s="46" t="str">
        <f aca="false">IF($D297="Followup",'Survey Response'!$H295,"")</f>
        <v/>
      </c>
      <c r="AT297" s="46" t="str">
        <f aca="false">IF($D297="Followup",'Survey Response'!$M295,"")</f>
        <v/>
      </c>
      <c r="AU297" s="46" t="str">
        <f aca="false">IF($D297="Followup",'Survey Response'!$K295,"")</f>
        <v/>
      </c>
      <c r="AV297" s="46" t="str">
        <f aca="false">IF($D297="Followup",'Survey Response'!$L295,"")</f>
        <v/>
      </c>
      <c r="AW297" s="46" t="str">
        <f aca="false">IF($D297="Followup",IF(AND($P297&lt;&gt;"Yes",$U297&lt;&gt;"Yes"),"Not approved for primary or secondary skill","Approved, but skill(s) no longer have capacity (fully staffed)"),"")</f>
        <v/>
      </c>
    </row>
    <row r="298" customFormat="false" ht="15" hidden="false" customHeight="true" outlineLevel="0" collapsed="false">
      <c r="A298" s="46" t="str">
        <f aca="false">IF('Survey Response'!$D296="","",'Survey Response'!$A296&amp;"|"&amp;LOWER(TRIM('Survey Response'!$D296)))</f>
        <v/>
      </c>
      <c r="B298" s="46" t="str">
        <f aca="false">IF($H298="","",$F298&amp;"|"&amp;$H298)</f>
        <v/>
      </c>
      <c r="C298" s="46" t="str">
        <f aca="false">IF($H298="","",$A298=$B298)</f>
        <v/>
      </c>
      <c r="D298" s="46" t="str">
        <f aca="false">IF($H298="","",IF($E298&lt;&gt;"Yes","Superseded",IF($I298&lt;&gt;"Yes, I'm available for in-person interviews at Chennai","Not Available",IF($Z298&lt;&gt;"","Panel Details","Followup"))))</f>
        <v/>
      </c>
      <c r="E298" s="46" t="str">
        <f aca="false">IF($H298="","",IF(SUMPRODUCT(($H$4:$H$503=$H298)*(($G$4:$G$503&gt;$G298)+($G$4:$G$503=$G298)*($F$4:$F$503&gt;$F298)))=0,"Yes","No"))</f>
        <v/>
      </c>
      <c r="F298" s="47" t="str">
        <f aca="false">IF('Survey Response'!$D296="","",INT('Survey Response'!$A296))</f>
        <v/>
      </c>
      <c r="G298" s="46" t="str">
        <f aca="false">IF('Survey Response'!$D296="","",'Survey Response'!$C296)</f>
        <v/>
      </c>
      <c r="H298" s="46" t="str">
        <f aca="false">IF('Survey Response'!$D296="","",LOWER(TRIM('Survey Response'!$D296)))</f>
        <v/>
      </c>
      <c r="I298" s="46" t="str">
        <f aca="false">IF($H298="","",'Survey Response'!$I296)</f>
        <v/>
      </c>
      <c r="J298" s="46" t="str">
        <f aca="false">IF($H298="","",'Survey Response'!$K296)</f>
        <v/>
      </c>
      <c r="K298" s="46" t="str">
        <f aca="false">IF($J298="","",IF(COUNTIF('Skill Mapping'!$A$2:$A$7,TRIM($J298))=0,"",INDEX('Skill Mapping'!$B$2:$B$7,MATCH(TRIM($J298),'Skill Mapping'!$A$2:$A$7,0))))</f>
        <v/>
      </c>
      <c r="L298" s="46" t="str">
        <f aca="false">IF($H298="","",'Survey Response'!$L296)</f>
        <v/>
      </c>
      <c r="M298" s="46" t="str">
        <f aca="false">IF($L298="","",IF(COUNTIF('Skill Mapping'!$A$2:$A$7,TRIM($L298))=0,"",INDEX('Skill Mapping'!$B$2:$B$7,MATCH(TRIM($L298),'Skill Mapping'!$A$2:$A$7,0))))</f>
        <v/>
      </c>
      <c r="N298" s="46" t="str">
        <f aca="false">IF($H298="","",'Survey Response'!$M296)</f>
        <v/>
      </c>
      <c r="O298" s="46" t="str">
        <f aca="false">IF($H298="","",IF('Survey Response'!$M296="Manager","R2","R1"))</f>
        <v/>
      </c>
      <c r="P298" s="46" t="str">
        <f aca="false">IF($K298="","No",IF(COUNTIFS(MasterPanel!$B:$B,$H298,MasterPanel!$I:$I,$K298,MasterPanel!$K:$K,"Y")&gt;0,"Yes","No"))</f>
        <v>No</v>
      </c>
      <c r="Q298" s="46" t="n">
        <f aca="false">IF($K298="",0,IF(COUNTIF('Gap Sheet'!$A$6:$A$11,TRIM($J298))=0,0,IF($O298="R1",INDEX('Gap Sheet'!$C$6:$C$11,MATCH(TRIM($J298),'Gap Sheet'!$A$6:$A$11,0)),INDEX('Gap Sheet'!$G$6:$G$11,MATCH(TRIM($J298),'Gap Sheet'!$A$6:$A$11,0)))))</f>
        <v>0</v>
      </c>
      <c r="R298" s="46" t="str">
        <f aca="false">IF($K298="","",$K298&amp;"|"&amp;$O298)</f>
        <v/>
      </c>
      <c r="S298" s="46" t="n">
        <f aca="false">IF($R298="",0,COUNTIF($AA$4:$AA297,$R298))</f>
        <v>0</v>
      </c>
      <c r="T298" s="46" t="str">
        <f aca="false">IF(OR($I298&lt;&gt;"Yes, I'm available for in-person interviews at Chennai",$E298&lt;&gt;"Yes",$P298&lt;&gt;"Yes"),"No",IF(($Q298-$S298)&gt;0,"Yes","No"))</f>
        <v>No</v>
      </c>
      <c r="U298" s="46" t="str">
        <f aca="false">IF($M298="","No",IF(COUNTIFS(MasterPanel!$B:$B,$H298,MasterPanel!$I:$I,$M298,MasterPanel!$K:$K,"Y")&gt;0,"Yes","No"))</f>
        <v>No</v>
      </c>
      <c r="V298" s="46" t="n">
        <f aca="false">IF($M298="",0,IF(COUNTIF('Gap Sheet'!$A$6:$A$11,TRIM($L298))=0,0,IF($O298="R1",INDEX('Gap Sheet'!$C$6:$C$11,MATCH(TRIM($L298),'Gap Sheet'!$A$6:$A$11,0)),INDEX('Gap Sheet'!$G$6:$G$11,MATCH(TRIM($L298),'Gap Sheet'!$A$6:$A$11,0)))))</f>
        <v>0</v>
      </c>
      <c r="W298" s="46" t="str">
        <f aca="false">IF($M298="","",$M298&amp;"|"&amp;$O298)</f>
        <v/>
      </c>
      <c r="X298" s="46" t="n">
        <f aca="false">IF($W298="",0,COUNTIF($AA$4:$AA297,$W298))</f>
        <v>0</v>
      </c>
      <c r="Y298" s="46" t="str">
        <f aca="false">IF(OR($I298&lt;&gt;"Yes, I'm available for in-person interviews at Chennai",$E298&lt;&gt;"Yes",$T298="Yes",$U298&lt;&gt;"Yes"),"No",IF(($V298-$X298)&gt;0,"Yes","No"))</f>
        <v>No</v>
      </c>
      <c r="Z298" s="46" t="str">
        <f aca="false">IF($T298="Yes","Primary",IF($Y298="Yes","Secondary",""))</f>
        <v/>
      </c>
      <c r="AA298" s="46" t="str">
        <f aca="false">IF($Z298="Primary",$R298,IF($Z298="Secondary",$W298,""))</f>
        <v/>
      </c>
      <c r="AB298" s="46" t="str">
        <f aca="false">IF($Z298="Primary","Matched on primary skill",IF($Z298="Secondary","Matched on secondary skill (primary not approved or not required)",""))</f>
        <v/>
      </c>
      <c r="AC298" s="47" t="str">
        <f aca="false">IF($D298="Panel Details",$F298,"")</f>
        <v/>
      </c>
      <c r="AD298" s="46" t="str">
        <f aca="false">IF($D298="Panel Details",'Survey Response'!$D296,"")</f>
        <v/>
      </c>
      <c r="AE298" s="46" t="str">
        <f aca="false">IF($D298="Panel Details",'Survey Response'!$E296,"")</f>
        <v/>
      </c>
      <c r="AF298" s="46" t="str">
        <f aca="false">IF($D298="Panel Details",'Survey Response'!$G296,"")</f>
        <v/>
      </c>
      <c r="AG298" s="46" t="str">
        <f aca="false">IF($D298="Panel Details",IF($Z298="Primary",$J298,$L298),"")</f>
        <v/>
      </c>
      <c r="AH298" s="46" t="str">
        <f aca="false">IF($D298="Panel Details",IF($Z298="Primary",$L298,$J298),"")</f>
        <v/>
      </c>
      <c r="AI298" s="46" t="str">
        <f aca="false">IF($D298="Panel Details",'Survey Response'!$H296,"")</f>
        <v/>
      </c>
      <c r="AJ298" s="46" t="str">
        <f aca="false">IF($D298="Panel Details",'Survey Response'!$M296,"")</f>
        <v/>
      </c>
      <c r="AK298" s="46" t="str">
        <f aca="false">IF($D298="Panel Details",$O298,"")</f>
        <v/>
      </c>
      <c r="AL298" s="46" t="str">
        <f aca="false">IF($D298="Panel Details",8,"")</f>
        <v/>
      </c>
      <c r="AM298" s="46" t="str">
        <f aca="false">IF($D298="Panel Details",$AB298,"")</f>
        <v/>
      </c>
      <c r="AN298" s="46" t="str">
        <f aca="false">IF($D298="Panel Details","Yes","")</f>
        <v/>
      </c>
      <c r="AO298" s="46"/>
      <c r="AP298" s="46" t="str">
        <f aca="false">IF($D298="Followup",'Survey Response'!$D296,"")</f>
        <v/>
      </c>
      <c r="AQ298" s="46" t="str">
        <f aca="false">IF($D298="Followup",'Survey Response'!$E296,"")</f>
        <v/>
      </c>
      <c r="AR298" s="46" t="str">
        <f aca="false">IF($D298="Followup",'Survey Response'!$G296,"")</f>
        <v/>
      </c>
      <c r="AS298" s="46" t="str">
        <f aca="false">IF($D298="Followup",'Survey Response'!$H296,"")</f>
        <v/>
      </c>
      <c r="AT298" s="46" t="str">
        <f aca="false">IF($D298="Followup",'Survey Response'!$M296,"")</f>
        <v/>
      </c>
      <c r="AU298" s="46" t="str">
        <f aca="false">IF($D298="Followup",'Survey Response'!$K296,"")</f>
        <v/>
      </c>
      <c r="AV298" s="46" t="str">
        <f aca="false">IF($D298="Followup",'Survey Response'!$L296,"")</f>
        <v/>
      </c>
      <c r="AW298" s="46" t="str">
        <f aca="false">IF($D298="Followup",IF(AND($P298&lt;&gt;"Yes",$U298&lt;&gt;"Yes"),"Not approved for primary or secondary skill","Approved, but skill(s) no longer have capacity (fully staffed)"),"")</f>
        <v/>
      </c>
    </row>
    <row r="299" customFormat="false" ht="15" hidden="false" customHeight="true" outlineLevel="0" collapsed="false">
      <c r="A299" s="46" t="str">
        <f aca="false">IF('Survey Response'!$D297="","",'Survey Response'!$A297&amp;"|"&amp;LOWER(TRIM('Survey Response'!$D297)))</f>
        <v/>
      </c>
      <c r="B299" s="46" t="str">
        <f aca="false">IF($H299="","",$F299&amp;"|"&amp;$H299)</f>
        <v/>
      </c>
      <c r="C299" s="46" t="str">
        <f aca="false">IF($H299="","",$A299=$B299)</f>
        <v/>
      </c>
      <c r="D299" s="46" t="str">
        <f aca="false">IF($H299="","",IF($E299&lt;&gt;"Yes","Superseded",IF($I299&lt;&gt;"Yes, I'm available for in-person interviews at Chennai","Not Available",IF($Z299&lt;&gt;"","Panel Details","Followup"))))</f>
        <v/>
      </c>
      <c r="E299" s="46" t="str">
        <f aca="false">IF($H299="","",IF(SUMPRODUCT(($H$4:$H$503=$H299)*(($G$4:$G$503&gt;$G299)+($G$4:$G$503=$G299)*($F$4:$F$503&gt;$F299)))=0,"Yes","No"))</f>
        <v/>
      </c>
      <c r="F299" s="47" t="str">
        <f aca="false">IF('Survey Response'!$D297="","",INT('Survey Response'!$A297))</f>
        <v/>
      </c>
      <c r="G299" s="46" t="str">
        <f aca="false">IF('Survey Response'!$D297="","",'Survey Response'!$C297)</f>
        <v/>
      </c>
      <c r="H299" s="46" t="str">
        <f aca="false">IF('Survey Response'!$D297="","",LOWER(TRIM('Survey Response'!$D297)))</f>
        <v/>
      </c>
      <c r="I299" s="46" t="str">
        <f aca="false">IF($H299="","",'Survey Response'!$I297)</f>
        <v/>
      </c>
      <c r="J299" s="46" t="str">
        <f aca="false">IF($H299="","",'Survey Response'!$K297)</f>
        <v/>
      </c>
      <c r="K299" s="46" t="str">
        <f aca="false">IF($J299="","",IF(COUNTIF('Skill Mapping'!$A$2:$A$7,TRIM($J299))=0,"",INDEX('Skill Mapping'!$B$2:$B$7,MATCH(TRIM($J299),'Skill Mapping'!$A$2:$A$7,0))))</f>
        <v/>
      </c>
      <c r="L299" s="46" t="str">
        <f aca="false">IF($H299="","",'Survey Response'!$L297)</f>
        <v/>
      </c>
      <c r="M299" s="46" t="str">
        <f aca="false">IF($L299="","",IF(COUNTIF('Skill Mapping'!$A$2:$A$7,TRIM($L299))=0,"",INDEX('Skill Mapping'!$B$2:$B$7,MATCH(TRIM($L299),'Skill Mapping'!$A$2:$A$7,0))))</f>
        <v/>
      </c>
      <c r="N299" s="46" t="str">
        <f aca="false">IF($H299="","",'Survey Response'!$M297)</f>
        <v/>
      </c>
      <c r="O299" s="46" t="str">
        <f aca="false">IF($H299="","",IF('Survey Response'!$M297="Manager","R2","R1"))</f>
        <v/>
      </c>
      <c r="P299" s="46" t="str">
        <f aca="false">IF($K299="","No",IF(COUNTIFS(MasterPanel!$B:$B,$H299,MasterPanel!$I:$I,$K299,MasterPanel!$K:$K,"Y")&gt;0,"Yes","No"))</f>
        <v>No</v>
      </c>
      <c r="Q299" s="46" t="n">
        <f aca="false">IF($K299="",0,IF(COUNTIF('Gap Sheet'!$A$6:$A$11,TRIM($J299))=0,0,IF($O299="R1",INDEX('Gap Sheet'!$C$6:$C$11,MATCH(TRIM($J299),'Gap Sheet'!$A$6:$A$11,0)),INDEX('Gap Sheet'!$G$6:$G$11,MATCH(TRIM($J299),'Gap Sheet'!$A$6:$A$11,0)))))</f>
        <v>0</v>
      </c>
      <c r="R299" s="46" t="str">
        <f aca="false">IF($K299="","",$K299&amp;"|"&amp;$O299)</f>
        <v/>
      </c>
      <c r="S299" s="46" t="n">
        <f aca="false">IF($R299="",0,COUNTIF($AA$4:$AA298,$R299))</f>
        <v>0</v>
      </c>
      <c r="T299" s="46" t="str">
        <f aca="false">IF(OR($I299&lt;&gt;"Yes, I'm available for in-person interviews at Chennai",$E299&lt;&gt;"Yes",$P299&lt;&gt;"Yes"),"No",IF(($Q299-$S299)&gt;0,"Yes","No"))</f>
        <v>No</v>
      </c>
      <c r="U299" s="46" t="str">
        <f aca="false">IF($M299="","No",IF(COUNTIFS(MasterPanel!$B:$B,$H299,MasterPanel!$I:$I,$M299,MasterPanel!$K:$K,"Y")&gt;0,"Yes","No"))</f>
        <v>No</v>
      </c>
      <c r="V299" s="46" t="n">
        <f aca="false">IF($M299="",0,IF(COUNTIF('Gap Sheet'!$A$6:$A$11,TRIM($L299))=0,0,IF($O299="R1",INDEX('Gap Sheet'!$C$6:$C$11,MATCH(TRIM($L299),'Gap Sheet'!$A$6:$A$11,0)),INDEX('Gap Sheet'!$G$6:$G$11,MATCH(TRIM($L299),'Gap Sheet'!$A$6:$A$11,0)))))</f>
        <v>0</v>
      </c>
      <c r="W299" s="46" t="str">
        <f aca="false">IF($M299="","",$M299&amp;"|"&amp;$O299)</f>
        <v/>
      </c>
      <c r="X299" s="46" t="n">
        <f aca="false">IF($W299="",0,COUNTIF($AA$4:$AA298,$W299))</f>
        <v>0</v>
      </c>
      <c r="Y299" s="46" t="str">
        <f aca="false">IF(OR($I299&lt;&gt;"Yes, I'm available for in-person interviews at Chennai",$E299&lt;&gt;"Yes",$T299="Yes",$U299&lt;&gt;"Yes"),"No",IF(($V299-$X299)&gt;0,"Yes","No"))</f>
        <v>No</v>
      </c>
      <c r="Z299" s="46" t="str">
        <f aca="false">IF($T299="Yes","Primary",IF($Y299="Yes","Secondary",""))</f>
        <v/>
      </c>
      <c r="AA299" s="46" t="str">
        <f aca="false">IF($Z299="Primary",$R299,IF($Z299="Secondary",$W299,""))</f>
        <v/>
      </c>
      <c r="AB299" s="46" t="str">
        <f aca="false">IF($Z299="Primary","Matched on primary skill",IF($Z299="Secondary","Matched on secondary skill (primary not approved or not required)",""))</f>
        <v/>
      </c>
      <c r="AC299" s="47" t="str">
        <f aca="false">IF($D299="Panel Details",$F299,"")</f>
        <v/>
      </c>
      <c r="AD299" s="46" t="str">
        <f aca="false">IF($D299="Panel Details",'Survey Response'!$D297,"")</f>
        <v/>
      </c>
      <c r="AE299" s="46" t="str">
        <f aca="false">IF($D299="Panel Details",'Survey Response'!$E297,"")</f>
        <v/>
      </c>
      <c r="AF299" s="46" t="str">
        <f aca="false">IF($D299="Panel Details",'Survey Response'!$G297,"")</f>
        <v/>
      </c>
      <c r="AG299" s="46" t="str">
        <f aca="false">IF($D299="Panel Details",IF($Z299="Primary",$J299,$L299),"")</f>
        <v/>
      </c>
      <c r="AH299" s="46" t="str">
        <f aca="false">IF($D299="Panel Details",IF($Z299="Primary",$L299,$J299),"")</f>
        <v/>
      </c>
      <c r="AI299" s="46" t="str">
        <f aca="false">IF($D299="Panel Details",'Survey Response'!$H297,"")</f>
        <v/>
      </c>
      <c r="AJ299" s="46" t="str">
        <f aca="false">IF($D299="Panel Details",'Survey Response'!$M297,"")</f>
        <v/>
      </c>
      <c r="AK299" s="46" t="str">
        <f aca="false">IF($D299="Panel Details",$O299,"")</f>
        <v/>
      </c>
      <c r="AL299" s="46" t="str">
        <f aca="false">IF($D299="Panel Details",8,"")</f>
        <v/>
      </c>
      <c r="AM299" s="46" t="str">
        <f aca="false">IF($D299="Panel Details",$AB299,"")</f>
        <v/>
      </c>
      <c r="AN299" s="46" t="str">
        <f aca="false">IF($D299="Panel Details","Yes","")</f>
        <v/>
      </c>
      <c r="AO299" s="46"/>
      <c r="AP299" s="46" t="str">
        <f aca="false">IF($D299="Followup",'Survey Response'!$D297,"")</f>
        <v/>
      </c>
      <c r="AQ299" s="46" t="str">
        <f aca="false">IF($D299="Followup",'Survey Response'!$E297,"")</f>
        <v/>
      </c>
      <c r="AR299" s="46" t="str">
        <f aca="false">IF($D299="Followup",'Survey Response'!$G297,"")</f>
        <v/>
      </c>
      <c r="AS299" s="46" t="str">
        <f aca="false">IF($D299="Followup",'Survey Response'!$H297,"")</f>
        <v/>
      </c>
      <c r="AT299" s="46" t="str">
        <f aca="false">IF($D299="Followup",'Survey Response'!$M297,"")</f>
        <v/>
      </c>
      <c r="AU299" s="46" t="str">
        <f aca="false">IF($D299="Followup",'Survey Response'!$K297,"")</f>
        <v/>
      </c>
      <c r="AV299" s="46" t="str">
        <f aca="false">IF($D299="Followup",'Survey Response'!$L297,"")</f>
        <v/>
      </c>
      <c r="AW299" s="46" t="str">
        <f aca="false">IF($D299="Followup",IF(AND($P299&lt;&gt;"Yes",$U299&lt;&gt;"Yes"),"Not approved for primary or secondary skill","Approved, but skill(s) no longer have capacity (fully staffed)"),"")</f>
        <v/>
      </c>
    </row>
    <row r="300" customFormat="false" ht="15" hidden="false" customHeight="true" outlineLevel="0" collapsed="false">
      <c r="A300" s="46" t="str">
        <f aca="false">IF('Survey Response'!$D298="","",'Survey Response'!$A298&amp;"|"&amp;LOWER(TRIM('Survey Response'!$D298)))</f>
        <v/>
      </c>
      <c r="B300" s="46" t="str">
        <f aca="false">IF($H300="","",$F300&amp;"|"&amp;$H300)</f>
        <v/>
      </c>
      <c r="C300" s="46" t="str">
        <f aca="false">IF($H300="","",$A300=$B300)</f>
        <v/>
      </c>
      <c r="D300" s="46" t="str">
        <f aca="false">IF($H300="","",IF($E300&lt;&gt;"Yes","Superseded",IF($I300&lt;&gt;"Yes, I'm available for in-person interviews at Chennai","Not Available",IF($Z300&lt;&gt;"","Panel Details","Followup"))))</f>
        <v/>
      </c>
      <c r="E300" s="46" t="str">
        <f aca="false">IF($H300="","",IF(SUMPRODUCT(($H$4:$H$503=$H300)*(($G$4:$G$503&gt;$G300)+($G$4:$G$503=$G300)*($F$4:$F$503&gt;$F300)))=0,"Yes","No"))</f>
        <v/>
      </c>
      <c r="F300" s="47" t="str">
        <f aca="false">IF('Survey Response'!$D298="","",INT('Survey Response'!$A298))</f>
        <v/>
      </c>
      <c r="G300" s="46" t="str">
        <f aca="false">IF('Survey Response'!$D298="","",'Survey Response'!$C298)</f>
        <v/>
      </c>
      <c r="H300" s="46" t="str">
        <f aca="false">IF('Survey Response'!$D298="","",LOWER(TRIM('Survey Response'!$D298)))</f>
        <v/>
      </c>
      <c r="I300" s="46" t="str">
        <f aca="false">IF($H300="","",'Survey Response'!$I298)</f>
        <v/>
      </c>
      <c r="J300" s="46" t="str">
        <f aca="false">IF($H300="","",'Survey Response'!$K298)</f>
        <v/>
      </c>
      <c r="K300" s="46" t="str">
        <f aca="false">IF($J300="","",IF(COUNTIF('Skill Mapping'!$A$2:$A$7,TRIM($J300))=0,"",INDEX('Skill Mapping'!$B$2:$B$7,MATCH(TRIM($J300),'Skill Mapping'!$A$2:$A$7,0))))</f>
        <v/>
      </c>
      <c r="L300" s="46" t="str">
        <f aca="false">IF($H300="","",'Survey Response'!$L298)</f>
        <v/>
      </c>
      <c r="M300" s="46" t="str">
        <f aca="false">IF($L300="","",IF(COUNTIF('Skill Mapping'!$A$2:$A$7,TRIM($L300))=0,"",INDEX('Skill Mapping'!$B$2:$B$7,MATCH(TRIM($L300),'Skill Mapping'!$A$2:$A$7,0))))</f>
        <v/>
      </c>
      <c r="N300" s="46" t="str">
        <f aca="false">IF($H300="","",'Survey Response'!$M298)</f>
        <v/>
      </c>
      <c r="O300" s="46" t="str">
        <f aca="false">IF($H300="","",IF('Survey Response'!$M298="Manager","R2","R1"))</f>
        <v/>
      </c>
      <c r="P300" s="46" t="str">
        <f aca="false">IF($K300="","No",IF(COUNTIFS(MasterPanel!$B:$B,$H300,MasterPanel!$I:$I,$K300,MasterPanel!$K:$K,"Y")&gt;0,"Yes","No"))</f>
        <v>No</v>
      </c>
      <c r="Q300" s="46" t="n">
        <f aca="false">IF($K300="",0,IF(COUNTIF('Gap Sheet'!$A$6:$A$11,TRIM($J300))=0,0,IF($O300="R1",INDEX('Gap Sheet'!$C$6:$C$11,MATCH(TRIM($J300),'Gap Sheet'!$A$6:$A$11,0)),INDEX('Gap Sheet'!$G$6:$G$11,MATCH(TRIM($J300),'Gap Sheet'!$A$6:$A$11,0)))))</f>
        <v>0</v>
      </c>
      <c r="R300" s="46" t="str">
        <f aca="false">IF($K300="","",$K300&amp;"|"&amp;$O300)</f>
        <v/>
      </c>
      <c r="S300" s="46" t="n">
        <f aca="false">IF($R300="",0,COUNTIF($AA$4:$AA299,$R300))</f>
        <v>0</v>
      </c>
      <c r="T300" s="46" t="str">
        <f aca="false">IF(OR($I300&lt;&gt;"Yes, I'm available for in-person interviews at Chennai",$E300&lt;&gt;"Yes",$P300&lt;&gt;"Yes"),"No",IF(($Q300-$S300)&gt;0,"Yes","No"))</f>
        <v>No</v>
      </c>
      <c r="U300" s="46" t="str">
        <f aca="false">IF($M300="","No",IF(COUNTIFS(MasterPanel!$B:$B,$H300,MasterPanel!$I:$I,$M300,MasterPanel!$K:$K,"Y")&gt;0,"Yes","No"))</f>
        <v>No</v>
      </c>
      <c r="V300" s="46" t="n">
        <f aca="false">IF($M300="",0,IF(COUNTIF('Gap Sheet'!$A$6:$A$11,TRIM($L300))=0,0,IF($O300="R1",INDEX('Gap Sheet'!$C$6:$C$11,MATCH(TRIM($L300),'Gap Sheet'!$A$6:$A$11,0)),INDEX('Gap Sheet'!$G$6:$G$11,MATCH(TRIM($L300),'Gap Sheet'!$A$6:$A$11,0)))))</f>
        <v>0</v>
      </c>
      <c r="W300" s="46" t="str">
        <f aca="false">IF($M300="","",$M300&amp;"|"&amp;$O300)</f>
        <v/>
      </c>
      <c r="X300" s="46" t="n">
        <f aca="false">IF($W300="",0,COUNTIF($AA$4:$AA299,$W300))</f>
        <v>0</v>
      </c>
      <c r="Y300" s="46" t="str">
        <f aca="false">IF(OR($I300&lt;&gt;"Yes, I'm available for in-person interviews at Chennai",$E300&lt;&gt;"Yes",$T300="Yes",$U300&lt;&gt;"Yes"),"No",IF(($V300-$X300)&gt;0,"Yes","No"))</f>
        <v>No</v>
      </c>
      <c r="Z300" s="46" t="str">
        <f aca="false">IF($T300="Yes","Primary",IF($Y300="Yes","Secondary",""))</f>
        <v/>
      </c>
      <c r="AA300" s="46" t="str">
        <f aca="false">IF($Z300="Primary",$R300,IF($Z300="Secondary",$W300,""))</f>
        <v/>
      </c>
      <c r="AB300" s="46" t="str">
        <f aca="false">IF($Z300="Primary","Matched on primary skill",IF($Z300="Secondary","Matched on secondary skill (primary not approved or not required)",""))</f>
        <v/>
      </c>
      <c r="AC300" s="47" t="str">
        <f aca="false">IF($D300="Panel Details",$F300,"")</f>
        <v/>
      </c>
      <c r="AD300" s="46" t="str">
        <f aca="false">IF($D300="Panel Details",'Survey Response'!$D298,"")</f>
        <v/>
      </c>
      <c r="AE300" s="46" t="str">
        <f aca="false">IF($D300="Panel Details",'Survey Response'!$E298,"")</f>
        <v/>
      </c>
      <c r="AF300" s="46" t="str">
        <f aca="false">IF($D300="Panel Details",'Survey Response'!$G298,"")</f>
        <v/>
      </c>
      <c r="AG300" s="46" t="str">
        <f aca="false">IF($D300="Panel Details",IF($Z300="Primary",$J300,$L300),"")</f>
        <v/>
      </c>
      <c r="AH300" s="46" t="str">
        <f aca="false">IF($D300="Panel Details",IF($Z300="Primary",$L300,$J300),"")</f>
        <v/>
      </c>
      <c r="AI300" s="46" t="str">
        <f aca="false">IF($D300="Panel Details",'Survey Response'!$H298,"")</f>
        <v/>
      </c>
      <c r="AJ300" s="46" t="str">
        <f aca="false">IF($D300="Panel Details",'Survey Response'!$M298,"")</f>
        <v/>
      </c>
      <c r="AK300" s="46" t="str">
        <f aca="false">IF($D300="Panel Details",$O300,"")</f>
        <v/>
      </c>
      <c r="AL300" s="46" t="str">
        <f aca="false">IF($D300="Panel Details",8,"")</f>
        <v/>
      </c>
      <c r="AM300" s="46" t="str">
        <f aca="false">IF($D300="Panel Details",$AB300,"")</f>
        <v/>
      </c>
      <c r="AN300" s="46" t="str">
        <f aca="false">IF($D300="Panel Details","Yes","")</f>
        <v/>
      </c>
      <c r="AO300" s="46"/>
      <c r="AP300" s="46" t="str">
        <f aca="false">IF($D300="Followup",'Survey Response'!$D298,"")</f>
        <v/>
      </c>
      <c r="AQ300" s="46" t="str">
        <f aca="false">IF($D300="Followup",'Survey Response'!$E298,"")</f>
        <v/>
      </c>
      <c r="AR300" s="46" t="str">
        <f aca="false">IF($D300="Followup",'Survey Response'!$G298,"")</f>
        <v/>
      </c>
      <c r="AS300" s="46" t="str">
        <f aca="false">IF($D300="Followup",'Survey Response'!$H298,"")</f>
        <v/>
      </c>
      <c r="AT300" s="46" t="str">
        <f aca="false">IF($D300="Followup",'Survey Response'!$M298,"")</f>
        <v/>
      </c>
      <c r="AU300" s="46" t="str">
        <f aca="false">IF($D300="Followup",'Survey Response'!$K298,"")</f>
        <v/>
      </c>
      <c r="AV300" s="46" t="str">
        <f aca="false">IF($D300="Followup",'Survey Response'!$L298,"")</f>
        <v/>
      </c>
      <c r="AW300" s="46" t="str">
        <f aca="false">IF($D300="Followup",IF(AND($P300&lt;&gt;"Yes",$U300&lt;&gt;"Yes"),"Not approved for primary or secondary skill","Approved, but skill(s) no longer have capacity (fully staffed)"),"")</f>
        <v/>
      </c>
    </row>
    <row r="301" customFormat="false" ht="15" hidden="false" customHeight="true" outlineLevel="0" collapsed="false">
      <c r="A301" s="46" t="str">
        <f aca="false">IF('Survey Response'!$D299="","",'Survey Response'!$A299&amp;"|"&amp;LOWER(TRIM('Survey Response'!$D299)))</f>
        <v/>
      </c>
      <c r="B301" s="46" t="str">
        <f aca="false">IF($H301="","",$F301&amp;"|"&amp;$H301)</f>
        <v/>
      </c>
      <c r="C301" s="46" t="str">
        <f aca="false">IF($H301="","",$A301=$B301)</f>
        <v/>
      </c>
      <c r="D301" s="46" t="str">
        <f aca="false">IF($H301="","",IF($E301&lt;&gt;"Yes","Superseded",IF($I301&lt;&gt;"Yes, I'm available for in-person interviews at Chennai","Not Available",IF($Z301&lt;&gt;"","Panel Details","Followup"))))</f>
        <v/>
      </c>
      <c r="E301" s="46" t="str">
        <f aca="false">IF($H301="","",IF(SUMPRODUCT(($H$4:$H$503=$H301)*(($G$4:$G$503&gt;$G301)+($G$4:$G$503=$G301)*($F$4:$F$503&gt;$F301)))=0,"Yes","No"))</f>
        <v/>
      </c>
      <c r="F301" s="47" t="str">
        <f aca="false">IF('Survey Response'!$D299="","",INT('Survey Response'!$A299))</f>
        <v/>
      </c>
      <c r="G301" s="46" t="str">
        <f aca="false">IF('Survey Response'!$D299="","",'Survey Response'!$C299)</f>
        <v/>
      </c>
      <c r="H301" s="46" t="str">
        <f aca="false">IF('Survey Response'!$D299="","",LOWER(TRIM('Survey Response'!$D299)))</f>
        <v/>
      </c>
      <c r="I301" s="46" t="str">
        <f aca="false">IF($H301="","",'Survey Response'!$I299)</f>
        <v/>
      </c>
      <c r="J301" s="46" t="str">
        <f aca="false">IF($H301="","",'Survey Response'!$K299)</f>
        <v/>
      </c>
      <c r="K301" s="46" t="str">
        <f aca="false">IF($J301="","",IF(COUNTIF('Skill Mapping'!$A$2:$A$7,TRIM($J301))=0,"",INDEX('Skill Mapping'!$B$2:$B$7,MATCH(TRIM($J301),'Skill Mapping'!$A$2:$A$7,0))))</f>
        <v/>
      </c>
      <c r="L301" s="46" t="str">
        <f aca="false">IF($H301="","",'Survey Response'!$L299)</f>
        <v/>
      </c>
      <c r="M301" s="46" t="str">
        <f aca="false">IF($L301="","",IF(COUNTIF('Skill Mapping'!$A$2:$A$7,TRIM($L301))=0,"",INDEX('Skill Mapping'!$B$2:$B$7,MATCH(TRIM($L301),'Skill Mapping'!$A$2:$A$7,0))))</f>
        <v/>
      </c>
      <c r="N301" s="46" t="str">
        <f aca="false">IF($H301="","",'Survey Response'!$M299)</f>
        <v/>
      </c>
      <c r="O301" s="46" t="str">
        <f aca="false">IF($H301="","",IF('Survey Response'!$M299="Manager","R2","R1"))</f>
        <v/>
      </c>
      <c r="P301" s="46" t="str">
        <f aca="false">IF($K301="","No",IF(COUNTIFS(MasterPanel!$B:$B,$H301,MasterPanel!$I:$I,$K301,MasterPanel!$K:$K,"Y")&gt;0,"Yes","No"))</f>
        <v>No</v>
      </c>
      <c r="Q301" s="46" t="n">
        <f aca="false">IF($K301="",0,IF(COUNTIF('Gap Sheet'!$A$6:$A$11,TRIM($J301))=0,0,IF($O301="R1",INDEX('Gap Sheet'!$C$6:$C$11,MATCH(TRIM($J301),'Gap Sheet'!$A$6:$A$11,0)),INDEX('Gap Sheet'!$G$6:$G$11,MATCH(TRIM($J301),'Gap Sheet'!$A$6:$A$11,0)))))</f>
        <v>0</v>
      </c>
      <c r="R301" s="46" t="str">
        <f aca="false">IF($K301="","",$K301&amp;"|"&amp;$O301)</f>
        <v/>
      </c>
      <c r="S301" s="46" t="n">
        <f aca="false">IF($R301="",0,COUNTIF($AA$4:$AA300,$R301))</f>
        <v>0</v>
      </c>
      <c r="T301" s="46" t="str">
        <f aca="false">IF(OR($I301&lt;&gt;"Yes, I'm available for in-person interviews at Chennai",$E301&lt;&gt;"Yes",$P301&lt;&gt;"Yes"),"No",IF(($Q301-$S301)&gt;0,"Yes","No"))</f>
        <v>No</v>
      </c>
      <c r="U301" s="46" t="str">
        <f aca="false">IF($M301="","No",IF(COUNTIFS(MasterPanel!$B:$B,$H301,MasterPanel!$I:$I,$M301,MasterPanel!$K:$K,"Y")&gt;0,"Yes","No"))</f>
        <v>No</v>
      </c>
      <c r="V301" s="46" t="n">
        <f aca="false">IF($M301="",0,IF(COUNTIF('Gap Sheet'!$A$6:$A$11,TRIM($L301))=0,0,IF($O301="R1",INDEX('Gap Sheet'!$C$6:$C$11,MATCH(TRIM($L301),'Gap Sheet'!$A$6:$A$11,0)),INDEX('Gap Sheet'!$G$6:$G$11,MATCH(TRIM($L301),'Gap Sheet'!$A$6:$A$11,0)))))</f>
        <v>0</v>
      </c>
      <c r="W301" s="46" t="str">
        <f aca="false">IF($M301="","",$M301&amp;"|"&amp;$O301)</f>
        <v/>
      </c>
      <c r="X301" s="46" t="n">
        <f aca="false">IF($W301="",0,COUNTIF($AA$4:$AA300,$W301))</f>
        <v>0</v>
      </c>
      <c r="Y301" s="46" t="str">
        <f aca="false">IF(OR($I301&lt;&gt;"Yes, I'm available for in-person interviews at Chennai",$E301&lt;&gt;"Yes",$T301="Yes",$U301&lt;&gt;"Yes"),"No",IF(($V301-$X301)&gt;0,"Yes","No"))</f>
        <v>No</v>
      </c>
      <c r="Z301" s="46" t="str">
        <f aca="false">IF($T301="Yes","Primary",IF($Y301="Yes","Secondary",""))</f>
        <v/>
      </c>
      <c r="AA301" s="46" t="str">
        <f aca="false">IF($Z301="Primary",$R301,IF($Z301="Secondary",$W301,""))</f>
        <v/>
      </c>
      <c r="AB301" s="46" t="str">
        <f aca="false">IF($Z301="Primary","Matched on primary skill",IF($Z301="Secondary","Matched on secondary skill (primary not approved or not required)",""))</f>
        <v/>
      </c>
      <c r="AC301" s="47" t="str">
        <f aca="false">IF($D301="Panel Details",$F301,"")</f>
        <v/>
      </c>
      <c r="AD301" s="46" t="str">
        <f aca="false">IF($D301="Panel Details",'Survey Response'!$D299,"")</f>
        <v/>
      </c>
      <c r="AE301" s="46" t="str">
        <f aca="false">IF($D301="Panel Details",'Survey Response'!$E299,"")</f>
        <v/>
      </c>
      <c r="AF301" s="46" t="str">
        <f aca="false">IF($D301="Panel Details",'Survey Response'!$G299,"")</f>
        <v/>
      </c>
      <c r="AG301" s="46" t="str">
        <f aca="false">IF($D301="Panel Details",IF($Z301="Primary",$J301,$L301),"")</f>
        <v/>
      </c>
      <c r="AH301" s="46" t="str">
        <f aca="false">IF($D301="Panel Details",IF($Z301="Primary",$L301,$J301),"")</f>
        <v/>
      </c>
      <c r="AI301" s="46" t="str">
        <f aca="false">IF($D301="Panel Details",'Survey Response'!$H299,"")</f>
        <v/>
      </c>
      <c r="AJ301" s="46" t="str">
        <f aca="false">IF($D301="Panel Details",'Survey Response'!$M299,"")</f>
        <v/>
      </c>
      <c r="AK301" s="46" t="str">
        <f aca="false">IF($D301="Panel Details",$O301,"")</f>
        <v/>
      </c>
      <c r="AL301" s="46" t="str">
        <f aca="false">IF($D301="Panel Details",8,"")</f>
        <v/>
      </c>
      <c r="AM301" s="46" t="str">
        <f aca="false">IF($D301="Panel Details",$AB301,"")</f>
        <v/>
      </c>
      <c r="AN301" s="46" t="str">
        <f aca="false">IF($D301="Panel Details","Yes","")</f>
        <v/>
      </c>
      <c r="AO301" s="46"/>
      <c r="AP301" s="46" t="str">
        <f aca="false">IF($D301="Followup",'Survey Response'!$D299,"")</f>
        <v/>
      </c>
      <c r="AQ301" s="46" t="str">
        <f aca="false">IF($D301="Followup",'Survey Response'!$E299,"")</f>
        <v/>
      </c>
      <c r="AR301" s="46" t="str">
        <f aca="false">IF($D301="Followup",'Survey Response'!$G299,"")</f>
        <v/>
      </c>
      <c r="AS301" s="46" t="str">
        <f aca="false">IF($D301="Followup",'Survey Response'!$H299,"")</f>
        <v/>
      </c>
      <c r="AT301" s="46" t="str">
        <f aca="false">IF($D301="Followup",'Survey Response'!$M299,"")</f>
        <v/>
      </c>
      <c r="AU301" s="46" t="str">
        <f aca="false">IF($D301="Followup",'Survey Response'!$K299,"")</f>
        <v/>
      </c>
      <c r="AV301" s="46" t="str">
        <f aca="false">IF($D301="Followup",'Survey Response'!$L299,"")</f>
        <v/>
      </c>
      <c r="AW301" s="46" t="str">
        <f aca="false">IF($D301="Followup",IF(AND($P301&lt;&gt;"Yes",$U301&lt;&gt;"Yes"),"Not approved for primary or secondary skill","Approved, but skill(s) no longer have capacity (fully staffed)"),"")</f>
        <v/>
      </c>
    </row>
    <row r="302" customFormat="false" ht="15" hidden="false" customHeight="true" outlineLevel="0" collapsed="false">
      <c r="A302" s="46" t="str">
        <f aca="false">IF('Survey Response'!$D300="","",'Survey Response'!$A300&amp;"|"&amp;LOWER(TRIM('Survey Response'!$D300)))</f>
        <v/>
      </c>
      <c r="B302" s="46" t="str">
        <f aca="false">IF($H302="","",$F302&amp;"|"&amp;$H302)</f>
        <v/>
      </c>
      <c r="C302" s="46" t="str">
        <f aca="false">IF($H302="","",$A302=$B302)</f>
        <v/>
      </c>
      <c r="D302" s="46" t="str">
        <f aca="false">IF($H302="","",IF($E302&lt;&gt;"Yes","Superseded",IF($I302&lt;&gt;"Yes, I'm available for in-person interviews at Chennai","Not Available",IF($Z302&lt;&gt;"","Panel Details","Followup"))))</f>
        <v/>
      </c>
      <c r="E302" s="46" t="str">
        <f aca="false">IF($H302="","",IF(SUMPRODUCT(($H$4:$H$503=$H302)*(($G$4:$G$503&gt;$G302)+($G$4:$G$503=$G302)*($F$4:$F$503&gt;$F302)))=0,"Yes","No"))</f>
        <v/>
      </c>
      <c r="F302" s="47" t="str">
        <f aca="false">IF('Survey Response'!$D300="","",INT('Survey Response'!$A300))</f>
        <v/>
      </c>
      <c r="G302" s="46" t="str">
        <f aca="false">IF('Survey Response'!$D300="","",'Survey Response'!$C300)</f>
        <v/>
      </c>
      <c r="H302" s="46" t="str">
        <f aca="false">IF('Survey Response'!$D300="","",LOWER(TRIM('Survey Response'!$D300)))</f>
        <v/>
      </c>
      <c r="I302" s="46" t="str">
        <f aca="false">IF($H302="","",'Survey Response'!$I300)</f>
        <v/>
      </c>
      <c r="J302" s="46" t="str">
        <f aca="false">IF($H302="","",'Survey Response'!$K300)</f>
        <v/>
      </c>
      <c r="K302" s="46" t="str">
        <f aca="false">IF($J302="","",IF(COUNTIF('Skill Mapping'!$A$2:$A$7,TRIM($J302))=0,"",INDEX('Skill Mapping'!$B$2:$B$7,MATCH(TRIM($J302),'Skill Mapping'!$A$2:$A$7,0))))</f>
        <v/>
      </c>
      <c r="L302" s="46" t="str">
        <f aca="false">IF($H302="","",'Survey Response'!$L300)</f>
        <v/>
      </c>
      <c r="M302" s="46" t="str">
        <f aca="false">IF($L302="","",IF(COUNTIF('Skill Mapping'!$A$2:$A$7,TRIM($L302))=0,"",INDEX('Skill Mapping'!$B$2:$B$7,MATCH(TRIM($L302),'Skill Mapping'!$A$2:$A$7,0))))</f>
        <v/>
      </c>
      <c r="N302" s="46" t="str">
        <f aca="false">IF($H302="","",'Survey Response'!$M300)</f>
        <v/>
      </c>
      <c r="O302" s="46" t="str">
        <f aca="false">IF($H302="","",IF('Survey Response'!$M300="Manager","R2","R1"))</f>
        <v/>
      </c>
      <c r="P302" s="46" t="str">
        <f aca="false">IF($K302="","No",IF(COUNTIFS(MasterPanel!$B:$B,$H302,MasterPanel!$I:$I,$K302,MasterPanel!$K:$K,"Y")&gt;0,"Yes","No"))</f>
        <v>No</v>
      </c>
      <c r="Q302" s="46" t="n">
        <f aca="false">IF($K302="",0,IF(COUNTIF('Gap Sheet'!$A$6:$A$11,TRIM($J302))=0,0,IF($O302="R1",INDEX('Gap Sheet'!$C$6:$C$11,MATCH(TRIM($J302),'Gap Sheet'!$A$6:$A$11,0)),INDEX('Gap Sheet'!$G$6:$G$11,MATCH(TRIM($J302),'Gap Sheet'!$A$6:$A$11,0)))))</f>
        <v>0</v>
      </c>
      <c r="R302" s="46" t="str">
        <f aca="false">IF($K302="","",$K302&amp;"|"&amp;$O302)</f>
        <v/>
      </c>
      <c r="S302" s="46" t="n">
        <f aca="false">IF($R302="",0,COUNTIF($AA$4:$AA301,$R302))</f>
        <v>0</v>
      </c>
      <c r="T302" s="46" t="str">
        <f aca="false">IF(OR($I302&lt;&gt;"Yes, I'm available for in-person interviews at Chennai",$E302&lt;&gt;"Yes",$P302&lt;&gt;"Yes"),"No",IF(($Q302-$S302)&gt;0,"Yes","No"))</f>
        <v>No</v>
      </c>
      <c r="U302" s="46" t="str">
        <f aca="false">IF($M302="","No",IF(COUNTIFS(MasterPanel!$B:$B,$H302,MasterPanel!$I:$I,$M302,MasterPanel!$K:$K,"Y")&gt;0,"Yes","No"))</f>
        <v>No</v>
      </c>
      <c r="V302" s="46" t="n">
        <f aca="false">IF($M302="",0,IF(COUNTIF('Gap Sheet'!$A$6:$A$11,TRIM($L302))=0,0,IF($O302="R1",INDEX('Gap Sheet'!$C$6:$C$11,MATCH(TRIM($L302),'Gap Sheet'!$A$6:$A$11,0)),INDEX('Gap Sheet'!$G$6:$G$11,MATCH(TRIM($L302),'Gap Sheet'!$A$6:$A$11,0)))))</f>
        <v>0</v>
      </c>
      <c r="W302" s="46" t="str">
        <f aca="false">IF($M302="","",$M302&amp;"|"&amp;$O302)</f>
        <v/>
      </c>
      <c r="X302" s="46" t="n">
        <f aca="false">IF($W302="",0,COUNTIF($AA$4:$AA301,$W302))</f>
        <v>0</v>
      </c>
      <c r="Y302" s="46" t="str">
        <f aca="false">IF(OR($I302&lt;&gt;"Yes, I'm available for in-person interviews at Chennai",$E302&lt;&gt;"Yes",$T302="Yes",$U302&lt;&gt;"Yes"),"No",IF(($V302-$X302)&gt;0,"Yes","No"))</f>
        <v>No</v>
      </c>
      <c r="Z302" s="46" t="str">
        <f aca="false">IF($T302="Yes","Primary",IF($Y302="Yes","Secondary",""))</f>
        <v/>
      </c>
      <c r="AA302" s="46" t="str">
        <f aca="false">IF($Z302="Primary",$R302,IF($Z302="Secondary",$W302,""))</f>
        <v/>
      </c>
      <c r="AB302" s="46" t="str">
        <f aca="false">IF($Z302="Primary","Matched on primary skill",IF($Z302="Secondary","Matched on secondary skill (primary not approved or not required)",""))</f>
        <v/>
      </c>
      <c r="AC302" s="47" t="str">
        <f aca="false">IF($D302="Panel Details",$F302,"")</f>
        <v/>
      </c>
      <c r="AD302" s="46" t="str">
        <f aca="false">IF($D302="Panel Details",'Survey Response'!$D300,"")</f>
        <v/>
      </c>
      <c r="AE302" s="46" t="str">
        <f aca="false">IF($D302="Panel Details",'Survey Response'!$E300,"")</f>
        <v/>
      </c>
      <c r="AF302" s="46" t="str">
        <f aca="false">IF($D302="Panel Details",'Survey Response'!$G300,"")</f>
        <v/>
      </c>
      <c r="AG302" s="46" t="str">
        <f aca="false">IF($D302="Panel Details",IF($Z302="Primary",$J302,$L302),"")</f>
        <v/>
      </c>
      <c r="AH302" s="46" t="str">
        <f aca="false">IF($D302="Panel Details",IF($Z302="Primary",$L302,$J302),"")</f>
        <v/>
      </c>
      <c r="AI302" s="46" t="str">
        <f aca="false">IF($D302="Panel Details",'Survey Response'!$H300,"")</f>
        <v/>
      </c>
      <c r="AJ302" s="46" t="str">
        <f aca="false">IF($D302="Panel Details",'Survey Response'!$M300,"")</f>
        <v/>
      </c>
      <c r="AK302" s="46" t="str">
        <f aca="false">IF($D302="Panel Details",$O302,"")</f>
        <v/>
      </c>
      <c r="AL302" s="46" t="str">
        <f aca="false">IF($D302="Panel Details",8,"")</f>
        <v/>
      </c>
      <c r="AM302" s="46" t="str">
        <f aca="false">IF($D302="Panel Details",$AB302,"")</f>
        <v/>
      </c>
      <c r="AN302" s="46" t="str">
        <f aca="false">IF($D302="Panel Details","Yes","")</f>
        <v/>
      </c>
      <c r="AO302" s="46"/>
      <c r="AP302" s="46" t="str">
        <f aca="false">IF($D302="Followup",'Survey Response'!$D300,"")</f>
        <v/>
      </c>
      <c r="AQ302" s="46" t="str">
        <f aca="false">IF($D302="Followup",'Survey Response'!$E300,"")</f>
        <v/>
      </c>
      <c r="AR302" s="46" t="str">
        <f aca="false">IF($D302="Followup",'Survey Response'!$G300,"")</f>
        <v/>
      </c>
      <c r="AS302" s="46" t="str">
        <f aca="false">IF($D302="Followup",'Survey Response'!$H300,"")</f>
        <v/>
      </c>
      <c r="AT302" s="46" t="str">
        <f aca="false">IF($D302="Followup",'Survey Response'!$M300,"")</f>
        <v/>
      </c>
      <c r="AU302" s="46" t="str">
        <f aca="false">IF($D302="Followup",'Survey Response'!$K300,"")</f>
        <v/>
      </c>
      <c r="AV302" s="46" t="str">
        <f aca="false">IF($D302="Followup",'Survey Response'!$L300,"")</f>
        <v/>
      </c>
      <c r="AW302" s="46" t="str">
        <f aca="false">IF($D302="Followup",IF(AND($P302&lt;&gt;"Yes",$U302&lt;&gt;"Yes"),"Not approved for primary or secondary skill","Approved, but skill(s) no longer have capacity (fully staffed)"),"")</f>
        <v/>
      </c>
    </row>
    <row r="303" customFormat="false" ht="15" hidden="false" customHeight="true" outlineLevel="0" collapsed="false">
      <c r="A303" s="46" t="str">
        <f aca="false">IF('Survey Response'!$D301="","",'Survey Response'!$A301&amp;"|"&amp;LOWER(TRIM('Survey Response'!$D301)))</f>
        <v/>
      </c>
      <c r="B303" s="46" t="str">
        <f aca="false">IF($H303="","",$F303&amp;"|"&amp;$H303)</f>
        <v/>
      </c>
      <c r="C303" s="46" t="str">
        <f aca="false">IF($H303="","",$A303=$B303)</f>
        <v/>
      </c>
      <c r="D303" s="46" t="str">
        <f aca="false">IF($H303="","",IF($E303&lt;&gt;"Yes","Superseded",IF($I303&lt;&gt;"Yes, I'm available for in-person interviews at Chennai","Not Available",IF($Z303&lt;&gt;"","Panel Details","Followup"))))</f>
        <v/>
      </c>
      <c r="E303" s="46" t="str">
        <f aca="false">IF($H303="","",IF(SUMPRODUCT(($H$4:$H$503=$H303)*(($G$4:$G$503&gt;$G303)+($G$4:$G$503=$G303)*($F$4:$F$503&gt;$F303)))=0,"Yes","No"))</f>
        <v/>
      </c>
      <c r="F303" s="47" t="str">
        <f aca="false">IF('Survey Response'!$D301="","",INT('Survey Response'!$A301))</f>
        <v/>
      </c>
      <c r="G303" s="46" t="str">
        <f aca="false">IF('Survey Response'!$D301="","",'Survey Response'!$C301)</f>
        <v/>
      </c>
      <c r="H303" s="46" t="str">
        <f aca="false">IF('Survey Response'!$D301="","",LOWER(TRIM('Survey Response'!$D301)))</f>
        <v/>
      </c>
      <c r="I303" s="46" t="str">
        <f aca="false">IF($H303="","",'Survey Response'!$I301)</f>
        <v/>
      </c>
      <c r="J303" s="46" t="str">
        <f aca="false">IF($H303="","",'Survey Response'!$K301)</f>
        <v/>
      </c>
      <c r="K303" s="46" t="str">
        <f aca="false">IF($J303="","",IF(COUNTIF('Skill Mapping'!$A$2:$A$7,TRIM($J303))=0,"",INDEX('Skill Mapping'!$B$2:$B$7,MATCH(TRIM($J303),'Skill Mapping'!$A$2:$A$7,0))))</f>
        <v/>
      </c>
      <c r="L303" s="46" t="str">
        <f aca="false">IF($H303="","",'Survey Response'!$L301)</f>
        <v/>
      </c>
      <c r="M303" s="46" t="str">
        <f aca="false">IF($L303="","",IF(COUNTIF('Skill Mapping'!$A$2:$A$7,TRIM($L303))=0,"",INDEX('Skill Mapping'!$B$2:$B$7,MATCH(TRIM($L303),'Skill Mapping'!$A$2:$A$7,0))))</f>
        <v/>
      </c>
      <c r="N303" s="46" t="str">
        <f aca="false">IF($H303="","",'Survey Response'!$M301)</f>
        <v/>
      </c>
      <c r="O303" s="46" t="str">
        <f aca="false">IF($H303="","",IF('Survey Response'!$M301="Manager","R2","R1"))</f>
        <v/>
      </c>
      <c r="P303" s="46" t="str">
        <f aca="false">IF($K303="","No",IF(COUNTIFS(MasterPanel!$B:$B,$H303,MasterPanel!$I:$I,$K303,MasterPanel!$K:$K,"Y")&gt;0,"Yes","No"))</f>
        <v>No</v>
      </c>
      <c r="Q303" s="46" t="n">
        <f aca="false">IF($K303="",0,IF(COUNTIF('Gap Sheet'!$A$6:$A$11,TRIM($J303))=0,0,IF($O303="R1",INDEX('Gap Sheet'!$C$6:$C$11,MATCH(TRIM($J303),'Gap Sheet'!$A$6:$A$11,0)),INDEX('Gap Sheet'!$G$6:$G$11,MATCH(TRIM($J303),'Gap Sheet'!$A$6:$A$11,0)))))</f>
        <v>0</v>
      </c>
      <c r="R303" s="46" t="str">
        <f aca="false">IF($K303="","",$K303&amp;"|"&amp;$O303)</f>
        <v/>
      </c>
      <c r="S303" s="46" t="n">
        <f aca="false">IF($R303="",0,COUNTIF($AA$4:$AA302,$R303))</f>
        <v>0</v>
      </c>
      <c r="T303" s="46" t="str">
        <f aca="false">IF(OR($I303&lt;&gt;"Yes, I'm available for in-person interviews at Chennai",$E303&lt;&gt;"Yes",$P303&lt;&gt;"Yes"),"No",IF(($Q303-$S303)&gt;0,"Yes","No"))</f>
        <v>No</v>
      </c>
      <c r="U303" s="46" t="str">
        <f aca="false">IF($M303="","No",IF(COUNTIFS(MasterPanel!$B:$B,$H303,MasterPanel!$I:$I,$M303,MasterPanel!$K:$K,"Y")&gt;0,"Yes","No"))</f>
        <v>No</v>
      </c>
      <c r="V303" s="46" t="n">
        <f aca="false">IF($M303="",0,IF(COUNTIF('Gap Sheet'!$A$6:$A$11,TRIM($L303))=0,0,IF($O303="R1",INDEX('Gap Sheet'!$C$6:$C$11,MATCH(TRIM($L303),'Gap Sheet'!$A$6:$A$11,0)),INDEX('Gap Sheet'!$G$6:$G$11,MATCH(TRIM($L303),'Gap Sheet'!$A$6:$A$11,0)))))</f>
        <v>0</v>
      </c>
      <c r="W303" s="46" t="str">
        <f aca="false">IF($M303="","",$M303&amp;"|"&amp;$O303)</f>
        <v/>
      </c>
      <c r="X303" s="46" t="n">
        <f aca="false">IF($W303="",0,COUNTIF($AA$4:$AA302,$W303))</f>
        <v>0</v>
      </c>
      <c r="Y303" s="46" t="str">
        <f aca="false">IF(OR($I303&lt;&gt;"Yes, I'm available for in-person interviews at Chennai",$E303&lt;&gt;"Yes",$T303="Yes",$U303&lt;&gt;"Yes"),"No",IF(($V303-$X303)&gt;0,"Yes","No"))</f>
        <v>No</v>
      </c>
      <c r="Z303" s="46" t="str">
        <f aca="false">IF($T303="Yes","Primary",IF($Y303="Yes","Secondary",""))</f>
        <v/>
      </c>
      <c r="AA303" s="46" t="str">
        <f aca="false">IF($Z303="Primary",$R303,IF($Z303="Secondary",$W303,""))</f>
        <v/>
      </c>
      <c r="AB303" s="46" t="str">
        <f aca="false">IF($Z303="Primary","Matched on primary skill",IF($Z303="Secondary","Matched on secondary skill (primary not approved or not required)",""))</f>
        <v/>
      </c>
      <c r="AC303" s="47" t="str">
        <f aca="false">IF($D303="Panel Details",$F303,"")</f>
        <v/>
      </c>
      <c r="AD303" s="46" t="str">
        <f aca="false">IF($D303="Panel Details",'Survey Response'!$D301,"")</f>
        <v/>
      </c>
      <c r="AE303" s="46" t="str">
        <f aca="false">IF($D303="Panel Details",'Survey Response'!$E301,"")</f>
        <v/>
      </c>
      <c r="AF303" s="46" t="str">
        <f aca="false">IF($D303="Panel Details",'Survey Response'!$G301,"")</f>
        <v/>
      </c>
      <c r="AG303" s="46" t="str">
        <f aca="false">IF($D303="Panel Details",IF($Z303="Primary",$J303,$L303),"")</f>
        <v/>
      </c>
      <c r="AH303" s="46" t="str">
        <f aca="false">IF($D303="Panel Details",IF($Z303="Primary",$L303,$J303),"")</f>
        <v/>
      </c>
      <c r="AI303" s="46" t="str">
        <f aca="false">IF($D303="Panel Details",'Survey Response'!$H301,"")</f>
        <v/>
      </c>
      <c r="AJ303" s="46" t="str">
        <f aca="false">IF($D303="Panel Details",'Survey Response'!$M301,"")</f>
        <v/>
      </c>
      <c r="AK303" s="46" t="str">
        <f aca="false">IF($D303="Panel Details",$O303,"")</f>
        <v/>
      </c>
      <c r="AL303" s="46" t="str">
        <f aca="false">IF($D303="Panel Details",8,"")</f>
        <v/>
      </c>
      <c r="AM303" s="46" t="str">
        <f aca="false">IF($D303="Panel Details",$AB303,"")</f>
        <v/>
      </c>
      <c r="AN303" s="46" t="str">
        <f aca="false">IF($D303="Panel Details","Yes","")</f>
        <v/>
      </c>
      <c r="AO303" s="46"/>
      <c r="AP303" s="46" t="str">
        <f aca="false">IF($D303="Followup",'Survey Response'!$D301,"")</f>
        <v/>
      </c>
      <c r="AQ303" s="46" t="str">
        <f aca="false">IF($D303="Followup",'Survey Response'!$E301,"")</f>
        <v/>
      </c>
      <c r="AR303" s="46" t="str">
        <f aca="false">IF($D303="Followup",'Survey Response'!$G301,"")</f>
        <v/>
      </c>
      <c r="AS303" s="46" t="str">
        <f aca="false">IF($D303="Followup",'Survey Response'!$H301,"")</f>
        <v/>
      </c>
      <c r="AT303" s="46" t="str">
        <f aca="false">IF($D303="Followup",'Survey Response'!$M301,"")</f>
        <v/>
      </c>
      <c r="AU303" s="46" t="str">
        <f aca="false">IF($D303="Followup",'Survey Response'!$K301,"")</f>
        <v/>
      </c>
      <c r="AV303" s="46" t="str">
        <f aca="false">IF($D303="Followup",'Survey Response'!$L301,"")</f>
        <v/>
      </c>
      <c r="AW303" s="46" t="str">
        <f aca="false">IF($D303="Followup",IF(AND($P303&lt;&gt;"Yes",$U303&lt;&gt;"Yes"),"Not approved for primary or secondary skill","Approved, but skill(s) no longer have capacity (fully staffed)"),"")</f>
        <v/>
      </c>
    </row>
    <row r="304" customFormat="false" ht="15" hidden="false" customHeight="true" outlineLevel="0" collapsed="false">
      <c r="A304" s="46" t="str">
        <f aca="false">IF('Survey Response'!$D302="","",'Survey Response'!$A302&amp;"|"&amp;LOWER(TRIM('Survey Response'!$D302)))</f>
        <v/>
      </c>
      <c r="B304" s="46" t="str">
        <f aca="false">IF($H304="","",$F304&amp;"|"&amp;$H304)</f>
        <v/>
      </c>
      <c r="C304" s="46" t="str">
        <f aca="false">IF($H304="","",$A304=$B304)</f>
        <v/>
      </c>
      <c r="D304" s="46" t="str">
        <f aca="false">IF($H304="","",IF($E304&lt;&gt;"Yes","Superseded",IF($I304&lt;&gt;"Yes, I'm available for in-person interviews at Chennai","Not Available",IF($Z304&lt;&gt;"","Panel Details","Followup"))))</f>
        <v/>
      </c>
      <c r="E304" s="46" t="str">
        <f aca="false">IF($H304="","",IF(SUMPRODUCT(($H$4:$H$503=$H304)*(($G$4:$G$503&gt;$G304)+($G$4:$G$503=$G304)*($F$4:$F$503&gt;$F304)))=0,"Yes","No"))</f>
        <v/>
      </c>
      <c r="F304" s="47" t="str">
        <f aca="false">IF('Survey Response'!$D302="","",INT('Survey Response'!$A302))</f>
        <v/>
      </c>
      <c r="G304" s="46" t="str">
        <f aca="false">IF('Survey Response'!$D302="","",'Survey Response'!$C302)</f>
        <v/>
      </c>
      <c r="H304" s="46" t="str">
        <f aca="false">IF('Survey Response'!$D302="","",LOWER(TRIM('Survey Response'!$D302)))</f>
        <v/>
      </c>
      <c r="I304" s="46" t="str">
        <f aca="false">IF($H304="","",'Survey Response'!$I302)</f>
        <v/>
      </c>
      <c r="J304" s="46" t="str">
        <f aca="false">IF($H304="","",'Survey Response'!$K302)</f>
        <v/>
      </c>
      <c r="K304" s="46" t="str">
        <f aca="false">IF($J304="","",IF(COUNTIF('Skill Mapping'!$A$2:$A$7,TRIM($J304))=0,"",INDEX('Skill Mapping'!$B$2:$B$7,MATCH(TRIM($J304),'Skill Mapping'!$A$2:$A$7,0))))</f>
        <v/>
      </c>
      <c r="L304" s="46" t="str">
        <f aca="false">IF($H304="","",'Survey Response'!$L302)</f>
        <v/>
      </c>
      <c r="M304" s="46" t="str">
        <f aca="false">IF($L304="","",IF(COUNTIF('Skill Mapping'!$A$2:$A$7,TRIM($L304))=0,"",INDEX('Skill Mapping'!$B$2:$B$7,MATCH(TRIM($L304),'Skill Mapping'!$A$2:$A$7,0))))</f>
        <v/>
      </c>
      <c r="N304" s="46" t="str">
        <f aca="false">IF($H304="","",'Survey Response'!$M302)</f>
        <v/>
      </c>
      <c r="O304" s="46" t="str">
        <f aca="false">IF($H304="","",IF('Survey Response'!$M302="Manager","R2","R1"))</f>
        <v/>
      </c>
      <c r="P304" s="46" t="str">
        <f aca="false">IF($K304="","No",IF(COUNTIFS(MasterPanel!$B:$B,$H304,MasterPanel!$I:$I,$K304,MasterPanel!$K:$K,"Y")&gt;0,"Yes","No"))</f>
        <v>No</v>
      </c>
      <c r="Q304" s="46" t="n">
        <f aca="false">IF($K304="",0,IF(COUNTIF('Gap Sheet'!$A$6:$A$11,TRIM($J304))=0,0,IF($O304="R1",INDEX('Gap Sheet'!$C$6:$C$11,MATCH(TRIM($J304),'Gap Sheet'!$A$6:$A$11,0)),INDEX('Gap Sheet'!$G$6:$G$11,MATCH(TRIM($J304),'Gap Sheet'!$A$6:$A$11,0)))))</f>
        <v>0</v>
      </c>
      <c r="R304" s="46" t="str">
        <f aca="false">IF($K304="","",$K304&amp;"|"&amp;$O304)</f>
        <v/>
      </c>
      <c r="S304" s="46" t="n">
        <f aca="false">IF($R304="",0,COUNTIF($AA$4:$AA303,$R304))</f>
        <v>0</v>
      </c>
      <c r="T304" s="46" t="str">
        <f aca="false">IF(OR($I304&lt;&gt;"Yes, I'm available for in-person interviews at Chennai",$E304&lt;&gt;"Yes",$P304&lt;&gt;"Yes"),"No",IF(($Q304-$S304)&gt;0,"Yes","No"))</f>
        <v>No</v>
      </c>
      <c r="U304" s="46" t="str">
        <f aca="false">IF($M304="","No",IF(COUNTIFS(MasterPanel!$B:$B,$H304,MasterPanel!$I:$I,$M304,MasterPanel!$K:$K,"Y")&gt;0,"Yes","No"))</f>
        <v>No</v>
      </c>
      <c r="V304" s="46" t="n">
        <f aca="false">IF($M304="",0,IF(COUNTIF('Gap Sheet'!$A$6:$A$11,TRIM($L304))=0,0,IF($O304="R1",INDEX('Gap Sheet'!$C$6:$C$11,MATCH(TRIM($L304),'Gap Sheet'!$A$6:$A$11,0)),INDEX('Gap Sheet'!$G$6:$G$11,MATCH(TRIM($L304),'Gap Sheet'!$A$6:$A$11,0)))))</f>
        <v>0</v>
      </c>
      <c r="W304" s="46" t="str">
        <f aca="false">IF($M304="","",$M304&amp;"|"&amp;$O304)</f>
        <v/>
      </c>
      <c r="X304" s="46" t="n">
        <f aca="false">IF($W304="",0,COUNTIF($AA$4:$AA303,$W304))</f>
        <v>0</v>
      </c>
      <c r="Y304" s="46" t="str">
        <f aca="false">IF(OR($I304&lt;&gt;"Yes, I'm available for in-person interviews at Chennai",$E304&lt;&gt;"Yes",$T304="Yes",$U304&lt;&gt;"Yes"),"No",IF(($V304-$X304)&gt;0,"Yes","No"))</f>
        <v>No</v>
      </c>
      <c r="Z304" s="46" t="str">
        <f aca="false">IF($T304="Yes","Primary",IF($Y304="Yes","Secondary",""))</f>
        <v/>
      </c>
      <c r="AA304" s="46" t="str">
        <f aca="false">IF($Z304="Primary",$R304,IF($Z304="Secondary",$W304,""))</f>
        <v/>
      </c>
      <c r="AB304" s="46" t="str">
        <f aca="false">IF($Z304="Primary","Matched on primary skill",IF($Z304="Secondary","Matched on secondary skill (primary not approved or not required)",""))</f>
        <v/>
      </c>
      <c r="AC304" s="47" t="str">
        <f aca="false">IF($D304="Panel Details",$F304,"")</f>
        <v/>
      </c>
      <c r="AD304" s="46" t="str">
        <f aca="false">IF($D304="Panel Details",'Survey Response'!$D302,"")</f>
        <v/>
      </c>
      <c r="AE304" s="46" t="str">
        <f aca="false">IF($D304="Panel Details",'Survey Response'!$E302,"")</f>
        <v/>
      </c>
      <c r="AF304" s="46" t="str">
        <f aca="false">IF($D304="Panel Details",'Survey Response'!$G302,"")</f>
        <v/>
      </c>
      <c r="AG304" s="46" t="str">
        <f aca="false">IF($D304="Panel Details",IF($Z304="Primary",$J304,$L304),"")</f>
        <v/>
      </c>
      <c r="AH304" s="46" t="str">
        <f aca="false">IF($D304="Panel Details",IF($Z304="Primary",$L304,$J304),"")</f>
        <v/>
      </c>
      <c r="AI304" s="46" t="str">
        <f aca="false">IF($D304="Panel Details",'Survey Response'!$H302,"")</f>
        <v/>
      </c>
      <c r="AJ304" s="46" t="str">
        <f aca="false">IF($D304="Panel Details",'Survey Response'!$M302,"")</f>
        <v/>
      </c>
      <c r="AK304" s="46" t="str">
        <f aca="false">IF($D304="Panel Details",$O304,"")</f>
        <v/>
      </c>
      <c r="AL304" s="46" t="str">
        <f aca="false">IF($D304="Panel Details",8,"")</f>
        <v/>
      </c>
      <c r="AM304" s="46" t="str">
        <f aca="false">IF($D304="Panel Details",$AB304,"")</f>
        <v/>
      </c>
      <c r="AN304" s="46" t="str">
        <f aca="false">IF($D304="Panel Details","Yes","")</f>
        <v/>
      </c>
      <c r="AO304" s="46"/>
      <c r="AP304" s="46" t="str">
        <f aca="false">IF($D304="Followup",'Survey Response'!$D302,"")</f>
        <v/>
      </c>
      <c r="AQ304" s="46" t="str">
        <f aca="false">IF($D304="Followup",'Survey Response'!$E302,"")</f>
        <v/>
      </c>
      <c r="AR304" s="46" t="str">
        <f aca="false">IF($D304="Followup",'Survey Response'!$G302,"")</f>
        <v/>
      </c>
      <c r="AS304" s="46" t="str">
        <f aca="false">IF($D304="Followup",'Survey Response'!$H302,"")</f>
        <v/>
      </c>
      <c r="AT304" s="46" t="str">
        <f aca="false">IF($D304="Followup",'Survey Response'!$M302,"")</f>
        <v/>
      </c>
      <c r="AU304" s="46" t="str">
        <f aca="false">IF($D304="Followup",'Survey Response'!$K302,"")</f>
        <v/>
      </c>
      <c r="AV304" s="46" t="str">
        <f aca="false">IF($D304="Followup",'Survey Response'!$L302,"")</f>
        <v/>
      </c>
      <c r="AW304" s="46" t="str">
        <f aca="false">IF($D304="Followup",IF(AND($P304&lt;&gt;"Yes",$U304&lt;&gt;"Yes"),"Not approved for primary or secondary skill","Approved, but skill(s) no longer have capacity (fully staffed)"),"")</f>
        <v/>
      </c>
    </row>
    <row r="305" customFormat="false" ht="15" hidden="false" customHeight="true" outlineLevel="0" collapsed="false">
      <c r="A305" s="46" t="str">
        <f aca="false">IF('Survey Response'!$D303="","",'Survey Response'!$A303&amp;"|"&amp;LOWER(TRIM('Survey Response'!$D303)))</f>
        <v/>
      </c>
      <c r="B305" s="46" t="str">
        <f aca="false">IF($H305="","",$F305&amp;"|"&amp;$H305)</f>
        <v/>
      </c>
      <c r="C305" s="46" t="str">
        <f aca="false">IF($H305="","",$A305=$B305)</f>
        <v/>
      </c>
      <c r="D305" s="46" t="str">
        <f aca="false">IF($H305="","",IF($E305&lt;&gt;"Yes","Superseded",IF($I305&lt;&gt;"Yes, I'm available for in-person interviews at Chennai","Not Available",IF($Z305&lt;&gt;"","Panel Details","Followup"))))</f>
        <v/>
      </c>
      <c r="E305" s="46" t="str">
        <f aca="false">IF($H305="","",IF(SUMPRODUCT(($H$4:$H$503=$H305)*(($G$4:$G$503&gt;$G305)+($G$4:$G$503=$G305)*($F$4:$F$503&gt;$F305)))=0,"Yes","No"))</f>
        <v/>
      </c>
      <c r="F305" s="47" t="str">
        <f aca="false">IF('Survey Response'!$D303="","",INT('Survey Response'!$A303))</f>
        <v/>
      </c>
      <c r="G305" s="46" t="str">
        <f aca="false">IF('Survey Response'!$D303="","",'Survey Response'!$C303)</f>
        <v/>
      </c>
      <c r="H305" s="46" t="str">
        <f aca="false">IF('Survey Response'!$D303="","",LOWER(TRIM('Survey Response'!$D303)))</f>
        <v/>
      </c>
      <c r="I305" s="46" t="str">
        <f aca="false">IF($H305="","",'Survey Response'!$I303)</f>
        <v/>
      </c>
      <c r="J305" s="46" t="str">
        <f aca="false">IF($H305="","",'Survey Response'!$K303)</f>
        <v/>
      </c>
      <c r="K305" s="46" t="str">
        <f aca="false">IF($J305="","",IF(COUNTIF('Skill Mapping'!$A$2:$A$7,TRIM($J305))=0,"",INDEX('Skill Mapping'!$B$2:$B$7,MATCH(TRIM($J305),'Skill Mapping'!$A$2:$A$7,0))))</f>
        <v/>
      </c>
      <c r="L305" s="46" t="str">
        <f aca="false">IF($H305="","",'Survey Response'!$L303)</f>
        <v/>
      </c>
      <c r="M305" s="46" t="str">
        <f aca="false">IF($L305="","",IF(COUNTIF('Skill Mapping'!$A$2:$A$7,TRIM($L305))=0,"",INDEX('Skill Mapping'!$B$2:$B$7,MATCH(TRIM($L305),'Skill Mapping'!$A$2:$A$7,0))))</f>
        <v/>
      </c>
      <c r="N305" s="46" t="str">
        <f aca="false">IF($H305="","",'Survey Response'!$M303)</f>
        <v/>
      </c>
      <c r="O305" s="46" t="str">
        <f aca="false">IF($H305="","",IF('Survey Response'!$M303="Manager","R2","R1"))</f>
        <v/>
      </c>
      <c r="P305" s="46" t="str">
        <f aca="false">IF($K305="","No",IF(COUNTIFS(MasterPanel!$B:$B,$H305,MasterPanel!$I:$I,$K305,MasterPanel!$K:$K,"Y")&gt;0,"Yes","No"))</f>
        <v>No</v>
      </c>
      <c r="Q305" s="46" t="n">
        <f aca="false">IF($K305="",0,IF(COUNTIF('Gap Sheet'!$A$6:$A$11,TRIM($J305))=0,0,IF($O305="R1",INDEX('Gap Sheet'!$C$6:$C$11,MATCH(TRIM($J305),'Gap Sheet'!$A$6:$A$11,0)),INDEX('Gap Sheet'!$G$6:$G$11,MATCH(TRIM($J305),'Gap Sheet'!$A$6:$A$11,0)))))</f>
        <v>0</v>
      </c>
      <c r="R305" s="46" t="str">
        <f aca="false">IF($K305="","",$K305&amp;"|"&amp;$O305)</f>
        <v/>
      </c>
      <c r="S305" s="46" t="n">
        <f aca="false">IF($R305="",0,COUNTIF($AA$4:$AA304,$R305))</f>
        <v>0</v>
      </c>
      <c r="T305" s="46" t="str">
        <f aca="false">IF(OR($I305&lt;&gt;"Yes, I'm available for in-person interviews at Chennai",$E305&lt;&gt;"Yes",$P305&lt;&gt;"Yes"),"No",IF(($Q305-$S305)&gt;0,"Yes","No"))</f>
        <v>No</v>
      </c>
      <c r="U305" s="46" t="str">
        <f aca="false">IF($M305="","No",IF(COUNTIFS(MasterPanel!$B:$B,$H305,MasterPanel!$I:$I,$M305,MasterPanel!$K:$K,"Y")&gt;0,"Yes","No"))</f>
        <v>No</v>
      </c>
      <c r="V305" s="46" t="n">
        <f aca="false">IF($M305="",0,IF(COUNTIF('Gap Sheet'!$A$6:$A$11,TRIM($L305))=0,0,IF($O305="R1",INDEX('Gap Sheet'!$C$6:$C$11,MATCH(TRIM($L305),'Gap Sheet'!$A$6:$A$11,0)),INDEX('Gap Sheet'!$G$6:$G$11,MATCH(TRIM($L305),'Gap Sheet'!$A$6:$A$11,0)))))</f>
        <v>0</v>
      </c>
      <c r="W305" s="46" t="str">
        <f aca="false">IF($M305="","",$M305&amp;"|"&amp;$O305)</f>
        <v/>
      </c>
      <c r="X305" s="46" t="n">
        <f aca="false">IF($W305="",0,COUNTIF($AA$4:$AA304,$W305))</f>
        <v>0</v>
      </c>
      <c r="Y305" s="46" t="str">
        <f aca="false">IF(OR($I305&lt;&gt;"Yes, I'm available for in-person interviews at Chennai",$E305&lt;&gt;"Yes",$T305="Yes",$U305&lt;&gt;"Yes"),"No",IF(($V305-$X305)&gt;0,"Yes","No"))</f>
        <v>No</v>
      </c>
      <c r="Z305" s="46" t="str">
        <f aca="false">IF($T305="Yes","Primary",IF($Y305="Yes","Secondary",""))</f>
        <v/>
      </c>
      <c r="AA305" s="46" t="str">
        <f aca="false">IF($Z305="Primary",$R305,IF($Z305="Secondary",$W305,""))</f>
        <v/>
      </c>
      <c r="AB305" s="46" t="str">
        <f aca="false">IF($Z305="Primary","Matched on primary skill",IF($Z305="Secondary","Matched on secondary skill (primary not approved or not required)",""))</f>
        <v/>
      </c>
      <c r="AC305" s="47" t="str">
        <f aca="false">IF($D305="Panel Details",$F305,"")</f>
        <v/>
      </c>
      <c r="AD305" s="46" t="str">
        <f aca="false">IF($D305="Panel Details",'Survey Response'!$D303,"")</f>
        <v/>
      </c>
      <c r="AE305" s="46" t="str">
        <f aca="false">IF($D305="Panel Details",'Survey Response'!$E303,"")</f>
        <v/>
      </c>
      <c r="AF305" s="46" t="str">
        <f aca="false">IF($D305="Panel Details",'Survey Response'!$G303,"")</f>
        <v/>
      </c>
      <c r="AG305" s="46" t="str">
        <f aca="false">IF($D305="Panel Details",IF($Z305="Primary",$J305,$L305),"")</f>
        <v/>
      </c>
      <c r="AH305" s="46" t="str">
        <f aca="false">IF($D305="Panel Details",IF($Z305="Primary",$L305,$J305),"")</f>
        <v/>
      </c>
      <c r="AI305" s="46" t="str">
        <f aca="false">IF($D305="Panel Details",'Survey Response'!$H303,"")</f>
        <v/>
      </c>
      <c r="AJ305" s="46" t="str">
        <f aca="false">IF($D305="Panel Details",'Survey Response'!$M303,"")</f>
        <v/>
      </c>
      <c r="AK305" s="46" t="str">
        <f aca="false">IF($D305="Panel Details",$O305,"")</f>
        <v/>
      </c>
      <c r="AL305" s="46" t="str">
        <f aca="false">IF($D305="Panel Details",8,"")</f>
        <v/>
      </c>
      <c r="AM305" s="46" t="str">
        <f aca="false">IF($D305="Panel Details",$AB305,"")</f>
        <v/>
      </c>
      <c r="AN305" s="46" t="str">
        <f aca="false">IF($D305="Panel Details","Yes","")</f>
        <v/>
      </c>
      <c r="AO305" s="46"/>
      <c r="AP305" s="46" t="str">
        <f aca="false">IF($D305="Followup",'Survey Response'!$D303,"")</f>
        <v/>
      </c>
      <c r="AQ305" s="46" t="str">
        <f aca="false">IF($D305="Followup",'Survey Response'!$E303,"")</f>
        <v/>
      </c>
      <c r="AR305" s="46" t="str">
        <f aca="false">IF($D305="Followup",'Survey Response'!$G303,"")</f>
        <v/>
      </c>
      <c r="AS305" s="46" t="str">
        <f aca="false">IF($D305="Followup",'Survey Response'!$H303,"")</f>
        <v/>
      </c>
      <c r="AT305" s="46" t="str">
        <f aca="false">IF($D305="Followup",'Survey Response'!$M303,"")</f>
        <v/>
      </c>
      <c r="AU305" s="46" t="str">
        <f aca="false">IF($D305="Followup",'Survey Response'!$K303,"")</f>
        <v/>
      </c>
      <c r="AV305" s="46" t="str">
        <f aca="false">IF($D305="Followup",'Survey Response'!$L303,"")</f>
        <v/>
      </c>
      <c r="AW305" s="46" t="str">
        <f aca="false">IF($D305="Followup",IF(AND($P305&lt;&gt;"Yes",$U305&lt;&gt;"Yes"),"Not approved for primary or secondary skill","Approved, but skill(s) no longer have capacity (fully staffed)"),"")</f>
        <v/>
      </c>
    </row>
    <row r="306" customFormat="false" ht="15" hidden="false" customHeight="true" outlineLevel="0" collapsed="false">
      <c r="A306" s="46" t="str">
        <f aca="false">IF('Survey Response'!$D304="","",'Survey Response'!$A304&amp;"|"&amp;LOWER(TRIM('Survey Response'!$D304)))</f>
        <v/>
      </c>
      <c r="B306" s="46" t="str">
        <f aca="false">IF($H306="","",$F306&amp;"|"&amp;$H306)</f>
        <v/>
      </c>
      <c r="C306" s="46" t="str">
        <f aca="false">IF($H306="","",$A306=$B306)</f>
        <v/>
      </c>
      <c r="D306" s="46" t="str">
        <f aca="false">IF($H306="","",IF($E306&lt;&gt;"Yes","Superseded",IF($I306&lt;&gt;"Yes, I'm available for in-person interviews at Chennai","Not Available",IF($Z306&lt;&gt;"","Panel Details","Followup"))))</f>
        <v/>
      </c>
      <c r="E306" s="46" t="str">
        <f aca="false">IF($H306="","",IF(SUMPRODUCT(($H$4:$H$503=$H306)*(($G$4:$G$503&gt;$G306)+($G$4:$G$503=$G306)*($F$4:$F$503&gt;$F306)))=0,"Yes","No"))</f>
        <v/>
      </c>
      <c r="F306" s="47" t="str">
        <f aca="false">IF('Survey Response'!$D304="","",INT('Survey Response'!$A304))</f>
        <v/>
      </c>
      <c r="G306" s="46" t="str">
        <f aca="false">IF('Survey Response'!$D304="","",'Survey Response'!$C304)</f>
        <v/>
      </c>
      <c r="H306" s="46" t="str">
        <f aca="false">IF('Survey Response'!$D304="","",LOWER(TRIM('Survey Response'!$D304)))</f>
        <v/>
      </c>
      <c r="I306" s="46" t="str">
        <f aca="false">IF($H306="","",'Survey Response'!$I304)</f>
        <v/>
      </c>
      <c r="J306" s="46" t="str">
        <f aca="false">IF($H306="","",'Survey Response'!$K304)</f>
        <v/>
      </c>
      <c r="K306" s="46" t="str">
        <f aca="false">IF($J306="","",IF(COUNTIF('Skill Mapping'!$A$2:$A$7,TRIM($J306))=0,"",INDEX('Skill Mapping'!$B$2:$B$7,MATCH(TRIM($J306),'Skill Mapping'!$A$2:$A$7,0))))</f>
        <v/>
      </c>
      <c r="L306" s="46" t="str">
        <f aca="false">IF($H306="","",'Survey Response'!$L304)</f>
        <v/>
      </c>
      <c r="M306" s="46" t="str">
        <f aca="false">IF($L306="","",IF(COUNTIF('Skill Mapping'!$A$2:$A$7,TRIM($L306))=0,"",INDEX('Skill Mapping'!$B$2:$B$7,MATCH(TRIM($L306),'Skill Mapping'!$A$2:$A$7,0))))</f>
        <v/>
      </c>
      <c r="N306" s="46" t="str">
        <f aca="false">IF($H306="","",'Survey Response'!$M304)</f>
        <v/>
      </c>
      <c r="O306" s="46" t="str">
        <f aca="false">IF($H306="","",IF('Survey Response'!$M304="Manager","R2","R1"))</f>
        <v/>
      </c>
      <c r="P306" s="46" t="str">
        <f aca="false">IF($K306="","No",IF(COUNTIFS(MasterPanel!$B:$B,$H306,MasterPanel!$I:$I,$K306,MasterPanel!$K:$K,"Y")&gt;0,"Yes","No"))</f>
        <v>No</v>
      </c>
      <c r="Q306" s="46" t="n">
        <f aca="false">IF($K306="",0,IF(COUNTIF('Gap Sheet'!$A$6:$A$11,TRIM($J306))=0,0,IF($O306="R1",INDEX('Gap Sheet'!$C$6:$C$11,MATCH(TRIM($J306),'Gap Sheet'!$A$6:$A$11,0)),INDEX('Gap Sheet'!$G$6:$G$11,MATCH(TRIM($J306),'Gap Sheet'!$A$6:$A$11,0)))))</f>
        <v>0</v>
      </c>
      <c r="R306" s="46" t="str">
        <f aca="false">IF($K306="","",$K306&amp;"|"&amp;$O306)</f>
        <v/>
      </c>
      <c r="S306" s="46" t="n">
        <f aca="false">IF($R306="",0,COUNTIF($AA$4:$AA305,$R306))</f>
        <v>0</v>
      </c>
      <c r="T306" s="46" t="str">
        <f aca="false">IF(OR($I306&lt;&gt;"Yes, I'm available for in-person interviews at Chennai",$E306&lt;&gt;"Yes",$P306&lt;&gt;"Yes"),"No",IF(($Q306-$S306)&gt;0,"Yes","No"))</f>
        <v>No</v>
      </c>
      <c r="U306" s="46" t="str">
        <f aca="false">IF($M306="","No",IF(COUNTIFS(MasterPanel!$B:$B,$H306,MasterPanel!$I:$I,$M306,MasterPanel!$K:$K,"Y")&gt;0,"Yes","No"))</f>
        <v>No</v>
      </c>
      <c r="V306" s="46" t="n">
        <f aca="false">IF($M306="",0,IF(COUNTIF('Gap Sheet'!$A$6:$A$11,TRIM($L306))=0,0,IF($O306="R1",INDEX('Gap Sheet'!$C$6:$C$11,MATCH(TRIM($L306),'Gap Sheet'!$A$6:$A$11,0)),INDEX('Gap Sheet'!$G$6:$G$11,MATCH(TRIM($L306),'Gap Sheet'!$A$6:$A$11,0)))))</f>
        <v>0</v>
      </c>
      <c r="W306" s="46" t="str">
        <f aca="false">IF($M306="","",$M306&amp;"|"&amp;$O306)</f>
        <v/>
      </c>
      <c r="X306" s="46" t="n">
        <f aca="false">IF($W306="",0,COUNTIF($AA$4:$AA305,$W306))</f>
        <v>0</v>
      </c>
      <c r="Y306" s="46" t="str">
        <f aca="false">IF(OR($I306&lt;&gt;"Yes, I'm available for in-person interviews at Chennai",$E306&lt;&gt;"Yes",$T306="Yes",$U306&lt;&gt;"Yes"),"No",IF(($V306-$X306)&gt;0,"Yes","No"))</f>
        <v>No</v>
      </c>
      <c r="Z306" s="46" t="str">
        <f aca="false">IF($T306="Yes","Primary",IF($Y306="Yes","Secondary",""))</f>
        <v/>
      </c>
      <c r="AA306" s="46" t="str">
        <f aca="false">IF($Z306="Primary",$R306,IF($Z306="Secondary",$W306,""))</f>
        <v/>
      </c>
      <c r="AB306" s="46" t="str">
        <f aca="false">IF($Z306="Primary","Matched on primary skill",IF($Z306="Secondary","Matched on secondary skill (primary not approved or not required)",""))</f>
        <v/>
      </c>
      <c r="AC306" s="47" t="str">
        <f aca="false">IF($D306="Panel Details",$F306,"")</f>
        <v/>
      </c>
      <c r="AD306" s="46" t="str">
        <f aca="false">IF($D306="Panel Details",'Survey Response'!$D304,"")</f>
        <v/>
      </c>
      <c r="AE306" s="46" t="str">
        <f aca="false">IF($D306="Panel Details",'Survey Response'!$E304,"")</f>
        <v/>
      </c>
      <c r="AF306" s="46" t="str">
        <f aca="false">IF($D306="Panel Details",'Survey Response'!$G304,"")</f>
        <v/>
      </c>
      <c r="AG306" s="46" t="str">
        <f aca="false">IF($D306="Panel Details",IF($Z306="Primary",$J306,$L306),"")</f>
        <v/>
      </c>
      <c r="AH306" s="46" t="str">
        <f aca="false">IF($D306="Panel Details",IF($Z306="Primary",$L306,$J306),"")</f>
        <v/>
      </c>
      <c r="AI306" s="46" t="str">
        <f aca="false">IF($D306="Panel Details",'Survey Response'!$H304,"")</f>
        <v/>
      </c>
      <c r="AJ306" s="46" t="str">
        <f aca="false">IF($D306="Panel Details",'Survey Response'!$M304,"")</f>
        <v/>
      </c>
      <c r="AK306" s="46" t="str">
        <f aca="false">IF($D306="Panel Details",$O306,"")</f>
        <v/>
      </c>
      <c r="AL306" s="46" t="str">
        <f aca="false">IF($D306="Panel Details",8,"")</f>
        <v/>
      </c>
      <c r="AM306" s="46" t="str">
        <f aca="false">IF($D306="Panel Details",$AB306,"")</f>
        <v/>
      </c>
      <c r="AN306" s="46" t="str">
        <f aca="false">IF($D306="Panel Details","Yes","")</f>
        <v/>
      </c>
      <c r="AO306" s="46"/>
      <c r="AP306" s="46" t="str">
        <f aca="false">IF($D306="Followup",'Survey Response'!$D304,"")</f>
        <v/>
      </c>
      <c r="AQ306" s="46" t="str">
        <f aca="false">IF($D306="Followup",'Survey Response'!$E304,"")</f>
        <v/>
      </c>
      <c r="AR306" s="46" t="str">
        <f aca="false">IF($D306="Followup",'Survey Response'!$G304,"")</f>
        <v/>
      </c>
      <c r="AS306" s="46" t="str">
        <f aca="false">IF($D306="Followup",'Survey Response'!$H304,"")</f>
        <v/>
      </c>
      <c r="AT306" s="46" t="str">
        <f aca="false">IF($D306="Followup",'Survey Response'!$M304,"")</f>
        <v/>
      </c>
      <c r="AU306" s="46" t="str">
        <f aca="false">IF($D306="Followup",'Survey Response'!$K304,"")</f>
        <v/>
      </c>
      <c r="AV306" s="46" t="str">
        <f aca="false">IF($D306="Followup",'Survey Response'!$L304,"")</f>
        <v/>
      </c>
      <c r="AW306" s="46" t="str">
        <f aca="false">IF($D306="Followup",IF(AND($P306&lt;&gt;"Yes",$U306&lt;&gt;"Yes"),"Not approved for primary or secondary skill","Approved, but skill(s) no longer have capacity (fully staffed)"),"")</f>
        <v/>
      </c>
    </row>
    <row r="307" customFormat="false" ht="15" hidden="false" customHeight="true" outlineLevel="0" collapsed="false">
      <c r="A307" s="46" t="str">
        <f aca="false">IF('Survey Response'!$D305="","",'Survey Response'!$A305&amp;"|"&amp;LOWER(TRIM('Survey Response'!$D305)))</f>
        <v/>
      </c>
      <c r="B307" s="46" t="str">
        <f aca="false">IF($H307="","",$F307&amp;"|"&amp;$H307)</f>
        <v/>
      </c>
      <c r="C307" s="46" t="str">
        <f aca="false">IF($H307="","",$A307=$B307)</f>
        <v/>
      </c>
      <c r="D307" s="46" t="str">
        <f aca="false">IF($H307="","",IF($E307&lt;&gt;"Yes","Superseded",IF($I307&lt;&gt;"Yes, I'm available for in-person interviews at Chennai","Not Available",IF($Z307&lt;&gt;"","Panel Details","Followup"))))</f>
        <v/>
      </c>
      <c r="E307" s="46" t="str">
        <f aca="false">IF($H307="","",IF(SUMPRODUCT(($H$4:$H$503=$H307)*(($G$4:$G$503&gt;$G307)+($G$4:$G$503=$G307)*($F$4:$F$503&gt;$F307)))=0,"Yes","No"))</f>
        <v/>
      </c>
      <c r="F307" s="47" t="str">
        <f aca="false">IF('Survey Response'!$D305="","",INT('Survey Response'!$A305))</f>
        <v/>
      </c>
      <c r="G307" s="46" t="str">
        <f aca="false">IF('Survey Response'!$D305="","",'Survey Response'!$C305)</f>
        <v/>
      </c>
      <c r="H307" s="46" t="str">
        <f aca="false">IF('Survey Response'!$D305="","",LOWER(TRIM('Survey Response'!$D305)))</f>
        <v/>
      </c>
      <c r="I307" s="46" t="str">
        <f aca="false">IF($H307="","",'Survey Response'!$I305)</f>
        <v/>
      </c>
      <c r="J307" s="46" t="str">
        <f aca="false">IF($H307="","",'Survey Response'!$K305)</f>
        <v/>
      </c>
      <c r="K307" s="46" t="str">
        <f aca="false">IF($J307="","",IF(COUNTIF('Skill Mapping'!$A$2:$A$7,TRIM($J307))=0,"",INDEX('Skill Mapping'!$B$2:$B$7,MATCH(TRIM($J307),'Skill Mapping'!$A$2:$A$7,0))))</f>
        <v/>
      </c>
      <c r="L307" s="46" t="str">
        <f aca="false">IF($H307="","",'Survey Response'!$L305)</f>
        <v/>
      </c>
      <c r="M307" s="46" t="str">
        <f aca="false">IF($L307="","",IF(COUNTIF('Skill Mapping'!$A$2:$A$7,TRIM($L307))=0,"",INDEX('Skill Mapping'!$B$2:$B$7,MATCH(TRIM($L307),'Skill Mapping'!$A$2:$A$7,0))))</f>
        <v/>
      </c>
      <c r="N307" s="46" t="str">
        <f aca="false">IF($H307="","",'Survey Response'!$M305)</f>
        <v/>
      </c>
      <c r="O307" s="46" t="str">
        <f aca="false">IF($H307="","",IF('Survey Response'!$M305="Manager","R2","R1"))</f>
        <v/>
      </c>
      <c r="P307" s="46" t="str">
        <f aca="false">IF($K307="","No",IF(COUNTIFS(MasterPanel!$B:$B,$H307,MasterPanel!$I:$I,$K307,MasterPanel!$K:$K,"Y")&gt;0,"Yes","No"))</f>
        <v>No</v>
      </c>
      <c r="Q307" s="46" t="n">
        <f aca="false">IF($K307="",0,IF(COUNTIF('Gap Sheet'!$A$6:$A$11,TRIM($J307))=0,0,IF($O307="R1",INDEX('Gap Sheet'!$C$6:$C$11,MATCH(TRIM($J307),'Gap Sheet'!$A$6:$A$11,0)),INDEX('Gap Sheet'!$G$6:$G$11,MATCH(TRIM($J307),'Gap Sheet'!$A$6:$A$11,0)))))</f>
        <v>0</v>
      </c>
      <c r="R307" s="46" t="str">
        <f aca="false">IF($K307="","",$K307&amp;"|"&amp;$O307)</f>
        <v/>
      </c>
      <c r="S307" s="46" t="n">
        <f aca="false">IF($R307="",0,COUNTIF($AA$4:$AA306,$R307))</f>
        <v>0</v>
      </c>
      <c r="T307" s="46" t="str">
        <f aca="false">IF(OR($I307&lt;&gt;"Yes, I'm available for in-person interviews at Chennai",$E307&lt;&gt;"Yes",$P307&lt;&gt;"Yes"),"No",IF(($Q307-$S307)&gt;0,"Yes","No"))</f>
        <v>No</v>
      </c>
      <c r="U307" s="46" t="str">
        <f aca="false">IF($M307="","No",IF(COUNTIFS(MasterPanel!$B:$B,$H307,MasterPanel!$I:$I,$M307,MasterPanel!$K:$K,"Y")&gt;0,"Yes","No"))</f>
        <v>No</v>
      </c>
      <c r="V307" s="46" t="n">
        <f aca="false">IF($M307="",0,IF(COUNTIF('Gap Sheet'!$A$6:$A$11,TRIM($L307))=0,0,IF($O307="R1",INDEX('Gap Sheet'!$C$6:$C$11,MATCH(TRIM($L307),'Gap Sheet'!$A$6:$A$11,0)),INDEX('Gap Sheet'!$G$6:$G$11,MATCH(TRIM($L307),'Gap Sheet'!$A$6:$A$11,0)))))</f>
        <v>0</v>
      </c>
      <c r="W307" s="46" t="str">
        <f aca="false">IF($M307="","",$M307&amp;"|"&amp;$O307)</f>
        <v/>
      </c>
      <c r="X307" s="46" t="n">
        <f aca="false">IF($W307="",0,COUNTIF($AA$4:$AA306,$W307))</f>
        <v>0</v>
      </c>
      <c r="Y307" s="46" t="str">
        <f aca="false">IF(OR($I307&lt;&gt;"Yes, I'm available for in-person interviews at Chennai",$E307&lt;&gt;"Yes",$T307="Yes",$U307&lt;&gt;"Yes"),"No",IF(($V307-$X307)&gt;0,"Yes","No"))</f>
        <v>No</v>
      </c>
      <c r="Z307" s="46" t="str">
        <f aca="false">IF($T307="Yes","Primary",IF($Y307="Yes","Secondary",""))</f>
        <v/>
      </c>
      <c r="AA307" s="46" t="str">
        <f aca="false">IF($Z307="Primary",$R307,IF($Z307="Secondary",$W307,""))</f>
        <v/>
      </c>
      <c r="AB307" s="46" t="str">
        <f aca="false">IF($Z307="Primary","Matched on primary skill",IF($Z307="Secondary","Matched on secondary skill (primary not approved or not required)",""))</f>
        <v/>
      </c>
      <c r="AC307" s="47" t="str">
        <f aca="false">IF($D307="Panel Details",$F307,"")</f>
        <v/>
      </c>
      <c r="AD307" s="46" t="str">
        <f aca="false">IF($D307="Panel Details",'Survey Response'!$D305,"")</f>
        <v/>
      </c>
      <c r="AE307" s="46" t="str">
        <f aca="false">IF($D307="Panel Details",'Survey Response'!$E305,"")</f>
        <v/>
      </c>
      <c r="AF307" s="46" t="str">
        <f aca="false">IF($D307="Panel Details",'Survey Response'!$G305,"")</f>
        <v/>
      </c>
      <c r="AG307" s="46" t="str">
        <f aca="false">IF($D307="Panel Details",IF($Z307="Primary",$J307,$L307),"")</f>
        <v/>
      </c>
      <c r="AH307" s="46" t="str">
        <f aca="false">IF($D307="Panel Details",IF($Z307="Primary",$L307,$J307),"")</f>
        <v/>
      </c>
      <c r="AI307" s="46" t="str">
        <f aca="false">IF($D307="Panel Details",'Survey Response'!$H305,"")</f>
        <v/>
      </c>
      <c r="AJ307" s="46" t="str">
        <f aca="false">IF($D307="Panel Details",'Survey Response'!$M305,"")</f>
        <v/>
      </c>
      <c r="AK307" s="46" t="str">
        <f aca="false">IF($D307="Panel Details",$O307,"")</f>
        <v/>
      </c>
      <c r="AL307" s="46" t="str">
        <f aca="false">IF($D307="Panel Details",8,"")</f>
        <v/>
      </c>
      <c r="AM307" s="46" t="str">
        <f aca="false">IF($D307="Panel Details",$AB307,"")</f>
        <v/>
      </c>
      <c r="AN307" s="46" t="str">
        <f aca="false">IF($D307="Panel Details","Yes","")</f>
        <v/>
      </c>
      <c r="AO307" s="46"/>
      <c r="AP307" s="46" t="str">
        <f aca="false">IF($D307="Followup",'Survey Response'!$D305,"")</f>
        <v/>
      </c>
      <c r="AQ307" s="46" t="str">
        <f aca="false">IF($D307="Followup",'Survey Response'!$E305,"")</f>
        <v/>
      </c>
      <c r="AR307" s="46" t="str">
        <f aca="false">IF($D307="Followup",'Survey Response'!$G305,"")</f>
        <v/>
      </c>
      <c r="AS307" s="46" t="str">
        <f aca="false">IF($D307="Followup",'Survey Response'!$H305,"")</f>
        <v/>
      </c>
      <c r="AT307" s="46" t="str">
        <f aca="false">IF($D307="Followup",'Survey Response'!$M305,"")</f>
        <v/>
      </c>
      <c r="AU307" s="46" t="str">
        <f aca="false">IF($D307="Followup",'Survey Response'!$K305,"")</f>
        <v/>
      </c>
      <c r="AV307" s="46" t="str">
        <f aca="false">IF($D307="Followup",'Survey Response'!$L305,"")</f>
        <v/>
      </c>
      <c r="AW307" s="46" t="str">
        <f aca="false">IF($D307="Followup",IF(AND($P307&lt;&gt;"Yes",$U307&lt;&gt;"Yes"),"Not approved for primary or secondary skill","Approved, but skill(s) no longer have capacity (fully staffed)"),"")</f>
        <v/>
      </c>
    </row>
    <row r="308" customFormat="false" ht="15" hidden="false" customHeight="true" outlineLevel="0" collapsed="false">
      <c r="A308" s="46" t="str">
        <f aca="false">IF('Survey Response'!$D306="","",'Survey Response'!$A306&amp;"|"&amp;LOWER(TRIM('Survey Response'!$D306)))</f>
        <v/>
      </c>
      <c r="B308" s="46" t="str">
        <f aca="false">IF($H308="","",$F308&amp;"|"&amp;$H308)</f>
        <v/>
      </c>
      <c r="C308" s="46" t="str">
        <f aca="false">IF($H308="","",$A308=$B308)</f>
        <v/>
      </c>
      <c r="D308" s="46" t="str">
        <f aca="false">IF($H308="","",IF($E308&lt;&gt;"Yes","Superseded",IF($I308&lt;&gt;"Yes, I'm available for in-person interviews at Chennai","Not Available",IF($Z308&lt;&gt;"","Panel Details","Followup"))))</f>
        <v/>
      </c>
      <c r="E308" s="46" t="str">
        <f aca="false">IF($H308="","",IF(SUMPRODUCT(($H$4:$H$503=$H308)*(($G$4:$G$503&gt;$G308)+($G$4:$G$503=$G308)*($F$4:$F$503&gt;$F308)))=0,"Yes","No"))</f>
        <v/>
      </c>
      <c r="F308" s="47" t="str">
        <f aca="false">IF('Survey Response'!$D306="","",INT('Survey Response'!$A306))</f>
        <v/>
      </c>
      <c r="G308" s="46" t="str">
        <f aca="false">IF('Survey Response'!$D306="","",'Survey Response'!$C306)</f>
        <v/>
      </c>
      <c r="H308" s="46" t="str">
        <f aca="false">IF('Survey Response'!$D306="","",LOWER(TRIM('Survey Response'!$D306)))</f>
        <v/>
      </c>
      <c r="I308" s="46" t="str">
        <f aca="false">IF($H308="","",'Survey Response'!$I306)</f>
        <v/>
      </c>
      <c r="J308" s="46" t="str">
        <f aca="false">IF($H308="","",'Survey Response'!$K306)</f>
        <v/>
      </c>
      <c r="K308" s="46" t="str">
        <f aca="false">IF($J308="","",IF(COUNTIF('Skill Mapping'!$A$2:$A$7,TRIM($J308))=0,"",INDEX('Skill Mapping'!$B$2:$B$7,MATCH(TRIM($J308),'Skill Mapping'!$A$2:$A$7,0))))</f>
        <v/>
      </c>
      <c r="L308" s="46" t="str">
        <f aca="false">IF($H308="","",'Survey Response'!$L306)</f>
        <v/>
      </c>
      <c r="M308" s="46" t="str">
        <f aca="false">IF($L308="","",IF(COUNTIF('Skill Mapping'!$A$2:$A$7,TRIM($L308))=0,"",INDEX('Skill Mapping'!$B$2:$B$7,MATCH(TRIM($L308),'Skill Mapping'!$A$2:$A$7,0))))</f>
        <v/>
      </c>
      <c r="N308" s="46" t="str">
        <f aca="false">IF($H308="","",'Survey Response'!$M306)</f>
        <v/>
      </c>
      <c r="O308" s="46" t="str">
        <f aca="false">IF($H308="","",IF('Survey Response'!$M306="Manager","R2","R1"))</f>
        <v/>
      </c>
      <c r="P308" s="46" t="str">
        <f aca="false">IF($K308="","No",IF(COUNTIFS(MasterPanel!$B:$B,$H308,MasterPanel!$I:$I,$K308,MasterPanel!$K:$K,"Y")&gt;0,"Yes","No"))</f>
        <v>No</v>
      </c>
      <c r="Q308" s="46" t="n">
        <f aca="false">IF($K308="",0,IF(COUNTIF('Gap Sheet'!$A$6:$A$11,TRIM($J308))=0,0,IF($O308="R1",INDEX('Gap Sheet'!$C$6:$C$11,MATCH(TRIM($J308),'Gap Sheet'!$A$6:$A$11,0)),INDEX('Gap Sheet'!$G$6:$G$11,MATCH(TRIM($J308),'Gap Sheet'!$A$6:$A$11,0)))))</f>
        <v>0</v>
      </c>
      <c r="R308" s="46" t="str">
        <f aca="false">IF($K308="","",$K308&amp;"|"&amp;$O308)</f>
        <v/>
      </c>
      <c r="S308" s="46" t="n">
        <f aca="false">IF($R308="",0,COUNTIF($AA$4:$AA307,$R308))</f>
        <v>0</v>
      </c>
      <c r="T308" s="46" t="str">
        <f aca="false">IF(OR($I308&lt;&gt;"Yes, I'm available for in-person interviews at Chennai",$E308&lt;&gt;"Yes",$P308&lt;&gt;"Yes"),"No",IF(($Q308-$S308)&gt;0,"Yes","No"))</f>
        <v>No</v>
      </c>
      <c r="U308" s="46" t="str">
        <f aca="false">IF($M308="","No",IF(COUNTIFS(MasterPanel!$B:$B,$H308,MasterPanel!$I:$I,$M308,MasterPanel!$K:$K,"Y")&gt;0,"Yes","No"))</f>
        <v>No</v>
      </c>
      <c r="V308" s="46" t="n">
        <f aca="false">IF($M308="",0,IF(COUNTIF('Gap Sheet'!$A$6:$A$11,TRIM($L308))=0,0,IF($O308="R1",INDEX('Gap Sheet'!$C$6:$C$11,MATCH(TRIM($L308),'Gap Sheet'!$A$6:$A$11,0)),INDEX('Gap Sheet'!$G$6:$G$11,MATCH(TRIM($L308),'Gap Sheet'!$A$6:$A$11,0)))))</f>
        <v>0</v>
      </c>
      <c r="W308" s="46" t="str">
        <f aca="false">IF($M308="","",$M308&amp;"|"&amp;$O308)</f>
        <v/>
      </c>
      <c r="X308" s="46" t="n">
        <f aca="false">IF($W308="",0,COUNTIF($AA$4:$AA307,$W308))</f>
        <v>0</v>
      </c>
      <c r="Y308" s="46" t="str">
        <f aca="false">IF(OR($I308&lt;&gt;"Yes, I'm available for in-person interviews at Chennai",$E308&lt;&gt;"Yes",$T308="Yes",$U308&lt;&gt;"Yes"),"No",IF(($V308-$X308)&gt;0,"Yes","No"))</f>
        <v>No</v>
      </c>
      <c r="Z308" s="46" t="str">
        <f aca="false">IF($T308="Yes","Primary",IF($Y308="Yes","Secondary",""))</f>
        <v/>
      </c>
      <c r="AA308" s="46" t="str">
        <f aca="false">IF($Z308="Primary",$R308,IF($Z308="Secondary",$W308,""))</f>
        <v/>
      </c>
      <c r="AB308" s="46" t="str">
        <f aca="false">IF($Z308="Primary","Matched on primary skill",IF($Z308="Secondary","Matched on secondary skill (primary not approved or not required)",""))</f>
        <v/>
      </c>
      <c r="AC308" s="47" t="str">
        <f aca="false">IF($D308="Panel Details",$F308,"")</f>
        <v/>
      </c>
      <c r="AD308" s="46" t="str">
        <f aca="false">IF($D308="Panel Details",'Survey Response'!$D306,"")</f>
        <v/>
      </c>
      <c r="AE308" s="46" t="str">
        <f aca="false">IF($D308="Panel Details",'Survey Response'!$E306,"")</f>
        <v/>
      </c>
      <c r="AF308" s="46" t="str">
        <f aca="false">IF($D308="Panel Details",'Survey Response'!$G306,"")</f>
        <v/>
      </c>
      <c r="AG308" s="46" t="str">
        <f aca="false">IF($D308="Panel Details",IF($Z308="Primary",$J308,$L308),"")</f>
        <v/>
      </c>
      <c r="AH308" s="46" t="str">
        <f aca="false">IF($D308="Panel Details",IF($Z308="Primary",$L308,$J308),"")</f>
        <v/>
      </c>
      <c r="AI308" s="46" t="str">
        <f aca="false">IF($D308="Panel Details",'Survey Response'!$H306,"")</f>
        <v/>
      </c>
      <c r="AJ308" s="46" t="str">
        <f aca="false">IF($D308="Panel Details",'Survey Response'!$M306,"")</f>
        <v/>
      </c>
      <c r="AK308" s="46" t="str">
        <f aca="false">IF($D308="Panel Details",$O308,"")</f>
        <v/>
      </c>
      <c r="AL308" s="46" t="str">
        <f aca="false">IF($D308="Panel Details",8,"")</f>
        <v/>
      </c>
      <c r="AM308" s="46" t="str">
        <f aca="false">IF($D308="Panel Details",$AB308,"")</f>
        <v/>
      </c>
      <c r="AN308" s="46" t="str">
        <f aca="false">IF($D308="Panel Details","Yes","")</f>
        <v/>
      </c>
      <c r="AO308" s="46"/>
      <c r="AP308" s="46" t="str">
        <f aca="false">IF($D308="Followup",'Survey Response'!$D306,"")</f>
        <v/>
      </c>
      <c r="AQ308" s="46" t="str">
        <f aca="false">IF($D308="Followup",'Survey Response'!$E306,"")</f>
        <v/>
      </c>
      <c r="AR308" s="46" t="str">
        <f aca="false">IF($D308="Followup",'Survey Response'!$G306,"")</f>
        <v/>
      </c>
      <c r="AS308" s="46" t="str">
        <f aca="false">IF($D308="Followup",'Survey Response'!$H306,"")</f>
        <v/>
      </c>
      <c r="AT308" s="46" t="str">
        <f aca="false">IF($D308="Followup",'Survey Response'!$M306,"")</f>
        <v/>
      </c>
      <c r="AU308" s="46" t="str">
        <f aca="false">IF($D308="Followup",'Survey Response'!$K306,"")</f>
        <v/>
      </c>
      <c r="AV308" s="46" t="str">
        <f aca="false">IF($D308="Followup",'Survey Response'!$L306,"")</f>
        <v/>
      </c>
      <c r="AW308" s="46" t="str">
        <f aca="false">IF($D308="Followup",IF(AND($P308&lt;&gt;"Yes",$U308&lt;&gt;"Yes"),"Not approved for primary or secondary skill","Approved, but skill(s) no longer have capacity (fully staffed)"),"")</f>
        <v/>
      </c>
    </row>
    <row r="309" customFormat="false" ht="15" hidden="false" customHeight="true" outlineLevel="0" collapsed="false">
      <c r="A309" s="46" t="str">
        <f aca="false">IF('Survey Response'!$D307="","",'Survey Response'!$A307&amp;"|"&amp;LOWER(TRIM('Survey Response'!$D307)))</f>
        <v/>
      </c>
      <c r="B309" s="46" t="str">
        <f aca="false">IF($H309="","",$F309&amp;"|"&amp;$H309)</f>
        <v/>
      </c>
      <c r="C309" s="46" t="str">
        <f aca="false">IF($H309="","",$A309=$B309)</f>
        <v/>
      </c>
      <c r="D309" s="46" t="str">
        <f aca="false">IF($H309="","",IF($E309&lt;&gt;"Yes","Superseded",IF($I309&lt;&gt;"Yes, I'm available for in-person interviews at Chennai","Not Available",IF($Z309&lt;&gt;"","Panel Details","Followup"))))</f>
        <v/>
      </c>
      <c r="E309" s="46" t="str">
        <f aca="false">IF($H309="","",IF(SUMPRODUCT(($H$4:$H$503=$H309)*(($G$4:$G$503&gt;$G309)+($G$4:$G$503=$G309)*($F$4:$F$503&gt;$F309)))=0,"Yes","No"))</f>
        <v/>
      </c>
      <c r="F309" s="47" t="str">
        <f aca="false">IF('Survey Response'!$D307="","",INT('Survey Response'!$A307))</f>
        <v/>
      </c>
      <c r="G309" s="46" t="str">
        <f aca="false">IF('Survey Response'!$D307="","",'Survey Response'!$C307)</f>
        <v/>
      </c>
      <c r="H309" s="46" t="str">
        <f aca="false">IF('Survey Response'!$D307="","",LOWER(TRIM('Survey Response'!$D307)))</f>
        <v/>
      </c>
      <c r="I309" s="46" t="str">
        <f aca="false">IF($H309="","",'Survey Response'!$I307)</f>
        <v/>
      </c>
      <c r="J309" s="46" t="str">
        <f aca="false">IF($H309="","",'Survey Response'!$K307)</f>
        <v/>
      </c>
      <c r="K309" s="46" t="str">
        <f aca="false">IF($J309="","",IF(COUNTIF('Skill Mapping'!$A$2:$A$7,TRIM($J309))=0,"",INDEX('Skill Mapping'!$B$2:$B$7,MATCH(TRIM($J309),'Skill Mapping'!$A$2:$A$7,0))))</f>
        <v/>
      </c>
      <c r="L309" s="46" t="str">
        <f aca="false">IF($H309="","",'Survey Response'!$L307)</f>
        <v/>
      </c>
      <c r="M309" s="46" t="str">
        <f aca="false">IF($L309="","",IF(COUNTIF('Skill Mapping'!$A$2:$A$7,TRIM($L309))=0,"",INDEX('Skill Mapping'!$B$2:$B$7,MATCH(TRIM($L309),'Skill Mapping'!$A$2:$A$7,0))))</f>
        <v/>
      </c>
      <c r="N309" s="46" t="str">
        <f aca="false">IF($H309="","",'Survey Response'!$M307)</f>
        <v/>
      </c>
      <c r="O309" s="46" t="str">
        <f aca="false">IF($H309="","",IF('Survey Response'!$M307="Manager","R2","R1"))</f>
        <v/>
      </c>
      <c r="P309" s="46" t="str">
        <f aca="false">IF($K309="","No",IF(COUNTIFS(MasterPanel!$B:$B,$H309,MasterPanel!$I:$I,$K309,MasterPanel!$K:$K,"Y")&gt;0,"Yes","No"))</f>
        <v>No</v>
      </c>
      <c r="Q309" s="46" t="n">
        <f aca="false">IF($K309="",0,IF(COUNTIF('Gap Sheet'!$A$6:$A$11,TRIM($J309))=0,0,IF($O309="R1",INDEX('Gap Sheet'!$C$6:$C$11,MATCH(TRIM($J309),'Gap Sheet'!$A$6:$A$11,0)),INDEX('Gap Sheet'!$G$6:$G$11,MATCH(TRIM($J309),'Gap Sheet'!$A$6:$A$11,0)))))</f>
        <v>0</v>
      </c>
      <c r="R309" s="46" t="str">
        <f aca="false">IF($K309="","",$K309&amp;"|"&amp;$O309)</f>
        <v/>
      </c>
      <c r="S309" s="46" t="n">
        <f aca="false">IF($R309="",0,COUNTIF($AA$4:$AA308,$R309))</f>
        <v>0</v>
      </c>
      <c r="T309" s="46" t="str">
        <f aca="false">IF(OR($I309&lt;&gt;"Yes, I'm available for in-person interviews at Chennai",$E309&lt;&gt;"Yes",$P309&lt;&gt;"Yes"),"No",IF(($Q309-$S309)&gt;0,"Yes","No"))</f>
        <v>No</v>
      </c>
      <c r="U309" s="46" t="str">
        <f aca="false">IF($M309="","No",IF(COUNTIFS(MasterPanel!$B:$B,$H309,MasterPanel!$I:$I,$M309,MasterPanel!$K:$K,"Y")&gt;0,"Yes","No"))</f>
        <v>No</v>
      </c>
      <c r="V309" s="46" t="n">
        <f aca="false">IF($M309="",0,IF(COUNTIF('Gap Sheet'!$A$6:$A$11,TRIM($L309))=0,0,IF($O309="R1",INDEX('Gap Sheet'!$C$6:$C$11,MATCH(TRIM($L309),'Gap Sheet'!$A$6:$A$11,0)),INDEX('Gap Sheet'!$G$6:$G$11,MATCH(TRIM($L309),'Gap Sheet'!$A$6:$A$11,0)))))</f>
        <v>0</v>
      </c>
      <c r="W309" s="46" t="str">
        <f aca="false">IF($M309="","",$M309&amp;"|"&amp;$O309)</f>
        <v/>
      </c>
      <c r="X309" s="46" t="n">
        <f aca="false">IF($W309="",0,COUNTIF($AA$4:$AA308,$W309))</f>
        <v>0</v>
      </c>
      <c r="Y309" s="46" t="str">
        <f aca="false">IF(OR($I309&lt;&gt;"Yes, I'm available for in-person interviews at Chennai",$E309&lt;&gt;"Yes",$T309="Yes",$U309&lt;&gt;"Yes"),"No",IF(($V309-$X309)&gt;0,"Yes","No"))</f>
        <v>No</v>
      </c>
      <c r="Z309" s="46" t="str">
        <f aca="false">IF($T309="Yes","Primary",IF($Y309="Yes","Secondary",""))</f>
        <v/>
      </c>
      <c r="AA309" s="46" t="str">
        <f aca="false">IF($Z309="Primary",$R309,IF($Z309="Secondary",$W309,""))</f>
        <v/>
      </c>
      <c r="AB309" s="46" t="str">
        <f aca="false">IF($Z309="Primary","Matched on primary skill",IF($Z309="Secondary","Matched on secondary skill (primary not approved or not required)",""))</f>
        <v/>
      </c>
      <c r="AC309" s="47" t="str">
        <f aca="false">IF($D309="Panel Details",$F309,"")</f>
        <v/>
      </c>
      <c r="AD309" s="46" t="str">
        <f aca="false">IF($D309="Panel Details",'Survey Response'!$D307,"")</f>
        <v/>
      </c>
      <c r="AE309" s="46" t="str">
        <f aca="false">IF($D309="Panel Details",'Survey Response'!$E307,"")</f>
        <v/>
      </c>
      <c r="AF309" s="46" t="str">
        <f aca="false">IF($D309="Panel Details",'Survey Response'!$G307,"")</f>
        <v/>
      </c>
      <c r="AG309" s="46" t="str">
        <f aca="false">IF($D309="Panel Details",IF($Z309="Primary",$J309,$L309),"")</f>
        <v/>
      </c>
      <c r="AH309" s="46" t="str">
        <f aca="false">IF($D309="Panel Details",IF($Z309="Primary",$L309,$J309),"")</f>
        <v/>
      </c>
      <c r="AI309" s="46" t="str">
        <f aca="false">IF($D309="Panel Details",'Survey Response'!$H307,"")</f>
        <v/>
      </c>
      <c r="AJ309" s="46" t="str">
        <f aca="false">IF($D309="Panel Details",'Survey Response'!$M307,"")</f>
        <v/>
      </c>
      <c r="AK309" s="46" t="str">
        <f aca="false">IF($D309="Panel Details",$O309,"")</f>
        <v/>
      </c>
      <c r="AL309" s="46" t="str">
        <f aca="false">IF($D309="Panel Details",8,"")</f>
        <v/>
      </c>
      <c r="AM309" s="46" t="str">
        <f aca="false">IF($D309="Panel Details",$AB309,"")</f>
        <v/>
      </c>
      <c r="AN309" s="46" t="str">
        <f aca="false">IF($D309="Panel Details","Yes","")</f>
        <v/>
      </c>
      <c r="AO309" s="46"/>
      <c r="AP309" s="46" t="str">
        <f aca="false">IF($D309="Followup",'Survey Response'!$D307,"")</f>
        <v/>
      </c>
      <c r="AQ309" s="46" t="str">
        <f aca="false">IF($D309="Followup",'Survey Response'!$E307,"")</f>
        <v/>
      </c>
      <c r="AR309" s="46" t="str">
        <f aca="false">IF($D309="Followup",'Survey Response'!$G307,"")</f>
        <v/>
      </c>
      <c r="AS309" s="46" t="str">
        <f aca="false">IF($D309="Followup",'Survey Response'!$H307,"")</f>
        <v/>
      </c>
      <c r="AT309" s="46" t="str">
        <f aca="false">IF($D309="Followup",'Survey Response'!$M307,"")</f>
        <v/>
      </c>
      <c r="AU309" s="46" t="str">
        <f aca="false">IF($D309="Followup",'Survey Response'!$K307,"")</f>
        <v/>
      </c>
      <c r="AV309" s="46" t="str">
        <f aca="false">IF($D309="Followup",'Survey Response'!$L307,"")</f>
        <v/>
      </c>
      <c r="AW309" s="46" t="str">
        <f aca="false">IF($D309="Followup",IF(AND($P309&lt;&gt;"Yes",$U309&lt;&gt;"Yes"),"Not approved for primary or secondary skill","Approved, but skill(s) no longer have capacity (fully staffed)"),"")</f>
        <v/>
      </c>
    </row>
    <row r="310" customFormat="false" ht="15" hidden="false" customHeight="true" outlineLevel="0" collapsed="false">
      <c r="A310" s="46" t="str">
        <f aca="false">IF('Survey Response'!$D308="","",'Survey Response'!$A308&amp;"|"&amp;LOWER(TRIM('Survey Response'!$D308)))</f>
        <v/>
      </c>
      <c r="B310" s="46" t="str">
        <f aca="false">IF($H310="","",$F310&amp;"|"&amp;$H310)</f>
        <v/>
      </c>
      <c r="C310" s="46" t="str">
        <f aca="false">IF($H310="","",$A310=$B310)</f>
        <v/>
      </c>
      <c r="D310" s="46" t="str">
        <f aca="false">IF($H310="","",IF($E310&lt;&gt;"Yes","Superseded",IF($I310&lt;&gt;"Yes, I'm available for in-person interviews at Chennai","Not Available",IF($Z310&lt;&gt;"","Panel Details","Followup"))))</f>
        <v/>
      </c>
      <c r="E310" s="46" t="str">
        <f aca="false">IF($H310="","",IF(SUMPRODUCT(($H$4:$H$503=$H310)*(($G$4:$G$503&gt;$G310)+($G$4:$G$503=$G310)*($F$4:$F$503&gt;$F310)))=0,"Yes","No"))</f>
        <v/>
      </c>
      <c r="F310" s="47" t="str">
        <f aca="false">IF('Survey Response'!$D308="","",INT('Survey Response'!$A308))</f>
        <v/>
      </c>
      <c r="G310" s="46" t="str">
        <f aca="false">IF('Survey Response'!$D308="","",'Survey Response'!$C308)</f>
        <v/>
      </c>
      <c r="H310" s="46" t="str">
        <f aca="false">IF('Survey Response'!$D308="","",LOWER(TRIM('Survey Response'!$D308)))</f>
        <v/>
      </c>
      <c r="I310" s="46" t="str">
        <f aca="false">IF($H310="","",'Survey Response'!$I308)</f>
        <v/>
      </c>
      <c r="J310" s="46" t="str">
        <f aca="false">IF($H310="","",'Survey Response'!$K308)</f>
        <v/>
      </c>
      <c r="K310" s="46" t="str">
        <f aca="false">IF($J310="","",IF(COUNTIF('Skill Mapping'!$A$2:$A$7,TRIM($J310))=0,"",INDEX('Skill Mapping'!$B$2:$B$7,MATCH(TRIM($J310),'Skill Mapping'!$A$2:$A$7,0))))</f>
        <v/>
      </c>
      <c r="L310" s="46" t="str">
        <f aca="false">IF($H310="","",'Survey Response'!$L308)</f>
        <v/>
      </c>
      <c r="M310" s="46" t="str">
        <f aca="false">IF($L310="","",IF(COUNTIF('Skill Mapping'!$A$2:$A$7,TRIM($L310))=0,"",INDEX('Skill Mapping'!$B$2:$B$7,MATCH(TRIM($L310),'Skill Mapping'!$A$2:$A$7,0))))</f>
        <v/>
      </c>
      <c r="N310" s="46" t="str">
        <f aca="false">IF($H310="","",'Survey Response'!$M308)</f>
        <v/>
      </c>
      <c r="O310" s="46" t="str">
        <f aca="false">IF($H310="","",IF('Survey Response'!$M308="Manager","R2","R1"))</f>
        <v/>
      </c>
      <c r="P310" s="46" t="str">
        <f aca="false">IF($K310="","No",IF(COUNTIFS(MasterPanel!$B:$B,$H310,MasterPanel!$I:$I,$K310,MasterPanel!$K:$K,"Y")&gt;0,"Yes","No"))</f>
        <v>No</v>
      </c>
      <c r="Q310" s="46" t="n">
        <f aca="false">IF($K310="",0,IF(COUNTIF('Gap Sheet'!$A$6:$A$11,TRIM($J310))=0,0,IF($O310="R1",INDEX('Gap Sheet'!$C$6:$C$11,MATCH(TRIM($J310),'Gap Sheet'!$A$6:$A$11,0)),INDEX('Gap Sheet'!$G$6:$G$11,MATCH(TRIM($J310),'Gap Sheet'!$A$6:$A$11,0)))))</f>
        <v>0</v>
      </c>
      <c r="R310" s="46" t="str">
        <f aca="false">IF($K310="","",$K310&amp;"|"&amp;$O310)</f>
        <v/>
      </c>
      <c r="S310" s="46" t="n">
        <f aca="false">IF($R310="",0,COUNTIF($AA$4:$AA309,$R310))</f>
        <v>0</v>
      </c>
      <c r="T310" s="46" t="str">
        <f aca="false">IF(OR($I310&lt;&gt;"Yes, I'm available for in-person interviews at Chennai",$E310&lt;&gt;"Yes",$P310&lt;&gt;"Yes"),"No",IF(($Q310-$S310)&gt;0,"Yes","No"))</f>
        <v>No</v>
      </c>
      <c r="U310" s="46" t="str">
        <f aca="false">IF($M310="","No",IF(COUNTIFS(MasterPanel!$B:$B,$H310,MasterPanel!$I:$I,$M310,MasterPanel!$K:$K,"Y")&gt;0,"Yes","No"))</f>
        <v>No</v>
      </c>
      <c r="V310" s="46" t="n">
        <f aca="false">IF($M310="",0,IF(COUNTIF('Gap Sheet'!$A$6:$A$11,TRIM($L310))=0,0,IF($O310="R1",INDEX('Gap Sheet'!$C$6:$C$11,MATCH(TRIM($L310),'Gap Sheet'!$A$6:$A$11,0)),INDEX('Gap Sheet'!$G$6:$G$11,MATCH(TRIM($L310),'Gap Sheet'!$A$6:$A$11,0)))))</f>
        <v>0</v>
      </c>
      <c r="W310" s="46" t="str">
        <f aca="false">IF($M310="","",$M310&amp;"|"&amp;$O310)</f>
        <v/>
      </c>
      <c r="X310" s="46" t="n">
        <f aca="false">IF($W310="",0,COUNTIF($AA$4:$AA309,$W310))</f>
        <v>0</v>
      </c>
      <c r="Y310" s="46" t="str">
        <f aca="false">IF(OR($I310&lt;&gt;"Yes, I'm available for in-person interviews at Chennai",$E310&lt;&gt;"Yes",$T310="Yes",$U310&lt;&gt;"Yes"),"No",IF(($V310-$X310)&gt;0,"Yes","No"))</f>
        <v>No</v>
      </c>
      <c r="Z310" s="46" t="str">
        <f aca="false">IF($T310="Yes","Primary",IF($Y310="Yes","Secondary",""))</f>
        <v/>
      </c>
      <c r="AA310" s="46" t="str">
        <f aca="false">IF($Z310="Primary",$R310,IF($Z310="Secondary",$W310,""))</f>
        <v/>
      </c>
      <c r="AB310" s="46" t="str">
        <f aca="false">IF($Z310="Primary","Matched on primary skill",IF($Z310="Secondary","Matched on secondary skill (primary not approved or not required)",""))</f>
        <v/>
      </c>
      <c r="AC310" s="47" t="str">
        <f aca="false">IF($D310="Panel Details",$F310,"")</f>
        <v/>
      </c>
      <c r="AD310" s="46" t="str">
        <f aca="false">IF($D310="Panel Details",'Survey Response'!$D308,"")</f>
        <v/>
      </c>
      <c r="AE310" s="46" t="str">
        <f aca="false">IF($D310="Panel Details",'Survey Response'!$E308,"")</f>
        <v/>
      </c>
      <c r="AF310" s="46" t="str">
        <f aca="false">IF($D310="Panel Details",'Survey Response'!$G308,"")</f>
        <v/>
      </c>
      <c r="AG310" s="46" t="str">
        <f aca="false">IF($D310="Panel Details",IF($Z310="Primary",$J310,$L310),"")</f>
        <v/>
      </c>
      <c r="AH310" s="46" t="str">
        <f aca="false">IF($D310="Panel Details",IF($Z310="Primary",$L310,$J310),"")</f>
        <v/>
      </c>
      <c r="AI310" s="46" t="str">
        <f aca="false">IF($D310="Panel Details",'Survey Response'!$H308,"")</f>
        <v/>
      </c>
      <c r="AJ310" s="46" t="str">
        <f aca="false">IF($D310="Panel Details",'Survey Response'!$M308,"")</f>
        <v/>
      </c>
      <c r="AK310" s="46" t="str">
        <f aca="false">IF($D310="Panel Details",$O310,"")</f>
        <v/>
      </c>
      <c r="AL310" s="46" t="str">
        <f aca="false">IF($D310="Panel Details",8,"")</f>
        <v/>
      </c>
      <c r="AM310" s="46" t="str">
        <f aca="false">IF($D310="Panel Details",$AB310,"")</f>
        <v/>
      </c>
      <c r="AN310" s="46" t="str">
        <f aca="false">IF($D310="Panel Details","Yes","")</f>
        <v/>
      </c>
      <c r="AO310" s="46"/>
      <c r="AP310" s="46" t="str">
        <f aca="false">IF($D310="Followup",'Survey Response'!$D308,"")</f>
        <v/>
      </c>
      <c r="AQ310" s="46" t="str">
        <f aca="false">IF($D310="Followup",'Survey Response'!$E308,"")</f>
        <v/>
      </c>
      <c r="AR310" s="46" t="str">
        <f aca="false">IF($D310="Followup",'Survey Response'!$G308,"")</f>
        <v/>
      </c>
      <c r="AS310" s="46" t="str">
        <f aca="false">IF($D310="Followup",'Survey Response'!$H308,"")</f>
        <v/>
      </c>
      <c r="AT310" s="46" t="str">
        <f aca="false">IF($D310="Followup",'Survey Response'!$M308,"")</f>
        <v/>
      </c>
      <c r="AU310" s="46" t="str">
        <f aca="false">IF($D310="Followup",'Survey Response'!$K308,"")</f>
        <v/>
      </c>
      <c r="AV310" s="46" t="str">
        <f aca="false">IF($D310="Followup",'Survey Response'!$L308,"")</f>
        <v/>
      </c>
      <c r="AW310" s="46" t="str">
        <f aca="false">IF($D310="Followup",IF(AND($P310&lt;&gt;"Yes",$U310&lt;&gt;"Yes"),"Not approved for primary or secondary skill","Approved, but skill(s) no longer have capacity (fully staffed)"),"")</f>
        <v/>
      </c>
    </row>
    <row r="311" customFormat="false" ht="15" hidden="false" customHeight="true" outlineLevel="0" collapsed="false">
      <c r="A311" s="46" t="str">
        <f aca="false">IF('Survey Response'!$D309="","",'Survey Response'!$A309&amp;"|"&amp;LOWER(TRIM('Survey Response'!$D309)))</f>
        <v/>
      </c>
      <c r="B311" s="46" t="str">
        <f aca="false">IF($H311="","",$F311&amp;"|"&amp;$H311)</f>
        <v/>
      </c>
      <c r="C311" s="46" t="str">
        <f aca="false">IF($H311="","",$A311=$B311)</f>
        <v/>
      </c>
      <c r="D311" s="46" t="str">
        <f aca="false">IF($H311="","",IF($E311&lt;&gt;"Yes","Superseded",IF($I311&lt;&gt;"Yes, I'm available for in-person interviews at Chennai","Not Available",IF($Z311&lt;&gt;"","Panel Details","Followup"))))</f>
        <v/>
      </c>
      <c r="E311" s="46" t="str">
        <f aca="false">IF($H311="","",IF(SUMPRODUCT(($H$4:$H$503=$H311)*(($G$4:$G$503&gt;$G311)+($G$4:$G$503=$G311)*($F$4:$F$503&gt;$F311)))=0,"Yes","No"))</f>
        <v/>
      </c>
      <c r="F311" s="47" t="str">
        <f aca="false">IF('Survey Response'!$D309="","",INT('Survey Response'!$A309))</f>
        <v/>
      </c>
      <c r="G311" s="46" t="str">
        <f aca="false">IF('Survey Response'!$D309="","",'Survey Response'!$C309)</f>
        <v/>
      </c>
      <c r="H311" s="46" t="str">
        <f aca="false">IF('Survey Response'!$D309="","",LOWER(TRIM('Survey Response'!$D309)))</f>
        <v/>
      </c>
      <c r="I311" s="46" t="str">
        <f aca="false">IF($H311="","",'Survey Response'!$I309)</f>
        <v/>
      </c>
      <c r="J311" s="46" t="str">
        <f aca="false">IF($H311="","",'Survey Response'!$K309)</f>
        <v/>
      </c>
      <c r="K311" s="46" t="str">
        <f aca="false">IF($J311="","",IF(COUNTIF('Skill Mapping'!$A$2:$A$7,TRIM($J311))=0,"",INDEX('Skill Mapping'!$B$2:$B$7,MATCH(TRIM($J311),'Skill Mapping'!$A$2:$A$7,0))))</f>
        <v/>
      </c>
      <c r="L311" s="46" t="str">
        <f aca="false">IF($H311="","",'Survey Response'!$L309)</f>
        <v/>
      </c>
      <c r="M311" s="46" t="str">
        <f aca="false">IF($L311="","",IF(COUNTIF('Skill Mapping'!$A$2:$A$7,TRIM($L311))=0,"",INDEX('Skill Mapping'!$B$2:$B$7,MATCH(TRIM($L311),'Skill Mapping'!$A$2:$A$7,0))))</f>
        <v/>
      </c>
      <c r="N311" s="46" t="str">
        <f aca="false">IF($H311="","",'Survey Response'!$M309)</f>
        <v/>
      </c>
      <c r="O311" s="46" t="str">
        <f aca="false">IF($H311="","",IF('Survey Response'!$M309="Manager","R2","R1"))</f>
        <v/>
      </c>
      <c r="P311" s="46" t="str">
        <f aca="false">IF($K311="","No",IF(COUNTIFS(MasterPanel!$B:$B,$H311,MasterPanel!$I:$I,$K311,MasterPanel!$K:$K,"Y")&gt;0,"Yes","No"))</f>
        <v>No</v>
      </c>
      <c r="Q311" s="46" t="n">
        <f aca="false">IF($K311="",0,IF(COUNTIF('Gap Sheet'!$A$6:$A$11,TRIM($J311))=0,0,IF($O311="R1",INDEX('Gap Sheet'!$C$6:$C$11,MATCH(TRIM($J311),'Gap Sheet'!$A$6:$A$11,0)),INDEX('Gap Sheet'!$G$6:$G$11,MATCH(TRIM($J311),'Gap Sheet'!$A$6:$A$11,0)))))</f>
        <v>0</v>
      </c>
      <c r="R311" s="46" t="str">
        <f aca="false">IF($K311="","",$K311&amp;"|"&amp;$O311)</f>
        <v/>
      </c>
      <c r="S311" s="46" t="n">
        <f aca="false">IF($R311="",0,COUNTIF($AA$4:$AA310,$R311))</f>
        <v>0</v>
      </c>
      <c r="T311" s="46" t="str">
        <f aca="false">IF(OR($I311&lt;&gt;"Yes, I'm available for in-person interviews at Chennai",$E311&lt;&gt;"Yes",$P311&lt;&gt;"Yes"),"No",IF(($Q311-$S311)&gt;0,"Yes","No"))</f>
        <v>No</v>
      </c>
      <c r="U311" s="46" t="str">
        <f aca="false">IF($M311="","No",IF(COUNTIFS(MasterPanel!$B:$B,$H311,MasterPanel!$I:$I,$M311,MasterPanel!$K:$K,"Y")&gt;0,"Yes","No"))</f>
        <v>No</v>
      </c>
      <c r="V311" s="46" t="n">
        <f aca="false">IF($M311="",0,IF(COUNTIF('Gap Sheet'!$A$6:$A$11,TRIM($L311))=0,0,IF($O311="R1",INDEX('Gap Sheet'!$C$6:$C$11,MATCH(TRIM($L311),'Gap Sheet'!$A$6:$A$11,0)),INDEX('Gap Sheet'!$G$6:$G$11,MATCH(TRIM($L311),'Gap Sheet'!$A$6:$A$11,0)))))</f>
        <v>0</v>
      </c>
      <c r="W311" s="46" t="str">
        <f aca="false">IF($M311="","",$M311&amp;"|"&amp;$O311)</f>
        <v/>
      </c>
      <c r="X311" s="46" t="n">
        <f aca="false">IF($W311="",0,COUNTIF($AA$4:$AA310,$W311))</f>
        <v>0</v>
      </c>
      <c r="Y311" s="46" t="str">
        <f aca="false">IF(OR($I311&lt;&gt;"Yes, I'm available for in-person interviews at Chennai",$E311&lt;&gt;"Yes",$T311="Yes",$U311&lt;&gt;"Yes"),"No",IF(($V311-$X311)&gt;0,"Yes","No"))</f>
        <v>No</v>
      </c>
      <c r="Z311" s="46" t="str">
        <f aca="false">IF($T311="Yes","Primary",IF($Y311="Yes","Secondary",""))</f>
        <v/>
      </c>
      <c r="AA311" s="46" t="str">
        <f aca="false">IF($Z311="Primary",$R311,IF($Z311="Secondary",$W311,""))</f>
        <v/>
      </c>
      <c r="AB311" s="46" t="str">
        <f aca="false">IF($Z311="Primary","Matched on primary skill",IF($Z311="Secondary","Matched on secondary skill (primary not approved or not required)",""))</f>
        <v/>
      </c>
      <c r="AC311" s="47" t="str">
        <f aca="false">IF($D311="Panel Details",$F311,"")</f>
        <v/>
      </c>
      <c r="AD311" s="46" t="str">
        <f aca="false">IF($D311="Panel Details",'Survey Response'!$D309,"")</f>
        <v/>
      </c>
      <c r="AE311" s="46" t="str">
        <f aca="false">IF($D311="Panel Details",'Survey Response'!$E309,"")</f>
        <v/>
      </c>
      <c r="AF311" s="46" t="str">
        <f aca="false">IF($D311="Panel Details",'Survey Response'!$G309,"")</f>
        <v/>
      </c>
      <c r="AG311" s="46" t="str">
        <f aca="false">IF($D311="Panel Details",IF($Z311="Primary",$J311,$L311),"")</f>
        <v/>
      </c>
      <c r="AH311" s="46" t="str">
        <f aca="false">IF($D311="Panel Details",IF($Z311="Primary",$L311,$J311),"")</f>
        <v/>
      </c>
      <c r="AI311" s="46" t="str">
        <f aca="false">IF($D311="Panel Details",'Survey Response'!$H309,"")</f>
        <v/>
      </c>
      <c r="AJ311" s="46" t="str">
        <f aca="false">IF($D311="Panel Details",'Survey Response'!$M309,"")</f>
        <v/>
      </c>
      <c r="AK311" s="46" t="str">
        <f aca="false">IF($D311="Panel Details",$O311,"")</f>
        <v/>
      </c>
      <c r="AL311" s="46" t="str">
        <f aca="false">IF($D311="Panel Details",8,"")</f>
        <v/>
      </c>
      <c r="AM311" s="46" t="str">
        <f aca="false">IF($D311="Panel Details",$AB311,"")</f>
        <v/>
      </c>
      <c r="AN311" s="46" t="str">
        <f aca="false">IF($D311="Panel Details","Yes","")</f>
        <v/>
      </c>
      <c r="AO311" s="46"/>
      <c r="AP311" s="46" t="str">
        <f aca="false">IF($D311="Followup",'Survey Response'!$D309,"")</f>
        <v/>
      </c>
      <c r="AQ311" s="46" t="str">
        <f aca="false">IF($D311="Followup",'Survey Response'!$E309,"")</f>
        <v/>
      </c>
      <c r="AR311" s="46" t="str">
        <f aca="false">IF($D311="Followup",'Survey Response'!$G309,"")</f>
        <v/>
      </c>
      <c r="AS311" s="46" t="str">
        <f aca="false">IF($D311="Followup",'Survey Response'!$H309,"")</f>
        <v/>
      </c>
      <c r="AT311" s="46" t="str">
        <f aca="false">IF($D311="Followup",'Survey Response'!$M309,"")</f>
        <v/>
      </c>
      <c r="AU311" s="46" t="str">
        <f aca="false">IF($D311="Followup",'Survey Response'!$K309,"")</f>
        <v/>
      </c>
      <c r="AV311" s="46" t="str">
        <f aca="false">IF($D311="Followup",'Survey Response'!$L309,"")</f>
        <v/>
      </c>
      <c r="AW311" s="46" t="str">
        <f aca="false">IF($D311="Followup",IF(AND($P311&lt;&gt;"Yes",$U311&lt;&gt;"Yes"),"Not approved for primary or secondary skill","Approved, but skill(s) no longer have capacity (fully staffed)"),"")</f>
        <v/>
      </c>
    </row>
    <row r="312" customFormat="false" ht="15" hidden="false" customHeight="true" outlineLevel="0" collapsed="false">
      <c r="A312" s="46" t="str">
        <f aca="false">IF('Survey Response'!$D310="","",'Survey Response'!$A310&amp;"|"&amp;LOWER(TRIM('Survey Response'!$D310)))</f>
        <v/>
      </c>
      <c r="B312" s="46" t="str">
        <f aca="false">IF($H312="","",$F312&amp;"|"&amp;$H312)</f>
        <v/>
      </c>
      <c r="C312" s="46" t="str">
        <f aca="false">IF($H312="","",$A312=$B312)</f>
        <v/>
      </c>
      <c r="D312" s="46" t="str">
        <f aca="false">IF($H312="","",IF($E312&lt;&gt;"Yes","Superseded",IF($I312&lt;&gt;"Yes, I'm available for in-person interviews at Chennai","Not Available",IF($Z312&lt;&gt;"","Panel Details","Followup"))))</f>
        <v/>
      </c>
      <c r="E312" s="46" t="str">
        <f aca="false">IF($H312="","",IF(SUMPRODUCT(($H$4:$H$503=$H312)*(($G$4:$G$503&gt;$G312)+($G$4:$G$503=$G312)*($F$4:$F$503&gt;$F312)))=0,"Yes","No"))</f>
        <v/>
      </c>
      <c r="F312" s="47" t="str">
        <f aca="false">IF('Survey Response'!$D310="","",INT('Survey Response'!$A310))</f>
        <v/>
      </c>
      <c r="G312" s="46" t="str">
        <f aca="false">IF('Survey Response'!$D310="","",'Survey Response'!$C310)</f>
        <v/>
      </c>
      <c r="H312" s="46" t="str">
        <f aca="false">IF('Survey Response'!$D310="","",LOWER(TRIM('Survey Response'!$D310)))</f>
        <v/>
      </c>
      <c r="I312" s="46" t="str">
        <f aca="false">IF($H312="","",'Survey Response'!$I310)</f>
        <v/>
      </c>
      <c r="J312" s="46" t="str">
        <f aca="false">IF($H312="","",'Survey Response'!$K310)</f>
        <v/>
      </c>
      <c r="K312" s="46" t="str">
        <f aca="false">IF($J312="","",IF(COUNTIF('Skill Mapping'!$A$2:$A$7,TRIM($J312))=0,"",INDEX('Skill Mapping'!$B$2:$B$7,MATCH(TRIM($J312),'Skill Mapping'!$A$2:$A$7,0))))</f>
        <v/>
      </c>
      <c r="L312" s="46" t="str">
        <f aca="false">IF($H312="","",'Survey Response'!$L310)</f>
        <v/>
      </c>
      <c r="M312" s="46" t="str">
        <f aca="false">IF($L312="","",IF(COUNTIF('Skill Mapping'!$A$2:$A$7,TRIM($L312))=0,"",INDEX('Skill Mapping'!$B$2:$B$7,MATCH(TRIM($L312),'Skill Mapping'!$A$2:$A$7,0))))</f>
        <v/>
      </c>
      <c r="N312" s="46" t="str">
        <f aca="false">IF($H312="","",'Survey Response'!$M310)</f>
        <v/>
      </c>
      <c r="O312" s="46" t="str">
        <f aca="false">IF($H312="","",IF('Survey Response'!$M310="Manager","R2","R1"))</f>
        <v/>
      </c>
      <c r="P312" s="46" t="str">
        <f aca="false">IF($K312="","No",IF(COUNTIFS(MasterPanel!$B:$B,$H312,MasterPanel!$I:$I,$K312,MasterPanel!$K:$K,"Y")&gt;0,"Yes","No"))</f>
        <v>No</v>
      </c>
      <c r="Q312" s="46" t="n">
        <f aca="false">IF($K312="",0,IF(COUNTIF('Gap Sheet'!$A$6:$A$11,TRIM($J312))=0,0,IF($O312="R1",INDEX('Gap Sheet'!$C$6:$C$11,MATCH(TRIM($J312),'Gap Sheet'!$A$6:$A$11,0)),INDEX('Gap Sheet'!$G$6:$G$11,MATCH(TRIM($J312),'Gap Sheet'!$A$6:$A$11,0)))))</f>
        <v>0</v>
      </c>
      <c r="R312" s="46" t="str">
        <f aca="false">IF($K312="","",$K312&amp;"|"&amp;$O312)</f>
        <v/>
      </c>
      <c r="S312" s="46" t="n">
        <f aca="false">IF($R312="",0,COUNTIF($AA$4:$AA311,$R312))</f>
        <v>0</v>
      </c>
      <c r="T312" s="46" t="str">
        <f aca="false">IF(OR($I312&lt;&gt;"Yes, I'm available for in-person interviews at Chennai",$E312&lt;&gt;"Yes",$P312&lt;&gt;"Yes"),"No",IF(($Q312-$S312)&gt;0,"Yes","No"))</f>
        <v>No</v>
      </c>
      <c r="U312" s="46" t="str">
        <f aca="false">IF($M312="","No",IF(COUNTIFS(MasterPanel!$B:$B,$H312,MasterPanel!$I:$I,$M312,MasterPanel!$K:$K,"Y")&gt;0,"Yes","No"))</f>
        <v>No</v>
      </c>
      <c r="V312" s="46" t="n">
        <f aca="false">IF($M312="",0,IF(COUNTIF('Gap Sheet'!$A$6:$A$11,TRIM($L312))=0,0,IF($O312="R1",INDEX('Gap Sheet'!$C$6:$C$11,MATCH(TRIM($L312),'Gap Sheet'!$A$6:$A$11,0)),INDEX('Gap Sheet'!$G$6:$G$11,MATCH(TRIM($L312),'Gap Sheet'!$A$6:$A$11,0)))))</f>
        <v>0</v>
      </c>
      <c r="W312" s="46" t="str">
        <f aca="false">IF($M312="","",$M312&amp;"|"&amp;$O312)</f>
        <v/>
      </c>
      <c r="X312" s="46" t="n">
        <f aca="false">IF($W312="",0,COUNTIF($AA$4:$AA311,$W312))</f>
        <v>0</v>
      </c>
      <c r="Y312" s="46" t="str">
        <f aca="false">IF(OR($I312&lt;&gt;"Yes, I'm available for in-person interviews at Chennai",$E312&lt;&gt;"Yes",$T312="Yes",$U312&lt;&gt;"Yes"),"No",IF(($V312-$X312)&gt;0,"Yes","No"))</f>
        <v>No</v>
      </c>
      <c r="Z312" s="46" t="str">
        <f aca="false">IF($T312="Yes","Primary",IF($Y312="Yes","Secondary",""))</f>
        <v/>
      </c>
      <c r="AA312" s="46" t="str">
        <f aca="false">IF($Z312="Primary",$R312,IF($Z312="Secondary",$W312,""))</f>
        <v/>
      </c>
      <c r="AB312" s="46" t="str">
        <f aca="false">IF($Z312="Primary","Matched on primary skill",IF($Z312="Secondary","Matched on secondary skill (primary not approved or not required)",""))</f>
        <v/>
      </c>
      <c r="AC312" s="47" t="str">
        <f aca="false">IF($D312="Panel Details",$F312,"")</f>
        <v/>
      </c>
      <c r="AD312" s="46" t="str">
        <f aca="false">IF($D312="Panel Details",'Survey Response'!$D310,"")</f>
        <v/>
      </c>
      <c r="AE312" s="46" t="str">
        <f aca="false">IF($D312="Panel Details",'Survey Response'!$E310,"")</f>
        <v/>
      </c>
      <c r="AF312" s="46" t="str">
        <f aca="false">IF($D312="Panel Details",'Survey Response'!$G310,"")</f>
        <v/>
      </c>
      <c r="AG312" s="46" t="str">
        <f aca="false">IF($D312="Panel Details",IF($Z312="Primary",$J312,$L312),"")</f>
        <v/>
      </c>
      <c r="AH312" s="46" t="str">
        <f aca="false">IF($D312="Panel Details",IF($Z312="Primary",$L312,$J312),"")</f>
        <v/>
      </c>
      <c r="AI312" s="46" t="str">
        <f aca="false">IF($D312="Panel Details",'Survey Response'!$H310,"")</f>
        <v/>
      </c>
      <c r="AJ312" s="46" t="str">
        <f aca="false">IF($D312="Panel Details",'Survey Response'!$M310,"")</f>
        <v/>
      </c>
      <c r="AK312" s="46" t="str">
        <f aca="false">IF($D312="Panel Details",$O312,"")</f>
        <v/>
      </c>
      <c r="AL312" s="46" t="str">
        <f aca="false">IF($D312="Panel Details",8,"")</f>
        <v/>
      </c>
      <c r="AM312" s="46" t="str">
        <f aca="false">IF($D312="Panel Details",$AB312,"")</f>
        <v/>
      </c>
      <c r="AN312" s="46" t="str">
        <f aca="false">IF($D312="Panel Details","Yes","")</f>
        <v/>
      </c>
      <c r="AO312" s="46"/>
      <c r="AP312" s="46" t="str">
        <f aca="false">IF($D312="Followup",'Survey Response'!$D310,"")</f>
        <v/>
      </c>
      <c r="AQ312" s="46" t="str">
        <f aca="false">IF($D312="Followup",'Survey Response'!$E310,"")</f>
        <v/>
      </c>
      <c r="AR312" s="46" t="str">
        <f aca="false">IF($D312="Followup",'Survey Response'!$G310,"")</f>
        <v/>
      </c>
      <c r="AS312" s="46" t="str">
        <f aca="false">IF($D312="Followup",'Survey Response'!$H310,"")</f>
        <v/>
      </c>
      <c r="AT312" s="46" t="str">
        <f aca="false">IF($D312="Followup",'Survey Response'!$M310,"")</f>
        <v/>
      </c>
      <c r="AU312" s="46" t="str">
        <f aca="false">IF($D312="Followup",'Survey Response'!$K310,"")</f>
        <v/>
      </c>
      <c r="AV312" s="46" t="str">
        <f aca="false">IF($D312="Followup",'Survey Response'!$L310,"")</f>
        <v/>
      </c>
      <c r="AW312" s="46" t="str">
        <f aca="false">IF($D312="Followup",IF(AND($P312&lt;&gt;"Yes",$U312&lt;&gt;"Yes"),"Not approved for primary or secondary skill","Approved, but skill(s) no longer have capacity (fully staffed)"),"")</f>
        <v/>
      </c>
    </row>
    <row r="313" customFormat="false" ht="15" hidden="false" customHeight="true" outlineLevel="0" collapsed="false">
      <c r="A313" s="46" t="str">
        <f aca="false">IF('Survey Response'!$D311="","",'Survey Response'!$A311&amp;"|"&amp;LOWER(TRIM('Survey Response'!$D311)))</f>
        <v/>
      </c>
      <c r="B313" s="46" t="str">
        <f aca="false">IF($H313="","",$F313&amp;"|"&amp;$H313)</f>
        <v/>
      </c>
      <c r="C313" s="46" t="str">
        <f aca="false">IF($H313="","",$A313=$B313)</f>
        <v/>
      </c>
      <c r="D313" s="46" t="str">
        <f aca="false">IF($H313="","",IF($E313&lt;&gt;"Yes","Superseded",IF($I313&lt;&gt;"Yes, I'm available for in-person interviews at Chennai","Not Available",IF($Z313&lt;&gt;"","Panel Details","Followup"))))</f>
        <v/>
      </c>
      <c r="E313" s="46" t="str">
        <f aca="false">IF($H313="","",IF(SUMPRODUCT(($H$4:$H$503=$H313)*(($G$4:$G$503&gt;$G313)+($G$4:$G$503=$G313)*($F$4:$F$503&gt;$F313)))=0,"Yes","No"))</f>
        <v/>
      </c>
      <c r="F313" s="47" t="str">
        <f aca="false">IF('Survey Response'!$D311="","",INT('Survey Response'!$A311))</f>
        <v/>
      </c>
      <c r="G313" s="46" t="str">
        <f aca="false">IF('Survey Response'!$D311="","",'Survey Response'!$C311)</f>
        <v/>
      </c>
      <c r="H313" s="46" t="str">
        <f aca="false">IF('Survey Response'!$D311="","",LOWER(TRIM('Survey Response'!$D311)))</f>
        <v/>
      </c>
      <c r="I313" s="46" t="str">
        <f aca="false">IF($H313="","",'Survey Response'!$I311)</f>
        <v/>
      </c>
      <c r="J313" s="46" t="str">
        <f aca="false">IF($H313="","",'Survey Response'!$K311)</f>
        <v/>
      </c>
      <c r="K313" s="46" t="str">
        <f aca="false">IF($J313="","",IF(COUNTIF('Skill Mapping'!$A$2:$A$7,TRIM($J313))=0,"",INDEX('Skill Mapping'!$B$2:$B$7,MATCH(TRIM($J313),'Skill Mapping'!$A$2:$A$7,0))))</f>
        <v/>
      </c>
      <c r="L313" s="46" t="str">
        <f aca="false">IF($H313="","",'Survey Response'!$L311)</f>
        <v/>
      </c>
      <c r="M313" s="46" t="str">
        <f aca="false">IF($L313="","",IF(COUNTIF('Skill Mapping'!$A$2:$A$7,TRIM($L313))=0,"",INDEX('Skill Mapping'!$B$2:$B$7,MATCH(TRIM($L313),'Skill Mapping'!$A$2:$A$7,0))))</f>
        <v/>
      </c>
      <c r="N313" s="46" t="str">
        <f aca="false">IF($H313="","",'Survey Response'!$M311)</f>
        <v/>
      </c>
      <c r="O313" s="46" t="str">
        <f aca="false">IF($H313="","",IF('Survey Response'!$M311="Manager","R2","R1"))</f>
        <v/>
      </c>
      <c r="P313" s="46" t="str">
        <f aca="false">IF($K313="","No",IF(COUNTIFS(MasterPanel!$B:$B,$H313,MasterPanel!$I:$I,$K313,MasterPanel!$K:$K,"Y")&gt;0,"Yes","No"))</f>
        <v>No</v>
      </c>
      <c r="Q313" s="46" t="n">
        <f aca="false">IF($K313="",0,IF(COUNTIF('Gap Sheet'!$A$6:$A$11,TRIM($J313))=0,0,IF($O313="R1",INDEX('Gap Sheet'!$C$6:$C$11,MATCH(TRIM($J313),'Gap Sheet'!$A$6:$A$11,0)),INDEX('Gap Sheet'!$G$6:$G$11,MATCH(TRIM($J313),'Gap Sheet'!$A$6:$A$11,0)))))</f>
        <v>0</v>
      </c>
      <c r="R313" s="46" t="str">
        <f aca="false">IF($K313="","",$K313&amp;"|"&amp;$O313)</f>
        <v/>
      </c>
      <c r="S313" s="46" t="n">
        <f aca="false">IF($R313="",0,COUNTIF($AA$4:$AA312,$R313))</f>
        <v>0</v>
      </c>
      <c r="T313" s="46" t="str">
        <f aca="false">IF(OR($I313&lt;&gt;"Yes, I'm available for in-person interviews at Chennai",$E313&lt;&gt;"Yes",$P313&lt;&gt;"Yes"),"No",IF(($Q313-$S313)&gt;0,"Yes","No"))</f>
        <v>No</v>
      </c>
      <c r="U313" s="46" t="str">
        <f aca="false">IF($M313="","No",IF(COUNTIFS(MasterPanel!$B:$B,$H313,MasterPanel!$I:$I,$M313,MasterPanel!$K:$K,"Y")&gt;0,"Yes","No"))</f>
        <v>No</v>
      </c>
      <c r="V313" s="46" t="n">
        <f aca="false">IF($M313="",0,IF(COUNTIF('Gap Sheet'!$A$6:$A$11,TRIM($L313))=0,0,IF($O313="R1",INDEX('Gap Sheet'!$C$6:$C$11,MATCH(TRIM($L313),'Gap Sheet'!$A$6:$A$11,0)),INDEX('Gap Sheet'!$G$6:$G$11,MATCH(TRIM($L313),'Gap Sheet'!$A$6:$A$11,0)))))</f>
        <v>0</v>
      </c>
      <c r="W313" s="46" t="str">
        <f aca="false">IF($M313="","",$M313&amp;"|"&amp;$O313)</f>
        <v/>
      </c>
      <c r="X313" s="46" t="n">
        <f aca="false">IF($W313="",0,COUNTIF($AA$4:$AA312,$W313))</f>
        <v>0</v>
      </c>
      <c r="Y313" s="46" t="str">
        <f aca="false">IF(OR($I313&lt;&gt;"Yes, I'm available for in-person interviews at Chennai",$E313&lt;&gt;"Yes",$T313="Yes",$U313&lt;&gt;"Yes"),"No",IF(($V313-$X313)&gt;0,"Yes","No"))</f>
        <v>No</v>
      </c>
      <c r="Z313" s="46" t="str">
        <f aca="false">IF($T313="Yes","Primary",IF($Y313="Yes","Secondary",""))</f>
        <v/>
      </c>
      <c r="AA313" s="46" t="str">
        <f aca="false">IF($Z313="Primary",$R313,IF($Z313="Secondary",$W313,""))</f>
        <v/>
      </c>
      <c r="AB313" s="46" t="str">
        <f aca="false">IF($Z313="Primary","Matched on primary skill",IF($Z313="Secondary","Matched on secondary skill (primary not approved or not required)",""))</f>
        <v/>
      </c>
      <c r="AC313" s="47" t="str">
        <f aca="false">IF($D313="Panel Details",$F313,"")</f>
        <v/>
      </c>
      <c r="AD313" s="46" t="str">
        <f aca="false">IF($D313="Panel Details",'Survey Response'!$D311,"")</f>
        <v/>
      </c>
      <c r="AE313" s="46" t="str">
        <f aca="false">IF($D313="Panel Details",'Survey Response'!$E311,"")</f>
        <v/>
      </c>
      <c r="AF313" s="46" t="str">
        <f aca="false">IF($D313="Panel Details",'Survey Response'!$G311,"")</f>
        <v/>
      </c>
      <c r="AG313" s="46" t="str">
        <f aca="false">IF($D313="Panel Details",IF($Z313="Primary",$J313,$L313),"")</f>
        <v/>
      </c>
      <c r="AH313" s="46" t="str">
        <f aca="false">IF($D313="Panel Details",IF($Z313="Primary",$L313,$J313),"")</f>
        <v/>
      </c>
      <c r="AI313" s="46" t="str">
        <f aca="false">IF($D313="Panel Details",'Survey Response'!$H311,"")</f>
        <v/>
      </c>
      <c r="AJ313" s="46" t="str">
        <f aca="false">IF($D313="Panel Details",'Survey Response'!$M311,"")</f>
        <v/>
      </c>
      <c r="AK313" s="46" t="str">
        <f aca="false">IF($D313="Panel Details",$O313,"")</f>
        <v/>
      </c>
      <c r="AL313" s="46" t="str">
        <f aca="false">IF($D313="Panel Details",8,"")</f>
        <v/>
      </c>
      <c r="AM313" s="46" t="str">
        <f aca="false">IF($D313="Panel Details",$AB313,"")</f>
        <v/>
      </c>
      <c r="AN313" s="46" t="str">
        <f aca="false">IF($D313="Panel Details","Yes","")</f>
        <v/>
      </c>
      <c r="AO313" s="46"/>
      <c r="AP313" s="46" t="str">
        <f aca="false">IF($D313="Followup",'Survey Response'!$D311,"")</f>
        <v/>
      </c>
      <c r="AQ313" s="46" t="str">
        <f aca="false">IF($D313="Followup",'Survey Response'!$E311,"")</f>
        <v/>
      </c>
      <c r="AR313" s="46" t="str">
        <f aca="false">IF($D313="Followup",'Survey Response'!$G311,"")</f>
        <v/>
      </c>
      <c r="AS313" s="46" t="str">
        <f aca="false">IF($D313="Followup",'Survey Response'!$H311,"")</f>
        <v/>
      </c>
      <c r="AT313" s="46" t="str">
        <f aca="false">IF($D313="Followup",'Survey Response'!$M311,"")</f>
        <v/>
      </c>
      <c r="AU313" s="46" t="str">
        <f aca="false">IF($D313="Followup",'Survey Response'!$K311,"")</f>
        <v/>
      </c>
      <c r="AV313" s="46" t="str">
        <f aca="false">IF($D313="Followup",'Survey Response'!$L311,"")</f>
        <v/>
      </c>
      <c r="AW313" s="46" t="str">
        <f aca="false">IF($D313="Followup",IF(AND($P313&lt;&gt;"Yes",$U313&lt;&gt;"Yes"),"Not approved for primary or secondary skill","Approved, but skill(s) no longer have capacity (fully staffed)"),"")</f>
        <v/>
      </c>
    </row>
    <row r="314" customFormat="false" ht="15" hidden="false" customHeight="true" outlineLevel="0" collapsed="false">
      <c r="A314" s="46" t="str">
        <f aca="false">IF('Survey Response'!$D312="","",'Survey Response'!$A312&amp;"|"&amp;LOWER(TRIM('Survey Response'!$D312)))</f>
        <v/>
      </c>
      <c r="B314" s="46" t="str">
        <f aca="false">IF($H314="","",$F314&amp;"|"&amp;$H314)</f>
        <v/>
      </c>
      <c r="C314" s="46" t="str">
        <f aca="false">IF($H314="","",$A314=$B314)</f>
        <v/>
      </c>
      <c r="D314" s="46" t="str">
        <f aca="false">IF($H314="","",IF($E314&lt;&gt;"Yes","Superseded",IF($I314&lt;&gt;"Yes, I'm available for in-person interviews at Chennai","Not Available",IF($Z314&lt;&gt;"","Panel Details","Followup"))))</f>
        <v/>
      </c>
      <c r="E314" s="46" t="str">
        <f aca="false">IF($H314="","",IF(SUMPRODUCT(($H$4:$H$503=$H314)*(($G$4:$G$503&gt;$G314)+($G$4:$G$503=$G314)*($F$4:$F$503&gt;$F314)))=0,"Yes","No"))</f>
        <v/>
      </c>
      <c r="F314" s="47" t="str">
        <f aca="false">IF('Survey Response'!$D312="","",INT('Survey Response'!$A312))</f>
        <v/>
      </c>
      <c r="G314" s="46" t="str">
        <f aca="false">IF('Survey Response'!$D312="","",'Survey Response'!$C312)</f>
        <v/>
      </c>
      <c r="H314" s="46" t="str">
        <f aca="false">IF('Survey Response'!$D312="","",LOWER(TRIM('Survey Response'!$D312)))</f>
        <v/>
      </c>
      <c r="I314" s="46" t="str">
        <f aca="false">IF($H314="","",'Survey Response'!$I312)</f>
        <v/>
      </c>
      <c r="J314" s="46" t="str">
        <f aca="false">IF($H314="","",'Survey Response'!$K312)</f>
        <v/>
      </c>
      <c r="K314" s="46" t="str">
        <f aca="false">IF($J314="","",IF(COUNTIF('Skill Mapping'!$A$2:$A$7,TRIM($J314))=0,"",INDEX('Skill Mapping'!$B$2:$B$7,MATCH(TRIM($J314),'Skill Mapping'!$A$2:$A$7,0))))</f>
        <v/>
      </c>
      <c r="L314" s="46" t="str">
        <f aca="false">IF($H314="","",'Survey Response'!$L312)</f>
        <v/>
      </c>
      <c r="M314" s="46" t="str">
        <f aca="false">IF($L314="","",IF(COUNTIF('Skill Mapping'!$A$2:$A$7,TRIM($L314))=0,"",INDEX('Skill Mapping'!$B$2:$B$7,MATCH(TRIM($L314),'Skill Mapping'!$A$2:$A$7,0))))</f>
        <v/>
      </c>
      <c r="N314" s="46" t="str">
        <f aca="false">IF($H314="","",'Survey Response'!$M312)</f>
        <v/>
      </c>
      <c r="O314" s="46" t="str">
        <f aca="false">IF($H314="","",IF('Survey Response'!$M312="Manager","R2","R1"))</f>
        <v/>
      </c>
      <c r="P314" s="46" t="str">
        <f aca="false">IF($K314="","No",IF(COUNTIFS(MasterPanel!$B:$B,$H314,MasterPanel!$I:$I,$K314,MasterPanel!$K:$K,"Y")&gt;0,"Yes","No"))</f>
        <v>No</v>
      </c>
      <c r="Q314" s="46" t="n">
        <f aca="false">IF($K314="",0,IF(COUNTIF('Gap Sheet'!$A$6:$A$11,TRIM($J314))=0,0,IF($O314="R1",INDEX('Gap Sheet'!$C$6:$C$11,MATCH(TRIM($J314),'Gap Sheet'!$A$6:$A$11,0)),INDEX('Gap Sheet'!$G$6:$G$11,MATCH(TRIM($J314),'Gap Sheet'!$A$6:$A$11,0)))))</f>
        <v>0</v>
      </c>
      <c r="R314" s="46" t="str">
        <f aca="false">IF($K314="","",$K314&amp;"|"&amp;$O314)</f>
        <v/>
      </c>
      <c r="S314" s="46" t="n">
        <f aca="false">IF($R314="",0,COUNTIF($AA$4:$AA313,$R314))</f>
        <v>0</v>
      </c>
      <c r="T314" s="46" t="str">
        <f aca="false">IF(OR($I314&lt;&gt;"Yes, I'm available for in-person interviews at Chennai",$E314&lt;&gt;"Yes",$P314&lt;&gt;"Yes"),"No",IF(($Q314-$S314)&gt;0,"Yes","No"))</f>
        <v>No</v>
      </c>
      <c r="U314" s="46" t="str">
        <f aca="false">IF($M314="","No",IF(COUNTIFS(MasterPanel!$B:$B,$H314,MasterPanel!$I:$I,$M314,MasterPanel!$K:$K,"Y")&gt;0,"Yes","No"))</f>
        <v>No</v>
      </c>
      <c r="V314" s="46" t="n">
        <f aca="false">IF($M314="",0,IF(COUNTIF('Gap Sheet'!$A$6:$A$11,TRIM($L314))=0,0,IF($O314="R1",INDEX('Gap Sheet'!$C$6:$C$11,MATCH(TRIM($L314),'Gap Sheet'!$A$6:$A$11,0)),INDEX('Gap Sheet'!$G$6:$G$11,MATCH(TRIM($L314),'Gap Sheet'!$A$6:$A$11,0)))))</f>
        <v>0</v>
      </c>
      <c r="W314" s="46" t="str">
        <f aca="false">IF($M314="","",$M314&amp;"|"&amp;$O314)</f>
        <v/>
      </c>
      <c r="X314" s="46" t="n">
        <f aca="false">IF($W314="",0,COUNTIF($AA$4:$AA313,$W314))</f>
        <v>0</v>
      </c>
      <c r="Y314" s="46" t="str">
        <f aca="false">IF(OR($I314&lt;&gt;"Yes, I'm available for in-person interviews at Chennai",$E314&lt;&gt;"Yes",$T314="Yes",$U314&lt;&gt;"Yes"),"No",IF(($V314-$X314)&gt;0,"Yes","No"))</f>
        <v>No</v>
      </c>
      <c r="Z314" s="46" t="str">
        <f aca="false">IF($T314="Yes","Primary",IF($Y314="Yes","Secondary",""))</f>
        <v/>
      </c>
      <c r="AA314" s="46" t="str">
        <f aca="false">IF($Z314="Primary",$R314,IF($Z314="Secondary",$W314,""))</f>
        <v/>
      </c>
      <c r="AB314" s="46" t="str">
        <f aca="false">IF($Z314="Primary","Matched on primary skill",IF($Z314="Secondary","Matched on secondary skill (primary not approved or not required)",""))</f>
        <v/>
      </c>
      <c r="AC314" s="47" t="str">
        <f aca="false">IF($D314="Panel Details",$F314,"")</f>
        <v/>
      </c>
      <c r="AD314" s="46" t="str">
        <f aca="false">IF($D314="Panel Details",'Survey Response'!$D312,"")</f>
        <v/>
      </c>
      <c r="AE314" s="46" t="str">
        <f aca="false">IF($D314="Panel Details",'Survey Response'!$E312,"")</f>
        <v/>
      </c>
      <c r="AF314" s="46" t="str">
        <f aca="false">IF($D314="Panel Details",'Survey Response'!$G312,"")</f>
        <v/>
      </c>
      <c r="AG314" s="46" t="str">
        <f aca="false">IF($D314="Panel Details",IF($Z314="Primary",$J314,$L314),"")</f>
        <v/>
      </c>
      <c r="AH314" s="46" t="str">
        <f aca="false">IF($D314="Panel Details",IF($Z314="Primary",$L314,$J314),"")</f>
        <v/>
      </c>
      <c r="AI314" s="46" t="str">
        <f aca="false">IF($D314="Panel Details",'Survey Response'!$H312,"")</f>
        <v/>
      </c>
      <c r="AJ314" s="46" t="str">
        <f aca="false">IF($D314="Panel Details",'Survey Response'!$M312,"")</f>
        <v/>
      </c>
      <c r="AK314" s="46" t="str">
        <f aca="false">IF($D314="Panel Details",$O314,"")</f>
        <v/>
      </c>
      <c r="AL314" s="46" t="str">
        <f aca="false">IF($D314="Panel Details",8,"")</f>
        <v/>
      </c>
      <c r="AM314" s="46" t="str">
        <f aca="false">IF($D314="Panel Details",$AB314,"")</f>
        <v/>
      </c>
      <c r="AN314" s="46" t="str">
        <f aca="false">IF($D314="Panel Details","Yes","")</f>
        <v/>
      </c>
      <c r="AO314" s="46"/>
      <c r="AP314" s="46" t="str">
        <f aca="false">IF($D314="Followup",'Survey Response'!$D312,"")</f>
        <v/>
      </c>
      <c r="AQ314" s="46" t="str">
        <f aca="false">IF($D314="Followup",'Survey Response'!$E312,"")</f>
        <v/>
      </c>
      <c r="AR314" s="46" t="str">
        <f aca="false">IF($D314="Followup",'Survey Response'!$G312,"")</f>
        <v/>
      </c>
      <c r="AS314" s="46" t="str">
        <f aca="false">IF($D314="Followup",'Survey Response'!$H312,"")</f>
        <v/>
      </c>
      <c r="AT314" s="46" t="str">
        <f aca="false">IF($D314="Followup",'Survey Response'!$M312,"")</f>
        <v/>
      </c>
      <c r="AU314" s="46" t="str">
        <f aca="false">IF($D314="Followup",'Survey Response'!$K312,"")</f>
        <v/>
      </c>
      <c r="AV314" s="46" t="str">
        <f aca="false">IF($D314="Followup",'Survey Response'!$L312,"")</f>
        <v/>
      </c>
      <c r="AW314" s="46" t="str">
        <f aca="false">IF($D314="Followup",IF(AND($P314&lt;&gt;"Yes",$U314&lt;&gt;"Yes"),"Not approved for primary or secondary skill","Approved, but skill(s) no longer have capacity (fully staffed)"),"")</f>
        <v/>
      </c>
    </row>
    <row r="315" customFormat="false" ht="15" hidden="false" customHeight="true" outlineLevel="0" collapsed="false">
      <c r="A315" s="46" t="str">
        <f aca="false">IF('Survey Response'!$D313="","",'Survey Response'!$A313&amp;"|"&amp;LOWER(TRIM('Survey Response'!$D313)))</f>
        <v/>
      </c>
      <c r="B315" s="46" t="str">
        <f aca="false">IF($H315="","",$F315&amp;"|"&amp;$H315)</f>
        <v/>
      </c>
      <c r="C315" s="46" t="str">
        <f aca="false">IF($H315="","",$A315=$B315)</f>
        <v/>
      </c>
      <c r="D315" s="46" t="str">
        <f aca="false">IF($H315="","",IF($E315&lt;&gt;"Yes","Superseded",IF($I315&lt;&gt;"Yes, I'm available for in-person interviews at Chennai","Not Available",IF($Z315&lt;&gt;"","Panel Details","Followup"))))</f>
        <v/>
      </c>
      <c r="E315" s="46" t="str">
        <f aca="false">IF($H315="","",IF(SUMPRODUCT(($H$4:$H$503=$H315)*(($G$4:$G$503&gt;$G315)+($G$4:$G$503=$G315)*($F$4:$F$503&gt;$F315)))=0,"Yes","No"))</f>
        <v/>
      </c>
      <c r="F315" s="47" t="str">
        <f aca="false">IF('Survey Response'!$D313="","",INT('Survey Response'!$A313))</f>
        <v/>
      </c>
      <c r="G315" s="46" t="str">
        <f aca="false">IF('Survey Response'!$D313="","",'Survey Response'!$C313)</f>
        <v/>
      </c>
      <c r="H315" s="46" t="str">
        <f aca="false">IF('Survey Response'!$D313="","",LOWER(TRIM('Survey Response'!$D313)))</f>
        <v/>
      </c>
      <c r="I315" s="46" t="str">
        <f aca="false">IF($H315="","",'Survey Response'!$I313)</f>
        <v/>
      </c>
      <c r="J315" s="46" t="str">
        <f aca="false">IF($H315="","",'Survey Response'!$K313)</f>
        <v/>
      </c>
      <c r="K315" s="46" t="str">
        <f aca="false">IF($J315="","",IF(COUNTIF('Skill Mapping'!$A$2:$A$7,TRIM($J315))=0,"",INDEX('Skill Mapping'!$B$2:$B$7,MATCH(TRIM($J315),'Skill Mapping'!$A$2:$A$7,0))))</f>
        <v/>
      </c>
      <c r="L315" s="46" t="str">
        <f aca="false">IF($H315="","",'Survey Response'!$L313)</f>
        <v/>
      </c>
      <c r="M315" s="46" t="str">
        <f aca="false">IF($L315="","",IF(COUNTIF('Skill Mapping'!$A$2:$A$7,TRIM($L315))=0,"",INDEX('Skill Mapping'!$B$2:$B$7,MATCH(TRIM($L315),'Skill Mapping'!$A$2:$A$7,0))))</f>
        <v/>
      </c>
      <c r="N315" s="46" t="str">
        <f aca="false">IF($H315="","",'Survey Response'!$M313)</f>
        <v/>
      </c>
      <c r="O315" s="46" t="str">
        <f aca="false">IF($H315="","",IF('Survey Response'!$M313="Manager","R2","R1"))</f>
        <v/>
      </c>
      <c r="P315" s="46" t="str">
        <f aca="false">IF($K315="","No",IF(COUNTIFS(MasterPanel!$B:$B,$H315,MasterPanel!$I:$I,$K315,MasterPanel!$K:$K,"Y")&gt;0,"Yes","No"))</f>
        <v>No</v>
      </c>
      <c r="Q315" s="46" t="n">
        <f aca="false">IF($K315="",0,IF(COUNTIF('Gap Sheet'!$A$6:$A$11,TRIM($J315))=0,0,IF($O315="R1",INDEX('Gap Sheet'!$C$6:$C$11,MATCH(TRIM($J315),'Gap Sheet'!$A$6:$A$11,0)),INDEX('Gap Sheet'!$G$6:$G$11,MATCH(TRIM($J315),'Gap Sheet'!$A$6:$A$11,0)))))</f>
        <v>0</v>
      </c>
      <c r="R315" s="46" t="str">
        <f aca="false">IF($K315="","",$K315&amp;"|"&amp;$O315)</f>
        <v/>
      </c>
      <c r="S315" s="46" t="n">
        <f aca="false">IF($R315="",0,COUNTIF($AA$4:$AA314,$R315))</f>
        <v>0</v>
      </c>
      <c r="T315" s="46" t="str">
        <f aca="false">IF(OR($I315&lt;&gt;"Yes, I'm available for in-person interviews at Chennai",$E315&lt;&gt;"Yes",$P315&lt;&gt;"Yes"),"No",IF(($Q315-$S315)&gt;0,"Yes","No"))</f>
        <v>No</v>
      </c>
      <c r="U315" s="46" t="str">
        <f aca="false">IF($M315="","No",IF(COUNTIFS(MasterPanel!$B:$B,$H315,MasterPanel!$I:$I,$M315,MasterPanel!$K:$K,"Y")&gt;0,"Yes","No"))</f>
        <v>No</v>
      </c>
      <c r="V315" s="46" t="n">
        <f aca="false">IF($M315="",0,IF(COUNTIF('Gap Sheet'!$A$6:$A$11,TRIM($L315))=0,0,IF($O315="R1",INDEX('Gap Sheet'!$C$6:$C$11,MATCH(TRIM($L315),'Gap Sheet'!$A$6:$A$11,0)),INDEX('Gap Sheet'!$G$6:$G$11,MATCH(TRIM($L315),'Gap Sheet'!$A$6:$A$11,0)))))</f>
        <v>0</v>
      </c>
      <c r="W315" s="46" t="str">
        <f aca="false">IF($M315="","",$M315&amp;"|"&amp;$O315)</f>
        <v/>
      </c>
      <c r="X315" s="46" t="n">
        <f aca="false">IF($W315="",0,COUNTIF($AA$4:$AA314,$W315))</f>
        <v>0</v>
      </c>
      <c r="Y315" s="46" t="str">
        <f aca="false">IF(OR($I315&lt;&gt;"Yes, I'm available for in-person interviews at Chennai",$E315&lt;&gt;"Yes",$T315="Yes",$U315&lt;&gt;"Yes"),"No",IF(($V315-$X315)&gt;0,"Yes","No"))</f>
        <v>No</v>
      </c>
      <c r="Z315" s="46" t="str">
        <f aca="false">IF($T315="Yes","Primary",IF($Y315="Yes","Secondary",""))</f>
        <v/>
      </c>
      <c r="AA315" s="46" t="str">
        <f aca="false">IF($Z315="Primary",$R315,IF($Z315="Secondary",$W315,""))</f>
        <v/>
      </c>
      <c r="AB315" s="46" t="str">
        <f aca="false">IF($Z315="Primary","Matched on primary skill",IF($Z315="Secondary","Matched on secondary skill (primary not approved or not required)",""))</f>
        <v/>
      </c>
      <c r="AC315" s="47" t="str">
        <f aca="false">IF($D315="Panel Details",$F315,"")</f>
        <v/>
      </c>
      <c r="AD315" s="46" t="str">
        <f aca="false">IF($D315="Panel Details",'Survey Response'!$D313,"")</f>
        <v/>
      </c>
      <c r="AE315" s="46" t="str">
        <f aca="false">IF($D315="Panel Details",'Survey Response'!$E313,"")</f>
        <v/>
      </c>
      <c r="AF315" s="46" t="str">
        <f aca="false">IF($D315="Panel Details",'Survey Response'!$G313,"")</f>
        <v/>
      </c>
      <c r="AG315" s="46" t="str">
        <f aca="false">IF($D315="Panel Details",IF($Z315="Primary",$J315,$L315),"")</f>
        <v/>
      </c>
      <c r="AH315" s="46" t="str">
        <f aca="false">IF($D315="Panel Details",IF($Z315="Primary",$L315,$J315),"")</f>
        <v/>
      </c>
      <c r="AI315" s="46" t="str">
        <f aca="false">IF($D315="Panel Details",'Survey Response'!$H313,"")</f>
        <v/>
      </c>
      <c r="AJ315" s="46" t="str">
        <f aca="false">IF($D315="Panel Details",'Survey Response'!$M313,"")</f>
        <v/>
      </c>
      <c r="AK315" s="46" t="str">
        <f aca="false">IF($D315="Panel Details",$O315,"")</f>
        <v/>
      </c>
      <c r="AL315" s="46" t="str">
        <f aca="false">IF($D315="Panel Details",8,"")</f>
        <v/>
      </c>
      <c r="AM315" s="46" t="str">
        <f aca="false">IF($D315="Panel Details",$AB315,"")</f>
        <v/>
      </c>
      <c r="AN315" s="46" t="str">
        <f aca="false">IF($D315="Panel Details","Yes","")</f>
        <v/>
      </c>
      <c r="AO315" s="46"/>
      <c r="AP315" s="46" t="str">
        <f aca="false">IF($D315="Followup",'Survey Response'!$D313,"")</f>
        <v/>
      </c>
      <c r="AQ315" s="46" t="str">
        <f aca="false">IF($D315="Followup",'Survey Response'!$E313,"")</f>
        <v/>
      </c>
      <c r="AR315" s="46" t="str">
        <f aca="false">IF($D315="Followup",'Survey Response'!$G313,"")</f>
        <v/>
      </c>
      <c r="AS315" s="46" t="str">
        <f aca="false">IF($D315="Followup",'Survey Response'!$H313,"")</f>
        <v/>
      </c>
      <c r="AT315" s="46" t="str">
        <f aca="false">IF($D315="Followup",'Survey Response'!$M313,"")</f>
        <v/>
      </c>
      <c r="AU315" s="46" t="str">
        <f aca="false">IF($D315="Followup",'Survey Response'!$K313,"")</f>
        <v/>
      </c>
      <c r="AV315" s="46" t="str">
        <f aca="false">IF($D315="Followup",'Survey Response'!$L313,"")</f>
        <v/>
      </c>
      <c r="AW315" s="46" t="str">
        <f aca="false">IF($D315="Followup",IF(AND($P315&lt;&gt;"Yes",$U315&lt;&gt;"Yes"),"Not approved for primary or secondary skill","Approved, but skill(s) no longer have capacity (fully staffed)"),"")</f>
        <v/>
      </c>
    </row>
    <row r="316" customFormat="false" ht="15" hidden="false" customHeight="true" outlineLevel="0" collapsed="false">
      <c r="A316" s="46" t="str">
        <f aca="false">IF('Survey Response'!$D314="","",'Survey Response'!$A314&amp;"|"&amp;LOWER(TRIM('Survey Response'!$D314)))</f>
        <v/>
      </c>
      <c r="B316" s="46" t="str">
        <f aca="false">IF($H316="","",$F316&amp;"|"&amp;$H316)</f>
        <v/>
      </c>
      <c r="C316" s="46" t="str">
        <f aca="false">IF($H316="","",$A316=$B316)</f>
        <v/>
      </c>
      <c r="D316" s="46" t="str">
        <f aca="false">IF($H316="","",IF($E316&lt;&gt;"Yes","Superseded",IF($I316&lt;&gt;"Yes, I'm available for in-person interviews at Chennai","Not Available",IF($Z316&lt;&gt;"","Panel Details","Followup"))))</f>
        <v/>
      </c>
      <c r="E316" s="46" t="str">
        <f aca="false">IF($H316="","",IF(SUMPRODUCT(($H$4:$H$503=$H316)*(($G$4:$G$503&gt;$G316)+($G$4:$G$503=$G316)*($F$4:$F$503&gt;$F316)))=0,"Yes","No"))</f>
        <v/>
      </c>
      <c r="F316" s="47" t="str">
        <f aca="false">IF('Survey Response'!$D314="","",INT('Survey Response'!$A314))</f>
        <v/>
      </c>
      <c r="G316" s="46" t="str">
        <f aca="false">IF('Survey Response'!$D314="","",'Survey Response'!$C314)</f>
        <v/>
      </c>
      <c r="H316" s="46" t="str">
        <f aca="false">IF('Survey Response'!$D314="","",LOWER(TRIM('Survey Response'!$D314)))</f>
        <v/>
      </c>
      <c r="I316" s="46" t="str">
        <f aca="false">IF($H316="","",'Survey Response'!$I314)</f>
        <v/>
      </c>
      <c r="J316" s="46" t="str">
        <f aca="false">IF($H316="","",'Survey Response'!$K314)</f>
        <v/>
      </c>
      <c r="K316" s="46" t="str">
        <f aca="false">IF($J316="","",IF(COUNTIF('Skill Mapping'!$A$2:$A$7,TRIM($J316))=0,"",INDEX('Skill Mapping'!$B$2:$B$7,MATCH(TRIM($J316),'Skill Mapping'!$A$2:$A$7,0))))</f>
        <v/>
      </c>
      <c r="L316" s="46" t="str">
        <f aca="false">IF($H316="","",'Survey Response'!$L314)</f>
        <v/>
      </c>
      <c r="M316" s="46" t="str">
        <f aca="false">IF($L316="","",IF(COUNTIF('Skill Mapping'!$A$2:$A$7,TRIM($L316))=0,"",INDEX('Skill Mapping'!$B$2:$B$7,MATCH(TRIM($L316),'Skill Mapping'!$A$2:$A$7,0))))</f>
        <v/>
      </c>
      <c r="N316" s="46" t="str">
        <f aca="false">IF($H316="","",'Survey Response'!$M314)</f>
        <v/>
      </c>
      <c r="O316" s="46" t="str">
        <f aca="false">IF($H316="","",IF('Survey Response'!$M314="Manager","R2","R1"))</f>
        <v/>
      </c>
      <c r="P316" s="46" t="str">
        <f aca="false">IF($K316="","No",IF(COUNTIFS(MasterPanel!$B:$B,$H316,MasterPanel!$I:$I,$K316,MasterPanel!$K:$K,"Y")&gt;0,"Yes","No"))</f>
        <v>No</v>
      </c>
      <c r="Q316" s="46" t="n">
        <f aca="false">IF($K316="",0,IF(COUNTIF('Gap Sheet'!$A$6:$A$11,TRIM($J316))=0,0,IF($O316="R1",INDEX('Gap Sheet'!$C$6:$C$11,MATCH(TRIM($J316),'Gap Sheet'!$A$6:$A$11,0)),INDEX('Gap Sheet'!$G$6:$G$11,MATCH(TRIM($J316),'Gap Sheet'!$A$6:$A$11,0)))))</f>
        <v>0</v>
      </c>
      <c r="R316" s="46" t="str">
        <f aca="false">IF($K316="","",$K316&amp;"|"&amp;$O316)</f>
        <v/>
      </c>
      <c r="S316" s="46" t="n">
        <f aca="false">IF($R316="",0,COUNTIF($AA$4:$AA315,$R316))</f>
        <v>0</v>
      </c>
      <c r="T316" s="46" t="str">
        <f aca="false">IF(OR($I316&lt;&gt;"Yes, I'm available for in-person interviews at Chennai",$E316&lt;&gt;"Yes",$P316&lt;&gt;"Yes"),"No",IF(($Q316-$S316)&gt;0,"Yes","No"))</f>
        <v>No</v>
      </c>
      <c r="U316" s="46" t="str">
        <f aca="false">IF($M316="","No",IF(COUNTIFS(MasterPanel!$B:$B,$H316,MasterPanel!$I:$I,$M316,MasterPanel!$K:$K,"Y")&gt;0,"Yes","No"))</f>
        <v>No</v>
      </c>
      <c r="V316" s="46" t="n">
        <f aca="false">IF($M316="",0,IF(COUNTIF('Gap Sheet'!$A$6:$A$11,TRIM($L316))=0,0,IF($O316="R1",INDEX('Gap Sheet'!$C$6:$C$11,MATCH(TRIM($L316),'Gap Sheet'!$A$6:$A$11,0)),INDEX('Gap Sheet'!$G$6:$G$11,MATCH(TRIM($L316),'Gap Sheet'!$A$6:$A$11,0)))))</f>
        <v>0</v>
      </c>
      <c r="W316" s="46" t="str">
        <f aca="false">IF($M316="","",$M316&amp;"|"&amp;$O316)</f>
        <v/>
      </c>
      <c r="X316" s="46" t="n">
        <f aca="false">IF($W316="",0,COUNTIF($AA$4:$AA315,$W316))</f>
        <v>0</v>
      </c>
      <c r="Y316" s="46" t="str">
        <f aca="false">IF(OR($I316&lt;&gt;"Yes, I'm available for in-person interviews at Chennai",$E316&lt;&gt;"Yes",$T316="Yes",$U316&lt;&gt;"Yes"),"No",IF(($V316-$X316)&gt;0,"Yes","No"))</f>
        <v>No</v>
      </c>
      <c r="Z316" s="46" t="str">
        <f aca="false">IF($T316="Yes","Primary",IF($Y316="Yes","Secondary",""))</f>
        <v/>
      </c>
      <c r="AA316" s="46" t="str">
        <f aca="false">IF($Z316="Primary",$R316,IF($Z316="Secondary",$W316,""))</f>
        <v/>
      </c>
      <c r="AB316" s="46" t="str">
        <f aca="false">IF($Z316="Primary","Matched on primary skill",IF($Z316="Secondary","Matched on secondary skill (primary not approved or not required)",""))</f>
        <v/>
      </c>
      <c r="AC316" s="47" t="str">
        <f aca="false">IF($D316="Panel Details",$F316,"")</f>
        <v/>
      </c>
      <c r="AD316" s="46" t="str">
        <f aca="false">IF($D316="Panel Details",'Survey Response'!$D314,"")</f>
        <v/>
      </c>
      <c r="AE316" s="46" t="str">
        <f aca="false">IF($D316="Panel Details",'Survey Response'!$E314,"")</f>
        <v/>
      </c>
      <c r="AF316" s="46" t="str">
        <f aca="false">IF($D316="Panel Details",'Survey Response'!$G314,"")</f>
        <v/>
      </c>
      <c r="AG316" s="46" t="str">
        <f aca="false">IF($D316="Panel Details",IF($Z316="Primary",$J316,$L316),"")</f>
        <v/>
      </c>
      <c r="AH316" s="46" t="str">
        <f aca="false">IF($D316="Panel Details",IF($Z316="Primary",$L316,$J316),"")</f>
        <v/>
      </c>
      <c r="AI316" s="46" t="str">
        <f aca="false">IF($D316="Panel Details",'Survey Response'!$H314,"")</f>
        <v/>
      </c>
      <c r="AJ316" s="46" t="str">
        <f aca="false">IF($D316="Panel Details",'Survey Response'!$M314,"")</f>
        <v/>
      </c>
      <c r="AK316" s="46" t="str">
        <f aca="false">IF($D316="Panel Details",$O316,"")</f>
        <v/>
      </c>
      <c r="AL316" s="46" t="str">
        <f aca="false">IF($D316="Panel Details",8,"")</f>
        <v/>
      </c>
      <c r="AM316" s="46" t="str">
        <f aca="false">IF($D316="Panel Details",$AB316,"")</f>
        <v/>
      </c>
      <c r="AN316" s="46" t="str">
        <f aca="false">IF($D316="Panel Details","Yes","")</f>
        <v/>
      </c>
      <c r="AO316" s="46"/>
      <c r="AP316" s="46" t="str">
        <f aca="false">IF($D316="Followup",'Survey Response'!$D314,"")</f>
        <v/>
      </c>
      <c r="AQ316" s="46" t="str">
        <f aca="false">IF($D316="Followup",'Survey Response'!$E314,"")</f>
        <v/>
      </c>
      <c r="AR316" s="46" t="str">
        <f aca="false">IF($D316="Followup",'Survey Response'!$G314,"")</f>
        <v/>
      </c>
      <c r="AS316" s="46" t="str">
        <f aca="false">IF($D316="Followup",'Survey Response'!$H314,"")</f>
        <v/>
      </c>
      <c r="AT316" s="46" t="str">
        <f aca="false">IF($D316="Followup",'Survey Response'!$M314,"")</f>
        <v/>
      </c>
      <c r="AU316" s="46" t="str">
        <f aca="false">IF($D316="Followup",'Survey Response'!$K314,"")</f>
        <v/>
      </c>
      <c r="AV316" s="46" t="str">
        <f aca="false">IF($D316="Followup",'Survey Response'!$L314,"")</f>
        <v/>
      </c>
      <c r="AW316" s="46" t="str">
        <f aca="false">IF($D316="Followup",IF(AND($P316&lt;&gt;"Yes",$U316&lt;&gt;"Yes"),"Not approved for primary or secondary skill","Approved, but skill(s) no longer have capacity (fully staffed)"),"")</f>
        <v/>
      </c>
    </row>
    <row r="317" customFormat="false" ht="15" hidden="false" customHeight="true" outlineLevel="0" collapsed="false">
      <c r="A317" s="46" t="str">
        <f aca="false">IF('Survey Response'!$D315="","",'Survey Response'!$A315&amp;"|"&amp;LOWER(TRIM('Survey Response'!$D315)))</f>
        <v/>
      </c>
      <c r="B317" s="46" t="str">
        <f aca="false">IF($H317="","",$F317&amp;"|"&amp;$H317)</f>
        <v/>
      </c>
      <c r="C317" s="46" t="str">
        <f aca="false">IF($H317="","",$A317=$B317)</f>
        <v/>
      </c>
      <c r="D317" s="46" t="str">
        <f aca="false">IF($H317="","",IF($E317&lt;&gt;"Yes","Superseded",IF($I317&lt;&gt;"Yes, I'm available for in-person interviews at Chennai","Not Available",IF($Z317&lt;&gt;"","Panel Details","Followup"))))</f>
        <v/>
      </c>
      <c r="E317" s="46" t="str">
        <f aca="false">IF($H317="","",IF(SUMPRODUCT(($H$4:$H$503=$H317)*(($G$4:$G$503&gt;$G317)+($G$4:$G$503=$G317)*($F$4:$F$503&gt;$F317)))=0,"Yes","No"))</f>
        <v/>
      </c>
      <c r="F317" s="47" t="str">
        <f aca="false">IF('Survey Response'!$D315="","",INT('Survey Response'!$A315))</f>
        <v/>
      </c>
      <c r="G317" s="46" t="str">
        <f aca="false">IF('Survey Response'!$D315="","",'Survey Response'!$C315)</f>
        <v/>
      </c>
      <c r="H317" s="46" t="str">
        <f aca="false">IF('Survey Response'!$D315="","",LOWER(TRIM('Survey Response'!$D315)))</f>
        <v/>
      </c>
      <c r="I317" s="46" t="str">
        <f aca="false">IF($H317="","",'Survey Response'!$I315)</f>
        <v/>
      </c>
      <c r="J317" s="46" t="str">
        <f aca="false">IF($H317="","",'Survey Response'!$K315)</f>
        <v/>
      </c>
      <c r="K317" s="46" t="str">
        <f aca="false">IF($J317="","",IF(COUNTIF('Skill Mapping'!$A$2:$A$7,TRIM($J317))=0,"",INDEX('Skill Mapping'!$B$2:$B$7,MATCH(TRIM($J317),'Skill Mapping'!$A$2:$A$7,0))))</f>
        <v/>
      </c>
      <c r="L317" s="46" t="str">
        <f aca="false">IF($H317="","",'Survey Response'!$L315)</f>
        <v/>
      </c>
      <c r="M317" s="46" t="str">
        <f aca="false">IF($L317="","",IF(COUNTIF('Skill Mapping'!$A$2:$A$7,TRIM($L317))=0,"",INDEX('Skill Mapping'!$B$2:$B$7,MATCH(TRIM($L317),'Skill Mapping'!$A$2:$A$7,0))))</f>
        <v/>
      </c>
      <c r="N317" s="46" t="str">
        <f aca="false">IF($H317="","",'Survey Response'!$M315)</f>
        <v/>
      </c>
      <c r="O317" s="46" t="str">
        <f aca="false">IF($H317="","",IF('Survey Response'!$M315="Manager","R2","R1"))</f>
        <v/>
      </c>
      <c r="P317" s="46" t="str">
        <f aca="false">IF($K317="","No",IF(COUNTIFS(MasterPanel!$B:$B,$H317,MasterPanel!$I:$I,$K317,MasterPanel!$K:$K,"Y")&gt;0,"Yes","No"))</f>
        <v>No</v>
      </c>
      <c r="Q317" s="46" t="n">
        <f aca="false">IF($K317="",0,IF(COUNTIF('Gap Sheet'!$A$6:$A$11,TRIM($J317))=0,0,IF($O317="R1",INDEX('Gap Sheet'!$C$6:$C$11,MATCH(TRIM($J317),'Gap Sheet'!$A$6:$A$11,0)),INDEX('Gap Sheet'!$G$6:$G$11,MATCH(TRIM($J317),'Gap Sheet'!$A$6:$A$11,0)))))</f>
        <v>0</v>
      </c>
      <c r="R317" s="46" t="str">
        <f aca="false">IF($K317="","",$K317&amp;"|"&amp;$O317)</f>
        <v/>
      </c>
      <c r="S317" s="46" t="n">
        <f aca="false">IF($R317="",0,COUNTIF($AA$4:$AA316,$R317))</f>
        <v>0</v>
      </c>
      <c r="T317" s="46" t="str">
        <f aca="false">IF(OR($I317&lt;&gt;"Yes, I'm available for in-person interviews at Chennai",$E317&lt;&gt;"Yes",$P317&lt;&gt;"Yes"),"No",IF(($Q317-$S317)&gt;0,"Yes","No"))</f>
        <v>No</v>
      </c>
      <c r="U317" s="46" t="str">
        <f aca="false">IF($M317="","No",IF(COUNTIFS(MasterPanel!$B:$B,$H317,MasterPanel!$I:$I,$M317,MasterPanel!$K:$K,"Y")&gt;0,"Yes","No"))</f>
        <v>No</v>
      </c>
      <c r="V317" s="46" t="n">
        <f aca="false">IF($M317="",0,IF(COUNTIF('Gap Sheet'!$A$6:$A$11,TRIM($L317))=0,0,IF($O317="R1",INDEX('Gap Sheet'!$C$6:$C$11,MATCH(TRIM($L317),'Gap Sheet'!$A$6:$A$11,0)),INDEX('Gap Sheet'!$G$6:$G$11,MATCH(TRIM($L317),'Gap Sheet'!$A$6:$A$11,0)))))</f>
        <v>0</v>
      </c>
      <c r="W317" s="46" t="str">
        <f aca="false">IF($M317="","",$M317&amp;"|"&amp;$O317)</f>
        <v/>
      </c>
      <c r="X317" s="46" t="n">
        <f aca="false">IF($W317="",0,COUNTIF($AA$4:$AA316,$W317))</f>
        <v>0</v>
      </c>
      <c r="Y317" s="46" t="str">
        <f aca="false">IF(OR($I317&lt;&gt;"Yes, I'm available for in-person interviews at Chennai",$E317&lt;&gt;"Yes",$T317="Yes",$U317&lt;&gt;"Yes"),"No",IF(($V317-$X317)&gt;0,"Yes","No"))</f>
        <v>No</v>
      </c>
      <c r="Z317" s="46" t="str">
        <f aca="false">IF($T317="Yes","Primary",IF($Y317="Yes","Secondary",""))</f>
        <v/>
      </c>
      <c r="AA317" s="46" t="str">
        <f aca="false">IF($Z317="Primary",$R317,IF($Z317="Secondary",$W317,""))</f>
        <v/>
      </c>
      <c r="AB317" s="46" t="str">
        <f aca="false">IF($Z317="Primary","Matched on primary skill",IF($Z317="Secondary","Matched on secondary skill (primary not approved or not required)",""))</f>
        <v/>
      </c>
      <c r="AC317" s="47" t="str">
        <f aca="false">IF($D317="Panel Details",$F317,"")</f>
        <v/>
      </c>
      <c r="AD317" s="46" t="str">
        <f aca="false">IF($D317="Panel Details",'Survey Response'!$D315,"")</f>
        <v/>
      </c>
      <c r="AE317" s="46" t="str">
        <f aca="false">IF($D317="Panel Details",'Survey Response'!$E315,"")</f>
        <v/>
      </c>
      <c r="AF317" s="46" t="str">
        <f aca="false">IF($D317="Panel Details",'Survey Response'!$G315,"")</f>
        <v/>
      </c>
      <c r="AG317" s="46" t="str">
        <f aca="false">IF($D317="Panel Details",IF($Z317="Primary",$J317,$L317),"")</f>
        <v/>
      </c>
      <c r="AH317" s="46" t="str">
        <f aca="false">IF($D317="Panel Details",IF($Z317="Primary",$L317,$J317),"")</f>
        <v/>
      </c>
      <c r="AI317" s="46" t="str">
        <f aca="false">IF($D317="Panel Details",'Survey Response'!$H315,"")</f>
        <v/>
      </c>
      <c r="AJ317" s="46" t="str">
        <f aca="false">IF($D317="Panel Details",'Survey Response'!$M315,"")</f>
        <v/>
      </c>
      <c r="AK317" s="46" t="str">
        <f aca="false">IF($D317="Panel Details",$O317,"")</f>
        <v/>
      </c>
      <c r="AL317" s="46" t="str">
        <f aca="false">IF($D317="Panel Details",8,"")</f>
        <v/>
      </c>
      <c r="AM317" s="46" t="str">
        <f aca="false">IF($D317="Panel Details",$AB317,"")</f>
        <v/>
      </c>
      <c r="AN317" s="46" t="str">
        <f aca="false">IF($D317="Panel Details","Yes","")</f>
        <v/>
      </c>
      <c r="AO317" s="46"/>
      <c r="AP317" s="46" t="str">
        <f aca="false">IF($D317="Followup",'Survey Response'!$D315,"")</f>
        <v/>
      </c>
      <c r="AQ317" s="46" t="str">
        <f aca="false">IF($D317="Followup",'Survey Response'!$E315,"")</f>
        <v/>
      </c>
      <c r="AR317" s="46" t="str">
        <f aca="false">IF($D317="Followup",'Survey Response'!$G315,"")</f>
        <v/>
      </c>
      <c r="AS317" s="46" t="str">
        <f aca="false">IF($D317="Followup",'Survey Response'!$H315,"")</f>
        <v/>
      </c>
      <c r="AT317" s="46" t="str">
        <f aca="false">IF($D317="Followup",'Survey Response'!$M315,"")</f>
        <v/>
      </c>
      <c r="AU317" s="46" t="str">
        <f aca="false">IF($D317="Followup",'Survey Response'!$K315,"")</f>
        <v/>
      </c>
      <c r="AV317" s="46" t="str">
        <f aca="false">IF($D317="Followup",'Survey Response'!$L315,"")</f>
        <v/>
      </c>
      <c r="AW317" s="46" t="str">
        <f aca="false">IF($D317="Followup",IF(AND($P317&lt;&gt;"Yes",$U317&lt;&gt;"Yes"),"Not approved for primary or secondary skill","Approved, but skill(s) no longer have capacity (fully staffed)"),"")</f>
        <v/>
      </c>
    </row>
    <row r="318" customFormat="false" ht="15" hidden="false" customHeight="true" outlineLevel="0" collapsed="false">
      <c r="A318" s="46" t="str">
        <f aca="false">IF('Survey Response'!$D316="","",'Survey Response'!$A316&amp;"|"&amp;LOWER(TRIM('Survey Response'!$D316)))</f>
        <v/>
      </c>
      <c r="B318" s="46" t="str">
        <f aca="false">IF($H318="","",$F318&amp;"|"&amp;$H318)</f>
        <v/>
      </c>
      <c r="C318" s="46" t="str">
        <f aca="false">IF($H318="","",$A318=$B318)</f>
        <v/>
      </c>
      <c r="D318" s="46" t="str">
        <f aca="false">IF($H318="","",IF($E318&lt;&gt;"Yes","Superseded",IF($I318&lt;&gt;"Yes, I'm available for in-person interviews at Chennai","Not Available",IF($Z318&lt;&gt;"","Panel Details","Followup"))))</f>
        <v/>
      </c>
      <c r="E318" s="46" t="str">
        <f aca="false">IF($H318="","",IF(SUMPRODUCT(($H$4:$H$503=$H318)*(($G$4:$G$503&gt;$G318)+($G$4:$G$503=$G318)*($F$4:$F$503&gt;$F318)))=0,"Yes","No"))</f>
        <v/>
      </c>
      <c r="F318" s="47" t="str">
        <f aca="false">IF('Survey Response'!$D316="","",INT('Survey Response'!$A316))</f>
        <v/>
      </c>
      <c r="G318" s="46" t="str">
        <f aca="false">IF('Survey Response'!$D316="","",'Survey Response'!$C316)</f>
        <v/>
      </c>
      <c r="H318" s="46" t="str">
        <f aca="false">IF('Survey Response'!$D316="","",LOWER(TRIM('Survey Response'!$D316)))</f>
        <v/>
      </c>
      <c r="I318" s="46" t="str">
        <f aca="false">IF($H318="","",'Survey Response'!$I316)</f>
        <v/>
      </c>
      <c r="J318" s="46" t="str">
        <f aca="false">IF($H318="","",'Survey Response'!$K316)</f>
        <v/>
      </c>
      <c r="K318" s="46" t="str">
        <f aca="false">IF($J318="","",IF(COUNTIF('Skill Mapping'!$A$2:$A$7,TRIM($J318))=0,"",INDEX('Skill Mapping'!$B$2:$B$7,MATCH(TRIM($J318),'Skill Mapping'!$A$2:$A$7,0))))</f>
        <v/>
      </c>
      <c r="L318" s="46" t="str">
        <f aca="false">IF($H318="","",'Survey Response'!$L316)</f>
        <v/>
      </c>
      <c r="M318" s="46" t="str">
        <f aca="false">IF($L318="","",IF(COUNTIF('Skill Mapping'!$A$2:$A$7,TRIM($L318))=0,"",INDEX('Skill Mapping'!$B$2:$B$7,MATCH(TRIM($L318),'Skill Mapping'!$A$2:$A$7,0))))</f>
        <v/>
      </c>
      <c r="N318" s="46" t="str">
        <f aca="false">IF($H318="","",'Survey Response'!$M316)</f>
        <v/>
      </c>
      <c r="O318" s="46" t="str">
        <f aca="false">IF($H318="","",IF('Survey Response'!$M316="Manager","R2","R1"))</f>
        <v/>
      </c>
      <c r="P318" s="46" t="str">
        <f aca="false">IF($K318="","No",IF(COUNTIFS(MasterPanel!$B:$B,$H318,MasterPanel!$I:$I,$K318,MasterPanel!$K:$K,"Y")&gt;0,"Yes","No"))</f>
        <v>No</v>
      </c>
      <c r="Q318" s="46" t="n">
        <f aca="false">IF($K318="",0,IF(COUNTIF('Gap Sheet'!$A$6:$A$11,TRIM($J318))=0,0,IF($O318="R1",INDEX('Gap Sheet'!$C$6:$C$11,MATCH(TRIM($J318),'Gap Sheet'!$A$6:$A$11,0)),INDEX('Gap Sheet'!$G$6:$G$11,MATCH(TRIM($J318),'Gap Sheet'!$A$6:$A$11,0)))))</f>
        <v>0</v>
      </c>
      <c r="R318" s="46" t="str">
        <f aca="false">IF($K318="","",$K318&amp;"|"&amp;$O318)</f>
        <v/>
      </c>
      <c r="S318" s="46" t="n">
        <f aca="false">IF($R318="",0,COUNTIF($AA$4:$AA317,$R318))</f>
        <v>0</v>
      </c>
      <c r="T318" s="46" t="str">
        <f aca="false">IF(OR($I318&lt;&gt;"Yes, I'm available for in-person interviews at Chennai",$E318&lt;&gt;"Yes",$P318&lt;&gt;"Yes"),"No",IF(($Q318-$S318)&gt;0,"Yes","No"))</f>
        <v>No</v>
      </c>
      <c r="U318" s="46" t="str">
        <f aca="false">IF($M318="","No",IF(COUNTIFS(MasterPanel!$B:$B,$H318,MasterPanel!$I:$I,$M318,MasterPanel!$K:$K,"Y")&gt;0,"Yes","No"))</f>
        <v>No</v>
      </c>
      <c r="V318" s="46" t="n">
        <f aca="false">IF($M318="",0,IF(COUNTIF('Gap Sheet'!$A$6:$A$11,TRIM($L318))=0,0,IF($O318="R1",INDEX('Gap Sheet'!$C$6:$C$11,MATCH(TRIM($L318),'Gap Sheet'!$A$6:$A$11,0)),INDEX('Gap Sheet'!$G$6:$G$11,MATCH(TRIM($L318),'Gap Sheet'!$A$6:$A$11,0)))))</f>
        <v>0</v>
      </c>
      <c r="W318" s="46" t="str">
        <f aca="false">IF($M318="","",$M318&amp;"|"&amp;$O318)</f>
        <v/>
      </c>
      <c r="X318" s="46" t="n">
        <f aca="false">IF($W318="",0,COUNTIF($AA$4:$AA317,$W318))</f>
        <v>0</v>
      </c>
      <c r="Y318" s="46" t="str">
        <f aca="false">IF(OR($I318&lt;&gt;"Yes, I'm available for in-person interviews at Chennai",$E318&lt;&gt;"Yes",$T318="Yes",$U318&lt;&gt;"Yes"),"No",IF(($V318-$X318)&gt;0,"Yes","No"))</f>
        <v>No</v>
      </c>
      <c r="Z318" s="46" t="str">
        <f aca="false">IF($T318="Yes","Primary",IF($Y318="Yes","Secondary",""))</f>
        <v/>
      </c>
      <c r="AA318" s="46" t="str">
        <f aca="false">IF($Z318="Primary",$R318,IF($Z318="Secondary",$W318,""))</f>
        <v/>
      </c>
      <c r="AB318" s="46" t="str">
        <f aca="false">IF($Z318="Primary","Matched on primary skill",IF($Z318="Secondary","Matched on secondary skill (primary not approved or not required)",""))</f>
        <v/>
      </c>
      <c r="AC318" s="47" t="str">
        <f aca="false">IF($D318="Panel Details",$F318,"")</f>
        <v/>
      </c>
      <c r="AD318" s="46" t="str">
        <f aca="false">IF($D318="Panel Details",'Survey Response'!$D316,"")</f>
        <v/>
      </c>
      <c r="AE318" s="46" t="str">
        <f aca="false">IF($D318="Panel Details",'Survey Response'!$E316,"")</f>
        <v/>
      </c>
      <c r="AF318" s="46" t="str">
        <f aca="false">IF($D318="Panel Details",'Survey Response'!$G316,"")</f>
        <v/>
      </c>
      <c r="AG318" s="46" t="str">
        <f aca="false">IF($D318="Panel Details",IF($Z318="Primary",$J318,$L318),"")</f>
        <v/>
      </c>
      <c r="AH318" s="46" t="str">
        <f aca="false">IF($D318="Panel Details",IF($Z318="Primary",$L318,$J318),"")</f>
        <v/>
      </c>
      <c r="AI318" s="46" t="str">
        <f aca="false">IF($D318="Panel Details",'Survey Response'!$H316,"")</f>
        <v/>
      </c>
      <c r="AJ318" s="46" t="str">
        <f aca="false">IF($D318="Panel Details",'Survey Response'!$M316,"")</f>
        <v/>
      </c>
      <c r="AK318" s="46" t="str">
        <f aca="false">IF($D318="Panel Details",$O318,"")</f>
        <v/>
      </c>
      <c r="AL318" s="46" t="str">
        <f aca="false">IF($D318="Panel Details",8,"")</f>
        <v/>
      </c>
      <c r="AM318" s="46" t="str">
        <f aca="false">IF($D318="Panel Details",$AB318,"")</f>
        <v/>
      </c>
      <c r="AN318" s="46" t="str">
        <f aca="false">IF($D318="Panel Details","Yes","")</f>
        <v/>
      </c>
      <c r="AO318" s="46"/>
      <c r="AP318" s="46" t="str">
        <f aca="false">IF($D318="Followup",'Survey Response'!$D316,"")</f>
        <v/>
      </c>
      <c r="AQ318" s="46" t="str">
        <f aca="false">IF($D318="Followup",'Survey Response'!$E316,"")</f>
        <v/>
      </c>
      <c r="AR318" s="46" t="str">
        <f aca="false">IF($D318="Followup",'Survey Response'!$G316,"")</f>
        <v/>
      </c>
      <c r="AS318" s="46" t="str">
        <f aca="false">IF($D318="Followup",'Survey Response'!$H316,"")</f>
        <v/>
      </c>
      <c r="AT318" s="46" t="str">
        <f aca="false">IF($D318="Followup",'Survey Response'!$M316,"")</f>
        <v/>
      </c>
      <c r="AU318" s="46" t="str">
        <f aca="false">IF($D318="Followup",'Survey Response'!$K316,"")</f>
        <v/>
      </c>
      <c r="AV318" s="46" t="str">
        <f aca="false">IF($D318="Followup",'Survey Response'!$L316,"")</f>
        <v/>
      </c>
      <c r="AW318" s="46" t="str">
        <f aca="false">IF($D318="Followup",IF(AND($P318&lt;&gt;"Yes",$U318&lt;&gt;"Yes"),"Not approved for primary or secondary skill","Approved, but skill(s) no longer have capacity (fully staffed)"),"")</f>
        <v/>
      </c>
    </row>
    <row r="319" customFormat="false" ht="15" hidden="false" customHeight="true" outlineLevel="0" collapsed="false">
      <c r="A319" s="46" t="str">
        <f aca="false">IF('Survey Response'!$D317="","",'Survey Response'!$A317&amp;"|"&amp;LOWER(TRIM('Survey Response'!$D317)))</f>
        <v/>
      </c>
      <c r="B319" s="46" t="str">
        <f aca="false">IF($H319="","",$F319&amp;"|"&amp;$H319)</f>
        <v/>
      </c>
      <c r="C319" s="46" t="str">
        <f aca="false">IF($H319="","",$A319=$B319)</f>
        <v/>
      </c>
      <c r="D319" s="46" t="str">
        <f aca="false">IF($H319="","",IF($E319&lt;&gt;"Yes","Superseded",IF($I319&lt;&gt;"Yes, I'm available for in-person interviews at Chennai","Not Available",IF($Z319&lt;&gt;"","Panel Details","Followup"))))</f>
        <v/>
      </c>
      <c r="E319" s="46" t="str">
        <f aca="false">IF($H319="","",IF(SUMPRODUCT(($H$4:$H$503=$H319)*(($G$4:$G$503&gt;$G319)+($G$4:$G$503=$G319)*($F$4:$F$503&gt;$F319)))=0,"Yes","No"))</f>
        <v/>
      </c>
      <c r="F319" s="47" t="str">
        <f aca="false">IF('Survey Response'!$D317="","",INT('Survey Response'!$A317))</f>
        <v/>
      </c>
      <c r="G319" s="46" t="str">
        <f aca="false">IF('Survey Response'!$D317="","",'Survey Response'!$C317)</f>
        <v/>
      </c>
      <c r="H319" s="46" t="str">
        <f aca="false">IF('Survey Response'!$D317="","",LOWER(TRIM('Survey Response'!$D317)))</f>
        <v/>
      </c>
      <c r="I319" s="46" t="str">
        <f aca="false">IF($H319="","",'Survey Response'!$I317)</f>
        <v/>
      </c>
      <c r="J319" s="46" t="str">
        <f aca="false">IF($H319="","",'Survey Response'!$K317)</f>
        <v/>
      </c>
      <c r="K319" s="46" t="str">
        <f aca="false">IF($J319="","",IF(COUNTIF('Skill Mapping'!$A$2:$A$7,TRIM($J319))=0,"",INDEX('Skill Mapping'!$B$2:$B$7,MATCH(TRIM($J319),'Skill Mapping'!$A$2:$A$7,0))))</f>
        <v/>
      </c>
      <c r="L319" s="46" t="str">
        <f aca="false">IF($H319="","",'Survey Response'!$L317)</f>
        <v/>
      </c>
      <c r="M319" s="46" t="str">
        <f aca="false">IF($L319="","",IF(COUNTIF('Skill Mapping'!$A$2:$A$7,TRIM($L319))=0,"",INDEX('Skill Mapping'!$B$2:$B$7,MATCH(TRIM($L319),'Skill Mapping'!$A$2:$A$7,0))))</f>
        <v/>
      </c>
      <c r="N319" s="46" t="str">
        <f aca="false">IF($H319="","",'Survey Response'!$M317)</f>
        <v/>
      </c>
      <c r="O319" s="46" t="str">
        <f aca="false">IF($H319="","",IF('Survey Response'!$M317="Manager","R2","R1"))</f>
        <v/>
      </c>
      <c r="P319" s="46" t="str">
        <f aca="false">IF($K319="","No",IF(COUNTIFS(MasterPanel!$B:$B,$H319,MasterPanel!$I:$I,$K319,MasterPanel!$K:$K,"Y")&gt;0,"Yes","No"))</f>
        <v>No</v>
      </c>
      <c r="Q319" s="46" t="n">
        <f aca="false">IF($K319="",0,IF(COUNTIF('Gap Sheet'!$A$6:$A$11,TRIM($J319))=0,0,IF($O319="R1",INDEX('Gap Sheet'!$C$6:$C$11,MATCH(TRIM($J319),'Gap Sheet'!$A$6:$A$11,0)),INDEX('Gap Sheet'!$G$6:$G$11,MATCH(TRIM($J319),'Gap Sheet'!$A$6:$A$11,0)))))</f>
        <v>0</v>
      </c>
      <c r="R319" s="46" t="str">
        <f aca="false">IF($K319="","",$K319&amp;"|"&amp;$O319)</f>
        <v/>
      </c>
      <c r="S319" s="46" t="n">
        <f aca="false">IF($R319="",0,COUNTIF($AA$4:$AA318,$R319))</f>
        <v>0</v>
      </c>
      <c r="T319" s="46" t="str">
        <f aca="false">IF(OR($I319&lt;&gt;"Yes, I'm available for in-person interviews at Chennai",$E319&lt;&gt;"Yes",$P319&lt;&gt;"Yes"),"No",IF(($Q319-$S319)&gt;0,"Yes","No"))</f>
        <v>No</v>
      </c>
      <c r="U319" s="46" t="str">
        <f aca="false">IF($M319="","No",IF(COUNTIFS(MasterPanel!$B:$B,$H319,MasterPanel!$I:$I,$M319,MasterPanel!$K:$K,"Y")&gt;0,"Yes","No"))</f>
        <v>No</v>
      </c>
      <c r="V319" s="46" t="n">
        <f aca="false">IF($M319="",0,IF(COUNTIF('Gap Sheet'!$A$6:$A$11,TRIM($L319))=0,0,IF($O319="R1",INDEX('Gap Sheet'!$C$6:$C$11,MATCH(TRIM($L319),'Gap Sheet'!$A$6:$A$11,0)),INDEX('Gap Sheet'!$G$6:$G$11,MATCH(TRIM($L319),'Gap Sheet'!$A$6:$A$11,0)))))</f>
        <v>0</v>
      </c>
      <c r="W319" s="46" t="str">
        <f aca="false">IF($M319="","",$M319&amp;"|"&amp;$O319)</f>
        <v/>
      </c>
      <c r="X319" s="46" t="n">
        <f aca="false">IF($W319="",0,COUNTIF($AA$4:$AA318,$W319))</f>
        <v>0</v>
      </c>
      <c r="Y319" s="46" t="str">
        <f aca="false">IF(OR($I319&lt;&gt;"Yes, I'm available for in-person interviews at Chennai",$E319&lt;&gt;"Yes",$T319="Yes",$U319&lt;&gt;"Yes"),"No",IF(($V319-$X319)&gt;0,"Yes","No"))</f>
        <v>No</v>
      </c>
      <c r="Z319" s="46" t="str">
        <f aca="false">IF($T319="Yes","Primary",IF($Y319="Yes","Secondary",""))</f>
        <v/>
      </c>
      <c r="AA319" s="46" t="str">
        <f aca="false">IF($Z319="Primary",$R319,IF($Z319="Secondary",$W319,""))</f>
        <v/>
      </c>
      <c r="AB319" s="46" t="str">
        <f aca="false">IF($Z319="Primary","Matched on primary skill",IF($Z319="Secondary","Matched on secondary skill (primary not approved or not required)",""))</f>
        <v/>
      </c>
      <c r="AC319" s="47" t="str">
        <f aca="false">IF($D319="Panel Details",$F319,"")</f>
        <v/>
      </c>
      <c r="AD319" s="46" t="str">
        <f aca="false">IF($D319="Panel Details",'Survey Response'!$D317,"")</f>
        <v/>
      </c>
      <c r="AE319" s="46" t="str">
        <f aca="false">IF($D319="Panel Details",'Survey Response'!$E317,"")</f>
        <v/>
      </c>
      <c r="AF319" s="46" t="str">
        <f aca="false">IF($D319="Panel Details",'Survey Response'!$G317,"")</f>
        <v/>
      </c>
      <c r="AG319" s="46" t="str">
        <f aca="false">IF($D319="Panel Details",IF($Z319="Primary",$J319,$L319),"")</f>
        <v/>
      </c>
      <c r="AH319" s="46" t="str">
        <f aca="false">IF($D319="Panel Details",IF($Z319="Primary",$L319,$J319),"")</f>
        <v/>
      </c>
      <c r="AI319" s="46" t="str">
        <f aca="false">IF($D319="Panel Details",'Survey Response'!$H317,"")</f>
        <v/>
      </c>
      <c r="AJ319" s="46" t="str">
        <f aca="false">IF($D319="Panel Details",'Survey Response'!$M317,"")</f>
        <v/>
      </c>
      <c r="AK319" s="46" t="str">
        <f aca="false">IF($D319="Panel Details",$O319,"")</f>
        <v/>
      </c>
      <c r="AL319" s="46" t="str">
        <f aca="false">IF($D319="Panel Details",8,"")</f>
        <v/>
      </c>
      <c r="AM319" s="46" t="str">
        <f aca="false">IF($D319="Panel Details",$AB319,"")</f>
        <v/>
      </c>
      <c r="AN319" s="46" t="str">
        <f aca="false">IF($D319="Panel Details","Yes","")</f>
        <v/>
      </c>
      <c r="AO319" s="46"/>
      <c r="AP319" s="46" t="str">
        <f aca="false">IF($D319="Followup",'Survey Response'!$D317,"")</f>
        <v/>
      </c>
      <c r="AQ319" s="46" t="str">
        <f aca="false">IF($D319="Followup",'Survey Response'!$E317,"")</f>
        <v/>
      </c>
      <c r="AR319" s="46" t="str">
        <f aca="false">IF($D319="Followup",'Survey Response'!$G317,"")</f>
        <v/>
      </c>
      <c r="AS319" s="46" t="str">
        <f aca="false">IF($D319="Followup",'Survey Response'!$H317,"")</f>
        <v/>
      </c>
      <c r="AT319" s="46" t="str">
        <f aca="false">IF($D319="Followup",'Survey Response'!$M317,"")</f>
        <v/>
      </c>
      <c r="AU319" s="46" t="str">
        <f aca="false">IF($D319="Followup",'Survey Response'!$K317,"")</f>
        <v/>
      </c>
      <c r="AV319" s="46" t="str">
        <f aca="false">IF($D319="Followup",'Survey Response'!$L317,"")</f>
        <v/>
      </c>
      <c r="AW319" s="46" t="str">
        <f aca="false">IF($D319="Followup",IF(AND($P319&lt;&gt;"Yes",$U319&lt;&gt;"Yes"),"Not approved for primary or secondary skill","Approved, but skill(s) no longer have capacity (fully staffed)"),"")</f>
        <v/>
      </c>
    </row>
    <row r="320" customFormat="false" ht="15" hidden="false" customHeight="true" outlineLevel="0" collapsed="false">
      <c r="A320" s="46" t="str">
        <f aca="false">IF('Survey Response'!$D318="","",'Survey Response'!$A318&amp;"|"&amp;LOWER(TRIM('Survey Response'!$D318)))</f>
        <v/>
      </c>
      <c r="B320" s="46" t="str">
        <f aca="false">IF($H320="","",$F320&amp;"|"&amp;$H320)</f>
        <v/>
      </c>
      <c r="C320" s="46" t="str">
        <f aca="false">IF($H320="","",$A320=$B320)</f>
        <v/>
      </c>
      <c r="D320" s="46" t="str">
        <f aca="false">IF($H320="","",IF($E320&lt;&gt;"Yes","Superseded",IF($I320&lt;&gt;"Yes, I'm available for in-person interviews at Chennai","Not Available",IF($Z320&lt;&gt;"","Panel Details","Followup"))))</f>
        <v/>
      </c>
      <c r="E320" s="46" t="str">
        <f aca="false">IF($H320="","",IF(SUMPRODUCT(($H$4:$H$503=$H320)*(($G$4:$G$503&gt;$G320)+($G$4:$G$503=$G320)*($F$4:$F$503&gt;$F320)))=0,"Yes","No"))</f>
        <v/>
      </c>
      <c r="F320" s="47" t="str">
        <f aca="false">IF('Survey Response'!$D318="","",INT('Survey Response'!$A318))</f>
        <v/>
      </c>
      <c r="G320" s="46" t="str">
        <f aca="false">IF('Survey Response'!$D318="","",'Survey Response'!$C318)</f>
        <v/>
      </c>
      <c r="H320" s="46" t="str">
        <f aca="false">IF('Survey Response'!$D318="","",LOWER(TRIM('Survey Response'!$D318)))</f>
        <v/>
      </c>
      <c r="I320" s="46" t="str">
        <f aca="false">IF($H320="","",'Survey Response'!$I318)</f>
        <v/>
      </c>
      <c r="J320" s="46" t="str">
        <f aca="false">IF($H320="","",'Survey Response'!$K318)</f>
        <v/>
      </c>
      <c r="K320" s="46" t="str">
        <f aca="false">IF($J320="","",IF(COUNTIF('Skill Mapping'!$A$2:$A$7,TRIM($J320))=0,"",INDEX('Skill Mapping'!$B$2:$B$7,MATCH(TRIM($J320),'Skill Mapping'!$A$2:$A$7,0))))</f>
        <v/>
      </c>
      <c r="L320" s="46" t="str">
        <f aca="false">IF($H320="","",'Survey Response'!$L318)</f>
        <v/>
      </c>
      <c r="M320" s="46" t="str">
        <f aca="false">IF($L320="","",IF(COUNTIF('Skill Mapping'!$A$2:$A$7,TRIM($L320))=0,"",INDEX('Skill Mapping'!$B$2:$B$7,MATCH(TRIM($L320),'Skill Mapping'!$A$2:$A$7,0))))</f>
        <v/>
      </c>
      <c r="N320" s="46" t="str">
        <f aca="false">IF($H320="","",'Survey Response'!$M318)</f>
        <v/>
      </c>
      <c r="O320" s="46" t="str">
        <f aca="false">IF($H320="","",IF('Survey Response'!$M318="Manager","R2","R1"))</f>
        <v/>
      </c>
      <c r="P320" s="46" t="str">
        <f aca="false">IF($K320="","No",IF(COUNTIFS(MasterPanel!$B:$B,$H320,MasterPanel!$I:$I,$K320,MasterPanel!$K:$K,"Y")&gt;0,"Yes","No"))</f>
        <v>No</v>
      </c>
      <c r="Q320" s="46" t="n">
        <f aca="false">IF($K320="",0,IF(COUNTIF('Gap Sheet'!$A$6:$A$11,TRIM($J320))=0,0,IF($O320="R1",INDEX('Gap Sheet'!$C$6:$C$11,MATCH(TRIM($J320),'Gap Sheet'!$A$6:$A$11,0)),INDEX('Gap Sheet'!$G$6:$G$11,MATCH(TRIM($J320),'Gap Sheet'!$A$6:$A$11,0)))))</f>
        <v>0</v>
      </c>
      <c r="R320" s="46" t="str">
        <f aca="false">IF($K320="","",$K320&amp;"|"&amp;$O320)</f>
        <v/>
      </c>
      <c r="S320" s="46" t="n">
        <f aca="false">IF($R320="",0,COUNTIF($AA$4:$AA319,$R320))</f>
        <v>0</v>
      </c>
      <c r="T320" s="46" t="str">
        <f aca="false">IF(OR($I320&lt;&gt;"Yes, I'm available for in-person interviews at Chennai",$E320&lt;&gt;"Yes",$P320&lt;&gt;"Yes"),"No",IF(($Q320-$S320)&gt;0,"Yes","No"))</f>
        <v>No</v>
      </c>
      <c r="U320" s="46" t="str">
        <f aca="false">IF($M320="","No",IF(COUNTIFS(MasterPanel!$B:$B,$H320,MasterPanel!$I:$I,$M320,MasterPanel!$K:$K,"Y")&gt;0,"Yes","No"))</f>
        <v>No</v>
      </c>
      <c r="V320" s="46" t="n">
        <f aca="false">IF($M320="",0,IF(COUNTIF('Gap Sheet'!$A$6:$A$11,TRIM($L320))=0,0,IF($O320="R1",INDEX('Gap Sheet'!$C$6:$C$11,MATCH(TRIM($L320),'Gap Sheet'!$A$6:$A$11,0)),INDEX('Gap Sheet'!$G$6:$G$11,MATCH(TRIM($L320),'Gap Sheet'!$A$6:$A$11,0)))))</f>
        <v>0</v>
      </c>
      <c r="W320" s="46" t="str">
        <f aca="false">IF($M320="","",$M320&amp;"|"&amp;$O320)</f>
        <v/>
      </c>
      <c r="X320" s="46" t="n">
        <f aca="false">IF($W320="",0,COUNTIF($AA$4:$AA319,$W320))</f>
        <v>0</v>
      </c>
      <c r="Y320" s="46" t="str">
        <f aca="false">IF(OR($I320&lt;&gt;"Yes, I'm available for in-person interviews at Chennai",$E320&lt;&gt;"Yes",$T320="Yes",$U320&lt;&gt;"Yes"),"No",IF(($V320-$X320)&gt;0,"Yes","No"))</f>
        <v>No</v>
      </c>
      <c r="Z320" s="46" t="str">
        <f aca="false">IF($T320="Yes","Primary",IF($Y320="Yes","Secondary",""))</f>
        <v/>
      </c>
      <c r="AA320" s="46" t="str">
        <f aca="false">IF($Z320="Primary",$R320,IF($Z320="Secondary",$W320,""))</f>
        <v/>
      </c>
      <c r="AB320" s="46" t="str">
        <f aca="false">IF($Z320="Primary","Matched on primary skill",IF($Z320="Secondary","Matched on secondary skill (primary not approved or not required)",""))</f>
        <v/>
      </c>
      <c r="AC320" s="47" t="str">
        <f aca="false">IF($D320="Panel Details",$F320,"")</f>
        <v/>
      </c>
      <c r="AD320" s="46" t="str">
        <f aca="false">IF($D320="Panel Details",'Survey Response'!$D318,"")</f>
        <v/>
      </c>
      <c r="AE320" s="46" t="str">
        <f aca="false">IF($D320="Panel Details",'Survey Response'!$E318,"")</f>
        <v/>
      </c>
      <c r="AF320" s="46" t="str">
        <f aca="false">IF($D320="Panel Details",'Survey Response'!$G318,"")</f>
        <v/>
      </c>
      <c r="AG320" s="46" t="str">
        <f aca="false">IF($D320="Panel Details",IF($Z320="Primary",$J320,$L320),"")</f>
        <v/>
      </c>
      <c r="AH320" s="46" t="str">
        <f aca="false">IF($D320="Panel Details",IF($Z320="Primary",$L320,$J320),"")</f>
        <v/>
      </c>
      <c r="AI320" s="46" t="str">
        <f aca="false">IF($D320="Panel Details",'Survey Response'!$H318,"")</f>
        <v/>
      </c>
      <c r="AJ320" s="46" t="str">
        <f aca="false">IF($D320="Panel Details",'Survey Response'!$M318,"")</f>
        <v/>
      </c>
      <c r="AK320" s="46" t="str">
        <f aca="false">IF($D320="Panel Details",$O320,"")</f>
        <v/>
      </c>
      <c r="AL320" s="46" t="str">
        <f aca="false">IF($D320="Panel Details",8,"")</f>
        <v/>
      </c>
      <c r="AM320" s="46" t="str">
        <f aca="false">IF($D320="Panel Details",$AB320,"")</f>
        <v/>
      </c>
      <c r="AN320" s="46" t="str">
        <f aca="false">IF($D320="Panel Details","Yes","")</f>
        <v/>
      </c>
      <c r="AO320" s="46"/>
      <c r="AP320" s="46" t="str">
        <f aca="false">IF($D320="Followup",'Survey Response'!$D318,"")</f>
        <v/>
      </c>
      <c r="AQ320" s="46" t="str">
        <f aca="false">IF($D320="Followup",'Survey Response'!$E318,"")</f>
        <v/>
      </c>
      <c r="AR320" s="46" t="str">
        <f aca="false">IF($D320="Followup",'Survey Response'!$G318,"")</f>
        <v/>
      </c>
      <c r="AS320" s="46" t="str">
        <f aca="false">IF($D320="Followup",'Survey Response'!$H318,"")</f>
        <v/>
      </c>
      <c r="AT320" s="46" t="str">
        <f aca="false">IF($D320="Followup",'Survey Response'!$M318,"")</f>
        <v/>
      </c>
      <c r="AU320" s="46" t="str">
        <f aca="false">IF($D320="Followup",'Survey Response'!$K318,"")</f>
        <v/>
      </c>
      <c r="AV320" s="46" t="str">
        <f aca="false">IF($D320="Followup",'Survey Response'!$L318,"")</f>
        <v/>
      </c>
      <c r="AW320" s="46" t="str">
        <f aca="false">IF($D320="Followup",IF(AND($P320&lt;&gt;"Yes",$U320&lt;&gt;"Yes"),"Not approved for primary or secondary skill","Approved, but skill(s) no longer have capacity (fully staffed)"),"")</f>
        <v/>
      </c>
    </row>
    <row r="321" customFormat="false" ht="15" hidden="false" customHeight="true" outlineLevel="0" collapsed="false">
      <c r="A321" s="46" t="str">
        <f aca="false">IF('Survey Response'!$D319="","",'Survey Response'!$A319&amp;"|"&amp;LOWER(TRIM('Survey Response'!$D319)))</f>
        <v/>
      </c>
      <c r="B321" s="46" t="str">
        <f aca="false">IF($H321="","",$F321&amp;"|"&amp;$H321)</f>
        <v/>
      </c>
      <c r="C321" s="46" t="str">
        <f aca="false">IF($H321="","",$A321=$B321)</f>
        <v/>
      </c>
      <c r="D321" s="46" t="str">
        <f aca="false">IF($H321="","",IF($E321&lt;&gt;"Yes","Superseded",IF($I321&lt;&gt;"Yes, I'm available for in-person interviews at Chennai","Not Available",IF($Z321&lt;&gt;"","Panel Details","Followup"))))</f>
        <v/>
      </c>
      <c r="E321" s="46" t="str">
        <f aca="false">IF($H321="","",IF(SUMPRODUCT(($H$4:$H$503=$H321)*(($G$4:$G$503&gt;$G321)+($G$4:$G$503=$G321)*($F$4:$F$503&gt;$F321)))=0,"Yes","No"))</f>
        <v/>
      </c>
      <c r="F321" s="47" t="str">
        <f aca="false">IF('Survey Response'!$D319="","",INT('Survey Response'!$A319))</f>
        <v/>
      </c>
      <c r="G321" s="46" t="str">
        <f aca="false">IF('Survey Response'!$D319="","",'Survey Response'!$C319)</f>
        <v/>
      </c>
      <c r="H321" s="46" t="str">
        <f aca="false">IF('Survey Response'!$D319="","",LOWER(TRIM('Survey Response'!$D319)))</f>
        <v/>
      </c>
      <c r="I321" s="46" t="str">
        <f aca="false">IF($H321="","",'Survey Response'!$I319)</f>
        <v/>
      </c>
      <c r="J321" s="46" t="str">
        <f aca="false">IF($H321="","",'Survey Response'!$K319)</f>
        <v/>
      </c>
      <c r="K321" s="46" t="str">
        <f aca="false">IF($J321="","",IF(COUNTIF('Skill Mapping'!$A$2:$A$7,TRIM($J321))=0,"",INDEX('Skill Mapping'!$B$2:$B$7,MATCH(TRIM($J321),'Skill Mapping'!$A$2:$A$7,0))))</f>
        <v/>
      </c>
      <c r="L321" s="46" t="str">
        <f aca="false">IF($H321="","",'Survey Response'!$L319)</f>
        <v/>
      </c>
      <c r="M321" s="46" t="str">
        <f aca="false">IF($L321="","",IF(COUNTIF('Skill Mapping'!$A$2:$A$7,TRIM($L321))=0,"",INDEX('Skill Mapping'!$B$2:$B$7,MATCH(TRIM($L321),'Skill Mapping'!$A$2:$A$7,0))))</f>
        <v/>
      </c>
      <c r="N321" s="46" t="str">
        <f aca="false">IF($H321="","",'Survey Response'!$M319)</f>
        <v/>
      </c>
      <c r="O321" s="46" t="str">
        <f aca="false">IF($H321="","",IF('Survey Response'!$M319="Manager","R2","R1"))</f>
        <v/>
      </c>
      <c r="P321" s="46" t="str">
        <f aca="false">IF($K321="","No",IF(COUNTIFS(MasterPanel!$B:$B,$H321,MasterPanel!$I:$I,$K321,MasterPanel!$K:$K,"Y")&gt;0,"Yes","No"))</f>
        <v>No</v>
      </c>
      <c r="Q321" s="46" t="n">
        <f aca="false">IF($K321="",0,IF(COUNTIF('Gap Sheet'!$A$6:$A$11,TRIM($J321))=0,0,IF($O321="R1",INDEX('Gap Sheet'!$C$6:$C$11,MATCH(TRIM($J321),'Gap Sheet'!$A$6:$A$11,0)),INDEX('Gap Sheet'!$G$6:$G$11,MATCH(TRIM($J321),'Gap Sheet'!$A$6:$A$11,0)))))</f>
        <v>0</v>
      </c>
      <c r="R321" s="46" t="str">
        <f aca="false">IF($K321="","",$K321&amp;"|"&amp;$O321)</f>
        <v/>
      </c>
      <c r="S321" s="46" t="n">
        <f aca="false">IF($R321="",0,COUNTIF($AA$4:$AA320,$R321))</f>
        <v>0</v>
      </c>
      <c r="T321" s="46" t="str">
        <f aca="false">IF(OR($I321&lt;&gt;"Yes, I'm available for in-person interviews at Chennai",$E321&lt;&gt;"Yes",$P321&lt;&gt;"Yes"),"No",IF(($Q321-$S321)&gt;0,"Yes","No"))</f>
        <v>No</v>
      </c>
      <c r="U321" s="46" t="str">
        <f aca="false">IF($M321="","No",IF(COUNTIFS(MasterPanel!$B:$B,$H321,MasterPanel!$I:$I,$M321,MasterPanel!$K:$K,"Y")&gt;0,"Yes","No"))</f>
        <v>No</v>
      </c>
      <c r="V321" s="46" t="n">
        <f aca="false">IF($M321="",0,IF(COUNTIF('Gap Sheet'!$A$6:$A$11,TRIM($L321))=0,0,IF($O321="R1",INDEX('Gap Sheet'!$C$6:$C$11,MATCH(TRIM($L321),'Gap Sheet'!$A$6:$A$11,0)),INDEX('Gap Sheet'!$G$6:$G$11,MATCH(TRIM($L321),'Gap Sheet'!$A$6:$A$11,0)))))</f>
        <v>0</v>
      </c>
      <c r="W321" s="46" t="str">
        <f aca="false">IF($M321="","",$M321&amp;"|"&amp;$O321)</f>
        <v/>
      </c>
      <c r="X321" s="46" t="n">
        <f aca="false">IF($W321="",0,COUNTIF($AA$4:$AA320,$W321))</f>
        <v>0</v>
      </c>
      <c r="Y321" s="46" t="str">
        <f aca="false">IF(OR($I321&lt;&gt;"Yes, I'm available for in-person interviews at Chennai",$E321&lt;&gt;"Yes",$T321="Yes",$U321&lt;&gt;"Yes"),"No",IF(($V321-$X321)&gt;0,"Yes","No"))</f>
        <v>No</v>
      </c>
      <c r="Z321" s="46" t="str">
        <f aca="false">IF($T321="Yes","Primary",IF($Y321="Yes","Secondary",""))</f>
        <v/>
      </c>
      <c r="AA321" s="46" t="str">
        <f aca="false">IF($Z321="Primary",$R321,IF($Z321="Secondary",$W321,""))</f>
        <v/>
      </c>
      <c r="AB321" s="46" t="str">
        <f aca="false">IF($Z321="Primary","Matched on primary skill",IF($Z321="Secondary","Matched on secondary skill (primary not approved or not required)",""))</f>
        <v/>
      </c>
      <c r="AC321" s="47" t="str">
        <f aca="false">IF($D321="Panel Details",$F321,"")</f>
        <v/>
      </c>
      <c r="AD321" s="46" t="str">
        <f aca="false">IF($D321="Panel Details",'Survey Response'!$D319,"")</f>
        <v/>
      </c>
      <c r="AE321" s="46" t="str">
        <f aca="false">IF($D321="Panel Details",'Survey Response'!$E319,"")</f>
        <v/>
      </c>
      <c r="AF321" s="46" t="str">
        <f aca="false">IF($D321="Panel Details",'Survey Response'!$G319,"")</f>
        <v/>
      </c>
      <c r="AG321" s="46" t="str">
        <f aca="false">IF($D321="Panel Details",IF($Z321="Primary",$J321,$L321),"")</f>
        <v/>
      </c>
      <c r="AH321" s="46" t="str">
        <f aca="false">IF($D321="Panel Details",IF($Z321="Primary",$L321,$J321),"")</f>
        <v/>
      </c>
      <c r="AI321" s="46" t="str">
        <f aca="false">IF($D321="Panel Details",'Survey Response'!$H319,"")</f>
        <v/>
      </c>
      <c r="AJ321" s="46" t="str">
        <f aca="false">IF($D321="Panel Details",'Survey Response'!$M319,"")</f>
        <v/>
      </c>
      <c r="AK321" s="46" t="str">
        <f aca="false">IF($D321="Panel Details",$O321,"")</f>
        <v/>
      </c>
      <c r="AL321" s="46" t="str">
        <f aca="false">IF($D321="Panel Details",8,"")</f>
        <v/>
      </c>
      <c r="AM321" s="46" t="str">
        <f aca="false">IF($D321="Panel Details",$AB321,"")</f>
        <v/>
      </c>
      <c r="AN321" s="46" t="str">
        <f aca="false">IF($D321="Panel Details","Yes","")</f>
        <v/>
      </c>
      <c r="AO321" s="46"/>
      <c r="AP321" s="46" t="str">
        <f aca="false">IF($D321="Followup",'Survey Response'!$D319,"")</f>
        <v/>
      </c>
      <c r="AQ321" s="46" t="str">
        <f aca="false">IF($D321="Followup",'Survey Response'!$E319,"")</f>
        <v/>
      </c>
      <c r="AR321" s="46" t="str">
        <f aca="false">IF($D321="Followup",'Survey Response'!$G319,"")</f>
        <v/>
      </c>
      <c r="AS321" s="46" t="str">
        <f aca="false">IF($D321="Followup",'Survey Response'!$H319,"")</f>
        <v/>
      </c>
      <c r="AT321" s="46" t="str">
        <f aca="false">IF($D321="Followup",'Survey Response'!$M319,"")</f>
        <v/>
      </c>
      <c r="AU321" s="46" t="str">
        <f aca="false">IF($D321="Followup",'Survey Response'!$K319,"")</f>
        <v/>
      </c>
      <c r="AV321" s="46" t="str">
        <f aca="false">IF($D321="Followup",'Survey Response'!$L319,"")</f>
        <v/>
      </c>
      <c r="AW321" s="46" t="str">
        <f aca="false">IF($D321="Followup",IF(AND($P321&lt;&gt;"Yes",$U321&lt;&gt;"Yes"),"Not approved for primary or secondary skill","Approved, but skill(s) no longer have capacity (fully staffed)"),"")</f>
        <v/>
      </c>
    </row>
    <row r="322" customFormat="false" ht="15" hidden="false" customHeight="true" outlineLevel="0" collapsed="false">
      <c r="A322" s="46" t="str">
        <f aca="false">IF('Survey Response'!$D320="","",'Survey Response'!$A320&amp;"|"&amp;LOWER(TRIM('Survey Response'!$D320)))</f>
        <v/>
      </c>
      <c r="B322" s="46" t="str">
        <f aca="false">IF($H322="","",$F322&amp;"|"&amp;$H322)</f>
        <v/>
      </c>
      <c r="C322" s="46" t="str">
        <f aca="false">IF($H322="","",$A322=$B322)</f>
        <v/>
      </c>
      <c r="D322" s="46" t="str">
        <f aca="false">IF($H322="","",IF($E322&lt;&gt;"Yes","Superseded",IF($I322&lt;&gt;"Yes, I'm available for in-person interviews at Chennai","Not Available",IF($Z322&lt;&gt;"","Panel Details","Followup"))))</f>
        <v/>
      </c>
      <c r="E322" s="46" t="str">
        <f aca="false">IF($H322="","",IF(SUMPRODUCT(($H$4:$H$503=$H322)*(($G$4:$G$503&gt;$G322)+($G$4:$G$503=$G322)*($F$4:$F$503&gt;$F322)))=0,"Yes","No"))</f>
        <v/>
      </c>
      <c r="F322" s="47" t="str">
        <f aca="false">IF('Survey Response'!$D320="","",INT('Survey Response'!$A320))</f>
        <v/>
      </c>
      <c r="G322" s="46" t="str">
        <f aca="false">IF('Survey Response'!$D320="","",'Survey Response'!$C320)</f>
        <v/>
      </c>
      <c r="H322" s="46" t="str">
        <f aca="false">IF('Survey Response'!$D320="","",LOWER(TRIM('Survey Response'!$D320)))</f>
        <v/>
      </c>
      <c r="I322" s="46" t="str">
        <f aca="false">IF($H322="","",'Survey Response'!$I320)</f>
        <v/>
      </c>
      <c r="J322" s="46" t="str">
        <f aca="false">IF($H322="","",'Survey Response'!$K320)</f>
        <v/>
      </c>
      <c r="K322" s="46" t="str">
        <f aca="false">IF($J322="","",IF(COUNTIF('Skill Mapping'!$A$2:$A$7,TRIM($J322))=0,"",INDEX('Skill Mapping'!$B$2:$B$7,MATCH(TRIM($J322),'Skill Mapping'!$A$2:$A$7,0))))</f>
        <v/>
      </c>
      <c r="L322" s="46" t="str">
        <f aca="false">IF($H322="","",'Survey Response'!$L320)</f>
        <v/>
      </c>
      <c r="M322" s="46" t="str">
        <f aca="false">IF($L322="","",IF(COUNTIF('Skill Mapping'!$A$2:$A$7,TRIM($L322))=0,"",INDEX('Skill Mapping'!$B$2:$B$7,MATCH(TRIM($L322),'Skill Mapping'!$A$2:$A$7,0))))</f>
        <v/>
      </c>
      <c r="N322" s="46" t="str">
        <f aca="false">IF($H322="","",'Survey Response'!$M320)</f>
        <v/>
      </c>
      <c r="O322" s="46" t="str">
        <f aca="false">IF($H322="","",IF('Survey Response'!$M320="Manager","R2","R1"))</f>
        <v/>
      </c>
      <c r="P322" s="46" t="str">
        <f aca="false">IF($K322="","No",IF(COUNTIFS(MasterPanel!$B:$B,$H322,MasterPanel!$I:$I,$K322,MasterPanel!$K:$K,"Y")&gt;0,"Yes","No"))</f>
        <v>No</v>
      </c>
      <c r="Q322" s="46" t="n">
        <f aca="false">IF($K322="",0,IF(COUNTIF('Gap Sheet'!$A$6:$A$11,TRIM($J322))=0,0,IF($O322="R1",INDEX('Gap Sheet'!$C$6:$C$11,MATCH(TRIM($J322),'Gap Sheet'!$A$6:$A$11,0)),INDEX('Gap Sheet'!$G$6:$G$11,MATCH(TRIM($J322),'Gap Sheet'!$A$6:$A$11,0)))))</f>
        <v>0</v>
      </c>
      <c r="R322" s="46" t="str">
        <f aca="false">IF($K322="","",$K322&amp;"|"&amp;$O322)</f>
        <v/>
      </c>
      <c r="S322" s="46" t="n">
        <f aca="false">IF($R322="",0,COUNTIF($AA$4:$AA321,$R322))</f>
        <v>0</v>
      </c>
      <c r="T322" s="46" t="str">
        <f aca="false">IF(OR($I322&lt;&gt;"Yes, I'm available for in-person interviews at Chennai",$E322&lt;&gt;"Yes",$P322&lt;&gt;"Yes"),"No",IF(($Q322-$S322)&gt;0,"Yes","No"))</f>
        <v>No</v>
      </c>
      <c r="U322" s="46" t="str">
        <f aca="false">IF($M322="","No",IF(COUNTIFS(MasterPanel!$B:$B,$H322,MasterPanel!$I:$I,$M322,MasterPanel!$K:$K,"Y")&gt;0,"Yes","No"))</f>
        <v>No</v>
      </c>
      <c r="V322" s="46" t="n">
        <f aca="false">IF($M322="",0,IF(COUNTIF('Gap Sheet'!$A$6:$A$11,TRIM($L322))=0,0,IF($O322="R1",INDEX('Gap Sheet'!$C$6:$C$11,MATCH(TRIM($L322),'Gap Sheet'!$A$6:$A$11,0)),INDEX('Gap Sheet'!$G$6:$G$11,MATCH(TRIM($L322),'Gap Sheet'!$A$6:$A$11,0)))))</f>
        <v>0</v>
      </c>
      <c r="W322" s="46" t="str">
        <f aca="false">IF($M322="","",$M322&amp;"|"&amp;$O322)</f>
        <v/>
      </c>
      <c r="X322" s="46" t="n">
        <f aca="false">IF($W322="",0,COUNTIF($AA$4:$AA321,$W322))</f>
        <v>0</v>
      </c>
      <c r="Y322" s="46" t="str">
        <f aca="false">IF(OR($I322&lt;&gt;"Yes, I'm available for in-person interviews at Chennai",$E322&lt;&gt;"Yes",$T322="Yes",$U322&lt;&gt;"Yes"),"No",IF(($V322-$X322)&gt;0,"Yes","No"))</f>
        <v>No</v>
      </c>
      <c r="Z322" s="46" t="str">
        <f aca="false">IF($T322="Yes","Primary",IF($Y322="Yes","Secondary",""))</f>
        <v/>
      </c>
      <c r="AA322" s="46" t="str">
        <f aca="false">IF($Z322="Primary",$R322,IF($Z322="Secondary",$W322,""))</f>
        <v/>
      </c>
      <c r="AB322" s="46" t="str">
        <f aca="false">IF($Z322="Primary","Matched on primary skill",IF($Z322="Secondary","Matched on secondary skill (primary not approved or not required)",""))</f>
        <v/>
      </c>
      <c r="AC322" s="47" t="str">
        <f aca="false">IF($D322="Panel Details",$F322,"")</f>
        <v/>
      </c>
      <c r="AD322" s="46" t="str">
        <f aca="false">IF($D322="Panel Details",'Survey Response'!$D320,"")</f>
        <v/>
      </c>
      <c r="AE322" s="46" t="str">
        <f aca="false">IF($D322="Panel Details",'Survey Response'!$E320,"")</f>
        <v/>
      </c>
      <c r="AF322" s="46" t="str">
        <f aca="false">IF($D322="Panel Details",'Survey Response'!$G320,"")</f>
        <v/>
      </c>
      <c r="AG322" s="46" t="str">
        <f aca="false">IF($D322="Panel Details",IF($Z322="Primary",$J322,$L322),"")</f>
        <v/>
      </c>
      <c r="AH322" s="46" t="str">
        <f aca="false">IF($D322="Panel Details",IF($Z322="Primary",$L322,$J322),"")</f>
        <v/>
      </c>
      <c r="AI322" s="46" t="str">
        <f aca="false">IF($D322="Panel Details",'Survey Response'!$H320,"")</f>
        <v/>
      </c>
      <c r="AJ322" s="46" t="str">
        <f aca="false">IF($D322="Panel Details",'Survey Response'!$M320,"")</f>
        <v/>
      </c>
      <c r="AK322" s="46" t="str">
        <f aca="false">IF($D322="Panel Details",$O322,"")</f>
        <v/>
      </c>
      <c r="AL322" s="46" t="str">
        <f aca="false">IF($D322="Panel Details",8,"")</f>
        <v/>
      </c>
      <c r="AM322" s="46" t="str">
        <f aca="false">IF($D322="Panel Details",$AB322,"")</f>
        <v/>
      </c>
      <c r="AN322" s="46" t="str">
        <f aca="false">IF($D322="Panel Details","Yes","")</f>
        <v/>
      </c>
      <c r="AO322" s="46"/>
      <c r="AP322" s="46" t="str">
        <f aca="false">IF($D322="Followup",'Survey Response'!$D320,"")</f>
        <v/>
      </c>
      <c r="AQ322" s="46" t="str">
        <f aca="false">IF($D322="Followup",'Survey Response'!$E320,"")</f>
        <v/>
      </c>
      <c r="AR322" s="46" t="str">
        <f aca="false">IF($D322="Followup",'Survey Response'!$G320,"")</f>
        <v/>
      </c>
      <c r="AS322" s="46" t="str">
        <f aca="false">IF($D322="Followup",'Survey Response'!$H320,"")</f>
        <v/>
      </c>
      <c r="AT322" s="46" t="str">
        <f aca="false">IF($D322="Followup",'Survey Response'!$M320,"")</f>
        <v/>
      </c>
      <c r="AU322" s="46" t="str">
        <f aca="false">IF($D322="Followup",'Survey Response'!$K320,"")</f>
        <v/>
      </c>
      <c r="AV322" s="46" t="str">
        <f aca="false">IF($D322="Followup",'Survey Response'!$L320,"")</f>
        <v/>
      </c>
      <c r="AW322" s="46" t="str">
        <f aca="false">IF($D322="Followup",IF(AND($P322&lt;&gt;"Yes",$U322&lt;&gt;"Yes"),"Not approved for primary or secondary skill","Approved, but skill(s) no longer have capacity (fully staffed)"),"")</f>
        <v/>
      </c>
    </row>
    <row r="323" customFormat="false" ht="15" hidden="false" customHeight="true" outlineLevel="0" collapsed="false">
      <c r="A323" s="46" t="str">
        <f aca="false">IF('Survey Response'!$D321="","",'Survey Response'!$A321&amp;"|"&amp;LOWER(TRIM('Survey Response'!$D321)))</f>
        <v/>
      </c>
      <c r="B323" s="46" t="str">
        <f aca="false">IF($H323="","",$F323&amp;"|"&amp;$H323)</f>
        <v/>
      </c>
      <c r="C323" s="46" t="str">
        <f aca="false">IF($H323="","",$A323=$B323)</f>
        <v/>
      </c>
      <c r="D323" s="46" t="str">
        <f aca="false">IF($H323="","",IF($E323&lt;&gt;"Yes","Superseded",IF($I323&lt;&gt;"Yes, I'm available for in-person interviews at Chennai","Not Available",IF($Z323&lt;&gt;"","Panel Details","Followup"))))</f>
        <v/>
      </c>
      <c r="E323" s="46" t="str">
        <f aca="false">IF($H323="","",IF(SUMPRODUCT(($H$4:$H$503=$H323)*(($G$4:$G$503&gt;$G323)+($G$4:$G$503=$G323)*($F$4:$F$503&gt;$F323)))=0,"Yes","No"))</f>
        <v/>
      </c>
      <c r="F323" s="47" t="str">
        <f aca="false">IF('Survey Response'!$D321="","",INT('Survey Response'!$A321))</f>
        <v/>
      </c>
      <c r="G323" s="46" t="str">
        <f aca="false">IF('Survey Response'!$D321="","",'Survey Response'!$C321)</f>
        <v/>
      </c>
      <c r="H323" s="46" t="str">
        <f aca="false">IF('Survey Response'!$D321="","",LOWER(TRIM('Survey Response'!$D321)))</f>
        <v/>
      </c>
      <c r="I323" s="46" t="str">
        <f aca="false">IF($H323="","",'Survey Response'!$I321)</f>
        <v/>
      </c>
      <c r="J323" s="46" t="str">
        <f aca="false">IF($H323="","",'Survey Response'!$K321)</f>
        <v/>
      </c>
      <c r="K323" s="46" t="str">
        <f aca="false">IF($J323="","",IF(COUNTIF('Skill Mapping'!$A$2:$A$7,TRIM($J323))=0,"",INDEX('Skill Mapping'!$B$2:$B$7,MATCH(TRIM($J323),'Skill Mapping'!$A$2:$A$7,0))))</f>
        <v/>
      </c>
      <c r="L323" s="46" t="str">
        <f aca="false">IF($H323="","",'Survey Response'!$L321)</f>
        <v/>
      </c>
      <c r="M323" s="46" t="str">
        <f aca="false">IF($L323="","",IF(COUNTIF('Skill Mapping'!$A$2:$A$7,TRIM($L323))=0,"",INDEX('Skill Mapping'!$B$2:$B$7,MATCH(TRIM($L323),'Skill Mapping'!$A$2:$A$7,0))))</f>
        <v/>
      </c>
      <c r="N323" s="46" t="str">
        <f aca="false">IF($H323="","",'Survey Response'!$M321)</f>
        <v/>
      </c>
      <c r="O323" s="46" t="str">
        <f aca="false">IF($H323="","",IF('Survey Response'!$M321="Manager","R2","R1"))</f>
        <v/>
      </c>
      <c r="P323" s="46" t="str">
        <f aca="false">IF($K323="","No",IF(COUNTIFS(MasterPanel!$B:$B,$H323,MasterPanel!$I:$I,$K323,MasterPanel!$K:$K,"Y")&gt;0,"Yes","No"))</f>
        <v>No</v>
      </c>
      <c r="Q323" s="46" t="n">
        <f aca="false">IF($K323="",0,IF(COUNTIF('Gap Sheet'!$A$6:$A$11,TRIM($J323))=0,0,IF($O323="R1",INDEX('Gap Sheet'!$C$6:$C$11,MATCH(TRIM($J323),'Gap Sheet'!$A$6:$A$11,0)),INDEX('Gap Sheet'!$G$6:$G$11,MATCH(TRIM($J323),'Gap Sheet'!$A$6:$A$11,0)))))</f>
        <v>0</v>
      </c>
      <c r="R323" s="46" t="str">
        <f aca="false">IF($K323="","",$K323&amp;"|"&amp;$O323)</f>
        <v/>
      </c>
      <c r="S323" s="46" t="n">
        <f aca="false">IF($R323="",0,COUNTIF($AA$4:$AA322,$R323))</f>
        <v>0</v>
      </c>
      <c r="T323" s="46" t="str">
        <f aca="false">IF(OR($I323&lt;&gt;"Yes, I'm available for in-person interviews at Chennai",$E323&lt;&gt;"Yes",$P323&lt;&gt;"Yes"),"No",IF(($Q323-$S323)&gt;0,"Yes","No"))</f>
        <v>No</v>
      </c>
      <c r="U323" s="46" t="str">
        <f aca="false">IF($M323="","No",IF(COUNTIFS(MasterPanel!$B:$B,$H323,MasterPanel!$I:$I,$M323,MasterPanel!$K:$K,"Y")&gt;0,"Yes","No"))</f>
        <v>No</v>
      </c>
      <c r="V323" s="46" t="n">
        <f aca="false">IF($M323="",0,IF(COUNTIF('Gap Sheet'!$A$6:$A$11,TRIM($L323))=0,0,IF($O323="R1",INDEX('Gap Sheet'!$C$6:$C$11,MATCH(TRIM($L323),'Gap Sheet'!$A$6:$A$11,0)),INDEX('Gap Sheet'!$G$6:$G$11,MATCH(TRIM($L323),'Gap Sheet'!$A$6:$A$11,0)))))</f>
        <v>0</v>
      </c>
      <c r="W323" s="46" t="str">
        <f aca="false">IF($M323="","",$M323&amp;"|"&amp;$O323)</f>
        <v/>
      </c>
      <c r="X323" s="46" t="n">
        <f aca="false">IF($W323="",0,COUNTIF($AA$4:$AA322,$W323))</f>
        <v>0</v>
      </c>
      <c r="Y323" s="46" t="str">
        <f aca="false">IF(OR($I323&lt;&gt;"Yes, I'm available for in-person interviews at Chennai",$E323&lt;&gt;"Yes",$T323="Yes",$U323&lt;&gt;"Yes"),"No",IF(($V323-$X323)&gt;0,"Yes","No"))</f>
        <v>No</v>
      </c>
      <c r="Z323" s="46" t="str">
        <f aca="false">IF($T323="Yes","Primary",IF($Y323="Yes","Secondary",""))</f>
        <v/>
      </c>
      <c r="AA323" s="46" t="str">
        <f aca="false">IF($Z323="Primary",$R323,IF($Z323="Secondary",$W323,""))</f>
        <v/>
      </c>
      <c r="AB323" s="46" t="str">
        <f aca="false">IF($Z323="Primary","Matched on primary skill",IF($Z323="Secondary","Matched on secondary skill (primary not approved or not required)",""))</f>
        <v/>
      </c>
      <c r="AC323" s="47" t="str">
        <f aca="false">IF($D323="Panel Details",$F323,"")</f>
        <v/>
      </c>
      <c r="AD323" s="46" t="str">
        <f aca="false">IF($D323="Panel Details",'Survey Response'!$D321,"")</f>
        <v/>
      </c>
      <c r="AE323" s="46" t="str">
        <f aca="false">IF($D323="Panel Details",'Survey Response'!$E321,"")</f>
        <v/>
      </c>
      <c r="AF323" s="46" t="str">
        <f aca="false">IF($D323="Panel Details",'Survey Response'!$G321,"")</f>
        <v/>
      </c>
      <c r="AG323" s="46" t="str">
        <f aca="false">IF($D323="Panel Details",IF($Z323="Primary",$J323,$L323),"")</f>
        <v/>
      </c>
      <c r="AH323" s="46" t="str">
        <f aca="false">IF($D323="Panel Details",IF($Z323="Primary",$L323,$J323),"")</f>
        <v/>
      </c>
      <c r="AI323" s="46" t="str">
        <f aca="false">IF($D323="Panel Details",'Survey Response'!$H321,"")</f>
        <v/>
      </c>
      <c r="AJ323" s="46" t="str">
        <f aca="false">IF($D323="Panel Details",'Survey Response'!$M321,"")</f>
        <v/>
      </c>
      <c r="AK323" s="46" t="str">
        <f aca="false">IF($D323="Panel Details",$O323,"")</f>
        <v/>
      </c>
      <c r="AL323" s="46" t="str">
        <f aca="false">IF($D323="Panel Details",8,"")</f>
        <v/>
      </c>
      <c r="AM323" s="46" t="str">
        <f aca="false">IF($D323="Panel Details",$AB323,"")</f>
        <v/>
      </c>
      <c r="AN323" s="46" t="str">
        <f aca="false">IF($D323="Panel Details","Yes","")</f>
        <v/>
      </c>
      <c r="AO323" s="46"/>
      <c r="AP323" s="46" t="str">
        <f aca="false">IF($D323="Followup",'Survey Response'!$D321,"")</f>
        <v/>
      </c>
      <c r="AQ323" s="46" t="str">
        <f aca="false">IF($D323="Followup",'Survey Response'!$E321,"")</f>
        <v/>
      </c>
      <c r="AR323" s="46" t="str">
        <f aca="false">IF($D323="Followup",'Survey Response'!$G321,"")</f>
        <v/>
      </c>
      <c r="AS323" s="46" t="str">
        <f aca="false">IF($D323="Followup",'Survey Response'!$H321,"")</f>
        <v/>
      </c>
      <c r="AT323" s="46" t="str">
        <f aca="false">IF($D323="Followup",'Survey Response'!$M321,"")</f>
        <v/>
      </c>
      <c r="AU323" s="46" t="str">
        <f aca="false">IF($D323="Followup",'Survey Response'!$K321,"")</f>
        <v/>
      </c>
      <c r="AV323" s="46" t="str">
        <f aca="false">IF($D323="Followup",'Survey Response'!$L321,"")</f>
        <v/>
      </c>
      <c r="AW323" s="46" t="str">
        <f aca="false">IF($D323="Followup",IF(AND($P323&lt;&gt;"Yes",$U323&lt;&gt;"Yes"),"Not approved for primary or secondary skill","Approved, but skill(s) no longer have capacity (fully staffed)"),"")</f>
        <v/>
      </c>
    </row>
    <row r="324" customFormat="false" ht="15" hidden="false" customHeight="true" outlineLevel="0" collapsed="false">
      <c r="A324" s="46" t="str">
        <f aca="false">IF('Survey Response'!$D322="","",'Survey Response'!$A322&amp;"|"&amp;LOWER(TRIM('Survey Response'!$D322)))</f>
        <v/>
      </c>
      <c r="B324" s="46" t="str">
        <f aca="false">IF($H324="","",$F324&amp;"|"&amp;$H324)</f>
        <v/>
      </c>
      <c r="C324" s="46" t="str">
        <f aca="false">IF($H324="","",$A324=$B324)</f>
        <v/>
      </c>
      <c r="D324" s="46" t="str">
        <f aca="false">IF($H324="","",IF($E324&lt;&gt;"Yes","Superseded",IF($I324&lt;&gt;"Yes, I'm available for in-person interviews at Chennai","Not Available",IF($Z324&lt;&gt;"","Panel Details","Followup"))))</f>
        <v/>
      </c>
      <c r="E324" s="46" t="str">
        <f aca="false">IF($H324="","",IF(SUMPRODUCT(($H$4:$H$503=$H324)*(($G$4:$G$503&gt;$G324)+($G$4:$G$503=$G324)*($F$4:$F$503&gt;$F324)))=0,"Yes","No"))</f>
        <v/>
      </c>
      <c r="F324" s="47" t="str">
        <f aca="false">IF('Survey Response'!$D322="","",INT('Survey Response'!$A322))</f>
        <v/>
      </c>
      <c r="G324" s="46" t="str">
        <f aca="false">IF('Survey Response'!$D322="","",'Survey Response'!$C322)</f>
        <v/>
      </c>
      <c r="H324" s="46" t="str">
        <f aca="false">IF('Survey Response'!$D322="","",LOWER(TRIM('Survey Response'!$D322)))</f>
        <v/>
      </c>
      <c r="I324" s="46" t="str">
        <f aca="false">IF($H324="","",'Survey Response'!$I322)</f>
        <v/>
      </c>
      <c r="J324" s="46" t="str">
        <f aca="false">IF($H324="","",'Survey Response'!$K322)</f>
        <v/>
      </c>
      <c r="K324" s="46" t="str">
        <f aca="false">IF($J324="","",IF(COUNTIF('Skill Mapping'!$A$2:$A$7,TRIM($J324))=0,"",INDEX('Skill Mapping'!$B$2:$B$7,MATCH(TRIM($J324),'Skill Mapping'!$A$2:$A$7,0))))</f>
        <v/>
      </c>
      <c r="L324" s="46" t="str">
        <f aca="false">IF($H324="","",'Survey Response'!$L322)</f>
        <v/>
      </c>
      <c r="M324" s="46" t="str">
        <f aca="false">IF($L324="","",IF(COUNTIF('Skill Mapping'!$A$2:$A$7,TRIM($L324))=0,"",INDEX('Skill Mapping'!$B$2:$B$7,MATCH(TRIM($L324),'Skill Mapping'!$A$2:$A$7,0))))</f>
        <v/>
      </c>
      <c r="N324" s="46" t="str">
        <f aca="false">IF($H324="","",'Survey Response'!$M322)</f>
        <v/>
      </c>
      <c r="O324" s="46" t="str">
        <f aca="false">IF($H324="","",IF('Survey Response'!$M322="Manager","R2","R1"))</f>
        <v/>
      </c>
      <c r="P324" s="46" t="str">
        <f aca="false">IF($K324="","No",IF(COUNTIFS(MasterPanel!$B:$B,$H324,MasterPanel!$I:$I,$K324,MasterPanel!$K:$K,"Y")&gt;0,"Yes","No"))</f>
        <v>No</v>
      </c>
      <c r="Q324" s="46" t="n">
        <f aca="false">IF($K324="",0,IF(COUNTIF('Gap Sheet'!$A$6:$A$11,TRIM($J324))=0,0,IF($O324="R1",INDEX('Gap Sheet'!$C$6:$C$11,MATCH(TRIM($J324),'Gap Sheet'!$A$6:$A$11,0)),INDEX('Gap Sheet'!$G$6:$G$11,MATCH(TRIM($J324),'Gap Sheet'!$A$6:$A$11,0)))))</f>
        <v>0</v>
      </c>
      <c r="R324" s="46" t="str">
        <f aca="false">IF($K324="","",$K324&amp;"|"&amp;$O324)</f>
        <v/>
      </c>
      <c r="S324" s="46" t="n">
        <f aca="false">IF($R324="",0,COUNTIF($AA$4:$AA323,$R324))</f>
        <v>0</v>
      </c>
      <c r="T324" s="46" t="str">
        <f aca="false">IF(OR($I324&lt;&gt;"Yes, I'm available for in-person interviews at Chennai",$E324&lt;&gt;"Yes",$P324&lt;&gt;"Yes"),"No",IF(($Q324-$S324)&gt;0,"Yes","No"))</f>
        <v>No</v>
      </c>
      <c r="U324" s="46" t="str">
        <f aca="false">IF($M324="","No",IF(COUNTIFS(MasterPanel!$B:$B,$H324,MasterPanel!$I:$I,$M324,MasterPanel!$K:$K,"Y")&gt;0,"Yes","No"))</f>
        <v>No</v>
      </c>
      <c r="V324" s="46" t="n">
        <f aca="false">IF($M324="",0,IF(COUNTIF('Gap Sheet'!$A$6:$A$11,TRIM($L324))=0,0,IF($O324="R1",INDEX('Gap Sheet'!$C$6:$C$11,MATCH(TRIM($L324),'Gap Sheet'!$A$6:$A$11,0)),INDEX('Gap Sheet'!$G$6:$G$11,MATCH(TRIM($L324),'Gap Sheet'!$A$6:$A$11,0)))))</f>
        <v>0</v>
      </c>
      <c r="W324" s="46" t="str">
        <f aca="false">IF($M324="","",$M324&amp;"|"&amp;$O324)</f>
        <v/>
      </c>
      <c r="X324" s="46" t="n">
        <f aca="false">IF($W324="",0,COUNTIF($AA$4:$AA323,$W324))</f>
        <v>0</v>
      </c>
      <c r="Y324" s="46" t="str">
        <f aca="false">IF(OR($I324&lt;&gt;"Yes, I'm available for in-person interviews at Chennai",$E324&lt;&gt;"Yes",$T324="Yes",$U324&lt;&gt;"Yes"),"No",IF(($V324-$X324)&gt;0,"Yes","No"))</f>
        <v>No</v>
      </c>
      <c r="Z324" s="46" t="str">
        <f aca="false">IF($T324="Yes","Primary",IF($Y324="Yes","Secondary",""))</f>
        <v/>
      </c>
      <c r="AA324" s="46" t="str">
        <f aca="false">IF($Z324="Primary",$R324,IF($Z324="Secondary",$W324,""))</f>
        <v/>
      </c>
      <c r="AB324" s="46" t="str">
        <f aca="false">IF($Z324="Primary","Matched on primary skill",IF($Z324="Secondary","Matched on secondary skill (primary not approved or not required)",""))</f>
        <v/>
      </c>
      <c r="AC324" s="47" t="str">
        <f aca="false">IF($D324="Panel Details",$F324,"")</f>
        <v/>
      </c>
      <c r="AD324" s="46" t="str">
        <f aca="false">IF($D324="Panel Details",'Survey Response'!$D322,"")</f>
        <v/>
      </c>
      <c r="AE324" s="46" t="str">
        <f aca="false">IF($D324="Panel Details",'Survey Response'!$E322,"")</f>
        <v/>
      </c>
      <c r="AF324" s="46" t="str">
        <f aca="false">IF($D324="Panel Details",'Survey Response'!$G322,"")</f>
        <v/>
      </c>
      <c r="AG324" s="46" t="str">
        <f aca="false">IF($D324="Panel Details",IF($Z324="Primary",$J324,$L324),"")</f>
        <v/>
      </c>
      <c r="AH324" s="46" t="str">
        <f aca="false">IF($D324="Panel Details",IF($Z324="Primary",$L324,$J324),"")</f>
        <v/>
      </c>
      <c r="AI324" s="46" t="str">
        <f aca="false">IF($D324="Panel Details",'Survey Response'!$H322,"")</f>
        <v/>
      </c>
      <c r="AJ324" s="46" t="str">
        <f aca="false">IF($D324="Panel Details",'Survey Response'!$M322,"")</f>
        <v/>
      </c>
      <c r="AK324" s="46" t="str">
        <f aca="false">IF($D324="Panel Details",$O324,"")</f>
        <v/>
      </c>
      <c r="AL324" s="46" t="str">
        <f aca="false">IF($D324="Panel Details",8,"")</f>
        <v/>
      </c>
      <c r="AM324" s="46" t="str">
        <f aca="false">IF($D324="Panel Details",$AB324,"")</f>
        <v/>
      </c>
      <c r="AN324" s="46" t="str">
        <f aca="false">IF($D324="Panel Details","Yes","")</f>
        <v/>
      </c>
      <c r="AO324" s="46"/>
      <c r="AP324" s="46" t="str">
        <f aca="false">IF($D324="Followup",'Survey Response'!$D322,"")</f>
        <v/>
      </c>
      <c r="AQ324" s="46" t="str">
        <f aca="false">IF($D324="Followup",'Survey Response'!$E322,"")</f>
        <v/>
      </c>
      <c r="AR324" s="46" t="str">
        <f aca="false">IF($D324="Followup",'Survey Response'!$G322,"")</f>
        <v/>
      </c>
      <c r="AS324" s="46" t="str">
        <f aca="false">IF($D324="Followup",'Survey Response'!$H322,"")</f>
        <v/>
      </c>
      <c r="AT324" s="46" t="str">
        <f aca="false">IF($D324="Followup",'Survey Response'!$M322,"")</f>
        <v/>
      </c>
      <c r="AU324" s="46" t="str">
        <f aca="false">IF($D324="Followup",'Survey Response'!$K322,"")</f>
        <v/>
      </c>
      <c r="AV324" s="46" t="str">
        <f aca="false">IF($D324="Followup",'Survey Response'!$L322,"")</f>
        <v/>
      </c>
      <c r="AW324" s="46" t="str">
        <f aca="false">IF($D324="Followup",IF(AND($P324&lt;&gt;"Yes",$U324&lt;&gt;"Yes"),"Not approved for primary or secondary skill","Approved, but skill(s) no longer have capacity (fully staffed)"),"")</f>
        <v/>
      </c>
    </row>
    <row r="325" customFormat="false" ht="15" hidden="false" customHeight="true" outlineLevel="0" collapsed="false">
      <c r="A325" s="46" t="str">
        <f aca="false">IF('Survey Response'!$D323="","",'Survey Response'!$A323&amp;"|"&amp;LOWER(TRIM('Survey Response'!$D323)))</f>
        <v/>
      </c>
      <c r="B325" s="46" t="str">
        <f aca="false">IF($H325="","",$F325&amp;"|"&amp;$H325)</f>
        <v/>
      </c>
      <c r="C325" s="46" t="str">
        <f aca="false">IF($H325="","",$A325=$B325)</f>
        <v/>
      </c>
      <c r="D325" s="46" t="str">
        <f aca="false">IF($H325="","",IF($E325&lt;&gt;"Yes","Superseded",IF($I325&lt;&gt;"Yes, I'm available for in-person interviews at Chennai","Not Available",IF($Z325&lt;&gt;"","Panel Details","Followup"))))</f>
        <v/>
      </c>
      <c r="E325" s="46" t="str">
        <f aca="false">IF($H325="","",IF(SUMPRODUCT(($H$4:$H$503=$H325)*(($G$4:$G$503&gt;$G325)+($G$4:$G$503=$G325)*($F$4:$F$503&gt;$F325)))=0,"Yes","No"))</f>
        <v/>
      </c>
      <c r="F325" s="47" t="str">
        <f aca="false">IF('Survey Response'!$D323="","",INT('Survey Response'!$A323))</f>
        <v/>
      </c>
      <c r="G325" s="46" t="str">
        <f aca="false">IF('Survey Response'!$D323="","",'Survey Response'!$C323)</f>
        <v/>
      </c>
      <c r="H325" s="46" t="str">
        <f aca="false">IF('Survey Response'!$D323="","",LOWER(TRIM('Survey Response'!$D323)))</f>
        <v/>
      </c>
      <c r="I325" s="46" t="str">
        <f aca="false">IF($H325="","",'Survey Response'!$I323)</f>
        <v/>
      </c>
      <c r="J325" s="46" t="str">
        <f aca="false">IF($H325="","",'Survey Response'!$K323)</f>
        <v/>
      </c>
      <c r="K325" s="46" t="str">
        <f aca="false">IF($J325="","",IF(COUNTIF('Skill Mapping'!$A$2:$A$7,TRIM($J325))=0,"",INDEX('Skill Mapping'!$B$2:$B$7,MATCH(TRIM($J325),'Skill Mapping'!$A$2:$A$7,0))))</f>
        <v/>
      </c>
      <c r="L325" s="46" t="str">
        <f aca="false">IF($H325="","",'Survey Response'!$L323)</f>
        <v/>
      </c>
      <c r="M325" s="46" t="str">
        <f aca="false">IF($L325="","",IF(COUNTIF('Skill Mapping'!$A$2:$A$7,TRIM($L325))=0,"",INDEX('Skill Mapping'!$B$2:$B$7,MATCH(TRIM($L325),'Skill Mapping'!$A$2:$A$7,0))))</f>
        <v/>
      </c>
      <c r="N325" s="46" t="str">
        <f aca="false">IF($H325="","",'Survey Response'!$M323)</f>
        <v/>
      </c>
      <c r="O325" s="46" t="str">
        <f aca="false">IF($H325="","",IF('Survey Response'!$M323="Manager","R2","R1"))</f>
        <v/>
      </c>
      <c r="P325" s="46" t="str">
        <f aca="false">IF($K325="","No",IF(COUNTIFS(MasterPanel!$B:$B,$H325,MasterPanel!$I:$I,$K325,MasterPanel!$K:$K,"Y")&gt;0,"Yes","No"))</f>
        <v>No</v>
      </c>
      <c r="Q325" s="46" t="n">
        <f aca="false">IF($K325="",0,IF(COUNTIF('Gap Sheet'!$A$6:$A$11,TRIM($J325))=0,0,IF($O325="R1",INDEX('Gap Sheet'!$C$6:$C$11,MATCH(TRIM($J325),'Gap Sheet'!$A$6:$A$11,0)),INDEX('Gap Sheet'!$G$6:$G$11,MATCH(TRIM($J325),'Gap Sheet'!$A$6:$A$11,0)))))</f>
        <v>0</v>
      </c>
      <c r="R325" s="46" t="str">
        <f aca="false">IF($K325="","",$K325&amp;"|"&amp;$O325)</f>
        <v/>
      </c>
      <c r="S325" s="46" t="n">
        <f aca="false">IF($R325="",0,COUNTIF($AA$4:$AA324,$R325))</f>
        <v>0</v>
      </c>
      <c r="T325" s="46" t="str">
        <f aca="false">IF(OR($I325&lt;&gt;"Yes, I'm available for in-person interviews at Chennai",$E325&lt;&gt;"Yes",$P325&lt;&gt;"Yes"),"No",IF(($Q325-$S325)&gt;0,"Yes","No"))</f>
        <v>No</v>
      </c>
      <c r="U325" s="46" t="str">
        <f aca="false">IF($M325="","No",IF(COUNTIFS(MasterPanel!$B:$B,$H325,MasterPanel!$I:$I,$M325,MasterPanel!$K:$K,"Y")&gt;0,"Yes","No"))</f>
        <v>No</v>
      </c>
      <c r="V325" s="46" t="n">
        <f aca="false">IF($M325="",0,IF(COUNTIF('Gap Sheet'!$A$6:$A$11,TRIM($L325))=0,0,IF($O325="R1",INDEX('Gap Sheet'!$C$6:$C$11,MATCH(TRIM($L325),'Gap Sheet'!$A$6:$A$11,0)),INDEX('Gap Sheet'!$G$6:$G$11,MATCH(TRIM($L325),'Gap Sheet'!$A$6:$A$11,0)))))</f>
        <v>0</v>
      </c>
      <c r="W325" s="46" t="str">
        <f aca="false">IF($M325="","",$M325&amp;"|"&amp;$O325)</f>
        <v/>
      </c>
      <c r="X325" s="46" t="n">
        <f aca="false">IF($W325="",0,COUNTIF($AA$4:$AA324,$W325))</f>
        <v>0</v>
      </c>
      <c r="Y325" s="46" t="str">
        <f aca="false">IF(OR($I325&lt;&gt;"Yes, I'm available for in-person interviews at Chennai",$E325&lt;&gt;"Yes",$T325="Yes",$U325&lt;&gt;"Yes"),"No",IF(($V325-$X325)&gt;0,"Yes","No"))</f>
        <v>No</v>
      </c>
      <c r="Z325" s="46" t="str">
        <f aca="false">IF($T325="Yes","Primary",IF($Y325="Yes","Secondary",""))</f>
        <v/>
      </c>
      <c r="AA325" s="46" t="str">
        <f aca="false">IF($Z325="Primary",$R325,IF($Z325="Secondary",$W325,""))</f>
        <v/>
      </c>
      <c r="AB325" s="46" t="str">
        <f aca="false">IF($Z325="Primary","Matched on primary skill",IF($Z325="Secondary","Matched on secondary skill (primary not approved or not required)",""))</f>
        <v/>
      </c>
      <c r="AC325" s="47" t="str">
        <f aca="false">IF($D325="Panel Details",$F325,"")</f>
        <v/>
      </c>
      <c r="AD325" s="46" t="str">
        <f aca="false">IF($D325="Panel Details",'Survey Response'!$D323,"")</f>
        <v/>
      </c>
      <c r="AE325" s="46" t="str">
        <f aca="false">IF($D325="Panel Details",'Survey Response'!$E323,"")</f>
        <v/>
      </c>
      <c r="AF325" s="46" t="str">
        <f aca="false">IF($D325="Panel Details",'Survey Response'!$G323,"")</f>
        <v/>
      </c>
      <c r="AG325" s="46" t="str">
        <f aca="false">IF($D325="Panel Details",IF($Z325="Primary",$J325,$L325),"")</f>
        <v/>
      </c>
      <c r="AH325" s="46" t="str">
        <f aca="false">IF($D325="Panel Details",IF($Z325="Primary",$L325,$J325),"")</f>
        <v/>
      </c>
      <c r="AI325" s="46" t="str">
        <f aca="false">IF($D325="Panel Details",'Survey Response'!$H323,"")</f>
        <v/>
      </c>
      <c r="AJ325" s="46" t="str">
        <f aca="false">IF($D325="Panel Details",'Survey Response'!$M323,"")</f>
        <v/>
      </c>
      <c r="AK325" s="46" t="str">
        <f aca="false">IF($D325="Panel Details",$O325,"")</f>
        <v/>
      </c>
      <c r="AL325" s="46" t="str">
        <f aca="false">IF($D325="Panel Details",8,"")</f>
        <v/>
      </c>
      <c r="AM325" s="46" t="str">
        <f aca="false">IF($D325="Panel Details",$AB325,"")</f>
        <v/>
      </c>
      <c r="AN325" s="46" t="str">
        <f aca="false">IF($D325="Panel Details","Yes","")</f>
        <v/>
      </c>
      <c r="AO325" s="46"/>
      <c r="AP325" s="46" t="str">
        <f aca="false">IF($D325="Followup",'Survey Response'!$D323,"")</f>
        <v/>
      </c>
      <c r="AQ325" s="46" t="str">
        <f aca="false">IF($D325="Followup",'Survey Response'!$E323,"")</f>
        <v/>
      </c>
      <c r="AR325" s="46" t="str">
        <f aca="false">IF($D325="Followup",'Survey Response'!$G323,"")</f>
        <v/>
      </c>
      <c r="AS325" s="46" t="str">
        <f aca="false">IF($D325="Followup",'Survey Response'!$H323,"")</f>
        <v/>
      </c>
      <c r="AT325" s="46" t="str">
        <f aca="false">IF($D325="Followup",'Survey Response'!$M323,"")</f>
        <v/>
      </c>
      <c r="AU325" s="46" t="str">
        <f aca="false">IF($D325="Followup",'Survey Response'!$K323,"")</f>
        <v/>
      </c>
      <c r="AV325" s="46" t="str">
        <f aca="false">IF($D325="Followup",'Survey Response'!$L323,"")</f>
        <v/>
      </c>
      <c r="AW325" s="46" t="str">
        <f aca="false">IF($D325="Followup",IF(AND($P325&lt;&gt;"Yes",$U325&lt;&gt;"Yes"),"Not approved for primary or secondary skill","Approved, but skill(s) no longer have capacity (fully staffed)"),"")</f>
        <v/>
      </c>
    </row>
    <row r="326" customFormat="false" ht="15" hidden="false" customHeight="true" outlineLevel="0" collapsed="false">
      <c r="A326" s="46" t="str">
        <f aca="false">IF('Survey Response'!$D324="","",'Survey Response'!$A324&amp;"|"&amp;LOWER(TRIM('Survey Response'!$D324)))</f>
        <v/>
      </c>
      <c r="B326" s="46" t="str">
        <f aca="false">IF($H326="","",$F326&amp;"|"&amp;$H326)</f>
        <v/>
      </c>
      <c r="C326" s="46" t="str">
        <f aca="false">IF($H326="","",$A326=$B326)</f>
        <v/>
      </c>
      <c r="D326" s="46" t="str">
        <f aca="false">IF($H326="","",IF($E326&lt;&gt;"Yes","Superseded",IF($I326&lt;&gt;"Yes, I'm available for in-person interviews at Chennai","Not Available",IF($Z326&lt;&gt;"","Panel Details","Followup"))))</f>
        <v/>
      </c>
      <c r="E326" s="46" t="str">
        <f aca="false">IF($H326="","",IF(SUMPRODUCT(($H$4:$H$503=$H326)*(($G$4:$G$503&gt;$G326)+($G$4:$G$503=$G326)*($F$4:$F$503&gt;$F326)))=0,"Yes","No"))</f>
        <v/>
      </c>
      <c r="F326" s="47" t="str">
        <f aca="false">IF('Survey Response'!$D324="","",INT('Survey Response'!$A324))</f>
        <v/>
      </c>
      <c r="G326" s="46" t="str">
        <f aca="false">IF('Survey Response'!$D324="","",'Survey Response'!$C324)</f>
        <v/>
      </c>
      <c r="H326" s="46" t="str">
        <f aca="false">IF('Survey Response'!$D324="","",LOWER(TRIM('Survey Response'!$D324)))</f>
        <v/>
      </c>
      <c r="I326" s="46" t="str">
        <f aca="false">IF($H326="","",'Survey Response'!$I324)</f>
        <v/>
      </c>
      <c r="J326" s="46" t="str">
        <f aca="false">IF($H326="","",'Survey Response'!$K324)</f>
        <v/>
      </c>
      <c r="K326" s="46" t="str">
        <f aca="false">IF($J326="","",IF(COUNTIF('Skill Mapping'!$A$2:$A$7,TRIM($J326))=0,"",INDEX('Skill Mapping'!$B$2:$B$7,MATCH(TRIM($J326),'Skill Mapping'!$A$2:$A$7,0))))</f>
        <v/>
      </c>
      <c r="L326" s="46" t="str">
        <f aca="false">IF($H326="","",'Survey Response'!$L324)</f>
        <v/>
      </c>
      <c r="M326" s="46" t="str">
        <f aca="false">IF($L326="","",IF(COUNTIF('Skill Mapping'!$A$2:$A$7,TRIM($L326))=0,"",INDEX('Skill Mapping'!$B$2:$B$7,MATCH(TRIM($L326),'Skill Mapping'!$A$2:$A$7,0))))</f>
        <v/>
      </c>
      <c r="N326" s="46" t="str">
        <f aca="false">IF($H326="","",'Survey Response'!$M324)</f>
        <v/>
      </c>
      <c r="O326" s="46" t="str">
        <f aca="false">IF($H326="","",IF('Survey Response'!$M324="Manager","R2","R1"))</f>
        <v/>
      </c>
      <c r="P326" s="46" t="str">
        <f aca="false">IF($K326="","No",IF(COUNTIFS(MasterPanel!$B:$B,$H326,MasterPanel!$I:$I,$K326,MasterPanel!$K:$K,"Y")&gt;0,"Yes","No"))</f>
        <v>No</v>
      </c>
      <c r="Q326" s="46" t="n">
        <f aca="false">IF($K326="",0,IF(COUNTIF('Gap Sheet'!$A$6:$A$11,TRIM($J326))=0,0,IF($O326="R1",INDEX('Gap Sheet'!$C$6:$C$11,MATCH(TRIM($J326),'Gap Sheet'!$A$6:$A$11,0)),INDEX('Gap Sheet'!$G$6:$G$11,MATCH(TRIM($J326),'Gap Sheet'!$A$6:$A$11,0)))))</f>
        <v>0</v>
      </c>
      <c r="R326" s="46" t="str">
        <f aca="false">IF($K326="","",$K326&amp;"|"&amp;$O326)</f>
        <v/>
      </c>
      <c r="S326" s="46" t="n">
        <f aca="false">IF($R326="",0,COUNTIF($AA$4:$AA325,$R326))</f>
        <v>0</v>
      </c>
      <c r="T326" s="46" t="str">
        <f aca="false">IF(OR($I326&lt;&gt;"Yes, I'm available for in-person interviews at Chennai",$E326&lt;&gt;"Yes",$P326&lt;&gt;"Yes"),"No",IF(($Q326-$S326)&gt;0,"Yes","No"))</f>
        <v>No</v>
      </c>
      <c r="U326" s="46" t="str">
        <f aca="false">IF($M326="","No",IF(COUNTIFS(MasterPanel!$B:$B,$H326,MasterPanel!$I:$I,$M326,MasterPanel!$K:$K,"Y")&gt;0,"Yes","No"))</f>
        <v>No</v>
      </c>
      <c r="V326" s="46" t="n">
        <f aca="false">IF($M326="",0,IF(COUNTIF('Gap Sheet'!$A$6:$A$11,TRIM($L326))=0,0,IF($O326="R1",INDEX('Gap Sheet'!$C$6:$C$11,MATCH(TRIM($L326),'Gap Sheet'!$A$6:$A$11,0)),INDEX('Gap Sheet'!$G$6:$G$11,MATCH(TRIM($L326),'Gap Sheet'!$A$6:$A$11,0)))))</f>
        <v>0</v>
      </c>
      <c r="W326" s="46" t="str">
        <f aca="false">IF($M326="","",$M326&amp;"|"&amp;$O326)</f>
        <v/>
      </c>
      <c r="X326" s="46" t="n">
        <f aca="false">IF($W326="",0,COUNTIF($AA$4:$AA325,$W326))</f>
        <v>0</v>
      </c>
      <c r="Y326" s="46" t="str">
        <f aca="false">IF(OR($I326&lt;&gt;"Yes, I'm available for in-person interviews at Chennai",$E326&lt;&gt;"Yes",$T326="Yes",$U326&lt;&gt;"Yes"),"No",IF(($V326-$X326)&gt;0,"Yes","No"))</f>
        <v>No</v>
      </c>
      <c r="Z326" s="46" t="str">
        <f aca="false">IF($T326="Yes","Primary",IF($Y326="Yes","Secondary",""))</f>
        <v/>
      </c>
      <c r="AA326" s="46" t="str">
        <f aca="false">IF($Z326="Primary",$R326,IF($Z326="Secondary",$W326,""))</f>
        <v/>
      </c>
      <c r="AB326" s="46" t="str">
        <f aca="false">IF($Z326="Primary","Matched on primary skill",IF($Z326="Secondary","Matched on secondary skill (primary not approved or not required)",""))</f>
        <v/>
      </c>
      <c r="AC326" s="47" t="str">
        <f aca="false">IF($D326="Panel Details",$F326,"")</f>
        <v/>
      </c>
      <c r="AD326" s="46" t="str">
        <f aca="false">IF($D326="Panel Details",'Survey Response'!$D324,"")</f>
        <v/>
      </c>
      <c r="AE326" s="46" t="str">
        <f aca="false">IF($D326="Panel Details",'Survey Response'!$E324,"")</f>
        <v/>
      </c>
      <c r="AF326" s="46" t="str">
        <f aca="false">IF($D326="Panel Details",'Survey Response'!$G324,"")</f>
        <v/>
      </c>
      <c r="AG326" s="46" t="str">
        <f aca="false">IF($D326="Panel Details",IF($Z326="Primary",$J326,$L326),"")</f>
        <v/>
      </c>
      <c r="AH326" s="46" t="str">
        <f aca="false">IF($D326="Panel Details",IF($Z326="Primary",$L326,$J326),"")</f>
        <v/>
      </c>
      <c r="AI326" s="46" t="str">
        <f aca="false">IF($D326="Panel Details",'Survey Response'!$H324,"")</f>
        <v/>
      </c>
      <c r="AJ326" s="46" t="str">
        <f aca="false">IF($D326="Panel Details",'Survey Response'!$M324,"")</f>
        <v/>
      </c>
      <c r="AK326" s="46" t="str">
        <f aca="false">IF($D326="Panel Details",$O326,"")</f>
        <v/>
      </c>
      <c r="AL326" s="46" t="str">
        <f aca="false">IF($D326="Panel Details",8,"")</f>
        <v/>
      </c>
      <c r="AM326" s="46" t="str">
        <f aca="false">IF($D326="Panel Details",$AB326,"")</f>
        <v/>
      </c>
      <c r="AN326" s="46" t="str">
        <f aca="false">IF($D326="Panel Details","Yes","")</f>
        <v/>
      </c>
      <c r="AO326" s="46"/>
      <c r="AP326" s="46" t="str">
        <f aca="false">IF($D326="Followup",'Survey Response'!$D324,"")</f>
        <v/>
      </c>
      <c r="AQ326" s="46" t="str">
        <f aca="false">IF($D326="Followup",'Survey Response'!$E324,"")</f>
        <v/>
      </c>
      <c r="AR326" s="46" t="str">
        <f aca="false">IF($D326="Followup",'Survey Response'!$G324,"")</f>
        <v/>
      </c>
      <c r="AS326" s="46" t="str">
        <f aca="false">IF($D326="Followup",'Survey Response'!$H324,"")</f>
        <v/>
      </c>
      <c r="AT326" s="46" t="str">
        <f aca="false">IF($D326="Followup",'Survey Response'!$M324,"")</f>
        <v/>
      </c>
      <c r="AU326" s="46" t="str">
        <f aca="false">IF($D326="Followup",'Survey Response'!$K324,"")</f>
        <v/>
      </c>
      <c r="AV326" s="46" t="str">
        <f aca="false">IF($D326="Followup",'Survey Response'!$L324,"")</f>
        <v/>
      </c>
      <c r="AW326" s="46" t="str">
        <f aca="false">IF($D326="Followup",IF(AND($P326&lt;&gt;"Yes",$U326&lt;&gt;"Yes"),"Not approved for primary or secondary skill","Approved, but skill(s) no longer have capacity (fully staffed)"),"")</f>
        <v/>
      </c>
    </row>
    <row r="327" customFormat="false" ht="15" hidden="false" customHeight="true" outlineLevel="0" collapsed="false">
      <c r="A327" s="46" t="str">
        <f aca="false">IF('Survey Response'!$D325="","",'Survey Response'!$A325&amp;"|"&amp;LOWER(TRIM('Survey Response'!$D325)))</f>
        <v/>
      </c>
      <c r="B327" s="46" t="str">
        <f aca="false">IF($H327="","",$F327&amp;"|"&amp;$H327)</f>
        <v/>
      </c>
      <c r="C327" s="46" t="str">
        <f aca="false">IF($H327="","",$A327=$B327)</f>
        <v/>
      </c>
      <c r="D327" s="46" t="str">
        <f aca="false">IF($H327="","",IF($E327&lt;&gt;"Yes","Superseded",IF($I327&lt;&gt;"Yes, I'm available for in-person interviews at Chennai","Not Available",IF($Z327&lt;&gt;"","Panel Details","Followup"))))</f>
        <v/>
      </c>
      <c r="E327" s="46" t="str">
        <f aca="false">IF($H327="","",IF(SUMPRODUCT(($H$4:$H$503=$H327)*(($G$4:$G$503&gt;$G327)+($G$4:$G$503=$G327)*($F$4:$F$503&gt;$F327)))=0,"Yes","No"))</f>
        <v/>
      </c>
      <c r="F327" s="47" t="str">
        <f aca="false">IF('Survey Response'!$D325="","",INT('Survey Response'!$A325))</f>
        <v/>
      </c>
      <c r="G327" s="46" t="str">
        <f aca="false">IF('Survey Response'!$D325="","",'Survey Response'!$C325)</f>
        <v/>
      </c>
      <c r="H327" s="46" t="str">
        <f aca="false">IF('Survey Response'!$D325="","",LOWER(TRIM('Survey Response'!$D325)))</f>
        <v/>
      </c>
      <c r="I327" s="46" t="str">
        <f aca="false">IF($H327="","",'Survey Response'!$I325)</f>
        <v/>
      </c>
      <c r="J327" s="46" t="str">
        <f aca="false">IF($H327="","",'Survey Response'!$K325)</f>
        <v/>
      </c>
      <c r="K327" s="46" t="str">
        <f aca="false">IF($J327="","",IF(COUNTIF('Skill Mapping'!$A$2:$A$7,TRIM($J327))=0,"",INDEX('Skill Mapping'!$B$2:$B$7,MATCH(TRIM($J327),'Skill Mapping'!$A$2:$A$7,0))))</f>
        <v/>
      </c>
      <c r="L327" s="46" t="str">
        <f aca="false">IF($H327="","",'Survey Response'!$L325)</f>
        <v/>
      </c>
      <c r="M327" s="46" t="str">
        <f aca="false">IF($L327="","",IF(COUNTIF('Skill Mapping'!$A$2:$A$7,TRIM($L327))=0,"",INDEX('Skill Mapping'!$B$2:$B$7,MATCH(TRIM($L327),'Skill Mapping'!$A$2:$A$7,0))))</f>
        <v/>
      </c>
      <c r="N327" s="46" t="str">
        <f aca="false">IF($H327="","",'Survey Response'!$M325)</f>
        <v/>
      </c>
      <c r="O327" s="46" t="str">
        <f aca="false">IF($H327="","",IF('Survey Response'!$M325="Manager","R2","R1"))</f>
        <v/>
      </c>
      <c r="P327" s="46" t="str">
        <f aca="false">IF($K327="","No",IF(COUNTIFS(MasterPanel!$B:$B,$H327,MasterPanel!$I:$I,$K327,MasterPanel!$K:$K,"Y")&gt;0,"Yes","No"))</f>
        <v>No</v>
      </c>
      <c r="Q327" s="46" t="n">
        <f aca="false">IF($K327="",0,IF(COUNTIF('Gap Sheet'!$A$6:$A$11,TRIM($J327))=0,0,IF($O327="R1",INDEX('Gap Sheet'!$C$6:$C$11,MATCH(TRIM($J327),'Gap Sheet'!$A$6:$A$11,0)),INDEX('Gap Sheet'!$G$6:$G$11,MATCH(TRIM($J327),'Gap Sheet'!$A$6:$A$11,0)))))</f>
        <v>0</v>
      </c>
      <c r="R327" s="46" t="str">
        <f aca="false">IF($K327="","",$K327&amp;"|"&amp;$O327)</f>
        <v/>
      </c>
      <c r="S327" s="46" t="n">
        <f aca="false">IF($R327="",0,COUNTIF($AA$4:$AA326,$R327))</f>
        <v>0</v>
      </c>
      <c r="T327" s="46" t="str">
        <f aca="false">IF(OR($I327&lt;&gt;"Yes, I'm available for in-person interviews at Chennai",$E327&lt;&gt;"Yes",$P327&lt;&gt;"Yes"),"No",IF(($Q327-$S327)&gt;0,"Yes","No"))</f>
        <v>No</v>
      </c>
      <c r="U327" s="46" t="str">
        <f aca="false">IF($M327="","No",IF(COUNTIFS(MasterPanel!$B:$B,$H327,MasterPanel!$I:$I,$M327,MasterPanel!$K:$K,"Y")&gt;0,"Yes","No"))</f>
        <v>No</v>
      </c>
      <c r="V327" s="46" t="n">
        <f aca="false">IF($M327="",0,IF(COUNTIF('Gap Sheet'!$A$6:$A$11,TRIM($L327))=0,0,IF($O327="R1",INDEX('Gap Sheet'!$C$6:$C$11,MATCH(TRIM($L327),'Gap Sheet'!$A$6:$A$11,0)),INDEX('Gap Sheet'!$G$6:$G$11,MATCH(TRIM($L327),'Gap Sheet'!$A$6:$A$11,0)))))</f>
        <v>0</v>
      </c>
      <c r="W327" s="46" t="str">
        <f aca="false">IF($M327="","",$M327&amp;"|"&amp;$O327)</f>
        <v/>
      </c>
      <c r="X327" s="46" t="n">
        <f aca="false">IF($W327="",0,COUNTIF($AA$4:$AA326,$W327))</f>
        <v>0</v>
      </c>
      <c r="Y327" s="46" t="str">
        <f aca="false">IF(OR($I327&lt;&gt;"Yes, I'm available for in-person interviews at Chennai",$E327&lt;&gt;"Yes",$T327="Yes",$U327&lt;&gt;"Yes"),"No",IF(($V327-$X327)&gt;0,"Yes","No"))</f>
        <v>No</v>
      </c>
      <c r="Z327" s="46" t="str">
        <f aca="false">IF($T327="Yes","Primary",IF($Y327="Yes","Secondary",""))</f>
        <v/>
      </c>
      <c r="AA327" s="46" t="str">
        <f aca="false">IF($Z327="Primary",$R327,IF($Z327="Secondary",$W327,""))</f>
        <v/>
      </c>
      <c r="AB327" s="46" t="str">
        <f aca="false">IF($Z327="Primary","Matched on primary skill",IF($Z327="Secondary","Matched on secondary skill (primary not approved or not required)",""))</f>
        <v/>
      </c>
      <c r="AC327" s="47" t="str">
        <f aca="false">IF($D327="Panel Details",$F327,"")</f>
        <v/>
      </c>
      <c r="AD327" s="46" t="str">
        <f aca="false">IF($D327="Panel Details",'Survey Response'!$D325,"")</f>
        <v/>
      </c>
      <c r="AE327" s="46" t="str">
        <f aca="false">IF($D327="Panel Details",'Survey Response'!$E325,"")</f>
        <v/>
      </c>
      <c r="AF327" s="46" t="str">
        <f aca="false">IF($D327="Panel Details",'Survey Response'!$G325,"")</f>
        <v/>
      </c>
      <c r="AG327" s="46" t="str">
        <f aca="false">IF($D327="Panel Details",IF($Z327="Primary",$J327,$L327),"")</f>
        <v/>
      </c>
      <c r="AH327" s="46" t="str">
        <f aca="false">IF($D327="Panel Details",IF($Z327="Primary",$L327,$J327),"")</f>
        <v/>
      </c>
      <c r="AI327" s="46" t="str">
        <f aca="false">IF($D327="Panel Details",'Survey Response'!$H325,"")</f>
        <v/>
      </c>
      <c r="AJ327" s="46" t="str">
        <f aca="false">IF($D327="Panel Details",'Survey Response'!$M325,"")</f>
        <v/>
      </c>
      <c r="AK327" s="46" t="str">
        <f aca="false">IF($D327="Panel Details",$O327,"")</f>
        <v/>
      </c>
      <c r="AL327" s="46" t="str">
        <f aca="false">IF($D327="Panel Details",8,"")</f>
        <v/>
      </c>
      <c r="AM327" s="46" t="str">
        <f aca="false">IF($D327="Panel Details",$AB327,"")</f>
        <v/>
      </c>
      <c r="AN327" s="46" t="str">
        <f aca="false">IF($D327="Panel Details","Yes","")</f>
        <v/>
      </c>
      <c r="AO327" s="46"/>
      <c r="AP327" s="46" t="str">
        <f aca="false">IF($D327="Followup",'Survey Response'!$D325,"")</f>
        <v/>
      </c>
      <c r="AQ327" s="46" t="str">
        <f aca="false">IF($D327="Followup",'Survey Response'!$E325,"")</f>
        <v/>
      </c>
      <c r="AR327" s="46" t="str">
        <f aca="false">IF($D327="Followup",'Survey Response'!$G325,"")</f>
        <v/>
      </c>
      <c r="AS327" s="46" t="str">
        <f aca="false">IF($D327="Followup",'Survey Response'!$H325,"")</f>
        <v/>
      </c>
      <c r="AT327" s="46" t="str">
        <f aca="false">IF($D327="Followup",'Survey Response'!$M325,"")</f>
        <v/>
      </c>
      <c r="AU327" s="46" t="str">
        <f aca="false">IF($D327="Followup",'Survey Response'!$K325,"")</f>
        <v/>
      </c>
      <c r="AV327" s="46" t="str">
        <f aca="false">IF($D327="Followup",'Survey Response'!$L325,"")</f>
        <v/>
      </c>
      <c r="AW327" s="46" t="str">
        <f aca="false">IF($D327="Followup",IF(AND($P327&lt;&gt;"Yes",$U327&lt;&gt;"Yes"),"Not approved for primary or secondary skill","Approved, but skill(s) no longer have capacity (fully staffed)"),"")</f>
        <v/>
      </c>
    </row>
    <row r="328" customFormat="false" ht="15" hidden="false" customHeight="true" outlineLevel="0" collapsed="false">
      <c r="A328" s="46" t="str">
        <f aca="false">IF('Survey Response'!$D326="","",'Survey Response'!$A326&amp;"|"&amp;LOWER(TRIM('Survey Response'!$D326)))</f>
        <v/>
      </c>
      <c r="B328" s="46" t="str">
        <f aca="false">IF($H328="","",$F328&amp;"|"&amp;$H328)</f>
        <v/>
      </c>
      <c r="C328" s="46" t="str">
        <f aca="false">IF($H328="","",$A328=$B328)</f>
        <v/>
      </c>
      <c r="D328" s="46" t="str">
        <f aca="false">IF($H328="","",IF($E328&lt;&gt;"Yes","Superseded",IF($I328&lt;&gt;"Yes, I'm available for in-person interviews at Chennai","Not Available",IF($Z328&lt;&gt;"","Panel Details","Followup"))))</f>
        <v/>
      </c>
      <c r="E328" s="46" t="str">
        <f aca="false">IF($H328="","",IF(SUMPRODUCT(($H$4:$H$503=$H328)*(($G$4:$G$503&gt;$G328)+($G$4:$G$503=$G328)*($F$4:$F$503&gt;$F328)))=0,"Yes","No"))</f>
        <v/>
      </c>
      <c r="F328" s="47" t="str">
        <f aca="false">IF('Survey Response'!$D326="","",INT('Survey Response'!$A326))</f>
        <v/>
      </c>
      <c r="G328" s="46" t="str">
        <f aca="false">IF('Survey Response'!$D326="","",'Survey Response'!$C326)</f>
        <v/>
      </c>
      <c r="H328" s="46" t="str">
        <f aca="false">IF('Survey Response'!$D326="","",LOWER(TRIM('Survey Response'!$D326)))</f>
        <v/>
      </c>
      <c r="I328" s="46" t="str">
        <f aca="false">IF($H328="","",'Survey Response'!$I326)</f>
        <v/>
      </c>
      <c r="J328" s="46" t="str">
        <f aca="false">IF($H328="","",'Survey Response'!$K326)</f>
        <v/>
      </c>
      <c r="K328" s="46" t="str">
        <f aca="false">IF($J328="","",IF(COUNTIF('Skill Mapping'!$A$2:$A$7,TRIM($J328))=0,"",INDEX('Skill Mapping'!$B$2:$B$7,MATCH(TRIM($J328),'Skill Mapping'!$A$2:$A$7,0))))</f>
        <v/>
      </c>
      <c r="L328" s="46" t="str">
        <f aca="false">IF($H328="","",'Survey Response'!$L326)</f>
        <v/>
      </c>
      <c r="M328" s="46" t="str">
        <f aca="false">IF($L328="","",IF(COUNTIF('Skill Mapping'!$A$2:$A$7,TRIM($L328))=0,"",INDEX('Skill Mapping'!$B$2:$B$7,MATCH(TRIM($L328),'Skill Mapping'!$A$2:$A$7,0))))</f>
        <v/>
      </c>
      <c r="N328" s="46" t="str">
        <f aca="false">IF($H328="","",'Survey Response'!$M326)</f>
        <v/>
      </c>
      <c r="O328" s="46" t="str">
        <f aca="false">IF($H328="","",IF('Survey Response'!$M326="Manager","R2","R1"))</f>
        <v/>
      </c>
      <c r="P328" s="46" t="str">
        <f aca="false">IF($K328="","No",IF(COUNTIFS(MasterPanel!$B:$B,$H328,MasterPanel!$I:$I,$K328,MasterPanel!$K:$K,"Y")&gt;0,"Yes","No"))</f>
        <v>No</v>
      </c>
      <c r="Q328" s="46" t="n">
        <f aca="false">IF($K328="",0,IF(COUNTIF('Gap Sheet'!$A$6:$A$11,TRIM($J328))=0,0,IF($O328="R1",INDEX('Gap Sheet'!$C$6:$C$11,MATCH(TRIM($J328),'Gap Sheet'!$A$6:$A$11,0)),INDEX('Gap Sheet'!$G$6:$G$11,MATCH(TRIM($J328),'Gap Sheet'!$A$6:$A$11,0)))))</f>
        <v>0</v>
      </c>
      <c r="R328" s="46" t="str">
        <f aca="false">IF($K328="","",$K328&amp;"|"&amp;$O328)</f>
        <v/>
      </c>
      <c r="S328" s="46" t="n">
        <f aca="false">IF($R328="",0,COUNTIF($AA$4:$AA327,$R328))</f>
        <v>0</v>
      </c>
      <c r="T328" s="46" t="str">
        <f aca="false">IF(OR($I328&lt;&gt;"Yes, I'm available for in-person interviews at Chennai",$E328&lt;&gt;"Yes",$P328&lt;&gt;"Yes"),"No",IF(($Q328-$S328)&gt;0,"Yes","No"))</f>
        <v>No</v>
      </c>
      <c r="U328" s="46" t="str">
        <f aca="false">IF($M328="","No",IF(COUNTIFS(MasterPanel!$B:$B,$H328,MasterPanel!$I:$I,$M328,MasterPanel!$K:$K,"Y")&gt;0,"Yes","No"))</f>
        <v>No</v>
      </c>
      <c r="V328" s="46" t="n">
        <f aca="false">IF($M328="",0,IF(COUNTIF('Gap Sheet'!$A$6:$A$11,TRIM($L328))=0,0,IF($O328="R1",INDEX('Gap Sheet'!$C$6:$C$11,MATCH(TRIM($L328),'Gap Sheet'!$A$6:$A$11,0)),INDEX('Gap Sheet'!$G$6:$G$11,MATCH(TRIM($L328),'Gap Sheet'!$A$6:$A$11,0)))))</f>
        <v>0</v>
      </c>
      <c r="W328" s="46" t="str">
        <f aca="false">IF($M328="","",$M328&amp;"|"&amp;$O328)</f>
        <v/>
      </c>
      <c r="X328" s="46" t="n">
        <f aca="false">IF($W328="",0,COUNTIF($AA$4:$AA327,$W328))</f>
        <v>0</v>
      </c>
      <c r="Y328" s="46" t="str">
        <f aca="false">IF(OR($I328&lt;&gt;"Yes, I'm available for in-person interviews at Chennai",$E328&lt;&gt;"Yes",$T328="Yes",$U328&lt;&gt;"Yes"),"No",IF(($V328-$X328)&gt;0,"Yes","No"))</f>
        <v>No</v>
      </c>
      <c r="Z328" s="46" t="str">
        <f aca="false">IF($T328="Yes","Primary",IF($Y328="Yes","Secondary",""))</f>
        <v/>
      </c>
      <c r="AA328" s="46" t="str">
        <f aca="false">IF($Z328="Primary",$R328,IF($Z328="Secondary",$W328,""))</f>
        <v/>
      </c>
      <c r="AB328" s="46" t="str">
        <f aca="false">IF($Z328="Primary","Matched on primary skill",IF($Z328="Secondary","Matched on secondary skill (primary not approved or not required)",""))</f>
        <v/>
      </c>
      <c r="AC328" s="47" t="str">
        <f aca="false">IF($D328="Panel Details",$F328,"")</f>
        <v/>
      </c>
      <c r="AD328" s="46" t="str">
        <f aca="false">IF($D328="Panel Details",'Survey Response'!$D326,"")</f>
        <v/>
      </c>
      <c r="AE328" s="46" t="str">
        <f aca="false">IF($D328="Panel Details",'Survey Response'!$E326,"")</f>
        <v/>
      </c>
      <c r="AF328" s="46" t="str">
        <f aca="false">IF($D328="Panel Details",'Survey Response'!$G326,"")</f>
        <v/>
      </c>
      <c r="AG328" s="46" t="str">
        <f aca="false">IF($D328="Panel Details",IF($Z328="Primary",$J328,$L328),"")</f>
        <v/>
      </c>
      <c r="AH328" s="46" t="str">
        <f aca="false">IF($D328="Panel Details",IF($Z328="Primary",$L328,$J328),"")</f>
        <v/>
      </c>
      <c r="AI328" s="46" t="str">
        <f aca="false">IF($D328="Panel Details",'Survey Response'!$H326,"")</f>
        <v/>
      </c>
      <c r="AJ328" s="46" t="str">
        <f aca="false">IF($D328="Panel Details",'Survey Response'!$M326,"")</f>
        <v/>
      </c>
      <c r="AK328" s="46" t="str">
        <f aca="false">IF($D328="Panel Details",$O328,"")</f>
        <v/>
      </c>
      <c r="AL328" s="46" t="str">
        <f aca="false">IF($D328="Panel Details",8,"")</f>
        <v/>
      </c>
      <c r="AM328" s="46" t="str">
        <f aca="false">IF($D328="Panel Details",$AB328,"")</f>
        <v/>
      </c>
      <c r="AN328" s="46" t="str">
        <f aca="false">IF($D328="Panel Details","Yes","")</f>
        <v/>
      </c>
      <c r="AO328" s="46"/>
      <c r="AP328" s="46" t="str">
        <f aca="false">IF($D328="Followup",'Survey Response'!$D326,"")</f>
        <v/>
      </c>
      <c r="AQ328" s="46" t="str">
        <f aca="false">IF($D328="Followup",'Survey Response'!$E326,"")</f>
        <v/>
      </c>
      <c r="AR328" s="46" t="str">
        <f aca="false">IF($D328="Followup",'Survey Response'!$G326,"")</f>
        <v/>
      </c>
      <c r="AS328" s="46" t="str">
        <f aca="false">IF($D328="Followup",'Survey Response'!$H326,"")</f>
        <v/>
      </c>
      <c r="AT328" s="46" t="str">
        <f aca="false">IF($D328="Followup",'Survey Response'!$M326,"")</f>
        <v/>
      </c>
      <c r="AU328" s="46" t="str">
        <f aca="false">IF($D328="Followup",'Survey Response'!$K326,"")</f>
        <v/>
      </c>
      <c r="AV328" s="46" t="str">
        <f aca="false">IF($D328="Followup",'Survey Response'!$L326,"")</f>
        <v/>
      </c>
      <c r="AW328" s="46" t="str">
        <f aca="false">IF($D328="Followup",IF(AND($P328&lt;&gt;"Yes",$U328&lt;&gt;"Yes"),"Not approved for primary or secondary skill","Approved, but skill(s) no longer have capacity (fully staffed)"),"")</f>
        <v/>
      </c>
    </row>
    <row r="329" customFormat="false" ht="15" hidden="false" customHeight="true" outlineLevel="0" collapsed="false">
      <c r="A329" s="46" t="str">
        <f aca="false">IF('Survey Response'!$D327="","",'Survey Response'!$A327&amp;"|"&amp;LOWER(TRIM('Survey Response'!$D327)))</f>
        <v/>
      </c>
      <c r="B329" s="46" t="str">
        <f aca="false">IF($H329="","",$F329&amp;"|"&amp;$H329)</f>
        <v/>
      </c>
      <c r="C329" s="46" t="str">
        <f aca="false">IF($H329="","",$A329=$B329)</f>
        <v/>
      </c>
      <c r="D329" s="46" t="str">
        <f aca="false">IF($H329="","",IF($E329&lt;&gt;"Yes","Superseded",IF($I329&lt;&gt;"Yes, I'm available for in-person interviews at Chennai","Not Available",IF($Z329&lt;&gt;"","Panel Details","Followup"))))</f>
        <v/>
      </c>
      <c r="E329" s="46" t="str">
        <f aca="false">IF($H329="","",IF(SUMPRODUCT(($H$4:$H$503=$H329)*(($G$4:$G$503&gt;$G329)+($G$4:$G$503=$G329)*($F$4:$F$503&gt;$F329)))=0,"Yes","No"))</f>
        <v/>
      </c>
      <c r="F329" s="47" t="str">
        <f aca="false">IF('Survey Response'!$D327="","",INT('Survey Response'!$A327))</f>
        <v/>
      </c>
      <c r="G329" s="46" t="str">
        <f aca="false">IF('Survey Response'!$D327="","",'Survey Response'!$C327)</f>
        <v/>
      </c>
      <c r="H329" s="46" t="str">
        <f aca="false">IF('Survey Response'!$D327="","",LOWER(TRIM('Survey Response'!$D327)))</f>
        <v/>
      </c>
      <c r="I329" s="46" t="str">
        <f aca="false">IF($H329="","",'Survey Response'!$I327)</f>
        <v/>
      </c>
      <c r="J329" s="46" t="str">
        <f aca="false">IF($H329="","",'Survey Response'!$K327)</f>
        <v/>
      </c>
      <c r="K329" s="46" t="str">
        <f aca="false">IF($J329="","",IF(COUNTIF('Skill Mapping'!$A$2:$A$7,TRIM($J329))=0,"",INDEX('Skill Mapping'!$B$2:$B$7,MATCH(TRIM($J329),'Skill Mapping'!$A$2:$A$7,0))))</f>
        <v/>
      </c>
      <c r="L329" s="46" t="str">
        <f aca="false">IF($H329="","",'Survey Response'!$L327)</f>
        <v/>
      </c>
      <c r="M329" s="46" t="str">
        <f aca="false">IF($L329="","",IF(COUNTIF('Skill Mapping'!$A$2:$A$7,TRIM($L329))=0,"",INDEX('Skill Mapping'!$B$2:$B$7,MATCH(TRIM($L329),'Skill Mapping'!$A$2:$A$7,0))))</f>
        <v/>
      </c>
      <c r="N329" s="46" t="str">
        <f aca="false">IF($H329="","",'Survey Response'!$M327)</f>
        <v/>
      </c>
      <c r="O329" s="46" t="str">
        <f aca="false">IF($H329="","",IF('Survey Response'!$M327="Manager","R2","R1"))</f>
        <v/>
      </c>
      <c r="P329" s="46" t="str">
        <f aca="false">IF($K329="","No",IF(COUNTIFS(MasterPanel!$B:$B,$H329,MasterPanel!$I:$I,$K329,MasterPanel!$K:$K,"Y")&gt;0,"Yes","No"))</f>
        <v>No</v>
      </c>
      <c r="Q329" s="46" t="n">
        <f aca="false">IF($K329="",0,IF(COUNTIF('Gap Sheet'!$A$6:$A$11,TRIM($J329))=0,0,IF($O329="R1",INDEX('Gap Sheet'!$C$6:$C$11,MATCH(TRIM($J329),'Gap Sheet'!$A$6:$A$11,0)),INDEX('Gap Sheet'!$G$6:$G$11,MATCH(TRIM($J329),'Gap Sheet'!$A$6:$A$11,0)))))</f>
        <v>0</v>
      </c>
      <c r="R329" s="46" t="str">
        <f aca="false">IF($K329="","",$K329&amp;"|"&amp;$O329)</f>
        <v/>
      </c>
      <c r="S329" s="46" t="n">
        <f aca="false">IF($R329="",0,COUNTIF($AA$4:$AA328,$R329))</f>
        <v>0</v>
      </c>
      <c r="T329" s="46" t="str">
        <f aca="false">IF(OR($I329&lt;&gt;"Yes, I'm available for in-person interviews at Chennai",$E329&lt;&gt;"Yes",$P329&lt;&gt;"Yes"),"No",IF(($Q329-$S329)&gt;0,"Yes","No"))</f>
        <v>No</v>
      </c>
      <c r="U329" s="46" t="str">
        <f aca="false">IF($M329="","No",IF(COUNTIFS(MasterPanel!$B:$B,$H329,MasterPanel!$I:$I,$M329,MasterPanel!$K:$K,"Y")&gt;0,"Yes","No"))</f>
        <v>No</v>
      </c>
      <c r="V329" s="46" t="n">
        <f aca="false">IF($M329="",0,IF(COUNTIF('Gap Sheet'!$A$6:$A$11,TRIM($L329))=0,0,IF($O329="R1",INDEX('Gap Sheet'!$C$6:$C$11,MATCH(TRIM($L329),'Gap Sheet'!$A$6:$A$11,0)),INDEX('Gap Sheet'!$G$6:$G$11,MATCH(TRIM($L329),'Gap Sheet'!$A$6:$A$11,0)))))</f>
        <v>0</v>
      </c>
      <c r="W329" s="46" t="str">
        <f aca="false">IF($M329="","",$M329&amp;"|"&amp;$O329)</f>
        <v/>
      </c>
      <c r="X329" s="46" t="n">
        <f aca="false">IF($W329="",0,COUNTIF($AA$4:$AA328,$W329))</f>
        <v>0</v>
      </c>
      <c r="Y329" s="46" t="str">
        <f aca="false">IF(OR($I329&lt;&gt;"Yes, I'm available for in-person interviews at Chennai",$E329&lt;&gt;"Yes",$T329="Yes",$U329&lt;&gt;"Yes"),"No",IF(($V329-$X329)&gt;0,"Yes","No"))</f>
        <v>No</v>
      </c>
      <c r="Z329" s="46" t="str">
        <f aca="false">IF($T329="Yes","Primary",IF($Y329="Yes","Secondary",""))</f>
        <v/>
      </c>
      <c r="AA329" s="46" t="str">
        <f aca="false">IF($Z329="Primary",$R329,IF($Z329="Secondary",$W329,""))</f>
        <v/>
      </c>
      <c r="AB329" s="46" t="str">
        <f aca="false">IF($Z329="Primary","Matched on primary skill",IF($Z329="Secondary","Matched on secondary skill (primary not approved or not required)",""))</f>
        <v/>
      </c>
      <c r="AC329" s="47" t="str">
        <f aca="false">IF($D329="Panel Details",$F329,"")</f>
        <v/>
      </c>
      <c r="AD329" s="46" t="str">
        <f aca="false">IF($D329="Panel Details",'Survey Response'!$D327,"")</f>
        <v/>
      </c>
      <c r="AE329" s="46" t="str">
        <f aca="false">IF($D329="Panel Details",'Survey Response'!$E327,"")</f>
        <v/>
      </c>
      <c r="AF329" s="46" t="str">
        <f aca="false">IF($D329="Panel Details",'Survey Response'!$G327,"")</f>
        <v/>
      </c>
      <c r="AG329" s="46" t="str">
        <f aca="false">IF($D329="Panel Details",IF($Z329="Primary",$J329,$L329),"")</f>
        <v/>
      </c>
      <c r="AH329" s="46" t="str">
        <f aca="false">IF($D329="Panel Details",IF($Z329="Primary",$L329,$J329),"")</f>
        <v/>
      </c>
      <c r="AI329" s="46" t="str">
        <f aca="false">IF($D329="Panel Details",'Survey Response'!$H327,"")</f>
        <v/>
      </c>
      <c r="AJ329" s="46" t="str">
        <f aca="false">IF($D329="Panel Details",'Survey Response'!$M327,"")</f>
        <v/>
      </c>
      <c r="AK329" s="46" t="str">
        <f aca="false">IF($D329="Panel Details",$O329,"")</f>
        <v/>
      </c>
      <c r="AL329" s="46" t="str">
        <f aca="false">IF($D329="Panel Details",8,"")</f>
        <v/>
      </c>
      <c r="AM329" s="46" t="str">
        <f aca="false">IF($D329="Panel Details",$AB329,"")</f>
        <v/>
      </c>
      <c r="AN329" s="46" t="str">
        <f aca="false">IF($D329="Panel Details","Yes","")</f>
        <v/>
      </c>
      <c r="AO329" s="46"/>
      <c r="AP329" s="46" t="str">
        <f aca="false">IF($D329="Followup",'Survey Response'!$D327,"")</f>
        <v/>
      </c>
      <c r="AQ329" s="46" t="str">
        <f aca="false">IF($D329="Followup",'Survey Response'!$E327,"")</f>
        <v/>
      </c>
      <c r="AR329" s="46" t="str">
        <f aca="false">IF($D329="Followup",'Survey Response'!$G327,"")</f>
        <v/>
      </c>
      <c r="AS329" s="46" t="str">
        <f aca="false">IF($D329="Followup",'Survey Response'!$H327,"")</f>
        <v/>
      </c>
      <c r="AT329" s="46" t="str">
        <f aca="false">IF($D329="Followup",'Survey Response'!$M327,"")</f>
        <v/>
      </c>
      <c r="AU329" s="46" t="str">
        <f aca="false">IF($D329="Followup",'Survey Response'!$K327,"")</f>
        <v/>
      </c>
      <c r="AV329" s="46" t="str">
        <f aca="false">IF($D329="Followup",'Survey Response'!$L327,"")</f>
        <v/>
      </c>
      <c r="AW329" s="46" t="str">
        <f aca="false">IF($D329="Followup",IF(AND($P329&lt;&gt;"Yes",$U329&lt;&gt;"Yes"),"Not approved for primary or secondary skill","Approved, but skill(s) no longer have capacity (fully staffed)"),"")</f>
        <v/>
      </c>
    </row>
    <row r="330" customFormat="false" ht="15" hidden="false" customHeight="true" outlineLevel="0" collapsed="false">
      <c r="A330" s="46" t="str">
        <f aca="false">IF('Survey Response'!$D328="","",'Survey Response'!$A328&amp;"|"&amp;LOWER(TRIM('Survey Response'!$D328)))</f>
        <v/>
      </c>
      <c r="B330" s="46" t="str">
        <f aca="false">IF($H330="","",$F330&amp;"|"&amp;$H330)</f>
        <v/>
      </c>
      <c r="C330" s="46" t="str">
        <f aca="false">IF($H330="","",$A330=$B330)</f>
        <v/>
      </c>
      <c r="D330" s="46" t="str">
        <f aca="false">IF($H330="","",IF($E330&lt;&gt;"Yes","Superseded",IF($I330&lt;&gt;"Yes, I'm available for in-person interviews at Chennai","Not Available",IF($Z330&lt;&gt;"","Panel Details","Followup"))))</f>
        <v/>
      </c>
      <c r="E330" s="46" t="str">
        <f aca="false">IF($H330="","",IF(SUMPRODUCT(($H$4:$H$503=$H330)*(($G$4:$G$503&gt;$G330)+($G$4:$G$503=$G330)*($F$4:$F$503&gt;$F330)))=0,"Yes","No"))</f>
        <v/>
      </c>
      <c r="F330" s="47" t="str">
        <f aca="false">IF('Survey Response'!$D328="","",INT('Survey Response'!$A328))</f>
        <v/>
      </c>
      <c r="G330" s="46" t="str">
        <f aca="false">IF('Survey Response'!$D328="","",'Survey Response'!$C328)</f>
        <v/>
      </c>
      <c r="H330" s="46" t="str">
        <f aca="false">IF('Survey Response'!$D328="","",LOWER(TRIM('Survey Response'!$D328)))</f>
        <v/>
      </c>
      <c r="I330" s="46" t="str">
        <f aca="false">IF($H330="","",'Survey Response'!$I328)</f>
        <v/>
      </c>
      <c r="J330" s="46" t="str">
        <f aca="false">IF($H330="","",'Survey Response'!$K328)</f>
        <v/>
      </c>
      <c r="K330" s="46" t="str">
        <f aca="false">IF($J330="","",IF(COUNTIF('Skill Mapping'!$A$2:$A$7,TRIM($J330))=0,"",INDEX('Skill Mapping'!$B$2:$B$7,MATCH(TRIM($J330),'Skill Mapping'!$A$2:$A$7,0))))</f>
        <v/>
      </c>
      <c r="L330" s="46" t="str">
        <f aca="false">IF($H330="","",'Survey Response'!$L328)</f>
        <v/>
      </c>
      <c r="M330" s="46" t="str">
        <f aca="false">IF($L330="","",IF(COUNTIF('Skill Mapping'!$A$2:$A$7,TRIM($L330))=0,"",INDEX('Skill Mapping'!$B$2:$B$7,MATCH(TRIM($L330),'Skill Mapping'!$A$2:$A$7,0))))</f>
        <v/>
      </c>
      <c r="N330" s="46" t="str">
        <f aca="false">IF($H330="","",'Survey Response'!$M328)</f>
        <v/>
      </c>
      <c r="O330" s="46" t="str">
        <f aca="false">IF($H330="","",IF('Survey Response'!$M328="Manager","R2","R1"))</f>
        <v/>
      </c>
      <c r="P330" s="46" t="str">
        <f aca="false">IF($K330="","No",IF(COUNTIFS(MasterPanel!$B:$B,$H330,MasterPanel!$I:$I,$K330,MasterPanel!$K:$K,"Y")&gt;0,"Yes","No"))</f>
        <v>No</v>
      </c>
      <c r="Q330" s="46" t="n">
        <f aca="false">IF($K330="",0,IF(COUNTIF('Gap Sheet'!$A$6:$A$11,TRIM($J330))=0,0,IF($O330="R1",INDEX('Gap Sheet'!$C$6:$C$11,MATCH(TRIM($J330),'Gap Sheet'!$A$6:$A$11,0)),INDEX('Gap Sheet'!$G$6:$G$11,MATCH(TRIM($J330),'Gap Sheet'!$A$6:$A$11,0)))))</f>
        <v>0</v>
      </c>
      <c r="R330" s="46" t="str">
        <f aca="false">IF($K330="","",$K330&amp;"|"&amp;$O330)</f>
        <v/>
      </c>
      <c r="S330" s="46" t="n">
        <f aca="false">IF($R330="",0,COUNTIF($AA$4:$AA329,$R330))</f>
        <v>0</v>
      </c>
      <c r="T330" s="46" t="str">
        <f aca="false">IF(OR($I330&lt;&gt;"Yes, I'm available for in-person interviews at Chennai",$E330&lt;&gt;"Yes",$P330&lt;&gt;"Yes"),"No",IF(($Q330-$S330)&gt;0,"Yes","No"))</f>
        <v>No</v>
      </c>
      <c r="U330" s="46" t="str">
        <f aca="false">IF($M330="","No",IF(COUNTIFS(MasterPanel!$B:$B,$H330,MasterPanel!$I:$I,$M330,MasterPanel!$K:$K,"Y")&gt;0,"Yes","No"))</f>
        <v>No</v>
      </c>
      <c r="V330" s="46" t="n">
        <f aca="false">IF($M330="",0,IF(COUNTIF('Gap Sheet'!$A$6:$A$11,TRIM($L330))=0,0,IF($O330="R1",INDEX('Gap Sheet'!$C$6:$C$11,MATCH(TRIM($L330),'Gap Sheet'!$A$6:$A$11,0)),INDEX('Gap Sheet'!$G$6:$G$11,MATCH(TRIM($L330),'Gap Sheet'!$A$6:$A$11,0)))))</f>
        <v>0</v>
      </c>
      <c r="W330" s="46" t="str">
        <f aca="false">IF($M330="","",$M330&amp;"|"&amp;$O330)</f>
        <v/>
      </c>
      <c r="X330" s="46" t="n">
        <f aca="false">IF($W330="",0,COUNTIF($AA$4:$AA329,$W330))</f>
        <v>0</v>
      </c>
      <c r="Y330" s="46" t="str">
        <f aca="false">IF(OR($I330&lt;&gt;"Yes, I'm available for in-person interviews at Chennai",$E330&lt;&gt;"Yes",$T330="Yes",$U330&lt;&gt;"Yes"),"No",IF(($V330-$X330)&gt;0,"Yes","No"))</f>
        <v>No</v>
      </c>
      <c r="Z330" s="46" t="str">
        <f aca="false">IF($T330="Yes","Primary",IF($Y330="Yes","Secondary",""))</f>
        <v/>
      </c>
      <c r="AA330" s="46" t="str">
        <f aca="false">IF($Z330="Primary",$R330,IF($Z330="Secondary",$W330,""))</f>
        <v/>
      </c>
      <c r="AB330" s="46" t="str">
        <f aca="false">IF($Z330="Primary","Matched on primary skill",IF($Z330="Secondary","Matched on secondary skill (primary not approved or not required)",""))</f>
        <v/>
      </c>
      <c r="AC330" s="47" t="str">
        <f aca="false">IF($D330="Panel Details",$F330,"")</f>
        <v/>
      </c>
      <c r="AD330" s="46" t="str">
        <f aca="false">IF($D330="Panel Details",'Survey Response'!$D328,"")</f>
        <v/>
      </c>
      <c r="AE330" s="46" t="str">
        <f aca="false">IF($D330="Panel Details",'Survey Response'!$E328,"")</f>
        <v/>
      </c>
      <c r="AF330" s="46" t="str">
        <f aca="false">IF($D330="Panel Details",'Survey Response'!$G328,"")</f>
        <v/>
      </c>
      <c r="AG330" s="46" t="str">
        <f aca="false">IF($D330="Panel Details",IF($Z330="Primary",$J330,$L330),"")</f>
        <v/>
      </c>
      <c r="AH330" s="46" t="str">
        <f aca="false">IF($D330="Panel Details",IF($Z330="Primary",$L330,$J330),"")</f>
        <v/>
      </c>
      <c r="AI330" s="46" t="str">
        <f aca="false">IF($D330="Panel Details",'Survey Response'!$H328,"")</f>
        <v/>
      </c>
      <c r="AJ330" s="46" t="str">
        <f aca="false">IF($D330="Panel Details",'Survey Response'!$M328,"")</f>
        <v/>
      </c>
      <c r="AK330" s="46" t="str">
        <f aca="false">IF($D330="Panel Details",$O330,"")</f>
        <v/>
      </c>
      <c r="AL330" s="46" t="str">
        <f aca="false">IF($D330="Panel Details",8,"")</f>
        <v/>
      </c>
      <c r="AM330" s="46" t="str">
        <f aca="false">IF($D330="Panel Details",$AB330,"")</f>
        <v/>
      </c>
      <c r="AN330" s="46" t="str">
        <f aca="false">IF($D330="Panel Details","Yes","")</f>
        <v/>
      </c>
      <c r="AO330" s="46"/>
      <c r="AP330" s="46" t="str">
        <f aca="false">IF($D330="Followup",'Survey Response'!$D328,"")</f>
        <v/>
      </c>
      <c r="AQ330" s="46" t="str">
        <f aca="false">IF($D330="Followup",'Survey Response'!$E328,"")</f>
        <v/>
      </c>
      <c r="AR330" s="46" t="str">
        <f aca="false">IF($D330="Followup",'Survey Response'!$G328,"")</f>
        <v/>
      </c>
      <c r="AS330" s="46" t="str">
        <f aca="false">IF($D330="Followup",'Survey Response'!$H328,"")</f>
        <v/>
      </c>
      <c r="AT330" s="46" t="str">
        <f aca="false">IF($D330="Followup",'Survey Response'!$M328,"")</f>
        <v/>
      </c>
      <c r="AU330" s="46" t="str">
        <f aca="false">IF($D330="Followup",'Survey Response'!$K328,"")</f>
        <v/>
      </c>
      <c r="AV330" s="46" t="str">
        <f aca="false">IF($D330="Followup",'Survey Response'!$L328,"")</f>
        <v/>
      </c>
      <c r="AW330" s="46" t="str">
        <f aca="false">IF($D330="Followup",IF(AND($P330&lt;&gt;"Yes",$U330&lt;&gt;"Yes"),"Not approved for primary or secondary skill","Approved, but skill(s) no longer have capacity (fully staffed)"),"")</f>
        <v/>
      </c>
    </row>
    <row r="331" customFormat="false" ht="15" hidden="false" customHeight="true" outlineLevel="0" collapsed="false">
      <c r="A331" s="46" t="str">
        <f aca="false">IF('Survey Response'!$D329="","",'Survey Response'!$A329&amp;"|"&amp;LOWER(TRIM('Survey Response'!$D329)))</f>
        <v/>
      </c>
      <c r="B331" s="46" t="str">
        <f aca="false">IF($H331="","",$F331&amp;"|"&amp;$H331)</f>
        <v/>
      </c>
      <c r="C331" s="46" t="str">
        <f aca="false">IF($H331="","",$A331=$B331)</f>
        <v/>
      </c>
      <c r="D331" s="46" t="str">
        <f aca="false">IF($H331="","",IF($E331&lt;&gt;"Yes","Superseded",IF($I331&lt;&gt;"Yes, I'm available for in-person interviews at Chennai","Not Available",IF($Z331&lt;&gt;"","Panel Details","Followup"))))</f>
        <v/>
      </c>
      <c r="E331" s="46" t="str">
        <f aca="false">IF($H331="","",IF(SUMPRODUCT(($H$4:$H$503=$H331)*(($G$4:$G$503&gt;$G331)+($G$4:$G$503=$G331)*($F$4:$F$503&gt;$F331)))=0,"Yes","No"))</f>
        <v/>
      </c>
      <c r="F331" s="47" t="str">
        <f aca="false">IF('Survey Response'!$D329="","",INT('Survey Response'!$A329))</f>
        <v/>
      </c>
      <c r="G331" s="46" t="str">
        <f aca="false">IF('Survey Response'!$D329="","",'Survey Response'!$C329)</f>
        <v/>
      </c>
      <c r="H331" s="46" t="str">
        <f aca="false">IF('Survey Response'!$D329="","",LOWER(TRIM('Survey Response'!$D329)))</f>
        <v/>
      </c>
      <c r="I331" s="46" t="str">
        <f aca="false">IF($H331="","",'Survey Response'!$I329)</f>
        <v/>
      </c>
      <c r="J331" s="46" t="str">
        <f aca="false">IF($H331="","",'Survey Response'!$K329)</f>
        <v/>
      </c>
      <c r="K331" s="46" t="str">
        <f aca="false">IF($J331="","",IF(COUNTIF('Skill Mapping'!$A$2:$A$7,TRIM($J331))=0,"",INDEX('Skill Mapping'!$B$2:$B$7,MATCH(TRIM($J331),'Skill Mapping'!$A$2:$A$7,0))))</f>
        <v/>
      </c>
      <c r="L331" s="46" t="str">
        <f aca="false">IF($H331="","",'Survey Response'!$L329)</f>
        <v/>
      </c>
      <c r="M331" s="46" t="str">
        <f aca="false">IF($L331="","",IF(COUNTIF('Skill Mapping'!$A$2:$A$7,TRIM($L331))=0,"",INDEX('Skill Mapping'!$B$2:$B$7,MATCH(TRIM($L331),'Skill Mapping'!$A$2:$A$7,0))))</f>
        <v/>
      </c>
      <c r="N331" s="46" t="str">
        <f aca="false">IF($H331="","",'Survey Response'!$M329)</f>
        <v/>
      </c>
      <c r="O331" s="46" t="str">
        <f aca="false">IF($H331="","",IF('Survey Response'!$M329="Manager","R2","R1"))</f>
        <v/>
      </c>
      <c r="P331" s="46" t="str">
        <f aca="false">IF($K331="","No",IF(COUNTIFS(MasterPanel!$B:$B,$H331,MasterPanel!$I:$I,$K331,MasterPanel!$K:$K,"Y")&gt;0,"Yes","No"))</f>
        <v>No</v>
      </c>
      <c r="Q331" s="46" t="n">
        <f aca="false">IF($K331="",0,IF(COUNTIF('Gap Sheet'!$A$6:$A$11,TRIM($J331))=0,0,IF($O331="R1",INDEX('Gap Sheet'!$C$6:$C$11,MATCH(TRIM($J331),'Gap Sheet'!$A$6:$A$11,0)),INDEX('Gap Sheet'!$G$6:$G$11,MATCH(TRIM($J331),'Gap Sheet'!$A$6:$A$11,0)))))</f>
        <v>0</v>
      </c>
      <c r="R331" s="46" t="str">
        <f aca="false">IF($K331="","",$K331&amp;"|"&amp;$O331)</f>
        <v/>
      </c>
      <c r="S331" s="46" t="n">
        <f aca="false">IF($R331="",0,COUNTIF($AA$4:$AA330,$R331))</f>
        <v>0</v>
      </c>
      <c r="T331" s="46" t="str">
        <f aca="false">IF(OR($I331&lt;&gt;"Yes, I'm available for in-person interviews at Chennai",$E331&lt;&gt;"Yes",$P331&lt;&gt;"Yes"),"No",IF(($Q331-$S331)&gt;0,"Yes","No"))</f>
        <v>No</v>
      </c>
      <c r="U331" s="46" t="str">
        <f aca="false">IF($M331="","No",IF(COUNTIFS(MasterPanel!$B:$B,$H331,MasterPanel!$I:$I,$M331,MasterPanel!$K:$K,"Y")&gt;0,"Yes","No"))</f>
        <v>No</v>
      </c>
      <c r="V331" s="46" t="n">
        <f aca="false">IF($M331="",0,IF(COUNTIF('Gap Sheet'!$A$6:$A$11,TRIM($L331))=0,0,IF($O331="R1",INDEX('Gap Sheet'!$C$6:$C$11,MATCH(TRIM($L331),'Gap Sheet'!$A$6:$A$11,0)),INDEX('Gap Sheet'!$G$6:$G$11,MATCH(TRIM($L331),'Gap Sheet'!$A$6:$A$11,0)))))</f>
        <v>0</v>
      </c>
      <c r="W331" s="46" t="str">
        <f aca="false">IF($M331="","",$M331&amp;"|"&amp;$O331)</f>
        <v/>
      </c>
      <c r="X331" s="46" t="n">
        <f aca="false">IF($W331="",0,COUNTIF($AA$4:$AA330,$W331))</f>
        <v>0</v>
      </c>
      <c r="Y331" s="46" t="str">
        <f aca="false">IF(OR($I331&lt;&gt;"Yes, I'm available for in-person interviews at Chennai",$E331&lt;&gt;"Yes",$T331="Yes",$U331&lt;&gt;"Yes"),"No",IF(($V331-$X331)&gt;0,"Yes","No"))</f>
        <v>No</v>
      </c>
      <c r="Z331" s="46" t="str">
        <f aca="false">IF($T331="Yes","Primary",IF($Y331="Yes","Secondary",""))</f>
        <v/>
      </c>
      <c r="AA331" s="46" t="str">
        <f aca="false">IF($Z331="Primary",$R331,IF($Z331="Secondary",$W331,""))</f>
        <v/>
      </c>
      <c r="AB331" s="46" t="str">
        <f aca="false">IF($Z331="Primary","Matched on primary skill",IF($Z331="Secondary","Matched on secondary skill (primary not approved or not required)",""))</f>
        <v/>
      </c>
      <c r="AC331" s="47" t="str">
        <f aca="false">IF($D331="Panel Details",$F331,"")</f>
        <v/>
      </c>
      <c r="AD331" s="46" t="str">
        <f aca="false">IF($D331="Panel Details",'Survey Response'!$D329,"")</f>
        <v/>
      </c>
      <c r="AE331" s="46" t="str">
        <f aca="false">IF($D331="Panel Details",'Survey Response'!$E329,"")</f>
        <v/>
      </c>
      <c r="AF331" s="46" t="str">
        <f aca="false">IF($D331="Panel Details",'Survey Response'!$G329,"")</f>
        <v/>
      </c>
      <c r="AG331" s="46" t="str">
        <f aca="false">IF($D331="Panel Details",IF($Z331="Primary",$J331,$L331),"")</f>
        <v/>
      </c>
      <c r="AH331" s="46" t="str">
        <f aca="false">IF($D331="Panel Details",IF($Z331="Primary",$L331,$J331),"")</f>
        <v/>
      </c>
      <c r="AI331" s="46" t="str">
        <f aca="false">IF($D331="Panel Details",'Survey Response'!$H329,"")</f>
        <v/>
      </c>
      <c r="AJ331" s="46" t="str">
        <f aca="false">IF($D331="Panel Details",'Survey Response'!$M329,"")</f>
        <v/>
      </c>
      <c r="AK331" s="46" t="str">
        <f aca="false">IF($D331="Panel Details",$O331,"")</f>
        <v/>
      </c>
      <c r="AL331" s="46" t="str">
        <f aca="false">IF($D331="Panel Details",8,"")</f>
        <v/>
      </c>
      <c r="AM331" s="46" t="str">
        <f aca="false">IF($D331="Panel Details",$AB331,"")</f>
        <v/>
      </c>
      <c r="AN331" s="46" t="str">
        <f aca="false">IF($D331="Panel Details","Yes","")</f>
        <v/>
      </c>
      <c r="AO331" s="46"/>
      <c r="AP331" s="46" t="str">
        <f aca="false">IF($D331="Followup",'Survey Response'!$D329,"")</f>
        <v/>
      </c>
      <c r="AQ331" s="46" t="str">
        <f aca="false">IF($D331="Followup",'Survey Response'!$E329,"")</f>
        <v/>
      </c>
      <c r="AR331" s="46" t="str">
        <f aca="false">IF($D331="Followup",'Survey Response'!$G329,"")</f>
        <v/>
      </c>
      <c r="AS331" s="46" t="str">
        <f aca="false">IF($D331="Followup",'Survey Response'!$H329,"")</f>
        <v/>
      </c>
      <c r="AT331" s="46" t="str">
        <f aca="false">IF($D331="Followup",'Survey Response'!$M329,"")</f>
        <v/>
      </c>
      <c r="AU331" s="46" t="str">
        <f aca="false">IF($D331="Followup",'Survey Response'!$K329,"")</f>
        <v/>
      </c>
      <c r="AV331" s="46" t="str">
        <f aca="false">IF($D331="Followup",'Survey Response'!$L329,"")</f>
        <v/>
      </c>
      <c r="AW331" s="46" t="str">
        <f aca="false">IF($D331="Followup",IF(AND($P331&lt;&gt;"Yes",$U331&lt;&gt;"Yes"),"Not approved for primary or secondary skill","Approved, but skill(s) no longer have capacity (fully staffed)"),"")</f>
        <v/>
      </c>
    </row>
    <row r="332" customFormat="false" ht="15" hidden="false" customHeight="true" outlineLevel="0" collapsed="false">
      <c r="A332" s="46" t="str">
        <f aca="false">IF('Survey Response'!$D330="","",'Survey Response'!$A330&amp;"|"&amp;LOWER(TRIM('Survey Response'!$D330)))</f>
        <v/>
      </c>
      <c r="B332" s="46" t="str">
        <f aca="false">IF($H332="","",$F332&amp;"|"&amp;$H332)</f>
        <v/>
      </c>
      <c r="C332" s="46" t="str">
        <f aca="false">IF($H332="","",$A332=$B332)</f>
        <v/>
      </c>
      <c r="D332" s="46" t="str">
        <f aca="false">IF($H332="","",IF($E332&lt;&gt;"Yes","Superseded",IF($I332&lt;&gt;"Yes, I'm available for in-person interviews at Chennai","Not Available",IF($Z332&lt;&gt;"","Panel Details","Followup"))))</f>
        <v/>
      </c>
      <c r="E332" s="46" t="str">
        <f aca="false">IF($H332="","",IF(SUMPRODUCT(($H$4:$H$503=$H332)*(($G$4:$G$503&gt;$G332)+($G$4:$G$503=$G332)*($F$4:$F$503&gt;$F332)))=0,"Yes","No"))</f>
        <v/>
      </c>
      <c r="F332" s="47" t="str">
        <f aca="false">IF('Survey Response'!$D330="","",INT('Survey Response'!$A330))</f>
        <v/>
      </c>
      <c r="G332" s="46" t="str">
        <f aca="false">IF('Survey Response'!$D330="","",'Survey Response'!$C330)</f>
        <v/>
      </c>
      <c r="H332" s="46" t="str">
        <f aca="false">IF('Survey Response'!$D330="","",LOWER(TRIM('Survey Response'!$D330)))</f>
        <v/>
      </c>
      <c r="I332" s="46" t="str">
        <f aca="false">IF($H332="","",'Survey Response'!$I330)</f>
        <v/>
      </c>
      <c r="J332" s="46" t="str">
        <f aca="false">IF($H332="","",'Survey Response'!$K330)</f>
        <v/>
      </c>
      <c r="K332" s="46" t="str">
        <f aca="false">IF($J332="","",IF(COUNTIF('Skill Mapping'!$A$2:$A$7,TRIM($J332))=0,"",INDEX('Skill Mapping'!$B$2:$B$7,MATCH(TRIM($J332),'Skill Mapping'!$A$2:$A$7,0))))</f>
        <v/>
      </c>
      <c r="L332" s="46" t="str">
        <f aca="false">IF($H332="","",'Survey Response'!$L330)</f>
        <v/>
      </c>
      <c r="M332" s="46" t="str">
        <f aca="false">IF($L332="","",IF(COUNTIF('Skill Mapping'!$A$2:$A$7,TRIM($L332))=0,"",INDEX('Skill Mapping'!$B$2:$B$7,MATCH(TRIM($L332),'Skill Mapping'!$A$2:$A$7,0))))</f>
        <v/>
      </c>
      <c r="N332" s="46" t="str">
        <f aca="false">IF($H332="","",'Survey Response'!$M330)</f>
        <v/>
      </c>
      <c r="O332" s="46" t="str">
        <f aca="false">IF($H332="","",IF('Survey Response'!$M330="Manager","R2","R1"))</f>
        <v/>
      </c>
      <c r="P332" s="46" t="str">
        <f aca="false">IF($K332="","No",IF(COUNTIFS(MasterPanel!$B:$B,$H332,MasterPanel!$I:$I,$K332,MasterPanel!$K:$K,"Y")&gt;0,"Yes","No"))</f>
        <v>No</v>
      </c>
      <c r="Q332" s="46" t="n">
        <f aca="false">IF($K332="",0,IF(COUNTIF('Gap Sheet'!$A$6:$A$11,TRIM($J332))=0,0,IF($O332="R1",INDEX('Gap Sheet'!$C$6:$C$11,MATCH(TRIM($J332),'Gap Sheet'!$A$6:$A$11,0)),INDEX('Gap Sheet'!$G$6:$G$11,MATCH(TRIM($J332),'Gap Sheet'!$A$6:$A$11,0)))))</f>
        <v>0</v>
      </c>
      <c r="R332" s="46" t="str">
        <f aca="false">IF($K332="","",$K332&amp;"|"&amp;$O332)</f>
        <v/>
      </c>
      <c r="S332" s="46" t="n">
        <f aca="false">IF($R332="",0,COUNTIF($AA$4:$AA331,$R332))</f>
        <v>0</v>
      </c>
      <c r="T332" s="46" t="str">
        <f aca="false">IF(OR($I332&lt;&gt;"Yes, I'm available for in-person interviews at Chennai",$E332&lt;&gt;"Yes",$P332&lt;&gt;"Yes"),"No",IF(($Q332-$S332)&gt;0,"Yes","No"))</f>
        <v>No</v>
      </c>
      <c r="U332" s="46" t="str">
        <f aca="false">IF($M332="","No",IF(COUNTIFS(MasterPanel!$B:$B,$H332,MasterPanel!$I:$I,$M332,MasterPanel!$K:$K,"Y")&gt;0,"Yes","No"))</f>
        <v>No</v>
      </c>
      <c r="V332" s="46" t="n">
        <f aca="false">IF($M332="",0,IF(COUNTIF('Gap Sheet'!$A$6:$A$11,TRIM($L332))=0,0,IF($O332="R1",INDEX('Gap Sheet'!$C$6:$C$11,MATCH(TRIM($L332),'Gap Sheet'!$A$6:$A$11,0)),INDEX('Gap Sheet'!$G$6:$G$11,MATCH(TRIM($L332),'Gap Sheet'!$A$6:$A$11,0)))))</f>
        <v>0</v>
      </c>
      <c r="W332" s="46" t="str">
        <f aca="false">IF($M332="","",$M332&amp;"|"&amp;$O332)</f>
        <v/>
      </c>
      <c r="X332" s="46" t="n">
        <f aca="false">IF($W332="",0,COUNTIF($AA$4:$AA331,$W332))</f>
        <v>0</v>
      </c>
      <c r="Y332" s="46" t="str">
        <f aca="false">IF(OR($I332&lt;&gt;"Yes, I'm available for in-person interviews at Chennai",$E332&lt;&gt;"Yes",$T332="Yes",$U332&lt;&gt;"Yes"),"No",IF(($V332-$X332)&gt;0,"Yes","No"))</f>
        <v>No</v>
      </c>
      <c r="Z332" s="46" t="str">
        <f aca="false">IF($T332="Yes","Primary",IF($Y332="Yes","Secondary",""))</f>
        <v/>
      </c>
      <c r="AA332" s="46" t="str">
        <f aca="false">IF($Z332="Primary",$R332,IF($Z332="Secondary",$W332,""))</f>
        <v/>
      </c>
      <c r="AB332" s="46" t="str">
        <f aca="false">IF($Z332="Primary","Matched on primary skill",IF($Z332="Secondary","Matched on secondary skill (primary not approved or not required)",""))</f>
        <v/>
      </c>
      <c r="AC332" s="47" t="str">
        <f aca="false">IF($D332="Panel Details",$F332,"")</f>
        <v/>
      </c>
      <c r="AD332" s="46" t="str">
        <f aca="false">IF($D332="Panel Details",'Survey Response'!$D330,"")</f>
        <v/>
      </c>
      <c r="AE332" s="46" t="str">
        <f aca="false">IF($D332="Panel Details",'Survey Response'!$E330,"")</f>
        <v/>
      </c>
      <c r="AF332" s="46" t="str">
        <f aca="false">IF($D332="Panel Details",'Survey Response'!$G330,"")</f>
        <v/>
      </c>
      <c r="AG332" s="46" t="str">
        <f aca="false">IF($D332="Panel Details",IF($Z332="Primary",$J332,$L332),"")</f>
        <v/>
      </c>
      <c r="AH332" s="46" t="str">
        <f aca="false">IF($D332="Panel Details",IF($Z332="Primary",$L332,$J332),"")</f>
        <v/>
      </c>
      <c r="AI332" s="46" t="str">
        <f aca="false">IF($D332="Panel Details",'Survey Response'!$H330,"")</f>
        <v/>
      </c>
      <c r="AJ332" s="46" t="str">
        <f aca="false">IF($D332="Panel Details",'Survey Response'!$M330,"")</f>
        <v/>
      </c>
      <c r="AK332" s="46" t="str">
        <f aca="false">IF($D332="Panel Details",$O332,"")</f>
        <v/>
      </c>
      <c r="AL332" s="46" t="str">
        <f aca="false">IF($D332="Panel Details",8,"")</f>
        <v/>
      </c>
      <c r="AM332" s="46" t="str">
        <f aca="false">IF($D332="Panel Details",$AB332,"")</f>
        <v/>
      </c>
      <c r="AN332" s="46" t="str">
        <f aca="false">IF($D332="Panel Details","Yes","")</f>
        <v/>
      </c>
      <c r="AO332" s="46"/>
      <c r="AP332" s="46" t="str">
        <f aca="false">IF($D332="Followup",'Survey Response'!$D330,"")</f>
        <v/>
      </c>
      <c r="AQ332" s="46" t="str">
        <f aca="false">IF($D332="Followup",'Survey Response'!$E330,"")</f>
        <v/>
      </c>
      <c r="AR332" s="46" t="str">
        <f aca="false">IF($D332="Followup",'Survey Response'!$G330,"")</f>
        <v/>
      </c>
      <c r="AS332" s="46" t="str">
        <f aca="false">IF($D332="Followup",'Survey Response'!$H330,"")</f>
        <v/>
      </c>
      <c r="AT332" s="46" t="str">
        <f aca="false">IF($D332="Followup",'Survey Response'!$M330,"")</f>
        <v/>
      </c>
      <c r="AU332" s="46" t="str">
        <f aca="false">IF($D332="Followup",'Survey Response'!$K330,"")</f>
        <v/>
      </c>
      <c r="AV332" s="46" t="str">
        <f aca="false">IF($D332="Followup",'Survey Response'!$L330,"")</f>
        <v/>
      </c>
      <c r="AW332" s="46" t="str">
        <f aca="false">IF($D332="Followup",IF(AND($P332&lt;&gt;"Yes",$U332&lt;&gt;"Yes"),"Not approved for primary or secondary skill","Approved, but skill(s) no longer have capacity (fully staffed)"),"")</f>
        <v/>
      </c>
    </row>
    <row r="333" customFormat="false" ht="15" hidden="false" customHeight="true" outlineLevel="0" collapsed="false">
      <c r="A333" s="46" t="str">
        <f aca="false">IF('Survey Response'!$D331="","",'Survey Response'!$A331&amp;"|"&amp;LOWER(TRIM('Survey Response'!$D331)))</f>
        <v/>
      </c>
      <c r="B333" s="46" t="str">
        <f aca="false">IF($H333="","",$F333&amp;"|"&amp;$H333)</f>
        <v/>
      </c>
      <c r="C333" s="46" t="str">
        <f aca="false">IF($H333="","",$A333=$B333)</f>
        <v/>
      </c>
      <c r="D333" s="46" t="str">
        <f aca="false">IF($H333="","",IF($E333&lt;&gt;"Yes","Superseded",IF($I333&lt;&gt;"Yes, I'm available for in-person interviews at Chennai","Not Available",IF($Z333&lt;&gt;"","Panel Details","Followup"))))</f>
        <v/>
      </c>
      <c r="E333" s="46" t="str">
        <f aca="false">IF($H333="","",IF(SUMPRODUCT(($H$4:$H$503=$H333)*(($G$4:$G$503&gt;$G333)+($G$4:$G$503=$G333)*($F$4:$F$503&gt;$F333)))=0,"Yes","No"))</f>
        <v/>
      </c>
      <c r="F333" s="47" t="str">
        <f aca="false">IF('Survey Response'!$D331="","",INT('Survey Response'!$A331))</f>
        <v/>
      </c>
      <c r="G333" s="46" t="str">
        <f aca="false">IF('Survey Response'!$D331="","",'Survey Response'!$C331)</f>
        <v/>
      </c>
      <c r="H333" s="46" t="str">
        <f aca="false">IF('Survey Response'!$D331="","",LOWER(TRIM('Survey Response'!$D331)))</f>
        <v/>
      </c>
      <c r="I333" s="46" t="str">
        <f aca="false">IF($H333="","",'Survey Response'!$I331)</f>
        <v/>
      </c>
      <c r="J333" s="46" t="str">
        <f aca="false">IF($H333="","",'Survey Response'!$K331)</f>
        <v/>
      </c>
      <c r="K333" s="46" t="str">
        <f aca="false">IF($J333="","",IF(COUNTIF('Skill Mapping'!$A$2:$A$7,TRIM($J333))=0,"",INDEX('Skill Mapping'!$B$2:$B$7,MATCH(TRIM($J333),'Skill Mapping'!$A$2:$A$7,0))))</f>
        <v/>
      </c>
      <c r="L333" s="46" t="str">
        <f aca="false">IF($H333="","",'Survey Response'!$L331)</f>
        <v/>
      </c>
      <c r="M333" s="46" t="str">
        <f aca="false">IF($L333="","",IF(COUNTIF('Skill Mapping'!$A$2:$A$7,TRIM($L333))=0,"",INDEX('Skill Mapping'!$B$2:$B$7,MATCH(TRIM($L333),'Skill Mapping'!$A$2:$A$7,0))))</f>
        <v/>
      </c>
      <c r="N333" s="46" t="str">
        <f aca="false">IF($H333="","",'Survey Response'!$M331)</f>
        <v/>
      </c>
      <c r="O333" s="46" t="str">
        <f aca="false">IF($H333="","",IF('Survey Response'!$M331="Manager","R2","R1"))</f>
        <v/>
      </c>
      <c r="P333" s="46" t="str">
        <f aca="false">IF($K333="","No",IF(COUNTIFS(MasterPanel!$B:$B,$H333,MasterPanel!$I:$I,$K333,MasterPanel!$K:$K,"Y")&gt;0,"Yes","No"))</f>
        <v>No</v>
      </c>
      <c r="Q333" s="46" t="n">
        <f aca="false">IF($K333="",0,IF(COUNTIF('Gap Sheet'!$A$6:$A$11,TRIM($J333))=0,0,IF($O333="R1",INDEX('Gap Sheet'!$C$6:$C$11,MATCH(TRIM($J333),'Gap Sheet'!$A$6:$A$11,0)),INDEX('Gap Sheet'!$G$6:$G$11,MATCH(TRIM($J333),'Gap Sheet'!$A$6:$A$11,0)))))</f>
        <v>0</v>
      </c>
      <c r="R333" s="46" t="str">
        <f aca="false">IF($K333="","",$K333&amp;"|"&amp;$O333)</f>
        <v/>
      </c>
      <c r="S333" s="46" t="n">
        <f aca="false">IF($R333="",0,COUNTIF($AA$4:$AA332,$R333))</f>
        <v>0</v>
      </c>
      <c r="T333" s="46" t="str">
        <f aca="false">IF(OR($I333&lt;&gt;"Yes, I'm available for in-person interviews at Chennai",$E333&lt;&gt;"Yes",$P333&lt;&gt;"Yes"),"No",IF(($Q333-$S333)&gt;0,"Yes","No"))</f>
        <v>No</v>
      </c>
      <c r="U333" s="46" t="str">
        <f aca="false">IF($M333="","No",IF(COUNTIFS(MasterPanel!$B:$B,$H333,MasterPanel!$I:$I,$M333,MasterPanel!$K:$K,"Y")&gt;0,"Yes","No"))</f>
        <v>No</v>
      </c>
      <c r="V333" s="46" t="n">
        <f aca="false">IF($M333="",0,IF(COUNTIF('Gap Sheet'!$A$6:$A$11,TRIM($L333))=0,0,IF($O333="R1",INDEX('Gap Sheet'!$C$6:$C$11,MATCH(TRIM($L333),'Gap Sheet'!$A$6:$A$11,0)),INDEX('Gap Sheet'!$G$6:$G$11,MATCH(TRIM($L333),'Gap Sheet'!$A$6:$A$11,0)))))</f>
        <v>0</v>
      </c>
      <c r="W333" s="46" t="str">
        <f aca="false">IF($M333="","",$M333&amp;"|"&amp;$O333)</f>
        <v/>
      </c>
      <c r="X333" s="46" t="n">
        <f aca="false">IF($W333="",0,COUNTIF($AA$4:$AA332,$W333))</f>
        <v>0</v>
      </c>
      <c r="Y333" s="46" t="str">
        <f aca="false">IF(OR($I333&lt;&gt;"Yes, I'm available for in-person interviews at Chennai",$E333&lt;&gt;"Yes",$T333="Yes",$U333&lt;&gt;"Yes"),"No",IF(($V333-$X333)&gt;0,"Yes","No"))</f>
        <v>No</v>
      </c>
      <c r="Z333" s="46" t="str">
        <f aca="false">IF($T333="Yes","Primary",IF($Y333="Yes","Secondary",""))</f>
        <v/>
      </c>
      <c r="AA333" s="46" t="str">
        <f aca="false">IF($Z333="Primary",$R333,IF($Z333="Secondary",$W333,""))</f>
        <v/>
      </c>
      <c r="AB333" s="46" t="str">
        <f aca="false">IF($Z333="Primary","Matched on primary skill",IF($Z333="Secondary","Matched on secondary skill (primary not approved or not required)",""))</f>
        <v/>
      </c>
      <c r="AC333" s="47" t="str">
        <f aca="false">IF($D333="Panel Details",$F333,"")</f>
        <v/>
      </c>
      <c r="AD333" s="46" t="str">
        <f aca="false">IF($D333="Panel Details",'Survey Response'!$D331,"")</f>
        <v/>
      </c>
      <c r="AE333" s="46" t="str">
        <f aca="false">IF($D333="Panel Details",'Survey Response'!$E331,"")</f>
        <v/>
      </c>
      <c r="AF333" s="46" t="str">
        <f aca="false">IF($D333="Panel Details",'Survey Response'!$G331,"")</f>
        <v/>
      </c>
      <c r="AG333" s="46" t="str">
        <f aca="false">IF($D333="Panel Details",IF($Z333="Primary",$J333,$L333),"")</f>
        <v/>
      </c>
      <c r="AH333" s="46" t="str">
        <f aca="false">IF($D333="Panel Details",IF($Z333="Primary",$L333,$J333),"")</f>
        <v/>
      </c>
      <c r="AI333" s="46" t="str">
        <f aca="false">IF($D333="Panel Details",'Survey Response'!$H331,"")</f>
        <v/>
      </c>
      <c r="AJ333" s="46" t="str">
        <f aca="false">IF($D333="Panel Details",'Survey Response'!$M331,"")</f>
        <v/>
      </c>
      <c r="AK333" s="46" t="str">
        <f aca="false">IF($D333="Panel Details",$O333,"")</f>
        <v/>
      </c>
      <c r="AL333" s="46" t="str">
        <f aca="false">IF($D333="Panel Details",8,"")</f>
        <v/>
      </c>
      <c r="AM333" s="46" t="str">
        <f aca="false">IF($D333="Panel Details",$AB333,"")</f>
        <v/>
      </c>
      <c r="AN333" s="46" t="str">
        <f aca="false">IF($D333="Panel Details","Yes","")</f>
        <v/>
      </c>
      <c r="AO333" s="46"/>
      <c r="AP333" s="46" t="str">
        <f aca="false">IF($D333="Followup",'Survey Response'!$D331,"")</f>
        <v/>
      </c>
      <c r="AQ333" s="46" t="str">
        <f aca="false">IF($D333="Followup",'Survey Response'!$E331,"")</f>
        <v/>
      </c>
      <c r="AR333" s="46" t="str">
        <f aca="false">IF($D333="Followup",'Survey Response'!$G331,"")</f>
        <v/>
      </c>
      <c r="AS333" s="46" t="str">
        <f aca="false">IF($D333="Followup",'Survey Response'!$H331,"")</f>
        <v/>
      </c>
      <c r="AT333" s="46" t="str">
        <f aca="false">IF($D333="Followup",'Survey Response'!$M331,"")</f>
        <v/>
      </c>
      <c r="AU333" s="46" t="str">
        <f aca="false">IF($D333="Followup",'Survey Response'!$K331,"")</f>
        <v/>
      </c>
      <c r="AV333" s="46" t="str">
        <f aca="false">IF($D333="Followup",'Survey Response'!$L331,"")</f>
        <v/>
      </c>
      <c r="AW333" s="46" t="str">
        <f aca="false">IF($D333="Followup",IF(AND($P333&lt;&gt;"Yes",$U333&lt;&gt;"Yes"),"Not approved for primary or secondary skill","Approved, but skill(s) no longer have capacity (fully staffed)"),"")</f>
        <v/>
      </c>
    </row>
    <row r="334" customFormat="false" ht="15" hidden="false" customHeight="true" outlineLevel="0" collapsed="false">
      <c r="A334" s="46" t="str">
        <f aca="false">IF('Survey Response'!$D332="","",'Survey Response'!$A332&amp;"|"&amp;LOWER(TRIM('Survey Response'!$D332)))</f>
        <v/>
      </c>
      <c r="B334" s="46" t="str">
        <f aca="false">IF($H334="","",$F334&amp;"|"&amp;$H334)</f>
        <v/>
      </c>
      <c r="C334" s="46" t="str">
        <f aca="false">IF($H334="","",$A334=$B334)</f>
        <v/>
      </c>
      <c r="D334" s="46" t="str">
        <f aca="false">IF($H334="","",IF($E334&lt;&gt;"Yes","Superseded",IF($I334&lt;&gt;"Yes, I'm available for in-person interviews at Chennai","Not Available",IF($Z334&lt;&gt;"","Panel Details","Followup"))))</f>
        <v/>
      </c>
      <c r="E334" s="46" t="str">
        <f aca="false">IF($H334="","",IF(SUMPRODUCT(($H$4:$H$503=$H334)*(($G$4:$G$503&gt;$G334)+($G$4:$G$503=$G334)*($F$4:$F$503&gt;$F334)))=0,"Yes","No"))</f>
        <v/>
      </c>
      <c r="F334" s="47" t="str">
        <f aca="false">IF('Survey Response'!$D332="","",INT('Survey Response'!$A332))</f>
        <v/>
      </c>
      <c r="G334" s="46" t="str">
        <f aca="false">IF('Survey Response'!$D332="","",'Survey Response'!$C332)</f>
        <v/>
      </c>
      <c r="H334" s="46" t="str">
        <f aca="false">IF('Survey Response'!$D332="","",LOWER(TRIM('Survey Response'!$D332)))</f>
        <v/>
      </c>
      <c r="I334" s="46" t="str">
        <f aca="false">IF($H334="","",'Survey Response'!$I332)</f>
        <v/>
      </c>
      <c r="J334" s="46" t="str">
        <f aca="false">IF($H334="","",'Survey Response'!$K332)</f>
        <v/>
      </c>
      <c r="K334" s="46" t="str">
        <f aca="false">IF($J334="","",IF(COUNTIF('Skill Mapping'!$A$2:$A$7,TRIM($J334))=0,"",INDEX('Skill Mapping'!$B$2:$B$7,MATCH(TRIM($J334),'Skill Mapping'!$A$2:$A$7,0))))</f>
        <v/>
      </c>
      <c r="L334" s="46" t="str">
        <f aca="false">IF($H334="","",'Survey Response'!$L332)</f>
        <v/>
      </c>
      <c r="M334" s="46" t="str">
        <f aca="false">IF($L334="","",IF(COUNTIF('Skill Mapping'!$A$2:$A$7,TRIM($L334))=0,"",INDEX('Skill Mapping'!$B$2:$B$7,MATCH(TRIM($L334),'Skill Mapping'!$A$2:$A$7,0))))</f>
        <v/>
      </c>
      <c r="N334" s="46" t="str">
        <f aca="false">IF($H334="","",'Survey Response'!$M332)</f>
        <v/>
      </c>
      <c r="O334" s="46" t="str">
        <f aca="false">IF($H334="","",IF('Survey Response'!$M332="Manager","R2","R1"))</f>
        <v/>
      </c>
      <c r="P334" s="46" t="str">
        <f aca="false">IF($K334="","No",IF(COUNTIFS(MasterPanel!$B:$B,$H334,MasterPanel!$I:$I,$K334,MasterPanel!$K:$K,"Y")&gt;0,"Yes","No"))</f>
        <v>No</v>
      </c>
      <c r="Q334" s="46" t="n">
        <f aca="false">IF($K334="",0,IF(COUNTIF('Gap Sheet'!$A$6:$A$11,TRIM($J334))=0,0,IF($O334="R1",INDEX('Gap Sheet'!$C$6:$C$11,MATCH(TRIM($J334),'Gap Sheet'!$A$6:$A$11,0)),INDEX('Gap Sheet'!$G$6:$G$11,MATCH(TRIM($J334),'Gap Sheet'!$A$6:$A$11,0)))))</f>
        <v>0</v>
      </c>
      <c r="R334" s="46" t="str">
        <f aca="false">IF($K334="","",$K334&amp;"|"&amp;$O334)</f>
        <v/>
      </c>
      <c r="S334" s="46" t="n">
        <f aca="false">IF($R334="",0,COUNTIF($AA$4:$AA333,$R334))</f>
        <v>0</v>
      </c>
      <c r="T334" s="46" t="str">
        <f aca="false">IF(OR($I334&lt;&gt;"Yes, I'm available for in-person interviews at Chennai",$E334&lt;&gt;"Yes",$P334&lt;&gt;"Yes"),"No",IF(($Q334-$S334)&gt;0,"Yes","No"))</f>
        <v>No</v>
      </c>
      <c r="U334" s="46" t="str">
        <f aca="false">IF($M334="","No",IF(COUNTIFS(MasterPanel!$B:$B,$H334,MasterPanel!$I:$I,$M334,MasterPanel!$K:$K,"Y")&gt;0,"Yes","No"))</f>
        <v>No</v>
      </c>
      <c r="V334" s="46" t="n">
        <f aca="false">IF($M334="",0,IF(COUNTIF('Gap Sheet'!$A$6:$A$11,TRIM($L334))=0,0,IF($O334="R1",INDEX('Gap Sheet'!$C$6:$C$11,MATCH(TRIM($L334),'Gap Sheet'!$A$6:$A$11,0)),INDEX('Gap Sheet'!$G$6:$G$11,MATCH(TRIM($L334),'Gap Sheet'!$A$6:$A$11,0)))))</f>
        <v>0</v>
      </c>
      <c r="W334" s="46" t="str">
        <f aca="false">IF($M334="","",$M334&amp;"|"&amp;$O334)</f>
        <v/>
      </c>
      <c r="X334" s="46" t="n">
        <f aca="false">IF($W334="",0,COUNTIF($AA$4:$AA333,$W334))</f>
        <v>0</v>
      </c>
      <c r="Y334" s="46" t="str">
        <f aca="false">IF(OR($I334&lt;&gt;"Yes, I'm available for in-person interviews at Chennai",$E334&lt;&gt;"Yes",$T334="Yes",$U334&lt;&gt;"Yes"),"No",IF(($V334-$X334)&gt;0,"Yes","No"))</f>
        <v>No</v>
      </c>
      <c r="Z334" s="46" t="str">
        <f aca="false">IF($T334="Yes","Primary",IF($Y334="Yes","Secondary",""))</f>
        <v/>
      </c>
      <c r="AA334" s="46" t="str">
        <f aca="false">IF($Z334="Primary",$R334,IF($Z334="Secondary",$W334,""))</f>
        <v/>
      </c>
      <c r="AB334" s="46" t="str">
        <f aca="false">IF($Z334="Primary","Matched on primary skill",IF($Z334="Secondary","Matched on secondary skill (primary not approved or not required)",""))</f>
        <v/>
      </c>
      <c r="AC334" s="47" t="str">
        <f aca="false">IF($D334="Panel Details",$F334,"")</f>
        <v/>
      </c>
      <c r="AD334" s="46" t="str">
        <f aca="false">IF($D334="Panel Details",'Survey Response'!$D332,"")</f>
        <v/>
      </c>
      <c r="AE334" s="46" t="str">
        <f aca="false">IF($D334="Panel Details",'Survey Response'!$E332,"")</f>
        <v/>
      </c>
      <c r="AF334" s="46" t="str">
        <f aca="false">IF($D334="Panel Details",'Survey Response'!$G332,"")</f>
        <v/>
      </c>
      <c r="AG334" s="46" t="str">
        <f aca="false">IF($D334="Panel Details",IF($Z334="Primary",$J334,$L334),"")</f>
        <v/>
      </c>
      <c r="AH334" s="46" t="str">
        <f aca="false">IF($D334="Panel Details",IF($Z334="Primary",$L334,$J334),"")</f>
        <v/>
      </c>
      <c r="AI334" s="46" t="str">
        <f aca="false">IF($D334="Panel Details",'Survey Response'!$H332,"")</f>
        <v/>
      </c>
      <c r="AJ334" s="46" t="str">
        <f aca="false">IF($D334="Panel Details",'Survey Response'!$M332,"")</f>
        <v/>
      </c>
      <c r="AK334" s="46" t="str">
        <f aca="false">IF($D334="Panel Details",$O334,"")</f>
        <v/>
      </c>
      <c r="AL334" s="46" t="str">
        <f aca="false">IF($D334="Panel Details",8,"")</f>
        <v/>
      </c>
      <c r="AM334" s="46" t="str">
        <f aca="false">IF($D334="Panel Details",$AB334,"")</f>
        <v/>
      </c>
      <c r="AN334" s="46" t="str">
        <f aca="false">IF($D334="Panel Details","Yes","")</f>
        <v/>
      </c>
      <c r="AO334" s="46"/>
      <c r="AP334" s="46" t="str">
        <f aca="false">IF($D334="Followup",'Survey Response'!$D332,"")</f>
        <v/>
      </c>
      <c r="AQ334" s="46" t="str">
        <f aca="false">IF($D334="Followup",'Survey Response'!$E332,"")</f>
        <v/>
      </c>
      <c r="AR334" s="46" t="str">
        <f aca="false">IF($D334="Followup",'Survey Response'!$G332,"")</f>
        <v/>
      </c>
      <c r="AS334" s="46" t="str">
        <f aca="false">IF($D334="Followup",'Survey Response'!$H332,"")</f>
        <v/>
      </c>
      <c r="AT334" s="46" t="str">
        <f aca="false">IF($D334="Followup",'Survey Response'!$M332,"")</f>
        <v/>
      </c>
      <c r="AU334" s="46" t="str">
        <f aca="false">IF($D334="Followup",'Survey Response'!$K332,"")</f>
        <v/>
      </c>
      <c r="AV334" s="46" t="str">
        <f aca="false">IF($D334="Followup",'Survey Response'!$L332,"")</f>
        <v/>
      </c>
      <c r="AW334" s="46" t="str">
        <f aca="false">IF($D334="Followup",IF(AND($P334&lt;&gt;"Yes",$U334&lt;&gt;"Yes"),"Not approved for primary or secondary skill","Approved, but skill(s) no longer have capacity (fully staffed)"),"")</f>
        <v/>
      </c>
    </row>
    <row r="335" customFormat="false" ht="15" hidden="false" customHeight="true" outlineLevel="0" collapsed="false">
      <c r="A335" s="46" t="str">
        <f aca="false">IF('Survey Response'!$D333="","",'Survey Response'!$A333&amp;"|"&amp;LOWER(TRIM('Survey Response'!$D333)))</f>
        <v/>
      </c>
      <c r="B335" s="46" t="str">
        <f aca="false">IF($H335="","",$F335&amp;"|"&amp;$H335)</f>
        <v/>
      </c>
      <c r="C335" s="46" t="str">
        <f aca="false">IF($H335="","",$A335=$B335)</f>
        <v/>
      </c>
      <c r="D335" s="46" t="str">
        <f aca="false">IF($H335="","",IF($E335&lt;&gt;"Yes","Superseded",IF($I335&lt;&gt;"Yes, I'm available for in-person interviews at Chennai","Not Available",IF($Z335&lt;&gt;"","Panel Details","Followup"))))</f>
        <v/>
      </c>
      <c r="E335" s="46" t="str">
        <f aca="false">IF($H335="","",IF(SUMPRODUCT(($H$4:$H$503=$H335)*(($G$4:$G$503&gt;$G335)+($G$4:$G$503=$G335)*($F$4:$F$503&gt;$F335)))=0,"Yes","No"))</f>
        <v/>
      </c>
      <c r="F335" s="47" t="str">
        <f aca="false">IF('Survey Response'!$D333="","",INT('Survey Response'!$A333))</f>
        <v/>
      </c>
      <c r="G335" s="46" t="str">
        <f aca="false">IF('Survey Response'!$D333="","",'Survey Response'!$C333)</f>
        <v/>
      </c>
      <c r="H335" s="46" t="str">
        <f aca="false">IF('Survey Response'!$D333="","",LOWER(TRIM('Survey Response'!$D333)))</f>
        <v/>
      </c>
      <c r="I335" s="46" t="str">
        <f aca="false">IF($H335="","",'Survey Response'!$I333)</f>
        <v/>
      </c>
      <c r="J335" s="46" t="str">
        <f aca="false">IF($H335="","",'Survey Response'!$K333)</f>
        <v/>
      </c>
      <c r="K335" s="46" t="str">
        <f aca="false">IF($J335="","",IF(COUNTIF('Skill Mapping'!$A$2:$A$7,TRIM($J335))=0,"",INDEX('Skill Mapping'!$B$2:$B$7,MATCH(TRIM($J335),'Skill Mapping'!$A$2:$A$7,0))))</f>
        <v/>
      </c>
      <c r="L335" s="46" t="str">
        <f aca="false">IF($H335="","",'Survey Response'!$L333)</f>
        <v/>
      </c>
      <c r="M335" s="46" t="str">
        <f aca="false">IF($L335="","",IF(COUNTIF('Skill Mapping'!$A$2:$A$7,TRIM($L335))=0,"",INDEX('Skill Mapping'!$B$2:$B$7,MATCH(TRIM($L335),'Skill Mapping'!$A$2:$A$7,0))))</f>
        <v/>
      </c>
      <c r="N335" s="46" t="str">
        <f aca="false">IF($H335="","",'Survey Response'!$M333)</f>
        <v/>
      </c>
      <c r="O335" s="46" t="str">
        <f aca="false">IF($H335="","",IF('Survey Response'!$M333="Manager","R2","R1"))</f>
        <v/>
      </c>
      <c r="P335" s="46" t="str">
        <f aca="false">IF($K335="","No",IF(COUNTIFS(MasterPanel!$B:$B,$H335,MasterPanel!$I:$I,$K335,MasterPanel!$K:$K,"Y")&gt;0,"Yes","No"))</f>
        <v>No</v>
      </c>
      <c r="Q335" s="46" t="n">
        <f aca="false">IF($K335="",0,IF(COUNTIF('Gap Sheet'!$A$6:$A$11,TRIM($J335))=0,0,IF($O335="R1",INDEX('Gap Sheet'!$C$6:$C$11,MATCH(TRIM($J335),'Gap Sheet'!$A$6:$A$11,0)),INDEX('Gap Sheet'!$G$6:$G$11,MATCH(TRIM($J335),'Gap Sheet'!$A$6:$A$11,0)))))</f>
        <v>0</v>
      </c>
      <c r="R335" s="46" t="str">
        <f aca="false">IF($K335="","",$K335&amp;"|"&amp;$O335)</f>
        <v/>
      </c>
      <c r="S335" s="46" t="n">
        <f aca="false">IF($R335="",0,COUNTIF($AA$4:$AA334,$R335))</f>
        <v>0</v>
      </c>
      <c r="T335" s="46" t="str">
        <f aca="false">IF(OR($I335&lt;&gt;"Yes, I'm available for in-person interviews at Chennai",$E335&lt;&gt;"Yes",$P335&lt;&gt;"Yes"),"No",IF(($Q335-$S335)&gt;0,"Yes","No"))</f>
        <v>No</v>
      </c>
      <c r="U335" s="46" t="str">
        <f aca="false">IF($M335="","No",IF(COUNTIFS(MasterPanel!$B:$B,$H335,MasterPanel!$I:$I,$M335,MasterPanel!$K:$K,"Y")&gt;0,"Yes","No"))</f>
        <v>No</v>
      </c>
      <c r="V335" s="46" t="n">
        <f aca="false">IF($M335="",0,IF(COUNTIF('Gap Sheet'!$A$6:$A$11,TRIM($L335))=0,0,IF($O335="R1",INDEX('Gap Sheet'!$C$6:$C$11,MATCH(TRIM($L335),'Gap Sheet'!$A$6:$A$11,0)),INDEX('Gap Sheet'!$G$6:$G$11,MATCH(TRIM($L335),'Gap Sheet'!$A$6:$A$11,0)))))</f>
        <v>0</v>
      </c>
      <c r="W335" s="46" t="str">
        <f aca="false">IF($M335="","",$M335&amp;"|"&amp;$O335)</f>
        <v/>
      </c>
      <c r="X335" s="46" t="n">
        <f aca="false">IF($W335="",0,COUNTIF($AA$4:$AA334,$W335))</f>
        <v>0</v>
      </c>
      <c r="Y335" s="46" t="str">
        <f aca="false">IF(OR($I335&lt;&gt;"Yes, I'm available for in-person interviews at Chennai",$E335&lt;&gt;"Yes",$T335="Yes",$U335&lt;&gt;"Yes"),"No",IF(($V335-$X335)&gt;0,"Yes","No"))</f>
        <v>No</v>
      </c>
      <c r="Z335" s="46" t="str">
        <f aca="false">IF($T335="Yes","Primary",IF($Y335="Yes","Secondary",""))</f>
        <v/>
      </c>
      <c r="AA335" s="46" t="str">
        <f aca="false">IF($Z335="Primary",$R335,IF($Z335="Secondary",$W335,""))</f>
        <v/>
      </c>
      <c r="AB335" s="46" t="str">
        <f aca="false">IF($Z335="Primary","Matched on primary skill",IF($Z335="Secondary","Matched on secondary skill (primary not approved or not required)",""))</f>
        <v/>
      </c>
      <c r="AC335" s="47" t="str">
        <f aca="false">IF($D335="Panel Details",$F335,"")</f>
        <v/>
      </c>
      <c r="AD335" s="46" t="str">
        <f aca="false">IF($D335="Panel Details",'Survey Response'!$D333,"")</f>
        <v/>
      </c>
      <c r="AE335" s="46" t="str">
        <f aca="false">IF($D335="Panel Details",'Survey Response'!$E333,"")</f>
        <v/>
      </c>
      <c r="AF335" s="46" t="str">
        <f aca="false">IF($D335="Panel Details",'Survey Response'!$G333,"")</f>
        <v/>
      </c>
      <c r="AG335" s="46" t="str">
        <f aca="false">IF($D335="Panel Details",IF($Z335="Primary",$J335,$L335),"")</f>
        <v/>
      </c>
      <c r="AH335" s="46" t="str">
        <f aca="false">IF($D335="Panel Details",IF($Z335="Primary",$L335,$J335),"")</f>
        <v/>
      </c>
      <c r="AI335" s="46" t="str">
        <f aca="false">IF($D335="Panel Details",'Survey Response'!$H333,"")</f>
        <v/>
      </c>
      <c r="AJ335" s="46" t="str">
        <f aca="false">IF($D335="Panel Details",'Survey Response'!$M333,"")</f>
        <v/>
      </c>
      <c r="AK335" s="46" t="str">
        <f aca="false">IF($D335="Panel Details",$O335,"")</f>
        <v/>
      </c>
      <c r="AL335" s="46" t="str">
        <f aca="false">IF($D335="Panel Details",8,"")</f>
        <v/>
      </c>
      <c r="AM335" s="46" t="str">
        <f aca="false">IF($D335="Panel Details",$AB335,"")</f>
        <v/>
      </c>
      <c r="AN335" s="46" t="str">
        <f aca="false">IF($D335="Panel Details","Yes","")</f>
        <v/>
      </c>
      <c r="AO335" s="46"/>
      <c r="AP335" s="46" t="str">
        <f aca="false">IF($D335="Followup",'Survey Response'!$D333,"")</f>
        <v/>
      </c>
      <c r="AQ335" s="46" t="str">
        <f aca="false">IF($D335="Followup",'Survey Response'!$E333,"")</f>
        <v/>
      </c>
      <c r="AR335" s="46" t="str">
        <f aca="false">IF($D335="Followup",'Survey Response'!$G333,"")</f>
        <v/>
      </c>
      <c r="AS335" s="46" t="str">
        <f aca="false">IF($D335="Followup",'Survey Response'!$H333,"")</f>
        <v/>
      </c>
      <c r="AT335" s="46" t="str">
        <f aca="false">IF($D335="Followup",'Survey Response'!$M333,"")</f>
        <v/>
      </c>
      <c r="AU335" s="46" t="str">
        <f aca="false">IF($D335="Followup",'Survey Response'!$K333,"")</f>
        <v/>
      </c>
      <c r="AV335" s="46" t="str">
        <f aca="false">IF($D335="Followup",'Survey Response'!$L333,"")</f>
        <v/>
      </c>
      <c r="AW335" s="46" t="str">
        <f aca="false">IF($D335="Followup",IF(AND($P335&lt;&gt;"Yes",$U335&lt;&gt;"Yes"),"Not approved for primary or secondary skill","Approved, but skill(s) no longer have capacity (fully staffed)"),"")</f>
        <v/>
      </c>
    </row>
    <row r="336" customFormat="false" ht="15" hidden="false" customHeight="true" outlineLevel="0" collapsed="false">
      <c r="A336" s="46" t="str">
        <f aca="false">IF('Survey Response'!$D334="","",'Survey Response'!$A334&amp;"|"&amp;LOWER(TRIM('Survey Response'!$D334)))</f>
        <v/>
      </c>
      <c r="B336" s="46" t="str">
        <f aca="false">IF($H336="","",$F336&amp;"|"&amp;$H336)</f>
        <v/>
      </c>
      <c r="C336" s="46" t="str">
        <f aca="false">IF($H336="","",$A336=$B336)</f>
        <v/>
      </c>
      <c r="D336" s="46" t="str">
        <f aca="false">IF($H336="","",IF($E336&lt;&gt;"Yes","Superseded",IF($I336&lt;&gt;"Yes, I'm available for in-person interviews at Chennai","Not Available",IF($Z336&lt;&gt;"","Panel Details","Followup"))))</f>
        <v/>
      </c>
      <c r="E336" s="46" t="str">
        <f aca="false">IF($H336="","",IF(SUMPRODUCT(($H$4:$H$503=$H336)*(($G$4:$G$503&gt;$G336)+($G$4:$G$503=$G336)*($F$4:$F$503&gt;$F336)))=0,"Yes","No"))</f>
        <v/>
      </c>
      <c r="F336" s="47" t="str">
        <f aca="false">IF('Survey Response'!$D334="","",INT('Survey Response'!$A334))</f>
        <v/>
      </c>
      <c r="G336" s="46" t="str">
        <f aca="false">IF('Survey Response'!$D334="","",'Survey Response'!$C334)</f>
        <v/>
      </c>
      <c r="H336" s="46" t="str">
        <f aca="false">IF('Survey Response'!$D334="","",LOWER(TRIM('Survey Response'!$D334)))</f>
        <v/>
      </c>
      <c r="I336" s="46" t="str">
        <f aca="false">IF($H336="","",'Survey Response'!$I334)</f>
        <v/>
      </c>
      <c r="J336" s="46" t="str">
        <f aca="false">IF($H336="","",'Survey Response'!$K334)</f>
        <v/>
      </c>
      <c r="K336" s="46" t="str">
        <f aca="false">IF($J336="","",IF(COUNTIF('Skill Mapping'!$A$2:$A$7,TRIM($J336))=0,"",INDEX('Skill Mapping'!$B$2:$B$7,MATCH(TRIM($J336),'Skill Mapping'!$A$2:$A$7,0))))</f>
        <v/>
      </c>
      <c r="L336" s="46" t="str">
        <f aca="false">IF($H336="","",'Survey Response'!$L334)</f>
        <v/>
      </c>
      <c r="M336" s="46" t="str">
        <f aca="false">IF($L336="","",IF(COUNTIF('Skill Mapping'!$A$2:$A$7,TRIM($L336))=0,"",INDEX('Skill Mapping'!$B$2:$B$7,MATCH(TRIM($L336),'Skill Mapping'!$A$2:$A$7,0))))</f>
        <v/>
      </c>
      <c r="N336" s="46" t="str">
        <f aca="false">IF($H336="","",'Survey Response'!$M334)</f>
        <v/>
      </c>
      <c r="O336" s="46" t="str">
        <f aca="false">IF($H336="","",IF('Survey Response'!$M334="Manager","R2","R1"))</f>
        <v/>
      </c>
      <c r="P336" s="46" t="str">
        <f aca="false">IF($K336="","No",IF(COUNTIFS(MasterPanel!$B:$B,$H336,MasterPanel!$I:$I,$K336,MasterPanel!$K:$K,"Y")&gt;0,"Yes","No"))</f>
        <v>No</v>
      </c>
      <c r="Q336" s="46" t="n">
        <f aca="false">IF($K336="",0,IF(COUNTIF('Gap Sheet'!$A$6:$A$11,TRIM($J336))=0,0,IF($O336="R1",INDEX('Gap Sheet'!$C$6:$C$11,MATCH(TRIM($J336),'Gap Sheet'!$A$6:$A$11,0)),INDEX('Gap Sheet'!$G$6:$G$11,MATCH(TRIM($J336),'Gap Sheet'!$A$6:$A$11,0)))))</f>
        <v>0</v>
      </c>
      <c r="R336" s="46" t="str">
        <f aca="false">IF($K336="","",$K336&amp;"|"&amp;$O336)</f>
        <v/>
      </c>
      <c r="S336" s="46" t="n">
        <f aca="false">IF($R336="",0,COUNTIF($AA$4:$AA335,$R336))</f>
        <v>0</v>
      </c>
      <c r="T336" s="46" t="str">
        <f aca="false">IF(OR($I336&lt;&gt;"Yes, I'm available for in-person interviews at Chennai",$E336&lt;&gt;"Yes",$P336&lt;&gt;"Yes"),"No",IF(($Q336-$S336)&gt;0,"Yes","No"))</f>
        <v>No</v>
      </c>
      <c r="U336" s="46" t="str">
        <f aca="false">IF($M336="","No",IF(COUNTIFS(MasterPanel!$B:$B,$H336,MasterPanel!$I:$I,$M336,MasterPanel!$K:$K,"Y")&gt;0,"Yes","No"))</f>
        <v>No</v>
      </c>
      <c r="V336" s="46" t="n">
        <f aca="false">IF($M336="",0,IF(COUNTIF('Gap Sheet'!$A$6:$A$11,TRIM($L336))=0,0,IF($O336="R1",INDEX('Gap Sheet'!$C$6:$C$11,MATCH(TRIM($L336),'Gap Sheet'!$A$6:$A$11,0)),INDEX('Gap Sheet'!$G$6:$G$11,MATCH(TRIM($L336),'Gap Sheet'!$A$6:$A$11,0)))))</f>
        <v>0</v>
      </c>
      <c r="W336" s="46" t="str">
        <f aca="false">IF($M336="","",$M336&amp;"|"&amp;$O336)</f>
        <v/>
      </c>
      <c r="X336" s="46" t="n">
        <f aca="false">IF($W336="",0,COUNTIF($AA$4:$AA335,$W336))</f>
        <v>0</v>
      </c>
      <c r="Y336" s="46" t="str">
        <f aca="false">IF(OR($I336&lt;&gt;"Yes, I'm available for in-person interviews at Chennai",$E336&lt;&gt;"Yes",$T336="Yes",$U336&lt;&gt;"Yes"),"No",IF(($V336-$X336)&gt;0,"Yes","No"))</f>
        <v>No</v>
      </c>
      <c r="Z336" s="46" t="str">
        <f aca="false">IF($T336="Yes","Primary",IF($Y336="Yes","Secondary",""))</f>
        <v/>
      </c>
      <c r="AA336" s="46" t="str">
        <f aca="false">IF($Z336="Primary",$R336,IF($Z336="Secondary",$W336,""))</f>
        <v/>
      </c>
      <c r="AB336" s="46" t="str">
        <f aca="false">IF($Z336="Primary","Matched on primary skill",IF($Z336="Secondary","Matched on secondary skill (primary not approved or not required)",""))</f>
        <v/>
      </c>
      <c r="AC336" s="47" t="str">
        <f aca="false">IF($D336="Panel Details",$F336,"")</f>
        <v/>
      </c>
      <c r="AD336" s="46" t="str">
        <f aca="false">IF($D336="Panel Details",'Survey Response'!$D334,"")</f>
        <v/>
      </c>
      <c r="AE336" s="46" t="str">
        <f aca="false">IF($D336="Panel Details",'Survey Response'!$E334,"")</f>
        <v/>
      </c>
      <c r="AF336" s="46" t="str">
        <f aca="false">IF($D336="Panel Details",'Survey Response'!$G334,"")</f>
        <v/>
      </c>
      <c r="AG336" s="46" t="str">
        <f aca="false">IF($D336="Panel Details",IF($Z336="Primary",$J336,$L336),"")</f>
        <v/>
      </c>
      <c r="AH336" s="46" t="str">
        <f aca="false">IF($D336="Panel Details",IF($Z336="Primary",$L336,$J336),"")</f>
        <v/>
      </c>
      <c r="AI336" s="46" t="str">
        <f aca="false">IF($D336="Panel Details",'Survey Response'!$H334,"")</f>
        <v/>
      </c>
      <c r="AJ336" s="46" t="str">
        <f aca="false">IF($D336="Panel Details",'Survey Response'!$M334,"")</f>
        <v/>
      </c>
      <c r="AK336" s="46" t="str">
        <f aca="false">IF($D336="Panel Details",$O336,"")</f>
        <v/>
      </c>
      <c r="AL336" s="46" t="str">
        <f aca="false">IF($D336="Panel Details",8,"")</f>
        <v/>
      </c>
      <c r="AM336" s="46" t="str">
        <f aca="false">IF($D336="Panel Details",$AB336,"")</f>
        <v/>
      </c>
      <c r="AN336" s="46" t="str">
        <f aca="false">IF($D336="Panel Details","Yes","")</f>
        <v/>
      </c>
      <c r="AO336" s="46"/>
      <c r="AP336" s="46" t="str">
        <f aca="false">IF($D336="Followup",'Survey Response'!$D334,"")</f>
        <v/>
      </c>
      <c r="AQ336" s="46" t="str">
        <f aca="false">IF($D336="Followup",'Survey Response'!$E334,"")</f>
        <v/>
      </c>
      <c r="AR336" s="46" t="str">
        <f aca="false">IF($D336="Followup",'Survey Response'!$G334,"")</f>
        <v/>
      </c>
      <c r="AS336" s="46" t="str">
        <f aca="false">IF($D336="Followup",'Survey Response'!$H334,"")</f>
        <v/>
      </c>
      <c r="AT336" s="46" t="str">
        <f aca="false">IF($D336="Followup",'Survey Response'!$M334,"")</f>
        <v/>
      </c>
      <c r="AU336" s="46" t="str">
        <f aca="false">IF($D336="Followup",'Survey Response'!$K334,"")</f>
        <v/>
      </c>
      <c r="AV336" s="46" t="str">
        <f aca="false">IF($D336="Followup",'Survey Response'!$L334,"")</f>
        <v/>
      </c>
      <c r="AW336" s="46" t="str">
        <f aca="false">IF($D336="Followup",IF(AND($P336&lt;&gt;"Yes",$U336&lt;&gt;"Yes"),"Not approved for primary or secondary skill","Approved, but skill(s) no longer have capacity (fully staffed)"),"")</f>
        <v/>
      </c>
    </row>
    <row r="337" customFormat="false" ht="15" hidden="false" customHeight="true" outlineLevel="0" collapsed="false">
      <c r="A337" s="46" t="str">
        <f aca="false">IF('Survey Response'!$D335="","",'Survey Response'!$A335&amp;"|"&amp;LOWER(TRIM('Survey Response'!$D335)))</f>
        <v/>
      </c>
      <c r="B337" s="46" t="str">
        <f aca="false">IF($H337="","",$F337&amp;"|"&amp;$H337)</f>
        <v/>
      </c>
      <c r="C337" s="46" t="str">
        <f aca="false">IF($H337="","",$A337=$B337)</f>
        <v/>
      </c>
      <c r="D337" s="46" t="str">
        <f aca="false">IF($H337="","",IF($E337&lt;&gt;"Yes","Superseded",IF($I337&lt;&gt;"Yes, I'm available for in-person interviews at Chennai","Not Available",IF($Z337&lt;&gt;"","Panel Details","Followup"))))</f>
        <v/>
      </c>
      <c r="E337" s="46" t="str">
        <f aca="false">IF($H337="","",IF(SUMPRODUCT(($H$4:$H$503=$H337)*(($G$4:$G$503&gt;$G337)+($G$4:$G$503=$G337)*($F$4:$F$503&gt;$F337)))=0,"Yes","No"))</f>
        <v/>
      </c>
      <c r="F337" s="47" t="str">
        <f aca="false">IF('Survey Response'!$D335="","",INT('Survey Response'!$A335))</f>
        <v/>
      </c>
      <c r="G337" s="46" t="str">
        <f aca="false">IF('Survey Response'!$D335="","",'Survey Response'!$C335)</f>
        <v/>
      </c>
      <c r="H337" s="46" t="str">
        <f aca="false">IF('Survey Response'!$D335="","",LOWER(TRIM('Survey Response'!$D335)))</f>
        <v/>
      </c>
      <c r="I337" s="46" t="str">
        <f aca="false">IF($H337="","",'Survey Response'!$I335)</f>
        <v/>
      </c>
      <c r="J337" s="46" t="str">
        <f aca="false">IF($H337="","",'Survey Response'!$K335)</f>
        <v/>
      </c>
      <c r="K337" s="46" t="str">
        <f aca="false">IF($J337="","",IF(COUNTIF('Skill Mapping'!$A$2:$A$7,TRIM($J337))=0,"",INDEX('Skill Mapping'!$B$2:$B$7,MATCH(TRIM($J337),'Skill Mapping'!$A$2:$A$7,0))))</f>
        <v/>
      </c>
      <c r="L337" s="46" t="str">
        <f aca="false">IF($H337="","",'Survey Response'!$L335)</f>
        <v/>
      </c>
      <c r="M337" s="46" t="str">
        <f aca="false">IF($L337="","",IF(COUNTIF('Skill Mapping'!$A$2:$A$7,TRIM($L337))=0,"",INDEX('Skill Mapping'!$B$2:$B$7,MATCH(TRIM($L337),'Skill Mapping'!$A$2:$A$7,0))))</f>
        <v/>
      </c>
      <c r="N337" s="46" t="str">
        <f aca="false">IF($H337="","",'Survey Response'!$M335)</f>
        <v/>
      </c>
      <c r="O337" s="46" t="str">
        <f aca="false">IF($H337="","",IF('Survey Response'!$M335="Manager","R2","R1"))</f>
        <v/>
      </c>
      <c r="P337" s="46" t="str">
        <f aca="false">IF($K337="","No",IF(COUNTIFS(MasterPanel!$B:$B,$H337,MasterPanel!$I:$I,$K337,MasterPanel!$K:$K,"Y")&gt;0,"Yes","No"))</f>
        <v>No</v>
      </c>
      <c r="Q337" s="46" t="n">
        <f aca="false">IF($K337="",0,IF(COUNTIF('Gap Sheet'!$A$6:$A$11,TRIM($J337))=0,0,IF($O337="R1",INDEX('Gap Sheet'!$C$6:$C$11,MATCH(TRIM($J337),'Gap Sheet'!$A$6:$A$11,0)),INDEX('Gap Sheet'!$G$6:$G$11,MATCH(TRIM($J337),'Gap Sheet'!$A$6:$A$11,0)))))</f>
        <v>0</v>
      </c>
      <c r="R337" s="46" t="str">
        <f aca="false">IF($K337="","",$K337&amp;"|"&amp;$O337)</f>
        <v/>
      </c>
      <c r="S337" s="46" t="n">
        <f aca="false">IF($R337="",0,COUNTIF($AA$4:$AA336,$R337))</f>
        <v>0</v>
      </c>
      <c r="T337" s="46" t="str">
        <f aca="false">IF(OR($I337&lt;&gt;"Yes, I'm available for in-person interviews at Chennai",$E337&lt;&gt;"Yes",$P337&lt;&gt;"Yes"),"No",IF(($Q337-$S337)&gt;0,"Yes","No"))</f>
        <v>No</v>
      </c>
      <c r="U337" s="46" t="str">
        <f aca="false">IF($M337="","No",IF(COUNTIFS(MasterPanel!$B:$B,$H337,MasterPanel!$I:$I,$M337,MasterPanel!$K:$K,"Y")&gt;0,"Yes","No"))</f>
        <v>No</v>
      </c>
      <c r="V337" s="46" t="n">
        <f aca="false">IF($M337="",0,IF(COUNTIF('Gap Sheet'!$A$6:$A$11,TRIM($L337))=0,0,IF($O337="R1",INDEX('Gap Sheet'!$C$6:$C$11,MATCH(TRIM($L337),'Gap Sheet'!$A$6:$A$11,0)),INDEX('Gap Sheet'!$G$6:$G$11,MATCH(TRIM($L337),'Gap Sheet'!$A$6:$A$11,0)))))</f>
        <v>0</v>
      </c>
      <c r="W337" s="46" t="str">
        <f aca="false">IF($M337="","",$M337&amp;"|"&amp;$O337)</f>
        <v/>
      </c>
      <c r="X337" s="46" t="n">
        <f aca="false">IF($W337="",0,COUNTIF($AA$4:$AA336,$W337))</f>
        <v>0</v>
      </c>
      <c r="Y337" s="46" t="str">
        <f aca="false">IF(OR($I337&lt;&gt;"Yes, I'm available for in-person interviews at Chennai",$E337&lt;&gt;"Yes",$T337="Yes",$U337&lt;&gt;"Yes"),"No",IF(($V337-$X337)&gt;0,"Yes","No"))</f>
        <v>No</v>
      </c>
      <c r="Z337" s="46" t="str">
        <f aca="false">IF($T337="Yes","Primary",IF($Y337="Yes","Secondary",""))</f>
        <v/>
      </c>
      <c r="AA337" s="46" t="str">
        <f aca="false">IF($Z337="Primary",$R337,IF($Z337="Secondary",$W337,""))</f>
        <v/>
      </c>
      <c r="AB337" s="46" t="str">
        <f aca="false">IF($Z337="Primary","Matched on primary skill",IF($Z337="Secondary","Matched on secondary skill (primary not approved or not required)",""))</f>
        <v/>
      </c>
      <c r="AC337" s="47" t="str">
        <f aca="false">IF($D337="Panel Details",$F337,"")</f>
        <v/>
      </c>
      <c r="AD337" s="46" t="str">
        <f aca="false">IF($D337="Panel Details",'Survey Response'!$D335,"")</f>
        <v/>
      </c>
      <c r="AE337" s="46" t="str">
        <f aca="false">IF($D337="Panel Details",'Survey Response'!$E335,"")</f>
        <v/>
      </c>
      <c r="AF337" s="46" t="str">
        <f aca="false">IF($D337="Panel Details",'Survey Response'!$G335,"")</f>
        <v/>
      </c>
      <c r="AG337" s="46" t="str">
        <f aca="false">IF($D337="Panel Details",IF($Z337="Primary",$J337,$L337),"")</f>
        <v/>
      </c>
      <c r="AH337" s="46" t="str">
        <f aca="false">IF($D337="Panel Details",IF($Z337="Primary",$L337,$J337),"")</f>
        <v/>
      </c>
      <c r="AI337" s="46" t="str">
        <f aca="false">IF($D337="Panel Details",'Survey Response'!$H335,"")</f>
        <v/>
      </c>
      <c r="AJ337" s="46" t="str">
        <f aca="false">IF($D337="Panel Details",'Survey Response'!$M335,"")</f>
        <v/>
      </c>
      <c r="AK337" s="46" t="str">
        <f aca="false">IF($D337="Panel Details",$O337,"")</f>
        <v/>
      </c>
      <c r="AL337" s="46" t="str">
        <f aca="false">IF($D337="Panel Details",8,"")</f>
        <v/>
      </c>
      <c r="AM337" s="46" t="str">
        <f aca="false">IF($D337="Panel Details",$AB337,"")</f>
        <v/>
      </c>
      <c r="AN337" s="46" t="str">
        <f aca="false">IF($D337="Panel Details","Yes","")</f>
        <v/>
      </c>
      <c r="AO337" s="46"/>
      <c r="AP337" s="46" t="str">
        <f aca="false">IF($D337="Followup",'Survey Response'!$D335,"")</f>
        <v/>
      </c>
      <c r="AQ337" s="46" t="str">
        <f aca="false">IF($D337="Followup",'Survey Response'!$E335,"")</f>
        <v/>
      </c>
      <c r="AR337" s="46" t="str">
        <f aca="false">IF($D337="Followup",'Survey Response'!$G335,"")</f>
        <v/>
      </c>
      <c r="AS337" s="46" t="str">
        <f aca="false">IF($D337="Followup",'Survey Response'!$H335,"")</f>
        <v/>
      </c>
      <c r="AT337" s="46" t="str">
        <f aca="false">IF($D337="Followup",'Survey Response'!$M335,"")</f>
        <v/>
      </c>
      <c r="AU337" s="46" t="str">
        <f aca="false">IF($D337="Followup",'Survey Response'!$K335,"")</f>
        <v/>
      </c>
      <c r="AV337" s="46" t="str">
        <f aca="false">IF($D337="Followup",'Survey Response'!$L335,"")</f>
        <v/>
      </c>
      <c r="AW337" s="46" t="str">
        <f aca="false">IF($D337="Followup",IF(AND($P337&lt;&gt;"Yes",$U337&lt;&gt;"Yes"),"Not approved for primary or secondary skill","Approved, but skill(s) no longer have capacity (fully staffed)"),"")</f>
        <v/>
      </c>
    </row>
    <row r="338" customFormat="false" ht="15" hidden="false" customHeight="true" outlineLevel="0" collapsed="false">
      <c r="A338" s="46" t="str">
        <f aca="false">IF('Survey Response'!$D336="","",'Survey Response'!$A336&amp;"|"&amp;LOWER(TRIM('Survey Response'!$D336)))</f>
        <v/>
      </c>
      <c r="B338" s="46" t="str">
        <f aca="false">IF($H338="","",$F338&amp;"|"&amp;$H338)</f>
        <v/>
      </c>
      <c r="C338" s="46" t="str">
        <f aca="false">IF($H338="","",$A338=$B338)</f>
        <v/>
      </c>
      <c r="D338" s="46" t="str">
        <f aca="false">IF($H338="","",IF($E338&lt;&gt;"Yes","Superseded",IF($I338&lt;&gt;"Yes, I'm available for in-person interviews at Chennai","Not Available",IF($Z338&lt;&gt;"","Panel Details","Followup"))))</f>
        <v/>
      </c>
      <c r="E338" s="46" t="str">
        <f aca="false">IF($H338="","",IF(SUMPRODUCT(($H$4:$H$503=$H338)*(($G$4:$G$503&gt;$G338)+($G$4:$G$503=$G338)*($F$4:$F$503&gt;$F338)))=0,"Yes","No"))</f>
        <v/>
      </c>
      <c r="F338" s="47" t="str">
        <f aca="false">IF('Survey Response'!$D336="","",INT('Survey Response'!$A336))</f>
        <v/>
      </c>
      <c r="G338" s="46" t="str">
        <f aca="false">IF('Survey Response'!$D336="","",'Survey Response'!$C336)</f>
        <v/>
      </c>
      <c r="H338" s="46" t="str">
        <f aca="false">IF('Survey Response'!$D336="","",LOWER(TRIM('Survey Response'!$D336)))</f>
        <v/>
      </c>
      <c r="I338" s="46" t="str">
        <f aca="false">IF($H338="","",'Survey Response'!$I336)</f>
        <v/>
      </c>
      <c r="J338" s="46" t="str">
        <f aca="false">IF($H338="","",'Survey Response'!$K336)</f>
        <v/>
      </c>
      <c r="K338" s="46" t="str">
        <f aca="false">IF($J338="","",IF(COUNTIF('Skill Mapping'!$A$2:$A$7,TRIM($J338))=0,"",INDEX('Skill Mapping'!$B$2:$B$7,MATCH(TRIM($J338),'Skill Mapping'!$A$2:$A$7,0))))</f>
        <v/>
      </c>
      <c r="L338" s="46" t="str">
        <f aca="false">IF($H338="","",'Survey Response'!$L336)</f>
        <v/>
      </c>
      <c r="M338" s="46" t="str">
        <f aca="false">IF($L338="","",IF(COUNTIF('Skill Mapping'!$A$2:$A$7,TRIM($L338))=0,"",INDEX('Skill Mapping'!$B$2:$B$7,MATCH(TRIM($L338),'Skill Mapping'!$A$2:$A$7,0))))</f>
        <v/>
      </c>
      <c r="N338" s="46" t="str">
        <f aca="false">IF($H338="","",'Survey Response'!$M336)</f>
        <v/>
      </c>
      <c r="O338" s="46" t="str">
        <f aca="false">IF($H338="","",IF('Survey Response'!$M336="Manager","R2","R1"))</f>
        <v/>
      </c>
      <c r="P338" s="46" t="str">
        <f aca="false">IF($K338="","No",IF(COUNTIFS(MasterPanel!$B:$B,$H338,MasterPanel!$I:$I,$K338,MasterPanel!$K:$K,"Y")&gt;0,"Yes","No"))</f>
        <v>No</v>
      </c>
      <c r="Q338" s="46" t="n">
        <f aca="false">IF($K338="",0,IF(COUNTIF('Gap Sheet'!$A$6:$A$11,TRIM($J338))=0,0,IF($O338="R1",INDEX('Gap Sheet'!$C$6:$C$11,MATCH(TRIM($J338),'Gap Sheet'!$A$6:$A$11,0)),INDEX('Gap Sheet'!$G$6:$G$11,MATCH(TRIM($J338),'Gap Sheet'!$A$6:$A$11,0)))))</f>
        <v>0</v>
      </c>
      <c r="R338" s="46" t="str">
        <f aca="false">IF($K338="","",$K338&amp;"|"&amp;$O338)</f>
        <v/>
      </c>
      <c r="S338" s="46" t="n">
        <f aca="false">IF($R338="",0,COUNTIF($AA$4:$AA337,$R338))</f>
        <v>0</v>
      </c>
      <c r="T338" s="46" t="str">
        <f aca="false">IF(OR($I338&lt;&gt;"Yes, I'm available for in-person interviews at Chennai",$E338&lt;&gt;"Yes",$P338&lt;&gt;"Yes"),"No",IF(($Q338-$S338)&gt;0,"Yes","No"))</f>
        <v>No</v>
      </c>
      <c r="U338" s="46" t="str">
        <f aca="false">IF($M338="","No",IF(COUNTIFS(MasterPanel!$B:$B,$H338,MasterPanel!$I:$I,$M338,MasterPanel!$K:$K,"Y")&gt;0,"Yes","No"))</f>
        <v>No</v>
      </c>
      <c r="V338" s="46" t="n">
        <f aca="false">IF($M338="",0,IF(COUNTIF('Gap Sheet'!$A$6:$A$11,TRIM($L338))=0,0,IF($O338="R1",INDEX('Gap Sheet'!$C$6:$C$11,MATCH(TRIM($L338),'Gap Sheet'!$A$6:$A$11,0)),INDEX('Gap Sheet'!$G$6:$G$11,MATCH(TRIM($L338),'Gap Sheet'!$A$6:$A$11,0)))))</f>
        <v>0</v>
      </c>
      <c r="W338" s="46" t="str">
        <f aca="false">IF($M338="","",$M338&amp;"|"&amp;$O338)</f>
        <v/>
      </c>
      <c r="X338" s="46" t="n">
        <f aca="false">IF($W338="",0,COUNTIF($AA$4:$AA337,$W338))</f>
        <v>0</v>
      </c>
      <c r="Y338" s="46" t="str">
        <f aca="false">IF(OR($I338&lt;&gt;"Yes, I'm available for in-person interviews at Chennai",$E338&lt;&gt;"Yes",$T338="Yes",$U338&lt;&gt;"Yes"),"No",IF(($V338-$X338)&gt;0,"Yes","No"))</f>
        <v>No</v>
      </c>
      <c r="Z338" s="46" t="str">
        <f aca="false">IF($T338="Yes","Primary",IF($Y338="Yes","Secondary",""))</f>
        <v/>
      </c>
      <c r="AA338" s="46" t="str">
        <f aca="false">IF($Z338="Primary",$R338,IF($Z338="Secondary",$W338,""))</f>
        <v/>
      </c>
      <c r="AB338" s="46" t="str">
        <f aca="false">IF($Z338="Primary","Matched on primary skill",IF($Z338="Secondary","Matched on secondary skill (primary not approved or not required)",""))</f>
        <v/>
      </c>
      <c r="AC338" s="47" t="str">
        <f aca="false">IF($D338="Panel Details",$F338,"")</f>
        <v/>
      </c>
      <c r="AD338" s="46" t="str">
        <f aca="false">IF($D338="Panel Details",'Survey Response'!$D336,"")</f>
        <v/>
      </c>
      <c r="AE338" s="46" t="str">
        <f aca="false">IF($D338="Panel Details",'Survey Response'!$E336,"")</f>
        <v/>
      </c>
      <c r="AF338" s="46" t="str">
        <f aca="false">IF($D338="Panel Details",'Survey Response'!$G336,"")</f>
        <v/>
      </c>
      <c r="AG338" s="46" t="str">
        <f aca="false">IF($D338="Panel Details",IF($Z338="Primary",$J338,$L338),"")</f>
        <v/>
      </c>
      <c r="AH338" s="46" t="str">
        <f aca="false">IF($D338="Panel Details",IF($Z338="Primary",$L338,$J338),"")</f>
        <v/>
      </c>
      <c r="AI338" s="46" t="str">
        <f aca="false">IF($D338="Panel Details",'Survey Response'!$H336,"")</f>
        <v/>
      </c>
      <c r="AJ338" s="46" t="str">
        <f aca="false">IF($D338="Panel Details",'Survey Response'!$M336,"")</f>
        <v/>
      </c>
      <c r="AK338" s="46" t="str">
        <f aca="false">IF($D338="Panel Details",$O338,"")</f>
        <v/>
      </c>
      <c r="AL338" s="46" t="str">
        <f aca="false">IF($D338="Panel Details",8,"")</f>
        <v/>
      </c>
      <c r="AM338" s="46" t="str">
        <f aca="false">IF($D338="Panel Details",$AB338,"")</f>
        <v/>
      </c>
      <c r="AN338" s="46" t="str">
        <f aca="false">IF($D338="Panel Details","Yes","")</f>
        <v/>
      </c>
      <c r="AO338" s="46"/>
      <c r="AP338" s="46" t="str">
        <f aca="false">IF($D338="Followup",'Survey Response'!$D336,"")</f>
        <v/>
      </c>
      <c r="AQ338" s="46" t="str">
        <f aca="false">IF($D338="Followup",'Survey Response'!$E336,"")</f>
        <v/>
      </c>
      <c r="AR338" s="46" t="str">
        <f aca="false">IF($D338="Followup",'Survey Response'!$G336,"")</f>
        <v/>
      </c>
      <c r="AS338" s="46" t="str">
        <f aca="false">IF($D338="Followup",'Survey Response'!$H336,"")</f>
        <v/>
      </c>
      <c r="AT338" s="46" t="str">
        <f aca="false">IF($D338="Followup",'Survey Response'!$M336,"")</f>
        <v/>
      </c>
      <c r="AU338" s="46" t="str">
        <f aca="false">IF($D338="Followup",'Survey Response'!$K336,"")</f>
        <v/>
      </c>
      <c r="AV338" s="46" t="str">
        <f aca="false">IF($D338="Followup",'Survey Response'!$L336,"")</f>
        <v/>
      </c>
      <c r="AW338" s="46" t="str">
        <f aca="false">IF($D338="Followup",IF(AND($P338&lt;&gt;"Yes",$U338&lt;&gt;"Yes"),"Not approved for primary or secondary skill","Approved, but skill(s) no longer have capacity (fully staffed)"),"")</f>
        <v/>
      </c>
    </row>
    <row r="339" customFormat="false" ht="15" hidden="false" customHeight="true" outlineLevel="0" collapsed="false">
      <c r="A339" s="46" t="str">
        <f aca="false">IF('Survey Response'!$D337="","",'Survey Response'!$A337&amp;"|"&amp;LOWER(TRIM('Survey Response'!$D337)))</f>
        <v/>
      </c>
      <c r="B339" s="46" t="str">
        <f aca="false">IF($H339="","",$F339&amp;"|"&amp;$H339)</f>
        <v/>
      </c>
      <c r="C339" s="46" t="str">
        <f aca="false">IF($H339="","",$A339=$B339)</f>
        <v/>
      </c>
      <c r="D339" s="46" t="str">
        <f aca="false">IF($H339="","",IF($E339&lt;&gt;"Yes","Superseded",IF($I339&lt;&gt;"Yes, I'm available for in-person interviews at Chennai","Not Available",IF($Z339&lt;&gt;"","Panel Details","Followup"))))</f>
        <v/>
      </c>
      <c r="E339" s="46" t="str">
        <f aca="false">IF($H339="","",IF(SUMPRODUCT(($H$4:$H$503=$H339)*(($G$4:$G$503&gt;$G339)+($G$4:$G$503=$G339)*($F$4:$F$503&gt;$F339)))=0,"Yes","No"))</f>
        <v/>
      </c>
      <c r="F339" s="47" t="str">
        <f aca="false">IF('Survey Response'!$D337="","",INT('Survey Response'!$A337))</f>
        <v/>
      </c>
      <c r="G339" s="46" t="str">
        <f aca="false">IF('Survey Response'!$D337="","",'Survey Response'!$C337)</f>
        <v/>
      </c>
      <c r="H339" s="46" t="str">
        <f aca="false">IF('Survey Response'!$D337="","",LOWER(TRIM('Survey Response'!$D337)))</f>
        <v/>
      </c>
      <c r="I339" s="46" t="str">
        <f aca="false">IF($H339="","",'Survey Response'!$I337)</f>
        <v/>
      </c>
      <c r="J339" s="46" t="str">
        <f aca="false">IF($H339="","",'Survey Response'!$K337)</f>
        <v/>
      </c>
      <c r="K339" s="46" t="str">
        <f aca="false">IF($J339="","",IF(COUNTIF('Skill Mapping'!$A$2:$A$7,TRIM($J339))=0,"",INDEX('Skill Mapping'!$B$2:$B$7,MATCH(TRIM($J339),'Skill Mapping'!$A$2:$A$7,0))))</f>
        <v/>
      </c>
      <c r="L339" s="46" t="str">
        <f aca="false">IF($H339="","",'Survey Response'!$L337)</f>
        <v/>
      </c>
      <c r="M339" s="46" t="str">
        <f aca="false">IF($L339="","",IF(COUNTIF('Skill Mapping'!$A$2:$A$7,TRIM($L339))=0,"",INDEX('Skill Mapping'!$B$2:$B$7,MATCH(TRIM($L339),'Skill Mapping'!$A$2:$A$7,0))))</f>
        <v/>
      </c>
      <c r="N339" s="46" t="str">
        <f aca="false">IF($H339="","",'Survey Response'!$M337)</f>
        <v/>
      </c>
      <c r="O339" s="46" t="str">
        <f aca="false">IF($H339="","",IF('Survey Response'!$M337="Manager","R2","R1"))</f>
        <v/>
      </c>
      <c r="P339" s="46" t="str">
        <f aca="false">IF($K339="","No",IF(COUNTIFS(MasterPanel!$B:$B,$H339,MasterPanel!$I:$I,$K339,MasterPanel!$K:$K,"Y")&gt;0,"Yes","No"))</f>
        <v>No</v>
      </c>
      <c r="Q339" s="46" t="n">
        <f aca="false">IF($K339="",0,IF(COUNTIF('Gap Sheet'!$A$6:$A$11,TRIM($J339))=0,0,IF($O339="R1",INDEX('Gap Sheet'!$C$6:$C$11,MATCH(TRIM($J339),'Gap Sheet'!$A$6:$A$11,0)),INDEX('Gap Sheet'!$G$6:$G$11,MATCH(TRIM($J339),'Gap Sheet'!$A$6:$A$11,0)))))</f>
        <v>0</v>
      </c>
      <c r="R339" s="46" t="str">
        <f aca="false">IF($K339="","",$K339&amp;"|"&amp;$O339)</f>
        <v/>
      </c>
      <c r="S339" s="46" t="n">
        <f aca="false">IF($R339="",0,COUNTIF($AA$4:$AA338,$R339))</f>
        <v>0</v>
      </c>
      <c r="T339" s="46" t="str">
        <f aca="false">IF(OR($I339&lt;&gt;"Yes, I'm available for in-person interviews at Chennai",$E339&lt;&gt;"Yes",$P339&lt;&gt;"Yes"),"No",IF(($Q339-$S339)&gt;0,"Yes","No"))</f>
        <v>No</v>
      </c>
      <c r="U339" s="46" t="str">
        <f aca="false">IF($M339="","No",IF(COUNTIFS(MasterPanel!$B:$B,$H339,MasterPanel!$I:$I,$M339,MasterPanel!$K:$K,"Y")&gt;0,"Yes","No"))</f>
        <v>No</v>
      </c>
      <c r="V339" s="46" t="n">
        <f aca="false">IF($M339="",0,IF(COUNTIF('Gap Sheet'!$A$6:$A$11,TRIM($L339))=0,0,IF($O339="R1",INDEX('Gap Sheet'!$C$6:$C$11,MATCH(TRIM($L339),'Gap Sheet'!$A$6:$A$11,0)),INDEX('Gap Sheet'!$G$6:$G$11,MATCH(TRIM($L339),'Gap Sheet'!$A$6:$A$11,0)))))</f>
        <v>0</v>
      </c>
      <c r="W339" s="46" t="str">
        <f aca="false">IF($M339="","",$M339&amp;"|"&amp;$O339)</f>
        <v/>
      </c>
      <c r="X339" s="46" t="n">
        <f aca="false">IF($W339="",0,COUNTIF($AA$4:$AA338,$W339))</f>
        <v>0</v>
      </c>
      <c r="Y339" s="46" t="str">
        <f aca="false">IF(OR($I339&lt;&gt;"Yes, I'm available for in-person interviews at Chennai",$E339&lt;&gt;"Yes",$T339="Yes",$U339&lt;&gt;"Yes"),"No",IF(($V339-$X339)&gt;0,"Yes","No"))</f>
        <v>No</v>
      </c>
      <c r="Z339" s="46" t="str">
        <f aca="false">IF($T339="Yes","Primary",IF($Y339="Yes","Secondary",""))</f>
        <v/>
      </c>
      <c r="AA339" s="46" t="str">
        <f aca="false">IF($Z339="Primary",$R339,IF($Z339="Secondary",$W339,""))</f>
        <v/>
      </c>
      <c r="AB339" s="46" t="str">
        <f aca="false">IF($Z339="Primary","Matched on primary skill",IF($Z339="Secondary","Matched on secondary skill (primary not approved or not required)",""))</f>
        <v/>
      </c>
      <c r="AC339" s="47" t="str">
        <f aca="false">IF($D339="Panel Details",$F339,"")</f>
        <v/>
      </c>
      <c r="AD339" s="46" t="str">
        <f aca="false">IF($D339="Panel Details",'Survey Response'!$D337,"")</f>
        <v/>
      </c>
      <c r="AE339" s="46" t="str">
        <f aca="false">IF($D339="Panel Details",'Survey Response'!$E337,"")</f>
        <v/>
      </c>
      <c r="AF339" s="46" t="str">
        <f aca="false">IF($D339="Panel Details",'Survey Response'!$G337,"")</f>
        <v/>
      </c>
      <c r="AG339" s="46" t="str">
        <f aca="false">IF($D339="Panel Details",IF($Z339="Primary",$J339,$L339),"")</f>
        <v/>
      </c>
      <c r="AH339" s="46" t="str">
        <f aca="false">IF($D339="Panel Details",IF($Z339="Primary",$L339,$J339),"")</f>
        <v/>
      </c>
      <c r="AI339" s="46" t="str">
        <f aca="false">IF($D339="Panel Details",'Survey Response'!$H337,"")</f>
        <v/>
      </c>
      <c r="AJ339" s="46" t="str">
        <f aca="false">IF($D339="Panel Details",'Survey Response'!$M337,"")</f>
        <v/>
      </c>
      <c r="AK339" s="46" t="str">
        <f aca="false">IF($D339="Panel Details",$O339,"")</f>
        <v/>
      </c>
      <c r="AL339" s="46" t="str">
        <f aca="false">IF($D339="Panel Details",8,"")</f>
        <v/>
      </c>
      <c r="AM339" s="46" t="str">
        <f aca="false">IF($D339="Panel Details",$AB339,"")</f>
        <v/>
      </c>
      <c r="AN339" s="46" t="str">
        <f aca="false">IF($D339="Panel Details","Yes","")</f>
        <v/>
      </c>
      <c r="AO339" s="46"/>
      <c r="AP339" s="46" t="str">
        <f aca="false">IF($D339="Followup",'Survey Response'!$D337,"")</f>
        <v/>
      </c>
      <c r="AQ339" s="46" t="str">
        <f aca="false">IF($D339="Followup",'Survey Response'!$E337,"")</f>
        <v/>
      </c>
      <c r="AR339" s="46" t="str">
        <f aca="false">IF($D339="Followup",'Survey Response'!$G337,"")</f>
        <v/>
      </c>
      <c r="AS339" s="46" t="str">
        <f aca="false">IF($D339="Followup",'Survey Response'!$H337,"")</f>
        <v/>
      </c>
      <c r="AT339" s="46" t="str">
        <f aca="false">IF($D339="Followup",'Survey Response'!$M337,"")</f>
        <v/>
      </c>
      <c r="AU339" s="46" t="str">
        <f aca="false">IF($D339="Followup",'Survey Response'!$K337,"")</f>
        <v/>
      </c>
      <c r="AV339" s="46" t="str">
        <f aca="false">IF($D339="Followup",'Survey Response'!$L337,"")</f>
        <v/>
      </c>
      <c r="AW339" s="46" t="str">
        <f aca="false">IF($D339="Followup",IF(AND($P339&lt;&gt;"Yes",$U339&lt;&gt;"Yes"),"Not approved for primary or secondary skill","Approved, but skill(s) no longer have capacity (fully staffed)"),"")</f>
        <v/>
      </c>
    </row>
    <row r="340" customFormat="false" ht="15" hidden="false" customHeight="true" outlineLevel="0" collapsed="false">
      <c r="A340" s="46" t="str">
        <f aca="false">IF('Survey Response'!$D338="","",'Survey Response'!$A338&amp;"|"&amp;LOWER(TRIM('Survey Response'!$D338)))</f>
        <v/>
      </c>
      <c r="B340" s="46" t="str">
        <f aca="false">IF($H340="","",$F340&amp;"|"&amp;$H340)</f>
        <v/>
      </c>
      <c r="C340" s="46" t="str">
        <f aca="false">IF($H340="","",$A340=$B340)</f>
        <v/>
      </c>
      <c r="D340" s="46" t="str">
        <f aca="false">IF($H340="","",IF($E340&lt;&gt;"Yes","Superseded",IF($I340&lt;&gt;"Yes, I'm available for in-person interviews at Chennai","Not Available",IF($Z340&lt;&gt;"","Panel Details","Followup"))))</f>
        <v/>
      </c>
      <c r="E340" s="46" t="str">
        <f aca="false">IF($H340="","",IF(SUMPRODUCT(($H$4:$H$503=$H340)*(($G$4:$G$503&gt;$G340)+($G$4:$G$503=$G340)*($F$4:$F$503&gt;$F340)))=0,"Yes","No"))</f>
        <v/>
      </c>
      <c r="F340" s="47" t="str">
        <f aca="false">IF('Survey Response'!$D338="","",INT('Survey Response'!$A338))</f>
        <v/>
      </c>
      <c r="G340" s="46" t="str">
        <f aca="false">IF('Survey Response'!$D338="","",'Survey Response'!$C338)</f>
        <v/>
      </c>
      <c r="H340" s="46" t="str">
        <f aca="false">IF('Survey Response'!$D338="","",LOWER(TRIM('Survey Response'!$D338)))</f>
        <v/>
      </c>
      <c r="I340" s="46" t="str">
        <f aca="false">IF($H340="","",'Survey Response'!$I338)</f>
        <v/>
      </c>
      <c r="J340" s="46" t="str">
        <f aca="false">IF($H340="","",'Survey Response'!$K338)</f>
        <v/>
      </c>
      <c r="K340" s="46" t="str">
        <f aca="false">IF($J340="","",IF(COUNTIF('Skill Mapping'!$A$2:$A$7,TRIM($J340))=0,"",INDEX('Skill Mapping'!$B$2:$B$7,MATCH(TRIM($J340),'Skill Mapping'!$A$2:$A$7,0))))</f>
        <v/>
      </c>
      <c r="L340" s="46" t="str">
        <f aca="false">IF($H340="","",'Survey Response'!$L338)</f>
        <v/>
      </c>
      <c r="M340" s="46" t="str">
        <f aca="false">IF($L340="","",IF(COUNTIF('Skill Mapping'!$A$2:$A$7,TRIM($L340))=0,"",INDEX('Skill Mapping'!$B$2:$B$7,MATCH(TRIM($L340),'Skill Mapping'!$A$2:$A$7,0))))</f>
        <v/>
      </c>
      <c r="N340" s="46" t="str">
        <f aca="false">IF($H340="","",'Survey Response'!$M338)</f>
        <v/>
      </c>
      <c r="O340" s="46" t="str">
        <f aca="false">IF($H340="","",IF('Survey Response'!$M338="Manager","R2","R1"))</f>
        <v/>
      </c>
      <c r="P340" s="46" t="str">
        <f aca="false">IF($K340="","No",IF(COUNTIFS(MasterPanel!$B:$B,$H340,MasterPanel!$I:$I,$K340,MasterPanel!$K:$K,"Y")&gt;0,"Yes","No"))</f>
        <v>No</v>
      </c>
      <c r="Q340" s="46" t="n">
        <f aca="false">IF($K340="",0,IF(COUNTIF('Gap Sheet'!$A$6:$A$11,TRIM($J340))=0,0,IF($O340="R1",INDEX('Gap Sheet'!$C$6:$C$11,MATCH(TRIM($J340),'Gap Sheet'!$A$6:$A$11,0)),INDEX('Gap Sheet'!$G$6:$G$11,MATCH(TRIM($J340),'Gap Sheet'!$A$6:$A$11,0)))))</f>
        <v>0</v>
      </c>
      <c r="R340" s="46" t="str">
        <f aca="false">IF($K340="","",$K340&amp;"|"&amp;$O340)</f>
        <v/>
      </c>
      <c r="S340" s="46" t="n">
        <f aca="false">IF($R340="",0,COUNTIF($AA$4:$AA339,$R340))</f>
        <v>0</v>
      </c>
      <c r="T340" s="46" t="str">
        <f aca="false">IF(OR($I340&lt;&gt;"Yes, I'm available for in-person interviews at Chennai",$E340&lt;&gt;"Yes",$P340&lt;&gt;"Yes"),"No",IF(($Q340-$S340)&gt;0,"Yes","No"))</f>
        <v>No</v>
      </c>
      <c r="U340" s="46" t="str">
        <f aca="false">IF($M340="","No",IF(COUNTIFS(MasterPanel!$B:$B,$H340,MasterPanel!$I:$I,$M340,MasterPanel!$K:$K,"Y")&gt;0,"Yes","No"))</f>
        <v>No</v>
      </c>
      <c r="V340" s="46" t="n">
        <f aca="false">IF($M340="",0,IF(COUNTIF('Gap Sheet'!$A$6:$A$11,TRIM($L340))=0,0,IF($O340="R1",INDEX('Gap Sheet'!$C$6:$C$11,MATCH(TRIM($L340),'Gap Sheet'!$A$6:$A$11,0)),INDEX('Gap Sheet'!$G$6:$G$11,MATCH(TRIM($L340),'Gap Sheet'!$A$6:$A$11,0)))))</f>
        <v>0</v>
      </c>
      <c r="W340" s="46" t="str">
        <f aca="false">IF($M340="","",$M340&amp;"|"&amp;$O340)</f>
        <v/>
      </c>
      <c r="X340" s="46" t="n">
        <f aca="false">IF($W340="",0,COUNTIF($AA$4:$AA339,$W340))</f>
        <v>0</v>
      </c>
      <c r="Y340" s="46" t="str">
        <f aca="false">IF(OR($I340&lt;&gt;"Yes, I'm available for in-person interviews at Chennai",$E340&lt;&gt;"Yes",$T340="Yes",$U340&lt;&gt;"Yes"),"No",IF(($V340-$X340)&gt;0,"Yes","No"))</f>
        <v>No</v>
      </c>
      <c r="Z340" s="46" t="str">
        <f aca="false">IF($T340="Yes","Primary",IF($Y340="Yes","Secondary",""))</f>
        <v/>
      </c>
      <c r="AA340" s="46" t="str">
        <f aca="false">IF($Z340="Primary",$R340,IF($Z340="Secondary",$W340,""))</f>
        <v/>
      </c>
      <c r="AB340" s="46" t="str">
        <f aca="false">IF($Z340="Primary","Matched on primary skill",IF($Z340="Secondary","Matched on secondary skill (primary not approved or not required)",""))</f>
        <v/>
      </c>
      <c r="AC340" s="47" t="str">
        <f aca="false">IF($D340="Panel Details",$F340,"")</f>
        <v/>
      </c>
      <c r="AD340" s="46" t="str">
        <f aca="false">IF($D340="Panel Details",'Survey Response'!$D338,"")</f>
        <v/>
      </c>
      <c r="AE340" s="46" t="str">
        <f aca="false">IF($D340="Panel Details",'Survey Response'!$E338,"")</f>
        <v/>
      </c>
      <c r="AF340" s="46" t="str">
        <f aca="false">IF($D340="Panel Details",'Survey Response'!$G338,"")</f>
        <v/>
      </c>
      <c r="AG340" s="46" t="str">
        <f aca="false">IF($D340="Panel Details",IF($Z340="Primary",$J340,$L340),"")</f>
        <v/>
      </c>
      <c r="AH340" s="46" t="str">
        <f aca="false">IF($D340="Panel Details",IF($Z340="Primary",$L340,$J340),"")</f>
        <v/>
      </c>
      <c r="AI340" s="46" t="str">
        <f aca="false">IF($D340="Panel Details",'Survey Response'!$H338,"")</f>
        <v/>
      </c>
      <c r="AJ340" s="46" t="str">
        <f aca="false">IF($D340="Panel Details",'Survey Response'!$M338,"")</f>
        <v/>
      </c>
      <c r="AK340" s="46" t="str">
        <f aca="false">IF($D340="Panel Details",$O340,"")</f>
        <v/>
      </c>
      <c r="AL340" s="46" t="str">
        <f aca="false">IF($D340="Panel Details",8,"")</f>
        <v/>
      </c>
      <c r="AM340" s="46" t="str">
        <f aca="false">IF($D340="Panel Details",$AB340,"")</f>
        <v/>
      </c>
      <c r="AN340" s="46" t="str">
        <f aca="false">IF($D340="Panel Details","Yes","")</f>
        <v/>
      </c>
      <c r="AO340" s="46"/>
      <c r="AP340" s="46" t="str">
        <f aca="false">IF($D340="Followup",'Survey Response'!$D338,"")</f>
        <v/>
      </c>
      <c r="AQ340" s="46" t="str">
        <f aca="false">IF($D340="Followup",'Survey Response'!$E338,"")</f>
        <v/>
      </c>
      <c r="AR340" s="46" t="str">
        <f aca="false">IF($D340="Followup",'Survey Response'!$G338,"")</f>
        <v/>
      </c>
      <c r="AS340" s="46" t="str">
        <f aca="false">IF($D340="Followup",'Survey Response'!$H338,"")</f>
        <v/>
      </c>
      <c r="AT340" s="46" t="str">
        <f aca="false">IF($D340="Followup",'Survey Response'!$M338,"")</f>
        <v/>
      </c>
      <c r="AU340" s="46" t="str">
        <f aca="false">IF($D340="Followup",'Survey Response'!$K338,"")</f>
        <v/>
      </c>
      <c r="AV340" s="46" t="str">
        <f aca="false">IF($D340="Followup",'Survey Response'!$L338,"")</f>
        <v/>
      </c>
      <c r="AW340" s="46" t="str">
        <f aca="false">IF($D340="Followup",IF(AND($P340&lt;&gt;"Yes",$U340&lt;&gt;"Yes"),"Not approved for primary or secondary skill","Approved, but skill(s) no longer have capacity (fully staffed)"),"")</f>
        <v/>
      </c>
    </row>
    <row r="341" customFormat="false" ht="15" hidden="false" customHeight="true" outlineLevel="0" collapsed="false">
      <c r="A341" s="46" t="str">
        <f aca="false">IF('Survey Response'!$D339="","",'Survey Response'!$A339&amp;"|"&amp;LOWER(TRIM('Survey Response'!$D339)))</f>
        <v/>
      </c>
      <c r="B341" s="46" t="str">
        <f aca="false">IF($H341="","",$F341&amp;"|"&amp;$H341)</f>
        <v/>
      </c>
      <c r="C341" s="46" t="str">
        <f aca="false">IF($H341="","",$A341=$B341)</f>
        <v/>
      </c>
      <c r="D341" s="46" t="str">
        <f aca="false">IF($H341="","",IF($E341&lt;&gt;"Yes","Superseded",IF($I341&lt;&gt;"Yes, I'm available for in-person interviews at Chennai","Not Available",IF($Z341&lt;&gt;"","Panel Details","Followup"))))</f>
        <v/>
      </c>
      <c r="E341" s="46" t="str">
        <f aca="false">IF($H341="","",IF(SUMPRODUCT(($H$4:$H$503=$H341)*(($G$4:$G$503&gt;$G341)+($G$4:$G$503=$G341)*($F$4:$F$503&gt;$F341)))=0,"Yes","No"))</f>
        <v/>
      </c>
      <c r="F341" s="47" t="str">
        <f aca="false">IF('Survey Response'!$D339="","",INT('Survey Response'!$A339))</f>
        <v/>
      </c>
      <c r="G341" s="46" t="str">
        <f aca="false">IF('Survey Response'!$D339="","",'Survey Response'!$C339)</f>
        <v/>
      </c>
      <c r="H341" s="46" t="str">
        <f aca="false">IF('Survey Response'!$D339="","",LOWER(TRIM('Survey Response'!$D339)))</f>
        <v/>
      </c>
      <c r="I341" s="46" t="str">
        <f aca="false">IF($H341="","",'Survey Response'!$I339)</f>
        <v/>
      </c>
      <c r="J341" s="46" t="str">
        <f aca="false">IF($H341="","",'Survey Response'!$K339)</f>
        <v/>
      </c>
      <c r="K341" s="46" t="str">
        <f aca="false">IF($J341="","",IF(COUNTIF('Skill Mapping'!$A$2:$A$7,TRIM($J341))=0,"",INDEX('Skill Mapping'!$B$2:$B$7,MATCH(TRIM($J341),'Skill Mapping'!$A$2:$A$7,0))))</f>
        <v/>
      </c>
      <c r="L341" s="46" t="str">
        <f aca="false">IF($H341="","",'Survey Response'!$L339)</f>
        <v/>
      </c>
      <c r="M341" s="46" t="str">
        <f aca="false">IF($L341="","",IF(COUNTIF('Skill Mapping'!$A$2:$A$7,TRIM($L341))=0,"",INDEX('Skill Mapping'!$B$2:$B$7,MATCH(TRIM($L341),'Skill Mapping'!$A$2:$A$7,0))))</f>
        <v/>
      </c>
      <c r="N341" s="46" t="str">
        <f aca="false">IF($H341="","",'Survey Response'!$M339)</f>
        <v/>
      </c>
      <c r="O341" s="46" t="str">
        <f aca="false">IF($H341="","",IF('Survey Response'!$M339="Manager","R2","R1"))</f>
        <v/>
      </c>
      <c r="P341" s="46" t="str">
        <f aca="false">IF($K341="","No",IF(COUNTIFS(MasterPanel!$B:$B,$H341,MasterPanel!$I:$I,$K341,MasterPanel!$K:$K,"Y")&gt;0,"Yes","No"))</f>
        <v>No</v>
      </c>
      <c r="Q341" s="46" t="n">
        <f aca="false">IF($K341="",0,IF(COUNTIF('Gap Sheet'!$A$6:$A$11,TRIM($J341))=0,0,IF($O341="R1",INDEX('Gap Sheet'!$C$6:$C$11,MATCH(TRIM($J341),'Gap Sheet'!$A$6:$A$11,0)),INDEX('Gap Sheet'!$G$6:$G$11,MATCH(TRIM($J341),'Gap Sheet'!$A$6:$A$11,0)))))</f>
        <v>0</v>
      </c>
      <c r="R341" s="46" t="str">
        <f aca="false">IF($K341="","",$K341&amp;"|"&amp;$O341)</f>
        <v/>
      </c>
      <c r="S341" s="46" t="n">
        <f aca="false">IF($R341="",0,COUNTIF($AA$4:$AA340,$R341))</f>
        <v>0</v>
      </c>
      <c r="T341" s="46" t="str">
        <f aca="false">IF(OR($I341&lt;&gt;"Yes, I'm available for in-person interviews at Chennai",$E341&lt;&gt;"Yes",$P341&lt;&gt;"Yes"),"No",IF(($Q341-$S341)&gt;0,"Yes","No"))</f>
        <v>No</v>
      </c>
      <c r="U341" s="46" t="str">
        <f aca="false">IF($M341="","No",IF(COUNTIFS(MasterPanel!$B:$B,$H341,MasterPanel!$I:$I,$M341,MasterPanel!$K:$K,"Y")&gt;0,"Yes","No"))</f>
        <v>No</v>
      </c>
      <c r="V341" s="46" t="n">
        <f aca="false">IF($M341="",0,IF(COUNTIF('Gap Sheet'!$A$6:$A$11,TRIM($L341))=0,0,IF($O341="R1",INDEX('Gap Sheet'!$C$6:$C$11,MATCH(TRIM($L341),'Gap Sheet'!$A$6:$A$11,0)),INDEX('Gap Sheet'!$G$6:$G$11,MATCH(TRIM($L341),'Gap Sheet'!$A$6:$A$11,0)))))</f>
        <v>0</v>
      </c>
      <c r="W341" s="46" t="str">
        <f aca="false">IF($M341="","",$M341&amp;"|"&amp;$O341)</f>
        <v/>
      </c>
      <c r="X341" s="46" t="n">
        <f aca="false">IF($W341="",0,COUNTIF($AA$4:$AA340,$W341))</f>
        <v>0</v>
      </c>
      <c r="Y341" s="46" t="str">
        <f aca="false">IF(OR($I341&lt;&gt;"Yes, I'm available for in-person interviews at Chennai",$E341&lt;&gt;"Yes",$T341="Yes",$U341&lt;&gt;"Yes"),"No",IF(($V341-$X341)&gt;0,"Yes","No"))</f>
        <v>No</v>
      </c>
      <c r="Z341" s="46" t="str">
        <f aca="false">IF($T341="Yes","Primary",IF($Y341="Yes","Secondary",""))</f>
        <v/>
      </c>
      <c r="AA341" s="46" t="str">
        <f aca="false">IF($Z341="Primary",$R341,IF($Z341="Secondary",$W341,""))</f>
        <v/>
      </c>
      <c r="AB341" s="46" t="str">
        <f aca="false">IF($Z341="Primary","Matched on primary skill",IF($Z341="Secondary","Matched on secondary skill (primary not approved or not required)",""))</f>
        <v/>
      </c>
      <c r="AC341" s="47" t="str">
        <f aca="false">IF($D341="Panel Details",$F341,"")</f>
        <v/>
      </c>
      <c r="AD341" s="46" t="str">
        <f aca="false">IF($D341="Panel Details",'Survey Response'!$D339,"")</f>
        <v/>
      </c>
      <c r="AE341" s="46" t="str">
        <f aca="false">IF($D341="Panel Details",'Survey Response'!$E339,"")</f>
        <v/>
      </c>
      <c r="AF341" s="46" t="str">
        <f aca="false">IF($D341="Panel Details",'Survey Response'!$G339,"")</f>
        <v/>
      </c>
      <c r="AG341" s="46" t="str">
        <f aca="false">IF($D341="Panel Details",IF($Z341="Primary",$J341,$L341),"")</f>
        <v/>
      </c>
      <c r="AH341" s="46" t="str">
        <f aca="false">IF($D341="Panel Details",IF($Z341="Primary",$L341,$J341),"")</f>
        <v/>
      </c>
      <c r="AI341" s="46" t="str">
        <f aca="false">IF($D341="Panel Details",'Survey Response'!$H339,"")</f>
        <v/>
      </c>
      <c r="AJ341" s="46" t="str">
        <f aca="false">IF($D341="Panel Details",'Survey Response'!$M339,"")</f>
        <v/>
      </c>
      <c r="AK341" s="46" t="str">
        <f aca="false">IF($D341="Panel Details",$O341,"")</f>
        <v/>
      </c>
      <c r="AL341" s="46" t="str">
        <f aca="false">IF($D341="Panel Details",8,"")</f>
        <v/>
      </c>
      <c r="AM341" s="46" t="str">
        <f aca="false">IF($D341="Panel Details",$AB341,"")</f>
        <v/>
      </c>
      <c r="AN341" s="46" t="str">
        <f aca="false">IF($D341="Panel Details","Yes","")</f>
        <v/>
      </c>
      <c r="AO341" s="46"/>
      <c r="AP341" s="46" t="str">
        <f aca="false">IF($D341="Followup",'Survey Response'!$D339,"")</f>
        <v/>
      </c>
      <c r="AQ341" s="46" t="str">
        <f aca="false">IF($D341="Followup",'Survey Response'!$E339,"")</f>
        <v/>
      </c>
      <c r="AR341" s="46" t="str">
        <f aca="false">IF($D341="Followup",'Survey Response'!$G339,"")</f>
        <v/>
      </c>
      <c r="AS341" s="46" t="str">
        <f aca="false">IF($D341="Followup",'Survey Response'!$H339,"")</f>
        <v/>
      </c>
      <c r="AT341" s="46" t="str">
        <f aca="false">IF($D341="Followup",'Survey Response'!$M339,"")</f>
        <v/>
      </c>
      <c r="AU341" s="46" t="str">
        <f aca="false">IF($D341="Followup",'Survey Response'!$K339,"")</f>
        <v/>
      </c>
      <c r="AV341" s="46" t="str">
        <f aca="false">IF($D341="Followup",'Survey Response'!$L339,"")</f>
        <v/>
      </c>
      <c r="AW341" s="46" t="str">
        <f aca="false">IF($D341="Followup",IF(AND($P341&lt;&gt;"Yes",$U341&lt;&gt;"Yes"),"Not approved for primary or secondary skill","Approved, but skill(s) no longer have capacity (fully staffed)"),"")</f>
        <v/>
      </c>
    </row>
    <row r="342" customFormat="false" ht="15" hidden="false" customHeight="true" outlineLevel="0" collapsed="false">
      <c r="A342" s="46" t="str">
        <f aca="false">IF('Survey Response'!$D340="","",'Survey Response'!$A340&amp;"|"&amp;LOWER(TRIM('Survey Response'!$D340)))</f>
        <v/>
      </c>
      <c r="B342" s="46" t="str">
        <f aca="false">IF($H342="","",$F342&amp;"|"&amp;$H342)</f>
        <v/>
      </c>
      <c r="C342" s="46" t="str">
        <f aca="false">IF($H342="","",$A342=$B342)</f>
        <v/>
      </c>
      <c r="D342" s="46" t="str">
        <f aca="false">IF($H342="","",IF($E342&lt;&gt;"Yes","Superseded",IF($I342&lt;&gt;"Yes, I'm available for in-person interviews at Chennai","Not Available",IF($Z342&lt;&gt;"","Panel Details","Followup"))))</f>
        <v/>
      </c>
      <c r="E342" s="46" t="str">
        <f aca="false">IF($H342="","",IF(SUMPRODUCT(($H$4:$H$503=$H342)*(($G$4:$G$503&gt;$G342)+($G$4:$G$503=$G342)*($F$4:$F$503&gt;$F342)))=0,"Yes","No"))</f>
        <v/>
      </c>
      <c r="F342" s="47" t="str">
        <f aca="false">IF('Survey Response'!$D340="","",INT('Survey Response'!$A340))</f>
        <v/>
      </c>
      <c r="G342" s="46" t="str">
        <f aca="false">IF('Survey Response'!$D340="","",'Survey Response'!$C340)</f>
        <v/>
      </c>
      <c r="H342" s="46" t="str">
        <f aca="false">IF('Survey Response'!$D340="","",LOWER(TRIM('Survey Response'!$D340)))</f>
        <v/>
      </c>
      <c r="I342" s="46" t="str">
        <f aca="false">IF($H342="","",'Survey Response'!$I340)</f>
        <v/>
      </c>
      <c r="J342" s="46" t="str">
        <f aca="false">IF($H342="","",'Survey Response'!$K340)</f>
        <v/>
      </c>
      <c r="K342" s="46" t="str">
        <f aca="false">IF($J342="","",IF(COUNTIF('Skill Mapping'!$A$2:$A$7,TRIM($J342))=0,"",INDEX('Skill Mapping'!$B$2:$B$7,MATCH(TRIM($J342),'Skill Mapping'!$A$2:$A$7,0))))</f>
        <v/>
      </c>
      <c r="L342" s="46" t="str">
        <f aca="false">IF($H342="","",'Survey Response'!$L340)</f>
        <v/>
      </c>
      <c r="M342" s="46" t="str">
        <f aca="false">IF($L342="","",IF(COUNTIF('Skill Mapping'!$A$2:$A$7,TRIM($L342))=0,"",INDEX('Skill Mapping'!$B$2:$B$7,MATCH(TRIM($L342),'Skill Mapping'!$A$2:$A$7,0))))</f>
        <v/>
      </c>
      <c r="N342" s="46" t="str">
        <f aca="false">IF($H342="","",'Survey Response'!$M340)</f>
        <v/>
      </c>
      <c r="O342" s="46" t="str">
        <f aca="false">IF($H342="","",IF('Survey Response'!$M340="Manager","R2","R1"))</f>
        <v/>
      </c>
      <c r="P342" s="46" t="str">
        <f aca="false">IF($K342="","No",IF(COUNTIFS(MasterPanel!$B:$B,$H342,MasterPanel!$I:$I,$K342,MasterPanel!$K:$K,"Y")&gt;0,"Yes","No"))</f>
        <v>No</v>
      </c>
      <c r="Q342" s="46" t="n">
        <f aca="false">IF($K342="",0,IF(COUNTIF('Gap Sheet'!$A$6:$A$11,TRIM($J342))=0,0,IF($O342="R1",INDEX('Gap Sheet'!$C$6:$C$11,MATCH(TRIM($J342),'Gap Sheet'!$A$6:$A$11,0)),INDEX('Gap Sheet'!$G$6:$G$11,MATCH(TRIM($J342),'Gap Sheet'!$A$6:$A$11,0)))))</f>
        <v>0</v>
      </c>
      <c r="R342" s="46" t="str">
        <f aca="false">IF($K342="","",$K342&amp;"|"&amp;$O342)</f>
        <v/>
      </c>
      <c r="S342" s="46" t="n">
        <f aca="false">IF($R342="",0,COUNTIF($AA$4:$AA341,$R342))</f>
        <v>0</v>
      </c>
      <c r="T342" s="46" t="str">
        <f aca="false">IF(OR($I342&lt;&gt;"Yes, I'm available for in-person interviews at Chennai",$E342&lt;&gt;"Yes",$P342&lt;&gt;"Yes"),"No",IF(($Q342-$S342)&gt;0,"Yes","No"))</f>
        <v>No</v>
      </c>
      <c r="U342" s="46" t="str">
        <f aca="false">IF($M342="","No",IF(COUNTIFS(MasterPanel!$B:$B,$H342,MasterPanel!$I:$I,$M342,MasterPanel!$K:$K,"Y")&gt;0,"Yes","No"))</f>
        <v>No</v>
      </c>
      <c r="V342" s="46" t="n">
        <f aca="false">IF($M342="",0,IF(COUNTIF('Gap Sheet'!$A$6:$A$11,TRIM($L342))=0,0,IF($O342="R1",INDEX('Gap Sheet'!$C$6:$C$11,MATCH(TRIM($L342),'Gap Sheet'!$A$6:$A$11,0)),INDEX('Gap Sheet'!$G$6:$G$11,MATCH(TRIM($L342),'Gap Sheet'!$A$6:$A$11,0)))))</f>
        <v>0</v>
      </c>
      <c r="W342" s="46" t="str">
        <f aca="false">IF($M342="","",$M342&amp;"|"&amp;$O342)</f>
        <v/>
      </c>
      <c r="X342" s="46" t="n">
        <f aca="false">IF($W342="",0,COUNTIF($AA$4:$AA341,$W342))</f>
        <v>0</v>
      </c>
      <c r="Y342" s="46" t="str">
        <f aca="false">IF(OR($I342&lt;&gt;"Yes, I'm available for in-person interviews at Chennai",$E342&lt;&gt;"Yes",$T342="Yes",$U342&lt;&gt;"Yes"),"No",IF(($V342-$X342)&gt;0,"Yes","No"))</f>
        <v>No</v>
      </c>
      <c r="Z342" s="46" t="str">
        <f aca="false">IF($T342="Yes","Primary",IF($Y342="Yes","Secondary",""))</f>
        <v/>
      </c>
      <c r="AA342" s="46" t="str">
        <f aca="false">IF($Z342="Primary",$R342,IF($Z342="Secondary",$W342,""))</f>
        <v/>
      </c>
      <c r="AB342" s="46" t="str">
        <f aca="false">IF($Z342="Primary","Matched on primary skill",IF($Z342="Secondary","Matched on secondary skill (primary not approved or not required)",""))</f>
        <v/>
      </c>
      <c r="AC342" s="47" t="str">
        <f aca="false">IF($D342="Panel Details",$F342,"")</f>
        <v/>
      </c>
      <c r="AD342" s="46" t="str">
        <f aca="false">IF($D342="Panel Details",'Survey Response'!$D340,"")</f>
        <v/>
      </c>
      <c r="AE342" s="46" t="str">
        <f aca="false">IF($D342="Panel Details",'Survey Response'!$E340,"")</f>
        <v/>
      </c>
      <c r="AF342" s="46" t="str">
        <f aca="false">IF($D342="Panel Details",'Survey Response'!$G340,"")</f>
        <v/>
      </c>
      <c r="AG342" s="46" t="str">
        <f aca="false">IF($D342="Panel Details",IF($Z342="Primary",$J342,$L342),"")</f>
        <v/>
      </c>
      <c r="AH342" s="46" t="str">
        <f aca="false">IF($D342="Panel Details",IF($Z342="Primary",$L342,$J342),"")</f>
        <v/>
      </c>
      <c r="AI342" s="46" t="str">
        <f aca="false">IF($D342="Panel Details",'Survey Response'!$H340,"")</f>
        <v/>
      </c>
      <c r="AJ342" s="46" t="str">
        <f aca="false">IF($D342="Panel Details",'Survey Response'!$M340,"")</f>
        <v/>
      </c>
      <c r="AK342" s="46" t="str">
        <f aca="false">IF($D342="Panel Details",$O342,"")</f>
        <v/>
      </c>
      <c r="AL342" s="46" t="str">
        <f aca="false">IF($D342="Panel Details",8,"")</f>
        <v/>
      </c>
      <c r="AM342" s="46" t="str">
        <f aca="false">IF($D342="Panel Details",$AB342,"")</f>
        <v/>
      </c>
      <c r="AN342" s="46" t="str">
        <f aca="false">IF($D342="Panel Details","Yes","")</f>
        <v/>
      </c>
      <c r="AO342" s="46"/>
      <c r="AP342" s="46" t="str">
        <f aca="false">IF($D342="Followup",'Survey Response'!$D340,"")</f>
        <v/>
      </c>
      <c r="AQ342" s="46" t="str">
        <f aca="false">IF($D342="Followup",'Survey Response'!$E340,"")</f>
        <v/>
      </c>
      <c r="AR342" s="46" t="str">
        <f aca="false">IF($D342="Followup",'Survey Response'!$G340,"")</f>
        <v/>
      </c>
      <c r="AS342" s="46" t="str">
        <f aca="false">IF($D342="Followup",'Survey Response'!$H340,"")</f>
        <v/>
      </c>
      <c r="AT342" s="46" t="str">
        <f aca="false">IF($D342="Followup",'Survey Response'!$M340,"")</f>
        <v/>
      </c>
      <c r="AU342" s="46" t="str">
        <f aca="false">IF($D342="Followup",'Survey Response'!$K340,"")</f>
        <v/>
      </c>
      <c r="AV342" s="46" t="str">
        <f aca="false">IF($D342="Followup",'Survey Response'!$L340,"")</f>
        <v/>
      </c>
      <c r="AW342" s="46" t="str">
        <f aca="false">IF($D342="Followup",IF(AND($P342&lt;&gt;"Yes",$U342&lt;&gt;"Yes"),"Not approved for primary or secondary skill","Approved, but skill(s) no longer have capacity (fully staffed)"),"")</f>
        <v/>
      </c>
    </row>
    <row r="343" customFormat="false" ht="15" hidden="false" customHeight="true" outlineLevel="0" collapsed="false">
      <c r="A343" s="46" t="str">
        <f aca="false">IF('Survey Response'!$D341="","",'Survey Response'!$A341&amp;"|"&amp;LOWER(TRIM('Survey Response'!$D341)))</f>
        <v/>
      </c>
      <c r="B343" s="46" t="str">
        <f aca="false">IF($H343="","",$F343&amp;"|"&amp;$H343)</f>
        <v/>
      </c>
      <c r="C343" s="46" t="str">
        <f aca="false">IF($H343="","",$A343=$B343)</f>
        <v/>
      </c>
      <c r="D343" s="46" t="str">
        <f aca="false">IF($H343="","",IF($E343&lt;&gt;"Yes","Superseded",IF($I343&lt;&gt;"Yes, I'm available for in-person interviews at Chennai","Not Available",IF($Z343&lt;&gt;"","Panel Details","Followup"))))</f>
        <v/>
      </c>
      <c r="E343" s="46" t="str">
        <f aca="false">IF($H343="","",IF(SUMPRODUCT(($H$4:$H$503=$H343)*(($G$4:$G$503&gt;$G343)+($G$4:$G$503=$G343)*($F$4:$F$503&gt;$F343)))=0,"Yes","No"))</f>
        <v/>
      </c>
      <c r="F343" s="47" t="str">
        <f aca="false">IF('Survey Response'!$D341="","",INT('Survey Response'!$A341))</f>
        <v/>
      </c>
      <c r="G343" s="46" t="str">
        <f aca="false">IF('Survey Response'!$D341="","",'Survey Response'!$C341)</f>
        <v/>
      </c>
      <c r="H343" s="46" t="str">
        <f aca="false">IF('Survey Response'!$D341="","",LOWER(TRIM('Survey Response'!$D341)))</f>
        <v/>
      </c>
      <c r="I343" s="46" t="str">
        <f aca="false">IF($H343="","",'Survey Response'!$I341)</f>
        <v/>
      </c>
      <c r="J343" s="46" t="str">
        <f aca="false">IF($H343="","",'Survey Response'!$K341)</f>
        <v/>
      </c>
      <c r="K343" s="46" t="str">
        <f aca="false">IF($J343="","",IF(COUNTIF('Skill Mapping'!$A$2:$A$7,TRIM($J343))=0,"",INDEX('Skill Mapping'!$B$2:$B$7,MATCH(TRIM($J343),'Skill Mapping'!$A$2:$A$7,0))))</f>
        <v/>
      </c>
      <c r="L343" s="46" t="str">
        <f aca="false">IF($H343="","",'Survey Response'!$L341)</f>
        <v/>
      </c>
      <c r="M343" s="46" t="str">
        <f aca="false">IF($L343="","",IF(COUNTIF('Skill Mapping'!$A$2:$A$7,TRIM($L343))=0,"",INDEX('Skill Mapping'!$B$2:$B$7,MATCH(TRIM($L343),'Skill Mapping'!$A$2:$A$7,0))))</f>
        <v/>
      </c>
      <c r="N343" s="46" t="str">
        <f aca="false">IF($H343="","",'Survey Response'!$M341)</f>
        <v/>
      </c>
      <c r="O343" s="46" t="str">
        <f aca="false">IF($H343="","",IF('Survey Response'!$M341="Manager","R2","R1"))</f>
        <v/>
      </c>
      <c r="P343" s="46" t="str">
        <f aca="false">IF($K343="","No",IF(COUNTIFS(MasterPanel!$B:$B,$H343,MasterPanel!$I:$I,$K343,MasterPanel!$K:$K,"Y")&gt;0,"Yes","No"))</f>
        <v>No</v>
      </c>
      <c r="Q343" s="46" t="n">
        <f aca="false">IF($K343="",0,IF(COUNTIF('Gap Sheet'!$A$6:$A$11,TRIM($J343))=0,0,IF($O343="R1",INDEX('Gap Sheet'!$C$6:$C$11,MATCH(TRIM($J343),'Gap Sheet'!$A$6:$A$11,0)),INDEX('Gap Sheet'!$G$6:$G$11,MATCH(TRIM($J343),'Gap Sheet'!$A$6:$A$11,0)))))</f>
        <v>0</v>
      </c>
      <c r="R343" s="46" t="str">
        <f aca="false">IF($K343="","",$K343&amp;"|"&amp;$O343)</f>
        <v/>
      </c>
      <c r="S343" s="46" t="n">
        <f aca="false">IF($R343="",0,COUNTIF($AA$4:$AA342,$R343))</f>
        <v>0</v>
      </c>
      <c r="T343" s="46" t="str">
        <f aca="false">IF(OR($I343&lt;&gt;"Yes, I'm available for in-person interviews at Chennai",$E343&lt;&gt;"Yes",$P343&lt;&gt;"Yes"),"No",IF(($Q343-$S343)&gt;0,"Yes","No"))</f>
        <v>No</v>
      </c>
      <c r="U343" s="46" t="str">
        <f aca="false">IF($M343="","No",IF(COUNTIFS(MasterPanel!$B:$B,$H343,MasterPanel!$I:$I,$M343,MasterPanel!$K:$K,"Y")&gt;0,"Yes","No"))</f>
        <v>No</v>
      </c>
      <c r="V343" s="46" t="n">
        <f aca="false">IF($M343="",0,IF(COUNTIF('Gap Sheet'!$A$6:$A$11,TRIM($L343))=0,0,IF($O343="R1",INDEX('Gap Sheet'!$C$6:$C$11,MATCH(TRIM($L343),'Gap Sheet'!$A$6:$A$11,0)),INDEX('Gap Sheet'!$G$6:$G$11,MATCH(TRIM($L343),'Gap Sheet'!$A$6:$A$11,0)))))</f>
        <v>0</v>
      </c>
      <c r="W343" s="46" t="str">
        <f aca="false">IF($M343="","",$M343&amp;"|"&amp;$O343)</f>
        <v/>
      </c>
      <c r="X343" s="46" t="n">
        <f aca="false">IF($W343="",0,COUNTIF($AA$4:$AA342,$W343))</f>
        <v>0</v>
      </c>
      <c r="Y343" s="46" t="str">
        <f aca="false">IF(OR($I343&lt;&gt;"Yes, I'm available for in-person interviews at Chennai",$E343&lt;&gt;"Yes",$T343="Yes",$U343&lt;&gt;"Yes"),"No",IF(($V343-$X343)&gt;0,"Yes","No"))</f>
        <v>No</v>
      </c>
      <c r="Z343" s="46" t="str">
        <f aca="false">IF($T343="Yes","Primary",IF($Y343="Yes","Secondary",""))</f>
        <v/>
      </c>
      <c r="AA343" s="46" t="str">
        <f aca="false">IF($Z343="Primary",$R343,IF($Z343="Secondary",$W343,""))</f>
        <v/>
      </c>
      <c r="AB343" s="46" t="str">
        <f aca="false">IF($Z343="Primary","Matched on primary skill",IF($Z343="Secondary","Matched on secondary skill (primary not approved or not required)",""))</f>
        <v/>
      </c>
      <c r="AC343" s="47" t="str">
        <f aca="false">IF($D343="Panel Details",$F343,"")</f>
        <v/>
      </c>
      <c r="AD343" s="46" t="str">
        <f aca="false">IF($D343="Panel Details",'Survey Response'!$D341,"")</f>
        <v/>
      </c>
      <c r="AE343" s="46" t="str">
        <f aca="false">IF($D343="Panel Details",'Survey Response'!$E341,"")</f>
        <v/>
      </c>
      <c r="AF343" s="46" t="str">
        <f aca="false">IF($D343="Panel Details",'Survey Response'!$G341,"")</f>
        <v/>
      </c>
      <c r="AG343" s="46" t="str">
        <f aca="false">IF($D343="Panel Details",IF($Z343="Primary",$J343,$L343),"")</f>
        <v/>
      </c>
      <c r="AH343" s="46" t="str">
        <f aca="false">IF($D343="Panel Details",IF($Z343="Primary",$L343,$J343),"")</f>
        <v/>
      </c>
      <c r="AI343" s="46" t="str">
        <f aca="false">IF($D343="Panel Details",'Survey Response'!$H341,"")</f>
        <v/>
      </c>
      <c r="AJ343" s="46" t="str">
        <f aca="false">IF($D343="Panel Details",'Survey Response'!$M341,"")</f>
        <v/>
      </c>
      <c r="AK343" s="46" t="str">
        <f aca="false">IF($D343="Panel Details",$O343,"")</f>
        <v/>
      </c>
      <c r="AL343" s="46" t="str">
        <f aca="false">IF($D343="Panel Details",8,"")</f>
        <v/>
      </c>
      <c r="AM343" s="46" t="str">
        <f aca="false">IF($D343="Panel Details",$AB343,"")</f>
        <v/>
      </c>
      <c r="AN343" s="46" t="str">
        <f aca="false">IF($D343="Panel Details","Yes","")</f>
        <v/>
      </c>
      <c r="AO343" s="46"/>
      <c r="AP343" s="46" t="str">
        <f aca="false">IF($D343="Followup",'Survey Response'!$D341,"")</f>
        <v/>
      </c>
      <c r="AQ343" s="46" t="str">
        <f aca="false">IF($D343="Followup",'Survey Response'!$E341,"")</f>
        <v/>
      </c>
      <c r="AR343" s="46" t="str">
        <f aca="false">IF($D343="Followup",'Survey Response'!$G341,"")</f>
        <v/>
      </c>
      <c r="AS343" s="46" t="str">
        <f aca="false">IF($D343="Followup",'Survey Response'!$H341,"")</f>
        <v/>
      </c>
      <c r="AT343" s="46" t="str">
        <f aca="false">IF($D343="Followup",'Survey Response'!$M341,"")</f>
        <v/>
      </c>
      <c r="AU343" s="46" t="str">
        <f aca="false">IF($D343="Followup",'Survey Response'!$K341,"")</f>
        <v/>
      </c>
      <c r="AV343" s="46" t="str">
        <f aca="false">IF($D343="Followup",'Survey Response'!$L341,"")</f>
        <v/>
      </c>
      <c r="AW343" s="46" t="str">
        <f aca="false">IF($D343="Followup",IF(AND($P343&lt;&gt;"Yes",$U343&lt;&gt;"Yes"),"Not approved for primary or secondary skill","Approved, but skill(s) no longer have capacity (fully staffed)"),"")</f>
        <v/>
      </c>
    </row>
    <row r="344" customFormat="false" ht="15" hidden="false" customHeight="true" outlineLevel="0" collapsed="false">
      <c r="A344" s="46" t="str">
        <f aca="false">IF('Survey Response'!$D342="","",'Survey Response'!$A342&amp;"|"&amp;LOWER(TRIM('Survey Response'!$D342)))</f>
        <v/>
      </c>
      <c r="B344" s="46" t="str">
        <f aca="false">IF($H344="","",$F344&amp;"|"&amp;$H344)</f>
        <v/>
      </c>
      <c r="C344" s="46" t="str">
        <f aca="false">IF($H344="","",$A344=$B344)</f>
        <v/>
      </c>
      <c r="D344" s="46" t="str">
        <f aca="false">IF($H344="","",IF($E344&lt;&gt;"Yes","Superseded",IF($I344&lt;&gt;"Yes, I'm available for in-person interviews at Chennai","Not Available",IF($Z344&lt;&gt;"","Panel Details","Followup"))))</f>
        <v/>
      </c>
      <c r="E344" s="46" t="str">
        <f aca="false">IF($H344="","",IF(SUMPRODUCT(($H$4:$H$503=$H344)*(($G$4:$G$503&gt;$G344)+($G$4:$G$503=$G344)*($F$4:$F$503&gt;$F344)))=0,"Yes","No"))</f>
        <v/>
      </c>
      <c r="F344" s="47" t="str">
        <f aca="false">IF('Survey Response'!$D342="","",INT('Survey Response'!$A342))</f>
        <v/>
      </c>
      <c r="G344" s="46" t="str">
        <f aca="false">IF('Survey Response'!$D342="","",'Survey Response'!$C342)</f>
        <v/>
      </c>
      <c r="H344" s="46" t="str">
        <f aca="false">IF('Survey Response'!$D342="","",LOWER(TRIM('Survey Response'!$D342)))</f>
        <v/>
      </c>
      <c r="I344" s="46" t="str">
        <f aca="false">IF($H344="","",'Survey Response'!$I342)</f>
        <v/>
      </c>
      <c r="J344" s="46" t="str">
        <f aca="false">IF($H344="","",'Survey Response'!$K342)</f>
        <v/>
      </c>
      <c r="K344" s="46" t="str">
        <f aca="false">IF($J344="","",IF(COUNTIF('Skill Mapping'!$A$2:$A$7,TRIM($J344))=0,"",INDEX('Skill Mapping'!$B$2:$B$7,MATCH(TRIM($J344),'Skill Mapping'!$A$2:$A$7,0))))</f>
        <v/>
      </c>
      <c r="L344" s="46" t="str">
        <f aca="false">IF($H344="","",'Survey Response'!$L342)</f>
        <v/>
      </c>
      <c r="M344" s="46" t="str">
        <f aca="false">IF($L344="","",IF(COUNTIF('Skill Mapping'!$A$2:$A$7,TRIM($L344))=0,"",INDEX('Skill Mapping'!$B$2:$B$7,MATCH(TRIM($L344),'Skill Mapping'!$A$2:$A$7,0))))</f>
        <v/>
      </c>
      <c r="N344" s="46" t="str">
        <f aca="false">IF($H344="","",'Survey Response'!$M342)</f>
        <v/>
      </c>
      <c r="O344" s="46" t="str">
        <f aca="false">IF($H344="","",IF('Survey Response'!$M342="Manager","R2","R1"))</f>
        <v/>
      </c>
      <c r="P344" s="46" t="str">
        <f aca="false">IF($K344="","No",IF(COUNTIFS(MasterPanel!$B:$B,$H344,MasterPanel!$I:$I,$K344,MasterPanel!$K:$K,"Y")&gt;0,"Yes","No"))</f>
        <v>No</v>
      </c>
      <c r="Q344" s="46" t="n">
        <f aca="false">IF($K344="",0,IF(COUNTIF('Gap Sheet'!$A$6:$A$11,TRIM($J344))=0,0,IF($O344="R1",INDEX('Gap Sheet'!$C$6:$C$11,MATCH(TRIM($J344),'Gap Sheet'!$A$6:$A$11,0)),INDEX('Gap Sheet'!$G$6:$G$11,MATCH(TRIM($J344),'Gap Sheet'!$A$6:$A$11,0)))))</f>
        <v>0</v>
      </c>
      <c r="R344" s="46" t="str">
        <f aca="false">IF($K344="","",$K344&amp;"|"&amp;$O344)</f>
        <v/>
      </c>
      <c r="S344" s="46" t="n">
        <f aca="false">IF($R344="",0,COUNTIF($AA$4:$AA343,$R344))</f>
        <v>0</v>
      </c>
      <c r="T344" s="46" t="str">
        <f aca="false">IF(OR($I344&lt;&gt;"Yes, I'm available for in-person interviews at Chennai",$E344&lt;&gt;"Yes",$P344&lt;&gt;"Yes"),"No",IF(($Q344-$S344)&gt;0,"Yes","No"))</f>
        <v>No</v>
      </c>
      <c r="U344" s="46" t="str">
        <f aca="false">IF($M344="","No",IF(COUNTIFS(MasterPanel!$B:$B,$H344,MasterPanel!$I:$I,$M344,MasterPanel!$K:$K,"Y")&gt;0,"Yes","No"))</f>
        <v>No</v>
      </c>
      <c r="V344" s="46" t="n">
        <f aca="false">IF($M344="",0,IF(COUNTIF('Gap Sheet'!$A$6:$A$11,TRIM($L344))=0,0,IF($O344="R1",INDEX('Gap Sheet'!$C$6:$C$11,MATCH(TRIM($L344),'Gap Sheet'!$A$6:$A$11,0)),INDEX('Gap Sheet'!$G$6:$G$11,MATCH(TRIM($L344),'Gap Sheet'!$A$6:$A$11,0)))))</f>
        <v>0</v>
      </c>
      <c r="W344" s="46" t="str">
        <f aca="false">IF($M344="","",$M344&amp;"|"&amp;$O344)</f>
        <v/>
      </c>
      <c r="X344" s="46" t="n">
        <f aca="false">IF($W344="",0,COUNTIF($AA$4:$AA343,$W344))</f>
        <v>0</v>
      </c>
      <c r="Y344" s="46" t="str">
        <f aca="false">IF(OR($I344&lt;&gt;"Yes, I'm available for in-person interviews at Chennai",$E344&lt;&gt;"Yes",$T344="Yes",$U344&lt;&gt;"Yes"),"No",IF(($V344-$X344)&gt;0,"Yes","No"))</f>
        <v>No</v>
      </c>
      <c r="Z344" s="46" t="str">
        <f aca="false">IF($T344="Yes","Primary",IF($Y344="Yes","Secondary",""))</f>
        <v/>
      </c>
      <c r="AA344" s="46" t="str">
        <f aca="false">IF($Z344="Primary",$R344,IF($Z344="Secondary",$W344,""))</f>
        <v/>
      </c>
      <c r="AB344" s="46" t="str">
        <f aca="false">IF($Z344="Primary","Matched on primary skill",IF($Z344="Secondary","Matched on secondary skill (primary not approved or not required)",""))</f>
        <v/>
      </c>
      <c r="AC344" s="47" t="str">
        <f aca="false">IF($D344="Panel Details",$F344,"")</f>
        <v/>
      </c>
      <c r="AD344" s="46" t="str">
        <f aca="false">IF($D344="Panel Details",'Survey Response'!$D342,"")</f>
        <v/>
      </c>
      <c r="AE344" s="46" t="str">
        <f aca="false">IF($D344="Panel Details",'Survey Response'!$E342,"")</f>
        <v/>
      </c>
      <c r="AF344" s="46" t="str">
        <f aca="false">IF($D344="Panel Details",'Survey Response'!$G342,"")</f>
        <v/>
      </c>
      <c r="AG344" s="46" t="str">
        <f aca="false">IF($D344="Panel Details",IF($Z344="Primary",$J344,$L344),"")</f>
        <v/>
      </c>
      <c r="AH344" s="46" t="str">
        <f aca="false">IF($D344="Panel Details",IF($Z344="Primary",$L344,$J344),"")</f>
        <v/>
      </c>
      <c r="AI344" s="46" t="str">
        <f aca="false">IF($D344="Panel Details",'Survey Response'!$H342,"")</f>
        <v/>
      </c>
      <c r="AJ344" s="46" t="str">
        <f aca="false">IF($D344="Panel Details",'Survey Response'!$M342,"")</f>
        <v/>
      </c>
      <c r="AK344" s="46" t="str">
        <f aca="false">IF($D344="Panel Details",$O344,"")</f>
        <v/>
      </c>
      <c r="AL344" s="46" t="str">
        <f aca="false">IF($D344="Panel Details",8,"")</f>
        <v/>
      </c>
      <c r="AM344" s="46" t="str">
        <f aca="false">IF($D344="Panel Details",$AB344,"")</f>
        <v/>
      </c>
      <c r="AN344" s="46" t="str">
        <f aca="false">IF($D344="Panel Details","Yes","")</f>
        <v/>
      </c>
      <c r="AO344" s="46"/>
      <c r="AP344" s="46" t="str">
        <f aca="false">IF($D344="Followup",'Survey Response'!$D342,"")</f>
        <v/>
      </c>
      <c r="AQ344" s="46" t="str">
        <f aca="false">IF($D344="Followup",'Survey Response'!$E342,"")</f>
        <v/>
      </c>
      <c r="AR344" s="46" t="str">
        <f aca="false">IF($D344="Followup",'Survey Response'!$G342,"")</f>
        <v/>
      </c>
      <c r="AS344" s="46" t="str">
        <f aca="false">IF($D344="Followup",'Survey Response'!$H342,"")</f>
        <v/>
      </c>
      <c r="AT344" s="46" t="str">
        <f aca="false">IF($D344="Followup",'Survey Response'!$M342,"")</f>
        <v/>
      </c>
      <c r="AU344" s="46" t="str">
        <f aca="false">IF($D344="Followup",'Survey Response'!$K342,"")</f>
        <v/>
      </c>
      <c r="AV344" s="46" t="str">
        <f aca="false">IF($D344="Followup",'Survey Response'!$L342,"")</f>
        <v/>
      </c>
      <c r="AW344" s="46" t="str">
        <f aca="false">IF($D344="Followup",IF(AND($P344&lt;&gt;"Yes",$U344&lt;&gt;"Yes"),"Not approved for primary or secondary skill","Approved, but skill(s) no longer have capacity (fully staffed)"),"")</f>
        <v/>
      </c>
    </row>
    <row r="345" customFormat="false" ht="15" hidden="false" customHeight="true" outlineLevel="0" collapsed="false">
      <c r="A345" s="46" t="str">
        <f aca="false">IF('Survey Response'!$D343="","",'Survey Response'!$A343&amp;"|"&amp;LOWER(TRIM('Survey Response'!$D343)))</f>
        <v/>
      </c>
      <c r="B345" s="46" t="str">
        <f aca="false">IF($H345="","",$F345&amp;"|"&amp;$H345)</f>
        <v/>
      </c>
      <c r="C345" s="46" t="str">
        <f aca="false">IF($H345="","",$A345=$B345)</f>
        <v/>
      </c>
      <c r="D345" s="46" t="str">
        <f aca="false">IF($H345="","",IF($E345&lt;&gt;"Yes","Superseded",IF($I345&lt;&gt;"Yes, I'm available for in-person interviews at Chennai","Not Available",IF($Z345&lt;&gt;"","Panel Details","Followup"))))</f>
        <v/>
      </c>
      <c r="E345" s="46" t="str">
        <f aca="false">IF($H345="","",IF(SUMPRODUCT(($H$4:$H$503=$H345)*(($G$4:$G$503&gt;$G345)+($G$4:$G$503=$G345)*($F$4:$F$503&gt;$F345)))=0,"Yes","No"))</f>
        <v/>
      </c>
      <c r="F345" s="47" t="str">
        <f aca="false">IF('Survey Response'!$D343="","",INT('Survey Response'!$A343))</f>
        <v/>
      </c>
      <c r="G345" s="46" t="str">
        <f aca="false">IF('Survey Response'!$D343="","",'Survey Response'!$C343)</f>
        <v/>
      </c>
      <c r="H345" s="46" t="str">
        <f aca="false">IF('Survey Response'!$D343="","",LOWER(TRIM('Survey Response'!$D343)))</f>
        <v/>
      </c>
      <c r="I345" s="46" t="str">
        <f aca="false">IF($H345="","",'Survey Response'!$I343)</f>
        <v/>
      </c>
      <c r="J345" s="46" t="str">
        <f aca="false">IF($H345="","",'Survey Response'!$K343)</f>
        <v/>
      </c>
      <c r="K345" s="46" t="str">
        <f aca="false">IF($J345="","",IF(COUNTIF('Skill Mapping'!$A$2:$A$7,TRIM($J345))=0,"",INDEX('Skill Mapping'!$B$2:$B$7,MATCH(TRIM($J345),'Skill Mapping'!$A$2:$A$7,0))))</f>
        <v/>
      </c>
      <c r="L345" s="46" t="str">
        <f aca="false">IF($H345="","",'Survey Response'!$L343)</f>
        <v/>
      </c>
      <c r="M345" s="46" t="str">
        <f aca="false">IF($L345="","",IF(COUNTIF('Skill Mapping'!$A$2:$A$7,TRIM($L345))=0,"",INDEX('Skill Mapping'!$B$2:$B$7,MATCH(TRIM($L345),'Skill Mapping'!$A$2:$A$7,0))))</f>
        <v/>
      </c>
      <c r="N345" s="46" t="str">
        <f aca="false">IF($H345="","",'Survey Response'!$M343)</f>
        <v/>
      </c>
      <c r="O345" s="46" t="str">
        <f aca="false">IF($H345="","",IF('Survey Response'!$M343="Manager","R2","R1"))</f>
        <v/>
      </c>
      <c r="P345" s="46" t="str">
        <f aca="false">IF($K345="","No",IF(COUNTIFS(MasterPanel!$B:$B,$H345,MasterPanel!$I:$I,$K345,MasterPanel!$K:$K,"Y")&gt;0,"Yes","No"))</f>
        <v>No</v>
      </c>
      <c r="Q345" s="46" t="n">
        <f aca="false">IF($K345="",0,IF(COUNTIF('Gap Sheet'!$A$6:$A$11,TRIM($J345))=0,0,IF($O345="R1",INDEX('Gap Sheet'!$C$6:$C$11,MATCH(TRIM($J345),'Gap Sheet'!$A$6:$A$11,0)),INDEX('Gap Sheet'!$G$6:$G$11,MATCH(TRIM($J345),'Gap Sheet'!$A$6:$A$11,0)))))</f>
        <v>0</v>
      </c>
      <c r="R345" s="46" t="str">
        <f aca="false">IF($K345="","",$K345&amp;"|"&amp;$O345)</f>
        <v/>
      </c>
      <c r="S345" s="46" t="n">
        <f aca="false">IF($R345="",0,COUNTIF($AA$4:$AA344,$R345))</f>
        <v>0</v>
      </c>
      <c r="T345" s="46" t="str">
        <f aca="false">IF(OR($I345&lt;&gt;"Yes, I'm available for in-person interviews at Chennai",$E345&lt;&gt;"Yes",$P345&lt;&gt;"Yes"),"No",IF(($Q345-$S345)&gt;0,"Yes","No"))</f>
        <v>No</v>
      </c>
      <c r="U345" s="46" t="str">
        <f aca="false">IF($M345="","No",IF(COUNTIFS(MasterPanel!$B:$B,$H345,MasterPanel!$I:$I,$M345,MasterPanel!$K:$K,"Y")&gt;0,"Yes","No"))</f>
        <v>No</v>
      </c>
      <c r="V345" s="46" t="n">
        <f aca="false">IF($M345="",0,IF(COUNTIF('Gap Sheet'!$A$6:$A$11,TRIM($L345))=0,0,IF($O345="R1",INDEX('Gap Sheet'!$C$6:$C$11,MATCH(TRIM($L345),'Gap Sheet'!$A$6:$A$11,0)),INDEX('Gap Sheet'!$G$6:$G$11,MATCH(TRIM($L345),'Gap Sheet'!$A$6:$A$11,0)))))</f>
        <v>0</v>
      </c>
      <c r="W345" s="46" t="str">
        <f aca="false">IF($M345="","",$M345&amp;"|"&amp;$O345)</f>
        <v/>
      </c>
      <c r="X345" s="46" t="n">
        <f aca="false">IF($W345="",0,COUNTIF($AA$4:$AA344,$W345))</f>
        <v>0</v>
      </c>
      <c r="Y345" s="46" t="str">
        <f aca="false">IF(OR($I345&lt;&gt;"Yes, I'm available for in-person interviews at Chennai",$E345&lt;&gt;"Yes",$T345="Yes",$U345&lt;&gt;"Yes"),"No",IF(($V345-$X345)&gt;0,"Yes","No"))</f>
        <v>No</v>
      </c>
      <c r="Z345" s="46" t="str">
        <f aca="false">IF($T345="Yes","Primary",IF($Y345="Yes","Secondary",""))</f>
        <v/>
      </c>
      <c r="AA345" s="46" t="str">
        <f aca="false">IF($Z345="Primary",$R345,IF($Z345="Secondary",$W345,""))</f>
        <v/>
      </c>
      <c r="AB345" s="46" t="str">
        <f aca="false">IF($Z345="Primary","Matched on primary skill",IF($Z345="Secondary","Matched on secondary skill (primary not approved or not required)",""))</f>
        <v/>
      </c>
      <c r="AC345" s="47" t="str">
        <f aca="false">IF($D345="Panel Details",$F345,"")</f>
        <v/>
      </c>
      <c r="AD345" s="46" t="str">
        <f aca="false">IF($D345="Panel Details",'Survey Response'!$D343,"")</f>
        <v/>
      </c>
      <c r="AE345" s="46" t="str">
        <f aca="false">IF($D345="Panel Details",'Survey Response'!$E343,"")</f>
        <v/>
      </c>
      <c r="AF345" s="46" t="str">
        <f aca="false">IF($D345="Panel Details",'Survey Response'!$G343,"")</f>
        <v/>
      </c>
      <c r="AG345" s="46" t="str">
        <f aca="false">IF($D345="Panel Details",IF($Z345="Primary",$J345,$L345),"")</f>
        <v/>
      </c>
      <c r="AH345" s="46" t="str">
        <f aca="false">IF($D345="Panel Details",IF($Z345="Primary",$L345,$J345),"")</f>
        <v/>
      </c>
      <c r="AI345" s="46" t="str">
        <f aca="false">IF($D345="Panel Details",'Survey Response'!$H343,"")</f>
        <v/>
      </c>
      <c r="AJ345" s="46" t="str">
        <f aca="false">IF($D345="Panel Details",'Survey Response'!$M343,"")</f>
        <v/>
      </c>
      <c r="AK345" s="46" t="str">
        <f aca="false">IF($D345="Panel Details",$O345,"")</f>
        <v/>
      </c>
      <c r="AL345" s="46" t="str">
        <f aca="false">IF($D345="Panel Details",8,"")</f>
        <v/>
      </c>
      <c r="AM345" s="46" t="str">
        <f aca="false">IF($D345="Panel Details",$AB345,"")</f>
        <v/>
      </c>
      <c r="AN345" s="46" t="str">
        <f aca="false">IF($D345="Panel Details","Yes","")</f>
        <v/>
      </c>
      <c r="AO345" s="46"/>
      <c r="AP345" s="46" t="str">
        <f aca="false">IF($D345="Followup",'Survey Response'!$D343,"")</f>
        <v/>
      </c>
      <c r="AQ345" s="46" t="str">
        <f aca="false">IF($D345="Followup",'Survey Response'!$E343,"")</f>
        <v/>
      </c>
      <c r="AR345" s="46" t="str">
        <f aca="false">IF($D345="Followup",'Survey Response'!$G343,"")</f>
        <v/>
      </c>
      <c r="AS345" s="46" t="str">
        <f aca="false">IF($D345="Followup",'Survey Response'!$H343,"")</f>
        <v/>
      </c>
      <c r="AT345" s="46" t="str">
        <f aca="false">IF($D345="Followup",'Survey Response'!$M343,"")</f>
        <v/>
      </c>
      <c r="AU345" s="46" t="str">
        <f aca="false">IF($D345="Followup",'Survey Response'!$K343,"")</f>
        <v/>
      </c>
      <c r="AV345" s="46" t="str">
        <f aca="false">IF($D345="Followup",'Survey Response'!$L343,"")</f>
        <v/>
      </c>
      <c r="AW345" s="46" t="str">
        <f aca="false">IF($D345="Followup",IF(AND($P345&lt;&gt;"Yes",$U345&lt;&gt;"Yes"),"Not approved for primary or secondary skill","Approved, but skill(s) no longer have capacity (fully staffed)"),"")</f>
        <v/>
      </c>
    </row>
    <row r="346" customFormat="false" ht="15" hidden="false" customHeight="true" outlineLevel="0" collapsed="false">
      <c r="A346" s="46" t="str">
        <f aca="false">IF('Survey Response'!$D344="","",'Survey Response'!$A344&amp;"|"&amp;LOWER(TRIM('Survey Response'!$D344)))</f>
        <v/>
      </c>
      <c r="B346" s="46" t="str">
        <f aca="false">IF($H346="","",$F346&amp;"|"&amp;$H346)</f>
        <v/>
      </c>
      <c r="C346" s="46" t="str">
        <f aca="false">IF($H346="","",$A346=$B346)</f>
        <v/>
      </c>
      <c r="D346" s="46" t="str">
        <f aca="false">IF($H346="","",IF($E346&lt;&gt;"Yes","Superseded",IF($I346&lt;&gt;"Yes, I'm available for in-person interviews at Chennai","Not Available",IF($Z346&lt;&gt;"","Panel Details","Followup"))))</f>
        <v/>
      </c>
      <c r="E346" s="46" t="str">
        <f aca="false">IF($H346="","",IF(SUMPRODUCT(($H$4:$H$503=$H346)*(($G$4:$G$503&gt;$G346)+($G$4:$G$503=$G346)*($F$4:$F$503&gt;$F346)))=0,"Yes","No"))</f>
        <v/>
      </c>
      <c r="F346" s="47" t="str">
        <f aca="false">IF('Survey Response'!$D344="","",INT('Survey Response'!$A344))</f>
        <v/>
      </c>
      <c r="G346" s="46" t="str">
        <f aca="false">IF('Survey Response'!$D344="","",'Survey Response'!$C344)</f>
        <v/>
      </c>
      <c r="H346" s="46" t="str">
        <f aca="false">IF('Survey Response'!$D344="","",LOWER(TRIM('Survey Response'!$D344)))</f>
        <v/>
      </c>
      <c r="I346" s="46" t="str">
        <f aca="false">IF($H346="","",'Survey Response'!$I344)</f>
        <v/>
      </c>
      <c r="J346" s="46" t="str">
        <f aca="false">IF($H346="","",'Survey Response'!$K344)</f>
        <v/>
      </c>
      <c r="K346" s="46" t="str">
        <f aca="false">IF($J346="","",IF(COUNTIF('Skill Mapping'!$A$2:$A$7,TRIM($J346))=0,"",INDEX('Skill Mapping'!$B$2:$B$7,MATCH(TRIM($J346),'Skill Mapping'!$A$2:$A$7,0))))</f>
        <v/>
      </c>
      <c r="L346" s="46" t="str">
        <f aca="false">IF($H346="","",'Survey Response'!$L344)</f>
        <v/>
      </c>
      <c r="M346" s="46" t="str">
        <f aca="false">IF($L346="","",IF(COUNTIF('Skill Mapping'!$A$2:$A$7,TRIM($L346))=0,"",INDEX('Skill Mapping'!$B$2:$B$7,MATCH(TRIM($L346),'Skill Mapping'!$A$2:$A$7,0))))</f>
        <v/>
      </c>
      <c r="N346" s="46" t="str">
        <f aca="false">IF($H346="","",'Survey Response'!$M344)</f>
        <v/>
      </c>
      <c r="O346" s="46" t="str">
        <f aca="false">IF($H346="","",IF('Survey Response'!$M344="Manager","R2","R1"))</f>
        <v/>
      </c>
      <c r="P346" s="46" t="str">
        <f aca="false">IF($K346="","No",IF(COUNTIFS(MasterPanel!$B:$B,$H346,MasterPanel!$I:$I,$K346,MasterPanel!$K:$K,"Y")&gt;0,"Yes","No"))</f>
        <v>No</v>
      </c>
      <c r="Q346" s="46" t="n">
        <f aca="false">IF($K346="",0,IF(COUNTIF('Gap Sheet'!$A$6:$A$11,TRIM($J346))=0,0,IF($O346="R1",INDEX('Gap Sheet'!$C$6:$C$11,MATCH(TRIM($J346),'Gap Sheet'!$A$6:$A$11,0)),INDEX('Gap Sheet'!$G$6:$G$11,MATCH(TRIM($J346),'Gap Sheet'!$A$6:$A$11,0)))))</f>
        <v>0</v>
      </c>
      <c r="R346" s="46" t="str">
        <f aca="false">IF($K346="","",$K346&amp;"|"&amp;$O346)</f>
        <v/>
      </c>
      <c r="S346" s="46" t="n">
        <f aca="false">IF($R346="",0,COUNTIF($AA$4:$AA345,$R346))</f>
        <v>0</v>
      </c>
      <c r="T346" s="46" t="str">
        <f aca="false">IF(OR($I346&lt;&gt;"Yes, I'm available for in-person interviews at Chennai",$E346&lt;&gt;"Yes",$P346&lt;&gt;"Yes"),"No",IF(($Q346-$S346)&gt;0,"Yes","No"))</f>
        <v>No</v>
      </c>
      <c r="U346" s="46" t="str">
        <f aca="false">IF($M346="","No",IF(COUNTIFS(MasterPanel!$B:$B,$H346,MasterPanel!$I:$I,$M346,MasterPanel!$K:$K,"Y")&gt;0,"Yes","No"))</f>
        <v>No</v>
      </c>
      <c r="V346" s="46" t="n">
        <f aca="false">IF($M346="",0,IF(COUNTIF('Gap Sheet'!$A$6:$A$11,TRIM($L346))=0,0,IF($O346="R1",INDEX('Gap Sheet'!$C$6:$C$11,MATCH(TRIM($L346),'Gap Sheet'!$A$6:$A$11,0)),INDEX('Gap Sheet'!$G$6:$G$11,MATCH(TRIM($L346),'Gap Sheet'!$A$6:$A$11,0)))))</f>
        <v>0</v>
      </c>
      <c r="W346" s="46" t="str">
        <f aca="false">IF($M346="","",$M346&amp;"|"&amp;$O346)</f>
        <v/>
      </c>
      <c r="X346" s="46" t="n">
        <f aca="false">IF($W346="",0,COUNTIF($AA$4:$AA345,$W346))</f>
        <v>0</v>
      </c>
      <c r="Y346" s="46" t="str">
        <f aca="false">IF(OR($I346&lt;&gt;"Yes, I'm available for in-person interviews at Chennai",$E346&lt;&gt;"Yes",$T346="Yes",$U346&lt;&gt;"Yes"),"No",IF(($V346-$X346)&gt;0,"Yes","No"))</f>
        <v>No</v>
      </c>
      <c r="Z346" s="46" t="str">
        <f aca="false">IF($T346="Yes","Primary",IF($Y346="Yes","Secondary",""))</f>
        <v/>
      </c>
      <c r="AA346" s="46" t="str">
        <f aca="false">IF($Z346="Primary",$R346,IF($Z346="Secondary",$W346,""))</f>
        <v/>
      </c>
      <c r="AB346" s="46" t="str">
        <f aca="false">IF($Z346="Primary","Matched on primary skill",IF($Z346="Secondary","Matched on secondary skill (primary not approved or not required)",""))</f>
        <v/>
      </c>
      <c r="AC346" s="47" t="str">
        <f aca="false">IF($D346="Panel Details",$F346,"")</f>
        <v/>
      </c>
      <c r="AD346" s="46" t="str">
        <f aca="false">IF($D346="Panel Details",'Survey Response'!$D344,"")</f>
        <v/>
      </c>
      <c r="AE346" s="46" t="str">
        <f aca="false">IF($D346="Panel Details",'Survey Response'!$E344,"")</f>
        <v/>
      </c>
      <c r="AF346" s="46" t="str">
        <f aca="false">IF($D346="Panel Details",'Survey Response'!$G344,"")</f>
        <v/>
      </c>
      <c r="AG346" s="46" t="str">
        <f aca="false">IF($D346="Panel Details",IF($Z346="Primary",$J346,$L346),"")</f>
        <v/>
      </c>
      <c r="AH346" s="46" t="str">
        <f aca="false">IF($D346="Panel Details",IF($Z346="Primary",$L346,$J346),"")</f>
        <v/>
      </c>
      <c r="AI346" s="46" t="str">
        <f aca="false">IF($D346="Panel Details",'Survey Response'!$H344,"")</f>
        <v/>
      </c>
      <c r="AJ346" s="46" t="str">
        <f aca="false">IF($D346="Panel Details",'Survey Response'!$M344,"")</f>
        <v/>
      </c>
      <c r="AK346" s="46" t="str">
        <f aca="false">IF($D346="Panel Details",$O346,"")</f>
        <v/>
      </c>
      <c r="AL346" s="46" t="str">
        <f aca="false">IF($D346="Panel Details",8,"")</f>
        <v/>
      </c>
      <c r="AM346" s="46" t="str">
        <f aca="false">IF($D346="Panel Details",$AB346,"")</f>
        <v/>
      </c>
      <c r="AN346" s="46" t="str">
        <f aca="false">IF($D346="Panel Details","Yes","")</f>
        <v/>
      </c>
      <c r="AO346" s="46"/>
      <c r="AP346" s="46" t="str">
        <f aca="false">IF($D346="Followup",'Survey Response'!$D344,"")</f>
        <v/>
      </c>
      <c r="AQ346" s="46" t="str">
        <f aca="false">IF($D346="Followup",'Survey Response'!$E344,"")</f>
        <v/>
      </c>
      <c r="AR346" s="46" t="str">
        <f aca="false">IF($D346="Followup",'Survey Response'!$G344,"")</f>
        <v/>
      </c>
      <c r="AS346" s="46" t="str">
        <f aca="false">IF($D346="Followup",'Survey Response'!$H344,"")</f>
        <v/>
      </c>
      <c r="AT346" s="46" t="str">
        <f aca="false">IF($D346="Followup",'Survey Response'!$M344,"")</f>
        <v/>
      </c>
      <c r="AU346" s="46" t="str">
        <f aca="false">IF($D346="Followup",'Survey Response'!$K344,"")</f>
        <v/>
      </c>
      <c r="AV346" s="46" t="str">
        <f aca="false">IF($D346="Followup",'Survey Response'!$L344,"")</f>
        <v/>
      </c>
      <c r="AW346" s="46" t="str">
        <f aca="false">IF($D346="Followup",IF(AND($P346&lt;&gt;"Yes",$U346&lt;&gt;"Yes"),"Not approved for primary or secondary skill","Approved, but skill(s) no longer have capacity (fully staffed)"),"")</f>
        <v/>
      </c>
    </row>
    <row r="347" customFormat="false" ht="15" hidden="false" customHeight="true" outlineLevel="0" collapsed="false">
      <c r="A347" s="46" t="str">
        <f aca="false">IF('Survey Response'!$D345="","",'Survey Response'!$A345&amp;"|"&amp;LOWER(TRIM('Survey Response'!$D345)))</f>
        <v/>
      </c>
      <c r="B347" s="46" t="str">
        <f aca="false">IF($H347="","",$F347&amp;"|"&amp;$H347)</f>
        <v/>
      </c>
      <c r="C347" s="46" t="str">
        <f aca="false">IF($H347="","",$A347=$B347)</f>
        <v/>
      </c>
      <c r="D347" s="46" t="str">
        <f aca="false">IF($H347="","",IF($E347&lt;&gt;"Yes","Superseded",IF($I347&lt;&gt;"Yes, I'm available for in-person interviews at Chennai","Not Available",IF($Z347&lt;&gt;"","Panel Details","Followup"))))</f>
        <v/>
      </c>
      <c r="E347" s="46" t="str">
        <f aca="false">IF($H347="","",IF(SUMPRODUCT(($H$4:$H$503=$H347)*(($G$4:$G$503&gt;$G347)+($G$4:$G$503=$G347)*($F$4:$F$503&gt;$F347)))=0,"Yes","No"))</f>
        <v/>
      </c>
      <c r="F347" s="47" t="str">
        <f aca="false">IF('Survey Response'!$D345="","",INT('Survey Response'!$A345))</f>
        <v/>
      </c>
      <c r="G347" s="46" t="str">
        <f aca="false">IF('Survey Response'!$D345="","",'Survey Response'!$C345)</f>
        <v/>
      </c>
      <c r="H347" s="46" t="str">
        <f aca="false">IF('Survey Response'!$D345="","",LOWER(TRIM('Survey Response'!$D345)))</f>
        <v/>
      </c>
      <c r="I347" s="46" t="str">
        <f aca="false">IF($H347="","",'Survey Response'!$I345)</f>
        <v/>
      </c>
      <c r="J347" s="46" t="str">
        <f aca="false">IF($H347="","",'Survey Response'!$K345)</f>
        <v/>
      </c>
      <c r="K347" s="46" t="str">
        <f aca="false">IF($J347="","",IF(COUNTIF('Skill Mapping'!$A$2:$A$7,TRIM($J347))=0,"",INDEX('Skill Mapping'!$B$2:$B$7,MATCH(TRIM($J347),'Skill Mapping'!$A$2:$A$7,0))))</f>
        <v/>
      </c>
      <c r="L347" s="46" t="str">
        <f aca="false">IF($H347="","",'Survey Response'!$L345)</f>
        <v/>
      </c>
      <c r="M347" s="46" t="str">
        <f aca="false">IF($L347="","",IF(COUNTIF('Skill Mapping'!$A$2:$A$7,TRIM($L347))=0,"",INDEX('Skill Mapping'!$B$2:$B$7,MATCH(TRIM($L347),'Skill Mapping'!$A$2:$A$7,0))))</f>
        <v/>
      </c>
      <c r="N347" s="46" t="str">
        <f aca="false">IF($H347="","",'Survey Response'!$M345)</f>
        <v/>
      </c>
      <c r="O347" s="46" t="str">
        <f aca="false">IF($H347="","",IF('Survey Response'!$M345="Manager","R2","R1"))</f>
        <v/>
      </c>
      <c r="P347" s="46" t="str">
        <f aca="false">IF($K347="","No",IF(COUNTIFS(MasterPanel!$B:$B,$H347,MasterPanel!$I:$I,$K347,MasterPanel!$K:$K,"Y")&gt;0,"Yes","No"))</f>
        <v>No</v>
      </c>
      <c r="Q347" s="46" t="n">
        <f aca="false">IF($K347="",0,IF(COUNTIF('Gap Sheet'!$A$6:$A$11,TRIM($J347))=0,0,IF($O347="R1",INDEX('Gap Sheet'!$C$6:$C$11,MATCH(TRIM($J347),'Gap Sheet'!$A$6:$A$11,0)),INDEX('Gap Sheet'!$G$6:$G$11,MATCH(TRIM($J347),'Gap Sheet'!$A$6:$A$11,0)))))</f>
        <v>0</v>
      </c>
      <c r="R347" s="46" t="str">
        <f aca="false">IF($K347="","",$K347&amp;"|"&amp;$O347)</f>
        <v/>
      </c>
      <c r="S347" s="46" t="n">
        <f aca="false">IF($R347="",0,COUNTIF($AA$4:$AA346,$R347))</f>
        <v>0</v>
      </c>
      <c r="T347" s="46" t="str">
        <f aca="false">IF(OR($I347&lt;&gt;"Yes, I'm available for in-person interviews at Chennai",$E347&lt;&gt;"Yes",$P347&lt;&gt;"Yes"),"No",IF(($Q347-$S347)&gt;0,"Yes","No"))</f>
        <v>No</v>
      </c>
      <c r="U347" s="46" t="str">
        <f aca="false">IF($M347="","No",IF(COUNTIFS(MasterPanel!$B:$B,$H347,MasterPanel!$I:$I,$M347,MasterPanel!$K:$K,"Y")&gt;0,"Yes","No"))</f>
        <v>No</v>
      </c>
      <c r="V347" s="46" t="n">
        <f aca="false">IF($M347="",0,IF(COUNTIF('Gap Sheet'!$A$6:$A$11,TRIM($L347))=0,0,IF($O347="R1",INDEX('Gap Sheet'!$C$6:$C$11,MATCH(TRIM($L347),'Gap Sheet'!$A$6:$A$11,0)),INDEX('Gap Sheet'!$G$6:$G$11,MATCH(TRIM($L347),'Gap Sheet'!$A$6:$A$11,0)))))</f>
        <v>0</v>
      </c>
      <c r="W347" s="46" t="str">
        <f aca="false">IF($M347="","",$M347&amp;"|"&amp;$O347)</f>
        <v/>
      </c>
      <c r="X347" s="46" t="n">
        <f aca="false">IF($W347="",0,COUNTIF($AA$4:$AA346,$W347))</f>
        <v>0</v>
      </c>
      <c r="Y347" s="46" t="str">
        <f aca="false">IF(OR($I347&lt;&gt;"Yes, I'm available for in-person interviews at Chennai",$E347&lt;&gt;"Yes",$T347="Yes",$U347&lt;&gt;"Yes"),"No",IF(($V347-$X347)&gt;0,"Yes","No"))</f>
        <v>No</v>
      </c>
      <c r="Z347" s="46" t="str">
        <f aca="false">IF($T347="Yes","Primary",IF($Y347="Yes","Secondary",""))</f>
        <v/>
      </c>
      <c r="AA347" s="46" t="str">
        <f aca="false">IF($Z347="Primary",$R347,IF($Z347="Secondary",$W347,""))</f>
        <v/>
      </c>
      <c r="AB347" s="46" t="str">
        <f aca="false">IF($Z347="Primary","Matched on primary skill",IF($Z347="Secondary","Matched on secondary skill (primary not approved or not required)",""))</f>
        <v/>
      </c>
      <c r="AC347" s="47" t="str">
        <f aca="false">IF($D347="Panel Details",$F347,"")</f>
        <v/>
      </c>
      <c r="AD347" s="46" t="str">
        <f aca="false">IF($D347="Panel Details",'Survey Response'!$D345,"")</f>
        <v/>
      </c>
      <c r="AE347" s="46" t="str">
        <f aca="false">IF($D347="Panel Details",'Survey Response'!$E345,"")</f>
        <v/>
      </c>
      <c r="AF347" s="46" t="str">
        <f aca="false">IF($D347="Panel Details",'Survey Response'!$G345,"")</f>
        <v/>
      </c>
      <c r="AG347" s="46" t="str">
        <f aca="false">IF($D347="Panel Details",IF($Z347="Primary",$J347,$L347),"")</f>
        <v/>
      </c>
      <c r="AH347" s="46" t="str">
        <f aca="false">IF($D347="Panel Details",IF($Z347="Primary",$L347,$J347),"")</f>
        <v/>
      </c>
      <c r="AI347" s="46" t="str">
        <f aca="false">IF($D347="Panel Details",'Survey Response'!$H345,"")</f>
        <v/>
      </c>
      <c r="AJ347" s="46" t="str">
        <f aca="false">IF($D347="Panel Details",'Survey Response'!$M345,"")</f>
        <v/>
      </c>
      <c r="AK347" s="46" t="str">
        <f aca="false">IF($D347="Panel Details",$O347,"")</f>
        <v/>
      </c>
      <c r="AL347" s="46" t="str">
        <f aca="false">IF($D347="Panel Details",8,"")</f>
        <v/>
      </c>
      <c r="AM347" s="46" t="str">
        <f aca="false">IF($D347="Panel Details",$AB347,"")</f>
        <v/>
      </c>
      <c r="AN347" s="46" t="str">
        <f aca="false">IF($D347="Panel Details","Yes","")</f>
        <v/>
      </c>
      <c r="AO347" s="46"/>
      <c r="AP347" s="46" t="str">
        <f aca="false">IF($D347="Followup",'Survey Response'!$D345,"")</f>
        <v/>
      </c>
      <c r="AQ347" s="46" t="str">
        <f aca="false">IF($D347="Followup",'Survey Response'!$E345,"")</f>
        <v/>
      </c>
      <c r="AR347" s="46" t="str">
        <f aca="false">IF($D347="Followup",'Survey Response'!$G345,"")</f>
        <v/>
      </c>
      <c r="AS347" s="46" t="str">
        <f aca="false">IF($D347="Followup",'Survey Response'!$H345,"")</f>
        <v/>
      </c>
      <c r="AT347" s="46" t="str">
        <f aca="false">IF($D347="Followup",'Survey Response'!$M345,"")</f>
        <v/>
      </c>
      <c r="AU347" s="46" t="str">
        <f aca="false">IF($D347="Followup",'Survey Response'!$K345,"")</f>
        <v/>
      </c>
      <c r="AV347" s="46" t="str">
        <f aca="false">IF($D347="Followup",'Survey Response'!$L345,"")</f>
        <v/>
      </c>
      <c r="AW347" s="46" t="str">
        <f aca="false">IF($D347="Followup",IF(AND($P347&lt;&gt;"Yes",$U347&lt;&gt;"Yes"),"Not approved for primary or secondary skill","Approved, but skill(s) no longer have capacity (fully staffed)"),"")</f>
        <v/>
      </c>
    </row>
    <row r="348" customFormat="false" ht="15" hidden="false" customHeight="true" outlineLevel="0" collapsed="false">
      <c r="A348" s="46" t="str">
        <f aca="false">IF('Survey Response'!$D346="","",'Survey Response'!$A346&amp;"|"&amp;LOWER(TRIM('Survey Response'!$D346)))</f>
        <v/>
      </c>
      <c r="B348" s="46" t="str">
        <f aca="false">IF($H348="","",$F348&amp;"|"&amp;$H348)</f>
        <v/>
      </c>
      <c r="C348" s="46" t="str">
        <f aca="false">IF($H348="","",$A348=$B348)</f>
        <v/>
      </c>
      <c r="D348" s="46" t="str">
        <f aca="false">IF($H348="","",IF($E348&lt;&gt;"Yes","Superseded",IF($I348&lt;&gt;"Yes, I'm available for in-person interviews at Chennai","Not Available",IF($Z348&lt;&gt;"","Panel Details","Followup"))))</f>
        <v/>
      </c>
      <c r="E348" s="46" t="str">
        <f aca="false">IF($H348="","",IF(SUMPRODUCT(($H$4:$H$503=$H348)*(($G$4:$G$503&gt;$G348)+($G$4:$G$503=$G348)*($F$4:$F$503&gt;$F348)))=0,"Yes","No"))</f>
        <v/>
      </c>
      <c r="F348" s="47" t="str">
        <f aca="false">IF('Survey Response'!$D346="","",INT('Survey Response'!$A346))</f>
        <v/>
      </c>
      <c r="G348" s="46" t="str">
        <f aca="false">IF('Survey Response'!$D346="","",'Survey Response'!$C346)</f>
        <v/>
      </c>
      <c r="H348" s="46" t="str">
        <f aca="false">IF('Survey Response'!$D346="","",LOWER(TRIM('Survey Response'!$D346)))</f>
        <v/>
      </c>
      <c r="I348" s="46" t="str">
        <f aca="false">IF($H348="","",'Survey Response'!$I346)</f>
        <v/>
      </c>
      <c r="J348" s="46" t="str">
        <f aca="false">IF($H348="","",'Survey Response'!$K346)</f>
        <v/>
      </c>
      <c r="K348" s="46" t="str">
        <f aca="false">IF($J348="","",IF(COUNTIF('Skill Mapping'!$A$2:$A$7,TRIM($J348))=0,"",INDEX('Skill Mapping'!$B$2:$B$7,MATCH(TRIM($J348),'Skill Mapping'!$A$2:$A$7,0))))</f>
        <v/>
      </c>
      <c r="L348" s="46" t="str">
        <f aca="false">IF($H348="","",'Survey Response'!$L346)</f>
        <v/>
      </c>
      <c r="M348" s="46" t="str">
        <f aca="false">IF($L348="","",IF(COUNTIF('Skill Mapping'!$A$2:$A$7,TRIM($L348))=0,"",INDEX('Skill Mapping'!$B$2:$B$7,MATCH(TRIM($L348),'Skill Mapping'!$A$2:$A$7,0))))</f>
        <v/>
      </c>
      <c r="N348" s="46" t="str">
        <f aca="false">IF($H348="","",'Survey Response'!$M346)</f>
        <v/>
      </c>
      <c r="O348" s="46" t="str">
        <f aca="false">IF($H348="","",IF('Survey Response'!$M346="Manager","R2","R1"))</f>
        <v/>
      </c>
      <c r="P348" s="46" t="str">
        <f aca="false">IF($K348="","No",IF(COUNTIFS(MasterPanel!$B:$B,$H348,MasterPanel!$I:$I,$K348,MasterPanel!$K:$K,"Y")&gt;0,"Yes","No"))</f>
        <v>No</v>
      </c>
      <c r="Q348" s="46" t="n">
        <f aca="false">IF($K348="",0,IF(COUNTIF('Gap Sheet'!$A$6:$A$11,TRIM($J348))=0,0,IF($O348="R1",INDEX('Gap Sheet'!$C$6:$C$11,MATCH(TRIM($J348),'Gap Sheet'!$A$6:$A$11,0)),INDEX('Gap Sheet'!$G$6:$G$11,MATCH(TRIM($J348),'Gap Sheet'!$A$6:$A$11,0)))))</f>
        <v>0</v>
      </c>
      <c r="R348" s="46" t="str">
        <f aca="false">IF($K348="","",$K348&amp;"|"&amp;$O348)</f>
        <v/>
      </c>
      <c r="S348" s="46" t="n">
        <f aca="false">IF($R348="",0,COUNTIF($AA$4:$AA347,$R348))</f>
        <v>0</v>
      </c>
      <c r="T348" s="46" t="str">
        <f aca="false">IF(OR($I348&lt;&gt;"Yes, I'm available for in-person interviews at Chennai",$E348&lt;&gt;"Yes",$P348&lt;&gt;"Yes"),"No",IF(($Q348-$S348)&gt;0,"Yes","No"))</f>
        <v>No</v>
      </c>
      <c r="U348" s="46" t="str">
        <f aca="false">IF($M348="","No",IF(COUNTIFS(MasterPanel!$B:$B,$H348,MasterPanel!$I:$I,$M348,MasterPanel!$K:$K,"Y")&gt;0,"Yes","No"))</f>
        <v>No</v>
      </c>
      <c r="V348" s="46" t="n">
        <f aca="false">IF($M348="",0,IF(COUNTIF('Gap Sheet'!$A$6:$A$11,TRIM($L348))=0,0,IF($O348="R1",INDEX('Gap Sheet'!$C$6:$C$11,MATCH(TRIM($L348),'Gap Sheet'!$A$6:$A$11,0)),INDEX('Gap Sheet'!$G$6:$G$11,MATCH(TRIM($L348),'Gap Sheet'!$A$6:$A$11,0)))))</f>
        <v>0</v>
      </c>
      <c r="W348" s="46" t="str">
        <f aca="false">IF($M348="","",$M348&amp;"|"&amp;$O348)</f>
        <v/>
      </c>
      <c r="X348" s="46" t="n">
        <f aca="false">IF($W348="",0,COUNTIF($AA$4:$AA347,$W348))</f>
        <v>0</v>
      </c>
      <c r="Y348" s="46" t="str">
        <f aca="false">IF(OR($I348&lt;&gt;"Yes, I'm available for in-person interviews at Chennai",$E348&lt;&gt;"Yes",$T348="Yes",$U348&lt;&gt;"Yes"),"No",IF(($V348-$X348)&gt;0,"Yes","No"))</f>
        <v>No</v>
      </c>
      <c r="Z348" s="46" t="str">
        <f aca="false">IF($T348="Yes","Primary",IF($Y348="Yes","Secondary",""))</f>
        <v/>
      </c>
      <c r="AA348" s="46" t="str">
        <f aca="false">IF($Z348="Primary",$R348,IF($Z348="Secondary",$W348,""))</f>
        <v/>
      </c>
      <c r="AB348" s="46" t="str">
        <f aca="false">IF($Z348="Primary","Matched on primary skill",IF($Z348="Secondary","Matched on secondary skill (primary not approved or not required)",""))</f>
        <v/>
      </c>
      <c r="AC348" s="47" t="str">
        <f aca="false">IF($D348="Panel Details",$F348,"")</f>
        <v/>
      </c>
      <c r="AD348" s="46" t="str">
        <f aca="false">IF($D348="Panel Details",'Survey Response'!$D346,"")</f>
        <v/>
      </c>
      <c r="AE348" s="46" t="str">
        <f aca="false">IF($D348="Panel Details",'Survey Response'!$E346,"")</f>
        <v/>
      </c>
      <c r="AF348" s="46" t="str">
        <f aca="false">IF($D348="Panel Details",'Survey Response'!$G346,"")</f>
        <v/>
      </c>
      <c r="AG348" s="46" t="str">
        <f aca="false">IF($D348="Panel Details",IF($Z348="Primary",$J348,$L348),"")</f>
        <v/>
      </c>
      <c r="AH348" s="46" t="str">
        <f aca="false">IF($D348="Panel Details",IF($Z348="Primary",$L348,$J348),"")</f>
        <v/>
      </c>
      <c r="AI348" s="46" t="str">
        <f aca="false">IF($D348="Panel Details",'Survey Response'!$H346,"")</f>
        <v/>
      </c>
      <c r="AJ348" s="46" t="str">
        <f aca="false">IF($D348="Panel Details",'Survey Response'!$M346,"")</f>
        <v/>
      </c>
      <c r="AK348" s="46" t="str">
        <f aca="false">IF($D348="Panel Details",$O348,"")</f>
        <v/>
      </c>
      <c r="AL348" s="46" t="str">
        <f aca="false">IF($D348="Panel Details",8,"")</f>
        <v/>
      </c>
      <c r="AM348" s="46" t="str">
        <f aca="false">IF($D348="Panel Details",$AB348,"")</f>
        <v/>
      </c>
      <c r="AN348" s="46" t="str">
        <f aca="false">IF($D348="Panel Details","Yes","")</f>
        <v/>
      </c>
      <c r="AO348" s="46"/>
      <c r="AP348" s="46" t="str">
        <f aca="false">IF($D348="Followup",'Survey Response'!$D346,"")</f>
        <v/>
      </c>
      <c r="AQ348" s="46" t="str">
        <f aca="false">IF($D348="Followup",'Survey Response'!$E346,"")</f>
        <v/>
      </c>
      <c r="AR348" s="46" t="str">
        <f aca="false">IF($D348="Followup",'Survey Response'!$G346,"")</f>
        <v/>
      </c>
      <c r="AS348" s="46" t="str">
        <f aca="false">IF($D348="Followup",'Survey Response'!$H346,"")</f>
        <v/>
      </c>
      <c r="AT348" s="46" t="str">
        <f aca="false">IF($D348="Followup",'Survey Response'!$M346,"")</f>
        <v/>
      </c>
      <c r="AU348" s="46" t="str">
        <f aca="false">IF($D348="Followup",'Survey Response'!$K346,"")</f>
        <v/>
      </c>
      <c r="AV348" s="46" t="str">
        <f aca="false">IF($D348="Followup",'Survey Response'!$L346,"")</f>
        <v/>
      </c>
      <c r="AW348" s="46" t="str">
        <f aca="false">IF($D348="Followup",IF(AND($P348&lt;&gt;"Yes",$U348&lt;&gt;"Yes"),"Not approved for primary or secondary skill","Approved, but skill(s) no longer have capacity (fully staffed)"),"")</f>
        <v/>
      </c>
    </row>
    <row r="349" customFormat="false" ht="15" hidden="false" customHeight="true" outlineLevel="0" collapsed="false">
      <c r="A349" s="46" t="str">
        <f aca="false">IF('Survey Response'!$D347="","",'Survey Response'!$A347&amp;"|"&amp;LOWER(TRIM('Survey Response'!$D347)))</f>
        <v/>
      </c>
      <c r="B349" s="46" t="str">
        <f aca="false">IF($H349="","",$F349&amp;"|"&amp;$H349)</f>
        <v/>
      </c>
      <c r="C349" s="46" t="str">
        <f aca="false">IF($H349="","",$A349=$B349)</f>
        <v/>
      </c>
      <c r="D349" s="46" t="str">
        <f aca="false">IF($H349="","",IF($E349&lt;&gt;"Yes","Superseded",IF($I349&lt;&gt;"Yes, I'm available for in-person interviews at Chennai","Not Available",IF($Z349&lt;&gt;"","Panel Details","Followup"))))</f>
        <v/>
      </c>
      <c r="E349" s="46" t="str">
        <f aca="false">IF($H349="","",IF(SUMPRODUCT(($H$4:$H$503=$H349)*(($G$4:$G$503&gt;$G349)+($G$4:$G$503=$G349)*($F$4:$F$503&gt;$F349)))=0,"Yes","No"))</f>
        <v/>
      </c>
      <c r="F349" s="47" t="str">
        <f aca="false">IF('Survey Response'!$D347="","",INT('Survey Response'!$A347))</f>
        <v/>
      </c>
      <c r="G349" s="46" t="str">
        <f aca="false">IF('Survey Response'!$D347="","",'Survey Response'!$C347)</f>
        <v/>
      </c>
      <c r="H349" s="46" t="str">
        <f aca="false">IF('Survey Response'!$D347="","",LOWER(TRIM('Survey Response'!$D347)))</f>
        <v/>
      </c>
      <c r="I349" s="46" t="str">
        <f aca="false">IF($H349="","",'Survey Response'!$I347)</f>
        <v/>
      </c>
      <c r="J349" s="46" t="str">
        <f aca="false">IF($H349="","",'Survey Response'!$K347)</f>
        <v/>
      </c>
      <c r="K349" s="46" t="str">
        <f aca="false">IF($J349="","",IF(COUNTIF('Skill Mapping'!$A$2:$A$7,TRIM($J349))=0,"",INDEX('Skill Mapping'!$B$2:$B$7,MATCH(TRIM($J349),'Skill Mapping'!$A$2:$A$7,0))))</f>
        <v/>
      </c>
      <c r="L349" s="46" t="str">
        <f aca="false">IF($H349="","",'Survey Response'!$L347)</f>
        <v/>
      </c>
      <c r="M349" s="46" t="str">
        <f aca="false">IF($L349="","",IF(COUNTIF('Skill Mapping'!$A$2:$A$7,TRIM($L349))=0,"",INDEX('Skill Mapping'!$B$2:$B$7,MATCH(TRIM($L349),'Skill Mapping'!$A$2:$A$7,0))))</f>
        <v/>
      </c>
      <c r="N349" s="46" t="str">
        <f aca="false">IF($H349="","",'Survey Response'!$M347)</f>
        <v/>
      </c>
      <c r="O349" s="46" t="str">
        <f aca="false">IF($H349="","",IF('Survey Response'!$M347="Manager","R2","R1"))</f>
        <v/>
      </c>
      <c r="P349" s="46" t="str">
        <f aca="false">IF($K349="","No",IF(COUNTIFS(MasterPanel!$B:$B,$H349,MasterPanel!$I:$I,$K349,MasterPanel!$K:$K,"Y")&gt;0,"Yes","No"))</f>
        <v>No</v>
      </c>
      <c r="Q349" s="46" t="n">
        <f aca="false">IF($K349="",0,IF(COUNTIF('Gap Sheet'!$A$6:$A$11,TRIM($J349))=0,0,IF($O349="R1",INDEX('Gap Sheet'!$C$6:$C$11,MATCH(TRIM($J349),'Gap Sheet'!$A$6:$A$11,0)),INDEX('Gap Sheet'!$G$6:$G$11,MATCH(TRIM($J349),'Gap Sheet'!$A$6:$A$11,0)))))</f>
        <v>0</v>
      </c>
      <c r="R349" s="46" t="str">
        <f aca="false">IF($K349="","",$K349&amp;"|"&amp;$O349)</f>
        <v/>
      </c>
      <c r="S349" s="46" t="n">
        <f aca="false">IF($R349="",0,COUNTIF($AA$4:$AA348,$R349))</f>
        <v>0</v>
      </c>
      <c r="T349" s="46" t="str">
        <f aca="false">IF(OR($I349&lt;&gt;"Yes, I'm available for in-person interviews at Chennai",$E349&lt;&gt;"Yes",$P349&lt;&gt;"Yes"),"No",IF(($Q349-$S349)&gt;0,"Yes","No"))</f>
        <v>No</v>
      </c>
      <c r="U349" s="46" t="str">
        <f aca="false">IF($M349="","No",IF(COUNTIFS(MasterPanel!$B:$B,$H349,MasterPanel!$I:$I,$M349,MasterPanel!$K:$K,"Y")&gt;0,"Yes","No"))</f>
        <v>No</v>
      </c>
      <c r="V349" s="46" t="n">
        <f aca="false">IF($M349="",0,IF(COUNTIF('Gap Sheet'!$A$6:$A$11,TRIM($L349))=0,0,IF($O349="R1",INDEX('Gap Sheet'!$C$6:$C$11,MATCH(TRIM($L349),'Gap Sheet'!$A$6:$A$11,0)),INDEX('Gap Sheet'!$G$6:$G$11,MATCH(TRIM($L349),'Gap Sheet'!$A$6:$A$11,0)))))</f>
        <v>0</v>
      </c>
      <c r="W349" s="46" t="str">
        <f aca="false">IF($M349="","",$M349&amp;"|"&amp;$O349)</f>
        <v/>
      </c>
      <c r="X349" s="46" t="n">
        <f aca="false">IF($W349="",0,COUNTIF($AA$4:$AA348,$W349))</f>
        <v>0</v>
      </c>
      <c r="Y349" s="46" t="str">
        <f aca="false">IF(OR($I349&lt;&gt;"Yes, I'm available for in-person interviews at Chennai",$E349&lt;&gt;"Yes",$T349="Yes",$U349&lt;&gt;"Yes"),"No",IF(($V349-$X349)&gt;0,"Yes","No"))</f>
        <v>No</v>
      </c>
      <c r="Z349" s="46" t="str">
        <f aca="false">IF($T349="Yes","Primary",IF($Y349="Yes","Secondary",""))</f>
        <v/>
      </c>
      <c r="AA349" s="46" t="str">
        <f aca="false">IF($Z349="Primary",$R349,IF($Z349="Secondary",$W349,""))</f>
        <v/>
      </c>
      <c r="AB349" s="46" t="str">
        <f aca="false">IF($Z349="Primary","Matched on primary skill",IF($Z349="Secondary","Matched on secondary skill (primary not approved or not required)",""))</f>
        <v/>
      </c>
      <c r="AC349" s="47" t="str">
        <f aca="false">IF($D349="Panel Details",$F349,"")</f>
        <v/>
      </c>
      <c r="AD349" s="46" t="str">
        <f aca="false">IF($D349="Panel Details",'Survey Response'!$D347,"")</f>
        <v/>
      </c>
      <c r="AE349" s="46" t="str">
        <f aca="false">IF($D349="Panel Details",'Survey Response'!$E347,"")</f>
        <v/>
      </c>
      <c r="AF349" s="46" t="str">
        <f aca="false">IF($D349="Panel Details",'Survey Response'!$G347,"")</f>
        <v/>
      </c>
      <c r="AG349" s="46" t="str">
        <f aca="false">IF($D349="Panel Details",IF($Z349="Primary",$J349,$L349),"")</f>
        <v/>
      </c>
      <c r="AH349" s="46" t="str">
        <f aca="false">IF($D349="Panel Details",IF($Z349="Primary",$L349,$J349),"")</f>
        <v/>
      </c>
      <c r="AI349" s="46" t="str">
        <f aca="false">IF($D349="Panel Details",'Survey Response'!$H347,"")</f>
        <v/>
      </c>
      <c r="AJ349" s="46" t="str">
        <f aca="false">IF($D349="Panel Details",'Survey Response'!$M347,"")</f>
        <v/>
      </c>
      <c r="AK349" s="46" t="str">
        <f aca="false">IF($D349="Panel Details",$O349,"")</f>
        <v/>
      </c>
      <c r="AL349" s="46" t="str">
        <f aca="false">IF($D349="Panel Details",8,"")</f>
        <v/>
      </c>
      <c r="AM349" s="46" t="str">
        <f aca="false">IF($D349="Panel Details",$AB349,"")</f>
        <v/>
      </c>
      <c r="AN349" s="46" t="str">
        <f aca="false">IF($D349="Panel Details","Yes","")</f>
        <v/>
      </c>
      <c r="AO349" s="46"/>
      <c r="AP349" s="46" t="str">
        <f aca="false">IF($D349="Followup",'Survey Response'!$D347,"")</f>
        <v/>
      </c>
      <c r="AQ349" s="46" t="str">
        <f aca="false">IF($D349="Followup",'Survey Response'!$E347,"")</f>
        <v/>
      </c>
      <c r="AR349" s="46" t="str">
        <f aca="false">IF($D349="Followup",'Survey Response'!$G347,"")</f>
        <v/>
      </c>
      <c r="AS349" s="46" t="str">
        <f aca="false">IF($D349="Followup",'Survey Response'!$H347,"")</f>
        <v/>
      </c>
      <c r="AT349" s="46" t="str">
        <f aca="false">IF($D349="Followup",'Survey Response'!$M347,"")</f>
        <v/>
      </c>
      <c r="AU349" s="46" t="str">
        <f aca="false">IF($D349="Followup",'Survey Response'!$K347,"")</f>
        <v/>
      </c>
      <c r="AV349" s="46" t="str">
        <f aca="false">IF($D349="Followup",'Survey Response'!$L347,"")</f>
        <v/>
      </c>
      <c r="AW349" s="46" t="str">
        <f aca="false">IF($D349="Followup",IF(AND($P349&lt;&gt;"Yes",$U349&lt;&gt;"Yes"),"Not approved for primary or secondary skill","Approved, but skill(s) no longer have capacity (fully staffed)"),"")</f>
        <v/>
      </c>
    </row>
    <row r="350" customFormat="false" ht="15" hidden="false" customHeight="true" outlineLevel="0" collapsed="false">
      <c r="A350" s="46" t="str">
        <f aca="false">IF('Survey Response'!$D348="","",'Survey Response'!$A348&amp;"|"&amp;LOWER(TRIM('Survey Response'!$D348)))</f>
        <v/>
      </c>
      <c r="B350" s="46" t="str">
        <f aca="false">IF($H350="","",$F350&amp;"|"&amp;$H350)</f>
        <v/>
      </c>
      <c r="C350" s="46" t="str">
        <f aca="false">IF($H350="","",$A350=$B350)</f>
        <v/>
      </c>
      <c r="D350" s="46" t="str">
        <f aca="false">IF($H350="","",IF($E350&lt;&gt;"Yes","Superseded",IF($I350&lt;&gt;"Yes, I'm available for in-person interviews at Chennai","Not Available",IF($Z350&lt;&gt;"","Panel Details","Followup"))))</f>
        <v/>
      </c>
      <c r="E350" s="46" t="str">
        <f aca="false">IF($H350="","",IF(SUMPRODUCT(($H$4:$H$503=$H350)*(($G$4:$G$503&gt;$G350)+($G$4:$G$503=$G350)*($F$4:$F$503&gt;$F350)))=0,"Yes","No"))</f>
        <v/>
      </c>
      <c r="F350" s="47" t="str">
        <f aca="false">IF('Survey Response'!$D348="","",INT('Survey Response'!$A348))</f>
        <v/>
      </c>
      <c r="G350" s="46" t="str">
        <f aca="false">IF('Survey Response'!$D348="","",'Survey Response'!$C348)</f>
        <v/>
      </c>
      <c r="H350" s="46" t="str">
        <f aca="false">IF('Survey Response'!$D348="","",LOWER(TRIM('Survey Response'!$D348)))</f>
        <v/>
      </c>
      <c r="I350" s="46" t="str">
        <f aca="false">IF($H350="","",'Survey Response'!$I348)</f>
        <v/>
      </c>
      <c r="J350" s="46" t="str">
        <f aca="false">IF($H350="","",'Survey Response'!$K348)</f>
        <v/>
      </c>
      <c r="K350" s="46" t="str">
        <f aca="false">IF($J350="","",IF(COUNTIF('Skill Mapping'!$A$2:$A$7,TRIM($J350))=0,"",INDEX('Skill Mapping'!$B$2:$B$7,MATCH(TRIM($J350),'Skill Mapping'!$A$2:$A$7,0))))</f>
        <v/>
      </c>
      <c r="L350" s="46" t="str">
        <f aca="false">IF($H350="","",'Survey Response'!$L348)</f>
        <v/>
      </c>
      <c r="M350" s="46" t="str">
        <f aca="false">IF($L350="","",IF(COUNTIF('Skill Mapping'!$A$2:$A$7,TRIM($L350))=0,"",INDEX('Skill Mapping'!$B$2:$B$7,MATCH(TRIM($L350),'Skill Mapping'!$A$2:$A$7,0))))</f>
        <v/>
      </c>
      <c r="N350" s="46" t="str">
        <f aca="false">IF($H350="","",'Survey Response'!$M348)</f>
        <v/>
      </c>
      <c r="O350" s="46" t="str">
        <f aca="false">IF($H350="","",IF('Survey Response'!$M348="Manager","R2","R1"))</f>
        <v/>
      </c>
      <c r="P350" s="46" t="str">
        <f aca="false">IF($K350="","No",IF(COUNTIFS(MasterPanel!$B:$B,$H350,MasterPanel!$I:$I,$K350,MasterPanel!$K:$K,"Y")&gt;0,"Yes","No"))</f>
        <v>No</v>
      </c>
      <c r="Q350" s="46" t="n">
        <f aca="false">IF($K350="",0,IF(COUNTIF('Gap Sheet'!$A$6:$A$11,TRIM($J350))=0,0,IF($O350="R1",INDEX('Gap Sheet'!$C$6:$C$11,MATCH(TRIM($J350),'Gap Sheet'!$A$6:$A$11,0)),INDEX('Gap Sheet'!$G$6:$G$11,MATCH(TRIM($J350),'Gap Sheet'!$A$6:$A$11,0)))))</f>
        <v>0</v>
      </c>
      <c r="R350" s="46" t="str">
        <f aca="false">IF($K350="","",$K350&amp;"|"&amp;$O350)</f>
        <v/>
      </c>
      <c r="S350" s="46" t="n">
        <f aca="false">IF($R350="",0,COUNTIF($AA$4:$AA349,$R350))</f>
        <v>0</v>
      </c>
      <c r="T350" s="46" t="str">
        <f aca="false">IF(OR($I350&lt;&gt;"Yes, I'm available for in-person interviews at Chennai",$E350&lt;&gt;"Yes",$P350&lt;&gt;"Yes"),"No",IF(($Q350-$S350)&gt;0,"Yes","No"))</f>
        <v>No</v>
      </c>
      <c r="U350" s="46" t="str">
        <f aca="false">IF($M350="","No",IF(COUNTIFS(MasterPanel!$B:$B,$H350,MasterPanel!$I:$I,$M350,MasterPanel!$K:$K,"Y")&gt;0,"Yes","No"))</f>
        <v>No</v>
      </c>
      <c r="V350" s="46" t="n">
        <f aca="false">IF($M350="",0,IF(COUNTIF('Gap Sheet'!$A$6:$A$11,TRIM($L350))=0,0,IF($O350="R1",INDEX('Gap Sheet'!$C$6:$C$11,MATCH(TRIM($L350),'Gap Sheet'!$A$6:$A$11,0)),INDEX('Gap Sheet'!$G$6:$G$11,MATCH(TRIM($L350),'Gap Sheet'!$A$6:$A$11,0)))))</f>
        <v>0</v>
      </c>
      <c r="W350" s="46" t="str">
        <f aca="false">IF($M350="","",$M350&amp;"|"&amp;$O350)</f>
        <v/>
      </c>
      <c r="X350" s="46" t="n">
        <f aca="false">IF($W350="",0,COUNTIF($AA$4:$AA349,$W350))</f>
        <v>0</v>
      </c>
      <c r="Y350" s="46" t="str">
        <f aca="false">IF(OR($I350&lt;&gt;"Yes, I'm available for in-person interviews at Chennai",$E350&lt;&gt;"Yes",$T350="Yes",$U350&lt;&gt;"Yes"),"No",IF(($V350-$X350)&gt;0,"Yes","No"))</f>
        <v>No</v>
      </c>
      <c r="Z350" s="46" t="str">
        <f aca="false">IF($T350="Yes","Primary",IF($Y350="Yes","Secondary",""))</f>
        <v/>
      </c>
      <c r="AA350" s="46" t="str">
        <f aca="false">IF($Z350="Primary",$R350,IF($Z350="Secondary",$W350,""))</f>
        <v/>
      </c>
      <c r="AB350" s="46" t="str">
        <f aca="false">IF($Z350="Primary","Matched on primary skill",IF($Z350="Secondary","Matched on secondary skill (primary not approved or not required)",""))</f>
        <v/>
      </c>
      <c r="AC350" s="47" t="str">
        <f aca="false">IF($D350="Panel Details",$F350,"")</f>
        <v/>
      </c>
      <c r="AD350" s="46" t="str">
        <f aca="false">IF($D350="Panel Details",'Survey Response'!$D348,"")</f>
        <v/>
      </c>
      <c r="AE350" s="46" t="str">
        <f aca="false">IF($D350="Panel Details",'Survey Response'!$E348,"")</f>
        <v/>
      </c>
      <c r="AF350" s="46" t="str">
        <f aca="false">IF($D350="Panel Details",'Survey Response'!$G348,"")</f>
        <v/>
      </c>
      <c r="AG350" s="46" t="str">
        <f aca="false">IF($D350="Panel Details",IF($Z350="Primary",$J350,$L350),"")</f>
        <v/>
      </c>
      <c r="AH350" s="46" t="str">
        <f aca="false">IF($D350="Panel Details",IF($Z350="Primary",$L350,$J350),"")</f>
        <v/>
      </c>
      <c r="AI350" s="46" t="str">
        <f aca="false">IF($D350="Panel Details",'Survey Response'!$H348,"")</f>
        <v/>
      </c>
      <c r="AJ350" s="46" t="str">
        <f aca="false">IF($D350="Panel Details",'Survey Response'!$M348,"")</f>
        <v/>
      </c>
      <c r="AK350" s="46" t="str">
        <f aca="false">IF($D350="Panel Details",$O350,"")</f>
        <v/>
      </c>
      <c r="AL350" s="46" t="str">
        <f aca="false">IF($D350="Panel Details",8,"")</f>
        <v/>
      </c>
      <c r="AM350" s="46" t="str">
        <f aca="false">IF($D350="Panel Details",$AB350,"")</f>
        <v/>
      </c>
      <c r="AN350" s="46" t="str">
        <f aca="false">IF($D350="Panel Details","Yes","")</f>
        <v/>
      </c>
      <c r="AO350" s="46"/>
      <c r="AP350" s="46" t="str">
        <f aca="false">IF($D350="Followup",'Survey Response'!$D348,"")</f>
        <v/>
      </c>
      <c r="AQ350" s="46" t="str">
        <f aca="false">IF($D350="Followup",'Survey Response'!$E348,"")</f>
        <v/>
      </c>
      <c r="AR350" s="46" t="str">
        <f aca="false">IF($D350="Followup",'Survey Response'!$G348,"")</f>
        <v/>
      </c>
      <c r="AS350" s="46" t="str">
        <f aca="false">IF($D350="Followup",'Survey Response'!$H348,"")</f>
        <v/>
      </c>
      <c r="AT350" s="46" t="str">
        <f aca="false">IF($D350="Followup",'Survey Response'!$M348,"")</f>
        <v/>
      </c>
      <c r="AU350" s="46" t="str">
        <f aca="false">IF($D350="Followup",'Survey Response'!$K348,"")</f>
        <v/>
      </c>
      <c r="AV350" s="46" t="str">
        <f aca="false">IF($D350="Followup",'Survey Response'!$L348,"")</f>
        <v/>
      </c>
      <c r="AW350" s="46" t="str">
        <f aca="false">IF($D350="Followup",IF(AND($P350&lt;&gt;"Yes",$U350&lt;&gt;"Yes"),"Not approved for primary or secondary skill","Approved, but skill(s) no longer have capacity (fully staffed)"),"")</f>
        <v/>
      </c>
    </row>
    <row r="351" customFormat="false" ht="15" hidden="false" customHeight="true" outlineLevel="0" collapsed="false">
      <c r="A351" s="46" t="str">
        <f aca="false">IF('Survey Response'!$D349="","",'Survey Response'!$A349&amp;"|"&amp;LOWER(TRIM('Survey Response'!$D349)))</f>
        <v/>
      </c>
      <c r="B351" s="46" t="str">
        <f aca="false">IF($H351="","",$F351&amp;"|"&amp;$H351)</f>
        <v/>
      </c>
      <c r="C351" s="46" t="str">
        <f aca="false">IF($H351="","",$A351=$B351)</f>
        <v/>
      </c>
      <c r="D351" s="46" t="str">
        <f aca="false">IF($H351="","",IF($E351&lt;&gt;"Yes","Superseded",IF($I351&lt;&gt;"Yes, I'm available for in-person interviews at Chennai","Not Available",IF($Z351&lt;&gt;"","Panel Details","Followup"))))</f>
        <v/>
      </c>
      <c r="E351" s="46" t="str">
        <f aca="false">IF($H351="","",IF(SUMPRODUCT(($H$4:$H$503=$H351)*(($G$4:$G$503&gt;$G351)+($G$4:$G$503=$G351)*($F$4:$F$503&gt;$F351)))=0,"Yes","No"))</f>
        <v/>
      </c>
      <c r="F351" s="47" t="str">
        <f aca="false">IF('Survey Response'!$D349="","",INT('Survey Response'!$A349))</f>
        <v/>
      </c>
      <c r="G351" s="46" t="str">
        <f aca="false">IF('Survey Response'!$D349="","",'Survey Response'!$C349)</f>
        <v/>
      </c>
      <c r="H351" s="46" t="str">
        <f aca="false">IF('Survey Response'!$D349="","",LOWER(TRIM('Survey Response'!$D349)))</f>
        <v/>
      </c>
      <c r="I351" s="46" t="str">
        <f aca="false">IF($H351="","",'Survey Response'!$I349)</f>
        <v/>
      </c>
      <c r="J351" s="46" t="str">
        <f aca="false">IF($H351="","",'Survey Response'!$K349)</f>
        <v/>
      </c>
      <c r="K351" s="46" t="str">
        <f aca="false">IF($J351="","",IF(COUNTIF('Skill Mapping'!$A$2:$A$7,TRIM($J351))=0,"",INDEX('Skill Mapping'!$B$2:$B$7,MATCH(TRIM($J351),'Skill Mapping'!$A$2:$A$7,0))))</f>
        <v/>
      </c>
      <c r="L351" s="46" t="str">
        <f aca="false">IF($H351="","",'Survey Response'!$L349)</f>
        <v/>
      </c>
      <c r="M351" s="46" t="str">
        <f aca="false">IF($L351="","",IF(COUNTIF('Skill Mapping'!$A$2:$A$7,TRIM($L351))=0,"",INDEX('Skill Mapping'!$B$2:$B$7,MATCH(TRIM($L351),'Skill Mapping'!$A$2:$A$7,0))))</f>
        <v/>
      </c>
      <c r="N351" s="46" t="str">
        <f aca="false">IF($H351="","",'Survey Response'!$M349)</f>
        <v/>
      </c>
      <c r="O351" s="46" t="str">
        <f aca="false">IF($H351="","",IF('Survey Response'!$M349="Manager","R2","R1"))</f>
        <v/>
      </c>
      <c r="P351" s="46" t="str">
        <f aca="false">IF($K351="","No",IF(COUNTIFS(MasterPanel!$B:$B,$H351,MasterPanel!$I:$I,$K351,MasterPanel!$K:$K,"Y")&gt;0,"Yes","No"))</f>
        <v>No</v>
      </c>
      <c r="Q351" s="46" t="n">
        <f aca="false">IF($K351="",0,IF(COUNTIF('Gap Sheet'!$A$6:$A$11,TRIM($J351))=0,0,IF($O351="R1",INDEX('Gap Sheet'!$C$6:$C$11,MATCH(TRIM($J351),'Gap Sheet'!$A$6:$A$11,0)),INDEX('Gap Sheet'!$G$6:$G$11,MATCH(TRIM($J351),'Gap Sheet'!$A$6:$A$11,0)))))</f>
        <v>0</v>
      </c>
      <c r="R351" s="46" t="str">
        <f aca="false">IF($K351="","",$K351&amp;"|"&amp;$O351)</f>
        <v/>
      </c>
      <c r="S351" s="46" t="n">
        <f aca="false">IF($R351="",0,COUNTIF($AA$4:$AA350,$R351))</f>
        <v>0</v>
      </c>
      <c r="T351" s="46" t="str">
        <f aca="false">IF(OR($I351&lt;&gt;"Yes, I'm available for in-person interviews at Chennai",$E351&lt;&gt;"Yes",$P351&lt;&gt;"Yes"),"No",IF(($Q351-$S351)&gt;0,"Yes","No"))</f>
        <v>No</v>
      </c>
      <c r="U351" s="46" t="str">
        <f aca="false">IF($M351="","No",IF(COUNTIFS(MasterPanel!$B:$B,$H351,MasterPanel!$I:$I,$M351,MasterPanel!$K:$K,"Y")&gt;0,"Yes","No"))</f>
        <v>No</v>
      </c>
      <c r="V351" s="46" t="n">
        <f aca="false">IF($M351="",0,IF(COUNTIF('Gap Sheet'!$A$6:$A$11,TRIM($L351))=0,0,IF($O351="R1",INDEX('Gap Sheet'!$C$6:$C$11,MATCH(TRIM($L351),'Gap Sheet'!$A$6:$A$11,0)),INDEX('Gap Sheet'!$G$6:$G$11,MATCH(TRIM($L351),'Gap Sheet'!$A$6:$A$11,0)))))</f>
        <v>0</v>
      </c>
      <c r="W351" s="46" t="str">
        <f aca="false">IF($M351="","",$M351&amp;"|"&amp;$O351)</f>
        <v/>
      </c>
      <c r="X351" s="46" t="n">
        <f aca="false">IF($W351="",0,COUNTIF($AA$4:$AA350,$W351))</f>
        <v>0</v>
      </c>
      <c r="Y351" s="46" t="str">
        <f aca="false">IF(OR($I351&lt;&gt;"Yes, I'm available for in-person interviews at Chennai",$E351&lt;&gt;"Yes",$T351="Yes",$U351&lt;&gt;"Yes"),"No",IF(($V351-$X351)&gt;0,"Yes","No"))</f>
        <v>No</v>
      </c>
      <c r="Z351" s="46" t="str">
        <f aca="false">IF($T351="Yes","Primary",IF($Y351="Yes","Secondary",""))</f>
        <v/>
      </c>
      <c r="AA351" s="46" t="str">
        <f aca="false">IF($Z351="Primary",$R351,IF($Z351="Secondary",$W351,""))</f>
        <v/>
      </c>
      <c r="AB351" s="46" t="str">
        <f aca="false">IF($Z351="Primary","Matched on primary skill",IF($Z351="Secondary","Matched on secondary skill (primary not approved or not required)",""))</f>
        <v/>
      </c>
      <c r="AC351" s="47" t="str">
        <f aca="false">IF($D351="Panel Details",$F351,"")</f>
        <v/>
      </c>
      <c r="AD351" s="46" t="str">
        <f aca="false">IF($D351="Panel Details",'Survey Response'!$D349,"")</f>
        <v/>
      </c>
      <c r="AE351" s="46" t="str">
        <f aca="false">IF($D351="Panel Details",'Survey Response'!$E349,"")</f>
        <v/>
      </c>
      <c r="AF351" s="46" t="str">
        <f aca="false">IF($D351="Panel Details",'Survey Response'!$G349,"")</f>
        <v/>
      </c>
      <c r="AG351" s="46" t="str">
        <f aca="false">IF($D351="Panel Details",IF($Z351="Primary",$J351,$L351),"")</f>
        <v/>
      </c>
      <c r="AH351" s="46" t="str">
        <f aca="false">IF($D351="Panel Details",IF($Z351="Primary",$L351,$J351),"")</f>
        <v/>
      </c>
      <c r="AI351" s="46" t="str">
        <f aca="false">IF($D351="Panel Details",'Survey Response'!$H349,"")</f>
        <v/>
      </c>
      <c r="AJ351" s="46" t="str">
        <f aca="false">IF($D351="Panel Details",'Survey Response'!$M349,"")</f>
        <v/>
      </c>
      <c r="AK351" s="46" t="str">
        <f aca="false">IF($D351="Panel Details",$O351,"")</f>
        <v/>
      </c>
      <c r="AL351" s="46" t="str">
        <f aca="false">IF($D351="Panel Details",8,"")</f>
        <v/>
      </c>
      <c r="AM351" s="46" t="str">
        <f aca="false">IF($D351="Panel Details",$AB351,"")</f>
        <v/>
      </c>
      <c r="AN351" s="46" t="str">
        <f aca="false">IF($D351="Panel Details","Yes","")</f>
        <v/>
      </c>
      <c r="AO351" s="46"/>
      <c r="AP351" s="46" t="str">
        <f aca="false">IF($D351="Followup",'Survey Response'!$D349,"")</f>
        <v/>
      </c>
      <c r="AQ351" s="46" t="str">
        <f aca="false">IF($D351="Followup",'Survey Response'!$E349,"")</f>
        <v/>
      </c>
      <c r="AR351" s="46" t="str">
        <f aca="false">IF($D351="Followup",'Survey Response'!$G349,"")</f>
        <v/>
      </c>
      <c r="AS351" s="46" t="str">
        <f aca="false">IF($D351="Followup",'Survey Response'!$H349,"")</f>
        <v/>
      </c>
      <c r="AT351" s="46" t="str">
        <f aca="false">IF($D351="Followup",'Survey Response'!$M349,"")</f>
        <v/>
      </c>
      <c r="AU351" s="46" t="str">
        <f aca="false">IF($D351="Followup",'Survey Response'!$K349,"")</f>
        <v/>
      </c>
      <c r="AV351" s="46" t="str">
        <f aca="false">IF($D351="Followup",'Survey Response'!$L349,"")</f>
        <v/>
      </c>
      <c r="AW351" s="46" t="str">
        <f aca="false">IF($D351="Followup",IF(AND($P351&lt;&gt;"Yes",$U351&lt;&gt;"Yes"),"Not approved for primary or secondary skill","Approved, but skill(s) no longer have capacity (fully staffed)"),"")</f>
        <v/>
      </c>
    </row>
    <row r="352" customFormat="false" ht="15" hidden="false" customHeight="true" outlineLevel="0" collapsed="false">
      <c r="A352" s="46" t="str">
        <f aca="false">IF('Survey Response'!$D350="","",'Survey Response'!$A350&amp;"|"&amp;LOWER(TRIM('Survey Response'!$D350)))</f>
        <v/>
      </c>
      <c r="B352" s="46" t="str">
        <f aca="false">IF($H352="","",$F352&amp;"|"&amp;$H352)</f>
        <v/>
      </c>
      <c r="C352" s="46" t="str">
        <f aca="false">IF($H352="","",$A352=$B352)</f>
        <v/>
      </c>
      <c r="D352" s="46" t="str">
        <f aca="false">IF($H352="","",IF($E352&lt;&gt;"Yes","Superseded",IF($I352&lt;&gt;"Yes, I'm available for in-person interviews at Chennai","Not Available",IF($Z352&lt;&gt;"","Panel Details","Followup"))))</f>
        <v/>
      </c>
      <c r="E352" s="46" t="str">
        <f aca="false">IF($H352="","",IF(SUMPRODUCT(($H$4:$H$503=$H352)*(($G$4:$G$503&gt;$G352)+($G$4:$G$503=$G352)*($F$4:$F$503&gt;$F352)))=0,"Yes","No"))</f>
        <v/>
      </c>
      <c r="F352" s="47" t="str">
        <f aca="false">IF('Survey Response'!$D350="","",INT('Survey Response'!$A350))</f>
        <v/>
      </c>
      <c r="G352" s="46" t="str">
        <f aca="false">IF('Survey Response'!$D350="","",'Survey Response'!$C350)</f>
        <v/>
      </c>
      <c r="H352" s="46" t="str">
        <f aca="false">IF('Survey Response'!$D350="","",LOWER(TRIM('Survey Response'!$D350)))</f>
        <v/>
      </c>
      <c r="I352" s="46" t="str">
        <f aca="false">IF($H352="","",'Survey Response'!$I350)</f>
        <v/>
      </c>
      <c r="J352" s="46" t="str">
        <f aca="false">IF($H352="","",'Survey Response'!$K350)</f>
        <v/>
      </c>
      <c r="K352" s="46" t="str">
        <f aca="false">IF($J352="","",IF(COUNTIF('Skill Mapping'!$A$2:$A$7,TRIM($J352))=0,"",INDEX('Skill Mapping'!$B$2:$B$7,MATCH(TRIM($J352),'Skill Mapping'!$A$2:$A$7,0))))</f>
        <v/>
      </c>
      <c r="L352" s="46" t="str">
        <f aca="false">IF($H352="","",'Survey Response'!$L350)</f>
        <v/>
      </c>
      <c r="M352" s="46" t="str">
        <f aca="false">IF($L352="","",IF(COUNTIF('Skill Mapping'!$A$2:$A$7,TRIM($L352))=0,"",INDEX('Skill Mapping'!$B$2:$B$7,MATCH(TRIM($L352),'Skill Mapping'!$A$2:$A$7,0))))</f>
        <v/>
      </c>
      <c r="N352" s="46" t="str">
        <f aca="false">IF($H352="","",'Survey Response'!$M350)</f>
        <v/>
      </c>
      <c r="O352" s="46" t="str">
        <f aca="false">IF($H352="","",IF('Survey Response'!$M350="Manager","R2","R1"))</f>
        <v/>
      </c>
      <c r="P352" s="46" t="str">
        <f aca="false">IF($K352="","No",IF(COUNTIFS(MasterPanel!$B:$B,$H352,MasterPanel!$I:$I,$K352,MasterPanel!$K:$K,"Y")&gt;0,"Yes","No"))</f>
        <v>No</v>
      </c>
      <c r="Q352" s="46" t="n">
        <f aca="false">IF($K352="",0,IF(COUNTIF('Gap Sheet'!$A$6:$A$11,TRIM($J352))=0,0,IF($O352="R1",INDEX('Gap Sheet'!$C$6:$C$11,MATCH(TRIM($J352),'Gap Sheet'!$A$6:$A$11,0)),INDEX('Gap Sheet'!$G$6:$G$11,MATCH(TRIM($J352),'Gap Sheet'!$A$6:$A$11,0)))))</f>
        <v>0</v>
      </c>
      <c r="R352" s="46" t="str">
        <f aca="false">IF($K352="","",$K352&amp;"|"&amp;$O352)</f>
        <v/>
      </c>
      <c r="S352" s="46" t="n">
        <f aca="false">IF($R352="",0,COUNTIF($AA$4:$AA351,$R352))</f>
        <v>0</v>
      </c>
      <c r="T352" s="46" t="str">
        <f aca="false">IF(OR($I352&lt;&gt;"Yes, I'm available for in-person interviews at Chennai",$E352&lt;&gt;"Yes",$P352&lt;&gt;"Yes"),"No",IF(($Q352-$S352)&gt;0,"Yes","No"))</f>
        <v>No</v>
      </c>
      <c r="U352" s="46" t="str">
        <f aca="false">IF($M352="","No",IF(COUNTIFS(MasterPanel!$B:$B,$H352,MasterPanel!$I:$I,$M352,MasterPanel!$K:$K,"Y")&gt;0,"Yes","No"))</f>
        <v>No</v>
      </c>
      <c r="V352" s="46" t="n">
        <f aca="false">IF($M352="",0,IF(COUNTIF('Gap Sheet'!$A$6:$A$11,TRIM($L352))=0,0,IF($O352="R1",INDEX('Gap Sheet'!$C$6:$C$11,MATCH(TRIM($L352),'Gap Sheet'!$A$6:$A$11,0)),INDEX('Gap Sheet'!$G$6:$G$11,MATCH(TRIM($L352),'Gap Sheet'!$A$6:$A$11,0)))))</f>
        <v>0</v>
      </c>
      <c r="W352" s="46" t="str">
        <f aca="false">IF($M352="","",$M352&amp;"|"&amp;$O352)</f>
        <v/>
      </c>
      <c r="X352" s="46" t="n">
        <f aca="false">IF($W352="",0,COUNTIF($AA$4:$AA351,$W352))</f>
        <v>0</v>
      </c>
      <c r="Y352" s="46" t="str">
        <f aca="false">IF(OR($I352&lt;&gt;"Yes, I'm available for in-person interviews at Chennai",$E352&lt;&gt;"Yes",$T352="Yes",$U352&lt;&gt;"Yes"),"No",IF(($V352-$X352)&gt;0,"Yes","No"))</f>
        <v>No</v>
      </c>
      <c r="Z352" s="46" t="str">
        <f aca="false">IF($T352="Yes","Primary",IF($Y352="Yes","Secondary",""))</f>
        <v/>
      </c>
      <c r="AA352" s="46" t="str">
        <f aca="false">IF($Z352="Primary",$R352,IF($Z352="Secondary",$W352,""))</f>
        <v/>
      </c>
      <c r="AB352" s="46" t="str">
        <f aca="false">IF($Z352="Primary","Matched on primary skill",IF($Z352="Secondary","Matched on secondary skill (primary not approved or not required)",""))</f>
        <v/>
      </c>
      <c r="AC352" s="47" t="str">
        <f aca="false">IF($D352="Panel Details",$F352,"")</f>
        <v/>
      </c>
      <c r="AD352" s="46" t="str">
        <f aca="false">IF($D352="Panel Details",'Survey Response'!$D350,"")</f>
        <v/>
      </c>
      <c r="AE352" s="46" t="str">
        <f aca="false">IF($D352="Panel Details",'Survey Response'!$E350,"")</f>
        <v/>
      </c>
      <c r="AF352" s="46" t="str">
        <f aca="false">IF($D352="Panel Details",'Survey Response'!$G350,"")</f>
        <v/>
      </c>
      <c r="AG352" s="46" t="str">
        <f aca="false">IF($D352="Panel Details",IF($Z352="Primary",$J352,$L352),"")</f>
        <v/>
      </c>
      <c r="AH352" s="46" t="str">
        <f aca="false">IF($D352="Panel Details",IF($Z352="Primary",$L352,$J352),"")</f>
        <v/>
      </c>
      <c r="AI352" s="46" t="str">
        <f aca="false">IF($D352="Panel Details",'Survey Response'!$H350,"")</f>
        <v/>
      </c>
      <c r="AJ352" s="46" t="str">
        <f aca="false">IF($D352="Panel Details",'Survey Response'!$M350,"")</f>
        <v/>
      </c>
      <c r="AK352" s="46" t="str">
        <f aca="false">IF($D352="Panel Details",$O352,"")</f>
        <v/>
      </c>
      <c r="AL352" s="46" t="str">
        <f aca="false">IF($D352="Panel Details",8,"")</f>
        <v/>
      </c>
      <c r="AM352" s="46" t="str">
        <f aca="false">IF($D352="Panel Details",$AB352,"")</f>
        <v/>
      </c>
      <c r="AN352" s="46" t="str">
        <f aca="false">IF($D352="Panel Details","Yes","")</f>
        <v/>
      </c>
      <c r="AO352" s="46"/>
      <c r="AP352" s="46" t="str">
        <f aca="false">IF($D352="Followup",'Survey Response'!$D350,"")</f>
        <v/>
      </c>
      <c r="AQ352" s="46" t="str">
        <f aca="false">IF($D352="Followup",'Survey Response'!$E350,"")</f>
        <v/>
      </c>
      <c r="AR352" s="46" t="str">
        <f aca="false">IF($D352="Followup",'Survey Response'!$G350,"")</f>
        <v/>
      </c>
      <c r="AS352" s="46" t="str">
        <f aca="false">IF($D352="Followup",'Survey Response'!$H350,"")</f>
        <v/>
      </c>
      <c r="AT352" s="46" t="str">
        <f aca="false">IF($D352="Followup",'Survey Response'!$M350,"")</f>
        <v/>
      </c>
      <c r="AU352" s="46" t="str">
        <f aca="false">IF($D352="Followup",'Survey Response'!$K350,"")</f>
        <v/>
      </c>
      <c r="AV352" s="46" t="str">
        <f aca="false">IF($D352="Followup",'Survey Response'!$L350,"")</f>
        <v/>
      </c>
      <c r="AW352" s="46" t="str">
        <f aca="false">IF($D352="Followup",IF(AND($P352&lt;&gt;"Yes",$U352&lt;&gt;"Yes"),"Not approved for primary or secondary skill","Approved, but skill(s) no longer have capacity (fully staffed)"),"")</f>
        <v/>
      </c>
    </row>
    <row r="353" customFormat="false" ht="15" hidden="false" customHeight="true" outlineLevel="0" collapsed="false">
      <c r="A353" s="46" t="str">
        <f aca="false">IF('Survey Response'!$D351="","",'Survey Response'!$A351&amp;"|"&amp;LOWER(TRIM('Survey Response'!$D351)))</f>
        <v/>
      </c>
      <c r="B353" s="46" t="str">
        <f aca="false">IF($H353="","",$F353&amp;"|"&amp;$H353)</f>
        <v/>
      </c>
      <c r="C353" s="46" t="str">
        <f aca="false">IF($H353="","",$A353=$B353)</f>
        <v/>
      </c>
      <c r="D353" s="46" t="str">
        <f aca="false">IF($H353="","",IF($E353&lt;&gt;"Yes","Superseded",IF($I353&lt;&gt;"Yes, I'm available for in-person interviews at Chennai","Not Available",IF($Z353&lt;&gt;"","Panel Details","Followup"))))</f>
        <v/>
      </c>
      <c r="E353" s="46" t="str">
        <f aca="false">IF($H353="","",IF(SUMPRODUCT(($H$4:$H$503=$H353)*(($G$4:$G$503&gt;$G353)+($G$4:$G$503=$G353)*($F$4:$F$503&gt;$F353)))=0,"Yes","No"))</f>
        <v/>
      </c>
      <c r="F353" s="47" t="str">
        <f aca="false">IF('Survey Response'!$D351="","",INT('Survey Response'!$A351))</f>
        <v/>
      </c>
      <c r="G353" s="46" t="str">
        <f aca="false">IF('Survey Response'!$D351="","",'Survey Response'!$C351)</f>
        <v/>
      </c>
      <c r="H353" s="46" t="str">
        <f aca="false">IF('Survey Response'!$D351="","",LOWER(TRIM('Survey Response'!$D351)))</f>
        <v/>
      </c>
      <c r="I353" s="46" t="str">
        <f aca="false">IF($H353="","",'Survey Response'!$I351)</f>
        <v/>
      </c>
      <c r="J353" s="46" t="str">
        <f aca="false">IF($H353="","",'Survey Response'!$K351)</f>
        <v/>
      </c>
      <c r="K353" s="46" t="str">
        <f aca="false">IF($J353="","",IF(COUNTIF('Skill Mapping'!$A$2:$A$7,TRIM($J353))=0,"",INDEX('Skill Mapping'!$B$2:$B$7,MATCH(TRIM($J353),'Skill Mapping'!$A$2:$A$7,0))))</f>
        <v/>
      </c>
      <c r="L353" s="46" t="str">
        <f aca="false">IF($H353="","",'Survey Response'!$L351)</f>
        <v/>
      </c>
      <c r="M353" s="46" t="str">
        <f aca="false">IF($L353="","",IF(COUNTIF('Skill Mapping'!$A$2:$A$7,TRIM($L353))=0,"",INDEX('Skill Mapping'!$B$2:$B$7,MATCH(TRIM($L353),'Skill Mapping'!$A$2:$A$7,0))))</f>
        <v/>
      </c>
      <c r="N353" s="46" t="str">
        <f aca="false">IF($H353="","",'Survey Response'!$M351)</f>
        <v/>
      </c>
      <c r="O353" s="46" t="str">
        <f aca="false">IF($H353="","",IF('Survey Response'!$M351="Manager","R2","R1"))</f>
        <v/>
      </c>
      <c r="P353" s="46" t="str">
        <f aca="false">IF($K353="","No",IF(COUNTIFS(MasterPanel!$B:$B,$H353,MasterPanel!$I:$I,$K353,MasterPanel!$K:$K,"Y")&gt;0,"Yes","No"))</f>
        <v>No</v>
      </c>
      <c r="Q353" s="46" t="n">
        <f aca="false">IF($K353="",0,IF(COUNTIF('Gap Sheet'!$A$6:$A$11,TRIM($J353))=0,0,IF($O353="R1",INDEX('Gap Sheet'!$C$6:$C$11,MATCH(TRIM($J353),'Gap Sheet'!$A$6:$A$11,0)),INDEX('Gap Sheet'!$G$6:$G$11,MATCH(TRIM($J353),'Gap Sheet'!$A$6:$A$11,0)))))</f>
        <v>0</v>
      </c>
      <c r="R353" s="46" t="str">
        <f aca="false">IF($K353="","",$K353&amp;"|"&amp;$O353)</f>
        <v/>
      </c>
      <c r="S353" s="46" t="n">
        <f aca="false">IF($R353="",0,COUNTIF($AA$4:$AA352,$R353))</f>
        <v>0</v>
      </c>
      <c r="T353" s="46" t="str">
        <f aca="false">IF(OR($I353&lt;&gt;"Yes, I'm available for in-person interviews at Chennai",$E353&lt;&gt;"Yes",$P353&lt;&gt;"Yes"),"No",IF(($Q353-$S353)&gt;0,"Yes","No"))</f>
        <v>No</v>
      </c>
      <c r="U353" s="46" t="str">
        <f aca="false">IF($M353="","No",IF(COUNTIFS(MasterPanel!$B:$B,$H353,MasterPanel!$I:$I,$M353,MasterPanel!$K:$K,"Y")&gt;0,"Yes","No"))</f>
        <v>No</v>
      </c>
      <c r="V353" s="46" t="n">
        <f aca="false">IF($M353="",0,IF(COUNTIF('Gap Sheet'!$A$6:$A$11,TRIM($L353))=0,0,IF($O353="R1",INDEX('Gap Sheet'!$C$6:$C$11,MATCH(TRIM($L353),'Gap Sheet'!$A$6:$A$11,0)),INDEX('Gap Sheet'!$G$6:$G$11,MATCH(TRIM($L353),'Gap Sheet'!$A$6:$A$11,0)))))</f>
        <v>0</v>
      </c>
      <c r="W353" s="46" t="str">
        <f aca="false">IF($M353="","",$M353&amp;"|"&amp;$O353)</f>
        <v/>
      </c>
      <c r="X353" s="46" t="n">
        <f aca="false">IF($W353="",0,COUNTIF($AA$4:$AA352,$W353))</f>
        <v>0</v>
      </c>
      <c r="Y353" s="46" t="str">
        <f aca="false">IF(OR($I353&lt;&gt;"Yes, I'm available for in-person interviews at Chennai",$E353&lt;&gt;"Yes",$T353="Yes",$U353&lt;&gt;"Yes"),"No",IF(($V353-$X353)&gt;0,"Yes","No"))</f>
        <v>No</v>
      </c>
      <c r="Z353" s="46" t="str">
        <f aca="false">IF($T353="Yes","Primary",IF($Y353="Yes","Secondary",""))</f>
        <v/>
      </c>
      <c r="AA353" s="46" t="str">
        <f aca="false">IF($Z353="Primary",$R353,IF($Z353="Secondary",$W353,""))</f>
        <v/>
      </c>
      <c r="AB353" s="46" t="str">
        <f aca="false">IF($Z353="Primary","Matched on primary skill",IF($Z353="Secondary","Matched on secondary skill (primary not approved or not required)",""))</f>
        <v/>
      </c>
      <c r="AC353" s="47" t="str">
        <f aca="false">IF($D353="Panel Details",$F353,"")</f>
        <v/>
      </c>
      <c r="AD353" s="46" t="str">
        <f aca="false">IF($D353="Panel Details",'Survey Response'!$D351,"")</f>
        <v/>
      </c>
      <c r="AE353" s="46" t="str">
        <f aca="false">IF($D353="Panel Details",'Survey Response'!$E351,"")</f>
        <v/>
      </c>
      <c r="AF353" s="46" t="str">
        <f aca="false">IF($D353="Panel Details",'Survey Response'!$G351,"")</f>
        <v/>
      </c>
      <c r="AG353" s="46" t="str">
        <f aca="false">IF($D353="Panel Details",IF($Z353="Primary",$J353,$L353),"")</f>
        <v/>
      </c>
      <c r="AH353" s="46" t="str">
        <f aca="false">IF($D353="Panel Details",IF($Z353="Primary",$L353,$J353),"")</f>
        <v/>
      </c>
      <c r="AI353" s="46" t="str">
        <f aca="false">IF($D353="Panel Details",'Survey Response'!$H351,"")</f>
        <v/>
      </c>
      <c r="AJ353" s="46" t="str">
        <f aca="false">IF($D353="Panel Details",'Survey Response'!$M351,"")</f>
        <v/>
      </c>
      <c r="AK353" s="46" t="str">
        <f aca="false">IF($D353="Panel Details",$O353,"")</f>
        <v/>
      </c>
      <c r="AL353" s="46" t="str">
        <f aca="false">IF($D353="Panel Details",8,"")</f>
        <v/>
      </c>
      <c r="AM353" s="46" t="str">
        <f aca="false">IF($D353="Panel Details",$AB353,"")</f>
        <v/>
      </c>
      <c r="AN353" s="46" t="str">
        <f aca="false">IF($D353="Panel Details","Yes","")</f>
        <v/>
      </c>
      <c r="AO353" s="46"/>
      <c r="AP353" s="46" t="str">
        <f aca="false">IF($D353="Followup",'Survey Response'!$D351,"")</f>
        <v/>
      </c>
      <c r="AQ353" s="46" t="str">
        <f aca="false">IF($D353="Followup",'Survey Response'!$E351,"")</f>
        <v/>
      </c>
      <c r="AR353" s="46" t="str">
        <f aca="false">IF($D353="Followup",'Survey Response'!$G351,"")</f>
        <v/>
      </c>
      <c r="AS353" s="46" t="str">
        <f aca="false">IF($D353="Followup",'Survey Response'!$H351,"")</f>
        <v/>
      </c>
      <c r="AT353" s="46" t="str">
        <f aca="false">IF($D353="Followup",'Survey Response'!$M351,"")</f>
        <v/>
      </c>
      <c r="AU353" s="46" t="str">
        <f aca="false">IF($D353="Followup",'Survey Response'!$K351,"")</f>
        <v/>
      </c>
      <c r="AV353" s="46" t="str">
        <f aca="false">IF($D353="Followup",'Survey Response'!$L351,"")</f>
        <v/>
      </c>
      <c r="AW353" s="46" t="str">
        <f aca="false">IF($D353="Followup",IF(AND($P353&lt;&gt;"Yes",$U353&lt;&gt;"Yes"),"Not approved for primary or secondary skill","Approved, but skill(s) no longer have capacity (fully staffed)"),"")</f>
        <v/>
      </c>
    </row>
    <row r="354" customFormat="false" ht="15" hidden="false" customHeight="true" outlineLevel="0" collapsed="false">
      <c r="A354" s="46" t="str">
        <f aca="false">IF('Survey Response'!$D352="","",'Survey Response'!$A352&amp;"|"&amp;LOWER(TRIM('Survey Response'!$D352)))</f>
        <v/>
      </c>
      <c r="B354" s="46" t="str">
        <f aca="false">IF($H354="","",$F354&amp;"|"&amp;$H354)</f>
        <v/>
      </c>
      <c r="C354" s="46" t="str">
        <f aca="false">IF($H354="","",$A354=$B354)</f>
        <v/>
      </c>
      <c r="D354" s="46" t="str">
        <f aca="false">IF($H354="","",IF($E354&lt;&gt;"Yes","Superseded",IF($I354&lt;&gt;"Yes, I'm available for in-person interviews at Chennai","Not Available",IF($Z354&lt;&gt;"","Panel Details","Followup"))))</f>
        <v/>
      </c>
      <c r="E354" s="46" t="str">
        <f aca="false">IF($H354="","",IF(SUMPRODUCT(($H$4:$H$503=$H354)*(($G$4:$G$503&gt;$G354)+($G$4:$G$503=$G354)*($F$4:$F$503&gt;$F354)))=0,"Yes","No"))</f>
        <v/>
      </c>
      <c r="F354" s="47" t="str">
        <f aca="false">IF('Survey Response'!$D352="","",INT('Survey Response'!$A352))</f>
        <v/>
      </c>
      <c r="G354" s="46" t="str">
        <f aca="false">IF('Survey Response'!$D352="","",'Survey Response'!$C352)</f>
        <v/>
      </c>
      <c r="H354" s="46" t="str">
        <f aca="false">IF('Survey Response'!$D352="","",LOWER(TRIM('Survey Response'!$D352)))</f>
        <v/>
      </c>
      <c r="I354" s="46" t="str">
        <f aca="false">IF($H354="","",'Survey Response'!$I352)</f>
        <v/>
      </c>
      <c r="J354" s="46" t="str">
        <f aca="false">IF($H354="","",'Survey Response'!$K352)</f>
        <v/>
      </c>
      <c r="K354" s="46" t="str">
        <f aca="false">IF($J354="","",IF(COUNTIF('Skill Mapping'!$A$2:$A$7,TRIM($J354))=0,"",INDEX('Skill Mapping'!$B$2:$B$7,MATCH(TRIM($J354),'Skill Mapping'!$A$2:$A$7,0))))</f>
        <v/>
      </c>
      <c r="L354" s="46" t="str">
        <f aca="false">IF($H354="","",'Survey Response'!$L352)</f>
        <v/>
      </c>
      <c r="M354" s="46" t="str">
        <f aca="false">IF($L354="","",IF(COUNTIF('Skill Mapping'!$A$2:$A$7,TRIM($L354))=0,"",INDEX('Skill Mapping'!$B$2:$B$7,MATCH(TRIM($L354),'Skill Mapping'!$A$2:$A$7,0))))</f>
        <v/>
      </c>
      <c r="N354" s="46" t="str">
        <f aca="false">IF($H354="","",'Survey Response'!$M352)</f>
        <v/>
      </c>
      <c r="O354" s="46" t="str">
        <f aca="false">IF($H354="","",IF('Survey Response'!$M352="Manager","R2","R1"))</f>
        <v/>
      </c>
      <c r="P354" s="46" t="str">
        <f aca="false">IF($K354="","No",IF(COUNTIFS(MasterPanel!$B:$B,$H354,MasterPanel!$I:$I,$K354,MasterPanel!$K:$K,"Y")&gt;0,"Yes","No"))</f>
        <v>No</v>
      </c>
      <c r="Q354" s="46" t="n">
        <f aca="false">IF($K354="",0,IF(COUNTIF('Gap Sheet'!$A$6:$A$11,TRIM($J354))=0,0,IF($O354="R1",INDEX('Gap Sheet'!$C$6:$C$11,MATCH(TRIM($J354),'Gap Sheet'!$A$6:$A$11,0)),INDEX('Gap Sheet'!$G$6:$G$11,MATCH(TRIM($J354),'Gap Sheet'!$A$6:$A$11,0)))))</f>
        <v>0</v>
      </c>
      <c r="R354" s="46" t="str">
        <f aca="false">IF($K354="","",$K354&amp;"|"&amp;$O354)</f>
        <v/>
      </c>
      <c r="S354" s="46" t="n">
        <f aca="false">IF($R354="",0,COUNTIF($AA$4:$AA353,$R354))</f>
        <v>0</v>
      </c>
      <c r="T354" s="46" t="str">
        <f aca="false">IF(OR($I354&lt;&gt;"Yes, I'm available for in-person interviews at Chennai",$E354&lt;&gt;"Yes",$P354&lt;&gt;"Yes"),"No",IF(($Q354-$S354)&gt;0,"Yes","No"))</f>
        <v>No</v>
      </c>
      <c r="U354" s="46" t="str">
        <f aca="false">IF($M354="","No",IF(COUNTIFS(MasterPanel!$B:$B,$H354,MasterPanel!$I:$I,$M354,MasterPanel!$K:$K,"Y")&gt;0,"Yes","No"))</f>
        <v>No</v>
      </c>
      <c r="V354" s="46" t="n">
        <f aca="false">IF($M354="",0,IF(COUNTIF('Gap Sheet'!$A$6:$A$11,TRIM($L354))=0,0,IF($O354="R1",INDEX('Gap Sheet'!$C$6:$C$11,MATCH(TRIM($L354),'Gap Sheet'!$A$6:$A$11,0)),INDEX('Gap Sheet'!$G$6:$G$11,MATCH(TRIM($L354),'Gap Sheet'!$A$6:$A$11,0)))))</f>
        <v>0</v>
      </c>
      <c r="W354" s="46" t="str">
        <f aca="false">IF($M354="","",$M354&amp;"|"&amp;$O354)</f>
        <v/>
      </c>
      <c r="X354" s="46" t="n">
        <f aca="false">IF($W354="",0,COUNTIF($AA$4:$AA353,$W354))</f>
        <v>0</v>
      </c>
      <c r="Y354" s="46" t="str">
        <f aca="false">IF(OR($I354&lt;&gt;"Yes, I'm available for in-person interviews at Chennai",$E354&lt;&gt;"Yes",$T354="Yes",$U354&lt;&gt;"Yes"),"No",IF(($V354-$X354)&gt;0,"Yes","No"))</f>
        <v>No</v>
      </c>
      <c r="Z354" s="46" t="str">
        <f aca="false">IF($T354="Yes","Primary",IF($Y354="Yes","Secondary",""))</f>
        <v/>
      </c>
      <c r="AA354" s="46" t="str">
        <f aca="false">IF($Z354="Primary",$R354,IF($Z354="Secondary",$W354,""))</f>
        <v/>
      </c>
      <c r="AB354" s="46" t="str">
        <f aca="false">IF($Z354="Primary","Matched on primary skill",IF($Z354="Secondary","Matched on secondary skill (primary not approved or not required)",""))</f>
        <v/>
      </c>
      <c r="AC354" s="47" t="str">
        <f aca="false">IF($D354="Panel Details",$F354,"")</f>
        <v/>
      </c>
      <c r="AD354" s="46" t="str">
        <f aca="false">IF($D354="Panel Details",'Survey Response'!$D352,"")</f>
        <v/>
      </c>
      <c r="AE354" s="46" t="str">
        <f aca="false">IF($D354="Panel Details",'Survey Response'!$E352,"")</f>
        <v/>
      </c>
      <c r="AF354" s="46" t="str">
        <f aca="false">IF($D354="Panel Details",'Survey Response'!$G352,"")</f>
        <v/>
      </c>
      <c r="AG354" s="46" t="str">
        <f aca="false">IF($D354="Panel Details",IF($Z354="Primary",$J354,$L354),"")</f>
        <v/>
      </c>
      <c r="AH354" s="46" t="str">
        <f aca="false">IF($D354="Panel Details",IF($Z354="Primary",$L354,$J354),"")</f>
        <v/>
      </c>
      <c r="AI354" s="46" t="str">
        <f aca="false">IF($D354="Panel Details",'Survey Response'!$H352,"")</f>
        <v/>
      </c>
      <c r="AJ354" s="46" t="str">
        <f aca="false">IF($D354="Panel Details",'Survey Response'!$M352,"")</f>
        <v/>
      </c>
      <c r="AK354" s="46" t="str">
        <f aca="false">IF($D354="Panel Details",$O354,"")</f>
        <v/>
      </c>
      <c r="AL354" s="46" t="str">
        <f aca="false">IF($D354="Panel Details",8,"")</f>
        <v/>
      </c>
      <c r="AM354" s="46" t="str">
        <f aca="false">IF($D354="Panel Details",$AB354,"")</f>
        <v/>
      </c>
      <c r="AN354" s="46" t="str">
        <f aca="false">IF($D354="Panel Details","Yes","")</f>
        <v/>
      </c>
      <c r="AO354" s="46"/>
      <c r="AP354" s="46" t="str">
        <f aca="false">IF($D354="Followup",'Survey Response'!$D352,"")</f>
        <v/>
      </c>
      <c r="AQ354" s="46" t="str">
        <f aca="false">IF($D354="Followup",'Survey Response'!$E352,"")</f>
        <v/>
      </c>
      <c r="AR354" s="46" t="str">
        <f aca="false">IF($D354="Followup",'Survey Response'!$G352,"")</f>
        <v/>
      </c>
      <c r="AS354" s="46" t="str">
        <f aca="false">IF($D354="Followup",'Survey Response'!$H352,"")</f>
        <v/>
      </c>
      <c r="AT354" s="46" t="str">
        <f aca="false">IF($D354="Followup",'Survey Response'!$M352,"")</f>
        <v/>
      </c>
      <c r="AU354" s="46" t="str">
        <f aca="false">IF($D354="Followup",'Survey Response'!$K352,"")</f>
        <v/>
      </c>
      <c r="AV354" s="46" t="str">
        <f aca="false">IF($D354="Followup",'Survey Response'!$L352,"")</f>
        <v/>
      </c>
      <c r="AW354" s="46" t="str">
        <f aca="false">IF($D354="Followup",IF(AND($P354&lt;&gt;"Yes",$U354&lt;&gt;"Yes"),"Not approved for primary or secondary skill","Approved, but skill(s) no longer have capacity (fully staffed)"),"")</f>
        <v/>
      </c>
    </row>
    <row r="355" customFormat="false" ht="15" hidden="false" customHeight="true" outlineLevel="0" collapsed="false">
      <c r="A355" s="46" t="str">
        <f aca="false">IF('Survey Response'!$D353="","",'Survey Response'!$A353&amp;"|"&amp;LOWER(TRIM('Survey Response'!$D353)))</f>
        <v/>
      </c>
      <c r="B355" s="46" t="str">
        <f aca="false">IF($H355="","",$F355&amp;"|"&amp;$H355)</f>
        <v/>
      </c>
      <c r="C355" s="46" t="str">
        <f aca="false">IF($H355="","",$A355=$B355)</f>
        <v/>
      </c>
      <c r="D355" s="46" t="str">
        <f aca="false">IF($H355="","",IF($E355&lt;&gt;"Yes","Superseded",IF($I355&lt;&gt;"Yes, I'm available for in-person interviews at Chennai","Not Available",IF($Z355&lt;&gt;"","Panel Details","Followup"))))</f>
        <v/>
      </c>
      <c r="E355" s="46" t="str">
        <f aca="false">IF($H355="","",IF(SUMPRODUCT(($H$4:$H$503=$H355)*(($G$4:$G$503&gt;$G355)+($G$4:$G$503=$G355)*($F$4:$F$503&gt;$F355)))=0,"Yes","No"))</f>
        <v/>
      </c>
      <c r="F355" s="47" t="str">
        <f aca="false">IF('Survey Response'!$D353="","",INT('Survey Response'!$A353))</f>
        <v/>
      </c>
      <c r="G355" s="46" t="str">
        <f aca="false">IF('Survey Response'!$D353="","",'Survey Response'!$C353)</f>
        <v/>
      </c>
      <c r="H355" s="46" t="str">
        <f aca="false">IF('Survey Response'!$D353="","",LOWER(TRIM('Survey Response'!$D353)))</f>
        <v/>
      </c>
      <c r="I355" s="46" t="str">
        <f aca="false">IF($H355="","",'Survey Response'!$I353)</f>
        <v/>
      </c>
      <c r="J355" s="46" t="str">
        <f aca="false">IF($H355="","",'Survey Response'!$K353)</f>
        <v/>
      </c>
      <c r="K355" s="46" t="str">
        <f aca="false">IF($J355="","",IF(COUNTIF('Skill Mapping'!$A$2:$A$7,TRIM($J355))=0,"",INDEX('Skill Mapping'!$B$2:$B$7,MATCH(TRIM($J355),'Skill Mapping'!$A$2:$A$7,0))))</f>
        <v/>
      </c>
      <c r="L355" s="46" t="str">
        <f aca="false">IF($H355="","",'Survey Response'!$L353)</f>
        <v/>
      </c>
      <c r="M355" s="46" t="str">
        <f aca="false">IF($L355="","",IF(COUNTIF('Skill Mapping'!$A$2:$A$7,TRIM($L355))=0,"",INDEX('Skill Mapping'!$B$2:$B$7,MATCH(TRIM($L355),'Skill Mapping'!$A$2:$A$7,0))))</f>
        <v/>
      </c>
      <c r="N355" s="46" t="str">
        <f aca="false">IF($H355="","",'Survey Response'!$M353)</f>
        <v/>
      </c>
      <c r="O355" s="46" t="str">
        <f aca="false">IF($H355="","",IF('Survey Response'!$M353="Manager","R2","R1"))</f>
        <v/>
      </c>
      <c r="P355" s="46" t="str">
        <f aca="false">IF($K355="","No",IF(COUNTIFS(MasterPanel!$B:$B,$H355,MasterPanel!$I:$I,$K355,MasterPanel!$K:$K,"Y")&gt;0,"Yes","No"))</f>
        <v>No</v>
      </c>
      <c r="Q355" s="46" t="n">
        <f aca="false">IF($K355="",0,IF(COUNTIF('Gap Sheet'!$A$6:$A$11,TRIM($J355))=0,0,IF($O355="R1",INDEX('Gap Sheet'!$C$6:$C$11,MATCH(TRIM($J355),'Gap Sheet'!$A$6:$A$11,0)),INDEX('Gap Sheet'!$G$6:$G$11,MATCH(TRIM($J355),'Gap Sheet'!$A$6:$A$11,0)))))</f>
        <v>0</v>
      </c>
      <c r="R355" s="46" t="str">
        <f aca="false">IF($K355="","",$K355&amp;"|"&amp;$O355)</f>
        <v/>
      </c>
      <c r="S355" s="46" t="n">
        <f aca="false">IF($R355="",0,COUNTIF($AA$4:$AA354,$R355))</f>
        <v>0</v>
      </c>
      <c r="T355" s="46" t="str">
        <f aca="false">IF(OR($I355&lt;&gt;"Yes, I'm available for in-person interviews at Chennai",$E355&lt;&gt;"Yes",$P355&lt;&gt;"Yes"),"No",IF(($Q355-$S355)&gt;0,"Yes","No"))</f>
        <v>No</v>
      </c>
      <c r="U355" s="46" t="str">
        <f aca="false">IF($M355="","No",IF(COUNTIFS(MasterPanel!$B:$B,$H355,MasterPanel!$I:$I,$M355,MasterPanel!$K:$K,"Y")&gt;0,"Yes","No"))</f>
        <v>No</v>
      </c>
      <c r="V355" s="46" t="n">
        <f aca="false">IF($M355="",0,IF(COUNTIF('Gap Sheet'!$A$6:$A$11,TRIM($L355))=0,0,IF($O355="R1",INDEX('Gap Sheet'!$C$6:$C$11,MATCH(TRIM($L355),'Gap Sheet'!$A$6:$A$11,0)),INDEX('Gap Sheet'!$G$6:$G$11,MATCH(TRIM($L355),'Gap Sheet'!$A$6:$A$11,0)))))</f>
        <v>0</v>
      </c>
      <c r="W355" s="46" t="str">
        <f aca="false">IF($M355="","",$M355&amp;"|"&amp;$O355)</f>
        <v/>
      </c>
      <c r="X355" s="46" t="n">
        <f aca="false">IF($W355="",0,COUNTIF($AA$4:$AA354,$W355))</f>
        <v>0</v>
      </c>
      <c r="Y355" s="46" t="str">
        <f aca="false">IF(OR($I355&lt;&gt;"Yes, I'm available for in-person interviews at Chennai",$E355&lt;&gt;"Yes",$T355="Yes",$U355&lt;&gt;"Yes"),"No",IF(($V355-$X355)&gt;0,"Yes","No"))</f>
        <v>No</v>
      </c>
      <c r="Z355" s="46" t="str">
        <f aca="false">IF($T355="Yes","Primary",IF($Y355="Yes","Secondary",""))</f>
        <v/>
      </c>
      <c r="AA355" s="46" t="str">
        <f aca="false">IF($Z355="Primary",$R355,IF($Z355="Secondary",$W355,""))</f>
        <v/>
      </c>
      <c r="AB355" s="46" t="str">
        <f aca="false">IF($Z355="Primary","Matched on primary skill",IF($Z355="Secondary","Matched on secondary skill (primary not approved or not required)",""))</f>
        <v/>
      </c>
      <c r="AC355" s="47" t="str">
        <f aca="false">IF($D355="Panel Details",$F355,"")</f>
        <v/>
      </c>
      <c r="AD355" s="46" t="str">
        <f aca="false">IF($D355="Panel Details",'Survey Response'!$D353,"")</f>
        <v/>
      </c>
      <c r="AE355" s="46" t="str">
        <f aca="false">IF($D355="Panel Details",'Survey Response'!$E353,"")</f>
        <v/>
      </c>
      <c r="AF355" s="46" t="str">
        <f aca="false">IF($D355="Panel Details",'Survey Response'!$G353,"")</f>
        <v/>
      </c>
      <c r="AG355" s="46" t="str">
        <f aca="false">IF($D355="Panel Details",IF($Z355="Primary",$J355,$L355),"")</f>
        <v/>
      </c>
      <c r="AH355" s="46" t="str">
        <f aca="false">IF($D355="Panel Details",IF($Z355="Primary",$L355,$J355),"")</f>
        <v/>
      </c>
      <c r="AI355" s="46" t="str">
        <f aca="false">IF($D355="Panel Details",'Survey Response'!$H353,"")</f>
        <v/>
      </c>
      <c r="AJ355" s="46" t="str">
        <f aca="false">IF($D355="Panel Details",'Survey Response'!$M353,"")</f>
        <v/>
      </c>
      <c r="AK355" s="46" t="str">
        <f aca="false">IF($D355="Panel Details",$O355,"")</f>
        <v/>
      </c>
      <c r="AL355" s="46" t="str">
        <f aca="false">IF($D355="Panel Details",8,"")</f>
        <v/>
      </c>
      <c r="AM355" s="46" t="str">
        <f aca="false">IF($D355="Panel Details",$AB355,"")</f>
        <v/>
      </c>
      <c r="AN355" s="46" t="str">
        <f aca="false">IF($D355="Panel Details","Yes","")</f>
        <v/>
      </c>
      <c r="AO355" s="46"/>
      <c r="AP355" s="46" t="str">
        <f aca="false">IF($D355="Followup",'Survey Response'!$D353,"")</f>
        <v/>
      </c>
      <c r="AQ355" s="46" t="str">
        <f aca="false">IF($D355="Followup",'Survey Response'!$E353,"")</f>
        <v/>
      </c>
      <c r="AR355" s="46" t="str">
        <f aca="false">IF($D355="Followup",'Survey Response'!$G353,"")</f>
        <v/>
      </c>
      <c r="AS355" s="46" t="str">
        <f aca="false">IF($D355="Followup",'Survey Response'!$H353,"")</f>
        <v/>
      </c>
      <c r="AT355" s="46" t="str">
        <f aca="false">IF($D355="Followup",'Survey Response'!$M353,"")</f>
        <v/>
      </c>
      <c r="AU355" s="46" t="str">
        <f aca="false">IF($D355="Followup",'Survey Response'!$K353,"")</f>
        <v/>
      </c>
      <c r="AV355" s="46" t="str">
        <f aca="false">IF($D355="Followup",'Survey Response'!$L353,"")</f>
        <v/>
      </c>
      <c r="AW355" s="46" t="str">
        <f aca="false">IF($D355="Followup",IF(AND($P355&lt;&gt;"Yes",$U355&lt;&gt;"Yes"),"Not approved for primary or secondary skill","Approved, but skill(s) no longer have capacity (fully staffed)"),"")</f>
        <v/>
      </c>
    </row>
    <row r="356" customFormat="false" ht="15" hidden="false" customHeight="true" outlineLevel="0" collapsed="false">
      <c r="A356" s="46" t="str">
        <f aca="false">IF('Survey Response'!$D354="","",'Survey Response'!$A354&amp;"|"&amp;LOWER(TRIM('Survey Response'!$D354)))</f>
        <v/>
      </c>
      <c r="B356" s="46" t="str">
        <f aca="false">IF($H356="","",$F356&amp;"|"&amp;$H356)</f>
        <v/>
      </c>
      <c r="C356" s="46" t="str">
        <f aca="false">IF($H356="","",$A356=$B356)</f>
        <v/>
      </c>
      <c r="D356" s="46" t="str">
        <f aca="false">IF($H356="","",IF($E356&lt;&gt;"Yes","Superseded",IF($I356&lt;&gt;"Yes, I'm available for in-person interviews at Chennai","Not Available",IF($Z356&lt;&gt;"","Panel Details","Followup"))))</f>
        <v/>
      </c>
      <c r="E356" s="46" t="str">
        <f aca="false">IF($H356="","",IF(SUMPRODUCT(($H$4:$H$503=$H356)*(($G$4:$G$503&gt;$G356)+($G$4:$G$503=$G356)*($F$4:$F$503&gt;$F356)))=0,"Yes","No"))</f>
        <v/>
      </c>
      <c r="F356" s="47" t="str">
        <f aca="false">IF('Survey Response'!$D354="","",INT('Survey Response'!$A354))</f>
        <v/>
      </c>
      <c r="G356" s="46" t="str">
        <f aca="false">IF('Survey Response'!$D354="","",'Survey Response'!$C354)</f>
        <v/>
      </c>
      <c r="H356" s="46" t="str">
        <f aca="false">IF('Survey Response'!$D354="","",LOWER(TRIM('Survey Response'!$D354)))</f>
        <v/>
      </c>
      <c r="I356" s="46" t="str">
        <f aca="false">IF($H356="","",'Survey Response'!$I354)</f>
        <v/>
      </c>
      <c r="J356" s="46" t="str">
        <f aca="false">IF($H356="","",'Survey Response'!$K354)</f>
        <v/>
      </c>
      <c r="K356" s="46" t="str">
        <f aca="false">IF($J356="","",IF(COUNTIF('Skill Mapping'!$A$2:$A$7,TRIM($J356))=0,"",INDEX('Skill Mapping'!$B$2:$B$7,MATCH(TRIM($J356),'Skill Mapping'!$A$2:$A$7,0))))</f>
        <v/>
      </c>
      <c r="L356" s="46" t="str">
        <f aca="false">IF($H356="","",'Survey Response'!$L354)</f>
        <v/>
      </c>
      <c r="M356" s="46" t="str">
        <f aca="false">IF($L356="","",IF(COUNTIF('Skill Mapping'!$A$2:$A$7,TRIM($L356))=0,"",INDEX('Skill Mapping'!$B$2:$B$7,MATCH(TRIM($L356),'Skill Mapping'!$A$2:$A$7,0))))</f>
        <v/>
      </c>
      <c r="N356" s="46" t="str">
        <f aca="false">IF($H356="","",'Survey Response'!$M354)</f>
        <v/>
      </c>
      <c r="O356" s="46" t="str">
        <f aca="false">IF($H356="","",IF('Survey Response'!$M354="Manager","R2","R1"))</f>
        <v/>
      </c>
      <c r="P356" s="46" t="str">
        <f aca="false">IF($K356="","No",IF(COUNTIFS(MasterPanel!$B:$B,$H356,MasterPanel!$I:$I,$K356,MasterPanel!$K:$K,"Y")&gt;0,"Yes","No"))</f>
        <v>No</v>
      </c>
      <c r="Q356" s="46" t="n">
        <f aca="false">IF($K356="",0,IF(COUNTIF('Gap Sheet'!$A$6:$A$11,TRIM($J356))=0,0,IF($O356="R1",INDEX('Gap Sheet'!$C$6:$C$11,MATCH(TRIM($J356),'Gap Sheet'!$A$6:$A$11,0)),INDEX('Gap Sheet'!$G$6:$G$11,MATCH(TRIM($J356),'Gap Sheet'!$A$6:$A$11,0)))))</f>
        <v>0</v>
      </c>
      <c r="R356" s="46" t="str">
        <f aca="false">IF($K356="","",$K356&amp;"|"&amp;$O356)</f>
        <v/>
      </c>
      <c r="S356" s="46" t="n">
        <f aca="false">IF($R356="",0,COUNTIF($AA$4:$AA355,$R356))</f>
        <v>0</v>
      </c>
      <c r="T356" s="46" t="str">
        <f aca="false">IF(OR($I356&lt;&gt;"Yes, I'm available for in-person interviews at Chennai",$E356&lt;&gt;"Yes",$P356&lt;&gt;"Yes"),"No",IF(($Q356-$S356)&gt;0,"Yes","No"))</f>
        <v>No</v>
      </c>
      <c r="U356" s="46" t="str">
        <f aca="false">IF($M356="","No",IF(COUNTIFS(MasterPanel!$B:$B,$H356,MasterPanel!$I:$I,$M356,MasterPanel!$K:$K,"Y")&gt;0,"Yes","No"))</f>
        <v>No</v>
      </c>
      <c r="V356" s="46" t="n">
        <f aca="false">IF($M356="",0,IF(COUNTIF('Gap Sheet'!$A$6:$A$11,TRIM($L356))=0,0,IF($O356="R1",INDEX('Gap Sheet'!$C$6:$C$11,MATCH(TRIM($L356),'Gap Sheet'!$A$6:$A$11,0)),INDEX('Gap Sheet'!$G$6:$G$11,MATCH(TRIM($L356),'Gap Sheet'!$A$6:$A$11,0)))))</f>
        <v>0</v>
      </c>
      <c r="W356" s="46" t="str">
        <f aca="false">IF($M356="","",$M356&amp;"|"&amp;$O356)</f>
        <v/>
      </c>
      <c r="X356" s="46" t="n">
        <f aca="false">IF($W356="",0,COUNTIF($AA$4:$AA355,$W356))</f>
        <v>0</v>
      </c>
      <c r="Y356" s="46" t="str">
        <f aca="false">IF(OR($I356&lt;&gt;"Yes, I'm available for in-person interviews at Chennai",$E356&lt;&gt;"Yes",$T356="Yes",$U356&lt;&gt;"Yes"),"No",IF(($V356-$X356)&gt;0,"Yes","No"))</f>
        <v>No</v>
      </c>
      <c r="Z356" s="46" t="str">
        <f aca="false">IF($T356="Yes","Primary",IF($Y356="Yes","Secondary",""))</f>
        <v/>
      </c>
      <c r="AA356" s="46" t="str">
        <f aca="false">IF($Z356="Primary",$R356,IF($Z356="Secondary",$W356,""))</f>
        <v/>
      </c>
      <c r="AB356" s="46" t="str">
        <f aca="false">IF($Z356="Primary","Matched on primary skill",IF($Z356="Secondary","Matched on secondary skill (primary not approved or not required)",""))</f>
        <v/>
      </c>
      <c r="AC356" s="47" t="str">
        <f aca="false">IF($D356="Panel Details",$F356,"")</f>
        <v/>
      </c>
      <c r="AD356" s="46" t="str">
        <f aca="false">IF($D356="Panel Details",'Survey Response'!$D354,"")</f>
        <v/>
      </c>
      <c r="AE356" s="46" t="str">
        <f aca="false">IF($D356="Panel Details",'Survey Response'!$E354,"")</f>
        <v/>
      </c>
      <c r="AF356" s="46" t="str">
        <f aca="false">IF($D356="Panel Details",'Survey Response'!$G354,"")</f>
        <v/>
      </c>
      <c r="AG356" s="46" t="str">
        <f aca="false">IF($D356="Panel Details",IF($Z356="Primary",$J356,$L356),"")</f>
        <v/>
      </c>
      <c r="AH356" s="46" t="str">
        <f aca="false">IF($D356="Panel Details",IF($Z356="Primary",$L356,$J356),"")</f>
        <v/>
      </c>
      <c r="AI356" s="46" t="str">
        <f aca="false">IF($D356="Panel Details",'Survey Response'!$H354,"")</f>
        <v/>
      </c>
      <c r="AJ356" s="46" t="str">
        <f aca="false">IF($D356="Panel Details",'Survey Response'!$M354,"")</f>
        <v/>
      </c>
      <c r="AK356" s="46" t="str">
        <f aca="false">IF($D356="Panel Details",$O356,"")</f>
        <v/>
      </c>
      <c r="AL356" s="46" t="str">
        <f aca="false">IF($D356="Panel Details",8,"")</f>
        <v/>
      </c>
      <c r="AM356" s="46" t="str">
        <f aca="false">IF($D356="Panel Details",$AB356,"")</f>
        <v/>
      </c>
      <c r="AN356" s="46" t="str">
        <f aca="false">IF($D356="Panel Details","Yes","")</f>
        <v/>
      </c>
      <c r="AO356" s="46"/>
      <c r="AP356" s="46" t="str">
        <f aca="false">IF($D356="Followup",'Survey Response'!$D354,"")</f>
        <v/>
      </c>
      <c r="AQ356" s="46" t="str">
        <f aca="false">IF($D356="Followup",'Survey Response'!$E354,"")</f>
        <v/>
      </c>
      <c r="AR356" s="46" t="str">
        <f aca="false">IF($D356="Followup",'Survey Response'!$G354,"")</f>
        <v/>
      </c>
      <c r="AS356" s="46" t="str">
        <f aca="false">IF($D356="Followup",'Survey Response'!$H354,"")</f>
        <v/>
      </c>
      <c r="AT356" s="46" t="str">
        <f aca="false">IF($D356="Followup",'Survey Response'!$M354,"")</f>
        <v/>
      </c>
      <c r="AU356" s="46" t="str">
        <f aca="false">IF($D356="Followup",'Survey Response'!$K354,"")</f>
        <v/>
      </c>
      <c r="AV356" s="46" t="str">
        <f aca="false">IF($D356="Followup",'Survey Response'!$L354,"")</f>
        <v/>
      </c>
      <c r="AW356" s="46" t="str">
        <f aca="false">IF($D356="Followup",IF(AND($P356&lt;&gt;"Yes",$U356&lt;&gt;"Yes"),"Not approved for primary or secondary skill","Approved, but skill(s) no longer have capacity (fully staffed)"),"")</f>
        <v/>
      </c>
    </row>
    <row r="357" customFormat="false" ht="15" hidden="false" customHeight="true" outlineLevel="0" collapsed="false">
      <c r="A357" s="46" t="str">
        <f aca="false">IF('Survey Response'!$D355="","",'Survey Response'!$A355&amp;"|"&amp;LOWER(TRIM('Survey Response'!$D355)))</f>
        <v/>
      </c>
      <c r="B357" s="46" t="str">
        <f aca="false">IF($H357="","",$F357&amp;"|"&amp;$H357)</f>
        <v/>
      </c>
      <c r="C357" s="46" t="str">
        <f aca="false">IF($H357="","",$A357=$B357)</f>
        <v/>
      </c>
      <c r="D357" s="46" t="str">
        <f aca="false">IF($H357="","",IF($E357&lt;&gt;"Yes","Superseded",IF($I357&lt;&gt;"Yes, I'm available for in-person interviews at Chennai","Not Available",IF($Z357&lt;&gt;"","Panel Details","Followup"))))</f>
        <v/>
      </c>
      <c r="E357" s="46" t="str">
        <f aca="false">IF($H357="","",IF(SUMPRODUCT(($H$4:$H$503=$H357)*(($G$4:$G$503&gt;$G357)+($G$4:$G$503=$G357)*($F$4:$F$503&gt;$F357)))=0,"Yes","No"))</f>
        <v/>
      </c>
      <c r="F357" s="47" t="str">
        <f aca="false">IF('Survey Response'!$D355="","",INT('Survey Response'!$A355))</f>
        <v/>
      </c>
      <c r="G357" s="46" t="str">
        <f aca="false">IF('Survey Response'!$D355="","",'Survey Response'!$C355)</f>
        <v/>
      </c>
      <c r="H357" s="46" t="str">
        <f aca="false">IF('Survey Response'!$D355="","",LOWER(TRIM('Survey Response'!$D355)))</f>
        <v/>
      </c>
      <c r="I357" s="46" t="str">
        <f aca="false">IF($H357="","",'Survey Response'!$I355)</f>
        <v/>
      </c>
      <c r="J357" s="46" t="str">
        <f aca="false">IF($H357="","",'Survey Response'!$K355)</f>
        <v/>
      </c>
      <c r="K357" s="46" t="str">
        <f aca="false">IF($J357="","",IF(COUNTIF('Skill Mapping'!$A$2:$A$7,TRIM($J357))=0,"",INDEX('Skill Mapping'!$B$2:$B$7,MATCH(TRIM($J357),'Skill Mapping'!$A$2:$A$7,0))))</f>
        <v/>
      </c>
      <c r="L357" s="46" t="str">
        <f aca="false">IF($H357="","",'Survey Response'!$L355)</f>
        <v/>
      </c>
      <c r="M357" s="46" t="str">
        <f aca="false">IF($L357="","",IF(COUNTIF('Skill Mapping'!$A$2:$A$7,TRIM($L357))=0,"",INDEX('Skill Mapping'!$B$2:$B$7,MATCH(TRIM($L357),'Skill Mapping'!$A$2:$A$7,0))))</f>
        <v/>
      </c>
      <c r="N357" s="46" t="str">
        <f aca="false">IF($H357="","",'Survey Response'!$M355)</f>
        <v/>
      </c>
      <c r="O357" s="46" t="str">
        <f aca="false">IF($H357="","",IF('Survey Response'!$M355="Manager","R2","R1"))</f>
        <v/>
      </c>
      <c r="P357" s="46" t="str">
        <f aca="false">IF($K357="","No",IF(COUNTIFS(MasterPanel!$B:$B,$H357,MasterPanel!$I:$I,$K357,MasterPanel!$K:$K,"Y")&gt;0,"Yes","No"))</f>
        <v>No</v>
      </c>
      <c r="Q357" s="46" t="n">
        <f aca="false">IF($K357="",0,IF(COUNTIF('Gap Sheet'!$A$6:$A$11,TRIM($J357))=0,0,IF($O357="R1",INDEX('Gap Sheet'!$C$6:$C$11,MATCH(TRIM($J357),'Gap Sheet'!$A$6:$A$11,0)),INDEX('Gap Sheet'!$G$6:$G$11,MATCH(TRIM($J357),'Gap Sheet'!$A$6:$A$11,0)))))</f>
        <v>0</v>
      </c>
      <c r="R357" s="46" t="str">
        <f aca="false">IF($K357="","",$K357&amp;"|"&amp;$O357)</f>
        <v/>
      </c>
      <c r="S357" s="46" t="n">
        <f aca="false">IF($R357="",0,COUNTIF($AA$4:$AA356,$R357))</f>
        <v>0</v>
      </c>
      <c r="T357" s="46" t="str">
        <f aca="false">IF(OR($I357&lt;&gt;"Yes, I'm available for in-person interviews at Chennai",$E357&lt;&gt;"Yes",$P357&lt;&gt;"Yes"),"No",IF(($Q357-$S357)&gt;0,"Yes","No"))</f>
        <v>No</v>
      </c>
      <c r="U357" s="46" t="str">
        <f aca="false">IF($M357="","No",IF(COUNTIFS(MasterPanel!$B:$B,$H357,MasterPanel!$I:$I,$M357,MasterPanel!$K:$K,"Y")&gt;0,"Yes","No"))</f>
        <v>No</v>
      </c>
      <c r="V357" s="46" t="n">
        <f aca="false">IF($M357="",0,IF(COUNTIF('Gap Sheet'!$A$6:$A$11,TRIM($L357))=0,0,IF($O357="R1",INDEX('Gap Sheet'!$C$6:$C$11,MATCH(TRIM($L357),'Gap Sheet'!$A$6:$A$11,0)),INDEX('Gap Sheet'!$G$6:$G$11,MATCH(TRIM($L357),'Gap Sheet'!$A$6:$A$11,0)))))</f>
        <v>0</v>
      </c>
      <c r="W357" s="46" t="str">
        <f aca="false">IF($M357="","",$M357&amp;"|"&amp;$O357)</f>
        <v/>
      </c>
      <c r="X357" s="46" t="n">
        <f aca="false">IF($W357="",0,COUNTIF($AA$4:$AA356,$W357))</f>
        <v>0</v>
      </c>
      <c r="Y357" s="46" t="str">
        <f aca="false">IF(OR($I357&lt;&gt;"Yes, I'm available for in-person interviews at Chennai",$E357&lt;&gt;"Yes",$T357="Yes",$U357&lt;&gt;"Yes"),"No",IF(($V357-$X357)&gt;0,"Yes","No"))</f>
        <v>No</v>
      </c>
      <c r="Z357" s="46" t="str">
        <f aca="false">IF($T357="Yes","Primary",IF($Y357="Yes","Secondary",""))</f>
        <v/>
      </c>
      <c r="AA357" s="46" t="str">
        <f aca="false">IF($Z357="Primary",$R357,IF($Z357="Secondary",$W357,""))</f>
        <v/>
      </c>
      <c r="AB357" s="46" t="str">
        <f aca="false">IF($Z357="Primary","Matched on primary skill",IF($Z357="Secondary","Matched on secondary skill (primary not approved or not required)",""))</f>
        <v/>
      </c>
      <c r="AC357" s="47" t="str">
        <f aca="false">IF($D357="Panel Details",$F357,"")</f>
        <v/>
      </c>
      <c r="AD357" s="46" t="str">
        <f aca="false">IF($D357="Panel Details",'Survey Response'!$D355,"")</f>
        <v/>
      </c>
      <c r="AE357" s="46" t="str">
        <f aca="false">IF($D357="Panel Details",'Survey Response'!$E355,"")</f>
        <v/>
      </c>
      <c r="AF357" s="46" t="str">
        <f aca="false">IF($D357="Panel Details",'Survey Response'!$G355,"")</f>
        <v/>
      </c>
      <c r="AG357" s="46" t="str">
        <f aca="false">IF($D357="Panel Details",IF($Z357="Primary",$J357,$L357),"")</f>
        <v/>
      </c>
      <c r="AH357" s="46" t="str">
        <f aca="false">IF($D357="Panel Details",IF($Z357="Primary",$L357,$J357),"")</f>
        <v/>
      </c>
      <c r="AI357" s="46" t="str">
        <f aca="false">IF($D357="Panel Details",'Survey Response'!$H355,"")</f>
        <v/>
      </c>
      <c r="AJ357" s="46" t="str">
        <f aca="false">IF($D357="Panel Details",'Survey Response'!$M355,"")</f>
        <v/>
      </c>
      <c r="AK357" s="46" t="str">
        <f aca="false">IF($D357="Panel Details",$O357,"")</f>
        <v/>
      </c>
      <c r="AL357" s="46" t="str">
        <f aca="false">IF($D357="Panel Details",8,"")</f>
        <v/>
      </c>
      <c r="AM357" s="46" t="str">
        <f aca="false">IF($D357="Panel Details",$AB357,"")</f>
        <v/>
      </c>
      <c r="AN357" s="46" t="str">
        <f aca="false">IF($D357="Panel Details","Yes","")</f>
        <v/>
      </c>
      <c r="AO357" s="46"/>
      <c r="AP357" s="46" t="str">
        <f aca="false">IF($D357="Followup",'Survey Response'!$D355,"")</f>
        <v/>
      </c>
      <c r="AQ357" s="46" t="str">
        <f aca="false">IF($D357="Followup",'Survey Response'!$E355,"")</f>
        <v/>
      </c>
      <c r="AR357" s="46" t="str">
        <f aca="false">IF($D357="Followup",'Survey Response'!$G355,"")</f>
        <v/>
      </c>
      <c r="AS357" s="46" t="str">
        <f aca="false">IF($D357="Followup",'Survey Response'!$H355,"")</f>
        <v/>
      </c>
      <c r="AT357" s="46" t="str">
        <f aca="false">IF($D357="Followup",'Survey Response'!$M355,"")</f>
        <v/>
      </c>
      <c r="AU357" s="46" t="str">
        <f aca="false">IF($D357="Followup",'Survey Response'!$K355,"")</f>
        <v/>
      </c>
      <c r="AV357" s="46" t="str">
        <f aca="false">IF($D357="Followup",'Survey Response'!$L355,"")</f>
        <v/>
      </c>
      <c r="AW357" s="46" t="str">
        <f aca="false">IF($D357="Followup",IF(AND($P357&lt;&gt;"Yes",$U357&lt;&gt;"Yes"),"Not approved for primary or secondary skill","Approved, but skill(s) no longer have capacity (fully staffed)"),"")</f>
        <v/>
      </c>
    </row>
    <row r="358" customFormat="false" ht="15" hidden="false" customHeight="true" outlineLevel="0" collapsed="false">
      <c r="A358" s="46" t="str">
        <f aca="false">IF('Survey Response'!$D356="","",'Survey Response'!$A356&amp;"|"&amp;LOWER(TRIM('Survey Response'!$D356)))</f>
        <v/>
      </c>
      <c r="B358" s="46" t="str">
        <f aca="false">IF($H358="","",$F358&amp;"|"&amp;$H358)</f>
        <v/>
      </c>
      <c r="C358" s="46" t="str">
        <f aca="false">IF($H358="","",$A358=$B358)</f>
        <v/>
      </c>
      <c r="D358" s="46" t="str">
        <f aca="false">IF($H358="","",IF($E358&lt;&gt;"Yes","Superseded",IF($I358&lt;&gt;"Yes, I'm available for in-person interviews at Chennai","Not Available",IF($Z358&lt;&gt;"","Panel Details","Followup"))))</f>
        <v/>
      </c>
      <c r="E358" s="46" t="str">
        <f aca="false">IF($H358="","",IF(SUMPRODUCT(($H$4:$H$503=$H358)*(($G$4:$G$503&gt;$G358)+($G$4:$G$503=$G358)*($F$4:$F$503&gt;$F358)))=0,"Yes","No"))</f>
        <v/>
      </c>
      <c r="F358" s="47" t="str">
        <f aca="false">IF('Survey Response'!$D356="","",INT('Survey Response'!$A356))</f>
        <v/>
      </c>
      <c r="G358" s="46" t="str">
        <f aca="false">IF('Survey Response'!$D356="","",'Survey Response'!$C356)</f>
        <v/>
      </c>
      <c r="H358" s="46" t="str">
        <f aca="false">IF('Survey Response'!$D356="","",LOWER(TRIM('Survey Response'!$D356)))</f>
        <v/>
      </c>
      <c r="I358" s="46" t="str">
        <f aca="false">IF($H358="","",'Survey Response'!$I356)</f>
        <v/>
      </c>
      <c r="J358" s="46" t="str">
        <f aca="false">IF($H358="","",'Survey Response'!$K356)</f>
        <v/>
      </c>
      <c r="K358" s="46" t="str">
        <f aca="false">IF($J358="","",IF(COUNTIF('Skill Mapping'!$A$2:$A$7,TRIM($J358))=0,"",INDEX('Skill Mapping'!$B$2:$B$7,MATCH(TRIM($J358),'Skill Mapping'!$A$2:$A$7,0))))</f>
        <v/>
      </c>
      <c r="L358" s="46" t="str">
        <f aca="false">IF($H358="","",'Survey Response'!$L356)</f>
        <v/>
      </c>
      <c r="M358" s="46" t="str">
        <f aca="false">IF($L358="","",IF(COUNTIF('Skill Mapping'!$A$2:$A$7,TRIM($L358))=0,"",INDEX('Skill Mapping'!$B$2:$B$7,MATCH(TRIM($L358),'Skill Mapping'!$A$2:$A$7,0))))</f>
        <v/>
      </c>
      <c r="N358" s="46" t="str">
        <f aca="false">IF($H358="","",'Survey Response'!$M356)</f>
        <v/>
      </c>
      <c r="O358" s="46" t="str">
        <f aca="false">IF($H358="","",IF('Survey Response'!$M356="Manager","R2","R1"))</f>
        <v/>
      </c>
      <c r="P358" s="46" t="str">
        <f aca="false">IF($K358="","No",IF(COUNTIFS(MasterPanel!$B:$B,$H358,MasterPanel!$I:$I,$K358,MasterPanel!$K:$K,"Y")&gt;0,"Yes","No"))</f>
        <v>No</v>
      </c>
      <c r="Q358" s="46" t="n">
        <f aca="false">IF($K358="",0,IF(COUNTIF('Gap Sheet'!$A$6:$A$11,TRIM($J358))=0,0,IF($O358="R1",INDEX('Gap Sheet'!$C$6:$C$11,MATCH(TRIM($J358),'Gap Sheet'!$A$6:$A$11,0)),INDEX('Gap Sheet'!$G$6:$G$11,MATCH(TRIM($J358),'Gap Sheet'!$A$6:$A$11,0)))))</f>
        <v>0</v>
      </c>
      <c r="R358" s="46" t="str">
        <f aca="false">IF($K358="","",$K358&amp;"|"&amp;$O358)</f>
        <v/>
      </c>
      <c r="S358" s="46" t="n">
        <f aca="false">IF($R358="",0,COUNTIF($AA$4:$AA357,$R358))</f>
        <v>0</v>
      </c>
      <c r="T358" s="46" t="str">
        <f aca="false">IF(OR($I358&lt;&gt;"Yes, I'm available for in-person interviews at Chennai",$E358&lt;&gt;"Yes",$P358&lt;&gt;"Yes"),"No",IF(($Q358-$S358)&gt;0,"Yes","No"))</f>
        <v>No</v>
      </c>
      <c r="U358" s="46" t="str">
        <f aca="false">IF($M358="","No",IF(COUNTIFS(MasterPanel!$B:$B,$H358,MasterPanel!$I:$I,$M358,MasterPanel!$K:$K,"Y")&gt;0,"Yes","No"))</f>
        <v>No</v>
      </c>
      <c r="V358" s="46" t="n">
        <f aca="false">IF($M358="",0,IF(COUNTIF('Gap Sheet'!$A$6:$A$11,TRIM($L358))=0,0,IF($O358="R1",INDEX('Gap Sheet'!$C$6:$C$11,MATCH(TRIM($L358),'Gap Sheet'!$A$6:$A$11,0)),INDEX('Gap Sheet'!$G$6:$G$11,MATCH(TRIM($L358),'Gap Sheet'!$A$6:$A$11,0)))))</f>
        <v>0</v>
      </c>
      <c r="W358" s="46" t="str">
        <f aca="false">IF($M358="","",$M358&amp;"|"&amp;$O358)</f>
        <v/>
      </c>
      <c r="X358" s="46" t="n">
        <f aca="false">IF($W358="",0,COUNTIF($AA$4:$AA357,$W358))</f>
        <v>0</v>
      </c>
      <c r="Y358" s="46" t="str">
        <f aca="false">IF(OR($I358&lt;&gt;"Yes, I'm available for in-person interviews at Chennai",$E358&lt;&gt;"Yes",$T358="Yes",$U358&lt;&gt;"Yes"),"No",IF(($V358-$X358)&gt;0,"Yes","No"))</f>
        <v>No</v>
      </c>
      <c r="Z358" s="46" t="str">
        <f aca="false">IF($T358="Yes","Primary",IF($Y358="Yes","Secondary",""))</f>
        <v/>
      </c>
      <c r="AA358" s="46" t="str">
        <f aca="false">IF($Z358="Primary",$R358,IF($Z358="Secondary",$W358,""))</f>
        <v/>
      </c>
      <c r="AB358" s="46" t="str">
        <f aca="false">IF($Z358="Primary","Matched on primary skill",IF($Z358="Secondary","Matched on secondary skill (primary not approved or not required)",""))</f>
        <v/>
      </c>
      <c r="AC358" s="47" t="str">
        <f aca="false">IF($D358="Panel Details",$F358,"")</f>
        <v/>
      </c>
      <c r="AD358" s="46" t="str">
        <f aca="false">IF($D358="Panel Details",'Survey Response'!$D356,"")</f>
        <v/>
      </c>
      <c r="AE358" s="46" t="str">
        <f aca="false">IF($D358="Panel Details",'Survey Response'!$E356,"")</f>
        <v/>
      </c>
      <c r="AF358" s="46" t="str">
        <f aca="false">IF($D358="Panel Details",'Survey Response'!$G356,"")</f>
        <v/>
      </c>
      <c r="AG358" s="46" t="str">
        <f aca="false">IF($D358="Panel Details",IF($Z358="Primary",$J358,$L358),"")</f>
        <v/>
      </c>
      <c r="AH358" s="46" t="str">
        <f aca="false">IF($D358="Panel Details",IF($Z358="Primary",$L358,$J358),"")</f>
        <v/>
      </c>
      <c r="AI358" s="46" t="str">
        <f aca="false">IF($D358="Panel Details",'Survey Response'!$H356,"")</f>
        <v/>
      </c>
      <c r="AJ358" s="46" t="str">
        <f aca="false">IF($D358="Panel Details",'Survey Response'!$M356,"")</f>
        <v/>
      </c>
      <c r="AK358" s="46" t="str">
        <f aca="false">IF($D358="Panel Details",$O358,"")</f>
        <v/>
      </c>
      <c r="AL358" s="46" t="str">
        <f aca="false">IF($D358="Panel Details",8,"")</f>
        <v/>
      </c>
      <c r="AM358" s="46" t="str">
        <f aca="false">IF($D358="Panel Details",$AB358,"")</f>
        <v/>
      </c>
      <c r="AN358" s="46" t="str">
        <f aca="false">IF($D358="Panel Details","Yes","")</f>
        <v/>
      </c>
      <c r="AO358" s="46"/>
      <c r="AP358" s="46" t="str">
        <f aca="false">IF($D358="Followup",'Survey Response'!$D356,"")</f>
        <v/>
      </c>
      <c r="AQ358" s="46" t="str">
        <f aca="false">IF($D358="Followup",'Survey Response'!$E356,"")</f>
        <v/>
      </c>
      <c r="AR358" s="46" t="str">
        <f aca="false">IF($D358="Followup",'Survey Response'!$G356,"")</f>
        <v/>
      </c>
      <c r="AS358" s="46" t="str">
        <f aca="false">IF($D358="Followup",'Survey Response'!$H356,"")</f>
        <v/>
      </c>
      <c r="AT358" s="46" t="str">
        <f aca="false">IF($D358="Followup",'Survey Response'!$M356,"")</f>
        <v/>
      </c>
      <c r="AU358" s="46" t="str">
        <f aca="false">IF($D358="Followup",'Survey Response'!$K356,"")</f>
        <v/>
      </c>
      <c r="AV358" s="46" t="str">
        <f aca="false">IF($D358="Followup",'Survey Response'!$L356,"")</f>
        <v/>
      </c>
      <c r="AW358" s="46" t="str">
        <f aca="false">IF($D358="Followup",IF(AND($P358&lt;&gt;"Yes",$U358&lt;&gt;"Yes"),"Not approved for primary or secondary skill","Approved, but skill(s) no longer have capacity (fully staffed)"),"")</f>
        <v/>
      </c>
    </row>
    <row r="359" customFormat="false" ht="15" hidden="false" customHeight="true" outlineLevel="0" collapsed="false">
      <c r="A359" s="46" t="str">
        <f aca="false">IF('Survey Response'!$D357="","",'Survey Response'!$A357&amp;"|"&amp;LOWER(TRIM('Survey Response'!$D357)))</f>
        <v/>
      </c>
      <c r="B359" s="46" t="str">
        <f aca="false">IF($H359="","",$F359&amp;"|"&amp;$H359)</f>
        <v/>
      </c>
      <c r="C359" s="46" t="str">
        <f aca="false">IF($H359="","",$A359=$B359)</f>
        <v/>
      </c>
      <c r="D359" s="46" t="str">
        <f aca="false">IF($H359="","",IF($E359&lt;&gt;"Yes","Superseded",IF($I359&lt;&gt;"Yes, I'm available for in-person interviews at Chennai","Not Available",IF($Z359&lt;&gt;"","Panel Details","Followup"))))</f>
        <v/>
      </c>
      <c r="E359" s="46" t="str">
        <f aca="false">IF($H359="","",IF(SUMPRODUCT(($H$4:$H$503=$H359)*(($G$4:$G$503&gt;$G359)+($G$4:$G$503=$G359)*($F$4:$F$503&gt;$F359)))=0,"Yes","No"))</f>
        <v/>
      </c>
      <c r="F359" s="47" t="str">
        <f aca="false">IF('Survey Response'!$D357="","",INT('Survey Response'!$A357))</f>
        <v/>
      </c>
      <c r="G359" s="46" t="str">
        <f aca="false">IF('Survey Response'!$D357="","",'Survey Response'!$C357)</f>
        <v/>
      </c>
      <c r="H359" s="46" t="str">
        <f aca="false">IF('Survey Response'!$D357="","",LOWER(TRIM('Survey Response'!$D357)))</f>
        <v/>
      </c>
      <c r="I359" s="46" t="str">
        <f aca="false">IF($H359="","",'Survey Response'!$I357)</f>
        <v/>
      </c>
      <c r="J359" s="46" t="str">
        <f aca="false">IF($H359="","",'Survey Response'!$K357)</f>
        <v/>
      </c>
      <c r="K359" s="46" t="str">
        <f aca="false">IF($J359="","",IF(COUNTIF('Skill Mapping'!$A$2:$A$7,TRIM($J359))=0,"",INDEX('Skill Mapping'!$B$2:$B$7,MATCH(TRIM($J359),'Skill Mapping'!$A$2:$A$7,0))))</f>
        <v/>
      </c>
      <c r="L359" s="46" t="str">
        <f aca="false">IF($H359="","",'Survey Response'!$L357)</f>
        <v/>
      </c>
      <c r="M359" s="46" t="str">
        <f aca="false">IF($L359="","",IF(COUNTIF('Skill Mapping'!$A$2:$A$7,TRIM($L359))=0,"",INDEX('Skill Mapping'!$B$2:$B$7,MATCH(TRIM($L359),'Skill Mapping'!$A$2:$A$7,0))))</f>
        <v/>
      </c>
      <c r="N359" s="46" t="str">
        <f aca="false">IF($H359="","",'Survey Response'!$M357)</f>
        <v/>
      </c>
      <c r="O359" s="46" t="str">
        <f aca="false">IF($H359="","",IF('Survey Response'!$M357="Manager","R2","R1"))</f>
        <v/>
      </c>
      <c r="P359" s="46" t="str">
        <f aca="false">IF($K359="","No",IF(COUNTIFS(MasterPanel!$B:$B,$H359,MasterPanel!$I:$I,$K359,MasterPanel!$K:$K,"Y")&gt;0,"Yes","No"))</f>
        <v>No</v>
      </c>
      <c r="Q359" s="46" t="n">
        <f aca="false">IF($K359="",0,IF(COUNTIF('Gap Sheet'!$A$6:$A$11,TRIM($J359))=0,0,IF($O359="R1",INDEX('Gap Sheet'!$C$6:$C$11,MATCH(TRIM($J359),'Gap Sheet'!$A$6:$A$11,0)),INDEX('Gap Sheet'!$G$6:$G$11,MATCH(TRIM($J359),'Gap Sheet'!$A$6:$A$11,0)))))</f>
        <v>0</v>
      </c>
      <c r="R359" s="46" t="str">
        <f aca="false">IF($K359="","",$K359&amp;"|"&amp;$O359)</f>
        <v/>
      </c>
      <c r="S359" s="46" t="n">
        <f aca="false">IF($R359="",0,COUNTIF($AA$4:$AA358,$R359))</f>
        <v>0</v>
      </c>
      <c r="T359" s="46" t="str">
        <f aca="false">IF(OR($I359&lt;&gt;"Yes, I'm available for in-person interviews at Chennai",$E359&lt;&gt;"Yes",$P359&lt;&gt;"Yes"),"No",IF(($Q359-$S359)&gt;0,"Yes","No"))</f>
        <v>No</v>
      </c>
      <c r="U359" s="46" t="str">
        <f aca="false">IF($M359="","No",IF(COUNTIFS(MasterPanel!$B:$B,$H359,MasterPanel!$I:$I,$M359,MasterPanel!$K:$K,"Y")&gt;0,"Yes","No"))</f>
        <v>No</v>
      </c>
      <c r="V359" s="46" t="n">
        <f aca="false">IF($M359="",0,IF(COUNTIF('Gap Sheet'!$A$6:$A$11,TRIM($L359))=0,0,IF($O359="R1",INDEX('Gap Sheet'!$C$6:$C$11,MATCH(TRIM($L359),'Gap Sheet'!$A$6:$A$11,0)),INDEX('Gap Sheet'!$G$6:$G$11,MATCH(TRIM($L359),'Gap Sheet'!$A$6:$A$11,0)))))</f>
        <v>0</v>
      </c>
      <c r="W359" s="46" t="str">
        <f aca="false">IF($M359="","",$M359&amp;"|"&amp;$O359)</f>
        <v/>
      </c>
      <c r="X359" s="46" t="n">
        <f aca="false">IF($W359="",0,COUNTIF($AA$4:$AA358,$W359))</f>
        <v>0</v>
      </c>
      <c r="Y359" s="46" t="str">
        <f aca="false">IF(OR($I359&lt;&gt;"Yes, I'm available for in-person interviews at Chennai",$E359&lt;&gt;"Yes",$T359="Yes",$U359&lt;&gt;"Yes"),"No",IF(($V359-$X359)&gt;0,"Yes","No"))</f>
        <v>No</v>
      </c>
      <c r="Z359" s="46" t="str">
        <f aca="false">IF($T359="Yes","Primary",IF($Y359="Yes","Secondary",""))</f>
        <v/>
      </c>
      <c r="AA359" s="46" t="str">
        <f aca="false">IF($Z359="Primary",$R359,IF($Z359="Secondary",$W359,""))</f>
        <v/>
      </c>
      <c r="AB359" s="46" t="str">
        <f aca="false">IF($Z359="Primary","Matched on primary skill",IF($Z359="Secondary","Matched on secondary skill (primary not approved or not required)",""))</f>
        <v/>
      </c>
      <c r="AC359" s="47" t="str">
        <f aca="false">IF($D359="Panel Details",$F359,"")</f>
        <v/>
      </c>
      <c r="AD359" s="46" t="str">
        <f aca="false">IF($D359="Panel Details",'Survey Response'!$D357,"")</f>
        <v/>
      </c>
      <c r="AE359" s="46" t="str">
        <f aca="false">IF($D359="Panel Details",'Survey Response'!$E357,"")</f>
        <v/>
      </c>
      <c r="AF359" s="46" t="str">
        <f aca="false">IF($D359="Panel Details",'Survey Response'!$G357,"")</f>
        <v/>
      </c>
      <c r="AG359" s="46" t="str">
        <f aca="false">IF($D359="Panel Details",IF($Z359="Primary",$J359,$L359),"")</f>
        <v/>
      </c>
      <c r="AH359" s="46" t="str">
        <f aca="false">IF($D359="Panel Details",IF($Z359="Primary",$L359,$J359),"")</f>
        <v/>
      </c>
      <c r="AI359" s="46" t="str">
        <f aca="false">IF($D359="Panel Details",'Survey Response'!$H357,"")</f>
        <v/>
      </c>
      <c r="AJ359" s="46" t="str">
        <f aca="false">IF($D359="Panel Details",'Survey Response'!$M357,"")</f>
        <v/>
      </c>
      <c r="AK359" s="46" t="str">
        <f aca="false">IF($D359="Panel Details",$O359,"")</f>
        <v/>
      </c>
      <c r="AL359" s="46" t="str">
        <f aca="false">IF($D359="Panel Details",8,"")</f>
        <v/>
      </c>
      <c r="AM359" s="46" t="str">
        <f aca="false">IF($D359="Panel Details",$AB359,"")</f>
        <v/>
      </c>
      <c r="AN359" s="46" t="str">
        <f aca="false">IF($D359="Panel Details","Yes","")</f>
        <v/>
      </c>
      <c r="AO359" s="46"/>
      <c r="AP359" s="46" t="str">
        <f aca="false">IF($D359="Followup",'Survey Response'!$D357,"")</f>
        <v/>
      </c>
      <c r="AQ359" s="46" t="str">
        <f aca="false">IF($D359="Followup",'Survey Response'!$E357,"")</f>
        <v/>
      </c>
      <c r="AR359" s="46" t="str">
        <f aca="false">IF($D359="Followup",'Survey Response'!$G357,"")</f>
        <v/>
      </c>
      <c r="AS359" s="46" t="str">
        <f aca="false">IF($D359="Followup",'Survey Response'!$H357,"")</f>
        <v/>
      </c>
      <c r="AT359" s="46" t="str">
        <f aca="false">IF($D359="Followup",'Survey Response'!$M357,"")</f>
        <v/>
      </c>
      <c r="AU359" s="46" t="str">
        <f aca="false">IF($D359="Followup",'Survey Response'!$K357,"")</f>
        <v/>
      </c>
      <c r="AV359" s="46" t="str">
        <f aca="false">IF($D359="Followup",'Survey Response'!$L357,"")</f>
        <v/>
      </c>
      <c r="AW359" s="46" t="str">
        <f aca="false">IF($D359="Followup",IF(AND($P359&lt;&gt;"Yes",$U359&lt;&gt;"Yes"),"Not approved for primary or secondary skill","Approved, but skill(s) no longer have capacity (fully staffed)"),"")</f>
        <v/>
      </c>
    </row>
    <row r="360" customFormat="false" ht="15" hidden="false" customHeight="true" outlineLevel="0" collapsed="false">
      <c r="A360" s="46" t="str">
        <f aca="false">IF('Survey Response'!$D358="","",'Survey Response'!$A358&amp;"|"&amp;LOWER(TRIM('Survey Response'!$D358)))</f>
        <v/>
      </c>
      <c r="B360" s="46" t="str">
        <f aca="false">IF($H360="","",$F360&amp;"|"&amp;$H360)</f>
        <v/>
      </c>
      <c r="C360" s="46" t="str">
        <f aca="false">IF($H360="","",$A360=$B360)</f>
        <v/>
      </c>
      <c r="D360" s="46" t="str">
        <f aca="false">IF($H360="","",IF($E360&lt;&gt;"Yes","Superseded",IF($I360&lt;&gt;"Yes, I'm available for in-person interviews at Chennai","Not Available",IF($Z360&lt;&gt;"","Panel Details","Followup"))))</f>
        <v/>
      </c>
      <c r="E360" s="46" t="str">
        <f aca="false">IF($H360="","",IF(SUMPRODUCT(($H$4:$H$503=$H360)*(($G$4:$G$503&gt;$G360)+($G$4:$G$503=$G360)*($F$4:$F$503&gt;$F360)))=0,"Yes","No"))</f>
        <v/>
      </c>
      <c r="F360" s="47" t="str">
        <f aca="false">IF('Survey Response'!$D358="","",INT('Survey Response'!$A358))</f>
        <v/>
      </c>
      <c r="G360" s="46" t="str">
        <f aca="false">IF('Survey Response'!$D358="","",'Survey Response'!$C358)</f>
        <v/>
      </c>
      <c r="H360" s="46" t="str">
        <f aca="false">IF('Survey Response'!$D358="","",LOWER(TRIM('Survey Response'!$D358)))</f>
        <v/>
      </c>
      <c r="I360" s="46" t="str">
        <f aca="false">IF($H360="","",'Survey Response'!$I358)</f>
        <v/>
      </c>
      <c r="J360" s="46" t="str">
        <f aca="false">IF($H360="","",'Survey Response'!$K358)</f>
        <v/>
      </c>
      <c r="K360" s="46" t="str">
        <f aca="false">IF($J360="","",IF(COUNTIF('Skill Mapping'!$A$2:$A$7,TRIM($J360))=0,"",INDEX('Skill Mapping'!$B$2:$B$7,MATCH(TRIM($J360),'Skill Mapping'!$A$2:$A$7,0))))</f>
        <v/>
      </c>
      <c r="L360" s="46" t="str">
        <f aca="false">IF($H360="","",'Survey Response'!$L358)</f>
        <v/>
      </c>
      <c r="M360" s="46" t="str">
        <f aca="false">IF($L360="","",IF(COUNTIF('Skill Mapping'!$A$2:$A$7,TRIM($L360))=0,"",INDEX('Skill Mapping'!$B$2:$B$7,MATCH(TRIM($L360),'Skill Mapping'!$A$2:$A$7,0))))</f>
        <v/>
      </c>
      <c r="N360" s="46" t="str">
        <f aca="false">IF($H360="","",'Survey Response'!$M358)</f>
        <v/>
      </c>
      <c r="O360" s="46" t="str">
        <f aca="false">IF($H360="","",IF('Survey Response'!$M358="Manager","R2","R1"))</f>
        <v/>
      </c>
      <c r="P360" s="46" t="str">
        <f aca="false">IF($K360="","No",IF(COUNTIFS(MasterPanel!$B:$B,$H360,MasterPanel!$I:$I,$K360,MasterPanel!$K:$K,"Y")&gt;0,"Yes","No"))</f>
        <v>No</v>
      </c>
      <c r="Q360" s="46" t="n">
        <f aca="false">IF($K360="",0,IF(COUNTIF('Gap Sheet'!$A$6:$A$11,TRIM($J360))=0,0,IF($O360="R1",INDEX('Gap Sheet'!$C$6:$C$11,MATCH(TRIM($J360),'Gap Sheet'!$A$6:$A$11,0)),INDEX('Gap Sheet'!$G$6:$G$11,MATCH(TRIM($J360),'Gap Sheet'!$A$6:$A$11,0)))))</f>
        <v>0</v>
      </c>
      <c r="R360" s="46" t="str">
        <f aca="false">IF($K360="","",$K360&amp;"|"&amp;$O360)</f>
        <v/>
      </c>
      <c r="S360" s="46" t="n">
        <f aca="false">IF($R360="",0,COUNTIF($AA$4:$AA359,$R360))</f>
        <v>0</v>
      </c>
      <c r="T360" s="46" t="str">
        <f aca="false">IF(OR($I360&lt;&gt;"Yes, I'm available for in-person interviews at Chennai",$E360&lt;&gt;"Yes",$P360&lt;&gt;"Yes"),"No",IF(($Q360-$S360)&gt;0,"Yes","No"))</f>
        <v>No</v>
      </c>
      <c r="U360" s="46" t="str">
        <f aca="false">IF($M360="","No",IF(COUNTIFS(MasterPanel!$B:$B,$H360,MasterPanel!$I:$I,$M360,MasterPanel!$K:$K,"Y")&gt;0,"Yes","No"))</f>
        <v>No</v>
      </c>
      <c r="V360" s="46" t="n">
        <f aca="false">IF($M360="",0,IF(COUNTIF('Gap Sheet'!$A$6:$A$11,TRIM($L360))=0,0,IF($O360="R1",INDEX('Gap Sheet'!$C$6:$C$11,MATCH(TRIM($L360),'Gap Sheet'!$A$6:$A$11,0)),INDEX('Gap Sheet'!$G$6:$G$11,MATCH(TRIM($L360),'Gap Sheet'!$A$6:$A$11,0)))))</f>
        <v>0</v>
      </c>
      <c r="W360" s="46" t="str">
        <f aca="false">IF($M360="","",$M360&amp;"|"&amp;$O360)</f>
        <v/>
      </c>
      <c r="X360" s="46" t="n">
        <f aca="false">IF($W360="",0,COUNTIF($AA$4:$AA359,$W360))</f>
        <v>0</v>
      </c>
      <c r="Y360" s="46" t="str">
        <f aca="false">IF(OR($I360&lt;&gt;"Yes, I'm available for in-person interviews at Chennai",$E360&lt;&gt;"Yes",$T360="Yes",$U360&lt;&gt;"Yes"),"No",IF(($V360-$X360)&gt;0,"Yes","No"))</f>
        <v>No</v>
      </c>
      <c r="Z360" s="46" t="str">
        <f aca="false">IF($T360="Yes","Primary",IF($Y360="Yes","Secondary",""))</f>
        <v/>
      </c>
      <c r="AA360" s="46" t="str">
        <f aca="false">IF($Z360="Primary",$R360,IF($Z360="Secondary",$W360,""))</f>
        <v/>
      </c>
      <c r="AB360" s="46" t="str">
        <f aca="false">IF($Z360="Primary","Matched on primary skill",IF($Z360="Secondary","Matched on secondary skill (primary not approved or not required)",""))</f>
        <v/>
      </c>
      <c r="AC360" s="47" t="str">
        <f aca="false">IF($D360="Panel Details",$F360,"")</f>
        <v/>
      </c>
      <c r="AD360" s="46" t="str">
        <f aca="false">IF($D360="Panel Details",'Survey Response'!$D358,"")</f>
        <v/>
      </c>
      <c r="AE360" s="46" t="str">
        <f aca="false">IF($D360="Panel Details",'Survey Response'!$E358,"")</f>
        <v/>
      </c>
      <c r="AF360" s="46" t="str">
        <f aca="false">IF($D360="Panel Details",'Survey Response'!$G358,"")</f>
        <v/>
      </c>
      <c r="AG360" s="46" t="str">
        <f aca="false">IF($D360="Panel Details",IF($Z360="Primary",$J360,$L360),"")</f>
        <v/>
      </c>
      <c r="AH360" s="46" t="str">
        <f aca="false">IF($D360="Panel Details",IF($Z360="Primary",$L360,$J360),"")</f>
        <v/>
      </c>
      <c r="AI360" s="46" t="str">
        <f aca="false">IF($D360="Panel Details",'Survey Response'!$H358,"")</f>
        <v/>
      </c>
      <c r="AJ360" s="46" t="str">
        <f aca="false">IF($D360="Panel Details",'Survey Response'!$M358,"")</f>
        <v/>
      </c>
      <c r="AK360" s="46" t="str">
        <f aca="false">IF($D360="Panel Details",$O360,"")</f>
        <v/>
      </c>
      <c r="AL360" s="46" t="str">
        <f aca="false">IF($D360="Panel Details",8,"")</f>
        <v/>
      </c>
      <c r="AM360" s="46" t="str">
        <f aca="false">IF($D360="Panel Details",$AB360,"")</f>
        <v/>
      </c>
      <c r="AN360" s="46" t="str">
        <f aca="false">IF($D360="Panel Details","Yes","")</f>
        <v/>
      </c>
      <c r="AO360" s="46"/>
      <c r="AP360" s="46" t="str">
        <f aca="false">IF($D360="Followup",'Survey Response'!$D358,"")</f>
        <v/>
      </c>
      <c r="AQ360" s="46" t="str">
        <f aca="false">IF($D360="Followup",'Survey Response'!$E358,"")</f>
        <v/>
      </c>
      <c r="AR360" s="46" t="str">
        <f aca="false">IF($D360="Followup",'Survey Response'!$G358,"")</f>
        <v/>
      </c>
      <c r="AS360" s="46" t="str">
        <f aca="false">IF($D360="Followup",'Survey Response'!$H358,"")</f>
        <v/>
      </c>
      <c r="AT360" s="46" t="str">
        <f aca="false">IF($D360="Followup",'Survey Response'!$M358,"")</f>
        <v/>
      </c>
      <c r="AU360" s="46" t="str">
        <f aca="false">IF($D360="Followup",'Survey Response'!$K358,"")</f>
        <v/>
      </c>
      <c r="AV360" s="46" t="str">
        <f aca="false">IF($D360="Followup",'Survey Response'!$L358,"")</f>
        <v/>
      </c>
      <c r="AW360" s="46" t="str">
        <f aca="false">IF($D360="Followup",IF(AND($P360&lt;&gt;"Yes",$U360&lt;&gt;"Yes"),"Not approved for primary or secondary skill","Approved, but skill(s) no longer have capacity (fully staffed)"),"")</f>
        <v/>
      </c>
    </row>
    <row r="361" customFormat="false" ht="15" hidden="false" customHeight="true" outlineLevel="0" collapsed="false">
      <c r="A361" s="46" t="str">
        <f aca="false">IF('Survey Response'!$D359="","",'Survey Response'!$A359&amp;"|"&amp;LOWER(TRIM('Survey Response'!$D359)))</f>
        <v/>
      </c>
      <c r="B361" s="46" t="str">
        <f aca="false">IF($H361="","",$F361&amp;"|"&amp;$H361)</f>
        <v/>
      </c>
      <c r="C361" s="46" t="str">
        <f aca="false">IF($H361="","",$A361=$B361)</f>
        <v/>
      </c>
      <c r="D361" s="46" t="str">
        <f aca="false">IF($H361="","",IF($E361&lt;&gt;"Yes","Superseded",IF($I361&lt;&gt;"Yes, I'm available for in-person interviews at Chennai","Not Available",IF($Z361&lt;&gt;"","Panel Details","Followup"))))</f>
        <v/>
      </c>
      <c r="E361" s="46" t="str">
        <f aca="false">IF($H361="","",IF(SUMPRODUCT(($H$4:$H$503=$H361)*(($G$4:$G$503&gt;$G361)+($G$4:$G$503=$G361)*($F$4:$F$503&gt;$F361)))=0,"Yes","No"))</f>
        <v/>
      </c>
      <c r="F361" s="47" t="str">
        <f aca="false">IF('Survey Response'!$D359="","",INT('Survey Response'!$A359))</f>
        <v/>
      </c>
      <c r="G361" s="46" t="str">
        <f aca="false">IF('Survey Response'!$D359="","",'Survey Response'!$C359)</f>
        <v/>
      </c>
      <c r="H361" s="46" t="str">
        <f aca="false">IF('Survey Response'!$D359="","",LOWER(TRIM('Survey Response'!$D359)))</f>
        <v/>
      </c>
      <c r="I361" s="46" t="str">
        <f aca="false">IF($H361="","",'Survey Response'!$I359)</f>
        <v/>
      </c>
      <c r="J361" s="46" t="str">
        <f aca="false">IF($H361="","",'Survey Response'!$K359)</f>
        <v/>
      </c>
      <c r="K361" s="46" t="str">
        <f aca="false">IF($J361="","",IF(COUNTIF('Skill Mapping'!$A$2:$A$7,TRIM($J361))=0,"",INDEX('Skill Mapping'!$B$2:$B$7,MATCH(TRIM($J361),'Skill Mapping'!$A$2:$A$7,0))))</f>
        <v/>
      </c>
      <c r="L361" s="46" t="str">
        <f aca="false">IF($H361="","",'Survey Response'!$L359)</f>
        <v/>
      </c>
      <c r="M361" s="46" t="str">
        <f aca="false">IF($L361="","",IF(COUNTIF('Skill Mapping'!$A$2:$A$7,TRIM($L361))=0,"",INDEX('Skill Mapping'!$B$2:$B$7,MATCH(TRIM($L361),'Skill Mapping'!$A$2:$A$7,0))))</f>
        <v/>
      </c>
      <c r="N361" s="46" t="str">
        <f aca="false">IF($H361="","",'Survey Response'!$M359)</f>
        <v/>
      </c>
      <c r="O361" s="46" t="str">
        <f aca="false">IF($H361="","",IF('Survey Response'!$M359="Manager","R2","R1"))</f>
        <v/>
      </c>
      <c r="P361" s="46" t="str">
        <f aca="false">IF($K361="","No",IF(COUNTIFS(MasterPanel!$B:$B,$H361,MasterPanel!$I:$I,$K361,MasterPanel!$K:$K,"Y")&gt;0,"Yes","No"))</f>
        <v>No</v>
      </c>
      <c r="Q361" s="46" t="n">
        <f aca="false">IF($K361="",0,IF(COUNTIF('Gap Sheet'!$A$6:$A$11,TRIM($J361))=0,0,IF($O361="R1",INDEX('Gap Sheet'!$C$6:$C$11,MATCH(TRIM($J361),'Gap Sheet'!$A$6:$A$11,0)),INDEX('Gap Sheet'!$G$6:$G$11,MATCH(TRIM($J361),'Gap Sheet'!$A$6:$A$11,0)))))</f>
        <v>0</v>
      </c>
      <c r="R361" s="46" t="str">
        <f aca="false">IF($K361="","",$K361&amp;"|"&amp;$O361)</f>
        <v/>
      </c>
      <c r="S361" s="46" t="n">
        <f aca="false">IF($R361="",0,COUNTIF($AA$4:$AA360,$R361))</f>
        <v>0</v>
      </c>
      <c r="T361" s="46" t="str">
        <f aca="false">IF(OR($I361&lt;&gt;"Yes, I'm available for in-person interviews at Chennai",$E361&lt;&gt;"Yes",$P361&lt;&gt;"Yes"),"No",IF(($Q361-$S361)&gt;0,"Yes","No"))</f>
        <v>No</v>
      </c>
      <c r="U361" s="46" t="str">
        <f aca="false">IF($M361="","No",IF(COUNTIFS(MasterPanel!$B:$B,$H361,MasterPanel!$I:$I,$M361,MasterPanel!$K:$K,"Y")&gt;0,"Yes","No"))</f>
        <v>No</v>
      </c>
      <c r="V361" s="46" t="n">
        <f aca="false">IF($M361="",0,IF(COUNTIF('Gap Sheet'!$A$6:$A$11,TRIM($L361))=0,0,IF($O361="R1",INDEX('Gap Sheet'!$C$6:$C$11,MATCH(TRIM($L361),'Gap Sheet'!$A$6:$A$11,0)),INDEX('Gap Sheet'!$G$6:$G$11,MATCH(TRIM($L361),'Gap Sheet'!$A$6:$A$11,0)))))</f>
        <v>0</v>
      </c>
      <c r="W361" s="46" t="str">
        <f aca="false">IF($M361="","",$M361&amp;"|"&amp;$O361)</f>
        <v/>
      </c>
      <c r="X361" s="46" t="n">
        <f aca="false">IF($W361="",0,COUNTIF($AA$4:$AA360,$W361))</f>
        <v>0</v>
      </c>
      <c r="Y361" s="46" t="str">
        <f aca="false">IF(OR($I361&lt;&gt;"Yes, I'm available for in-person interviews at Chennai",$E361&lt;&gt;"Yes",$T361="Yes",$U361&lt;&gt;"Yes"),"No",IF(($V361-$X361)&gt;0,"Yes","No"))</f>
        <v>No</v>
      </c>
      <c r="Z361" s="46" t="str">
        <f aca="false">IF($T361="Yes","Primary",IF($Y361="Yes","Secondary",""))</f>
        <v/>
      </c>
      <c r="AA361" s="46" t="str">
        <f aca="false">IF($Z361="Primary",$R361,IF($Z361="Secondary",$W361,""))</f>
        <v/>
      </c>
      <c r="AB361" s="46" t="str">
        <f aca="false">IF($Z361="Primary","Matched on primary skill",IF($Z361="Secondary","Matched on secondary skill (primary not approved or not required)",""))</f>
        <v/>
      </c>
      <c r="AC361" s="47" t="str">
        <f aca="false">IF($D361="Panel Details",$F361,"")</f>
        <v/>
      </c>
      <c r="AD361" s="46" t="str">
        <f aca="false">IF($D361="Panel Details",'Survey Response'!$D359,"")</f>
        <v/>
      </c>
      <c r="AE361" s="46" t="str">
        <f aca="false">IF($D361="Panel Details",'Survey Response'!$E359,"")</f>
        <v/>
      </c>
      <c r="AF361" s="46" t="str">
        <f aca="false">IF($D361="Panel Details",'Survey Response'!$G359,"")</f>
        <v/>
      </c>
      <c r="AG361" s="46" t="str">
        <f aca="false">IF($D361="Panel Details",IF($Z361="Primary",$J361,$L361),"")</f>
        <v/>
      </c>
      <c r="AH361" s="46" t="str">
        <f aca="false">IF($D361="Panel Details",IF($Z361="Primary",$L361,$J361),"")</f>
        <v/>
      </c>
      <c r="AI361" s="46" t="str">
        <f aca="false">IF($D361="Panel Details",'Survey Response'!$H359,"")</f>
        <v/>
      </c>
      <c r="AJ361" s="46" t="str">
        <f aca="false">IF($D361="Panel Details",'Survey Response'!$M359,"")</f>
        <v/>
      </c>
      <c r="AK361" s="46" t="str">
        <f aca="false">IF($D361="Panel Details",$O361,"")</f>
        <v/>
      </c>
      <c r="AL361" s="46" t="str">
        <f aca="false">IF($D361="Panel Details",8,"")</f>
        <v/>
      </c>
      <c r="AM361" s="46" t="str">
        <f aca="false">IF($D361="Panel Details",$AB361,"")</f>
        <v/>
      </c>
      <c r="AN361" s="46" t="str">
        <f aca="false">IF($D361="Panel Details","Yes","")</f>
        <v/>
      </c>
      <c r="AO361" s="46"/>
      <c r="AP361" s="46" t="str">
        <f aca="false">IF($D361="Followup",'Survey Response'!$D359,"")</f>
        <v/>
      </c>
      <c r="AQ361" s="46" t="str">
        <f aca="false">IF($D361="Followup",'Survey Response'!$E359,"")</f>
        <v/>
      </c>
      <c r="AR361" s="46" t="str">
        <f aca="false">IF($D361="Followup",'Survey Response'!$G359,"")</f>
        <v/>
      </c>
      <c r="AS361" s="46" t="str">
        <f aca="false">IF($D361="Followup",'Survey Response'!$H359,"")</f>
        <v/>
      </c>
      <c r="AT361" s="46" t="str">
        <f aca="false">IF($D361="Followup",'Survey Response'!$M359,"")</f>
        <v/>
      </c>
      <c r="AU361" s="46" t="str">
        <f aca="false">IF($D361="Followup",'Survey Response'!$K359,"")</f>
        <v/>
      </c>
      <c r="AV361" s="46" t="str">
        <f aca="false">IF($D361="Followup",'Survey Response'!$L359,"")</f>
        <v/>
      </c>
      <c r="AW361" s="46" t="str">
        <f aca="false">IF($D361="Followup",IF(AND($P361&lt;&gt;"Yes",$U361&lt;&gt;"Yes"),"Not approved for primary or secondary skill","Approved, but skill(s) no longer have capacity (fully staffed)"),"")</f>
        <v/>
      </c>
    </row>
    <row r="362" customFormat="false" ht="15" hidden="false" customHeight="true" outlineLevel="0" collapsed="false">
      <c r="A362" s="46" t="str">
        <f aca="false">IF('Survey Response'!$D360="","",'Survey Response'!$A360&amp;"|"&amp;LOWER(TRIM('Survey Response'!$D360)))</f>
        <v/>
      </c>
      <c r="B362" s="46" t="str">
        <f aca="false">IF($H362="","",$F362&amp;"|"&amp;$H362)</f>
        <v/>
      </c>
      <c r="C362" s="46" t="str">
        <f aca="false">IF($H362="","",$A362=$B362)</f>
        <v/>
      </c>
      <c r="D362" s="46" t="str">
        <f aca="false">IF($H362="","",IF($E362&lt;&gt;"Yes","Superseded",IF($I362&lt;&gt;"Yes, I'm available for in-person interviews at Chennai","Not Available",IF($Z362&lt;&gt;"","Panel Details","Followup"))))</f>
        <v/>
      </c>
      <c r="E362" s="46" t="str">
        <f aca="false">IF($H362="","",IF(SUMPRODUCT(($H$4:$H$503=$H362)*(($G$4:$G$503&gt;$G362)+($G$4:$G$503=$G362)*($F$4:$F$503&gt;$F362)))=0,"Yes","No"))</f>
        <v/>
      </c>
      <c r="F362" s="47" t="str">
        <f aca="false">IF('Survey Response'!$D360="","",INT('Survey Response'!$A360))</f>
        <v/>
      </c>
      <c r="G362" s="46" t="str">
        <f aca="false">IF('Survey Response'!$D360="","",'Survey Response'!$C360)</f>
        <v/>
      </c>
      <c r="H362" s="46" t="str">
        <f aca="false">IF('Survey Response'!$D360="","",LOWER(TRIM('Survey Response'!$D360)))</f>
        <v/>
      </c>
      <c r="I362" s="46" t="str">
        <f aca="false">IF($H362="","",'Survey Response'!$I360)</f>
        <v/>
      </c>
      <c r="J362" s="46" t="str">
        <f aca="false">IF($H362="","",'Survey Response'!$K360)</f>
        <v/>
      </c>
      <c r="K362" s="46" t="str">
        <f aca="false">IF($J362="","",IF(COUNTIF('Skill Mapping'!$A$2:$A$7,TRIM($J362))=0,"",INDEX('Skill Mapping'!$B$2:$B$7,MATCH(TRIM($J362),'Skill Mapping'!$A$2:$A$7,0))))</f>
        <v/>
      </c>
      <c r="L362" s="46" t="str">
        <f aca="false">IF($H362="","",'Survey Response'!$L360)</f>
        <v/>
      </c>
      <c r="M362" s="46" t="str">
        <f aca="false">IF($L362="","",IF(COUNTIF('Skill Mapping'!$A$2:$A$7,TRIM($L362))=0,"",INDEX('Skill Mapping'!$B$2:$B$7,MATCH(TRIM($L362),'Skill Mapping'!$A$2:$A$7,0))))</f>
        <v/>
      </c>
      <c r="N362" s="46" t="str">
        <f aca="false">IF($H362="","",'Survey Response'!$M360)</f>
        <v/>
      </c>
      <c r="O362" s="46" t="str">
        <f aca="false">IF($H362="","",IF('Survey Response'!$M360="Manager","R2","R1"))</f>
        <v/>
      </c>
      <c r="P362" s="46" t="str">
        <f aca="false">IF($K362="","No",IF(COUNTIFS(MasterPanel!$B:$B,$H362,MasterPanel!$I:$I,$K362,MasterPanel!$K:$K,"Y")&gt;0,"Yes","No"))</f>
        <v>No</v>
      </c>
      <c r="Q362" s="46" t="n">
        <f aca="false">IF($K362="",0,IF(COUNTIF('Gap Sheet'!$A$6:$A$11,TRIM($J362))=0,0,IF($O362="R1",INDEX('Gap Sheet'!$C$6:$C$11,MATCH(TRIM($J362),'Gap Sheet'!$A$6:$A$11,0)),INDEX('Gap Sheet'!$G$6:$G$11,MATCH(TRIM($J362),'Gap Sheet'!$A$6:$A$11,0)))))</f>
        <v>0</v>
      </c>
      <c r="R362" s="46" t="str">
        <f aca="false">IF($K362="","",$K362&amp;"|"&amp;$O362)</f>
        <v/>
      </c>
      <c r="S362" s="46" t="n">
        <f aca="false">IF($R362="",0,COUNTIF($AA$4:$AA361,$R362))</f>
        <v>0</v>
      </c>
      <c r="T362" s="46" t="str">
        <f aca="false">IF(OR($I362&lt;&gt;"Yes, I'm available for in-person interviews at Chennai",$E362&lt;&gt;"Yes",$P362&lt;&gt;"Yes"),"No",IF(($Q362-$S362)&gt;0,"Yes","No"))</f>
        <v>No</v>
      </c>
      <c r="U362" s="46" t="str">
        <f aca="false">IF($M362="","No",IF(COUNTIFS(MasterPanel!$B:$B,$H362,MasterPanel!$I:$I,$M362,MasterPanel!$K:$K,"Y")&gt;0,"Yes","No"))</f>
        <v>No</v>
      </c>
      <c r="V362" s="46" t="n">
        <f aca="false">IF($M362="",0,IF(COUNTIF('Gap Sheet'!$A$6:$A$11,TRIM($L362))=0,0,IF($O362="R1",INDEX('Gap Sheet'!$C$6:$C$11,MATCH(TRIM($L362),'Gap Sheet'!$A$6:$A$11,0)),INDEX('Gap Sheet'!$G$6:$G$11,MATCH(TRIM($L362),'Gap Sheet'!$A$6:$A$11,0)))))</f>
        <v>0</v>
      </c>
      <c r="W362" s="46" t="str">
        <f aca="false">IF($M362="","",$M362&amp;"|"&amp;$O362)</f>
        <v/>
      </c>
      <c r="X362" s="46" t="n">
        <f aca="false">IF($W362="",0,COUNTIF($AA$4:$AA361,$W362))</f>
        <v>0</v>
      </c>
      <c r="Y362" s="46" t="str">
        <f aca="false">IF(OR($I362&lt;&gt;"Yes, I'm available for in-person interviews at Chennai",$E362&lt;&gt;"Yes",$T362="Yes",$U362&lt;&gt;"Yes"),"No",IF(($V362-$X362)&gt;0,"Yes","No"))</f>
        <v>No</v>
      </c>
      <c r="Z362" s="46" t="str">
        <f aca="false">IF($T362="Yes","Primary",IF($Y362="Yes","Secondary",""))</f>
        <v/>
      </c>
      <c r="AA362" s="46" t="str">
        <f aca="false">IF($Z362="Primary",$R362,IF($Z362="Secondary",$W362,""))</f>
        <v/>
      </c>
      <c r="AB362" s="46" t="str">
        <f aca="false">IF($Z362="Primary","Matched on primary skill",IF($Z362="Secondary","Matched on secondary skill (primary not approved or not required)",""))</f>
        <v/>
      </c>
      <c r="AC362" s="47" t="str">
        <f aca="false">IF($D362="Panel Details",$F362,"")</f>
        <v/>
      </c>
      <c r="AD362" s="46" t="str">
        <f aca="false">IF($D362="Panel Details",'Survey Response'!$D360,"")</f>
        <v/>
      </c>
      <c r="AE362" s="46" t="str">
        <f aca="false">IF($D362="Panel Details",'Survey Response'!$E360,"")</f>
        <v/>
      </c>
      <c r="AF362" s="46" t="str">
        <f aca="false">IF($D362="Panel Details",'Survey Response'!$G360,"")</f>
        <v/>
      </c>
      <c r="AG362" s="46" t="str">
        <f aca="false">IF($D362="Panel Details",IF($Z362="Primary",$J362,$L362),"")</f>
        <v/>
      </c>
      <c r="AH362" s="46" t="str">
        <f aca="false">IF($D362="Panel Details",IF($Z362="Primary",$L362,$J362),"")</f>
        <v/>
      </c>
      <c r="AI362" s="46" t="str">
        <f aca="false">IF($D362="Panel Details",'Survey Response'!$H360,"")</f>
        <v/>
      </c>
      <c r="AJ362" s="46" t="str">
        <f aca="false">IF($D362="Panel Details",'Survey Response'!$M360,"")</f>
        <v/>
      </c>
      <c r="AK362" s="46" t="str">
        <f aca="false">IF($D362="Panel Details",$O362,"")</f>
        <v/>
      </c>
      <c r="AL362" s="46" t="str">
        <f aca="false">IF($D362="Panel Details",8,"")</f>
        <v/>
      </c>
      <c r="AM362" s="46" t="str">
        <f aca="false">IF($D362="Panel Details",$AB362,"")</f>
        <v/>
      </c>
      <c r="AN362" s="46" t="str">
        <f aca="false">IF($D362="Panel Details","Yes","")</f>
        <v/>
      </c>
      <c r="AO362" s="46"/>
      <c r="AP362" s="46" t="str">
        <f aca="false">IF($D362="Followup",'Survey Response'!$D360,"")</f>
        <v/>
      </c>
      <c r="AQ362" s="46" t="str">
        <f aca="false">IF($D362="Followup",'Survey Response'!$E360,"")</f>
        <v/>
      </c>
      <c r="AR362" s="46" t="str">
        <f aca="false">IF($D362="Followup",'Survey Response'!$G360,"")</f>
        <v/>
      </c>
      <c r="AS362" s="46" t="str">
        <f aca="false">IF($D362="Followup",'Survey Response'!$H360,"")</f>
        <v/>
      </c>
      <c r="AT362" s="46" t="str">
        <f aca="false">IF($D362="Followup",'Survey Response'!$M360,"")</f>
        <v/>
      </c>
      <c r="AU362" s="46" t="str">
        <f aca="false">IF($D362="Followup",'Survey Response'!$K360,"")</f>
        <v/>
      </c>
      <c r="AV362" s="46" t="str">
        <f aca="false">IF($D362="Followup",'Survey Response'!$L360,"")</f>
        <v/>
      </c>
      <c r="AW362" s="46" t="str">
        <f aca="false">IF($D362="Followup",IF(AND($P362&lt;&gt;"Yes",$U362&lt;&gt;"Yes"),"Not approved for primary or secondary skill","Approved, but skill(s) no longer have capacity (fully staffed)"),"")</f>
        <v/>
      </c>
    </row>
    <row r="363" customFormat="false" ht="15" hidden="false" customHeight="true" outlineLevel="0" collapsed="false">
      <c r="A363" s="46" t="str">
        <f aca="false">IF('Survey Response'!$D361="","",'Survey Response'!$A361&amp;"|"&amp;LOWER(TRIM('Survey Response'!$D361)))</f>
        <v/>
      </c>
      <c r="B363" s="46" t="str">
        <f aca="false">IF($H363="","",$F363&amp;"|"&amp;$H363)</f>
        <v/>
      </c>
      <c r="C363" s="46" t="str">
        <f aca="false">IF($H363="","",$A363=$B363)</f>
        <v/>
      </c>
      <c r="D363" s="46" t="str">
        <f aca="false">IF($H363="","",IF($E363&lt;&gt;"Yes","Superseded",IF($I363&lt;&gt;"Yes, I'm available for in-person interviews at Chennai","Not Available",IF($Z363&lt;&gt;"","Panel Details","Followup"))))</f>
        <v/>
      </c>
      <c r="E363" s="46" t="str">
        <f aca="false">IF($H363="","",IF(SUMPRODUCT(($H$4:$H$503=$H363)*(($G$4:$G$503&gt;$G363)+($G$4:$G$503=$G363)*($F$4:$F$503&gt;$F363)))=0,"Yes","No"))</f>
        <v/>
      </c>
      <c r="F363" s="47" t="str">
        <f aca="false">IF('Survey Response'!$D361="","",INT('Survey Response'!$A361))</f>
        <v/>
      </c>
      <c r="G363" s="46" t="str">
        <f aca="false">IF('Survey Response'!$D361="","",'Survey Response'!$C361)</f>
        <v/>
      </c>
      <c r="H363" s="46" t="str">
        <f aca="false">IF('Survey Response'!$D361="","",LOWER(TRIM('Survey Response'!$D361)))</f>
        <v/>
      </c>
      <c r="I363" s="46" t="str">
        <f aca="false">IF($H363="","",'Survey Response'!$I361)</f>
        <v/>
      </c>
      <c r="J363" s="46" t="str">
        <f aca="false">IF($H363="","",'Survey Response'!$K361)</f>
        <v/>
      </c>
      <c r="K363" s="46" t="str">
        <f aca="false">IF($J363="","",IF(COUNTIF('Skill Mapping'!$A$2:$A$7,TRIM($J363))=0,"",INDEX('Skill Mapping'!$B$2:$B$7,MATCH(TRIM($J363),'Skill Mapping'!$A$2:$A$7,0))))</f>
        <v/>
      </c>
      <c r="L363" s="46" t="str">
        <f aca="false">IF($H363="","",'Survey Response'!$L361)</f>
        <v/>
      </c>
      <c r="M363" s="46" t="str">
        <f aca="false">IF($L363="","",IF(COUNTIF('Skill Mapping'!$A$2:$A$7,TRIM($L363))=0,"",INDEX('Skill Mapping'!$B$2:$B$7,MATCH(TRIM($L363),'Skill Mapping'!$A$2:$A$7,0))))</f>
        <v/>
      </c>
      <c r="N363" s="46" t="str">
        <f aca="false">IF($H363="","",'Survey Response'!$M361)</f>
        <v/>
      </c>
      <c r="O363" s="46" t="str">
        <f aca="false">IF($H363="","",IF('Survey Response'!$M361="Manager","R2","R1"))</f>
        <v/>
      </c>
      <c r="P363" s="46" t="str">
        <f aca="false">IF($K363="","No",IF(COUNTIFS(MasterPanel!$B:$B,$H363,MasterPanel!$I:$I,$K363,MasterPanel!$K:$K,"Y")&gt;0,"Yes","No"))</f>
        <v>No</v>
      </c>
      <c r="Q363" s="46" t="n">
        <f aca="false">IF($K363="",0,IF(COUNTIF('Gap Sheet'!$A$6:$A$11,TRIM($J363))=0,0,IF($O363="R1",INDEX('Gap Sheet'!$C$6:$C$11,MATCH(TRIM($J363),'Gap Sheet'!$A$6:$A$11,0)),INDEX('Gap Sheet'!$G$6:$G$11,MATCH(TRIM($J363),'Gap Sheet'!$A$6:$A$11,0)))))</f>
        <v>0</v>
      </c>
      <c r="R363" s="46" t="str">
        <f aca="false">IF($K363="","",$K363&amp;"|"&amp;$O363)</f>
        <v/>
      </c>
      <c r="S363" s="46" t="n">
        <f aca="false">IF($R363="",0,COUNTIF($AA$4:$AA362,$R363))</f>
        <v>0</v>
      </c>
      <c r="T363" s="46" t="str">
        <f aca="false">IF(OR($I363&lt;&gt;"Yes, I'm available for in-person interviews at Chennai",$E363&lt;&gt;"Yes",$P363&lt;&gt;"Yes"),"No",IF(($Q363-$S363)&gt;0,"Yes","No"))</f>
        <v>No</v>
      </c>
      <c r="U363" s="46" t="str">
        <f aca="false">IF($M363="","No",IF(COUNTIFS(MasterPanel!$B:$B,$H363,MasterPanel!$I:$I,$M363,MasterPanel!$K:$K,"Y")&gt;0,"Yes","No"))</f>
        <v>No</v>
      </c>
      <c r="V363" s="46" t="n">
        <f aca="false">IF($M363="",0,IF(COUNTIF('Gap Sheet'!$A$6:$A$11,TRIM($L363))=0,0,IF($O363="R1",INDEX('Gap Sheet'!$C$6:$C$11,MATCH(TRIM($L363),'Gap Sheet'!$A$6:$A$11,0)),INDEX('Gap Sheet'!$G$6:$G$11,MATCH(TRIM($L363),'Gap Sheet'!$A$6:$A$11,0)))))</f>
        <v>0</v>
      </c>
      <c r="W363" s="46" t="str">
        <f aca="false">IF($M363="","",$M363&amp;"|"&amp;$O363)</f>
        <v/>
      </c>
      <c r="X363" s="46" t="n">
        <f aca="false">IF($W363="",0,COUNTIF($AA$4:$AA362,$W363))</f>
        <v>0</v>
      </c>
      <c r="Y363" s="46" t="str">
        <f aca="false">IF(OR($I363&lt;&gt;"Yes, I'm available for in-person interviews at Chennai",$E363&lt;&gt;"Yes",$T363="Yes",$U363&lt;&gt;"Yes"),"No",IF(($V363-$X363)&gt;0,"Yes","No"))</f>
        <v>No</v>
      </c>
      <c r="Z363" s="46" t="str">
        <f aca="false">IF($T363="Yes","Primary",IF($Y363="Yes","Secondary",""))</f>
        <v/>
      </c>
      <c r="AA363" s="46" t="str">
        <f aca="false">IF($Z363="Primary",$R363,IF($Z363="Secondary",$W363,""))</f>
        <v/>
      </c>
      <c r="AB363" s="46" t="str">
        <f aca="false">IF($Z363="Primary","Matched on primary skill",IF($Z363="Secondary","Matched on secondary skill (primary not approved or not required)",""))</f>
        <v/>
      </c>
      <c r="AC363" s="47" t="str">
        <f aca="false">IF($D363="Panel Details",$F363,"")</f>
        <v/>
      </c>
      <c r="AD363" s="46" t="str">
        <f aca="false">IF($D363="Panel Details",'Survey Response'!$D361,"")</f>
        <v/>
      </c>
      <c r="AE363" s="46" t="str">
        <f aca="false">IF($D363="Panel Details",'Survey Response'!$E361,"")</f>
        <v/>
      </c>
      <c r="AF363" s="46" t="str">
        <f aca="false">IF($D363="Panel Details",'Survey Response'!$G361,"")</f>
        <v/>
      </c>
      <c r="AG363" s="46" t="str">
        <f aca="false">IF($D363="Panel Details",IF($Z363="Primary",$J363,$L363),"")</f>
        <v/>
      </c>
      <c r="AH363" s="46" t="str">
        <f aca="false">IF($D363="Panel Details",IF($Z363="Primary",$L363,$J363),"")</f>
        <v/>
      </c>
      <c r="AI363" s="46" t="str">
        <f aca="false">IF($D363="Panel Details",'Survey Response'!$H361,"")</f>
        <v/>
      </c>
      <c r="AJ363" s="46" t="str">
        <f aca="false">IF($D363="Panel Details",'Survey Response'!$M361,"")</f>
        <v/>
      </c>
      <c r="AK363" s="46" t="str">
        <f aca="false">IF($D363="Panel Details",$O363,"")</f>
        <v/>
      </c>
      <c r="AL363" s="46" t="str">
        <f aca="false">IF($D363="Panel Details",8,"")</f>
        <v/>
      </c>
      <c r="AM363" s="46" t="str">
        <f aca="false">IF($D363="Panel Details",$AB363,"")</f>
        <v/>
      </c>
      <c r="AN363" s="46" t="str">
        <f aca="false">IF($D363="Panel Details","Yes","")</f>
        <v/>
      </c>
      <c r="AO363" s="46"/>
      <c r="AP363" s="46" t="str">
        <f aca="false">IF($D363="Followup",'Survey Response'!$D361,"")</f>
        <v/>
      </c>
      <c r="AQ363" s="46" t="str">
        <f aca="false">IF($D363="Followup",'Survey Response'!$E361,"")</f>
        <v/>
      </c>
      <c r="AR363" s="46" t="str">
        <f aca="false">IF($D363="Followup",'Survey Response'!$G361,"")</f>
        <v/>
      </c>
      <c r="AS363" s="46" t="str">
        <f aca="false">IF($D363="Followup",'Survey Response'!$H361,"")</f>
        <v/>
      </c>
      <c r="AT363" s="46" t="str">
        <f aca="false">IF($D363="Followup",'Survey Response'!$M361,"")</f>
        <v/>
      </c>
      <c r="AU363" s="46" t="str">
        <f aca="false">IF($D363="Followup",'Survey Response'!$K361,"")</f>
        <v/>
      </c>
      <c r="AV363" s="46" t="str">
        <f aca="false">IF($D363="Followup",'Survey Response'!$L361,"")</f>
        <v/>
      </c>
      <c r="AW363" s="46" t="str">
        <f aca="false">IF($D363="Followup",IF(AND($P363&lt;&gt;"Yes",$U363&lt;&gt;"Yes"),"Not approved for primary or secondary skill","Approved, but skill(s) no longer have capacity (fully staffed)"),"")</f>
        <v/>
      </c>
    </row>
    <row r="364" customFormat="false" ht="15" hidden="false" customHeight="true" outlineLevel="0" collapsed="false">
      <c r="A364" s="46" t="str">
        <f aca="false">IF('Survey Response'!$D362="","",'Survey Response'!$A362&amp;"|"&amp;LOWER(TRIM('Survey Response'!$D362)))</f>
        <v/>
      </c>
      <c r="B364" s="46" t="str">
        <f aca="false">IF($H364="","",$F364&amp;"|"&amp;$H364)</f>
        <v/>
      </c>
      <c r="C364" s="46" t="str">
        <f aca="false">IF($H364="","",$A364=$B364)</f>
        <v/>
      </c>
      <c r="D364" s="46" t="str">
        <f aca="false">IF($H364="","",IF($E364&lt;&gt;"Yes","Superseded",IF($I364&lt;&gt;"Yes, I'm available for in-person interviews at Chennai","Not Available",IF($Z364&lt;&gt;"","Panel Details","Followup"))))</f>
        <v/>
      </c>
      <c r="E364" s="46" t="str">
        <f aca="false">IF($H364="","",IF(SUMPRODUCT(($H$4:$H$503=$H364)*(($G$4:$G$503&gt;$G364)+($G$4:$G$503=$G364)*($F$4:$F$503&gt;$F364)))=0,"Yes","No"))</f>
        <v/>
      </c>
      <c r="F364" s="47" t="str">
        <f aca="false">IF('Survey Response'!$D362="","",INT('Survey Response'!$A362))</f>
        <v/>
      </c>
      <c r="G364" s="46" t="str">
        <f aca="false">IF('Survey Response'!$D362="","",'Survey Response'!$C362)</f>
        <v/>
      </c>
      <c r="H364" s="46" t="str">
        <f aca="false">IF('Survey Response'!$D362="","",LOWER(TRIM('Survey Response'!$D362)))</f>
        <v/>
      </c>
      <c r="I364" s="46" t="str">
        <f aca="false">IF($H364="","",'Survey Response'!$I362)</f>
        <v/>
      </c>
      <c r="J364" s="46" t="str">
        <f aca="false">IF($H364="","",'Survey Response'!$K362)</f>
        <v/>
      </c>
      <c r="K364" s="46" t="str">
        <f aca="false">IF($J364="","",IF(COUNTIF('Skill Mapping'!$A$2:$A$7,TRIM($J364))=0,"",INDEX('Skill Mapping'!$B$2:$B$7,MATCH(TRIM($J364),'Skill Mapping'!$A$2:$A$7,0))))</f>
        <v/>
      </c>
      <c r="L364" s="46" t="str">
        <f aca="false">IF($H364="","",'Survey Response'!$L362)</f>
        <v/>
      </c>
      <c r="M364" s="46" t="str">
        <f aca="false">IF($L364="","",IF(COUNTIF('Skill Mapping'!$A$2:$A$7,TRIM($L364))=0,"",INDEX('Skill Mapping'!$B$2:$B$7,MATCH(TRIM($L364),'Skill Mapping'!$A$2:$A$7,0))))</f>
        <v/>
      </c>
      <c r="N364" s="46" t="str">
        <f aca="false">IF($H364="","",'Survey Response'!$M362)</f>
        <v/>
      </c>
      <c r="O364" s="46" t="str">
        <f aca="false">IF($H364="","",IF('Survey Response'!$M362="Manager","R2","R1"))</f>
        <v/>
      </c>
      <c r="P364" s="46" t="str">
        <f aca="false">IF($K364="","No",IF(COUNTIFS(MasterPanel!$B:$B,$H364,MasterPanel!$I:$I,$K364,MasterPanel!$K:$K,"Y")&gt;0,"Yes","No"))</f>
        <v>No</v>
      </c>
      <c r="Q364" s="46" t="n">
        <f aca="false">IF($K364="",0,IF(COUNTIF('Gap Sheet'!$A$6:$A$11,TRIM($J364))=0,0,IF($O364="R1",INDEX('Gap Sheet'!$C$6:$C$11,MATCH(TRIM($J364),'Gap Sheet'!$A$6:$A$11,0)),INDEX('Gap Sheet'!$G$6:$G$11,MATCH(TRIM($J364),'Gap Sheet'!$A$6:$A$11,0)))))</f>
        <v>0</v>
      </c>
      <c r="R364" s="46" t="str">
        <f aca="false">IF($K364="","",$K364&amp;"|"&amp;$O364)</f>
        <v/>
      </c>
      <c r="S364" s="46" t="n">
        <f aca="false">IF($R364="",0,COUNTIF($AA$4:$AA363,$R364))</f>
        <v>0</v>
      </c>
      <c r="T364" s="46" t="str">
        <f aca="false">IF(OR($I364&lt;&gt;"Yes, I'm available for in-person interviews at Chennai",$E364&lt;&gt;"Yes",$P364&lt;&gt;"Yes"),"No",IF(($Q364-$S364)&gt;0,"Yes","No"))</f>
        <v>No</v>
      </c>
      <c r="U364" s="46" t="str">
        <f aca="false">IF($M364="","No",IF(COUNTIFS(MasterPanel!$B:$B,$H364,MasterPanel!$I:$I,$M364,MasterPanel!$K:$K,"Y")&gt;0,"Yes","No"))</f>
        <v>No</v>
      </c>
      <c r="V364" s="46" t="n">
        <f aca="false">IF($M364="",0,IF(COUNTIF('Gap Sheet'!$A$6:$A$11,TRIM($L364))=0,0,IF($O364="R1",INDEX('Gap Sheet'!$C$6:$C$11,MATCH(TRIM($L364),'Gap Sheet'!$A$6:$A$11,0)),INDEX('Gap Sheet'!$G$6:$G$11,MATCH(TRIM($L364),'Gap Sheet'!$A$6:$A$11,0)))))</f>
        <v>0</v>
      </c>
      <c r="W364" s="46" t="str">
        <f aca="false">IF($M364="","",$M364&amp;"|"&amp;$O364)</f>
        <v/>
      </c>
      <c r="X364" s="46" t="n">
        <f aca="false">IF($W364="",0,COUNTIF($AA$4:$AA363,$W364))</f>
        <v>0</v>
      </c>
      <c r="Y364" s="46" t="str">
        <f aca="false">IF(OR($I364&lt;&gt;"Yes, I'm available for in-person interviews at Chennai",$E364&lt;&gt;"Yes",$T364="Yes",$U364&lt;&gt;"Yes"),"No",IF(($V364-$X364)&gt;0,"Yes","No"))</f>
        <v>No</v>
      </c>
      <c r="Z364" s="46" t="str">
        <f aca="false">IF($T364="Yes","Primary",IF($Y364="Yes","Secondary",""))</f>
        <v/>
      </c>
      <c r="AA364" s="46" t="str">
        <f aca="false">IF($Z364="Primary",$R364,IF($Z364="Secondary",$W364,""))</f>
        <v/>
      </c>
      <c r="AB364" s="46" t="str">
        <f aca="false">IF($Z364="Primary","Matched on primary skill",IF($Z364="Secondary","Matched on secondary skill (primary not approved or not required)",""))</f>
        <v/>
      </c>
      <c r="AC364" s="47" t="str">
        <f aca="false">IF($D364="Panel Details",$F364,"")</f>
        <v/>
      </c>
      <c r="AD364" s="46" t="str">
        <f aca="false">IF($D364="Panel Details",'Survey Response'!$D362,"")</f>
        <v/>
      </c>
      <c r="AE364" s="46" t="str">
        <f aca="false">IF($D364="Panel Details",'Survey Response'!$E362,"")</f>
        <v/>
      </c>
      <c r="AF364" s="46" t="str">
        <f aca="false">IF($D364="Panel Details",'Survey Response'!$G362,"")</f>
        <v/>
      </c>
      <c r="AG364" s="46" t="str">
        <f aca="false">IF($D364="Panel Details",IF($Z364="Primary",$J364,$L364),"")</f>
        <v/>
      </c>
      <c r="AH364" s="46" t="str">
        <f aca="false">IF($D364="Panel Details",IF($Z364="Primary",$L364,$J364),"")</f>
        <v/>
      </c>
      <c r="AI364" s="46" t="str">
        <f aca="false">IF($D364="Panel Details",'Survey Response'!$H362,"")</f>
        <v/>
      </c>
      <c r="AJ364" s="46" t="str">
        <f aca="false">IF($D364="Panel Details",'Survey Response'!$M362,"")</f>
        <v/>
      </c>
      <c r="AK364" s="46" t="str">
        <f aca="false">IF($D364="Panel Details",$O364,"")</f>
        <v/>
      </c>
      <c r="AL364" s="46" t="str">
        <f aca="false">IF($D364="Panel Details",8,"")</f>
        <v/>
      </c>
      <c r="AM364" s="46" t="str">
        <f aca="false">IF($D364="Panel Details",$AB364,"")</f>
        <v/>
      </c>
      <c r="AN364" s="46" t="str">
        <f aca="false">IF($D364="Panel Details","Yes","")</f>
        <v/>
      </c>
      <c r="AO364" s="46"/>
      <c r="AP364" s="46" t="str">
        <f aca="false">IF($D364="Followup",'Survey Response'!$D362,"")</f>
        <v/>
      </c>
      <c r="AQ364" s="46" t="str">
        <f aca="false">IF($D364="Followup",'Survey Response'!$E362,"")</f>
        <v/>
      </c>
      <c r="AR364" s="46" t="str">
        <f aca="false">IF($D364="Followup",'Survey Response'!$G362,"")</f>
        <v/>
      </c>
      <c r="AS364" s="46" t="str">
        <f aca="false">IF($D364="Followup",'Survey Response'!$H362,"")</f>
        <v/>
      </c>
      <c r="AT364" s="46" t="str">
        <f aca="false">IF($D364="Followup",'Survey Response'!$M362,"")</f>
        <v/>
      </c>
      <c r="AU364" s="46" t="str">
        <f aca="false">IF($D364="Followup",'Survey Response'!$K362,"")</f>
        <v/>
      </c>
      <c r="AV364" s="46" t="str">
        <f aca="false">IF($D364="Followup",'Survey Response'!$L362,"")</f>
        <v/>
      </c>
      <c r="AW364" s="46" t="str">
        <f aca="false">IF($D364="Followup",IF(AND($P364&lt;&gt;"Yes",$U364&lt;&gt;"Yes"),"Not approved for primary or secondary skill","Approved, but skill(s) no longer have capacity (fully staffed)"),"")</f>
        <v/>
      </c>
    </row>
    <row r="365" customFormat="false" ht="15" hidden="false" customHeight="true" outlineLevel="0" collapsed="false">
      <c r="A365" s="46" t="str">
        <f aca="false">IF('Survey Response'!$D363="","",'Survey Response'!$A363&amp;"|"&amp;LOWER(TRIM('Survey Response'!$D363)))</f>
        <v/>
      </c>
      <c r="B365" s="46" t="str">
        <f aca="false">IF($H365="","",$F365&amp;"|"&amp;$H365)</f>
        <v/>
      </c>
      <c r="C365" s="46" t="str">
        <f aca="false">IF($H365="","",$A365=$B365)</f>
        <v/>
      </c>
      <c r="D365" s="46" t="str">
        <f aca="false">IF($H365="","",IF($E365&lt;&gt;"Yes","Superseded",IF($I365&lt;&gt;"Yes, I'm available for in-person interviews at Chennai","Not Available",IF($Z365&lt;&gt;"","Panel Details","Followup"))))</f>
        <v/>
      </c>
      <c r="E365" s="46" t="str">
        <f aca="false">IF($H365="","",IF(SUMPRODUCT(($H$4:$H$503=$H365)*(($G$4:$G$503&gt;$G365)+($G$4:$G$503=$G365)*($F$4:$F$503&gt;$F365)))=0,"Yes","No"))</f>
        <v/>
      </c>
      <c r="F365" s="47" t="str">
        <f aca="false">IF('Survey Response'!$D363="","",INT('Survey Response'!$A363))</f>
        <v/>
      </c>
      <c r="G365" s="46" t="str">
        <f aca="false">IF('Survey Response'!$D363="","",'Survey Response'!$C363)</f>
        <v/>
      </c>
      <c r="H365" s="46" t="str">
        <f aca="false">IF('Survey Response'!$D363="","",LOWER(TRIM('Survey Response'!$D363)))</f>
        <v/>
      </c>
      <c r="I365" s="46" t="str">
        <f aca="false">IF($H365="","",'Survey Response'!$I363)</f>
        <v/>
      </c>
      <c r="J365" s="46" t="str">
        <f aca="false">IF($H365="","",'Survey Response'!$K363)</f>
        <v/>
      </c>
      <c r="K365" s="46" t="str">
        <f aca="false">IF($J365="","",IF(COUNTIF('Skill Mapping'!$A$2:$A$7,TRIM($J365))=0,"",INDEX('Skill Mapping'!$B$2:$B$7,MATCH(TRIM($J365),'Skill Mapping'!$A$2:$A$7,0))))</f>
        <v/>
      </c>
      <c r="L365" s="46" t="str">
        <f aca="false">IF($H365="","",'Survey Response'!$L363)</f>
        <v/>
      </c>
      <c r="M365" s="46" t="str">
        <f aca="false">IF($L365="","",IF(COUNTIF('Skill Mapping'!$A$2:$A$7,TRIM($L365))=0,"",INDEX('Skill Mapping'!$B$2:$B$7,MATCH(TRIM($L365),'Skill Mapping'!$A$2:$A$7,0))))</f>
        <v/>
      </c>
      <c r="N365" s="46" t="str">
        <f aca="false">IF($H365="","",'Survey Response'!$M363)</f>
        <v/>
      </c>
      <c r="O365" s="46" t="str">
        <f aca="false">IF($H365="","",IF('Survey Response'!$M363="Manager","R2","R1"))</f>
        <v/>
      </c>
      <c r="P365" s="46" t="str">
        <f aca="false">IF($K365="","No",IF(COUNTIFS(MasterPanel!$B:$B,$H365,MasterPanel!$I:$I,$K365,MasterPanel!$K:$K,"Y")&gt;0,"Yes","No"))</f>
        <v>No</v>
      </c>
      <c r="Q365" s="46" t="n">
        <f aca="false">IF($K365="",0,IF(COUNTIF('Gap Sheet'!$A$6:$A$11,TRIM($J365))=0,0,IF($O365="R1",INDEX('Gap Sheet'!$C$6:$C$11,MATCH(TRIM($J365),'Gap Sheet'!$A$6:$A$11,0)),INDEX('Gap Sheet'!$G$6:$G$11,MATCH(TRIM($J365),'Gap Sheet'!$A$6:$A$11,0)))))</f>
        <v>0</v>
      </c>
      <c r="R365" s="46" t="str">
        <f aca="false">IF($K365="","",$K365&amp;"|"&amp;$O365)</f>
        <v/>
      </c>
      <c r="S365" s="46" t="n">
        <f aca="false">IF($R365="",0,COUNTIF($AA$4:$AA364,$R365))</f>
        <v>0</v>
      </c>
      <c r="T365" s="46" t="str">
        <f aca="false">IF(OR($I365&lt;&gt;"Yes, I'm available for in-person interviews at Chennai",$E365&lt;&gt;"Yes",$P365&lt;&gt;"Yes"),"No",IF(($Q365-$S365)&gt;0,"Yes","No"))</f>
        <v>No</v>
      </c>
      <c r="U365" s="46" t="str">
        <f aca="false">IF($M365="","No",IF(COUNTIFS(MasterPanel!$B:$B,$H365,MasterPanel!$I:$I,$M365,MasterPanel!$K:$K,"Y")&gt;0,"Yes","No"))</f>
        <v>No</v>
      </c>
      <c r="V365" s="46" t="n">
        <f aca="false">IF($M365="",0,IF(COUNTIF('Gap Sheet'!$A$6:$A$11,TRIM($L365))=0,0,IF($O365="R1",INDEX('Gap Sheet'!$C$6:$C$11,MATCH(TRIM($L365),'Gap Sheet'!$A$6:$A$11,0)),INDEX('Gap Sheet'!$G$6:$G$11,MATCH(TRIM($L365),'Gap Sheet'!$A$6:$A$11,0)))))</f>
        <v>0</v>
      </c>
      <c r="W365" s="46" t="str">
        <f aca="false">IF($M365="","",$M365&amp;"|"&amp;$O365)</f>
        <v/>
      </c>
      <c r="X365" s="46" t="n">
        <f aca="false">IF($W365="",0,COUNTIF($AA$4:$AA364,$W365))</f>
        <v>0</v>
      </c>
      <c r="Y365" s="46" t="str">
        <f aca="false">IF(OR($I365&lt;&gt;"Yes, I'm available for in-person interviews at Chennai",$E365&lt;&gt;"Yes",$T365="Yes",$U365&lt;&gt;"Yes"),"No",IF(($V365-$X365)&gt;0,"Yes","No"))</f>
        <v>No</v>
      </c>
      <c r="Z365" s="46" t="str">
        <f aca="false">IF($T365="Yes","Primary",IF($Y365="Yes","Secondary",""))</f>
        <v/>
      </c>
      <c r="AA365" s="46" t="str">
        <f aca="false">IF($Z365="Primary",$R365,IF($Z365="Secondary",$W365,""))</f>
        <v/>
      </c>
      <c r="AB365" s="46" t="str">
        <f aca="false">IF($Z365="Primary","Matched on primary skill",IF($Z365="Secondary","Matched on secondary skill (primary not approved or not required)",""))</f>
        <v/>
      </c>
      <c r="AC365" s="47" t="str">
        <f aca="false">IF($D365="Panel Details",$F365,"")</f>
        <v/>
      </c>
      <c r="AD365" s="46" t="str">
        <f aca="false">IF($D365="Panel Details",'Survey Response'!$D363,"")</f>
        <v/>
      </c>
      <c r="AE365" s="46" t="str">
        <f aca="false">IF($D365="Panel Details",'Survey Response'!$E363,"")</f>
        <v/>
      </c>
      <c r="AF365" s="46" t="str">
        <f aca="false">IF($D365="Panel Details",'Survey Response'!$G363,"")</f>
        <v/>
      </c>
      <c r="AG365" s="46" t="str">
        <f aca="false">IF($D365="Panel Details",IF($Z365="Primary",$J365,$L365),"")</f>
        <v/>
      </c>
      <c r="AH365" s="46" t="str">
        <f aca="false">IF($D365="Panel Details",IF($Z365="Primary",$L365,$J365),"")</f>
        <v/>
      </c>
      <c r="AI365" s="46" t="str">
        <f aca="false">IF($D365="Panel Details",'Survey Response'!$H363,"")</f>
        <v/>
      </c>
      <c r="AJ365" s="46" t="str">
        <f aca="false">IF($D365="Panel Details",'Survey Response'!$M363,"")</f>
        <v/>
      </c>
      <c r="AK365" s="46" t="str">
        <f aca="false">IF($D365="Panel Details",$O365,"")</f>
        <v/>
      </c>
      <c r="AL365" s="46" t="str">
        <f aca="false">IF($D365="Panel Details",8,"")</f>
        <v/>
      </c>
      <c r="AM365" s="46" t="str">
        <f aca="false">IF($D365="Panel Details",$AB365,"")</f>
        <v/>
      </c>
      <c r="AN365" s="46" t="str">
        <f aca="false">IF($D365="Panel Details","Yes","")</f>
        <v/>
      </c>
      <c r="AO365" s="46"/>
      <c r="AP365" s="46" t="str">
        <f aca="false">IF($D365="Followup",'Survey Response'!$D363,"")</f>
        <v/>
      </c>
      <c r="AQ365" s="46" t="str">
        <f aca="false">IF($D365="Followup",'Survey Response'!$E363,"")</f>
        <v/>
      </c>
      <c r="AR365" s="46" t="str">
        <f aca="false">IF($D365="Followup",'Survey Response'!$G363,"")</f>
        <v/>
      </c>
      <c r="AS365" s="46" t="str">
        <f aca="false">IF($D365="Followup",'Survey Response'!$H363,"")</f>
        <v/>
      </c>
      <c r="AT365" s="46" t="str">
        <f aca="false">IF($D365="Followup",'Survey Response'!$M363,"")</f>
        <v/>
      </c>
      <c r="AU365" s="46" t="str">
        <f aca="false">IF($D365="Followup",'Survey Response'!$K363,"")</f>
        <v/>
      </c>
      <c r="AV365" s="46" t="str">
        <f aca="false">IF($D365="Followup",'Survey Response'!$L363,"")</f>
        <v/>
      </c>
      <c r="AW365" s="46" t="str">
        <f aca="false">IF($D365="Followup",IF(AND($P365&lt;&gt;"Yes",$U365&lt;&gt;"Yes"),"Not approved for primary or secondary skill","Approved, but skill(s) no longer have capacity (fully staffed)"),"")</f>
        <v/>
      </c>
    </row>
    <row r="366" customFormat="false" ht="15" hidden="false" customHeight="true" outlineLevel="0" collapsed="false">
      <c r="A366" s="46" t="str">
        <f aca="false">IF('Survey Response'!$D364="","",'Survey Response'!$A364&amp;"|"&amp;LOWER(TRIM('Survey Response'!$D364)))</f>
        <v/>
      </c>
      <c r="B366" s="46" t="str">
        <f aca="false">IF($H366="","",$F366&amp;"|"&amp;$H366)</f>
        <v/>
      </c>
      <c r="C366" s="46" t="str">
        <f aca="false">IF($H366="","",$A366=$B366)</f>
        <v/>
      </c>
      <c r="D366" s="46" t="str">
        <f aca="false">IF($H366="","",IF($E366&lt;&gt;"Yes","Superseded",IF($I366&lt;&gt;"Yes, I'm available for in-person interviews at Chennai","Not Available",IF($Z366&lt;&gt;"","Panel Details","Followup"))))</f>
        <v/>
      </c>
      <c r="E366" s="46" t="str">
        <f aca="false">IF($H366="","",IF(SUMPRODUCT(($H$4:$H$503=$H366)*(($G$4:$G$503&gt;$G366)+($G$4:$G$503=$G366)*($F$4:$F$503&gt;$F366)))=0,"Yes","No"))</f>
        <v/>
      </c>
      <c r="F366" s="47" t="str">
        <f aca="false">IF('Survey Response'!$D364="","",INT('Survey Response'!$A364))</f>
        <v/>
      </c>
      <c r="G366" s="46" t="str">
        <f aca="false">IF('Survey Response'!$D364="","",'Survey Response'!$C364)</f>
        <v/>
      </c>
      <c r="H366" s="46" t="str">
        <f aca="false">IF('Survey Response'!$D364="","",LOWER(TRIM('Survey Response'!$D364)))</f>
        <v/>
      </c>
      <c r="I366" s="46" t="str">
        <f aca="false">IF($H366="","",'Survey Response'!$I364)</f>
        <v/>
      </c>
      <c r="J366" s="46" t="str">
        <f aca="false">IF($H366="","",'Survey Response'!$K364)</f>
        <v/>
      </c>
      <c r="K366" s="46" t="str">
        <f aca="false">IF($J366="","",IF(COUNTIF('Skill Mapping'!$A$2:$A$7,TRIM($J366))=0,"",INDEX('Skill Mapping'!$B$2:$B$7,MATCH(TRIM($J366),'Skill Mapping'!$A$2:$A$7,0))))</f>
        <v/>
      </c>
      <c r="L366" s="46" t="str">
        <f aca="false">IF($H366="","",'Survey Response'!$L364)</f>
        <v/>
      </c>
      <c r="M366" s="46" t="str">
        <f aca="false">IF($L366="","",IF(COUNTIF('Skill Mapping'!$A$2:$A$7,TRIM($L366))=0,"",INDEX('Skill Mapping'!$B$2:$B$7,MATCH(TRIM($L366),'Skill Mapping'!$A$2:$A$7,0))))</f>
        <v/>
      </c>
      <c r="N366" s="46" t="str">
        <f aca="false">IF($H366="","",'Survey Response'!$M364)</f>
        <v/>
      </c>
      <c r="O366" s="46" t="str">
        <f aca="false">IF($H366="","",IF('Survey Response'!$M364="Manager","R2","R1"))</f>
        <v/>
      </c>
      <c r="P366" s="46" t="str">
        <f aca="false">IF($K366="","No",IF(COUNTIFS(MasterPanel!$B:$B,$H366,MasterPanel!$I:$I,$K366,MasterPanel!$K:$K,"Y")&gt;0,"Yes","No"))</f>
        <v>No</v>
      </c>
      <c r="Q366" s="46" t="n">
        <f aca="false">IF($K366="",0,IF(COUNTIF('Gap Sheet'!$A$6:$A$11,TRIM($J366))=0,0,IF($O366="R1",INDEX('Gap Sheet'!$C$6:$C$11,MATCH(TRIM($J366),'Gap Sheet'!$A$6:$A$11,0)),INDEX('Gap Sheet'!$G$6:$G$11,MATCH(TRIM($J366),'Gap Sheet'!$A$6:$A$11,0)))))</f>
        <v>0</v>
      </c>
      <c r="R366" s="46" t="str">
        <f aca="false">IF($K366="","",$K366&amp;"|"&amp;$O366)</f>
        <v/>
      </c>
      <c r="S366" s="46" t="n">
        <f aca="false">IF($R366="",0,COUNTIF($AA$4:$AA365,$R366))</f>
        <v>0</v>
      </c>
      <c r="T366" s="46" t="str">
        <f aca="false">IF(OR($I366&lt;&gt;"Yes, I'm available for in-person interviews at Chennai",$E366&lt;&gt;"Yes",$P366&lt;&gt;"Yes"),"No",IF(($Q366-$S366)&gt;0,"Yes","No"))</f>
        <v>No</v>
      </c>
      <c r="U366" s="46" t="str">
        <f aca="false">IF($M366="","No",IF(COUNTIFS(MasterPanel!$B:$B,$H366,MasterPanel!$I:$I,$M366,MasterPanel!$K:$K,"Y")&gt;0,"Yes","No"))</f>
        <v>No</v>
      </c>
      <c r="V366" s="46" t="n">
        <f aca="false">IF($M366="",0,IF(COUNTIF('Gap Sheet'!$A$6:$A$11,TRIM($L366))=0,0,IF($O366="R1",INDEX('Gap Sheet'!$C$6:$C$11,MATCH(TRIM($L366),'Gap Sheet'!$A$6:$A$11,0)),INDEX('Gap Sheet'!$G$6:$G$11,MATCH(TRIM($L366),'Gap Sheet'!$A$6:$A$11,0)))))</f>
        <v>0</v>
      </c>
      <c r="W366" s="46" t="str">
        <f aca="false">IF($M366="","",$M366&amp;"|"&amp;$O366)</f>
        <v/>
      </c>
      <c r="X366" s="46" t="n">
        <f aca="false">IF($W366="",0,COUNTIF($AA$4:$AA365,$W366))</f>
        <v>0</v>
      </c>
      <c r="Y366" s="46" t="str">
        <f aca="false">IF(OR($I366&lt;&gt;"Yes, I'm available for in-person interviews at Chennai",$E366&lt;&gt;"Yes",$T366="Yes",$U366&lt;&gt;"Yes"),"No",IF(($V366-$X366)&gt;0,"Yes","No"))</f>
        <v>No</v>
      </c>
      <c r="Z366" s="46" t="str">
        <f aca="false">IF($T366="Yes","Primary",IF($Y366="Yes","Secondary",""))</f>
        <v/>
      </c>
      <c r="AA366" s="46" t="str">
        <f aca="false">IF($Z366="Primary",$R366,IF($Z366="Secondary",$W366,""))</f>
        <v/>
      </c>
      <c r="AB366" s="46" t="str">
        <f aca="false">IF($Z366="Primary","Matched on primary skill",IF($Z366="Secondary","Matched on secondary skill (primary not approved or not required)",""))</f>
        <v/>
      </c>
      <c r="AC366" s="47" t="str">
        <f aca="false">IF($D366="Panel Details",$F366,"")</f>
        <v/>
      </c>
      <c r="AD366" s="46" t="str">
        <f aca="false">IF($D366="Panel Details",'Survey Response'!$D364,"")</f>
        <v/>
      </c>
      <c r="AE366" s="46" t="str">
        <f aca="false">IF($D366="Panel Details",'Survey Response'!$E364,"")</f>
        <v/>
      </c>
      <c r="AF366" s="46" t="str">
        <f aca="false">IF($D366="Panel Details",'Survey Response'!$G364,"")</f>
        <v/>
      </c>
      <c r="AG366" s="46" t="str">
        <f aca="false">IF($D366="Panel Details",IF($Z366="Primary",$J366,$L366),"")</f>
        <v/>
      </c>
      <c r="AH366" s="46" t="str">
        <f aca="false">IF($D366="Panel Details",IF($Z366="Primary",$L366,$J366),"")</f>
        <v/>
      </c>
      <c r="AI366" s="46" t="str">
        <f aca="false">IF($D366="Panel Details",'Survey Response'!$H364,"")</f>
        <v/>
      </c>
      <c r="AJ366" s="46" t="str">
        <f aca="false">IF($D366="Panel Details",'Survey Response'!$M364,"")</f>
        <v/>
      </c>
      <c r="AK366" s="46" t="str">
        <f aca="false">IF($D366="Panel Details",$O366,"")</f>
        <v/>
      </c>
      <c r="AL366" s="46" t="str">
        <f aca="false">IF($D366="Panel Details",8,"")</f>
        <v/>
      </c>
      <c r="AM366" s="46" t="str">
        <f aca="false">IF($D366="Panel Details",$AB366,"")</f>
        <v/>
      </c>
      <c r="AN366" s="46" t="str">
        <f aca="false">IF($D366="Panel Details","Yes","")</f>
        <v/>
      </c>
      <c r="AO366" s="46"/>
      <c r="AP366" s="46" t="str">
        <f aca="false">IF($D366="Followup",'Survey Response'!$D364,"")</f>
        <v/>
      </c>
      <c r="AQ366" s="46" t="str">
        <f aca="false">IF($D366="Followup",'Survey Response'!$E364,"")</f>
        <v/>
      </c>
      <c r="AR366" s="46" t="str">
        <f aca="false">IF($D366="Followup",'Survey Response'!$G364,"")</f>
        <v/>
      </c>
      <c r="AS366" s="46" t="str">
        <f aca="false">IF($D366="Followup",'Survey Response'!$H364,"")</f>
        <v/>
      </c>
      <c r="AT366" s="46" t="str">
        <f aca="false">IF($D366="Followup",'Survey Response'!$M364,"")</f>
        <v/>
      </c>
      <c r="AU366" s="46" t="str">
        <f aca="false">IF($D366="Followup",'Survey Response'!$K364,"")</f>
        <v/>
      </c>
      <c r="AV366" s="46" t="str">
        <f aca="false">IF($D366="Followup",'Survey Response'!$L364,"")</f>
        <v/>
      </c>
      <c r="AW366" s="46" t="str">
        <f aca="false">IF($D366="Followup",IF(AND($P366&lt;&gt;"Yes",$U366&lt;&gt;"Yes"),"Not approved for primary or secondary skill","Approved, but skill(s) no longer have capacity (fully staffed)"),"")</f>
        <v/>
      </c>
    </row>
    <row r="367" customFormat="false" ht="15" hidden="false" customHeight="true" outlineLevel="0" collapsed="false">
      <c r="A367" s="46" t="str">
        <f aca="false">IF('Survey Response'!$D365="","",'Survey Response'!$A365&amp;"|"&amp;LOWER(TRIM('Survey Response'!$D365)))</f>
        <v/>
      </c>
      <c r="B367" s="46" t="str">
        <f aca="false">IF($H367="","",$F367&amp;"|"&amp;$H367)</f>
        <v/>
      </c>
      <c r="C367" s="46" t="str">
        <f aca="false">IF($H367="","",$A367=$B367)</f>
        <v/>
      </c>
      <c r="D367" s="46" t="str">
        <f aca="false">IF($H367="","",IF($E367&lt;&gt;"Yes","Superseded",IF($I367&lt;&gt;"Yes, I'm available for in-person interviews at Chennai","Not Available",IF($Z367&lt;&gt;"","Panel Details","Followup"))))</f>
        <v/>
      </c>
      <c r="E367" s="46" t="str">
        <f aca="false">IF($H367="","",IF(SUMPRODUCT(($H$4:$H$503=$H367)*(($G$4:$G$503&gt;$G367)+($G$4:$G$503=$G367)*($F$4:$F$503&gt;$F367)))=0,"Yes","No"))</f>
        <v/>
      </c>
      <c r="F367" s="47" t="str">
        <f aca="false">IF('Survey Response'!$D365="","",INT('Survey Response'!$A365))</f>
        <v/>
      </c>
      <c r="G367" s="46" t="str">
        <f aca="false">IF('Survey Response'!$D365="","",'Survey Response'!$C365)</f>
        <v/>
      </c>
      <c r="H367" s="46" t="str">
        <f aca="false">IF('Survey Response'!$D365="","",LOWER(TRIM('Survey Response'!$D365)))</f>
        <v/>
      </c>
      <c r="I367" s="46" t="str">
        <f aca="false">IF($H367="","",'Survey Response'!$I365)</f>
        <v/>
      </c>
      <c r="J367" s="46" t="str">
        <f aca="false">IF($H367="","",'Survey Response'!$K365)</f>
        <v/>
      </c>
      <c r="K367" s="46" t="str">
        <f aca="false">IF($J367="","",IF(COUNTIF('Skill Mapping'!$A$2:$A$7,TRIM($J367))=0,"",INDEX('Skill Mapping'!$B$2:$B$7,MATCH(TRIM($J367),'Skill Mapping'!$A$2:$A$7,0))))</f>
        <v/>
      </c>
      <c r="L367" s="46" t="str">
        <f aca="false">IF($H367="","",'Survey Response'!$L365)</f>
        <v/>
      </c>
      <c r="M367" s="46" t="str">
        <f aca="false">IF($L367="","",IF(COUNTIF('Skill Mapping'!$A$2:$A$7,TRIM($L367))=0,"",INDEX('Skill Mapping'!$B$2:$B$7,MATCH(TRIM($L367),'Skill Mapping'!$A$2:$A$7,0))))</f>
        <v/>
      </c>
      <c r="N367" s="46" t="str">
        <f aca="false">IF($H367="","",'Survey Response'!$M365)</f>
        <v/>
      </c>
      <c r="O367" s="46" t="str">
        <f aca="false">IF($H367="","",IF('Survey Response'!$M365="Manager","R2","R1"))</f>
        <v/>
      </c>
      <c r="P367" s="46" t="str">
        <f aca="false">IF($K367="","No",IF(COUNTIFS(MasterPanel!$B:$B,$H367,MasterPanel!$I:$I,$K367,MasterPanel!$K:$K,"Y")&gt;0,"Yes","No"))</f>
        <v>No</v>
      </c>
      <c r="Q367" s="46" t="n">
        <f aca="false">IF($K367="",0,IF(COUNTIF('Gap Sheet'!$A$6:$A$11,TRIM($J367))=0,0,IF($O367="R1",INDEX('Gap Sheet'!$C$6:$C$11,MATCH(TRIM($J367),'Gap Sheet'!$A$6:$A$11,0)),INDEX('Gap Sheet'!$G$6:$G$11,MATCH(TRIM($J367),'Gap Sheet'!$A$6:$A$11,0)))))</f>
        <v>0</v>
      </c>
      <c r="R367" s="46" t="str">
        <f aca="false">IF($K367="","",$K367&amp;"|"&amp;$O367)</f>
        <v/>
      </c>
      <c r="S367" s="46" t="n">
        <f aca="false">IF($R367="",0,COUNTIF($AA$4:$AA366,$R367))</f>
        <v>0</v>
      </c>
      <c r="T367" s="46" t="str">
        <f aca="false">IF(OR($I367&lt;&gt;"Yes, I'm available for in-person interviews at Chennai",$E367&lt;&gt;"Yes",$P367&lt;&gt;"Yes"),"No",IF(($Q367-$S367)&gt;0,"Yes","No"))</f>
        <v>No</v>
      </c>
      <c r="U367" s="46" t="str">
        <f aca="false">IF($M367="","No",IF(COUNTIFS(MasterPanel!$B:$B,$H367,MasterPanel!$I:$I,$M367,MasterPanel!$K:$K,"Y")&gt;0,"Yes","No"))</f>
        <v>No</v>
      </c>
      <c r="V367" s="46" t="n">
        <f aca="false">IF($M367="",0,IF(COUNTIF('Gap Sheet'!$A$6:$A$11,TRIM($L367))=0,0,IF($O367="R1",INDEX('Gap Sheet'!$C$6:$C$11,MATCH(TRIM($L367),'Gap Sheet'!$A$6:$A$11,0)),INDEX('Gap Sheet'!$G$6:$G$11,MATCH(TRIM($L367),'Gap Sheet'!$A$6:$A$11,0)))))</f>
        <v>0</v>
      </c>
      <c r="W367" s="46" t="str">
        <f aca="false">IF($M367="","",$M367&amp;"|"&amp;$O367)</f>
        <v/>
      </c>
      <c r="X367" s="46" t="n">
        <f aca="false">IF($W367="",0,COUNTIF($AA$4:$AA366,$W367))</f>
        <v>0</v>
      </c>
      <c r="Y367" s="46" t="str">
        <f aca="false">IF(OR($I367&lt;&gt;"Yes, I'm available for in-person interviews at Chennai",$E367&lt;&gt;"Yes",$T367="Yes",$U367&lt;&gt;"Yes"),"No",IF(($V367-$X367)&gt;0,"Yes","No"))</f>
        <v>No</v>
      </c>
      <c r="Z367" s="46" t="str">
        <f aca="false">IF($T367="Yes","Primary",IF($Y367="Yes","Secondary",""))</f>
        <v/>
      </c>
      <c r="AA367" s="46" t="str">
        <f aca="false">IF($Z367="Primary",$R367,IF($Z367="Secondary",$W367,""))</f>
        <v/>
      </c>
      <c r="AB367" s="46" t="str">
        <f aca="false">IF($Z367="Primary","Matched on primary skill",IF($Z367="Secondary","Matched on secondary skill (primary not approved or not required)",""))</f>
        <v/>
      </c>
      <c r="AC367" s="47" t="str">
        <f aca="false">IF($D367="Panel Details",$F367,"")</f>
        <v/>
      </c>
      <c r="AD367" s="46" t="str">
        <f aca="false">IF($D367="Panel Details",'Survey Response'!$D365,"")</f>
        <v/>
      </c>
      <c r="AE367" s="46" t="str">
        <f aca="false">IF($D367="Panel Details",'Survey Response'!$E365,"")</f>
        <v/>
      </c>
      <c r="AF367" s="46" t="str">
        <f aca="false">IF($D367="Panel Details",'Survey Response'!$G365,"")</f>
        <v/>
      </c>
      <c r="AG367" s="46" t="str">
        <f aca="false">IF($D367="Panel Details",IF($Z367="Primary",$J367,$L367),"")</f>
        <v/>
      </c>
      <c r="AH367" s="46" t="str">
        <f aca="false">IF($D367="Panel Details",IF($Z367="Primary",$L367,$J367),"")</f>
        <v/>
      </c>
      <c r="AI367" s="46" t="str">
        <f aca="false">IF($D367="Panel Details",'Survey Response'!$H365,"")</f>
        <v/>
      </c>
      <c r="AJ367" s="46" t="str">
        <f aca="false">IF($D367="Panel Details",'Survey Response'!$M365,"")</f>
        <v/>
      </c>
      <c r="AK367" s="46" t="str">
        <f aca="false">IF($D367="Panel Details",$O367,"")</f>
        <v/>
      </c>
      <c r="AL367" s="46" t="str">
        <f aca="false">IF($D367="Panel Details",8,"")</f>
        <v/>
      </c>
      <c r="AM367" s="46" t="str">
        <f aca="false">IF($D367="Panel Details",$AB367,"")</f>
        <v/>
      </c>
      <c r="AN367" s="46" t="str">
        <f aca="false">IF($D367="Panel Details","Yes","")</f>
        <v/>
      </c>
      <c r="AO367" s="46"/>
      <c r="AP367" s="46" t="str">
        <f aca="false">IF($D367="Followup",'Survey Response'!$D365,"")</f>
        <v/>
      </c>
      <c r="AQ367" s="46" t="str">
        <f aca="false">IF($D367="Followup",'Survey Response'!$E365,"")</f>
        <v/>
      </c>
      <c r="AR367" s="46" t="str">
        <f aca="false">IF($D367="Followup",'Survey Response'!$G365,"")</f>
        <v/>
      </c>
      <c r="AS367" s="46" t="str">
        <f aca="false">IF($D367="Followup",'Survey Response'!$H365,"")</f>
        <v/>
      </c>
      <c r="AT367" s="46" t="str">
        <f aca="false">IF($D367="Followup",'Survey Response'!$M365,"")</f>
        <v/>
      </c>
      <c r="AU367" s="46" t="str">
        <f aca="false">IF($D367="Followup",'Survey Response'!$K365,"")</f>
        <v/>
      </c>
      <c r="AV367" s="46" t="str">
        <f aca="false">IF($D367="Followup",'Survey Response'!$L365,"")</f>
        <v/>
      </c>
      <c r="AW367" s="46" t="str">
        <f aca="false">IF($D367="Followup",IF(AND($P367&lt;&gt;"Yes",$U367&lt;&gt;"Yes"),"Not approved for primary or secondary skill","Approved, but skill(s) no longer have capacity (fully staffed)"),"")</f>
        <v/>
      </c>
    </row>
    <row r="368" customFormat="false" ht="15" hidden="false" customHeight="true" outlineLevel="0" collapsed="false">
      <c r="A368" s="46" t="str">
        <f aca="false">IF('Survey Response'!$D366="","",'Survey Response'!$A366&amp;"|"&amp;LOWER(TRIM('Survey Response'!$D366)))</f>
        <v/>
      </c>
      <c r="B368" s="46" t="str">
        <f aca="false">IF($H368="","",$F368&amp;"|"&amp;$H368)</f>
        <v/>
      </c>
      <c r="C368" s="46" t="str">
        <f aca="false">IF($H368="","",$A368=$B368)</f>
        <v/>
      </c>
      <c r="D368" s="46" t="str">
        <f aca="false">IF($H368="","",IF($E368&lt;&gt;"Yes","Superseded",IF($I368&lt;&gt;"Yes, I'm available for in-person interviews at Chennai","Not Available",IF($Z368&lt;&gt;"","Panel Details","Followup"))))</f>
        <v/>
      </c>
      <c r="E368" s="46" t="str">
        <f aca="false">IF($H368="","",IF(SUMPRODUCT(($H$4:$H$503=$H368)*(($G$4:$G$503&gt;$G368)+($G$4:$G$503=$G368)*($F$4:$F$503&gt;$F368)))=0,"Yes","No"))</f>
        <v/>
      </c>
      <c r="F368" s="47" t="str">
        <f aca="false">IF('Survey Response'!$D366="","",INT('Survey Response'!$A366))</f>
        <v/>
      </c>
      <c r="G368" s="46" t="str">
        <f aca="false">IF('Survey Response'!$D366="","",'Survey Response'!$C366)</f>
        <v/>
      </c>
      <c r="H368" s="46" t="str">
        <f aca="false">IF('Survey Response'!$D366="","",LOWER(TRIM('Survey Response'!$D366)))</f>
        <v/>
      </c>
      <c r="I368" s="46" t="str">
        <f aca="false">IF($H368="","",'Survey Response'!$I366)</f>
        <v/>
      </c>
      <c r="J368" s="46" t="str">
        <f aca="false">IF($H368="","",'Survey Response'!$K366)</f>
        <v/>
      </c>
      <c r="K368" s="46" t="str">
        <f aca="false">IF($J368="","",IF(COUNTIF('Skill Mapping'!$A$2:$A$7,TRIM($J368))=0,"",INDEX('Skill Mapping'!$B$2:$B$7,MATCH(TRIM($J368),'Skill Mapping'!$A$2:$A$7,0))))</f>
        <v/>
      </c>
      <c r="L368" s="46" t="str">
        <f aca="false">IF($H368="","",'Survey Response'!$L366)</f>
        <v/>
      </c>
      <c r="M368" s="46" t="str">
        <f aca="false">IF($L368="","",IF(COUNTIF('Skill Mapping'!$A$2:$A$7,TRIM($L368))=0,"",INDEX('Skill Mapping'!$B$2:$B$7,MATCH(TRIM($L368),'Skill Mapping'!$A$2:$A$7,0))))</f>
        <v/>
      </c>
      <c r="N368" s="46" t="str">
        <f aca="false">IF($H368="","",'Survey Response'!$M366)</f>
        <v/>
      </c>
      <c r="O368" s="46" t="str">
        <f aca="false">IF($H368="","",IF('Survey Response'!$M366="Manager","R2","R1"))</f>
        <v/>
      </c>
      <c r="P368" s="46" t="str">
        <f aca="false">IF($K368="","No",IF(COUNTIFS(MasterPanel!$B:$B,$H368,MasterPanel!$I:$I,$K368,MasterPanel!$K:$K,"Y")&gt;0,"Yes","No"))</f>
        <v>No</v>
      </c>
      <c r="Q368" s="46" t="n">
        <f aca="false">IF($K368="",0,IF(COUNTIF('Gap Sheet'!$A$6:$A$11,TRIM($J368))=0,0,IF($O368="R1",INDEX('Gap Sheet'!$C$6:$C$11,MATCH(TRIM($J368),'Gap Sheet'!$A$6:$A$11,0)),INDEX('Gap Sheet'!$G$6:$G$11,MATCH(TRIM($J368),'Gap Sheet'!$A$6:$A$11,0)))))</f>
        <v>0</v>
      </c>
      <c r="R368" s="46" t="str">
        <f aca="false">IF($K368="","",$K368&amp;"|"&amp;$O368)</f>
        <v/>
      </c>
      <c r="S368" s="46" t="n">
        <f aca="false">IF($R368="",0,COUNTIF($AA$4:$AA367,$R368))</f>
        <v>0</v>
      </c>
      <c r="T368" s="46" t="str">
        <f aca="false">IF(OR($I368&lt;&gt;"Yes, I'm available for in-person interviews at Chennai",$E368&lt;&gt;"Yes",$P368&lt;&gt;"Yes"),"No",IF(($Q368-$S368)&gt;0,"Yes","No"))</f>
        <v>No</v>
      </c>
      <c r="U368" s="46" t="str">
        <f aca="false">IF($M368="","No",IF(COUNTIFS(MasterPanel!$B:$B,$H368,MasterPanel!$I:$I,$M368,MasterPanel!$K:$K,"Y")&gt;0,"Yes","No"))</f>
        <v>No</v>
      </c>
      <c r="V368" s="46" t="n">
        <f aca="false">IF($M368="",0,IF(COUNTIF('Gap Sheet'!$A$6:$A$11,TRIM($L368))=0,0,IF($O368="R1",INDEX('Gap Sheet'!$C$6:$C$11,MATCH(TRIM($L368),'Gap Sheet'!$A$6:$A$11,0)),INDEX('Gap Sheet'!$G$6:$G$11,MATCH(TRIM($L368),'Gap Sheet'!$A$6:$A$11,0)))))</f>
        <v>0</v>
      </c>
      <c r="W368" s="46" t="str">
        <f aca="false">IF($M368="","",$M368&amp;"|"&amp;$O368)</f>
        <v/>
      </c>
      <c r="X368" s="46" t="n">
        <f aca="false">IF($W368="",0,COUNTIF($AA$4:$AA367,$W368))</f>
        <v>0</v>
      </c>
      <c r="Y368" s="46" t="str">
        <f aca="false">IF(OR($I368&lt;&gt;"Yes, I'm available for in-person interviews at Chennai",$E368&lt;&gt;"Yes",$T368="Yes",$U368&lt;&gt;"Yes"),"No",IF(($V368-$X368)&gt;0,"Yes","No"))</f>
        <v>No</v>
      </c>
      <c r="Z368" s="46" t="str">
        <f aca="false">IF($T368="Yes","Primary",IF($Y368="Yes","Secondary",""))</f>
        <v/>
      </c>
      <c r="AA368" s="46" t="str">
        <f aca="false">IF($Z368="Primary",$R368,IF($Z368="Secondary",$W368,""))</f>
        <v/>
      </c>
      <c r="AB368" s="46" t="str">
        <f aca="false">IF($Z368="Primary","Matched on primary skill",IF($Z368="Secondary","Matched on secondary skill (primary not approved or not required)",""))</f>
        <v/>
      </c>
      <c r="AC368" s="47" t="str">
        <f aca="false">IF($D368="Panel Details",$F368,"")</f>
        <v/>
      </c>
      <c r="AD368" s="46" t="str">
        <f aca="false">IF($D368="Panel Details",'Survey Response'!$D366,"")</f>
        <v/>
      </c>
      <c r="AE368" s="46" t="str">
        <f aca="false">IF($D368="Panel Details",'Survey Response'!$E366,"")</f>
        <v/>
      </c>
      <c r="AF368" s="46" t="str">
        <f aca="false">IF($D368="Panel Details",'Survey Response'!$G366,"")</f>
        <v/>
      </c>
      <c r="AG368" s="46" t="str">
        <f aca="false">IF($D368="Panel Details",IF($Z368="Primary",$J368,$L368),"")</f>
        <v/>
      </c>
      <c r="AH368" s="46" t="str">
        <f aca="false">IF($D368="Panel Details",IF($Z368="Primary",$L368,$J368),"")</f>
        <v/>
      </c>
      <c r="AI368" s="46" t="str">
        <f aca="false">IF($D368="Panel Details",'Survey Response'!$H366,"")</f>
        <v/>
      </c>
      <c r="AJ368" s="46" t="str">
        <f aca="false">IF($D368="Panel Details",'Survey Response'!$M366,"")</f>
        <v/>
      </c>
      <c r="AK368" s="46" t="str">
        <f aca="false">IF($D368="Panel Details",$O368,"")</f>
        <v/>
      </c>
      <c r="AL368" s="46" t="str">
        <f aca="false">IF($D368="Panel Details",8,"")</f>
        <v/>
      </c>
      <c r="AM368" s="46" t="str">
        <f aca="false">IF($D368="Panel Details",$AB368,"")</f>
        <v/>
      </c>
      <c r="AN368" s="46" t="str">
        <f aca="false">IF($D368="Panel Details","Yes","")</f>
        <v/>
      </c>
      <c r="AO368" s="46"/>
      <c r="AP368" s="46" t="str">
        <f aca="false">IF($D368="Followup",'Survey Response'!$D366,"")</f>
        <v/>
      </c>
      <c r="AQ368" s="46" t="str">
        <f aca="false">IF($D368="Followup",'Survey Response'!$E366,"")</f>
        <v/>
      </c>
      <c r="AR368" s="46" t="str">
        <f aca="false">IF($D368="Followup",'Survey Response'!$G366,"")</f>
        <v/>
      </c>
      <c r="AS368" s="46" t="str">
        <f aca="false">IF($D368="Followup",'Survey Response'!$H366,"")</f>
        <v/>
      </c>
      <c r="AT368" s="46" t="str">
        <f aca="false">IF($D368="Followup",'Survey Response'!$M366,"")</f>
        <v/>
      </c>
      <c r="AU368" s="46" t="str">
        <f aca="false">IF($D368="Followup",'Survey Response'!$K366,"")</f>
        <v/>
      </c>
      <c r="AV368" s="46" t="str">
        <f aca="false">IF($D368="Followup",'Survey Response'!$L366,"")</f>
        <v/>
      </c>
      <c r="AW368" s="46" t="str">
        <f aca="false">IF($D368="Followup",IF(AND($P368&lt;&gt;"Yes",$U368&lt;&gt;"Yes"),"Not approved for primary or secondary skill","Approved, but skill(s) no longer have capacity (fully staffed)"),"")</f>
        <v/>
      </c>
    </row>
    <row r="369" customFormat="false" ht="15" hidden="false" customHeight="true" outlineLevel="0" collapsed="false">
      <c r="A369" s="46" t="str">
        <f aca="false">IF('Survey Response'!$D367="","",'Survey Response'!$A367&amp;"|"&amp;LOWER(TRIM('Survey Response'!$D367)))</f>
        <v/>
      </c>
      <c r="B369" s="46" t="str">
        <f aca="false">IF($H369="","",$F369&amp;"|"&amp;$H369)</f>
        <v/>
      </c>
      <c r="C369" s="46" t="str">
        <f aca="false">IF($H369="","",$A369=$B369)</f>
        <v/>
      </c>
      <c r="D369" s="46" t="str">
        <f aca="false">IF($H369="","",IF($E369&lt;&gt;"Yes","Superseded",IF($I369&lt;&gt;"Yes, I'm available for in-person interviews at Chennai","Not Available",IF($Z369&lt;&gt;"","Panel Details","Followup"))))</f>
        <v/>
      </c>
      <c r="E369" s="46" t="str">
        <f aca="false">IF($H369="","",IF(SUMPRODUCT(($H$4:$H$503=$H369)*(($G$4:$G$503&gt;$G369)+($G$4:$G$503=$G369)*($F$4:$F$503&gt;$F369)))=0,"Yes","No"))</f>
        <v/>
      </c>
      <c r="F369" s="47" t="str">
        <f aca="false">IF('Survey Response'!$D367="","",INT('Survey Response'!$A367))</f>
        <v/>
      </c>
      <c r="G369" s="46" t="str">
        <f aca="false">IF('Survey Response'!$D367="","",'Survey Response'!$C367)</f>
        <v/>
      </c>
      <c r="H369" s="46" t="str">
        <f aca="false">IF('Survey Response'!$D367="","",LOWER(TRIM('Survey Response'!$D367)))</f>
        <v/>
      </c>
      <c r="I369" s="46" t="str">
        <f aca="false">IF($H369="","",'Survey Response'!$I367)</f>
        <v/>
      </c>
      <c r="J369" s="46" t="str">
        <f aca="false">IF($H369="","",'Survey Response'!$K367)</f>
        <v/>
      </c>
      <c r="K369" s="46" t="str">
        <f aca="false">IF($J369="","",IF(COUNTIF('Skill Mapping'!$A$2:$A$7,TRIM($J369))=0,"",INDEX('Skill Mapping'!$B$2:$B$7,MATCH(TRIM($J369),'Skill Mapping'!$A$2:$A$7,0))))</f>
        <v/>
      </c>
      <c r="L369" s="46" t="str">
        <f aca="false">IF($H369="","",'Survey Response'!$L367)</f>
        <v/>
      </c>
      <c r="M369" s="46" t="str">
        <f aca="false">IF($L369="","",IF(COUNTIF('Skill Mapping'!$A$2:$A$7,TRIM($L369))=0,"",INDEX('Skill Mapping'!$B$2:$B$7,MATCH(TRIM($L369),'Skill Mapping'!$A$2:$A$7,0))))</f>
        <v/>
      </c>
      <c r="N369" s="46" t="str">
        <f aca="false">IF($H369="","",'Survey Response'!$M367)</f>
        <v/>
      </c>
      <c r="O369" s="46" t="str">
        <f aca="false">IF($H369="","",IF('Survey Response'!$M367="Manager","R2","R1"))</f>
        <v/>
      </c>
      <c r="P369" s="46" t="str">
        <f aca="false">IF($K369="","No",IF(COUNTIFS(MasterPanel!$B:$B,$H369,MasterPanel!$I:$I,$K369,MasterPanel!$K:$K,"Y")&gt;0,"Yes","No"))</f>
        <v>No</v>
      </c>
      <c r="Q369" s="46" t="n">
        <f aca="false">IF($K369="",0,IF(COUNTIF('Gap Sheet'!$A$6:$A$11,TRIM($J369))=0,0,IF($O369="R1",INDEX('Gap Sheet'!$C$6:$C$11,MATCH(TRIM($J369),'Gap Sheet'!$A$6:$A$11,0)),INDEX('Gap Sheet'!$G$6:$G$11,MATCH(TRIM($J369),'Gap Sheet'!$A$6:$A$11,0)))))</f>
        <v>0</v>
      </c>
      <c r="R369" s="46" t="str">
        <f aca="false">IF($K369="","",$K369&amp;"|"&amp;$O369)</f>
        <v/>
      </c>
      <c r="S369" s="46" t="n">
        <f aca="false">IF($R369="",0,COUNTIF($AA$4:$AA368,$R369))</f>
        <v>0</v>
      </c>
      <c r="T369" s="46" t="str">
        <f aca="false">IF(OR($I369&lt;&gt;"Yes, I'm available for in-person interviews at Chennai",$E369&lt;&gt;"Yes",$P369&lt;&gt;"Yes"),"No",IF(($Q369-$S369)&gt;0,"Yes","No"))</f>
        <v>No</v>
      </c>
      <c r="U369" s="46" t="str">
        <f aca="false">IF($M369="","No",IF(COUNTIFS(MasterPanel!$B:$B,$H369,MasterPanel!$I:$I,$M369,MasterPanel!$K:$K,"Y")&gt;0,"Yes","No"))</f>
        <v>No</v>
      </c>
      <c r="V369" s="46" t="n">
        <f aca="false">IF($M369="",0,IF(COUNTIF('Gap Sheet'!$A$6:$A$11,TRIM($L369))=0,0,IF($O369="R1",INDEX('Gap Sheet'!$C$6:$C$11,MATCH(TRIM($L369),'Gap Sheet'!$A$6:$A$11,0)),INDEX('Gap Sheet'!$G$6:$G$11,MATCH(TRIM($L369),'Gap Sheet'!$A$6:$A$11,0)))))</f>
        <v>0</v>
      </c>
      <c r="W369" s="46" t="str">
        <f aca="false">IF($M369="","",$M369&amp;"|"&amp;$O369)</f>
        <v/>
      </c>
      <c r="X369" s="46" t="n">
        <f aca="false">IF($W369="",0,COUNTIF($AA$4:$AA368,$W369))</f>
        <v>0</v>
      </c>
      <c r="Y369" s="46" t="str">
        <f aca="false">IF(OR($I369&lt;&gt;"Yes, I'm available for in-person interviews at Chennai",$E369&lt;&gt;"Yes",$T369="Yes",$U369&lt;&gt;"Yes"),"No",IF(($V369-$X369)&gt;0,"Yes","No"))</f>
        <v>No</v>
      </c>
      <c r="Z369" s="46" t="str">
        <f aca="false">IF($T369="Yes","Primary",IF($Y369="Yes","Secondary",""))</f>
        <v/>
      </c>
      <c r="AA369" s="46" t="str">
        <f aca="false">IF($Z369="Primary",$R369,IF($Z369="Secondary",$W369,""))</f>
        <v/>
      </c>
      <c r="AB369" s="46" t="str">
        <f aca="false">IF($Z369="Primary","Matched on primary skill",IF($Z369="Secondary","Matched on secondary skill (primary not approved or not required)",""))</f>
        <v/>
      </c>
      <c r="AC369" s="47" t="str">
        <f aca="false">IF($D369="Panel Details",$F369,"")</f>
        <v/>
      </c>
      <c r="AD369" s="46" t="str">
        <f aca="false">IF($D369="Panel Details",'Survey Response'!$D367,"")</f>
        <v/>
      </c>
      <c r="AE369" s="46" t="str">
        <f aca="false">IF($D369="Panel Details",'Survey Response'!$E367,"")</f>
        <v/>
      </c>
      <c r="AF369" s="46" t="str">
        <f aca="false">IF($D369="Panel Details",'Survey Response'!$G367,"")</f>
        <v/>
      </c>
      <c r="AG369" s="46" t="str">
        <f aca="false">IF($D369="Panel Details",IF($Z369="Primary",$J369,$L369),"")</f>
        <v/>
      </c>
      <c r="AH369" s="46" t="str">
        <f aca="false">IF($D369="Panel Details",IF($Z369="Primary",$L369,$J369),"")</f>
        <v/>
      </c>
      <c r="AI369" s="46" t="str">
        <f aca="false">IF($D369="Panel Details",'Survey Response'!$H367,"")</f>
        <v/>
      </c>
      <c r="AJ369" s="46" t="str">
        <f aca="false">IF($D369="Panel Details",'Survey Response'!$M367,"")</f>
        <v/>
      </c>
      <c r="AK369" s="46" t="str">
        <f aca="false">IF($D369="Panel Details",$O369,"")</f>
        <v/>
      </c>
      <c r="AL369" s="46" t="str">
        <f aca="false">IF($D369="Panel Details",8,"")</f>
        <v/>
      </c>
      <c r="AM369" s="46" t="str">
        <f aca="false">IF($D369="Panel Details",$AB369,"")</f>
        <v/>
      </c>
      <c r="AN369" s="46" t="str">
        <f aca="false">IF($D369="Panel Details","Yes","")</f>
        <v/>
      </c>
      <c r="AO369" s="46"/>
      <c r="AP369" s="46" t="str">
        <f aca="false">IF($D369="Followup",'Survey Response'!$D367,"")</f>
        <v/>
      </c>
      <c r="AQ369" s="46" t="str">
        <f aca="false">IF($D369="Followup",'Survey Response'!$E367,"")</f>
        <v/>
      </c>
      <c r="AR369" s="46" t="str">
        <f aca="false">IF($D369="Followup",'Survey Response'!$G367,"")</f>
        <v/>
      </c>
      <c r="AS369" s="46" t="str">
        <f aca="false">IF($D369="Followup",'Survey Response'!$H367,"")</f>
        <v/>
      </c>
      <c r="AT369" s="46" t="str">
        <f aca="false">IF($D369="Followup",'Survey Response'!$M367,"")</f>
        <v/>
      </c>
      <c r="AU369" s="46" t="str">
        <f aca="false">IF($D369="Followup",'Survey Response'!$K367,"")</f>
        <v/>
      </c>
      <c r="AV369" s="46" t="str">
        <f aca="false">IF($D369="Followup",'Survey Response'!$L367,"")</f>
        <v/>
      </c>
      <c r="AW369" s="46" t="str">
        <f aca="false">IF($D369="Followup",IF(AND($P369&lt;&gt;"Yes",$U369&lt;&gt;"Yes"),"Not approved for primary or secondary skill","Approved, but skill(s) no longer have capacity (fully staffed)"),"")</f>
        <v/>
      </c>
    </row>
    <row r="370" customFormat="false" ht="15" hidden="false" customHeight="true" outlineLevel="0" collapsed="false">
      <c r="A370" s="46" t="str">
        <f aca="false">IF('Survey Response'!$D368="","",'Survey Response'!$A368&amp;"|"&amp;LOWER(TRIM('Survey Response'!$D368)))</f>
        <v/>
      </c>
      <c r="B370" s="46" t="str">
        <f aca="false">IF($H370="","",$F370&amp;"|"&amp;$H370)</f>
        <v/>
      </c>
      <c r="C370" s="46" t="str">
        <f aca="false">IF($H370="","",$A370=$B370)</f>
        <v/>
      </c>
      <c r="D370" s="46" t="str">
        <f aca="false">IF($H370="","",IF($E370&lt;&gt;"Yes","Superseded",IF($I370&lt;&gt;"Yes, I'm available for in-person interviews at Chennai","Not Available",IF($Z370&lt;&gt;"","Panel Details","Followup"))))</f>
        <v/>
      </c>
      <c r="E370" s="46" t="str">
        <f aca="false">IF($H370="","",IF(SUMPRODUCT(($H$4:$H$503=$H370)*(($G$4:$G$503&gt;$G370)+($G$4:$G$503=$G370)*($F$4:$F$503&gt;$F370)))=0,"Yes","No"))</f>
        <v/>
      </c>
      <c r="F370" s="47" t="str">
        <f aca="false">IF('Survey Response'!$D368="","",INT('Survey Response'!$A368))</f>
        <v/>
      </c>
      <c r="G370" s="46" t="str">
        <f aca="false">IF('Survey Response'!$D368="","",'Survey Response'!$C368)</f>
        <v/>
      </c>
      <c r="H370" s="46" t="str">
        <f aca="false">IF('Survey Response'!$D368="","",LOWER(TRIM('Survey Response'!$D368)))</f>
        <v/>
      </c>
      <c r="I370" s="46" t="str">
        <f aca="false">IF($H370="","",'Survey Response'!$I368)</f>
        <v/>
      </c>
      <c r="J370" s="46" t="str">
        <f aca="false">IF($H370="","",'Survey Response'!$K368)</f>
        <v/>
      </c>
      <c r="K370" s="46" t="str">
        <f aca="false">IF($J370="","",IF(COUNTIF('Skill Mapping'!$A$2:$A$7,TRIM($J370))=0,"",INDEX('Skill Mapping'!$B$2:$B$7,MATCH(TRIM($J370),'Skill Mapping'!$A$2:$A$7,0))))</f>
        <v/>
      </c>
      <c r="L370" s="46" t="str">
        <f aca="false">IF($H370="","",'Survey Response'!$L368)</f>
        <v/>
      </c>
      <c r="M370" s="46" t="str">
        <f aca="false">IF($L370="","",IF(COUNTIF('Skill Mapping'!$A$2:$A$7,TRIM($L370))=0,"",INDEX('Skill Mapping'!$B$2:$B$7,MATCH(TRIM($L370),'Skill Mapping'!$A$2:$A$7,0))))</f>
        <v/>
      </c>
      <c r="N370" s="46" t="str">
        <f aca="false">IF($H370="","",'Survey Response'!$M368)</f>
        <v/>
      </c>
      <c r="O370" s="46" t="str">
        <f aca="false">IF($H370="","",IF('Survey Response'!$M368="Manager","R2","R1"))</f>
        <v/>
      </c>
      <c r="P370" s="46" t="str">
        <f aca="false">IF($K370="","No",IF(COUNTIFS(MasterPanel!$B:$B,$H370,MasterPanel!$I:$I,$K370,MasterPanel!$K:$K,"Y")&gt;0,"Yes","No"))</f>
        <v>No</v>
      </c>
      <c r="Q370" s="46" t="n">
        <f aca="false">IF($K370="",0,IF(COUNTIF('Gap Sheet'!$A$6:$A$11,TRIM($J370))=0,0,IF($O370="R1",INDEX('Gap Sheet'!$C$6:$C$11,MATCH(TRIM($J370),'Gap Sheet'!$A$6:$A$11,0)),INDEX('Gap Sheet'!$G$6:$G$11,MATCH(TRIM($J370),'Gap Sheet'!$A$6:$A$11,0)))))</f>
        <v>0</v>
      </c>
      <c r="R370" s="46" t="str">
        <f aca="false">IF($K370="","",$K370&amp;"|"&amp;$O370)</f>
        <v/>
      </c>
      <c r="S370" s="46" t="n">
        <f aca="false">IF($R370="",0,COUNTIF($AA$4:$AA369,$R370))</f>
        <v>0</v>
      </c>
      <c r="T370" s="46" t="str">
        <f aca="false">IF(OR($I370&lt;&gt;"Yes, I'm available for in-person interviews at Chennai",$E370&lt;&gt;"Yes",$P370&lt;&gt;"Yes"),"No",IF(($Q370-$S370)&gt;0,"Yes","No"))</f>
        <v>No</v>
      </c>
      <c r="U370" s="46" t="str">
        <f aca="false">IF($M370="","No",IF(COUNTIFS(MasterPanel!$B:$B,$H370,MasterPanel!$I:$I,$M370,MasterPanel!$K:$K,"Y")&gt;0,"Yes","No"))</f>
        <v>No</v>
      </c>
      <c r="V370" s="46" t="n">
        <f aca="false">IF($M370="",0,IF(COUNTIF('Gap Sheet'!$A$6:$A$11,TRIM($L370))=0,0,IF($O370="R1",INDEX('Gap Sheet'!$C$6:$C$11,MATCH(TRIM($L370),'Gap Sheet'!$A$6:$A$11,0)),INDEX('Gap Sheet'!$G$6:$G$11,MATCH(TRIM($L370),'Gap Sheet'!$A$6:$A$11,0)))))</f>
        <v>0</v>
      </c>
      <c r="W370" s="46" t="str">
        <f aca="false">IF($M370="","",$M370&amp;"|"&amp;$O370)</f>
        <v/>
      </c>
      <c r="X370" s="46" t="n">
        <f aca="false">IF($W370="",0,COUNTIF($AA$4:$AA369,$W370))</f>
        <v>0</v>
      </c>
      <c r="Y370" s="46" t="str">
        <f aca="false">IF(OR($I370&lt;&gt;"Yes, I'm available for in-person interviews at Chennai",$E370&lt;&gt;"Yes",$T370="Yes",$U370&lt;&gt;"Yes"),"No",IF(($V370-$X370)&gt;0,"Yes","No"))</f>
        <v>No</v>
      </c>
      <c r="Z370" s="46" t="str">
        <f aca="false">IF($T370="Yes","Primary",IF($Y370="Yes","Secondary",""))</f>
        <v/>
      </c>
      <c r="AA370" s="46" t="str">
        <f aca="false">IF($Z370="Primary",$R370,IF($Z370="Secondary",$W370,""))</f>
        <v/>
      </c>
      <c r="AB370" s="46" t="str">
        <f aca="false">IF($Z370="Primary","Matched on primary skill",IF($Z370="Secondary","Matched on secondary skill (primary not approved or not required)",""))</f>
        <v/>
      </c>
      <c r="AC370" s="47" t="str">
        <f aca="false">IF($D370="Panel Details",$F370,"")</f>
        <v/>
      </c>
      <c r="AD370" s="46" t="str">
        <f aca="false">IF($D370="Panel Details",'Survey Response'!$D368,"")</f>
        <v/>
      </c>
      <c r="AE370" s="46" t="str">
        <f aca="false">IF($D370="Panel Details",'Survey Response'!$E368,"")</f>
        <v/>
      </c>
      <c r="AF370" s="46" t="str">
        <f aca="false">IF($D370="Panel Details",'Survey Response'!$G368,"")</f>
        <v/>
      </c>
      <c r="AG370" s="46" t="str">
        <f aca="false">IF($D370="Panel Details",IF($Z370="Primary",$J370,$L370),"")</f>
        <v/>
      </c>
      <c r="AH370" s="46" t="str">
        <f aca="false">IF($D370="Panel Details",IF($Z370="Primary",$L370,$J370),"")</f>
        <v/>
      </c>
      <c r="AI370" s="46" t="str">
        <f aca="false">IF($D370="Panel Details",'Survey Response'!$H368,"")</f>
        <v/>
      </c>
      <c r="AJ370" s="46" t="str">
        <f aca="false">IF($D370="Panel Details",'Survey Response'!$M368,"")</f>
        <v/>
      </c>
      <c r="AK370" s="46" t="str">
        <f aca="false">IF($D370="Panel Details",$O370,"")</f>
        <v/>
      </c>
      <c r="AL370" s="46" t="str">
        <f aca="false">IF($D370="Panel Details",8,"")</f>
        <v/>
      </c>
      <c r="AM370" s="46" t="str">
        <f aca="false">IF($D370="Panel Details",$AB370,"")</f>
        <v/>
      </c>
      <c r="AN370" s="46" t="str">
        <f aca="false">IF($D370="Panel Details","Yes","")</f>
        <v/>
      </c>
      <c r="AO370" s="46"/>
      <c r="AP370" s="46" t="str">
        <f aca="false">IF($D370="Followup",'Survey Response'!$D368,"")</f>
        <v/>
      </c>
      <c r="AQ370" s="46" t="str">
        <f aca="false">IF($D370="Followup",'Survey Response'!$E368,"")</f>
        <v/>
      </c>
      <c r="AR370" s="46" t="str">
        <f aca="false">IF($D370="Followup",'Survey Response'!$G368,"")</f>
        <v/>
      </c>
      <c r="AS370" s="46" t="str">
        <f aca="false">IF($D370="Followup",'Survey Response'!$H368,"")</f>
        <v/>
      </c>
      <c r="AT370" s="46" t="str">
        <f aca="false">IF($D370="Followup",'Survey Response'!$M368,"")</f>
        <v/>
      </c>
      <c r="AU370" s="46" t="str">
        <f aca="false">IF($D370="Followup",'Survey Response'!$K368,"")</f>
        <v/>
      </c>
      <c r="AV370" s="46" t="str">
        <f aca="false">IF($D370="Followup",'Survey Response'!$L368,"")</f>
        <v/>
      </c>
      <c r="AW370" s="46" t="str">
        <f aca="false">IF($D370="Followup",IF(AND($P370&lt;&gt;"Yes",$U370&lt;&gt;"Yes"),"Not approved for primary or secondary skill","Approved, but skill(s) no longer have capacity (fully staffed)"),"")</f>
        <v/>
      </c>
    </row>
    <row r="371" customFormat="false" ht="15" hidden="false" customHeight="true" outlineLevel="0" collapsed="false">
      <c r="A371" s="46" t="str">
        <f aca="false">IF('Survey Response'!$D369="","",'Survey Response'!$A369&amp;"|"&amp;LOWER(TRIM('Survey Response'!$D369)))</f>
        <v/>
      </c>
      <c r="B371" s="46" t="str">
        <f aca="false">IF($H371="","",$F371&amp;"|"&amp;$H371)</f>
        <v/>
      </c>
      <c r="C371" s="46" t="str">
        <f aca="false">IF($H371="","",$A371=$B371)</f>
        <v/>
      </c>
      <c r="D371" s="46" t="str">
        <f aca="false">IF($H371="","",IF($E371&lt;&gt;"Yes","Superseded",IF($I371&lt;&gt;"Yes, I'm available for in-person interviews at Chennai","Not Available",IF($Z371&lt;&gt;"","Panel Details","Followup"))))</f>
        <v/>
      </c>
      <c r="E371" s="46" t="str">
        <f aca="false">IF($H371="","",IF(SUMPRODUCT(($H$4:$H$503=$H371)*(($G$4:$G$503&gt;$G371)+($G$4:$G$503=$G371)*($F$4:$F$503&gt;$F371)))=0,"Yes","No"))</f>
        <v/>
      </c>
      <c r="F371" s="47" t="str">
        <f aca="false">IF('Survey Response'!$D369="","",INT('Survey Response'!$A369))</f>
        <v/>
      </c>
      <c r="G371" s="46" t="str">
        <f aca="false">IF('Survey Response'!$D369="","",'Survey Response'!$C369)</f>
        <v/>
      </c>
      <c r="H371" s="46" t="str">
        <f aca="false">IF('Survey Response'!$D369="","",LOWER(TRIM('Survey Response'!$D369)))</f>
        <v/>
      </c>
      <c r="I371" s="46" t="str">
        <f aca="false">IF($H371="","",'Survey Response'!$I369)</f>
        <v/>
      </c>
      <c r="J371" s="46" t="str">
        <f aca="false">IF($H371="","",'Survey Response'!$K369)</f>
        <v/>
      </c>
      <c r="K371" s="46" t="str">
        <f aca="false">IF($J371="","",IF(COUNTIF('Skill Mapping'!$A$2:$A$7,TRIM($J371))=0,"",INDEX('Skill Mapping'!$B$2:$B$7,MATCH(TRIM($J371),'Skill Mapping'!$A$2:$A$7,0))))</f>
        <v/>
      </c>
      <c r="L371" s="46" t="str">
        <f aca="false">IF($H371="","",'Survey Response'!$L369)</f>
        <v/>
      </c>
      <c r="M371" s="46" t="str">
        <f aca="false">IF($L371="","",IF(COUNTIF('Skill Mapping'!$A$2:$A$7,TRIM($L371))=0,"",INDEX('Skill Mapping'!$B$2:$B$7,MATCH(TRIM($L371),'Skill Mapping'!$A$2:$A$7,0))))</f>
        <v/>
      </c>
      <c r="N371" s="46" t="str">
        <f aca="false">IF($H371="","",'Survey Response'!$M369)</f>
        <v/>
      </c>
      <c r="O371" s="46" t="str">
        <f aca="false">IF($H371="","",IF('Survey Response'!$M369="Manager","R2","R1"))</f>
        <v/>
      </c>
      <c r="P371" s="46" t="str">
        <f aca="false">IF($K371="","No",IF(COUNTIFS(MasterPanel!$B:$B,$H371,MasterPanel!$I:$I,$K371,MasterPanel!$K:$K,"Y")&gt;0,"Yes","No"))</f>
        <v>No</v>
      </c>
      <c r="Q371" s="46" t="n">
        <f aca="false">IF($K371="",0,IF(COUNTIF('Gap Sheet'!$A$6:$A$11,TRIM($J371))=0,0,IF($O371="R1",INDEX('Gap Sheet'!$C$6:$C$11,MATCH(TRIM($J371),'Gap Sheet'!$A$6:$A$11,0)),INDEX('Gap Sheet'!$G$6:$G$11,MATCH(TRIM($J371),'Gap Sheet'!$A$6:$A$11,0)))))</f>
        <v>0</v>
      </c>
      <c r="R371" s="46" t="str">
        <f aca="false">IF($K371="","",$K371&amp;"|"&amp;$O371)</f>
        <v/>
      </c>
      <c r="S371" s="46" t="n">
        <f aca="false">IF($R371="",0,COUNTIF($AA$4:$AA370,$R371))</f>
        <v>0</v>
      </c>
      <c r="T371" s="46" t="str">
        <f aca="false">IF(OR($I371&lt;&gt;"Yes, I'm available for in-person interviews at Chennai",$E371&lt;&gt;"Yes",$P371&lt;&gt;"Yes"),"No",IF(($Q371-$S371)&gt;0,"Yes","No"))</f>
        <v>No</v>
      </c>
      <c r="U371" s="46" t="str">
        <f aca="false">IF($M371="","No",IF(COUNTIFS(MasterPanel!$B:$B,$H371,MasterPanel!$I:$I,$M371,MasterPanel!$K:$K,"Y")&gt;0,"Yes","No"))</f>
        <v>No</v>
      </c>
      <c r="V371" s="46" t="n">
        <f aca="false">IF($M371="",0,IF(COUNTIF('Gap Sheet'!$A$6:$A$11,TRIM($L371))=0,0,IF($O371="R1",INDEX('Gap Sheet'!$C$6:$C$11,MATCH(TRIM($L371),'Gap Sheet'!$A$6:$A$11,0)),INDEX('Gap Sheet'!$G$6:$G$11,MATCH(TRIM($L371),'Gap Sheet'!$A$6:$A$11,0)))))</f>
        <v>0</v>
      </c>
      <c r="W371" s="46" t="str">
        <f aca="false">IF($M371="","",$M371&amp;"|"&amp;$O371)</f>
        <v/>
      </c>
      <c r="X371" s="46" t="n">
        <f aca="false">IF($W371="",0,COUNTIF($AA$4:$AA370,$W371))</f>
        <v>0</v>
      </c>
      <c r="Y371" s="46" t="str">
        <f aca="false">IF(OR($I371&lt;&gt;"Yes, I'm available for in-person interviews at Chennai",$E371&lt;&gt;"Yes",$T371="Yes",$U371&lt;&gt;"Yes"),"No",IF(($V371-$X371)&gt;0,"Yes","No"))</f>
        <v>No</v>
      </c>
      <c r="Z371" s="46" t="str">
        <f aca="false">IF($T371="Yes","Primary",IF($Y371="Yes","Secondary",""))</f>
        <v/>
      </c>
      <c r="AA371" s="46" t="str">
        <f aca="false">IF($Z371="Primary",$R371,IF($Z371="Secondary",$W371,""))</f>
        <v/>
      </c>
      <c r="AB371" s="46" t="str">
        <f aca="false">IF($Z371="Primary","Matched on primary skill",IF($Z371="Secondary","Matched on secondary skill (primary not approved or not required)",""))</f>
        <v/>
      </c>
      <c r="AC371" s="47" t="str">
        <f aca="false">IF($D371="Panel Details",$F371,"")</f>
        <v/>
      </c>
      <c r="AD371" s="46" t="str">
        <f aca="false">IF($D371="Panel Details",'Survey Response'!$D369,"")</f>
        <v/>
      </c>
      <c r="AE371" s="46" t="str">
        <f aca="false">IF($D371="Panel Details",'Survey Response'!$E369,"")</f>
        <v/>
      </c>
      <c r="AF371" s="46" t="str">
        <f aca="false">IF($D371="Panel Details",'Survey Response'!$G369,"")</f>
        <v/>
      </c>
      <c r="AG371" s="46" t="str">
        <f aca="false">IF($D371="Panel Details",IF($Z371="Primary",$J371,$L371),"")</f>
        <v/>
      </c>
      <c r="AH371" s="46" t="str">
        <f aca="false">IF($D371="Panel Details",IF($Z371="Primary",$L371,$J371),"")</f>
        <v/>
      </c>
      <c r="AI371" s="46" t="str">
        <f aca="false">IF($D371="Panel Details",'Survey Response'!$H369,"")</f>
        <v/>
      </c>
      <c r="AJ371" s="46" t="str">
        <f aca="false">IF($D371="Panel Details",'Survey Response'!$M369,"")</f>
        <v/>
      </c>
      <c r="AK371" s="46" t="str">
        <f aca="false">IF($D371="Panel Details",$O371,"")</f>
        <v/>
      </c>
      <c r="AL371" s="46" t="str">
        <f aca="false">IF($D371="Panel Details",8,"")</f>
        <v/>
      </c>
      <c r="AM371" s="46" t="str">
        <f aca="false">IF($D371="Panel Details",$AB371,"")</f>
        <v/>
      </c>
      <c r="AN371" s="46" t="str">
        <f aca="false">IF($D371="Panel Details","Yes","")</f>
        <v/>
      </c>
      <c r="AO371" s="46"/>
      <c r="AP371" s="46" t="str">
        <f aca="false">IF($D371="Followup",'Survey Response'!$D369,"")</f>
        <v/>
      </c>
      <c r="AQ371" s="46" t="str">
        <f aca="false">IF($D371="Followup",'Survey Response'!$E369,"")</f>
        <v/>
      </c>
      <c r="AR371" s="46" t="str">
        <f aca="false">IF($D371="Followup",'Survey Response'!$G369,"")</f>
        <v/>
      </c>
      <c r="AS371" s="46" t="str">
        <f aca="false">IF($D371="Followup",'Survey Response'!$H369,"")</f>
        <v/>
      </c>
      <c r="AT371" s="46" t="str">
        <f aca="false">IF($D371="Followup",'Survey Response'!$M369,"")</f>
        <v/>
      </c>
      <c r="AU371" s="46" t="str">
        <f aca="false">IF($D371="Followup",'Survey Response'!$K369,"")</f>
        <v/>
      </c>
      <c r="AV371" s="46" t="str">
        <f aca="false">IF($D371="Followup",'Survey Response'!$L369,"")</f>
        <v/>
      </c>
      <c r="AW371" s="46" t="str">
        <f aca="false">IF($D371="Followup",IF(AND($P371&lt;&gt;"Yes",$U371&lt;&gt;"Yes"),"Not approved for primary or secondary skill","Approved, but skill(s) no longer have capacity (fully staffed)"),"")</f>
        <v/>
      </c>
    </row>
    <row r="372" customFormat="false" ht="15" hidden="false" customHeight="true" outlineLevel="0" collapsed="false">
      <c r="A372" s="46" t="str">
        <f aca="false">IF('Survey Response'!$D370="","",'Survey Response'!$A370&amp;"|"&amp;LOWER(TRIM('Survey Response'!$D370)))</f>
        <v/>
      </c>
      <c r="B372" s="46" t="str">
        <f aca="false">IF($H372="","",$F372&amp;"|"&amp;$H372)</f>
        <v/>
      </c>
      <c r="C372" s="46" t="str">
        <f aca="false">IF($H372="","",$A372=$B372)</f>
        <v/>
      </c>
      <c r="D372" s="46" t="str">
        <f aca="false">IF($H372="","",IF($E372&lt;&gt;"Yes","Superseded",IF($I372&lt;&gt;"Yes, I'm available for in-person interviews at Chennai","Not Available",IF($Z372&lt;&gt;"","Panel Details","Followup"))))</f>
        <v/>
      </c>
      <c r="E372" s="46" t="str">
        <f aca="false">IF($H372="","",IF(SUMPRODUCT(($H$4:$H$503=$H372)*(($G$4:$G$503&gt;$G372)+($G$4:$G$503=$G372)*($F$4:$F$503&gt;$F372)))=0,"Yes","No"))</f>
        <v/>
      </c>
      <c r="F372" s="47" t="str">
        <f aca="false">IF('Survey Response'!$D370="","",INT('Survey Response'!$A370))</f>
        <v/>
      </c>
      <c r="G372" s="46" t="str">
        <f aca="false">IF('Survey Response'!$D370="","",'Survey Response'!$C370)</f>
        <v/>
      </c>
      <c r="H372" s="46" t="str">
        <f aca="false">IF('Survey Response'!$D370="","",LOWER(TRIM('Survey Response'!$D370)))</f>
        <v/>
      </c>
      <c r="I372" s="46" t="str">
        <f aca="false">IF($H372="","",'Survey Response'!$I370)</f>
        <v/>
      </c>
      <c r="J372" s="46" t="str">
        <f aca="false">IF($H372="","",'Survey Response'!$K370)</f>
        <v/>
      </c>
      <c r="K372" s="46" t="str">
        <f aca="false">IF($J372="","",IF(COUNTIF('Skill Mapping'!$A$2:$A$7,TRIM($J372))=0,"",INDEX('Skill Mapping'!$B$2:$B$7,MATCH(TRIM($J372),'Skill Mapping'!$A$2:$A$7,0))))</f>
        <v/>
      </c>
      <c r="L372" s="46" t="str">
        <f aca="false">IF($H372="","",'Survey Response'!$L370)</f>
        <v/>
      </c>
      <c r="M372" s="46" t="str">
        <f aca="false">IF($L372="","",IF(COUNTIF('Skill Mapping'!$A$2:$A$7,TRIM($L372))=0,"",INDEX('Skill Mapping'!$B$2:$B$7,MATCH(TRIM($L372),'Skill Mapping'!$A$2:$A$7,0))))</f>
        <v/>
      </c>
      <c r="N372" s="46" t="str">
        <f aca="false">IF($H372="","",'Survey Response'!$M370)</f>
        <v/>
      </c>
      <c r="O372" s="46" t="str">
        <f aca="false">IF($H372="","",IF('Survey Response'!$M370="Manager","R2","R1"))</f>
        <v/>
      </c>
      <c r="P372" s="46" t="str">
        <f aca="false">IF($K372="","No",IF(COUNTIFS(MasterPanel!$B:$B,$H372,MasterPanel!$I:$I,$K372,MasterPanel!$K:$K,"Y")&gt;0,"Yes","No"))</f>
        <v>No</v>
      </c>
      <c r="Q372" s="46" t="n">
        <f aca="false">IF($K372="",0,IF(COUNTIF('Gap Sheet'!$A$6:$A$11,TRIM($J372))=0,0,IF($O372="R1",INDEX('Gap Sheet'!$C$6:$C$11,MATCH(TRIM($J372),'Gap Sheet'!$A$6:$A$11,0)),INDEX('Gap Sheet'!$G$6:$G$11,MATCH(TRIM($J372),'Gap Sheet'!$A$6:$A$11,0)))))</f>
        <v>0</v>
      </c>
      <c r="R372" s="46" t="str">
        <f aca="false">IF($K372="","",$K372&amp;"|"&amp;$O372)</f>
        <v/>
      </c>
      <c r="S372" s="46" t="n">
        <f aca="false">IF($R372="",0,COUNTIF($AA$4:$AA371,$R372))</f>
        <v>0</v>
      </c>
      <c r="T372" s="46" t="str">
        <f aca="false">IF(OR($I372&lt;&gt;"Yes, I'm available for in-person interviews at Chennai",$E372&lt;&gt;"Yes",$P372&lt;&gt;"Yes"),"No",IF(($Q372-$S372)&gt;0,"Yes","No"))</f>
        <v>No</v>
      </c>
      <c r="U372" s="46" t="str">
        <f aca="false">IF($M372="","No",IF(COUNTIFS(MasterPanel!$B:$B,$H372,MasterPanel!$I:$I,$M372,MasterPanel!$K:$K,"Y")&gt;0,"Yes","No"))</f>
        <v>No</v>
      </c>
      <c r="V372" s="46" t="n">
        <f aca="false">IF($M372="",0,IF(COUNTIF('Gap Sheet'!$A$6:$A$11,TRIM($L372))=0,0,IF($O372="R1",INDEX('Gap Sheet'!$C$6:$C$11,MATCH(TRIM($L372),'Gap Sheet'!$A$6:$A$11,0)),INDEX('Gap Sheet'!$G$6:$G$11,MATCH(TRIM($L372),'Gap Sheet'!$A$6:$A$11,0)))))</f>
        <v>0</v>
      </c>
      <c r="W372" s="46" t="str">
        <f aca="false">IF($M372="","",$M372&amp;"|"&amp;$O372)</f>
        <v/>
      </c>
      <c r="X372" s="46" t="n">
        <f aca="false">IF($W372="",0,COUNTIF($AA$4:$AA371,$W372))</f>
        <v>0</v>
      </c>
      <c r="Y372" s="46" t="str">
        <f aca="false">IF(OR($I372&lt;&gt;"Yes, I'm available for in-person interviews at Chennai",$E372&lt;&gt;"Yes",$T372="Yes",$U372&lt;&gt;"Yes"),"No",IF(($V372-$X372)&gt;0,"Yes","No"))</f>
        <v>No</v>
      </c>
      <c r="Z372" s="46" t="str">
        <f aca="false">IF($T372="Yes","Primary",IF($Y372="Yes","Secondary",""))</f>
        <v/>
      </c>
      <c r="AA372" s="46" t="str">
        <f aca="false">IF($Z372="Primary",$R372,IF($Z372="Secondary",$W372,""))</f>
        <v/>
      </c>
      <c r="AB372" s="46" t="str">
        <f aca="false">IF($Z372="Primary","Matched on primary skill",IF($Z372="Secondary","Matched on secondary skill (primary not approved or not required)",""))</f>
        <v/>
      </c>
      <c r="AC372" s="47" t="str">
        <f aca="false">IF($D372="Panel Details",$F372,"")</f>
        <v/>
      </c>
      <c r="AD372" s="46" t="str">
        <f aca="false">IF($D372="Panel Details",'Survey Response'!$D370,"")</f>
        <v/>
      </c>
      <c r="AE372" s="46" t="str">
        <f aca="false">IF($D372="Panel Details",'Survey Response'!$E370,"")</f>
        <v/>
      </c>
      <c r="AF372" s="46" t="str">
        <f aca="false">IF($D372="Panel Details",'Survey Response'!$G370,"")</f>
        <v/>
      </c>
      <c r="AG372" s="46" t="str">
        <f aca="false">IF($D372="Panel Details",IF($Z372="Primary",$J372,$L372),"")</f>
        <v/>
      </c>
      <c r="AH372" s="46" t="str">
        <f aca="false">IF($D372="Panel Details",IF($Z372="Primary",$L372,$J372),"")</f>
        <v/>
      </c>
      <c r="AI372" s="46" t="str">
        <f aca="false">IF($D372="Panel Details",'Survey Response'!$H370,"")</f>
        <v/>
      </c>
      <c r="AJ372" s="46" t="str">
        <f aca="false">IF($D372="Panel Details",'Survey Response'!$M370,"")</f>
        <v/>
      </c>
      <c r="AK372" s="46" t="str">
        <f aca="false">IF($D372="Panel Details",$O372,"")</f>
        <v/>
      </c>
      <c r="AL372" s="46" t="str">
        <f aca="false">IF($D372="Panel Details",8,"")</f>
        <v/>
      </c>
      <c r="AM372" s="46" t="str">
        <f aca="false">IF($D372="Panel Details",$AB372,"")</f>
        <v/>
      </c>
      <c r="AN372" s="46" t="str">
        <f aca="false">IF($D372="Panel Details","Yes","")</f>
        <v/>
      </c>
      <c r="AO372" s="46"/>
      <c r="AP372" s="46" t="str">
        <f aca="false">IF($D372="Followup",'Survey Response'!$D370,"")</f>
        <v/>
      </c>
      <c r="AQ372" s="46" t="str">
        <f aca="false">IF($D372="Followup",'Survey Response'!$E370,"")</f>
        <v/>
      </c>
      <c r="AR372" s="46" t="str">
        <f aca="false">IF($D372="Followup",'Survey Response'!$G370,"")</f>
        <v/>
      </c>
      <c r="AS372" s="46" t="str">
        <f aca="false">IF($D372="Followup",'Survey Response'!$H370,"")</f>
        <v/>
      </c>
      <c r="AT372" s="46" t="str">
        <f aca="false">IF($D372="Followup",'Survey Response'!$M370,"")</f>
        <v/>
      </c>
      <c r="AU372" s="46" t="str">
        <f aca="false">IF($D372="Followup",'Survey Response'!$K370,"")</f>
        <v/>
      </c>
      <c r="AV372" s="46" t="str">
        <f aca="false">IF($D372="Followup",'Survey Response'!$L370,"")</f>
        <v/>
      </c>
      <c r="AW372" s="46" t="str">
        <f aca="false">IF($D372="Followup",IF(AND($P372&lt;&gt;"Yes",$U372&lt;&gt;"Yes"),"Not approved for primary or secondary skill","Approved, but skill(s) no longer have capacity (fully staffed)"),"")</f>
        <v/>
      </c>
    </row>
    <row r="373" customFormat="false" ht="15" hidden="false" customHeight="true" outlineLevel="0" collapsed="false">
      <c r="A373" s="46" t="str">
        <f aca="false">IF('Survey Response'!$D371="","",'Survey Response'!$A371&amp;"|"&amp;LOWER(TRIM('Survey Response'!$D371)))</f>
        <v/>
      </c>
      <c r="B373" s="46" t="str">
        <f aca="false">IF($H373="","",$F373&amp;"|"&amp;$H373)</f>
        <v/>
      </c>
      <c r="C373" s="46" t="str">
        <f aca="false">IF($H373="","",$A373=$B373)</f>
        <v/>
      </c>
      <c r="D373" s="46" t="str">
        <f aca="false">IF($H373="","",IF($E373&lt;&gt;"Yes","Superseded",IF($I373&lt;&gt;"Yes, I'm available for in-person interviews at Chennai","Not Available",IF($Z373&lt;&gt;"","Panel Details","Followup"))))</f>
        <v/>
      </c>
      <c r="E373" s="46" t="str">
        <f aca="false">IF($H373="","",IF(SUMPRODUCT(($H$4:$H$503=$H373)*(($G$4:$G$503&gt;$G373)+($G$4:$G$503=$G373)*($F$4:$F$503&gt;$F373)))=0,"Yes","No"))</f>
        <v/>
      </c>
      <c r="F373" s="47" t="str">
        <f aca="false">IF('Survey Response'!$D371="","",INT('Survey Response'!$A371))</f>
        <v/>
      </c>
      <c r="G373" s="46" t="str">
        <f aca="false">IF('Survey Response'!$D371="","",'Survey Response'!$C371)</f>
        <v/>
      </c>
      <c r="H373" s="46" t="str">
        <f aca="false">IF('Survey Response'!$D371="","",LOWER(TRIM('Survey Response'!$D371)))</f>
        <v/>
      </c>
      <c r="I373" s="46" t="str">
        <f aca="false">IF($H373="","",'Survey Response'!$I371)</f>
        <v/>
      </c>
      <c r="J373" s="46" t="str">
        <f aca="false">IF($H373="","",'Survey Response'!$K371)</f>
        <v/>
      </c>
      <c r="K373" s="46" t="str">
        <f aca="false">IF($J373="","",IF(COUNTIF('Skill Mapping'!$A$2:$A$7,TRIM($J373))=0,"",INDEX('Skill Mapping'!$B$2:$B$7,MATCH(TRIM($J373),'Skill Mapping'!$A$2:$A$7,0))))</f>
        <v/>
      </c>
      <c r="L373" s="46" t="str">
        <f aca="false">IF($H373="","",'Survey Response'!$L371)</f>
        <v/>
      </c>
      <c r="M373" s="46" t="str">
        <f aca="false">IF($L373="","",IF(COUNTIF('Skill Mapping'!$A$2:$A$7,TRIM($L373))=0,"",INDEX('Skill Mapping'!$B$2:$B$7,MATCH(TRIM($L373),'Skill Mapping'!$A$2:$A$7,0))))</f>
        <v/>
      </c>
      <c r="N373" s="46" t="str">
        <f aca="false">IF($H373="","",'Survey Response'!$M371)</f>
        <v/>
      </c>
      <c r="O373" s="46" t="str">
        <f aca="false">IF($H373="","",IF('Survey Response'!$M371="Manager","R2","R1"))</f>
        <v/>
      </c>
      <c r="P373" s="46" t="str">
        <f aca="false">IF($K373="","No",IF(COUNTIFS(MasterPanel!$B:$B,$H373,MasterPanel!$I:$I,$K373,MasterPanel!$K:$K,"Y")&gt;0,"Yes","No"))</f>
        <v>No</v>
      </c>
      <c r="Q373" s="46" t="n">
        <f aca="false">IF($K373="",0,IF(COUNTIF('Gap Sheet'!$A$6:$A$11,TRIM($J373))=0,0,IF($O373="R1",INDEX('Gap Sheet'!$C$6:$C$11,MATCH(TRIM($J373),'Gap Sheet'!$A$6:$A$11,0)),INDEX('Gap Sheet'!$G$6:$G$11,MATCH(TRIM($J373),'Gap Sheet'!$A$6:$A$11,0)))))</f>
        <v>0</v>
      </c>
      <c r="R373" s="46" t="str">
        <f aca="false">IF($K373="","",$K373&amp;"|"&amp;$O373)</f>
        <v/>
      </c>
      <c r="S373" s="46" t="n">
        <f aca="false">IF($R373="",0,COUNTIF($AA$4:$AA372,$R373))</f>
        <v>0</v>
      </c>
      <c r="T373" s="46" t="str">
        <f aca="false">IF(OR($I373&lt;&gt;"Yes, I'm available for in-person interviews at Chennai",$E373&lt;&gt;"Yes",$P373&lt;&gt;"Yes"),"No",IF(($Q373-$S373)&gt;0,"Yes","No"))</f>
        <v>No</v>
      </c>
      <c r="U373" s="46" t="str">
        <f aca="false">IF($M373="","No",IF(COUNTIFS(MasterPanel!$B:$B,$H373,MasterPanel!$I:$I,$M373,MasterPanel!$K:$K,"Y")&gt;0,"Yes","No"))</f>
        <v>No</v>
      </c>
      <c r="V373" s="46" t="n">
        <f aca="false">IF($M373="",0,IF(COUNTIF('Gap Sheet'!$A$6:$A$11,TRIM($L373))=0,0,IF($O373="R1",INDEX('Gap Sheet'!$C$6:$C$11,MATCH(TRIM($L373),'Gap Sheet'!$A$6:$A$11,0)),INDEX('Gap Sheet'!$G$6:$G$11,MATCH(TRIM($L373),'Gap Sheet'!$A$6:$A$11,0)))))</f>
        <v>0</v>
      </c>
      <c r="W373" s="46" t="str">
        <f aca="false">IF($M373="","",$M373&amp;"|"&amp;$O373)</f>
        <v/>
      </c>
      <c r="X373" s="46" t="n">
        <f aca="false">IF($W373="",0,COUNTIF($AA$4:$AA372,$W373))</f>
        <v>0</v>
      </c>
      <c r="Y373" s="46" t="str">
        <f aca="false">IF(OR($I373&lt;&gt;"Yes, I'm available for in-person interviews at Chennai",$E373&lt;&gt;"Yes",$T373="Yes",$U373&lt;&gt;"Yes"),"No",IF(($V373-$X373)&gt;0,"Yes","No"))</f>
        <v>No</v>
      </c>
      <c r="Z373" s="46" t="str">
        <f aca="false">IF($T373="Yes","Primary",IF($Y373="Yes","Secondary",""))</f>
        <v/>
      </c>
      <c r="AA373" s="46" t="str">
        <f aca="false">IF($Z373="Primary",$R373,IF($Z373="Secondary",$W373,""))</f>
        <v/>
      </c>
      <c r="AB373" s="46" t="str">
        <f aca="false">IF($Z373="Primary","Matched on primary skill",IF($Z373="Secondary","Matched on secondary skill (primary not approved or not required)",""))</f>
        <v/>
      </c>
      <c r="AC373" s="47" t="str">
        <f aca="false">IF($D373="Panel Details",$F373,"")</f>
        <v/>
      </c>
      <c r="AD373" s="46" t="str">
        <f aca="false">IF($D373="Panel Details",'Survey Response'!$D371,"")</f>
        <v/>
      </c>
      <c r="AE373" s="46" t="str">
        <f aca="false">IF($D373="Panel Details",'Survey Response'!$E371,"")</f>
        <v/>
      </c>
      <c r="AF373" s="46" t="str">
        <f aca="false">IF($D373="Panel Details",'Survey Response'!$G371,"")</f>
        <v/>
      </c>
      <c r="AG373" s="46" t="str">
        <f aca="false">IF($D373="Panel Details",IF($Z373="Primary",$J373,$L373),"")</f>
        <v/>
      </c>
      <c r="AH373" s="46" t="str">
        <f aca="false">IF($D373="Panel Details",IF($Z373="Primary",$L373,$J373),"")</f>
        <v/>
      </c>
      <c r="AI373" s="46" t="str">
        <f aca="false">IF($D373="Panel Details",'Survey Response'!$H371,"")</f>
        <v/>
      </c>
      <c r="AJ373" s="46" t="str">
        <f aca="false">IF($D373="Panel Details",'Survey Response'!$M371,"")</f>
        <v/>
      </c>
      <c r="AK373" s="46" t="str">
        <f aca="false">IF($D373="Panel Details",$O373,"")</f>
        <v/>
      </c>
      <c r="AL373" s="46" t="str">
        <f aca="false">IF($D373="Panel Details",8,"")</f>
        <v/>
      </c>
      <c r="AM373" s="46" t="str">
        <f aca="false">IF($D373="Panel Details",$AB373,"")</f>
        <v/>
      </c>
      <c r="AN373" s="46" t="str">
        <f aca="false">IF($D373="Panel Details","Yes","")</f>
        <v/>
      </c>
      <c r="AO373" s="46"/>
      <c r="AP373" s="46" t="str">
        <f aca="false">IF($D373="Followup",'Survey Response'!$D371,"")</f>
        <v/>
      </c>
      <c r="AQ373" s="46" t="str">
        <f aca="false">IF($D373="Followup",'Survey Response'!$E371,"")</f>
        <v/>
      </c>
      <c r="AR373" s="46" t="str">
        <f aca="false">IF($D373="Followup",'Survey Response'!$G371,"")</f>
        <v/>
      </c>
      <c r="AS373" s="46" t="str">
        <f aca="false">IF($D373="Followup",'Survey Response'!$H371,"")</f>
        <v/>
      </c>
      <c r="AT373" s="46" t="str">
        <f aca="false">IF($D373="Followup",'Survey Response'!$M371,"")</f>
        <v/>
      </c>
      <c r="AU373" s="46" t="str">
        <f aca="false">IF($D373="Followup",'Survey Response'!$K371,"")</f>
        <v/>
      </c>
      <c r="AV373" s="46" t="str">
        <f aca="false">IF($D373="Followup",'Survey Response'!$L371,"")</f>
        <v/>
      </c>
      <c r="AW373" s="46" t="str">
        <f aca="false">IF($D373="Followup",IF(AND($P373&lt;&gt;"Yes",$U373&lt;&gt;"Yes"),"Not approved for primary or secondary skill","Approved, but skill(s) no longer have capacity (fully staffed)"),"")</f>
        <v/>
      </c>
    </row>
    <row r="374" customFormat="false" ht="15" hidden="false" customHeight="true" outlineLevel="0" collapsed="false">
      <c r="A374" s="46" t="str">
        <f aca="false">IF('Survey Response'!$D372="","",'Survey Response'!$A372&amp;"|"&amp;LOWER(TRIM('Survey Response'!$D372)))</f>
        <v/>
      </c>
      <c r="B374" s="46" t="str">
        <f aca="false">IF($H374="","",$F374&amp;"|"&amp;$H374)</f>
        <v/>
      </c>
      <c r="C374" s="46" t="str">
        <f aca="false">IF($H374="","",$A374=$B374)</f>
        <v/>
      </c>
      <c r="D374" s="46" t="str">
        <f aca="false">IF($H374="","",IF($E374&lt;&gt;"Yes","Superseded",IF($I374&lt;&gt;"Yes, I'm available for in-person interviews at Chennai","Not Available",IF($Z374&lt;&gt;"","Panel Details","Followup"))))</f>
        <v/>
      </c>
      <c r="E374" s="46" t="str">
        <f aca="false">IF($H374="","",IF(SUMPRODUCT(($H$4:$H$503=$H374)*(($G$4:$G$503&gt;$G374)+($G$4:$G$503=$G374)*($F$4:$F$503&gt;$F374)))=0,"Yes","No"))</f>
        <v/>
      </c>
      <c r="F374" s="47" t="str">
        <f aca="false">IF('Survey Response'!$D372="","",INT('Survey Response'!$A372))</f>
        <v/>
      </c>
      <c r="G374" s="46" t="str">
        <f aca="false">IF('Survey Response'!$D372="","",'Survey Response'!$C372)</f>
        <v/>
      </c>
      <c r="H374" s="46" t="str">
        <f aca="false">IF('Survey Response'!$D372="","",LOWER(TRIM('Survey Response'!$D372)))</f>
        <v/>
      </c>
      <c r="I374" s="46" t="str">
        <f aca="false">IF($H374="","",'Survey Response'!$I372)</f>
        <v/>
      </c>
      <c r="J374" s="46" t="str">
        <f aca="false">IF($H374="","",'Survey Response'!$K372)</f>
        <v/>
      </c>
      <c r="K374" s="46" t="str">
        <f aca="false">IF($J374="","",IF(COUNTIF('Skill Mapping'!$A$2:$A$7,TRIM($J374))=0,"",INDEX('Skill Mapping'!$B$2:$B$7,MATCH(TRIM($J374),'Skill Mapping'!$A$2:$A$7,0))))</f>
        <v/>
      </c>
      <c r="L374" s="46" t="str">
        <f aca="false">IF($H374="","",'Survey Response'!$L372)</f>
        <v/>
      </c>
      <c r="M374" s="46" t="str">
        <f aca="false">IF($L374="","",IF(COUNTIF('Skill Mapping'!$A$2:$A$7,TRIM($L374))=0,"",INDEX('Skill Mapping'!$B$2:$B$7,MATCH(TRIM($L374),'Skill Mapping'!$A$2:$A$7,0))))</f>
        <v/>
      </c>
      <c r="N374" s="46" t="str">
        <f aca="false">IF($H374="","",'Survey Response'!$M372)</f>
        <v/>
      </c>
      <c r="O374" s="46" t="str">
        <f aca="false">IF($H374="","",IF('Survey Response'!$M372="Manager","R2","R1"))</f>
        <v/>
      </c>
      <c r="P374" s="46" t="str">
        <f aca="false">IF($K374="","No",IF(COUNTIFS(MasterPanel!$B:$B,$H374,MasterPanel!$I:$I,$K374,MasterPanel!$K:$K,"Y")&gt;0,"Yes","No"))</f>
        <v>No</v>
      </c>
      <c r="Q374" s="46" t="n">
        <f aca="false">IF($K374="",0,IF(COUNTIF('Gap Sheet'!$A$6:$A$11,TRIM($J374))=0,0,IF($O374="R1",INDEX('Gap Sheet'!$C$6:$C$11,MATCH(TRIM($J374),'Gap Sheet'!$A$6:$A$11,0)),INDEX('Gap Sheet'!$G$6:$G$11,MATCH(TRIM($J374),'Gap Sheet'!$A$6:$A$11,0)))))</f>
        <v>0</v>
      </c>
      <c r="R374" s="46" t="str">
        <f aca="false">IF($K374="","",$K374&amp;"|"&amp;$O374)</f>
        <v/>
      </c>
      <c r="S374" s="46" t="n">
        <f aca="false">IF($R374="",0,COUNTIF($AA$4:$AA373,$R374))</f>
        <v>0</v>
      </c>
      <c r="T374" s="46" t="str">
        <f aca="false">IF(OR($I374&lt;&gt;"Yes, I'm available for in-person interviews at Chennai",$E374&lt;&gt;"Yes",$P374&lt;&gt;"Yes"),"No",IF(($Q374-$S374)&gt;0,"Yes","No"))</f>
        <v>No</v>
      </c>
      <c r="U374" s="46" t="str">
        <f aca="false">IF($M374="","No",IF(COUNTIFS(MasterPanel!$B:$B,$H374,MasterPanel!$I:$I,$M374,MasterPanel!$K:$K,"Y")&gt;0,"Yes","No"))</f>
        <v>No</v>
      </c>
      <c r="V374" s="46" t="n">
        <f aca="false">IF($M374="",0,IF(COUNTIF('Gap Sheet'!$A$6:$A$11,TRIM($L374))=0,0,IF($O374="R1",INDEX('Gap Sheet'!$C$6:$C$11,MATCH(TRIM($L374),'Gap Sheet'!$A$6:$A$11,0)),INDEX('Gap Sheet'!$G$6:$G$11,MATCH(TRIM($L374),'Gap Sheet'!$A$6:$A$11,0)))))</f>
        <v>0</v>
      </c>
      <c r="W374" s="46" t="str">
        <f aca="false">IF($M374="","",$M374&amp;"|"&amp;$O374)</f>
        <v/>
      </c>
      <c r="X374" s="46" t="n">
        <f aca="false">IF($W374="",0,COUNTIF($AA$4:$AA373,$W374))</f>
        <v>0</v>
      </c>
      <c r="Y374" s="46" t="str">
        <f aca="false">IF(OR($I374&lt;&gt;"Yes, I'm available for in-person interviews at Chennai",$E374&lt;&gt;"Yes",$T374="Yes",$U374&lt;&gt;"Yes"),"No",IF(($V374-$X374)&gt;0,"Yes","No"))</f>
        <v>No</v>
      </c>
      <c r="Z374" s="46" t="str">
        <f aca="false">IF($T374="Yes","Primary",IF($Y374="Yes","Secondary",""))</f>
        <v/>
      </c>
      <c r="AA374" s="46" t="str">
        <f aca="false">IF($Z374="Primary",$R374,IF($Z374="Secondary",$W374,""))</f>
        <v/>
      </c>
      <c r="AB374" s="46" t="str">
        <f aca="false">IF($Z374="Primary","Matched on primary skill",IF($Z374="Secondary","Matched on secondary skill (primary not approved or not required)",""))</f>
        <v/>
      </c>
      <c r="AC374" s="47" t="str">
        <f aca="false">IF($D374="Panel Details",$F374,"")</f>
        <v/>
      </c>
      <c r="AD374" s="46" t="str">
        <f aca="false">IF($D374="Panel Details",'Survey Response'!$D372,"")</f>
        <v/>
      </c>
      <c r="AE374" s="46" t="str">
        <f aca="false">IF($D374="Panel Details",'Survey Response'!$E372,"")</f>
        <v/>
      </c>
      <c r="AF374" s="46" t="str">
        <f aca="false">IF($D374="Panel Details",'Survey Response'!$G372,"")</f>
        <v/>
      </c>
      <c r="AG374" s="46" t="str">
        <f aca="false">IF($D374="Panel Details",IF($Z374="Primary",$J374,$L374),"")</f>
        <v/>
      </c>
      <c r="AH374" s="46" t="str">
        <f aca="false">IF($D374="Panel Details",IF($Z374="Primary",$L374,$J374),"")</f>
        <v/>
      </c>
      <c r="AI374" s="46" t="str">
        <f aca="false">IF($D374="Panel Details",'Survey Response'!$H372,"")</f>
        <v/>
      </c>
      <c r="AJ374" s="46" t="str">
        <f aca="false">IF($D374="Panel Details",'Survey Response'!$M372,"")</f>
        <v/>
      </c>
      <c r="AK374" s="46" t="str">
        <f aca="false">IF($D374="Panel Details",$O374,"")</f>
        <v/>
      </c>
      <c r="AL374" s="46" t="str">
        <f aca="false">IF($D374="Panel Details",8,"")</f>
        <v/>
      </c>
      <c r="AM374" s="46" t="str">
        <f aca="false">IF($D374="Panel Details",$AB374,"")</f>
        <v/>
      </c>
      <c r="AN374" s="46" t="str">
        <f aca="false">IF($D374="Panel Details","Yes","")</f>
        <v/>
      </c>
      <c r="AO374" s="46"/>
      <c r="AP374" s="46" t="str">
        <f aca="false">IF($D374="Followup",'Survey Response'!$D372,"")</f>
        <v/>
      </c>
      <c r="AQ374" s="46" t="str">
        <f aca="false">IF($D374="Followup",'Survey Response'!$E372,"")</f>
        <v/>
      </c>
      <c r="AR374" s="46" t="str">
        <f aca="false">IF($D374="Followup",'Survey Response'!$G372,"")</f>
        <v/>
      </c>
      <c r="AS374" s="46" t="str">
        <f aca="false">IF($D374="Followup",'Survey Response'!$H372,"")</f>
        <v/>
      </c>
      <c r="AT374" s="46" t="str">
        <f aca="false">IF($D374="Followup",'Survey Response'!$M372,"")</f>
        <v/>
      </c>
      <c r="AU374" s="46" t="str">
        <f aca="false">IF($D374="Followup",'Survey Response'!$K372,"")</f>
        <v/>
      </c>
      <c r="AV374" s="46" t="str">
        <f aca="false">IF($D374="Followup",'Survey Response'!$L372,"")</f>
        <v/>
      </c>
      <c r="AW374" s="46" t="str">
        <f aca="false">IF($D374="Followup",IF(AND($P374&lt;&gt;"Yes",$U374&lt;&gt;"Yes"),"Not approved for primary or secondary skill","Approved, but skill(s) no longer have capacity (fully staffed)"),"")</f>
        <v/>
      </c>
    </row>
    <row r="375" customFormat="false" ht="15" hidden="false" customHeight="true" outlineLevel="0" collapsed="false">
      <c r="A375" s="46" t="str">
        <f aca="false">IF('Survey Response'!$D373="","",'Survey Response'!$A373&amp;"|"&amp;LOWER(TRIM('Survey Response'!$D373)))</f>
        <v/>
      </c>
      <c r="B375" s="46" t="str">
        <f aca="false">IF($H375="","",$F375&amp;"|"&amp;$H375)</f>
        <v/>
      </c>
      <c r="C375" s="46" t="str">
        <f aca="false">IF($H375="","",$A375=$B375)</f>
        <v/>
      </c>
      <c r="D375" s="46" t="str">
        <f aca="false">IF($H375="","",IF($E375&lt;&gt;"Yes","Superseded",IF($I375&lt;&gt;"Yes, I'm available for in-person interviews at Chennai","Not Available",IF($Z375&lt;&gt;"","Panel Details","Followup"))))</f>
        <v/>
      </c>
      <c r="E375" s="46" t="str">
        <f aca="false">IF($H375="","",IF(SUMPRODUCT(($H$4:$H$503=$H375)*(($G$4:$G$503&gt;$G375)+($G$4:$G$503=$G375)*($F$4:$F$503&gt;$F375)))=0,"Yes","No"))</f>
        <v/>
      </c>
      <c r="F375" s="47" t="str">
        <f aca="false">IF('Survey Response'!$D373="","",INT('Survey Response'!$A373))</f>
        <v/>
      </c>
      <c r="G375" s="46" t="str">
        <f aca="false">IF('Survey Response'!$D373="","",'Survey Response'!$C373)</f>
        <v/>
      </c>
      <c r="H375" s="46" t="str">
        <f aca="false">IF('Survey Response'!$D373="","",LOWER(TRIM('Survey Response'!$D373)))</f>
        <v/>
      </c>
      <c r="I375" s="46" t="str">
        <f aca="false">IF($H375="","",'Survey Response'!$I373)</f>
        <v/>
      </c>
      <c r="J375" s="46" t="str">
        <f aca="false">IF($H375="","",'Survey Response'!$K373)</f>
        <v/>
      </c>
      <c r="K375" s="46" t="str">
        <f aca="false">IF($J375="","",IF(COUNTIF('Skill Mapping'!$A$2:$A$7,TRIM($J375))=0,"",INDEX('Skill Mapping'!$B$2:$B$7,MATCH(TRIM($J375),'Skill Mapping'!$A$2:$A$7,0))))</f>
        <v/>
      </c>
      <c r="L375" s="46" t="str">
        <f aca="false">IF($H375="","",'Survey Response'!$L373)</f>
        <v/>
      </c>
      <c r="M375" s="46" t="str">
        <f aca="false">IF($L375="","",IF(COUNTIF('Skill Mapping'!$A$2:$A$7,TRIM($L375))=0,"",INDEX('Skill Mapping'!$B$2:$B$7,MATCH(TRIM($L375),'Skill Mapping'!$A$2:$A$7,0))))</f>
        <v/>
      </c>
      <c r="N375" s="46" t="str">
        <f aca="false">IF($H375="","",'Survey Response'!$M373)</f>
        <v/>
      </c>
      <c r="O375" s="46" t="str">
        <f aca="false">IF($H375="","",IF('Survey Response'!$M373="Manager","R2","R1"))</f>
        <v/>
      </c>
      <c r="P375" s="46" t="str">
        <f aca="false">IF($K375="","No",IF(COUNTIFS(MasterPanel!$B:$B,$H375,MasterPanel!$I:$I,$K375,MasterPanel!$K:$K,"Y")&gt;0,"Yes","No"))</f>
        <v>No</v>
      </c>
      <c r="Q375" s="46" t="n">
        <f aca="false">IF($K375="",0,IF(COUNTIF('Gap Sheet'!$A$6:$A$11,TRIM($J375))=0,0,IF($O375="R1",INDEX('Gap Sheet'!$C$6:$C$11,MATCH(TRIM($J375),'Gap Sheet'!$A$6:$A$11,0)),INDEX('Gap Sheet'!$G$6:$G$11,MATCH(TRIM($J375),'Gap Sheet'!$A$6:$A$11,0)))))</f>
        <v>0</v>
      </c>
      <c r="R375" s="46" t="str">
        <f aca="false">IF($K375="","",$K375&amp;"|"&amp;$O375)</f>
        <v/>
      </c>
      <c r="S375" s="46" t="n">
        <f aca="false">IF($R375="",0,COUNTIF($AA$4:$AA374,$R375))</f>
        <v>0</v>
      </c>
      <c r="T375" s="46" t="str">
        <f aca="false">IF(OR($I375&lt;&gt;"Yes, I'm available for in-person interviews at Chennai",$E375&lt;&gt;"Yes",$P375&lt;&gt;"Yes"),"No",IF(($Q375-$S375)&gt;0,"Yes","No"))</f>
        <v>No</v>
      </c>
      <c r="U375" s="46" t="str">
        <f aca="false">IF($M375="","No",IF(COUNTIFS(MasterPanel!$B:$B,$H375,MasterPanel!$I:$I,$M375,MasterPanel!$K:$K,"Y")&gt;0,"Yes","No"))</f>
        <v>No</v>
      </c>
      <c r="V375" s="46" t="n">
        <f aca="false">IF($M375="",0,IF(COUNTIF('Gap Sheet'!$A$6:$A$11,TRIM($L375))=0,0,IF($O375="R1",INDEX('Gap Sheet'!$C$6:$C$11,MATCH(TRIM($L375),'Gap Sheet'!$A$6:$A$11,0)),INDEX('Gap Sheet'!$G$6:$G$11,MATCH(TRIM($L375),'Gap Sheet'!$A$6:$A$11,0)))))</f>
        <v>0</v>
      </c>
      <c r="W375" s="46" t="str">
        <f aca="false">IF($M375="","",$M375&amp;"|"&amp;$O375)</f>
        <v/>
      </c>
      <c r="X375" s="46" t="n">
        <f aca="false">IF($W375="",0,COUNTIF($AA$4:$AA374,$W375))</f>
        <v>0</v>
      </c>
      <c r="Y375" s="46" t="str">
        <f aca="false">IF(OR($I375&lt;&gt;"Yes, I'm available for in-person interviews at Chennai",$E375&lt;&gt;"Yes",$T375="Yes",$U375&lt;&gt;"Yes"),"No",IF(($V375-$X375)&gt;0,"Yes","No"))</f>
        <v>No</v>
      </c>
      <c r="Z375" s="46" t="str">
        <f aca="false">IF($T375="Yes","Primary",IF($Y375="Yes","Secondary",""))</f>
        <v/>
      </c>
      <c r="AA375" s="46" t="str">
        <f aca="false">IF($Z375="Primary",$R375,IF($Z375="Secondary",$W375,""))</f>
        <v/>
      </c>
      <c r="AB375" s="46" t="str">
        <f aca="false">IF($Z375="Primary","Matched on primary skill",IF($Z375="Secondary","Matched on secondary skill (primary not approved or not required)",""))</f>
        <v/>
      </c>
      <c r="AC375" s="47" t="str">
        <f aca="false">IF($D375="Panel Details",$F375,"")</f>
        <v/>
      </c>
      <c r="AD375" s="46" t="str">
        <f aca="false">IF($D375="Panel Details",'Survey Response'!$D373,"")</f>
        <v/>
      </c>
      <c r="AE375" s="46" t="str">
        <f aca="false">IF($D375="Panel Details",'Survey Response'!$E373,"")</f>
        <v/>
      </c>
      <c r="AF375" s="46" t="str">
        <f aca="false">IF($D375="Panel Details",'Survey Response'!$G373,"")</f>
        <v/>
      </c>
      <c r="AG375" s="46" t="str">
        <f aca="false">IF($D375="Panel Details",IF($Z375="Primary",$J375,$L375),"")</f>
        <v/>
      </c>
      <c r="AH375" s="46" t="str">
        <f aca="false">IF($D375="Panel Details",IF($Z375="Primary",$L375,$J375),"")</f>
        <v/>
      </c>
      <c r="AI375" s="46" t="str">
        <f aca="false">IF($D375="Panel Details",'Survey Response'!$H373,"")</f>
        <v/>
      </c>
      <c r="AJ375" s="46" t="str">
        <f aca="false">IF($D375="Panel Details",'Survey Response'!$M373,"")</f>
        <v/>
      </c>
      <c r="AK375" s="46" t="str">
        <f aca="false">IF($D375="Panel Details",$O375,"")</f>
        <v/>
      </c>
      <c r="AL375" s="46" t="str">
        <f aca="false">IF($D375="Panel Details",8,"")</f>
        <v/>
      </c>
      <c r="AM375" s="46" t="str">
        <f aca="false">IF($D375="Panel Details",$AB375,"")</f>
        <v/>
      </c>
      <c r="AN375" s="46" t="str">
        <f aca="false">IF($D375="Panel Details","Yes","")</f>
        <v/>
      </c>
      <c r="AO375" s="46"/>
      <c r="AP375" s="46" t="str">
        <f aca="false">IF($D375="Followup",'Survey Response'!$D373,"")</f>
        <v/>
      </c>
      <c r="AQ375" s="46" t="str">
        <f aca="false">IF($D375="Followup",'Survey Response'!$E373,"")</f>
        <v/>
      </c>
      <c r="AR375" s="46" t="str">
        <f aca="false">IF($D375="Followup",'Survey Response'!$G373,"")</f>
        <v/>
      </c>
      <c r="AS375" s="46" t="str">
        <f aca="false">IF($D375="Followup",'Survey Response'!$H373,"")</f>
        <v/>
      </c>
      <c r="AT375" s="46" t="str">
        <f aca="false">IF($D375="Followup",'Survey Response'!$M373,"")</f>
        <v/>
      </c>
      <c r="AU375" s="46" t="str">
        <f aca="false">IF($D375="Followup",'Survey Response'!$K373,"")</f>
        <v/>
      </c>
      <c r="AV375" s="46" t="str">
        <f aca="false">IF($D375="Followup",'Survey Response'!$L373,"")</f>
        <v/>
      </c>
      <c r="AW375" s="46" t="str">
        <f aca="false">IF($D375="Followup",IF(AND($P375&lt;&gt;"Yes",$U375&lt;&gt;"Yes"),"Not approved for primary or secondary skill","Approved, but skill(s) no longer have capacity (fully staffed)"),"")</f>
        <v/>
      </c>
    </row>
    <row r="376" customFormat="false" ht="15" hidden="false" customHeight="true" outlineLevel="0" collapsed="false">
      <c r="A376" s="46" t="str">
        <f aca="false">IF('Survey Response'!$D374="","",'Survey Response'!$A374&amp;"|"&amp;LOWER(TRIM('Survey Response'!$D374)))</f>
        <v/>
      </c>
      <c r="B376" s="46" t="str">
        <f aca="false">IF($H376="","",$F376&amp;"|"&amp;$H376)</f>
        <v/>
      </c>
      <c r="C376" s="46" t="str">
        <f aca="false">IF($H376="","",$A376=$B376)</f>
        <v/>
      </c>
      <c r="D376" s="46" t="str">
        <f aca="false">IF($H376="","",IF($E376&lt;&gt;"Yes","Superseded",IF($I376&lt;&gt;"Yes, I'm available for in-person interviews at Chennai","Not Available",IF($Z376&lt;&gt;"","Panel Details","Followup"))))</f>
        <v/>
      </c>
      <c r="E376" s="46" t="str">
        <f aca="false">IF($H376="","",IF(SUMPRODUCT(($H$4:$H$503=$H376)*(($G$4:$G$503&gt;$G376)+($G$4:$G$503=$G376)*($F$4:$F$503&gt;$F376)))=0,"Yes","No"))</f>
        <v/>
      </c>
      <c r="F376" s="47" t="str">
        <f aca="false">IF('Survey Response'!$D374="","",INT('Survey Response'!$A374))</f>
        <v/>
      </c>
      <c r="G376" s="46" t="str">
        <f aca="false">IF('Survey Response'!$D374="","",'Survey Response'!$C374)</f>
        <v/>
      </c>
      <c r="H376" s="46" t="str">
        <f aca="false">IF('Survey Response'!$D374="","",LOWER(TRIM('Survey Response'!$D374)))</f>
        <v/>
      </c>
      <c r="I376" s="46" t="str">
        <f aca="false">IF($H376="","",'Survey Response'!$I374)</f>
        <v/>
      </c>
      <c r="J376" s="46" t="str">
        <f aca="false">IF($H376="","",'Survey Response'!$K374)</f>
        <v/>
      </c>
      <c r="K376" s="46" t="str">
        <f aca="false">IF($J376="","",IF(COUNTIF('Skill Mapping'!$A$2:$A$7,TRIM($J376))=0,"",INDEX('Skill Mapping'!$B$2:$B$7,MATCH(TRIM($J376),'Skill Mapping'!$A$2:$A$7,0))))</f>
        <v/>
      </c>
      <c r="L376" s="46" t="str">
        <f aca="false">IF($H376="","",'Survey Response'!$L374)</f>
        <v/>
      </c>
      <c r="M376" s="46" t="str">
        <f aca="false">IF($L376="","",IF(COUNTIF('Skill Mapping'!$A$2:$A$7,TRIM($L376))=0,"",INDEX('Skill Mapping'!$B$2:$B$7,MATCH(TRIM($L376),'Skill Mapping'!$A$2:$A$7,0))))</f>
        <v/>
      </c>
      <c r="N376" s="46" t="str">
        <f aca="false">IF($H376="","",'Survey Response'!$M374)</f>
        <v/>
      </c>
      <c r="O376" s="46" t="str">
        <f aca="false">IF($H376="","",IF('Survey Response'!$M374="Manager","R2","R1"))</f>
        <v/>
      </c>
      <c r="P376" s="46" t="str">
        <f aca="false">IF($K376="","No",IF(COUNTIFS(MasterPanel!$B:$B,$H376,MasterPanel!$I:$I,$K376,MasterPanel!$K:$K,"Y")&gt;0,"Yes","No"))</f>
        <v>No</v>
      </c>
      <c r="Q376" s="46" t="n">
        <f aca="false">IF($K376="",0,IF(COUNTIF('Gap Sheet'!$A$6:$A$11,TRIM($J376))=0,0,IF($O376="R1",INDEX('Gap Sheet'!$C$6:$C$11,MATCH(TRIM($J376),'Gap Sheet'!$A$6:$A$11,0)),INDEX('Gap Sheet'!$G$6:$G$11,MATCH(TRIM($J376),'Gap Sheet'!$A$6:$A$11,0)))))</f>
        <v>0</v>
      </c>
      <c r="R376" s="46" t="str">
        <f aca="false">IF($K376="","",$K376&amp;"|"&amp;$O376)</f>
        <v/>
      </c>
      <c r="S376" s="46" t="n">
        <f aca="false">IF($R376="",0,COUNTIF($AA$4:$AA375,$R376))</f>
        <v>0</v>
      </c>
      <c r="T376" s="46" t="str">
        <f aca="false">IF(OR($I376&lt;&gt;"Yes, I'm available for in-person interviews at Chennai",$E376&lt;&gt;"Yes",$P376&lt;&gt;"Yes"),"No",IF(($Q376-$S376)&gt;0,"Yes","No"))</f>
        <v>No</v>
      </c>
      <c r="U376" s="46" t="str">
        <f aca="false">IF($M376="","No",IF(COUNTIFS(MasterPanel!$B:$B,$H376,MasterPanel!$I:$I,$M376,MasterPanel!$K:$K,"Y")&gt;0,"Yes","No"))</f>
        <v>No</v>
      </c>
      <c r="V376" s="46" t="n">
        <f aca="false">IF($M376="",0,IF(COUNTIF('Gap Sheet'!$A$6:$A$11,TRIM($L376))=0,0,IF($O376="R1",INDEX('Gap Sheet'!$C$6:$C$11,MATCH(TRIM($L376),'Gap Sheet'!$A$6:$A$11,0)),INDEX('Gap Sheet'!$G$6:$G$11,MATCH(TRIM($L376),'Gap Sheet'!$A$6:$A$11,0)))))</f>
        <v>0</v>
      </c>
      <c r="W376" s="46" t="str">
        <f aca="false">IF($M376="","",$M376&amp;"|"&amp;$O376)</f>
        <v/>
      </c>
      <c r="X376" s="46" t="n">
        <f aca="false">IF($W376="",0,COUNTIF($AA$4:$AA375,$W376))</f>
        <v>0</v>
      </c>
      <c r="Y376" s="46" t="str">
        <f aca="false">IF(OR($I376&lt;&gt;"Yes, I'm available for in-person interviews at Chennai",$E376&lt;&gt;"Yes",$T376="Yes",$U376&lt;&gt;"Yes"),"No",IF(($V376-$X376)&gt;0,"Yes","No"))</f>
        <v>No</v>
      </c>
      <c r="Z376" s="46" t="str">
        <f aca="false">IF($T376="Yes","Primary",IF($Y376="Yes","Secondary",""))</f>
        <v/>
      </c>
      <c r="AA376" s="46" t="str">
        <f aca="false">IF($Z376="Primary",$R376,IF($Z376="Secondary",$W376,""))</f>
        <v/>
      </c>
      <c r="AB376" s="46" t="str">
        <f aca="false">IF($Z376="Primary","Matched on primary skill",IF($Z376="Secondary","Matched on secondary skill (primary not approved or not required)",""))</f>
        <v/>
      </c>
      <c r="AC376" s="47" t="str">
        <f aca="false">IF($D376="Panel Details",$F376,"")</f>
        <v/>
      </c>
      <c r="AD376" s="46" t="str">
        <f aca="false">IF($D376="Panel Details",'Survey Response'!$D374,"")</f>
        <v/>
      </c>
      <c r="AE376" s="46" t="str">
        <f aca="false">IF($D376="Panel Details",'Survey Response'!$E374,"")</f>
        <v/>
      </c>
      <c r="AF376" s="46" t="str">
        <f aca="false">IF($D376="Panel Details",'Survey Response'!$G374,"")</f>
        <v/>
      </c>
      <c r="AG376" s="46" t="str">
        <f aca="false">IF($D376="Panel Details",IF($Z376="Primary",$J376,$L376),"")</f>
        <v/>
      </c>
      <c r="AH376" s="46" t="str">
        <f aca="false">IF($D376="Panel Details",IF($Z376="Primary",$L376,$J376),"")</f>
        <v/>
      </c>
      <c r="AI376" s="46" t="str">
        <f aca="false">IF($D376="Panel Details",'Survey Response'!$H374,"")</f>
        <v/>
      </c>
      <c r="AJ376" s="46" t="str">
        <f aca="false">IF($D376="Panel Details",'Survey Response'!$M374,"")</f>
        <v/>
      </c>
      <c r="AK376" s="46" t="str">
        <f aca="false">IF($D376="Panel Details",$O376,"")</f>
        <v/>
      </c>
      <c r="AL376" s="46" t="str">
        <f aca="false">IF($D376="Panel Details",8,"")</f>
        <v/>
      </c>
      <c r="AM376" s="46" t="str">
        <f aca="false">IF($D376="Panel Details",$AB376,"")</f>
        <v/>
      </c>
      <c r="AN376" s="46" t="str">
        <f aca="false">IF($D376="Panel Details","Yes","")</f>
        <v/>
      </c>
      <c r="AO376" s="46"/>
      <c r="AP376" s="46" t="str">
        <f aca="false">IF($D376="Followup",'Survey Response'!$D374,"")</f>
        <v/>
      </c>
      <c r="AQ376" s="46" t="str">
        <f aca="false">IF($D376="Followup",'Survey Response'!$E374,"")</f>
        <v/>
      </c>
      <c r="AR376" s="46" t="str">
        <f aca="false">IF($D376="Followup",'Survey Response'!$G374,"")</f>
        <v/>
      </c>
      <c r="AS376" s="46" t="str">
        <f aca="false">IF($D376="Followup",'Survey Response'!$H374,"")</f>
        <v/>
      </c>
      <c r="AT376" s="46" t="str">
        <f aca="false">IF($D376="Followup",'Survey Response'!$M374,"")</f>
        <v/>
      </c>
      <c r="AU376" s="46" t="str">
        <f aca="false">IF($D376="Followup",'Survey Response'!$K374,"")</f>
        <v/>
      </c>
      <c r="AV376" s="46" t="str">
        <f aca="false">IF($D376="Followup",'Survey Response'!$L374,"")</f>
        <v/>
      </c>
      <c r="AW376" s="46" t="str">
        <f aca="false">IF($D376="Followup",IF(AND($P376&lt;&gt;"Yes",$U376&lt;&gt;"Yes"),"Not approved for primary or secondary skill","Approved, but skill(s) no longer have capacity (fully staffed)"),"")</f>
        <v/>
      </c>
    </row>
    <row r="377" customFormat="false" ht="15" hidden="false" customHeight="true" outlineLevel="0" collapsed="false">
      <c r="A377" s="46" t="str">
        <f aca="false">IF('Survey Response'!$D375="","",'Survey Response'!$A375&amp;"|"&amp;LOWER(TRIM('Survey Response'!$D375)))</f>
        <v/>
      </c>
      <c r="B377" s="46" t="str">
        <f aca="false">IF($H377="","",$F377&amp;"|"&amp;$H377)</f>
        <v/>
      </c>
      <c r="C377" s="46" t="str">
        <f aca="false">IF($H377="","",$A377=$B377)</f>
        <v/>
      </c>
      <c r="D377" s="46" t="str">
        <f aca="false">IF($H377="","",IF($E377&lt;&gt;"Yes","Superseded",IF($I377&lt;&gt;"Yes, I'm available for in-person interviews at Chennai","Not Available",IF($Z377&lt;&gt;"","Panel Details","Followup"))))</f>
        <v/>
      </c>
      <c r="E377" s="46" t="str">
        <f aca="false">IF($H377="","",IF(SUMPRODUCT(($H$4:$H$503=$H377)*(($G$4:$G$503&gt;$G377)+($G$4:$G$503=$G377)*($F$4:$F$503&gt;$F377)))=0,"Yes","No"))</f>
        <v/>
      </c>
      <c r="F377" s="47" t="str">
        <f aca="false">IF('Survey Response'!$D375="","",INT('Survey Response'!$A375))</f>
        <v/>
      </c>
      <c r="G377" s="46" t="str">
        <f aca="false">IF('Survey Response'!$D375="","",'Survey Response'!$C375)</f>
        <v/>
      </c>
      <c r="H377" s="46" t="str">
        <f aca="false">IF('Survey Response'!$D375="","",LOWER(TRIM('Survey Response'!$D375)))</f>
        <v/>
      </c>
      <c r="I377" s="46" t="str">
        <f aca="false">IF($H377="","",'Survey Response'!$I375)</f>
        <v/>
      </c>
      <c r="J377" s="46" t="str">
        <f aca="false">IF($H377="","",'Survey Response'!$K375)</f>
        <v/>
      </c>
      <c r="K377" s="46" t="str">
        <f aca="false">IF($J377="","",IF(COUNTIF('Skill Mapping'!$A$2:$A$7,TRIM($J377))=0,"",INDEX('Skill Mapping'!$B$2:$B$7,MATCH(TRIM($J377),'Skill Mapping'!$A$2:$A$7,0))))</f>
        <v/>
      </c>
      <c r="L377" s="46" t="str">
        <f aca="false">IF($H377="","",'Survey Response'!$L375)</f>
        <v/>
      </c>
      <c r="M377" s="46" t="str">
        <f aca="false">IF($L377="","",IF(COUNTIF('Skill Mapping'!$A$2:$A$7,TRIM($L377))=0,"",INDEX('Skill Mapping'!$B$2:$B$7,MATCH(TRIM($L377),'Skill Mapping'!$A$2:$A$7,0))))</f>
        <v/>
      </c>
      <c r="N377" s="46" t="str">
        <f aca="false">IF($H377="","",'Survey Response'!$M375)</f>
        <v/>
      </c>
      <c r="O377" s="46" t="str">
        <f aca="false">IF($H377="","",IF('Survey Response'!$M375="Manager","R2","R1"))</f>
        <v/>
      </c>
      <c r="P377" s="46" t="str">
        <f aca="false">IF($K377="","No",IF(COUNTIFS(MasterPanel!$B:$B,$H377,MasterPanel!$I:$I,$K377,MasterPanel!$K:$K,"Y")&gt;0,"Yes","No"))</f>
        <v>No</v>
      </c>
      <c r="Q377" s="46" t="n">
        <f aca="false">IF($K377="",0,IF(COUNTIF('Gap Sheet'!$A$6:$A$11,TRIM($J377))=0,0,IF($O377="R1",INDEX('Gap Sheet'!$C$6:$C$11,MATCH(TRIM($J377),'Gap Sheet'!$A$6:$A$11,0)),INDEX('Gap Sheet'!$G$6:$G$11,MATCH(TRIM($J377),'Gap Sheet'!$A$6:$A$11,0)))))</f>
        <v>0</v>
      </c>
      <c r="R377" s="46" t="str">
        <f aca="false">IF($K377="","",$K377&amp;"|"&amp;$O377)</f>
        <v/>
      </c>
      <c r="S377" s="46" t="n">
        <f aca="false">IF($R377="",0,COUNTIF($AA$4:$AA376,$R377))</f>
        <v>0</v>
      </c>
      <c r="T377" s="46" t="str">
        <f aca="false">IF(OR($I377&lt;&gt;"Yes, I'm available for in-person interviews at Chennai",$E377&lt;&gt;"Yes",$P377&lt;&gt;"Yes"),"No",IF(($Q377-$S377)&gt;0,"Yes","No"))</f>
        <v>No</v>
      </c>
      <c r="U377" s="46" t="str">
        <f aca="false">IF($M377="","No",IF(COUNTIFS(MasterPanel!$B:$B,$H377,MasterPanel!$I:$I,$M377,MasterPanel!$K:$K,"Y")&gt;0,"Yes","No"))</f>
        <v>No</v>
      </c>
      <c r="V377" s="46" t="n">
        <f aca="false">IF($M377="",0,IF(COUNTIF('Gap Sheet'!$A$6:$A$11,TRIM($L377))=0,0,IF($O377="R1",INDEX('Gap Sheet'!$C$6:$C$11,MATCH(TRIM($L377),'Gap Sheet'!$A$6:$A$11,0)),INDEX('Gap Sheet'!$G$6:$G$11,MATCH(TRIM($L377),'Gap Sheet'!$A$6:$A$11,0)))))</f>
        <v>0</v>
      </c>
      <c r="W377" s="46" t="str">
        <f aca="false">IF($M377="","",$M377&amp;"|"&amp;$O377)</f>
        <v/>
      </c>
      <c r="X377" s="46" t="n">
        <f aca="false">IF($W377="",0,COUNTIF($AA$4:$AA376,$W377))</f>
        <v>0</v>
      </c>
      <c r="Y377" s="46" t="str">
        <f aca="false">IF(OR($I377&lt;&gt;"Yes, I'm available for in-person interviews at Chennai",$E377&lt;&gt;"Yes",$T377="Yes",$U377&lt;&gt;"Yes"),"No",IF(($V377-$X377)&gt;0,"Yes","No"))</f>
        <v>No</v>
      </c>
      <c r="Z377" s="46" t="str">
        <f aca="false">IF($T377="Yes","Primary",IF($Y377="Yes","Secondary",""))</f>
        <v/>
      </c>
      <c r="AA377" s="46" t="str">
        <f aca="false">IF($Z377="Primary",$R377,IF($Z377="Secondary",$W377,""))</f>
        <v/>
      </c>
      <c r="AB377" s="46" t="str">
        <f aca="false">IF($Z377="Primary","Matched on primary skill",IF($Z377="Secondary","Matched on secondary skill (primary not approved or not required)",""))</f>
        <v/>
      </c>
      <c r="AC377" s="47" t="str">
        <f aca="false">IF($D377="Panel Details",$F377,"")</f>
        <v/>
      </c>
      <c r="AD377" s="46" t="str">
        <f aca="false">IF($D377="Panel Details",'Survey Response'!$D375,"")</f>
        <v/>
      </c>
      <c r="AE377" s="46" t="str">
        <f aca="false">IF($D377="Panel Details",'Survey Response'!$E375,"")</f>
        <v/>
      </c>
      <c r="AF377" s="46" t="str">
        <f aca="false">IF($D377="Panel Details",'Survey Response'!$G375,"")</f>
        <v/>
      </c>
      <c r="AG377" s="46" t="str">
        <f aca="false">IF($D377="Panel Details",IF($Z377="Primary",$J377,$L377),"")</f>
        <v/>
      </c>
      <c r="AH377" s="46" t="str">
        <f aca="false">IF($D377="Panel Details",IF($Z377="Primary",$L377,$J377),"")</f>
        <v/>
      </c>
      <c r="AI377" s="46" t="str">
        <f aca="false">IF($D377="Panel Details",'Survey Response'!$H375,"")</f>
        <v/>
      </c>
      <c r="AJ377" s="46" t="str">
        <f aca="false">IF($D377="Panel Details",'Survey Response'!$M375,"")</f>
        <v/>
      </c>
      <c r="AK377" s="46" t="str">
        <f aca="false">IF($D377="Panel Details",$O377,"")</f>
        <v/>
      </c>
      <c r="AL377" s="46" t="str">
        <f aca="false">IF($D377="Panel Details",8,"")</f>
        <v/>
      </c>
      <c r="AM377" s="46" t="str">
        <f aca="false">IF($D377="Panel Details",$AB377,"")</f>
        <v/>
      </c>
      <c r="AN377" s="46" t="str">
        <f aca="false">IF($D377="Panel Details","Yes","")</f>
        <v/>
      </c>
      <c r="AO377" s="46"/>
      <c r="AP377" s="46" t="str">
        <f aca="false">IF($D377="Followup",'Survey Response'!$D375,"")</f>
        <v/>
      </c>
      <c r="AQ377" s="46" t="str">
        <f aca="false">IF($D377="Followup",'Survey Response'!$E375,"")</f>
        <v/>
      </c>
      <c r="AR377" s="46" t="str">
        <f aca="false">IF($D377="Followup",'Survey Response'!$G375,"")</f>
        <v/>
      </c>
      <c r="AS377" s="46" t="str">
        <f aca="false">IF($D377="Followup",'Survey Response'!$H375,"")</f>
        <v/>
      </c>
      <c r="AT377" s="46" t="str">
        <f aca="false">IF($D377="Followup",'Survey Response'!$M375,"")</f>
        <v/>
      </c>
      <c r="AU377" s="46" t="str">
        <f aca="false">IF($D377="Followup",'Survey Response'!$K375,"")</f>
        <v/>
      </c>
      <c r="AV377" s="46" t="str">
        <f aca="false">IF($D377="Followup",'Survey Response'!$L375,"")</f>
        <v/>
      </c>
      <c r="AW377" s="46" t="str">
        <f aca="false">IF($D377="Followup",IF(AND($P377&lt;&gt;"Yes",$U377&lt;&gt;"Yes"),"Not approved for primary or secondary skill","Approved, but skill(s) no longer have capacity (fully staffed)"),"")</f>
        <v/>
      </c>
    </row>
    <row r="378" customFormat="false" ht="15" hidden="false" customHeight="true" outlineLevel="0" collapsed="false">
      <c r="A378" s="46" t="str">
        <f aca="false">IF('Survey Response'!$D376="","",'Survey Response'!$A376&amp;"|"&amp;LOWER(TRIM('Survey Response'!$D376)))</f>
        <v/>
      </c>
      <c r="B378" s="46" t="str">
        <f aca="false">IF($H378="","",$F378&amp;"|"&amp;$H378)</f>
        <v/>
      </c>
      <c r="C378" s="46" t="str">
        <f aca="false">IF($H378="","",$A378=$B378)</f>
        <v/>
      </c>
      <c r="D378" s="46" t="str">
        <f aca="false">IF($H378="","",IF($E378&lt;&gt;"Yes","Superseded",IF($I378&lt;&gt;"Yes, I'm available for in-person interviews at Chennai","Not Available",IF($Z378&lt;&gt;"","Panel Details","Followup"))))</f>
        <v/>
      </c>
      <c r="E378" s="46" t="str">
        <f aca="false">IF($H378="","",IF(SUMPRODUCT(($H$4:$H$503=$H378)*(($G$4:$G$503&gt;$G378)+($G$4:$G$503=$G378)*($F$4:$F$503&gt;$F378)))=0,"Yes","No"))</f>
        <v/>
      </c>
      <c r="F378" s="47" t="str">
        <f aca="false">IF('Survey Response'!$D376="","",INT('Survey Response'!$A376))</f>
        <v/>
      </c>
      <c r="G378" s="46" t="str">
        <f aca="false">IF('Survey Response'!$D376="","",'Survey Response'!$C376)</f>
        <v/>
      </c>
      <c r="H378" s="46" t="str">
        <f aca="false">IF('Survey Response'!$D376="","",LOWER(TRIM('Survey Response'!$D376)))</f>
        <v/>
      </c>
      <c r="I378" s="46" t="str">
        <f aca="false">IF($H378="","",'Survey Response'!$I376)</f>
        <v/>
      </c>
      <c r="J378" s="46" t="str">
        <f aca="false">IF($H378="","",'Survey Response'!$K376)</f>
        <v/>
      </c>
      <c r="K378" s="46" t="str">
        <f aca="false">IF($J378="","",IF(COUNTIF('Skill Mapping'!$A$2:$A$7,TRIM($J378))=0,"",INDEX('Skill Mapping'!$B$2:$B$7,MATCH(TRIM($J378),'Skill Mapping'!$A$2:$A$7,0))))</f>
        <v/>
      </c>
      <c r="L378" s="46" t="str">
        <f aca="false">IF($H378="","",'Survey Response'!$L376)</f>
        <v/>
      </c>
      <c r="M378" s="46" t="str">
        <f aca="false">IF($L378="","",IF(COUNTIF('Skill Mapping'!$A$2:$A$7,TRIM($L378))=0,"",INDEX('Skill Mapping'!$B$2:$B$7,MATCH(TRIM($L378),'Skill Mapping'!$A$2:$A$7,0))))</f>
        <v/>
      </c>
      <c r="N378" s="46" t="str">
        <f aca="false">IF($H378="","",'Survey Response'!$M376)</f>
        <v/>
      </c>
      <c r="O378" s="46" t="str">
        <f aca="false">IF($H378="","",IF('Survey Response'!$M376="Manager","R2","R1"))</f>
        <v/>
      </c>
      <c r="P378" s="46" t="str">
        <f aca="false">IF($K378="","No",IF(COUNTIFS(MasterPanel!$B:$B,$H378,MasterPanel!$I:$I,$K378,MasterPanel!$K:$K,"Y")&gt;0,"Yes","No"))</f>
        <v>No</v>
      </c>
      <c r="Q378" s="46" t="n">
        <f aca="false">IF($K378="",0,IF(COUNTIF('Gap Sheet'!$A$6:$A$11,TRIM($J378))=0,0,IF($O378="R1",INDEX('Gap Sheet'!$C$6:$C$11,MATCH(TRIM($J378),'Gap Sheet'!$A$6:$A$11,0)),INDEX('Gap Sheet'!$G$6:$G$11,MATCH(TRIM($J378),'Gap Sheet'!$A$6:$A$11,0)))))</f>
        <v>0</v>
      </c>
      <c r="R378" s="46" t="str">
        <f aca="false">IF($K378="","",$K378&amp;"|"&amp;$O378)</f>
        <v/>
      </c>
      <c r="S378" s="46" t="n">
        <f aca="false">IF($R378="",0,COUNTIF($AA$4:$AA377,$R378))</f>
        <v>0</v>
      </c>
      <c r="T378" s="46" t="str">
        <f aca="false">IF(OR($I378&lt;&gt;"Yes, I'm available for in-person interviews at Chennai",$E378&lt;&gt;"Yes",$P378&lt;&gt;"Yes"),"No",IF(($Q378-$S378)&gt;0,"Yes","No"))</f>
        <v>No</v>
      </c>
      <c r="U378" s="46" t="str">
        <f aca="false">IF($M378="","No",IF(COUNTIFS(MasterPanel!$B:$B,$H378,MasterPanel!$I:$I,$M378,MasterPanel!$K:$K,"Y")&gt;0,"Yes","No"))</f>
        <v>No</v>
      </c>
      <c r="V378" s="46" t="n">
        <f aca="false">IF($M378="",0,IF(COUNTIF('Gap Sheet'!$A$6:$A$11,TRIM($L378))=0,0,IF($O378="R1",INDEX('Gap Sheet'!$C$6:$C$11,MATCH(TRIM($L378),'Gap Sheet'!$A$6:$A$11,0)),INDEX('Gap Sheet'!$G$6:$G$11,MATCH(TRIM($L378),'Gap Sheet'!$A$6:$A$11,0)))))</f>
        <v>0</v>
      </c>
      <c r="W378" s="46" t="str">
        <f aca="false">IF($M378="","",$M378&amp;"|"&amp;$O378)</f>
        <v/>
      </c>
      <c r="X378" s="46" t="n">
        <f aca="false">IF($W378="",0,COUNTIF($AA$4:$AA377,$W378))</f>
        <v>0</v>
      </c>
      <c r="Y378" s="46" t="str">
        <f aca="false">IF(OR($I378&lt;&gt;"Yes, I'm available for in-person interviews at Chennai",$E378&lt;&gt;"Yes",$T378="Yes",$U378&lt;&gt;"Yes"),"No",IF(($V378-$X378)&gt;0,"Yes","No"))</f>
        <v>No</v>
      </c>
      <c r="Z378" s="46" t="str">
        <f aca="false">IF($T378="Yes","Primary",IF($Y378="Yes","Secondary",""))</f>
        <v/>
      </c>
      <c r="AA378" s="46" t="str">
        <f aca="false">IF($Z378="Primary",$R378,IF($Z378="Secondary",$W378,""))</f>
        <v/>
      </c>
      <c r="AB378" s="46" t="str">
        <f aca="false">IF($Z378="Primary","Matched on primary skill",IF($Z378="Secondary","Matched on secondary skill (primary not approved or not required)",""))</f>
        <v/>
      </c>
      <c r="AC378" s="47" t="str">
        <f aca="false">IF($D378="Panel Details",$F378,"")</f>
        <v/>
      </c>
      <c r="AD378" s="46" t="str">
        <f aca="false">IF($D378="Panel Details",'Survey Response'!$D376,"")</f>
        <v/>
      </c>
      <c r="AE378" s="46" t="str">
        <f aca="false">IF($D378="Panel Details",'Survey Response'!$E376,"")</f>
        <v/>
      </c>
      <c r="AF378" s="46" t="str">
        <f aca="false">IF($D378="Panel Details",'Survey Response'!$G376,"")</f>
        <v/>
      </c>
      <c r="AG378" s="46" t="str">
        <f aca="false">IF($D378="Panel Details",IF($Z378="Primary",$J378,$L378),"")</f>
        <v/>
      </c>
      <c r="AH378" s="46" t="str">
        <f aca="false">IF($D378="Panel Details",IF($Z378="Primary",$L378,$J378),"")</f>
        <v/>
      </c>
      <c r="AI378" s="46" t="str">
        <f aca="false">IF($D378="Panel Details",'Survey Response'!$H376,"")</f>
        <v/>
      </c>
      <c r="AJ378" s="46" t="str">
        <f aca="false">IF($D378="Panel Details",'Survey Response'!$M376,"")</f>
        <v/>
      </c>
      <c r="AK378" s="46" t="str">
        <f aca="false">IF($D378="Panel Details",$O378,"")</f>
        <v/>
      </c>
      <c r="AL378" s="46" t="str">
        <f aca="false">IF($D378="Panel Details",8,"")</f>
        <v/>
      </c>
      <c r="AM378" s="46" t="str">
        <f aca="false">IF($D378="Panel Details",$AB378,"")</f>
        <v/>
      </c>
      <c r="AN378" s="46" t="str">
        <f aca="false">IF($D378="Panel Details","Yes","")</f>
        <v/>
      </c>
      <c r="AO378" s="46"/>
      <c r="AP378" s="46" t="str">
        <f aca="false">IF($D378="Followup",'Survey Response'!$D376,"")</f>
        <v/>
      </c>
      <c r="AQ378" s="46" t="str">
        <f aca="false">IF($D378="Followup",'Survey Response'!$E376,"")</f>
        <v/>
      </c>
      <c r="AR378" s="46" t="str">
        <f aca="false">IF($D378="Followup",'Survey Response'!$G376,"")</f>
        <v/>
      </c>
      <c r="AS378" s="46" t="str">
        <f aca="false">IF($D378="Followup",'Survey Response'!$H376,"")</f>
        <v/>
      </c>
      <c r="AT378" s="46" t="str">
        <f aca="false">IF($D378="Followup",'Survey Response'!$M376,"")</f>
        <v/>
      </c>
      <c r="AU378" s="46" t="str">
        <f aca="false">IF($D378="Followup",'Survey Response'!$K376,"")</f>
        <v/>
      </c>
      <c r="AV378" s="46" t="str">
        <f aca="false">IF($D378="Followup",'Survey Response'!$L376,"")</f>
        <v/>
      </c>
      <c r="AW378" s="46" t="str">
        <f aca="false">IF($D378="Followup",IF(AND($P378&lt;&gt;"Yes",$U378&lt;&gt;"Yes"),"Not approved for primary or secondary skill","Approved, but skill(s) no longer have capacity (fully staffed)"),"")</f>
        <v/>
      </c>
    </row>
    <row r="379" customFormat="false" ht="15" hidden="false" customHeight="true" outlineLevel="0" collapsed="false">
      <c r="A379" s="46" t="str">
        <f aca="false">IF('Survey Response'!$D377="","",'Survey Response'!$A377&amp;"|"&amp;LOWER(TRIM('Survey Response'!$D377)))</f>
        <v/>
      </c>
      <c r="B379" s="46" t="str">
        <f aca="false">IF($H379="","",$F379&amp;"|"&amp;$H379)</f>
        <v/>
      </c>
      <c r="C379" s="46" t="str">
        <f aca="false">IF($H379="","",$A379=$B379)</f>
        <v/>
      </c>
      <c r="D379" s="46" t="str">
        <f aca="false">IF($H379="","",IF($E379&lt;&gt;"Yes","Superseded",IF($I379&lt;&gt;"Yes, I'm available for in-person interviews at Chennai","Not Available",IF($Z379&lt;&gt;"","Panel Details","Followup"))))</f>
        <v/>
      </c>
      <c r="E379" s="46" t="str">
        <f aca="false">IF($H379="","",IF(SUMPRODUCT(($H$4:$H$503=$H379)*(($G$4:$G$503&gt;$G379)+($G$4:$G$503=$G379)*($F$4:$F$503&gt;$F379)))=0,"Yes","No"))</f>
        <v/>
      </c>
      <c r="F379" s="47" t="str">
        <f aca="false">IF('Survey Response'!$D377="","",INT('Survey Response'!$A377))</f>
        <v/>
      </c>
      <c r="G379" s="46" t="str">
        <f aca="false">IF('Survey Response'!$D377="","",'Survey Response'!$C377)</f>
        <v/>
      </c>
      <c r="H379" s="46" t="str">
        <f aca="false">IF('Survey Response'!$D377="","",LOWER(TRIM('Survey Response'!$D377)))</f>
        <v/>
      </c>
      <c r="I379" s="46" t="str">
        <f aca="false">IF($H379="","",'Survey Response'!$I377)</f>
        <v/>
      </c>
      <c r="J379" s="46" t="str">
        <f aca="false">IF($H379="","",'Survey Response'!$K377)</f>
        <v/>
      </c>
      <c r="K379" s="46" t="str">
        <f aca="false">IF($J379="","",IF(COUNTIF('Skill Mapping'!$A$2:$A$7,TRIM($J379))=0,"",INDEX('Skill Mapping'!$B$2:$B$7,MATCH(TRIM($J379),'Skill Mapping'!$A$2:$A$7,0))))</f>
        <v/>
      </c>
      <c r="L379" s="46" t="str">
        <f aca="false">IF($H379="","",'Survey Response'!$L377)</f>
        <v/>
      </c>
      <c r="M379" s="46" t="str">
        <f aca="false">IF($L379="","",IF(COUNTIF('Skill Mapping'!$A$2:$A$7,TRIM($L379))=0,"",INDEX('Skill Mapping'!$B$2:$B$7,MATCH(TRIM($L379),'Skill Mapping'!$A$2:$A$7,0))))</f>
        <v/>
      </c>
      <c r="N379" s="46" t="str">
        <f aca="false">IF($H379="","",'Survey Response'!$M377)</f>
        <v/>
      </c>
      <c r="O379" s="46" t="str">
        <f aca="false">IF($H379="","",IF('Survey Response'!$M377="Manager","R2","R1"))</f>
        <v/>
      </c>
      <c r="P379" s="46" t="str">
        <f aca="false">IF($K379="","No",IF(COUNTIFS(MasterPanel!$B:$B,$H379,MasterPanel!$I:$I,$K379,MasterPanel!$K:$K,"Y")&gt;0,"Yes","No"))</f>
        <v>No</v>
      </c>
      <c r="Q379" s="46" t="n">
        <f aca="false">IF($K379="",0,IF(COUNTIF('Gap Sheet'!$A$6:$A$11,TRIM($J379))=0,0,IF($O379="R1",INDEX('Gap Sheet'!$C$6:$C$11,MATCH(TRIM($J379),'Gap Sheet'!$A$6:$A$11,0)),INDEX('Gap Sheet'!$G$6:$G$11,MATCH(TRIM($J379),'Gap Sheet'!$A$6:$A$11,0)))))</f>
        <v>0</v>
      </c>
      <c r="R379" s="46" t="str">
        <f aca="false">IF($K379="","",$K379&amp;"|"&amp;$O379)</f>
        <v/>
      </c>
      <c r="S379" s="46" t="n">
        <f aca="false">IF($R379="",0,COUNTIF($AA$4:$AA378,$R379))</f>
        <v>0</v>
      </c>
      <c r="T379" s="46" t="str">
        <f aca="false">IF(OR($I379&lt;&gt;"Yes, I'm available for in-person interviews at Chennai",$E379&lt;&gt;"Yes",$P379&lt;&gt;"Yes"),"No",IF(($Q379-$S379)&gt;0,"Yes","No"))</f>
        <v>No</v>
      </c>
      <c r="U379" s="46" t="str">
        <f aca="false">IF($M379="","No",IF(COUNTIFS(MasterPanel!$B:$B,$H379,MasterPanel!$I:$I,$M379,MasterPanel!$K:$K,"Y")&gt;0,"Yes","No"))</f>
        <v>No</v>
      </c>
      <c r="V379" s="46" t="n">
        <f aca="false">IF($M379="",0,IF(COUNTIF('Gap Sheet'!$A$6:$A$11,TRIM($L379))=0,0,IF($O379="R1",INDEX('Gap Sheet'!$C$6:$C$11,MATCH(TRIM($L379),'Gap Sheet'!$A$6:$A$11,0)),INDEX('Gap Sheet'!$G$6:$G$11,MATCH(TRIM($L379),'Gap Sheet'!$A$6:$A$11,0)))))</f>
        <v>0</v>
      </c>
      <c r="W379" s="46" t="str">
        <f aca="false">IF($M379="","",$M379&amp;"|"&amp;$O379)</f>
        <v/>
      </c>
      <c r="X379" s="46" t="n">
        <f aca="false">IF($W379="",0,COUNTIF($AA$4:$AA378,$W379))</f>
        <v>0</v>
      </c>
      <c r="Y379" s="46" t="str">
        <f aca="false">IF(OR($I379&lt;&gt;"Yes, I'm available for in-person interviews at Chennai",$E379&lt;&gt;"Yes",$T379="Yes",$U379&lt;&gt;"Yes"),"No",IF(($V379-$X379)&gt;0,"Yes","No"))</f>
        <v>No</v>
      </c>
      <c r="Z379" s="46" t="str">
        <f aca="false">IF($T379="Yes","Primary",IF($Y379="Yes","Secondary",""))</f>
        <v/>
      </c>
      <c r="AA379" s="46" t="str">
        <f aca="false">IF($Z379="Primary",$R379,IF($Z379="Secondary",$W379,""))</f>
        <v/>
      </c>
      <c r="AB379" s="46" t="str">
        <f aca="false">IF($Z379="Primary","Matched on primary skill",IF($Z379="Secondary","Matched on secondary skill (primary not approved or not required)",""))</f>
        <v/>
      </c>
      <c r="AC379" s="47" t="str">
        <f aca="false">IF($D379="Panel Details",$F379,"")</f>
        <v/>
      </c>
      <c r="AD379" s="46" t="str">
        <f aca="false">IF($D379="Panel Details",'Survey Response'!$D377,"")</f>
        <v/>
      </c>
      <c r="AE379" s="46" t="str">
        <f aca="false">IF($D379="Panel Details",'Survey Response'!$E377,"")</f>
        <v/>
      </c>
      <c r="AF379" s="46" t="str">
        <f aca="false">IF($D379="Panel Details",'Survey Response'!$G377,"")</f>
        <v/>
      </c>
      <c r="AG379" s="46" t="str">
        <f aca="false">IF($D379="Panel Details",IF($Z379="Primary",$J379,$L379),"")</f>
        <v/>
      </c>
      <c r="AH379" s="46" t="str">
        <f aca="false">IF($D379="Panel Details",IF($Z379="Primary",$L379,$J379),"")</f>
        <v/>
      </c>
      <c r="AI379" s="46" t="str">
        <f aca="false">IF($D379="Panel Details",'Survey Response'!$H377,"")</f>
        <v/>
      </c>
      <c r="AJ379" s="46" t="str">
        <f aca="false">IF($D379="Panel Details",'Survey Response'!$M377,"")</f>
        <v/>
      </c>
      <c r="AK379" s="46" t="str">
        <f aca="false">IF($D379="Panel Details",$O379,"")</f>
        <v/>
      </c>
      <c r="AL379" s="46" t="str">
        <f aca="false">IF($D379="Panel Details",8,"")</f>
        <v/>
      </c>
      <c r="AM379" s="46" t="str">
        <f aca="false">IF($D379="Panel Details",$AB379,"")</f>
        <v/>
      </c>
      <c r="AN379" s="46" t="str">
        <f aca="false">IF($D379="Panel Details","Yes","")</f>
        <v/>
      </c>
      <c r="AO379" s="46"/>
      <c r="AP379" s="46" t="str">
        <f aca="false">IF($D379="Followup",'Survey Response'!$D377,"")</f>
        <v/>
      </c>
      <c r="AQ379" s="46" t="str">
        <f aca="false">IF($D379="Followup",'Survey Response'!$E377,"")</f>
        <v/>
      </c>
      <c r="AR379" s="46" t="str">
        <f aca="false">IF($D379="Followup",'Survey Response'!$G377,"")</f>
        <v/>
      </c>
      <c r="AS379" s="46" t="str">
        <f aca="false">IF($D379="Followup",'Survey Response'!$H377,"")</f>
        <v/>
      </c>
      <c r="AT379" s="46" t="str">
        <f aca="false">IF($D379="Followup",'Survey Response'!$M377,"")</f>
        <v/>
      </c>
      <c r="AU379" s="46" t="str">
        <f aca="false">IF($D379="Followup",'Survey Response'!$K377,"")</f>
        <v/>
      </c>
      <c r="AV379" s="46" t="str">
        <f aca="false">IF($D379="Followup",'Survey Response'!$L377,"")</f>
        <v/>
      </c>
      <c r="AW379" s="46" t="str">
        <f aca="false">IF($D379="Followup",IF(AND($P379&lt;&gt;"Yes",$U379&lt;&gt;"Yes"),"Not approved for primary or secondary skill","Approved, but skill(s) no longer have capacity (fully staffed)"),"")</f>
        <v/>
      </c>
    </row>
    <row r="380" customFormat="false" ht="15" hidden="false" customHeight="true" outlineLevel="0" collapsed="false">
      <c r="A380" s="46" t="str">
        <f aca="false">IF('Survey Response'!$D378="","",'Survey Response'!$A378&amp;"|"&amp;LOWER(TRIM('Survey Response'!$D378)))</f>
        <v/>
      </c>
      <c r="B380" s="46" t="str">
        <f aca="false">IF($H380="","",$F380&amp;"|"&amp;$H380)</f>
        <v/>
      </c>
      <c r="C380" s="46" t="str">
        <f aca="false">IF($H380="","",$A380=$B380)</f>
        <v/>
      </c>
      <c r="D380" s="46" t="str">
        <f aca="false">IF($H380="","",IF($E380&lt;&gt;"Yes","Superseded",IF($I380&lt;&gt;"Yes, I'm available for in-person interviews at Chennai","Not Available",IF($Z380&lt;&gt;"","Panel Details","Followup"))))</f>
        <v/>
      </c>
      <c r="E380" s="46" t="str">
        <f aca="false">IF($H380="","",IF(SUMPRODUCT(($H$4:$H$503=$H380)*(($G$4:$G$503&gt;$G380)+($G$4:$G$503=$G380)*($F$4:$F$503&gt;$F380)))=0,"Yes","No"))</f>
        <v/>
      </c>
      <c r="F380" s="47" t="str">
        <f aca="false">IF('Survey Response'!$D378="","",INT('Survey Response'!$A378))</f>
        <v/>
      </c>
      <c r="G380" s="46" t="str">
        <f aca="false">IF('Survey Response'!$D378="","",'Survey Response'!$C378)</f>
        <v/>
      </c>
      <c r="H380" s="46" t="str">
        <f aca="false">IF('Survey Response'!$D378="","",LOWER(TRIM('Survey Response'!$D378)))</f>
        <v/>
      </c>
      <c r="I380" s="46" t="str">
        <f aca="false">IF($H380="","",'Survey Response'!$I378)</f>
        <v/>
      </c>
      <c r="J380" s="46" t="str">
        <f aca="false">IF($H380="","",'Survey Response'!$K378)</f>
        <v/>
      </c>
      <c r="K380" s="46" t="str">
        <f aca="false">IF($J380="","",IF(COUNTIF('Skill Mapping'!$A$2:$A$7,TRIM($J380))=0,"",INDEX('Skill Mapping'!$B$2:$B$7,MATCH(TRIM($J380),'Skill Mapping'!$A$2:$A$7,0))))</f>
        <v/>
      </c>
      <c r="L380" s="46" t="str">
        <f aca="false">IF($H380="","",'Survey Response'!$L378)</f>
        <v/>
      </c>
      <c r="M380" s="46" t="str">
        <f aca="false">IF($L380="","",IF(COUNTIF('Skill Mapping'!$A$2:$A$7,TRIM($L380))=0,"",INDEX('Skill Mapping'!$B$2:$B$7,MATCH(TRIM($L380),'Skill Mapping'!$A$2:$A$7,0))))</f>
        <v/>
      </c>
      <c r="N380" s="46" t="str">
        <f aca="false">IF($H380="","",'Survey Response'!$M378)</f>
        <v/>
      </c>
      <c r="O380" s="46" t="str">
        <f aca="false">IF($H380="","",IF('Survey Response'!$M378="Manager","R2","R1"))</f>
        <v/>
      </c>
      <c r="P380" s="46" t="str">
        <f aca="false">IF($K380="","No",IF(COUNTIFS(MasterPanel!$B:$B,$H380,MasterPanel!$I:$I,$K380,MasterPanel!$K:$K,"Y")&gt;0,"Yes","No"))</f>
        <v>No</v>
      </c>
      <c r="Q380" s="46" t="n">
        <f aca="false">IF($K380="",0,IF(COUNTIF('Gap Sheet'!$A$6:$A$11,TRIM($J380))=0,0,IF($O380="R1",INDEX('Gap Sheet'!$C$6:$C$11,MATCH(TRIM($J380),'Gap Sheet'!$A$6:$A$11,0)),INDEX('Gap Sheet'!$G$6:$G$11,MATCH(TRIM($J380),'Gap Sheet'!$A$6:$A$11,0)))))</f>
        <v>0</v>
      </c>
      <c r="R380" s="46" t="str">
        <f aca="false">IF($K380="","",$K380&amp;"|"&amp;$O380)</f>
        <v/>
      </c>
      <c r="S380" s="46" t="n">
        <f aca="false">IF($R380="",0,COUNTIF($AA$4:$AA379,$R380))</f>
        <v>0</v>
      </c>
      <c r="T380" s="46" t="str">
        <f aca="false">IF(OR($I380&lt;&gt;"Yes, I'm available for in-person interviews at Chennai",$E380&lt;&gt;"Yes",$P380&lt;&gt;"Yes"),"No",IF(($Q380-$S380)&gt;0,"Yes","No"))</f>
        <v>No</v>
      </c>
      <c r="U380" s="46" t="str">
        <f aca="false">IF($M380="","No",IF(COUNTIFS(MasterPanel!$B:$B,$H380,MasterPanel!$I:$I,$M380,MasterPanel!$K:$K,"Y")&gt;0,"Yes","No"))</f>
        <v>No</v>
      </c>
      <c r="V380" s="46" t="n">
        <f aca="false">IF($M380="",0,IF(COUNTIF('Gap Sheet'!$A$6:$A$11,TRIM($L380))=0,0,IF($O380="R1",INDEX('Gap Sheet'!$C$6:$C$11,MATCH(TRIM($L380),'Gap Sheet'!$A$6:$A$11,0)),INDEX('Gap Sheet'!$G$6:$G$11,MATCH(TRIM($L380),'Gap Sheet'!$A$6:$A$11,0)))))</f>
        <v>0</v>
      </c>
      <c r="W380" s="46" t="str">
        <f aca="false">IF($M380="","",$M380&amp;"|"&amp;$O380)</f>
        <v/>
      </c>
      <c r="X380" s="46" t="n">
        <f aca="false">IF($W380="",0,COUNTIF($AA$4:$AA379,$W380))</f>
        <v>0</v>
      </c>
      <c r="Y380" s="46" t="str">
        <f aca="false">IF(OR($I380&lt;&gt;"Yes, I'm available for in-person interviews at Chennai",$E380&lt;&gt;"Yes",$T380="Yes",$U380&lt;&gt;"Yes"),"No",IF(($V380-$X380)&gt;0,"Yes","No"))</f>
        <v>No</v>
      </c>
      <c r="Z380" s="46" t="str">
        <f aca="false">IF($T380="Yes","Primary",IF($Y380="Yes","Secondary",""))</f>
        <v/>
      </c>
      <c r="AA380" s="46" t="str">
        <f aca="false">IF($Z380="Primary",$R380,IF($Z380="Secondary",$W380,""))</f>
        <v/>
      </c>
      <c r="AB380" s="46" t="str">
        <f aca="false">IF($Z380="Primary","Matched on primary skill",IF($Z380="Secondary","Matched on secondary skill (primary not approved or not required)",""))</f>
        <v/>
      </c>
      <c r="AC380" s="47" t="str">
        <f aca="false">IF($D380="Panel Details",$F380,"")</f>
        <v/>
      </c>
      <c r="AD380" s="46" t="str">
        <f aca="false">IF($D380="Panel Details",'Survey Response'!$D378,"")</f>
        <v/>
      </c>
      <c r="AE380" s="46" t="str">
        <f aca="false">IF($D380="Panel Details",'Survey Response'!$E378,"")</f>
        <v/>
      </c>
      <c r="AF380" s="46" t="str">
        <f aca="false">IF($D380="Panel Details",'Survey Response'!$G378,"")</f>
        <v/>
      </c>
      <c r="AG380" s="46" t="str">
        <f aca="false">IF($D380="Panel Details",IF($Z380="Primary",$J380,$L380),"")</f>
        <v/>
      </c>
      <c r="AH380" s="46" t="str">
        <f aca="false">IF($D380="Panel Details",IF($Z380="Primary",$L380,$J380),"")</f>
        <v/>
      </c>
      <c r="AI380" s="46" t="str">
        <f aca="false">IF($D380="Panel Details",'Survey Response'!$H378,"")</f>
        <v/>
      </c>
      <c r="AJ380" s="46" t="str">
        <f aca="false">IF($D380="Panel Details",'Survey Response'!$M378,"")</f>
        <v/>
      </c>
      <c r="AK380" s="46" t="str">
        <f aca="false">IF($D380="Panel Details",$O380,"")</f>
        <v/>
      </c>
      <c r="AL380" s="46" t="str">
        <f aca="false">IF($D380="Panel Details",8,"")</f>
        <v/>
      </c>
      <c r="AM380" s="46" t="str">
        <f aca="false">IF($D380="Panel Details",$AB380,"")</f>
        <v/>
      </c>
      <c r="AN380" s="46" t="str">
        <f aca="false">IF($D380="Panel Details","Yes","")</f>
        <v/>
      </c>
      <c r="AO380" s="46"/>
      <c r="AP380" s="46" t="str">
        <f aca="false">IF($D380="Followup",'Survey Response'!$D378,"")</f>
        <v/>
      </c>
      <c r="AQ380" s="46" t="str">
        <f aca="false">IF($D380="Followup",'Survey Response'!$E378,"")</f>
        <v/>
      </c>
      <c r="AR380" s="46" t="str">
        <f aca="false">IF($D380="Followup",'Survey Response'!$G378,"")</f>
        <v/>
      </c>
      <c r="AS380" s="46" t="str">
        <f aca="false">IF($D380="Followup",'Survey Response'!$H378,"")</f>
        <v/>
      </c>
      <c r="AT380" s="46" t="str">
        <f aca="false">IF($D380="Followup",'Survey Response'!$M378,"")</f>
        <v/>
      </c>
      <c r="AU380" s="46" t="str">
        <f aca="false">IF($D380="Followup",'Survey Response'!$K378,"")</f>
        <v/>
      </c>
      <c r="AV380" s="46" t="str">
        <f aca="false">IF($D380="Followup",'Survey Response'!$L378,"")</f>
        <v/>
      </c>
      <c r="AW380" s="46" t="str">
        <f aca="false">IF($D380="Followup",IF(AND($P380&lt;&gt;"Yes",$U380&lt;&gt;"Yes"),"Not approved for primary or secondary skill","Approved, but skill(s) no longer have capacity (fully staffed)"),"")</f>
        <v/>
      </c>
    </row>
    <row r="381" customFormat="false" ht="15" hidden="false" customHeight="true" outlineLevel="0" collapsed="false">
      <c r="A381" s="46" t="str">
        <f aca="false">IF('Survey Response'!$D379="","",'Survey Response'!$A379&amp;"|"&amp;LOWER(TRIM('Survey Response'!$D379)))</f>
        <v/>
      </c>
      <c r="B381" s="46" t="str">
        <f aca="false">IF($H381="","",$F381&amp;"|"&amp;$H381)</f>
        <v/>
      </c>
      <c r="C381" s="46" t="str">
        <f aca="false">IF($H381="","",$A381=$B381)</f>
        <v/>
      </c>
      <c r="D381" s="46" t="str">
        <f aca="false">IF($H381="","",IF($E381&lt;&gt;"Yes","Superseded",IF($I381&lt;&gt;"Yes, I'm available for in-person interviews at Chennai","Not Available",IF($Z381&lt;&gt;"","Panel Details","Followup"))))</f>
        <v/>
      </c>
      <c r="E381" s="46" t="str">
        <f aca="false">IF($H381="","",IF(SUMPRODUCT(($H$4:$H$503=$H381)*(($G$4:$G$503&gt;$G381)+($G$4:$G$503=$G381)*($F$4:$F$503&gt;$F381)))=0,"Yes","No"))</f>
        <v/>
      </c>
      <c r="F381" s="47" t="str">
        <f aca="false">IF('Survey Response'!$D379="","",INT('Survey Response'!$A379))</f>
        <v/>
      </c>
      <c r="G381" s="46" t="str">
        <f aca="false">IF('Survey Response'!$D379="","",'Survey Response'!$C379)</f>
        <v/>
      </c>
      <c r="H381" s="46" t="str">
        <f aca="false">IF('Survey Response'!$D379="","",LOWER(TRIM('Survey Response'!$D379)))</f>
        <v/>
      </c>
      <c r="I381" s="46" t="str">
        <f aca="false">IF($H381="","",'Survey Response'!$I379)</f>
        <v/>
      </c>
      <c r="J381" s="46" t="str">
        <f aca="false">IF($H381="","",'Survey Response'!$K379)</f>
        <v/>
      </c>
      <c r="K381" s="46" t="str">
        <f aca="false">IF($J381="","",IF(COUNTIF('Skill Mapping'!$A$2:$A$7,TRIM($J381))=0,"",INDEX('Skill Mapping'!$B$2:$B$7,MATCH(TRIM($J381),'Skill Mapping'!$A$2:$A$7,0))))</f>
        <v/>
      </c>
      <c r="L381" s="46" t="str">
        <f aca="false">IF($H381="","",'Survey Response'!$L379)</f>
        <v/>
      </c>
      <c r="M381" s="46" t="str">
        <f aca="false">IF($L381="","",IF(COUNTIF('Skill Mapping'!$A$2:$A$7,TRIM($L381))=0,"",INDEX('Skill Mapping'!$B$2:$B$7,MATCH(TRIM($L381),'Skill Mapping'!$A$2:$A$7,0))))</f>
        <v/>
      </c>
      <c r="N381" s="46" t="str">
        <f aca="false">IF($H381="","",'Survey Response'!$M379)</f>
        <v/>
      </c>
      <c r="O381" s="46" t="str">
        <f aca="false">IF($H381="","",IF('Survey Response'!$M379="Manager","R2","R1"))</f>
        <v/>
      </c>
      <c r="P381" s="46" t="str">
        <f aca="false">IF($K381="","No",IF(COUNTIFS(MasterPanel!$B:$B,$H381,MasterPanel!$I:$I,$K381,MasterPanel!$K:$K,"Y")&gt;0,"Yes","No"))</f>
        <v>No</v>
      </c>
      <c r="Q381" s="46" t="n">
        <f aca="false">IF($K381="",0,IF(COUNTIF('Gap Sheet'!$A$6:$A$11,TRIM($J381))=0,0,IF($O381="R1",INDEX('Gap Sheet'!$C$6:$C$11,MATCH(TRIM($J381),'Gap Sheet'!$A$6:$A$11,0)),INDEX('Gap Sheet'!$G$6:$G$11,MATCH(TRIM($J381),'Gap Sheet'!$A$6:$A$11,0)))))</f>
        <v>0</v>
      </c>
      <c r="R381" s="46" t="str">
        <f aca="false">IF($K381="","",$K381&amp;"|"&amp;$O381)</f>
        <v/>
      </c>
      <c r="S381" s="46" t="n">
        <f aca="false">IF($R381="",0,COUNTIF($AA$4:$AA380,$R381))</f>
        <v>0</v>
      </c>
      <c r="T381" s="46" t="str">
        <f aca="false">IF(OR($I381&lt;&gt;"Yes, I'm available for in-person interviews at Chennai",$E381&lt;&gt;"Yes",$P381&lt;&gt;"Yes"),"No",IF(($Q381-$S381)&gt;0,"Yes","No"))</f>
        <v>No</v>
      </c>
      <c r="U381" s="46" t="str">
        <f aca="false">IF($M381="","No",IF(COUNTIFS(MasterPanel!$B:$B,$H381,MasterPanel!$I:$I,$M381,MasterPanel!$K:$K,"Y")&gt;0,"Yes","No"))</f>
        <v>No</v>
      </c>
      <c r="V381" s="46" t="n">
        <f aca="false">IF($M381="",0,IF(COUNTIF('Gap Sheet'!$A$6:$A$11,TRIM($L381))=0,0,IF($O381="R1",INDEX('Gap Sheet'!$C$6:$C$11,MATCH(TRIM($L381),'Gap Sheet'!$A$6:$A$11,0)),INDEX('Gap Sheet'!$G$6:$G$11,MATCH(TRIM($L381),'Gap Sheet'!$A$6:$A$11,0)))))</f>
        <v>0</v>
      </c>
      <c r="W381" s="46" t="str">
        <f aca="false">IF($M381="","",$M381&amp;"|"&amp;$O381)</f>
        <v/>
      </c>
      <c r="X381" s="46" t="n">
        <f aca="false">IF($W381="",0,COUNTIF($AA$4:$AA380,$W381))</f>
        <v>0</v>
      </c>
      <c r="Y381" s="46" t="str">
        <f aca="false">IF(OR($I381&lt;&gt;"Yes, I'm available for in-person interviews at Chennai",$E381&lt;&gt;"Yes",$T381="Yes",$U381&lt;&gt;"Yes"),"No",IF(($V381-$X381)&gt;0,"Yes","No"))</f>
        <v>No</v>
      </c>
      <c r="Z381" s="46" t="str">
        <f aca="false">IF($T381="Yes","Primary",IF($Y381="Yes","Secondary",""))</f>
        <v/>
      </c>
      <c r="AA381" s="46" t="str">
        <f aca="false">IF($Z381="Primary",$R381,IF($Z381="Secondary",$W381,""))</f>
        <v/>
      </c>
      <c r="AB381" s="46" t="str">
        <f aca="false">IF($Z381="Primary","Matched on primary skill",IF($Z381="Secondary","Matched on secondary skill (primary not approved or not required)",""))</f>
        <v/>
      </c>
      <c r="AC381" s="47" t="str">
        <f aca="false">IF($D381="Panel Details",$F381,"")</f>
        <v/>
      </c>
      <c r="AD381" s="46" t="str">
        <f aca="false">IF($D381="Panel Details",'Survey Response'!$D379,"")</f>
        <v/>
      </c>
      <c r="AE381" s="46" t="str">
        <f aca="false">IF($D381="Panel Details",'Survey Response'!$E379,"")</f>
        <v/>
      </c>
      <c r="AF381" s="46" t="str">
        <f aca="false">IF($D381="Panel Details",'Survey Response'!$G379,"")</f>
        <v/>
      </c>
      <c r="AG381" s="46" t="str">
        <f aca="false">IF($D381="Panel Details",IF($Z381="Primary",$J381,$L381),"")</f>
        <v/>
      </c>
      <c r="AH381" s="46" t="str">
        <f aca="false">IF($D381="Panel Details",IF($Z381="Primary",$L381,$J381),"")</f>
        <v/>
      </c>
      <c r="AI381" s="46" t="str">
        <f aca="false">IF($D381="Panel Details",'Survey Response'!$H379,"")</f>
        <v/>
      </c>
      <c r="AJ381" s="46" t="str">
        <f aca="false">IF($D381="Panel Details",'Survey Response'!$M379,"")</f>
        <v/>
      </c>
      <c r="AK381" s="46" t="str">
        <f aca="false">IF($D381="Panel Details",$O381,"")</f>
        <v/>
      </c>
      <c r="AL381" s="46" t="str">
        <f aca="false">IF($D381="Panel Details",8,"")</f>
        <v/>
      </c>
      <c r="AM381" s="46" t="str">
        <f aca="false">IF($D381="Panel Details",$AB381,"")</f>
        <v/>
      </c>
      <c r="AN381" s="46" t="str">
        <f aca="false">IF($D381="Panel Details","Yes","")</f>
        <v/>
      </c>
      <c r="AO381" s="46"/>
      <c r="AP381" s="46" t="str">
        <f aca="false">IF($D381="Followup",'Survey Response'!$D379,"")</f>
        <v/>
      </c>
      <c r="AQ381" s="46" t="str">
        <f aca="false">IF($D381="Followup",'Survey Response'!$E379,"")</f>
        <v/>
      </c>
      <c r="AR381" s="46" t="str">
        <f aca="false">IF($D381="Followup",'Survey Response'!$G379,"")</f>
        <v/>
      </c>
      <c r="AS381" s="46" t="str">
        <f aca="false">IF($D381="Followup",'Survey Response'!$H379,"")</f>
        <v/>
      </c>
      <c r="AT381" s="46" t="str">
        <f aca="false">IF($D381="Followup",'Survey Response'!$M379,"")</f>
        <v/>
      </c>
      <c r="AU381" s="46" t="str">
        <f aca="false">IF($D381="Followup",'Survey Response'!$K379,"")</f>
        <v/>
      </c>
      <c r="AV381" s="46" t="str">
        <f aca="false">IF($D381="Followup",'Survey Response'!$L379,"")</f>
        <v/>
      </c>
      <c r="AW381" s="46" t="str">
        <f aca="false">IF($D381="Followup",IF(AND($P381&lt;&gt;"Yes",$U381&lt;&gt;"Yes"),"Not approved for primary or secondary skill","Approved, but skill(s) no longer have capacity (fully staffed)"),"")</f>
        <v/>
      </c>
    </row>
    <row r="382" customFormat="false" ht="15" hidden="false" customHeight="true" outlineLevel="0" collapsed="false">
      <c r="A382" s="46" t="str">
        <f aca="false">IF('Survey Response'!$D380="","",'Survey Response'!$A380&amp;"|"&amp;LOWER(TRIM('Survey Response'!$D380)))</f>
        <v/>
      </c>
      <c r="B382" s="46" t="str">
        <f aca="false">IF($H382="","",$F382&amp;"|"&amp;$H382)</f>
        <v/>
      </c>
      <c r="C382" s="46" t="str">
        <f aca="false">IF($H382="","",$A382=$B382)</f>
        <v/>
      </c>
      <c r="D382" s="46" t="str">
        <f aca="false">IF($H382="","",IF($E382&lt;&gt;"Yes","Superseded",IF($I382&lt;&gt;"Yes, I'm available for in-person interviews at Chennai","Not Available",IF($Z382&lt;&gt;"","Panel Details","Followup"))))</f>
        <v/>
      </c>
      <c r="E382" s="46" t="str">
        <f aca="false">IF($H382="","",IF(SUMPRODUCT(($H$4:$H$503=$H382)*(($G$4:$G$503&gt;$G382)+($G$4:$G$503=$G382)*($F$4:$F$503&gt;$F382)))=0,"Yes","No"))</f>
        <v/>
      </c>
      <c r="F382" s="47" t="str">
        <f aca="false">IF('Survey Response'!$D380="","",INT('Survey Response'!$A380))</f>
        <v/>
      </c>
      <c r="G382" s="46" t="str">
        <f aca="false">IF('Survey Response'!$D380="","",'Survey Response'!$C380)</f>
        <v/>
      </c>
      <c r="H382" s="46" t="str">
        <f aca="false">IF('Survey Response'!$D380="","",LOWER(TRIM('Survey Response'!$D380)))</f>
        <v/>
      </c>
      <c r="I382" s="46" t="str">
        <f aca="false">IF($H382="","",'Survey Response'!$I380)</f>
        <v/>
      </c>
      <c r="J382" s="46" t="str">
        <f aca="false">IF($H382="","",'Survey Response'!$K380)</f>
        <v/>
      </c>
      <c r="K382" s="46" t="str">
        <f aca="false">IF($J382="","",IF(COUNTIF('Skill Mapping'!$A$2:$A$7,TRIM($J382))=0,"",INDEX('Skill Mapping'!$B$2:$B$7,MATCH(TRIM($J382),'Skill Mapping'!$A$2:$A$7,0))))</f>
        <v/>
      </c>
      <c r="L382" s="46" t="str">
        <f aca="false">IF($H382="","",'Survey Response'!$L380)</f>
        <v/>
      </c>
      <c r="M382" s="46" t="str">
        <f aca="false">IF($L382="","",IF(COUNTIF('Skill Mapping'!$A$2:$A$7,TRIM($L382))=0,"",INDEX('Skill Mapping'!$B$2:$B$7,MATCH(TRIM($L382),'Skill Mapping'!$A$2:$A$7,0))))</f>
        <v/>
      </c>
      <c r="N382" s="46" t="str">
        <f aca="false">IF($H382="","",'Survey Response'!$M380)</f>
        <v/>
      </c>
      <c r="O382" s="46" t="str">
        <f aca="false">IF($H382="","",IF('Survey Response'!$M380="Manager","R2","R1"))</f>
        <v/>
      </c>
      <c r="P382" s="46" t="str">
        <f aca="false">IF($K382="","No",IF(COUNTIFS(MasterPanel!$B:$B,$H382,MasterPanel!$I:$I,$K382,MasterPanel!$K:$K,"Y")&gt;0,"Yes","No"))</f>
        <v>No</v>
      </c>
      <c r="Q382" s="46" t="n">
        <f aca="false">IF($K382="",0,IF(COUNTIF('Gap Sheet'!$A$6:$A$11,TRIM($J382))=0,0,IF($O382="R1",INDEX('Gap Sheet'!$C$6:$C$11,MATCH(TRIM($J382),'Gap Sheet'!$A$6:$A$11,0)),INDEX('Gap Sheet'!$G$6:$G$11,MATCH(TRIM($J382),'Gap Sheet'!$A$6:$A$11,0)))))</f>
        <v>0</v>
      </c>
      <c r="R382" s="46" t="str">
        <f aca="false">IF($K382="","",$K382&amp;"|"&amp;$O382)</f>
        <v/>
      </c>
      <c r="S382" s="46" t="n">
        <f aca="false">IF($R382="",0,COUNTIF($AA$4:$AA381,$R382))</f>
        <v>0</v>
      </c>
      <c r="T382" s="46" t="str">
        <f aca="false">IF(OR($I382&lt;&gt;"Yes, I'm available for in-person interviews at Chennai",$E382&lt;&gt;"Yes",$P382&lt;&gt;"Yes"),"No",IF(($Q382-$S382)&gt;0,"Yes","No"))</f>
        <v>No</v>
      </c>
      <c r="U382" s="46" t="str">
        <f aca="false">IF($M382="","No",IF(COUNTIFS(MasterPanel!$B:$B,$H382,MasterPanel!$I:$I,$M382,MasterPanel!$K:$K,"Y")&gt;0,"Yes","No"))</f>
        <v>No</v>
      </c>
      <c r="V382" s="46" t="n">
        <f aca="false">IF($M382="",0,IF(COUNTIF('Gap Sheet'!$A$6:$A$11,TRIM($L382))=0,0,IF($O382="R1",INDEX('Gap Sheet'!$C$6:$C$11,MATCH(TRIM($L382),'Gap Sheet'!$A$6:$A$11,0)),INDEX('Gap Sheet'!$G$6:$G$11,MATCH(TRIM($L382),'Gap Sheet'!$A$6:$A$11,0)))))</f>
        <v>0</v>
      </c>
      <c r="W382" s="46" t="str">
        <f aca="false">IF($M382="","",$M382&amp;"|"&amp;$O382)</f>
        <v/>
      </c>
      <c r="X382" s="46" t="n">
        <f aca="false">IF($W382="",0,COUNTIF($AA$4:$AA381,$W382))</f>
        <v>0</v>
      </c>
      <c r="Y382" s="46" t="str">
        <f aca="false">IF(OR($I382&lt;&gt;"Yes, I'm available for in-person interviews at Chennai",$E382&lt;&gt;"Yes",$T382="Yes",$U382&lt;&gt;"Yes"),"No",IF(($V382-$X382)&gt;0,"Yes","No"))</f>
        <v>No</v>
      </c>
      <c r="Z382" s="46" t="str">
        <f aca="false">IF($T382="Yes","Primary",IF($Y382="Yes","Secondary",""))</f>
        <v/>
      </c>
      <c r="AA382" s="46" t="str">
        <f aca="false">IF($Z382="Primary",$R382,IF($Z382="Secondary",$W382,""))</f>
        <v/>
      </c>
      <c r="AB382" s="46" t="str">
        <f aca="false">IF($Z382="Primary","Matched on primary skill",IF($Z382="Secondary","Matched on secondary skill (primary not approved or not required)",""))</f>
        <v/>
      </c>
      <c r="AC382" s="47" t="str">
        <f aca="false">IF($D382="Panel Details",$F382,"")</f>
        <v/>
      </c>
      <c r="AD382" s="46" t="str">
        <f aca="false">IF($D382="Panel Details",'Survey Response'!$D380,"")</f>
        <v/>
      </c>
      <c r="AE382" s="46" t="str">
        <f aca="false">IF($D382="Panel Details",'Survey Response'!$E380,"")</f>
        <v/>
      </c>
      <c r="AF382" s="46" t="str">
        <f aca="false">IF($D382="Panel Details",'Survey Response'!$G380,"")</f>
        <v/>
      </c>
      <c r="AG382" s="46" t="str">
        <f aca="false">IF($D382="Panel Details",IF($Z382="Primary",$J382,$L382),"")</f>
        <v/>
      </c>
      <c r="AH382" s="46" t="str">
        <f aca="false">IF($D382="Panel Details",IF($Z382="Primary",$L382,$J382),"")</f>
        <v/>
      </c>
      <c r="AI382" s="46" t="str">
        <f aca="false">IF($D382="Panel Details",'Survey Response'!$H380,"")</f>
        <v/>
      </c>
      <c r="AJ382" s="46" t="str">
        <f aca="false">IF($D382="Panel Details",'Survey Response'!$M380,"")</f>
        <v/>
      </c>
      <c r="AK382" s="46" t="str">
        <f aca="false">IF($D382="Panel Details",$O382,"")</f>
        <v/>
      </c>
      <c r="AL382" s="46" t="str">
        <f aca="false">IF($D382="Panel Details",8,"")</f>
        <v/>
      </c>
      <c r="AM382" s="46" t="str">
        <f aca="false">IF($D382="Panel Details",$AB382,"")</f>
        <v/>
      </c>
      <c r="AN382" s="46" t="str">
        <f aca="false">IF($D382="Panel Details","Yes","")</f>
        <v/>
      </c>
      <c r="AO382" s="46"/>
      <c r="AP382" s="46" t="str">
        <f aca="false">IF($D382="Followup",'Survey Response'!$D380,"")</f>
        <v/>
      </c>
      <c r="AQ382" s="46" t="str">
        <f aca="false">IF($D382="Followup",'Survey Response'!$E380,"")</f>
        <v/>
      </c>
      <c r="AR382" s="46" t="str">
        <f aca="false">IF($D382="Followup",'Survey Response'!$G380,"")</f>
        <v/>
      </c>
      <c r="AS382" s="46" t="str">
        <f aca="false">IF($D382="Followup",'Survey Response'!$H380,"")</f>
        <v/>
      </c>
      <c r="AT382" s="46" t="str">
        <f aca="false">IF($D382="Followup",'Survey Response'!$M380,"")</f>
        <v/>
      </c>
      <c r="AU382" s="46" t="str">
        <f aca="false">IF($D382="Followup",'Survey Response'!$K380,"")</f>
        <v/>
      </c>
      <c r="AV382" s="46" t="str">
        <f aca="false">IF($D382="Followup",'Survey Response'!$L380,"")</f>
        <v/>
      </c>
      <c r="AW382" s="46" t="str">
        <f aca="false">IF($D382="Followup",IF(AND($P382&lt;&gt;"Yes",$U382&lt;&gt;"Yes"),"Not approved for primary or secondary skill","Approved, but skill(s) no longer have capacity (fully staffed)"),"")</f>
        <v/>
      </c>
    </row>
    <row r="383" customFormat="false" ht="15" hidden="false" customHeight="true" outlineLevel="0" collapsed="false">
      <c r="A383" s="46" t="str">
        <f aca="false">IF('Survey Response'!$D381="","",'Survey Response'!$A381&amp;"|"&amp;LOWER(TRIM('Survey Response'!$D381)))</f>
        <v/>
      </c>
      <c r="B383" s="46" t="str">
        <f aca="false">IF($H383="","",$F383&amp;"|"&amp;$H383)</f>
        <v/>
      </c>
      <c r="C383" s="46" t="str">
        <f aca="false">IF($H383="","",$A383=$B383)</f>
        <v/>
      </c>
      <c r="D383" s="46" t="str">
        <f aca="false">IF($H383="","",IF($E383&lt;&gt;"Yes","Superseded",IF($I383&lt;&gt;"Yes, I'm available for in-person interviews at Chennai","Not Available",IF($Z383&lt;&gt;"","Panel Details","Followup"))))</f>
        <v/>
      </c>
      <c r="E383" s="46" t="str">
        <f aca="false">IF($H383="","",IF(SUMPRODUCT(($H$4:$H$503=$H383)*(($G$4:$G$503&gt;$G383)+($G$4:$G$503=$G383)*($F$4:$F$503&gt;$F383)))=0,"Yes","No"))</f>
        <v/>
      </c>
      <c r="F383" s="47" t="str">
        <f aca="false">IF('Survey Response'!$D381="","",INT('Survey Response'!$A381))</f>
        <v/>
      </c>
      <c r="G383" s="46" t="str">
        <f aca="false">IF('Survey Response'!$D381="","",'Survey Response'!$C381)</f>
        <v/>
      </c>
      <c r="H383" s="46" t="str">
        <f aca="false">IF('Survey Response'!$D381="","",LOWER(TRIM('Survey Response'!$D381)))</f>
        <v/>
      </c>
      <c r="I383" s="46" t="str">
        <f aca="false">IF($H383="","",'Survey Response'!$I381)</f>
        <v/>
      </c>
      <c r="J383" s="46" t="str">
        <f aca="false">IF($H383="","",'Survey Response'!$K381)</f>
        <v/>
      </c>
      <c r="K383" s="46" t="str">
        <f aca="false">IF($J383="","",IF(COUNTIF('Skill Mapping'!$A$2:$A$7,TRIM($J383))=0,"",INDEX('Skill Mapping'!$B$2:$B$7,MATCH(TRIM($J383),'Skill Mapping'!$A$2:$A$7,0))))</f>
        <v/>
      </c>
      <c r="L383" s="46" t="str">
        <f aca="false">IF($H383="","",'Survey Response'!$L381)</f>
        <v/>
      </c>
      <c r="M383" s="46" t="str">
        <f aca="false">IF($L383="","",IF(COUNTIF('Skill Mapping'!$A$2:$A$7,TRIM($L383))=0,"",INDEX('Skill Mapping'!$B$2:$B$7,MATCH(TRIM($L383),'Skill Mapping'!$A$2:$A$7,0))))</f>
        <v/>
      </c>
      <c r="N383" s="46" t="str">
        <f aca="false">IF($H383="","",'Survey Response'!$M381)</f>
        <v/>
      </c>
      <c r="O383" s="46" t="str">
        <f aca="false">IF($H383="","",IF('Survey Response'!$M381="Manager","R2","R1"))</f>
        <v/>
      </c>
      <c r="P383" s="46" t="str">
        <f aca="false">IF($K383="","No",IF(COUNTIFS(MasterPanel!$B:$B,$H383,MasterPanel!$I:$I,$K383,MasterPanel!$K:$K,"Y")&gt;0,"Yes","No"))</f>
        <v>No</v>
      </c>
      <c r="Q383" s="46" t="n">
        <f aca="false">IF($K383="",0,IF(COUNTIF('Gap Sheet'!$A$6:$A$11,TRIM($J383))=0,0,IF($O383="R1",INDEX('Gap Sheet'!$C$6:$C$11,MATCH(TRIM($J383),'Gap Sheet'!$A$6:$A$11,0)),INDEX('Gap Sheet'!$G$6:$G$11,MATCH(TRIM($J383),'Gap Sheet'!$A$6:$A$11,0)))))</f>
        <v>0</v>
      </c>
      <c r="R383" s="46" t="str">
        <f aca="false">IF($K383="","",$K383&amp;"|"&amp;$O383)</f>
        <v/>
      </c>
      <c r="S383" s="46" t="n">
        <f aca="false">IF($R383="",0,COUNTIF($AA$4:$AA382,$R383))</f>
        <v>0</v>
      </c>
      <c r="T383" s="46" t="str">
        <f aca="false">IF(OR($I383&lt;&gt;"Yes, I'm available for in-person interviews at Chennai",$E383&lt;&gt;"Yes",$P383&lt;&gt;"Yes"),"No",IF(($Q383-$S383)&gt;0,"Yes","No"))</f>
        <v>No</v>
      </c>
      <c r="U383" s="46" t="str">
        <f aca="false">IF($M383="","No",IF(COUNTIFS(MasterPanel!$B:$B,$H383,MasterPanel!$I:$I,$M383,MasterPanel!$K:$K,"Y")&gt;0,"Yes","No"))</f>
        <v>No</v>
      </c>
      <c r="V383" s="46" t="n">
        <f aca="false">IF($M383="",0,IF(COUNTIF('Gap Sheet'!$A$6:$A$11,TRIM($L383))=0,0,IF($O383="R1",INDEX('Gap Sheet'!$C$6:$C$11,MATCH(TRIM($L383),'Gap Sheet'!$A$6:$A$11,0)),INDEX('Gap Sheet'!$G$6:$G$11,MATCH(TRIM($L383),'Gap Sheet'!$A$6:$A$11,0)))))</f>
        <v>0</v>
      </c>
      <c r="W383" s="46" t="str">
        <f aca="false">IF($M383="","",$M383&amp;"|"&amp;$O383)</f>
        <v/>
      </c>
      <c r="X383" s="46" t="n">
        <f aca="false">IF($W383="",0,COUNTIF($AA$4:$AA382,$W383))</f>
        <v>0</v>
      </c>
      <c r="Y383" s="46" t="str">
        <f aca="false">IF(OR($I383&lt;&gt;"Yes, I'm available for in-person interviews at Chennai",$E383&lt;&gt;"Yes",$T383="Yes",$U383&lt;&gt;"Yes"),"No",IF(($V383-$X383)&gt;0,"Yes","No"))</f>
        <v>No</v>
      </c>
      <c r="Z383" s="46" t="str">
        <f aca="false">IF($T383="Yes","Primary",IF($Y383="Yes","Secondary",""))</f>
        <v/>
      </c>
      <c r="AA383" s="46" t="str">
        <f aca="false">IF($Z383="Primary",$R383,IF($Z383="Secondary",$W383,""))</f>
        <v/>
      </c>
      <c r="AB383" s="46" t="str">
        <f aca="false">IF($Z383="Primary","Matched on primary skill",IF($Z383="Secondary","Matched on secondary skill (primary not approved or not required)",""))</f>
        <v/>
      </c>
      <c r="AC383" s="47" t="str">
        <f aca="false">IF($D383="Panel Details",$F383,"")</f>
        <v/>
      </c>
      <c r="AD383" s="46" t="str">
        <f aca="false">IF($D383="Panel Details",'Survey Response'!$D381,"")</f>
        <v/>
      </c>
      <c r="AE383" s="46" t="str">
        <f aca="false">IF($D383="Panel Details",'Survey Response'!$E381,"")</f>
        <v/>
      </c>
      <c r="AF383" s="46" t="str">
        <f aca="false">IF($D383="Panel Details",'Survey Response'!$G381,"")</f>
        <v/>
      </c>
      <c r="AG383" s="46" t="str">
        <f aca="false">IF($D383="Panel Details",IF($Z383="Primary",$J383,$L383),"")</f>
        <v/>
      </c>
      <c r="AH383" s="46" t="str">
        <f aca="false">IF($D383="Panel Details",IF($Z383="Primary",$L383,$J383),"")</f>
        <v/>
      </c>
      <c r="AI383" s="46" t="str">
        <f aca="false">IF($D383="Panel Details",'Survey Response'!$H381,"")</f>
        <v/>
      </c>
      <c r="AJ383" s="46" t="str">
        <f aca="false">IF($D383="Panel Details",'Survey Response'!$M381,"")</f>
        <v/>
      </c>
      <c r="AK383" s="46" t="str">
        <f aca="false">IF($D383="Panel Details",$O383,"")</f>
        <v/>
      </c>
      <c r="AL383" s="46" t="str">
        <f aca="false">IF($D383="Panel Details",8,"")</f>
        <v/>
      </c>
      <c r="AM383" s="46" t="str">
        <f aca="false">IF($D383="Panel Details",$AB383,"")</f>
        <v/>
      </c>
      <c r="AN383" s="46" t="str">
        <f aca="false">IF($D383="Panel Details","Yes","")</f>
        <v/>
      </c>
      <c r="AO383" s="46"/>
      <c r="AP383" s="46" t="str">
        <f aca="false">IF($D383="Followup",'Survey Response'!$D381,"")</f>
        <v/>
      </c>
      <c r="AQ383" s="46" t="str">
        <f aca="false">IF($D383="Followup",'Survey Response'!$E381,"")</f>
        <v/>
      </c>
      <c r="AR383" s="46" t="str">
        <f aca="false">IF($D383="Followup",'Survey Response'!$G381,"")</f>
        <v/>
      </c>
      <c r="AS383" s="46" t="str">
        <f aca="false">IF($D383="Followup",'Survey Response'!$H381,"")</f>
        <v/>
      </c>
      <c r="AT383" s="46" t="str">
        <f aca="false">IF($D383="Followup",'Survey Response'!$M381,"")</f>
        <v/>
      </c>
      <c r="AU383" s="46" t="str">
        <f aca="false">IF($D383="Followup",'Survey Response'!$K381,"")</f>
        <v/>
      </c>
      <c r="AV383" s="46" t="str">
        <f aca="false">IF($D383="Followup",'Survey Response'!$L381,"")</f>
        <v/>
      </c>
      <c r="AW383" s="46" t="str">
        <f aca="false">IF($D383="Followup",IF(AND($P383&lt;&gt;"Yes",$U383&lt;&gt;"Yes"),"Not approved for primary or secondary skill","Approved, but skill(s) no longer have capacity (fully staffed)"),"")</f>
        <v/>
      </c>
    </row>
    <row r="384" customFormat="false" ht="15" hidden="false" customHeight="true" outlineLevel="0" collapsed="false">
      <c r="A384" s="46" t="str">
        <f aca="false">IF('Survey Response'!$D382="","",'Survey Response'!$A382&amp;"|"&amp;LOWER(TRIM('Survey Response'!$D382)))</f>
        <v/>
      </c>
      <c r="B384" s="46" t="str">
        <f aca="false">IF($H384="","",$F384&amp;"|"&amp;$H384)</f>
        <v/>
      </c>
      <c r="C384" s="46" t="str">
        <f aca="false">IF($H384="","",$A384=$B384)</f>
        <v/>
      </c>
      <c r="D384" s="46" t="str">
        <f aca="false">IF($H384="","",IF($E384&lt;&gt;"Yes","Superseded",IF($I384&lt;&gt;"Yes, I'm available for in-person interviews at Chennai","Not Available",IF($Z384&lt;&gt;"","Panel Details","Followup"))))</f>
        <v/>
      </c>
      <c r="E384" s="46" t="str">
        <f aca="false">IF($H384="","",IF(SUMPRODUCT(($H$4:$H$503=$H384)*(($G$4:$G$503&gt;$G384)+($G$4:$G$503=$G384)*($F$4:$F$503&gt;$F384)))=0,"Yes","No"))</f>
        <v/>
      </c>
      <c r="F384" s="47" t="str">
        <f aca="false">IF('Survey Response'!$D382="","",INT('Survey Response'!$A382))</f>
        <v/>
      </c>
      <c r="G384" s="46" t="str">
        <f aca="false">IF('Survey Response'!$D382="","",'Survey Response'!$C382)</f>
        <v/>
      </c>
      <c r="H384" s="46" t="str">
        <f aca="false">IF('Survey Response'!$D382="","",LOWER(TRIM('Survey Response'!$D382)))</f>
        <v/>
      </c>
      <c r="I384" s="46" t="str">
        <f aca="false">IF($H384="","",'Survey Response'!$I382)</f>
        <v/>
      </c>
      <c r="J384" s="46" t="str">
        <f aca="false">IF($H384="","",'Survey Response'!$K382)</f>
        <v/>
      </c>
      <c r="K384" s="46" t="str">
        <f aca="false">IF($J384="","",IF(COUNTIF('Skill Mapping'!$A$2:$A$7,TRIM($J384))=0,"",INDEX('Skill Mapping'!$B$2:$B$7,MATCH(TRIM($J384),'Skill Mapping'!$A$2:$A$7,0))))</f>
        <v/>
      </c>
      <c r="L384" s="46" t="str">
        <f aca="false">IF($H384="","",'Survey Response'!$L382)</f>
        <v/>
      </c>
      <c r="M384" s="46" t="str">
        <f aca="false">IF($L384="","",IF(COUNTIF('Skill Mapping'!$A$2:$A$7,TRIM($L384))=0,"",INDEX('Skill Mapping'!$B$2:$B$7,MATCH(TRIM($L384),'Skill Mapping'!$A$2:$A$7,0))))</f>
        <v/>
      </c>
      <c r="N384" s="46" t="str">
        <f aca="false">IF($H384="","",'Survey Response'!$M382)</f>
        <v/>
      </c>
      <c r="O384" s="46" t="str">
        <f aca="false">IF($H384="","",IF('Survey Response'!$M382="Manager","R2","R1"))</f>
        <v/>
      </c>
      <c r="P384" s="46" t="str">
        <f aca="false">IF($K384="","No",IF(COUNTIFS(MasterPanel!$B:$B,$H384,MasterPanel!$I:$I,$K384,MasterPanel!$K:$K,"Y")&gt;0,"Yes","No"))</f>
        <v>No</v>
      </c>
      <c r="Q384" s="46" t="n">
        <f aca="false">IF($K384="",0,IF(COUNTIF('Gap Sheet'!$A$6:$A$11,TRIM($J384))=0,0,IF($O384="R1",INDEX('Gap Sheet'!$C$6:$C$11,MATCH(TRIM($J384),'Gap Sheet'!$A$6:$A$11,0)),INDEX('Gap Sheet'!$G$6:$G$11,MATCH(TRIM($J384),'Gap Sheet'!$A$6:$A$11,0)))))</f>
        <v>0</v>
      </c>
      <c r="R384" s="46" t="str">
        <f aca="false">IF($K384="","",$K384&amp;"|"&amp;$O384)</f>
        <v/>
      </c>
      <c r="S384" s="46" t="n">
        <f aca="false">IF($R384="",0,COUNTIF($AA$4:$AA383,$R384))</f>
        <v>0</v>
      </c>
      <c r="T384" s="46" t="str">
        <f aca="false">IF(OR($I384&lt;&gt;"Yes, I'm available for in-person interviews at Chennai",$E384&lt;&gt;"Yes",$P384&lt;&gt;"Yes"),"No",IF(($Q384-$S384)&gt;0,"Yes","No"))</f>
        <v>No</v>
      </c>
      <c r="U384" s="46" t="str">
        <f aca="false">IF($M384="","No",IF(COUNTIFS(MasterPanel!$B:$B,$H384,MasterPanel!$I:$I,$M384,MasterPanel!$K:$K,"Y")&gt;0,"Yes","No"))</f>
        <v>No</v>
      </c>
      <c r="V384" s="46" t="n">
        <f aca="false">IF($M384="",0,IF(COUNTIF('Gap Sheet'!$A$6:$A$11,TRIM($L384))=0,0,IF($O384="R1",INDEX('Gap Sheet'!$C$6:$C$11,MATCH(TRIM($L384),'Gap Sheet'!$A$6:$A$11,0)),INDEX('Gap Sheet'!$G$6:$G$11,MATCH(TRIM($L384),'Gap Sheet'!$A$6:$A$11,0)))))</f>
        <v>0</v>
      </c>
      <c r="W384" s="46" t="str">
        <f aca="false">IF($M384="","",$M384&amp;"|"&amp;$O384)</f>
        <v/>
      </c>
      <c r="X384" s="46" t="n">
        <f aca="false">IF($W384="",0,COUNTIF($AA$4:$AA383,$W384))</f>
        <v>0</v>
      </c>
      <c r="Y384" s="46" t="str">
        <f aca="false">IF(OR($I384&lt;&gt;"Yes, I'm available for in-person interviews at Chennai",$E384&lt;&gt;"Yes",$T384="Yes",$U384&lt;&gt;"Yes"),"No",IF(($V384-$X384)&gt;0,"Yes","No"))</f>
        <v>No</v>
      </c>
      <c r="Z384" s="46" t="str">
        <f aca="false">IF($T384="Yes","Primary",IF($Y384="Yes","Secondary",""))</f>
        <v/>
      </c>
      <c r="AA384" s="46" t="str">
        <f aca="false">IF($Z384="Primary",$R384,IF($Z384="Secondary",$W384,""))</f>
        <v/>
      </c>
      <c r="AB384" s="46" t="str">
        <f aca="false">IF($Z384="Primary","Matched on primary skill",IF($Z384="Secondary","Matched on secondary skill (primary not approved or not required)",""))</f>
        <v/>
      </c>
      <c r="AC384" s="47" t="str">
        <f aca="false">IF($D384="Panel Details",$F384,"")</f>
        <v/>
      </c>
      <c r="AD384" s="46" t="str">
        <f aca="false">IF($D384="Panel Details",'Survey Response'!$D382,"")</f>
        <v/>
      </c>
      <c r="AE384" s="46" t="str">
        <f aca="false">IF($D384="Panel Details",'Survey Response'!$E382,"")</f>
        <v/>
      </c>
      <c r="AF384" s="46" t="str">
        <f aca="false">IF($D384="Panel Details",'Survey Response'!$G382,"")</f>
        <v/>
      </c>
      <c r="AG384" s="46" t="str">
        <f aca="false">IF($D384="Panel Details",IF($Z384="Primary",$J384,$L384),"")</f>
        <v/>
      </c>
      <c r="AH384" s="46" t="str">
        <f aca="false">IF($D384="Panel Details",IF($Z384="Primary",$L384,$J384),"")</f>
        <v/>
      </c>
      <c r="AI384" s="46" t="str">
        <f aca="false">IF($D384="Panel Details",'Survey Response'!$H382,"")</f>
        <v/>
      </c>
      <c r="AJ384" s="46" t="str">
        <f aca="false">IF($D384="Panel Details",'Survey Response'!$M382,"")</f>
        <v/>
      </c>
      <c r="AK384" s="46" t="str">
        <f aca="false">IF($D384="Panel Details",$O384,"")</f>
        <v/>
      </c>
      <c r="AL384" s="46" t="str">
        <f aca="false">IF($D384="Panel Details",8,"")</f>
        <v/>
      </c>
      <c r="AM384" s="46" t="str">
        <f aca="false">IF($D384="Panel Details",$AB384,"")</f>
        <v/>
      </c>
      <c r="AN384" s="46" t="str">
        <f aca="false">IF($D384="Panel Details","Yes","")</f>
        <v/>
      </c>
      <c r="AO384" s="46"/>
      <c r="AP384" s="46" t="str">
        <f aca="false">IF($D384="Followup",'Survey Response'!$D382,"")</f>
        <v/>
      </c>
      <c r="AQ384" s="46" t="str">
        <f aca="false">IF($D384="Followup",'Survey Response'!$E382,"")</f>
        <v/>
      </c>
      <c r="AR384" s="46" t="str">
        <f aca="false">IF($D384="Followup",'Survey Response'!$G382,"")</f>
        <v/>
      </c>
      <c r="AS384" s="46" t="str">
        <f aca="false">IF($D384="Followup",'Survey Response'!$H382,"")</f>
        <v/>
      </c>
      <c r="AT384" s="46" t="str">
        <f aca="false">IF($D384="Followup",'Survey Response'!$M382,"")</f>
        <v/>
      </c>
      <c r="AU384" s="46" t="str">
        <f aca="false">IF($D384="Followup",'Survey Response'!$K382,"")</f>
        <v/>
      </c>
      <c r="AV384" s="46" t="str">
        <f aca="false">IF($D384="Followup",'Survey Response'!$L382,"")</f>
        <v/>
      </c>
      <c r="AW384" s="46" t="str">
        <f aca="false">IF($D384="Followup",IF(AND($P384&lt;&gt;"Yes",$U384&lt;&gt;"Yes"),"Not approved for primary or secondary skill","Approved, but skill(s) no longer have capacity (fully staffed)"),"")</f>
        <v/>
      </c>
    </row>
    <row r="385" customFormat="false" ht="15" hidden="false" customHeight="true" outlineLevel="0" collapsed="false">
      <c r="A385" s="46" t="str">
        <f aca="false">IF('Survey Response'!$D383="","",'Survey Response'!$A383&amp;"|"&amp;LOWER(TRIM('Survey Response'!$D383)))</f>
        <v/>
      </c>
      <c r="B385" s="46" t="str">
        <f aca="false">IF($H385="","",$F385&amp;"|"&amp;$H385)</f>
        <v/>
      </c>
      <c r="C385" s="46" t="str">
        <f aca="false">IF($H385="","",$A385=$B385)</f>
        <v/>
      </c>
      <c r="D385" s="46" t="str">
        <f aca="false">IF($H385="","",IF($E385&lt;&gt;"Yes","Superseded",IF($I385&lt;&gt;"Yes, I'm available for in-person interviews at Chennai","Not Available",IF($Z385&lt;&gt;"","Panel Details","Followup"))))</f>
        <v/>
      </c>
      <c r="E385" s="46" t="str">
        <f aca="false">IF($H385="","",IF(SUMPRODUCT(($H$4:$H$503=$H385)*(($G$4:$G$503&gt;$G385)+($G$4:$G$503=$G385)*($F$4:$F$503&gt;$F385)))=0,"Yes","No"))</f>
        <v/>
      </c>
      <c r="F385" s="47" t="str">
        <f aca="false">IF('Survey Response'!$D383="","",INT('Survey Response'!$A383))</f>
        <v/>
      </c>
      <c r="G385" s="46" t="str">
        <f aca="false">IF('Survey Response'!$D383="","",'Survey Response'!$C383)</f>
        <v/>
      </c>
      <c r="H385" s="46" t="str">
        <f aca="false">IF('Survey Response'!$D383="","",LOWER(TRIM('Survey Response'!$D383)))</f>
        <v/>
      </c>
      <c r="I385" s="46" t="str">
        <f aca="false">IF($H385="","",'Survey Response'!$I383)</f>
        <v/>
      </c>
      <c r="J385" s="46" t="str">
        <f aca="false">IF($H385="","",'Survey Response'!$K383)</f>
        <v/>
      </c>
      <c r="K385" s="46" t="str">
        <f aca="false">IF($J385="","",IF(COUNTIF('Skill Mapping'!$A$2:$A$7,TRIM($J385))=0,"",INDEX('Skill Mapping'!$B$2:$B$7,MATCH(TRIM($J385),'Skill Mapping'!$A$2:$A$7,0))))</f>
        <v/>
      </c>
      <c r="L385" s="46" t="str">
        <f aca="false">IF($H385="","",'Survey Response'!$L383)</f>
        <v/>
      </c>
      <c r="M385" s="46" t="str">
        <f aca="false">IF($L385="","",IF(COUNTIF('Skill Mapping'!$A$2:$A$7,TRIM($L385))=0,"",INDEX('Skill Mapping'!$B$2:$B$7,MATCH(TRIM($L385),'Skill Mapping'!$A$2:$A$7,0))))</f>
        <v/>
      </c>
      <c r="N385" s="46" t="str">
        <f aca="false">IF($H385="","",'Survey Response'!$M383)</f>
        <v/>
      </c>
      <c r="O385" s="46" t="str">
        <f aca="false">IF($H385="","",IF('Survey Response'!$M383="Manager","R2","R1"))</f>
        <v/>
      </c>
      <c r="P385" s="46" t="str">
        <f aca="false">IF($K385="","No",IF(COUNTIFS(MasterPanel!$B:$B,$H385,MasterPanel!$I:$I,$K385,MasterPanel!$K:$K,"Y")&gt;0,"Yes","No"))</f>
        <v>No</v>
      </c>
      <c r="Q385" s="46" t="n">
        <f aca="false">IF($K385="",0,IF(COUNTIF('Gap Sheet'!$A$6:$A$11,TRIM($J385))=0,0,IF($O385="R1",INDEX('Gap Sheet'!$C$6:$C$11,MATCH(TRIM($J385),'Gap Sheet'!$A$6:$A$11,0)),INDEX('Gap Sheet'!$G$6:$G$11,MATCH(TRIM($J385),'Gap Sheet'!$A$6:$A$11,0)))))</f>
        <v>0</v>
      </c>
      <c r="R385" s="46" t="str">
        <f aca="false">IF($K385="","",$K385&amp;"|"&amp;$O385)</f>
        <v/>
      </c>
      <c r="S385" s="46" t="n">
        <f aca="false">IF($R385="",0,COUNTIF($AA$4:$AA384,$R385))</f>
        <v>0</v>
      </c>
      <c r="T385" s="46" t="str">
        <f aca="false">IF(OR($I385&lt;&gt;"Yes, I'm available for in-person interviews at Chennai",$E385&lt;&gt;"Yes",$P385&lt;&gt;"Yes"),"No",IF(($Q385-$S385)&gt;0,"Yes","No"))</f>
        <v>No</v>
      </c>
      <c r="U385" s="46" t="str">
        <f aca="false">IF($M385="","No",IF(COUNTIFS(MasterPanel!$B:$B,$H385,MasterPanel!$I:$I,$M385,MasterPanel!$K:$K,"Y")&gt;0,"Yes","No"))</f>
        <v>No</v>
      </c>
      <c r="V385" s="46" t="n">
        <f aca="false">IF($M385="",0,IF(COUNTIF('Gap Sheet'!$A$6:$A$11,TRIM($L385))=0,0,IF($O385="R1",INDEX('Gap Sheet'!$C$6:$C$11,MATCH(TRIM($L385),'Gap Sheet'!$A$6:$A$11,0)),INDEX('Gap Sheet'!$G$6:$G$11,MATCH(TRIM($L385),'Gap Sheet'!$A$6:$A$11,0)))))</f>
        <v>0</v>
      </c>
      <c r="W385" s="46" t="str">
        <f aca="false">IF($M385="","",$M385&amp;"|"&amp;$O385)</f>
        <v/>
      </c>
      <c r="X385" s="46" t="n">
        <f aca="false">IF($W385="",0,COUNTIF($AA$4:$AA384,$W385))</f>
        <v>0</v>
      </c>
      <c r="Y385" s="46" t="str">
        <f aca="false">IF(OR($I385&lt;&gt;"Yes, I'm available for in-person interviews at Chennai",$E385&lt;&gt;"Yes",$T385="Yes",$U385&lt;&gt;"Yes"),"No",IF(($V385-$X385)&gt;0,"Yes","No"))</f>
        <v>No</v>
      </c>
      <c r="Z385" s="46" t="str">
        <f aca="false">IF($T385="Yes","Primary",IF($Y385="Yes","Secondary",""))</f>
        <v/>
      </c>
      <c r="AA385" s="46" t="str">
        <f aca="false">IF($Z385="Primary",$R385,IF($Z385="Secondary",$W385,""))</f>
        <v/>
      </c>
      <c r="AB385" s="46" t="str">
        <f aca="false">IF($Z385="Primary","Matched on primary skill",IF($Z385="Secondary","Matched on secondary skill (primary not approved or not required)",""))</f>
        <v/>
      </c>
      <c r="AC385" s="47" t="str">
        <f aca="false">IF($D385="Panel Details",$F385,"")</f>
        <v/>
      </c>
      <c r="AD385" s="46" t="str">
        <f aca="false">IF($D385="Panel Details",'Survey Response'!$D383,"")</f>
        <v/>
      </c>
      <c r="AE385" s="46" t="str">
        <f aca="false">IF($D385="Panel Details",'Survey Response'!$E383,"")</f>
        <v/>
      </c>
      <c r="AF385" s="46" t="str">
        <f aca="false">IF($D385="Panel Details",'Survey Response'!$G383,"")</f>
        <v/>
      </c>
      <c r="AG385" s="46" t="str">
        <f aca="false">IF($D385="Panel Details",IF($Z385="Primary",$J385,$L385),"")</f>
        <v/>
      </c>
      <c r="AH385" s="46" t="str">
        <f aca="false">IF($D385="Panel Details",IF($Z385="Primary",$L385,$J385),"")</f>
        <v/>
      </c>
      <c r="AI385" s="46" t="str">
        <f aca="false">IF($D385="Panel Details",'Survey Response'!$H383,"")</f>
        <v/>
      </c>
      <c r="AJ385" s="46" t="str">
        <f aca="false">IF($D385="Panel Details",'Survey Response'!$M383,"")</f>
        <v/>
      </c>
      <c r="AK385" s="46" t="str">
        <f aca="false">IF($D385="Panel Details",$O385,"")</f>
        <v/>
      </c>
      <c r="AL385" s="46" t="str">
        <f aca="false">IF($D385="Panel Details",8,"")</f>
        <v/>
      </c>
      <c r="AM385" s="46" t="str">
        <f aca="false">IF($D385="Panel Details",$AB385,"")</f>
        <v/>
      </c>
      <c r="AN385" s="46" t="str">
        <f aca="false">IF($D385="Panel Details","Yes","")</f>
        <v/>
      </c>
      <c r="AO385" s="46"/>
      <c r="AP385" s="46" t="str">
        <f aca="false">IF($D385="Followup",'Survey Response'!$D383,"")</f>
        <v/>
      </c>
      <c r="AQ385" s="46" t="str">
        <f aca="false">IF($D385="Followup",'Survey Response'!$E383,"")</f>
        <v/>
      </c>
      <c r="AR385" s="46" t="str">
        <f aca="false">IF($D385="Followup",'Survey Response'!$G383,"")</f>
        <v/>
      </c>
      <c r="AS385" s="46" t="str">
        <f aca="false">IF($D385="Followup",'Survey Response'!$H383,"")</f>
        <v/>
      </c>
      <c r="AT385" s="46" t="str">
        <f aca="false">IF($D385="Followup",'Survey Response'!$M383,"")</f>
        <v/>
      </c>
      <c r="AU385" s="46" t="str">
        <f aca="false">IF($D385="Followup",'Survey Response'!$K383,"")</f>
        <v/>
      </c>
      <c r="AV385" s="46" t="str">
        <f aca="false">IF($D385="Followup",'Survey Response'!$L383,"")</f>
        <v/>
      </c>
      <c r="AW385" s="46" t="str">
        <f aca="false">IF($D385="Followup",IF(AND($P385&lt;&gt;"Yes",$U385&lt;&gt;"Yes"),"Not approved for primary or secondary skill","Approved, but skill(s) no longer have capacity (fully staffed)"),"")</f>
        <v/>
      </c>
    </row>
    <row r="386" customFormat="false" ht="15" hidden="false" customHeight="true" outlineLevel="0" collapsed="false">
      <c r="A386" s="46" t="str">
        <f aca="false">IF('Survey Response'!$D384="","",'Survey Response'!$A384&amp;"|"&amp;LOWER(TRIM('Survey Response'!$D384)))</f>
        <v/>
      </c>
      <c r="B386" s="46" t="str">
        <f aca="false">IF($H386="","",$F386&amp;"|"&amp;$H386)</f>
        <v/>
      </c>
      <c r="C386" s="46" t="str">
        <f aca="false">IF($H386="","",$A386=$B386)</f>
        <v/>
      </c>
      <c r="D386" s="46" t="str">
        <f aca="false">IF($H386="","",IF($E386&lt;&gt;"Yes","Superseded",IF($I386&lt;&gt;"Yes, I'm available for in-person interviews at Chennai","Not Available",IF($Z386&lt;&gt;"","Panel Details","Followup"))))</f>
        <v/>
      </c>
      <c r="E386" s="46" t="str">
        <f aca="false">IF($H386="","",IF(SUMPRODUCT(($H$4:$H$503=$H386)*(($G$4:$G$503&gt;$G386)+($G$4:$G$503=$G386)*($F$4:$F$503&gt;$F386)))=0,"Yes","No"))</f>
        <v/>
      </c>
      <c r="F386" s="47" t="str">
        <f aca="false">IF('Survey Response'!$D384="","",INT('Survey Response'!$A384))</f>
        <v/>
      </c>
      <c r="G386" s="46" t="str">
        <f aca="false">IF('Survey Response'!$D384="","",'Survey Response'!$C384)</f>
        <v/>
      </c>
      <c r="H386" s="46" t="str">
        <f aca="false">IF('Survey Response'!$D384="","",LOWER(TRIM('Survey Response'!$D384)))</f>
        <v/>
      </c>
      <c r="I386" s="46" t="str">
        <f aca="false">IF($H386="","",'Survey Response'!$I384)</f>
        <v/>
      </c>
      <c r="J386" s="46" t="str">
        <f aca="false">IF($H386="","",'Survey Response'!$K384)</f>
        <v/>
      </c>
      <c r="K386" s="46" t="str">
        <f aca="false">IF($J386="","",IF(COUNTIF('Skill Mapping'!$A$2:$A$7,TRIM($J386))=0,"",INDEX('Skill Mapping'!$B$2:$B$7,MATCH(TRIM($J386),'Skill Mapping'!$A$2:$A$7,0))))</f>
        <v/>
      </c>
      <c r="L386" s="46" t="str">
        <f aca="false">IF($H386="","",'Survey Response'!$L384)</f>
        <v/>
      </c>
      <c r="M386" s="46" t="str">
        <f aca="false">IF($L386="","",IF(COUNTIF('Skill Mapping'!$A$2:$A$7,TRIM($L386))=0,"",INDEX('Skill Mapping'!$B$2:$B$7,MATCH(TRIM($L386),'Skill Mapping'!$A$2:$A$7,0))))</f>
        <v/>
      </c>
      <c r="N386" s="46" t="str">
        <f aca="false">IF($H386="","",'Survey Response'!$M384)</f>
        <v/>
      </c>
      <c r="O386" s="46" t="str">
        <f aca="false">IF($H386="","",IF('Survey Response'!$M384="Manager","R2","R1"))</f>
        <v/>
      </c>
      <c r="P386" s="46" t="str">
        <f aca="false">IF($K386="","No",IF(COUNTIFS(MasterPanel!$B:$B,$H386,MasterPanel!$I:$I,$K386,MasterPanel!$K:$K,"Y")&gt;0,"Yes","No"))</f>
        <v>No</v>
      </c>
      <c r="Q386" s="46" t="n">
        <f aca="false">IF($K386="",0,IF(COUNTIF('Gap Sheet'!$A$6:$A$11,TRIM($J386))=0,0,IF($O386="R1",INDEX('Gap Sheet'!$C$6:$C$11,MATCH(TRIM($J386),'Gap Sheet'!$A$6:$A$11,0)),INDEX('Gap Sheet'!$G$6:$G$11,MATCH(TRIM($J386),'Gap Sheet'!$A$6:$A$11,0)))))</f>
        <v>0</v>
      </c>
      <c r="R386" s="46" t="str">
        <f aca="false">IF($K386="","",$K386&amp;"|"&amp;$O386)</f>
        <v/>
      </c>
      <c r="S386" s="46" t="n">
        <f aca="false">IF($R386="",0,COUNTIF($AA$4:$AA385,$R386))</f>
        <v>0</v>
      </c>
      <c r="T386" s="46" t="str">
        <f aca="false">IF(OR($I386&lt;&gt;"Yes, I'm available for in-person interviews at Chennai",$E386&lt;&gt;"Yes",$P386&lt;&gt;"Yes"),"No",IF(($Q386-$S386)&gt;0,"Yes","No"))</f>
        <v>No</v>
      </c>
      <c r="U386" s="46" t="str">
        <f aca="false">IF($M386="","No",IF(COUNTIFS(MasterPanel!$B:$B,$H386,MasterPanel!$I:$I,$M386,MasterPanel!$K:$K,"Y")&gt;0,"Yes","No"))</f>
        <v>No</v>
      </c>
      <c r="V386" s="46" t="n">
        <f aca="false">IF($M386="",0,IF(COUNTIF('Gap Sheet'!$A$6:$A$11,TRIM($L386))=0,0,IF($O386="R1",INDEX('Gap Sheet'!$C$6:$C$11,MATCH(TRIM($L386),'Gap Sheet'!$A$6:$A$11,0)),INDEX('Gap Sheet'!$G$6:$G$11,MATCH(TRIM($L386),'Gap Sheet'!$A$6:$A$11,0)))))</f>
        <v>0</v>
      </c>
      <c r="W386" s="46" t="str">
        <f aca="false">IF($M386="","",$M386&amp;"|"&amp;$O386)</f>
        <v/>
      </c>
      <c r="X386" s="46" t="n">
        <f aca="false">IF($W386="",0,COUNTIF($AA$4:$AA385,$W386))</f>
        <v>0</v>
      </c>
      <c r="Y386" s="46" t="str">
        <f aca="false">IF(OR($I386&lt;&gt;"Yes, I'm available for in-person interviews at Chennai",$E386&lt;&gt;"Yes",$T386="Yes",$U386&lt;&gt;"Yes"),"No",IF(($V386-$X386)&gt;0,"Yes","No"))</f>
        <v>No</v>
      </c>
      <c r="Z386" s="46" t="str">
        <f aca="false">IF($T386="Yes","Primary",IF($Y386="Yes","Secondary",""))</f>
        <v/>
      </c>
      <c r="AA386" s="46" t="str">
        <f aca="false">IF($Z386="Primary",$R386,IF($Z386="Secondary",$W386,""))</f>
        <v/>
      </c>
      <c r="AB386" s="46" t="str">
        <f aca="false">IF($Z386="Primary","Matched on primary skill",IF($Z386="Secondary","Matched on secondary skill (primary not approved or not required)",""))</f>
        <v/>
      </c>
      <c r="AC386" s="47" t="str">
        <f aca="false">IF($D386="Panel Details",$F386,"")</f>
        <v/>
      </c>
      <c r="AD386" s="46" t="str">
        <f aca="false">IF($D386="Panel Details",'Survey Response'!$D384,"")</f>
        <v/>
      </c>
      <c r="AE386" s="46" t="str">
        <f aca="false">IF($D386="Panel Details",'Survey Response'!$E384,"")</f>
        <v/>
      </c>
      <c r="AF386" s="46" t="str">
        <f aca="false">IF($D386="Panel Details",'Survey Response'!$G384,"")</f>
        <v/>
      </c>
      <c r="AG386" s="46" t="str">
        <f aca="false">IF($D386="Panel Details",IF($Z386="Primary",$J386,$L386),"")</f>
        <v/>
      </c>
      <c r="AH386" s="46" t="str">
        <f aca="false">IF($D386="Panel Details",IF($Z386="Primary",$L386,$J386),"")</f>
        <v/>
      </c>
      <c r="AI386" s="46" t="str">
        <f aca="false">IF($D386="Panel Details",'Survey Response'!$H384,"")</f>
        <v/>
      </c>
      <c r="AJ386" s="46" t="str">
        <f aca="false">IF($D386="Panel Details",'Survey Response'!$M384,"")</f>
        <v/>
      </c>
      <c r="AK386" s="46" t="str">
        <f aca="false">IF($D386="Panel Details",$O386,"")</f>
        <v/>
      </c>
      <c r="AL386" s="46" t="str">
        <f aca="false">IF($D386="Panel Details",8,"")</f>
        <v/>
      </c>
      <c r="AM386" s="46" t="str">
        <f aca="false">IF($D386="Panel Details",$AB386,"")</f>
        <v/>
      </c>
      <c r="AN386" s="46" t="str">
        <f aca="false">IF($D386="Panel Details","Yes","")</f>
        <v/>
      </c>
      <c r="AO386" s="46"/>
      <c r="AP386" s="46" t="str">
        <f aca="false">IF($D386="Followup",'Survey Response'!$D384,"")</f>
        <v/>
      </c>
      <c r="AQ386" s="46" t="str">
        <f aca="false">IF($D386="Followup",'Survey Response'!$E384,"")</f>
        <v/>
      </c>
      <c r="AR386" s="46" t="str">
        <f aca="false">IF($D386="Followup",'Survey Response'!$G384,"")</f>
        <v/>
      </c>
      <c r="AS386" s="46" t="str">
        <f aca="false">IF($D386="Followup",'Survey Response'!$H384,"")</f>
        <v/>
      </c>
      <c r="AT386" s="46" t="str">
        <f aca="false">IF($D386="Followup",'Survey Response'!$M384,"")</f>
        <v/>
      </c>
      <c r="AU386" s="46" t="str">
        <f aca="false">IF($D386="Followup",'Survey Response'!$K384,"")</f>
        <v/>
      </c>
      <c r="AV386" s="46" t="str">
        <f aca="false">IF($D386="Followup",'Survey Response'!$L384,"")</f>
        <v/>
      </c>
      <c r="AW386" s="46" t="str">
        <f aca="false">IF($D386="Followup",IF(AND($P386&lt;&gt;"Yes",$U386&lt;&gt;"Yes"),"Not approved for primary or secondary skill","Approved, but skill(s) no longer have capacity (fully staffed)"),"")</f>
        <v/>
      </c>
    </row>
    <row r="387" customFormat="false" ht="15" hidden="false" customHeight="true" outlineLevel="0" collapsed="false">
      <c r="A387" s="46" t="str">
        <f aca="false">IF('Survey Response'!$D385="","",'Survey Response'!$A385&amp;"|"&amp;LOWER(TRIM('Survey Response'!$D385)))</f>
        <v/>
      </c>
      <c r="B387" s="46" t="str">
        <f aca="false">IF($H387="","",$F387&amp;"|"&amp;$H387)</f>
        <v/>
      </c>
      <c r="C387" s="46" t="str">
        <f aca="false">IF($H387="","",$A387=$B387)</f>
        <v/>
      </c>
      <c r="D387" s="46" t="str">
        <f aca="false">IF($H387="","",IF($E387&lt;&gt;"Yes","Superseded",IF($I387&lt;&gt;"Yes, I'm available for in-person interviews at Chennai","Not Available",IF($Z387&lt;&gt;"","Panel Details","Followup"))))</f>
        <v/>
      </c>
      <c r="E387" s="46" t="str">
        <f aca="false">IF($H387="","",IF(SUMPRODUCT(($H$4:$H$503=$H387)*(($G$4:$G$503&gt;$G387)+($G$4:$G$503=$G387)*($F$4:$F$503&gt;$F387)))=0,"Yes","No"))</f>
        <v/>
      </c>
      <c r="F387" s="47" t="str">
        <f aca="false">IF('Survey Response'!$D385="","",INT('Survey Response'!$A385))</f>
        <v/>
      </c>
      <c r="G387" s="46" t="str">
        <f aca="false">IF('Survey Response'!$D385="","",'Survey Response'!$C385)</f>
        <v/>
      </c>
      <c r="H387" s="46" t="str">
        <f aca="false">IF('Survey Response'!$D385="","",LOWER(TRIM('Survey Response'!$D385)))</f>
        <v/>
      </c>
      <c r="I387" s="46" t="str">
        <f aca="false">IF($H387="","",'Survey Response'!$I385)</f>
        <v/>
      </c>
      <c r="J387" s="46" t="str">
        <f aca="false">IF($H387="","",'Survey Response'!$K385)</f>
        <v/>
      </c>
      <c r="K387" s="46" t="str">
        <f aca="false">IF($J387="","",IF(COUNTIF('Skill Mapping'!$A$2:$A$7,TRIM($J387))=0,"",INDEX('Skill Mapping'!$B$2:$B$7,MATCH(TRIM($J387),'Skill Mapping'!$A$2:$A$7,0))))</f>
        <v/>
      </c>
      <c r="L387" s="46" t="str">
        <f aca="false">IF($H387="","",'Survey Response'!$L385)</f>
        <v/>
      </c>
      <c r="M387" s="46" t="str">
        <f aca="false">IF($L387="","",IF(COUNTIF('Skill Mapping'!$A$2:$A$7,TRIM($L387))=0,"",INDEX('Skill Mapping'!$B$2:$B$7,MATCH(TRIM($L387),'Skill Mapping'!$A$2:$A$7,0))))</f>
        <v/>
      </c>
      <c r="N387" s="46" t="str">
        <f aca="false">IF($H387="","",'Survey Response'!$M385)</f>
        <v/>
      </c>
      <c r="O387" s="46" t="str">
        <f aca="false">IF($H387="","",IF('Survey Response'!$M385="Manager","R2","R1"))</f>
        <v/>
      </c>
      <c r="P387" s="46" t="str">
        <f aca="false">IF($K387="","No",IF(COUNTIFS(MasterPanel!$B:$B,$H387,MasterPanel!$I:$I,$K387,MasterPanel!$K:$K,"Y")&gt;0,"Yes","No"))</f>
        <v>No</v>
      </c>
      <c r="Q387" s="46" t="n">
        <f aca="false">IF($K387="",0,IF(COUNTIF('Gap Sheet'!$A$6:$A$11,TRIM($J387))=0,0,IF($O387="R1",INDEX('Gap Sheet'!$C$6:$C$11,MATCH(TRIM($J387),'Gap Sheet'!$A$6:$A$11,0)),INDEX('Gap Sheet'!$G$6:$G$11,MATCH(TRIM($J387),'Gap Sheet'!$A$6:$A$11,0)))))</f>
        <v>0</v>
      </c>
      <c r="R387" s="46" t="str">
        <f aca="false">IF($K387="","",$K387&amp;"|"&amp;$O387)</f>
        <v/>
      </c>
      <c r="S387" s="46" t="n">
        <f aca="false">IF($R387="",0,COUNTIF($AA$4:$AA386,$R387))</f>
        <v>0</v>
      </c>
      <c r="T387" s="46" t="str">
        <f aca="false">IF(OR($I387&lt;&gt;"Yes, I'm available for in-person interviews at Chennai",$E387&lt;&gt;"Yes",$P387&lt;&gt;"Yes"),"No",IF(($Q387-$S387)&gt;0,"Yes","No"))</f>
        <v>No</v>
      </c>
      <c r="U387" s="46" t="str">
        <f aca="false">IF($M387="","No",IF(COUNTIFS(MasterPanel!$B:$B,$H387,MasterPanel!$I:$I,$M387,MasterPanel!$K:$K,"Y")&gt;0,"Yes","No"))</f>
        <v>No</v>
      </c>
      <c r="V387" s="46" t="n">
        <f aca="false">IF($M387="",0,IF(COUNTIF('Gap Sheet'!$A$6:$A$11,TRIM($L387))=0,0,IF($O387="R1",INDEX('Gap Sheet'!$C$6:$C$11,MATCH(TRIM($L387),'Gap Sheet'!$A$6:$A$11,0)),INDEX('Gap Sheet'!$G$6:$G$11,MATCH(TRIM($L387),'Gap Sheet'!$A$6:$A$11,0)))))</f>
        <v>0</v>
      </c>
      <c r="W387" s="46" t="str">
        <f aca="false">IF($M387="","",$M387&amp;"|"&amp;$O387)</f>
        <v/>
      </c>
      <c r="X387" s="46" t="n">
        <f aca="false">IF($W387="",0,COUNTIF($AA$4:$AA386,$W387))</f>
        <v>0</v>
      </c>
      <c r="Y387" s="46" t="str">
        <f aca="false">IF(OR($I387&lt;&gt;"Yes, I'm available for in-person interviews at Chennai",$E387&lt;&gt;"Yes",$T387="Yes",$U387&lt;&gt;"Yes"),"No",IF(($V387-$X387)&gt;0,"Yes","No"))</f>
        <v>No</v>
      </c>
      <c r="Z387" s="46" t="str">
        <f aca="false">IF($T387="Yes","Primary",IF($Y387="Yes","Secondary",""))</f>
        <v/>
      </c>
      <c r="AA387" s="46" t="str">
        <f aca="false">IF($Z387="Primary",$R387,IF($Z387="Secondary",$W387,""))</f>
        <v/>
      </c>
      <c r="AB387" s="46" t="str">
        <f aca="false">IF($Z387="Primary","Matched on primary skill",IF($Z387="Secondary","Matched on secondary skill (primary not approved or not required)",""))</f>
        <v/>
      </c>
      <c r="AC387" s="47" t="str">
        <f aca="false">IF($D387="Panel Details",$F387,"")</f>
        <v/>
      </c>
      <c r="AD387" s="46" t="str">
        <f aca="false">IF($D387="Panel Details",'Survey Response'!$D385,"")</f>
        <v/>
      </c>
      <c r="AE387" s="46" t="str">
        <f aca="false">IF($D387="Panel Details",'Survey Response'!$E385,"")</f>
        <v/>
      </c>
      <c r="AF387" s="46" t="str">
        <f aca="false">IF($D387="Panel Details",'Survey Response'!$G385,"")</f>
        <v/>
      </c>
      <c r="AG387" s="46" t="str">
        <f aca="false">IF($D387="Panel Details",IF($Z387="Primary",$J387,$L387),"")</f>
        <v/>
      </c>
      <c r="AH387" s="46" t="str">
        <f aca="false">IF($D387="Panel Details",IF($Z387="Primary",$L387,$J387),"")</f>
        <v/>
      </c>
      <c r="AI387" s="46" t="str">
        <f aca="false">IF($D387="Panel Details",'Survey Response'!$H385,"")</f>
        <v/>
      </c>
      <c r="AJ387" s="46" t="str">
        <f aca="false">IF($D387="Panel Details",'Survey Response'!$M385,"")</f>
        <v/>
      </c>
      <c r="AK387" s="46" t="str">
        <f aca="false">IF($D387="Panel Details",$O387,"")</f>
        <v/>
      </c>
      <c r="AL387" s="46" t="str">
        <f aca="false">IF($D387="Panel Details",8,"")</f>
        <v/>
      </c>
      <c r="AM387" s="46" t="str">
        <f aca="false">IF($D387="Panel Details",$AB387,"")</f>
        <v/>
      </c>
      <c r="AN387" s="46" t="str">
        <f aca="false">IF($D387="Panel Details","Yes","")</f>
        <v/>
      </c>
      <c r="AO387" s="46"/>
      <c r="AP387" s="46" t="str">
        <f aca="false">IF($D387="Followup",'Survey Response'!$D385,"")</f>
        <v/>
      </c>
      <c r="AQ387" s="46" t="str">
        <f aca="false">IF($D387="Followup",'Survey Response'!$E385,"")</f>
        <v/>
      </c>
      <c r="AR387" s="46" t="str">
        <f aca="false">IF($D387="Followup",'Survey Response'!$G385,"")</f>
        <v/>
      </c>
      <c r="AS387" s="46" t="str">
        <f aca="false">IF($D387="Followup",'Survey Response'!$H385,"")</f>
        <v/>
      </c>
      <c r="AT387" s="46" t="str">
        <f aca="false">IF($D387="Followup",'Survey Response'!$M385,"")</f>
        <v/>
      </c>
      <c r="AU387" s="46" t="str">
        <f aca="false">IF($D387="Followup",'Survey Response'!$K385,"")</f>
        <v/>
      </c>
      <c r="AV387" s="46" t="str">
        <f aca="false">IF($D387="Followup",'Survey Response'!$L385,"")</f>
        <v/>
      </c>
      <c r="AW387" s="46" t="str">
        <f aca="false">IF($D387="Followup",IF(AND($P387&lt;&gt;"Yes",$U387&lt;&gt;"Yes"),"Not approved for primary or secondary skill","Approved, but skill(s) no longer have capacity (fully staffed)"),"")</f>
        <v/>
      </c>
    </row>
    <row r="388" customFormat="false" ht="15" hidden="false" customHeight="true" outlineLevel="0" collapsed="false">
      <c r="A388" s="46" t="str">
        <f aca="false">IF('Survey Response'!$D386="","",'Survey Response'!$A386&amp;"|"&amp;LOWER(TRIM('Survey Response'!$D386)))</f>
        <v/>
      </c>
      <c r="B388" s="46" t="str">
        <f aca="false">IF($H388="","",$F388&amp;"|"&amp;$H388)</f>
        <v/>
      </c>
      <c r="C388" s="46" t="str">
        <f aca="false">IF($H388="","",$A388=$B388)</f>
        <v/>
      </c>
      <c r="D388" s="46" t="str">
        <f aca="false">IF($H388="","",IF($E388&lt;&gt;"Yes","Superseded",IF($I388&lt;&gt;"Yes, I'm available for in-person interviews at Chennai","Not Available",IF($Z388&lt;&gt;"","Panel Details","Followup"))))</f>
        <v/>
      </c>
      <c r="E388" s="46" t="str">
        <f aca="false">IF($H388="","",IF(SUMPRODUCT(($H$4:$H$503=$H388)*(($G$4:$G$503&gt;$G388)+($G$4:$G$503=$G388)*($F$4:$F$503&gt;$F388)))=0,"Yes","No"))</f>
        <v/>
      </c>
      <c r="F388" s="47" t="str">
        <f aca="false">IF('Survey Response'!$D386="","",INT('Survey Response'!$A386))</f>
        <v/>
      </c>
      <c r="G388" s="46" t="str">
        <f aca="false">IF('Survey Response'!$D386="","",'Survey Response'!$C386)</f>
        <v/>
      </c>
      <c r="H388" s="46" t="str">
        <f aca="false">IF('Survey Response'!$D386="","",LOWER(TRIM('Survey Response'!$D386)))</f>
        <v/>
      </c>
      <c r="I388" s="46" t="str">
        <f aca="false">IF($H388="","",'Survey Response'!$I386)</f>
        <v/>
      </c>
      <c r="J388" s="46" t="str">
        <f aca="false">IF($H388="","",'Survey Response'!$K386)</f>
        <v/>
      </c>
      <c r="K388" s="46" t="str">
        <f aca="false">IF($J388="","",IF(COUNTIF('Skill Mapping'!$A$2:$A$7,TRIM($J388))=0,"",INDEX('Skill Mapping'!$B$2:$B$7,MATCH(TRIM($J388),'Skill Mapping'!$A$2:$A$7,0))))</f>
        <v/>
      </c>
      <c r="L388" s="46" t="str">
        <f aca="false">IF($H388="","",'Survey Response'!$L386)</f>
        <v/>
      </c>
      <c r="M388" s="46" t="str">
        <f aca="false">IF($L388="","",IF(COUNTIF('Skill Mapping'!$A$2:$A$7,TRIM($L388))=0,"",INDEX('Skill Mapping'!$B$2:$B$7,MATCH(TRIM($L388),'Skill Mapping'!$A$2:$A$7,0))))</f>
        <v/>
      </c>
      <c r="N388" s="46" t="str">
        <f aca="false">IF($H388="","",'Survey Response'!$M386)</f>
        <v/>
      </c>
      <c r="O388" s="46" t="str">
        <f aca="false">IF($H388="","",IF('Survey Response'!$M386="Manager","R2","R1"))</f>
        <v/>
      </c>
      <c r="P388" s="46" t="str">
        <f aca="false">IF($K388="","No",IF(COUNTIFS(MasterPanel!$B:$B,$H388,MasterPanel!$I:$I,$K388,MasterPanel!$K:$K,"Y")&gt;0,"Yes","No"))</f>
        <v>No</v>
      </c>
      <c r="Q388" s="46" t="n">
        <f aca="false">IF($K388="",0,IF(COUNTIF('Gap Sheet'!$A$6:$A$11,TRIM($J388))=0,0,IF($O388="R1",INDEX('Gap Sheet'!$C$6:$C$11,MATCH(TRIM($J388),'Gap Sheet'!$A$6:$A$11,0)),INDEX('Gap Sheet'!$G$6:$G$11,MATCH(TRIM($J388),'Gap Sheet'!$A$6:$A$11,0)))))</f>
        <v>0</v>
      </c>
      <c r="R388" s="46" t="str">
        <f aca="false">IF($K388="","",$K388&amp;"|"&amp;$O388)</f>
        <v/>
      </c>
      <c r="S388" s="46" t="n">
        <f aca="false">IF($R388="",0,COUNTIF($AA$4:$AA387,$R388))</f>
        <v>0</v>
      </c>
      <c r="T388" s="46" t="str">
        <f aca="false">IF(OR($I388&lt;&gt;"Yes, I'm available for in-person interviews at Chennai",$E388&lt;&gt;"Yes",$P388&lt;&gt;"Yes"),"No",IF(($Q388-$S388)&gt;0,"Yes","No"))</f>
        <v>No</v>
      </c>
      <c r="U388" s="46" t="str">
        <f aca="false">IF($M388="","No",IF(COUNTIFS(MasterPanel!$B:$B,$H388,MasterPanel!$I:$I,$M388,MasterPanel!$K:$K,"Y")&gt;0,"Yes","No"))</f>
        <v>No</v>
      </c>
      <c r="V388" s="46" t="n">
        <f aca="false">IF($M388="",0,IF(COUNTIF('Gap Sheet'!$A$6:$A$11,TRIM($L388))=0,0,IF($O388="R1",INDEX('Gap Sheet'!$C$6:$C$11,MATCH(TRIM($L388),'Gap Sheet'!$A$6:$A$11,0)),INDEX('Gap Sheet'!$G$6:$G$11,MATCH(TRIM($L388),'Gap Sheet'!$A$6:$A$11,0)))))</f>
        <v>0</v>
      </c>
      <c r="W388" s="46" t="str">
        <f aca="false">IF($M388="","",$M388&amp;"|"&amp;$O388)</f>
        <v/>
      </c>
      <c r="X388" s="46" t="n">
        <f aca="false">IF($W388="",0,COUNTIF($AA$4:$AA387,$W388))</f>
        <v>0</v>
      </c>
      <c r="Y388" s="46" t="str">
        <f aca="false">IF(OR($I388&lt;&gt;"Yes, I'm available for in-person interviews at Chennai",$E388&lt;&gt;"Yes",$T388="Yes",$U388&lt;&gt;"Yes"),"No",IF(($V388-$X388)&gt;0,"Yes","No"))</f>
        <v>No</v>
      </c>
      <c r="Z388" s="46" t="str">
        <f aca="false">IF($T388="Yes","Primary",IF($Y388="Yes","Secondary",""))</f>
        <v/>
      </c>
      <c r="AA388" s="46" t="str">
        <f aca="false">IF($Z388="Primary",$R388,IF($Z388="Secondary",$W388,""))</f>
        <v/>
      </c>
      <c r="AB388" s="46" t="str">
        <f aca="false">IF($Z388="Primary","Matched on primary skill",IF($Z388="Secondary","Matched on secondary skill (primary not approved or not required)",""))</f>
        <v/>
      </c>
      <c r="AC388" s="47" t="str">
        <f aca="false">IF($D388="Panel Details",$F388,"")</f>
        <v/>
      </c>
      <c r="AD388" s="46" t="str">
        <f aca="false">IF($D388="Panel Details",'Survey Response'!$D386,"")</f>
        <v/>
      </c>
      <c r="AE388" s="46" t="str">
        <f aca="false">IF($D388="Panel Details",'Survey Response'!$E386,"")</f>
        <v/>
      </c>
      <c r="AF388" s="46" t="str">
        <f aca="false">IF($D388="Panel Details",'Survey Response'!$G386,"")</f>
        <v/>
      </c>
      <c r="AG388" s="46" t="str">
        <f aca="false">IF($D388="Panel Details",IF($Z388="Primary",$J388,$L388),"")</f>
        <v/>
      </c>
      <c r="AH388" s="46" t="str">
        <f aca="false">IF($D388="Panel Details",IF($Z388="Primary",$L388,$J388),"")</f>
        <v/>
      </c>
      <c r="AI388" s="46" t="str">
        <f aca="false">IF($D388="Panel Details",'Survey Response'!$H386,"")</f>
        <v/>
      </c>
      <c r="AJ388" s="46" t="str">
        <f aca="false">IF($D388="Panel Details",'Survey Response'!$M386,"")</f>
        <v/>
      </c>
      <c r="AK388" s="46" t="str">
        <f aca="false">IF($D388="Panel Details",$O388,"")</f>
        <v/>
      </c>
      <c r="AL388" s="46" t="str">
        <f aca="false">IF($D388="Panel Details",8,"")</f>
        <v/>
      </c>
      <c r="AM388" s="46" t="str">
        <f aca="false">IF($D388="Panel Details",$AB388,"")</f>
        <v/>
      </c>
      <c r="AN388" s="46" t="str">
        <f aca="false">IF($D388="Panel Details","Yes","")</f>
        <v/>
      </c>
      <c r="AO388" s="46"/>
      <c r="AP388" s="46" t="str">
        <f aca="false">IF($D388="Followup",'Survey Response'!$D386,"")</f>
        <v/>
      </c>
      <c r="AQ388" s="46" t="str">
        <f aca="false">IF($D388="Followup",'Survey Response'!$E386,"")</f>
        <v/>
      </c>
      <c r="AR388" s="46" t="str">
        <f aca="false">IF($D388="Followup",'Survey Response'!$G386,"")</f>
        <v/>
      </c>
      <c r="AS388" s="46" t="str">
        <f aca="false">IF($D388="Followup",'Survey Response'!$H386,"")</f>
        <v/>
      </c>
      <c r="AT388" s="46" t="str">
        <f aca="false">IF($D388="Followup",'Survey Response'!$M386,"")</f>
        <v/>
      </c>
      <c r="AU388" s="46" t="str">
        <f aca="false">IF($D388="Followup",'Survey Response'!$K386,"")</f>
        <v/>
      </c>
      <c r="AV388" s="46" t="str">
        <f aca="false">IF($D388="Followup",'Survey Response'!$L386,"")</f>
        <v/>
      </c>
      <c r="AW388" s="46" t="str">
        <f aca="false">IF($D388="Followup",IF(AND($P388&lt;&gt;"Yes",$U388&lt;&gt;"Yes"),"Not approved for primary or secondary skill","Approved, but skill(s) no longer have capacity (fully staffed)"),"")</f>
        <v/>
      </c>
    </row>
    <row r="389" customFormat="false" ht="15" hidden="false" customHeight="true" outlineLevel="0" collapsed="false">
      <c r="A389" s="46" t="str">
        <f aca="false">IF('Survey Response'!$D387="","",'Survey Response'!$A387&amp;"|"&amp;LOWER(TRIM('Survey Response'!$D387)))</f>
        <v/>
      </c>
      <c r="B389" s="46" t="str">
        <f aca="false">IF($H389="","",$F389&amp;"|"&amp;$H389)</f>
        <v/>
      </c>
      <c r="C389" s="46" t="str">
        <f aca="false">IF($H389="","",$A389=$B389)</f>
        <v/>
      </c>
      <c r="D389" s="46" t="str">
        <f aca="false">IF($H389="","",IF($E389&lt;&gt;"Yes","Superseded",IF($I389&lt;&gt;"Yes, I'm available for in-person interviews at Chennai","Not Available",IF($Z389&lt;&gt;"","Panel Details","Followup"))))</f>
        <v/>
      </c>
      <c r="E389" s="46" t="str">
        <f aca="false">IF($H389="","",IF(SUMPRODUCT(($H$4:$H$503=$H389)*(($G$4:$G$503&gt;$G389)+($G$4:$G$503=$G389)*($F$4:$F$503&gt;$F389)))=0,"Yes","No"))</f>
        <v/>
      </c>
      <c r="F389" s="47" t="str">
        <f aca="false">IF('Survey Response'!$D387="","",INT('Survey Response'!$A387))</f>
        <v/>
      </c>
      <c r="G389" s="46" t="str">
        <f aca="false">IF('Survey Response'!$D387="","",'Survey Response'!$C387)</f>
        <v/>
      </c>
      <c r="H389" s="46" t="str">
        <f aca="false">IF('Survey Response'!$D387="","",LOWER(TRIM('Survey Response'!$D387)))</f>
        <v/>
      </c>
      <c r="I389" s="46" t="str">
        <f aca="false">IF($H389="","",'Survey Response'!$I387)</f>
        <v/>
      </c>
      <c r="J389" s="46" t="str">
        <f aca="false">IF($H389="","",'Survey Response'!$K387)</f>
        <v/>
      </c>
      <c r="K389" s="46" t="str">
        <f aca="false">IF($J389="","",IF(COUNTIF('Skill Mapping'!$A$2:$A$7,TRIM($J389))=0,"",INDEX('Skill Mapping'!$B$2:$B$7,MATCH(TRIM($J389),'Skill Mapping'!$A$2:$A$7,0))))</f>
        <v/>
      </c>
      <c r="L389" s="46" t="str">
        <f aca="false">IF($H389="","",'Survey Response'!$L387)</f>
        <v/>
      </c>
      <c r="M389" s="46" t="str">
        <f aca="false">IF($L389="","",IF(COUNTIF('Skill Mapping'!$A$2:$A$7,TRIM($L389))=0,"",INDEX('Skill Mapping'!$B$2:$B$7,MATCH(TRIM($L389),'Skill Mapping'!$A$2:$A$7,0))))</f>
        <v/>
      </c>
      <c r="N389" s="46" t="str">
        <f aca="false">IF($H389="","",'Survey Response'!$M387)</f>
        <v/>
      </c>
      <c r="O389" s="46" t="str">
        <f aca="false">IF($H389="","",IF('Survey Response'!$M387="Manager","R2","R1"))</f>
        <v/>
      </c>
      <c r="P389" s="46" t="str">
        <f aca="false">IF($K389="","No",IF(COUNTIFS(MasterPanel!$B:$B,$H389,MasterPanel!$I:$I,$K389,MasterPanel!$K:$K,"Y")&gt;0,"Yes","No"))</f>
        <v>No</v>
      </c>
      <c r="Q389" s="46" t="n">
        <f aca="false">IF($K389="",0,IF(COUNTIF('Gap Sheet'!$A$6:$A$11,TRIM($J389))=0,0,IF($O389="R1",INDEX('Gap Sheet'!$C$6:$C$11,MATCH(TRIM($J389),'Gap Sheet'!$A$6:$A$11,0)),INDEX('Gap Sheet'!$G$6:$G$11,MATCH(TRIM($J389),'Gap Sheet'!$A$6:$A$11,0)))))</f>
        <v>0</v>
      </c>
      <c r="R389" s="46" t="str">
        <f aca="false">IF($K389="","",$K389&amp;"|"&amp;$O389)</f>
        <v/>
      </c>
      <c r="S389" s="46" t="n">
        <f aca="false">IF($R389="",0,COUNTIF($AA$4:$AA388,$R389))</f>
        <v>0</v>
      </c>
      <c r="T389" s="46" t="str">
        <f aca="false">IF(OR($I389&lt;&gt;"Yes, I'm available for in-person interviews at Chennai",$E389&lt;&gt;"Yes",$P389&lt;&gt;"Yes"),"No",IF(($Q389-$S389)&gt;0,"Yes","No"))</f>
        <v>No</v>
      </c>
      <c r="U389" s="46" t="str">
        <f aca="false">IF($M389="","No",IF(COUNTIFS(MasterPanel!$B:$B,$H389,MasterPanel!$I:$I,$M389,MasterPanel!$K:$K,"Y")&gt;0,"Yes","No"))</f>
        <v>No</v>
      </c>
      <c r="V389" s="46" t="n">
        <f aca="false">IF($M389="",0,IF(COUNTIF('Gap Sheet'!$A$6:$A$11,TRIM($L389))=0,0,IF($O389="R1",INDEX('Gap Sheet'!$C$6:$C$11,MATCH(TRIM($L389),'Gap Sheet'!$A$6:$A$11,0)),INDEX('Gap Sheet'!$G$6:$G$11,MATCH(TRIM($L389),'Gap Sheet'!$A$6:$A$11,0)))))</f>
        <v>0</v>
      </c>
      <c r="W389" s="46" t="str">
        <f aca="false">IF($M389="","",$M389&amp;"|"&amp;$O389)</f>
        <v/>
      </c>
      <c r="X389" s="46" t="n">
        <f aca="false">IF($W389="",0,COUNTIF($AA$4:$AA388,$W389))</f>
        <v>0</v>
      </c>
      <c r="Y389" s="46" t="str">
        <f aca="false">IF(OR($I389&lt;&gt;"Yes, I'm available for in-person interviews at Chennai",$E389&lt;&gt;"Yes",$T389="Yes",$U389&lt;&gt;"Yes"),"No",IF(($V389-$X389)&gt;0,"Yes","No"))</f>
        <v>No</v>
      </c>
      <c r="Z389" s="46" t="str">
        <f aca="false">IF($T389="Yes","Primary",IF($Y389="Yes","Secondary",""))</f>
        <v/>
      </c>
      <c r="AA389" s="46" t="str">
        <f aca="false">IF($Z389="Primary",$R389,IF($Z389="Secondary",$W389,""))</f>
        <v/>
      </c>
      <c r="AB389" s="46" t="str">
        <f aca="false">IF($Z389="Primary","Matched on primary skill",IF($Z389="Secondary","Matched on secondary skill (primary not approved or not required)",""))</f>
        <v/>
      </c>
      <c r="AC389" s="47" t="str">
        <f aca="false">IF($D389="Panel Details",$F389,"")</f>
        <v/>
      </c>
      <c r="AD389" s="46" t="str">
        <f aca="false">IF($D389="Panel Details",'Survey Response'!$D387,"")</f>
        <v/>
      </c>
      <c r="AE389" s="46" t="str">
        <f aca="false">IF($D389="Panel Details",'Survey Response'!$E387,"")</f>
        <v/>
      </c>
      <c r="AF389" s="46" t="str">
        <f aca="false">IF($D389="Panel Details",'Survey Response'!$G387,"")</f>
        <v/>
      </c>
      <c r="AG389" s="46" t="str">
        <f aca="false">IF($D389="Panel Details",IF($Z389="Primary",$J389,$L389),"")</f>
        <v/>
      </c>
      <c r="AH389" s="46" t="str">
        <f aca="false">IF($D389="Panel Details",IF($Z389="Primary",$L389,$J389),"")</f>
        <v/>
      </c>
      <c r="AI389" s="46" t="str">
        <f aca="false">IF($D389="Panel Details",'Survey Response'!$H387,"")</f>
        <v/>
      </c>
      <c r="AJ389" s="46" t="str">
        <f aca="false">IF($D389="Panel Details",'Survey Response'!$M387,"")</f>
        <v/>
      </c>
      <c r="AK389" s="46" t="str">
        <f aca="false">IF($D389="Panel Details",$O389,"")</f>
        <v/>
      </c>
      <c r="AL389" s="46" t="str">
        <f aca="false">IF($D389="Panel Details",8,"")</f>
        <v/>
      </c>
      <c r="AM389" s="46" t="str">
        <f aca="false">IF($D389="Panel Details",$AB389,"")</f>
        <v/>
      </c>
      <c r="AN389" s="46" t="str">
        <f aca="false">IF($D389="Panel Details","Yes","")</f>
        <v/>
      </c>
      <c r="AO389" s="46"/>
      <c r="AP389" s="46" t="str">
        <f aca="false">IF($D389="Followup",'Survey Response'!$D387,"")</f>
        <v/>
      </c>
      <c r="AQ389" s="46" t="str">
        <f aca="false">IF($D389="Followup",'Survey Response'!$E387,"")</f>
        <v/>
      </c>
      <c r="AR389" s="46" t="str">
        <f aca="false">IF($D389="Followup",'Survey Response'!$G387,"")</f>
        <v/>
      </c>
      <c r="AS389" s="46" t="str">
        <f aca="false">IF($D389="Followup",'Survey Response'!$H387,"")</f>
        <v/>
      </c>
      <c r="AT389" s="46" t="str">
        <f aca="false">IF($D389="Followup",'Survey Response'!$M387,"")</f>
        <v/>
      </c>
      <c r="AU389" s="46" t="str">
        <f aca="false">IF($D389="Followup",'Survey Response'!$K387,"")</f>
        <v/>
      </c>
      <c r="AV389" s="46" t="str">
        <f aca="false">IF($D389="Followup",'Survey Response'!$L387,"")</f>
        <v/>
      </c>
      <c r="AW389" s="46" t="str">
        <f aca="false">IF($D389="Followup",IF(AND($P389&lt;&gt;"Yes",$U389&lt;&gt;"Yes"),"Not approved for primary or secondary skill","Approved, but skill(s) no longer have capacity (fully staffed)"),"")</f>
        <v/>
      </c>
    </row>
    <row r="390" customFormat="false" ht="15" hidden="false" customHeight="true" outlineLevel="0" collapsed="false">
      <c r="A390" s="46" t="str">
        <f aca="false">IF('Survey Response'!$D388="","",'Survey Response'!$A388&amp;"|"&amp;LOWER(TRIM('Survey Response'!$D388)))</f>
        <v/>
      </c>
      <c r="B390" s="46" t="str">
        <f aca="false">IF($H390="","",$F390&amp;"|"&amp;$H390)</f>
        <v/>
      </c>
      <c r="C390" s="46" t="str">
        <f aca="false">IF($H390="","",$A390=$B390)</f>
        <v/>
      </c>
      <c r="D390" s="46" t="str">
        <f aca="false">IF($H390="","",IF($E390&lt;&gt;"Yes","Superseded",IF($I390&lt;&gt;"Yes, I'm available for in-person interviews at Chennai","Not Available",IF($Z390&lt;&gt;"","Panel Details","Followup"))))</f>
        <v/>
      </c>
      <c r="E390" s="46" t="str">
        <f aca="false">IF($H390="","",IF(SUMPRODUCT(($H$4:$H$503=$H390)*(($G$4:$G$503&gt;$G390)+($G$4:$G$503=$G390)*($F$4:$F$503&gt;$F390)))=0,"Yes","No"))</f>
        <v/>
      </c>
      <c r="F390" s="47" t="str">
        <f aca="false">IF('Survey Response'!$D388="","",INT('Survey Response'!$A388))</f>
        <v/>
      </c>
      <c r="G390" s="46" t="str">
        <f aca="false">IF('Survey Response'!$D388="","",'Survey Response'!$C388)</f>
        <v/>
      </c>
      <c r="H390" s="46" t="str">
        <f aca="false">IF('Survey Response'!$D388="","",LOWER(TRIM('Survey Response'!$D388)))</f>
        <v/>
      </c>
      <c r="I390" s="46" t="str">
        <f aca="false">IF($H390="","",'Survey Response'!$I388)</f>
        <v/>
      </c>
      <c r="J390" s="46" t="str">
        <f aca="false">IF($H390="","",'Survey Response'!$K388)</f>
        <v/>
      </c>
      <c r="K390" s="46" t="str">
        <f aca="false">IF($J390="","",IF(COUNTIF('Skill Mapping'!$A$2:$A$7,TRIM($J390))=0,"",INDEX('Skill Mapping'!$B$2:$B$7,MATCH(TRIM($J390),'Skill Mapping'!$A$2:$A$7,0))))</f>
        <v/>
      </c>
      <c r="L390" s="46" t="str">
        <f aca="false">IF($H390="","",'Survey Response'!$L388)</f>
        <v/>
      </c>
      <c r="M390" s="46" t="str">
        <f aca="false">IF($L390="","",IF(COUNTIF('Skill Mapping'!$A$2:$A$7,TRIM($L390))=0,"",INDEX('Skill Mapping'!$B$2:$B$7,MATCH(TRIM($L390),'Skill Mapping'!$A$2:$A$7,0))))</f>
        <v/>
      </c>
      <c r="N390" s="46" t="str">
        <f aca="false">IF($H390="","",'Survey Response'!$M388)</f>
        <v/>
      </c>
      <c r="O390" s="46" t="str">
        <f aca="false">IF($H390="","",IF('Survey Response'!$M388="Manager","R2","R1"))</f>
        <v/>
      </c>
      <c r="P390" s="46" t="str">
        <f aca="false">IF($K390="","No",IF(COUNTIFS(MasterPanel!$B:$B,$H390,MasterPanel!$I:$I,$K390,MasterPanel!$K:$K,"Y")&gt;0,"Yes","No"))</f>
        <v>No</v>
      </c>
      <c r="Q390" s="46" t="n">
        <f aca="false">IF($K390="",0,IF(COUNTIF('Gap Sheet'!$A$6:$A$11,TRIM($J390))=0,0,IF($O390="R1",INDEX('Gap Sheet'!$C$6:$C$11,MATCH(TRIM($J390),'Gap Sheet'!$A$6:$A$11,0)),INDEX('Gap Sheet'!$G$6:$G$11,MATCH(TRIM($J390),'Gap Sheet'!$A$6:$A$11,0)))))</f>
        <v>0</v>
      </c>
      <c r="R390" s="46" t="str">
        <f aca="false">IF($K390="","",$K390&amp;"|"&amp;$O390)</f>
        <v/>
      </c>
      <c r="S390" s="46" t="n">
        <f aca="false">IF($R390="",0,COUNTIF($AA$4:$AA389,$R390))</f>
        <v>0</v>
      </c>
      <c r="T390" s="46" t="str">
        <f aca="false">IF(OR($I390&lt;&gt;"Yes, I'm available for in-person interviews at Chennai",$E390&lt;&gt;"Yes",$P390&lt;&gt;"Yes"),"No",IF(($Q390-$S390)&gt;0,"Yes","No"))</f>
        <v>No</v>
      </c>
      <c r="U390" s="46" t="str">
        <f aca="false">IF($M390="","No",IF(COUNTIFS(MasterPanel!$B:$B,$H390,MasterPanel!$I:$I,$M390,MasterPanel!$K:$K,"Y")&gt;0,"Yes","No"))</f>
        <v>No</v>
      </c>
      <c r="V390" s="46" t="n">
        <f aca="false">IF($M390="",0,IF(COUNTIF('Gap Sheet'!$A$6:$A$11,TRIM($L390))=0,0,IF($O390="R1",INDEX('Gap Sheet'!$C$6:$C$11,MATCH(TRIM($L390),'Gap Sheet'!$A$6:$A$11,0)),INDEX('Gap Sheet'!$G$6:$G$11,MATCH(TRIM($L390),'Gap Sheet'!$A$6:$A$11,0)))))</f>
        <v>0</v>
      </c>
      <c r="W390" s="46" t="str">
        <f aca="false">IF($M390="","",$M390&amp;"|"&amp;$O390)</f>
        <v/>
      </c>
      <c r="X390" s="46" t="n">
        <f aca="false">IF($W390="",0,COUNTIF($AA$4:$AA389,$W390))</f>
        <v>0</v>
      </c>
      <c r="Y390" s="46" t="str">
        <f aca="false">IF(OR($I390&lt;&gt;"Yes, I'm available for in-person interviews at Chennai",$E390&lt;&gt;"Yes",$T390="Yes",$U390&lt;&gt;"Yes"),"No",IF(($V390-$X390)&gt;0,"Yes","No"))</f>
        <v>No</v>
      </c>
      <c r="Z390" s="46" t="str">
        <f aca="false">IF($T390="Yes","Primary",IF($Y390="Yes","Secondary",""))</f>
        <v/>
      </c>
      <c r="AA390" s="46" t="str">
        <f aca="false">IF($Z390="Primary",$R390,IF($Z390="Secondary",$W390,""))</f>
        <v/>
      </c>
      <c r="AB390" s="46" t="str">
        <f aca="false">IF($Z390="Primary","Matched on primary skill",IF($Z390="Secondary","Matched on secondary skill (primary not approved or not required)",""))</f>
        <v/>
      </c>
      <c r="AC390" s="47" t="str">
        <f aca="false">IF($D390="Panel Details",$F390,"")</f>
        <v/>
      </c>
      <c r="AD390" s="46" t="str">
        <f aca="false">IF($D390="Panel Details",'Survey Response'!$D388,"")</f>
        <v/>
      </c>
      <c r="AE390" s="46" t="str">
        <f aca="false">IF($D390="Panel Details",'Survey Response'!$E388,"")</f>
        <v/>
      </c>
      <c r="AF390" s="46" t="str">
        <f aca="false">IF($D390="Panel Details",'Survey Response'!$G388,"")</f>
        <v/>
      </c>
      <c r="AG390" s="46" t="str">
        <f aca="false">IF($D390="Panel Details",IF($Z390="Primary",$J390,$L390),"")</f>
        <v/>
      </c>
      <c r="AH390" s="46" t="str">
        <f aca="false">IF($D390="Panel Details",IF($Z390="Primary",$L390,$J390),"")</f>
        <v/>
      </c>
      <c r="AI390" s="46" t="str">
        <f aca="false">IF($D390="Panel Details",'Survey Response'!$H388,"")</f>
        <v/>
      </c>
      <c r="AJ390" s="46" t="str">
        <f aca="false">IF($D390="Panel Details",'Survey Response'!$M388,"")</f>
        <v/>
      </c>
      <c r="AK390" s="46" t="str">
        <f aca="false">IF($D390="Panel Details",$O390,"")</f>
        <v/>
      </c>
      <c r="AL390" s="46" t="str">
        <f aca="false">IF($D390="Panel Details",8,"")</f>
        <v/>
      </c>
      <c r="AM390" s="46" t="str">
        <f aca="false">IF($D390="Panel Details",$AB390,"")</f>
        <v/>
      </c>
      <c r="AN390" s="46" t="str">
        <f aca="false">IF($D390="Panel Details","Yes","")</f>
        <v/>
      </c>
      <c r="AO390" s="46"/>
      <c r="AP390" s="46" t="str">
        <f aca="false">IF($D390="Followup",'Survey Response'!$D388,"")</f>
        <v/>
      </c>
      <c r="AQ390" s="46" t="str">
        <f aca="false">IF($D390="Followup",'Survey Response'!$E388,"")</f>
        <v/>
      </c>
      <c r="AR390" s="46" t="str">
        <f aca="false">IF($D390="Followup",'Survey Response'!$G388,"")</f>
        <v/>
      </c>
      <c r="AS390" s="46" t="str">
        <f aca="false">IF($D390="Followup",'Survey Response'!$H388,"")</f>
        <v/>
      </c>
      <c r="AT390" s="46" t="str">
        <f aca="false">IF($D390="Followup",'Survey Response'!$M388,"")</f>
        <v/>
      </c>
      <c r="AU390" s="46" t="str">
        <f aca="false">IF($D390="Followup",'Survey Response'!$K388,"")</f>
        <v/>
      </c>
      <c r="AV390" s="46" t="str">
        <f aca="false">IF($D390="Followup",'Survey Response'!$L388,"")</f>
        <v/>
      </c>
      <c r="AW390" s="46" t="str">
        <f aca="false">IF($D390="Followup",IF(AND($P390&lt;&gt;"Yes",$U390&lt;&gt;"Yes"),"Not approved for primary or secondary skill","Approved, but skill(s) no longer have capacity (fully staffed)"),"")</f>
        <v/>
      </c>
    </row>
    <row r="391" customFormat="false" ht="15" hidden="false" customHeight="true" outlineLevel="0" collapsed="false">
      <c r="A391" s="46" t="str">
        <f aca="false">IF('Survey Response'!$D389="","",'Survey Response'!$A389&amp;"|"&amp;LOWER(TRIM('Survey Response'!$D389)))</f>
        <v/>
      </c>
      <c r="B391" s="46" t="str">
        <f aca="false">IF($H391="","",$F391&amp;"|"&amp;$H391)</f>
        <v/>
      </c>
      <c r="C391" s="46" t="str">
        <f aca="false">IF($H391="","",$A391=$B391)</f>
        <v/>
      </c>
      <c r="D391" s="46" t="str">
        <f aca="false">IF($H391="","",IF($E391&lt;&gt;"Yes","Superseded",IF($I391&lt;&gt;"Yes, I'm available for in-person interviews at Chennai","Not Available",IF($Z391&lt;&gt;"","Panel Details","Followup"))))</f>
        <v/>
      </c>
      <c r="E391" s="46" t="str">
        <f aca="false">IF($H391="","",IF(SUMPRODUCT(($H$4:$H$503=$H391)*(($G$4:$G$503&gt;$G391)+($G$4:$G$503=$G391)*($F$4:$F$503&gt;$F391)))=0,"Yes","No"))</f>
        <v/>
      </c>
      <c r="F391" s="47" t="str">
        <f aca="false">IF('Survey Response'!$D389="","",INT('Survey Response'!$A389))</f>
        <v/>
      </c>
      <c r="G391" s="46" t="str">
        <f aca="false">IF('Survey Response'!$D389="","",'Survey Response'!$C389)</f>
        <v/>
      </c>
      <c r="H391" s="46" t="str">
        <f aca="false">IF('Survey Response'!$D389="","",LOWER(TRIM('Survey Response'!$D389)))</f>
        <v/>
      </c>
      <c r="I391" s="46" t="str">
        <f aca="false">IF($H391="","",'Survey Response'!$I389)</f>
        <v/>
      </c>
      <c r="J391" s="46" t="str">
        <f aca="false">IF($H391="","",'Survey Response'!$K389)</f>
        <v/>
      </c>
      <c r="K391" s="46" t="str">
        <f aca="false">IF($J391="","",IF(COUNTIF('Skill Mapping'!$A$2:$A$7,TRIM($J391))=0,"",INDEX('Skill Mapping'!$B$2:$B$7,MATCH(TRIM($J391),'Skill Mapping'!$A$2:$A$7,0))))</f>
        <v/>
      </c>
      <c r="L391" s="46" t="str">
        <f aca="false">IF($H391="","",'Survey Response'!$L389)</f>
        <v/>
      </c>
      <c r="M391" s="46" t="str">
        <f aca="false">IF($L391="","",IF(COUNTIF('Skill Mapping'!$A$2:$A$7,TRIM($L391))=0,"",INDEX('Skill Mapping'!$B$2:$B$7,MATCH(TRIM($L391),'Skill Mapping'!$A$2:$A$7,0))))</f>
        <v/>
      </c>
      <c r="N391" s="46" t="str">
        <f aca="false">IF($H391="","",'Survey Response'!$M389)</f>
        <v/>
      </c>
      <c r="O391" s="46" t="str">
        <f aca="false">IF($H391="","",IF('Survey Response'!$M389="Manager","R2","R1"))</f>
        <v/>
      </c>
      <c r="P391" s="46" t="str">
        <f aca="false">IF($K391="","No",IF(COUNTIFS(MasterPanel!$B:$B,$H391,MasterPanel!$I:$I,$K391,MasterPanel!$K:$K,"Y")&gt;0,"Yes","No"))</f>
        <v>No</v>
      </c>
      <c r="Q391" s="46" t="n">
        <f aca="false">IF($K391="",0,IF(COUNTIF('Gap Sheet'!$A$6:$A$11,TRIM($J391))=0,0,IF($O391="R1",INDEX('Gap Sheet'!$C$6:$C$11,MATCH(TRIM($J391),'Gap Sheet'!$A$6:$A$11,0)),INDEX('Gap Sheet'!$G$6:$G$11,MATCH(TRIM($J391),'Gap Sheet'!$A$6:$A$11,0)))))</f>
        <v>0</v>
      </c>
      <c r="R391" s="46" t="str">
        <f aca="false">IF($K391="","",$K391&amp;"|"&amp;$O391)</f>
        <v/>
      </c>
      <c r="S391" s="46" t="n">
        <f aca="false">IF($R391="",0,COUNTIF($AA$4:$AA390,$R391))</f>
        <v>0</v>
      </c>
      <c r="T391" s="46" t="str">
        <f aca="false">IF(OR($I391&lt;&gt;"Yes, I'm available for in-person interviews at Chennai",$E391&lt;&gt;"Yes",$P391&lt;&gt;"Yes"),"No",IF(($Q391-$S391)&gt;0,"Yes","No"))</f>
        <v>No</v>
      </c>
      <c r="U391" s="46" t="str">
        <f aca="false">IF($M391="","No",IF(COUNTIFS(MasterPanel!$B:$B,$H391,MasterPanel!$I:$I,$M391,MasterPanel!$K:$K,"Y")&gt;0,"Yes","No"))</f>
        <v>No</v>
      </c>
      <c r="V391" s="46" t="n">
        <f aca="false">IF($M391="",0,IF(COUNTIF('Gap Sheet'!$A$6:$A$11,TRIM($L391))=0,0,IF($O391="R1",INDEX('Gap Sheet'!$C$6:$C$11,MATCH(TRIM($L391),'Gap Sheet'!$A$6:$A$11,0)),INDEX('Gap Sheet'!$G$6:$G$11,MATCH(TRIM($L391),'Gap Sheet'!$A$6:$A$11,0)))))</f>
        <v>0</v>
      </c>
      <c r="W391" s="46" t="str">
        <f aca="false">IF($M391="","",$M391&amp;"|"&amp;$O391)</f>
        <v/>
      </c>
      <c r="X391" s="46" t="n">
        <f aca="false">IF($W391="",0,COUNTIF($AA$4:$AA390,$W391))</f>
        <v>0</v>
      </c>
      <c r="Y391" s="46" t="str">
        <f aca="false">IF(OR($I391&lt;&gt;"Yes, I'm available for in-person interviews at Chennai",$E391&lt;&gt;"Yes",$T391="Yes",$U391&lt;&gt;"Yes"),"No",IF(($V391-$X391)&gt;0,"Yes","No"))</f>
        <v>No</v>
      </c>
      <c r="Z391" s="46" t="str">
        <f aca="false">IF($T391="Yes","Primary",IF($Y391="Yes","Secondary",""))</f>
        <v/>
      </c>
      <c r="AA391" s="46" t="str">
        <f aca="false">IF($Z391="Primary",$R391,IF($Z391="Secondary",$W391,""))</f>
        <v/>
      </c>
      <c r="AB391" s="46" t="str">
        <f aca="false">IF($Z391="Primary","Matched on primary skill",IF($Z391="Secondary","Matched on secondary skill (primary not approved or not required)",""))</f>
        <v/>
      </c>
      <c r="AC391" s="47" t="str">
        <f aca="false">IF($D391="Panel Details",$F391,"")</f>
        <v/>
      </c>
      <c r="AD391" s="46" t="str">
        <f aca="false">IF($D391="Panel Details",'Survey Response'!$D389,"")</f>
        <v/>
      </c>
      <c r="AE391" s="46" t="str">
        <f aca="false">IF($D391="Panel Details",'Survey Response'!$E389,"")</f>
        <v/>
      </c>
      <c r="AF391" s="46" t="str">
        <f aca="false">IF($D391="Panel Details",'Survey Response'!$G389,"")</f>
        <v/>
      </c>
      <c r="AG391" s="46" t="str">
        <f aca="false">IF($D391="Panel Details",IF($Z391="Primary",$J391,$L391),"")</f>
        <v/>
      </c>
      <c r="AH391" s="46" t="str">
        <f aca="false">IF($D391="Panel Details",IF($Z391="Primary",$L391,$J391),"")</f>
        <v/>
      </c>
      <c r="AI391" s="46" t="str">
        <f aca="false">IF($D391="Panel Details",'Survey Response'!$H389,"")</f>
        <v/>
      </c>
      <c r="AJ391" s="46" t="str">
        <f aca="false">IF($D391="Panel Details",'Survey Response'!$M389,"")</f>
        <v/>
      </c>
      <c r="AK391" s="46" t="str">
        <f aca="false">IF($D391="Panel Details",$O391,"")</f>
        <v/>
      </c>
      <c r="AL391" s="46" t="str">
        <f aca="false">IF($D391="Panel Details",8,"")</f>
        <v/>
      </c>
      <c r="AM391" s="46" t="str">
        <f aca="false">IF($D391="Panel Details",$AB391,"")</f>
        <v/>
      </c>
      <c r="AN391" s="46" t="str">
        <f aca="false">IF($D391="Panel Details","Yes","")</f>
        <v/>
      </c>
      <c r="AO391" s="46"/>
      <c r="AP391" s="46" t="str">
        <f aca="false">IF($D391="Followup",'Survey Response'!$D389,"")</f>
        <v/>
      </c>
      <c r="AQ391" s="46" t="str">
        <f aca="false">IF($D391="Followup",'Survey Response'!$E389,"")</f>
        <v/>
      </c>
      <c r="AR391" s="46" t="str">
        <f aca="false">IF($D391="Followup",'Survey Response'!$G389,"")</f>
        <v/>
      </c>
      <c r="AS391" s="46" t="str">
        <f aca="false">IF($D391="Followup",'Survey Response'!$H389,"")</f>
        <v/>
      </c>
      <c r="AT391" s="46" t="str">
        <f aca="false">IF($D391="Followup",'Survey Response'!$M389,"")</f>
        <v/>
      </c>
      <c r="AU391" s="46" t="str">
        <f aca="false">IF($D391="Followup",'Survey Response'!$K389,"")</f>
        <v/>
      </c>
      <c r="AV391" s="46" t="str">
        <f aca="false">IF($D391="Followup",'Survey Response'!$L389,"")</f>
        <v/>
      </c>
      <c r="AW391" s="46" t="str">
        <f aca="false">IF($D391="Followup",IF(AND($P391&lt;&gt;"Yes",$U391&lt;&gt;"Yes"),"Not approved for primary or secondary skill","Approved, but skill(s) no longer have capacity (fully staffed)"),"")</f>
        <v/>
      </c>
    </row>
    <row r="392" customFormat="false" ht="15" hidden="false" customHeight="true" outlineLevel="0" collapsed="false">
      <c r="A392" s="46" t="str">
        <f aca="false">IF('Survey Response'!$D390="","",'Survey Response'!$A390&amp;"|"&amp;LOWER(TRIM('Survey Response'!$D390)))</f>
        <v/>
      </c>
      <c r="B392" s="46" t="str">
        <f aca="false">IF($H392="","",$F392&amp;"|"&amp;$H392)</f>
        <v/>
      </c>
      <c r="C392" s="46" t="str">
        <f aca="false">IF($H392="","",$A392=$B392)</f>
        <v/>
      </c>
      <c r="D392" s="46" t="str">
        <f aca="false">IF($H392="","",IF($E392&lt;&gt;"Yes","Superseded",IF($I392&lt;&gt;"Yes, I'm available for in-person interviews at Chennai","Not Available",IF($Z392&lt;&gt;"","Panel Details","Followup"))))</f>
        <v/>
      </c>
      <c r="E392" s="46" t="str">
        <f aca="false">IF($H392="","",IF(SUMPRODUCT(($H$4:$H$503=$H392)*(($G$4:$G$503&gt;$G392)+($G$4:$G$503=$G392)*($F$4:$F$503&gt;$F392)))=0,"Yes","No"))</f>
        <v/>
      </c>
      <c r="F392" s="47" t="str">
        <f aca="false">IF('Survey Response'!$D390="","",INT('Survey Response'!$A390))</f>
        <v/>
      </c>
      <c r="G392" s="46" t="str">
        <f aca="false">IF('Survey Response'!$D390="","",'Survey Response'!$C390)</f>
        <v/>
      </c>
      <c r="H392" s="46" t="str">
        <f aca="false">IF('Survey Response'!$D390="","",LOWER(TRIM('Survey Response'!$D390)))</f>
        <v/>
      </c>
      <c r="I392" s="46" t="str">
        <f aca="false">IF($H392="","",'Survey Response'!$I390)</f>
        <v/>
      </c>
      <c r="J392" s="46" t="str">
        <f aca="false">IF($H392="","",'Survey Response'!$K390)</f>
        <v/>
      </c>
      <c r="K392" s="46" t="str">
        <f aca="false">IF($J392="","",IF(COUNTIF('Skill Mapping'!$A$2:$A$7,TRIM($J392))=0,"",INDEX('Skill Mapping'!$B$2:$B$7,MATCH(TRIM($J392),'Skill Mapping'!$A$2:$A$7,0))))</f>
        <v/>
      </c>
      <c r="L392" s="46" t="str">
        <f aca="false">IF($H392="","",'Survey Response'!$L390)</f>
        <v/>
      </c>
      <c r="M392" s="46" t="str">
        <f aca="false">IF($L392="","",IF(COUNTIF('Skill Mapping'!$A$2:$A$7,TRIM($L392))=0,"",INDEX('Skill Mapping'!$B$2:$B$7,MATCH(TRIM($L392),'Skill Mapping'!$A$2:$A$7,0))))</f>
        <v/>
      </c>
      <c r="N392" s="46" t="str">
        <f aca="false">IF($H392="","",'Survey Response'!$M390)</f>
        <v/>
      </c>
      <c r="O392" s="46" t="str">
        <f aca="false">IF($H392="","",IF('Survey Response'!$M390="Manager","R2","R1"))</f>
        <v/>
      </c>
      <c r="P392" s="46" t="str">
        <f aca="false">IF($K392="","No",IF(COUNTIFS(MasterPanel!$B:$B,$H392,MasterPanel!$I:$I,$K392,MasterPanel!$K:$K,"Y")&gt;0,"Yes","No"))</f>
        <v>No</v>
      </c>
      <c r="Q392" s="46" t="n">
        <f aca="false">IF($K392="",0,IF(COUNTIF('Gap Sheet'!$A$6:$A$11,TRIM($J392))=0,0,IF($O392="R1",INDEX('Gap Sheet'!$C$6:$C$11,MATCH(TRIM($J392),'Gap Sheet'!$A$6:$A$11,0)),INDEX('Gap Sheet'!$G$6:$G$11,MATCH(TRIM($J392),'Gap Sheet'!$A$6:$A$11,0)))))</f>
        <v>0</v>
      </c>
      <c r="R392" s="46" t="str">
        <f aca="false">IF($K392="","",$K392&amp;"|"&amp;$O392)</f>
        <v/>
      </c>
      <c r="S392" s="46" t="n">
        <f aca="false">IF($R392="",0,COUNTIF($AA$4:$AA391,$R392))</f>
        <v>0</v>
      </c>
      <c r="T392" s="46" t="str">
        <f aca="false">IF(OR($I392&lt;&gt;"Yes, I'm available for in-person interviews at Chennai",$E392&lt;&gt;"Yes",$P392&lt;&gt;"Yes"),"No",IF(($Q392-$S392)&gt;0,"Yes","No"))</f>
        <v>No</v>
      </c>
      <c r="U392" s="46" t="str">
        <f aca="false">IF($M392="","No",IF(COUNTIFS(MasterPanel!$B:$B,$H392,MasterPanel!$I:$I,$M392,MasterPanel!$K:$K,"Y")&gt;0,"Yes","No"))</f>
        <v>No</v>
      </c>
      <c r="V392" s="46" t="n">
        <f aca="false">IF($M392="",0,IF(COUNTIF('Gap Sheet'!$A$6:$A$11,TRIM($L392))=0,0,IF($O392="R1",INDEX('Gap Sheet'!$C$6:$C$11,MATCH(TRIM($L392),'Gap Sheet'!$A$6:$A$11,0)),INDEX('Gap Sheet'!$G$6:$G$11,MATCH(TRIM($L392),'Gap Sheet'!$A$6:$A$11,0)))))</f>
        <v>0</v>
      </c>
      <c r="W392" s="46" t="str">
        <f aca="false">IF($M392="","",$M392&amp;"|"&amp;$O392)</f>
        <v/>
      </c>
      <c r="X392" s="46" t="n">
        <f aca="false">IF($W392="",0,COUNTIF($AA$4:$AA391,$W392))</f>
        <v>0</v>
      </c>
      <c r="Y392" s="46" t="str">
        <f aca="false">IF(OR($I392&lt;&gt;"Yes, I'm available for in-person interviews at Chennai",$E392&lt;&gt;"Yes",$T392="Yes",$U392&lt;&gt;"Yes"),"No",IF(($V392-$X392)&gt;0,"Yes","No"))</f>
        <v>No</v>
      </c>
      <c r="Z392" s="46" t="str">
        <f aca="false">IF($T392="Yes","Primary",IF($Y392="Yes","Secondary",""))</f>
        <v/>
      </c>
      <c r="AA392" s="46" t="str">
        <f aca="false">IF($Z392="Primary",$R392,IF($Z392="Secondary",$W392,""))</f>
        <v/>
      </c>
      <c r="AB392" s="46" t="str">
        <f aca="false">IF($Z392="Primary","Matched on primary skill",IF($Z392="Secondary","Matched on secondary skill (primary not approved or not required)",""))</f>
        <v/>
      </c>
      <c r="AC392" s="47" t="str">
        <f aca="false">IF($D392="Panel Details",$F392,"")</f>
        <v/>
      </c>
      <c r="AD392" s="46" t="str">
        <f aca="false">IF($D392="Panel Details",'Survey Response'!$D390,"")</f>
        <v/>
      </c>
      <c r="AE392" s="46" t="str">
        <f aca="false">IF($D392="Panel Details",'Survey Response'!$E390,"")</f>
        <v/>
      </c>
      <c r="AF392" s="46" t="str">
        <f aca="false">IF($D392="Panel Details",'Survey Response'!$G390,"")</f>
        <v/>
      </c>
      <c r="AG392" s="46" t="str">
        <f aca="false">IF($D392="Panel Details",IF($Z392="Primary",$J392,$L392),"")</f>
        <v/>
      </c>
      <c r="AH392" s="46" t="str">
        <f aca="false">IF($D392="Panel Details",IF($Z392="Primary",$L392,$J392),"")</f>
        <v/>
      </c>
      <c r="AI392" s="46" t="str">
        <f aca="false">IF($D392="Panel Details",'Survey Response'!$H390,"")</f>
        <v/>
      </c>
      <c r="AJ392" s="46" t="str">
        <f aca="false">IF($D392="Panel Details",'Survey Response'!$M390,"")</f>
        <v/>
      </c>
      <c r="AK392" s="46" t="str">
        <f aca="false">IF($D392="Panel Details",$O392,"")</f>
        <v/>
      </c>
      <c r="AL392" s="46" t="str">
        <f aca="false">IF($D392="Panel Details",8,"")</f>
        <v/>
      </c>
      <c r="AM392" s="46" t="str">
        <f aca="false">IF($D392="Panel Details",$AB392,"")</f>
        <v/>
      </c>
      <c r="AN392" s="46" t="str">
        <f aca="false">IF($D392="Panel Details","Yes","")</f>
        <v/>
      </c>
      <c r="AO392" s="46"/>
      <c r="AP392" s="46" t="str">
        <f aca="false">IF($D392="Followup",'Survey Response'!$D390,"")</f>
        <v/>
      </c>
      <c r="AQ392" s="46" t="str">
        <f aca="false">IF($D392="Followup",'Survey Response'!$E390,"")</f>
        <v/>
      </c>
      <c r="AR392" s="46" t="str">
        <f aca="false">IF($D392="Followup",'Survey Response'!$G390,"")</f>
        <v/>
      </c>
      <c r="AS392" s="46" t="str">
        <f aca="false">IF($D392="Followup",'Survey Response'!$H390,"")</f>
        <v/>
      </c>
      <c r="AT392" s="46" t="str">
        <f aca="false">IF($D392="Followup",'Survey Response'!$M390,"")</f>
        <v/>
      </c>
      <c r="AU392" s="46" t="str">
        <f aca="false">IF($D392="Followup",'Survey Response'!$K390,"")</f>
        <v/>
      </c>
      <c r="AV392" s="46" t="str">
        <f aca="false">IF($D392="Followup",'Survey Response'!$L390,"")</f>
        <v/>
      </c>
      <c r="AW392" s="46" t="str">
        <f aca="false">IF($D392="Followup",IF(AND($P392&lt;&gt;"Yes",$U392&lt;&gt;"Yes"),"Not approved for primary or secondary skill","Approved, but skill(s) no longer have capacity (fully staffed)"),"")</f>
        <v/>
      </c>
    </row>
    <row r="393" customFormat="false" ht="15" hidden="false" customHeight="true" outlineLevel="0" collapsed="false">
      <c r="A393" s="46" t="str">
        <f aca="false">IF('Survey Response'!$D391="","",'Survey Response'!$A391&amp;"|"&amp;LOWER(TRIM('Survey Response'!$D391)))</f>
        <v/>
      </c>
      <c r="B393" s="46" t="str">
        <f aca="false">IF($H393="","",$F393&amp;"|"&amp;$H393)</f>
        <v/>
      </c>
      <c r="C393" s="46" t="str">
        <f aca="false">IF($H393="","",$A393=$B393)</f>
        <v/>
      </c>
      <c r="D393" s="46" t="str">
        <f aca="false">IF($H393="","",IF($E393&lt;&gt;"Yes","Superseded",IF($I393&lt;&gt;"Yes, I'm available for in-person interviews at Chennai","Not Available",IF($Z393&lt;&gt;"","Panel Details","Followup"))))</f>
        <v/>
      </c>
      <c r="E393" s="46" t="str">
        <f aca="false">IF($H393="","",IF(SUMPRODUCT(($H$4:$H$503=$H393)*(($G$4:$G$503&gt;$G393)+($G$4:$G$503=$G393)*($F$4:$F$503&gt;$F393)))=0,"Yes","No"))</f>
        <v/>
      </c>
      <c r="F393" s="47" t="str">
        <f aca="false">IF('Survey Response'!$D391="","",INT('Survey Response'!$A391))</f>
        <v/>
      </c>
      <c r="G393" s="46" t="str">
        <f aca="false">IF('Survey Response'!$D391="","",'Survey Response'!$C391)</f>
        <v/>
      </c>
      <c r="H393" s="46" t="str">
        <f aca="false">IF('Survey Response'!$D391="","",LOWER(TRIM('Survey Response'!$D391)))</f>
        <v/>
      </c>
      <c r="I393" s="46" t="str">
        <f aca="false">IF($H393="","",'Survey Response'!$I391)</f>
        <v/>
      </c>
      <c r="J393" s="46" t="str">
        <f aca="false">IF($H393="","",'Survey Response'!$K391)</f>
        <v/>
      </c>
      <c r="K393" s="46" t="str">
        <f aca="false">IF($J393="","",IF(COUNTIF('Skill Mapping'!$A$2:$A$7,TRIM($J393))=0,"",INDEX('Skill Mapping'!$B$2:$B$7,MATCH(TRIM($J393),'Skill Mapping'!$A$2:$A$7,0))))</f>
        <v/>
      </c>
      <c r="L393" s="46" t="str">
        <f aca="false">IF($H393="","",'Survey Response'!$L391)</f>
        <v/>
      </c>
      <c r="M393" s="46" t="str">
        <f aca="false">IF($L393="","",IF(COUNTIF('Skill Mapping'!$A$2:$A$7,TRIM($L393))=0,"",INDEX('Skill Mapping'!$B$2:$B$7,MATCH(TRIM($L393),'Skill Mapping'!$A$2:$A$7,0))))</f>
        <v/>
      </c>
      <c r="N393" s="46" t="str">
        <f aca="false">IF($H393="","",'Survey Response'!$M391)</f>
        <v/>
      </c>
      <c r="O393" s="46" t="str">
        <f aca="false">IF($H393="","",IF('Survey Response'!$M391="Manager","R2","R1"))</f>
        <v/>
      </c>
      <c r="P393" s="46" t="str">
        <f aca="false">IF($K393="","No",IF(COUNTIFS(MasterPanel!$B:$B,$H393,MasterPanel!$I:$I,$K393,MasterPanel!$K:$K,"Y")&gt;0,"Yes","No"))</f>
        <v>No</v>
      </c>
      <c r="Q393" s="46" t="n">
        <f aca="false">IF($K393="",0,IF(COUNTIF('Gap Sheet'!$A$6:$A$11,TRIM($J393))=0,0,IF($O393="R1",INDEX('Gap Sheet'!$C$6:$C$11,MATCH(TRIM($J393),'Gap Sheet'!$A$6:$A$11,0)),INDEX('Gap Sheet'!$G$6:$G$11,MATCH(TRIM($J393),'Gap Sheet'!$A$6:$A$11,0)))))</f>
        <v>0</v>
      </c>
      <c r="R393" s="46" t="str">
        <f aca="false">IF($K393="","",$K393&amp;"|"&amp;$O393)</f>
        <v/>
      </c>
      <c r="S393" s="46" t="n">
        <f aca="false">IF($R393="",0,COUNTIF($AA$4:$AA392,$R393))</f>
        <v>0</v>
      </c>
      <c r="T393" s="46" t="str">
        <f aca="false">IF(OR($I393&lt;&gt;"Yes, I'm available for in-person interviews at Chennai",$E393&lt;&gt;"Yes",$P393&lt;&gt;"Yes"),"No",IF(($Q393-$S393)&gt;0,"Yes","No"))</f>
        <v>No</v>
      </c>
      <c r="U393" s="46" t="str">
        <f aca="false">IF($M393="","No",IF(COUNTIFS(MasterPanel!$B:$B,$H393,MasterPanel!$I:$I,$M393,MasterPanel!$K:$K,"Y")&gt;0,"Yes","No"))</f>
        <v>No</v>
      </c>
      <c r="V393" s="46" t="n">
        <f aca="false">IF($M393="",0,IF(COUNTIF('Gap Sheet'!$A$6:$A$11,TRIM($L393))=0,0,IF($O393="R1",INDEX('Gap Sheet'!$C$6:$C$11,MATCH(TRIM($L393),'Gap Sheet'!$A$6:$A$11,0)),INDEX('Gap Sheet'!$G$6:$G$11,MATCH(TRIM($L393),'Gap Sheet'!$A$6:$A$11,0)))))</f>
        <v>0</v>
      </c>
      <c r="W393" s="46" t="str">
        <f aca="false">IF($M393="","",$M393&amp;"|"&amp;$O393)</f>
        <v/>
      </c>
      <c r="X393" s="46" t="n">
        <f aca="false">IF($W393="",0,COUNTIF($AA$4:$AA392,$W393))</f>
        <v>0</v>
      </c>
      <c r="Y393" s="46" t="str">
        <f aca="false">IF(OR($I393&lt;&gt;"Yes, I'm available for in-person interviews at Chennai",$E393&lt;&gt;"Yes",$T393="Yes",$U393&lt;&gt;"Yes"),"No",IF(($V393-$X393)&gt;0,"Yes","No"))</f>
        <v>No</v>
      </c>
      <c r="Z393" s="46" t="str">
        <f aca="false">IF($T393="Yes","Primary",IF($Y393="Yes","Secondary",""))</f>
        <v/>
      </c>
      <c r="AA393" s="46" t="str">
        <f aca="false">IF($Z393="Primary",$R393,IF($Z393="Secondary",$W393,""))</f>
        <v/>
      </c>
      <c r="AB393" s="46" t="str">
        <f aca="false">IF($Z393="Primary","Matched on primary skill",IF($Z393="Secondary","Matched on secondary skill (primary not approved or not required)",""))</f>
        <v/>
      </c>
      <c r="AC393" s="47" t="str">
        <f aca="false">IF($D393="Panel Details",$F393,"")</f>
        <v/>
      </c>
      <c r="AD393" s="46" t="str">
        <f aca="false">IF($D393="Panel Details",'Survey Response'!$D391,"")</f>
        <v/>
      </c>
      <c r="AE393" s="46" t="str">
        <f aca="false">IF($D393="Panel Details",'Survey Response'!$E391,"")</f>
        <v/>
      </c>
      <c r="AF393" s="46" t="str">
        <f aca="false">IF($D393="Panel Details",'Survey Response'!$G391,"")</f>
        <v/>
      </c>
      <c r="AG393" s="46" t="str">
        <f aca="false">IF($D393="Panel Details",IF($Z393="Primary",$J393,$L393),"")</f>
        <v/>
      </c>
      <c r="AH393" s="46" t="str">
        <f aca="false">IF($D393="Panel Details",IF($Z393="Primary",$L393,$J393),"")</f>
        <v/>
      </c>
      <c r="AI393" s="46" t="str">
        <f aca="false">IF($D393="Panel Details",'Survey Response'!$H391,"")</f>
        <v/>
      </c>
      <c r="AJ393" s="46" t="str">
        <f aca="false">IF($D393="Panel Details",'Survey Response'!$M391,"")</f>
        <v/>
      </c>
      <c r="AK393" s="46" t="str">
        <f aca="false">IF($D393="Panel Details",$O393,"")</f>
        <v/>
      </c>
      <c r="AL393" s="46" t="str">
        <f aca="false">IF($D393="Panel Details",8,"")</f>
        <v/>
      </c>
      <c r="AM393" s="46" t="str">
        <f aca="false">IF($D393="Panel Details",$AB393,"")</f>
        <v/>
      </c>
      <c r="AN393" s="46" t="str">
        <f aca="false">IF($D393="Panel Details","Yes","")</f>
        <v/>
      </c>
      <c r="AO393" s="46"/>
      <c r="AP393" s="46" t="str">
        <f aca="false">IF($D393="Followup",'Survey Response'!$D391,"")</f>
        <v/>
      </c>
      <c r="AQ393" s="46" t="str">
        <f aca="false">IF($D393="Followup",'Survey Response'!$E391,"")</f>
        <v/>
      </c>
      <c r="AR393" s="46" t="str">
        <f aca="false">IF($D393="Followup",'Survey Response'!$G391,"")</f>
        <v/>
      </c>
      <c r="AS393" s="46" t="str">
        <f aca="false">IF($D393="Followup",'Survey Response'!$H391,"")</f>
        <v/>
      </c>
      <c r="AT393" s="46" t="str">
        <f aca="false">IF($D393="Followup",'Survey Response'!$M391,"")</f>
        <v/>
      </c>
      <c r="AU393" s="46" t="str">
        <f aca="false">IF($D393="Followup",'Survey Response'!$K391,"")</f>
        <v/>
      </c>
      <c r="AV393" s="46" t="str">
        <f aca="false">IF($D393="Followup",'Survey Response'!$L391,"")</f>
        <v/>
      </c>
      <c r="AW393" s="46" t="str">
        <f aca="false">IF($D393="Followup",IF(AND($P393&lt;&gt;"Yes",$U393&lt;&gt;"Yes"),"Not approved for primary or secondary skill","Approved, but skill(s) no longer have capacity (fully staffed)"),"")</f>
        <v/>
      </c>
    </row>
    <row r="394" customFormat="false" ht="15" hidden="false" customHeight="true" outlineLevel="0" collapsed="false">
      <c r="A394" s="46" t="str">
        <f aca="false">IF('Survey Response'!$D392="","",'Survey Response'!$A392&amp;"|"&amp;LOWER(TRIM('Survey Response'!$D392)))</f>
        <v/>
      </c>
      <c r="B394" s="46" t="str">
        <f aca="false">IF($H394="","",$F394&amp;"|"&amp;$H394)</f>
        <v/>
      </c>
      <c r="C394" s="46" t="str">
        <f aca="false">IF($H394="","",$A394=$B394)</f>
        <v/>
      </c>
      <c r="D394" s="46" t="str">
        <f aca="false">IF($H394="","",IF($E394&lt;&gt;"Yes","Superseded",IF($I394&lt;&gt;"Yes, I'm available for in-person interviews at Chennai","Not Available",IF($Z394&lt;&gt;"","Panel Details","Followup"))))</f>
        <v/>
      </c>
      <c r="E394" s="46" t="str">
        <f aca="false">IF($H394="","",IF(SUMPRODUCT(($H$4:$H$503=$H394)*(($G$4:$G$503&gt;$G394)+($G$4:$G$503=$G394)*($F$4:$F$503&gt;$F394)))=0,"Yes","No"))</f>
        <v/>
      </c>
      <c r="F394" s="47" t="str">
        <f aca="false">IF('Survey Response'!$D392="","",INT('Survey Response'!$A392))</f>
        <v/>
      </c>
      <c r="G394" s="46" t="str">
        <f aca="false">IF('Survey Response'!$D392="","",'Survey Response'!$C392)</f>
        <v/>
      </c>
      <c r="H394" s="46" t="str">
        <f aca="false">IF('Survey Response'!$D392="","",LOWER(TRIM('Survey Response'!$D392)))</f>
        <v/>
      </c>
      <c r="I394" s="46" t="str">
        <f aca="false">IF($H394="","",'Survey Response'!$I392)</f>
        <v/>
      </c>
      <c r="J394" s="46" t="str">
        <f aca="false">IF($H394="","",'Survey Response'!$K392)</f>
        <v/>
      </c>
      <c r="K394" s="46" t="str">
        <f aca="false">IF($J394="","",IF(COUNTIF('Skill Mapping'!$A$2:$A$7,TRIM($J394))=0,"",INDEX('Skill Mapping'!$B$2:$B$7,MATCH(TRIM($J394),'Skill Mapping'!$A$2:$A$7,0))))</f>
        <v/>
      </c>
      <c r="L394" s="46" t="str">
        <f aca="false">IF($H394="","",'Survey Response'!$L392)</f>
        <v/>
      </c>
      <c r="M394" s="46" t="str">
        <f aca="false">IF($L394="","",IF(COUNTIF('Skill Mapping'!$A$2:$A$7,TRIM($L394))=0,"",INDEX('Skill Mapping'!$B$2:$B$7,MATCH(TRIM($L394),'Skill Mapping'!$A$2:$A$7,0))))</f>
        <v/>
      </c>
      <c r="N394" s="46" t="str">
        <f aca="false">IF($H394="","",'Survey Response'!$M392)</f>
        <v/>
      </c>
      <c r="O394" s="46" t="str">
        <f aca="false">IF($H394="","",IF('Survey Response'!$M392="Manager","R2","R1"))</f>
        <v/>
      </c>
      <c r="P394" s="46" t="str">
        <f aca="false">IF($K394="","No",IF(COUNTIFS(MasterPanel!$B:$B,$H394,MasterPanel!$I:$I,$K394,MasterPanel!$K:$K,"Y")&gt;0,"Yes","No"))</f>
        <v>No</v>
      </c>
      <c r="Q394" s="46" t="n">
        <f aca="false">IF($K394="",0,IF(COUNTIF('Gap Sheet'!$A$6:$A$11,TRIM($J394))=0,0,IF($O394="R1",INDEX('Gap Sheet'!$C$6:$C$11,MATCH(TRIM($J394),'Gap Sheet'!$A$6:$A$11,0)),INDEX('Gap Sheet'!$G$6:$G$11,MATCH(TRIM($J394),'Gap Sheet'!$A$6:$A$11,0)))))</f>
        <v>0</v>
      </c>
      <c r="R394" s="46" t="str">
        <f aca="false">IF($K394="","",$K394&amp;"|"&amp;$O394)</f>
        <v/>
      </c>
      <c r="S394" s="46" t="n">
        <f aca="false">IF($R394="",0,COUNTIF($AA$4:$AA393,$R394))</f>
        <v>0</v>
      </c>
      <c r="T394" s="46" t="str">
        <f aca="false">IF(OR($I394&lt;&gt;"Yes, I'm available for in-person interviews at Chennai",$E394&lt;&gt;"Yes",$P394&lt;&gt;"Yes"),"No",IF(($Q394-$S394)&gt;0,"Yes","No"))</f>
        <v>No</v>
      </c>
      <c r="U394" s="46" t="str">
        <f aca="false">IF($M394="","No",IF(COUNTIFS(MasterPanel!$B:$B,$H394,MasterPanel!$I:$I,$M394,MasterPanel!$K:$K,"Y")&gt;0,"Yes","No"))</f>
        <v>No</v>
      </c>
      <c r="V394" s="46" t="n">
        <f aca="false">IF($M394="",0,IF(COUNTIF('Gap Sheet'!$A$6:$A$11,TRIM($L394))=0,0,IF($O394="R1",INDEX('Gap Sheet'!$C$6:$C$11,MATCH(TRIM($L394),'Gap Sheet'!$A$6:$A$11,0)),INDEX('Gap Sheet'!$G$6:$G$11,MATCH(TRIM($L394),'Gap Sheet'!$A$6:$A$11,0)))))</f>
        <v>0</v>
      </c>
      <c r="W394" s="46" t="str">
        <f aca="false">IF($M394="","",$M394&amp;"|"&amp;$O394)</f>
        <v/>
      </c>
      <c r="X394" s="46" t="n">
        <f aca="false">IF($W394="",0,COUNTIF($AA$4:$AA393,$W394))</f>
        <v>0</v>
      </c>
      <c r="Y394" s="46" t="str">
        <f aca="false">IF(OR($I394&lt;&gt;"Yes, I'm available for in-person interviews at Chennai",$E394&lt;&gt;"Yes",$T394="Yes",$U394&lt;&gt;"Yes"),"No",IF(($V394-$X394)&gt;0,"Yes","No"))</f>
        <v>No</v>
      </c>
      <c r="Z394" s="46" t="str">
        <f aca="false">IF($T394="Yes","Primary",IF($Y394="Yes","Secondary",""))</f>
        <v/>
      </c>
      <c r="AA394" s="46" t="str">
        <f aca="false">IF($Z394="Primary",$R394,IF($Z394="Secondary",$W394,""))</f>
        <v/>
      </c>
      <c r="AB394" s="46" t="str">
        <f aca="false">IF($Z394="Primary","Matched on primary skill",IF($Z394="Secondary","Matched on secondary skill (primary not approved or not required)",""))</f>
        <v/>
      </c>
      <c r="AC394" s="47" t="str">
        <f aca="false">IF($D394="Panel Details",$F394,"")</f>
        <v/>
      </c>
      <c r="AD394" s="46" t="str">
        <f aca="false">IF($D394="Panel Details",'Survey Response'!$D392,"")</f>
        <v/>
      </c>
      <c r="AE394" s="46" t="str">
        <f aca="false">IF($D394="Panel Details",'Survey Response'!$E392,"")</f>
        <v/>
      </c>
      <c r="AF394" s="46" t="str">
        <f aca="false">IF($D394="Panel Details",'Survey Response'!$G392,"")</f>
        <v/>
      </c>
      <c r="AG394" s="46" t="str">
        <f aca="false">IF($D394="Panel Details",IF($Z394="Primary",$J394,$L394),"")</f>
        <v/>
      </c>
      <c r="AH394" s="46" t="str">
        <f aca="false">IF($D394="Panel Details",IF($Z394="Primary",$L394,$J394),"")</f>
        <v/>
      </c>
      <c r="AI394" s="46" t="str">
        <f aca="false">IF($D394="Panel Details",'Survey Response'!$H392,"")</f>
        <v/>
      </c>
      <c r="AJ394" s="46" t="str">
        <f aca="false">IF($D394="Panel Details",'Survey Response'!$M392,"")</f>
        <v/>
      </c>
      <c r="AK394" s="46" t="str">
        <f aca="false">IF($D394="Panel Details",$O394,"")</f>
        <v/>
      </c>
      <c r="AL394" s="46" t="str">
        <f aca="false">IF($D394="Panel Details",8,"")</f>
        <v/>
      </c>
      <c r="AM394" s="46" t="str">
        <f aca="false">IF($D394="Panel Details",$AB394,"")</f>
        <v/>
      </c>
      <c r="AN394" s="46" t="str">
        <f aca="false">IF($D394="Panel Details","Yes","")</f>
        <v/>
      </c>
      <c r="AO394" s="46"/>
      <c r="AP394" s="46" t="str">
        <f aca="false">IF($D394="Followup",'Survey Response'!$D392,"")</f>
        <v/>
      </c>
      <c r="AQ394" s="46" t="str">
        <f aca="false">IF($D394="Followup",'Survey Response'!$E392,"")</f>
        <v/>
      </c>
      <c r="AR394" s="46" t="str">
        <f aca="false">IF($D394="Followup",'Survey Response'!$G392,"")</f>
        <v/>
      </c>
      <c r="AS394" s="46" t="str">
        <f aca="false">IF($D394="Followup",'Survey Response'!$H392,"")</f>
        <v/>
      </c>
      <c r="AT394" s="46" t="str">
        <f aca="false">IF($D394="Followup",'Survey Response'!$M392,"")</f>
        <v/>
      </c>
      <c r="AU394" s="46" t="str">
        <f aca="false">IF($D394="Followup",'Survey Response'!$K392,"")</f>
        <v/>
      </c>
      <c r="AV394" s="46" t="str">
        <f aca="false">IF($D394="Followup",'Survey Response'!$L392,"")</f>
        <v/>
      </c>
      <c r="AW394" s="46" t="str">
        <f aca="false">IF($D394="Followup",IF(AND($P394&lt;&gt;"Yes",$U394&lt;&gt;"Yes"),"Not approved for primary or secondary skill","Approved, but skill(s) no longer have capacity (fully staffed)"),"")</f>
        <v/>
      </c>
    </row>
    <row r="395" customFormat="false" ht="15" hidden="false" customHeight="true" outlineLevel="0" collapsed="false">
      <c r="A395" s="46" t="str">
        <f aca="false">IF('Survey Response'!$D393="","",'Survey Response'!$A393&amp;"|"&amp;LOWER(TRIM('Survey Response'!$D393)))</f>
        <v/>
      </c>
      <c r="B395" s="46" t="str">
        <f aca="false">IF($H395="","",$F395&amp;"|"&amp;$H395)</f>
        <v/>
      </c>
      <c r="C395" s="46" t="str">
        <f aca="false">IF($H395="","",$A395=$B395)</f>
        <v/>
      </c>
      <c r="D395" s="46" t="str">
        <f aca="false">IF($H395="","",IF($E395&lt;&gt;"Yes","Superseded",IF($I395&lt;&gt;"Yes, I'm available for in-person interviews at Chennai","Not Available",IF($Z395&lt;&gt;"","Panel Details","Followup"))))</f>
        <v/>
      </c>
      <c r="E395" s="46" t="str">
        <f aca="false">IF($H395="","",IF(SUMPRODUCT(($H$4:$H$503=$H395)*(($G$4:$G$503&gt;$G395)+($G$4:$G$503=$G395)*($F$4:$F$503&gt;$F395)))=0,"Yes","No"))</f>
        <v/>
      </c>
      <c r="F395" s="47" t="str">
        <f aca="false">IF('Survey Response'!$D393="","",INT('Survey Response'!$A393))</f>
        <v/>
      </c>
      <c r="G395" s="46" t="str">
        <f aca="false">IF('Survey Response'!$D393="","",'Survey Response'!$C393)</f>
        <v/>
      </c>
      <c r="H395" s="46" t="str">
        <f aca="false">IF('Survey Response'!$D393="","",LOWER(TRIM('Survey Response'!$D393)))</f>
        <v/>
      </c>
      <c r="I395" s="46" t="str">
        <f aca="false">IF($H395="","",'Survey Response'!$I393)</f>
        <v/>
      </c>
      <c r="J395" s="46" t="str">
        <f aca="false">IF($H395="","",'Survey Response'!$K393)</f>
        <v/>
      </c>
      <c r="K395" s="46" t="str">
        <f aca="false">IF($J395="","",IF(COUNTIF('Skill Mapping'!$A$2:$A$7,TRIM($J395))=0,"",INDEX('Skill Mapping'!$B$2:$B$7,MATCH(TRIM($J395),'Skill Mapping'!$A$2:$A$7,0))))</f>
        <v/>
      </c>
      <c r="L395" s="46" t="str">
        <f aca="false">IF($H395="","",'Survey Response'!$L393)</f>
        <v/>
      </c>
      <c r="M395" s="46" t="str">
        <f aca="false">IF($L395="","",IF(COUNTIF('Skill Mapping'!$A$2:$A$7,TRIM($L395))=0,"",INDEX('Skill Mapping'!$B$2:$B$7,MATCH(TRIM($L395),'Skill Mapping'!$A$2:$A$7,0))))</f>
        <v/>
      </c>
      <c r="N395" s="46" t="str">
        <f aca="false">IF($H395="","",'Survey Response'!$M393)</f>
        <v/>
      </c>
      <c r="O395" s="46" t="str">
        <f aca="false">IF($H395="","",IF('Survey Response'!$M393="Manager","R2","R1"))</f>
        <v/>
      </c>
      <c r="P395" s="46" t="str">
        <f aca="false">IF($K395="","No",IF(COUNTIFS(MasterPanel!$B:$B,$H395,MasterPanel!$I:$I,$K395,MasterPanel!$K:$K,"Y")&gt;0,"Yes","No"))</f>
        <v>No</v>
      </c>
      <c r="Q395" s="46" t="n">
        <f aca="false">IF($K395="",0,IF(COUNTIF('Gap Sheet'!$A$6:$A$11,TRIM($J395))=0,0,IF($O395="R1",INDEX('Gap Sheet'!$C$6:$C$11,MATCH(TRIM($J395),'Gap Sheet'!$A$6:$A$11,0)),INDEX('Gap Sheet'!$G$6:$G$11,MATCH(TRIM($J395),'Gap Sheet'!$A$6:$A$11,0)))))</f>
        <v>0</v>
      </c>
      <c r="R395" s="46" t="str">
        <f aca="false">IF($K395="","",$K395&amp;"|"&amp;$O395)</f>
        <v/>
      </c>
      <c r="S395" s="46" t="n">
        <f aca="false">IF($R395="",0,COUNTIF($AA$4:$AA394,$R395))</f>
        <v>0</v>
      </c>
      <c r="T395" s="46" t="str">
        <f aca="false">IF(OR($I395&lt;&gt;"Yes, I'm available for in-person interviews at Chennai",$E395&lt;&gt;"Yes",$P395&lt;&gt;"Yes"),"No",IF(($Q395-$S395)&gt;0,"Yes","No"))</f>
        <v>No</v>
      </c>
      <c r="U395" s="46" t="str">
        <f aca="false">IF($M395="","No",IF(COUNTIFS(MasterPanel!$B:$B,$H395,MasterPanel!$I:$I,$M395,MasterPanel!$K:$K,"Y")&gt;0,"Yes","No"))</f>
        <v>No</v>
      </c>
      <c r="V395" s="46" t="n">
        <f aca="false">IF($M395="",0,IF(COUNTIF('Gap Sheet'!$A$6:$A$11,TRIM($L395))=0,0,IF($O395="R1",INDEX('Gap Sheet'!$C$6:$C$11,MATCH(TRIM($L395),'Gap Sheet'!$A$6:$A$11,0)),INDEX('Gap Sheet'!$G$6:$G$11,MATCH(TRIM($L395),'Gap Sheet'!$A$6:$A$11,0)))))</f>
        <v>0</v>
      </c>
      <c r="W395" s="46" t="str">
        <f aca="false">IF($M395="","",$M395&amp;"|"&amp;$O395)</f>
        <v/>
      </c>
      <c r="X395" s="46" t="n">
        <f aca="false">IF($W395="",0,COUNTIF($AA$4:$AA394,$W395))</f>
        <v>0</v>
      </c>
      <c r="Y395" s="46" t="str">
        <f aca="false">IF(OR($I395&lt;&gt;"Yes, I'm available for in-person interviews at Chennai",$E395&lt;&gt;"Yes",$T395="Yes",$U395&lt;&gt;"Yes"),"No",IF(($V395-$X395)&gt;0,"Yes","No"))</f>
        <v>No</v>
      </c>
      <c r="Z395" s="46" t="str">
        <f aca="false">IF($T395="Yes","Primary",IF($Y395="Yes","Secondary",""))</f>
        <v/>
      </c>
      <c r="AA395" s="46" t="str">
        <f aca="false">IF($Z395="Primary",$R395,IF($Z395="Secondary",$W395,""))</f>
        <v/>
      </c>
      <c r="AB395" s="46" t="str">
        <f aca="false">IF($Z395="Primary","Matched on primary skill",IF($Z395="Secondary","Matched on secondary skill (primary not approved or not required)",""))</f>
        <v/>
      </c>
      <c r="AC395" s="47" t="str">
        <f aca="false">IF($D395="Panel Details",$F395,"")</f>
        <v/>
      </c>
      <c r="AD395" s="46" t="str">
        <f aca="false">IF($D395="Panel Details",'Survey Response'!$D393,"")</f>
        <v/>
      </c>
      <c r="AE395" s="46" t="str">
        <f aca="false">IF($D395="Panel Details",'Survey Response'!$E393,"")</f>
        <v/>
      </c>
      <c r="AF395" s="46" t="str">
        <f aca="false">IF($D395="Panel Details",'Survey Response'!$G393,"")</f>
        <v/>
      </c>
      <c r="AG395" s="46" t="str">
        <f aca="false">IF($D395="Panel Details",IF($Z395="Primary",$J395,$L395),"")</f>
        <v/>
      </c>
      <c r="AH395" s="46" t="str">
        <f aca="false">IF($D395="Panel Details",IF($Z395="Primary",$L395,$J395),"")</f>
        <v/>
      </c>
      <c r="AI395" s="46" t="str">
        <f aca="false">IF($D395="Panel Details",'Survey Response'!$H393,"")</f>
        <v/>
      </c>
      <c r="AJ395" s="46" t="str">
        <f aca="false">IF($D395="Panel Details",'Survey Response'!$M393,"")</f>
        <v/>
      </c>
      <c r="AK395" s="46" t="str">
        <f aca="false">IF($D395="Panel Details",$O395,"")</f>
        <v/>
      </c>
      <c r="AL395" s="46" t="str">
        <f aca="false">IF($D395="Panel Details",8,"")</f>
        <v/>
      </c>
      <c r="AM395" s="46" t="str">
        <f aca="false">IF($D395="Panel Details",$AB395,"")</f>
        <v/>
      </c>
      <c r="AN395" s="46" t="str">
        <f aca="false">IF($D395="Panel Details","Yes","")</f>
        <v/>
      </c>
      <c r="AO395" s="46"/>
      <c r="AP395" s="46" t="str">
        <f aca="false">IF($D395="Followup",'Survey Response'!$D393,"")</f>
        <v/>
      </c>
      <c r="AQ395" s="46" t="str">
        <f aca="false">IF($D395="Followup",'Survey Response'!$E393,"")</f>
        <v/>
      </c>
      <c r="AR395" s="46" t="str">
        <f aca="false">IF($D395="Followup",'Survey Response'!$G393,"")</f>
        <v/>
      </c>
      <c r="AS395" s="46" t="str">
        <f aca="false">IF($D395="Followup",'Survey Response'!$H393,"")</f>
        <v/>
      </c>
      <c r="AT395" s="46" t="str">
        <f aca="false">IF($D395="Followup",'Survey Response'!$M393,"")</f>
        <v/>
      </c>
      <c r="AU395" s="46" t="str">
        <f aca="false">IF($D395="Followup",'Survey Response'!$K393,"")</f>
        <v/>
      </c>
      <c r="AV395" s="46" t="str">
        <f aca="false">IF($D395="Followup",'Survey Response'!$L393,"")</f>
        <v/>
      </c>
      <c r="AW395" s="46" t="str">
        <f aca="false">IF($D395="Followup",IF(AND($P395&lt;&gt;"Yes",$U395&lt;&gt;"Yes"),"Not approved for primary or secondary skill","Approved, but skill(s) no longer have capacity (fully staffed)"),"")</f>
        <v/>
      </c>
    </row>
    <row r="396" customFormat="false" ht="15" hidden="false" customHeight="true" outlineLevel="0" collapsed="false">
      <c r="A396" s="46" t="str">
        <f aca="false">IF('Survey Response'!$D394="","",'Survey Response'!$A394&amp;"|"&amp;LOWER(TRIM('Survey Response'!$D394)))</f>
        <v/>
      </c>
      <c r="B396" s="46" t="str">
        <f aca="false">IF($H396="","",$F396&amp;"|"&amp;$H396)</f>
        <v/>
      </c>
      <c r="C396" s="46" t="str">
        <f aca="false">IF($H396="","",$A396=$B396)</f>
        <v/>
      </c>
      <c r="D396" s="46" t="str">
        <f aca="false">IF($H396="","",IF($E396&lt;&gt;"Yes","Superseded",IF($I396&lt;&gt;"Yes, I'm available for in-person interviews at Chennai","Not Available",IF($Z396&lt;&gt;"","Panel Details","Followup"))))</f>
        <v/>
      </c>
      <c r="E396" s="46" t="str">
        <f aca="false">IF($H396="","",IF(SUMPRODUCT(($H$4:$H$503=$H396)*(($G$4:$G$503&gt;$G396)+($G$4:$G$503=$G396)*($F$4:$F$503&gt;$F396)))=0,"Yes","No"))</f>
        <v/>
      </c>
      <c r="F396" s="47" t="str">
        <f aca="false">IF('Survey Response'!$D394="","",INT('Survey Response'!$A394))</f>
        <v/>
      </c>
      <c r="G396" s="46" t="str">
        <f aca="false">IF('Survey Response'!$D394="","",'Survey Response'!$C394)</f>
        <v/>
      </c>
      <c r="H396" s="46" t="str">
        <f aca="false">IF('Survey Response'!$D394="","",LOWER(TRIM('Survey Response'!$D394)))</f>
        <v/>
      </c>
      <c r="I396" s="46" t="str">
        <f aca="false">IF($H396="","",'Survey Response'!$I394)</f>
        <v/>
      </c>
      <c r="J396" s="46" t="str">
        <f aca="false">IF($H396="","",'Survey Response'!$K394)</f>
        <v/>
      </c>
      <c r="K396" s="46" t="str">
        <f aca="false">IF($J396="","",IF(COUNTIF('Skill Mapping'!$A$2:$A$7,TRIM($J396))=0,"",INDEX('Skill Mapping'!$B$2:$B$7,MATCH(TRIM($J396),'Skill Mapping'!$A$2:$A$7,0))))</f>
        <v/>
      </c>
      <c r="L396" s="46" t="str">
        <f aca="false">IF($H396="","",'Survey Response'!$L394)</f>
        <v/>
      </c>
      <c r="M396" s="46" t="str">
        <f aca="false">IF($L396="","",IF(COUNTIF('Skill Mapping'!$A$2:$A$7,TRIM($L396))=0,"",INDEX('Skill Mapping'!$B$2:$B$7,MATCH(TRIM($L396),'Skill Mapping'!$A$2:$A$7,0))))</f>
        <v/>
      </c>
      <c r="N396" s="46" t="str">
        <f aca="false">IF($H396="","",'Survey Response'!$M394)</f>
        <v/>
      </c>
      <c r="O396" s="46" t="str">
        <f aca="false">IF($H396="","",IF('Survey Response'!$M394="Manager","R2","R1"))</f>
        <v/>
      </c>
      <c r="P396" s="46" t="str">
        <f aca="false">IF($K396="","No",IF(COUNTIFS(MasterPanel!$B:$B,$H396,MasterPanel!$I:$I,$K396,MasterPanel!$K:$K,"Y")&gt;0,"Yes","No"))</f>
        <v>No</v>
      </c>
      <c r="Q396" s="46" t="n">
        <f aca="false">IF($K396="",0,IF(COUNTIF('Gap Sheet'!$A$6:$A$11,TRIM($J396))=0,0,IF($O396="R1",INDEX('Gap Sheet'!$C$6:$C$11,MATCH(TRIM($J396),'Gap Sheet'!$A$6:$A$11,0)),INDEX('Gap Sheet'!$G$6:$G$11,MATCH(TRIM($J396),'Gap Sheet'!$A$6:$A$11,0)))))</f>
        <v>0</v>
      </c>
      <c r="R396" s="46" t="str">
        <f aca="false">IF($K396="","",$K396&amp;"|"&amp;$O396)</f>
        <v/>
      </c>
      <c r="S396" s="46" t="n">
        <f aca="false">IF($R396="",0,COUNTIF($AA$4:$AA395,$R396))</f>
        <v>0</v>
      </c>
      <c r="T396" s="46" t="str">
        <f aca="false">IF(OR($I396&lt;&gt;"Yes, I'm available for in-person interviews at Chennai",$E396&lt;&gt;"Yes",$P396&lt;&gt;"Yes"),"No",IF(($Q396-$S396)&gt;0,"Yes","No"))</f>
        <v>No</v>
      </c>
      <c r="U396" s="46" t="str">
        <f aca="false">IF($M396="","No",IF(COUNTIFS(MasterPanel!$B:$B,$H396,MasterPanel!$I:$I,$M396,MasterPanel!$K:$K,"Y")&gt;0,"Yes","No"))</f>
        <v>No</v>
      </c>
      <c r="V396" s="46" t="n">
        <f aca="false">IF($M396="",0,IF(COUNTIF('Gap Sheet'!$A$6:$A$11,TRIM($L396))=0,0,IF($O396="R1",INDEX('Gap Sheet'!$C$6:$C$11,MATCH(TRIM($L396),'Gap Sheet'!$A$6:$A$11,0)),INDEX('Gap Sheet'!$G$6:$G$11,MATCH(TRIM($L396),'Gap Sheet'!$A$6:$A$11,0)))))</f>
        <v>0</v>
      </c>
      <c r="W396" s="46" t="str">
        <f aca="false">IF($M396="","",$M396&amp;"|"&amp;$O396)</f>
        <v/>
      </c>
      <c r="X396" s="46" t="n">
        <f aca="false">IF($W396="",0,COUNTIF($AA$4:$AA395,$W396))</f>
        <v>0</v>
      </c>
      <c r="Y396" s="46" t="str">
        <f aca="false">IF(OR($I396&lt;&gt;"Yes, I'm available for in-person interviews at Chennai",$E396&lt;&gt;"Yes",$T396="Yes",$U396&lt;&gt;"Yes"),"No",IF(($V396-$X396)&gt;0,"Yes","No"))</f>
        <v>No</v>
      </c>
      <c r="Z396" s="46" t="str">
        <f aca="false">IF($T396="Yes","Primary",IF($Y396="Yes","Secondary",""))</f>
        <v/>
      </c>
      <c r="AA396" s="46" t="str">
        <f aca="false">IF($Z396="Primary",$R396,IF($Z396="Secondary",$W396,""))</f>
        <v/>
      </c>
      <c r="AB396" s="46" t="str">
        <f aca="false">IF($Z396="Primary","Matched on primary skill",IF($Z396="Secondary","Matched on secondary skill (primary not approved or not required)",""))</f>
        <v/>
      </c>
      <c r="AC396" s="47" t="str">
        <f aca="false">IF($D396="Panel Details",$F396,"")</f>
        <v/>
      </c>
      <c r="AD396" s="46" t="str">
        <f aca="false">IF($D396="Panel Details",'Survey Response'!$D394,"")</f>
        <v/>
      </c>
      <c r="AE396" s="46" t="str">
        <f aca="false">IF($D396="Panel Details",'Survey Response'!$E394,"")</f>
        <v/>
      </c>
      <c r="AF396" s="46" t="str">
        <f aca="false">IF($D396="Panel Details",'Survey Response'!$G394,"")</f>
        <v/>
      </c>
      <c r="AG396" s="46" t="str">
        <f aca="false">IF($D396="Panel Details",IF($Z396="Primary",$J396,$L396),"")</f>
        <v/>
      </c>
      <c r="AH396" s="46" t="str">
        <f aca="false">IF($D396="Panel Details",IF($Z396="Primary",$L396,$J396),"")</f>
        <v/>
      </c>
      <c r="AI396" s="46" t="str">
        <f aca="false">IF($D396="Panel Details",'Survey Response'!$H394,"")</f>
        <v/>
      </c>
      <c r="AJ396" s="46" t="str">
        <f aca="false">IF($D396="Panel Details",'Survey Response'!$M394,"")</f>
        <v/>
      </c>
      <c r="AK396" s="46" t="str">
        <f aca="false">IF($D396="Panel Details",$O396,"")</f>
        <v/>
      </c>
      <c r="AL396" s="46" t="str">
        <f aca="false">IF($D396="Panel Details",8,"")</f>
        <v/>
      </c>
      <c r="AM396" s="46" t="str">
        <f aca="false">IF($D396="Panel Details",$AB396,"")</f>
        <v/>
      </c>
      <c r="AN396" s="46" t="str">
        <f aca="false">IF($D396="Panel Details","Yes","")</f>
        <v/>
      </c>
      <c r="AO396" s="46"/>
      <c r="AP396" s="46" t="str">
        <f aca="false">IF($D396="Followup",'Survey Response'!$D394,"")</f>
        <v/>
      </c>
      <c r="AQ396" s="46" t="str">
        <f aca="false">IF($D396="Followup",'Survey Response'!$E394,"")</f>
        <v/>
      </c>
      <c r="AR396" s="46" t="str">
        <f aca="false">IF($D396="Followup",'Survey Response'!$G394,"")</f>
        <v/>
      </c>
      <c r="AS396" s="46" t="str">
        <f aca="false">IF($D396="Followup",'Survey Response'!$H394,"")</f>
        <v/>
      </c>
      <c r="AT396" s="46" t="str">
        <f aca="false">IF($D396="Followup",'Survey Response'!$M394,"")</f>
        <v/>
      </c>
      <c r="AU396" s="46" t="str">
        <f aca="false">IF($D396="Followup",'Survey Response'!$K394,"")</f>
        <v/>
      </c>
      <c r="AV396" s="46" t="str">
        <f aca="false">IF($D396="Followup",'Survey Response'!$L394,"")</f>
        <v/>
      </c>
      <c r="AW396" s="46" t="str">
        <f aca="false">IF($D396="Followup",IF(AND($P396&lt;&gt;"Yes",$U396&lt;&gt;"Yes"),"Not approved for primary or secondary skill","Approved, but skill(s) no longer have capacity (fully staffed)"),"")</f>
        <v/>
      </c>
    </row>
    <row r="397" customFormat="false" ht="15" hidden="false" customHeight="true" outlineLevel="0" collapsed="false">
      <c r="A397" s="46" t="str">
        <f aca="false">IF('Survey Response'!$D395="","",'Survey Response'!$A395&amp;"|"&amp;LOWER(TRIM('Survey Response'!$D395)))</f>
        <v/>
      </c>
      <c r="B397" s="46" t="str">
        <f aca="false">IF($H397="","",$F397&amp;"|"&amp;$H397)</f>
        <v/>
      </c>
      <c r="C397" s="46" t="str">
        <f aca="false">IF($H397="","",$A397=$B397)</f>
        <v/>
      </c>
      <c r="D397" s="46" t="str">
        <f aca="false">IF($H397="","",IF($E397&lt;&gt;"Yes","Superseded",IF($I397&lt;&gt;"Yes, I'm available for in-person interviews at Chennai","Not Available",IF($Z397&lt;&gt;"","Panel Details","Followup"))))</f>
        <v/>
      </c>
      <c r="E397" s="46" t="str">
        <f aca="false">IF($H397="","",IF(SUMPRODUCT(($H$4:$H$503=$H397)*(($G$4:$G$503&gt;$G397)+($G$4:$G$503=$G397)*($F$4:$F$503&gt;$F397)))=0,"Yes","No"))</f>
        <v/>
      </c>
      <c r="F397" s="47" t="str">
        <f aca="false">IF('Survey Response'!$D395="","",INT('Survey Response'!$A395))</f>
        <v/>
      </c>
      <c r="G397" s="46" t="str">
        <f aca="false">IF('Survey Response'!$D395="","",'Survey Response'!$C395)</f>
        <v/>
      </c>
      <c r="H397" s="46" t="str">
        <f aca="false">IF('Survey Response'!$D395="","",LOWER(TRIM('Survey Response'!$D395)))</f>
        <v/>
      </c>
      <c r="I397" s="46" t="str">
        <f aca="false">IF($H397="","",'Survey Response'!$I395)</f>
        <v/>
      </c>
      <c r="J397" s="46" t="str">
        <f aca="false">IF($H397="","",'Survey Response'!$K395)</f>
        <v/>
      </c>
      <c r="K397" s="46" t="str">
        <f aca="false">IF($J397="","",IF(COUNTIF('Skill Mapping'!$A$2:$A$7,TRIM($J397))=0,"",INDEX('Skill Mapping'!$B$2:$B$7,MATCH(TRIM($J397),'Skill Mapping'!$A$2:$A$7,0))))</f>
        <v/>
      </c>
      <c r="L397" s="46" t="str">
        <f aca="false">IF($H397="","",'Survey Response'!$L395)</f>
        <v/>
      </c>
      <c r="M397" s="46" t="str">
        <f aca="false">IF($L397="","",IF(COUNTIF('Skill Mapping'!$A$2:$A$7,TRIM($L397))=0,"",INDEX('Skill Mapping'!$B$2:$B$7,MATCH(TRIM($L397),'Skill Mapping'!$A$2:$A$7,0))))</f>
        <v/>
      </c>
      <c r="N397" s="46" t="str">
        <f aca="false">IF($H397="","",'Survey Response'!$M395)</f>
        <v/>
      </c>
      <c r="O397" s="46" t="str">
        <f aca="false">IF($H397="","",IF('Survey Response'!$M395="Manager","R2","R1"))</f>
        <v/>
      </c>
      <c r="P397" s="46" t="str">
        <f aca="false">IF($K397="","No",IF(COUNTIFS(MasterPanel!$B:$B,$H397,MasterPanel!$I:$I,$K397,MasterPanel!$K:$K,"Y")&gt;0,"Yes","No"))</f>
        <v>No</v>
      </c>
      <c r="Q397" s="46" t="n">
        <f aca="false">IF($K397="",0,IF(COUNTIF('Gap Sheet'!$A$6:$A$11,TRIM($J397))=0,0,IF($O397="R1",INDEX('Gap Sheet'!$C$6:$C$11,MATCH(TRIM($J397),'Gap Sheet'!$A$6:$A$11,0)),INDEX('Gap Sheet'!$G$6:$G$11,MATCH(TRIM($J397),'Gap Sheet'!$A$6:$A$11,0)))))</f>
        <v>0</v>
      </c>
      <c r="R397" s="46" t="str">
        <f aca="false">IF($K397="","",$K397&amp;"|"&amp;$O397)</f>
        <v/>
      </c>
      <c r="S397" s="46" t="n">
        <f aca="false">IF($R397="",0,COUNTIF($AA$4:$AA396,$R397))</f>
        <v>0</v>
      </c>
      <c r="T397" s="46" t="str">
        <f aca="false">IF(OR($I397&lt;&gt;"Yes, I'm available for in-person interviews at Chennai",$E397&lt;&gt;"Yes",$P397&lt;&gt;"Yes"),"No",IF(($Q397-$S397)&gt;0,"Yes","No"))</f>
        <v>No</v>
      </c>
      <c r="U397" s="46" t="str">
        <f aca="false">IF($M397="","No",IF(COUNTIFS(MasterPanel!$B:$B,$H397,MasterPanel!$I:$I,$M397,MasterPanel!$K:$K,"Y")&gt;0,"Yes","No"))</f>
        <v>No</v>
      </c>
      <c r="V397" s="46" t="n">
        <f aca="false">IF($M397="",0,IF(COUNTIF('Gap Sheet'!$A$6:$A$11,TRIM($L397))=0,0,IF($O397="R1",INDEX('Gap Sheet'!$C$6:$C$11,MATCH(TRIM($L397),'Gap Sheet'!$A$6:$A$11,0)),INDEX('Gap Sheet'!$G$6:$G$11,MATCH(TRIM($L397),'Gap Sheet'!$A$6:$A$11,0)))))</f>
        <v>0</v>
      </c>
      <c r="W397" s="46" t="str">
        <f aca="false">IF($M397="","",$M397&amp;"|"&amp;$O397)</f>
        <v/>
      </c>
      <c r="X397" s="46" t="n">
        <f aca="false">IF($W397="",0,COUNTIF($AA$4:$AA396,$W397))</f>
        <v>0</v>
      </c>
      <c r="Y397" s="46" t="str">
        <f aca="false">IF(OR($I397&lt;&gt;"Yes, I'm available for in-person interviews at Chennai",$E397&lt;&gt;"Yes",$T397="Yes",$U397&lt;&gt;"Yes"),"No",IF(($V397-$X397)&gt;0,"Yes","No"))</f>
        <v>No</v>
      </c>
      <c r="Z397" s="46" t="str">
        <f aca="false">IF($T397="Yes","Primary",IF($Y397="Yes","Secondary",""))</f>
        <v/>
      </c>
      <c r="AA397" s="46" t="str">
        <f aca="false">IF($Z397="Primary",$R397,IF($Z397="Secondary",$W397,""))</f>
        <v/>
      </c>
      <c r="AB397" s="46" t="str">
        <f aca="false">IF($Z397="Primary","Matched on primary skill",IF($Z397="Secondary","Matched on secondary skill (primary not approved or not required)",""))</f>
        <v/>
      </c>
      <c r="AC397" s="47" t="str">
        <f aca="false">IF($D397="Panel Details",$F397,"")</f>
        <v/>
      </c>
      <c r="AD397" s="46" t="str">
        <f aca="false">IF($D397="Panel Details",'Survey Response'!$D395,"")</f>
        <v/>
      </c>
      <c r="AE397" s="46" t="str">
        <f aca="false">IF($D397="Panel Details",'Survey Response'!$E395,"")</f>
        <v/>
      </c>
      <c r="AF397" s="46" t="str">
        <f aca="false">IF($D397="Panel Details",'Survey Response'!$G395,"")</f>
        <v/>
      </c>
      <c r="AG397" s="46" t="str">
        <f aca="false">IF($D397="Panel Details",IF($Z397="Primary",$J397,$L397),"")</f>
        <v/>
      </c>
      <c r="AH397" s="46" t="str">
        <f aca="false">IF($D397="Panel Details",IF($Z397="Primary",$L397,$J397),"")</f>
        <v/>
      </c>
      <c r="AI397" s="46" t="str">
        <f aca="false">IF($D397="Panel Details",'Survey Response'!$H395,"")</f>
        <v/>
      </c>
      <c r="AJ397" s="46" t="str">
        <f aca="false">IF($D397="Panel Details",'Survey Response'!$M395,"")</f>
        <v/>
      </c>
      <c r="AK397" s="46" t="str">
        <f aca="false">IF($D397="Panel Details",$O397,"")</f>
        <v/>
      </c>
      <c r="AL397" s="46" t="str">
        <f aca="false">IF($D397="Panel Details",8,"")</f>
        <v/>
      </c>
      <c r="AM397" s="46" t="str">
        <f aca="false">IF($D397="Panel Details",$AB397,"")</f>
        <v/>
      </c>
      <c r="AN397" s="46" t="str">
        <f aca="false">IF($D397="Panel Details","Yes","")</f>
        <v/>
      </c>
      <c r="AO397" s="46"/>
      <c r="AP397" s="46" t="str">
        <f aca="false">IF($D397="Followup",'Survey Response'!$D395,"")</f>
        <v/>
      </c>
      <c r="AQ397" s="46" t="str">
        <f aca="false">IF($D397="Followup",'Survey Response'!$E395,"")</f>
        <v/>
      </c>
      <c r="AR397" s="46" t="str">
        <f aca="false">IF($D397="Followup",'Survey Response'!$G395,"")</f>
        <v/>
      </c>
      <c r="AS397" s="46" t="str">
        <f aca="false">IF($D397="Followup",'Survey Response'!$H395,"")</f>
        <v/>
      </c>
      <c r="AT397" s="46" t="str">
        <f aca="false">IF($D397="Followup",'Survey Response'!$M395,"")</f>
        <v/>
      </c>
      <c r="AU397" s="46" t="str">
        <f aca="false">IF($D397="Followup",'Survey Response'!$K395,"")</f>
        <v/>
      </c>
      <c r="AV397" s="46" t="str">
        <f aca="false">IF($D397="Followup",'Survey Response'!$L395,"")</f>
        <v/>
      </c>
      <c r="AW397" s="46" t="str">
        <f aca="false">IF($D397="Followup",IF(AND($P397&lt;&gt;"Yes",$U397&lt;&gt;"Yes"),"Not approved for primary or secondary skill","Approved, but skill(s) no longer have capacity (fully staffed)"),"")</f>
        <v/>
      </c>
    </row>
    <row r="398" customFormat="false" ht="15" hidden="false" customHeight="true" outlineLevel="0" collapsed="false">
      <c r="A398" s="46" t="str">
        <f aca="false">IF('Survey Response'!$D396="","",'Survey Response'!$A396&amp;"|"&amp;LOWER(TRIM('Survey Response'!$D396)))</f>
        <v/>
      </c>
      <c r="B398" s="46" t="str">
        <f aca="false">IF($H398="","",$F398&amp;"|"&amp;$H398)</f>
        <v/>
      </c>
      <c r="C398" s="46" t="str">
        <f aca="false">IF($H398="","",$A398=$B398)</f>
        <v/>
      </c>
      <c r="D398" s="46" t="str">
        <f aca="false">IF($H398="","",IF($E398&lt;&gt;"Yes","Superseded",IF($I398&lt;&gt;"Yes, I'm available for in-person interviews at Chennai","Not Available",IF($Z398&lt;&gt;"","Panel Details","Followup"))))</f>
        <v/>
      </c>
      <c r="E398" s="46" t="str">
        <f aca="false">IF($H398="","",IF(SUMPRODUCT(($H$4:$H$503=$H398)*(($G$4:$G$503&gt;$G398)+($G$4:$G$503=$G398)*($F$4:$F$503&gt;$F398)))=0,"Yes","No"))</f>
        <v/>
      </c>
      <c r="F398" s="47" t="str">
        <f aca="false">IF('Survey Response'!$D396="","",INT('Survey Response'!$A396))</f>
        <v/>
      </c>
      <c r="G398" s="46" t="str">
        <f aca="false">IF('Survey Response'!$D396="","",'Survey Response'!$C396)</f>
        <v/>
      </c>
      <c r="H398" s="46" t="str">
        <f aca="false">IF('Survey Response'!$D396="","",LOWER(TRIM('Survey Response'!$D396)))</f>
        <v/>
      </c>
      <c r="I398" s="46" t="str">
        <f aca="false">IF($H398="","",'Survey Response'!$I396)</f>
        <v/>
      </c>
      <c r="J398" s="46" t="str">
        <f aca="false">IF($H398="","",'Survey Response'!$K396)</f>
        <v/>
      </c>
      <c r="K398" s="46" t="str">
        <f aca="false">IF($J398="","",IF(COUNTIF('Skill Mapping'!$A$2:$A$7,TRIM($J398))=0,"",INDEX('Skill Mapping'!$B$2:$B$7,MATCH(TRIM($J398),'Skill Mapping'!$A$2:$A$7,0))))</f>
        <v/>
      </c>
      <c r="L398" s="46" t="str">
        <f aca="false">IF($H398="","",'Survey Response'!$L396)</f>
        <v/>
      </c>
      <c r="M398" s="46" t="str">
        <f aca="false">IF($L398="","",IF(COUNTIF('Skill Mapping'!$A$2:$A$7,TRIM($L398))=0,"",INDEX('Skill Mapping'!$B$2:$B$7,MATCH(TRIM($L398),'Skill Mapping'!$A$2:$A$7,0))))</f>
        <v/>
      </c>
      <c r="N398" s="46" t="str">
        <f aca="false">IF($H398="","",'Survey Response'!$M396)</f>
        <v/>
      </c>
      <c r="O398" s="46" t="str">
        <f aca="false">IF($H398="","",IF('Survey Response'!$M396="Manager","R2","R1"))</f>
        <v/>
      </c>
      <c r="P398" s="46" t="str">
        <f aca="false">IF($K398="","No",IF(COUNTIFS(MasterPanel!$B:$B,$H398,MasterPanel!$I:$I,$K398,MasterPanel!$K:$K,"Y")&gt;0,"Yes","No"))</f>
        <v>No</v>
      </c>
      <c r="Q398" s="46" t="n">
        <f aca="false">IF($K398="",0,IF(COUNTIF('Gap Sheet'!$A$6:$A$11,TRIM($J398))=0,0,IF($O398="R1",INDEX('Gap Sheet'!$C$6:$C$11,MATCH(TRIM($J398),'Gap Sheet'!$A$6:$A$11,0)),INDEX('Gap Sheet'!$G$6:$G$11,MATCH(TRIM($J398),'Gap Sheet'!$A$6:$A$11,0)))))</f>
        <v>0</v>
      </c>
      <c r="R398" s="46" t="str">
        <f aca="false">IF($K398="","",$K398&amp;"|"&amp;$O398)</f>
        <v/>
      </c>
      <c r="S398" s="46" t="n">
        <f aca="false">IF($R398="",0,COUNTIF($AA$4:$AA397,$R398))</f>
        <v>0</v>
      </c>
      <c r="T398" s="46" t="str">
        <f aca="false">IF(OR($I398&lt;&gt;"Yes, I'm available for in-person interviews at Chennai",$E398&lt;&gt;"Yes",$P398&lt;&gt;"Yes"),"No",IF(($Q398-$S398)&gt;0,"Yes","No"))</f>
        <v>No</v>
      </c>
      <c r="U398" s="46" t="str">
        <f aca="false">IF($M398="","No",IF(COUNTIFS(MasterPanel!$B:$B,$H398,MasterPanel!$I:$I,$M398,MasterPanel!$K:$K,"Y")&gt;0,"Yes","No"))</f>
        <v>No</v>
      </c>
      <c r="V398" s="46" t="n">
        <f aca="false">IF($M398="",0,IF(COUNTIF('Gap Sheet'!$A$6:$A$11,TRIM($L398))=0,0,IF($O398="R1",INDEX('Gap Sheet'!$C$6:$C$11,MATCH(TRIM($L398),'Gap Sheet'!$A$6:$A$11,0)),INDEX('Gap Sheet'!$G$6:$G$11,MATCH(TRIM($L398),'Gap Sheet'!$A$6:$A$11,0)))))</f>
        <v>0</v>
      </c>
      <c r="W398" s="46" t="str">
        <f aca="false">IF($M398="","",$M398&amp;"|"&amp;$O398)</f>
        <v/>
      </c>
      <c r="X398" s="46" t="n">
        <f aca="false">IF($W398="",0,COUNTIF($AA$4:$AA397,$W398))</f>
        <v>0</v>
      </c>
      <c r="Y398" s="46" t="str">
        <f aca="false">IF(OR($I398&lt;&gt;"Yes, I'm available for in-person interviews at Chennai",$E398&lt;&gt;"Yes",$T398="Yes",$U398&lt;&gt;"Yes"),"No",IF(($V398-$X398)&gt;0,"Yes","No"))</f>
        <v>No</v>
      </c>
      <c r="Z398" s="46" t="str">
        <f aca="false">IF($T398="Yes","Primary",IF($Y398="Yes","Secondary",""))</f>
        <v/>
      </c>
      <c r="AA398" s="46" t="str">
        <f aca="false">IF($Z398="Primary",$R398,IF($Z398="Secondary",$W398,""))</f>
        <v/>
      </c>
      <c r="AB398" s="46" t="str">
        <f aca="false">IF($Z398="Primary","Matched on primary skill",IF($Z398="Secondary","Matched on secondary skill (primary not approved or not required)",""))</f>
        <v/>
      </c>
      <c r="AC398" s="47" t="str">
        <f aca="false">IF($D398="Panel Details",$F398,"")</f>
        <v/>
      </c>
      <c r="AD398" s="46" t="str">
        <f aca="false">IF($D398="Panel Details",'Survey Response'!$D396,"")</f>
        <v/>
      </c>
      <c r="AE398" s="46" t="str">
        <f aca="false">IF($D398="Panel Details",'Survey Response'!$E396,"")</f>
        <v/>
      </c>
      <c r="AF398" s="46" t="str">
        <f aca="false">IF($D398="Panel Details",'Survey Response'!$G396,"")</f>
        <v/>
      </c>
      <c r="AG398" s="46" t="str">
        <f aca="false">IF($D398="Panel Details",IF($Z398="Primary",$J398,$L398),"")</f>
        <v/>
      </c>
      <c r="AH398" s="46" t="str">
        <f aca="false">IF($D398="Panel Details",IF($Z398="Primary",$L398,$J398),"")</f>
        <v/>
      </c>
      <c r="AI398" s="46" t="str">
        <f aca="false">IF($D398="Panel Details",'Survey Response'!$H396,"")</f>
        <v/>
      </c>
      <c r="AJ398" s="46" t="str">
        <f aca="false">IF($D398="Panel Details",'Survey Response'!$M396,"")</f>
        <v/>
      </c>
      <c r="AK398" s="46" t="str">
        <f aca="false">IF($D398="Panel Details",$O398,"")</f>
        <v/>
      </c>
      <c r="AL398" s="46" t="str">
        <f aca="false">IF($D398="Panel Details",8,"")</f>
        <v/>
      </c>
      <c r="AM398" s="46" t="str">
        <f aca="false">IF($D398="Panel Details",$AB398,"")</f>
        <v/>
      </c>
      <c r="AN398" s="46" t="str">
        <f aca="false">IF($D398="Panel Details","Yes","")</f>
        <v/>
      </c>
      <c r="AO398" s="46"/>
      <c r="AP398" s="46" t="str">
        <f aca="false">IF($D398="Followup",'Survey Response'!$D396,"")</f>
        <v/>
      </c>
      <c r="AQ398" s="46" t="str">
        <f aca="false">IF($D398="Followup",'Survey Response'!$E396,"")</f>
        <v/>
      </c>
      <c r="AR398" s="46" t="str">
        <f aca="false">IF($D398="Followup",'Survey Response'!$G396,"")</f>
        <v/>
      </c>
      <c r="AS398" s="46" t="str">
        <f aca="false">IF($D398="Followup",'Survey Response'!$H396,"")</f>
        <v/>
      </c>
      <c r="AT398" s="46" t="str">
        <f aca="false">IF($D398="Followup",'Survey Response'!$M396,"")</f>
        <v/>
      </c>
      <c r="AU398" s="46" t="str">
        <f aca="false">IF($D398="Followup",'Survey Response'!$K396,"")</f>
        <v/>
      </c>
      <c r="AV398" s="46" t="str">
        <f aca="false">IF($D398="Followup",'Survey Response'!$L396,"")</f>
        <v/>
      </c>
      <c r="AW398" s="46" t="str">
        <f aca="false">IF($D398="Followup",IF(AND($P398&lt;&gt;"Yes",$U398&lt;&gt;"Yes"),"Not approved for primary or secondary skill","Approved, but skill(s) no longer have capacity (fully staffed)"),"")</f>
        <v/>
      </c>
    </row>
    <row r="399" customFormat="false" ht="15" hidden="false" customHeight="true" outlineLevel="0" collapsed="false">
      <c r="A399" s="46" t="str">
        <f aca="false">IF('Survey Response'!$D397="","",'Survey Response'!$A397&amp;"|"&amp;LOWER(TRIM('Survey Response'!$D397)))</f>
        <v/>
      </c>
      <c r="B399" s="46" t="str">
        <f aca="false">IF($H399="","",$F399&amp;"|"&amp;$H399)</f>
        <v/>
      </c>
      <c r="C399" s="46" t="str">
        <f aca="false">IF($H399="","",$A399=$B399)</f>
        <v/>
      </c>
      <c r="D399" s="46" t="str">
        <f aca="false">IF($H399="","",IF($E399&lt;&gt;"Yes","Superseded",IF($I399&lt;&gt;"Yes, I'm available for in-person interviews at Chennai","Not Available",IF($Z399&lt;&gt;"","Panel Details","Followup"))))</f>
        <v/>
      </c>
      <c r="E399" s="46" t="str">
        <f aca="false">IF($H399="","",IF(SUMPRODUCT(($H$4:$H$503=$H399)*(($G$4:$G$503&gt;$G399)+($G$4:$G$503=$G399)*($F$4:$F$503&gt;$F399)))=0,"Yes","No"))</f>
        <v/>
      </c>
      <c r="F399" s="47" t="str">
        <f aca="false">IF('Survey Response'!$D397="","",INT('Survey Response'!$A397))</f>
        <v/>
      </c>
      <c r="G399" s="46" t="str">
        <f aca="false">IF('Survey Response'!$D397="","",'Survey Response'!$C397)</f>
        <v/>
      </c>
      <c r="H399" s="46" t="str">
        <f aca="false">IF('Survey Response'!$D397="","",LOWER(TRIM('Survey Response'!$D397)))</f>
        <v/>
      </c>
      <c r="I399" s="46" t="str">
        <f aca="false">IF($H399="","",'Survey Response'!$I397)</f>
        <v/>
      </c>
      <c r="J399" s="46" t="str">
        <f aca="false">IF($H399="","",'Survey Response'!$K397)</f>
        <v/>
      </c>
      <c r="K399" s="46" t="str">
        <f aca="false">IF($J399="","",IF(COUNTIF('Skill Mapping'!$A$2:$A$7,TRIM($J399))=0,"",INDEX('Skill Mapping'!$B$2:$B$7,MATCH(TRIM($J399),'Skill Mapping'!$A$2:$A$7,0))))</f>
        <v/>
      </c>
      <c r="L399" s="46" t="str">
        <f aca="false">IF($H399="","",'Survey Response'!$L397)</f>
        <v/>
      </c>
      <c r="M399" s="46" t="str">
        <f aca="false">IF($L399="","",IF(COUNTIF('Skill Mapping'!$A$2:$A$7,TRIM($L399))=0,"",INDEX('Skill Mapping'!$B$2:$B$7,MATCH(TRIM($L399),'Skill Mapping'!$A$2:$A$7,0))))</f>
        <v/>
      </c>
      <c r="N399" s="46" t="str">
        <f aca="false">IF($H399="","",'Survey Response'!$M397)</f>
        <v/>
      </c>
      <c r="O399" s="46" t="str">
        <f aca="false">IF($H399="","",IF('Survey Response'!$M397="Manager","R2","R1"))</f>
        <v/>
      </c>
      <c r="P399" s="46" t="str">
        <f aca="false">IF($K399="","No",IF(COUNTIFS(MasterPanel!$B:$B,$H399,MasterPanel!$I:$I,$K399,MasterPanel!$K:$K,"Y")&gt;0,"Yes","No"))</f>
        <v>No</v>
      </c>
      <c r="Q399" s="46" t="n">
        <f aca="false">IF($K399="",0,IF(COUNTIF('Gap Sheet'!$A$6:$A$11,TRIM($J399))=0,0,IF($O399="R1",INDEX('Gap Sheet'!$C$6:$C$11,MATCH(TRIM($J399),'Gap Sheet'!$A$6:$A$11,0)),INDEX('Gap Sheet'!$G$6:$G$11,MATCH(TRIM($J399),'Gap Sheet'!$A$6:$A$11,0)))))</f>
        <v>0</v>
      </c>
      <c r="R399" s="46" t="str">
        <f aca="false">IF($K399="","",$K399&amp;"|"&amp;$O399)</f>
        <v/>
      </c>
      <c r="S399" s="46" t="n">
        <f aca="false">IF($R399="",0,COUNTIF($AA$4:$AA398,$R399))</f>
        <v>0</v>
      </c>
      <c r="T399" s="46" t="str">
        <f aca="false">IF(OR($I399&lt;&gt;"Yes, I'm available for in-person interviews at Chennai",$E399&lt;&gt;"Yes",$P399&lt;&gt;"Yes"),"No",IF(($Q399-$S399)&gt;0,"Yes","No"))</f>
        <v>No</v>
      </c>
      <c r="U399" s="46" t="str">
        <f aca="false">IF($M399="","No",IF(COUNTIFS(MasterPanel!$B:$B,$H399,MasterPanel!$I:$I,$M399,MasterPanel!$K:$K,"Y")&gt;0,"Yes","No"))</f>
        <v>No</v>
      </c>
      <c r="V399" s="46" t="n">
        <f aca="false">IF($M399="",0,IF(COUNTIF('Gap Sheet'!$A$6:$A$11,TRIM($L399))=0,0,IF($O399="R1",INDEX('Gap Sheet'!$C$6:$C$11,MATCH(TRIM($L399),'Gap Sheet'!$A$6:$A$11,0)),INDEX('Gap Sheet'!$G$6:$G$11,MATCH(TRIM($L399),'Gap Sheet'!$A$6:$A$11,0)))))</f>
        <v>0</v>
      </c>
      <c r="W399" s="46" t="str">
        <f aca="false">IF($M399="","",$M399&amp;"|"&amp;$O399)</f>
        <v/>
      </c>
      <c r="X399" s="46" t="n">
        <f aca="false">IF($W399="",0,COUNTIF($AA$4:$AA398,$W399))</f>
        <v>0</v>
      </c>
      <c r="Y399" s="46" t="str">
        <f aca="false">IF(OR($I399&lt;&gt;"Yes, I'm available for in-person interviews at Chennai",$E399&lt;&gt;"Yes",$T399="Yes",$U399&lt;&gt;"Yes"),"No",IF(($V399-$X399)&gt;0,"Yes","No"))</f>
        <v>No</v>
      </c>
      <c r="Z399" s="46" t="str">
        <f aca="false">IF($T399="Yes","Primary",IF($Y399="Yes","Secondary",""))</f>
        <v/>
      </c>
      <c r="AA399" s="46" t="str">
        <f aca="false">IF($Z399="Primary",$R399,IF($Z399="Secondary",$W399,""))</f>
        <v/>
      </c>
      <c r="AB399" s="46" t="str">
        <f aca="false">IF($Z399="Primary","Matched on primary skill",IF($Z399="Secondary","Matched on secondary skill (primary not approved or not required)",""))</f>
        <v/>
      </c>
      <c r="AC399" s="47" t="str">
        <f aca="false">IF($D399="Panel Details",$F399,"")</f>
        <v/>
      </c>
      <c r="AD399" s="46" t="str">
        <f aca="false">IF($D399="Panel Details",'Survey Response'!$D397,"")</f>
        <v/>
      </c>
      <c r="AE399" s="46" t="str">
        <f aca="false">IF($D399="Panel Details",'Survey Response'!$E397,"")</f>
        <v/>
      </c>
      <c r="AF399" s="46" t="str">
        <f aca="false">IF($D399="Panel Details",'Survey Response'!$G397,"")</f>
        <v/>
      </c>
      <c r="AG399" s="46" t="str">
        <f aca="false">IF($D399="Panel Details",IF($Z399="Primary",$J399,$L399),"")</f>
        <v/>
      </c>
      <c r="AH399" s="46" t="str">
        <f aca="false">IF($D399="Panel Details",IF($Z399="Primary",$L399,$J399),"")</f>
        <v/>
      </c>
      <c r="AI399" s="46" t="str">
        <f aca="false">IF($D399="Panel Details",'Survey Response'!$H397,"")</f>
        <v/>
      </c>
      <c r="AJ399" s="46" t="str">
        <f aca="false">IF($D399="Panel Details",'Survey Response'!$M397,"")</f>
        <v/>
      </c>
      <c r="AK399" s="46" t="str">
        <f aca="false">IF($D399="Panel Details",$O399,"")</f>
        <v/>
      </c>
      <c r="AL399" s="46" t="str">
        <f aca="false">IF($D399="Panel Details",8,"")</f>
        <v/>
      </c>
      <c r="AM399" s="46" t="str">
        <f aca="false">IF($D399="Panel Details",$AB399,"")</f>
        <v/>
      </c>
      <c r="AN399" s="46" t="str">
        <f aca="false">IF($D399="Panel Details","Yes","")</f>
        <v/>
      </c>
      <c r="AO399" s="46"/>
      <c r="AP399" s="46" t="str">
        <f aca="false">IF($D399="Followup",'Survey Response'!$D397,"")</f>
        <v/>
      </c>
      <c r="AQ399" s="46" t="str">
        <f aca="false">IF($D399="Followup",'Survey Response'!$E397,"")</f>
        <v/>
      </c>
      <c r="AR399" s="46" t="str">
        <f aca="false">IF($D399="Followup",'Survey Response'!$G397,"")</f>
        <v/>
      </c>
      <c r="AS399" s="46" t="str">
        <f aca="false">IF($D399="Followup",'Survey Response'!$H397,"")</f>
        <v/>
      </c>
      <c r="AT399" s="46" t="str">
        <f aca="false">IF($D399="Followup",'Survey Response'!$M397,"")</f>
        <v/>
      </c>
      <c r="AU399" s="46" t="str">
        <f aca="false">IF($D399="Followup",'Survey Response'!$K397,"")</f>
        <v/>
      </c>
      <c r="AV399" s="46" t="str">
        <f aca="false">IF($D399="Followup",'Survey Response'!$L397,"")</f>
        <v/>
      </c>
      <c r="AW399" s="46" t="str">
        <f aca="false">IF($D399="Followup",IF(AND($P399&lt;&gt;"Yes",$U399&lt;&gt;"Yes"),"Not approved for primary or secondary skill","Approved, but skill(s) no longer have capacity (fully staffed)"),"")</f>
        <v/>
      </c>
    </row>
    <row r="400" customFormat="false" ht="15" hidden="false" customHeight="true" outlineLevel="0" collapsed="false">
      <c r="A400" s="46" t="str">
        <f aca="false">IF('Survey Response'!$D398="","",'Survey Response'!$A398&amp;"|"&amp;LOWER(TRIM('Survey Response'!$D398)))</f>
        <v/>
      </c>
      <c r="B400" s="46" t="str">
        <f aca="false">IF($H400="","",$F400&amp;"|"&amp;$H400)</f>
        <v/>
      </c>
      <c r="C400" s="46" t="str">
        <f aca="false">IF($H400="","",$A400=$B400)</f>
        <v/>
      </c>
      <c r="D400" s="46" t="str">
        <f aca="false">IF($H400="","",IF($E400&lt;&gt;"Yes","Superseded",IF($I400&lt;&gt;"Yes, I'm available for in-person interviews at Chennai","Not Available",IF($Z400&lt;&gt;"","Panel Details","Followup"))))</f>
        <v/>
      </c>
      <c r="E400" s="46" t="str">
        <f aca="false">IF($H400="","",IF(SUMPRODUCT(($H$4:$H$503=$H400)*(($G$4:$G$503&gt;$G400)+($G$4:$G$503=$G400)*($F$4:$F$503&gt;$F400)))=0,"Yes","No"))</f>
        <v/>
      </c>
      <c r="F400" s="47" t="str">
        <f aca="false">IF('Survey Response'!$D398="","",INT('Survey Response'!$A398))</f>
        <v/>
      </c>
      <c r="G400" s="46" t="str">
        <f aca="false">IF('Survey Response'!$D398="","",'Survey Response'!$C398)</f>
        <v/>
      </c>
      <c r="H400" s="46" t="str">
        <f aca="false">IF('Survey Response'!$D398="","",LOWER(TRIM('Survey Response'!$D398)))</f>
        <v/>
      </c>
      <c r="I400" s="46" t="str">
        <f aca="false">IF($H400="","",'Survey Response'!$I398)</f>
        <v/>
      </c>
      <c r="J400" s="46" t="str">
        <f aca="false">IF($H400="","",'Survey Response'!$K398)</f>
        <v/>
      </c>
      <c r="K400" s="46" t="str">
        <f aca="false">IF($J400="","",IF(COUNTIF('Skill Mapping'!$A$2:$A$7,TRIM($J400))=0,"",INDEX('Skill Mapping'!$B$2:$B$7,MATCH(TRIM($J400),'Skill Mapping'!$A$2:$A$7,0))))</f>
        <v/>
      </c>
      <c r="L400" s="46" t="str">
        <f aca="false">IF($H400="","",'Survey Response'!$L398)</f>
        <v/>
      </c>
      <c r="M400" s="46" t="str">
        <f aca="false">IF($L400="","",IF(COUNTIF('Skill Mapping'!$A$2:$A$7,TRIM($L400))=0,"",INDEX('Skill Mapping'!$B$2:$B$7,MATCH(TRIM($L400),'Skill Mapping'!$A$2:$A$7,0))))</f>
        <v/>
      </c>
      <c r="N400" s="46" t="str">
        <f aca="false">IF($H400="","",'Survey Response'!$M398)</f>
        <v/>
      </c>
      <c r="O400" s="46" t="str">
        <f aca="false">IF($H400="","",IF('Survey Response'!$M398="Manager","R2","R1"))</f>
        <v/>
      </c>
      <c r="P400" s="46" t="str">
        <f aca="false">IF($K400="","No",IF(COUNTIFS(MasterPanel!$B:$B,$H400,MasterPanel!$I:$I,$K400,MasterPanel!$K:$K,"Y")&gt;0,"Yes","No"))</f>
        <v>No</v>
      </c>
      <c r="Q400" s="46" t="n">
        <f aca="false">IF($K400="",0,IF(COUNTIF('Gap Sheet'!$A$6:$A$11,TRIM($J400))=0,0,IF($O400="R1",INDEX('Gap Sheet'!$C$6:$C$11,MATCH(TRIM($J400),'Gap Sheet'!$A$6:$A$11,0)),INDEX('Gap Sheet'!$G$6:$G$11,MATCH(TRIM($J400),'Gap Sheet'!$A$6:$A$11,0)))))</f>
        <v>0</v>
      </c>
      <c r="R400" s="46" t="str">
        <f aca="false">IF($K400="","",$K400&amp;"|"&amp;$O400)</f>
        <v/>
      </c>
      <c r="S400" s="46" t="n">
        <f aca="false">IF($R400="",0,COUNTIF($AA$4:$AA399,$R400))</f>
        <v>0</v>
      </c>
      <c r="T400" s="46" t="str">
        <f aca="false">IF(OR($I400&lt;&gt;"Yes, I'm available for in-person interviews at Chennai",$E400&lt;&gt;"Yes",$P400&lt;&gt;"Yes"),"No",IF(($Q400-$S400)&gt;0,"Yes","No"))</f>
        <v>No</v>
      </c>
      <c r="U400" s="46" t="str">
        <f aca="false">IF($M400="","No",IF(COUNTIFS(MasterPanel!$B:$B,$H400,MasterPanel!$I:$I,$M400,MasterPanel!$K:$K,"Y")&gt;0,"Yes","No"))</f>
        <v>No</v>
      </c>
      <c r="V400" s="46" t="n">
        <f aca="false">IF($M400="",0,IF(COUNTIF('Gap Sheet'!$A$6:$A$11,TRIM($L400))=0,0,IF($O400="R1",INDEX('Gap Sheet'!$C$6:$C$11,MATCH(TRIM($L400),'Gap Sheet'!$A$6:$A$11,0)),INDEX('Gap Sheet'!$G$6:$G$11,MATCH(TRIM($L400),'Gap Sheet'!$A$6:$A$11,0)))))</f>
        <v>0</v>
      </c>
      <c r="W400" s="46" t="str">
        <f aca="false">IF($M400="","",$M400&amp;"|"&amp;$O400)</f>
        <v/>
      </c>
      <c r="X400" s="46" t="n">
        <f aca="false">IF($W400="",0,COUNTIF($AA$4:$AA399,$W400))</f>
        <v>0</v>
      </c>
      <c r="Y400" s="46" t="str">
        <f aca="false">IF(OR($I400&lt;&gt;"Yes, I'm available for in-person interviews at Chennai",$E400&lt;&gt;"Yes",$T400="Yes",$U400&lt;&gt;"Yes"),"No",IF(($V400-$X400)&gt;0,"Yes","No"))</f>
        <v>No</v>
      </c>
      <c r="Z400" s="46" t="str">
        <f aca="false">IF($T400="Yes","Primary",IF($Y400="Yes","Secondary",""))</f>
        <v/>
      </c>
      <c r="AA400" s="46" t="str">
        <f aca="false">IF($Z400="Primary",$R400,IF($Z400="Secondary",$W400,""))</f>
        <v/>
      </c>
      <c r="AB400" s="46" t="str">
        <f aca="false">IF($Z400="Primary","Matched on primary skill",IF($Z400="Secondary","Matched on secondary skill (primary not approved or not required)",""))</f>
        <v/>
      </c>
      <c r="AC400" s="47" t="str">
        <f aca="false">IF($D400="Panel Details",$F400,"")</f>
        <v/>
      </c>
      <c r="AD400" s="46" t="str">
        <f aca="false">IF($D400="Panel Details",'Survey Response'!$D398,"")</f>
        <v/>
      </c>
      <c r="AE400" s="46" t="str">
        <f aca="false">IF($D400="Panel Details",'Survey Response'!$E398,"")</f>
        <v/>
      </c>
      <c r="AF400" s="46" t="str">
        <f aca="false">IF($D400="Panel Details",'Survey Response'!$G398,"")</f>
        <v/>
      </c>
      <c r="AG400" s="46" t="str">
        <f aca="false">IF($D400="Panel Details",IF($Z400="Primary",$J400,$L400),"")</f>
        <v/>
      </c>
      <c r="AH400" s="46" t="str">
        <f aca="false">IF($D400="Panel Details",IF($Z400="Primary",$L400,$J400),"")</f>
        <v/>
      </c>
      <c r="AI400" s="46" t="str">
        <f aca="false">IF($D400="Panel Details",'Survey Response'!$H398,"")</f>
        <v/>
      </c>
      <c r="AJ400" s="46" t="str">
        <f aca="false">IF($D400="Panel Details",'Survey Response'!$M398,"")</f>
        <v/>
      </c>
      <c r="AK400" s="46" t="str">
        <f aca="false">IF($D400="Panel Details",$O400,"")</f>
        <v/>
      </c>
      <c r="AL400" s="46" t="str">
        <f aca="false">IF($D400="Panel Details",8,"")</f>
        <v/>
      </c>
      <c r="AM400" s="46" t="str">
        <f aca="false">IF($D400="Panel Details",$AB400,"")</f>
        <v/>
      </c>
      <c r="AN400" s="46" t="str">
        <f aca="false">IF($D400="Panel Details","Yes","")</f>
        <v/>
      </c>
      <c r="AO400" s="46"/>
      <c r="AP400" s="46" t="str">
        <f aca="false">IF($D400="Followup",'Survey Response'!$D398,"")</f>
        <v/>
      </c>
      <c r="AQ400" s="46" t="str">
        <f aca="false">IF($D400="Followup",'Survey Response'!$E398,"")</f>
        <v/>
      </c>
      <c r="AR400" s="46" t="str">
        <f aca="false">IF($D400="Followup",'Survey Response'!$G398,"")</f>
        <v/>
      </c>
      <c r="AS400" s="46" t="str">
        <f aca="false">IF($D400="Followup",'Survey Response'!$H398,"")</f>
        <v/>
      </c>
      <c r="AT400" s="46" t="str">
        <f aca="false">IF($D400="Followup",'Survey Response'!$M398,"")</f>
        <v/>
      </c>
      <c r="AU400" s="46" t="str">
        <f aca="false">IF($D400="Followup",'Survey Response'!$K398,"")</f>
        <v/>
      </c>
      <c r="AV400" s="46" t="str">
        <f aca="false">IF($D400="Followup",'Survey Response'!$L398,"")</f>
        <v/>
      </c>
      <c r="AW400" s="46" t="str">
        <f aca="false">IF($D400="Followup",IF(AND($P400&lt;&gt;"Yes",$U400&lt;&gt;"Yes"),"Not approved for primary or secondary skill","Approved, but skill(s) no longer have capacity (fully staffed)"),"")</f>
        <v/>
      </c>
    </row>
    <row r="401" customFormat="false" ht="15" hidden="false" customHeight="true" outlineLevel="0" collapsed="false">
      <c r="A401" s="46" t="str">
        <f aca="false">IF('Survey Response'!$D399="","",'Survey Response'!$A399&amp;"|"&amp;LOWER(TRIM('Survey Response'!$D399)))</f>
        <v/>
      </c>
      <c r="B401" s="46" t="str">
        <f aca="false">IF($H401="","",$F401&amp;"|"&amp;$H401)</f>
        <v/>
      </c>
      <c r="C401" s="46" t="str">
        <f aca="false">IF($H401="","",$A401=$B401)</f>
        <v/>
      </c>
      <c r="D401" s="46" t="str">
        <f aca="false">IF($H401="","",IF($E401&lt;&gt;"Yes","Superseded",IF($I401&lt;&gt;"Yes, I'm available for in-person interviews at Chennai","Not Available",IF($Z401&lt;&gt;"","Panel Details","Followup"))))</f>
        <v/>
      </c>
      <c r="E401" s="46" t="str">
        <f aca="false">IF($H401="","",IF(SUMPRODUCT(($H$4:$H$503=$H401)*(($G$4:$G$503&gt;$G401)+($G$4:$G$503=$G401)*($F$4:$F$503&gt;$F401)))=0,"Yes","No"))</f>
        <v/>
      </c>
      <c r="F401" s="47" t="str">
        <f aca="false">IF('Survey Response'!$D399="","",INT('Survey Response'!$A399))</f>
        <v/>
      </c>
      <c r="G401" s="46" t="str">
        <f aca="false">IF('Survey Response'!$D399="","",'Survey Response'!$C399)</f>
        <v/>
      </c>
      <c r="H401" s="46" t="str">
        <f aca="false">IF('Survey Response'!$D399="","",LOWER(TRIM('Survey Response'!$D399)))</f>
        <v/>
      </c>
      <c r="I401" s="46" t="str">
        <f aca="false">IF($H401="","",'Survey Response'!$I399)</f>
        <v/>
      </c>
      <c r="J401" s="46" t="str">
        <f aca="false">IF($H401="","",'Survey Response'!$K399)</f>
        <v/>
      </c>
      <c r="K401" s="46" t="str">
        <f aca="false">IF($J401="","",IF(COUNTIF('Skill Mapping'!$A$2:$A$7,TRIM($J401))=0,"",INDEX('Skill Mapping'!$B$2:$B$7,MATCH(TRIM($J401),'Skill Mapping'!$A$2:$A$7,0))))</f>
        <v/>
      </c>
      <c r="L401" s="46" t="str">
        <f aca="false">IF($H401="","",'Survey Response'!$L399)</f>
        <v/>
      </c>
      <c r="M401" s="46" t="str">
        <f aca="false">IF($L401="","",IF(COUNTIF('Skill Mapping'!$A$2:$A$7,TRIM($L401))=0,"",INDEX('Skill Mapping'!$B$2:$B$7,MATCH(TRIM($L401),'Skill Mapping'!$A$2:$A$7,0))))</f>
        <v/>
      </c>
      <c r="N401" s="46" t="str">
        <f aca="false">IF($H401="","",'Survey Response'!$M399)</f>
        <v/>
      </c>
      <c r="O401" s="46" t="str">
        <f aca="false">IF($H401="","",IF('Survey Response'!$M399="Manager","R2","R1"))</f>
        <v/>
      </c>
      <c r="P401" s="46" t="str">
        <f aca="false">IF($K401="","No",IF(COUNTIFS(MasterPanel!$B:$B,$H401,MasterPanel!$I:$I,$K401,MasterPanel!$K:$K,"Y")&gt;0,"Yes","No"))</f>
        <v>No</v>
      </c>
      <c r="Q401" s="46" t="n">
        <f aca="false">IF($K401="",0,IF(COUNTIF('Gap Sheet'!$A$6:$A$11,TRIM($J401))=0,0,IF($O401="R1",INDEX('Gap Sheet'!$C$6:$C$11,MATCH(TRIM($J401),'Gap Sheet'!$A$6:$A$11,0)),INDEX('Gap Sheet'!$G$6:$G$11,MATCH(TRIM($J401),'Gap Sheet'!$A$6:$A$11,0)))))</f>
        <v>0</v>
      </c>
      <c r="R401" s="46" t="str">
        <f aca="false">IF($K401="","",$K401&amp;"|"&amp;$O401)</f>
        <v/>
      </c>
      <c r="S401" s="46" t="n">
        <f aca="false">IF($R401="",0,COUNTIF($AA$4:$AA400,$R401))</f>
        <v>0</v>
      </c>
      <c r="T401" s="46" t="str">
        <f aca="false">IF(OR($I401&lt;&gt;"Yes, I'm available for in-person interviews at Chennai",$E401&lt;&gt;"Yes",$P401&lt;&gt;"Yes"),"No",IF(($Q401-$S401)&gt;0,"Yes","No"))</f>
        <v>No</v>
      </c>
      <c r="U401" s="46" t="str">
        <f aca="false">IF($M401="","No",IF(COUNTIFS(MasterPanel!$B:$B,$H401,MasterPanel!$I:$I,$M401,MasterPanel!$K:$K,"Y")&gt;0,"Yes","No"))</f>
        <v>No</v>
      </c>
      <c r="V401" s="46" t="n">
        <f aca="false">IF($M401="",0,IF(COUNTIF('Gap Sheet'!$A$6:$A$11,TRIM($L401))=0,0,IF($O401="R1",INDEX('Gap Sheet'!$C$6:$C$11,MATCH(TRIM($L401),'Gap Sheet'!$A$6:$A$11,0)),INDEX('Gap Sheet'!$G$6:$G$11,MATCH(TRIM($L401),'Gap Sheet'!$A$6:$A$11,0)))))</f>
        <v>0</v>
      </c>
      <c r="W401" s="46" t="str">
        <f aca="false">IF($M401="","",$M401&amp;"|"&amp;$O401)</f>
        <v/>
      </c>
      <c r="X401" s="46" t="n">
        <f aca="false">IF($W401="",0,COUNTIF($AA$4:$AA400,$W401))</f>
        <v>0</v>
      </c>
      <c r="Y401" s="46" t="str">
        <f aca="false">IF(OR($I401&lt;&gt;"Yes, I'm available for in-person interviews at Chennai",$E401&lt;&gt;"Yes",$T401="Yes",$U401&lt;&gt;"Yes"),"No",IF(($V401-$X401)&gt;0,"Yes","No"))</f>
        <v>No</v>
      </c>
      <c r="Z401" s="46" t="str">
        <f aca="false">IF($T401="Yes","Primary",IF($Y401="Yes","Secondary",""))</f>
        <v/>
      </c>
      <c r="AA401" s="46" t="str">
        <f aca="false">IF($Z401="Primary",$R401,IF($Z401="Secondary",$W401,""))</f>
        <v/>
      </c>
      <c r="AB401" s="46" t="str">
        <f aca="false">IF($Z401="Primary","Matched on primary skill",IF($Z401="Secondary","Matched on secondary skill (primary not approved or not required)",""))</f>
        <v/>
      </c>
      <c r="AC401" s="47" t="str">
        <f aca="false">IF($D401="Panel Details",$F401,"")</f>
        <v/>
      </c>
      <c r="AD401" s="46" t="str">
        <f aca="false">IF($D401="Panel Details",'Survey Response'!$D399,"")</f>
        <v/>
      </c>
      <c r="AE401" s="46" t="str">
        <f aca="false">IF($D401="Panel Details",'Survey Response'!$E399,"")</f>
        <v/>
      </c>
      <c r="AF401" s="46" t="str">
        <f aca="false">IF($D401="Panel Details",'Survey Response'!$G399,"")</f>
        <v/>
      </c>
      <c r="AG401" s="46" t="str">
        <f aca="false">IF($D401="Panel Details",IF($Z401="Primary",$J401,$L401),"")</f>
        <v/>
      </c>
      <c r="AH401" s="46" t="str">
        <f aca="false">IF($D401="Panel Details",IF($Z401="Primary",$L401,$J401),"")</f>
        <v/>
      </c>
      <c r="AI401" s="46" t="str">
        <f aca="false">IF($D401="Panel Details",'Survey Response'!$H399,"")</f>
        <v/>
      </c>
      <c r="AJ401" s="46" t="str">
        <f aca="false">IF($D401="Panel Details",'Survey Response'!$M399,"")</f>
        <v/>
      </c>
      <c r="AK401" s="46" t="str">
        <f aca="false">IF($D401="Panel Details",$O401,"")</f>
        <v/>
      </c>
      <c r="AL401" s="46" t="str">
        <f aca="false">IF($D401="Panel Details",8,"")</f>
        <v/>
      </c>
      <c r="AM401" s="46" t="str">
        <f aca="false">IF($D401="Panel Details",$AB401,"")</f>
        <v/>
      </c>
      <c r="AN401" s="46" t="str">
        <f aca="false">IF($D401="Panel Details","Yes","")</f>
        <v/>
      </c>
      <c r="AO401" s="46"/>
      <c r="AP401" s="46" t="str">
        <f aca="false">IF($D401="Followup",'Survey Response'!$D399,"")</f>
        <v/>
      </c>
      <c r="AQ401" s="46" t="str">
        <f aca="false">IF($D401="Followup",'Survey Response'!$E399,"")</f>
        <v/>
      </c>
      <c r="AR401" s="46" t="str">
        <f aca="false">IF($D401="Followup",'Survey Response'!$G399,"")</f>
        <v/>
      </c>
      <c r="AS401" s="46" t="str">
        <f aca="false">IF($D401="Followup",'Survey Response'!$H399,"")</f>
        <v/>
      </c>
      <c r="AT401" s="46" t="str">
        <f aca="false">IF($D401="Followup",'Survey Response'!$M399,"")</f>
        <v/>
      </c>
      <c r="AU401" s="46" t="str">
        <f aca="false">IF($D401="Followup",'Survey Response'!$K399,"")</f>
        <v/>
      </c>
      <c r="AV401" s="46" t="str">
        <f aca="false">IF($D401="Followup",'Survey Response'!$L399,"")</f>
        <v/>
      </c>
      <c r="AW401" s="46" t="str">
        <f aca="false">IF($D401="Followup",IF(AND($P401&lt;&gt;"Yes",$U401&lt;&gt;"Yes"),"Not approved for primary or secondary skill","Approved, but skill(s) no longer have capacity (fully staffed)"),"")</f>
        <v/>
      </c>
    </row>
    <row r="402" customFormat="false" ht="15" hidden="false" customHeight="true" outlineLevel="0" collapsed="false">
      <c r="A402" s="46" t="str">
        <f aca="false">IF('Survey Response'!$D400="","",'Survey Response'!$A400&amp;"|"&amp;LOWER(TRIM('Survey Response'!$D400)))</f>
        <v/>
      </c>
      <c r="B402" s="46" t="str">
        <f aca="false">IF($H402="","",$F402&amp;"|"&amp;$H402)</f>
        <v/>
      </c>
      <c r="C402" s="46" t="str">
        <f aca="false">IF($H402="","",$A402=$B402)</f>
        <v/>
      </c>
      <c r="D402" s="46" t="str">
        <f aca="false">IF($H402="","",IF($E402&lt;&gt;"Yes","Superseded",IF($I402&lt;&gt;"Yes, I'm available for in-person interviews at Chennai","Not Available",IF($Z402&lt;&gt;"","Panel Details","Followup"))))</f>
        <v/>
      </c>
      <c r="E402" s="46" t="str">
        <f aca="false">IF($H402="","",IF(SUMPRODUCT(($H$4:$H$503=$H402)*(($G$4:$G$503&gt;$G402)+($G$4:$G$503=$G402)*($F$4:$F$503&gt;$F402)))=0,"Yes","No"))</f>
        <v/>
      </c>
      <c r="F402" s="47" t="str">
        <f aca="false">IF('Survey Response'!$D400="","",INT('Survey Response'!$A400))</f>
        <v/>
      </c>
      <c r="G402" s="46" t="str">
        <f aca="false">IF('Survey Response'!$D400="","",'Survey Response'!$C400)</f>
        <v/>
      </c>
      <c r="H402" s="46" t="str">
        <f aca="false">IF('Survey Response'!$D400="","",LOWER(TRIM('Survey Response'!$D400)))</f>
        <v/>
      </c>
      <c r="I402" s="46" t="str">
        <f aca="false">IF($H402="","",'Survey Response'!$I400)</f>
        <v/>
      </c>
      <c r="J402" s="46" t="str">
        <f aca="false">IF($H402="","",'Survey Response'!$K400)</f>
        <v/>
      </c>
      <c r="K402" s="46" t="str">
        <f aca="false">IF($J402="","",IF(COUNTIF('Skill Mapping'!$A$2:$A$7,TRIM($J402))=0,"",INDEX('Skill Mapping'!$B$2:$B$7,MATCH(TRIM($J402),'Skill Mapping'!$A$2:$A$7,0))))</f>
        <v/>
      </c>
      <c r="L402" s="46" t="str">
        <f aca="false">IF($H402="","",'Survey Response'!$L400)</f>
        <v/>
      </c>
      <c r="M402" s="46" t="str">
        <f aca="false">IF($L402="","",IF(COUNTIF('Skill Mapping'!$A$2:$A$7,TRIM($L402))=0,"",INDEX('Skill Mapping'!$B$2:$B$7,MATCH(TRIM($L402),'Skill Mapping'!$A$2:$A$7,0))))</f>
        <v/>
      </c>
      <c r="N402" s="46" t="str">
        <f aca="false">IF($H402="","",'Survey Response'!$M400)</f>
        <v/>
      </c>
      <c r="O402" s="46" t="str">
        <f aca="false">IF($H402="","",IF('Survey Response'!$M400="Manager","R2","R1"))</f>
        <v/>
      </c>
      <c r="P402" s="46" t="str">
        <f aca="false">IF($K402="","No",IF(COUNTIFS(MasterPanel!$B:$B,$H402,MasterPanel!$I:$I,$K402,MasterPanel!$K:$K,"Y")&gt;0,"Yes","No"))</f>
        <v>No</v>
      </c>
      <c r="Q402" s="46" t="n">
        <f aca="false">IF($K402="",0,IF(COUNTIF('Gap Sheet'!$A$6:$A$11,TRIM($J402))=0,0,IF($O402="R1",INDEX('Gap Sheet'!$C$6:$C$11,MATCH(TRIM($J402),'Gap Sheet'!$A$6:$A$11,0)),INDEX('Gap Sheet'!$G$6:$G$11,MATCH(TRIM($J402),'Gap Sheet'!$A$6:$A$11,0)))))</f>
        <v>0</v>
      </c>
      <c r="R402" s="46" t="str">
        <f aca="false">IF($K402="","",$K402&amp;"|"&amp;$O402)</f>
        <v/>
      </c>
      <c r="S402" s="46" t="n">
        <f aca="false">IF($R402="",0,COUNTIF($AA$4:$AA401,$R402))</f>
        <v>0</v>
      </c>
      <c r="T402" s="46" t="str">
        <f aca="false">IF(OR($I402&lt;&gt;"Yes, I'm available for in-person interviews at Chennai",$E402&lt;&gt;"Yes",$P402&lt;&gt;"Yes"),"No",IF(($Q402-$S402)&gt;0,"Yes","No"))</f>
        <v>No</v>
      </c>
      <c r="U402" s="46" t="str">
        <f aca="false">IF($M402="","No",IF(COUNTIFS(MasterPanel!$B:$B,$H402,MasterPanel!$I:$I,$M402,MasterPanel!$K:$K,"Y")&gt;0,"Yes","No"))</f>
        <v>No</v>
      </c>
      <c r="V402" s="46" t="n">
        <f aca="false">IF($M402="",0,IF(COUNTIF('Gap Sheet'!$A$6:$A$11,TRIM($L402))=0,0,IF($O402="R1",INDEX('Gap Sheet'!$C$6:$C$11,MATCH(TRIM($L402),'Gap Sheet'!$A$6:$A$11,0)),INDEX('Gap Sheet'!$G$6:$G$11,MATCH(TRIM($L402),'Gap Sheet'!$A$6:$A$11,0)))))</f>
        <v>0</v>
      </c>
      <c r="W402" s="46" t="str">
        <f aca="false">IF($M402="","",$M402&amp;"|"&amp;$O402)</f>
        <v/>
      </c>
      <c r="X402" s="46" t="n">
        <f aca="false">IF($W402="",0,COUNTIF($AA$4:$AA401,$W402))</f>
        <v>0</v>
      </c>
      <c r="Y402" s="46" t="str">
        <f aca="false">IF(OR($I402&lt;&gt;"Yes, I'm available for in-person interviews at Chennai",$E402&lt;&gt;"Yes",$T402="Yes",$U402&lt;&gt;"Yes"),"No",IF(($V402-$X402)&gt;0,"Yes","No"))</f>
        <v>No</v>
      </c>
      <c r="Z402" s="46" t="str">
        <f aca="false">IF($T402="Yes","Primary",IF($Y402="Yes","Secondary",""))</f>
        <v/>
      </c>
      <c r="AA402" s="46" t="str">
        <f aca="false">IF($Z402="Primary",$R402,IF($Z402="Secondary",$W402,""))</f>
        <v/>
      </c>
      <c r="AB402" s="46" t="str">
        <f aca="false">IF($Z402="Primary","Matched on primary skill",IF($Z402="Secondary","Matched on secondary skill (primary not approved or not required)",""))</f>
        <v/>
      </c>
      <c r="AC402" s="47" t="str">
        <f aca="false">IF($D402="Panel Details",$F402,"")</f>
        <v/>
      </c>
      <c r="AD402" s="46" t="str">
        <f aca="false">IF($D402="Panel Details",'Survey Response'!$D400,"")</f>
        <v/>
      </c>
      <c r="AE402" s="46" t="str">
        <f aca="false">IF($D402="Panel Details",'Survey Response'!$E400,"")</f>
        <v/>
      </c>
      <c r="AF402" s="46" t="str">
        <f aca="false">IF($D402="Panel Details",'Survey Response'!$G400,"")</f>
        <v/>
      </c>
      <c r="AG402" s="46" t="str">
        <f aca="false">IF($D402="Panel Details",IF($Z402="Primary",$J402,$L402),"")</f>
        <v/>
      </c>
      <c r="AH402" s="46" t="str">
        <f aca="false">IF($D402="Panel Details",IF($Z402="Primary",$L402,$J402),"")</f>
        <v/>
      </c>
      <c r="AI402" s="46" t="str">
        <f aca="false">IF($D402="Panel Details",'Survey Response'!$H400,"")</f>
        <v/>
      </c>
      <c r="AJ402" s="46" t="str">
        <f aca="false">IF($D402="Panel Details",'Survey Response'!$M400,"")</f>
        <v/>
      </c>
      <c r="AK402" s="46" t="str">
        <f aca="false">IF($D402="Panel Details",$O402,"")</f>
        <v/>
      </c>
      <c r="AL402" s="46" t="str">
        <f aca="false">IF($D402="Panel Details",8,"")</f>
        <v/>
      </c>
      <c r="AM402" s="46" t="str">
        <f aca="false">IF($D402="Panel Details",$AB402,"")</f>
        <v/>
      </c>
      <c r="AN402" s="46" t="str">
        <f aca="false">IF($D402="Panel Details","Yes","")</f>
        <v/>
      </c>
      <c r="AO402" s="46"/>
      <c r="AP402" s="46" t="str">
        <f aca="false">IF($D402="Followup",'Survey Response'!$D400,"")</f>
        <v/>
      </c>
      <c r="AQ402" s="46" t="str">
        <f aca="false">IF($D402="Followup",'Survey Response'!$E400,"")</f>
        <v/>
      </c>
      <c r="AR402" s="46" t="str">
        <f aca="false">IF($D402="Followup",'Survey Response'!$G400,"")</f>
        <v/>
      </c>
      <c r="AS402" s="46" t="str">
        <f aca="false">IF($D402="Followup",'Survey Response'!$H400,"")</f>
        <v/>
      </c>
      <c r="AT402" s="46" t="str">
        <f aca="false">IF($D402="Followup",'Survey Response'!$M400,"")</f>
        <v/>
      </c>
      <c r="AU402" s="46" t="str">
        <f aca="false">IF($D402="Followup",'Survey Response'!$K400,"")</f>
        <v/>
      </c>
      <c r="AV402" s="46" t="str">
        <f aca="false">IF($D402="Followup",'Survey Response'!$L400,"")</f>
        <v/>
      </c>
      <c r="AW402" s="46" t="str">
        <f aca="false">IF($D402="Followup",IF(AND($P402&lt;&gt;"Yes",$U402&lt;&gt;"Yes"),"Not approved for primary or secondary skill","Approved, but skill(s) no longer have capacity (fully staffed)"),"")</f>
        <v/>
      </c>
    </row>
    <row r="403" customFormat="false" ht="15" hidden="false" customHeight="true" outlineLevel="0" collapsed="false">
      <c r="A403" s="46" t="str">
        <f aca="false">IF('Survey Response'!$D401="","",'Survey Response'!$A401&amp;"|"&amp;LOWER(TRIM('Survey Response'!$D401)))</f>
        <v/>
      </c>
      <c r="B403" s="46" t="str">
        <f aca="false">IF($H403="","",$F403&amp;"|"&amp;$H403)</f>
        <v/>
      </c>
      <c r="C403" s="46" t="str">
        <f aca="false">IF($H403="","",$A403=$B403)</f>
        <v/>
      </c>
      <c r="D403" s="46" t="str">
        <f aca="false">IF($H403="","",IF($E403&lt;&gt;"Yes","Superseded",IF($I403&lt;&gt;"Yes, I'm available for in-person interviews at Chennai","Not Available",IF($Z403&lt;&gt;"","Panel Details","Followup"))))</f>
        <v/>
      </c>
      <c r="E403" s="46" t="str">
        <f aca="false">IF($H403="","",IF(SUMPRODUCT(($H$4:$H$503=$H403)*(($G$4:$G$503&gt;$G403)+($G$4:$G$503=$G403)*($F$4:$F$503&gt;$F403)))=0,"Yes","No"))</f>
        <v/>
      </c>
      <c r="F403" s="47" t="str">
        <f aca="false">IF('Survey Response'!$D401="","",INT('Survey Response'!$A401))</f>
        <v/>
      </c>
      <c r="G403" s="46" t="str">
        <f aca="false">IF('Survey Response'!$D401="","",'Survey Response'!$C401)</f>
        <v/>
      </c>
      <c r="H403" s="46" t="str">
        <f aca="false">IF('Survey Response'!$D401="","",LOWER(TRIM('Survey Response'!$D401)))</f>
        <v/>
      </c>
      <c r="I403" s="46" t="str">
        <f aca="false">IF($H403="","",'Survey Response'!$I401)</f>
        <v/>
      </c>
      <c r="J403" s="46" t="str">
        <f aca="false">IF($H403="","",'Survey Response'!$K401)</f>
        <v/>
      </c>
      <c r="K403" s="46" t="str">
        <f aca="false">IF($J403="","",IF(COUNTIF('Skill Mapping'!$A$2:$A$7,TRIM($J403))=0,"",INDEX('Skill Mapping'!$B$2:$B$7,MATCH(TRIM($J403),'Skill Mapping'!$A$2:$A$7,0))))</f>
        <v/>
      </c>
      <c r="L403" s="46" t="str">
        <f aca="false">IF($H403="","",'Survey Response'!$L401)</f>
        <v/>
      </c>
      <c r="M403" s="46" t="str">
        <f aca="false">IF($L403="","",IF(COUNTIF('Skill Mapping'!$A$2:$A$7,TRIM($L403))=0,"",INDEX('Skill Mapping'!$B$2:$B$7,MATCH(TRIM($L403),'Skill Mapping'!$A$2:$A$7,0))))</f>
        <v/>
      </c>
      <c r="N403" s="46" t="str">
        <f aca="false">IF($H403="","",'Survey Response'!$M401)</f>
        <v/>
      </c>
      <c r="O403" s="46" t="str">
        <f aca="false">IF($H403="","",IF('Survey Response'!$M401="Manager","R2","R1"))</f>
        <v/>
      </c>
      <c r="P403" s="46" t="str">
        <f aca="false">IF($K403="","No",IF(COUNTIFS(MasterPanel!$B:$B,$H403,MasterPanel!$I:$I,$K403,MasterPanel!$K:$K,"Y")&gt;0,"Yes","No"))</f>
        <v>No</v>
      </c>
      <c r="Q403" s="46" t="n">
        <f aca="false">IF($K403="",0,IF(COUNTIF('Gap Sheet'!$A$6:$A$11,TRIM($J403))=0,0,IF($O403="R1",INDEX('Gap Sheet'!$C$6:$C$11,MATCH(TRIM($J403),'Gap Sheet'!$A$6:$A$11,0)),INDEX('Gap Sheet'!$G$6:$G$11,MATCH(TRIM($J403),'Gap Sheet'!$A$6:$A$11,0)))))</f>
        <v>0</v>
      </c>
      <c r="R403" s="46" t="str">
        <f aca="false">IF($K403="","",$K403&amp;"|"&amp;$O403)</f>
        <v/>
      </c>
      <c r="S403" s="46" t="n">
        <f aca="false">IF($R403="",0,COUNTIF($AA$4:$AA402,$R403))</f>
        <v>0</v>
      </c>
      <c r="T403" s="46" t="str">
        <f aca="false">IF(OR($I403&lt;&gt;"Yes, I'm available for in-person interviews at Chennai",$E403&lt;&gt;"Yes",$P403&lt;&gt;"Yes"),"No",IF(($Q403-$S403)&gt;0,"Yes","No"))</f>
        <v>No</v>
      </c>
      <c r="U403" s="46" t="str">
        <f aca="false">IF($M403="","No",IF(COUNTIFS(MasterPanel!$B:$B,$H403,MasterPanel!$I:$I,$M403,MasterPanel!$K:$K,"Y")&gt;0,"Yes","No"))</f>
        <v>No</v>
      </c>
      <c r="V403" s="46" t="n">
        <f aca="false">IF($M403="",0,IF(COUNTIF('Gap Sheet'!$A$6:$A$11,TRIM($L403))=0,0,IF($O403="R1",INDEX('Gap Sheet'!$C$6:$C$11,MATCH(TRIM($L403),'Gap Sheet'!$A$6:$A$11,0)),INDEX('Gap Sheet'!$G$6:$G$11,MATCH(TRIM($L403),'Gap Sheet'!$A$6:$A$11,0)))))</f>
        <v>0</v>
      </c>
      <c r="W403" s="46" t="str">
        <f aca="false">IF($M403="","",$M403&amp;"|"&amp;$O403)</f>
        <v/>
      </c>
      <c r="X403" s="46" t="n">
        <f aca="false">IF($W403="",0,COUNTIF($AA$4:$AA402,$W403))</f>
        <v>0</v>
      </c>
      <c r="Y403" s="46" t="str">
        <f aca="false">IF(OR($I403&lt;&gt;"Yes, I'm available for in-person interviews at Chennai",$E403&lt;&gt;"Yes",$T403="Yes",$U403&lt;&gt;"Yes"),"No",IF(($V403-$X403)&gt;0,"Yes","No"))</f>
        <v>No</v>
      </c>
      <c r="Z403" s="46" t="str">
        <f aca="false">IF($T403="Yes","Primary",IF($Y403="Yes","Secondary",""))</f>
        <v/>
      </c>
      <c r="AA403" s="46" t="str">
        <f aca="false">IF($Z403="Primary",$R403,IF($Z403="Secondary",$W403,""))</f>
        <v/>
      </c>
      <c r="AB403" s="46" t="str">
        <f aca="false">IF($Z403="Primary","Matched on primary skill",IF($Z403="Secondary","Matched on secondary skill (primary not approved or not required)",""))</f>
        <v/>
      </c>
      <c r="AC403" s="47" t="str">
        <f aca="false">IF($D403="Panel Details",$F403,"")</f>
        <v/>
      </c>
      <c r="AD403" s="46" t="str">
        <f aca="false">IF($D403="Panel Details",'Survey Response'!$D401,"")</f>
        <v/>
      </c>
      <c r="AE403" s="46" t="str">
        <f aca="false">IF($D403="Panel Details",'Survey Response'!$E401,"")</f>
        <v/>
      </c>
      <c r="AF403" s="46" t="str">
        <f aca="false">IF($D403="Panel Details",'Survey Response'!$G401,"")</f>
        <v/>
      </c>
      <c r="AG403" s="46" t="str">
        <f aca="false">IF($D403="Panel Details",IF($Z403="Primary",$J403,$L403),"")</f>
        <v/>
      </c>
      <c r="AH403" s="46" t="str">
        <f aca="false">IF($D403="Panel Details",IF($Z403="Primary",$L403,$J403),"")</f>
        <v/>
      </c>
      <c r="AI403" s="46" t="str">
        <f aca="false">IF($D403="Panel Details",'Survey Response'!$H401,"")</f>
        <v/>
      </c>
      <c r="AJ403" s="46" t="str">
        <f aca="false">IF($D403="Panel Details",'Survey Response'!$M401,"")</f>
        <v/>
      </c>
      <c r="AK403" s="46" t="str">
        <f aca="false">IF($D403="Panel Details",$O403,"")</f>
        <v/>
      </c>
      <c r="AL403" s="46" t="str">
        <f aca="false">IF($D403="Panel Details",8,"")</f>
        <v/>
      </c>
      <c r="AM403" s="46" t="str">
        <f aca="false">IF($D403="Panel Details",$AB403,"")</f>
        <v/>
      </c>
      <c r="AN403" s="46" t="str">
        <f aca="false">IF($D403="Panel Details","Yes","")</f>
        <v/>
      </c>
      <c r="AO403" s="46"/>
      <c r="AP403" s="46" t="str">
        <f aca="false">IF($D403="Followup",'Survey Response'!$D401,"")</f>
        <v/>
      </c>
      <c r="AQ403" s="46" t="str">
        <f aca="false">IF($D403="Followup",'Survey Response'!$E401,"")</f>
        <v/>
      </c>
      <c r="AR403" s="46" t="str">
        <f aca="false">IF($D403="Followup",'Survey Response'!$G401,"")</f>
        <v/>
      </c>
      <c r="AS403" s="46" t="str">
        <f aca="false">IF($D403="Followup",'Survey Response'!$H401,"")</f>
        <v/>
      </c>
      <c r="AT403" s="46" t="str">
        <f aca="false">IF($D403="Followup",'Survey Response'!$M401,"")</f>
        <v/>
      </c>
      <c r="AU403" s="46" t="str">
        <f aca="false">IF($D403="Followup",'Survey Response'!$K401,"")</f>
        <v/>
      </c>
      <c r="AV403" s="46" t="str">
        <f aca="false">IF($D403="Followup",'Survey Response'!$L401,"")</f>
        <v/>
      </c>
      <c r="AW403" s="46" t="str">
        <f aca="false">IF($D403="Followup",IF(AND($P403&lt;&gt;"Yes",$U403&lt;&gt;"Yes"),"Not approved for primary or secondary skill","Approved, but skill(s) no longer have capacity (fully staffed)"),"")</f>
        <v/>
      </c>
    </row>
    <row r="404" customFormat="false" ht="15" hidden="false" customHeight="true" outlineLevel="0" collapsed="false">
      <c r="A404" s="46" t="str">
        <f aca="false">IF('Survey Response'!$D402="","",'Survey Response'!$A402&amp;"|"&amp;LOWER(TRIM('Survey Response'!$D402)))</f>
        <v/>
      </c>
      <c r="B404" s="46" t="str">
        <f aca="false">IF($H404="","",$F404&amp;"|"&amp;$H404)</f>
        <v/>
      </c>
      <c r="C404" s="46" t="str">
        <f aca="false">IF($H404="","",$A404=$B404)</f>
        <v/>
      </c>
      <c r="D404" s="46" t="str">
        <f aca="false">IF($H404="","",IF($E404&lt;&gt;"Yes","Superseded",IF($I404&lt;&gt;"Yes, I'm available for in-person interviews at Chennai","Not Available",IF($Z404&lt;&gt;"","Panel Details","Followup"))))</f>
        <v/>
      </c>
      <c r="E404" s="46" t="str">
        <f aca="false">IF($H404="","",IF(SUMPRODUCT(($H$4:$H$503=$H404)*(($G$4:$G$503&gt;$G404)+($G$4:$G$503=$G404)*($F$4:$F$503&gt;$F404)))=0,"Yes","No"))</f>
        <v/>
      </c>
      <c r="F404" s="47" t="str">
        <f aca="false">IF('Survey Response'!$D402="","",INT('Survey Response'!$A402))</f>
        <v/>
      </c>
      <c r="G404" s="46" t="str">
        <f aca="false">IF('Survey Response'!$D402="","",'Survey Response'!$C402)</f>
        <v/>
      </c>
      <c r="H404" s="46" t="str">
        <f aca="false">IF('Survey Response'!$D402="","",LOWER(TRIM('Survey Response'!$D402)))</f>
        <v/>
      </c>
      <c r="I404" s="46" t="str">
        <f aca="false">IF($H404="","",'Survey Response'!$I402)</f>
        <v/>
      </c>
      <c r="J404" s="46" t="str">
        <f aca="false">IF($H404="","",'Survey Response'!$K402)</f>
        <v/>
      </c>
      <c r="K404" s="46" t="str">
        <f aca="false">IF($J404="","",IF(COUNTIF('Skill Mapping'!$A$2:$A$7,TRIM($J404))=0,"",INDEX('Skill Mapping'!$B$2:$B$7,MATCH(TRIM($J404),'Skill Mapping'!$A$2:$A$7,0))))</f>
        <v/>
      </c>
      <c r="L404" s="46" t="str">
        <f aca="false">IF($H404="","",'Survey Response'!$L402)</f>
        <v/>
      </c>
      <c r="M404" s="46" t="str">
        <f aca="false">IF($L404="","",IF(COUNTIF('Skill Mapping'!$A$2:$A$7,TRIM($L404))=0,"",INDEX('Skill Mapping'!$B$2:$B$7,MATCH(TRIM($L404),'Skill Mapping'!$A$2:$A$7,0))))</f>
        <v/>
      </c>
      <c r="N404" s="46" t="str">
        <f aca="false">IF($H404="","",'Survey Response'!$M402)</f>
        <v/>
      </c>
      <c r="O404" s="46" t="str">
        <f aca="false">IF($H404="","",IF('Survey Response'!$M402="Manager","R2","R1"))</f>
        <v/>
      </c>
      <c r="P404" s="46" t="str">
        <f aca="false">IF($K404="","No",IF(COUNTIFS(MasterPanel!$B:$B,$H404,MasterPanel!$I:$I,$K404,MasterPanel!$K:$K,"Y")&gt;0,"Yes","No"))</f>
        <v>No</v>
      </c>
      <c r="Q404" s="46" t="n">
        <f aca="false">IF($K404="",0,IF(COUNTIF('Gap Sheet'!$A$6:$A$11,TRIM($J404))=0,0,IF($O404="R1",INDEX('Gap Sheet'!$C$6:$C$11,MATCH(TRIM($J404),'Gap Sheet'!$A$6:$A$11,0)),INDEX('Gap Sheet'!$G$6:$G$11,MATCH(TRIM($J404),'Gap Sheet'!$A$6:$A$11,0)))))</f>
        <v>0</v>
      </c>
      <c r="R404" s="46" t="str">
        <f aca="false">IF($K404="","",$K404&amp;"|"&amp;$O404)</f>
        <v/>
      </c>
      <c r="S404" s="46" t="n">
        <f aca="false">IF($R404="",0,COUNTIF($AA$4:$AA403,$R404))</f>
        <v>0</v>
      </c>
      <c r="T404" s="46" t="str">
        <f aca="false">IF(OR($I404&lt;&gt;"Yes, I'm available for in-person interviews at Chennai",$E404&lt;&gt;"Yes",$P404&lt;&gt;"Yes"),"No",IF(($Q404-$S404)&gt;0,"Yes","No"))</f>
        <v>No</v>
      </c>
      <c r="U404" s="46" t="str">
        <f aca="false">IF($M404="","No",IF(COUNTIFS(MasterPanel!$B:$B,$H404,MasterPanel!$I:$I,$M404,MasterPanel!$K:$K,"Y")&gt;0,"Yes","No"))</f>
        <v>No</v>
      </c>
      <c r="V404" s="46" t="n">
        <f aca="false">IF($M404="",0,IF(COUNTIF('Gap Sheet'!$A$6:$A$11,TRIM($L404))=0,0,IF($O404="R1",INDEX('Gap Sheet'!$C$6:$C$11,MATCH(TRIM($L404),'Gap Sheet'!$A$6:$A$11,0)),INDEX('Gap Sheet'!$G$6:$G$11,MATCH(TRIM($L404),'Gap Sheet'!$A$6:$A$11,0)))))</f>
        <v>0</v>
      </c>
      <c r="W404" s="46" t="str">
        <f aca="false">IF($M404="","",$M404&amp;"|"&amp;$O404)</f>
        <v/>
      </c>
      <c r="X404" s="46" t="n">
        <f aca="false">IF($W404="",0,COUNTIF($AA$4:$AA403,$W404))</f>
        <v>0</v>
      </c>
      <c r="Y404" s="46" t="str">
        <f aca="false">IF(OR($I404&lt;&gt;"Yes, I'm available for in-person interviews at Chennai",$E404&lt;&gt;"Yes",$T404="Yes",$U404&lt;&gt;"Yes"),"No",IF(($V404-$X404)&gt;0,"Yes","No"))</f>
        <v>No</v>
      </c>
      <c r="Z404" s="46" t="str">
        <f aca="false">IF($T404="Yes","Primary",IF($Y404="Yes","Secondary",""))</f>
        <v/>
      </c>
      <c r="AA404" s="46" t="str">
        <f aca="false">IF($Z404="Primary",$R404,IF($Z404="Secondary",$W404,""))</f>
        <v/>
      </c>
      <c r="AB404" s="46" t="str">
        <f aca="false">IF($Z404="Primary","Matched on primary skill",IF($Z404="Secondary","Matched on secondary skill (primary not approved or not required)",""))</f>
        <v/>
      </c>
      <c r="AC404" s="47" t="str">
        <f aca="false">IF($D404="Panel Details",$F404,"")</f>
        <v/>
      </c>
      <c r="AD404" s="46" t="str">
        <f aca="false">IF($D404="Panel Details",'Survey Response'!$D402,"")</f>
        <v/>
      </c>
      <c r="AE404" s="46" t="str">
        <f aca="false">IF($D404="Panel Details",'Survey Response'!$E402,"")</f>
        <v/>
      </c>
      <c r="AF404" s="46" t="str">
        <f aca="false">IF($D404="Panel Details",'Survey Response'!$G402,"")</f>
        <v/>
      </c>
      <c r="AG404" s="46" t="str">
        <f aca="false">IF($D404="Panel Details",IF($Z404="Primary",$J404,$L404),"")</f>
        <v/>
      </c>
      <c r="AH404" s="46" t="str">
        <f aca="false">IF($D404="Panel Details",IF($Z404="Primary",$L404,$J404),"")</f>
        <v/>
      </c>
      <c r="AI404" s="46" t="str">
        <f aca="false">IF($D404="Panel Details",'Survey Response'!$H402,"")</f>
        <v/>
      </c>
      <c r="AJ404" s="46" t="str">
        <f aca="false">IF($D404="Panel Details",'Survey Response'!$M402,"")</f>
        <v/>
      </c>
      <c r="AK404" s="46" t="str">
        <f aca="false">IF($D404="Panel Details",$O404,"")</f>
        <v/>
      </c>
      <c r="AL404" s="46" t="str">
        <f aca="false">IF($D404="Panel Details",8,"")</f>
        <v/>
      </c>
      <c r="AM404" s="46" t="str">
        <f aca="false">IF($D404="Panel Details",$AB404,"")</f>
        <v/>
      </c>
      <c r="AN404" s="46" t="str">
        <f aca="false">IF($D404="Panel Details","Yes","")</f>
        <v/>
      </c>
      <c r="AO404" s="46"/>
      <c r="AP404" s="46" t="str">
        <f aca="false">IF($D404="Followup",'Survey Response'!$D402,"")</f>
        <v/>
      </c>
      <c r="AQ404" s="46" t="str">
        <f aca="false">IF($D404="Followup",'Survey Response'!$E402,"")</f>
        <v/>
      </c>
      <c r="AR404" s="46" t="str">
        <f aca="false">IF($D404="Followup",'Survey Response'!$G402,"")</f>
        <v/>
      </c>
      <c r="AS404" s="46" t="str">
        <f aca="false">IF($D404="Followup",'Survey Response'!$H402,"")</f>
        <v/>
      </c>
      <c r="AT404" s="46" t="str">
        <f aca="false">IF($D404="Followup",'Survey Response'!$M402,"")</f>
        <v/>
      </c>
      <c r="AU404" s="46" t="str">
        <f aca="false">IF($D404="Followup",'Survey Response'!$K402,"")</f>
        <v/>
      </c>
      <c r="AV404" s="46" t="str">
        <f aca="false">IF($D404="Followup",'Survey Response'!$L402,"")</f>
        <v/>
      </c>
      <c r="AW404" s="46" t="str">
        <f aca="false">IF($D404="Followup",IF(AND($P404&lt;&gt;"Yes",$U404&lt;&gt;"Yes"),"Not approved for primary or secondary skill","Approved, but skill(s) no longer have capacity (fully staffed)"),"")</f>
        <v/>
      </c>
    </row>
    <row r="405" customFormat="false" ht="15" hidden="false" customHeight="true" outlineLevel="0" collapsed="false">
      <c r="A405" s="46" t="str">
        <f aca="false">IF('Survey Response'!$D403="","",'Survey Response'!$A403&amp;"|"&amp;LOWER(TRIM('Survey Response'!$D403)))</f>
        <v/>
      </c>
      <c r="B405" s="46" t="str">
        <f aca="false">IF($H405="","",$F405&amp;"|"&amp;$H405)</f>
        <v/>
      </c>
      <c r="C405" s="46" t="str">
        <f aca="false">IF($H405="","",$A405=$B405)</f>
        <v/>
      </c>
      <c r="D405" s="46" t="str">
        <f aca="false">IF($H405="","",IF($E405&lt;&gt;"Yes","Superseded",IF($I405&lt;&gt;"Yes, I'm available for in-person interviews at Chennai","Not Available",IF($Z405&lt;&gt;"","Panel Details","Followup"))))</f>
        <v/>
      </c>
      <c r="E405" s="46" t="str">
        <f aca="false">IF($H405="","",IF(SUMPRODUCT(($H$4:$H$503=$H405)*(($G$4:$G$503&gt;$G405)+($G$4:$G$503=$G405)*($F$4:$F$503&gt;$F405)))=0,"Yes","No"))</f>
        <v/>
      </c>
      <c r="F405" s="47" t="str">
        <f aca="false">IF('Survey Response'!$D403="","",INT('Survey Response'!$A403))</f>
        <v/>
      </c>
      <c r="G405" s="46" t="str">
        <f aca="false">IF('Survey Response'!$D403="","",'Survey Response'!$C403)</f>
        <v/>
      </c>
      <c r="H405" s="46" t="str">
        <f aca="false">IF('Survey Response'!$D403="","",LOWER(TRIM('Survey Response'!$D403)))</f>
        <v/>
      </c>
      <c r="I405" s="46" t="str">
        <f aca="false">IF($H405="","",'Survey Response'!$I403)</f>
        <v/>
      </c>
      <c r="J405" s="46" t="str">
        <f aca="false">IF($H405="","",'Survey Response'!$K403)</f>
        <v/>
      </c>
      <c r="K405" s="46" t="str">
        <f aca="false">IF($J405="","",IF(COUNTIF('Skill Mapping'!$A$2:$A$7,TRIM($J405))=0,"",INDEX('Skill Mapping'!$B$2:$B$7,MATCH(TRIM($J405),'Skill Mapping'!$A$2:$A$7,0))))</f>
        <v/>
      </c>
      <c r="L405" s="46" t="str">
        <f aca="false">IF($H405="","",'Survey Response'!$L403)</f>
        <v/>
      </c>
      <c r="M405" s="46" t="str">
        <f aca="false">IF($L405="","",IF(COUNTIF('Skill Mapping'!$A$2:$A$7,TRIM($L405))=0,"",INDEX('Skill Mapping'!$B$2:$B$7,MATCH(TRIM($L405),'Skill Mapping'!$A$2:$A$7,0))))</f>
        <v/>
      </c>
      <c r="N405" s="46" t="str">
        <f aca="false">IF($H405="","",'Survey Response'!$M403)</f>
        <v/>
      </c>
      <c r="O405" s="46" t="str">
        <f aca="false">IF($H405="","",IF('Survey Response'!$M403="Manager","R2","R1"))</f>
        <v/>
      </c>
      <c r="P405" s="46" t="str">
        <f aca="false">IF($K405="","No",IF(COUNTIFS(MasterPanel!$B:$B,$H405,MasterPanel!$I:$I,$K405,MasterPanel!$K:$K,"Y")&gt;0,"Yes","No"))</f>
        <v>No</v>
      </c>
      <c r="Q405" s="46" t="n">
        <f aca="false">IF($K405="",0,IF(COUNTIF('Gap Sheet'!$A$6:$A$11,TRIM($J405))=0,0,IF($O405="R1",INDEX('Gap Sheet'!$C$6:$C$11,MATCH(TRIM($J405),'Gap Sheet'!$A$6:$A$11,0)),INDEX('Gap Sheet'!$G$6:$G$11,MATCH(TRIM($J405),'Gap Sheet'!$A$6:$A$11,0)))))</f>
        <v>0</v>
      </c>
      <c r="R405" s="46" t="str">
        <f aca="false">IF($K405="","",$K405&amp;"|"&amp;$O405)</f>
        <v/>
      </c>
      <c r="S405" s="46" t="n">
        <f aca="false">IF($R405="",0,COUNTIF($AA$4:$AA404,$R405))</f>
        <v>0</v>
      </c>
      <c r="T405" s="46" t="str">
        <f aca="false">IF(OR($I405&lt;&gt;"Yes, I'm available for in-person interviews at Chennai",$E405&lt;&gt;"Yes",$P405&lt;&gt;"Yes"),"No",IF(($Q405-$S405)&gt;0,"Yes","No"))</f>
        <v>No</v>
      </c>
      <c r="U405" s="46" t="str">
        <f aca="false">IF($M405="","No",IF(COUNTIFS(MasterPanel!$B:$B,$H405,MasterPanel!$I:$I,$M405,MasterPanel!$K:$K,"Y")&gt;0,"Yes","No"))</f>
        <v>No</v>
      </c>
      <c r="V405" s="46" t="n">
        <f aca="false">IF($M405="",0,IF(COUNTIF('Gap Sheet'!$A$6:$A$11,TRIM($L405))=0,0,IF($O405="R1",INDEX('Gap Sheet'!$C$6:$C$11,MATCH(TRIM($L405),'Gap Sheet'!$A$6:$A$11,0)),INDEX('Gap Sheet'!$G$6:$G$11,MATCH(TRIM($L405),'Gap Sheet'!$A$6:$A$11,0)))))</f>
        <v>0</v>
      </c>
      <c r="W405" s="46" t="str">
        <f aca="false">IF($M405="","",$M405&amp;"|"&amp;$O405)</f>
        <v/>
      </c>
      <c r="X405" s="46" t="n">
        <f aca="false">IF($W405="",0,COUNTIF($AA$4:$AA404,$W405))</f>
        <v>0</v>
      </c>
      <c r="Y405" s="46" t="str">
        <f aca="false">IF(OR($I405&lt;&gt;"Yes, I'm available for in-person interviews at Chennai",$E405&lt;&gt;"Yes",$T405="Yes",$U405&lt;&gt;"Yes"),"No",IF(($V405-$X405)&gt;0,"Yes","No"))</f>
        <v>No</v>
      </c>
      <c r="Z405" s="46" t="str">
        <f aca="false">IF($T405="Yes","Primary",IF($Y405="Yes","Secondary",""))</f>
        <v/>
      </c>
      <c r="AA405" s="46" t="str">
        <f aca="false">IF($Z405="Primary",$R405,IF($Z405="Secondary",$W405,""))</f>
        <v/>
      </c>
      <c r="AB405" s="46" t="str">
        <f aca="false">IF($Z405="Primary","Matched on primary skill",IF($Z405="Secondary","Matched on secondary skill (primary not approved or not required)",""))</f>
        <v/>
      </c>
      <c r="AC405" s="47" t="str">
        <f aca="false">IF($D405="Panel Details",$F405,"")</f>
        <v/>
      </c>
      <c r="AD405" s="46" t="str">
        <f aca="false">IF($D405="Panel Details",'Survey Response'!$D403,"")</f>
        <v/>
      </c>
      <c r="AE405" s="46" t="str">
        <f aca="false">IF($D405="Panel Details",'Survey Response'!$E403,"")</f>
        <v/>
      </c>
      <c r="AF405" s="46" t="str">
        <f aca="false">IF($D405="Panel Details",'Survey Response'!$G403,"")</f>
        <v/>
      </c>
      <c r="AG405" s="46" t="str">
        <f aca="false">IF($D405="Panel Details",IF($Z405="Primary",$J405,$L405),"")</f>
        <v/>
      </c>
      <c r="AH405" s="46" t="str">
        <f aca="false">IF($D405="Panel Details",IF($Z405="Primary",$L405,$J405),"")</f>
        <v/>
      </c>
      <c r="AI405" s="46" t="str">
        <f aca="false">IF($D405="Panel Details",'Survey Response'!$H403,"")</f>
        <v/>
      </c>
      <c r="AJ405" s="46" t="str">
        <f aca="false">IF($D405="Panel Details",'Survey Response'!$M403,"")</f>
        <v/>
      </c>
      <c r="AK405" s="46" t="str">
        <f aca="false">IF($D405="Panel Details",$O405,"")</f>
        <v/>
      </c>
      <c r="AL405" s="46" t="str">
        <f aca="false">IF($D405="Panel Details",8,"")</f>
        <v/>
      </c>
      <c r="AM405" s="46" t="str">
        <f aca="false">IF($D405="Panel Details",$AB405,"")</f>
        <v/>
      </c>
      <c r="AN405" s="46" t="str">
        <f aca="false">IF($D405="Panel Details","Yes","")</f>
        <v/>
      </c>
      <c r="AO405" s="46"/>
      <c r="AP405" s="46" t="str">
        <f aca="false">IF($D405="Followup",'Survey Response'!$D403,"")</f>
        <v/>
      </c>
      <c r="AQ405" s="46" t="str">
        <f aca="false">IF($D405="Followup",'Survey Response'!$E403,"")</f>
        <v/>
      </c>
      <c r="AR405" s="46" t="str">
        <f aca="false">IF($D405="Followup",'Survey Response'!$G403,"")</f>
        <v/>
      </c>
      <c r="AS405" s="46" t="str">
        <f aca="false">IF($D405="Followup",'Survey Response'!$H403,"")</f>
        <v/>
      </c>
      <c r="AT405" s="46" t="str">
        <f aca="false">IF($D405="Followup",'Survey Response'!$M403,"")</f>
        <v/>
      </c>
      <c r="AU405" s="46" t="str">
        <f aca="false">IF($D405="Followup",'Survey Response'!$K403,"")</f>
        <v/>
      </c>
      <c r="AV405" s="46" t="str">
        <f aca="false">IF($D405="Followup",'Survey Response'!$L403,"")</f>
        <v/>
      </c>
      <c r="AW405" s="46" t="str">
        <f aca="false">IF($D405="Followup",IF(AND($P405&lt;&gt;"Yes",$U405&lt;&gt;"Yes"),"Not approved for primary or secondary skill","Approved, but skill(s) no longer have capacity (fully staffed)"),"")</f>
        <v/>
      </c>
    </row>
    <row r="406" customFormat="false" ht="15" hidden="false" customHeight="true" outlineLevel="0" collapsed="false">
      <c r="A406" s="46" t="str">
        <f aca="false">IF('Survey Response'!$D404="","",'Survey Response'!$A404&amp;"|"&amp;LOWER(TRIM('Survey Response'!$D404)))</f>
        <v/>
      </c>
      <c r="B406" s="46" t="str">
        <f aca="false">IF($H406="","",$F406&amp;"|"&amp;$H406)</f>
        <v/>
      </c>
      <c r="C406" s="46" t="str">
        <f aca="false">IF($H406="","",$A406=$B406)</f>
        <v/>
      </c>
      <c r="D406" s="46" t="str">
        <f aca="false">IF($H406="","",IF($E406&lt;&gt;"Yes","Superseded",IF($I406&lt;&gt;"Yes, I'm available for in-person interviews at Chennai","Not Available",IF($Z406&lt;&gt;"","Panel Details","Followup"))))</f>
        <v/>
      </c>
      <c r="E406" s="46" t="str">
        <f aca="false">IF($H406="","",IF(SUMPRODUCT(($H$4:$H$503=$H406)*(($G$4:$G$503&gt;$G406)+($G$4:$G$503=$G406)*($F$4:$F$503&gt;$F406)))=0,"Yes","No"))</f>
        <v/>
      </c>
      <c r="F406" s="47" t="str">
        <f aca="false">IF('Survey Response'!$D404="","",INT('Survey Response'!$A404))</f>
        <v/>
      </c>
      <c r="G406" s="46" t="str">
        <f aca="false">IF('Survey Response'!$D404="","",'Survey Response'!$C404)</f>
        <v/>
      </c>
      <c r="H406" s="46" t="str">
        <f aca="false">IF('Survey Response'!$D404="","",LOWER(TRIM('Survey Response'!$D404)))</f>
        <v/>
      </c>
      <c r="I406" s="46" t="str">
        <f aca="false">IF($H406="","",'Survey Response'!$I404)</f>
        <v/>
      </c>
      <c r="J406" s="46" t="str">
        <f aca="false">IF($H406="","",'Survey Response'!$K404)</f>
        <v/>
      </c>
      <c r="K406" s="46" t="str">
        <f aca="false">IF($J406="","",IF(COUNTIF('Skill Mapping'!$A$2:$A$7,TRIM($J406))=0,"",INDEX('Skill Mapping'!$B$2:$B$7,MATCH(TRIM($J406),'Skill Mapping'!$A$2:$A$7,0))))</f>
        <v/>
      </c>
      <c r="L406" s="46" t="str">
        <f aca="false">IF($H406="","",'Survey Response'!$L404)</f>
        <v/>
      </c>
      <c r="M406" s="46" t="str">
        <f aca="false">IF($L406="","",IF(COUNTIF('Skill Mapping'!$A$2:$A$7,TRIM($L406))=0,"",INDEX('Skill Mapping'!$B$2:$B$7,MATCH(TRIM($L406),'Skill Mapping'!$A$2:$A$7,0))))</f>
        <v/>
      </c>
      <c r="N406" s="46" t="str">
        <f aca="false">IF($H406="","",'Survey Response'!$M404)</f>
        <v/>
      </c>
      <c r="O406" s="46" t="str">
        <f aca="false">IF($H406="","",IF('Survey Response'!$M404="Manager","R2","R1"))</f>
        <v/>
      </c>
      <c r="P406" s="46" t="str">
        <f aca="false">IF($K406="","No",IF(COUNTIFS(MasterPanel!$B:$B,$H406,MasterPanel!$I:$I,$K406,MasterPanel!$K:$K,"Y")&gt;0,"Yes","No"))</f>
        <v>No</v>
      </c>
      <c r="Q406" s="46" t="n">
        <f aca="false">IF($K406="",0,IF(COUNTIF('Gap Sheet'!$A$6:$A$11,TRIM($J406))=0,0,IF($O406="R1",INDEX('Gap Sheet'!$C$6:$C$11,MATCH(TRIM($J406),'Gap Sheet'!$A$6:$A$11,0)),INDEX('Gap Sheet'!$G$6:$G$11,MATCH(TRIM($J406),'Gap Sheet'!$A$6:$A$11,0)))))</f>
        <v>0</v>
      </c>
      <c r="R406" s="46" t="str">
        <f aca="false">IF($K406="","",$K406&amp;"|"&amp;$O406)</f>
        <v/>
      </c>
      <c r="S406" s="46" t="n">
        <f aca="false">IF($R406="",0,COUNTIF($AA$4:$AA405,$R406))</f>
        <v>0</v>
      </c>
      <c r="T406" s="46" t="str">
        <f aca="false">IF(OR($I406&lt;&gt;"Yes, I'm available for in-person interviews at Chennai",$E406&lt;&gt;"Yes",$P406&lt;&gt;"Yes"),"No",IF(($Q406-$S406)&gt;0,"Yes","No"))</f>
        <v>No</v>
      </c>
      <c r="U406" s="46" t="str">
        <f aca="false">IF($M406="","No",IF(COUNTIFS(MasterPanel!$B:$B,$H406,MasterPanel!$I:$I,$M406,MasterPanel!$K:$K,"Y")&gt;0,"Yes","No"))</f>
        <v>No</v>
      </c>
      <c r="V406" s="46" t="n">
        <f aca="false">IF($M406="",0,IF(COUNTIF('Gap Sheet'!$A$6:$A$11,TRIM($L406))=0,0,IF($O406="R1",INDEX('Gap Sheet'!$C$6:$C$11,MATCH(TRIM($L406),'Gap Sheet'!$A$6:$A$11,0)),INDEX('Gap Sheet'!$G$6:$G$11,MATCH(TRIM($L406),'Gap Sheet'!$A$6:$A$11,0)))))</f>
        <v>0</v>
      </c>
      <c r="W406" s="46" t="str">
        <f aca="false">IF($M406="","",$M406&amp;"|"&amp;$O406)</f>
        <v/>
      </c>
      <c r="X406" s="46" t="n">
        <f aca="false">IF($W406="",0,COUNTIF($AA$4:$AA405,$W406))</f>
        <v>0</v>
      </c>
      <c r="Y406" s="46" t="str">
        <f aca="false">IF(OR($I406&lt;&gt;"Yes, I'm available for in-person interviews at Chennai",$E406&lt;&gt;"Yes",$T406="Yes",$U406&lt;&gt;"Yes"),"No",IF(($V406-$X406)&gt;0,"Yes","No"))</f>
        <v>No</v>
      </c>
      <c r="Z406" s="46" t="str">
        <f aca="false">IF($T406="Yes","Primary",IF($Y406="Yes","Secondary",""))</f>
        <v/>
      </c>
      <c r="AA406" s="46" t="str">
        <f aca="false">IF($Z406="Primary",$R406,IF($Z406="Secondary",$W406,""))</f>
        <v/>
      </c>
      <c r="AB406" s="46" t="str">
        <f aca="false">IF($Z406="Primary","Matched on primary skill",IF($Z406="Secondary","Matched on secondary skill (primary not approved or not required)",""))</f>
        <v/>
      </c>
      <c r="AC406" s="47" t="str">
        <f aca="false">IF($D406="Panel Details",$F406,"")</f>
        <v/>
      </c>
      <c r="AD406" s="46" t="str">
        <f aca="false">IF($D406="Panel Details",'Survey Response'!$D404,"")</f>
        <v/>
      </c>
      <c r="AE406" s="46" t="str">
        <f aca="false">IF($D406="Panel Details",'Survey Response'!$E404,"")</f>
        <v/>
      </c>
      <c r="AF406" s="46" t="str">
        <f aca="false">IF($D406="Panel Details",'Survey Response'!$G404,"")</f>
        <v/>
      </c>
      <c r="AG406" s="46" t="str">
        <f aca="false">IF($D406="Panel Details",IF($Z406="Primary",$J406,$L406),"")</f>
        <v/>
      </c>
      <c r="AH406" s="46" t="str">
        <f aca="false">IF($D406="Panel Details",IF($Z406="Primary",$L406,$J406),"")</f>
        <v/>
      </c>
      <c r="AI406" s="46" t="str">
        <f aca="false">IF($D406="Panel Details",'Survey Response'!$H404,"")</f>
        <v/>
      </c>
      <c r="AJ406" s="46" t="str">
        <f aca="false">IF($D406="Panel Details",'Survey Response'!$M404,"")</f>
        <v/>
      </c>
      <c r="AK406" s="46" t="str">
        <f aca="false">IF($D406="Panel Details",$O406,"")</f>
        <v/>
      </c>
      <c r="AL406" s="46" t="str">
        <f aca="false">IF($D406="Panel Details",8,"")</f>
        <v/>
      </c>
      <c r="AM406" s="46" t="str">
        <f aca="false">IF($D406="Panel Details",$AB406,"")</f>
        <v/>
      </c>
      <c r="AN406" s="46" t="str">
        <f aca="false">IF($D406="Panel Details","Yes","")</f>
        <v/>
      </c>
      <c r="AO406" s="46"/>
      <c r="AP406" s="46" t="str">
        <f aca="false">IF($D406="Followup",'Survey Response'!$D404,"")</f>
        <v/>
      </c>
      <c r="AQ406" s="46" t="str">
        <f aca="false">IF($D406="Followup",'Survey Response'!$E404,"")</f>
        <v/>
      </c>
      <c r="AR406" s="46" t="str">
        <f aca="false">IF($D406="Followup",'Survey Response'!$G404,"")</f>
        <v/>
      </c>
      <c r="AS406" s="46" t="str">
        <f aca="false">IF($D406="Followup",'Survey Response'!$H404,"")</f>
        <v/>
      </c>
      <c r="AT406" s="46" t="str">
        <f aca="false">IF($D406="Followup",'Survey Response'!$M404,"")</f>
        <v/>
      </c>
      <c r="AU406" s="46" t="str">
        <f aca="false">IF($D406="Followup",'Survey Response'!$K404,"")</f>
        <v/>
      </c>
      <c r="AV406" s="46" t="str">
        <f aca="false">IF($D406="Followup",'Survey Response'!$L404,"")</f>
        <v/>
      </c>
      <c r="AW406" s="46" t="str">
        <f aca="false">IF($D406="Followup",IF(AND($P406&lt;&gt;"Yes",$U406&lt;&gt;"Yes"),"Not approved for primary or secondary skill","Approved, but skill(s) no longer have capacity (fully staffed)"),"")</f>
        <v/>
      </c>
    </row>
    <row r="407" customFormat="false" ht="15" hidden="false" customHeight="true" outlineLevel="0" collapsed="false">
      <c r="A407" s="46" t="str">
        <f aca="false">IF('Survey Response'!$D405="","",'Survey Response'!$A405&amp;"|"&amp;LOWER(TRIM('Survey Response'!$D405)))</f>
        <v/>
      </c>
      <c r="B407" s="46" t="str">
        <f aca="false">IF($H407="","",$F407&amp;"|"&amp;$H407)</f>
        <v/>
      </c>
      <c r="C407" s="46" t="str">
        <f aca="false">IF($H407="","",$A407=$B407)</f>
        <v/>
      </c>
      <c r="D407" s="46" t="str">
        <f aca="false">IF($H407="","",IF($E407&lt;&gt;"Yes","Superseded",IF($I407&lt;&gt;"Yes, I'm available for in-person interviews at Chennai","Not Available",IF($Z407&lt;&gt;"","Panel Details","Followup"))))</f>
        <v/>
      </c>
      <c r="E407" s="46" t="str">
        <f aca="false">IF($H407="","",IF(SUMPRODUCT(($H$4:$H$503=$H407)*(($G$4:$G$503&gt;$G407)+($G$4:$G$503=$G407)*($F$4:$F$503&gt;$F407)))=0,"Yes","No"))</f>
        <v/>
      </c>
      <c r="F407" s="47" t="str">
        <f aca="false">IF('Survey Response'!$D405="","",INT('Survey Response'!$A405))</f>
        <v/>
      </c>
      <c r="G407" s="46" t="str">
        <f aca="false">IF('Survey Response'!$D405="","",'Survey Response'!$C405)</f>
        <v/>
      </c>
      <c r="H407" s="46" t="str">
        <f aca="false">IF('Survey Response'!$D405="","",LOWER(TRIM('Survey Response'!$D405)))</f>
        <v/>
      </c>
      <c r="I407" s="46" t="str">
        <f aca="false">IF($H407="","",'Survey Response'!$I405)</f>
        <v/>
      </c>
      <c r="J407" s="46" t="str">
        <f aca="false">IF($H407="","",'Survey Response'!$K405)</f>
        <v/>
      </c>
      <c r="K407" s="46" t="str">
        <f aca="false">IF($J407="","",IF(COUNTIF('Skill Mapping'!$A$2:$A$7,TRIM($J407))=0,"",INDEX('Skill Mapping'!$B$2:$B$7,MATCH(TRIM($J407),'Skill Mapping'!$A$2:$A$7,0))))</f>
        <v/>
      </c>
      <c r="L407" s="46" t="str">
        <f aca="false">IF($H407="","",'Survey Response'!$L405)</f>
        <v/>
      </c>
      <c r="M407" s="46" t="str">
        <f aca="false">IF($L407="","",IF(COUNTIF('Skill Mapping'!$A$2:$A$7,TRIM($L407))=0,"",INDEX('Skill Mapping'!$B$2:$B$7,MATCH(TRIM($L407),'Skill Mapping'!$A$2:$A$7,0))))</f>
        <v/>
      </c>
      <c r="N407" s="46" t="str">
        <f aca="false">IF($H407="","",'Survey Response'!$M405)</f>
        <v/>
      </c>
      <c r="O407" s="46" t="str">
        <f aca="false">IF($H407="","",IF('Survey Response'!$M405="Manager","R2","R1"))</f>
        <v/>
      </c>
      <c r="P407" s="46" t="str">
        <f aca="false">IF($K407="","No",IF(COUNTIFS(MasterPanel!$B:$B,$H407,MasterPanel!$I:$I,$K407,MasterPanel!$K:$K,"Y")&gt;0,"Yes","No"))</f>
        <v>No</v>
      </c>
      <c r="Q407" s="46" t="n">
        <f aca="false">IF($K407="",0,IF(COUNTIF('Gap Sheet'!$A$6:$A$11,TRIM($J407))=0,0,IF($O407="R1",INDEX('Gap Sheet'!$C$6:$C$11,MATCH(TRIM($J407),'Gap Sheet'!$A$6:$A$11,0)),INDEX('Gap Sheet'!$G$6:$G$11,MATCH(TRIM($J407),'Gap Sheet'!$A$6:$A$11,0)))))</f>
        <v>0</v>
      </c>
      <c r="R407" s="46" t="str">
        <f aca="false">IF($K407="","",$K407&amp;"|"&amp;$O407)</f>
        <v/>
      </c>
      <c r="S407" s="46" t="n">
        <f aca="false">IF($R407="",0,COUNTIF($AA$4:$AA406,$R407))</f>
        <v>0</v>
      </c>
      <c r="T407" s="46" t="str">
        <f aca="false">IF(OR($I407&lt;&gt;"Yes, I'm available for in-person interviews at Chennai",$E407&lt;&gt;"Yes",$P407&lt;&gt;"Yes"),"No",IF(($Q407-$S407)&gt;0,"Yes","No"))</f>
        <v>No</v>
      </c>
      <c r="U407" s="46" t="str">
        <f aca="false">IF($M407="","No",IF(COUNTIFS(MasterPanel!$B:$B,$H407,MasterPanel!$I:$I,$M407,MasterPanel!$K:$K,"Y")&gt;0,"Yes","No"))</f>
        <v>No</v>
      </c>
      <c r="V407" s="46" t="n">
        <f aca="false">IF($M407="",0,IF(COUNTIF('Gap Sheet'!$A$6:$A$11,TRIM($L407))=0,0,IF($O407="R1",INDEX('Gap Sheet'!$C$6:$C$11,MATCH(TRIM($L407),'Gap Sheet'!$A$6:$A$11,0)),INDEX('Gap Sheet'!$G$6:$G$11,MATCH(TRIM($L407),'Gap Sheet'!$A$6:$A$11,0)))))</f>
        <v>0</v>
      </c>
      <c r="W407" s="46" t="str">
        <f aca="false">IF($M407="","",$M407&amp;"|"&amp;$O407)</f>
        <v/>
      </c>
      <c r="X407" s="46" t="n">
        <f aca="false">IF($W407="",0,COUNTIF($AA$4:$AA406,$W407))</f>
        <v>0</v>
      </c>
      <c r="Y407" s="46" t="str">
        <f aca="false">IF(OR($I407&lt;&gt;"Yes, I'm available for in-person interviews at Chennai",$E407&lt;&gt;"Yes",$T407="Yes",$U407&lt;&gt;"Yes"),"No",IF(($V407-$X407)&gt;0,"Yes","No"))</f>
        <v>No</v>
      </c>
      <c r="Z407" s="46" t="str">
        <f aca="false">IF($T407="Yes","Primary",IF($Y407="Yes","Secondary",""))</f>
        <v/>
      </c>
      <c r="AA407" s="46" t="str">
        <f aca="false">IF($Z407="Primary",$R407,IF($Z407="Secondary",$W407,""))</f>
        <v/>
      </c>
      <c r="AB407" s="46" t="str">
        <f aca="false">IF($Z407="Primary","Matched on primary skill",IF($Z407="Secondary","Matched on secondary skill (primary not approved or not required)",""))</f>
        <v/>
      </c>
      <c r="AC407" s="47" t="str">
        <f aca="false">IF($D407="Panel Details",$F407,"")</f>
        <v/>
      </c>
      <c r="AD407" s="46" t="str">
        <f aca="false">IF($D407="Panel Details",'Survey Response'!$D405,"")</f>
        <v/>
      </c>
      <c r="AE407" s="46" t="str">
        <f aca="false">IF($D407="Panel Details",'Survey Response'!$E405,"")</f>
        <v/>
      </c>
      <c r="AF407" s="46" t="str">
        <f aca="false">IF($D407="Panel Details",'Survey Response'!$G405,"")</f>
        <v/>
      </c>
      <c r="AG407" s="46" t="str">
        <f aca="false">IF($D407="Panel Details",IF($Z407="Primary",$J407,$L407),"")</f>
        <v/>
      </c>
      <c r="AH407" s="46" t="str">
        <f aca="false">IF($D407="Panel Details",IF($Z407="Primary",$L407,$J407),"")</f>
        <v/>
      </c>
      <c r="AI407" s="46" t="str">
        <f aca="false">IF($D407="Panel Details",'Survey Response'!$H405,"")</f>
        <v/>
      </c>
      <c r="AJ407" s="46" t="str">
        <f aca="false">IF($D407="Panel Details",'Survey Response'!$M405,"")</f>
        <v/>
      </c>
      <c r="AK407" s="46" t="str">
        <f aca="false">IF($D407="Panel Details",$O407,"")</f>
        <v/>
      </c>
      <c r="AL407" s="46" t="str">
        <f aca="false">IF($D407="Panel Details",8,"")</f>
        <v/>
      </c>
      <c r="AM407" s="46" t="str">
        <f aca="false">IF($D407="Panel Details",$AB407,"")</f>
        <v/>
      </c>
      <c r="AN407" s="46" t="str">
        <f aca="false">IF($D407="Panel Details","Yes","")</f>
        <v/>
      </c>
      <c r="AO407" s="46"/>
      <c r="AP407" s="46" t="str">
        <f aca="false">IF($D407="Followup",'Survey Response'!$D405,"")</f>
        <v/>
      </c>
      <c r="AQ407" s="46" t="str">
        <f aca="false">IF($D407="Followup",'Survey Response'!$E405,"")</f>
        <v/>
      </c>
      <c r="AR407" s="46" t="str">
        <f aca="false">IF($D407="Followup",'Survey Response'!$G405,"")</f>
        <v/>
      </c>
      <c r="AS407" s="46" t="str">
        <f aca="false">IF($D407="Followup",'Survey Response'!$H405,"")</f>
        <v/>
      </c>
      <c r="AT407" s="46" t="str">
        <f aca="false">IF($D407="Followup",'Survey Response'!$M405,"")</f>
        <v/>
      </c>
      <c r="AU407" s="46" t="str">
        <f aca="false">IF($D407="Followup",'Survey Response'!$K405,"")</f>
        <v/>
      </c>
      <c r="AV407" s="46" t="str">
        <f aca="false">IF($D407="Followup",'Survey Response'!$L405,"")</f>
        <v/>
      </c>
      <c r="AW407" s="46" t="str">
        <f aca="false">IF($D407="Followup",IF(AND($P407&lt;&gt;"Yes",$U407&lt;&gt;"Yes"),"Not approved for primary or secondary skill","Approved, but skill(s) no longer have capacity (fully staffed)"),"")</f>
        <v/>
      </c>
    </row>
    <row r="408" customFormat="false" ht="15" hidden="false" customHeight="true" outlineLevel="0" collapsed="false">
      <c r="A408" s="46" t="str">
        <f aca="false">IF('Survey Response'!$D406="","",'Survey Response'!$A406&amp;"|"&amp;LOWER(TRIM('Survey Response'!$D406)))</f>
        <v/>
      </c>
      <c r="B408" s="46" t="str">
        <f aca="false">IF($H408="","",$F408&amp;"|"&amp;$H408)</f>
        <v/>
      </c>
      <c r="C408" s="46" t="str">
        <f aca="false">IF($H408="","",$A408=$B408)</f>
        <v/>
      </c>
      <c r="D408" s="46" t="str">
        <f aca="false">IF($H408="","",IF($E408&lt;&gt;"Yes","Superseded",IF($I408&lt;&gt;"Yes, I'm available for in-person interviews at Chennai","Not Available",IF($Z408&lt;&gt;"","Panel Details","Followup"))))</f>
        <v/>
      </c>
      <c r="E408" s="46" t="str">
        <f aca="false">IF($H408="","",IF(SUMPRODUCT(($H$4:$H$503=$H408)*(($G$4:$G$503&gt;$G408)+($G$4:$G$503=$G408)*($F$4:$F$503&gt;$F408)))=0,"Yes","No"))</f>
        <v/>
      </c>
      <c r="F408" s="47" t="str">
        <f aca="false">IF('Survey Response'!$D406="","",INT('Survey Response'!$A406))</f>
        <v/>
      </c>
      <c r="G408" s="46" t="str">
        <f aca="false">IF('Survey Response'!$D406="","",'Survey Response'!$C406)</f>
        <v/>
      </c>
      <c r="H408" s="46" t="str">
        <f aca="false">IF('Survey Response'!$D406="","",LOWER(TRIM('Survey Response'!$D406)))</f>
        <v/>
      </c>
      <c r="I408" s="46" t="str">
        <f aca="false">IF($H408="","",'Survey Response'!$I406)</f>
        <v/>
      </c>
      <c r="J408" s="46" t="str">
        <f aca="false">IF($H408="","",'Survey Response'!$K406)</f>
        <v/>
      </c>
      <c r="K408" s="46" t="str">
        <f aca="false">IF($J408="","",IF(COUNTIF('Skill Mapping'!$A$2:$A$7,TRIM($J408))=0,"",INDEX('Skill Mapping'!$B$2:$B$7,MATCH(TRIM($J408),'Skill Mapping'!$A$2:$A$7,0))))</f>
        <v/>
      </c>
      <c r="L408" s="46" t="str">
        <f aca="false">IF($H408="","",'Survey Response'!$L406)</f>
        <v/>
      </c>
      <c r="M408" s="46" t="str">
        <f aca="false">IF($L408="","",IF(COUNTIF('Skill Mapping'!$A$2:$A$7,TRIM($L408))=0,"",INDEX('Skill Mapping'!$B$2:$B$7,MATCH(TRIM($L408),'Skill Mapping'!$A$2:$A$7,0))))</f>
        <v/>
      </c>
      <c r="N408" s="46" t="str">
        <f aca="false">IF($H408="","",'Survey Response'!$M406)</f>
        <v/>
      </c>
      <c r="O408" s="46" t="str">
        <f aca="false">IF($H408="","",IF('Survey Response'!$M406="Manager","R2","R1"))</f>
        <v/>
      </c>
      <c r="P408" s="46" t="str">
        <f aca="false">IF($K408="","No",IF(COUNTIFS(MasterPanel!$B:$B,$H408,MasterPanel!$I:$I,$K408,MasterPanel!$K:$K,"Y")&gt;0,"Yes","No"))</f>
        <v>No</v>
      </c>
      <c r="Q408" s="46" t="n">
        <f aca="false">IF($K408="",0,IF(COUNTIF('Gap Sheet'!$A$6:$A$11,TRIM($J408))=0,0,IF($O408="R1",INDEX('Gap Sheet'!$C$6:$C$11,MATCH(TRIM($J408),'Gap Sheet'!$A$6:$A$11,0)),INDEX('Gap Sheet'!$G$6:$G$11,MATCH(TRIM($J408),'Gap Sheet'!$A$6:$A$11,0)))))</f>
        <v>0</v>
      </c>
      <c r="R408" s="46" t="str">
        <f aca="false">IF($K408="","",$K408&amp;"|"&amp;$O408)</f>
        <v/>
      </c>
      <c r="S408" s="46" t="n">
        <f aca="false">IF($R408="",0,COUNTIF($AA$4:$AA407,$R408))</f>
        <v>0</v>
      </c>
      <c r="T408" s="46" t="str">
        <f aca="false">IF(OR($I408&lt;&gt;"Yes, I'm available for in-person interviews at Chennai",$E408&lt;&gt;"Yes",$P408&lt;&gt;"Yes"),"No",IF(($Q408-$S408)&gt;0,"Yes","No"))</f>
        <v>No</v>
      </c>
      <c r="U408" s="46" t="str">
        <f aca="false">IF($M408="","No",IF(COUNTIFS(MasterPanel!$B:$B,$H408,MasterPanel!$I:$I,$M408,MasterPanel!$K:$K,"Y")&gt;0,"Yes","No"))</f>
        <v>No</v>
      </c>
      <c r="V408" s="46" t="n">
        <f aca="false">IF($M408="",0,IF(COUNTIF('Gap Sheet'!$A$6:$A$11,TRIM($L408))=0,0,IF($O408="R1",INDEX('Gap Sheet'!$C$6:$C$11,MATCH(TRIM($L408),'Gap Sheet'!$A$6:$A$11,0)),INDEX('Gap Sheet'!$G$6:$G$11,MATCH(TRIM($L408),'Gap Sheet'!$A$6:$A$11,0)))))</f>
        <v>0</v>
      </c>
      <c r="W408" s="46" t="str">
        <f aca="false">IF($M408="","",$M408&amp;"|"&amp;$O408)</f>
        <v/>
      </c>
      <c r="X408" s="46" t="n">
        <f aca="false">IF($W408="",0,COUNTIF($AA$4:$AA407,$W408))</f>
        <v>0</v>
      </c>
      <c r="Y408" s="46" t="str">
        <f aca="false">IF(OR($I408&lt;&gt;"Yes, I'm available for in-person interviews at Chennai",$E408&lt;&gt;"Yes",$T408="Yes",$U408&lt;&gt;"Yes"),"No",IF(($V408-$X408)&gt;0,"Yes","No"))</f>
        <v>No</v>
      </c>
      <c r="Z408" s="46" t="str">
        <f aca="false">IF($T408="Yes","Primary",IF($Y408="Yes","Secondary",""))</f>
        <v/>
      </c>
      <c r="AA408" s="46" t="str">
        <f aca="false">IF($Z408="Primary",$R408,IF($Z408="Secondary",$W408,""))</f>
        <v/>
      </c>
      <c r="AB408" s="46" t="str">
        <f aca="false">IF($Z408="Primary","Matched on primary skill",IF($Z408="Secondary","Matched on secondary skill (primary not approved or not required)",""))</f>
        <v/>
      </c>
      <c r="AC408" s="47" t="str">
        <f aca="false">IF($D408="Panel Details",$F408,"")</f>
        <v/>
      </c>
      <c r="AD408" s="46" t="str">
        <f aca="false">IF($D408="Panel Details",'Survey Response'!$D406,"")</f>
        <v/>
      </c>
      <c r="AE408" s="46" t="str">
        <f aca="false">IF($D408="Panel Details",'Survey Response'!$E406,"")</f>
        <v/>
      </c>
      <c r="AF408" s="46" t="str">
        <f aca="false">IF($D408="Panel Details",'Survey Response'!$G406,"")</f>
        <v/>
      </c>
      <c r="AG408" s="46" t="str">
        <f aca="false">IF($D408="Panel Details",IF($Z408="Primary",$J408,$L408),"")</f>
        <v/>
      </c>
      <c r="AH408" s="46" t="str">
        <f aca="false">IF($D408="Panel Details",IF($Z408="Primary",$L408,$J408),"")</f>
        <v/>
      </c>
      <c r="AI408" s="46" t="str">
        <f aca="false">IF($D408="Panel Details",'Survey Response'!$H406,"")</f>
        <v/>
      </c>
      <c r="AJ408" s="46" t="str">
        <f aca="false">IF($D408="Panel Details",'Survey Response'!$M406,"")</f>
        <v/>
      </c>
      <c r="AK408" s="46" t="str">
        <f aca="false">IF($D408="Panel Details",$O408,"")</f>
        <v/>
      </c>
      <c r="AL408" s="46" t="str">
        <f aca="false">IF($D408="Panel Details",8,"")</f>
        <v/>
      </c>
      <c r="AM408" s="46" t="str">
        <f aca="false">IF($D408="Panel Details",$AB408,"")</f>
        <v/>
      </c>
      <c r="AN408" s="46" t="str">
        <f aca="false">IF($D408="Panel Details","Yes","")</f>
        <v/>
      </c>
      <c r="AO408" s="46"/>
      <c r="AP408" s="46" t="str">
        <f aca="false">IF($D408="Followup",'Survey Response'!$D406,"")</f>
        <v/>
      </c>
      <c r="AQ408" s="46" t="str">
        <f aca="false">IF($D408="Followup",'Survey Response'!$E406,"")</f>
        <v/>
      </c>
      <c r="AR408" s="46" t="str">
        <f aca="false">IF($D408="Followup",'Survey Response'!$G406,"")</f>
        <v/>
      </c>
      <c r="AS408" s="46" t="str">
        <f aca="false">IF($D408="Followup",'Survey Response'!$H406,"")</f>
        <v/>
      </c>
      <c r="AT408" s="46" t="str">
        <f aca="false">IF($D408="Followup",'Survey Response'!$M406,"")</f>
        <v/>
      </c>
      <c r="AU408" s="46" t="str">
        <f aca="false">IF($D408="Followup",'Survey Response'!$K406,"")</f>
        <v/>
      </c>
      <c r="AV408" s="46" t="str">
        <f aca="false">IF($D408="Followup",'Survey Response'!$L406,"")</f>
        <v/>
      </c>
      <c r="AW408" s="46" t="str">
        <f aca="false">IF($D408="Followup",IF(AND($P408&lt;&gt;"Yes",$U408&lt;&gt;"Yes"),"Not approved for primary or secondary skill","Approved, but skill(s) no longer have capacity (fully staffed)"),"")</f>
        <v/>
      </c>
    </row>
    <row r="409" customFormat="false" ht="15" hidden="false" customHeight="true" outlineLevel="0" collapsed="false">
      <c r="A409" s="46" t="str">
        <f aca="false">IF('Survey Response'!$D407="","",'Survey Response'!$A407&amp;"|"&amp;LOWER(TRIM('Survey Response'!$D407)))</f>
        <v/>
      </c>
      <c r="B409" s="46" t="str">
        <f aca="false">IF($H409="","",$F409&amp;"|"&amp;$H409)</f>
        <v/>
      </c>
      <c r="C409" s="46" t="str">
        <f aca="false">IF($H409="","",$A409=$B409)</f>
        <v/>
      </c>
      <c r="D409" s="46" t="str">
        <f aca="false">IF($H409="","",IF($E409&lt;&gt;"Yes","Superseded",IF($I409&lt;&gt;"Yes, I'm available for in-person interviews at Chennai","Not Available",IF($Z409&lt;&gt;"","Panel Details","Followup"))))</f>
        <v/>
      </c>
      <c r="E409" s="46" t="str">
        <f aca="false">IF($H409="","",IF(SUMPRODUCT(($H$4:$H$503=$H409)*(($G$4:$G$503&gt;$G409)+($G$4:$G$503=$G409)*($F$4:$F$503&gt;$F409)))=0,"Yes","No"))</f>
        <v/>
      </c>
      <c r="F409" s="47" t="str">
        <f aca="false">IF('Survey Response'!$D407="","",INT('Survey Response'!$A407))</f>
        <v/>
      </c>
      <c r="G409" s="46" t="str">
        <f aca="false">IF('Survey Response'!$D407="","",'Survey Response'!$C407)</f>
        <v/>
      </c>
      <c r="H409" s="46" t="str">
        <f aca="false">IF('Survey Response'!$D407="","",LOWER(TRIM('Survey Response'!$D407)))</f>
        <v/>
      </c>
      <c r="I409" s="46" t="str">
        <f aca="false">IF($H409="","",'Survey Response'!$I407)</f>
        <v/>
      </c>
      <c r="J409" s="46" t="str">
        <f aca="false">IF($H409="","",'Survey Response'!$K407)</f>
        <v/>
      </c>
      <c r="K409" s="46" t="str">
        <f aca="false">IF($J409="","",IF(COUNTIF('Skill Mapping'!$A$2:$A$7,TRIM($J409))=0,"",INDEX('Skill Mapping'!$B$2:$B$7,MATCH(TRIM($J409),'Skill Mapping'!$A$2:$A$7,0))))</f>
        <v/>
      </c>
      <c r="L409" s="46" t="str">
        <f aca="false">IF($H409="","",'Survey Response'!$L407)</f>
        <v/>
      </c>
      <c r="M409" s="46" t="str">
        <f aca="false">IF($L409="","",IF(COUNTIF('Skill Mapping'!$A$2:$A$7,TRIM($L409))=0,"",INDEX('Skill Mapping'!$B$2:$B$7,MATCH(TRIM($L409),'Skill Mapping'!$A$2:$A$7,0))))</f>
        <v/>
      </c>
      <c r="N409" s="46" t="str">
        <f aca="false">IF($H409="","",'Survey Response'!$M407)</f>
        <v/>
      </c>
      <c r="O409" s="46" t="str">
        <f aca="false">IF($H409="","",IF('Survey Response'!$M407="Manager","R2","R1"))</f>
        <v/>
      </c>
      <c r="P409" s="46" t="str">
        <f aca="false">IF($K409="","No",IF(COUNTIFS(MasterPanel!$B:$B,$H409,MasterPanel!$I:$I,$K409,MasterPanel!$K:$K,"Y")&gt;0,"Yes","No"))</f>
        <v>No</v>
      </c>
      <c r="Q409" s="46" t="n">
        <f aca="false">IF($K409="",0,IF(COUNTIF('Gap Sheet'!$A$6:$A$11,TRIM($J409))=0,0,IF($O409="R1",INDEX('Gap Sheet'!$C$6:$C$11,MATCH(TRIM($J409),'Gap Sheet'!$A$6:$A$11,0)),INDEX('Gap Sheet'!$G$6:$G$11,MATCH(TRIM($J409),'Gap Sheet'!$A$6:$A$11,0)))))</f>
        <v>0</v>
      </c>
      <c r="R409" s="46" t="str">
        <f aca="false">IF($K409="","",$K409&amp;"|"&amp;$O409)</f>
        <v/>
      </c>
      <c r="S409" s="46" t="n">
        <f aca="false">IF($R409="",0,COUNTIF($AA$4:$AA408,$R409))</f>
        <v>0</v>
      </c>
      <c r="T409" s="46" t="str">
        <f aca="false">IF(OR($I409&lt;&gt;"Yes, I'm available for in-person interviews at Chennai",$E409&lt;&gt;"Yes",$P409&lt;&gt;"Yes"),"No",IF(($Q409-$S409)&gt;0,"Yes","No"))</f>
        <v>No</v>
      </c>
      <c r="U409" s="46" t="str">
        <f aca="false">IF($M409="","No",IF(COUNTIFS(MasterPanel!$B:$B,$H409,MasterPanel!$I:$I,$M409,MasterPanel!$K:$K,"Y")&gt;0,"Yes","No"))</f>
        <v>No</v>
      </c>
      <c r="V409" s="46" t="n">
        <f aca="false">IF($M409="",0,IF(COUNTIF('Gap Sheet'!$A$6:$A$11,TRIM($L409))=0,0,IF($O409="R1",INDEX('Gap Sheet'!$C$6:$C$11,MATCH(TRIM($L409),'Gap Sheet'!$A$6:$A$11,0)),INDEX('Gap Sheet'!$G$6:$G$11,MATCH(TRIM($L409),'Gap Sheet'!$A$6:$A$11,0)))))</f>
        <v>0</v>
      </c>
      <c r="W409" s="46" t="str">
        <f aca="false">IF($M409="","",$M409&amp;"|"&amp;$O409)</f>
        <v/>
      </c>
      <c r="X409" s="46" t="n">
        <f aca="false">IF($W409="",0,COUNTIF($AA$4:$AA408,$W409))</f>
        <v>0</v>
      </c>
      <c r="Y409" s="46" t="str">
        <f aca="false">IF(OR($I409&lt;&gt;"Yes, I'm available for in-person interviews at Chennai",$E409&lt;&gt;"Yes",$T409="Yes",$U409&lt;&gt;"Yes"),"No",IF(($V409-$X409)&gt;0,"Yes","No"))</f>
        <v>No</v>
      </c>
      <c r="Z409" s="46" t="str">
        <f aca="false">IF($T409="Yes","Primary",IF($Y409="Yes","Secondary",""))</f>
        <v/>
      </c>
      <c r="AA409" s="46" t="str">
        <f aca="false">IF($Z409="Primary",$R409,IF($Z409="Secondary",$W409,""))</f>
        <v/>
      </c>
      <c r="AB409" s="46" t="str">
        <f aca="false">IF($Z409="Primary","Matched on primary skill",IF($Z409="Secondary","Matched on secondary skill (primary not approved or not required)",""))</f>
        <v/>
      </c>
      <c r="AC409" s="47" t="str">
        <f aca="false">IF($D409="Panel Details",$F409,"")</f>
        <v/>
      </c>
      <c r="AD409" s="46" t="str">
        <f aca="false">IF($D409="Panel Details",'Survey Response'!$D407,"")</f>
        <v/>
      </c>
      <c r="AE409" s="46" t="str">
        <f aca="false">IF($D409="Panel Details",'Survey Response'!$E407,"")</f>
        <v/>
      </c>
      <c r="AF409" s="46" t="str">
        <f aca="false">IF($D409="Panel Details",'Survey Response'!$G407,"")</f>
        <v/>
      </c>
      <c r="AG409" s="46" t="str">
        <f aca="false">IF($D409="Panel Details",IF($Z409="Primary",$J409,$L409),"")</f>
        <v/>
      </c>
      <c r="AH409" s="46" t="str">
        <f aca="false">IF($D409="Panel Details",IF($Z409="Primary",$L409,$J409),"")</f>
        <v/>
      </c>
      <c r="AI409" s="46" t="str">
        <f aca="false">IF($D409="Panel Details",'Survey Response'!$H407,"")</f>
        <v/>
      </c>
      <c r="AJ409" s="46" t="str">
        <f aca="false">IF($D409="Panel Details",'Survey Response'!$M407,"")</f>
        <v/>
      </c>
      <c r="AK409" s="46" t="str">
        <f aca="false">IF($D409="Panel Details",$O409,"")</f>
        <v/>
      </c>
      <c r="AL409" s="46" t="str">
        <f aca="false">IF($D409="Panel Details",8,"")</f>
        <v/>
      </c>
      <c r="AM409" s="46" t="str">
        <f aca="false">IF($D409="Panel Details",$AB409,"")</f>
        <v/>
      </c>
      <c r="AN409" s="46" t="str">
        <f aca="false">IF($D409="Panel Details","Yes","")</f>
        <v/>
      </c>
      <c r="AO409" s="46"/>
      <c r="AP409" s="46" t="str">
        <f aca="false">IF($D409="Followup",'Survey Response'!$D407,"")</f>
        <v/>
      </c>
      <c r="AQ409" s="46" t="str">
        <f aca="false">IF($D409="Followup",'Survey Response'!$E407,"")</f>
        <v/>
      </c>
      <c r="AR409" s="46" t="str">
        <f aca="false">IF($D409="Followup",'Survey Response'!$G407,"")</f>
        <v/>
      </c>
      <c r="AS409" s="46" t="str">
        <f aca="false">IF($D409="Followup",'Survey Response'!$H407,"")</f>
        <v/>
      </c>
      <c r="AT409" s="46" t="str">
        <f aca="false">IF($D409="Followup",'Survey Response'!$M407,"")</f>
        <v/>
      </c>
      <c r="AU409" s="46" t="str">
        <f aca="false">IF($D409="Followup",'Survey Response'!$K407,"")</f>
        <v/>
      </c>
      <c r="AV409" s="46" t="str">
        <f aca="false">IF($D409="Followup",'Survey Response'!$L407,"")</f>
        <v/>
      </c>
      <c r="AW409" s="46" t="str">
        <f aca="false">IF($D409="Followup",IF(AND($P409&lt;&gt;"Yes",$U409&lt;&gt;"Yes"),"Not approved for primary or secondary skill","Approved, but skill(s) no longer have capacity (fully staffed)"),"")</f>
        <v/>
      </c>
    </row>
    <row r="410" customFormat="false" ht="15" hidden="false" customHeight="true" outlineLevel="0" collapsed="false">
      <c r="A410" s="46" t="str">
        <f aca="false">IF('Survey Response'!$D408="","",'Survey Response'!$A408&amp;"|"&amp;LOWER(TRIM('Survey Response'!$D408)))</f>
        <v/>
      </c>
      <c r="B410" s="46" t="str">
        <f aca="false">IF($H410="","",$F410&amp;"|"&amp;$H410)</f>
        <v/>
      </c>
      <c r="C410" s="46" t="str">
        <f aca="false">IF($H410="","",$A410=$B410)</f>
        <v/>
      </c>
      <c r="D410" s="46" t="str">
        <f aca="false">IF($H410="","",IF($E410&lt;&gt;"Yes","Superseded",IF($I410&lt;&gt;"Yes, I'm available for in-person interviews at Chennai","Not Available",IF($Z410&lt;&gt;"","Panel Details","Followup"))))</f>
        <v/>
      </c>
      <c r="E410" s="46" t="str">
        <f aca="false">IF($H410="","",IF(SUMPRODUCT(($H$4:$H$503=$H410)*(($G$4:$G$503&gt;$G410)+($G$4:$G$503=$G410)*($F$4:$F$503&gt;$F410)))=0,"Yes","No"))</f>
        <v/>
      </c>
      <c r="F410" s="47" t="str">
        <f aca="false">IF('Survey Response'!$D408="","",INT('Survey Response'!$A408))</f>
        <v/>
      </c>
      <c r="G410" s="46" t="str">
        <f aca="false">IF('Survey Response'!$D408="","",'Survey Response'!$C408)</f>
        <v/>
      </c>
      <c r="H410" s="46" t="str">
        <f aca="false">IF('Survey Response'!$D408="","",LOWER(TRIM('Survey Response'!$D408)))</f>
        <v/>
      </c>
      <c r="I410" s="46" t="str">
        <f aca="false">IF($H410="","",'Survey Response'!$I408)</f>
        <v/>
      </c>
      <c r="J410" s="46" t="str">
        <f aca="false">IF($H410="","",'Survey Response'!$K408)</f>
        <v/>
      </c>
      <c r="K410" s="46" t="str">
        <f aca="false">IF($J410="","",IF(COUNTIF('Skill Mapping'!$A$2:$A$7,TRIM($J410))=0,"",INDEX('Skill Mapping'!$B$2:$B$7,MATCH(TRIM($J410),'Skill Mapping'!$A$2:$A$7,0))))</f>
        <v/>
      </c>
      <c r="L410" s="46" t="str">
        <f aca="false">IF($H410="","",'Survey Response'!$L408)</f>
        <v/>
      </c>
      <c r="M410" s="46" t="str">
        <f aca="false">IF($L410="","",IF(COUNTIF('Skill Mapping'!$A$2:$A$7,TRIM($L410))=0,"",INDEX('Skill Mapping'!$B$2:$B$7,MATCH(TRIM($L410),'Skill Mapping'!$A$2:$A$7,0))))</f>
        <v/>
      </c>
      <c r="N410" s="46" t="str">
        <f aca="false">IF($H410="","",'Survey Response'!$M408)</f>
        <v/>
      </c>
      <c r="O410" s="46" t="str">
        <f aca="false">IF($H410="","",IF('Survey Response'!$M408="Manager","R2","R1"))</f>
        <v/>
      </c>
      <c r="P410" s="46" t="str">
        <f aca="false">IF($K410="","No",IF(COUNTIFS(MasterPanel!$B:$B,$H410,MasterPanel!$I:$I,$K410,MasterPanel!$K:$K,"Y")&gt;0,"Yes","No"))</f>
        <v>No</v>
      </c>
      <c r="Q410" s="46" t="n">
        <f aca="false">IF($K410="",0,IF(COUNTIF('Gap Sheet'!$A$6:$A$11,TRIM($J410))=0,0,IF($O410="R1",INDEX('Gap Sheet'!$C$6:$C$11,MATCH(TRIM($J410),'Gap Sheet'!$A$6:$A$11,0)),INDEX('Gap Sheet'!$G$6:$G$11,MATCH(TRIM($J410),'Gap Sheet'!$A$6:$A$11,0)))))</f>
        <v>0</v>
      </c>
      <c r="R410" s="46" t="str">
        <f aca="false">IF($K410="","",$K410&amp;"|"&amp;$O410)</f>
        <v/>
      </c>
      <c r="S410" s="46" t="n">
        <f aca="false">IF($R410="",0,COUNTIF($AA$4:$AA409,$R410))</f>
        <v>0</v>
      </c>
      <c r="T410" s="46" t="str">
        <f aca="false">IF(OR($I410&lt;&gt;"Yes, I'm available for in-person interviews at Chennai",$E410&lt;&gt;"Yes",$P410&lt;&gt;"Yes"),"No",IF(($Q410-$S410)&gt;0,"Yes","No"))</f>
        <v>No</v>
      </c>
      <c r="U410" s="46" t="str">
        <f aca="false">IF($M410="","No",IF(COUNTIFS(MasterPanel!$B:$B,$H410,MasterPanel!$I:$I,$M410,MasterPanel!$K:$K,"Y")&gt;0,"Yes","No"))</f>
        <v>No</v>
      </c>
      <c r="V410" s="46" t="n">
        <f aca="false">IF($M410="",0,IF(COUNTIF('Gap Sheet'!$A$6:$A$11,TRIM($L410))=0,0,IF($O410="R1",INDEX('Gap Sheet'!$C$6:$C$11,MATCH(TRIM($L410),'Gap Sheet'!$A$6:$A$11,0)),INDEX('Gap Sheet'!$G$6:$G$11,MATCH(TRIM($L410),'Gap Sheet'!$A$6:$A$11,0)))))</f>
        <v>0</v>
      </c>
      <c r="W410" s="46" t="str">
        <f aca="false">IF($M410="","",$M410&amp;"|"&amp;$O410)</f>
        <v/>
      </c>
      <c r="X410" s="46" t="n">
        <f aca="false">IF($W410="",0,COUNTIF($AA$4:$AA409,$W410))</f>
        <v>0</v>
      </c>
      <c r="Y410" s="46" t="str">
        <f aca="false">IF(OR($I410&lt;&gt;"Yes, I'm available for in-person interviews at Chennai",$E410&lt;&gt;"Yes",$T410="Yes",$U410&lt;&gt;"Yes"),"No",IF(($V410-$X410)&gt;0,"Yes","No"))</f>
        <v>No</v>
      </c>
      <c r="Z410" s="46" t="str">
        <f aca="false">IF($T410="Yes","Primary",IF($Y410="Yes","Secondary",""))</f>
        <v/>
      </c>
      <c r="AA410" s="46" t="str">
        <f aca="false">IF($Z410="Primary",$R410,IF($Z410="Secondary",$W410,""))</f>
        <v/>
      </c>
      <c r="AB410" s="46" t="str">
        <f aca="false">IF($Z410="Primary","Matched on primary skill",IF($Z410="Secondary","Matched on secondary skill (primary not approved or not required)",""))</f>
        <v/>
      </c>
      <c r="AC410" s="47" t="str">
        <f aca="false">IF($D410="Panel Details",$F410,"")</f>
        <v/>
      </c>
      <c r="AD410" s="46" t="str">
        <f aca="false">IF($D410="Panel Details",'Survey Response'!$D408,"")</f>
        <v/>
      </c>
      <c r="AE410" s="46" t="str">
        <f aca="false">IF($D410="Panel Details",'Survey Response'!$E408,"")</f>
        <v/>
      </c>
      <c r="AF410" s="46" t="str">
        <f aca="false">IF($D410="Panel Details",'Survey Response'!$G408,"")</f>
        <v/>
      </c>
      <c r="AG410" s="46" t="str">
        <f aca="false">IF($D410="Panel Details",IF($Z410="Primary",$J410,$L410),"")</f>
        <v/>
      </c>
      <c r="AH410" s="46" t="str">
        <f aca="false">IF($D410="Panel Details",IF($Z410="Primary",$L410,$J410),"")</f>
        <v/>
      </c>
      <c r="AI410" s="46" t="str">
        <f aca="false">IF($D410="Panel Details",'Survey Response'!$H408,"")</f>
        <v/>
      </c>
      <c r="AJ410" s="46" t="str">
        <f aca="false">IF($D410="Panel Details",'Survey Response'!$M408,"")</f>
        <v/>
      </c>
      <c r="AK410" s="46" t="str">
        <f aca="false">IF($D410="Panel Details",$O410,"")</f>
        <v/>
      </c>
      <c r="AL410" s="46" t="str">
        <f aca="false">IF($D410="Panel Details",8,"")</f>
        <v/>
      </c>
      <c r="AM410" s="46" t="str">
        <f aca="false">IF($D410="Panel Details",$AB410,"")</f>
        <v/>
      </c>
      <c r="AN410" s="46" t="str">
        <f aca="false">IF($D410="Panel Details","Yes","")</f>
        <v/>
      </c>
      <c r="AO410" s="46"/>
      <c r="AP410" s="46" t="str">
        <f aca="false">IF($D410="Followup",'Survey Response'!$D408,"")</f>
        <v/>
      </c>
      <c r="AQ410" s="46" t="str">
        <f aca="false">IF($D410="Followup",'Survey Response'!$E408,"")</f>
        <v/>
      </c>
      <c r="AR410" s="46" t="str">
        <f aca="false">IF($D410="Followup",'Survey Response'!$G408,"")</f>
        <v/>
      </c>
      <c r="AS410" s="46" t="str">
        <f aca="false">IF($D410="Followup",'Survey Response'!$H408,"")</f>
        <v/>
      </c>
      <c r="AT410" s="46" t="str">
        <f aca="false">IF($D410="Followup",'Survey Response'!$M408,"")</f>
        <v/>
      </c>
      <c r="AU410" s="46" t="str">
        <f aca="false">IF($D410="Followup",'Survey Response'!$K408,"")</f>
        <v/>
      </c>
      <c r="AV410" s="46" t="str">
        <f aca="false">IF($D410="Followup",'Survey Response'!$L408,"")</f>
        <v/>
      </c>
      <c r="AW410" s="46" t="str">
        <f aca="false">IF($D410="Followup",IF(AND($P410&lt;&gt;"Yes",$U410&lt;&gt;"Yes"),"Not approved for primary or secondary skill","Approved, but skill(s) no longer have capacity (fully staffed)"),"")</f>
        <v/>
      </c>
    </row>
    <row r="411" customFormat="false" ht="15" hidden="false" customHeight="true" outlineLevel="0" collapsed="false">
      <c r="A411" s="46" t="str">
        <f aca="false">IF('Survey Response'!$D409="","",'Survey Response'!$A409&amp;"|"&amp;LOWER(TRIM('Survey Response'!$D409)))</f>
        <v/>
      </c>
      <c r="B411" s="46" t="str">
        <f aca="false">IF($H411="","",$F411&amp;"|"&amp;$H411)</f>
        <v/>
      </c>
      <c r="C411" s="46" t="str">
        <f aca="false">IF($H411="","",$A411=$B411)</f>
        <v/>
      </c>
      <c r="D411" s="46" t="str">
        <f aca="false">IF($H411="","",IF($E411&lt;&gt;"Yes","Superseded",IF($I411&lt;&gt;"Yes, I'm available for in-person interviews at Chennai","Not Available",IF($Z411&lt;&gt;"","Panel Details","Followup"))))</f>
        <v/>
      </c>
      <c r="E411" s="46" t="str">
        <f aca="false">IF($H411="","",IF(SUMPRODUCT(($H$4:$H$503=$H411)*(($G$4:$G$503&gt;$G411)+($G$4:$G$503=$G411)*($F$4:$F$503&gt;$F411)))=0,"Yes","No"))</f>
        <v/>
      </c>
      <c r="F411" s="47" t="str">
        <f aca="false">IF('Survey Response'!$D409="","",INT('Survey Response'!$A409))</f>
        <v/>
      </c>
      <c r="G411" s="46" t="str">
        <f aca="false">IF('Survey Response'!$D409="","",'Survey Response'!$C409)</f>
        <v/>
      </c>
      <c r="H411" s="46" t="str">
        <f aca="false">IF('Survey Response'!$D409="","",LOWER(TRIM('Survey Response'!$D409)))</f>
        <v/>
      </c>
      <c r="I411" s="46" t="str">
        <f aca="false">IF($H411="","",'Survey Response'!$I409)</f>
        <v/>
      </c>
      <c r="J411" s="46" t="str">
        <f aca="false">IF($H411="","",'Survey Response'!$K409)</f>
        <v/>
      </c>
      <c r="K411" s="46" t="str">
        <f aca="false">IF($J411="","",IF(COUNTIF('Skill Mapping'!$A$2:$A$7,TRIM($J411))=0,"",INDEX('Skill Mapping'!$B$2:$B$7,MATCH(TRIM($J411),'Skill Mapping'!$A$2:$A$7,0))))</f>
        <v/>
      </c>
      <c r="L411" s="46" t="str">
        <f aca="false">IF($H411="","",'Survey Response'!$L409)</f>
        <v/>
      </c>
      <c r="M411" s="46" t="str">
        <f aca="false">IF($L411="","",IF(COUNTIF('Skill Mapping'!$A$2:$A$7,TRIM($L411))=0,"",INDEX('Skill Mapping'!$B$2:$B$7,MATCH(TRIM($L411),'Skill Mapping'!$A$2:$A$7,0))))</f>
        <v/>
      </c>
      <c r="N411" s="46" t="str">
        <f aca="false">IF($H411="","",'Survey Response'!$M409)</f>
        <v/>
      </c>
      <c r="O411" s="46" t="str">
        <f aca="false">IF($H411="","",IF('Survey Response'!$M409="Manager","R2","R1"))</f>
        <v/>
      </c>
      <c r="P411" s="46" t="str">
        <f aca="false">IF($K411="","No",IF(COUNTIFS(MasterPanel!$B:$B,$H411,MasterPanel!$I:$I,$K411,MasterPanel!$K:$K,"Y")&gt;0,"Yes","No"))</f>
        <v>No</v>
      </c>
      <c r="Q411" s="46" t="n">
        <f aca="false">IF($K411="",0,IF(COUNTIF('Gap Sheet'!$A$6:$A$11,TRIM($J411))=0,0,IF($O411="R1",INDEX('Gap Sheet'!$C$6:$C$11,MATCH(TRIM($J411),'Gap Sheet'!$A$6:$A$11,0)),INDEX('Gap Sheet'!$G$6:$G$11,MATCH(TRIM($J411),'Gap Sheet'!$A$6:$A$11,0)))))</f>
        <v>0</v>
      </c>
      <c r="R411" s="46" t="str">
        <f aca="false">IF($K411="","",$K411&amp;"|"&amp;$O411)</f>
        <v/>
      </c>
      <c r="S411" s="46" t="n">
        <f aca="false">IF($R411="",0,COUNTIF($AA$4:$AA410,$R411))</f>
        <v>0</v>
      </c>
      <c r="T411" s="46" t="str">
        <f aca="false">IF(OR($I411&lt;&gt;"Yes, I'm available for in-person interviews at Chennai",$E411&lt;&gt;"Yes",$P411&lt;&gt;"Yes"),"No",IF(($Q411-$S411)&gt;0,"Yes","No"))</f>
        <v>No</v>
      </c>
      <c r="U411" s="46" t="str">
        <f aca="false">IF($M411="","No",IF(COUNTIFS(MasterPanel!$B:$B,$H411,MasterPanel!$I:$I,$M411,MasterPanel!$K:$K,"Y")&gt;0,"Yes","No"))</f>
        <v>No</v>
      </c>
      <c r="V411" s="46" t="n">
        <f aca="false">IF($M411="",0,IF(COUNTIF('Gap Sheet'!$A$6:$A$11,TRIM($L411))=0,0,IF($O411="R1",INDEX('Gap Sheet'!$C$6:$C$11,MATCH(TRIM($L411),'Gap Sheet'!$A$6:$A$11,0)),INDEX('Gap Sheet'!$G$6:$G$11,MATCH(TRIM($L411),'Gap Sheet'!$A$6:$A$11,0)))))</f>
        <v>0</v>
      </c>
      <c r="W411" s="46" t="str">
        <f aca="false">IF($M411="","",$M411&amp;"|"&amp;$O411)</f>
        <v/>
      </c>
      <c r="X411" s="46" t="n">
        <f aca="false">IF($W411="",0,COUNTIF($AA$4:$AA410,$W411))</f>
        <v>0</v>
      </c>
      <c r="Y411" s="46" t="str">
        <f aca="false">IF(OR($I411&lt;&gt;"Yes, I'm available for in-person interviews at Chennai",$E411&lt;&gt;"Yes",$T411="Yes",$U411&lt;&gt;"Yes"),"No",IF(($V411-$X411)&gt;0,"Yes","No"))</f>
        <v>No</v>
      </c>
      <c r="Z411" s="46" t="str">
        <f aca="false">IF($T411="Yes","Primary",IF($Y411="Yes","Secondary",""))</f>
        <v/>
      </c>
      <c r="AA411" s="46" t="str">
        <f aca="false">IF($Z411="Primary",$R411,IF($Z411="Secondary",$W411,""))</f>
        <v/>
      </c>
      <c r="AB411" s="46" t="str">
        <f aca="false">IF($Z411="Primary","Matched on primary skill",IF($Z411="Secondary","Matched on secondary skill (primary not approved or not required)",""))</f>
        <v/>
      </c>
      <c r="AC411" s="47" t="str">
        <f aca="false">IF($D411="Panel Details",$F411,"")</f>
        <v/>
      </c>
      <c r="AD411" s="46" t="str">
        <f aca="false">IF($D411="Panel Details",'Survey Response'!$D409,"")</f>
        <v/>
      </c>
      <c r="AE411" s="46" t="str">
        <f aca="false">IF($D411="Panel Details",'Survey Response'!$E409,"")</f>
        <v/>
      </c>
      <c r="AF411" s="46" t="str">
        <f aca="false">IF($D411="Panel Details",'Survey Response'!$G409,"")</f>
        <v/>
      </c>
      <c r="AG411" s="46" t="str">
        <f aca="false">IF($D411="Panel Details",IF($Z411="Primary",$J411,$L411),"")</f>
        <v/>
      </c>
      <c r="AH411" s="46" t="str">
        <f aca="false">IF($D411="Panel Details",IF($Z411="Primary",$L411,$J411),"")</f>
        <v/>
      </c>
      <c r="AI411" s="46" t="str">
        <f aca="false">IF($D411="Panel Details",'Survey Response'!$H409,"")</f>
        <v/>
      </c>
      <c r="AJ411" s="46" t="str">
        <f aca="false">IF($D411="Panel Details",'Survey Response'!$M409,"")</f>
        <v/>
      </c>
      <c r="AK411" s="46" t="str">
        <f aca="false">IF($D411="Panel Details",$O411,"")</f>
        <v/>
      </c>
      <c r="AL411" s="46" t="str">
        <f aca="false">IF($D411="Panel Details",8,"")</f>
        <v/>
      </c>
      <c r="AM411" s="46" t="str">
        <f aca="false">IF($D411="Panel Details",$AB411,"")</f>
        <v/>
      </c>
      <c r="AN411" s="46" t="str">
        <f aca="false">IF($D411="Panel Details","Yes","")</f>
        <v/>
      </c>
      <c r="AO411" s="46"/>
      <c r="AP411" s="46" t="str">
        <f aca="false">IF($D411="Followup",'Survey Response'!$D409,"")</f>
        <v/>
      </c>
      <c r="AQ411" s="46" t="str">
        <f aca="false">IF($D411="Followup",'Survey Response'!$E409,"")</f>
        <v/>
      </c>
      <c r="AR411" s="46" t="str">
        <f aca="false">IF($D411="Followup",'Survey Response'!$G409,"")</f>
        <v/>
      </c>
      <c r="AS411" s="46" t="str">
        <f aca="false">IF($D411="Followup",'Survey Response'!$H409,"")</f>
        <v/>
      </c>
      <c r="AT411" s="46" t="str">
        <f aca="false">IF($D411="Followup",'Survey Response'!$M409,"")</f>
        <v/>
      </c>
      <c r="AU411" s="46" t="str">
        <f aca="false">IF($D411="Followup",'Survey Response'!$K409,"")</f>
        <v/>
      </c>
      <c r="AV411" s="46" t="str">
        <f aca="false">IF($D411="Followup",'Survey Response'!$L409,"")</f>
        <v/>
      </c>
      <c r="AW411" s="46" t="str">
        <f aca="false">IF($D411="Followup",IF(AND($P411&lt;&gt;"Yes",$U411&lt;&gt;"Yes"),"Not approved for primary or secondary skill","Approved, but skill(s) no longer have capacity (fully staffed)"),"")</f>
        <v/>
      </c>
    </row>
    <row r="412" customFormat="false" ht="15" hidden="false" customHeight="true" outlineLevel="0" collapsed="false">
      <c r="A412" s="46" t="str">
        <f aca="false">IF('Survey Response'!$D410="","",'Survey Response'!$A410&amp;"|"&amp;LOWER(TRIM('Survey Response'!$D410)))</f>
        <v/>
      </c>
      <c r="B412" s="46" t="str">
        <f aca="false">IF($H412="","",$F412&amp;"|"&amp;$H412)</f>
        <v/>
      </c>
      <c r="C412" s="46" t="str">
        <f aca="false">IF($H412="","",$A412=$B412)</f>
        <v/>
      </c>
      <c r="D412" s="46" t="str">
        <f aca="false">IF($H412="","",IF($E412&lt;&gt;"Yes","Superseded",IF($I412&lt;&gt;"Yes, I'm available for in-person interviews at Chennai","Not Available",IF($Z412&lt;&gt;"","Panel Details","Followup"))))</f>
        <v/>
      </c>
      <c r="E412" s="46" t="str">
        <f aca="false">IF($H412="","",IF(SUMPRODUCT(($H$4:$H$503=$H412)*(($G$4:$G$503&gt;$G412)+($G$4:$G$503=$G412)*($F$4:$F$503&gt;$F412)))=0,"Yes","No"))</f>
        <v/>
      </c>
      <c r="F412" s="47" t="str">
        <f aca="false">IF('Survey Response'!$D410="","",INT('Survey Response'!$A410))</f>
        <v/>
      </c>
      <c r="G412" s="46" t="str">
        <f aca="false">IF('Survey Response'!$D410="","",'Survey Response'!$C410)</f>
        <v/>
      </c>
      <c r="H412" s="46" t="str">
        <f aca="false">IF('Survey Response'!$D410="","",LOWER(TRIM('Survey Response'!$D410)))</f>
        <v/>
      </c>
      <c r="I412" s="46" t="str">
        <f aca="false">IF($H412="","",'Survey Response'!$I410)</f>
        <v/>
      </c>
      <c r="J412" s="46" t="str">
        <f aca="false">IF($H412="","",'Survey Response'!$K410)</f>
        <v/>
      </c>
      <c r="K412" s="46" t="str">
        <f aca="false">IF($J412="","",IF(COUNTIF('Skill Mapping'!$A$2:$A$7,TRIM($J412))=0,"",INDEX('Skill Mapping'!$B$2:$B$7,MATCH(TRIM($J412),'Skill Mapping'!$A$2:$A$7,0))))</f>
        <v/>
      </c>
      <c r="L412" s="46" t="str">
        <f aca="false">IF($H412="","",'Survey Response'!$L410)</f>
        <v/>
      </c>
      <c r="M412" s="46" t="str">
        <f aca="false">IF($L412="","",IF(COUNTIF('Skill Mapping'!$A$2:$A$7,TRIM($L412))=0,"",INDEX('Skill Mapping'!$B$2:$B$7,MATCH(TRIM($L412),'Skill Mapping'!$A$2:$A$7,0))))</f>
        <v/>
      </c>
      <c r="N412" s="46" t="str">
        <f aca="false">IF($H412="","",'Survey Response'!$M410)</f>
        <v/>
      </c>
      <c r="O412" s="46" t="str">
        <f aca="false">IF($H412="","",IF('Survey Response'!$M410="Manager","R2","R1"))</f>
        <v/>
      </c>
      <c r="P412" s="46" t="str">
        <f aca="false">IF($K412="","No",IF(COUNTIFS(MasterPanel!$B:$B,$H412,MasterPanel!$I:$I,$K412,MasterPanel!$K:$K,"Y")&gt;0,"Yes","No"))</f>
        <v>No</v>
      </c>
      <c r="Q412" s="46" t="n">
        <f aca="false">IF($K412="",0,IF(COUNTIF('Gap Sheet'!$A$6:$A$11,TRIM($J412))=0,0,IF($O412="R1",INDEX('Gap Sheet'!$C$6:$C$11,MATCH(TRIM($J412),'Gap Sheet'!$A$6:$A$11,0)),INDEX('Gap Sheet'!$G$6:$G$11,MATCH(TRIM($J412),'Gap Sheet'!$A$6:$A$11,0)))))</f>
        <v>0</v>
      </c>
      <c r="R412" s="46" t="str">
        <f aca="false">IF($K412="","",$K412&amp;"|"&amp;$O412)</f>
        <v/>
      </c>
      <c r="S412" s="46" t="n">
        <f aca="false">IF($R412="",0,COUNTIF($AA$4:$AA411,$R412))</f>
        <v>0</v>
      </c>
      <c r="T412" s="46" t="str">
        <f aca="false">IF(OR($I412&lt;&gt;"Yes, I'm available for in-person interviews at Chennai",$E412&lt;&gt;"Yes",$P412&lt;&gt;"Yes"),"No",IF(($Q412-$S412)&gt;0,"Yes","No"))</f>
        <v>No</v>
      </c>
      <c r="U412" s="46" t="str">
        <f aca="false">IF($M412="","No",IF(COUNTIFS(MasterPanel!$B:$B,$H412,MasterPanel!$I:$I,$M412,MasterPanel!$K:$K,"Y")&gt;0,"Yes","No"))</f>
        <v>No</v>
      </c>
      <c r="V412" s="46" t="n">
        <f aca="false">IF($M412="",0,IF(COUNTIF('Gap Sheet'!$A$6:$A$11,TRIM($L412))=0,0,IF($O412="R1",INDEX('Gap Sheet'!$C$6:$C$11,MATCH(TRIM($L412),'Gap Sheet'!$A$6:$A$11,0)),INDEX('Gap Sheet'!$G$6:$G$11,MATCH(TRIM($L412),'Gap Sheet'!$A$6:$A$11,0)))))</f>
        <v>0</v>
      </c>
      <c r="W412" s="46" t="str">
        <f aca="false">IF($M412="","",$M412&amp;"|"&amp;$O412)</f>
        <v/>
      </c>
      <c r="X412" s="46" t="n">
        <f aca="false">IF($W412="",0,COUNTIF($AA$4:$AA411,$W412))</f>
        <v>0</v>
      </c>
      <c r="Y412" s="46" t="str">
        <f aca="false">IF(OR($I412&lt;&gt;"Yes, I'm available for in-person interviews at Chennai",$E412&lt;&gt;"Yes",$T412="Yes",$U412&lt;&gt;"Yes"),"No",IF(($V412-$X412)&gt;0,"Yes","No"))</f>
        <v>No</v>
      </c>
      <c r="Z412" s="46" t="str">
        <f aca="false">IF($T412="Yes","Primary",IF($Y412="Yes","Secondary",""))</f>
        <v/>
      </c>
      <c r="AA412" s="46" t="str">
        <f aca="false">IF($Z412="Primary",$R412,IF($Z412="Secondary",$W412,""))</f>
        <v/>
      </c>
      <c r="AB412" s="46" t="str">
        <f aca="false">IF($Z412="Primary","Matched on primary skill",IF($Z412="Secondary","Matched on secondary skill (primary not approved or not required)",""))</f>
        <v/>
      </c>
      <c r="AC412" s="47" t="str">
        <f aca="false">IF($D412="Panel Details",$F412,"")</f>
        <v/>
      </c>
      <c r="AD412" s="46" t="str">
        <f aca="false">IF($D412="Panel Details",'Survey Response'!$D410,"")</f>
        <v/>
      </c>
      <c r="AE412" s="46" t="str">
        <f aca="false">IF($D412="Panel Details",'Survey Response'!$E410,"")</f>
        <v/>
      </c>
      <c r="AF412" s="46" t="str">
        <f aca="false">IF($D412="Panel Details",'Survey Response'!$G410,"")</f>
        <v/>
      </c>
      <c r="AG412" s="46" t="str">
        <f aca="false">IF($D412="Panel Details",IF($Z412="Primary",$J412,$L412),"")</f>
        <v/>
      </c>
      <c r="AH412" s="46" t="str">
        <f aca="false">IF($D412="Panel Details",IF($Z412="Primary",$L412,$J412),"")</f>
        <v/>
      </c>
      <c r="AI412" s="46" t="str">
        <f aca="false">IF($D412="Panel Details",'Survey Response'!$H410,"")</f>
        <v/>
      </c>
      <c r="AJ412" s="46" t="str">
        <f aca="false">IF($D412="Panel Details",'Survey Response'!$M410,"")</f>
        <v/>
      </c>
      <c r="AK412" s="46" t="str">
        <f aca="false">IF($D412="Panel Details",$O412,"")</f>
        <v/>
      </c>
      <c r="AL412" s="46" t="str">
        <f aca="false">IF($D412="Panel Details",8,"")</f>
        <v/>
      </c>
      <c r="AM412" s="46" t="str">
        <f aca="false">IF($D412="Panel Details",$AB412,"")</f>
        <v/>
      </c>
      <c r="AN412" s="46" t="str">
        <f aca="false">IF($D412="Panel Details","Yes","")</f>
        <v/>
      </c>
      <c r="AO412" s="46"/>
      <c r="AP412" s="46" t="str">
        <f aca="false">IF($D412="Followup",'Survey Response'!$D410,"")</f>
        <v/>
      </c>
      <c r="AQ412" s="46" t="str">
        <f aca="false">IF($D412="Followup",'Survey Response'!$E410,"")</f>
        <v/>
      </c>
      <c r="AR412" s="46" t="str">
        <f aca="false">IF($D412="Followup",'Survey Response'!$G410,"")</f>
        <v/>
      </c>
      <c r="AS412" s="46" t="str">
        <f aca="false">IF($D412="Followup",'Survey Response'!$H410,"")</f>
        <v/>
      </c>
      <c r="AT412" s="46" t="str">
        <f aca="false">IF($D412="Followup",'Survey Response'!$M410,"")</f>
        <v/>
      </c>
      <c r="AU412" s="46" t="str">
        <f aca="false">IF($D412="Followup",'Survey Response'!$K410,"")</f>
        <v/>
      </c>
      <c r="AV412" s="46" t="str">
        <f aca="false">IF($D412="Followup",'Survey Response'!$L410,"")</f>
        <v/>
      </c>
      <c r="AW412" s="46" t="str">
        <f aca="false">IF($D412="Followup",IF(AND($P412&lt;&gt;"Yes",$U412&lt;&gt;"Yes"),"Not approved for primary or secondary skill","Approved, but skill(s) no longer have capacity (fully staffed)"),"")</f>
        <v/>
      </c>
    </row>
    <row r="413" customFormat="false" ht="15" hidden="false" customHeight="true" outlineLevel="0" collapsed="false">
      <c r="A413" s="46" t="str">
        <f aca="false">IF('Survey Response'!$D411="","",'Survey Response'!$A411&amp;"|"&amp;LOWER(TRIM('Survey Response'!$D411)))</f>
        <v/>
      </c>
      <c r="B413" s="46" t="str">
        <f aca="false">IF($H413="","",$F413&amp;"|"&amp;$H413)</f>
        <v/>
      </c>
      <c r="C413" s="46" t="str">
        <f aca="false">IF($H413="","",$A413=$B413)</f>
        <v/>
      </c>
      <c r="D413" s="46" t="str">
        <f aca="false">IF($H413="","",IF($E413&lt;&gt;"Yes","Superseded",IF($I413&lt;&gt;"Yes, I'm available for in-person interviews at Chennai","Not Available",IF($Z413&lt;&gt;"","Panel Details","Followup"))))</f>
        <v/>
      </c>
      <c r="E413" s="46" t="str">
        <f aca="false">IF($H413="","",IF(SUMPRODUCT(($H$4:$H$503=$H413)*(($G$4:$G$503&gt;$G413)+($G$4:$G$503=$G413)*($F$4:$F$503&gt;$F413)))=0,"Yes","No"))</f>
        <v/>
      </c>
      <c r="F413" s="47" t="str">
        <f aca="false">IF('Survey Response'!$D411="","",INT('Survey Response'!$A411))</f>
        <v/>
      </c>
      <c r="G413" s="46" t="str">
        <f aca="false">IF('Survey Response'!$D411="","",'Survey Response'!$C411)</f>
        <v/>
      </c>
      <c r="H413" s="46" t="str">
        <f aca="false">IF('Survey Response'!$D411="","",LOWER(TRIM('Survey Response'!$D411)))</f>
        <v/>
      </c>
      <c r="I413" s="46" t="str">
        <f aca="false">IF($H413="","",'Survey Response'!$I411)</f>
        <v/>
      </c>
      <c r="J413" s="46" t="str">
        <f aca="false">IF($H413="","",'Survey Response'!$K411)</f>
        <v/>
      </c>
      <c r="K413" s="46" t="str">
        <f aca="false">IF($J413="","",IF(COUNTIF('Skill Mapping'!$A$2:$A$7,TRIM($J413))=0,"",INDEX('Skill Mapping'!$B$2:$B$7,MATCH(TRIM($J413),'Skill Mapping'!$A$2:$A$7,0))))</f>
        <v/>
      </c>
      <c r="L413" s="46" t="str">
        <f aca="false">IF($H413="","",'Survey Response'!$L411)</f>
        <v/>
      </c>
      <c r="M413" s="46" t="str">
        <f aca="false">IF($L413="","",IF(COUNTIF('Skill Mapping'!$A$2:$A$7,TRIM($L413))=0,"",INDEX('Skill Mapping'!$B$2:$B$7,MATCH(TRIM($L413),'Skill Mapping'!$A$2:$A$7,0))))</f>
        <v/>
      </c>
      <c r="N413" s="46" t="str">
        <f aca="false">IF($H413="","",'Survey Response'!$M411)</f>
        <v/>
      </c>
      <c r="O413" s="46" t="str">
        <f aca="false">IF($H413="","",IF('Survey Response'!$M411="Manager","R2","R1"))</f>
        <v/>
      </c>
      <c r="P413" s="46" t="str">
        <f aca="false">IF($K413="","No",IF(COUNTIFS(MasterPanel!$B:$B,$H413,MasterPanel!$I:$I,$K413,MasterPanel!$K:$K,"Y")&gt;0,"Yes","No"))</f>
        <v>No</v>
      </c>
      <c r="Q413" s="46" t="n">
        <f aca="false">IF($K413="",0,IF(COUNTIF('Gap Sheet'!$A$6:$A$11,TRIM($J413))=0,0,IF($O413="R1",INDEX('Gap Sheet'!$C$6:$C$11,MATCH(TRIM($J413),'Gap Sheet'!$A$6:$A$11,0)),INDEX('Gap Sheet'!$G$6:$G$11,MATCH(TRIM($J413),'Gap Sheet'!$A$6:$A$11,0)))))</f>
        <v>0</v>
      </c>
      <c r="R413" s="46" t="str">
        <f aca="false">IF($K413="","",$K413&amp;"|"&amp;$O413)</f>
        <v/>
      </c>
      <c r="S413" s="46" t="n">
        <f aca="false">IF($R413="",0,COUNTIF($AA$4:$AA412,$R413))</f>
        <v>0</v>
      </c>
      <c r="T413" s="46" t="str">
        <f aca="false">IF(OR($I413&lt;&gt;"Yes, I'm available for in-person interviews at Chennai",$E413&lt;&gt;"Yes",$P413&lt;&gt;"Yes"),"No",IF(($Q413-$S413)&gt;0,"Yes","No"))</f>
        <v>No</v>
      </c>
      <c r="U413" s="46" t="str">
        <f aca="false">IF($M413="","No",IF(COUNTIFS(MasterPanel!$B:$B,$H413,MasterPanel!$I:$I,$M413,MasterPanel!$K:$K,"Y")&gt;0,"Yes","No"))</f>
        <v>No</v>
      </c>
      <c r="V413" s="46" t="n">
        <f aca="false">IF($M413="",0,IF(COUNTIF('Gap Sheet'!$A$6:$A$11,TRIM($L413))=0,0,IF($O413="R1",INDEX('Gap Sheet'!$C$6:$C$11,MATCH(TRIM($L413),'Gap Sheet'!$A$6:$A$11,0)),INDEX('Gap Sheet'!$G$6:$G$11,MATCH(TRIM($L413),'Gap Sheet'!$A$6:$A$11,0)))))</f>
        <v>0</v>
      </c>
      <c r="W413" s="46" t="str">
        <f aca="false">IF($M413="","",$M413&amp;"|"&amp;$O413)</f>
        <v/>
      </c>
      <c r="X413" s="46" t="n">
        <f aca="false">IF($W413="",0,COUNTIF($AA$4:$AA412,$W413))</f>
        <v>0</v>
      </c>
      <c r="Y413" s="46" t="str">
        <f aca="false">IF(OR($I413&lt;&gt;"Yes, I'm available for in-person interviews at Chennai",$E413&lt;&gt;"Yes",$T413="Yes",$U413&lt;&gt;"Yes"),"No",IF(($V413-$X413)&gt;0,"Yes","No"))</f>
        <v>No</v>
      </c>
      <c r="Z413" s="46" t="str">
        <f aca="false">IF($T413="Yes","Primary",IF($Y413="Yes","Secondary",""))</f>
        <v/>
      </c>
      <c r="AA413" s="46" t="str">
        <f aca="false">IF($Z413="Primary",$R413,IF($Z413="Secondary",$W413,""))</f>
        <v/>
      </c>
      <c r="AB413" s="46" t="str">
        <f aca="false">IF($Z413="Primary","Matched on primary skill",IF($Z413="Secondary","Matched on secondary skill (primary not approved or not required)",""))</f>
        <v/>
      </c>
      <c r="AC413" s="47" t="str">
        <f aca="false">IF($D413="Panel Details",$F413,"")</f>
        <v/>
      </c>
      <c r="AD413" s="46" t="str">
        <f aca="false">IF($D413="Panel Details",'Survey Response'!$D411,"")</f>
        <v/>
      </c>
      <c r="AE413" s="46" t="str">
        <f aca="false">IF($D413="Panel Details",'Survey Response'!$E411,"")</f>
        <v/>
      </c>
      <c r="AF413" s="46" t="str">
        <f aca="false">IF($D413="Panel Details",'Survey Response'!$G411,"")</f>
        <v/>
      </c>
      <c r="AG413" s="46" t="str">
        <f aca="false">IF($D413="Panel Details",IF($Z413="Primary",$J413,$L413),"")</f>
        <v/>
      </c>
      <c r="AH413" s="46" t="str">
        <f aca="false">IF($D413="Panel Details",IF($Z413="Primary",$L413,$J413),"")</f>
        <v/>
      </c>
      <c r="AI413" s="46" t="str">
        <f aca="false">IF($D413="Panel Details",'Survey Response'!$H411,"")</f>
        <v/>
      </c>
      <c r="AJ413" s="46" t="str">
        <f aca="false">IF($D413="Panel Details",'Survey Response'!$M411,"")</f>
        <v/>
      </c>
      <c r="AK413" s="46" t="str">
        <f aca="false">IF($D413="Panel Details",$O413,"")</f>
        <v/>
      </c>
      <c r="AL413" s="46" t="str">
        <f aca="false">IF($D413="Panel Details",8,"")</f>
        <v/>
      </c>
      <c r="AM413" s="46" t="str">
        <f aca="false">IF($D413="Panel Details",$AB413,"")</f>
        <v/>
      </c>
      <c r="AN413" s="46" t="str">
        <f aca="false">IF($D413="Panel Details","Yes","")</f>
        <v/>
      </c>
      <c r="AO413" s="46"/>
      <c r="AP413" s="46" t="str">
        <f aca="false">IF($D413="Followup",'Survey Response'!$D411,"")</f>
        <v/>
      </c>
      <c r="AQ413" s="46" t="str">
        <f aca="false">IF($D413="Followup",'Survey Response'!$E411,"")</f>
        <v/>
      </c>
      <c r="AR413" s="46" t="str">
        <f aca="false">IF($D413="Followup",'Survey Response'!$G411,"")</f>
        <v/>
      </c>
      <c r="AS413" s="46" t="str">
        <f aca="false">IF($D413="Followup",'Survey Response'!$H411,"")</f>
        <v/>
      </c>
      <c r="AT413" s="46" t="str">
        <f aca="false">IF($D413="Followup",'Survey Response'!$M411,"")</f>
        <v/>
      </c>
      <c r="AU413" s="46" t="str">
        <f aca="false">IF($D413="Followup",'Survey Response'!$K411,"")</f>
        <v/>
      </c>
      <c r="AV413" s="46" t="str">
        <f aca="false">IF($D413="Followup",'Survey Response'!$L411,"")</f>
        <v/>
      </c>
      <c r="AW413" s="46" t="str">
        <f aca="false">IF($D413="Followup",IF(AND($P413&lt;&gt;"Yes",$U413&lt;&gt;"Yes"),"Not approved for primary or secondary skill","Approved, but skill(s) no longer have capacity (fully staffed)"),"")</f>
        <v/>
      </c>
    </row>
    <row r="414" customFormat="false" ht="15" hidden="false" customHeight="true" outlineLevel="0" collapsed="false">
      <c r="A414" s="46" t="str">
        <f aca="false">IF('Survey Response'!$D412="","",'Survey Response'!$A412&amp;"|"&amp;LOWER(TRIM('Survey Response'!$D412)))</f>
        <v/>
      </c>
      <c r="B414" s="46" t="str">
        <f aca="false">IF($H414="","",$F414&amp;"|"&amp;$H414)</f>
        <v/>
      </c>
      <c r="C414" s="46" t="str">
        <f aca="false">IF($H414="","",$A414=$B414)</f>
        <v/>
      </c>
      <c r="D414" s="46" t="str">
        <f aca="false">IF($H414="","",IF($E414&lt;&gt;"Yes","Superseded",IF($I414&lt;&gt;"Yes, I'm available for in-person interviews at Chennai","Not Available",IF($Z414&lt;&gt;"","Panel Details","Followup"))))</f>
        <v/>
      </c>
      <c r="E414" s="46" t="str">
        <f aca="false">IF($H414="","",IF(SUMPRODUCT(($H$4:$H$503=$H414)*(($G$4:$G$503&gt;$G414)+($G$4:$G$503=$G414)*($F$4:$F$503&gt;$F414)))=0,"Yes","No"))</f>
        <v/>
      </c>
      <c r="F414" s="47" t="str">
        <f aca="false">IF('Survey Response'!$D412="","",INT('Survey Response'!$A412))</f>
        <v/>
      </c>
      <c r="G414" s="46" t="str">
        <f aca="false">IF('Survey Response'!$D412="","",'Survey Response'!$C412)</f>
        <v/>
      </c>
      <c r="H414" s="46" t="str">
        <f aca="false">IF('Survey Response'!$D412="","",LOWER(TRIM('Survey Response'!$D412)))</f>
        <v/>
      </c>
      <c r="I414" s="46" t="str">
        <f aca="false">IF($H414="","",'Survey Response'!$I412)</f>
        <v/>
      </c>
      <c r="J414" s="46" t="str">
        <f aca="false">IF($H414="","",'Survey Response'!$K412)</f>
        <v/>
      </c>
      <c r="K414" s="46" t="str">
        <f aca="false">IF($J414="","",IF(COUNTIF('Skill Mapping'!$A$2:$A$7,TRIM($J414))=0,"",INDEX('Skill Mapping'!$B$2:$B$7,MATCH(TRIM($J414),'Skill Mapping'!$A$2:$A$7,0))))</f>
        <v/>
      </c>
      <c r="L414" s="46" t="str">
        <f aca="false">IF($H414="","",'Survey Response'!$L412)</f>
        <v/>
      </c>
      <c r="M414" s="46" t="str">
        <f aca="false">IF($L414="","",IF(COUNTIF('Skill Mapping'!$A$2:$A$7,TRIM($L414))=0,"",INDEX('Skill Mapping'!$B$2:$B$7,MATCH(TRIM($L414),'Skill Mapping'!$A$2:$A$7,0))))</f>
        <v/>
      </c>
      <c r="N414" s="46" t="str">
        <f aca="false">IF($H414="","",'Survey Response'!$M412)</f>
        <v/>
      </c>
      <c r="O414" s="46" t="str">
        <f aca="false">IF($H414="","",IF('Survey Response'!$M412="Manager","R2","R1"))</f>
        <v/>
      </c>
      <c r="P414" s="46" t="str">
        <f aca="false">IF($K414="","No",IF(COUNTIFS(MasterPanel!$B:$B,$H414,MasterPanel!$I:$I,$K414,MasterPanel!$K:$K,"Y")&gt;0,"Yes","No"))</f>
        <v>No</v>
      </c>
      <c r="Q414" s="46" t="n">
        <f aca="false">IF($K414="",0,IF(COUNTIF('Gap Sheet'!$A$6:$A$11,TRIM($J414))=0,0,IF($O414="R1",INDEX('Gap Sheet'!$C$6:$C$11,MATCH(TRIM($J414),'Gap Sheet'!$A$6:$A$11,0)),INDEX('Gap Sheet'!$G$6:$G$11,MATCH(TRIM($J414),'Gap Sheet'!$A$6:$A$11,0)))))</f>
        <v>0</v>
      </c>
      <c r="R414" s="46" t="str">
        <f aca="false">IF($K414="","",$K414&amp;"|"&amp;$O414)</f>
        <v/>
      </c>
      <c r="S414" s="46" t="n">
        <f aca="false">IF($R414="",0,COUNTIF($AA$4:$AA413,$R414))</f>
        <v>0</v>
      </c>
      <c r="T414" s="46" t="str">
        <f aca="false">IF(OR($I414&lt;&gt;"Yes, I'm available for in-person interviews at Chennai",$E414&lt;&gt;"Yes",$P414&lt;&gt;"Yes"),"No",IF(($Q414-$S414)&gt;0,"Yes","No"))</f>
        <v>No</v>
      </c>
      <c r="U414" s="46" t="str">
        <f aca="false">IF($M414="","No",IF(COUNTIFS(MasterPanel!$B:$B,$H414,MasterPanel!$I:$I,$M414,MasterPanel!$K:$K,"Y")&gt;0,"Yes","No"))</f>
        <v>No</v>
      </c>
      <c r="V414" s="46" t="n">
        <f aca="false">IF($M414="",0,IF(COUNTIF('Gap Sheet'!$A$6:$A$11,TRIM($L414))=0,0,IF($O414="R1",INDEX('Gap Sheet'!$C$6:$C$11,MATCH(TRIM($L414),'Gap Sheet'!$A$6:$A$11,0)),INDEX('Gap Sheet'!$G$6:$G$11,MATCH(TRIM($L414),'Gap Sheet'!$A$6:$A$11,0)))))</f>
        <v>0</v>
      </c>
      <c r="W414" s="46" t="str">
        <f aca="false">IF($M414="","",$M414&amp;"|"&amp;$O414)</f>
        <v/>
      </c>
      <c r="X414" s="46" t="n">
        <f aca="false">IF($W414="",0,COUNTIF($AA$4:$AA413,$W414))</f>
        <v>0</v>
      </c>
      <c r="Y414" s="46" t="str">
        <f aca="false">IF(OR($I414&lt;&gt;"Yes, I'm available for in-person interviews at Chennai",$E414&lt;&gt;"Yes",$T414="Yes",$U414&lt;&gt;"Yes"),"No",IF(($V414-$X414)&gt;0,"Yes","No"))</f>
        <v>No</v>
      </c>
      <c r="Z414" s="46" t="str">
        <f aca="false">IF($T414="Yes","Primary",IF($Y414="Yes","Secondary",""))</f>
        <v/>
      </c>
      <c r="AA414" s="46" t="str">
        <f aca="false">IF($Z414="Primary",$R414,IF($Z414="Secondary",$W414,""))</f>
        <v/>
      </c>
      <c r="AB414" s="46" t="str">
        <f aca="false">IF($Z414="Primary","Matched on primary skill",IF($Z414="Secondary","Matched on secondary skill (primary not approved or not required)",""))</f>
        <v/>
      </c>
      <c r="AC414" s="47" t="str">
        <f aca="false">IF($D414="Panel Details",$F414,"")</f>
        <v/>
      </c>
      <c r="AD414" s="46" t="str">
        <f aca="false">IF($D414="Panel Details",'Survey Response'!$D412,"")</f>
        <v/>
      </c>
      <c r="AE414" s="46" t="str">
        <f aca="false">IF($D414="Panel Details",'Survey Response'!$E412,"")</f>
        <v/>
      </c>
      <c r="AF414" s="46" t="str">
        <f aca="false">IF($D414="Panel Details",'Survey Response'!$G412,"")</f>
        <v/>
      </c>
      <c r="AG414" s="46" t="str">
        <f aca="false">IF($D414="Panel Details",IF($Z414="Primary",$J414,$L414),"")</f>
        <v/>
      </c>
      <c r="AH414" s="46" t="str">
        <f aca="false">IF($D414="Panel Details",IF($Z414="Primary",$L414,$J414),"")</f>
        <v/>
      </c>
      <c r="AI414" s="46" t="str">
        <f aca="false">IF($D414="Panel Details",'Survey Response'!$H412,"")</f>
        <v/>
      </c>
      <c r="AJ414" s="46" t="str">
        <f aca="false">IF($D414="Panel Details",'Survey Response'!$M412,"")</f>
        <v/>
      </c>
      <c r="AK414" s="46" t="str">
        <f aca="false">IF($D414="Panel Details",$O414,"")</f>
        <v/>
      </c>
      <c r="AL414" s="46" t="str">
        <f aca="false">IF($D414="Panel Details",8,"")</f>
        <v/>
      </c>
      <c r="AM414" s="46" t="str">
        <f aca="false">IF($D414="Panel Details",$AB414,"")</f>
        <v/>
      </c>
      <c r="AN414" s="46" t="str">
        <f aca="false">IF($D414="Panel Details","Yes","")</f>
        <v/>
      </c>
      <c r="AO414" s="46"/>
      <c r="AP414" s="46" t="str">
        <f aca="false">IF($D414="Followup",'Survey Response'!$D412,"")</f>
        <v/>
      </c>
      <c r="AQ414" s="46" t="str">
        <f aca="false">IF($D414="Followup",'Survey Response'!$E412,"")</f>
        <v/>
      </c>
      <c r="AR414" s="46" t="str">
        <f aca="false">IF($D414="Followup",'Survey Response'!$G412,"")</f>
        <v/>
      </c>
      <c r="AS414" s="46" t="str">
        <f aca="false">IF($D414="Followup",'Survey Response'!$H412,"")</f>
        <v/>
      </c>
      <c r="AT414" s="46" t="str">
        <f aca="false">IF($D414="Followup",'Survey Response'!$M412,"")</f>
        <v/>
      </c>
      <c r="AU414" s="46" t="str">
        <f aca="false">IF($D414="Followup",'Survey Response'!$K412,"")</f>
        <v/>
      </c>
      <c r="AV414" s="46" t="str">
        <f aca="false">IF($D414="Followup",'Survey Response'!$L412,"")</f>
        <v/>
      </c>
      <c r="AW414" s="46" t="str">
        <f aca="false">IF($D414="Followup",IF(AND($P414&lt;&gt;"Yes",$U414&lt;&gt;"Yes"),"Not approved for primary or secondary skill","Approved, but skill(s) no longer have capacity (fully staffed)"),"")</f>
        <v/>
      </c>
    </row>
    <row r="415" customFormat="false" ht="15" hidden="false" customHeight="true" outlineLevel="0" collapsed="false">
      <c r="A415" s="46" t="str">
        <f aca="false">IF('Survey Response'!$D413="","",'Survey Response'!$A413&amp;"|"&amp;LOWER(TRIM('Survey Response'!$D413)))</f>
        <v/>
      </c>
      <c r="B415" s="46" t="str">
        <f aca="false">IF($H415="","",$F415&amp;"|"&amp;$H415)</f>
        <v/>
      </c>
      <c r="C415" s="46" t="str">
        <f aca="false">IF($H415="","",$A415=$B415)</f>
        <v/>
      </c>
      <c r="D415" s="46" t="str">
        <f aca="false">IF($H415="","",IF($E415&lt;&gt;"Yes","Superseded",IF($I415&lt;&gt;"Yes, I'm available for in-person interviews at Chennai","Not Available",IF($Z415&lt;&gt;"","Panel Details","Followup"))))</f>
        <v/>
      </c>
      <c r="E415" s="46" t="str">
        <f aca="false">IF($H415="","",IF(SUMPRODUCT(($H$4:$H$503=$H415)*(($G$4:$G$503&gt;$G415)+($G$4:$G$503=$G415)*($F$4:$F$503&gt;$F415)))=0,"Yes","No"))</f>
        <v/>
      </c>
      <c r="F415" s="47" t="str">
        <f aca="false">IF('Survey Response'!$D413="","",INT('Survey Response'!$A413))</f>
        <v/>
      </c>
      <c r="G415" s="46" t="str">
        <f aca="false">IF('Survey Response'!$D413="","",'Survey Response'!$C413)</f>
        <v/>
      </c>
      <c r="H415" s="46" t="str">
        <f aca="false">IF('Survey Response'!$D413="","",LOWER(TRIM('Survey Response'!$D413)))</f>
        <v/>
      </c>
      <c r="I415" s="46" t="str">
        <f aca="false">IF($H415="","",'Survey Response'!$I413)</f>
        <v/>
      </c>
      <c r="J415" s="46" t="str">
        <f aca="false">IF($H415="","",'Survey Response'!$K413)</f>
        <v/>
      </c>
      <c r="K415" s="46" t="str">
        <f aca="false">IF($J415="","",IF(COUNTIF('Skill Mapping'!$A$2:$A$7,TRIM($J415))=0,"",INDEX('Skill Mapping'!$B$2:$B$7,MATCH(TRIM($J415),'Skill Mapping'!$A$2:$A$7,0))))</f>
        <v/>
      </c>
      <c r="L415" s="46" t="str">
        <f aca="false">IF($H415="","",'Survey Response'!$L413)</f>
        <v/>
      </c>
      <c r="M415" s="46" t="str">
        <f aca="false">IF($L415="","",IF(COUNTIF('Skill Mapping'!$A$2:$A$7,TRIM($L415))=0,"",INDEX('Skill Mapping'!$B$2:$B$7,MATCH(TRIM($L415),'Skill Mapping'!$A$2:$A$7,0))))</f>
        <v/>
      </c>
      <c r="N415" s="46" t="str">
        <f aca="false">IF($H415="","",'Survey Response'!$M413)</f>
        <v/>
      </c>
      <c r="O415" s="46" t="str">
        <f aca="false">IF($H415="","",IF('Survey Response'!$M413="Manager","R2","R1"))</f>
        <v/>
      </c>
      <c r="P415" s="46" t="str">
        <f aca="false">IF($K415="","No",IF(COUNTIFS(MasterPanel!$B:$B,$H415,MasterPanel!$I:$I,$K415,MasterPanel!$K:$K,"Y")&gt;0,"Yes","No"))</f>
        <v>No</v>
      </c>
      <c r="Q415" s="46" t="n">
        <f aca="false">IF($K415="",0,IF(COUNTIF('Gap Sheet'!$A$6:$A$11,TRIM($J415))=0,0,IF($O415="R1",INDEX('Gap Sheet'!$C$6:$C$11,MATCH(TRIM($J415),'Gap Sheet'!$A$6:$A$11,0)),INDEX('Gap Sheet'!$G$6:$G$11,MATCH(TRIM($J415),'Gap Sheet'!$A$6:$A$11,0)))))</f>
        <v>0</v>
      </c>
      <c r="R415" s="46" t="str">
        <f aca="false">IF($K415="","",$K415&amp;"|"&amp;$O415)</f>
        <v/>
      </c>
      <c r="S415" s="46" t="n">
        <f aca="false">IF($R415="",0,COUNTIF($AA$4:$AA414,$R415))</f>
        <v>0</v>
      </c>
      <c r="T415" s="46" t="str">
        <f aca="false">IF(OR($I415&lt;&gt;"Yes, I'm available for in-person interviews at Chennai",$E415&lt;&gt;"Yes",$P415&lt;&gt;"Yes"),"No",IF(($Q415-$S415)&gt;0,"Yes","No"))</f>
        <v>No</v>
      </c>
      <c r="U415" s="46" t="str">
        <f aca="false">IF($M415="","No",IF(COUNTIFS(MasterPanel!$B:$B,$H415,MasterPanel!$I:$I,$M415,MasterPanel!$K:$K,"Y")&gt;0,"Yes","No"))</f>
        <v>No</v>
      </c>
      <c r="V415" s="46" t="n">
        <f aca="false">IF($M415="",0,IF(COUNTIF('Gap Sheet'!$A$6:$A$11,TRIM($L415))=0,0,IF($O415="R1",INDEX('Gap Sheet'!$C$6:$C$11,MATCH(TRIM($L415),'Gap Sheet'!$A$6:$A$11,0)),INDEX('Gap Sheet'!$G$6:$G$11,MATCH(TRIM($L415),'Gap Sheet'!$A$6:$A$11,0)))))</f>
        <v>0</v>
      </c>
      <c r="W415" s="46" t="str">
        <f aca="false">IF($M415="","",$M415&amp;"|"&amp;$O415)</f>
        <v/>
      </c>
      <c r="X415" s="46" t="n">
        <f aca="false">IF($W415="",0,COUNTIF($AA$4:$AA414,$W415))</f>
        <v>0</v>
      </c>
      <c r="Y415" s="46" t="str">
        <f aca="false">IF(OR($I415&lt;&gt;"Yes, I'm available for in-person interviews at Chennai",$E415&lt;&gt;"Yes",$T415="Yes",$U415&lt;&gt;"Yes"),"No",IF(($V415-$X415)&gt;0,"Yes","No"))</f>
        <v>No</v>
      </c>
      <c r="Z415" s="46" t="str">
        <f aca="false">IF($T415="Yes","Primary",IF($Y415="Yes","Secondary",""))</f>
        <v/>
      </c>
      <c r="AA415" s="46" t="str">
        <f aca="false">IF($Z415="Primary",$R415,IF($Z415="Secondary",$W415,""))</f>
        <v/>
      </c>
      <c r="AB415" s="46" t="str">
        <f aca="false">IF($Z415="Primary","Matched on primary skill",IF($Z415="Secondary","Matched on secondary skill (primary not approved or not required)",""))</f>
        <v/>
      </c>
      <c r="AC415" s="47" t="str">
        <f aca="false">IF($D415="Panel Details",$F415,"")</f>
        <v/>
      </c>
      <c r="AD415" s="46" t="str">
        <f aca="false">IF($D415="Panel Details",'Survey Response'!$D413,"")</f>
        <v/>
      </c>
      <c r="AE415" s="46" t="str">
        <f aca="false">IF($D415="Panel Details",'Survey Response'!$E413,"")</f>
        <v/>
      </c>
      <c r="AF415" s="46" t="str">
        <f aca="false">IF($D415="Panel Details",'Survey Response'!$G413,"")</f>
        <v/>
      </c>
      <c r="AG415" s="46" t="str">
        <f aca="false">IF($D415="Panel Details",IF($Z415="Primary",$J415,$L415),"")</f>
        <v/>
      </c>
      <c r="AH415" s="46" t="str">
        <f aca="false">IF($D415="Panel Details",IF($Z415="Primary",$L415,$J415),"")</f>
        <v/>
      </c>
      <c r="AI415" s="46" t="str">
        <f aca="false">IF($D415="Panel Details",'Survey Response'!$H413,"")</f>
        <v/>
      </c>
      <c r="AJ415" s="46" t="str">
        <f aca="false">IF($D415="Panel Details",'Survey Response'!$M413,"")</f>
        <v/>
      </c>
      <c r="AK415" s="46" t="str">
        <f aca="false">IF($D415="Panel Details",$O415,"")</f>
        <v/>
      </c>
      <c r="AL415" s="46" t="str">
        <f aca="false">IF($D415="Panel Details",8,"")</f>
        <v/>
      </c>
      <c r="AM415" s="46" t="str">
        <f aca="false">IF($D415="Panel Details",$AB415,"")</f>
        <v/>
      </c>
      <c r="AN415" s="46" t="str">
        <f aca="false">IF($D415="Panel Details","Yes","")</f>
        <v/>
      </c>
      <c r="AO415" s="46"/>
      <c r="AP415" s="46" t="str">
        <f aca="false">IF($D415="Followup",'Survey Response'!$D413,"")</f>
        <v/>
      </c>
      <c r="AQ415" s="46" t="str">
        <f aca="false">IF($D415="Followup",'Survey Response'!$E413,"")</f>
        <v/>
      </c>
      <c r="AR415" s="46" t="str">
        <f aca="false">IF($D415="Followup",'Survey Response'!$G413,"")</f>
        <v/>
      </c>
      <c r="AS415" s="46" t="str">
        <f aca="false">IF($D415="Followup",'Survey Response'!$H413,"")</f>
        <v/>
      </c>
      <c r="AT415" s="46" t="str">
        <f aca="false">IF($D415="Followup",'Survey Response'!$M413,"")</f>
        <v/>
      </c>
      <c r="AU415" s="46" t="str">
        <f aca="false">IF($D415="Followup",'Survey Response'!$K413,"")</f>
        <v/>
      </c>
      <c r="AV415" s="46" t="str">
        <f aca="false">IF($D415="Followup",'Survey Response'!$L413,"")</f>
        <v/>
      </c>
      <c r="AW415" s="46" t="str">
        <f aca="false">IF($D415="Followup",IF(AND($P415&lt;&gt;"Yes",$U415&lt;&gt;"Yes"),"Not approved for primary or secondary skill","Approved, but skill(s) no longer have capacity (fully staffed)"),"")</f>
        <v/>
      </c>
    </row>
    <row r="416" customFormat="false" ht="15" hidden="false" customHeight="true" outlineLevel="0" collapsed="false">
      <c r="A416" s="46" t="str">
        <f aca="false">IF('Survey Response'!$D414="","",'Survey Response'!$A414&amp;"|"&amp;LOWER(TRIM('Survey Response'!$D414)))</f>
        <v/>
      </c>
      <c r="B416" s="46" t="str">
        <f aca="false">IF($H416="","",$F416&amp;"|"&amp;$H416)</f>
        <v/>
      </c>
      <c r="C416" s="46" t="str">
        <f aca="false">IF($H416="","",$A416=$B416)</f>
        <v/>
      </c>
      <c r="D416" s="46" t="str">
        <f aca="false">IF($H416="","",IF($E416&lt;&gt;"Yes","Superseded",IF($I416&lt;&gt;"Yes, I'm available for in-person interviews at Chennai","Not Available",IF($Z416&lt;&gt;"","Panel Details","Followup"))))</f>
        <v/>
      </c>
      <c r="E416" s="46" t="str">
        <f aca="false">IF($H416="","",IF(SUMPRODUCT(($H$4:$H$503=$H416)*(($G$4:$G$503&gt;$G416)+($G$4:$G$503=$G416)*($F$4:$F$503&gt;$F416)))=0,"Yes","No"))</f>
        <v/>
      </c>
      <c r="F416" s="47" t="str">
        <f aca="false">IF('Survey Response'!$D414="","",INT('Survey Response'!$A414))</f>
        <v/>
      </c>
      <c r="G416" s="46" t="str">
        <f aca="false">IF('Survey Response'!$D414="","",'Survey Response'!$C414)</f>
        <v/>
      </c>
      <c r="H416" s="46" t="str">
        <f aca="false">IF('Survey Response'!$D414="","",LOWER(TRIM('Survey Response'!$D414)))</f>
        <v/>
      </c>
      <c r="I416" s="46" t="str">
        <f aca="false">IF($H416="","",'Survey Response'!$I414)</f>
        <v/>
      </c>
      <c r="J416" s="46" t="str">
        <f aca="false">IF($H416="","",'Survey Response'!$K414)</f>
        <v/>
      </c>
      <c r="K416" s="46" t="str">
        <f aca="false">IF($J416="","",IF(COUNTIF('Skill Mapping'!$A$2:$A$7,TRIM($J416))=0,"",INDEX('Skill Mapping'!$B$2:$B$7,MATCH(TRIM($J416),'Skill Mapping'!$A$2:$A$7,0))))</f>
        <v/>
      </c>
      <c r="L416" s="46" t="str">
        <f aca="false">IF($H416="","",'Survey Response'!$L414)</f>
        <v/>
      </c>
      <c r="M416" s="46" t="str">
        <f aca="false">IF($L416="","",IF(COUNTIF('Skill Mapping'!$A$2:$A$7,TRIM($L416))=0,"",INDEX('Skill Mapping'!$B$2:$B$7,MATCH(TRIM($L416),'Skill Mapping'!$A$2:$A$7,0))))</f>
        <v/>
      </c>
      <c r="N416" s="46" t="str">
        <f aca="false">IF($H416="","",'Survey Response'!$M414)</f>
        <v/>
      </c>
      <c r="O416" s="46" t="str">
        <f aca="false">IF($H416="","",IF('Survey Response'!$M414="Manager","R2","R1"))</f>
        <v/>
      </c>
      <c r="P416" s="46" t="str">
        <f aca="false">IF($K416="","No",IF(COUNTIFS(MasterPanel!$B:$B,$H416,MasterPanel!$I:$I,$K416,MasterPanel!$K:$K,"Y")&gt;0,"Yes","No"))</f>
        <v>No</v>
      </c>
      <c r="Q416" s="46" t="n">
        <f aca="false">IF($K416="",0,IF(COUNTIF('Gap Sheet'!$A$6:$A$11,TRIM($J416))=0,0,IF($O416="R1",INDEX('Gap Sheet'!$C$6:$C$11,MATCH(TRIM($J416),'Gap Sheet'!$A$6:$A$11,0)),INDEX('Gap Sheet'!$G$6:$G$11,MATCH(TRIM($J416),'Gap Sheet'!$A$6:$A$11,0)))))</f>
        <v>0</v>
      </c>
      <c r="R416" s="46" t="str">
        <f aca="false">IF($K416="","",$K416&amp;"|"&amp;$O416)</f>
        <v/>
      </c>
      <c r="S416" s="46" t="n">
        <f aca="false">IF($R416="",0,COUNTIF($AA$4:$AA415,$R416))</f>
        <v>0</v>
      </c>
      <c r="T416" s="46" t="str">
        <f aca="false">IF(OR($I416&lt;&gt;"Yes, I'm available for in-person interviews at Chennai",$E416&lt;&gt;"Yes",$P416&lt;&gt;"Yes"),"No",IF(($Q416-$S416)&gt;0,"Yes","No"))</f>
        <v>No</v>
      </c>
      <c r="U416" s="46" t="str">
        <f aca="false">IF($M416="","No",IF(COUNTIFS(MasterPanel!$B:$B,$H416,MasterPanel!$I:$I,$M416,MasterPanel!$K:$K,"Y")&gt;0,"Yes","No"))</f>
        <v>No</v>
      </c>
      <c r="V416" s="46" t="n">
        <f aca="false">IF($M416="",0,IF(COUNTIF('Gap Sheet'!$A$6:$A$11,TRIM($L416))=0,0,IF($O416="R1",INDEX('Gap Sheet'!$C$6:$C$11,MATCH(TRIM($L416),'Gap Sheet'!$A$6:$A$11,0)),INDEX('Gap Sheet'!$G$6:$G$11,MATCH(TRIM($L416),'Gap Sheet'!$A$6:$A$11,0)))))</f>
        <v>0</v>
      </c>
      <c r="W416" s="46" t="str">
        <f aca="false">IF($M416="","",$M416&amp;"|"&amp;$O416)</f>
        <v/>
      </c>
      <c r="X416" s="46" t="n">
        <f aca="false">IF($W416="",0,COUNTIF($AA$4:$AA415,$W416))</f>
        <v>0</v>
      </c>
      <c r="Y416" s="46" t="str">
        <f aca="false">IF(OR($I416&lt;&gt;"Yes, I'm available for in-person interviews at Chennai",$E416&lt;&gt;"Yes",$T416="Yes",$U416&lt;&gt;"Yes"),"No",IF(($V416-$X416)&gt;0,"Yes","No"))</f>
        <v>No</v>
      </c>
      <c r="Z416" s="46" t="str">
        <f aca="false">IF($T416="Yes","Primary",IF($Y416="Yes","Secondary",""))</f>
        <v/>
      </c>
      <c r="AA416" s="46" t="str">
        <f aca="false">IF($Z416="Primary",$R416,IF($Z416="Secondary",$W416,""))</f>
        <v/>
      </c>
      <c r="AB416" s="46" t="str">
        <f aca="false">IF($Z416="Primary","Matched on primary skill",IF($Z416="Secondary","Matched on secondary skill (primary not approved or not required)",""))</f>
        <v/>
      </c>
      <c r="AC416" s="47" t="str">
        <f aca="false">IF($D416="Panel Details",$F416,"")</f>
        <v/>
      </c>
      <c r="AD416" s="46" t="str">
        <f aca="false">IF($D416="Panel Details",'Survey Response'!$D414,"")</f>
        <v/>
      </c>
      <c r="AE416" s="46" t="str">
        <f aca="false">IF($D416="Panel Details",'Survey Response'!$E414,"")</f>
        <v/>
      </c>
      <c r="AF416" s="46" t="str">
        <f aca="false">IF($D416="Panel Details",'Survey Response'!$G414,"")</f>
        <v/>
      </c>
      <c r="AG416" s="46" t="str">
        <f aca="false">IF($D416="Panel Details",IF($Z416="Primary",$J416,$L416),"")</f>
        <v/>
      </c>
      <c r="AH416" s="46" t="str">
        <f aca="false">IF($D416="Panel Details",IF($Z416="Primary",$L416,$J416),"")</f>
        <v/>
      </c>
      <c r="AI416" s="46" t="str">
        <f aca="false">IF($D416="Panel Details",'Survey Response'!$H414,"")</f>
        <v/>
      </c>
      <c r="AJ416" s="46" t="str">
        <f aca="false">IF($D416="Panel Details",'Survey Response'!$M414,"")</f>
        <v/>
      </c>
      <c r="AK416" s="46" t="str">
        <f aca="false">IF($D416="Panel Details",$O416,"")</f>
        <v/>
      </c>
      <c r="AL416" s="46" t="str">
        <f aca="false">IF($D416="Panel Details",8,"")</f>
        <v/>
      </c>
      <c r="AM416" s="46" t="str">
        <f aca="false">IF($D416="Panel Details",$AB416,"")</f>
        <v/>
      </c>
      <c r="AN416" s="46" t="str">
        <f aca="false">IF($D416="Panel Details","Yes","")</f>
        <v/>
      </c>
      <c r="AO416" s="46"/>
      <c r="AP416" s="46" t="str">
        <f aca="false">IF($D416="Followup",'Survey Response'!$D414,"")</f>
        <v/>
      </c>
      <c r="AQ416" s="46" t="str">
        <f aca="false">IF($D416="Followup",'Survey Response'!$E414,"")</f>
        <v/>
      </c>
      <c r="AR416" s="46" t="str">
        <f aca="false">IF($D416="Followup",'Survey Response'!$G414,"")</f>
        <v/>
      </c>
      <c r="AS416" s="46" t="str">
        <f aca="false">IF($D416="Followup",'Survey Response'!$H414,"")</f>
        <v/>
      </c>
      <c r="AT416" s="46" t="str">
        <f aca="false">IF($D416="Followup",'Survey Response'!$M414,"")</f>
        <v/>
      </c>
      <c r="AU416" s="46" t="str">
        <f aca="false">IF($D416="Followup",'Survey Response'!$K414,"")</f>
        <v/>
      </c>
      <c r="AV416" s="46" t="str">
        <f aca="false">IF($D416="Followup",'Survey Response'!$L414,"")</f>
        <v/>
      </c>
      <c r="AW416" s="46" t="str">
        <f aca="false">IF($D416="Followup",IF(AND($P416&lt;&gt;"Yes",$U416&lt;&gt;"Yes"),"Not approved for primary or secondary skill","Approved, but skill(s) no longer have capacity (fully staffed)"),"")</f>
        <v/>
      </c>
    </row>
    <row r="417" customFormat="false" ht="15" hidden="false" customHeight="true" outlineLevel="0" collapsed="false">
      <c r="A417" s="46" t="str">
        <f aca="false">IF('Survey Response'!$D415="","",'Survey Response'!$A415&amp;"|"&amp;LOWER(TRIM('Survey Response'!$D415)))</f>
        <v/>
      </c>
      <c r="B417" s="46" t="str">
        <f aca="false">IF($H417="","",$F417&amp;"|"&amp;$H417)</f>
        <v/>
      </c>
      <c r="C417" s="46" t="str">
        <f aca="false">IF($H417="","",$A417=$B417)</f>
        <v/>
      </c>
      <c r="D417" s="46" t="str">
        <f aca="false">IF($H417="","",IF($E417&lt;&gt;"Yes","Superseded",IF($I417&lt;&gt;"Yes, I'm available for in-person interviews at Chennai","Not Available",IF($Z417&lt;&gt;"","Panel Details","Followup"))))</f>
        <v/>
      </c>
      <c r="E417" s="46" t="str">
        <f aca="false">IF($H417="","",IF(SUMPRODUCT(($H$4:$H$503=$H417)*(($G$4:$G$503&gt;$G417)+($G$4:$G$503=$G417)*($F$4:$F$503&gt;$F417)))=0,"Yes","No"))</f>
        <v/>
      </c>
      <c r="F417" s="47" t="str">
        <f aca="false">IF('Survey Response'!$D415="","",INT('Survey Response'!$A415))</f>
        <v/>
      </c>
      <c r="G417" s="46" t="str">
        <f aca="false">IF('Survey Response'!$D415="","",'Survey Response'!$C415)</f>
        <v/>
      </c>
      <c r="H417" s="46" t="str">
        <f aca="false">IF('Survey Response'!$D415="","",LOWER(TRIM('Survey Response'!$D415)))</f>
        <v/>
      </c>
      <c r="I417" s="46" t="str">
        <f aca="false">IF($H417="","",'Survey Response'!$I415)</f>
        <v/>
      </c>
      <c r="J417" s="46" t="str">
        <f aca="false">IF($H417="","",'Survey Response'!$K415)</f>
        <v/>
      </c>
      <c r="K417" s="46" t="str">
        <f aca="false">IF($J417="","",IF(COUNTIF('Skill Mapping'!$A$2:$A$7,TRIM($J417))=0,"",INDEX('Skill Mapping'!$B$2:$B$7,MATCH(TRIM($J417),'Skill Mapping'!$A$2:$A$7,0))))</f>
        <v/>
      </c>
      <c r="L417" s="46" t="str">
        <f aca="false">IF($H417="","",'Survey Response'!$L415)</f>
        <v/>
      </c>
      <c r="M417" s="46" t="str">
        <f aca="false">IF($L417="","",IF(COUNTIF('Skill Mapping'!$A$2:$A$7,TRIM($L417))=0,"",INDEX('Skill Mapping'!$B$2:$B$7,MATCH(TRIM($L417),'Skill Mapping'!$A$2:$A$7,0))))</f>
        <v/>
      </c>
      <c r="N417" s="46" t="str">
        <f aca="false">IF($H417="","",'Survey Response'!$M415)</f>
        <v/>
      </c>
      <c r="O417" s="46" t="str">
        <f aca="false">IF($H417="","",IF('Survey Response'!$M415="Manager","R2","R1"))</f>
        <v/>
      </c>
      <c r="P417" s="46" t="str">
        <f aca="false">IF($K417="","No",IF(COUNTIFS(MasterPanel!$B:$B,$H417,MasterPanel!$I:$I,$K417,MasterPanel!$K:$K,"Y")&gt;0,"Yes","No"))</f>
        <v>No</v>
      </c>
      <c r="Q417" s="46" t="n">
        <f aca="false">IF($K417="",0,IF(COUNTIF('Gap Sheet'!$A$6:$A$11,TRIM($J417))=0,0,IF($O417="R1",INDEX('Gap Sheet'!$C$6:$C$11,MATCH(TRIM($J417),'Gap Sheet'!$A$6:$A$11,0)),INDEX('Gap Sheet'!$G$6:$G$11,MATCH(TRIM($J417),'Gap Sheet'!$A$6:$A$11,0)))))</f>
        <v>0</v>
      </c>
      <c r="R417" s="46" t="str">
        <f aca="false">IF($K417="","",$K417&amp;"|"&amp;$O417)</f>
        <v/>
      </c>
      <c r="S417" s="46" t="n">
        <f aca="false">IF($R417="",0,COUNTIF($AA$4:$AA416,$R417))</f>
        <v>0</v>
      </c>
      <c r="T417" s="46" t="str">
        <f aca="false">IF(OR($I417&lt;&gt;"Yes, I'm available for in-person interviews at Chennai",$E417&lt;&gt;"Yes",$P417&lt;&gt;"Yes"),"No",IF(($Q417-$S417)&gt;0,"Yes","No"))</f>
        <v>No</v>
      </c>
      <c r="U417" s="46" t="str">
        <f aca="false">IF($M417="","No",IF(COUNTIFS(MasterPanel!$B:$B,$H417,MasterPanel!$I:$I,$M417,MasterPanel!$K:$K,"Y")&gt;0,"Yes","No"))</f>
        <v>No</v>
      </c>
      <c r="V417" s="46" t="n">
        <f aca="false">IF($M417="",0,IF(COUNTIF('Gap Sheet'!$A$6:$A$11,TRIM($L417))=0,0,IF($O417="R1",INDEX('Gap Sheet'!$C$6:$C$11,MATCH(TRIM($L417),'Gap Sheet'!$A$6:$A$11,0)),INDEX('Gap Sheet'!$G$6:$G$11,MATCH(TRIM($L417),'Gap Sheet'!$A$6:$A$11,0)))))</f>
        <v>0</v>
      </c>
      <c r="W417" s="46" t="str">
        <f aca="false">IF($M417="","",$M417&amp;"|"&amp;$O417)</f>
        <v/>
      </c>
      <c r="X417" s="46" t="n">
        <f aca="false">IF($W417="",0,COUNTIF($AA$4:$AA416,$W417))</f>
        <v>0</v>
      </c>
      <c r="Y417" s="46" t="str">
        <f aca="false">IF(OR($I417&lt;&gt;"Yes, I'm available for in-person interviews at Chennai",$E417&lt;&gt;"Yes",$T417="Yes",$U417&lt;&gt;"Yes"),"No",IF(($V417-$X417)&gt;0,"Yes","No"))</f>
        <v>No</v>
      </c>
      <c r="Z417" s="46" t="str">
        <f aca="false">IF($T417="Yes","Primary",IF($Y417="Yes","Secondary",""))</f>
        <v/>
      </c>
      <c r="AA417" s="46" t="str">
        <f aca="false">IF($Z417="Primary",$R417,IF($Z417="Secondary",$W417,""))</f>
        <v/>
      </c>
      <c r="AB417" s="46" t="str">
        <f aca="false">IF($Z417="Primary","Matched on primary skill",IF($Z417="Secondary","Matched on secondary skill (primary not approved or not required)",""))</f>
        <v/>
      </c>
      <c r="AC417" s="47" t="str">
        <f aca="false">IF($D417="Panel Details",$F417,"")</f>
        <v/>
      </c>
      <c r="AD417" s="46" t="str">
        <f aca="false">IF($D417="Panel Details",'Survey Response'!$D415,"")</f>
        <v/>
      </c>
      <c r="AE417" s="46" t="str">
        <f aca="false">IF($D417="Panel Details",'Survey Response'!$E415,"")</f>
        <v/>
      </c>
      <c r="AF417" s="46" t="str">
        <f aca="false">IF($D417="Panel Details",'Survey Response'!$G415,"")</f>
        <v/>
      </c>
      <c r="AG417" s="46" t="str">
        <f aca="false">IF($D417="Panel Details",IF($Z417="Primary",$J417,$L417),"")</f>
        <v/>
      </c>
      <c r="AH417" s="46" t="str">
        <f aca="false">IF($D417="Panel Details",IF($Z417="Primary",$L417,$J417),"")</f>
        <v/>
      </c>
      <c r="AI417" s="46" t="str">
        <f aca="false">IF($D417="Panel Details",'Survey Response'!$H415,"")</f>
        <v/>
      </c>
      <c r="AJ417" s="46" t="str">
        <f aca="false">IF($D417="Panel Details",'Survey Response'!$M415,"")</f>
        <v/>
      </c>
      <c r="AK417" s="46" t="str">
        <f aca="false">IF($D417="Panel Details",$O417,"")</f>
        <v/>
      </c>
      <c r="AL417" s="46" t="str">
        <f aca="false">IF($D417="Panel Details",8,"")</f>
        <v/>
      </c>
      <c r="AM417" s="46" t="str">
        <f aca="false">IF($D417="Panel Details",$AB417,"")</f>
        <v/>
      </c>
      <c r="AN417" s="46" t="str">
        <f aca="false">IF($D417="Panel Details","Yes","")</f>
        <v/>
      </c>
      <c r="AO417" s="46"/>
      <c r="AP417" s="46" t="str">
        <f aca="false">IF($D417="Followup",'Survey Response'!$D415,"")</f>
        <v/>
      </c>
      <c r="AQ417" s="46" t="str">
        <f aca="false">IF($D417="Followup",'Survey Response'!$E415,"")</f>
        <v/>
      </c>
      <c r="AR417" s="46" t="str">
        <f aca="false">IF($D417="Followup",'Survey Response'!$G415,"")</f>
        <v/>
      </c>
      <c r="AS417" s="46" t="str">
        <f aca="false">IF($D417="Followup",'Survey Response'!$H415,"")</f>
        <v/>
      </c>
      <c r="AT417" s="46" t="str">
        <f aca="false">IF($D417="Followup",'Survey Response'!$M415,"")</f>
        <v/>
      </c>
      <c r="AU417" s="46" t="str">
        <f aca="false">IF($D417="Followup",'Survey Response'!$K415,"")</f>
        <v/>
      </c>
      <c r="AV417" s="46" t="str">
        <f aca="false">IF($D417="Followup",'Survey Response'!$L415,"")</f>
        <v/>
      </c>
      <c r="AW417" s="46" t="str">
        <f aca="false">IF($D417="Followup",IF(AND($P417&lt;&gt;"Yes",$U417&lt;&gt;"Yes"),"Not approved for primary or secondary skill","Approved, but skill(s) no longer have capacity (fully staffed)"),"")</f>
        <v/>
      </c>
    </row>
    <row r="418" customFormat="false" ht="15" hidden="false" customHeight="true" outlineLevel="0" collapsed="false">
      <c r="A418" s="46" t="str">
        <f aca="false">IF('Survey Response'!$D416="","",'Survey Response'!$A416&amp;"|"&amp;LOWER(TRIM('Survey Response'!$D416)))</f>
        <v/>
      </c>
      <c r="B418" s="46" t="str">
        <f aca="false">IF($H418="","",$F418&amp;"|"&amp;$H418)</f>
        <v/>
      </c>
      <c r="C418" s="46" t="str">
        <f aca="false">IF($H418="","",$A418=$B418)</f>
        <v/>
      </c>
      <c r="D418" s="46" t="str">
        <f aca="false">IF($H418="","",IF($E418&lt;&gt;"Yes","Superseded",IF($I418&lt;&gt;"Yes, I'm available for in-person interviews at Chennai","Not Available",IF($Z418&lt;&gt;"","Panel Details","Followup"))))</f>
        <v/>
      </c>
      <c r="E418" s="46" t="str">
        <f aca="false">IF($H418="","",IF(SUMPRODUCT(($H$4:$H$503=$H418)*(($G$4:$G$503&gt;$G418)+($G$4:$G$503=$G418)*($F$4:$F$503&gt;$F418)))=0,"Yes","No"))</f>
        <v/>
      </c>
      <c r="F418" s="47" t="str">
        <f aca="false">IF('Survey Response'!$D416="","",INT('Survey Response'!$A416))</f>
        <v/>
      </c>
      <c r="G418" s="46" t="str">
        <f aca="false">IF('Survey Response'!$D416="","",'Survey Response'!$C416)</f>
        <v/>
      </c>
      <c r="H418" s="46" t="str">
        <f aca="false">IF('Survey Response'!$D416="","",LOWER(TRIM('Survey Response'!$D416)))</f>
        <v/>
      </c>
      <c r="I418" s="46" t="str">
        <f aca="false">IF($H418="","",'Survey Response'!$I416)</f>
        <v/>
      </c>
      <c r="J418" s="46" t="str">
        <f aca="false">IF($H418="","",'Survey Response'!$K416)</f>
        <v/>
      </c>
      <c r="K418" s="46" t="str">
        <f aca="false">IF($J418="","",IF(COUNTIF('Skill Mapping'!$A$2:$A$7,TRIM($J418))=0,"",INDEX('Skill Mapping'!$B$2:$B$7,MATCH(TRIM($J418),'Skill Mapping'!$A$2:$A$7,0))))</f>
        <v/>
      </c>
      <c r="L418" s="46" t="str">
        <f aca="false">IF($H418="","",'Survey Response'!$L416)</f>
        <v/>
      </c>
      <c r="M418" s="46" t="str">
        <f aca="false">IF($L418="","",IF(COUNTIF('Skill Mapping'!$A$2:$A$7,TRIM($L418))=0,"",INDEX('Skill Mapping'!$B$2:$B$7,MATCH(TRIM($L418),'Skill Mapping'!$A$2:$A$7,0))))</f>
        <v/>
      </c>
      <c r="N418" s="46" t="str">
        <f aca="false">IF($H418="","",'Survey Response'!$M416)</f>
        <v/>
      </c>
      <c r="O418" s="46" t="str">
        <f aca="false">IF($H418="","",IF('Survey Response'!$M416="Manager","R2","R1"))</f>
        <v/>
      </c>
      <c r="P418" s="46" t="str">
        <f aca="false">IF($K418="","No",IF(COUNTIFS(MasterPanel!$B:$B,$H418,MasterPanel!$I:$I,$K418,MasterPanel!$K:$K,"Y")&gt;0,"Yes","No"))</f>
        <v>No</v>
      </c>
      <c r="Q418" s="46" t="n">
        <f aca="false">IF($K418="",0,IF(COUNTIF('Gap Sheet'!$A$6:$A$11,TRIM($J418))=0,0,IF($O418="R1",INDEX('Gap Sheet'!$C$6:$C$11,MATCH(TRIM($J418),'Gap Sheet'!$A$6:$A$11,0)),INDEX('Gap Sheet'!$G$6:$G$11,MATCH(TRIM($J418),'Gap Sheet'!$A$6:$A$11,0)))))</f>
        <v>0</v>
      </c>
      <c r="R418" s="46" t="str">
        <f aca="false">IF($K418="","",$K418&amp;"|"&amp;$O418)</f>
        <v/>
      </c>
      <c r="S418" s="46" t="n">
        <f aca="false">IF($R418="",0,COUNTIF($AA$4:$AA417,$R418))</f>
        <v>0</v>
      </c>
      <c r="T418" s="46" t="str">
        <f aca="false">IF(OR($I418&lt;&gt;"Yes, I'm available for in-person interviews at Chennai",$E418&lt;&gt;"Yes",$P418&lt;&gt;"Yes"),"No",IF(($Q418-$S418)&gt;0,"Yes","No"))</f>
        <v>No</v>
      </c>
      <c r="U418" s="46" t="str">
        <f aca="false">IF($M418="","No",IF(COUNTIFS(MasterPanel!$B:$B,$H418,MasterPanel!$I:$I,$M418,MasterPanel!$K:$K,"Y")&gt;0,"Yes","No"))</f>
        <v>No</v>
      </c>
      <c r="V418" s="46" t="n">
        <f aca="false">IF($M418="",0,IF(COUNTIF('Gap Sheet'!$A$6:$A$11,TRIM($L418))=0,0,IF($O418="R1",INDEX('Gap Sheet'!$C$6:$C$11,MATCH(TRIM($L418),'Gap Sheet'!$A$6:$A$11,0)),INDEX('Gap Sheet'!$G$6:$G$11,MATCH(TRIM($L418),'Gap Sheet'!$A$6:$A$11,0)))))</f>
        <v>0</v>
      </c>
      <c r="W418" s="46" t="str">
        <f aca="false">IF($M418="","",$M418&amp;"|"&amp;$O418)</f>
        <v/>
      </c>
      <c r="X418" s="46" t="n">
        <f aca="false">IF($W418="",0,COUNTIF($AA$4:$AA417,$W418))</f>
        <v>0</v>
      </c>
      <c r="Y418" s="46" t="str">
        <f aca="false">IF(OR($I418&lt;&gt;"Yes, I'm available for in-person interviews at Chennai",$E418&lt;&gt;"Yes",$T418="Yes",$U418&lt;&gt;"Yes"),"No",IF(($V418-$X418)&gt;0,"Yes","No"))</f>
        <v>No</v>
      </c>
      <c r="Z418" s="46" t="str">
        <f aca="false">IF($T418="Yes","Primary",IF($Y418="Yes","Secondary",""))</f>
        <v/>
      </c>
      <c r="AA418" s="46" t="str">
        <f aca="false">IF($Z418="Primary",$R418,IF($Z418="Secondary",$W418,""))</f>
        <v/>
      </c>
      <c r="AB418" s="46" t="str">
        <f aca="false">IF($Z418="Primary","Matched on primary skill",IF($Z418="Secondary","Matched on secondary skill (primary not approved or not required)",""))</f>
        <v/>
      </c>
      <c r="AC418" s="47" t="str">
        <f aca="false">IF($D418="Panel Details",$F418,"")</f>
        <v/>
      </c>
      <c r="AD418" s="46" t="str">
        <f aca="false">IF($D418="Panel Details",'Survey Response'!$D416,"")</f>
        <v/>
      </c>
      <c r="AE418" s="46" t="str">
        <f aca="false">IF($D418="Panel Details",'Survey Response'!$E416,"")</f>
        <v/>
      </c>
      <c r="AF418" s="46" t="str">
        <f aca="false">IF($D418="Panel Details",'Survey Response'!$G416,"")</f>
        <v/>
      </c>
      <c r="AG418" s="46" t="str">
        <f aca="false">IF($D418="Panel Details",IF($Z418="Primary",$J418,$L418),"")</f>
        <v/>
      </c>
      <c r="AH418" s="46" t="str">
        <f aca="false">IF($D418="Panel Details",IF($Z418="Primary",$L418,$J418),"")</f>
        <v/>
      </c>
      <c r="AI418" s="46" t="str">
        <f aca="false">IF($D418="Panel Details",'Survey Response'!$H416,"")</f>
        <v/>
      </c>
      <c r="AJ418" s="46" t="str">
        <f aca="false">IF($D418="Panel Details",'Survey Response'!$M416,"")</f>
        <v/>
      </c>
      <c r="AK418" s="46" t="str">
        <f aca="false">IF($D418="Panel Details",$O418,"")</f>
        <v/>
      </c>
      <c r="AL418" s="46" t="str">
        <f aca="false">IF($D418="Panel Details",8,"")</f>
        <v/>
      </c>
      <c r="AM418" s="46" t="str">
        <f aca="false">IF($D418="Panel Details",$AB418,"")</f>
        <v/>
      </c>
      <c r="AN418" s="46" t="str">
        <f aca="false">IF($D418="Panel Details","Yes","")</f>
        <v/>
      </c>
      <c r="AO418" s="46"/>
      <c r="AP418" s="46" t="str">
        <f aca="false">IF($D418="Followup",'Survey Response'!$D416,"")</f>
        <v/>
      </c>
      <c r="AQ418" s="46" t="str">
        <f aca="false">IF($D418="Followup",'Survey Response'!$E416,"")</f>
        <v/>
      </c>
      <c r="AR418" s="46" t="str">
        <f aca="false">IF($D418="Followup",'Survey Response'!$G416,"")</f>
        <v/>
      </c>
      <c r="AS418" s="46" t="str">
        <f aca="false">IF($D418="Followup",'Survey Response'!$H416,"")</f>
        <v/>
      </c>
      <c r="AT418" s="46" t="str">
        <f aca="false">IF($D418="Followup",'Survey Response'!$M416,"")</f>
        <v/>
      </c>
      <c r="AU418" s="46" t="str">
        <f aca="false">IF($D418="Followup",'Survey Response'!$K416,"")</f>
        <v/>
      </c>
      <c r="AV418" s="46" t="str">
        <f aca="false">IF($D418="Followup",'Survey Response'!$L416,"")</f>
        <v/>
      </c>
      <c r="AW418" s="46" t="str">
        <f aca="false">IF($D418="Followup",IF(AND($P418&lt;&gt;"Yes",$U418&lt;&gt;"Yes"),"Not approved for primary or secondary skill","Approved, but skill(s) no longer have capacity (fully staffed)"),"")</f>
        <v/>
      </c>
    </row>
    <row r="419" customFormat="false" ht="15" hidden="false" customHeight="true" outlineLevel="0" collapsed="false">
      <c r="A419" s="46" t="str">
        <f aca="false">IF('Survey Response'!$D417="","",'Survey Response'!$A417&amp;"|"&amp;LOWER(TRIM('Survey Response'!$D417)))</f>
        <v/>
      </c>
      <c r="B419" s="46" t="str">
        <f aca="false">IF($H419="","",$F419&amp;"|"&amp;$H419)</f>
        <v/>
      </c>
      <c r="C419" s="46" t="str">
        <f aca="false">IF($H419="","",$A419=$B419)</f>
        <v/>
      </c>
      <c r="D419" s="46" t="str">
        <f aca="false">IF($H419="","",IF($E419&lt;&gt;"Yes","Superseded",IF($I419&lt;&gt;"Yes, I'm available for in-person interviews at Chennai","Not Available",IF($Z419&lt;&gt;"","Panel Details","Followup"))))</f>
        <v/>
      </c>
      <c r="E419" s="46" t="str">
        <f aca="false">IF($H419="","",IF(SUMPRODUCT(($H$4:$H$503=$H419)*(($G$4:$G$503&gt;$G419)+($G$4:$G$503=$G419)*($F$4:$F$503&gt;$F419)))=0,"Yes","No"))</f>
        <v/>
      </c>
      <c r="F419" s="47" t="str">
        <f aca="false">IF('Survey Response'!$D417="","",INT('Survey Response'!$A417))</f>
        <v/>
      </c>
      <c r="G419" s="46" t="str">
        <f aca="false">IF('Survey Response'!$D417="","",'Survey Response'!$C417)</f>
        <v/>
      </c>
      <c r="H419" s="46" t="str">
        <f aca="false">IF('Survey Response'!$D417="","",LOWER(TRIM('Survey Response'!$D417)))</f>
        <v/>
      </c>
      <c r="I419" s="46" t="str">
        <f aca="false">IF($H419="","",'Survey Response'!$I417)</f>
        <v/>
      </c>
      <c r="J419" s="46" t="str">
        <f aca="false">IF($H419="","",'Survey Response'!$K417)</f>
        <v/>
      </c>
      <c r="K419" s="46" t="str">
        <f aca="false">IF($J419="","",IF(COUNTIF('Skill Mapping'!$A$2:$A$7,TRIM($J419))=0,"",INDEX('Skill Mapping'!$B$2:$B$7,MATCH(TRIM($J419),'Skill Mapping'!$A$2:$A$7,0))))</f>
        <v/>
      </c>
      <c r="L419" s="46" t="str">
        <f aca="false">IF($H419="","",'Survey Response'!$L417)</f>
        <v/>
      </c>
      <c r="M419" s="46" t="str">
        <f aca="false">IF($L419="","",IF(COUNTIF('Skill Mapping'!$A$2:$A$7,TRIM($L419))=0,"",INDEX('Skill Mapping'!$B$2:$B$7,MATCH(TRIM($L419),'Skill Mapping'!$A$2:$A$7,0))))</f>
        <v/>
      </c>
      <c r="N419" s="46" t="str">
        <f aca="false">IF($H419="","",'Survey Response'!$M417)</f>
        <v/>
      </c>
      <c r="O419" s="46" t="str">
        <f aca="false">IF($H419="","",IF('Survey Response'!$M417="Manager","R2","R1"))</f>
        <v/>
      </c>
      <c r="P419" s="46" t="str">
        <f aca="false">IF($K419="","No",IF(COUNTIFS(MasterPanel!$B:$B,$H419,MasterPanel!$I:$I,$K419,MasterPanel!$K:$K,"Y")&gt;0,"Yes","No"))</f>
        <v>No</v>
      </c>
      <c r="Q419" s="46" t="n">
        <f aca="false">IF($K419="",0,IF(COUNTIF('Gap Sheet'!$A$6:$A$11,TRIM($J419))=0,0,IF($O419="R1",INDEX('Gap Sheet'!$C$6:$C$11,MATCH(TRIM($J419),'Gap Sheet'!$A$6:$A$11,0)),INDEX('Gap Sheet'!$G$6:$G$11,MATCH(TRIM($J419),'Gap Sheet'!$A$6:$A$11,0)))))</f>
        <v>0</v>
      </c>
      <c r="R419" s="46" t="str">
        <f aca="false">IF($K419="","",$K419&amp;"|"&amp;$O419)</f>
        <v/>
      </c>
      <c r="S419" s="46" t="n">
        <f aca="false">IF($R419="",0,COUNTIF($AA$4:$AA418,$R419))</f>
        <v>0</v>
      </c>
      <c r="T419" s="46" t="str">
        <f aca="false">IF(OR($I419&lt;&gt;"Yes, I'm available for in-person interviews at Chennai",$E419&lt;&gt;"Yes",$P419&lt;&gt;"Yes"),"No",IF(($Q419-$S419)&gt;0,"Yes","No"))</f>
        <v>No</v>
      </c>
      <c r="U419" s="46" t="str">
        <f aca="false">IF($M419="","No",IF(COUNTIFS(MasterPanel!$B:$B,$H419,MasterPanel!$I:$I,$M419,MasterPanel!$K:$K,"Y")&gt;0,"Yes","No"))</f>
        <v>No</v>
      </c>
      <c r="V419" s="46" t="n">
        <f aca="false">IF($M419="",0,IF(COUNTIF('Gap Sheet'!$A$6:$A$11,TRIM($L419))=0,0,IF($O419="R1",INDEX('Gap Sheet'!$C$6:$C$11,MATCH(TRIM($L419),'Gap Sheet'!$A$6:$A$11,0)),INDEX('Gap Sheet'!$G$6:$G$11,MATCH(TRIM($L419),'Gap Sheet'!$A$6:$A$11,0)))))</f>
        <v>0</v>
      </c>
      <c r="W419" s="46" t="str">
        <f aca="false">IF($M419="","",$M419&amp;"|"&amp;$O419)</f>
        <v/>
      </c>
      <c r="X419" s="46" t="n">
        <f aca="false">IF($W419="",0,COUNTIF($AA$4:$AA418,$W419))</f>
        <v>0</v>
      </c>
      <c r="Y419" s="46" t="str">
        <f aca="false">IF(OR($I419&lt;&gt;"Yes, I'm available for in-person interviews at Chennai",$E419&lt;&gt;"Yes",$T419="Yes",$U419&lt;&gt;"Yes"),"No",IF(($V419-$X419)&gt;0,"Yes","No"))</f>
        <v>No</v>
      </c>
      <c r="Z419" s="46" t="str">
        <f aca="false">IF($T419="Yes","Primary",IF($Y419="Yes","Secondary",""))</f>
        <v/>
      </c>
      <c r="AA419" s="46" t="str">
        <f aca="false">IF($Z419="Primary",$R419,IF($Z419="Secondary",$W419,""))</f>
        <v/>
      </c>
      <c r="AB419" s="46" t="str">
        <f aca="false">IF($Z419="Primary","Matched on primary skill",IF($Z419="Secondary","Matched on secondary skill (primary not approved or not required)",""))</f>
        <v/>
      </c>
      <c r="AC419" s="47" t="str">
        <f aca="false">IF($D419="Panel Details",$F419,"")</f>
        <v/>
      </c>
      <c r="AD419" s="46" t="str">
        <f aca="false">IF($D419="Panel Details",'Survey Response'!$D417,"")</f>
        <v/>
      </c>
      <c r="AE419" s="46" t="str">
        <f aca="false">IF($D419="Panel Details",'Survey Response'!$E417,"")</f>
        <v/>
      </c>
      <c r="AF419" s="46" t="str">
        <f aca="false">IF($D419="Panel Details",'Survey Response'!$G417,"")</f>
        <v/>
      </c>
      <c r="AG419" s="46" t="str">
        <f aca="false">IF($D419="Panel Details",IF($Z419="Primary",$J419,$L419),"")</f>
        <v/>
      </c>
      <c r="AH419" s="46" t="str">
        <f aca="false">IF($D419="Panel Details",IF($Z419="Primary",$L419,$J419),"")</f>
        <v/>
      </c>
      <c r="AI419" s="46" t="str">
        <f aca="false">IF($D419="Panel Details",'Survey Response'!$H417,"")</f>
        <v/>
      </c>
      <c r="AJ419" s="46" t="str">
        <f aca="false">IF($D419="Panel Details",'Survey Response'!$M417,"")</f>
        <v/>
      </c>
      <c r="AK419" s="46" t="str">
        <f aca="false">IF($D419="Panel Details",$O419,"")</f>
        <v/>
      </c>
      <c r="AL419" s="46" t="str">
        <f aca="false">IF($D419="Panel Details",8,"")</f>
        <v/>
      </c>
      <c r="AM419" s="46" t="str">
        <f aca="false">IF($D419="Panel Details",$AB419,"")</f>
        <v/>
      </c>
      <c r="AN419" s="46" t="str">
        <f aca="false">IF($D419="Panel Details","Yes","")</f>
        <v/>
      </c>
      <c r="AO419" s="46"/>
      <c r="AP419" s="46" t="str">
        <f aca="false">IF($D419="Followup",'Survey Response'!$D417,"")</f>
        <v/>
      </c>
      <c r="AQ419" s="46" t="str">
        <f aca="false">IF($D419="Followup",'Survey Response'!$E417,"")</f>
        <v/>
      </c>
      <c r="AR419" s="46" t="str">
        <f aca="false">IF($D419="Followup",'Survey Response'!$G417,"")</f>
        <v/>
      </c>
      <c r="AS419" s="46" t="str">
        <f aca="false">IF($D419="Followup",'Survey Response'!$H417,"")</f>
        <v/>
      </c>
      <c r="AT419" s="46" t="str">
        <f aca="false">IF($D419="Followup",'Survey Response'!$M417,"")</f>
        <v/>
      </c>
      <c r="AU419" s="46" t="str">
        <f aca="false">IF($D419="Followup",'Survey Response'!$K417,"")</f>
        <v/>
      </c>
      <c r="AV419" s="46" t="str">
        <f aca="false">IF($D419="Followup",'Survey Response'!$L417,"")</f>
        <v/>
      </c>
      <c r="AW419" s="46" t="str">
        <f aca="false">IF($D419="Followup",IF(AND($P419&lt;&gt;"Yes",$U419&lt;&gt;"Yes"),"Not approved for primary or secondary skill","Approved, but skill(s) no longer have capacity (fully staffed)"),"")</f>
        <v/>
      </c>
    </row>
    <row r="420" customFormat="false" ht="15" hidden="false" customHeight="true" outlineLevel="0" collapsed="false">
      <c r="A420" s="46" t="str">
        <f aca="false">IF('Survey Response'!$D418="","",'Survey Response'!$A418&amp;"|"&amp;LOWER(TRIM('Survey Response'!$D418)))</f>
        <v/>
      </c>
      <c r="B420" s="46" t="str">
        <f aca="false">IF($H420="","",$F420&amp;"|"&amp;$H420)</f>
        <v/>
      </c>
      <c r="C420" s="46" t="str">
        <f aca="false">IF($H420="","",$A420=$B420)</f>
        <v/>
      </c>
      <c r="D420" s="46" t="str">
        <f aca="false">IF($H420="","",IF($E420&lt;&gt;"Yes","Superseded",IF($I420&lt;&gt;"Yes, I'm available for in-person interviews at Chennai","Not Available",IF($Z420&lt;&gt;"","Panel Details","Followup"))))</f>
        <v/>
      </c>
      <c r="E420" s="46" t="str">
        <f aca="false">IF($H420="","",IF(SUMPRODUCT(($H$4:$H$503=$H420)*(($G$4:$G$503&gt;$G420)+($G$4:$G$503=$G420)*($F$4:$F$503&gt;$F420)))=0,"Yes","No"))</f>
        <v/>
      </c>
      <c r="F420" s="47" t="str">
        <f aca="false">IF('Survey Response'!$D418="","",INT('Survey Response'!$A418))</f>
        <v/>
      </c>
      <c r="G420" s="46" t="str">
        <f aca="false">IF('Survey Response'!$D418="","",'Survey Response'!$C418)</f>
        <v/>
      </c>
      <c r="H420" s="46" t="str">
        <f aca="false">IF('Survey Response'!$D418="","",LOWER(TRIM('Survey Response'!$D418)))</f>
        <v/>
      </c>
      <c r="I420" s="46" t="str">
        <f aca="false">IF($H420="","",'Survey Response'!$I418)</f>
        <v/>
      </c>
      <c r="J420" s="46" t="str">
        <f aca="false">IF($H420="","",'Survey Response'!$K418)</f>
        <v/>
      </c>
      <c r="K420" s="46" t="str">
        <f aca="false">IF($J420="","",IF(COUNTIF('Skill Mapping'!$A$2:$A$7,TRIM($J420))=0,"",INDEX('Skill Mapping'!$B$2:$B$7,MATCH(TRIM($J420),'Skill Mapping'!$A$2:$A$7,0))))</f>
        <v/>
      </c>
      <c r="L420" s="46" t="str">
        <f aca="false">IF($H420="","",'Survey Response'!$L418)</f>
        <v/>
      </c>
      <c r="M420" s="46" t="str">
        <f aca="false">IF($L420="","",IF(COUNTIF('Skill Mapping'!$A$2:$A$7,TRIM($L420))=0,"",INDEX('Skill Mapping'!$B$2:$B$7,MATCH(TRIM($L420),'Skill Mapping'!$A$2:$A$7,0))))</f>
        <v/>
      </c>
      <c r="N420" s="46" t="str">
        <f aca="false">IF($H420="","",'Survey Response'!$M418)</f>
        <v/>
      </c>
      <c r="O420" s="46" t="str">
        <f aca="false">IF($H420="","",IF('Survey Response'!$M418="Manager","R2","R1"))</f>
        <v/>
      </c>
      <c r="P420" s="46" t="str">
        <f aca="false">IF($K420="","No",IF(COUNTIFS(MasterPanel!$B:$B,$H420,MasterPanel!$I:$I,$K420,MasterPanel!$K:$K,"Y")&gt;0,"Yes","No"))</f>
        <v>No</v>
      </c>
      <c r="Q420" s="46" t="n">
        <f aca="false">IF($K420="",0,IF(COUNTIF('Gap Sheet'!$A$6:$A$11,TRIM($J420))=0,0,IF($O420="R1",INDEX('Gap Sheet'!$C$6:$C$11,MATCH(TRIM($J420),'Gap Sheet'!$A$6:$A$11,0)),INDEX('Gap Sheet'!$G$6:$G$11,MATCH(TRIM($J420),'Gap Sheet'!$A$6:$A$11,0)))))</f>
        <v>0</v>
      </c>
      <c r="R420" s="46" t="str">
        <f aca="false">IF($K420="","",$K420&amp;"|"&amp;$O420)</f>
        <v/>
      </c>
      <c r="S420" s="46" t="n">
        <f aca="false">IF($R420="",0,COUNTIF($AA$4:$AA419,$R420))</f>
        <v>0</v>
      </c>
      <c r="T420" s="46" t="str">
        <f aca="false">IF(OR($I420&lt;&gt;"Yes, I'm available for in-person interviews at Chennai",$E420&lt;&gt;"Yes",$P420&lt;&gt;"Yes"),"No",IF(($Q420-$S420)&gt;0,"Yes","No"))</f>
        <v>No</v>
      </c>
      <c r="U420" s="46" t="str">
        <f aca="false">IF($M420="","No",IF(COUNTIFS(MasterPanel!$B:$B,$H420,MasterPanel!$I:$I,$M420,MasterPanel!$K:$K,"Y")&gt;0,"Yes","No"))</f>
        <v>No</v>
      </c>
      <c r="V420" s="46" t="n">
        <f aca="false">IF($M420="",0,IF(COUNTIF('Gap Sheet'!$A$6:$A$11,TRIM($L420))=0,0,IF($O420="R1",INDEX('Gap Sheet'!$C$6:$C$11,MATCH(TRIM($L420),'Gap Sheet'!$A$6:$A$11,0)),INDEX('Gap Sheet'!$G$6:$G$11,MATCH(TRIM($L420),'Gap Sheet'!$A$6:$A$11,0)))))</f>
        <v>0</v>
      </c>
      <c r="W420" s="46" t="str">
        <f aca="false">IF($M420="","",$M420&amp;"|"&amp;$O420)</f>
        <v/>
      </c>
      <c r="X420" s="46" t="n">
        <f aca="false">IF($W420="",0,COUNTIF($AA$4:$AA419,$W420))</f>
        <v>0</v>
      </c>
      <c r="Y420" s="46" t="str">
        <f aca="false">IF(OR($I420&lt;&gt;"Yes, I'm available for in-person interviews at Chennai",$E420&lt;&gt;"Yes",$T420="Yes",$U420&lt;&gt;"Yes"),"No",IF(($V420-$X420)&gt;0,"Yes","No"))</f>
        <v>No</v>
      </c>
      <c r="Z420" s="46" t="str">
        <f aca="false">IF($T420="Yes","Primary",IF($Y420="Yes","Secondary",""))</f>
        <v/>
      </c>
      <c r="AA420" s="46" t="str">
        <f aca="false">IF($Z420="Primary",$R420,IF($Z420="Secondary",$W420,""))</f>
        <v/>
      </c>
      <c r="AB420" s="46" t="str">
        <f aca="false">IF($Z420="Primary","Matched on primary skill",IF($Z420="Secondary","Matched on secondary skill (primary not approved or not required)",""))</f>
        <v/>
      </c>
      <c r="AC420" s="47" t="str">
        <f aca="false">IF($D420="Panel Details",$F420,"")</f>
        <v/>
      </c>
      <c r="AD420" s="46" t="str">
        <f aca="false">IF($D420="Panel Details",'Survey Response'!$D418,"")</f>
        <v/>
      </c>
      <c r="AE420" s="46" t="str">
        <f aca="false">IF($D420="Panel Details",'Survey Response'!$E418,"")</f>
        <v/>
      </c>
      <c r="AF420" s="46" t="str">
        <f aca="false">IF($D420="Panel Details",'Survey Response'!$G418,"")</f>
        <v/>
      </c>
      <c r="AG420" s="46" t="str">
        <f aca="false">IF($D420="Panel Details",IF($Z420="Primary",$J420,$L420),"")</f>
        <v/>
      </c>
      <c r="AH420" s="46" t="str">
        <f aca="false">IF($D420="Panel Details",IF($Z420="Primary",$L420,$J420),"")</f>
        <v/>
      </c>
      <c r="AI420" s="46" t="str">
        <f aca="false">IF($D420="Panel Details",'Survey Response'!$H418,"")</f>
        <v/>
      </c>
      <c r="AJ420" s="46" t="str">
        <f aca="false">IF($D420="Panel Details",'Survey Response'!$M418,"")</f>
        <v/>
      </c>
      <c r="AK420" s="46" t="str">
        <f aca="false">IF($D420="Panel Details",$O420,"")</f>
        <v/>
      </c>
      <c r="AL420" s="46" t="str">
        <f aca="false">IF($D420="Panel Details",8,"")</f>
        <v/>
      </c>
      <c r="AM420" s="46" t="str">
        <f aca="false">IF($D420="Panel Details",$AB420,"")</f>
        <v/>
      </c>
      <c r="AN420" s="46" t="str">
        <f aca="false">IF($D420="Panel Details","Yes","")</f>
        <v/>
      </c>
      <c r="AO420" s="46"/>
      <c r="AP420" s="46" t="str">
        <f aca="false">IF($D420="Followup",'Survey Response'!$D418,"")</f>
        <v/>
      </c>
      <c r="AQ420" s="46" t="str">
        <f aca="false">IF($D420="Followup",'Survey Response'!$E418,"")</f>
        <v/>
      </c>
      <c r="AR420" s="46" t="str">
        <f aca="false">IF($D420="Followup",'Survey Response'!$G418,"")</f>
        <v/>
      </c>
      <c r="AS420" s="46" t="str">
        <f aca="false">IF($D420="Followup",'Survey Response'!$H418,"")</f>
        <v/>
      </c>
      <c r="AT420" s="46" t="str">
        <f aca="false">IF($D420="Followup",'Survey Response'!$M418,"")</f>
        <v/>
      </c>
      <c r="AU420" s="46" t="str">
        <f aca="false">IF($D420="Followup",'Survey Response'!$K418,"")</f>
        <v/>
      </c>
      <c r="AV420" s="46" t="str">
        <f aca="false">IF($D420="Followup",'Survey Response'!$L418,"")</f>
        <v/>
      </c>
      <c r="AW420" s="46" t="str">
        <f aca="false">IF($D420="Followup",IF(AND($P420&lt;&gt;"Yes",$U420&lt;&gt;"Yes"),"Not approved for primary or secondary skill","Approved, but skill(s) no longer have capacity (fully staffed)"),"")</f>
        <v/>
      </c>
    </row>
    <row r="421" customFormat="false" ht="15" hidden="false" customHeight="true" outlineLevel="0" collapsed="false">
      <c r="A421" s="46" t="str">
        <f aca="false">IF('Survey Response'!$D419="","",'Survey Response'!$A419&amp;"|"&amp;LOWER(TRIM('Survey Response'!$D419)))</f>
        <v/>
      </c>
      <c r="B421" s="46" t="str">
        <f aca="false">IF($H421="","",$F421&amp;"|"&amp;$H421)</f>
        <v/>
      </c>
      <c r="C421" s="46" t="str">
        <f aca="false">IF($H421="","",$A421=$B421)</f>
        <v/>
      </c>
      <c r="D421" s="46" t="str">
        <f aca="false">IF($H421="","",IF($E421&lt;&gt;"Yes","Superseded",IF($I421&lt;&gt;"Yes, I'm available for in-person interviews at Chennai","Not Available",IF($Z421&lt;&gt;"","Panel Details","Followup"))))</f>
        <v/>
      </c>
      <c r="E421" s="46" t="str">
        <f aca="false">IF($H421="","",IF(SUMPRODUCT(($H$4:$H$503=$H421)*(($G$4:$G$503&gt;$G421)+($G$4:$G$503=$G421)*($F$4:$F$503&gt;$F421)))=0,"Yes","No"))</f>
        <v/>
      </c>
      <c r="F421" s="47" t="str">
        <f aca="false">IF('Survey Response'!$D419="","",INT('Survey Response'!$A419))</f>
        <v/>
      </c>
      <c r="G421" s="46" t="str">
        <f aca="false">IF('Survey Response'!$D419="","",'Survey Response'!$C419)</f>
        <v/>
      </c>
      <c r="H421" s="46" t="str">
        <f aca="false">IF('Survey Response'!$D419="","",LOWER(TRIM('Survey Response'!$D419)))</f>
        <v/>
      </c>
      <c r="I421" s="46" t="str">
        <f aca="false">IF($H421="","",'Survey Response'!$I419)</f>
        <v/>
      </c>
      <c r="J421" s="46" t="str">
        <f aca="false">IF($H421="","",'Survey Response'!$K419)</f>
        <v/>
      </c>
      <c r="K421" s="46" t="str">
        <f aca="false">IF($J421="","",IF(COUNTIF('Skill Mapping'!$A$2:$A$7,TRIM($J421))=0,"",INDEX('Skill Mapping'!$B$2:$B$7,MATCH(TRIM($J421),'Skill Mapping'!$A$2:$A$7,0))))</f>
        <v/>
      </c>
      <c r="L421" s="46" t="str">
        <f aca="false">IF($H421="","",'Survey Response'!$L419)</f>
        <v/>
      </c>
      <c r="M421" s="46" t="str">
        <f aca="false">IF($L421="","",IF(COUNTIF('Skill Mapping'!$A$2:$A$7,TRIM($L421))=0,"",INDEX('Skill Mapping'!$B$2:$B$7,MATCH(TRIM($L421),'Skill Mapping'!$A$2:$A$7,0))))</f>
        <v/>
      </c>
      <c r="N421" s="46" t="str">
        <f aca="false">IF($H421="","",'Survey Response'!$M419)</f>
        <v/>
      </c>
      <c r="O421" s="46" t="str">
        <f aca="false">IF($H421="","",IF('Survey Response'!$M419="Manager","R2","R1"))</f>
        <v/>
      </c>
      <c r="P421" s="46" t="str">
        <f aca="false">IF($K421="","No",IF(COUNTIFS(MasterPanel!$B:$B,$H421,MasterPanel!$I:$I,$K421,MasterPanel!$K:$K,"Y")&gt;0,"Yes","No"))</f>
        <v>No</v>
      </c>
      <c r="Q421" s="46" t="n">
        <f aca="false">IF($K421="",0,IF(COUNTIF('Gap Sheet'!$A$6:$A$11,TRIM($J421))=0,0,IF($O421="R1",INDEX('Gap Sheet'!$C$6:$C$11,MATCH(TRIM($J421),'Gap Sheet'!$A$6:$A$11,0)),INDEX('Gap Sheet'!$G$6:$G$11,MATCH(TRIM($J421),'Gap Sheet'!$A$6:$A$11,0)))))</f>
        <v>0</v>
      </c>
      <c r="R421" s="46" t="str">
        <f aca="false">IF($K421="","",$K421&amp;"|"&amp;$O421)</f>
        <v/>
      </c>
      <c r="S421" s="46" t="n">
        <f aca="false">IF($R421="",0,COUNTIF($AA$4:$AA420,$R421))</f>
        <v>0</v>
      </c>
      <c r="T421" s="46" t="str">
        <f aca="false">IF(OR($I421&lt;&gt;"Yes, I'm available for in-person interviews at Chennai",$E421&lt;&gt;"Yes",$P421&lt;&gt;"Yes"),"No",IF(($Q421-$S421)&gt;0,"Yes","No"))</f>
        <v>No</v>
      </c>
      <c r="U421" s="46" t="str">
        <f aca="false">IF($M421="","No",IF(COUNTIFS(MasterPanel!$B:$B,$H421,MasterPanel!$I:$I,$M421,MasterPanel!$K:$K,"Y")&gt;0,"Yes","No"))</f>
        <v>No</v>
      </c>
      <c r="V421" s="46" t="n">
        <f aca="false">IF($M421="",0,IF(COUNTIF('Gap Sheet'!$A$6:$A$11,TRIM($L421))=0,0,IF($O421="R1",INDEX('Gap Sheet'!$C$6:$C$11,MATCH(TRIM($L421),'Gap Sheet'!$A$6:$A$11,0)),INDEX('Gap Sheet'!$G$6:$G$11,MATCH(TRIM($L421),'Gap Sheet'!$A$6:$A$11,0)))))</f>
        <v>0</v>
      </c>
      <c r="W421" s="46" t="str">
        <f aca="false">IF($M421="","",$M421&amp;"|"&amp;$O421)</f>
        <v/>
      </c>
      <c r="X421" s="46" t="n">
        <f aca="false">IF($W421="",0,COUNTIF($AA$4:$AA420,$W421))</f>
        <v>0</v>
      </c>
      <c r="Y421" s="46" t="str">
        <f aca="false">IF(OR($I421&lt;&gt;"Yes, I'm available for in-person interviews at Chennai",$E421&lt;&gt;"Yes",$T421="Yes",$U421&lt;&gt;"Yes"),"No",IF(($V421-$X421)&gt;0,"Yes","No"))</f>
        <v>No</v>
      </c>
      <c r="Z421" s="46" t="str">
        <f aca="false">IF($T421="Yes","Primary",IF($Y421="Yes","Secondary",""))</f>
        <v/>
      </c>
      <c r="AA421" s="46" t="str">
        <f aca="false">IF($Z421="Primary",$R421,IF($Z421="Secondary",$W421,""))</f>
        <v/>
      </c>
      <c r="AB421" s="46" t="str">
        <f aca="false">IF($Z421="Primary","Matched on primary skill",IF($Z421="Secondary","Matched on secondary skill (primary not approved or not required)",""))</f>
        <v/>
      </c>
      <c r="AC421" s="47" t="str">
        <f aca="false">IF($D421="Panel Details",$F421,"")</f>
        <v/>
      </c>
      <c r="AD421" s="46" t="str">
        <f aca="false">IF($D421="Panel Details",'Survey Response'!$D419,"")</f>
        <v/>
      </c>
      <c r="AE421" s="46" t="str">
        <f aca="false">IF($D421="Panel Details",'Survey Response'!$E419,"")</f>
        <v/>
      </c>
      <c r="AF421" s="46" t="str">
        <f aca="false">IF($D421="Panel Details",'Survey Response'!$G419,"")</f>
        <v/>
      </c>
      <c r="AG421" s="46" t="str">
        <f aca="false">IF($D421="Panel Details",IF($Z421="Primary",$J421,$L421),"")</f>
        <v/>
      </c>
      <c r="AH421" s="46" t="str">
        <f aca="false">IF($D421="Panel Details",IF($Z421="Primary",$L421,$J421),"")</f>
        <v/>
      </c>
      <c r="AI421" s="46" t="str">
        <f aca="false">IF($D421="Panel Details",'Survey Response'!$H419,"")</f>
        <v/>
      </c>
      <c r="AJ421" s="46" t="str">
        <f aca="false">IF($D421="Panel Details",'Survey Response'!$M419,"")</f>
        <v/>
      </c>
      <c r="AK421" s="46" t="str">
        <f aca="false">IF($D421="Panel Details",$O421,"")</f>
        <v/>
      </c>
      <c r="AL421" s="46" t="str">
        <f aca="false">IF($D421="Panel Details",8,"")</f>
        <v/>
      </c>
      <c r="AM421" s="46" t="str">
        <f aca="false">IF($D421="Panel Details",$AB421,"")</f>
        <v/>
      </c>
      <c r="AN421" s="46" t="str">
        <f aca="false">IF($D421="Panel Details","Yes","")</f>
        <v/>
      </c>
      <c r="AO421" s="46"/>
      <c r="AP421" s="46" t="str">
        <f aca="false">IF($D421="Followup",'Survey Response'!$D419,"")</f>
        <v/>
      </c>
      <c r="AQ421" s="46" t="str">
        <f aca="false">IF($D421="Followup",'Survey Response'!$E419,"")</f>
        <v/>
      </c>
      <c r="AR421" s="46" t="str">
        <f aca="false">IF($D421="Followup",'Survey Response'!$G419,"")</f>
        <v/>
      </c>
      <c r="AS421" s="46" t="str">
        <f aca="false">IF($D421="Followup",'Survey Response'!$H419,"")</f>
        <v/>
      </c>
      <c r="AT421" s="46" t="str">
        <f aca="false">IF($D421="Followup",'Survey Response'!$M419,"")</f>
        <v/>
      </c>
      <c r="AU421" s="46" t="str">
        <f aca="false">IF($D421="Followup",'Survey Response'!$K419,"")</f>
        <v/>
      </c>
      <c r="AV421" s="46" t="str">
        <f aca="false">IF($D421="Followup",'Survey Response'!$L419,"")</f>
        <v/>
      </c>
      <c r="AW421" s="46" t="str">
        <f aca="false">IF($D421="Followup",IF(AND($P421&lt;&gt;"Yes",$U421&lt;&gt;"Yes"),"Not approved for primary or secondary skill","Approved, but skill(s) no longer have capacity (fully staffed)"),"")</f>
        <v/>
      </c>
    </row>
    <row r="422" customFormat="false" ht="15" hidden="false" customHeight="true" outlineLevel="0" collapsed="false">
      <c r="A422" s="46" t="str">
        <f aca="false">IF('Survey Response'!$D420="","",'Survey Response'!$A420&amp;"|"&amp;LOWER(TRIM('Survey Response'!$D420)))</f>
        <v/>
      </c>
      <c r="B422" s="46" t="str">
        <f aca="false">IF($H422="","",$F422&amp;"|"&amp;$H422)</f>
        <v/>
      </c>
      <c r="C422" s="46" t="str">
        <f aca="false">IF($H422="","",$A422=$B422)</f>
        <v/>
      </c>
      <c r="D422" s="46" t="str">
        <f aca="false">IF($H422="","",IF($E422&lt;&gt;"Yes","Superseded",IF($I422&lt;&gt;"Yes, I'm available for in-person interviews at Chennai","Not Available",IF($Z422&lt;&gt;"","Panel Details","Followup"))))</f>
        <v/>
      </c>
      <c r="E422" s="46" t="str">
        <f aca="false">IF($H422="","",IF(SUMPRODUCT(($H$4:$H$503=$H422)*(($G$4:$G$503&gt;$G422)+($G$4:$G$503=$G422)*($F$4:$F$503&gt;$F422)))=0,"Yes","No"))</f>
        <v/>
      </c>
      <c r="F422" s="47" t="str">
        <f aca="false">IF('Survey Response'!$D420="","",INT('Survey Response'!$A420))</f>
        <v/>
      </c>
      <c r="G422" s="46" t="str">
        <f aca="false">IF('Survey Response'!$D420="","",'Survey Response'!$C420)</f>
        <v/>
      </c>
      <c r="H422" s="46" t="str">
        <f aca="false">IF('Survey Response'!$D420="","",LOWER(TRIM('Survey Response'!$D420)))</f>
        <v/>
      </c>
      <c r="I422" s="46" t="str">
        <f aca="false">IF($H422="","",'Survey Response'!$I420)</f>
        <v/>
      </c>
      <c r="J422" s="46" t="str">
        <f aca="false">IF($H422="","",'Survey Response'!$K420)</f>
        <v/>
      </c>
      <c r="K422" s="46" t="str">
        <f aca="false">IF($J422="","",IF(COUNTIF('Skill Mapping'!$A$2:$A$7,TRIM($J422))=0,"",INDEX('Skill Mapping'!$B$2:$B$7,MATCH(TRIM($J422),'Skill Mapping'!$A$2:$A$7,0))))</f>
        <v/>
      </c>
      <c r="L422" s="46" t="str">
        <f aca="false">IF($H422="","",'Survey Response'!$L420)</f>
        <v/>
      </c>
      <c r="M422" s="46" t="str">
        <f aca="false">IF($L422="","",IF(COUNTIF('Skill Mapping'!$A$2:$A$7,TRIM($L422))=0,"",INDEX('Skill Mapping'!$B$2:$B$7,MATCH(TRIM($L422),'Skill Mapping'!$A$2:$A$7,0))))</f>
        <v/>
      </c>
      <c r="N422" s="46" t="str">
        <f aca="false">IF($H422="","",'Survey Response'!$M420)</f>
        <v/>
      </c>
      <c r="O422" s="46" t="str">
        <f aca="false">IF($H422="","",IF('Survey Response'!$M420="Manager","R2","R1"))</f>
        <v/>
      </c>
      <c r="P422" s="46" t="str">
        <f aca="false">IF($K422="","No",IF(COUNTIFS(MasterPanel!$B:$B,$H422,MasterPanel!$I:$I,$K422,MasterPanel!$K:$K,"Y")&gt;0,"Yes","No"))</f>
        <v>No</v>
      </c>
      <c r="Q422" s="46" t="n">
        <f aca="false">IF($K422="",0,IF(COUNTIF('Gap Sheet'!$A$6:$A$11,TRIM($J422))=0,0,IF($O422="R1",INDEX('Gap Sheet'!$C$6:$C$11,MATCH(TRIM($J422),'Gap Sheet'!$A$6:$A$11,0)),INDEX('Gap Sheet'!$G$6:$G$11,MATCH(TRIM($J422),'Gap Sheet'!$A$6:$A$11,0)))))</f>
        <v>0</v>
      </c>
      <c r="R422" s="46" t="str">
        <f aca="false">IF($K422="","",$K422&amp;"|"&amp;$O422)</f>
        <v/>
      </c>
      <c r="S422" s="46" t="n">
        <f aca="false">IF($R422="",0,COUNTIF($AA$4:$AA421,$R422))</f>
        <v>0</v>
      </c>
      <c r="T422" s="46" t="str">
        <f aca="false">IF(OR($I422&lt;&gt;"Yes, I'm available for in-person interviews at Chennai",$E422&lt;&gt;"Yes",$P422&lt;&gt;"Yes"),"No",IF(($Q422-$S422)&gt;0,"Yes","No"))</f>
        <v>No</v>
      </c>
      <c r="U422" s="46" t="str">
        <f aca="false">IF($M422="","No",IF(COUNTIFS(MasterPanel!$B:$B,$H422,MasterPanel!$I:$I,$M422,MasterPanel!$K:$K,"Y")&gt;0,"Yes","No"))</f>
        <v>No</v>
      </c>
      <c r="V422" s="46" t="n">
        <f aca="false">IF($M422="",0,IF(COUNTIF('Gap Sheet'!$A$6:$A$11,TRIM($L422))=0,0,IF($O422="R1",INDEX('Gap Sheet'!$C$6:$C$11,MATCH(TRIM($L422),'Gap Sheet'!$A$6:$A$11,0)),INDEX('Gap Sheet'!$G$6:$G$11,MATCH(TRIM($L422),'Gap Sheet'!$A$6:$A$11,0)))))</f>
        <v>0</v>
      </c>
      <c r="W422" s="46" t="str">
        <f aca="false">IF($M422="","",$M422&amp;"|"&amp;$O422)</f>
        <v/>
      </c>
      <c r="X422" s="46" t="n">
        <f aca="false">IF($W422="",0,COUNTIF($AA$4:$AA421,$W422))</f>
        <v>0</v>
      </c>
      <c r="Y422" s="46" t="str">
        <f aca="false">IF(OR($I422&lt;&gt;"Yes, I'm available for in-person interviews at Chennai",$E422&lt;&gt;"Yes",$T422="Yes",$U422&lt;&gt;"Yes"),"No",IF(($V422-$X422)&gt;0,"Yes","No"))</f>
        <v>No</v>
      </c>
      <c r="Z422" s="46" t="str">
        <f aca="false">IF($T422="Yes","Primary",IF($Y422="Yes","Secondary",""))</f>
        <v/>
      </c>
      <c r="AA422" s="46" t="str">
        <f aca="false">IF($Z422="Primary",$R422,IF($Z422="Secondary",$W422,""))</f>
        <v/>
      </c>
      <c r="AB422" s="46" t="str">
        <f aca="false">IF($Z422="Primary","Matched on primary skill",IF($Z422="Secondary","Matched on secondary skill (primary not approved or not required)",""))</f>
        <v/>
      </c>
      <c r="AC422" s="47" t="str">
        <f aca="false">IF($D422="Panel Details",$F422,"")</f>
        <v/>
      </c>
      <c r="AD422" s="46" t="str">
        <f aca="false">IF($D422="Panel Details",'Survey Response'!$D420,"")</f>
        <v/>
      </c>
      <c r="AE422" s="46" t="str">
        <f aca="false">IF($D422="Panel Details",'Survey Response'!$E420,"")</f>
        <v/>
      </c>
      <c r="AF422" s="46" t="str">
        <f aca="false">IF($D422="Panel Details",'Survey Response'!$G420,"")</f>
        <v/>
      </c>
      <c r="AG422" s="46" t="str">
        <f aca="false">IF($D422="Panel Details",IF($Z422="Primary",$J422,$L422),"")</f>
        <v/>
      </c>
      <c r="AH422" s="46" t="str">
        <f aca="false">IF($D422="Panel Details",IF($Z422="Primary",$L422,$J422),"")</f>
        <v/>
      </c>
      <c r="AI422" s="46" t="str">
        <f aca="false">IF($D422="Panel Details",'Survey Response'!$H420,"")</f>
        <v/>
      </c>
      <c r="AJ422" s="46" t="str">
        <f aca="false">IF($D422="Panel Details",'Survey Response'!$M420,"")</f>
        <v/>
      </c>
      <c r="AK422" s="46" t="str">
        <f aca="false">IF($D422="Panel Details",$O422,"")</f>
        <v/>
      </c>
      <c r="AL422" s="46" t="str">
        <f aca="false">IF($D422="Panel Details",8,"")</f>
        <v/>
      </c>
      <c r="AM422" s="46" t="str">
        <f aca="false">IF($D422="Panel Details",$AB422,"")</f>
        <v/>
      </c>
      <c r="AN422" s="46" t="str">
        <f aca="false">IF($D422="Panel Details","Yes","")</f>
        <v/>
      </c>
      <c r="AO422" s="46"/>
      <c r="AP422" s="46" t="str">
        <f aca="false">IF($D422="Followup",'Survey Response'!$D420,"")</f>
        <v/>
      </c>
      <c r="AQ422" s="46" t="str">
        <f aca="false">IF($D422="Followup",'Survey Response'!$E420,"")</f>
        <v/>
      </c>
      <c r="AR422" s="46" t="str">
        <f aca="false">IF($D422="Followup",'Survey Response'!$G420,"")</f>
        <v/>
      </c>
      <c r="AS422" s="46" t="str">
        <f aca="false">IF($D422="Followup",'Survey Response'!$H420,"")</f>
        <v/>
      </c>
      <c r="AT422" s="46" t="str">
        <f aca="false">IF($D422="Followup",'Survey Response'!$M420,"")</f>
        <v/>
      </c>
      <c r="AU422" s="46" t="str">
        <f aca="false">IF($D422="Followup",'Survey Response'!$K420,"")</f>
        <v/>
      </c>
      <c r="AV422" s="46" t="str">
        <f aca="false">IF($D422="Followup",'Survey Response'!$L420,"")</f>
        <v/>
      </c>
      <c r="AW422" s="46" t="str">
        <f aca="false">IF($D422="Followup",IF(AND($P422&lt;&gt;"Yes",$U422&lt;&gt;"Yes"),"Not approved for primary or secondary skill","Approved, but skill(s) no longer have capacity (fully staffed)"),"")</f>
        <v/>
      </c>
    </row>
    <row r="423" customFormat="false" ht="15" hidden="false" customHeight="true" outlineLevel="0" collapsed="false">
      <c r="A423" s="46" t="str">
        <f aca="false">IF('Survey Response'!$D421="","",'Survey Response'!$A421&amp;"|"&amp;LOWER(TRIM('Survey Response'!$D421)))</f>
        <v/>
      </c>
      <c r="B423" s="46" t="str">
        <f aca="false">IF($H423="","",$F423&amp;"|"&amp;$H423)</f>
        <v/>
      </c>
      <c r="C423" s="46" t="str">
        <f aca="false">IF($H423="","",$A423=$B423)</f>
        <v/>
      </c>
      <c r="D423" s="46" t="str">
        <f aca="false">IF($H423="","",IF($E423&lt;&gt;"Yes","Superseded",IF($I423&lt;&gt;"Yes, I'm available for in-person interviews at Chennai","Not Available",IF($Z423&lt;&gt;"","Panel Details","Followup"))))</f>
        <v/>
      </c>
      <c r="E423" s="46" t="str">
        <f aca="false">IF($H423="","",IF(SUMPRODUCT(($H$4:$H$503=$H423)*(($G$4:$G$503&gt;$G423)+($G$4:$G$503=$G423)*($F$4:$F$503&gt;$F423)))=0,"Yes","No"))</f>
        <v/>
      </c>
      <c r="F423" s="47" t="str">
        <f aca="false">IF('Survey Response'!$D421="","",INT('Survey Response'!$A421))</f>
        <v/>
      </c>
      <c r="G423" s="46" t="str">
        <f aca="false">IF('Survey Response'!$D421="","",'Survey Response'!$C421)</f>
        <v/>
      </c>
      <c r="H423" s="46" t="str">
        <f aca="false">IF('Survey Response'!$D421="","",LOWER(TRIM('Survey Response'!$D421)))</f>
        <v/>
      </c>
      <c r="I423" s="46" t="str">
        <f aca="false">IF($H423="","",'Survey Response'!$I421)</f>
        <v/>
      </c>
      <c r="J423" s="46" t="str">
        <f aca="false">IF($H423="","",'Survey Response'!$K421)</f>
        <v/>
      </c>
      <c r="K423" s="46" t="str">
        <f aca="false">IF($J423="","",IF(COUNTIF('Skill Mapping'!$A$2:$A$7,TRIM($J423))=0,"",INDEX('Skill Mapping'!$B$2:$B$7,MATCH(TRIM($J423),'Skill Mapping'!$A$2:$A$7,0))))</f>
        <v/>
      </c>
      <c r="L423" s="46" t="str">
        <f aca="false">IF($H423="","",'Survey Response'!$L421)</f>
        <v/>
      </c>
      <c r="M423" s="46" t="str">
        <f aca="false">IF($L423="","",IF(COUNTIF('Skill Mapping'!$A$2:$A$7,TRIM($L423))=0,"",INDEX('Skill Mapping'!$B$2:$B$7,MATCH(TRIM($L423),'Skill Mapping'!$A$2:$A$7,0))))</f>
        <v/>
      </c>
      <c r="N423" s="46" t="str">
        <f aca="false">IF($H423="","",'Survey Response'!$M421)</f>
        <v/>
      </c>
      <c r="O423" s="46" t="str">
        <f aca="false">IF($H423="","",IF('Survey Response'!$M421="Manager","R2","R1"))</f>
        <v/>
      </c>
      <c r="P423" s="46" t="str">
        <f aca="false">IF($K423="","No",IF(COUNTIFS(MasterPanel!$B:$B,$H423,MasterPanel!$I:$I,$K423,MasterPanel!$K:$K,"Y")&gt;0,"Yes","No"))</f>
        <v>No</v>
      </c>
      <c r="Q423" s="46" t="n">
        <f aca="false">IF($K423="",0,IF(COUNTIF('Gap Sheet'!$A$6:$A$11,TRIM($J423))=0,0,IF($O423="R1",INDEX('Gap Sheet'!$C$6:$C$11,MATCH(TRIM($J423),'Gap Sheet'!$A$6:$A$11,0)),INDEX('Gap Sheet'!$G$6:$G$11,MATCH(TRIM($J423),'Gap Sheet'!$A$6:$A$11,0)))))</f>
        <v>0</v>
      </c>
      <c r="R423" s="46" t="str">
        <f aca="false">IF($K423="","",$K423&amp;"|"&amp;$O423)</f>
        <v/>
      </c>
      <c r="S423" s="46" t="n">
        <f aca="false">IF($R423="",0,COUNTIF($AA$4:$AA422,$R423))</f>
        <v>0</v>
      </c>
      <c r="T423" s="46" t="str">
        <f aca="false">IF(OR($I423&lt;&gt;"Yes, I'm available for in-person interviews at Chennai",$E423&lt;&gt;"Yes",$P423&lt;&gt;"Yes"),"No",IF(($Q423-$S423)&gt;0,"Yes","No"))</f>
        <v>No</v>
      </c>
      <c r="U423" s="46" t="str">
        <f aca="false">IF($M423="","No",IF(COUNTIFS(MasterPanel!$B:$B,$H423,MasterPanel!$I:$I,$M423,MasterPanel!$K:$K,"Y")&gt;0,"Yes","No"))</f>
        <v>No</v>
      </c>
      <c r="V423" s="46" t="n">
        <f aca="false">IF($M423="",0,IF(COUNTIF('Gap Sheet'!$A$6:$A$11,TRIM($L423))=0,0,IF($O423="R1",INDEX('Gap Sheet'!$C$6:$C$11,MATCH(TRIM($L423),'Gap Sheet'!$A$6:$A$11,0)),INDEX('Gap Sheet'!$G$6:$G$11,MATCH(TRIM($L423),'Gap Sheet'!$A$6:$A$11,0)))))</f>
        <v>0</v>
      </c>
      <c r="W423" s="46" t="str">
        <f aca="false">IF($M423="","",$M423&amp;"|"&amp;$O423)</f>
        <v/>
      </c>
      <c r="X423" s="46" t="n">
        <f aca="false">IF($W423="",0,COUNTIF($AA$4:$AA422,$W423))</f>
        <v>0</v>
      </c>
      <c r="Y423" s="46" t="str">
        <f aca="false">IF(OR($I423&lt;&gt;"Yes, I'm available for in-person interviews at Chennai",$E423&lt;&gt;"Yes",$T423="Yes",$U423&lt;&gt;"Yes"),"No",IF(($V423-$X423)&gt;0,"Yes","No"))</f>
        <v>No</v>
      </c>
      <c r="Z423" s="46" t="str">
        <f aca="false">IF($T423="Yes","Primary",IF($Y423="Yes","Secondary",""))</f>
        <v/>
      </c>
      <c r="AA423" s="46" t="str">
        <f aca="false">IF($Z423="Primary",$R423,IF($Z423="Secondary",$W423,""))</f>
        <v/>
      </c>
      <c r="AB423" s="46" t="str">
        <f aca="false">IF($Z423="Primary","Matched on primary skill",IF($Z423="Secondary","Matched on secondary skill (primary not approved or not required)",""))</f>
        <v/>
      </c>
      <c r="AC423" s="47" t="str">
        <f aca="false">IF($D423="Panel Details",$F423,"")</f>
        <v/>
      </c>
      <c r="AD423" s="46" t="str">
        <f aca="false">IF($D423="Panel Details",'Survey Response'!$D421,"")</f>
        <v/>
      </c>
      <c r="AE423" s="46" t="str">
        <f aca="false">IF($D423="Panel Details",'Survey Response'!$E421,"")</f>
        <v/>
      </c>
      <c r="AF423" s="46" t="str">
        <f aca="false">IF($D423="Panel Details",'Survey Response'!$G421,"")</f>
        <v/>
      </c>
      <c r="AG423" s="46" t="str">
        <f aca="false">IF($D423="Panel Details",IF($Z423="Primary",$J423,$L423),"")</f>
        <v/>
      </c>
      <c r="AH423" s="46" t="str">
        <f aca="false">IF($D423="Panel Details",IF($Z423="Primary",$L423,$J423),"")</f>
        <v/>
      </c>
      <c r="AI423" s="46" t="str">
        <f aca="false">IF($D423="Panel Details",'Survey Response'!$H421,"")</f>
        <v/>
      </c>
      <c r="AJ423" s="46" t="str">
        <f aca="false">IF($D423="Panel Details",'Survey Response'!$M421,"")</f>
        <v/>
      </c>
      <c r="AK423" s="46" t="str">
        <f aca="false">IF($D423="Panel Details",$O423,"")</f>
        <v/>
      </c>
      <c r="AL423" s="46" t="str">
        <f aca="false">IF($D423="Panel Details",8,"")</f>
        <v/>
      </c>
      <c r="AM423" s="46" t="str">
        <f aca="false">IF($D423="Panel Details",$AB423,"")</f>
        <v/>
      </c>
      <c r="AN423" s="46" t="str">
        <f aca="false">IF($D423="Panel Details","Yes","")</f>
        <v/>
      </c>
      <c r="AO423" s="46"/>
      <c r="AP423" s="46" t="str">
        <f aca="false">IF($D423="Followup",'Survey Response'!$D421,"")</f>
        <v/>
      </c>
      <c r="AQ423" s="46" t="str">
        <f aca="false">IF($D423="Followup",'Survey Response'!$E421,"")</f>
        <v/>
      </c>
      <c r="AR423" s="46" t="str">
        <f aca="false">IF($D423="Followup",'Survey Response'!$G421,"")</f>
        <v/>
      </c>
      <c r="AS423" s="46" t="str">
        <f aca="false">IF($D423="Followup",'Survey Response'!$H421,"")</f>
        <v/>
      </c>
      <c r="AT423" s="46" t="str">
        <f aca="false">IF($D423="Followup",'Survey Response'!$M421,"")</f>
        <v/>
      </c>
      <c r="AU423" s="46" t="str">
        <f aca="false">IF($D423="Followup",'Survey Response'!$K421,"")</f>
        <v/>
      </c>
      <c r="AV423" s="46" t="str">
        <f aca="false">IF($D423="Followup",'Survey Response'!$L421,"")</f>
        <v/>
      </c>
      <c r="AW423" s="46" t="str">
        <f aca="false">IF($D423="Followup",IF(AND($P423&lt;&gt;"Yes",$U423&lt;&gt;"Yes"),"Not approved for primary or secondary skill","Approved, but skill(s) no longer have capacity (fully staffed)"),"")</f>
        <v/>
      </c>
    </row>
    <row r="424" customFormat="false" ht="15" hidden="false" customHeight="true" outlineLevel="0" collapsed="false">
      <c r="A424" s="46" t="str">
        <f aca="false">IF('Survey Response'!$D422="","",'Survey Response'!$A422&amp;"|"&amp;LOWER(TRIM('Survey Response'!$D422)))</f>
        <v/>
      </c>
      <c r="B424" s="46" t="str">
        <f aca="false">IF($H424="","",$F424&amp;"|"&amp;$H424)</f>
        <v/>
      </c>
      <c r="C424" s="46" t="str">
        <f aca="false">IF($H424="","",$A424=$B424)</f>
        <v/>
      </c>
      <c r="D424" s="46" t="str">
        <f aca="false">IF($H424="","",IF($E424&lt;&gt;"Yes","Superseded",IF($I424&lt;&gt;"Yes, I'm available for in-person interviews at Chennai","Not Available",IF($Z424&lt;&gt;"","Panel Details","Followup"))))</f>
        <v/>
      </c>
      <c r="E424" s="46" t="str">
        <f aca="false">IF($H424="","",IF(SUMPRODUCT(($H$4:$H$503=$H424)*(($G$4:$G$503&gt;$G424)+($G$4:$G$503=$G424)*($F$4:$F$503&gt;$F424)))=0,"Yes","No"))</f>
        <v/>
      </c>
      <c r="F424" s="47" t="str">
        <f aca="false">IF('Survey Response'!$D422="","",INT('Survey Response'!$A422))</f>
        <v/>
      </c>
      <c r="G424" s="46" t="str">
        <f aca="false">IF('Survey Response'!$D422="","",'Survey Response'!$C422)</f>
        <v/>
      </c>
      <c r="H424" s="46" t="str">
        <f aca="false">IF('Survey Response'!$D422="","",LOWER(TRIM('Survey Response'!$D422)))</f>
        <v/>
      </c>
      <c r="I424" s="46" t="str">
        <f aca="false">IF($H424="","",'Survey Response'!$I422)</f>
        <v/>
      </c>
      <c r="J424" s="46" t="str">
        <f aca="false">IF($H424="","",'Survey Response'!$K422)</f>
        <v/>
      </c>
      <c r="K424" s="46" t="str">
        <f aca="false">IF($J424="","",IF(COUNTIF('Skill Mapping'!$A$2:$A$7,TRIM($J424))=0,"",INDEX('Skill Mapping'!$B$2:$B$7,MATCH(TRIM($J424),'Skill Mapping'!$A$2:$A$7,0))))</f>
        <v/>
      </c>
      <c r="L424" s="46" t="str">
        <f aca="false">IF($H424="","",'Survey Response'!$L422)</f>
        <v/>
      </c>
      <c r="M424" s="46" t="str">
        <f aca="false">IF($L424="","",IF(COUNTIF('Skill Mapping'!$A$2:$A$7,TRIM($L424))=0,"",INDEX('Skill Mapping'!$B$2:$B$7,MATCH(TRIM($L424),'Skill Mapping'!$A$2:$A$7,0))))</f>
        <v/>
      </c>
      <c r="N424" s="46" t="str">
        <f aca="false">IF($H424="","",'Survey Response'!$M422)</f>
        <v/>
      </c>
      <c r="O424" s="46" t="str">
        <f aca="false">IF($H424="","",IF('Survey Response'!$M422="Manager","R2","R1"))</f>
        <v/>
      </c>
      <c r="P424" s="46" t="str">
        <f aca="false">IF($K424="","No",IF(COUNTIFS(MasterPanel!$B:$B,$H424,MasterPanel!$I:$I,$K424,MasterPanel!$K:$K,"Y")&gt;0,"Yes","No"))</f>
        <v>No</v>
      </c>
      <c r="Q424" s="46" t="n">
        <f aca="false">IF($K424="",0,IF(COUNTIF('Gap Sheet'!$A$6:$A$11,TRIM($J424))=0,0,IF($O424="R1",INDEX('Gap Sheet'!$C$6:$C$11,MATCH(TRIM($J424),'Gap Sheet'!$A$6:$A$11,0)),INDEX('Gap Sheet'!$G$6:$G$11,MATCH(TRIM($J424),'Gap Sheet'!$A$6:$A$11,0)))))</f>
        <v>0</v>
      </c>
      <c r="R424" s="46" t="str">
        <f aca="false">IF($K424="","",$K424&amp;"|"&amp;$O424)</f>
        <v/>
      </c>
      <c r="S424" s="46" t="n">
        <f aca="false">IF($R424="",0,COUNTIF($AA$4:$AA423,$R424))</f>
        <v>0</v>
      </c>
      <c r="T424" s="46" t="str">
        <f aca="false">IF(OR($I424&lt;&gt;"Yes, I'm available for in-person interviews at Chennai",$E424&lt;&gt;"Yes",$P424&lt;&gt;"Yes"),"No",IF(($Q424-$S424)&gt;0,"Yes","No"))</f>
        <v>No</v>
      </c>
      <c r="U424" s="46" t="str">
        <f aca="false">IF($M424="","No",IF(COUNTIFS(MasterPanel!$B:$B,$H424,MasterPanel!$I:$I,$M424,MasterPanel!$K:$K,"Y")&gt;0,"Yes","No"))</f>
        <v>No</v>
      </c>
      <c r="V424" s="46" t="n">
        <f aca="false">IF($M424="",0,IF(COUNTIF('Gap Sheet'!$A$6:$A$11,TRIM($L424))=0,0,IF($O424="R1",INDEX('Gap Sheet'!$C$6:$C$11,MATCH(TRIM($L424),'Gap Sheet'!$A$6:$A$11,0)),INDEX('Gap Sheet'!$G$6:$G$11,MATCH(TRIM($L424),'Gap Sheet'!$A$6:$A$11,0)))))</f>
        <v>0</v>
      </c>
      <c r="W424" s="46" t="str">
        <f aca="false">IF($M424="","",$M424&amp;"|"&amp;$O424)</f>
        <v/>
      </c>
      <c r="X424" s="46" t="n">
        <f aca="false">IF($W424="",0,COUNTIF($AA$4:$AA423,$W424))</f>
        <v>0</v>
      </c>
      <c r="Y424" s="46" t="str">
        <f aca="false">IF(OR($I424&lt;&gt;"Yes, I'm available for in-person interviews at Chennai",$E424&lt;&gt;"Yes",$T424="Yes",$U424&lt;&gt;"Yes"),"No",IF(($V424-$X424)&gt;0,"Yes","No"))</f>
        <v>No</v>
      </c>
      <c r="Z424" s="46" t="str">
        <f aca="false">IF($T424="Yes","Primary",IF($Y424="Yes","Secondary",""))</f>
        <v/>
      </c>
      <c r="AA424" s="46" t="str">
        <f aca="false">IF($Z424="Primary",$R424,IF($Z424="Secondary",$W424,""))</f>
        <v/>
      </c>
      <c r="AB424" s="46" t="str">
        <f aca="false">IF($Z424="Primary","Matched on primary skill",IF($Z424="Secondary","Matched on secondary skill (primary not approved or not required)",""))</f>
        <v/>
      </c>
      <c r="AC424" s="47" t="str">
        <f aca="false">IF($D424="Panel Details",$F424,"")</f>
        <v/>
      </c>
      <c r="AD424" s="46" t="str">
        <f aca="false">IF($D424="Panel Details",'Survey Response'!$D422,"")</f>
        <v/>
      </c>
      <c r="AE424" s="46" t="str">
        <f aca="false">IF($D424="Panel Details",'Survey Response'!$E422,"")</f>
        <v/>
      </c>
      <c r="AF424" s="46" t="str">
        <f aca="false">IF($D424="Panel Details",'Survey Response'!$G422,"")</f>
        <v/>
      </c>
      <c r="AG424" s="46" t="str">
        <f aca="false">IF($D424="Panel Details",IF($Z424="Primary",$J424,$L424),"")</f>
        <v/>
      </c>
      <c r="AH424" s="46" t="str">
        <f aca="false">IF($D424="Panel Details",IF($Z424="Primary",$L424,$J424),"")</f>
        <v/>
      </c>
      <c r="AI424" s="46" t="str">
        <f aca="false">IF($D424="Panel Details",'Survey Response'!$H422,"")</f>
        <v/>
      </c>
      <c r="AJ424" s="46" t="str">
        <f aca="false">IF($D424="Panel Details",'Survey Response'!$M422,"")</f>
        <v/>
      </c>
      <c r="AK424" s="46" t="str">
        <f aca="false">IF($D424="Panel Details",$O424,"")</f>
        <v/>
      </c>
      <c r="AL424" s="46" t="str">
        <f aca="false">IF($D424="Panel Details",8,"")</f>
        <v/>
      </c>
      <c r="AM424" s="46" t="str">
        <f aca="false">IF($D424="Panel Details",$AB424,"")</f>
        <v/>
      </c>
      <c r="AN424" s="46" t="str">
        <f aca="false">IF($D424="Panel Details","Yes","")</f>
        <v/>
      </c>
      <c r="AO424" s="46"/>
      <c r="AP424" s="46" t="str">
        <f aca="false">IF($D424="Followup",'Survey Response'!$D422,"")</f>
        <v/>
      </c>
      <c r="AQ424" s="46" t="str">
        <f aca="false">IF($D424="Followup",'Survey Response'!$E422,"")</f>
        <v/>
      </c>
      <c r="AR424" s="46" t="str">
        <f aca="false">IF($D424="Followup",'Survey Response'!$G422,"")</f>
        <v/>
      </c>
      <c r="AS424" s="46" t="str">
        <f aca="false">IF($D424="Followup",'Survey Response'!$H422,"")</f>
        <v/>
      </c>
      <c r="AT424" s="46" t="str">
        <f aca="false">IF($D424="Followup",'Survey Response'!$M422,"")</f>
        <v/>
      </c>
      <c r="AU424" s="46" t="str">
        <f aca="false">IF($D424="Followup",'Survey Response'!$K422,"")</f>
        <v/>
      </c>
      <c r="AV424" s="46" t="str">
        <f aca="false">IF($D424="Followup",'Survey Response'!$L422,"")</f>
        <v/>
      </c>
      <c r="AW424" s="46" t="str">
        <f aca="false">IF($D424="Followup",IF(AND($P424&lt;&gt;"Yes",$U424&lt;&gt;"Yes"),"Not approved for primary or secondary skill","Approved, but skill(s) no longer have capacity (fully staffed)"),"")</f>
        <v/>
      </c>
    </row>
    <row r="425" customFormat="false" ht="15" hidden="false" customHeight="true" outlineLevel="0" collapsed="false">
      <c r="A425" s="46" t="str">
        <f aca="false">IF('Survey Response'!$D423="","",'Survey Response'!$A423&amp;"|"&amp;LOWER(TRIM('Survey Response'!$D423)))</f>
        <v/>
      </c>
      <c r="B425" s="46" t="str">
        <f aca="false">IF($H425="","",$F425&amp;"|"&amp;$H425)</f>
        <v/>
      </c>
      <c r="C425" s="46" t="str">
        <f aca="false">IF($H425="","",$A425=$B425)</f>
        <v/>
      </c>
      <c r="D425" s="46" t="str">
        <f aca="false">IF($H425="","",IF($E425&lt;&gt;"Yes","Superseded",IF($I425&lt;&gt;"Yes, I'm available for in-person interviews at Chennai","Not Available",IF($Z425&lt;&gt;"","Panel Details","Followup"))))</f>
        <v/>
      </c>
      <c r="E425" s="46" t="str">
        <f aca="false">IF($H425="","",IF(SUMPRODUCT(($H$4:$H$503=$H425)*(($G$4:$G$503&gt;$G425)+($G$4:$G$503=$G425)*($F$4:$F$503&gt;$F425)))=0,"Yes","No"))</f>
        <v/>
      </c>
      <c r="F425" s="47" t="str">
        <f aca="false">IF('Survey Response'!$D423="","",INT('Survey Response'!$A423))</f>
        <v/>
      </c>
      <c r="G425" s="46" t="str">
        <f aca="false">IF('Survey Response'!$D423="","",'Survey Response'!$C423)</f>
        <v/>
      </c>
      <c r="H425" s="46" t="str">
        <f aca="false">IF('Survey Response'!$D423="","",LOWER(TRIM('Survey Response'!$D423)))</f>
        <v/>
      </c>
      <c r="I425" s="46" t="str">
        <f aca="false">IF($H425="","",'Survey Response'!$I423)</f>
        <v/>
      </c>
      <c r="J425" s="46" t="str">
        <f aca="false">IF($H425="","",'Survey Response'!$K423)</f>
        <v/>
      </c>
      <c r="K425" s="46" t="str">
        <f aca="false">IF($J425="","",IF(COUNTIF('Skill Mapping'!$A$2:$A$7,TRIM($J425))=0,"",INDEX('Skill Mapping'!$B$2:$B$7,MATCH(TRIM($J425),'Skill Mapping'!$A$2:$A$7,0))))</f>
        <v/>
      </c>
      <c r="L425" s="46" t="str">
        <f aca="false">IF($H425="","",'Survey Response'!$L423)</f>
        <v/>
      </c>
      <c r="M425" s="46" t="str">
        <f aca="false">IF($L425="","",IF(COUNTIF('Skill Mapping'!$A$2:$A$7,TRIM($L425))=0,"",INDEX('Skill Mapping'!$B$2:$B$7,MATCH(TRIM($L425),'Skill Mapping'!$A$2:$A$7,0))))</f>
        <v/>
      </c>
      <c r="N425" s="46" t="str">
        <f aca="false">IF($H425="","",'Survey Response'!$M423)</f>
        <v/>
      </c>
      <c r="O425" s="46" t="str">
        <f aca="false">IF($H425="","",IF('Survey Response'!$M423="Manager","R2","R1"))</f>
        <v/>
      </c>
      <c r="P425" s="46" t="str">
        <f aca="false">IF($K425="","No",IF(COUNTIFS(MasterPanel!$B:$B,$H425,MasterPanel!$I:$I,$K425,MasterPanel!$K:$K,"Y")&gt;0,"Yes","No"))</f>
        <v>No</v>
      </c>
      <c r="Q425" s="46" t="n">
        <f aca="false">IF($K425="",0,IF(COUNTIF('Gap Sheet'!$A$6:$A$11,TRIM($J425))=0,0,IF($O425="R1",INDEX('Gap Sheet'!$C$6:$C$11,MATCH(TRIM($J425),'Gap Sheet'!$A$6:$A$11,0)),INDEX('Gap Sheet'!$G$6:$G$11,MATCH(TRIM($J425),'Gap Sheet'!$A$6:$A$11,0)))))</f>
        <v>0</v>
      </c>
      <c r="R425" s="46" t="str">
        <f aca="false">IF($K425="","",$K425&amp;"|"&amp;$O425)</f>
        <v/>
      </c>
      <c r="S425" s="46" t="n">
        <f aca="false">IF($R425="",0,COUNTIF($AA$4:$AA424,$R425))</f>
        <v>0</v>
      </c>
      <c r="T425" s="46" t="str">
        <f aca="false">IF(OR($I425&lt;&gt;"Yes, I'm available for in-person interviews at Chennai",$E425&lt;&gt;"Yes",$P425&lt;&gt;"Yes"),"No",IF(($Q425-$S425)&gt;0,"Yes","No"))</f>
        <v>No</v>
      </c>
      <c r="U425" s="46" t="str">
        <f aca="false">IF($M425="","No",IF(COUNTIFS(MasterPanel!$B:$B,$H425,MasterPanel!$I:$I,$M425,MasterPanel!$K:$K,"Y")&gt;0,"Yes","No"))</f>
        <v>No</v>
      </c>
      <c r="V425" s="46" t="n">
        <f aca="false">IF($M425="",0,IF(COUNTIF('Gap Sheet'!$A$6:$A$11,TRIM($L425))=0,0,IF($O425="R1",INDEX('Gap Sheet'!$C$6:$C$11,MATCH(TRIM($L425),'Gap Sheet'!$A$6:$A$11,0)),INDEX('Gap Sheet'!$G$6:$G$11,MATCH(TRIM($L425),'Gap Sheet'!$A$6:$A$11,0)))))</f>
        <v>0</v>
      </c>
      <c r="W425" s="46" t="str">
        <f aca="false">IF($M425="","",$M425&amp;"|"&amp;$O425)</f>
        <v/>
      </c>
      <c r="X425" s="46" t="n">
        <f aca="false">IF($W425="",0,COUNTIF($AA$4:$AA424,$W425))</f>
        <v>0</v>
      </c>
      <c r="Y425" s="46" t="str">
        <f aca="false">IF(OR($I425&lt;&gt;"Yes, I'm available for in-person interviews at Chennai",$E425&lt;&gt;"Yes",$T425="Yes",$U425&lt;&gt;"Yes"),"No",IF(($V425-$X425)&gt;0,"Yes","No"))</f>
        <v>No</v>
      </c>
      <c r="Z425" s="46" t="str">
        <f aca="false">IF($T425="Yes","Primary",IF($Y425="Yes","Secondary",""))</f>
        <v/>
      </c>
      <c r="AA425" s="46" t="str">
        <f aca="false">IF($Z425="Primary",$R425,IF($Z425="Secondary",$W425,""))</f>
        <v/>
      </c>
      <c r="AB425" s="46" t="str">
        <f aca="false">IF($Z425="Primary","Matched on primary skill",IF($Z425="Secondary","Matched on secondary skill (primary not approved or not required)",""))</f>
        <v/>
      </c>
      <c r="AC425" s="47" t="str">
        <f aca="false">IF($D425="Panel Details",$F425,"")</f>
        <v/>
      </c>
      <c r="AD425" s="46" t="str">
        <f aca="false">IF($D425="Panel Details",'Survey Response'!$D423,"")</f>
        <v/>
      </c>
      <c r="AE425" s="46" t="str">
        <f aca="false">IF($D425="Panel Details",'Survey Response'!$E423,"")</f>
        <v/>
      </c>
      <c r="AF425" s="46" t="str">
        <f aca="false">IF($D425="Panel Details",'Survey Response'!$G423,"")</f>
        <v/>
      </c>
      <c r="AG425" s="46" t="str">
        <f aca="false">IF($D425="Panel Details",IF($Z425="Primary",$J425,$L425),"")</f>
        <v/>
      </c>
      <c r="AH425" s="46" t="str">
        <f aca="false">IF($D425="Panel Details",IF($Z425="Primary",$L425,$J425),"")</f>
        <v/>
      </c>
      <c r="AI425" s="46" t="str">
        <f aca="false">IF($D425="Panel Details",'Survey Response'!$H423,"")</f>
        <v/>
      </c>
      <c r="AJ425" s="46" t="str">
        <f aca="false">IF($D425="Panel Details",'Survey Response'!$M423,"")</f>
        <v/>
      </c>
      <c r="AK425" s="46" t="str">
        <f aca="false">IF($D425="Panel Details",$O425,"")</f>
        <v/>
      </c>
      <c r="AL425" s="46" t="str">
        <f aca="false">IF($D425="Panel Details",8,"")</f>
        <v/>
      </c>
      <c r="AM425" s="46" t="str">
        <f aca="false">IF($D425="Panel Details",$AB425,"")</f>
        <v/>
      </c>
      <c r="AN425" s="46" t="str">
        <f aca="false">IF($D425="Panel Details","Yes","")</f>
        <v/>
      </c>
      <c r="AO425" s="46"/>
      <c r="AP425" s="46" t="str">
        <f aca="false">IF($D425="Followup",'Survey Response'!$D423,"")</f>
        <v/>
      </c>
      <c r="AQ425" s="46" t="str">
        <f aca="false">IF($D425="Followup",'Survey Response'!$E423,"")</f>
        <v/>
      </c>
      <c r="AR425" s="46" t="str">
        <f aca="false">IF($D425="Followup",'Survey Response'!$G423,"")</f>
        <v/>
      </c>
      <c r="AS425" s="46" t="str">
        <f aca="false">IF($D425="Followup",'Survey Response'!$H423,"")</f>
        <v/>
      </c>
      <c r="AT425" s="46" t="str">
        <f aca="false">IF($D425="Followup",'Survey Response'!$M423,"")</f>
        <v/>
      </c>
      <c r="AU425" s="46" t="str">
        <f aca="false">IF($D425="Followup",'Survey Response'!$K423,"")</f>
        <v/>
      </c>
      <c r="AV425" s="46" t="str">
        <f aca="false">IF($D425="Followup",'Survey Response'!$L423,"")</f>
        <v/>
      </c>
      <c r="AW425" s="46" t="str">
        <f aca="false">IF($D425="Followup",IF(AND($P425&lt;&gt;"Yes",$U425&lt;&gt;"Yes"),"Not approved for primary or secondary skill","Approved, but skill(s) no longer have capacity (fully staffed)"),"")</f>
        <v/>
      </c>
    </row>
    <row r="426" customFormat="false" ht="15" hidden="false" customHeight="true" outlineLevel="0" collapsed="false">
      <c r="A426" s="46" t="str">
        <f aca="false">IF('Survey Response'!$D424="","",'Survey Response'!$A424&amp;"|"&amp;LOWER(TRIM('Survey Response'!$D424)))</f>
        <v/>
      </c>
      <c r="B426" s="46" t="str">
        <f aca="false">IF($H426="","",$F426&amp;"|"&amp;$H426)</f>
        <v/>
      </c>
      <c r="C426" s="46" t="str">
        <f aca="false">IF($H426="","",$A426=$B426)</f>
        <v/>
      </c>
      <c r="D426" s="46" t="str">
        <f aca="false">IF($H426="","",IF($E426&lt;&gt;"Yes","Superseded",IF($I426&lt;&gt;"Yes, I'm available for in-person interviews at Chennai","Not Available",IF($Z426&lt;&gt;"","Panel Details","Followup"))))</f>
        <v/>
      </c>
      <c r="E426" s="46" t="str">
        <f aca="false">IF($H426="","",IF(SUMPRODUCT(($H$4:$H$503=$H426)*(($G$4:$G$503&gt;$G426)+($G$4:$G$503=$G426)*($F$4:$F$503&gt;$F426)))=0,"Yes","No"))</f>
        <v/>
      </c>
      <c r="F426" s="47" t="str">
        <f aca="false">IF('Survey Response'!$D424="","",INT('Survey Response'!$A424))</f>
        <v/>
      </c>
      <c r="G426" s="46" t="str">
        <f aca="false">IF('Survey Response'!$D424="","",'Survey Response'!$C424)</f>
        <v/>
      </c>
      <c r="H426" s="46" t="str">
        <f aca="false">IF('Survey Response'!$D424="","",LOWER(TRIM('Survey Response'!$D424)))</f>
        <v/>
      </c>
      <c r="I426" s="46" t="str">
        <f aca="false">IF($H426="","",'Survey Response'!$I424)</f>
        <v/>
      </c>
      <c r="J426" s="46" t="str">
        <f aca="false">IF($H426="","",'Survey Response'!$K424)</f>
        <v/>
      </c>
      <c r="K426" s="46" t="str">
        <f aca="false">IF($J426="","",IF(COUNTIF('Skill Mapping'!$A$2:$A$7,TRIM($J426))=0,"",INDEX('Skill Mapping'!$B$2:$B$7,MATCH(TRIM($J426),'Skill Mapping'!$A$2:$A$7,0))))</f>
        <v/>
      </c>
      <c r="L426" s="46" t="str">
        <f aca="false">IF($H426="","",'Survey Response'!$L424)</f>
        <v/>
      </c>
      <c r="M426" s="46" t="str">
        <f aca="false">IF($L426="","",IF(COUNTIF('Skill Mapping'!$A$2:$A$7,TRIM($L426))=0,"",INDEX('Skill Mapping'!$B$2:$B$7,MATCH(TRIM($L426),'Skill Mapping'!$A$2:$A$7,0))))</f>
        <v/>
      </c>
      <c r="N426" s="46" t="str">
        <f aca="false">IF($H426="","",'Survey Response'!$M424)</f>
        <v/>
      </c>
      <c r="O426" s="46" t="str">
        <f aca="false">IF($H426="","",IF('Survey Response'!$M424="Manager","R2","R1"))</f>
        <v/>
      </c>
      <c r="P426" s="46" t="str">
        <f aca="false">IF($K426="","No",IF(COUNTIFS(MasterPanel!$B:$B,$H426,MasterPanel!$I:$I,$K426,MasterPanel!$K:$K,"Y")&gt;0,"Yes","No"))</f>
        <v>No</v>
      </c>
      <c r="Q426" s="46" t="n">
        <f aca="false">IF($K426="",0,IF(COUNTIF('Gap Sheet'!$A$6:$A$11,TRIM($J426))=0,0,IF($O426="R1",INDEX('Gap Sheet'!$C$6:$C$11,MATCH(TRIM($J426),'Gap Sheet'!$A$6:$A$11,0)),INDEX('Gap Sheet'!$G$6:$G$11,MATCH(TRIM($J426),'Gap Sheet'!$A$6:$A$11,0)))))</f>
        <v>0</v>
      </c>
      <c r="R426" s="46" t="str">
        <f aca="false">IF($K426="","",$K426&amp;"|"&amp;$O426)</f>
        <v/>
      </c>
      <c r="S426" s="46" t="n">
        <f aca="false">IF($R426="",0,COUNTIF($AA$4:$AA425,$R426))</f>
        <v>0</v>
      </c>
      <c r="T426" s="46" t="str">
        <f aca="false">IF(OR($I426&lt;&gt;"Yes, I'm available for in-person interviews at Chennai",$E426&lt;&gt;"Yes",$P426&lt;&gt;"Yes"),"No",IF(($Q426-$S426)&gt;0,"Yes","No"))</f>
        <v>No</v>
      </c>
      <c r="U426" s="46" t="str">
        <f aca="false">IF($M426="","No",IF(COUNTIFS(MasterPanel!$B:$B,$H426,MasterPanel!$I:$I,$M426,MasterPanel!$K:$K,"Y")&gt;0,"Yes","No"))</f>
        <v>No</v>
      </c>
      <c r="V426" s="46" t="n">
        <f aca="false">IF($M426="",0,IF(COUNTIF('Gap Sheet'!$A$6:$A$11,TRIM($L426))=0,0,IF($O426="R1",INDEX('Gap Sheet'!$C$6:$C$11,MATCH(TRIM($L426),'Gap Sheet'!$A$6:$A$11,0)),INDEX('Gap Sheet'!$G$6:$G$11,MATCH(TRIM($L426),'Gap Sheet'!$A$6:$A$11,0)))))</f>
        <v>0</v>
      </c>
      <c r="W426" s="46" t="str">
        <f aca="false">IF($M426="","",$M426&amp;"|"&amp;$O426)</f>
        <v/>
      </c>
      <c r="X426" s="46" t="n">
        <f aca="false">IF($W426="",0,COUNTIF($AA$4:$AA425,$W426))</f>
        <v>0</v>
      </c>
      <c r="Y426" s="46" t="str">
        <f aca="false">IF(OR($I426&lt;&gt;"Yes, I'm available for in-person interviews at Chennai",$E426&lt;&gt;"Yes",$T426="Yes",$U426&lt;&gt;"Yes"),"No",IF(($V426-$X426)&gt;0,"Yes","No"))</f>
        <v>No</v>
      </c>
      <c r="Z426" s="46" t="str">
        <f aca="false">IF($T426="Yes","Primary",IF($Y426="Yes","Secondary",""))</f>
        <v/>
      </c>
      <c r="AA426" s="46" t="str">
        <f aca="false">IF($Z426="Primary",$R426,IF($Z426="Secondary",$W426,""))</f>
        <v/>
      </c>
      <c r="AB426" s="46" t="str">
        <f aca="false">IF($Z426="Primary","Matched on primary skill",IF($Z426="Secondary","Matched on secondary skill (primary not approved or not required)",""))</f>
        <v/>
      </c>
      <c r="AC426" s="47" t="str">
        <f aca="false">IF($D426="Panel Details",$F426,"")</f>
        <v/>
      </c>
      <c r="AD426" s="46" t="str">
        <f aca="false">IF($D426="Panel Details",'Survey Response'!$D424,"")</f>
        <v/>
      </c>
      <c r="AE426" s="46" t="str">
        <f aca="false">IF($D426="Panel Details",'Survey Response'!$E424,"")</f>
        <v/>
      </c>
      <c r="AF426" s="46" t="str">
        <f aca="false">IF($D426="Panel Details",'Survey Response'!$G424,"")</f>
        <v/>
      </c>
      <c r="AG426" s="46" t="str">
        <f aca="false">IF($D426="Panel Details",IF($Z426="Primary",$J426,$L426),"")</f>
        <v/>
      </c>
      <c r="AH426" s="46" t="str">
        <f aca="false">IF($D426="Panel Details",IF($Z426="Primary",$L426,$J426),"")</f>
        <v/>
      </c>
      <c r="AI426" s="46" t="str">
        <f aca="false">IF($D426="Panel Details",'Survey Response'!$H424,"")</f>
        <v/>
      </c>
      <c r="AJ426" s="46" t="str">
        <f aca="false">IF($D426="Panel Details",'Survey Response'!$M424,"")</f>
        <v/>
      </c>
      <c r="AK426" s="46" t="str">
        <f aca="false">IF($D426="Panel Details",$O426,"")</f>
        <v/>
      </c>
      <c r="AL426" s="46" t="str">
        <f aca="false">IF($D426="Panel Details",8,"")</f>
        <v/>
      </c>
      <c r="AM426" s="46" t="str">
        <f aca="false">IF($D426="Panel Details",$AB426,"")</f>
        <v/>
      </c>
      <c r="AN426" s="46" t="str">
        <f aca="false">IF($D426="Panel Details","Yes","")</f>
        <v/>
      </c>
      <c r="AO426" s="46"/>
      <c r="AP426" s="46" t="str">
        <f aca="false">IF($D426="Followup",'Survey Response'!$D424,"")</f>
        <v/>
      </c>
      <c r="AQ426" s="46" t="str">
        <f aca="false">IF($D426="Followup",'Survey Response'!$E424,"")</f>
        <v/>
      </c>
      <c r="AR426" s="46" t="str">
        <f aca="false">IF($D426="Followup",'Survey Response'!$G424,"")</f>
        <v/>
      </c>
      <c r="AS426" s="46" t="str">
        <f aca="false">IF($D426="Followup",'Survey Response'!$H424,"")</f>
        <v/>
      </c>
      <c r="AT426" s="46" t="str">
        <f aca="false">IF($D426="Followup",'Survey Response'!$M424,"")</f>
        <v/>
      </c>
      <c r="AU426" s="46" t="str">
        <f aca="false">IF($D426="Followup",'Survey Response'!$K424,"")</f>
        <v/>
      </c>
      <c r="AV426" s="46" t="str">
        <f aca="false">IF($D426="Followup",'Survey Response'!$L424,"")</f>
        <v/>
      </c>
      <c r="AW426" s="46" t="str">
        <f aca="false">IF($D426="Followup",IF(AND($P426&lt;&gt;"Yes",$U426&lt;&gt;"Yes"),"Not approved for primary or secondary skill","Approved, but skill(s) no longer have capacity (fully staffed)"),"")</f>
        <v/>
      </c>
    </row>
    <row r="427" customFormat="false" ht="15" hidden="false" customHeight="true" outlineLevel="0" collapsed="false">
      <c r="A427" s="46" t="str">
        <f aca="false">IF('Survey Response'!$D425="","",'Survey Response'!$A425&amp;"|"&amp;LOWER(TRIM('Survey Response'!$D425)))</f>
        <v/>
      </c>
      <c r="B427" s="46" t="str">
        <f aca="false">IF($H427="","",$F427&amp;"|"&amp;$H427)</f>
        <v/>
      </c>
      <c r="C427" s="46" t="str">
        <f aca="false">IF($H427="","",$A427=$B427)</f>
        <v/>
      </c>
      <c r="D427" s="46" t="str">
        <f aca="false">IF($H427="","",IF($E427&lt;&gt;"Yes","Superseded",IF($I427&lt;&gt;"Yes, I'm available for in-person interviews at Chennai","Not Available",IF($Z427&lt;&gt;"","Panel Details","Followup"))))</f>
        <v/>
      </c>
      <c r="E427" s="46" t="str">
        <f aca="false">IF($H427="","",IF(SUMPRODUCT(($H$4:$H$503=$H427)*(($G$4:$G$503&gt;$G427)+($G$4:$G$503=$G427)*($F$4:$F$503&gt;$F427)))=0,"Yes","No"))</f>
        <v/>
      </c>
      <c r="F427" s="47" t="str">
        <f aca="false">IF('Survey Response'!$D425="","",INT('Survey Response'!$A425))</f>
        <v/>
      </c>
      <c r="G427" s="46" t="str">
        <f aca="false">IF('Survey Response'!$D425="","",'Survey Response'!$C425)</f>
        <v/>
      </c>
      <c r="H427" s="46" t="str">
        <f aca="false">IF('Survey Response'!$D425="","",LOWER(TRIM('Survey Response'!$D425)))</f>
        <v/>
      </c>
      <c r="I427" s="46" t="str">
        <f aca="false">IF($H427="","",'Survey Response'!$I425)</f>
        <v/>
      </c>
      <c r="J427" s="46" t="str">
        <f aca="false">IF($H427="","",'Survey Response'!$K425)</f>
        <v/>
      </c>
      <c r="K427" s="46" t="str">
        <f aca="false">IF($J427="","",IF(COUNTIF('Skill Mapping'!$A$2:$A$7,TRIM($J427))=0,"",INDEX('Skill Mapping'!$B$2:$B$7,MATCH(TRIM($J427),'Skill Mapping'!$A$2:$A$7,0))))</f>
        <v/>
      </c>
      <c r="L427" s="46" t="str">
        <f aca="false">IF($H427="","",'Survey Response'!$L425)</f>
        <v/>
      </c>
      <c r="M427" s="46" t="str">
        <f aca="false">IF($L427="","",IF(COUNTIF('Skill Mapping'!$A$2:$A$7,TRIM($L427))=0,"",INDEX('Skill Mapping'!$B$2:$B$7,MATCH(TRIM($L427),'Skill Mapping'!$A$2:$A$7,0))))</f>
        <v/>
      </c>
      <c r="N427" s="46" t="str">
        <f aca="false">IF($H427="","",'Survey Response'!$M425)</f>
        <v/>
      </c>
      <c r="O427" s="46" t="str">
        <f aca="false">IF($H427="","",IF('Survey Response'!$M425="Manager","R2","R1"))</f>
        <v/>
      </c>
      <c r="P427" s="46" t="str">
        <f aca="false">IF($K427="","No",IF(COUNTIFS(MasterPanel!$B:$B,$H427,MasterPanel!$I:$I,$K427,MasterPanel!$K:$K,"Y")&gt;0,"Yes","No"))</f>
        <v>No</v>
      </c>
      <c r="Q427" s="46" t="n">
        <f aca="false">IF($K427="",0,IF(COUNTIF('Gap Sheet'!$A$6:$A$11,TRIM($J427))=0,0,IF($O427="R1",INDEX('Gap Sheet'!$C$6:$C$11,MATCH(TRIM($J427),'Gap Sheet'!$A$6:$A$11,0)),INDEX('Gap Sheet'!$G$6:$G$11,MATCH(TRIM($J427),'Gap Sheet'!$A$6:$A$11,0)))))</f>
        <v>0</v>
      </c>
      <c r="R427" s="46" t="str">
        <f aca="false">IF($K427="","",$K427&amp;"|"&amp;$O427)</f>
        <v/>
      </c>
      <c r="S427" s="46" t="n">
        <f aca="false">IF($R427="",0,COUNTIF($AA$4:$AA426,$R427))</f>
        <v>0</v>
      </c>
      <c r="T427" s="46" t="str">
        <f aca="false">IF(OR($I427&lt;&gt;"Yes, I'm available for in-person interviews at Chennai",$E427&lt;&gt;"Yes",$P427&lt;&gt;"Yes"),"No",IF(($Q427-$S427)&gt;0,"Yes","No"))</f>
        <v>No</v>
      </c>
      <c r="U427" s="46" t="str">
        <f aca="false">IF($M427="","No",IF(COUNTIFS(MasterPanel!$B:$B,$H427,MasterPanel!$I:$I,$M427,MasterPanel!$K:$K,"Y")&gt;0,"Yes","No"))</f>
        <v>No</v>
      </c>
      <c r="V427" s="46" t="n">
        <f aca="false">IF($M427="",0,IF(COUNTIF('Gap Sheet'!$A$6:$A$11,TRIM($L427))=0,0,IF($O427="R1",INDEX('Gap Sheet'!$C$6:$C$11,MATCH(TRIM($L427),'Gap Sheet'!$A$6:$A$11,0)),INDEX('Gap Sheet'!$G$6:$G$11,MATCH(TRIM($L427),'Gap Sheet'!$A$6:$A$11,0)))))</f>
        <v>0</v>
      </c>
      <c r="W427" s="46" t="str">
        <f aca="false">IF($M427="","",$M427&amp;"|"&amp;$O427)</f>
        <v/>
      </c>
      <c r="X427" s="46" t="n">
        <f aca="false">IF($W427="",0,COUNTIF($AA$4:$AA426,$W427))</f>
        <v>0</v>
      </c>
      <c r="Y427" s="46" t="str">
        <f aca="false">IF(OR($I427&lt;&gt;"Yes, I'm available for in-person interviews at Chennai",$E427&lt;&gt;"Yes",$T427="Yes",$U427&lt;&gt;"Yes"),"No",IF(($V427-$X427)&gt;0,"Yes","No"))</f>
        <v>No</v>
      </c>
      <c r="Z427" s="46" t="str">
        <f aca="false">IF($T427="Yes","Primary",IF($Y427="Yes","Secondary",""))</f>
        <v/>
      </c>
      <c r="AA427" s="46" t="str">
        <f aca="false">IF($Z427="Primary",$R427,IF($Z427="Secondary",$W427,""))</f>
        <v/>
      </c>
      <c r="AB427" s="46" t="str">
        <f aca="false">IF($Z427="Primary","Matched on primary skill",IF($Z427="Secondary","Matched on secondary skill (primary not approved or not required)",""))</f>
        <v/>
      </c>
      <c r="AC427" s="47" t="str">
        <f aca="false">IF($D427="Panel Details",$F427,"")</f>
        <v/>
      </c>
      <c r="AD427" s="46" t="str">
        <f aca="false">IF($D427="Panel Details",'Survey Response'!$D425,"")</f>
        <v/>
      </c>
      <c r="AE427" s="46" t="str">
        <f aca="false">IF($D427="Panel Details",'Survey Response'!$E425,"")</f>
        <v/>
      </c>
      <c r="AF427" s="46" t="str">
        <f aca="false">IF($D427="Panel Details",'Survey Response'!$G425,"")</f>
        <v/>
      </c>
      <c r="AG427" s="46" t="str">
        <f aca="false">IF($D427="Panel Details",IF($Z427="Primary",$J427,$L427),"")</f>
        <v/>
      </c>
      <c r="AH427" s="46" t="str">
        <f aca="false">IF($D427="Panel Details",IF($Z427="Primary",$L427,$J427),"")</f>
        <v/>
      </c>
      <c r="AI427" s="46" t="str">
        <f aca="false">IF($D427="Panel Details",'Survey Response'!$H425,"")</f>
        <v/>
      </c>
      <c r="AJ427" s="46" t="str">
        <f aca="false">IF($D427="Panel Details",'Survey Response'!$M425,"")</f>
        <v/>
      </c>
      <c r="AK427" s="46" t="str">
        <f aca="false">IF($D427="Panel Details",$O427,"")</f>
        <v/>
      </c>
      <c r="AL427" s="46" t="str">
        <f aca="false">IF($D427="Panel Details",8,"")</f>
        <v/>
      </c>
      <c r="AM427" s="46" t="str">
        <f aca="false">IF($D427="Panel Details",$AB427,"")</f>
        <v/>
      </c>
      <c r="AN427" s="46" t="str">
        <f aca="false">IF($D427="Panel Details","Yes","")</f>
        <v/>
      </c>
      <c r="AO427" s="46"/>
      <c r="AP427" s="46" t="str">
        <f aca="false">IF($D427="Followup",'Survey Response'!$D425,"")</f>
        <v/>
      </c>
      <c r="AQ427" s="46" t="str">
        <f aca="false">IF($D427="Followup",'Survey Response'!$E425,"")</f>
        <v/>
      </c>
      <c r="AR427" s="46" t="str">
        <f aca="false">IF($D427="Followup",'Survey Response'!$G425,"")</f>
        <v/>
      </c>
      <c r="AS427" s="46" t="str">
        <f aca="false">IF($D427="Followup",'Survey Response'!$H425,"")</f>
        <v/>
      </c>
      <c r="AT427" s="46" t="str">
        <f aca="false">IF($D427="Followup",'Survey Response'!$M425,"")</f>
        <v/>
      </c>
      <c r="AU427" s="46" t="str">
        <f aca="false">IF($D427="Followup",'Survey Response'!$K425,"")</f>
        <v/>
      </c>
      <c r="AV427" s="46" t="str">
        <f aca="false">IF($D427="Followup",'Survey Response'!$L425,"")</f>
        <v/>
      </c>
      <c r="AW427" s="46" t="str">
        <f aca="false">IF($D427="Followup",IF(AND($P427&lt;&gt;"Yes",$U427&lt;&gt;"Yes"),"Not approved for primary or secondary skill","Approved, but skill(s) no longer have capacity (fully staffed)"),"")</f>
        <v/>
      </c>
    </row>
    <row r="428" customFormat="false" ht="15" hidden="false" customHeight="true" outlineLevel="0" collapsed="false">
      <c r="A428" s="46" t="str">
        <f aca="false">IF('Survey Response'!$D426="","",'Survey Response'!$A426&amp;"|"&amp;LOWER(TRIM('Survey Response'!$D426)))</f>
        <v/>
      </c>
      <c r="B428" s="46" t="str">
        <f aca="false">IF($H428="","",$F428&amp;"|"&amp;$H428)</f>
        <v/>
      </c>
      <c r="C428" s="46" t="str">
        <f aca="false">IF($H428="","",$A428=$B428)</f>
        <v/>
      </c>
      <c r="D428" s="46" t="str">
        <f aca="false">IF($H428="","",IF($E428&lt;&gt;"Yes","Superseded",IF($I428&lt;&gt;"Yes, I'm available for in-person interviews at Chennai","Not Available",IF($Z428&lt;&gt;"","Panel Details","Followup"))))</f>
        <v/>
      </c>
      <c r="E428" s="46" t="str">
        <f aca="false">IF($H428="","",IF(SUMPRODUCT(($H$4:$H$503=$H428)*(($G$4:$G$503&gt;$G428)+($G$4:$G$503=$G428)*($F$4:$F$503&gt;$F428)))=0,"Yes","No"))</f>
        <v/>
      </c>
      <c r="F428" s="47" t="str">
        <f aca="false">IF('Survey Response'!$D426="","",INT('Survey Response'!$A426))</f>
        <v/>
      </c>
      <c r="G428" s="46" t="str">
        <f aca="false">IF('Survey Response'!$D426="","",'Survey Response'!$C426)</f>
        <v/>
      </c>
      <c r="H428" s="46" t="str">
        <f aca="false">IF('Survey Response'!$D426="","",LOWER(TRIM('Survey Response'!$D426)))</f>
        <v/>
      </c>
      <c r="I428" s="46" t="str">
        <f aca="false">IF($H428="","",'Survey Response'!$I426)</f>
        <v/>
      </c>
      <c r="J428" s="46" t="str">
        <f aca="false">IF($H428="","",'Survey Response'!$K426)</f>
        <v/>
      </c>
      <c r="K428" s="46" t="str">
        <f aca="false">IF($J428="","",IF(COUNTIF('Skill Mapping'!$A$2:$A$7,TRIM($J428))=0,"",INDEX('Skill Mapping'!$B$2:$B$7,MATCH(TRIM($J428),'Skill Mapping'!$A$2:$A$7,0))))</f>
        <v/>
      </c>
      <c r="L428" s="46" t="str">
        <f aca="false">IF($H428="","",'Survey Response'!$L426)</f>
        <v/>
      </c>
      <c r="M428" s="46" t="str">
        <f aca="false">IF($L428="","",IF(COUNTIF('Skill Mapping'!$A$2:$A$7,TRIM($L428))=0,"",INDEX('Skill Mapping'!$B$2:$B$7,MATCH(TRIM($L428),'Skill Mapping'!$A$2:$A$7,0))))</f>
        <v/>
      </c>
      <c r="N428" s="46" t="str">
        <f aca="false">IF($H428="","",'Survey Response'!$M426)</f>
        <v/>
      </c>
      <c r="O428" s="46" t="str">
        <f aca="false">IF($H428="","",IF('Survey Response'!$M426="Manager","R2","R1"))</f>
        <v/>
      </c>
      <c r="P428" s="46" t="str">
        <f aca="false">IF($K428="","No",IF(COUNTIFS(MasterPanel!$B:$B,$H428,MasterPanel!$I:$I,$K428,MasterPanel!$K:$K,"Y")&gt;0,"Yes","No"))</f>
        <v>No</v>
      </c>
      <c r="Q428" s="46" t="n">
        <f aca="false">IF($K428="",0,IF(COUNTIF('Gap Sheet'!$A$6:$A$11,TRIM($J428))=0,0,IF($O428="R1",INDEX('Gap Sheet'!$C$6:$C$11,MATCH(TRIM($J428),'Gap Sheet'!$A$6:$A$11,0)),INDEX('Gap Sheet'!$G$6:$G$11,MATCH(TRIM($J428),'Gap Sheet'!$A$6:$A$11,0)))))</f>
        <v>0</v>
      </c>
      <c r="R428" s="46" t="str">
        <f aca="false">IF($K428="","",$K428&amp;"|"&amp;$O428)</f>
        <v/>
      </c>
      <c r="S428" s="46" t="n">
        <f aca="false">IF($R428="",0,COUNTIF($AA$4:$AA427,$R428))</f>
        <v>0</v>
      </c>
      <c r="T428" s="46" t="str">
        <f aca="false">IF(OR($I428&lt;&gt;"Yes, I'm available for in-person interviews at Chennai",$E428&lt;&gt;"Yes",$P428&lt;&gt;"Yes"),"No",IF(($Q428-$S428)&gt;0,"Yes","No"))</f>
        <v>No</v>
      </c>
      <c r="U428" s="46" t="str">
        <f aca="false">IF($M428="","No",IF(COUNTIFS(MasterPanel!$B:$B,$H428,MasterPanel!$I:$I,$M428,MasterPanel!$K:$K,"Y")&gt;0,"Yes","No"))</f>
        <v>No</v>
      </c>
      <c r="V428" s="46" t="n">
        <f aca="false">IF($M428="",0,IF(COUNTIF('Gap Sheet'!$A$6:$A$11,TRIM($L428))=0,0,IF($O428="R1",INDEX('Gap Sheet'!$C$6:$C$11,MATCH(TRIM($L428),'Gap Sheet'!$A$6:$A$11,0)),INDEX('Gap Sheet'!$G$6:$G$11,MATCH(TRIM($L428),'Gap Sheet'!$A$6:$A$11,0)))))</f>
        <v>0</v>
      </c>
      <c r="W428" s="46" t="str">
        <f aca="false">IF($M428="","",$M428&amp;"|"&amp;$O428)</f>
        <v/>
      </c>
      <c r="X428" s="46" t="n">
        <f aca="false">IF($W428="",0,COUNTIF($AA$4:$AA427,$W428))</f>
        <v>0</v>
      </c>
      <c r="Y428" s="46" t="str">
        <f aca="false">IF(OR($I428&lt;&gt;"Yes, I'm available for in-person interviews at Chennai",$E428&lt;&gt;"Yes",$T428="Yes",$U428&lt;&gt;"Yes"),"No",IF(($V428-$X428)&gt;0,"Yes","No"))</f>
        <v>No</v>
      </c>
      <c r="Z428" s="46" t="str">
        <f aca="false">IF($T428="Yes","Primary",IF($Y428="Yes","Secondary",""))</f>
        <v/>
      </c>
      <c r="AA428" s="46" t="str">
        <f aca="false">IF($Z428="Primary",$R428,IF($Z428="Secondary",$W428,""))</f>
        <v/>
      </c>
      <c r="AB428" s="46" t="str">
        <f aca="false">IF($Z428="Primary","Matched on primary skill",IF($Z428="Secondary","Matched on secondary skill (primary not approved or not required)",""))</f>
        <v/>
      </c>
      <c r="AC428" s="47" t="str">
        <f aca="false">IF($D428="Panel Details",$F428,"")</f>
        <v/>
      </c>
      <c r="AD428" s="46" t="str">
        <f aca="false">IF($D428="Panel Details",'Survey Response'!$D426,"")</f>
        <v/>
      </c>
      <c r="AE428" s="46" t="str">
        <f aca="false">IF($D428="Panel Details",'Survey Response'!$E426,"")</f>
        <v/>
      </c>
      <c r="AF428" s="46" t="str">
        <f aca="false">IF($D428="Panel Details",'Survey Response'!$G426,"")</f>
        <v/>
      </c>
      <c r="AG428" s="46" t="str">
        <f aca="false">IF($D428="Panel Details",IF($Z428="Primary",$J428,$L428),"")</f>
        <v/>
      </c>
      <c r="AH428" s="46" t="str">
        <f aca="false">IF($D428="Panel Details",IF($Z428="Primary",$L428,$J428),"")</f>
        <v/>
      </c>
      <c r="AI428" s="46" t="str">
        <f aca="false">IF($D428="Panel Details",'Survey Response'!$H426,"")</f>
        <v/>
      </c>
      <c r="AJ428" s="46" t="str">
        <f aca="false">IF($D428="Panel Details",'Survey Response'!$M426,"")</f>
        <v/>
      </c>
      <c r="AK428" s="46" t="str">
        <f aca="false">IF($D428="Panel Details",$O428,"")</f>
        <v/>
      </c>
      <c r="AL428" s="46" t="str">
        <f aca="false">IF($D428="Panel Details",8,"")</f>
        <v/>
      </c>
      <c r="AM428" s="46" t="str">
        <f aca="false">IF($D428="Panel Details",$AB428,"")</f>
        <v/>
      </c>
      <c r="AN428" s="46" t="str">
        <f aca="false">IF($D428="Panel Details","Yes","")</f>
        <v/>
      </c>
      <c r="AO428" s="46"/>
      <c r="AP428" s="46" t="str">
        <f aca="false">IF($D428="Followup",'Survey Response'!$D426,"")</f>
        <v/>
      </c>
      <c r="AQ428" s="46" t="str">
        <f aca="false">IF($D428="Followup",'Survey Response'!$E426,"")</f>
        <v/>
      </c>
      <c r="AR428" s="46" t="str">
        <f aca="false">IF($D428="Followup",'Survey Response'!$G426,"")</f>
        <v/>
      </c>
      <c r="AS428" s="46" t="str">
        <f aca="false">IF($D428="Followup",'Survey Response'!$H426,"")</f>
        <v/>
      </c>
      <c r="AT428" s="46" t="str">
        <f aca="false">IF($D428="Followup",'Survey Response'!$M426,"")</f>
        <v/>
      </c>
      <c r="AU428" s="46" t="str">
        <f aca="false">IF($D428="Followup",'Survey Response'!$K426,"")</f>
        <v/>
      </c>
      <c r="AV428" s="46" t="str">
        <f aca="false">IF($D428="Followup",'Survey Response'!$L426,"")</f>
        <v/>
      </c>
      <c r="AW428" s="46" t="str">
        <f aca="false">IF($D428="Followup",IF(AND($P428&lt;&gt;"Yes",$U428&lt;&gt;"Yes"),"Not approved for primary or secondary skill","Approved, but skill(s) no longer have capacity (fully staffed)"),"")</f>
        <v/>
      </c>
    </row>
    <row r="429" customFormat="false" ht="15" hidden="false" customHeight="true" outlineLevel="0" collapsed="false">
      <c r="A429" s="46" t="str">
        <f aca="false">IF('Survey Response'!$D427="","",'Survey Response'!$A427&amp;"|"&amp;LOWER(TRIM('Survey Response'!$D427)))</f>
        <v/>
      </c>
      <c r="B429" s="46" t="str">
        <f aca="false">IF($H429="","",$F429&amp;"|"&amp;$H429)</f>
        <v/>
      </c>
      <c r="C429" s="46" t="str">
        <f aca="false">IF($H429="","",$A429=$B429)</f>
        <v/>
      </c>
      <c r="D429" s="46" t="str">
        <f aca="false">IF($H429="","",IF($E429&lt;&gt;"Yes","Superseded",IF($I429&lt;&gt;"Yes, I'm available for in-person interviews at Chennai","Not Available",IF($Z429&lt;&gt;"","Panel Details","Followup"))))</f>
        <v/>
      </c>
      <c r="E429" s="46" t="str">
        <f aca="false">IF($H429="","",IF(SUMPRODUCT(($H$4:$H$503=$H429)*(($G$4:$G$503&gt;$G429)+($G$4:$G$503=$G429)*($F$4:$F$503&gt;$F429)))=0,"Yes","No"))</f>
        <v/>
      </c>
      <c r="F429" s="47" t="str">
        <f aca="false">IF('Survey Response'!$D427="","",INT('Survey Response'!$A427))</f>
        <v/>
      </c>
      <c r="G429" s="46" t="str">
        <f aca="false">IF('Survey Response'!$D427="","",'Survey Response'!$C427)</f>
        <v/>
      </c>
      <c r="H429" s="46" t="str">
        <f aca="false">IF('Survey Response'!$D427="","",LOWER(TRIM('Survey Response'!$D427)))</f>
        <v/>
      </c>
      <c r="I429" s="46" t="str">
        <f aca="false">IF($H429="","",'Survey Response'!$I427)</f>
        <v/>
      </c>
      <c r="J429" s="46" t="str">
        <f aca="false">IF($H429="","",'Survey Response'!$K427)</f>
        <v/>
      </c>
      <c r="K429" s="46" t="str">
        <f aca="false">IF($J429="","",IF(COUNTIF('Skill Mapping'!$A$2:$A$7,TRIM($J429))=0,"",INDEX('Skill Mapping'!$B$2:$B$7,MATCH(TRIM($J429),'Skill Mapping'!$A$2:$A$7,0))))</f>
        <v/>
      </c>
      <c r="L429" s="46" t="str">
        <f aca="false">IF($H429="","",'Survey Response'!$L427)</f>
        <v/>
      </c>
      <c r="M429" s="46" t="str">
        <f aca="false">IF($L429="","",IF(COUNTIF('Skill Mapping'!$A$2:$A$7,TRIM($L429))=0,"",INDEX('Skill Mapping'!$B$2:$B$7,MATCH(TRIM($L429),'Skill Mapping'!$A$2:$A$7,0))))</f>
        <v/>
      </c>
      <c r="N429" s="46" t="str">
        <f aca="false">IF($H429="","",'Survey Response'!$M427)</f>
        <v/>
      </c>
      <c r="O429" s="46" t="str">
        <f aca="false">IF($H429="","",IF('Survey Response'!$M427="Manager","R2","R1"))</f>
        <v/>
      </c>
      <c r="P429" s="46" t="str">
        <f aca="false">IF($K429="","No",IF(COUNTIFS(MasterPanel!$B:$B,$H429,MasterPanel!$I:$I,$K429,MasterPanel!$K:$K,"Y")&gt;0,"Yes","No"))</f>
        <v>No</v>
      </c>
      <c r="Q429" s="46" t="n">
        <f aca="false">IF($K429="",0,IF(COUNTIF('Gap Sheet'!$A$6:$A$11,TRIM($J429))=0,0,IF($O429="R1",INDEX('Gap Sheet'!$C$6:$C$11,MATCH(TRIM($J429),'Gap Sheet'!$A$6:$A$11,0)),INDEX('Gap Sheet'!$G$6:$G$11,MATCH(TRIM($J429),'Gap Sheet'!$A$6:$A$11,0)))))</f>
        <v>0</v>
      </c>
      <c r="R429" s="46" t="str">
        <f aca="false">IF($K429="","",$K429&amp;"|"&amp;$O429)</f>
        <v/>
      </c>
      <c r="S429" s="46" t="n">
        <f aca="false">IF($R429="",0,COUNTIF($AA$4:$AA428,$R429))</f>
        <v>0</v>
      </c>
      <c r="T429" s="46" t="str">
        <f aca="false">IF(OR($I429&lt;&gt;"Yes, I'm available for in-person interviews at Chennai",$E429&lt;&gt;"Yes",$P429&lt;&gt;"Yes"),"No",IF(($Q429-$S429)&gt;0,"Yes","No"))</f>
        <v>No</v>
      </c>
      <c r="U429" s="46" t="str">
        <f aca="false">IF($M429="","No",IF(COUNTIFS(MasterPanel!$B:$B,$H429,MasterPanel!$I:$I,$M429,MasterPanel!$K:$K,"Y")&gt;0,"Yes","No"))</f>
        <v>No</v>
      </c>
      <c r="V429" s="46" t="n">
        <f aca="false">IF($M429="",0,IF(COUNTIF('Gap Sheet'!$A$6:$A$11,TRIM($L429))=0,0,IF($O429="R1",INDEX('Gap Sheet'!$C$6:$C$11,MATCH(TRIM($L429),'Gap Sheet'!$A$6:$A$11,0)),INDEX('Gap Sheet'!$G$6:$G$11,MATCH(TRIM($L429),'Gap Sheet'!$A$6:$A$11,0)))))</f>
        <v>0</v>
      </c>
      <c r="W429" s="46" t="str">
        <f aca="false">IF($M429="","",$M429&amp;"|"&amp;$O429)</f>
        <v/>
      </c>
      <c r="X429" s="46" t="n">
        <f aca="false">IF($W429="",0,COUNTIF($AA$4:$AA428,$W429))</f>
        <v>0</v>
      </c>
      <c r="Y429" s="46" t="str">
        <f aca="false">IF(OR($I429&lt;&gt;"Yes, I'm available for in-person interviews at Chennai",$E429&lt;&gt;"Yes",$T429="Yes",$U429&lt;&gt;"Yes"),"No",IF(($V429-$X429)&gt;0,"Yes","No"))</f>
        <v>No</v>
      </c>
      <c r="Z429" s="46" t="str">
        <f aca="false">IF($T429="Yes","Primary",IF($Y429="Yes","Secondary",""))</f>
        <v/>
      </c>
      <c r="AA429" s="46" t="str">
        <f aca="false">IF($Z429="Primary",$R429,IF($Z429="Secondary",$W429,""))</f>
        <v/>
      </c>
      <c r="AB429" s="46" t="str">
        <f aca="false">IF($Z429="Primary","Matched on primary skill",IF($Z429="Secondary","Matched on secondary skill (primary not approved or not required)",""))</f>
        <v/>
      </c>
      <c r="AC429" s="47" t="str">
        <f aca="false">IF($D429="Panel Details",$F429,"")</f>
        <v/>
      </c>
      <c r="AD429" s="46" t="str">
        <f aca="false">IF($D429="Panel Details",'Survey Response'!$D427,"")</f>
        <v/>
      </c>
      <c r="AE429" s="46" t="str">
        <f aca="false">IF($D429="Panel Details",'Survey Response'!$E427,"")</f>
        <v/>
      </c>
      <c r="AF429" s="46" t="str">
        <f aca="false">IF($D429="Panel Details",'Survey Response'!$G427,"")</f>
        <v/>
      </c>
      <c r="AG429" s="46" t="str">
        <f aca="false">IF($D429="Panel Details",IF($Z429="Primary",$J429,$L429),"")</f>
        <v/>
      </c>
      <c r="AH429" s="46" t="str">
        <f aca="false">IF($D429="Panel Details",IF($Z429="Primary",$L429,$J429),"")</f>
        <v/>
      </c>
      <c r="AI429" s="46" t="str">
        <f aca="false">IF($D429="Panel Details",'Survey Response'!$H427,"")</f>
        <v/>
      </c>
      <c r="AJ429" s="46" t="str">
        <f aca="false">IF($D429="Panel Details",'Survey Response'!$M427,"")</f>
        <v/>
      </c>
      <c r="AK429" s="46" t="str">
        <f aca="false">IF($D429="Panel Details",$O429,"")</f>
        <v/>
      </c>
      <c r="AL429" s="46" t="str">
        <f aca="false">IF($D429="Panel Details",8,"")</f>
        <v/>
      </c>
      <c r="AM429" s="46" t="str">
        <f aca="false">IF($D429="Panel Details",$AB429,"")</f>
        <v/>
      </c>
      <c r="AN429" s="46" t="str">
        <f aca="false">IF($D429="Panel Details","Yes","")</f>
        <v/>
      </c>
      <c r="AO429" s="46"/>
      <c r="AP429" s="46" t="str">
        <f aca="false">IF($D429="Followup",'Survey Response'!$D427,"")</f>
        <v/>
      </c>
      <c r="AQ429" s="46" t="str">
        <f aca="false">IF($D429="Followup",'Survey Response'!$E427,"")</f>
        <v/>
      </c>
      <c r="AR429" s="46" t="str">
        <f aca="false">IF($D429="Followup",'Survey Response'!$G427,"")</f>
        <v/>
      </c>
      <c r="AS429" s="46" t="str">
        <f aca="false">IF($D429="Followup",'Survey Response'!$H427,"")</f>
        <v/>
      </c>
      <c r="AT429" s="46" t="str">
        <f aca="false">IF($D429="Followup",'Survey Response'!$M427,"")</f>
        <v/>
      </c>
      <c r="AU429" s="46" t="str">
        <f aca="false">IF($D429="Followup",'Survey Response'!$K427,"")</f>
        <v/>
      </c>
      <c r="AV429" s="46" t="str">
        <f aca="false">IF($D429="Followup",'Survey Response'!$L427,"")</f>
        <v/>
      </c>
      <c r="AW429" s="46" t="str">
        <f aca="false">IF($D429="Followup",IF(AND($P429&lt;&gt;"Yes",$U429&lt;&gt;"Yes"),"Not approved for primary or secondary skill","Approved, but skill(s) no longer have capacity (fully staffed)"),"")</f>
        <v/>
      </c>
    </row>
    <row r="430" customFormat="false" ht="15" hidden="false" customHeight="true" outlineLevel="0" collapsed="false">
      <c r="A430" s="46" t="str">
        <f aca="false">IF('Survey Response'!$D428="","",'Survey Response'!$A428&amp;"|"&amp;LOWER(TRIM('Survey Response'!$D428)))</f>
        <v/>
      </c>
      <c r="B430" s="46" t="str">
        <f aca="false">IF($H430="","",$F430&amp;"|"&amp;$H430)</f>
        <v/>
      </c>
      <c r="C430" s="46" t="str">
        <f aca="false">IF($H430="","",$A430=$B430)</f>
        <v/>
      </c>
      <c r="D430" s="46" t="str">
        <f aca="false">IF($H430="","",IF($E430&lt;&gt;"Yes","Superseded",IF($I430&lt;&gt;"Yes, I'm available for in-person interviews at Chennai","Not Available",IF($Z430&lt;&gt;"","Panel Details","Followup"))))</f>
        <v/>
      </c>
      <c r="E430" s="46" t="str">
        <f aca="false">IF($H430="","",IF(SUMPRODUCT(($H$4:$H$503=$H430)*(($G$4:$G$503&gt;$G430)+($G$4:$G$503=$G430)*($F$4:$F$503&gt;$F430)))=0,"Yes","No"))</f>
        <v/>
      </c>
      <c r="F430" s="47" t="str">
        <f aca="false">IF('Survey Response'!$D428="","",INT('Survey Response'!$A428))</f>
        <v/>
      </c>
      <c r="G430" s="46" t="str">
        <f aca="false">IF('Survey Response'!$D428="","",'Survey Response'!$C428)</f>
        <v/>
      </c>
      <c r="H430" s="46" t="str">
        <f aca="false">IF('Survey Response'!$D428="","",LOWER(TRIM('Survey Response'!$D428)))</f>
        <v/>
      </c>
      <c r="I430" s="46" t="str">
        <f aca="false">IF($H430="","",'Survey Response'!$I428)</f>
        <v/>
      </c>
      <c r="J430" s="46" t="str">
        <f aca="false">IF($H430="","",'Survey Response'!$K428)</f>
        <v/>
      </c>
      <c r="K430" s="46" t="str">
        <f aca="false">IF($J430="","",IF(COUNTIF('Skill Mapping'!$A$2:$A$7,TRIM($J430))=0,"",INDEX('Skill Mapping'!$B$2:$B$7,MATCH(TRIM($J430),'Skill Mapping'!$A$2:$A$7,0))))</f>
        <v/>
      </c>
      <c r="L430" s="46" t="str">
        <f aca="false">IF($H430="","",'Survey Response'!$L428)</f>
        <v/>
      </c>
      <c r="M430" s="46" t="str">
        <f aca="false">IF($L430="","",IF(COUNTIF('Skill Mapping'!$A$2:$A$7,TRIM($L430))=0,"",INDEX('Skill Mapping'!$B$2:$B$7,MATCH(TRIM($L430),'Skill Mapping'!$A$2:$A$7,0))))</f>
        <v/>
      </c>
      <c r="N430" s="46" t="str">
        <f aca="false">IF($H430="","",'Survey Response'!$M428)</f>
        <v/>
      </c>
      <c r="O430" s="46" t="str">
        <f aca="false">IF($H430="","",IF('Survey Response'!$M428="Manager","R2","R1"))</f>
        <v/>
      </c>
      <c r="P430" s="46" t="str">
        <f aca="false">IF($K430="","No",IF(COUNTIFS(MasterPanel!$B:$B,$H430,MasterPanel!$I:$I,$K430,MasterPanel!$K:$K,"Y")&gt;0,"Yes","No"))</f>
        <v>No</v>
      </c>
      <c r="Q430" s="46" t="n">
        <f aca="false">IF($K430="",0,IF(COUNTIF('Gap Sheet'!$A$6:$A$11,TRIM($J430))=0,0,IF($O430="R1",INDEX('Gap Sheet'!$C$6:$C$11,MATCH(TRIM($J430),'Gap Sheet'!$A$6:$A$11,0)),INDEX('Gap Sheet'!$G$6:$G$11,MATCH(TRIM($J430),'Gap Sheet'!$A$6:$A$11,0)))))</f>
        <v>0</v>
      </c>
      <c r="R430" s="46" t="str">
        <f aca="false">IF($K430="","",$K430&amp;"|"&amp;$O430)</f>
        <v/>
      </c>
      <c r="S430" s="46" t="n">
        <f aca="false">IF($R430="",0,COUNTIF($AA$4:$AA429,$R430))</f>
        <v>0</v>
      </c>
      <c r="T430" s="46" t="str">
        <f aca="false">IF(OR($I430&lt;&gt;"Yes, I'm available for in-person interviews at Chennai",$E430&lt;&gt;"Yes",$P430&lt;&gt;"Yes"),"No",IF(($Q430-$S430)&gt;0,"Yes","No"))</f>
        <v>No</v>
      </c>
      <c r="U430" s="46" t="str">
        <f aca="false">IF($M430="","No",IF(COUNTIFS(MasterPanel!$B:$B,$H430,MasterPanel!$I:$I,$M430,MasterPanel!$K:$K,"Y")&gt;0,"Yes","No"))</f>
        <v>No</v>
      </c>
      <c r="V430" s="46" t="n">
        <f aca="false">IF($M430="",0,IF(COUNTIF('Gap Sheet'!$A$6:$A$11,TRIM($L430))=0,0,IF($O430="R1",INDEX('Gap Sheet'!$C$6:$C$11,MATCH(TRIM($L430),'Gap Sheet'!$A$6:$A$11,0)),INDEX('Gap Sheet'!$G$6:$G$11,MATCH(TRIM($L430),'Gap Sheet'!$A$6:$A$11,0)))))</f>
        <v>0</v>
      </c>
      <c r="W430" s="46" t="str">
        <f aca="false">IF($M430="","",$M430&amp;"|"&amp;$O430)</f>
        <v/>
      </c>
      <c r="X430" s="46" t="n">
        <f aca="false">IF($W430="",0,COUNTIF($AA$4:$AA429,$W430))</f>
        <v>0</v>
      </c>
      <c r="Y430" s="46" t="str">
        <f aca="false">IF(OR($I430&lt;&gt;"Yes, I'm available for in-person interviews at Chennai",$E430&lt;&gt;"Yes",$T430="Yes",$U430&lt;&gt;"Yes"),"No",IF(($V430-$X430)&gt;0,"Yes","No"))</f>
        <v>No</v>
      </c>
      <c r="Z430" s="46" t="str">
        <f aca="false">IF($T430="Yes","Primary",IF($Y430="Yes","Secondary",""))</f>
        <v/>
      </c>
      <c r="AA430" s="46" t="str">
        <f aca="false">IF($Z430="Primary",$R430,IF($Z430="Secondary",$W430,""))</f>
        <v/>
      </c>
      <c r="AB430" s="46" t="str">
        <f aca="false">IF($Z430="Primary","Matched on primary skill",IF($Z430="Secondary","Matched on secondary skill (primary not approved or not required)",""))</f>
        <v/>
      </c>
      <c r="AC430" s="47" t="str">
        <f aca="false">IF($D430="Panel Details",$F430,"")</f>
        <v/>
      </c>
      <c r="AD430" s="46" t="str">
        <f aca="false">IF($D430="Panel Details",'Survey Response'!$D428,"")</f>
        <v/>
      </c>
      <c r="AE430" s="46" t="str">
        <f aca="false">IF($D430="Panel Details",'Survey Response'!$E428,"")</f>
        <v/>
      </c>
      <c r="AF430" s="46" t="str">
        <f aca="false">IF($D430="Panel Details",'Survey Response'!$G428,"")</f>
        <v/>
      </c>
      <c r="AG430" s="46" t="str">
        <f aca="false">IF($D430="Panel Details",IF($Z430="Primary",$J430,$L430),"")</f>
        <v/>
      </c>
      <c r="AH430" s="46" t="str">
        <f aca="false">IF($D430="Panel Details",IF($Z430="Primary",$L430,$J430),"")</f>
        <v/>
      </c>
      <c r="AI430" s="46" t="str">
        <f aca="false">IF($D430="Panel Details",'Survey Response'!$H428,"")</f>
        <v/>
      </c>
      <c r="AJ430" s="46" t="str">
        <f aca="false">IF($D430="Panel Details",'Survey Response'!$M428,"")</f>
        <v/>
      </c>
      <c r="AK430" s="46" t="str">
        <f aca="false">IF($D430="Panel Details",$O430,"")</f>
        <v/>
      </c>
      <c r="AL430" s="46" t="str">
        <f aca="false">IF($D430="Panel Details",8,"")</f>
        <v/>
      </c>
      <c r="AM430" s="46" t="str">
        <f aca="false">IF($D430="Panel Details",$AB430,"")</f>
        <v/>
      </c>
      <c r="AN430" s="46" t="str">
        <f aca="false">IF($D430="Panel Details","Yes","")</f>
        <v/>
      </c>
      <c r="AO430" s="46"/>
      <c r="AP430" s="46" t="str">
        <f aca="false">IF($D430="Followup",'Survey Response'!$D428,"")</f>
        <v/>
      </c>
      <c r="AQ430" s="46" t="str">
        <f aca="false">IF($D430="Followup",'Survey Response'!$E428,"")</f>
        <v/>
      </c>
      <c r="AR430" s="46" t="str">
        <f aca="false">IF($D430="Followup",'Survey Response'!$G428,"")</f>
        <v/>
      </c>
      <c r="AS430" s="46" t="str">
        <f aca="false">IF($D430="Followup",'Survey Response'!$H428,"")</f>
        <v/>
      </c>
      <c r="AT430" s="46" t="str">
        <f aca="false">IF($D430="Followup",'Survey Response'!$M428,"")</f>
        <v/>
      </c>
      <c r="AU430" s="46" t="str">
        <f aca="false">IF($D430="Followup",'Survey Response'!$K428,"")</f>
        <v/>
      </c>
      <c r="AV430" s="46" t="str">
        <f aca="false">IF($D430="Followup",'Survey Response'!$L428,"")</f>
        <v/>
      </c>
      <c r="AW430" s="46" t="str">
        <f aca="false">IF($D430="Followup",IF(AND($P430&lt;&gt;"Yes",$U430&lt;&gt;"Yes"),"Not approved for primary or secondary skill","Approved, but skill(s) no longer have capacity (fully staffed)"),"")</f>
        <v/>
      </c>
    </row>
    <row r="431" customFormat="false" ht="15" hidden="false" customHeight="true" outlineLevel="0" collapsed="false">
      <c r="A431" s="46" t="str">
        <f aca="false">IF('Survey Response'!$D429="","",'Survey Response'!$A429&amp;"|"&amp;LOWER(TRIM('Survey Response'!$D429)))</f>
        <v/>
      </c>
      <c r="B431" s="46" t="str">
        <f aca="false">IF($H431="","",$F431&amp;"|"&amp;$H431)</f>
        <v/>
      </c>
      <c r="C431" s="46" t="str">
        <f aca="false">IF($H431="","",$A431=$B431)</f>
        <v/>
      </c>
      <c r="D431" s="46" t="str">
        <f aca="false">IF($H431="","",IF($E431&lt;&gt;"Yes","Superseded",IF($I431&lt;&gt;"Yes, I'm available for in-person interviews at Chennai","Not Available",IF($Z431&lt;&gt;"","Panel Details","Followup"))))</f>
        <v/>
      </c>
      <c r="E431" s="46" t="str">
        <f aca="false">IF($H431="","",IF(SUMPRODUCT(($H$4:$H$503=$H431)*(($G$4:$G$503&gt;$G431)+($G$4:$G$503=$G431)*($F$4:$F$503&gt;$F431)))=0,"Yes","No"))</f>
        <v/>
      </c>
      <c r="F431" s="47" t="str">
        <f aca="false">IF('Survey Response'!$D429="","",INT('Survey Response'!$A429))</f>
        <v/>
      </c>
      <c r="G431" s="46" t="str">
        <f aca="false">IF('Survey Response'!$D429="","",'Survey Response'!$C429)</f>
        <v/>
      </c>
      <c r="H431" s="46" t="str">
        <f aca="false">IF('Survey Response'!$D429="","",LOWER(TRIM('Survey Response'!$D429)))</f>
        <v/>
      </c>
      <c r="I431" s="46" t="str">
        <f aca="false">IF($H431="","",'Survey Response'!$I429)</f>
        <v/>
      </c>
      <c r="J431" s="46" t="str">
        <f aca="false">IF($H431="","",'Survey Response'!$K429)</f>
        <v/>
      </c>
      <c r="K431" s="46" t="str">
        <f aca="false">IF($J431="","",IF(COUNTIF('Skill Mapping'!$A$2:$A$7,TRIM($J431))=0,"",INDEX('Skill Mapping'!$B$2:$B$7,MATCH(TRIM($J431),'Skill Mapping'!$A$2:$A$7,0))))</f>
        <v/>
      </c>
      <c r="L431" s="46" t="str">
        <f aca="false">IF($H431="","",'Survey Response'!$L429)</f>
        <v/>
      </c>
      <c r="M431" s="46" t="str">
        <f aca="false">IF($L431="","",IF(COUNTIF('Skill Mapping'!$A$2:$A$7,TRIM($L431))=0,"",INDEX('Skill Mapping'!$B$2:$B$7,MATCH(TRIM($L431),'Skill Mapping'!$A$2:$A$7,0))))</f>
        <v/>
      </c>
      <c r="N431" s="46" t="str">
        <f aca="false">IF($H431="","",'Survey Response'!$M429)</f>
        <v/>
      </c>
      <c r="O431" s="46" t="str">
        <f aca="false">IF($H431="","",IF('Survey Response'!$M429="Manager","R2","R1"))</f>
        <v/>
      </c>
      <c r="P431" s="46" t="str">
        <f aca="false">IF($K431="","No",IF(COUNTIFS(MasterPanel!$B:$B,$H431,MasterPanel!$I:$I,$K431,MasterPanel!$K:$K,"Y")&gt;0,"Yes","No"))</f>
        <v>No</v>
      </c>
      <c r="Q431" s="46" t="n">
        <f aca="false">IF($K431="",0,IF(COUNTIF('Gap Sheet'!$A$6:$A$11,TRIM($J431))=0,0,IF($O431="R1",INDEX('Gap Sheet'!$C$6:$C$11,MATCH(TRIM($J431),'Gap Sheet'!$A$6:$A$11,0)),INDEX('Gap Sheet'!$G$6:$G$11,MATCH(TRIM($J431),'Gap Sheet'!$A$6:$A$11,0)))))</f>
        <v>0</v>
      </c>
      <c r="R431" s="46" t="str">
        <f aca="false">IF($K431="","",$K431&amp;"|"&amp;$O431)</f>
        <v/>
      </c>
      <c r="S431" s="46" t="n">
        <f aca="false">IF($R431="",0,COUNTIF($AA$4:$AA430,$R431))</f>
        <v>0</v>
      </c>
      <c r="T431" s="46" t="str">
        <f aca="false">IF(OR($I431&lt;&gt;"Yes, I'm available for in-person interviews at Chennai",$E431&lt;&gt;"Yes",$P431&lt;&gt;"Yes"),"No",IF(($Q431-$S431)&gt;0,"Yes","No"))</f>
        <v>No</v>
      </c>
      <c r="U431" s="46" t="str">
        <f aca="false">IF($M431="","No",IF(COUNTIFS(MasterPanel!$B:$B,$H431,MasterPanel!$I:$I,$M431,MasterPanel!$K:$K,"Y")&gt;0,"Yes","No"))</f>
        <v>No</v>
      </c>
      <c r="V431" s="46" t="n">
        <f aca="false">IF($M431="",0,IF(COUNTIF('Gap Sheet'!$A$6:$A$11,TRIM($L431))=0,0,IF($O431="R1",INDEX('Gap Sheet'!$C$6:$C$11,MATCH(TRIM($L431),'Gap Sheet'!$A$6:$A$11,0)),INDEX('Gap Sheet'!$G$6:$G$11,MATCH(TRIM($L431),'Gap Sheet'!$A$6:$A$11,0)))))</f>
        <v>0</v>
      </c>
      <c r="W431" s="46" t="str">
        <f aca="false">IF($M431="","",$M431&amp;"|"&amp;$O431)</f>
        <v/>
      </c>
      <c r="X431" s="46" t="n">
        <f aca="false">IF($W431="",0,COUNTIF($AA$4:$AA430,$W431))</f>
        <v>0</v>
      </c>
      <c r="Y431" s="46" t="str">
        <f aca="false">IF(OR($I431&lt;&gt;"Yes, I'm available for in-person interviews at Chennai",$E431&lt;&gt;"Yes",$T431="Yes",$U431&lt;&gt;"Yes"),"No",IF(($V431-$X431)&gt;0,"Yes","No"))</f>
        <v>No</v>
      </c>
      <c r="Z431" s="46" t="str">
        <f aca="false">IF($T431="Yes","Primary",IF($Y431="Yes","Secondary",""))</f>
        <v/>
      </c>
      <c r="AA431" s="46" t="str">
        <f aca="false">IF($Z431="Primary",$R431,IF($Z431="Secondary",$W431,""))</f>
        <v/>
      </c>
      <c r="AB431" s="46" t="str">
        <f aca="false">IF($Z431="Primary","Matched on primary skill",IF($Z431="Secondary","Matched on secondary skill (primary not approved or not required)",""))</f>
        <v/>
      </c>
      <c r="AC431" s="47" t="str">
        <f aca="false">IF($D431="Panel Details",$F431,"")</f>
        <v/>
      </c>
      <c r="AD431" s="46" t="str">
        <f aca="false">IF($D431="Panel Details",'Survey Response'!$D429,"")</f>
        <v/>
      </c>
      <c r="AE431" s="46" t="str">
        <f aca="false">IF($D431="Panel Details",'Survey Response'!$E429,"")</f>
        <v/>
      </c>
      <c r="AF431" s="46" t="str">
        <f aca="false">IF($D431="Panel Details",'Survey Response'!$G429,"")</f>
        <v/>
      </c>
      <c r="AG431" s="46" t="str">
        <f aca="false">IF($D431="Panel Details",IF($Z431="Primary",$J431,$L431),"")</f>
        <v/>
      </c>
      <c r="AH431" s="46" t="str">
        <f aca="false">IF($D431="Panel Details",IF($Z431="Primary",$L431,$J431),"")</f>
        <v/>
      </c>
      <c r="AI431" s="46" t="str">
        <f aca="false">IF($D431="Panel Details",'Survey Response'!$H429,"")</f>
        <v/>
      </c>
      <c r="AJ431" s="46" t="str">
        <f aca="false">IF($D431="Panel Details",'Survey Response'!$M429,"")</f>
        <v/>
      </c>
      <c r="AK431" s="46" t="str">
        <f aca="false">IF($D431="Panel Details",$O431,"")</f>
        <v/>
      </c>
      <c r="AL431" s="46" t="str">
        <f aca="false">IF($D431="Panel Details",8,"")</f>
        <v/>
      </c>
      <c r="AM431" s="46" t="str">
        <f aca="false">IF($D431="Panel Details",$AB431,"")</f>
        <v/>
      </c>
      <c r="AN431" s="46" t="str">
        <f aca="false">IF($D431="Panel Details","Yes","")</f>
        <v/>
      </c>
      <c r="AO431" s="46"/>
      <c r="AP431" s="46" t="str">
        <f aca="false">IF($D431="Followup",'Survey Response'!$D429,"")</f>
        <v/>
      </c>
      <c r="AQ431" s="46" t="str">
        <f aca="false">IF($D431="Followup",'Survey Response'!$E429,"")</f>
        <v/>
      </c>
      <c r="AR431" s="46" t="str">
        <f aca="false">IF($D431="Followup",'Survey Response'!$G429,"")</f>
        <v/>
      </c>
      <c r="AS431" s="46" t="str">
        <f aca="false">IF($D431="Followup",'Survey Response'!$H429,"")</f>
        <v/>
      </c>
      <c r="AT431" s="46" t="str">
        <f aca="false">IF($D431="Followup",'Survey Response'!$M429,"")</f>
        <v/>
      </c>
      <c r="AU431" s="46" t="str">
        <f aca="false">IF($D431="Followup",'Survey Response'!$K429,"")</f>
        <v/>
      </c>
      <c r="AV431" s="46" t="str">
        <f aca="false">IF($D431="Followup",'Survey Response'!$L429,"")</f>
        <v/>
      </c>
      <c r="AW431" s="46" t="str">
        <f aca="false">IF($D431="Followup",IF(AND($P431&lt;&gt;"Yes",$U431&lt;&gt;"Yes"),"Not approved for primary or secondary skill","Approved, but skill(s) no longer have capacity (fully staffed)"),"")</f>
        <v/>
      </c>
    </row>
    <row r="432" customFormat="false" ht="15" hidden="false" customHeight="true" outlineLevel="0" collapsed="false">
      <c r="A432" s="46" t="str">
        <f aca="false">IF('Survey Response'!$D430="","",'Survey Response'!$A430&amp;"|"&amp;LOWER(TRIM('Survey Response'!$D430)))</f>
        <v/>
      </c>
      <c r="B432" s="46" t="str">
        <f aca="false">IF($H432="","",$F432&amp;"|"&amp;$H432)</f>
        <v/>
      </c>
      <c r="C432" s="46" t="str">
        <f aca="false">IF($H432="","",$A432=$B432)</f>
        <v/>
      </c>
      <c r="D432" s="46" t="str">
        <f aca="false">IF($H432="","",IF($E432&lt;&gt;"Yes","Superseded",IF($I432&lt;&gt;"Yes, I'm available for in-person interviews at Chennai","Not Available",IF($Z432&lt;&gt;"","Panel Details","Followup"))))</f>
        <v/>
      </c>
      <c r="E432" s="46" t="str">
        <f aca="false">IF($H432="","",IF(SUMPRODUCT(($H$4:$H$503=$H432)*(($G$4:$G$503&gt;$G432)+($G$4:$G$503=$G432)*($F$4:$F$503&gt;$F432)))=0,"Yes","No"))</f>
        <v/>
      </c>
      <c r="F432" s="47" t="str">
        <f aca="false">IF('Survey Response'!$D430="","",INT('Survey Response'!$A430))</f>
        <v/>
      </c>
      <c r="G432" s="46" t="str">
        <f aca="false">IF('Survey Response'!$D430="","",'Survey Response'!$C430)</f>
        <v/>
      </c>
      <c r="H432" s="46" t="str">
        <f aca="false">IF('Survey Response'!$D430="","",LOWER(TRIM('Survey Response'!$D430)))</f>
        <v/>
      </c>
      <c r="I432" s="46" t="str">
        <f aca="false">IF($H432="","",'Survey Response'!$I430)</f>
        <v/>
      </c>
      <c r="J432" s="46" t="str">
        <f aca="false">IF($H432="","",'Survey Response'!$K430)</f>
        <v/>
      </c>
      <c r="K432" s="46" t="str">
        <f aca="false">IF($J432="","",IF(COUNTIF('Skill Mapping'!$A$2:$A$7,TRIM($J432))=0,"",INDEX('Skill Mapping'!$B$2:$B$7,MATCH(TRIM($J432),'Skill Mapping'!$A$2:$A$7,0))))</f>
        <v/>
      </c>
      <c r="L432" s="46" t="str">
        <f aca="false">IF($H432="","",'Survey Response'!$L430)</f>
        <v/>
      </c>
      <c r="M432" s="46" t="str">
        <f aca="false">IF($L432="","",IF(COUNTIF('Skill Mapping'!$A$2:$A$7,TRIM($L432))=0,"",INDEX('Skill Mapping'!$B$2:$B$7,MATCH(TRIM($L432),'Skill Mapping'!$A$2:$A$7,0))))</f>
        <v/>
      </c>
      <c r="N432" s="46" t="str">
        <f aca="false">IF($H432="","",'Survey Response'!$M430)</f>
        <v/>
      </c>
      <c r="O432" s="46" t="str">
        <f aca="false">IF($H432="","",IF('Survey Response'!$M430="Manager","R2","R1"))</f>
        <v/>
      </c>
      <c r="P432" s="46" t="str">
        <f aca="false">IF($K432="","No",IF(COUNTIFS(MasterPanel!$B:$B,$H432,MasterPanel!$I:$I,$K432,MasterPanel!$K:$K,"Y")&gt;0,"Yes","No"))</f>
        <v>No</v>
      </c>
      <c r="Q432" s="46" t="n">
        <f aca="false">IF($K432="",0,IF(COUNTIF('Gap Sheet'!$A$6:$A$11,TRIM($J432))=0,0,IF($O432="R1",INDEX('Gap Sheet'!$C$6:$C$11,MATCH(TRIM($J432),'Gap Sheet'!$A$6:$A$11,0)),INDEX('Gap Sheet'!$G$6:$G$11,MATCH(TRIM($J432),'Gap Sheet'!$A$6:$A$11,0)))))</f>
        <v>0</v>
      </c>
      <c r="R432" s="46" t="str">
        <f aca="false">IF($K432="","",$K432&amp;"|"&amp;$O432)</f>
        <v/>
      </c>
      <c r="S432" s="46" t="n">
        <f aca="false">IF($R432="",0,COUNTIF($AA$4:$AA431,$R432))</f>
        <v>0</v>
      </c>
      <c r="T432" s="46" t="str">
        <f aca="false">IF(OR($I432&lt;&gt;"Yes, I'm available for in-person interviews at Chennai",$E432&lt;&gt;"Yes",$P432&lt;&gt;"Yes"),"No",IF(($Q432-$S432)&gt;0,"Yes","No"))</f>
        <v>No</v>
      </c>
      <c r="U432" s="46" t="str">
        <f aca="false">IF($M432="","No",IF(COUNTIFS(MasterPanel!$B:$B,$H432,MasterPanel!$I:$I,$M432,MasterPanel!$K:$K,"Y")&gt;0,"Yes","No"))</f>
        <v>No</v>
      </c>
      <c r="V432" s="46" t="n">
        <f aca="false">IF($M432="",0,IF(COUNTIF('Gap Sheet'!$A$6:$A$11,TRIM($L432))=0,0,IF($O432="R1",INDEX('Gap Sheet'!$C$6:$C$11,MATCH(TRIM($L432),'Gap Sheet'!$A$6:$A$11,0)),INDEX('Gap Sheet'!$G$6:$G$11,MATCH(TRIM($L432),'Gap Sheet'!$A$6:$A$11,0)))))</f>
        <v>0</v>
      </c>
      <c r="W432" s="46" t="str">
        <f aca="false">IF($M432="","",$M432&amp;"|"&amp;$O432)</f>
        <v/>
      </c>
      <c r="X432" s="46" t="n">
        <f aca="false">IF($W432="",0,COUNTIF($AA$4:$AA431,$W432))</f>
        <v>0</v>
      </c>
      <c r="Y432" s="46" t="str">
        <f aca="false">IF(OR($I432&lt;&gt;"Yes, I'm available for in-person interviews at Chennai",$E432&lt;&gt;"Yes",$T432="Yes",$U432&lt;&gt;"Yes"),"No",IF(($V432-$X432)&gt;0,"Yes","No"))</f>
        <v>No</v>
      </c>
      <c r="Z432" s="46" t="str">
        <f aca="false">IF($T432="Yes","Primary",IF($Y432="Yes","Secondary",""))</f>
        <v/>
      </c>
      <c r="AA432" s="46" t="str">
        <f aca="false">IF($Z432="Primary",$R432,IF($Z432="Secondary",$W432,""))</f>
        <v/>
      </c>
      <c r="AB432" s="46" t="str">
        <f aca="false">IF($Z432="Primary","Matched on primary skill",IF($Z432="Secondary","Matched on secondary skill (primary not approved or not required)",""))</f>
        <v/>
      </c>
      <c r="AC432" s="47" t="str">
        <f aca="false">IF($D432="Panel Details",$F432,"")</f>
        <v/>
      </c>
      <c r="AD432" s="46" t="str">
        <f aca="false">IF($D432="Panel Details",'Survey Response'!$D430,"")</f>
        <v/>
      </c>
      <c r="AE432" s="46" t="str">
        <f aca="false">IF($D432="Panel Details",'Survey Response'!$E430,"")</f>
        <v/>
      </c>
      <c r="AF432" s="46" t="str">
        <f aca="false">IF($D432="Panel Details",'Survey Response'!$G430,"")</f>
        <v/>
      </c>
      <c r="AG432" s="46" t="str">
        <f aca="false">IF($D432="Panel Details",IF($Z432="Primary",$J432,$L432),"")</f>
        <v/>
      </c>
      <c r="AH432" s="46" t="str">
        <f aca="false">IF($D432="Panel Details",IF($Z432="Primary",$L432,$J432),"")</f>
        <v/>
      </c>
      <c r="AI432" s="46" t="str">
        <f aca="false">IF($D432="Panel Details",'Survey Response'!$H430,"")</f>
        <v/>
      </c>
      <c r="AJ432" s="46" t="str">
        <f aca="false">IF($D432="Panel Details",'Survey Response'!$M430,"")</f>
        <v/>
      </c>
      <c r="AK432" s="46" t="str">
        <f aca="false">IF($D432="Panel Details",$O432,"")</f>
        <v/>
      </c>
      <c r="AL432" s="46" t="str">
        <f aca="false">IF($D432="Panel Details",8,"")</f>
        <v/>
      </c>
      <c r="AM432" s="46" t="str">
        <f aca="false">IF($D432="Panel Details",$AB432,"")</f>
        <v/>
      </c>
      <c r="AN432" s="46" t="str">
        <f aca="false">IF($D432="Panel Details","Yes","")</f>
        <v/>
      </c>
      <c r="AO432" s="46"/>
      <c r="AP432" s="46" t="str">
        <f aca="false">IF($D432="Followup",'Survey Response'!$D430,"")</f>
        <v/>
      </c>
      <c r="AQ432" s="46" t="str">
        <f aca="false">IF($D432="Followup",'Survey Response'!$E430,"")</f>
        <v/>
      </c>
      <c r="AR432" s="46" t="str">
        <f aca="false">IF($D432="Followup",'Survey Response'!$G430,"")</f>
        <v/>
      </c>
      <c r="AS432" s="46" t="str">
        <f aca="false">IF($D432="Followup",'Survey Response'!$H430,"")</f>
        <v/>
      </c>
      <c r="AT432" s="46" t="str">
        <f aca="false">IF($D432="Followup",'Survey Response'!$M430,"")</f>
        <v/>
      </c>
      <c r="AU432" s="46" t="str">
        <f aca="false">IF($D432="Followup",'Survey Response'!$K430,"")</f>
        <v/>
      </c>
      <c r="AV432" s="46" t="str">
        <f aca="false">IF($D432="Followup",'Survey Response'!$L430,"")</f>
        <v/>
      </c>
      <c r="AW432" s="46" t="str">
        <f aca="false">IF($D432="Followup",IF(AND($P432&lt;&gt;"Yes",$U432&lt;&gt;"Yes"),"Not approved for primary or secondary skill","Approved, but skill(s) no longer have capacity (fully staffed)"),"")</f>
        <v/>
      </c>
    </row>
    <row r="433" customFormat="false" ht="15" hidden="false" customHeight="true" outlineLevel="0" collapsed="false">
      <c r="A433" s="46" t="str">
        <f aca="false">IF('Survey Response'!$D431="","",'Survey Response'!$A431&amp;"|"&amp;LOWER(TRIM('Survey Response'!$D431)))</f>
        <v/>
      </c>
      <c r="B433" s="46" t="str">
        <f aca="false">IF($H433="","",$F433&amp;"|"&amp;$H433)</f>
        <v/>
      </c>
      <c r="C433" s="46" t="str">
        <f aca="false">IF($H433="","",$A433=$B433)</f>
        <v/>
      </c>
      <c r="D433" s="46" t="str">
        <f aca="false">IF($H433="","",IF($E433&lt;&gt;"Yes","Superseded",IF($I433&lt;&gt;"Yes, I'm available for in-person interviews at Chennai","Not Available",IF($Z433&lt;&gt;"","Panel Details","Followup"))))</f>
        <v/>
      </c>
      <c r="E433" s="46" t="str">
        <f aca="false">IF($H433="","",IF(SUMPRODUCT(($H$4:$H$503=$H433)*(($G$4:$G$503&gt;$G433)+($G$4:$G$503=$G433)*($F$4:$F$503&gt;$F433)))=0,"Yes","No"))</f>
        <v/>
      </c>
      <c r="F433" s="47" t="str">
        <f aca="false">IF('Survey Response'!$D431="","",INT('Survey Response'!$A431))</f>
        <v/>
      </c>
      <c r="G433" s="46" t="str">
        <f aca="false">IF('Survey Response'!$D431="","",'Survey Response'!$C431)</f>
        <v/>
      </c>
      <c r="H433" s="46" t="str">
        <f aca="false">IF('Survey Response'!$D431="","",LOWER(TRIM('Survey Response'!$D431)))</f>
        <v/>
      </c>
      <c r="I433" s="46" t="str">
        <f aca="false">IF($H433="","",'Survey Response'!$I431)</f>
        <v/>
      </c>
      <c r="J433" s="46" t="str">
        <f aca="false">IF($H433="","",'Survey Response'!$K431)</f>
        <v/>
      </c>
      <c r="K433" s="46" t="str">
        <f aca="false">IF($J433="","",IF(COUNTIF('Skill Mapping'!$A$2:$A$7,TRIM($J433))=0,"",INDEX('Skill Mapping'!$B$2:$B$7,MATCH(TRIM($J433),'Skill Mapping'!$A$2:$A$7,0))))</f>
        <v/>
      </c>
      <c r="L433" s="46" t="str">
        <f aca="false">IF($H433="","",'Survey Response'!$L431)</f>
        <v/>
      </c>
      <c r="M433" s="46" t="str">
        <f aca="false">IF($L433="","",IF(COUNTIF('Skill Mapping'!$A$2:$A$7,TRIM($L433))=0,"",INDEX('Skill Mapping'!$B$2:$B$7,MATCH(TRIM($L433),'Skill Mapping'!$A$2:$A$7,0))))</f>
        <v/>
      </c>
      <c r="N433" s="46" t="str">
        <f aca="false">IF($H433="","",'Survey Response'!$M431)</f>
        <v/>
      </c>
      <c r="O433" s="46" t="str">
        <f aca="false">IF($H433="","",IF('Survey Response'!$M431="Manager","R2","R1"))</f>
        <v/>
      </c>
      <c r="P433" s="46" t="str">
        <f aca="false">IF($K433="","No",IF(COUNTIFS(MasterPanel!$B:$B,$H433,MasterPanel!$I:$I,$K433,MasterPanel!$K:$K,"Y")&gt;0,"Yes","No"))</f>
        <v>No</v>
      </c>
      <c r="Q433" s="46" t="n">
        <f aca="false">IF($K433="",0,IF(COUNTIF('Gap Sheet'!$A$6:$A$11,TRIM($J433))=0,0,IF($O433="R1",INDEX('Gap Sheet'!$C$6:$C$11,MATCH(TRIM($J433),'Gap Sheet'!$A$6:$A$11,0)),INDEX('Gap Sheet'!$G$6:$G$11,MATCH(TRIM($J433),'Gap Sheet'!$A$6:$A$11,0)))))</f>
        <v>0</v>
      </c>
      <c r="R433" s="46" t="str">
        <f aca="false">IF($K433="","",$K433&amp;"|"&amp;$O433)</f>
        <v/>
      </c>
      <c r="S433" s="46" t="n">
        <f aca="false">IF($R433="",0,COUNTIF($AA$4:$AA432,$R433))</f>
        <v>0</v>
      </c>
      <c r="T433" s="46" t="str">
        <f aca="false">IF(OR($I433&lt;&gt;"Yes, I'm available for in-person interviews at Chennai",$E433&lt;&gt;"Yes",$P433&lt;&gt;"Yes"),"No",IF(($Q433-$S433)&gt;0,"Yes","No"))</f>
        <v>No</v>
      </c>
      <c r="U433" s="46" t="str">
        <f aca="false">IF($M433="","No",IF(COUNTIFS(MasterPanel!$B:$B,$H433,MasterPanel!$I:$I,$M433,MasterPanel!$K:$K,"Y")&gt;0,"Yes","No"))</f>
        <v>No</v>
      </c>
      <c r="V433" s="46" t="n">
        <f aca="false">IF($M433="",0,IF(COUNTIF('Gap Sheet'!$A$6:$A$11,TRIM($L433))=0,0,IF($O433="R1",INDEX('Gap Sheet'!$C$6:$C$11,MATCH(TRIM($L433),'Gap Sheet'!$A$6:$A$11,0)),INDEX('Gap Sheet'!$G$6:$G$11,MATCH(TRIM($L433),'Gap Sheet'!$A$6:$A$11,0)))))</f>
        <v>0</v>
      </c>
      <c r="W433" s="46" t="str">
        <f aca="false">IF($M433="","",$M433&amp;"|"&amp;$O433)</f>
        <v/>
      </c>
      <c r="X433" s="46" t="n">
        <f aca="false">IF($W433="",0,COUNTIF($AA$4:$AA432,$W433))</f>
        <v>0</v>
      </c>
      <c r="Y433" s="46" t="str">
        <f aca="false">IF(OR($I433&lt;&gt;"Yes, I'm available for in-person interviews at Chennai",$E433&lt;&gt;"Yes",$T433="Yes",$U433&lt;&gt;"Yes"),"No",IF(($V433-$X433)&gt;0,"Yes","No"))</f>
        <v>No</v>
      </c>
      <c r="Z433" s="46" t="str">
        <f aca="false">IF($T433="Yes","Primary",IF($Y433="Yes","Secondary",""))</f>
        <v/>
      </c>
      <c r="AA433" s="46" t="str">
        <f aca="false">IF($Z433="Primary",$R433,IF($Z433="Secondary",$W433,""))</f>
        <v/>
      </c>
      <c r="AB433" s="46" t="str">
        <f aca="false">IF($Z433="Primary","Matched on primary skill",IF($Z433="Secondary","Matched on secondary skill (primary not approved or not required)",""))</f>
        <v/>
      </c>
      <c r="AC433" s="47" t="str">
        <f aca="false">IF($D433="Panel Details",$F433,"")</f>
        <v/>
      </c>
      <c r="AD433" s="46" t="str">
        <f aca="false">IF($D433="Panel Details",'Survey Response'!$D431,"")</f>
        <v/>
      </c>
      <c r="AE433" s="46" t="str">
        <f aca="false">IF($D433="Panel Details",'Survey Response'!$E431,"")</f>
        <v/>
      </c>
      <c r="AF433" s="46" t="str">
        <f aca="false">IF($D433="Panel Details",'Survey Response'!$G431,"")</f>
        <v/>
      </c>
      <c r="AG433" s="46" t="str">
        <f aca="false">IF($D433="Panel Details",IF($Z433="Primary",$J433,$L433),"")</f>
        <v/>
      </c>
      <c r="AH433" s="46" t="str">
        <f aca="false">IF($D433="Panel Details",IF($Z433="Primary",$L433,$J433),"")</f>
        <v/>
      </c>
      <c r="AI433" s="46" t="str">
        <f aca="false">IF($D433="Panel Details",'Survey Response'!$H431,"")</f>
        <v/>
      </c>
      <c r="AJ433" s="46" t="str">
        <f aca="false">IF($D433="Panel Details",'Survey Response'!$M431,"")</f>
        <v/>
      </c>
      <c r="AK433" s="46" t="str">
        <f aca="false">IF($D433="Panel Details",$O433,"")</f>
        <v/>
      </c>
      <c r="AL433" s="46" t="str">
        <f aca="false">IF($D433="Panel Details",8,"")</f>
        <v/>
      </c>
      <c r="AM433" s="46" t="str">
        <f aca="false">IF($D433="Panel Details",$AB433,"")</f>
        <v/>
      </c>
      <c r="AN433" s="46" t="str">
        <f aca="false">IF($D433="Panel Details","Yes","")</f>
        <v/>
      </c>
      <c r="AO433" s="46"/>
      <c r="AP433" s="46" t="str">
        <f aca="false">IF($D433="Followup",'Survey Response'!$D431,"")</f>
        <v/>
      </c>
      <c r="AQ433" s="46" t="str">
        <f aca="false">IF($D433="Followup",'Survey Response'!$E431,"")</f>
        <v/>
      </c>
      <c r="AR433" s="46" t="str">
        <f aca="false">IF($D433="Followup",'Survey Response'!$G431,"")</f>
        <v/>
      </c>
      <c r="AS433" s="46" t="str">
        <f aca="false">IF($D433="Followup",'Survey Response'!$H431,"")</f>
        <v/>
      </c>
      <c r="AT433" s="46" t="str">
        <f aca="false">IF($D433="Followup",'Survey Response'!$M431,"")</f>
        <v/>
      </c>
      <c r="AU433" s="46" t="str">
        <f aca="false">IF($D433="Followup",'Survey Response'!$K431,"")</f>
        <v/>
      </c>
      <c r="AV433" s="46" t="str">
        <f aca="false">IF($D433="Followup",'Survey Response'!$L431,"")</f>
        <v/>
      </c>
      <c r="AW433" s="46" t="str">
        <f aca="false">IF($D433="Followup",IF(AND($P433&lt;&gt;"Yes",$U433&lt;&gt;"Yes"),"Not approved for primary or secondary skill","Approved, but skill(s) no longer have capacity (fully staffed)"),"")</f>
        <v/>
      </c>
    </row>
    <row r="434" customFormat="false" ht="15" hidden="false" customHeight="true" outlineLevel="0" collapsed="false">
      <c r="A434" s="46" t="str">
        <f aca="false">IF('Survey Response'!$D432="","",'Survey Response'!$A432&amp;"|"&amp;LOWER(TRIM('Survey Response'!$D432)))</f>
        <v/>
      </c>
      <c r="B434" s="46" t="str">
        <f aca="false">IF($H434="","",$F434&amp;"|"&amp;$H434)</f>
        <v/>
      </c>
      <c r="C434" s="46" t="str">
        <f aca="false">IF($H434="","",$A434=$B434)</f>
        <v/>
      </c>
      <c r="D434" s="46" t="str">
        <f aca="false">IF($H434="","",IF($E434&lt;&gt;"Yes","Superseded",IF($I434&lt;&gt;"Yes, I'm available for in-person interviews at Chennai","Not Available",IF($Z434&lt;&gt;"","Panel Details","Followup"))))</f>
        <v/>
      </c>
      <c r="E434" s="46" t="str">
        <f aca="false">IF($H434="","",IF(SUMPRODUCT(($H$4:$H$503=$H434)*(($G$4:$G$503&gt;$G434)+($G$4:$G$503=$G434)*($F$4:$F$503&gt;$F434)))=0,"Yes","No"))</f>
        <v/>
      </c>
      <c r="F434" s="47" t="str">
        <f aca="false">IF('Survey Response'!$D432="","",INT('Survey Response'!$A432))</f>
        <v/>
      </c>
      <c r="G434" s="46" t="str">
        <f aca="false">IF('Survey Response'!$D432="","",'Survey Response'!$C432)</f>
        <v/>
      </c>
      <c r="H434" s="46" t="str">
        <f aca="false">IF('Survey Response'!$D432="","",LOWER(TRIM('Survey Response'!$D432)))</f>
        <v/>
      </c>
      <c r="I434" s="46" t="str">
        <f aca="false">IF($H434="","",'Survey Response'!$I432)</f>
        <v/>
      </c>
      <c r="J434" s="46" t="str">
        <f aca="false">IF($H434="","",'Survey Response'!$K432)</f>
        <v/>
      </c>
      <c r="K434" s="46" t="str">
        <f aca="false">IF($J434="","",IF(COUNTIF('Skill Mapping'!$A$2:$A$7,TRIM($J434))=0,"",INDEX('Skill Mapping'!$B$2:$B$7,MATCH(TRIM($J434),'Skill Mapping'!$A$2:$A$7,0))))</f>
        <v/>
      </c>
      <c r="L434" s="46" t="str">
        <f aca="false">IF($H434="","",'Survey Response'!$L432)</f>
        <v/>
      </c>
      <c r="M434" s="46" t="str">
        <f aca="false">IF($L434="","",IF(COUNTIF('Skill Mapping'!$A$2:$A$7,TRIM($L434))=0,"",INDEX('Skill Mapping'!$B$2:$B$7,MATCH(TRIM($L434),'Skill Mapping'!$A$2:$A$7,0))))</f>
        <v/>
      </c>
      <c r="N434" s="46" t="str">
        <f aca="false">IF($H434="","",'Survey Response'!$M432)</f>
        <v/>
      </c>
      <c r="O434" s="46" t="str">
        <f aca="false">IF($H434="","",IF('Survey Response'!$M432="Manager","R2","R1"))</f>
        <v/>
      </c>
      <c r="P434" s="46" t="str">
        <f aca="false">IF($K434="","No",IF(COUNTIFS(MasterPanel!$B:$B,$H434,MasterPanel!$I:$I,$K434,MasterPanel!$K:$K,"Y")&gt;0,"Yes","No"))</f>
        <v>No</v>
      </c>
      <c r="Q434" s="46" t="n">
        <f aca="false">IF($K434="",0,IF(COUNTIF('Gap Sheet'!$A$6:$A$11,TRIM($J434))=0,0,IF($O434="R1",INDEX('Gap Sheet'!$C$6:$C$11,MATCH(TRIM($J434),'Gap Sheet'!$A$6:$A$11,0)),INDEX('Gap Sheet'!$G$6:$G$11,MATCH(TRIM($J434),'Gap Sheet'!$A$6:$A$11,0)))))</f>
        <v>0</v>
      </c>
      <c r="R434" s="46" t="str">
        <f aca="false">IF($K434="","",$K434&amp;"|"&amp;$O434)</f>
        <v/>
      </c>
      <c r="S434" s="46" t="n">
        <f aca="false">IF($R434="",0,COUNTIF($AA$4:$AA433,$R434))</f>
        <v>0</v>
      </c>
      <c r="T434" s="46" t="str">
        <f aca="false">IF(OR($I434&lt;&gt;"Yes, I'm available for in-person interviews at Chennai",$E434&lt;&gt;"Yes",$P434&lt;&gt;"Yes"),"No",IF(($Q434-$S434)&gt;0,"Yes","No"))</f>
        <v>No</v>
      </c>
      <c r="U434" s="46" t="str">
        <f aca="false">IF($M434="","No",IF(COUNTIFS(MasterPanel!$B:$B,$H434,MasterPanel!$I:$I,$M434,MasterPanel!$K:$K,"Y")&gt;0,"Yes","No"))</f>
        <v>No</v>
      </c>
      <c r="V434" s="46" t="n">
        <f aca="false">IF($M434="",0,IF(COUNTIF('Gap Sheet'!$A$6:$A$11,TRIM($L434))=0,0,IF($O434="R1",INDEX('Gap Sheet'!$C$6:$C$11,MATCH(TRIM($L434),'Gap Sheet'!$A$6:$A$11,0)),INDEX('Gap Sheet'!$G$6:$G$11,MATCH(TRIM($L434),'Gap Sheet'!$A$6:$A$11,0)))))</f>
        <v>0</v>
      </c>
      <c r="W434" s="46" t="str">
        <f aca="false">IF($M434="","",$M434&amp;"|"&amp;$O434)</f>
        <v/>
      </c>
      <c r="X434" s="46" t="n">
        <f aca="false">IF($W434="",0,COUNTIF($AA$4:$AA433,$W434))</f>
        <v>0</v>
      </c>
      <c r="Y434" s="46" t="str">
        <f aca="false">IF(OR($I434&lt;&gt;"Yes, I'm available for in-person interviews at Chennai",$E434&lt;&gt;"Yes",$T434="Yes",$U434&lt;&gt;"Yes"),"No",IF(($V434-$X434)&gt;0,"Yes","No"))</f>
        <v>No</v>
      </c>
      <c r="Z434" s="46" t="str">
        <f aca="false">IF($T434="Yes","Primary",IF($Y434="Yes","Secondary",""))</f>
        <v/>
      </c>
      <c r="AA434" s="46" t="str">
        <f aca="false">IF($Z434="Primary",$R434,IF($Z434="Secondary",$W434,""))</f>
        <v/>
      </c>
      <c r="AB434" s="46" t="str">
        <f aca="false">IF($Z434="Primary","Matched on primary skill",IF($Z434="Secondary","Matched on secondary skill (primary not approved or not required)",""))</f>
        <v/>
      </c>
      <c r="AC434" s="47" t="str">
        <f aca="false">IF($D434="Panel Details",$F434,"")</f>
        <v/>
      </c>
      <c r="AD434" s="46" t="str">
        <f aca="false">IF($D434="Panel Details",'Survey Response'!$D432,"")</f>
        <v/>
      </c>
      <c r="AE434" s="46" t="str">
        <f aca="false">IF($D434="Panel Details",'Survey Response'!$E432,"")</f>
        <v/>
      </c>
      <c r="AF434" s="46" t="str">
        <f aca="false">IF($D434="Panel Details",'Survey Response'!$G432,"")</f>
        <v/>
      </c>
      <c r="AG434" s="46" t="str">
        <f aca="false">IF($D434="Panel Details",IF($Z434="Primary",$J434,$L434),"")</f>
        <v/>
      </c>
      <c r="AH434" s="46" t="str">
        <f aca="false">IF($D434="Panel Details",IF($Z434="Primary",$L434,$J434),"")</f>
        <v/>
      </c>
      <c r="AI434" s="46" t="str">
        <f aca="false">IF($D434="Panel Details",'Survey Response'!$H432,"")</f>
        <v/>
      </c>
      <c r="AJ434" s="46" t="str">
        <f aca="false">IF($D434="Panel Details",'Survey Response'!$M432,"")</f>
        <v/>
      </c>
      <c r="AK434" s="46" t="str">
        <f aca="false">IF($D434="Panel Details",$O434,"")</f>
        <v/>
      </c>
      <c r="AL434" s="46" t="str">
        <f aca="false">IF($D434="Panel Details",8,"")</f>
        <v/>
      </c>
      <c r="AM434" s="46" t="str">
        <f aca="false">IF($D434="Panel Details",$AB434,"")</f>
        <v/>
      </c>
      <c r="AN434" s="46" t="str">
        <f aca="false">IF($D434="Panel Details","Yes","")</f>
        <v/>
      </c>
      <c r="AO434" s="46"/>
      <c r="AP434" s="46" t="str">
        <f aca="false">IF($D434="Followup",'Survey Response'!$D432,"")</f>
        <v/>
      </c>
      <c r="AQ434" s="46" t="str">
        <f aca="false">IF($D434="Followup",'Survey Response'!$E432,"")</f>
        <v/>
      </c>
      <c r="AR434" s="46" t="str">
        <f aca="false">IF($D434="Followup",'Survey Response'!$G432,"")</f>
        <v/>
      </c>
      <c r="AS434" s="46" t="str">
        <f aca="false">IF($D434="Followup",'Survey Response'!$H432,"")</f>
        <v/>
      </c>
      <c r="AT434" s="46" t="str">
        <f aca="false">IF($D434="Followup",'Survey Response'!$M432,"")</f>
        <v/>
      </c>
      <c r="AU434" s="46" t="str">
        <f aca="false">IF($D434="Followup",'Survey Response'!$K432,"")</f>
        <v/>
      </c>
      <c r="AV434" s="46" t="str">
        <f aca="false">IF($D434="Followup",'Survey Response'!$L432,"")</f>
        <v/>
      </c>
      <c r="AW434" s="46" t="str">
        <f aca="false">IF($D434="Followup",IF(AND($P434&lt;&gt;"Yes",$U434&lt;&gt;"Yes"),"Not approved for primary or secondary skill","Approved, but skill(s) no longer have capacity (fully staffed)"),"")</f>
        <v/>
      </c>
    </row>
    <row r="435" customFormat="false" ht="15" hidden="false" customHeight="true" outlineLevel="0" collapsed="false">
      <c r="A435" s="46" t="str">
        <f aca="false">IF('Survey Response'!$D433="","",'Survey Response'!$A433&amp;"|"&amp;LOWER(TRIM('Survey Response'!$D433)))</f>
        <v/>
      </c>
      <c r="B435" s="46" t="str">
        <f aca="false">IF($H435="","",$F435&amp;"|"&amp;$H435)</f>
        <v/>
      </c>
      <c r="C435" s="46" t="str">
        <f aca="false">IF($H435="","",$A435=$B435)</f>
        <v/>
      </c>
      <c r="D435" s="46" t="str">
        <f aca="false">IF($H435="","",IF($E435&lt;&gt;"Yes","Superseded",IF($I435&lt;&gt;"Yes, I'm available for in-person interviews at Chennai","Not Available",IF($Z435&lt;&gt;"","Panel Details","Followup"))))</f>
        <v/>
      </c>
      <c r="E435" s="46" t="str">
        <f aca="false">IF($H435="","",IF(SUMPRODUCT(($H$4:$H$503=$H435)*(($G$4:$G$503&gt;$G435)+($G$4:$G$503=$G435)*($F$4:$F$503&gt;$F435)))=0,"Yes","No"))</f>
        <v/>
      </c>
      <c r="F435" s="47" t="str">
        <f aca="false">IF('Survey Response'!$D433="","",INT('Survey Response'!$A433))</f>
        <v/>
      </c>
      <c r="G435" s="46" t="str">
        <f aca="false">IF('Survey Response'!$D433="","",'Survey Response'!$C433)</f>
        <v/>
      </c>
      <c r="H435" s="46" t="str">
        <f aca="false">IF('Survey Response'!$D433="","",LOWER(TRIM('Survey Response'!$D433)))</f>
        <v/>
      </c>
      <c r="I435" s="46" t="str">
        <f aca="false">IF($H435="","",'Survey Response'!$I433)</f>
        <v/>
      </c>
      <c r="J435" s="46" t="str">
        <f aca="false">IF($H435="","",'Survey Response'!$K433)</f>
        <v/>
      </c>
      <c r="K435" s="46" t="str">
        <f aca="false">IF($J435="","",IF(COUNTIF('Skill Mapping'!$A$2:$A$7,TRIM($J435))=0,"",INDEX('Skill Mapping'!$B$2:$B$7,MATCH(TRIM($J435),'Skill Mapping'!$A$2:$A$7,0))))</f>
        <v/>
      </c>
      <c r="L435" s="46" t="str">
        <f aca="false">IF($H435="","",'Survey Response'!$L433)</f>
        <v/>
      </c>
      <c r="M435" s="46" t="str">
        <f aca="false">IF($L435="","",IF(COUNTIF('Skill Mapping'!$A$2:$A$7,TRIM($L435))=0,"",INDEX('Skill Mapping'!$B$2:$B$7,MATCH(TRIM($L435),'Skill Mapping'!$A$2:$A$7,0))))</f>
        <v/>
      </c>
      <c r="N435" s="46" t="str">
        <f aca="false">IF($H435="","",'Survey Response'!$M433)</f>
        <v/>
      </c>
      <c r="O435" s="46" t="str">
        <f aca="false">IF($H435="","",IF('Survey Response'!$M433="Manager","R2","R1"))</f>
        <v/>
      </c>
      <c r="P435" s="46" t="str">
        <f aca="false">IF($K435="","No",IF(COUNTIFS(MasterPanel!$B:$B,$H435,MasterPanel!$I:$I,$K435,MasterPanel!$K:$K,"Y")&gt;0,"Yes","No"))</f>
        <v>No</v>
      </c>
      <c r="Q435" s="46" t="n">
        <f aca="false">IF($K435="",0,IF(COUNTIF('Gap Sheet'!$A$6:$A$11,TRIM($J435))=0,0,IF($O435="R1",INDEX('Gap Sheet'!$C$6:$C$11,MATCH(TRIM($J435),'Gap Sheet'!$A$6:$A$11,0)),INDEX('Gap Sheet'!$G$6:$G$11,MATCH(TRIM($J435),'Gap Sheet'!$A$6:$A$11,0)))))</f>
        <v>0</v>
      </c>
      <c r="R435" s="46" t="str">
        <f aca="false">IF($K435="","",$K435&amp;"|"&amp;$O435)</f>
        <v/>
      </c>
      <c r="S435" s="46" t="n">
        <f aca="false">IF($R435="",0,COUNTIF($AA$4:$AA434,$R435))</f>
        <v>0</v>
      </c>
      <c r="T435" s="46" t="str">
        <f aca="false">IF(OR($I435&lt;&gt;"Yes, I'm available for in-person interviews at Chennai",$E435&lt;&gt;"Yes",$P435&lt;&gt;"Yes"),"No",IF(($Q435-$S435)&gt;0,"Yes","No"))</f>
        <v>No</v>
      </c>
      <c r="U435" s="46" t="str">
        <f aca="false">IF($M435="","No",IF(COUNTIFS(MasterPanel!$B:$B,$H435,MasterPanel!$I:$I,$M435,MasterPanel!$K:$K,"Y")&gt;0,"Yes","No"))</f>
        <v>No</v>
      </c>
      <c r="V435" s="46" t="n">
        <f aca="false">IF($M435="",0,IF(COUNTIF('Gap Sheet'!$A$6:$A$11,TRIM($L435))=0,0,IF($O435="R1",INDEX('Gap Sheet'!$C$6:$C$11,MATCH(TRIM($L435),'Gap Sheet'!$A$6:$A$11,0)),INDEX('Gap Sheet'!$G$6:$G$11,MATCH(TRIM($L435),'Gap Sheet'!$A$6:$A$11,0)))))</f>
        <v>0</v>
      </c>
      <c r="W435" s="46" t="str">
        <f aca="false">IF($M435="","",$M435&amp;"|"&amp;$O435)</f>
        <v/>
      </c>
      <c r="X435" s="46" t="n">
        <f aca="false">IF($W435="",0,COUNTIF($AA$4:$AA434,$W435))</f>
        <v>0</v>
      </c>
      <c r="Y435" s="46" t="str">
        <f aca="false">IF(OR($I435&lt;&gt;"Yes, I'm available for in-person interviews at Chennai",$E435&lt;&gt;"Yes",$T435="Yes",$U435&lt;&gt;"Yes"),"No",IF(($V435-$X435)&gt;0,"Yes","No"))</f>
        <v>No</v>
      </c>
      <c r="Z435" s="46" t="str">
        <f aca="false">IF($T435="Yes","Primary",IF($Y435="Yes","Secondary",""))</f>
        <v/>
      </c>
      <c r="AA435" s="46" t="str">
        <f aca="false">IF($Z435="Primary",$R435,IF($Z435="Secondary",$W435,""))</f>
        <v/>
      </c>
      <c r="AB435" s="46" t="str">
        <f aca="false">IF($Z435="Primary","Matched on primary skill",IF($Z435="Secondary","Matched on secondary skill (primary not approved or not required)",""))</f>
        <v/>
      </c>
      <c r="AC435" s="47" t="str">
        <f aca="false">IF($D435="Panel Details",$F435,"")</f>
        <v/>
      </c>
      <c r="AD435" s="46" t="str">
        <f aca="false">IF($D435="Panel Details",'Survey Response'!$D433,"")</f>
        <v/>
      </c>
      <c r="AE435" s="46" t="str">
        <f aca="false">IF($D435="Panel Details",'Survey Response'!$E433,"")</f>
        <v/>
      </c>
      <c r="AF435" s="46" t="str">
        <f aca="false">IF($D435="Panel Details",'Survey Response'!$G433,"")</f>
        <v/>
      </c>
      <c r="AG435" s="46" t="str">
        <f aca="false">IF($D435="Panel Details",IF($Z435="Primary",$J435,$L435),"")</f>
        <v/>
      </c>
      <c r="AH435" s="46" t="str">
        <f aca="false">IF($D435="Panel Details",IF($Z435="Primary",$L435,$J435),"")</f>
        <v/>
      </c>
      <c r="AI435" s="46" t="str">
        <f aca="false">IF($D435="Panel Details",'Survey Response'!$H433,"")</f>
        <v/>
      </c>
      <c r="AJ435" s="46" t="str">
        <f aca="false">IF($D435="Panel Details",'Survey Response'!$M433,"")</f>
        <v/>
      </c>
      <c r="AK435" s="46" t="str">
        <f aca="false">IF($D435="Panel Details",$O435,"")</f>
        <v/>
      </c>
      <c r="AL435" s="46" t="str">
        <f aca="false">IF($D435="Panel Details",8,"")</f>
        <v/>
      </c>
      <c r="AM435" s="46" t="str">
        <f aca="false">IF($D435="Panel Details",$AB435,"")</f>
        <v/>
      </c>
      <c r="AN435" s="46" t="str">
        <f aca="false">IF($D435="Panel Details","Yes","")</f>
        <v/>
      </c>
      <c r="AO435" s="46"/>
      <c r="AP435" s="46" t="str">
        <f aca="false">IF($D435="Followup",'Survey Response'!$D433,"")</f>
        <v/>
      </c>
      <c r="AQ435" s="46" t="str">
        <f aca="false">IF($D435="Followup",'Survey Response'!$E433,"")</f>
        <v/>
      </c>
      <c r="AR435" s="46" t="str">
        <f aca="false">IF($D435="Followup",'Survey Response'!$G433,"")</f>
        <v/>
      </c>
      <c r="AS435" s="46" t="str">
        <f aca="false">IF($D435="Followup",'Survey Response'!$H433,"")</f>
        <v/>
      </c>
      <c r="AT435" s="46" t="str">
        <f aca="false">IF($D435="Followup",'Survey Response'!$M433,"")</f>
        <v/>
      </c>
      <c r="AU435" s="46" t="str">
        <f aca="false">IF($D435="Followup",'Survey Response'!$K433,"")</f>
        <v/>
      </c>
      <c r="AV435" s="46" t="str">
        <f aca="false">IF($D435="Followup",'Survey Response'!$L433,"")</f>
        <v/>
      </c>
      <c r="AW435" s="46" t="str">
        <f aca="false">IF($D435="Followup",IF(AND($P435&lt;&gt;"Yes",$U435&lt;&gt;"Yes"),"Not approved for primary or secondary skill","Approved, but skill(s) no longer have capacity (fully staffed)"),"")</f>
        <v/>
      </c>
    </row>
    <row r="436" customFormat="false" ht="15" hidden="false" customHeight="true" outlineLevel="0" collapsed="false">
      <c r="A436" s="46" t="str">
        <f aca="false">IF('Survey Response'!$D434="","",'Survey Response'!$A434&amp;"|"&amp;LOWER(TRIM('Survey Response'!$D434)))</f>
        <v/>
      </c>
      <c r="B436" s="46" t="str">
        <f aca="false">IF($H436="","",$F436&amp;"|"&amp;$H436)</f>
        <v/>
      </c>
      <c r="C436" s="46" t="str">
        <f aca="false">IF($H436="","",$A436=$B436)</f>
        <v/>
      </c>
      <c r="D436" s="46" t="str">
        <f aca="false">IF($H436="","",IF($E436&lt;&gt;"Yes","Superseded",IF($I436&lt;&gt;"Yes, I'm available for in-person interviews at Chennai","Not Available",IF($Z436&lt;&gt;"","Panel Details","Followup"))))</f>
        <v/>
      </c>
      <c r="E436" s="46" t="str">
        <f aca="false">IF($H436="","",IF(SUMPRODUCT(($H$4:$H$503=$H436)*(($G$4:$G$503&gt;$G436)+($G$4:$G$503=$G436)*($F$4:$F$503&gt;$F436)))=0,"Yes","No"))</f>
        <v/>
      </c>
      <c r="F436" s="47" t="str">
        <f aca="false">IF('Survey Response'!$D434="","",INT('Survey Response'!$A434))</f>
        <v/>
      </c>
      <c r="G436" s="46" t="str">
        <f aca="false">IF('Survey Response'!$D434="","",'Survey Response'!$C434)</f>
        <v/>
      </c>
      <c r="H436" s="46" t="str">
        <f aca="false">IF('Survey Response'!$D434="","",LOWER(TRIM('Survey Response'!$D434)))</f>
        <v/>
      </c>
      <c r="I436" s="46" t="str">
        <f aca="false">IF($H436="","",'Survey Response'!$I434)</f>
        <v/>
      </c>
      <c r="J436" s="46" t="str">
        <f aca="false">IF($H436="","",'Survey Response'!$K434)</f>
        <v/>
      </c>
      <c r="K436" s="46" t="str">
        <f aca="false">IF($J436="","",IF(COUNTIF('Skill Mapping'!$A$2:$A$7,TRIM($J436))=0,"",INDEX('Skill Mapping'!$B$2:$B$7,MATCH(TRIM($J436),'Skill Mapping'!$A$2:$A$7,0))))</f>
        <v/>
      </c>
      <c r="L436" s="46" t="str">
        <f aca="false">IF($H436="","",'Survey Response'!$L434)</f>
        <v/>
      </c>
      <c r="M436" s="46" t="str">
        <f aca="false">IF($L436="","",IF(COUNTIF('Skill Mapping'!$A$2:$A$7,TRIM($L436))=0,"",INDEX('Skill Mapping'!$B$2:$B$7,MATCH(TRIM($L436),'Skill Mapping'!$A$2:$A$7,0))))</f>
        <v/>
      </c>
      <c r="N436" s="46" t="str">
        <f aca="false">IF($H436="","",'Survey Response'!$M434)</f>
        <v/>
      </c>
      <c r="O436" s="46" t="str">
        <f aca="false">IF($H436="","",IF('Survey Response'!$M434="Manager","R2","R1"))</f>
        <v/>
      </c>
      <c r="P436" s="46" t="str">
        <f aca="false">IF($K436="","No",IF(COUNTIFS(MasterPanel!$B:$B,$H436,MasterPanel!$I:$I,$K436,MasterPanel!$K:$K,"Y")&gt;0,"Yes","No"))</f>
        <v>No</v>
      </c>
      <c r="Q436" s="46" t="n">
        <f aca="false">IF($K436="",0,IF(COUNTIF('Gap Sheet'!$A$6:$A$11,TRIM($J436))=0,0,IF($O436="R1",INDEX('Gap Sheet'!$C$6:$C$11,MATCH(TRIM($J436),'Gap Sheet'!$A$6:$A$11,0)),INDEX('Gap Sheet'!$G$6:$G$11,MATCH(TRIM($J436),'Gap Sheet'!$A$6:$A$11,0)))))</f>
        <v>0</v>
      </c>
      <c r="R436" s="46" t="str">
        <f aca="false">IF($K436="","",$K436&amp;"|"&amp;$O436)</f>
        <v/>
      </c>
      <c r="S436" s="46" t="n">
        <f aca="false">IF($R436="",0,COUNTIF($AA$4:$AA435,$R436))</f>
        <v>0</v>
      </c>
      <c r="T436" s="46" t="str">
        <f aca="false">IF(OR($I436&lt;&gt;"Yes, I'm available for in-person interviews at Chennai",$E436&lt;&gt;"Yes",$P436&lt;&gt;"Yes"),"No",IF(($Q436-$S436)&gt;0,"Yes","No"))</f>
        <v>No</v>
      </c>
      <c r="U436" s="46" t="str">
        <f aca="false">IF($M436="","No",IF(COUNTIFS(MasterPanel!$B:$B,$H436,MasterPanel!$I:$I,$M436,MasterPanel!$K:$K,"Y")&gt;0,"Yes","No"))</f>
        <v>No</v>
      </c>
      <c r="V436" s="46" t="n">
        <f aca="false">IF($M436="",0,IF(COUNTIF('Gap Sheet'!$A$6:$A$11,TRIM($L436))=0,0,IF($O436="R1",INDEX('Gap Sheet'!$C$6:$C$11,MATCH(TRIM($L436),'Gap Sheet'!$A$6:$A$11,0)),INDEX('Gap Sheet'!$G$6:$G$11,MATCH(TRIM($L436),'Gap Sheet'!$A$6:$A$11,0)))))</f>
        <v>0</v>
      </c>
      <c r="W436" s="46" t="str">
        <f aca="false">IF($M436="","",$M436&amp;"|"&amp;$O436)</f>
        <v/>
      </c>
      <c r="X436" s="46" t="n">
        <f aca="false">IF($W436="",0,COUNTIF($AA$4:$AA435,$W436))</f>
        <v>0</v>
      </c>
      <c r="Y436" s="46" t="str">
        <f aca="false">IF(OR($I436&lt;&gt;"Yes, I'm available for in-person interviews at Chennai",$E436&lt;&gt;"Yes",$T436="Yes",$U436&lt;&gt;"Yes"),"No",IF(($V436-$X436)&gt;0,"Yes","No"))</f>
        <v>No</v>
      </c>
      <c r="Z436" s="46" t="str">
        <f aca="false">IF($T436="Yes","Primary",IF($Y436="Yes","Secondary",""))</f>
        <v/>
      </c>
      <c r="AA436" s="46" t="str">
        <f aca="false">IF($Z436="Primary",$R436,IF($Z436="Secondary",$W436,""))</f>
        <v/>
      </c>
      <c r="AB436" s="46" t="str">
        <f aca="false">IF($Z436="Primary","Matched on primary skill",IF($Z436="Secondary","Matched on secondary skill (primary not approved or not required)",""))</f>
        <v/>
      </c>
      <c r="AC436" s="47" t="str">
        <f aca="false">IF($D436="Panel Details",$F436,"")</f>
        <v/>
      </c>
      <c r="AD436" s="46" t="str">
        <f aca="false">IF($D436="Panel Details",'Survey Response'!$D434,"")</f>
        <v/>
      </c>
      <c r="AE436" s="46" t="str">
        <f aca="false">IF($D436="Panel Details",'Survey Response'!$E434,"")</f>
        <v/>
      </c>
      <c r="AF436" s="46" t="str">
        <f aca="false">IF($D436="Panel Details",'Survey Response'!$G434,"")</f>
        <v/>
      </c>
      <c r="AG436" s="46" t="str">
        <f aca="false">IF($D436="Panel Details",IF($Z436="Primary",$J436,$L436),"")</f>
        <v/>
      </c>
      <c r="AH436" s="46" t="str">
        <f aca="false">IF($D436="Panel Details",IF($Z436="Primary",$L436,$J436),"")</f>
        <v/>
      </c>
      <c r="AI436" s="46" t="str">
        <f aca="false">IF($D436="Panel Details",'Survey Response'!$H434,"")</f>
        <v/>
      </c>
      <c r="AJ436" s="46" t="str">
        <f aca="false">IF($D436="Panel Details",'Survey Response'!$M434,"")</f>
        <v/>
      </c>
      <c r="AK436" s="46" t="str">
        <f aca="false">IF($D436="Panel Details",$O436,"")</f>
        <v/>
      </c>
      <c r="AL436" s="46" t="str">
        <f aca="false">IF($D436="Panel Details",8,"")</f>
        <v/>
      </c>
      <c r="AM436" s="46" t="str">
        <f aca="false">IF($D436="Panel Details",$AB436,"")</f>
        <v/>
      </c>
      <c r="AN436" s="46" t="str">
        <f aca="false">IF($D436="Panel Details","Yes","")</f>
        <v/>
      </c>
      <c r="AO436" s="46"/>
      <c r="AP436" s="46" t="str">
        <f aca="false">IF($D436="Followup",'Survey Response'!$D434,"")</f>
        <v/>
      </c>
      <c r="AQ436" s="46" t="str">
        <f aca="false">IF($D436="Followup",'Survey Response'!$E434,"")</f>
        <v/>
      </c>
      <c r="AR436" s="46" t="str">
        <f aca="false">IF($D436="Followup",'Survey Response'!$G434,"")</f>
        <v/>
      </c>
      <c r="AS436" s="46" t="str">
        <f aca="false">IF($D436="Followup",'Survey Response'!$H434,"")</f>
        <v/>
      </c>
      <c r="AT436" s="46" t="str">
        <f aca="false">IF($D436="Followup",'Survey Response'!$M434,"")</f>
        <v/>
      </c>
      <c r="AU436" s="46" t="str">
        <f aca="false">IF($D436="Followup",'Survey Response'!$K434,"")</f>
        <v/>
      </c>
      <c r="AV436" s="46" t="str">
        <f aca="false">IF($D436="Followup",'Survey Response'!$L434,"")</f>
        <v/>
      </c>
      <c r="AW436" s="46" t="str">
        <f aca="false">IF($D436="Followup",IF(AND($P436&lt;&gt;"Yes",$U436&lt;&gt;"Yes"),"Not approved for primary or secondary skill","Approved, but skill(s) no longer have capacity (fully staffed)"),"")</f>
        <v/>
      </c>
    </row>
    <row r="437" customFormat="false" ht="15" hidden="false" customHeight="true" outlineLevel="0" collapsed="false">
      <c r="A437" s="46" t="str">
        <f aca="false">IF('Survey Response'!$D435="","",'Survey Response'!$A435&amp;"|"&amp;LOWER(TRIM('Survey Response'!$D435)))</f>
        <v/>
      </c>
      <c r="B437" s="46" t="str">
        <f aca="false">IF($H437="","",$F437&amp;"|"&amp;$H437)</f>
        <v/>
      </c>
      <c r="C437" s="46" t="str">
        <f aca="false">IF($H437="","",$A437=$B437)</f>
        <v/>
      </c>
      <c r="D437" s="46" t="str">
        <f aca="false">IF($H437="","",IF($E437&lt;&gt;"Yes","Superseded",IF($I437&lt;&gt;"Yes, I'm available for in-person interviews at Chennai","Not Available",IF($Z437&lt;&gt;"","Panel Details","Followup"))))</f>
        <v/>
      </c>
      <c r="E437" s="46" t="str">
        <f aca="false">IF($H437="","",IF(SUMPRODUCT(($H$4:$H$503=$H437)*(($G$4:$G$503&gt;$G437)+($G$4:$G$503=$G437)*($F$4:$F$503&gt;$F437)))=0,"Yes","No"))</f>
        <v/>
      </c>
      <c r="F437" s="47" t="str">
        <f aca="false">IF('Survey Response'!$D435="","",INT('Survey Response'!$A435))</f>
        <v/>
      </c>
      <c r="G437" s="46" t="str">
        <f aca="false">IF('Survey Response'!$D435="","",'Survey Response'!$C435)</f>
        <v/>
      </c>
      <c r="H437" s="46" t="str">
        <f aca="false">IF('Survey Response'!$D435="","",LOWER(TRIM('Survey Response'!$D435)))</f>
        <v/>
      </c>
      <c r="I437" s="46" t="str">
        <f aca="false">IF($H437="","",'Survey Response'!$I435)</f>
        <v/>
      </c>
      <c r="J437" s="46" t="str">
        <f aca="false">IF($H437="","",'Survey Response'!$K435)</f>
        <v/>
      </c>
      <c r="K437" s="46" t="str">
        <f aca="false">IF($J437="","",IF(COUNTIF('Skill Mapping'!$A$2:$A$7,TRIM($J437))=0,"",INDEX('Skill Mapping'!$B$2:$B$7,MATCH(TRIM($J437),'Skill Mapping'!$A$2:$A$7,0))))</f>
        <v/>
      </c>
      <c r="L437" s="46" t="str">
        <f aca="false">IF($H437="","",'Survey Response'!$L435)</f>
        <v/>
      </c>
      <c r="M437" s="46" t="str">
        <f aca="false">IF($L437="","",IF(COUNTIF('Skill Mapping'!$A$2:$A$7,TRIM($L437))=0,"",INDEX('Skill Mapping'!$B$2:$B$7,MATCH(TRIM($L437),'Skill Mapping'!$A$2:$A$7,0))))</f>
        <v/>
      </c>
      <c r="N437" s="46" t="str">
        <f aca="false">IF($H437="","",'Survey Response'!$M435)</f>
        <v/>
      </c>
      <c r="O437" s="46" t="str">
        <f aca="false">IF($H437="","",IF('Survey Response'!$M435="Manager","R2","R1"))</f>
        <v/>
      </c>
      <c r="P437" s="46" t="str">
        <f aca="false">IF($K437="","No",IF(COUNTIFS(MasterPanel!$B:$B,$H437,MasterPanel!$I:$I,$K437,MasterPanel!$K:$K,"Y")&gt;0,"Yes","No"))</f>
        <v>No</v>
      </c>
      <c r="Q437" s="46" t="n">
        <f aca="false">IF($K437="",0,IF(COUNTIF('Gap Sheet'!$A$6:$A$11,TRIM($J437))=0,0,IF($O437="R1",INDEX('Gap Sheet'!$C$6:$C$11,MATCH(TRIM($J437),'Gap Sheet'!$A$6:$A$11,0)),INDEX('Gap Sheet'!$G$6:$G$11,MATCH(TRIM($J437),'Gap Sheet'!$A$6:$A$11,0)))))</f>
        <v>0</v>
      </c>
      <c r="R437" s="46" t="str">
        <f aca="false">IF($K437="","",$K437&amp;"|"&amp;$O437)</f>
        <v/>
      </c>
      <c r="S437" s="46" t="n">
        <f aca="false">IF($R437="",0,COUNTIF($AA$4:$AA436,$R437))</f>
        <v>0</v>
      </c>
      <c r="T437" s="46" t="str">
        <f aca="false">IF(OR($I437&lt;&gt;"Yes, I'm available for in-person interviews at Chennai",$E437&lt;&gt;"Yes",$P437&lt;&gt;"Yes"),"No",IF(($Q437-$S437)&gt;0,"Yes","No"))</f>
        <v>No</v>
      </c>
      <c r="U437" s="46" t="str">
        <f aca="false">IF($M437="","No",IF(COUNTIFS(MasterPanel!$B:$B,$H437,MasterPanel!$I:$I,$M437,MasterPanel!$K:$K,"Y")&gt;0,"Yes","No"))</f>
        <v>No</v>
      </c>
      <c r="V437" s="46" t="n">
        <f aca="false">IF($M437="",0,IF(COUNTIF('Gap Sheet'!$A$6:$A$11,TRIM($L437))=0,0,IF($O437="R1",INDEX('Gap Sheet'!$C$6:$C$11,MATCH(TRIM($L437),'Gap Sheet'!$A$6:$A$11,0)),INDEX('Gap Sheet'!$G$6:$G$11,MATCH(TRIM($L437),'Gap Sheet'!$A$6:$A$11,0)))))</f>
        <v>0</v>
      </c>
      <c r="W437" s="46" t="str">
        <f aca="false">IF($M437="","",$M437&amp;"|"&amp;$O437)</f>
        <v/>
      </c>
      <c r="X437" s="46" t="n">
        <f aca="false">IF($W437="",0,COUNTIF($AA$4:$AA436,$W437))</f>
        <v>0</v>
      </c>
      <c r="Y437" s="46" t="str">
        <f aca="false">IF(OR($I437&lt;&gt;"Yes, I'm available for in-person interviews at Chennai",$E437&lt;&gt;"Yes",$T437="Yes",$U437&lt;&gt;"Yes"),"No",IF(($V437-$X437)&gt;0,"Yes","No"))</f>
        <v>No</v>
      </c>
      <c r="Z437" s="46" t="str">
        <f aca="false">IF($T437="Yes","Primary",IF($Y437="Yes","Secondary",""))</f>
        <v/>
      </c>
      <c r="AA437" s="46" t="str">
        <f aca="false">IF($Z437="Primary",$R437,IF($Z437="Secondary",$W437,""))</f>
        <v/>
      </c>
      <c r="AB437" s="46" t="str">
        <f aca="false">IF($Z437="Primary","Matched on primary skill",IF($Z437="Secondary","Matched on secondary skill (primary not approved or not required)",""))</f>
        <v/>
      </c>
      <c r="AC437" s="47" t="str">
        <f aca="false">IF($D437="Panel Details",$F437,"")</f>
        <v/>
      </c>
      <c r="AD437" s="46" t="str">
        <f aca="false">IF($D437="Panel Details",'Survey Response'!$D435,"")</f>
        <v/>
      </c>
      <c r="AE437" s="46" t="str">
        <f aca="false">IF($D437="Panel Details",'Survey Response'!$E435,"")</f>
        <v/>
      </c>
      <c r="AF437" s="46" t="str">
        <f aca="false">IF($D437="Panel Details",'Survey Response'!$G435,"")</f>
        <v/>
      </c>
      <c r="AG437" s="46" t="str">
        <f aca="false">IF($D437="Panel Details",IF($Z437="Primary",$J437,$L437),"")</f>
        <v/>
      </c>
      <c r="AH437" s="46" t="str">
        <f aca="false">IF($D437="Panel Details",IF($Z437="Primary",$L437,$J437),"")</f>
        <v/>
      </c>
      <c r="AI437" s="46" t="str">
        <f aca="false">IF($D437="Panel Details",'Survey Response'!$H435,"")</f>
        <v/>
      </c>
      <c r="AJ437" s="46" t="str">
        <f aca="false">IF($D437="Panel Details",'Survey Response'!$M435,"")</f>
        <v/>
      </c>
      <c r="AK437" s="46" t="str">
        <f aca="false">IF($D437="Panel Details",$O437,"")</f>
        <v/>
      </c>
      <c r="AL437" s="46" t="str">
        <f aca="false">IF($D437="Panel Details",8,"")</f>
        <v/>
      </c>
      <c r="AM437" s="46" t="str">
        <f aca="false">IF($D437="Panel Details",$AB437,"")</f>
        <v/>
      </c>
      <c r="AN437" s="46" t="str">
        <f aca="false">IF($D437="Panel Details","Yes","")</f>
        <v/>
      </c>
      <c r="AO437" s="46"/>
      <c r="AP437" s="46" t="str">
        <f aca="false">IF($D437="Followup",'Survey Response'!$D435,"")</f>
        <v/>
      </c>
      <c r="AQ437" s="46" t="str">
        <f aca="false">IF($D437="Followup",'Survey Response'!$E435,"")</f>
        <v/>
      </c>
      <c r="AR437" s="46" t="str">
        <f aca="false">IF($D437="Followup",'Survey Response'!$G435,"")</f>
        <v/>
      </c>
      <c r="AS437" s="46" t="str">
        <f aca="false">IF($D437="Followup",'Survey Response'!$H435,"")</f>
        <v/>
      </c>
      <c r="AT437" s="46" t="str">
        <f aca="false">IF($D437="Followup",'Survey Response'!$M435,"")</f>
        <v/>
      </c>
      <c r="AU437" s="46" t="str">
        <f aca="false">IF($D437="Followup",'Survey Response'!$K435,"")</f>
        <v/>
      </c>
      <c r="AV437" s="46" t="str">
        <f aca="false">IF($D437="Followup",'Survey Response'!$L435,"")</f>
        <v/>
      </c>
      <c r="AW437" s="46" t="str">
        <f aca="false">IF($D437="Followup",IF(AND($P437&lt;&gt;"Yes",$U437&lt;&gt;"Yes"),"Not approved for primary or secondary skill","Approved, but skill(s) no longer have capacity (fully staffed)"),"")</f>
        <v/>
      </c>
    </row>
    <row r="438" customFormat="false" ht="15" hidden="false" customHeight="true" outlineLevel="0" collapsed="false">
      <c r="A438" s="46" t="str">
        <f aca="false">IF('Survey Response'!$D436="","",'Survey Response'!$A436&amp;"|"&amp;LOWER(TRIM('Survey Response'!$D436)))</f>
        <v/>
      </c>
      <c r="B438" s="46" t="str">
        <f aca="false">IF($H438="","",$F438&amp;"|"&amp;$H438)</f>
        <v/>
      </c>
      <c r="C438" s="46" t="str">
        <f aca="false">IF($H438="","",$A438=$B438)</f>
        <v/>
      </c>
      <c r="D438" s="46" t="str">
        <f aca="false">IF($H438="","",IF($E438&lt;&gt;"Yes","Superseded",IF($I438&lt;&gt;"Yes, I'm available for in-person interviews at Chennai","Not Available",IF($Z438&lt;&gt;"","Panel Details","Followup"))))</f>
        <v/>
      </c>
      <c r="E438" s="46" t="str">
        <f aca="false">IF($H438="","",IF(SUMPRODUCT(($H$4:$H$503=$H438)*(($G$4:$G$503&gt;$G438)+($G$4:$G$503=$G438)*($F$4:$F$503&gt;$F438)))=0,"Yes","No"))</f>
        <v/>
      </c>
      <c r="F438" s="47" t="str">
        <f aca="false">IF('Survey Response'!$D436="","",INT('Survey Response'!$A436))</f>
        <v/>
      </c>
      <c r="G438" s="46" t="str">
        <f aca="false">IF('Survey Response'!$D436="","",'Survey Response'!$C436)</f>
        <v/>
      </c>
      <c r="H438" s="46" t="str">
        <f aca="false">IF('Survey Response'!$D436="","",LOWER(TRIM('Survey Response'!$D436)))</f>
        <v/>
      </c>
      <c r="I438" s="46" t="str">
        <f aca="false">IF($H438="","",'Survey Response'!$I436)</f>
        <v/>
      </c>
      <c r="J438" s="46" t="str">
        <f aca="false">IF($H438="","",'Survey Response'!$K436)</f>
        <v/>
      </c>
      <c r="K438" s="46" t="str">
        <f aca="false">IF($J438="","",IF(COUNTIF('Skill Mapping'!$A$2:$A$7,TRIM($J438))=0,"",INDEX('Skill Mapping'!$B$2:$B$7,MATCH(TRIM($J438),'Skill Mapping'!$A$2:$A$7,0))))</f>
        <v/>
      </c>
      <c r="L438" s="46" t="str">
        <f aca="false">IF($H438="","",'Survey Response'!$L436)</f>
        <v/>
      </c>
      <c r="M438" s="46" t="str">
        <f aca="false">IF($L438="","",IF(COUNTIF('Skill Mapping'!$A$2:$A$7,TRIM($L438))=0,"",INDEX('Skill Mapping'!$B$2:$B$7,MATCH(TRIM($L438),'Skill Mapping'!$A$2:$A$7,0))))</f>
        <v/>
      </c>
      <c r="N438" s="46" t="str">
        <f aca="false">IF($H438="","",'Survey Response'!$M436)</f>
        <v/>
      </c>
      <c r="O438" s="46" t="str">
        <f aca="false">IF($H438="","",IF('Survey Response'!$M436="Manager","R2","R1"))</f>
        <v/>
      </c>
      <c r="P438" s="46" t="str">
        <f aca="false">IF($K438="","No",IF(COUNTIFS(MasterPanel!$B:$B,$H438,MasterPanel!$I:$I,$K438,MasterPanel!$K:$K,"Y")&gt;0,"Yes","No"))</f>
        <v>No</v>
      </c>
      <c r="Q438" s="46" t="n">
        <f aca="false">IF($K438="",0,IF(COUNTIF('Gap Sheet'!$A$6:$A$11,TRIM($J438))=0,0,IF($O438="R1",INDEX('Gap Sheet'!$C$6:$C$11,MATCH(TRIM($J438),'Gap Sheet'!$A$6:$A$11,0)),INDEX('Gap Sheet'!$G$6:$G$11,MATCH(TRIM($J438),'Gap Sheet'!$A$6:$A$11,0)))))</f>
        <v>0</v>
      </c>
      <c r="R438" s="46" t="str">
        <f aca="false">IF($K438="","",$K438&amp;"|"&amp;$O438)</f>
        <v/>
      </c>
      <c r="S438" s="46" t="n">
        <f aca="false">IF($R438="",0,COUNTIF($AA$4:$AA437,$R438))</f>
        <v>0</v>
      </c>
      <c r="T438" s="46" t="str">
        <f aca="false">IF(OR($I438&lt;&gt;"Yes, I'm available for in-person interviews at Chennai",$E438&lt;&gt;"Yes",$P438&lt;&gt;"Yes"),"No",IF(($Q438-$S438)&gt;0,"Yes","No"))</f>
        <v>No</v>
      </c>
      <c r="U438" s="46" t="str">
        <f aca="false">IF($M438="","No",IF(COUNTIFS(MasterPanel!$B:$B,$H438,MasterPanel!$I:$I,$M438,MasterPanel!$K:$K,"Y")&gt;0,"Yes","No"))</f>
        <v>No</v>
      </c>
      <c r="V438" s="46" t="n">
        <f aca="false">IF($M438="",0,IF(COUNTIF('Gap Sheet'!$A$6:$A$11,TRIM($L438))=0,0,IF($O438="R1",INDEX('Gap Sheet'!$C$6:$C$11,MATCH(TRIM($L438),'Gap Sheet'!$A$6:$A$11,0)),INDEX('Gap Sheet'!$G$6:$G$11,MATCH(TRIM($L438),'Gap Sheet'!$A$6:$A$11,0)))))</f>
        <v>0</v>
      </c>
      <c r="W438" s="46" t="str">
        <f aca="false">IF($M438="","",$M438&amp;"|"&amp;$O438)</f>
        <v/>
      </c>
      <c r="X438" s="46" t="n">
        <f aca="false">IF($W438="",0,COUNTIF($AA$4:$AA437,$W438))</f>
        <v>0</v>
      </c>
      <c r="Y438" s="46" t="str">
        <f aca="false">IF(OR($I438&lt;&gt;"Yes, I'm available for in-person interviews at Chennai",$E438&lt;&gt;"Yes",$T438="Yes",$U438&lt;&gt;"Yes"),"No",IF(($V438-$X438)&gt;0,"Yes","No"))</f>
        <v>No</v>
      </c>
      <c r="Z438" s="46" t="str">
        <f aca="false">IF($T438="Yes","Primary",IF($Y438="Yes","Secondary",""))</f>
        <v/>
      </c>
      <c r="AA438" s="46" t="str">
        <f aca="false">IF($Z438="Primary",$R438,IF($Z438="Secondary",$W438,""))</f>
        <v/>
      </c>
      <c r="AB438" s="46" t="str">
        <f aca="false">IF($Z438="Primary","Matched on primary skill",IF($Z438="Secondary","Matched on secondary skill (primary not approved or not required)",""))</f>
        <v/>
      </c>
      <c r="AC438" s="47" t="str">
        <f aca="false">IF($D438="Panel Details",$F438,"")</f>
        <v/>
      </c>
      <c r="AD438" s="46" t="str">
        <f aca="false">IF($D438="Panel Details",'Survey Response'!$D436,"")</f>
        <v/>
      </c>
      <c r="AE438" s="46" t="str">
        <f aca="false">IF($D438="Panel Details",'Survey Response'!$E436,"")</f>
        <v/>
      </c>
      <c r="AF438" s="46" t="str">
        <f aca="false">IF($D438="Panel Details",'Survey Response'!$G436,"")</f>
        <v/>
      </c>
      <c r="AG438" s="46" t="str">
        <f aca="false">IF($D438="Panel Details",IF($Z438="Primary",$J438,$L438),"")</f>
        <v/>
      </c>
      <c r="AH438" s="46" t="str">
        <f aca="false">IF($D438="Panel Details",IF($Z438="Primary",$L438,$J438),"")</f>
        <v/>
      </c>
      <c r="AI438" s="46" t="str">
        <f aca="false">IF($D438="Panel Details",'Survey Response'!$H436,"")</f>
        <v/>
      </c>
      <c r="AJ438" s="46" t="str">
        <f aca="false">IF($D438="Panel Details",'Survey Response'!$M436,"")</f>
        <v/>
      </c>
      <c r="AK438" s="46" t="str">
        <f aca="false">IF($D438="Panel Details",$O438,"")</f>
        <v/>
      </c>
      <c r="AL438" s="46" t="str">
        <f aca="false">IF($D438="Panel Details",8,"")</f>
        <v/>
      </c>
      <c r="AM438" s="46" t="str">
        <f aca="false">IF($D438="Panel Details",$AB438,"")</f>
        <v/>
      </c>
      <c r="AN438" s="46" t="str">
        <f aca="false">IF($D438="Panel Details","Yes","")</f>
        <v/>
      </c>
      <c r="AO438" s="46"/>
      <c r="AP438" s="46" t="str">
        <f aca="false">IF($D438="Followup",'Survey Response'!$D436,"")</f>
        <v/>
      </c>
      <c r="AQ438" s="46" t="str">
        <f aca="false">IF($D438="Followup",'Survey Response'!$E436,"")</f>
        <v/>
      </c>
      <c r="AR438" s="46" t="str">
        <f aca="false">IF($D438="Followup",'Survey Response'!$G436,"")</f>
        <v/>
      </c>
      <c r="AS438" s="46" t="str">
        <f aca="false">IF($D438="Followup",'Survey Response'!$H436,"")</f>
        <v/>
      </c>
      <c r="AT438" s="46" t="str">
        <f aca="false">IF($D438="Followup",'Survey Response'!$M436,"")</f>
        <v/>
      </c>
      <c r="AU438" s="46" t="str">
        <f aca="false">IF($D438="Followup",'Survey Response'!$K436,"")</f>
        <v/>
      </c>
      <c r="AV438" s="46" t="str">
        <f aca="false">IF($D438="Followup",'Survey Response'!$L436,"")</f>
        <v/>
      </c>
      <c r="AW438" s="46" t="str">
        <f aca="false">IF($D438="Followup",IF(AND($P438&lt;&gt;"Yes",$U438&lt;&gt;"Yes"),"Not approved for primary or secondary skill","Approved, but skill(s) no longer have capacity (fully staffed)"),"")</f>
        <v/>
      </c>
    </row>
    <row r="439" customFormat="false" ht="15" hidden="false" customHeight="true" outlineLevel="0" collapsed="false">
      <c r="A439" s="46" t="str">
        <f aca="false">IF('Survey Response'!$D437="","",'Survey Response'!$A437&amp;"|"&amp;LOWER(TRIM('Survey Response'!$D437)))</f>
        <v/>
      </c>
      <c r="B439" s="46" t="str">
        <f aca="false">IF($H439="","",$F439&amp;"|"&amp;$H439)</f>
        <v/>
      </c>
      <c r="C439" s="46" t="str">
        <f aca="false">IF($H439="","",$A439=$B439)</f>
        <v/>
      </c>
      <c r="D439" s="46" t="str">
        <f aca="false">IF($H439="","",IF($E439&lt;&gt;"Yes","Superseded",IF($I439&lt;&gt;"Yes, I'm available for in-person interviews at Chennai","Not Available",IF($Z439&lt;&gt;"","Panel Details","Followup"))))</f>
        <v/>
      </c>
      <c r="E439" s="46" t="str">
        <f aca="false">IF($H439="","",IF(SUMPRODUCT(($H$4:$H$503=$H439)*(($G$4:$G$503&gt;$G439)+($G$4:$G$503=$G439)*($F$4:$F$503&gt;$F439)))=0,"Yes","No"))</f>
        <v/>
      </c>
      <c r="F439" s="47" t="str">
        <f aca="false">IF('Survey Response'!$D437="","",INT('Survey Response'!$A437))</f>
        <v/>
      </c>
      <c r="G439" s="46" t="str">
        <f aca="false">IF('Survey Response'!$D437="","",'Survey Response'!$C437)</f>
        <v/>
      </c>
      <c r="H439" s="46" t="str">
        <f aca="false">IF('Survey Response'!$D437="","",LOWER(TRIM('Survey Response'!$D437)))</f>
        <v/>
      </c>
      <c r="I439" s="46" t="str">
        <f aca="false">IF($H439="","",'Survey Response'!$I437)</f>
        <v/>
      </c>
      <c r="J439" s="46" t="str">
        <f aca="false">IF($H439="","",'Survey Response'!$K437)</f>
        <v/>
      </c>
      <c r="K439" s="46" t="str">
        <f aca="false">IF($J439="","",IF(COUNTIF('Skill Mapping'!$A$2:$A$7,TRIM($J439))=0,"",INDEX('Skill Mapping'!$B$2:$B$7,MATCH(TRIM($J439),'Skill Mapping'!$A$2:$A$7,0))))</f>
        <v/>
      </c>
      <c r="L439" s="46" t="str">
        <f aca="false">IF($H439="","",'Survey Response'!$L437)</f>
        <v/>
      </c>
      <c r="M439" s="46" t="str">
        <f aca="false">IF($L439="","",IF(COUNTIF('Skill Mapping'!$A$2:$A$7,TRIM($L439))=0,"",INDEX('Skill Mapping'!$B$2:$B$7,MATCH(TRIM($L439),'Skill Mapping'!$A$2:$A$7,0))))</f>
        <v/>
      </c>
      <c r="N439" s="46" t="str">
        <f aca="false">IF($H439="","",'Survey Response'!$M437)</f>
        <v/>
      </c>
      <c r="O439" s="46" t="str">
        <f aca="false">IF($H439="","",IF('Survey Response'!$M437="Manager","R2","R1"))</f>
        <v/>
      </c>
      <c r="P439" s="46" t="str">
        <f aca="false">IF($K439="","No",IF(COUNTIFS(MasterPanel!$B:$B,$H439,MasterPanel!$I:$I,$K439,MasterPanel!$K:$K,"Y")&gt;0,"Yes","No"))</f>
        <v>No</v>
      </c>
      <c r="Q439" s="46" t="n">
        <f aca="false">IF($K439="",0,IF(COUNTIF('Gap Sheet'!$A$6:$A$11,TRIM($J439))=0,0,IF($O439="R1",INDEX('Gap Sheet'!$C$6:$C$11,MATCH(TRIM($J439),'Gap Sheet'!$A$6:$A$11,0)),INDEX('Gap Sheet'!$G$6:$G$11,MATCH(TRIM($J439),'Gap Sheet'!$A$6:$A$11,0)))))</f>
        <v>0</v>
      </c>
      <c r="R439" s="46" t="str">
        <f aca="false">IF($K439="","",$K439&amp;"|"&amp;$O439)</f>
        <v/>
      </c>
      <c r="S439" s="46" t="n">
        <f aca="false">IF($R439="",0,COUNTIF($AA$4:$AA438,$R439))</f>
        <v>0</v>
      </c>
      <c r="T439" s="46" t="str">
        <f aca="false">IF(OR($I439&lt;&gt;"Yes, I'm available for in-person interviews at Chennai",$E439&lt;&gt;"Yes",$P439&lt;&gt;"Yes"),"No",IF(($Q439-$S439)&gt;0,"Yes","No"))</f>
        <v>No</v>
      </c>
      <c r="U439" s="46" t="str">
        <f aca="false">IF($M439="","No",IF(COUNTIFS(MasterPanel!$B:$B,$H439,MasterPanel!$I:$I,$M439,MasterPanel!$K:$K,"Y")&gt;0,"Yes","No"))</f>
        <v>No</v>
      </c>
      <c r="V439" s="46" t="n">
        <f aca="false">IF($M439="",0,IF(COUNTIF('Gap Sheet'!$A$6:$A$11,TRIM($L439))=0,0,IF($O439="R1",INDEX('Gap Sheet'!$C$6:$C$11,MATCH(TRIM($L439),'Gap Sheet'!$A$6:$A$11,0)),INDEX('Gap Sheet'!$G$6:$G$11,MATCH(TRIM($L439),'Gap Sheet'!$A$6:$A$11,0)))))</f>
        <v>0</v>
      </c>
      <c r="W439" s="46" t="str">
        <f aca="false">IF($M439="","",$M439&amp;"|"&amp;$O439)</f>
        <v/>
      </c>
      <c r="X439" s="46" t="n">
        <f aca="false">IF($W439="",0,COUNTIF($AA$4:$AA438,$W439))</f>
        <v>0</v>
      </c>
      <c r="Y439" s="46" t="str">
        <f aca="false">IF(OR($I439&lt;&gt;"Yes, I'm available for in-person interviews at Chennai",$E439&lt;&gt;"Yes",$T439="Yes",$U439&lt;&gt;"Yes"),"No",IF(($V439-$X439)&gt;0,"Yes","No"))</f>
        <v>No</v>
      </c>
      <c r="Z439" s="46" t="str">
        <f aca="false">IF($T439="Yes","Primary",IF($Y439="Yes","Secondary",""))</f>
        <v/>
      </c>
      <c r="AA439" s="46" t="str">
        <f aca="false">IF($Z439="Primary",$R439,IF($Z439="Secondary",$W439,""))</f>
        <v/>
      </c>
      <c r="AB439" s="46" t="str">
        <f aca="false">IF($Z439="Primary","Matched on primary skill",IF($Z439="Secondary","Matched on secondary skill (primary not approved or not required)",""))</f>
        <v/>
      </c>
      <c r="AC439" s="47" t="str">
        <f aca="false">IF($D439="Panel Details",$F439,"")</f>
        <v/>
      </c>
      <c r="AD439" s="46" t="str">
        <f aca="false">IF($D439="Panel Details",'Survey Response'!$D437,"")</f>
        <v/>
      </c>
      <c r="AE439" s="46" t="str">
        <f aca="false">IF($D439="Panel Details",'Survey Response'!$E437,"")</f>
        <v/>
      </c>
      <c r="AF439" s="46" t="str">
        <f aca="false">IF($D439="Panel Details",'Survey Response'!$G437,"")</f>
        <v/>
      </c>
      <c r="AG439" s="46" t="str">
        <f aca="false">IF($D439="Panel Details",IF($Z439="Primary",$J439,$L439),"")</f>
        <v/>
      </c>
      <c r="AH439" s="46" t="str">
        <f aca="false">IF($D439="Panel Details",IF($Z439="Primary",$L439,$J439),"")</f>
        <v/>
      </c>
      <c r="AI439" s="46" t="str">
        <f aca="false">IF($D439="Panel Details",'Survey Response'!$H437,"")</f>
        <v/>
      </c>
      <c r="AJ439" s="46" t="str">
        <f aca="false">IF($D439="Panel Details",'Survey Response'!$M437,"")</f>
        <v/>
      </c>
      <c r="AK439" s="46" t="str">
        <f aca="false">IF($D439="Panel Details",$O439,"")</f>
        <v/>
      </c>
      <c r="AL439" s="46" t="str">
        <f aca="false">IF($D439="Panel Details",8,"")</f>
        <v/>
      </c>
      <c r="AM439" s="46" t="str">
        <f aca="false">IF($D439="Panel Details",$AB439,"")</f>
        <v/>
      </c>
      <c r="AN439" s="46" t="str">
        <f aca="false">IF($D439="Panel Details","Yes","")</f>
        <v/>
      </c>
      <c r="AO439" s="46"/>
      <c r="AP439" s="46" t="str">
        <f aca="false">IF($D439="Followup",'Survey Response'!$D437,"")</f>
        <v/>
      </c>
      <c r="AQ439" s="46" t="str">
        <f aca="false">IF($D439="Followup",'Survey Response'!$E437,"")</f>
        <v/>
      </c>
      <c r="AR439" s="46" t="str">
        <f aca="false">IF($D439="Followup",'Survey Response'!$G437,"")</f>
        <v/>
      </c>
      <c r="AS439" s="46" t="str">
        <f aca="false">IF($D439="Followup",'Survey Response'!$H437,"")</f>
        <v/>
      </c>
      <c r="AT439" s="46" t="str">
        <f aca="false">IF($D439="Followup",'Survey Response'!$M437,"")</f>
        <v/>
      </c>
      <c r="AU439" s="46" t="str">
        <f aca="false">IF($D439="Followup",'Survey Response'!$K437,"")</f>
        <v/>
      </c>
      <c r="AV439" s="46" t="str">
        <f aca="false">IF($D439="Followup",'Survey Response'!$L437,"")</f>
        <v/>
      </c>
      <c r="AW439" s="46" t="str">
        <f aca="false">IF($D439="Followup",IF(AND($P439&lt;&gt;"Yes",$U439&lt;&gt;"Yes"),"Not approved for primary or secondary skill","Approved, but skill(s) no longer have capacity (fully staffed)"),"")</f>
        <v/>
      </c>
    </row>
    <row r="440" customFormat="false" ht="15" hidden="false" customHeight="true" outlineLevel="0" collapsed="false">
      <c r="A440" s="46" t="str">
        <f aca="false">IF('Survey Response'!$D438="","",'Survey Response'!$A438&amp;"|"&amp;LOWER(TRIM('Survey Response'!$D438)))</f>
        <v/>
      </c>
      <c r="B440" s="46" t="str">
        <f aca="false">IF($H440="","",$F440&amp;"|"&amp;$H440)</f>
        <v/>
      </c>
      <c r="C440" s="46" t="str">
        <f aca="false">IF($H440="","",$A440=$B440)</f>
        <v/>
      </c>
      <c r="D440" s="46" t="str">
        <f aca="false">IF($H440="","",IF($E440&lt;&gt;"Yes","Superseded",IF($I440&lt;&gt;"Yes, I'm available for in-person interviews at Chennai","Not Available",IF($Z440&lt;&gt;"","Panel Details","Followup"))))</f>
        <v/>
      </c>
      <c r="E440" s="46" t="str">
        <f aca="false">IF($H440="","",IF(SUMPRODUCT(($H$4:$H$503=$H440)*(($G$4:$G$503&gt;$G440)+($G$4:$G$503=$G440)*($F$4:$F$503&gt;$F440)))=0,"Yes","No"))</f>
        <v/>
      </c>
      <c r="F440" s="47" t="str">
        <f aca="false">IF('Survey Response'!$D438="","",INT('Survey Response'!$A438))</f>
        <v/>
      </c>
      <c r="G440" s="46" t="str">
        <f aca="false">IF('Survey Response'!$D438="","",'Survey Response'!$C438)</f>
        <v/>
      </c>
      <c r="H440" s="46" t="str">
        <f aca="false">IF('Survey Response'!$D438="","",LOWER(TRIM('Survey Response'!$D438)))</f>
        <v/>
      </c>
      <c r="I440" s="46" t="str">
        <f aca="false">IF($H440="","",'Survey Response'!$I438)</f>
        <v/>
      </c>
      <c r="J440" s="46" t="str">
        <f aca="false">IF($H440="","",'Survey Response'!$K438)</f>
        <v/>
      </c>
      <c r="K440" s="46" t="str">
        <f aca="false">IF($J440="","",IF(COUNTIF('Skill Mapping'!$A$2:$A$7,TRIM($J440))=0,"",INDEX('Skill Mapping'!$B$2:$B$7,MATCH(TRIM($J440),'Skill Mapping'!$A$2:$A$7,0))))</f>
        <v/>
      </c>
      <c r="L440" s="46" t="str">
        <f aca="false">IF($H440="","",'Survey Response'!$L438)</f>
        <v/>
      </c>
      <c r="M440" s="46" t="str">
        <f aca="false">IF($L440="","",IF(COUNTIF('Skill Mapping'!$A$2:$A$7,TRIM($L440))=0,"",INDEX('Skill Mapping'!$B$2:$B$7,MATCH(TRIM($L440),'Skill Mapping'!$A$2:$A$7,0))))</f>
        <v/>
      </c>
      <c r="N440" s="46" t="str">
        <f aca="false">IF($H440="","",'Survey Response'!$M438)</f>
        <v/>
      </c>
      <c r="O440" s="46" t="str">
        <f aca="false">IF($H440="","",IF('Survey Response'!$M438="Manager","R2","R1"))</f>
        <v/>
      </c>
      <c r="P440" s="46" t="str">
        <f aca="false">IF($K440="","No",IF(COUNTIFS(MasterPanel!$B:$B,$H440,MasterPanel!$I:$I,$K440,MasterPanel!$K:$K,"Y")&gt;0,"Yes","No"))</f>
        <v>No</v>
      </c>
      <c r="Q440" s="46" t="n">
        <f aca="false">IF($K440="",0,IF(COUNTIF('Gap Sheet'!$A$6:$A$11,TRIM($J440))=0,0,IF($O440="R1",INDEX('Gap Sheet'!$C$6:$C$11,MATCH(TRIM($J440),'Gap Sheet'!$A$6:$A$11,0)),INDEX('Gap Sheet'!$G$6:$G$11,MATCH(TRIM($J440),'Gap Sheet'!$A$6:$A$11,0)))))</f>
        <v>0</v>
      </c>
      <c r="R440" s="46" t="str">
        <f aca="false">IF($K440="","",$K440&amp;"|"&amp;$O440)</f>
        <v/>
      </c>
      <c r="S440" s="46" t="n">
        <f aca="false">IF($R440="",0,COUNTIF($AA$4:$AA439,$R440))</f>
        <v>0</v>
      </c>
      <c r="T440" s="46" t="str">
        <f aca="false">IF(OR($I440&lt;&gt;"Yes, I'm available for in-person interviews at Chennai",$E440&lt;&gt;"Yes",$P440&lt;&gt;"Yes"),"No",IF(($Q440-$S440)&gt;0,"Yes","No"))</f>
        <v>No</v>
      </c>
      <c r="U440" s="46" t="str">
        <f aca="false">IF($M440="","No",IF(COUNTIFS(MasterPanel!$B:$B,$H440,MasterPanel!$I:$I,$M440,MasterPanel!$K:$K,"Y")&gt;0,"Yes","No"))</f>
        <v>No</v>
      </c>
      <c r="V440" s="46" t="n">
        <f aca="false">IF($M440="",0,IF(COUNTIF('Gap Sheet'!$A$6:$A$11,TRIM($L440))=0,0,IF($O440="R1",INDEX('Gap Sheet'!$C$6:$C$11,MATCH(TRIM($L440),'Gap Sheet'!$A$6:$A$11,0)),INDEX('Gap Sheet'!$G$6:$G$11,MATCH(TRIM($L440),'Gap Sheet'!$A$6:$A$11,0)))))</f>
        <v>0</v>
      </c>
      <c r="W440" s="46" t="str">
        <f aca="false">IF($M440="","",$M440&amp;"|"&amp;$O440)</f>
        <v/>
      </c>
      <c r="X440" s="46" t="n">
        <f aca="false">IF($W440="",0,COUNTIF($AA$4:$AA439,$W440))</f>
        <v>0</v>
      </c>
      <c r="Y440" s="46" t="str">
        <f aca="false">IF(OR($I440&lt;&gt;"Yes, I'm available for in-person interviews at Chennai",$E440&lt;&gt;"Yes",$T440="Yes",$U440&lt;&gt;"Yes"),"No",IF(($V440-$X440)&gt;0,"Yes","No"))</f>
        <v>No</v>
      </c>
      <c r="Z440" s="46" t="str">
        <f aca="false">IF($T440="Yes","Primary",IF($Y440="Yes","Secondary",""))</f>
        <v/>
      </c>
      <c r="AA440" s="46" t="str">
        <f aca="false">IF($Z440="Primary",$R440,IF($Z440="Secondary",$W440,""))</f>
        <v/>
      </c>
      <c r="AB440" s="46" t="str">
        <f aca="false">IF($Z440="Primary","Matched on primary skill",IF($Z440="Secondary","Matched on secondary skill (primary not approved or not required)",""))</f>
        <v/>
      </c>
      <c r="AC440" s="47" t="str">
        <f aca="false">IF($D440="Panel Details",$F440,"")</f>
        <v/>
      </c>
      <c r="AD440" s="46" t="str">
        <f aca="false">IF($D440="Panel Details",'Survey Response'!$D438,"")</f>
        <v/>
      </c>
      <c r="AE440" s="46" t="str">
        <f aca="false">IF($D440="Panel Details",'Survey Response'!$E438,"")</f>
        <v/>
      </c>
      <c r="AF440" s="46" t="str">
        <f aca="false">IF($D440="Panel Details",'Survey Response'!$G438,"")</f>
        <v/>
      </c>
      <c r="AG440" s="46" t="str">
        <f aca="false">IF($D440="Panel Details",IF($Z440="Primary",$J440,$L440),"")</f>
        <v/>
      </c>
      <c r="AH440" s="46" t="str">
        <f aca="false">IF($D440="Panel Details",IF($Z440="Primary",$L440,$J440),"")</f>
        <v/>
      </c>
      <c r="AI440" s="46" t="str">
        <f aca="false">IF($D440="Panel Details",'Survey Response'!$H438,"")</f>
        <v/>
      </c>
      <c r="AJ440" s="46" t="str">
        <f aca="false">IF($D440="Panel Details",'Survey Response'!$M438,"")</f>
        <v/>
      </c>
      <c r="AK440" s="46" t="str">
        <f aca="false">IF($D440="Panel Details",$O440,"")</f>
        <v/>
      </c>
      <c r="AL440" s="46" t="str">
        <f aca="false">IF($D440="Panel Details",8,"")</f>
        <v/>
      </c>
      <c r="AM440" s="46" t="str">
        <f aca="false">IF($D440="Panel Details",$AB440,"")</f>
        <v/>
      </c>
      <c r="AN440" s="46" t="str">
        <f aca="false">IF($D440="Panel Details","Yes","")</f>
        <v/>
      </c>
      <c r="AO440" s="46"/>
      <c r="AP440" s="46" t="str">
        <f aca="false">IF($D440="Followup",'Survey Response'!$D438,"")</f>
        <v/>
      </c>
      <c r="AQ440" s="46" t="str">
        <f aca="false">IF($D440="Followup",'Survey Response'!$E438,"")</f>
        <v/>
      </c>
      <c r="AR440" s="46" t="str">
        <f aca="false">IF($D440="Followup",'Survey Response'!$G438,"")</f>
        <v/>
      </c>
      <c r="AS440" s="46" t="str">
        <f aca="false">IF($D440="Followup",'Survey Response'!$H438,"")</f>
        <v/>
      </c>
      <c r="AT440" s="46" t="str">
        <f aca="false">IF($D440="Followup",'Survey Response'!$M438,"")</f>
        <v/>
      </c>
      <c r="AU440" s="46" t="str">
        <f aca="false">IF($D440="Followup",'Survey Response'!$K438,"")</f>
        <v/>
      </c>
      <c r="AV440" s="46" t="str">
        <f aca="false">IF($D440="Followup",'Survey Response'!$L438,"")</f>
        <v/>
      </c>
      <c r="AW440" s="46" t="str">
        <f aca="false">IF($D440="Followup",IF(AND($P440&lt;&gt;"Yes",$U440&lt;&gt;"Yes"),"Not approved for primary or secondary skill","Approved, but skill(s) no longer have capacity (fully staffed)"),"")</f>
        <v/>
      </c>
    </row>
    <row r="441" customFormat="false" ht="15" hidden="false" customHeight="true" outlineLevel="0" collapsed="false">
      <c r="A441" s="46" t="str">
        <f aca="false">IF('Survey Response'!$D439="","",'Survey Response'!$A439&amp;"|"&amp;LOWER(TRIM('Survey Response'!$D439)))</f>
        <v/>
      </c>
      <c r="B441" s="46" t="str">
        <f aca="false">IF($H441="","",$F441&amp;"|"&amp;$H441)</f>
        <v/>
      </c>
      <c r="C441" s="46" t="str">
        <f aca="false">IF($H441="","",$A441=$B441)</f>
        <v/>
      </c>
      <c r="D441" s="46" t="str">
        <f aca="false">IF($H441="","",IF($E441&lt;&gt;"Yes","Superseded",IF($I441&lt;&gt;"Yes, I'm available for in-person interviews at Chennai","Not Available",IF($Z441&lt;&gt;"","Panel Details","Followup"))))</f>
        <v/>
      </c>
      <c r="E441" s="46" t="str">
        <f aca="false">IF($H441="","",IF(SUMPRODUCT(($H$4:$H$503=$H441)*(($G$4:$G$503&gt;$G441)+($G$4:$G$503=$G441)*($F$4:$F$503&gt;$F441)))=0,"Yes","No"))</f>
        <v/>
      </c>
      <c r="F441" s="47" t="str">
        <f aca="false">IF('Survey Response'!$D439="","",INT('Survey Response'!$A439))</f>
        <v/>
      </c>
      <c r="G441" s="46" t="str">
        <f aca="false">IF('Survey Response'!$D439="","",'Survey Response'!$C439)</f>
        <v/>
      </c>
      <c r="H441" s="46" t="str">
        <f aca="false">IF('Survey Response'!$D439="","",LOWER(TRIM('Survey Response'!$D439)))</f>
        <v/>
      </c>
      <c r="I441" s="46" t="str">
        <f aca="false">IF($H441="","",'Survey Response'!$I439)</f>
        <v/>
      </c>
      <c r="J441" s="46" t="str">
        <f aca="false">IF($H441="","",'Survey Response'!$K439)</f>
        <v/>
      </c>
      <c r="K441" s="46" t="str">
        <f aca="false">IF($J441="","",IF(COUNTIF('Skill Mapping'!$A$2:$A$7,TRIM($J441))=0,"",INDEX('Skill Mapping'!$B$2:$B$7,MATCH(TRIM($J441),'Skill Mapping'!$A$2:$A$7,0))))</f>
        <v/>
      </c>
      <c r="L441" s="46" t="str">
        <f aca="false">IF($H441="","",'Survey Response'!$L439)</f>
        <v/>
      </c>
      <c r="M441" s="46" t="str">
        <f aca="false">IF($L441="","",IF(COUNTIF('Skill Mapping'!$A$2:$A$7,TRIM($L441))=0,"",INDEX('Skill Mapping'!$B$2:$B$7,MATCH(TRIM($L441),'Skill Mapping'!$A$2:$A$7,0))))</f>
        <v/>
      </c>
      <c r="N441" s="46" t="str">
        <f aca="false">IF($H441="","",'Survey Response'!$M439)</f>
        <v/>
      </c>
      <c r="O441" s="46" t="str">
        <f aca="false">IF($H441="","",IF('Survey Response'!$M439="Manager","R2","R1"))</f>
        <v/>
      </c>
      <c r="P441" s="46" t="str">
        <f aca="false">IF($K441="","No",IF(COUNTIFS(MasterPanel!$B:$B,$H441,MasterPanel!$I:$I,$K441,MasterPanel!$K:$K,"Y")&gt;0,"Yes","No"))</f>
        <v>No</v>
      </c>
      <c r="Q441" s="46" t="n">
        <f aca="false">IF($K441="",0,IF(COUNTIF('Gap Sheet'!$A$6:$A$11,TRIM($J441))=0,0,IF($O441="R1",INDEX('Gap Sheet'!$C$6:$C$11,MATCH(TRIM($J441),'Gap Sheet'!$A$6:$A$11,0)),INDEX('Gap Sheet'!$G$6:$G$11,MATCH(TRIM($J441),'Gap Sheet'!$A$6:$A$11,0)))))</f>
        <v>0</v>
      </c>
      <c r="R441" s="46" t="str">
        <f aca="false">IF($K441="","",$K441&amp;"|"&amp;$O441)</f>
        <v/>
      </c>
      <c r="S441" s="46" t="n">
        <f aca="false">IF($R441="",0,COUNTIF($AA$4:$AA440,$R441))</f>
        <v>0</v>
      </c>
      <c r="T441" s="46" t="str">
        <f aca="false">IF(OR($I441&lt;&gt;"Yes, I'm available for in-person interviews at Chennai",$E441&lt;&gt;"Yes",$P441&lt;&gt;"Yes"),"No",IF(($Q441-$S441)&gt;0,"Yes","No"))</f>
        <v>No</v>
      </c>
      <c r="U441" s="46" t="str">
        <f aca="false">IF($M441="","No",IF(COUNTIFS(MasterPanel!$B:$B,$H441,MasterPanel!$I:$I,$M441,MasterPanel!$K:$K,"Y")&gt;0,"Yes","No"))</f>
        <v>No</v>
      </c>
      <c r="V441" s="46" t="n">
        <f aca="false">IF($M441="",0,IF(COUNTIF('Gap Sheet'!$A$6:$A$11,TRIM($L441))=0,0,IF($O441="R1",INDEX('Gap Sheet'!$C$6:$C$11,MATCH(TRIM($L441),'Gap Sheet'!$A$6:$A$11,0)),INDEX('Gap Sheet'!$G$6:$G$11,MATCH(TRIM($L441),'Gap Sheet'!$A$6:$A$11,0)))))</f>
        <v>0</v>
      </c>
      <c r="W441" s="46" t="str">
        <f aca="false">IF($M441="","",$M441&amp;"|"&amp;$O441)</f>
        <v/>
      </c>
      <c r="X441" s="46" t="n">
        <f aca="false">IF($W441="",0,COUNTIF($AA$4:$AA440,$W441))</f>
        <v>0</v>
      </c>
      <c r="Y441" s="46" t="str">
        <f aca="false">IF(OR($I441&lt;&gt;"Yes, I'm available for in-person interviews at Chennai",$E441&lt;&gt;"Yes",$T441="Yes",$U441&lt;&gt;"Yes"),"No",IF(($V441-$X441)&gt;0,"Yes","No"))</f>
        <v>No</v>
      </c>
      <c r="Z441" s="46" t="str">
        <f aca="false">IF($T441="Yes","Primary",IF($Y441="Yes","Secondary",""))</f>
        <v/>
      </c>
      <c r="AA441" s="46" t="str">
        <f aca="false">IF($Z441="Primary",$R441,IF($Z441="Secondary",$W441,""))</f>
        <v/>
      </c>
      <c r="AB441" s="46" t="str">
        <f aca="false">IF($Z441="Primary","Matched on primary skill",IF($Z441="Secondary","Matched on secondary skill (primary not approved or not required)",""))</f>
        <v/>
      </c>
      <c r="AC441" s="47" t="str">
        <f aca="false">IF($D441="Panel Details",$F441,"")</f>
        <v/>
      </c>
      <c r="AD441" s="46" t="str">
        <f aca="false">IF($D441="Panel Details",'Survey Response'!$D439,"")</f>
        <v/>
      </c>
      <c r="AE441" s="46" t="str">
        <f aca="false">IF($D441="Panel Details",'Survey Response'!$E439,"")</f>
        <v/>
      </c>
      <c r="AF441" s="46" t="str">
        <f aca="false">IF($D441="Panel Details",'Survey Response'!$G439,"")</f>
        <v/>
      </c>
      <c r="AG441" s="46" t="str">
        <f aca="false">IF($D441="Panel Details",IF($Z441="Primary",$J441,$L441),"")</f>
        <v/>
      </c>
      <c r="AH441" s="46" t="str">
        <f aca="false">IF($D441="Panel Details",IF($Z441="Primary",$L441,$J441),"")</f>
        <v/>
      </c>
      <c r="AI441" s="46" t="str">
        <f aca="false">IF($D441="Panel Details",'Survey Response'!$H439,"")</f>
        <v/>
      </c>
      <c r="AJ441" s="46" t="str">
        <f aca="false">IF($D441="Panel Details",'Survey Response'!$M439,"")</f>
        <v/>
      </c>
      <c r="AK441" s="46" t="str">
        <f aca="false">IF($D441="Panel Details",$O441,"")</f>
        <v/>
      </c>
      <c r="AL441" s="46" t="str">
        <f aca="false">IF($D441="Panel Details",8,"")</f>
        <v/>
      </c>
      <c r="AM441" s="46" t="str">
        <f aca="false">IF($D441="Panel Details",$AB441,"")</f>
        <v/>
      </c>
      <c r="AN441" s="46" t="str">
        <f aca="false">IF($D441="Panel Details","Yes","")</f>
        <v/>
      </c>
      <c r="AO441" s="46"/>
      <c r="AP441" s="46" t="str">
        <f aca="false">IF($D441="Followup",'Survey Response'!$D439,"")</f>
        <v/>
      </c>
      <c r="AQ441" s="46" t="str">
        <f aca="false">IF($D441="Followup",'Survey Response'!$E439,"")</f>
        <v/>
      </c>
      <c r="AR441" s="46" t="str">
        <f aca="false">IF($D441="Followup",'Survey Response'!$G439,"")</f>
        <v/>
      </c>
      <c r="AS441" s="46" t="str">
        <f aca="false">IF($D441="Followup",'Survey Response'!$H439,"")</f>
        <v/>
      </c>
      <c r="AT441" s="46" t="str">
        <f aca="false">IF($D441="Followup",'Survey Response'!$M439,"")</f>
        <v/>
      </c>
      <c r="AU441" s="46" t="str">
        <f aca="false">IF($D441="Followup",'Survey Response'!$K439,"")</f>
        <v/>
      </c>
      <c r="AV441" s="46" t="str">
        <f aca="false">IF($D441="Followup",'Survey Response'!$L439,"")</f>
        <v/>
      </c>
      <c r="AW441" s="46" t="str">
        <f aca="false">IF($D441="Followup",IF(AND($P441&lt;&gt;"Yes",$U441&lt;&gt;"Yes"),"Not approved for primary or secondary skill","Approved, but skill(s) no longer have capacity (fully staffed)"),"")</f>
        <v/>
      </c>
    </row>
    <row r="442" customFormat="false" ht="15" hidden="false" customHeight="true" outlineLevel="0" collapsed="false">
      <c r="A442" s="46" t="str">
        <f aca="false">IF('Survey Response'!$D440="","",'Survey Response'!$A440&amp;"|"&amp;LOWER(TRIM('Survey Response'!$D440)))</f>
        <v/>
      </c>
      <c r="B442" s="46" t="str">
        <f aca="false">IF($H442="","",$F442&amp;"|"&amp;$H442)</f>
        <v/>
      </c>
      <c r="C442" s="46" t="str">
        <f aca="false">IF($H442="","",$A442=$B442)</f>
        <v/>
      </c>
      <c r="D442" s="46" t="str">
        <f aca="false">IF($H442="","",IF($E442&lt;&gt;"Yes","Superseded",IF($I442&lt;&gt;"Yes, I'm available for in-person interviews at Chennai","Not Available",IF($Z442&lt;&gt;"","Panel Details","Followup"))))</f>
        <v/>
      </c>
      <c r="E442" s="46" t="str">
        <f aca="false">IF($H442="","",IF(SUMPRODUCT(($H$4:$H$503=$H442)*(($G$4:$G$503&gt;$G442)+($G$4:$G$503=$G442)*($F$4:$F$503&gt;$F442)))=0,"Yes","No"))</f>
        <v/>
      </c>
      <c r="F442" s="47" t="str">
        <f aca="false">IF('Survey Response'!$D440="","",INT('Survey Response'!$A440))</f>
        <v/>
      </c>
      <c r="G442" s="46" t="str">
        <f aca="false">IF('Survey Response'!$D440="","",'Survey Response'!$C440)</f>
        <v/>
      </c>
      <c r="H442" s="46" t="str">
        <f aca="false">IF('Survey Response'!$D440="","",LOWER(TRIM('Survey Response'!$D440)))</f>
        <v/>
      </c>
      <c r="I442" s="46" t="str">
        <f aca="false">IF($H442="","",'Survey Response'!$I440)</f>
        <v/>
      </c>
      <c r="J442" s="46" t="str">
        <f aca="false">IF($H442="","",'Survey Response'!$K440)</f>
        <v/>
      </c>
      <c r="K442" s="46" t="str">
        <f aca="false">IF($J442="","",IF(COUNTIF('Skill Mapping'!$A$2:$A$7,TRIM($J442))=0,"",INDEX('Skill Mapping'!$B$2:$B$7,MATCH(TRIM($J442),'Skill Mapping'!$A$2:$A$7,0))))</f>
        <v/>
      </c>
      <c r="L442" s="46" t="str">
        <f aca="false">IF($H442="","",'Survey Response'!$L440)</f>
        <v/>
      </c>
      <c r="M442" s="46" t="str">
        <f aca="false">IF($L442="","",IF(COUNTIF('Skill Mapping'!$A$2:$A$7,TRIM($L442))=0,"",INDEX('Skill Mapping'!$B$2:$B$7,MATCH(TRIM($L442),'Skill Mapping'!$A$2:$A$7,0))))</f>
        <v/>
      </c>
      <c r="N442" s="46" t="str">
        <f aca="false">IF($H442="","",'Survey Response'!$M440)</f>
        <v/>
      </c>
      <c r="O442" s="46" t="str">
        <f aca="false">IF($H442="","",IF('Survey Response'!$M440="Manager","R2","R1"))</f>
        <v/>
      </c>
      <c r="P442" s="46" t="str">
        <f aca="false">IF($K442="","No",IF(COUNTIFS(MasterPanel!$B:$B,$H442,MasterPanel!$I:$I,$K442,MasterPanel!$K:$K,"Y")&gt;0,"Yes","No"))</f>
        <v>No</v>
      </c>
      <c r="Q442" s="46" t="n">
        <f aca="false">IF($K442="",0,IF(COUNTIF('Gap Sheet'!$A$6:$A$11,TRIM($J442))=0,0,IF($O442="R1",INDEX('Gap Sheet'!$C$6:$C$11,MATCH(TRIM($J442),'Gap Sheet'!$A$6:$A$11,0)),INDEX('Gap Sheet'!$G$6:$G$11,MATCH(TRIM($J442),'Gap Sheet'!$A$6:$A$11,0)))))</f>
        <v>0</v>
      </c>
      <c r="R442" s="46" t="str">
        <f aca="false">IF($K442="","",$K442&amp;"|"&amp;$O442)</f>
        <v/>
      </c>
      <c r="S442" s="46" t="n">
        <f aca="false">IF($R442="",0,COUNTIF($AA$4:$AA441,$R442))</f>
        <v>0</v>
      </c>
      <c r="T442" s="46" t="str">
        <f aca="false">IF(OR($I442&lt;&gt;"Yes, I'm available for in-person interviews at Chennai",$E442&lt;&gt;"Yes",$P442&lt;&gt;"Yes"),"No",IF(($Q442-$S442)&gt;0,"Yes","No"))</f>
        <v>No</v>
      </c>
      <c r="U442" s="46" t="str">
        <f aca="false">IF($M442="","No",IF(COUNTIFS(MasterPanel!$B:$B,$H442,MasterPanel!$I:$I,$M442,MasterPanel!$K:$K,"Y")&gt;0,"Yes","No"))</f>
        <v>No</v>
      </c>
      <c r="V442" s="46" t="n">
        <f aca="false">IF($M442="",0,IF(COUNTIF('Gap Sheet'!$A$6:$A$11,TRIM($L442))=0,0,IF($O442="R1",INDEX('Gap Sheet'!$C$6:$C$11,MATCH(TRIM($L442),'Gap Sheet'!$A$6:$A$11,0)),INDEX('Gap Sheet'!$G$6:$G$11,MATCH(TRIM($L442),'Gap Sheet'!$A$6:$A$11,0)))))</f>
        <v>0</v>
      </c>
      <c r="W442" s="46" t="str">
        <f aca="false">IF($M442="","",$M442&amp;"|"&amp;$O442)</f>
        <v/>
      </c>
      <c r="X442" s="46" t="n">
        <f aca="false">IF($W442="",0,COUNTIF($AA$4:$AA441,$W442))</f>
        <v>0</v>
      </c>
      <c r="Y442" s="46" t="str">
        <f aca="false">IF(OR($I442&lt;&gt;"Yes, I'm available for in-person interviews at Chennai",$E442&lt;&gt;"Yes",$T442="Yes",$U442&lt;&gt;"Yes"),"No",IF(($V442-$X442)&gt;0,"Yes","No"))</f>
        <v>No</v>
      </c>
      <c r="Z442" s="46" t="str">
        <f aca="false">IF($T442="Yes","Primary",IF($Y442="Yes","Secondary",""))</f>
        <v/>
      </c>
      <c r="AA442" s="46" t="str">
        <f aca="false">IF($Z442="Primary",$R442,IF($Z442="Secondary",$W442,""))</f>
        <v/>
      </c>
      <c r="AB442" s="46" t="str">
        <f aca="false">IF($Z442="Primary","Matched on primary skill",IF($Z442="Secondary","Matched on secondary skill (primary not approved or not required)",""))</f>
        <v/>
      </c>
      <c r="AC442" s="47" t="str">
        <f aca="false">IF($D442="Panel Details",$F442,"")</f>
        <v/>
      </c>
      <c r="AD442" s="46" t="str">
        <f aca="false">IF($D442="Panel Details",'Survey Response'!$D440,"")</f>
        <v/>
      </c>
      <c r="AE442" s="46" t="str">
        <f aca="false">IF($D442="Panel Details",'Survey Response'!$E440,"")</f>
        <v/>
      </c>
      <c r="AF442" s="46" t="str">
        <f aca="false">IF($D442="Panel Details",'Survey Response'!$G440,"")</f>
        <v/>
      </c>
      <c r="AG442" s="46" t="str">
        <f aca="false">IF($D442="Panel Details",IF($Z442="Primary",$J442,$L442),"")</f>
        <v/>
      </c>
      <c r="AH442" s="46" t="str">
        <f aca="false">IF($D442="Panel Details",IF($Z442="Primary",$L442,$J442),"")</f>
        <v/>
      </c>
      <c r="AI442" s="46" t="str">
        <f aca="false">IF($D442="Panel Details",'Survey Response'!$H440,"")</f>
        <v/>
      </c>
      <c r="AJ442" s="46" t="str">
        <f aca="false">IF($D442="Panel Details",'Survey Response'!$M440,"")</f>
        <v/>
      </c>
      <c r="AK442" s="46" t="str">
        <f aca="false">IF($D442="Panel Details",$O442,"")</f>
        <v/>
      </c>
      <c r="AL442" s="46" t="str">
        <f aca="false">IF($D442="Panel Details",8,"")</f>
        <v/>
      </c>
      <c r="AM442" s="46" t="str">
        <f aca="false">IF($D442="Panel Details",$AB442,"")</f>
        <v/>
      </c>
      <c r="AN442" s="46" t="str">
        <f aca="false">IF($D442="Panel Details","Yes","")</f>
        <v/>
      </c>
      <c r="AO442" s="46"/>
      <c r="AP442" s="46" t="str">
        <f aca="false">IF($D442="Followup",'Survey Response'!$D440,"")</f>
        <v/>
      </c>
      <c r="AQ442" s="46" t="str">
        <f aca="false">IF($D442="Followup",'Survey Response'!$E440,"")</f>
        <v/>
      </c>
      <c r="AR442" s="46" t="str">
        <f aca="false">IF($D442="Followup",'Survey Response'!$G440,"")</f>
        <v/>
      </c>
      <c r="AS442" s="46" t="str">
        <f aca="false">IF($D442="Followup",'Survey Response'!$H440,"")</f>
        <v/>
      </c>
      <c r="AT442" s="46" t="str">
        <f aca="false">IF($D442="Followup",'Survey Response'!$M440,"")</f>
        <v/>
      </c>
      <c r="AU442" s="46" t="str">
        <f aca="false">IF($D442="Followup",'Survey Response'!$K440,"")</f>
        <v/>
      </c>
      <c r="AV442" s="46" t="str">
        <f aca="false">IF($D442="Followup",'Survey Response'!$L440,"")</f>
        <v/>
      </c>
      <c r="AW442" s="46" t="str">
        <f aca="false">IF($D442="Followup",IF(AND($P442&lt;&gt;"Yes",$U442&lt;&gt;"Yes"),"Not approved for primary or secondary skill","Approved, but skill(s) no longer have capacity (fully staffed)"),"")</f>
        <v/>
      </c>
    </row>
    <row r="443" customFormat="false" ht="15" hidden="false" customHeight="true" outlineLevel="0" collapsed="false">
      <c r="A443" s="46" t="str">
        <f aca="false">IF('Survey Response'!$D441="","",'Survey Response'!$A441&amp;"|"&amp;LOWER(TRIM('Survey Response'!$D441)))</f>
        <v/>
      </c>
      <c r="B443" s="46" t="str">
        <f aca="false">IF($H443="","",$F443&amp;"|"&amp;$H443)</f>
        <v/>
      </c>
      <c r="C443" s="46" t="str">
        <f aca="false">IF($H443="","",$A443=$B443)</f>
        <v/>
      </c>
      <c r="D443" s="46" t="str">
        <f aca="false">IF($H443="","",IF($E443&lt;&gt;"Yes","Superseded",IF($I443&lt;&gt;"Yes, I'm available for in-person interviews at Chennai","Not Available",IF($Z443&lt;&gt;"","Panel Details","Followup"))))</f>
        <v/>
      </c>
      <c r="E443" s="46" t="str">
        <f aca="false">IF($H443="","",IF(SUMPRODUCT(($H$4:$H$503=$H443)*(($G$4:$G$503&gt;$G443)+($G$4:$G$503=$G443)*($F$4:$F$503&gt;$F443)))=0,"Yes","No"))</f>
        <v/>
      </c>
      <c r="F443" s="47" t="str">
        <f aca="false">IF('Survey Response'!$D441="","",INT('Survey Response'!$A441))</f>
        <v/>
      </c>
      <c r="G443" s="46" t="str">
        <f aca="false">IF('Survey Response'!$D441="","",'Survey Response'!$C441)</f>
        <v/>
      </c>
      <c r="H443" s="46" t="str">
        <f aca="false">IF('Survey Response'!$D441="","",LOWER(TRIM('Survey Response'!$D441)))</f>
        <v/>
      </c>
      <c r="I443" s="46" t="str">
        <f aca="false">IF($H443="","",'Survey Response'!$I441)</f>
        <v/>
      </c>
      <c r="J443" s="46" t="str">
        <f aca="false">IF($H443="","",'Survey Response'!$K441)</f>
        <v/>
      </c>
      <c r="K443" s="46" t="str">
        <f aca="false">IF($J443="","",IF(COUNTIF('Skill Mapping'!$A$2:$A$7,TRIM($J443))=0,"",INDEX('Skill Mapping'!$B$2:$B$7,MATCH(TRIM($J443),'Skill Mapping'!$A$2:$A$7,0))))</f>
        <v/>
      </c>
      <c r="L443" s="46" t="str">
        <f aca="false">IF($H443="","",'Survey Response'!$L441)</f>
        <v/>
      </c>
      <c r="M443" s="46" t="str">
        <f aca="false">IF($L443="","",IF(COUNTIF('Skill Mapping'!$A$2:$A$7,TRIM($L443))=0,"",INDEX('Skill Mapping'!$B$2:$B$7,MATCH(TRIM($L443),'Skill Mapping'!$A$2:$A$7,0))))</f>
        <v/>
      </c>
      <c r="N443" s="46" t="str">
        <f aca="false">IF($H443="","",'Survey Response'!$M441)</f>
        <v/>
      </c>
      <c r="O443" s="46" t="str">
        <f aca="false">IF($H443="","",IF('Survey Response'!$M441="Manager","R2","R1"))</f>
        <v/>
      </c>
      <c r="P443" s="46" t="str">
        <f aca="false">IF($K443="","No",IF(COUNTIFS(MasterPanel!$B:$B,$H443,MasterPanel!$I:$I,$K443,MasterPanel!$K:$K,"Y")&gt;0,"Yes","No"))</f>
        <v>No</v>
      </c>
      <c r="Q443" s="46" t="n">
        <f aca="false">IF($K443="",0,IF(COUNTIF('Gap Sheet'!$A$6:$A$11,TRIM($J443))=0,0,IF($O443="R1",INDEX('Gap Sheet'!$C$6:$C$11,MATCH(TRIM($J443),'Gap Sheet'!$A$6:$A$11,0)),INDEX('Gap Sheet'!$G$6:$G$11,MATCH(TRIM($J443),'Gap Sheet'!$A$6:$A$11,0)))))</f>
        <v>0</v>
      </c>
      <c r="R443" s="46" t="str">
        <f aca="false">IF($K443="","",$K443&amp;"|"&amp;$O443)</f>
        <v/>
      </c>
      <c r="S443" s="46" t="n">
        <f aca="false">IF($R443="",0,COUNTIF($AA$4:$AA442,$R443))</f>
        <v>0</v>
      </c>
      <c r="T443" s="46" t="str">
        <f aca="false">IF(OR($I443&lt;&gt;"Yes, I'm available for in-person interviews at Chennai",$E443&lt;&gt;"Yes",$P443&lt;&gt;"Yes"),"No",IF(($Q443-$S443)&gt;0,"Yes","No"))</f>
        <v>No</v>
      </c>
      <c r="U443" s="46" t="str">
        <f aca="false">IF($M443="","No",IF(COUNTIFS(MasterPanel!$B:$B,$H443,MasterPanel!$I:$I,$M443,MasterPanel!$K:$K,"Y")&gt;0,"Yes","No"))</f>
        <v>No</v>
      </c>
      <c r="V443" s="46" t="n">
        <f aca="false">IF($M443="",0,IF(COUNTIF('Gap Sheet'!$A$6:$A$11,TRIM($L443))=0,0,IF($O443="R1",INDEX('Gap Sheet'!$C$6:$C$11,MATCH(TRIM($L443),'Gap Sheet'!$A$6:$A$11,0)),INDEX('Gap Sheet'!$G$6:$G$11,MATCH(TRIM($L443),'Gap Sheet'!$A$6:$A$11,0)))))</f>
        <v>0</v>
      </c>
      <c r="W443" s="46" t="str">
        <f aca="false">IF($M443="","",$M443&amp;"|"&amp;$O443)</f>
        <v/>
      </c>
      <c r="X443" s="46" t="n">
        <f aca="false">IF($W443="",0,COUNTIF($AA$4:$AA442,$W443))</f>
        <v>0</v>
      </c>
      <c r="Y443" s="46" t="str">
        <f aca="false">IF(OR($I443&lt;&gt;"Yes, I'm available for in-person interviews at Chennai",$E443&lt;&gt;"Yes",$T443="Yes",$U443&lt;&gt;"Yes"),"No",IF(($V443-$X443)&gt;0,"Yes","No"))</f>
        <v>No</v>
      </c>
      <c r="Z443" s="46" t="str">
        <f aca="false">IF($T443="Yes","Primary",IF($Y443="Yes","Secondary",""))</f>
        <v/>
      </c>
      <c r="AA443" s="46" t="str">
        <f aca="false">IF($Z443="Primary",$R443,IF($Z443="Secondary",$W443,""))</f>
        <v/>
      </c>
      <c r="AB443" s="46" t="str">
        <f aca="false">IF($Z443="Primary","Matched on primary skill",IF($Z443="Secondary","Matched on secondary skill (primary not approved or not required)",""))</f>
        <v/>
      </c>
      <c r="AC443" s="47" t="str">
        <f aca="false">IF($D443="Panel Details",$F443,"")</f>
        <v/>
      </c>
      <c r="AD443" s="46" t="str">
        <f aca="false">IF($D443="Panel Details",'Survey Response'!$D441,"")</f>
        <v/>
      </c>
      <c r="AE443" s="46" t="str">
        <f aca="false">IF($D443="Panel Details",'Survey Response'!$E441,"")</f>
        <v/>
      </c>
      <c r="AF443" s="46" t="str">
        <f aca="false">IF($D443="Panel Details",'Survey Response'!$G441,"")</f>
        <v/>
      </c>
      <c r="AG443" s="46" t="str">
        <f aca="false">IF($D443="Panel Details",IF($Z443="Primary",$J443,$L443),"")</f>
        <v/>
      </c>
      <c r="AH443" s="46" t="str">
        <f aca="false">IF($D443="Panel Details",IF($Z443="Primary",$L443,$J443),"")</f>
        <v/>
      </c>
      <c r="AI443" s="46" t="str">
        <f aca="false">IF($D443="Panel Details",'Survey Response'!$H441,"")</f>
        <v/>
      </c>
      <c r="AJ443" s="46" t="str">
        <f aca="false">IF($D443="Panel Details",'Survey Response'!$M441,"")</f>
        <v/>
      </c>
      <c r="AK443" s="46" t="str">
        <f aca="false">IF($D443="Panel Details",$O443,"")</f>
        <v/>
      </c>
      <c r="AL443" s="46" t="str">
        <f aca="false">IF($D443="Panel Details",8,"")</f>
        <v/>
      </c>
      <c r="AM443" s="46" t="str">
        <f aca="false">IF($D443="Panel Details",$AB443,"")</f>
        <v/>
      </c>
      <c r="AN443" s="46" t="str">
        <f aca="false">IF($D443="Panel Details","Yes","")</f>
        <v/>
      </c>
      <c r="AO443" s="46"/>
      <c r="AP443" s="46" t="str">
        <f aca="false">IF($D443="Followup",'Survey Response'!$D441,"")</f>
        <v/>
      </c>
      <c r="AQ443" s="46" t="str">
        <f aca="false">IF($D443="Followup",'Survey Response'!$E441,"")</f>
        <v/>
      </c>
      <c r="AR443" s="46" t="str">
        <f aca="false">IF($D443="Followup",'Survey Response'!$G441,"")</f>
        <v/>
      </c>
      <c r="AS443" s="46" t="str">
        <f aca="false">IF($D443="Followup",'Survey Response'!$H441,"")</f>
        <v/>
      </c>
      <c r="AT443" s="46" t="str">
        <f aca="false">IF($D443="Followup",'Survey Response'!$M441,"")</f>
        <v/>
      </c>
      <c r="AU443" s="46" t="str">
        <f aca="false">IF($D443="Followup",'Survey Response'!$K441,"")</f>
        <v/>
      </c>
      <c r="AV443" s="46" t="str">
        <f aca="false">IF($D443="Followup",'Survey Response'!$L441,"")</f>
        <v/>
      </c>
      <c r="AW443" s="46" t="str">
        <f aca="false">IF($D443="Followup",IF(AND($P443&lt;&gt;"Yes",$U443&lt;&gt;"Yes"),"Not approved for primary or secondary skill","Approved, but skill(s) no longer have capacity (fully staffed)"),"")</f>
        <v/>
      </c>
    </row>
    <row r="444" customFormat="false" ht="15" hidden="false" customHeight="true" outlineLevel="0" collapsed="false">
      <c r="A444" s="46" t="str">
        <f aca="false">IF('Survey Response'!$D442="","",'Survey Response'!$A442&amp;"|"&amp;LOWER(TRIM('Survey Response'!$D442)))</f>
        <v/>
      </c>
      <c r="B444" s="46" t="str">
        <f aca="false">IF($H444="","",$F444&amp;"|"&amp;$H444)</f>
        <v/>
      </c>
      <c r="C444" s="46" t="str">
        <f aca="false">IF($H444="","",$A444=$B444)</f>
        <v/>
      </c>
      <c r="D444" s="46" t="str">
        <f aca="false">IF($H444="","",IF($E444&lt;&gt;"Yes","Superseded",IF($I444&lt;&gt;"Yes, I'm available for in-person interviews at Chennai","Not Available",IF($Z444&lt;&gt;"","Panel Details","Followup"))))</f>
        <v/>
      </c>
      <c r="E444" s="46" t="str">
        <f aca="false">IF($H444="","",IF(SUMPRODUCT(($H$4:$H$503=$H444)*(($G$4:$G$503&gt;$G444)+($G$4:$G$503=$G444)*($F$4:$F$503&gt;$F444)))=0,"Yes","No"))</f>
        <v/>
      </c>
      <c r="F444" s="47" t="str">
        <f aca="false">IF('Survey Response'!$D442="","",INT('Survey Response'!$A442))</f>
        <v/>
      </c>
      <c r="G444" s="46" t="str">
        <f aca="false">IF('Survey Response'!$D442="","",'Survey Response'!$C442)</f>
        <v/>
      </c>
      <c r="H444" s="46" t="str">
        <f aca="false">IF('Survey Response'!$D442="","",LOWER(TRIM('Survey Response'!$D442)))</f>
        <v/>
      </c>
      <c r="I444" s="46" t="str">
        <f aca="false">IF($H444="","",'Survey Response'!$I442)</f>
        <v/>
      </c>
      <c r="J444" s="46" t="str">
        <f aca="false">IF($H444="","",'Survey Response'!$K442)</f>
        <v/>
      </c>
      <c r="K444" s="46" t="str">
        <f aca="false">IF($J444="","",IF(COUNTIF('Skill Mapping'!$A$2:$A$7,TRIM($J444))=0,"",INDEX('Skill Mapping'!$B$2:$B$7,MATCH(TRIM($J444),'Skill Mapping'!$A$2:$A$7,0))))</f>
        <v/>
      </c>
      <c r="L444" s="46" t="str">
        <f aca="false">IF($H444="","",'Survey Response'!$L442)</f>
        <v/>
      </c>
      <c r="M444" s="46" t="str">
        <f aca="false">IF($L444="","",IF(COUNTIF('Skill Mapping'!$A$2:$A$7,TRIM($L444))=0,"",INDEX('Skill Mapping'!$B$2:$B$7,MATCH(TRIM($L444),'Skill Mapping'!$A$2:$A$7,0))))</f>
        <v/>
      </c>
      <c r="N444" s="46" t="str">
        <f aca="false">IF($H444="","",'Survey Response'!$M442)</f>
        <v/>
      </c>
      <c r="O444" s="46" t="str">
        <f aca="false">IF($H444="","",IF('Survey Response'!$M442="Manager","R2","R1"))</f>
        <v/>
      </c>
      <c r="P444" s="46" t="str">
        <f aca="false">IF($K444="","No",IF(COUNTIFS(MasterPanel!$B:$B,$H444,MasterPanel!$I:$I,$K444,MasterPanel!$K:$K,"Y")&gt;0,"Yes","No"))</f>
        <v>No</v>
      </c>
      <c r="Q444" s="46" t="n">
        <f aca="false">IF($K444="",0,IF(COUNTIF('Gap Sheet'!$A$6:$A$11,TRIM($J444))=0,0,IF($O444="R1",INDEX('Gap Sheet'!$C$6:$C$11,MATCH(TRIM($J444),'Gap Sheet'!$A$6:$A$11,0)),INDEX('Gap Sheet'!$G$6:$G$11,MATCH(TRIM($J444),'Gap Sheet'!$A$6:$A$11,0)))))</f>
        <v>0</v>
      </c>
      <c r="R444" s="46" t="str">
        <f aca="false">IF($K444="","",$K444&amp;"|"&amp;$O444)</f>
        <v/>
      </c>
      <c r="S444" s="46" t="n">
        <f aca="false">IF($R444="",0,COUNTIF($AA$4:$AA443,$R444))</f>
        <v>0</v>
      </c>
      <c r="T444" s="46" t="str">
        <f aca="false">IF(OR($I444&lt;&gt;"Yes, I'm available for in-person interviews at Chennai",$E444&lt;&gt;"Yes",$P444&lt;&gt;"Yes"),"No",IF(($Q444-$S444)&gt;0,"Yes","No"))</f>
        <v>No</v>
      </c>
      <c r="U444" s="46" t="str">
        <f aca="false">IF($M444="","No",IF(COUNTIFS(MasterPanel!$B:$B,$H444,MasterPanel!$I:$I,$M444,MasterPanel!$K:$K,"Y")&gt;0,"Yes","No"))</f>
        <v>No</v>
      </c>
      <c r="V444" s="46" t="n">
        <f aca="false">IF($M444="",0,IF(COUNTIF('Gap Sheet'!$A$6:$A$11,TRIM($L444))=0,0,IF($O444="R1",INDEX('Gap Sheet'!$C$6:$C$11,MATCH(TRIM($L444),'Gap Sheet'!$A$6:$A$11,0)),INDEX('Gap Sheet'!$G$6:$G$11,MATCH(TRIM($L444),'Gap Sheet'!$A$6:$A$11,0)))))</f>
        <v>0</v>
      </c>
      <c r="W444" s="46" t="str">
        <f aca="false">IF($M444="","",$M444&amp;"|"&amp;$O444)</f>
        <v/>
      </c>
      <c r="X444" s="46" t="n">
        <f aca="false">IF($W444="",0,COUNTIF($AA$4:$AA443,$W444))</f>
        <v>0</v>
      </c>
      <c r="Y444" s="46" t="str">
        <f aca="false">IF(OR($I444&lt;&gt;"Yes, I'm available for in-person interviews at Chennai",$E444&lt;&gt;"Yes",$T444="Yes",$U444&lt;&gt;"Yes"),"No",IF(($V444-$X444)&gt;0,"Yes","No"))</f>
        <v>No</v>
      </c>
      <c r="Z444" s="46" t="str">
        <f aca="false">IF($T444="Yes","Primary",IF($Y444="Yes","Secondary",""))</f>
        <v/>
      </c>
      <c r="AA444" s="46" t="str">
        <f aca="false">IF($Z444="Primary",$R444,IF($Z444="Secondary",$W444,""))</f>
        <v/>
      </c>
      <c r="AB444" s="46" t="str">
        <f aca="false">IF($Z444="Primary","Matched on primary skill",IF($Z444="Secondary","Matched on secondary skill (primary not approved or not required)",""))</f>
        <v/>
      </c>
      <c r="AC444" s="47" t="str">
        <f aca="false">IF($D444="Panel Details",$F444,"")</f>
        <v/>
      </c>
      <c r="AD444" s="46" t="str">
        <f aca="false">IF($D444="Panel Details",'Survey Response'!$D442,"")</f>
        <v/>
      </c>
      <c r="AE444" s="46" t="str">
        <f aca="false">IF($D444="Panel Details",'Survey Response'!$E442,"")</f>
        <v/>
      </c>
      <c r="AF444" s="46" t="str">
        <f aca="false">IF($D444="Panel Details",'Survey Response'!$G442,"")</f>
        <v/>
      </c>
      <c r="AG444" s="46" t="str">
        <f aca="false">IF($D444="Panel Details",IF($Z444="Primary",$J444,$L444),"")</f>
        <v/>
      </c>
      <c r="AH444" s="46" t="str">
        <f aca="false">IF($D444="Panel Details",IF($Z444="Primary",$L444,$J444),"")</f>
        <v/>
      </c>
      <c r="AI444" s="46" t="str">
        <f aca="false">IF($D444="Panel Details",'Survey Response'!$H442,"")</f>
        <v/>
      </c>
      <c r="AJ444" s="46" t="str">
        <f aca="false">IF($D444="Panel Details",'Survey Response'!$M442,"")</f>
        <v/>
      </c>
      <c r="AK444" s="46" t="str">
        <f aca="false">IF($D444="Panel Details",$O444,"")</f>
        <v/>
      </c>
      <c r="AL444" s="46" t="str">
        <f aca="false">IF($D444="Panel Details",8,"")</f>
        <v/>
      </c>
      <c r="AM444" s="46" t="str">
        <f aca="false">IF($D444="Panel Details",$AB444,"")</f>
        <v/>
      </c>
      <c r="AN444" s="46" t="str">
        <f aca="false">IF($D444="Panel Details","Yes","")</f>
        <v/>
      </c>
      <c r="AO444" s="46"/>
      <c r="AP444" s="46" t="str">
        <f aca="false">IF($D444="Followup",'Survey Response'!$D442,"")</f>
        <v/>
      </c>
      <c r="AQ444" s="46" t="str">
        <f aca="false">IF($D444="Followup",'Survey Response'!$E442,"")</f>
        <v/>
      </c>
      <c r="AR444" s="46" t="str">
        <f aca="false">IF($D444="Followup",'Survey Response'!$G442,"")</f>
        <v/>
      </c>
      <c r="AS444" s="46" t="str">
        <f aca="false">IF($D444="Followup",'Survey Response'!$H442,"")</f>
        <v/>
      </c>
      <c r="AT444" s="46" t="str">
        <f aca="false">IF($D444="Followup",'Survey Response'!$M442,"")</f>
        <v/>
      </c>
      <c r="AU444" s="46" t="str">
        <f aca="false">IF($D444="Followup",'Survey Response'!$K442,"")</f>
        <v/>
      </c>
      <c r="AV444" s="46" t="str">
        <f aca="false">IF($D444="Followup",'Survey Response'!$L442,"")</f>
        <v/>
      </c>
      <c r="AW444" s="46" t="str">
        <f aca="false">IF($D444="Followup",IF(AND($P444&lt;&gt;"Yes",$U444&lt;&gt;"Yes"),"Not approved for primary or secondary skill","Approved, but skill(s) no longer have capacity (fully staffed)"),"")</f>
        <v/>
      </c>
    </row>
    <row r="445" customFormat="false" ht="15" hidden="false" customHeight="true" outlineLevel="0" collapsed="false">
      <c r="A445" s="46" t="str">
        <f aca="false">IF('Survey Response'!$D443="","",'Survey Response'!$A443&amp;"|"&amp;LOWER(TRIM('Survey Response'!$D443)))</f>
        <v/>
      </c>
      <c r="B445" s="46" t="str">
        <f aca="false">IF($H445="","",$F445&amp;"|"&amp;$H445)</f>
        <v/>
      </c>
      <c r="C445" s="46" t="str">
        <f aca="false">IF($H445="","",$A445=$B445)</f>
        <v/>
      </c>
      <c r="D445" s="46" t="str">
        <f aca="false">IF($H445="","",IF($E445&lt;&gt;"Yes","Superseded",IF($I445&lt;&gt;"Yes, I'm available for in-person interviews at Chennai","Not Available",IF($Z445&lt;&gt;"","Panel Details","Followup"))))</f>
        <v/>
      </c>
      <c r="E445" s="46" t="str">
        <f aca="false">IF($H445="","",IF(SUMPRODUCT(($H$4:$H$503=$H445)*(($G$4:$G$503&gt;$G445)+($G$4:$G$503=$G445)*($F$4:$F$503&gt;$F445)))=0,"Yes","No"))</f>
        <v/>
      </c>
      <c r="F445" s="47" t="str">
        <f aca="false">IF('Survey Response'!$D443="","",INT('Survey Response'!$A443))</f>
        <v/>
      </c>
      <c r="G445" s="46" t="str">
        <f aca="false">IF('Survey Response'!$D443="","",'Survey Response'!$C443)</f>
        <v/>
      </c>
      <c r="H445" s="46" t="str">
        <f aca="false">IF('Survey Response'!$D443="","",LOWER(TRIM('Survey Response'!$D443)))</f>
        <v/>
      </c>
      <c r="I445" s="46" t="str">
        <f aca="false">IF($H445="","",'Survey Response'!$I443)</f>
        <v/>
      </c>
      <c r="J445" s="46" t="str">
        <f aca="false">IF($H445="","",'Survey Response'!$K443)</f>
        <v/>
      </c>
      <c r="K445" s="46" t="str">
        <f aca="false">IF($J445="","",IF(COUNTIF('Skill Mapping'!$A$2:$A$7,TRIM($J445))=0,"",INDEX('Skill Mapping'!$B$2:$B$7,MATCH(TRIM($J445),'Skill Mapping'!$A$2:$A$7,0))))</f>
        <v/>
      </c>
      <c r="L445" s="46" t="str">
        <f aca="false">IF($H445="","",'Survey Response'!$L443)</f>
        <v/>
      </c>
      <c r="M445" s="46" t="str">
        <f aca="false">IF($L445="","",IF(COUNTIF('Skill Mapping'!$A$2:$A$7,TRIM($L445))=0,"",INDEX('Skill Mapping'!$B$2:$B$7,MATCH(TRIM($L445),'Skill Mapping'!$A$2:$A$7,0))))</f>
        <v/>
      </c>
      <c r="N445" s="46" t="str">
        <f aca="false">IF($H445="","",'Survey Response'!$M443)</f>
        <v/>
      </c>
      <c r="O445" s="46" t="str">
        <f aca="false">IF($H445="","",IF('Survey Response'!$M443="Manager","R2","R1"))</f>
        <v/>
      </c>
      <c r="P445" s="46" t="str">
        <f aca="false">IF($K445="","No",IF(COUNTIFS(MasterPanel!$B:$B,$H445,MasterPanel!$I:$I,$K445,MasterPanel!$K:$K,"Y")&gt;0,"Yes","No"))</f>
        <v>No</v>
      </c>
      <c r="Q445" s="46" t="n">
        <f aca="false">IF($K445="",0,IF(COUNTIF('Gap Sheet'!$A$6:$A$11,TRIM($J445))=0,0,IF($O445="R1",INDEX('Gap Sheet'!$C$6:$C$11,MATCH(TRIM($J445),'Gap Sheet'!$A$6:$A$11,0)),INDEX('Gap Sheet'!$G$6:$G$11,MATCH(TRIM($J445),'Gap Sheet'!$A$6:$A$11,0)))))</f>
        <v>0</v>
      </c>
      <c r="R445" s="46" t="str">
        <f aca="false">IF($K445="","",$K445&amp;"|"&amp;$O445)</f>
        <v/>
      </c>
      <c r="S445" s="46" t="n">
        <f aca="false">IF($R445="",0,COUNTIF($AA$4:$AA444,$R445))</f>
        <v>0</v>
      </c>
      <c r="T445" s="46" t="str">
        <f aca="false">IF(OR($I445&lt;&gt;"Yes, I'm available for in-person interviews at Chennai",$E445&lt;&gt;"Yes",$P445&lt;&gt;"Yes"),"No",IF(($Q445-$S445)&gt;0,"Yes","No"))</f>
        <v>No</v>
      </c>
      <c r="U445" s="46" t="str">
        <f aca="false">IF($M445="","No",IF(COUNTIFS(MasterPanel!$B:$B,$H445,MasterPanel!$I:$I,$M445,MasterPanel!$K:$K,"Y")&gt;0,"Yes","No"))</f>
        <v>No</v>
      </c>
      <c r="V445" s="46" t="n">
        <f aca="false">IF($M445="",0,IF(COUNTIF('Gap Sheet'!$A$6:$A$11,TRIM($L445))=0,0,IF($O445="R1",INDEX('Gap Sheet'!$C$6:$C$11,MATCH(TRIM($L445),'Gap Sheet'!$A$6:$A$11,0)),INDEX('Gap Sheet'!$G$6:$G$11,MATCH(TRIM($L445),'Gap Sheet'!$A$6:$A$11,0)))))</f>
        <v>0</v>
      </c>
      <c r="W445" s="46" t="str">
        <f aca="false">IF($M445="","",$M445&amp;"|"&amp;$O445)</f>
        <v/>
      </c>
      <c r="X445" s="46" t="n">
        <f aca="false">IF($W445="",0,COUNTIF($AA$4:$AA444,$W445))</f>
        <v>0</v>
      </c>
      <c r="Y445" s="46" t="str">
        <f aca="false">IF(OR($I445&lt;&gt;"Yes, I'm available for in-person interviews at Chennai",$E445&lt;&gt;"Yes",$T445="Yes",$U445&lt;&gt;"Yes"),"No",IF(($V445-$X445)&gt;0,"Yes","No"))</f>
        <v>No</v>
      </c>
      <c r="Z445" s="46" t="str">
        <f aca="false">IF($T445="Yes","Primary",IF($Y445="Yes","Secondary",""))</f>
        <v/>
      </c>
      <c r="AA445" s="46" t="str">
        <f aca="false">IF($Z445="Primary",$R445,IF($Z445="Secondary",$W445,""))</f>
        <v/>
      </c>
      <c r="AB445" s="46" t="str">
        <f aca="false">IF($Z445="Primary","Matched on primary skill",IF($Z445="Secondary","Matched on secondary skill (primary not approved or not required)",""))</f>
        <v/>
      </c>
      <c r="AC445" s="47" t="str">
        <f aca="false">IF($D445="Panel Details",$F445,"")</f>
        <v/>
      </c>
      <c r="AD445" s="46" t="str">
        <f aca="false">IF($D445="Panel Details",'Survey Response'!$D443,"")</f>
        <v/>
      </c>
      <c r="AE445" s="46" t="str">
        <f aca="false">IF($D445="Panel Details",'Survey Response'!$E443,"")</f>
        <v/>
      </c>
      <c r="AF445" s="46" t="str">
        <f aca="false">IF($D445="Panel Details",'Survey Response'!$G443,"")</f>
        <v/>
      </c>
      <c r="AG445" s="46" t="str">
        <f aca="false">IF($D445="Panel Details",IF($Z445="Primary",$J445,$L445),"")</f>
        <v/>
      </c>
      <c r="AH445" s="46" t="str">
        <f aca="false">IF($D445="Panel Details",IF($Z445="Primary",$L445,$J445),"")</f>
        <v/>
      </c>
      <c r="AI445" s="46" t="str">
        <f aca="false">IF($D445="Panel Details",'Survey Response'!$H443,"")</f>
        <v/>
      </c>
      <c r="AJ445" s="46" t="str">
        <f aca="false">IF($D445="Panel Details",'Survey Response'!$M443,"")</f>
        <v/>
      </c>
      <c r="AK445" s="46" t="str">
        <f aca="false">IF($D445="Panel Details",$O445,"")</f>
        <v/>
      </c>
      <c r="AL445" s="46" t="str">
        <f aca="false">IF($D445="Panel Details",8,"")</f>
        <v/>
      </c>
      <c r="AM445" s="46" t="str">
        <f aca="false">IF($D445="Panel Details",$AB445,"")</f>
        <v/>
      </c>
      <c r="AN445" s="46" t="str">
        <f aca="false">IF($D445="Panel Details","Yes","")</f>
        <v/>
      </c>
      <c r="AO445" s="46"/>
      <c r="AP445" s="46" t="str">
        <f aca="false">IF($D445="Followup",'Survey Response'!$D443,"")</f>
        <v/>
      </c>
      <c r="AQ445" s="46" t="str">
        <f aca="false">IF($D445="Followup",'Survey Response'!$E443,"")</f>
        <v/>
      </c>
      <c r="AR445" s="46" t="str">
        <f aca="false">IF($D445="Followup",'Survey Response'!$G443,"")</f>
        <v/>
      </c>
      <c r="AS445" s="46" t="str">
        <f aca="false">IF($D445="Followup",'Survey Response'!$H443,"")</f>
        <v/>
      </c>
      <c r="AT445" s="46" t="str">
        <f aca="false">IF($D445="Followup",'Survey Response'!$M443,"")</f>
        <v/>
      </c>
      <c r="AU445" s="46" t="str">
        <f aca="false">IF($D445="Followup",'Survey Response'!$K443,"")</f>
        <v/>
      </c>
      <c r="AV445" s="46" t="str">
        <f aca="false">IF($D445="Followup",'Survey Response'!$L443,"")</f>
        <v/>
      </c>
      <c r="AW445" s="46" t="str">
        <f aca="false">IF($D445="Followup",IF(AND($P445&lt;&gt;"Yes",$U445&lt;&gt;"Yes"),"Not approved for primary or secondary skill","Approved, but skill(s) no longer have capacity (fully staffed)"),"")</f>
        <v/>
      </c>
    </row>
    <row r="446" customFormat="false" ht="15" hidden="false" customHeight="true" outlineLevel="0" collapsed="false">
      <c r="A446" s="46" t="str">
        <f aca="false">IF('Survey Response'!$D444="","",'Survey Response'!$A444&amp;"|"&amp;LOWER(TRIM('Survey Response'!$D444)))</f>
        <v/>
      </c>
      <c r="B446" s="46" t="str">
        <f aca="false">IF($H446="","",$F446&amp;"|"&amp;$H446)</f>
        <v/>
      </c>
      <c r="C446" s="46" t="str">
        <f aca="false">IF($H446="","",$A446=$B446)</f>
        <v/>
      </c>
      <c r="D446" s="46" t="str">
        <f aca="false">IF($H446="","",IF($E446&lt;&gt;"Yes","Superseded",IF($I446&lt;&gt;"Yes, I'm available for in-person interviews at Chennai","Not Available",IF($Z446&lt;&gt;"","Panel Details","Followup"))))</f>
        <v/>
      </c>
      <c r="E446" s="46" t="str">
        <f aca="false">IF($H446="","",IF(SUMPRODUCT(($H$4:$H$503=$H446)*(($G$4:$G$503&gt;$G446)+($G$4:$G$503=$G446)*($F$4:$F$503&gt;$F446)))=0,"Yes","No"))</f>
        <v/>
      </c>
      <c r="F446" s="47" t="str">
        <f aca="false">IF('Survey Response'!$D444="","",INT('Survey Response'!$A444))</f>
        <v/>
      </c>
      <c r="G446" s="46" t="str">
        <f aca="false">IF('Survey Response'!$D444="","",'Survey Response'!$C444)</f>
        <v/>
      </c>
      <c r="H446" s="46" t="str">
        <f aca="false">IF('Survey Response'!$D444="","",LOWER(TRIM('Survey Response'!$D444)))</f>
        <v/>
      </c>
      <c r="I446" s="46" t="str">
        <f aca="false">IF($H446="","",'Survey Response'!$I444)</f>
        <v/>
      </c>
      <c r="J446" s="46" t="str">
        <f aca="false">IF($H446="","",'Survey Response'!$K444)</f>
        <v/>
      </c>
      <c r="K446" s="46" t="str">
        <f aca="false">IF($J446="","",IF(COUNTIF('Skill Mapping'!$A$2:$A$7,TRIM($J446))=0,"",INDEX('Skill Mapping'!$B$2:$B$7,MATCH(TRIM($J446),'Skill Mapping'!$A$2:$A$7,0))))</f>
        <v/>
      </c>
      <c r="L446" s="46" t="str">
        <f aca="false">IF($H446="","",'Survey Response'!$L444)</f>
        <v/>
      </c>
      <c r="M446" s="46" t="str">
        <f aca="false">IF($L446="","",IF(COUNTIF('Skill Mapping'!$A$2:$A$7,TRIM($L446))=0,"",INDEX('Skill Mapping'!$B$2:$B$7,MATCH(TRIM($L446),'Skill Mapping'!$A$2:$A$7,0))))</f>
        <v/>
      </c>
      <c r="N446" s="46" t="str">
        <f aca="false">IF($H446="","",'Survey Response'!$M444)</f>
        <v/>
      </c>
      <c r="O446" s="46" t="str">
        <f aca="false">IF($H446="","",IF('Survey Response'!$M444="Manager","R2","R1"))</f>
        <v/>
      </c>
      <c r="P446" s="46" t="str">
        <f aca="false">IF($K446="","No",IF(COUNTIFS(MasterPanel!$B:$B,$H446,MasterPanel!$I:$I,$K446,MasterPanel!$K:$K,"Y")&gt;0,"Yes","No"))</f>
        <v>No</v>
      </c>
      <c r="Q446" s="46" t="n">
        <f aca="false">IF($K446="",0,IF(COUNTIF('Gap Sheet'!$A$6:$A$11,TRIM($J446))=0,0,IF($O446="R1",INDEX('Gap Sheet'!$C$6:$C$11,MATCH(TRIM($J446),'Gap Sheet'!$A$6:$A$11,0)),INDEX('Gap Sheet'!$G$6:$G$11,MATCH(TRIM($J446),'Gap Sheet'!$A$6:$A$11,0)))))</f>
        <v>0</v>
      </c>
      <c r="R446" s="46" t="str">
        <f aca="false">IF($K446="","",$K446&amp;"|"&amp;$O446)</f>
        <v/>
      </c>
      <c r="S446" s="46" t="n">
        <f aca="false">IF($R446="",0,COUNTIF($AA$4:$AA445,$R446))</f>
        <v>0</v>
      </c>
      <c r="T446" s="46" t="str">
        <f aca="false">IF(OR($I446&lt;&gt;"Yes, I'm available for in-person interviews at Chennai",$E446&lt;&gt;"Yes",$P446&lt;&gt;"Yes"),"No",IF(($Q446-$S446)&gt;0,"Yes","No"))</f>
        <v>No</v>
      </c>
      <c r="U446" s="46" t="str">
        <f aca="false">IF($M446="","No",IF(COUNTIFS(MasterPanel!$B:$B,$H446,MasterPanel!$I:$I,$M446,MasterPanel!$K:$K,"Y")&gt;0,"Yes","No"))</f>
        <v>No</v>
      </c>
      <c r="V446" s="46" t="n">
        <f aca="false">IF($M446="",0,IF(COUNTIF('Gap Sheet'!$A$6:$A$11,TRIM($L446))=0,0,IF($O446="R1",INDEX('Gap Sheet'!$C$6:$C$11,MATCH(TRIM($L446),'Gap Sheet'!$A$6:$A$11,0)),INDEX('Gap Sheet'!$G$6:$G$11,MATCH(TRIM($L446),'Gap Sheet'!$A$6:$A$11,0)))))</f>
        <v>0</v>
      </c>
      <c r="W446" s="46" t="str">
        <f aca="false">IF($M446="","",$M446&amp;"|"&amp;$O446)</f>
        <v/>
      </c>
      <c r="X446" s="46" t="n">
        <f aca="false">IF($W446="",0,COUNTIF($AA$4:$AA445,$W446))</f>
        <v>0</v>
      </c>
      <c r="Y446" s="46" t="str">
        <f aca="false">IF(OR($I446&lt;&gt;"Yes, I'm available for in-person interviews at Chennai",$E446&lt;&gt;"Yes",$T446="Yes",$U446&lt;&gt;"Yes"),"No",IF(($V446-$X446)&gt;0,"Yes","No"))</f>
        <v>No</v>
      </c>
      <c r="Z446" s="46" t="str">
        <f aca="false">IF($T446="Yes","Primary",IF($Y446="Yes","Secondary",""))</f>
        <v/>
      </c>
      <c r="AA446" s="46" t="str">
        <f aca="false">IF($Z446="Primary",$R446,IF($Z446="Secondary",$W446,""))</f>
        <v/>
      </c>
      <c r="AB446" s="46" t="str">
        <f aca="false">IF($Z446="Primary","Matched on primary skill",IF($Z446="Secondary","Matched on secondary skill (primary not approved or not required)",""))</f>
        <v/>
      </c>
      <c r="AC446" s="47" t="str">
        <f aca="false">IF($D446="Panel Details",$F446,"")</f>
        <v/>
      </c>
      <c r="AD446" s="46" t="str">
        <f aca="false">IF($D446="Panel Details",'Survey Response'!$D444,"")</f>
        <v/>
      </c>
      <c r="AE446" s="46" t="str">
        <f aca="false">IF($D446="Panel Details",'Survey Response'!$E444,"")</f>
        <v/>
      </c>
      <c r="AF446" s="46" t="str">
        <f aca="false">IF($D446="Panel Details",'Survey Response'!$G444,"")</f>
        <v/>
      </c>
      <c r="AG446" s="46" t="str">
        <f aca="false">IF($D446="Panel Details",IF($Z446="Primary",$J446,$L446),"")</f>
        <v/>
      </c>
      <c r="AH446" s="46" t="str">
        <f aca="false">IF($D446="Panel Details",IF($Z446="Primary",$L446,$J446),"")</f>
        <v/>
      </c>
      <c r="AI446" s="46" t="str">
        <f aca="false">IF($D446="Panel Details",'Survey Response'!$H444,"")</f>
        <v/>
      </c>
      <c r="AJ446" s="46" t="str">
        <f aca="false">IF($D446="Panel Details",'Survey Response'!$M444,"")</f>
        <v/>
      </c>
      <c r="AK446" s="46" t="str">
        <f aca="false">IF($D446="Panel Details",$O446,"")</f>
        <v/>
      </c>
      <c r="AL446" s="46" t="str">
        <f aca="false">IF($D446="Panel Details",8,"")</f>
        <v/>
      </c>
      <c r="AM446" s="46" t="str">
        <f aca="false">IF($D446="Panel Details",$AB446,"")</f>
        <v/>
      </c>
      <c r="AN446" s="46" t="str">
        <f aca="false">IF($D446="Panel Details","Yes","")</f>
        <v/>
      </c>
      <c r="AO446" s="46"/>
      <c r="AP446" s="46" t="str">
        <f aca="false">IF($D446="Followup",'Survey Response'!$D444,"")</f>
        <v/>
      </c>
      <c r="AQ446" s="46" t="str">
        <f aca="false">IF($D446="Followup",'Survey Response'!$E444,"")</f>
        <v/>
      </c>
      <c r="AR446" s="46" t="str">
        <f aca="false">IF($D446="Followup",'Survey Response'!$G444,"")</f>
        <v/>
      </c>
      <c r="AS446" s="46" t="str">
        <f aca="false">IF($D446="Followup",'Survey Response'!$H444,"")</f>
        <v/>
      </c>
      <c r="AT446" s="46" t="str">
        <f aca="false">IF($D446="Followup",'Survey Response'!$M444,"")</f>
        <v/>
      </c>
      <c r="AU446" s="46" t="str">
        <f aca="false">IF($D446="Followup",'Survey Response'!$K444,"")</f>
        <v/>
      </c>
      <c r="AV446" s="46" t="str">
        <f aca="false">IF($D446="Followup",'Survey Response'!$L444,"")</f>
        <v/>
      </c>
      <c r="AW446" s="46" t="str">
        <f aca="false">IF($D446="Followup",IF(AND($P446&lt;&gt;"Yes",$U446&lt;&gt;"Yes"),"Not approved for primary or secondary skill","Approved, but skill(s) no longer have capacity (fully staffed)"),"")</f>
        <v/>
      </c>
    </row>
    <row r="447" customFormat="false" ht="15" hidden="false" customHeight="true" outlineLevel="0" collapsed="false">
      <c r="A447" s="46" t="str">
        <f aca="false">IF('Survey Response'!$D445="","",'Survey Response'!$A445&amp;"|"&amp;LOWER(TRIM('Survey Response'!$D445)))</f>
        <v/>
      </c>
      <c r="B447" s="46" t="str">
        <f aca="false">IF($H447="","",$F447&amp;"|"&amp;$H447)</f>
        <v/>
      </c>
      <c r="C447" s="46" t="str">
        <f aca="false">IF($H447="","",$A447=$B447)</f>
        <v/>
      </c>
      <c r="D447" s="46" t="str">
        <f aca="false">IF($H447="","",IF($E447&lt;&gt;"Yes","Superseded",IF($I447&lt;&gt;"Yes, I'm available for in-person interviews at Chennai","Not Available",IF($Z447&lt;&gt;"","Panel Details","Followup"))))</f>
        <v/>
      </c>
      <c r="E447" s="46" t="str">
        <f aca="false">IF($H447="","",IF(SUMPRODUCT(($H$4:$H$503=$H447)*(($G$4:$G$503&gt;$G447)+($G$4:$G$503=$G447)*($F$4:$F$503&gt;$F447)))=0,"Yes","No"))</f>
        <v/>
      </c>
      <c r="F447" s="47" t="str">
        <f aca="false">IF('Survey Response'!$D445="","",INT('Survey Response'!$A445))</f>
        <v/>
      </c>
      <c r="G447" s="46" t="str">
        <f aca="false">IF('Survey Response'!$D445="","",'Survey Response'!$C445)</f>
        <v/>
      </c>
      <c r="H447" s="46" t="str">
        <f aca="false">IF('Survey Response'!$D445="","",LOWER(TRIM('Survey Response'!$D445)))</f>
        <v/>
      </c>
      <c r="I447" s="46" t="str">
        <f aca="false">IF($H447="","",'Survey Response'!$I445)</f>
        <v/>
      </c>
      <c r="J447" s="46" t="str">
        <f aca="false">IF($H447="","",'Survey Response'!$K445)</f>
        <v/>
      </c>
      <c r="K447" s="46" t="str">
        <f aca="false">IF($J447="","",IF(COUNTIF('Skill Mapping'!$A$2:$A$7,TRIM($J447))=0,"",INDEX('Skill Mapping'!$B$2:$B$7,MATCH(TRIM($J447),'Skill Mapping'!$A$2:$A$7,0))))</f>
        <v/>
      </c>
      <c r="L447" s="46" t="str">
        <f aca="false">IF($H447="","",'Survey Response'!$L445)</f>
        <v/>
      </c>
      <c r="M447" s="46" t="str">
        <f aca="false">IF($L447="","",IF(COUNTIF('Skill Mapping'!$A$2:$A$7,TRIM($L447))=0,"",INDEX('Skill Mapping'!$B$2:$B$7,MATCH(TRIM($L447),'Skill Mapping'!$A$2:$A$7,0))))</f>
        <v/>
      </c>
      <c r="N447" s="46" t="str">
        <f aca="false">IF($H447="","",'Survey Response'!$M445)</f>
        <v/>
      </c>
      <c r="O447" s="46" t="str">
        <f aca="false">IF($H447="","",IF('Survey Response'!$M445="Manager","R2","R1"))</f>
        <v/>
      </c>
      <c r="P447" s="46" t="str">
        <f aca="false">IF($K447="","No",IF(COUNTIFS(MasterPanel!$B:$B,$H447,MasterPanel!$I:$I,$K447,MasterPanel!$K:$K,"Y")&gt;0,"Yes","No"))</f>
        <v>No</v>
      </c>
      <c r="Q447" s="46" t="n">
        <f aca="false">IF($K447="",0,IF(COUNTIF('Gap Sheet'!$A$6:$A$11,TRIM($J447))=0,0,IF($O447="R1",INDEX('Gap Sheet'!$C$6:$C$11,MATCH(TRIM($J447),'Gap Sheet'!$A$6:$A$11,0)),INDEX('Gap Sheet'!$G$6:$G$11,MATCH(TRIM($J447),'Gap Sheet'!$A$6:$A$11,0)))))</f>
        <v>0</v>
      </c>
      <c r="R447" s="46" t="str">
        <f aca="false">IF($K447="","",$K447&amp;"|"&amp;$O447)</f>
        <v/>
      </c>
      <c r="S447" s="46" t="n">
        <f aca="false">IF($R447="",0,COUNTIF($AA$4:$AA446,$R447))</f>
        <v>0</v>
      </c>
      <c r="T447" s="46" t="str">
        <f aca="false">IF(OR($I447&lt;&gt;"Yes, I'm available for in-person interviews at Chennai",$E447&lt;&gt;"Yes",$P447&lt;&gt;"Yes"),"No",IF(($Q447-$S447)&gt;0,"Yes","No"))</f>
        <v>No</v>
      </c>
      <c r="U447" s="46" t="str">
        <f aca="false">IF($M447="","No",IF(COUNTIFS(MasterPanel!$B:$B,$H447,MasterPanel!$I:$I,$M447,MasterPanel!$K:$K,"Y")&gt;0,"Yes","No"))</f>
        <v>No</v>
      </c>
      <c r="V447" s="46" t="n">
        <f aca="false">IF($M447="",0,IF(COUNTIF('Gap Sheet'!$A$6:$A$11,TRIM($L447))=0,0,IF($O447="R1",INDEX('Gap Sheet'!$C$6:$C$11,MATCH(TRIM($L447),'Gap Sheet'!$A$6:$A$11,0)),INDEX('Gap Sheet'!$G$6:$G$11,MATCH(TRIM($L447),'Gap Sheet'!$A$6:$A$11,0)))))</f>
        <v>0</v>
      </c>
      <c r="W447" s="46" t="str">
        <f aca="false">IF($M447="","",$M447&amp;"|"&amp;$O447)</f>
        <v/>
      </c>
      <c r="X447" s="46" t="n">
        <f aca="false">IF($W447="",0,COUNTIF($AA$4:$AA446,$W447))</f>
        <v>0</v>
      </c>
      <c r="Y447" s="46" t="str">
        <f aca="false">IF(OR($I447&lt;&gt;"Yes, I'm available for in-person interviews at Chennai",$E447&lt;&gt;"Yes",$T447="Yes",$U447&lt;&gt;"Yes"),"No",IF(($V447-$X447)&gt;0,"Yes","No"))</f>
        <v>No</v>
      </c>
      <c r="Z447" s="46" t="str">
        <f aca="false">IF($T447="Yes","Primary",IF($Y447="Yes","Secondary",""))</f>
        <v/>
      </c>
      <c r="AA447" s="46" t="str">
        <f aca="false">IF($Z447="Primary",$R447,IF($Z447="Secondary",$W447,""))</f>
        <v/>
      </c>
      <c r="AB447" s="46" t="str">
        <f aca="false">IF($Z447="Primary","Matched on primary skill",IF($Z447="Secondary","Matched on secondary skill (primary not approved or not required)",""))</f>
        <v/>
      </c>
      <c r="AC447" s="47" t="str">
        <f aca="false">IF($D447="Panel Details",$F447,"")</f>
        <v/>
      </c>
      <c r="AD447" s="46" t="str">
        <f aca="false">IF($D447="Panel Details",'Survey Response'!$D445,"")</f>
        <v/>
      </c>
      <c r="AE447" s="46" t="str">
        <f aca="false">IF($D447="Panel Details",'Survey Response'!$E445,"")</f>
        <v/>
      </c>
      <c r="AF447" s="46" t="str">
        <f aca="false">IF($D447="Panel Details",'Survey Response'!$G445,"")</f>
        <v/>
      </c>
      <c r="AG447" s="46" t="str">
        <f aca="false">IF($D447="Panel Details",IF($Z447="Primary",$J447,$L447),"")</f>
        <v/>
      </c>
      <c r="AH447" s="46" t="str">
        <f aca="false">IF($D447="Panel Details",IF($Z447="Primary",$L447,$J447),"")</f>
        <v/>
      </c>
      <c r="AI447" s="46" t="str">
        <f aca="false">IF($D447="Panel Details",'Survey Response'!$H445,"")</f>
        <v/>
      </c>
      <c r="AJ447" s="46" t="str">
        <f aca="false">IF($D447="Panel Details",'Survey Response'!$M445,"")</f>
        <v/>
      </c>
      <c r="AK447" s="46" t="str">
        <f aca="false">IF($D447="Panel Details",$O447,"")</f>
        <v/>
      </c>
      <c r="AL447" s="46" t="str">
        <f aca="false">IF($D447="Panel Details",8,"")</f>
        <v/>
      </c>
      <c r="AM447" s="46" t="str">
        <f aca="false">IF($D447="Panel Details",$AB447,"")</f>
        <v/>
      </c>
      <c r="AN447" s="46" t="str">
        <f aca="false">IF($D447="Panel Details","Yes","")</f>
        <v/>
      </c>
      <c r="AO447" s="46"/>
      <c r="AP447" s="46" t="str">
        <f aca="false">IF($D447="Followup",'Survey Response'!$D445,"")</f>
        <v/>
      </c>
      <c r="AQ447" s="46" t="str">
        <f aca="false">IF($D447="Followup",'Survey Response'!$E445,"")</f>
        <v/>
      </c>
      <c r="AR447" s="46" t="str">
        <f aca="false">IF($D447="Followup",'Survey Response'!$G445,"")</f>
        <v/>
      </c>
      <c r="AS447" s="46" t="str">
        <f aca="false">IF($D447="Followup",'Survey Response'!$H445,"")</f>
        <v/>
      </c>
      <c r="AT447" s="46" t="str">
        <f aca="false">IF($D447="Followup",'Survey Response'!$M445,"")</f>
        <v/>
      </c>
      <c r="AU447" s="46" t="str">
        <f aca="false">IF($D447="Followup",'Survey Response'!$K445,"")</f>
        <v/>
      </c>
      <c r="AV447" s="46" t="str">
        <f aca="false">IF($D447="Followup",'Survey Response'!$L445,"")</f>
        <v/>
      </c>
      <c r="AW447" s="46" t="str">
        <f aca="false">IF($D447="Followup",IF(AND($P447&lt;&gt;"Yes",$U447&lt;&gt;"Yes"),"Not approved for primary or secondary skill","Approved, but skill(s) no longer have capacity (fully staffed)"),"")</f>
        <v/>
      </c>
    </row>
    <row r="448" customFormat="false" ht="15" hidden="false" customHeight="true" outlineLevel="0" collapsed="false">
      <c r="A448" s="46" t="str">
        <f aca="false">IF('Survey Response'!$D446="","",'Survey Response'!$A446&amp;"|"&amp;LOWER(TRIM('Survey Response'!$D446)))</f>
        <v/>
      </c>
      <c r="B448" s="46" t="str">
        <f aca="false">IF($H448="","",$F448&amp;"|"&amp;$H448)</f>
        <v/>
      </c>
      <c r="C448" s="46" t="str">
        <f aca="false">IF($H448="","",$A448=$B448)</f>
        <v/>
      </c>
      <c r="D448" s="46" t="str">
        <f aca="false">IF($H448="","",IF($E448&lt;&gt;"Yes","Superseded",IF($I448&lt;&gt;"Yes, I'm available for in-person interviews at Chennai","Not Available",IF($Z448&lt;&gt;"","Panel Details","Followup"))))</f>
        <v/>
      </c>
      <c r="E448" s="46" t="str">
        <f aca="false">IF($H448="","",IF(SUMPRODUCT(($H$4:$H$503=$H448)*(($G$4:$G$503&gt;$G448)+($G$4:$G$503=$G448)*($F$4:$F$503&gt;$F448)))=0,"Yes","No"))</f>
        <v/>
      </c>
      <c r="F448" s="47" t="str">
        <f aca="false">IF('Survey Response'!$D446="","",INT('Survey Response'!$A446))</f>
        <v/>
      </c>
      <c r="G448" s="46" t="str">
        <f aca="false">IF('Survey Response'!$D446="","",'Survey Response'!$C446)</f>
        <v/>
      </c>
      <c r="H448" s="46" t="str">
        <f aca="false">IF('Survey Response'!$D446="","",LOWER(TRIM('Survey Response'!$D446)))</f>
        <v/>
      </c>
      <c r="I448" s="46" t="str">
        <f aca="false">IF($H448="","",'Survey Response'!$I446)</f>
        <v/>
      </c>
      <c r="J448" s="46" t="str">
        <f aca="false">IF($H448="","",'Survey Response'!$K446)</f>
        <v/>
      </c>
      <c r="K448" s="46" t="str">
        <f aca="false">IF($J448="","",IF(COUNTIF('Skill Mapping'!$A$2:$A$7,TRIM($J448))=0,"",INDEX('Skill Mapping'!$B$2:$B$7,MATCH(TRIM($J448),'Skill Mapping'!$A$2:$A$7,0))))</f>
        <v/>
      </c>
      <c r="L448" s="46" t="str">
        <f aca="false">IF($H448="","",'Survey Response'!$L446)</f>
        <v/>
      </c>
      <c r="M448" s="46" t="str">
        <f aca="false">IF($L448="","",IF(COUNTIF('Skill Mapping'!$A$2:$A$7,TRIM($L448))=0,"",INDEX('Skill Mapping'!$B$2:$B$7,MATCH(TRIM($L448),'Skill Mapping'!$A$2:$A$7,0))))</f>
        <v/>
      </c>
      <c r="N448" s="46" t="str">
        <f aca="false">IF($H448="","",'Survey Response'!$M446)</f>
        <v/>
      </c>
      <c r="O448" s="46" t="str">
        <f aca="false">IF($H448="","",IF('Survey Response'!$M446="Manager","R2","R1"))</f>
        <v/>
      </c>
      <c r="P448" s="46" t="str">
        <f aca="false">IF($K448="","No",IF(COUNTIFS(MasterPanel!$B:$B,$H448,MasterPanel!$I:$I,$K448,MasterPanel!$K:$K,"Y")&gt;0,"Yes","No"))</f>
        <v>No</v>
      </c>
      <c r="Q448" s="46" t="n">
        <f aca="false">IF($K448="",0,IF(COUNTIF('Gap Sheet'!$A$6:$A$11,TRIM($J448))=0,0,IF($O448="R1",INDEX('Gap Sheet'!$C$6:$C$11,MATCH(TRIM($J448),'Gap Sheet'!$A$6:$A$11,0)),INDEX('Gap Sheet'!$G$6:$G$11,MATCH(TRIM($J448),'Gap Sheet'!$A$6:$A$11,0)))))</f>
        <v>0</v>
      </c>
      <c r="R448" s="46" t="str">
        <f aca="false">IF($K448="","",$K448&amp;"|"&amp;$O448)</f>
        <v/>
      </c>
      <c r="S448" s="46" t="n">
        <f aca="false">IF($R448="",0,COUNTIF($AA$4:$AA447,$R448))</f>
        <v>0</v>
      </c>
      <c r="T448" s="46" t="str">
        <f aca="false">IF(OR($I448&lt;&gt;"Yes, I'm available for in-person interviews at Chennai",$E448&lt;&gt;"Yes",$P448&lt;&gt;"Yes"),"No",IF(($Q448-$S448)&gt;0,"Yes","No"))</f>
        <v>No</v>
      </c>
      <c r="U448" s="46" t="str">
        <f aca="false">IF($M448="","No",IF(COUNTIFS(MasterPanel!$B:$B,$H448,MasterPanel!$I:$I,$M448,MasterPanel!$K:$K,"Y")&gt;0,"Yes","No"))</f>
        <v>No</v>
      </c>
      <c r="V448" s="46" t="n">
        <f aca="false">IF($M448="",0,IF(COUNTIF('Gap Sheet'!$A$6:$A$11,TRIM($L448))=0,0,IF($O448="R1",INDEX('Gap Sheet'!$C$6:$C$11,MATCH(TRIM($L448),'Gap Sheet'!$A$6:$A$11,0)),INDEX('Gap Sheet'!$G$6:$G$11,MATCH(TRIM($L448),'Gap Sheet'!$A$6:$A$11,0)))))</f>
        <v>0</v>
      </c>
      <c r="W448" s="46" t="str">
        <f aca="false">IF($M448="","",$M448&amp;"|"&amp;$O448)</f>
        <v/>
      </c>
      <c r="X448" s="46" t="n">
        <f aca="false">IF($W448="",0,COUNTIF($AA$4:$AA447,$W448))</f>
        <v>0</v>
      </c>
      <c r="Y448" s="46" t="str">
        <f aca="false">IF(OR($I448&lt;&gt;"Yes, I'm available for in-person interviews at Chennai",$E448&lt;&gt;"Yes",$T448="Yes",$U448&lt;&gt;"Yes"),"No",IF(($V448-$X448)&gt;0,"Yes","No"))</f>
        <v>No</v>
      </c>
      <c r="Z448" s="46" t="str">
        <f aca="false">IF($T448="Yes","Primary",IF($Y448="Yes","Secondary",""))</f>
        <v/>
      </c>
      <c r="AA448" s="46" t="str">
        <f aca="false">IF($Z448="Primary",$R448,IF($Z448="Secondary",$W448,""))</f>
        <v/>
      </c>
      <c r="AB448" s="46" t="str">
        <f aca="false">IF($Z448="Primary","Matched on primary skill",IF($Z448="Secondary","Matched on secondary skill (primary not approved or not required)",""))</f>
        <v/>
      </c>
      <c r="AC448" s="47" t="str">
        <f aca="false">IF($D448="Panel Details",$F448,"")</f>
        <v/>
      </c>
      <c r="AD448" s="46" t="str">
        <f aca="false">IF($D448="Panel Details",'Survey Response'!$D446,"")</f>
        <v/>
      </c>
      <c r="AE448" s="46" t="str">
        <f aca="false">IF($D448="Panel Details",'Survey Response'!$E446,"")</f>
        <v/>
      </c>
      <c r="AF448" s="46" t="str">
        <f aca="false">IF($D448="Panel Details",'Survey Response'!$G446,"")</f>
        <v/>
      </c>
      <c r="AG448" s="46" t="str">
        <f aca="false">IF($D448="Panel Details",IF($Z448="Primary",$J448,$L448),"")</f>
        <v/>
      </c>
      <c r="AH448" s="46" t="str">
        <f aca="false">IF($D448="Panel Details",IF($Z448="Primary",$L448,$J448),"")</f>
        <v/>
      </c>
      <c r="AI448" s="46" t="str">
        <f aca="false">IF($D448="Panel Details",'Survey Response'!$H446,"")</f>
        <v/>
      </c>
      <c r="AJ448" s="46" t="str">
        <f aca="false">IF($D448="Panel Details",'Survey Response'!$M446,"")</f>
        <v/>
      </c>
      <c r="AK448" s="46" t="str">
        <f aca="false">IF($D448="Panel Details",$O448,"")</f>
        <v/>
      </c>
      <c r="AL448" s="46" t="str">
        <f aca="false">IF($D448="Panel Details",8,"")</f>
        <v/>
      </c>
      <c r="AM448" s="46" t="str">
        <f aca="false">IF($D448="Panel Details",$AB448,"")</f>
        <v/>
      </c>
      <c r="AN448" s="46" t="str">
        <f aca="false">IF($D448="Panel Details","Yes","")</f>
        <v/>
      </c>
      <c r="AO448" s="46"/>
      <c r="AP448" s="46" t="str">
        <f aca="false">IF($D448="Followup",'Survey Response'!$D446,"")</f>
        <v/>
      </c>
      <c r="AQ448" s="46" t="str">
        <f aca="false">IF($D448="Followup",'Survey Response'!$E446,"")</f>
        <v/>
      </c>
      <c r="AR448" s="46" t="str">
        <f aca="false">IF($D448="Followup",'Survey Response'!$G446,"")</f>
        <v/>
      </c>
      <c r="AS448" s="46" t="str">
        <f aca="false">IF($D448="Followup",'Survey Response'!$H446,"")</f>
        <v/>
      </c>
      <c r="AT448" s="46" t="str">
        <f aca="false">IF($D448="Followup",'Survey Response'!$M446,"")</f>
        <v/>
      </c>
      <c r="AU448" s="46" t="str">
        <f aca="false">IF($D448="Followup",'Survey Response'!$K446,"")</f>
        <v/>
      </c>
      <c r="AV448" s="46" t="str">
        <f aca="false">IF($D448="Followup",'Survey Response'!$L446,"")</f>
        <v/>
      </c>
      <c r="AW448" s="46" t="str">
        <f aca="false">IF($D448="Followup",IF(AND($P448&lt;&gt;"Yes",$U448&lt;&gt;"Yes"),"Not approved for primary or secondary skill","Approved, but skill(s) no longer have capacity (fully staffed)"),"")</f>
        <v/>
      </c>
    </row>
    <row r="449" customFormat="false" ht="15" hidden="false" customHeight="true" outlineLevel="0" collapsed="false">
      <c r="A449" s="46" t="str">
        <f aca="false">IF('Survey Response'!$D447="","",'Survey Response'!$A447&amp;"|"&amp;LOWER(TRIM('Survey Response'!$D447)))</f>
        <v/>
      </c>
      <c r="B449" s="46" t="str">
        <f aca="false">IF($H449="","",$F449&amp;"|"&amp;$H449)</f>
        <v/>
      </c>
      <c r="C449" s="46" t="str">
        <f aca="false">IF($H449="","",$A449=$B449)</f>
        <v/>
      </c>
      <c r="D449" s="46" t="str">
        <f aca="false">IF($H449="","",IF($E449&lt;&gt;"Yes","Superseded",IF($I449&lt;&gt;"Yes, I'm available for in-person interviews at Chennai","Not Available",IF($Z449&lt;&gt;"","Panel Details","Followup"))))</f>
        <v/>
      </c>
      <c r="E449" s="46" t="str">
        <f aca="false">IF($H449="","",IF(SUMPRODUCT(($H$4:$H$503=$H449)*(($G$4:$G$503&gt;$G449)+($G$4:$G$503=$G449)*($F$4:$F$503&gt;$F449)))=0,"Yes","No"))</f>
        <v/>
      </c>
      <c r="F449" s="47" t="str">
        <f aca="false">IF('Survey Response'!$D447="","",INT('Survey Response'!$A447))</f>
        <v/>
      </c>
      <c r="G449" s="46" t="str">
        <f aca="false">IF('Survey Response'!$D447="","",'Survey Response'!$C447)</f>
        <v/>
      </c>
      <c r="H449" s="46" t="str">
        <f aca="false">IF('Survey Response'!$D447="","",LOWER(TRIM('Survey Response'!$D447)))</f>
        <v/>
      </c>
      <c r="I449" s="46" t="str">
        <f aca="false">IF($H449="","",'Survey Response'!$I447)</f>
        <v/>
      </c>
      <c r="J449" s="46" t="str">
        <f aca="false">IF($H449="","",'Survey Response'!$K447)</f>
        <v/>
      </c>
      <c r="K449" s="46" t="str">
        <f aca="false">IF($J449="","",IF(COUNTIF('Skill Mapping'!$A$2:$A$7,TRIM($J449))=0,"",INDEX('Skill Mapping'!$B$2:$B$7,MATCH(TRIM($J449),'Skill Mapping'!$A$2:$A$7,0))))</f>
        <v/>
      </c>
      <c r="L449" s="46" t="str">
        <f aca="false">IF($H449="","",'Survey Response'!$L447)</f>
        <v/>
      </c>
      <c r="M449" s="46" t="str">
        <f aca="false">IF($L449="","",IF(COUNTIF('Skill Mapping'!$A$2:$A$7,TRIM($L449))=0,"",INDEX('Skill Mapping'!$B$2:$B$7,MATCH(TRIM($L449),'Skill Mapping'!$A$2:$A$7,0))))</f>
        <v/>
      </c>
      <c r="N449" s="46" t="str">
        <f aca="false">IF($H449="","",'Survey Response'!$M447)</f>
        <v/>
      </c>
      <c r="O449" s="46" t="str">
        <f aca="false">IF($H449="","",IF('Survey Response'!$M447="Manager","R2","R1"))</f>
        <v/>
      </c>
      <c r="P449" s="46" t="str">
        <f aca="false">IF($K449="","No",IF(COUNTIFS(MasterPanel!$B:$B,$H449,MasterPanel!$I:$I,$K449,MasterPanel!$K:$K,"Y")&gt;0,"Yes","No"))</f>
        <v>No</v>
      </c>
      <c r="Q449" s="46" t="n">
        <f aca="false">IF($K449="",0,IF(COUNTIF('Gap Sheet'!$A$6:$A$11,TRIM($J449))=0,0,IF($O449="R1",INDEX('Gap Sheet'!$C$6:$C$11,MATCH(TRIM($J449),'Gap Sheet'!$A$6:$A$11,0)),INDEX('Gap Sheet'!$G$6:$G$11,MATCH(TRIM($J449),'Gap Sheet'!$A$6:$A$11,0)))))</f>
        <v>0</v>
      </c>
      <c r="R449" s="46" t="str">
        <f aca="false">IF($K449="","",$K449&amp;"|"&amp;$O449)</f>
        <v/>
      </c>
      <c r="S449" s="46" t="n">
        <f aca="false">IF($R449="",0,COUNTIF($AA$4:$AA448,$R449))</f>
        <v>0</v>
      </c>
      <c r="T449" s="46" t="str">
        <f aca="false">IF(OR($I449&lt;&gt;"Yes, I'm available for in-person interviews at Chennai",$E449&lt;&gt;"Yes",$P449&lt;&gt;"Yes"),"No",IF(($Q449-$S449)&gt;0,"Yes","No"))</f>
        <v>No</v>
      </c>
      <c r="U449" s="46" t="str">
        <f aca="false">IF($M449="","No",IF(COUNTIFS(MasterPanel!$B:$B,$H449,MasterPanel!$I:$I,$M449,MasterPanel!$K:$K,"Y")&gt;0,"Yes","No"))</f>
        <v>No</v>
      </c>
      <c r="V449" s="46" t="n">
        <f aca="false">IF($M449="",0,IF(COUNTIF('Gap Sheet'!$A$6:$A$11,TRIM($L449))=0,0,IF($O449="R1",INDEX('Gap Sheet'!$C$6:$C$11,MATCH(TRIM($L449),'Gap Sheet'!$A$6:$A$11,0)),INDEX('Gap Sheet'!$G$6:$G$11,MATCH(TRIM($L449),'Gap Sheet'!$A$6:$A$11,0)))))</f>
        <v>0</v>
      </c>
      <c r="W449" s="46" t="str">
        <f aca="false">IF($M449="","",$M449&amp;"|"&amp;$O449)</f>
        <v/>
      </c>
      <c r="X449" s="46" t="n">
        <f aca="false">IF($W449="",0,COUNTIF($AA$4:$AA448,$W449))</f>
        <v>0</v>
      </c>
      <c r="Y449" s="46" t="str">
        <f aca="false">IF(OR($I449&lt;&gt;"Yes, I'm available for in-person interviews at Chennai",$E449&lt;&gt;"Yes",$T449="Yes",$U449&lt;&gt;"Yes"),"No",IF(($V449-$X449)&gt;0,"Yes","No"))</f>
        <v>No</v>
      </c>
      <c r="Z449" s="46" t="str">
        <f aca="false">IF($T449="Yes","Primary",IF($Y449="Yes","Secondary",""))</f>
        <v/>
      </c>
      <c r="AA449" s="46" t="str">
        <f aca="false">IF($Z449="Primary",$R449,IF($Z449="Secondary",$W449,""))</f>
        <v/>
      </c>
      <c r="AB449" s="46" t="str">
        <f aca="false">IF($Z449="Primary","Matched on primary skill",IF($Z449="Secondary","Matched on secondary skill (primary not approved or not required)",""))</f>
        <v/>
      </c>
      <c r="AC449" s="47" t="str">
        <f aca="false">IF($D449="Panel Details",$F449,"")</f>
        <v/>
      </c>
      <c r="AD449" s="46" t="str">
        <f aca="false">IF($D449="Panel Details",'Survey Response'!$D447,"")</f>
        <v/>
      </c>
      <c r="AE449" s="46" t="str">
        <f aca="false">IF($D449="Panel Details",'Survey Response'!$E447,"")</f>
        <v/>
      </c>
      <c r="AF449" s="46" t="str">
        <f aca="false">IF($D449="Panel Details",'Survey Response'!$G447,"")</f>
        <v/>
      </c>
      <c r="AG449" s="46" t="str">
        <f aca="false">IF($D449="Panel Details",IF($Z449="Primary",$J449,$L449),"")</f>
        <v/>
      </c>
      <c r="AH449" s="46" t="str">
        <f aca="false">IF($D449="Panel Details",IF($Z449="Primary",$L449,$J449),"")</f>
        <v/>
      </c>
      <c r="AI449" s="46" t="str">
        <f aca="false">IF($D449="Panel Details",'Survey Response'!$H447,"")</f>
        <v/>
      </c>
      <c r="AJ449" s="46" t="str">
        <f aca="false">IF($D449="Panel Details",'Survey Response'!$M447,"")</f>
        <v/>
      </c>
      <c r="AK449" s="46" t="str">
        <f aca="false">IF($D449="Panel Details",$O449,"")</f>
        <v/>
      </c>
      <c r="AL449" s="46" t="str">
        <f aca="false">IF($D449="Panel Details",8,"")</f>
        <v/>
      </c>
      <c r="AM449" s="46" t="str">
        <f aca="false">IF($D449="Panel Details",$AB449,"")</f>
        <v/>
      </c>
      <c r="AN449" s="46" t="str">
        <f aca="false">IF($D449="Panel Details","Yes","")</f>
        <v/>
      </c>
      <c r="AO449" s="46"/>
      <c r="AP449" s="46" t="str">
        <f aca="false">IF($D449="Followup",'Survey Response'!$D447,"")</f>
        <v/>
      </c>
      <c r="AQ449" s="46" t="str">
        <f aca="false">IF($D449="Followup",'Survey Response'!$E447,"")</f>
        <v/>
      </c>
      <c r="AR449" s="46" t="str">
        <f aca="false">IF($D449="Followup",'Survey Response'!$G447,"")</f>
        <v/>
      </c>
      <c r="AS449" s="46" t="str">
        <f aca="false">IF($D449="Followup",'Survey Response'!$H447,"")</f>
        <v/>
      </c>
      <c r="AT449" s="46" t="str">
        <f aca="false">IF($D449="Followup",'Survey Response'!$M447,"")</f>
        <v/>
      </c>
      <c r="AU449" s="46" t="str">
        <f aca="false">IF($D449="Followup",'Survey Response'!$K447,"")</f>
        <v/>
      </c>
      <c r="AV449" s="46" t="str">
        <f aca="false">IF($D449="Followup",'Survey Response'!$L447,"")</f>
        <v/>
      </c>
      <c r="AW449" s="46" t="str">
        <f aca="false">IF($D449="Followup",IF(AND($P449&lt;&gt;"Yes",$U449&lt;&gt;"Yes"),"Not approved for primary or secondary skill","Approved, but skill(s) no longer have capacity (fully staffed)"),"")</f>
        <v/>
      </c>
    </row>
    <row r="450" customFormat="false" ht="15" hidden="false" customHeight="true" outlineLevel="0" collapsed="false">
      <c r="A450" s="46" t="str">
        <f aca="false">IF('Survey Response'!$D448="","",'Survey Response'!$A448&amp;"|"&amp;LOWER(TRIM('Survey Response'!$D448)))</f>
        <v/>
      </c>
      <c r="B450" s="46" t="str">
        <f aca="false">IF($H450="","",$F450&amp;"|"&amp;$H450)</f>
        <v/>
      </c>
      <c r="C450" s="46" t="str">
        <f aca="false">IF($H450="","",$A450=$B450)</f>
        <v/>
      </c>
      <c r="D450" s="46" t="str">
        <f aca="false">IF($H450="","",IF($E450&lt;&gt;"Yes","Superseded",IF($I450&lt;&gt;"Yes, I'm available for in-person interviews at Chennai","Not Available",IF($Z450&lt;&gt;"","Panel Details","Followup"))))</f>
        <v/>
      </c>
      <c r="E450" s="46" t="str">
        <f aca="false">IF($H450="","",IF(SUMPRODUCT(($H$4:$H$503=$H450)*(($G$4:$G$503&gt;$G450)+($G$4:$G$503=$G450)*($F$4:$F$503&gt;$F450)))=0,"Yes","No"))</f>
        <v/>
      </c>
      <c r="F450" s="47" t="str">
        <f aca="false">IF('Survey Response'!$D448="","",INT('Survey Response'!$A448))</f>
        <v/>
      </c>
      <c r="G450" s="46" t="str">
        <f aca="false">IF('Survey Response'!$D448="","",'Survey Response'!$C448)</f>
        <v/>
      </c>
      <c r="H450" s="46" t="str">
        <f aca="false">IF('Survey Response'!$D448="","",LOWER(TRIM('Survey Response'!$D448)))</f>
        <v/>
      </c>
      <c r="I450" s="46" t="str">
        <f aca="false">IF($H450="","",'Survey Response'!$I448)</f>
        <v/>
      </c>
      <c r="J450" s="46" t="str">
        <f aca="false">IF($H450="","",'Survey Response'!$K448)</f>
        <v/>
      </c>
      <c r="K450" s="46" t="str">
        <f aca="false">IF($J450="","",IF(COUNTIF('Skill Mapping'!$A$2:$A$7,TRIM($J450))=0,"",INDEX('Skill Mapping'!$B$2:$B$7,MATCH(TRIM($J450),'Skill Mapping'!$A$2:$A$7,0))))</f>
        <v/>
      </c>
      <c r="L450" s="46" t="str">
        <f aca="false">IF($H450="","",'Survey Response'!$L448)</f>
        <v/>
      </c>
      <c r="M450" s="46" t="str">
        <f aca="false">IF($L450="","",IF(COUNTIF('Skill Mapping'!$A$2:$A$7,TRIM($L450))=0,"",INDEX('Skill Mapping'!$B$2:$B$7,MATCH(TRIM($L450),'Skill Mapping'!$A$2:$A$7,0))))</f>
        <v/>
      </c>
      <c r="N450" s="46" t="str">
        <f aca="false">IF($H450="","",'Survey Response'!$M448)</f>
        <v/>
      </c>
      <c r="O450" s="46" t="str">
        <f aca="false">IF($H450="","",IF('Survey Response'!$M448="Manager","R2","R1"))</f>
        <v/>
      </c>
      <c r="P450" s="46" t="str">
        <f aca="false">IF($K450="","No",IF(COUNTIFS(MasterPanel!$B:$B,$H450,MasterPanel!$I:$I,$K450,MasterPanel!$K:$K,"Y")&gt;0,"Yes","No"))</f>
        <v>No</v>
      </c>
      <c r="Q450" s="46" t="n">
        <f aca="false">IF($K450="",0,IF(COUNTIF('Gap Sheet'!$A$6:$A$11,TRIM($J450))=0,0,IF($O450="R1",INDEX('Gap Sheet'!$C$6:$C$11,MATCH(TRIM($J450),'Gap Sheet'!$A$6:$A$11,0)),INDEX('Gap Sheet'!$G$6:$G$11,MATCH(TRIM($J450),'Gap Sheet'!$A$6:$A$11,0)))))</f>
        <v>0</v>
      </c>
      <c r="R450" s="46" t="str">
        <f aca="false">IF($K450="","",$K450&amp;"|"&amp;$O450)</f>
        <v/>
      </c>
      <c r="S450" s="46" t="n">
        <f aca="false">IF($R450="",0,COUNTIF($AA$4:$AA449,$R450))</f>
        <v>0</v>
      </c>
      <c r="T450" s="46" t="str">
        <f aca="false">IF(OR($I450&lt;&gt;"Yes, I'm available for in-person interviews at Chennai",$E450&lt;&gt;"Yes",$P450&lt;&gt;"Yes"),"No",IF(($Q450-$S450)&gt;0,"Yes","No"))</f>
        <v>No</v>
      </c>
      <c r="U450" s="46" t="str">
        <f aca="false">IF($M450="","No",IF(COUNTIFS(MasterPanel!$B:$B,$H450,MasterPanel!$I:$I,$M450,MasterPanel!$K:$K,"Y")&gt;0,"Yes","No"))</f>
        <v>No</v>
      </c>
      <c r="V450" s="46" t="n">
        <f aca="false">IF($M450="",0,IF(COUNTIF('Gap Sheet'!$A$6:$A$11,TRIM($L450))=0,0,IF($O450="R1",INDEX('Gap Sheet'!$C$6:$C$11,MATCH(TRIM($L450),'Gap Sheet'!$A$6:$A$11,0)),INDEX('Gap Sheet'!$G$6:$G$11,MATCH(TRIM($L450),'Gap Sheet'!$A$6:$A$11,0)))))</f>
        <v>0</v>
      </c>
      <c r="W450" s="46" t="str">
        <f aca="false">IF($M450="","",$M450&amp;"|"&amp;$O450)</f>
        <v/>
      </c>
      <c r="X450" s="46" t="n">
        <f aca="false">IF($W450="",0,COUNTIF($AA$4:$AA449,$W450))</f>
        <v>0</v>
      </c>
      <c r="Y450" s="46" t="str">
        <f aca="false">IF(OR($I450&lt;&gt;"Yes, I'm available for in-person interviews at Chennai",$E450&lt;&gt;"Yes",$T450="Yes",$U450&lt;&gt;"Yes"),"No",IF(($V450-$X450)&gt;0,"Yes","No"))</f>
        <v>No</v>
      </c>
      <c r="Z450" s="46" t="str">
        <f aca="false">IF($T450="Yes","Primary",IF($Y450="Yes","Secondary",""))</f>
        <v/>
      </c>
      <c r="AA450" s="46" t="str">
        <f aca="false">IF($Z450="Primary",$R450,IF($Z450="Secondary",$W450,""))</f>
        <v/>
      </c>
      <c r="AB450" s="46" t="str">
        <f aca="false">IF($Z450="Primary","Matched on primary skill",IF($Z450="Secondary","Matched on secondary skill (primary not approved or not required)",""))</f>
        <v/>
      </c>
      <c r="AC450" s="47" t="str">
        <f aca="false">IF($D450="Panel Details",$F450,"")</f>
        <v/>
      </c>
      <c r="AD450" s="46" t="str">
        <f aca="false">IF($D450="Panel Details",'Survey Response'!$D448,"")</f>
        <v/>
      </c>
      <c r="AE450" s="46" t="str">
        <f aca="false">IF($D450="Panel Details",'Survey Response'!$E448,"")</f>
        <v/>
      </c>
      <c r="AF450" s="46" t="str">
        <f aca="false">IF($D450="Panel Details",'Survey Response'!$G448,"")</f>
        <v/>
      </c>
      <c r="AG450" s="46" t="str">
        <f aca="false">IF($D450="Panel Details",IF($Z450="Primary",$J450,$L450),"")</f>
        <v/>
      </c>
      <c r="AH450" s="46" t="str">
        <f aca="false">IF($D450="Panel Details",IF($Z450="Primary",$L450,$J450),"")</f>
        <v/>
      </c>
      <c r="AI450" s="46" t="str">
        <f aca="false">IF($D450="Panel Details",'Survey Response'!$H448,"")</f>
        <v/>
      </c>
      <c r="AJ450" s="46" t="str">
        <f aca="false">IF($D450="Panel Details",'Survey Response'!$M448,"")</f>
        <v/>
      </c>
      <c r="AK450" s="46" t="str">
        <f aca="false">IF($D450="Panel Details",$O450,"")</f>
        <v/>
      </c>
      <c r="AL450" s="46" t="str">
        <f aca="false">IF($D450="Panel Details",8,"")</f>
        <v/>
      </c>
      <c r="AM450" s="46" t="str">
        <f aca="false">IF($D450="Panel Details",$AB450,"")</f>
        <v/>
      </c>
      <c r="AN450" s="46" t="str">
        <f aca="false">IF($D450="Panel Details","Yes","")</f>
        <v/>
      </c>
      <c r="AO450" s="46"/>
      <c r="AP450" s="46" t="str">
        <f aca="false">IF($D450="Followup",'Survey Response'!$D448,"")</f>
        <v/>
      </c>
      <c r="AQ450" s="46" t="str">
        <f aca="false">IF($D450="Followup",'Survey Response'!$E448,"")</f>
        <v/>
      </c>
      <c r="AR450" s="46" t="str">
        <f aca="false">IF($D450="Followup",'Survey Response'!$G448,"")</f>
        <v/>
      </c>
      <c r="AS450" s="46" t="str">
        <f aca="false">IF($D450="Followup",'Survey Response'!$H448,"")</f>
        <v/>
      </c>
      <c r="AT450" s="46" t="str">
        <f aca="false">IF($D450="Followup",'Survey Response'!$M448,"")</f>
        <v/>
      </c>
      <c r="AU450" s="46" t="str">
        <f aca="false">IF($D450="Followup",'Survey Response'!$K448,"")</f>
        <v/>
      </c>
      <c r="AV450" s="46" t="str">
        <f aca="false">IF($D450="Followup",'Survey Response'!$L448,"")</f>
        <v/>
      </c>
      <c r="AW450" s="46" t="str">
        <f aca="false">IF($D450="Followup",IF(AND($P450&lt;&gt;"Yes",$U450&lt;&gt;"Yes"),"Not approved for primary or secondary skill","Approved, but skill(s) no longer have capacity (fully staffed)"),"")</f>
        <v/>
      </c>
    </row>
    <row r="451" customFormat="false" ht="15" hidden="false" customHeight="true" outlineLevel="0" collapsed="false">
      <c r="A451" s="46" t="str">
        <f aca="false">IF('Survey Response'!$D449="","",'Survey Response'!$A449&amp;"|"&amp;LOWER(TRIM('Survey Response'!$D449)))</f>
        <v/>
      </c>
      <c r="B451" s="46" t="str">
        <f aca="false">IF($H451="","",$F451&amp;"|"&amp;$H451)</f>
        <v/>
      </c>
      <c r="C451" s="46" t="str">
        <f aca="false">IF($H451="","",$A451=$B451)</f>
        <v/>
      </c>
      <c r="D451" s="46" t="str">
        <f aca="false">IF($H451="","",IF($E451&lt;&gt;"Yes","Superseded",IF($I451&lt;&gt;"Yes, I'm available for in-person interviews at Chennai","Not Available",IF($Z451&lt;&gt;"","Panel Details","Followup"))))</f>
        <v/>
      </c>
      <c r="E451" s="46" t="str">
        <f aca="false">IF($H451="","",IF(SUMPRODUCT(($H$4:$H$503=$H451)*(($G$4:$G$503&gt;$G451)+($G$4:$G$503=$G451)*($F$4:$F$503&gt;$F451)))=0,"Yes","No"))</f>
        <v/>
      </c>
      <c r="F451" s="47" t="str">
        <f aca="false">IF('Survey Response'!$D449="","",INT('Survey Response'!$A449))</f>
        <v/>
      </c>
      <c r="G451" s="46" t="str">
        <f aca="false">IF('Survey Response'!$D449="","",'Survey Response'!$C449)</f>
        <v/>
      </c>
      <c r="H451" s="46" t="str">
        <f aca="false">IF('Survey Response'!$D449="","",LOWER(TRIM('Survey Response'!$D449)))</f>
        <v/>
      </c>
      <c r="I451" s="46" t="str">
        <f aca="false">IF($H451="","",'Survey Response'!$I449)</f>
        <v/>
      </c>
      <c r="J451" s="46" t="str">
        <f aca="false">IF($H451="","",'Survey Response'!$K449)</f>
        <v/>
      </c>
      <c r="K451" s="46" t="str">
        <f aca="false">IF($J451="","",IF(COUNTIF('Skill Mapping'!$A$2:$A$7,TRIM($J451))=0,"",INDEX('Skill Mapping'!$B$2:$B$7,MATCH(TRIM($J451),'Skill Mapping'!$A$2:$A$7,0))))</f>
        <v/>
      </c>
      <c r="L451" s="46" t="str">
        <f aca="false">IF($H451="","",'Survey Response'!$L449)</f>
        <v/>
      </c>
      <c r="M451" s="46" t="str">
        <f aca="false">IF($L451="","",IF(COUNTIF('Skill Mapping'!$A$2:$A$7,TRIM($L451))=0,"",INDEX('Skill Mapping'!$B$2:$B$7,MATCH(TRIM($L451),'Skill Mapping'!$A$2:$A$7,0))))</f>
        <v/>
      </c>
      <c r="N451" s="46" t="str">
        <f aca="false">IF($H451="","",'Survey Response'!$M449)</f>
        <v/>
      </c>
      <c r="O451" s="46" t="str">
        <f aca="false">IF($H451="","",IF('Survey Response'!$M449="Manager","R2","R1"))</f>
        <v/>
      </c>
      <c r="P451" s="46" t="str">
        <f aca="false">IF($K451="","No",IF(COUNTIFS(MasterPanel!$B:$B,$H451,MasterPanel!$I:$I,$K451,MasterPanel!$K:$K,"Y")&gt;0,"Yes","No"))</f>
        <v>No</v>
      </c>
      <c r="Q451" s="46" t="n">
        <f aca="false">IF($K451="",0,IF(COUNTIF('Gap Sheet'!$A$6:$A$11,TRIM($J451))=0,0,IF($O451="R1",INDEX('Gap Sheet'!$C$6:$C$11,MATCH(TRIM($J451),'Gap Sheet'!$A$6:$A$11,0)),INDEX('Gap Sheet'!$G$6:$G$11,MATCH(TRIM($J451),'Gap Sheet'!$A$6:$A$11,0)))))</f>
        <v>0</v>
      </c>
      <c r="R451" s="46" t="str">
        <f aca="false">IF($K451="","",$K451&amp;"|"&amp;$O451)</f>
        <v/>
      </c>
      <c r="S451" s="46" t="n">
        <f aca="false">IF($R451="",0,COUNTIF($AA$4:$AA450,$R451))</f>
        <v>0</v>
      </c>
      <c r="T451" s="46" t="str">
        <f aca="false">IF(OR($I451&lt;&gt;"Yes, I'm available for in-person interviews at Chennai",$E451&lt;&gt;"Yes",$P451&lt;&gt;"Yes"),"No",IF(($Q451-$S451)&gt;0,"Yes","No"))</f>
        <v>No</v>
      </c>
      <c r="U451" s="46" t="str">
        <f aca="false">IF($M451="","No",IF(COUNTIFS(MasterPanel!$B:$B,$H451,MasterPanel!$I:$I,$M451,MasterPanel!$K:$K,"Y")&gt;0,"Yes","No"))</f>
        <v>No</v>
      </c>
      <c r="V451" s="46" t="n">
        <f aca="false">IF($M451="",0,IF(COUNTIF('Gap Sheet'!$A$6:$A$11,TRIM($L451))=0,0,IF($O451="R1",INDEX('Gap Sheet'!$C$6:$C$11,MATCH(TRIM($L451),'Gap Sheet'!$A$6:$A$11,0)),INDEX('Gap Sheet'!$G$6:$G$11,MATCH(TRIM($L451),'Gap Sheet'!$A$6:$A$11,0)))))</f>
        <v>0</v>
      </c>
      <c r="W451" s="46" t="str">
        <f aca="false">IF($M451="","",$M451&amp;"|"&amp;$O451)</f>
        <v/>
      </c>
      <c r="X451" s="46" t="n">
        <f aca="false">IF($W451="",0,COUNTIF($AA$4:$AA450,$W451))</f>
        <v>0</v>
      </c>
      <c r="Y451" s="46" t="str">
        <f aca="false">IF(OR($I451&lt;&gt;"Yes, I'm available for in-person interviews at Chennai",$E451&lt;&gt;"Yes",$T451="Yes",$U451&lt;&gt;"Yes"),"No",IF(($V451-$X451)&gt;0,"Yes","No"))</f>
        <v>No</v>
      </c>
      <c r="Z451" s="46" t="str">
        <f aca="false">IF($T451="Yes","Primary",IF($Y451="Yes","Secondary",""))</f>
        <v/>
      </c>
      <c r="AA451" s="46" t="str">
        <f aca="false">IF($Z451="Primary",$R451,IF($Z451="Secondary",$W451,""))</f>
        <v/>
      </c>
      <c r="AB451" s="46" t="str">
        <f aca="false">IF($Z451="Primary","Matched on primary skill",IF($Z451="Secondary","Matched on secondary skill (primary not approved or not required)",""))</f>
        <v/>
      </c>
      <c r="AC451" s="47" t="str">
        <f aca="false">IF($D451="Panel Details",$F451,"")</f>
        <v/>
      </c>
      <c r="AD451" s="46" t="str">
        <f aca="false">IF($D451="Panel Details",'Survey Response'!$D449,"")</f>
        <v/>
      </c>
      <c r="AE451" s="46" t="str">
        <f aca="false">IF($D451="Panel Details",'Survey Response'!$E449,"")</f>
        <v/>
      </c>
      <c r="AF451" s="46" t="str">
        <f aca="false">IF($D451="Panel Details",'Survey Response'!$G449,"")</f>
        <v/>
      </c>
      <c r="AG451" s="46" t="str">
        <f aca="false">IF($D451="Panel Details",IF($Z451="Primary",$J451,$L451),"")</f>
        <v/>
      </c>
      <c r="AH451" s="46" t="str">
        <f aca="false">IF($D451="Panel Details",IF($Z451="Primary",$L451,$J451),"")</f>
        <v/>
      </c>
      <c r="AI451" s="46" t="str">
        <f aca="false">IF($D451="Panel Details",'Survey Response'!$H449,"")</f>
        <v/>
      </c>
      <c r="AJ451" s="46" t="str">
        <f aca="false">IF($D451="Panel Details",'Survey Response'!$M449,"")</f>
        <v/>
      </c>
      <c r="AK451" s="46" t="str">
        <f aca="false">IF($D451="Panel Details",$O451,"")</f>
        <v/>
      </c>
      <c r="AL451" s="46" t="str">
        <f aca="false">IF($D451="Panel Details",8,"")</f>
        <v/>
      </c>
      <c r="AM451" s="46" t="str">
        <f aca="false">IF($D451="Panel Details",$AB451,"")</f>
        <v/>
      </c>
      <c r="AN451" s="46" t="str">
        <f aca="false">IF($D451="Panel Details","Yes","")</f>
        <v/>
      </c>
      <c r="AO451" s="46"/>
      <c r="AP451" s="46" t="str">
        <f aca="false">IF($D451="Followup",'Survey Response'!$D449,"")</f>
        <v/>
      </c>
      <c r="AQ451" s="46" t="str">
        <f aca="false">IF($D451="Followup",'Survey Response'!$E449,"")</f>
        <v/>
      </c>
      <c r="AR451" s="46" t="str">
        <f aca="false">IF($D451="Followup",'Survey Response'!$G449,"")</f>
        <v/>
      </c>
      <c r="AS451" s="46" t="str">
        <f aca="false">IF($D451="Followup",'Survey Response'!$H449,"")</f>
        <v/>
      </c>
      <c r="AT451" s="46" t="str">
        <f aca="false">IF($D451="Followup",'Survey Response'!$M449,"")</f>
        <v/>
      </c>
      <c r="AU451" s="46" t="str">
        <f aca="false">IF($D451="Followup",'Survey Response'!$K449,"")</f>
        <v/>
      </c>
      <c r="AV451" s="46" t="str">
        <f aca="false">IF($D451="Followup",'Survey Response'!$L449,"")</f>
        <v/>
      </c>
      <c r="AW451" s="46" t="str">
        <f aca="false">IF($D451="Followup",IF(AND($P451&lt;&gt;"Yes",$U451&lt;&gt;"Yes"),"Not approved for primary or secondary skill","Approved, but skill(s) no longer have capacity (fully staffed)"),"")</f>
        <v/>
      </c>
    </row>
    <row r="452" customFormat="false" ht="15" hidden="false" customHeight="true" outlineLevel="0" collapsed="false">
      <c r="A452" s="46" t="str">
        <f aca="false">IF('Survey Response'!$D450="","",'Survey Response'!$A450&amp;"|"&amp;LOWER(TRIM('Survey Response'!$D450)))</f>
        <v/>
      </c>
      <c r="B452" s="46" t="str">
        <f aca="false">IF($H452="","",$F452&amp;"|"&amp;$H452)</f>
        <v/>
      </c>
      <c r="C452" s="46" t="str">
        <f aca="false">IF($H452="","",$A452=$B452)</f>
        <v/>
      </c>
      <c r="D452" s="46" t="str">
        <f aca="false">IF($H452="","",IF($E452&lt;&gt;"Yes","Superseded",IF($I452&lt;&gt;"Yes, I'm available for in-person interviews at Chennai","Not Available",IF($Z452&lt;&gt;"","Panel Details","Followup"))))</f>
        <v/>
      </c>
      <c r="E452" s="46" t="str">
        <f aca="false">IF($H452="","",IF(SUMPRODUCT(($H$4:$H$503=$H452)*(($G$4:$G$503&gt;$G452)+($G$4:$G$503=$G452)*($F$4:$F$503&gt;$F452)))=0,"Yes","No"))</f>
        <v/>
      </c>
      <c r="F452" s="47" t="str">
        <f aca="false">IF('Survey Response'!$D450="","",INT('Survey Response'!$A450))</f>
        <v/>
      </c>
      <c r="G452" s="46" t="str">
        <f aca="false">IF('Survey Response'!$D450="","",'Survey Response'!$C450)</f>
        <v/>
      </c>
      <c r="H452" s="46" t="str">
        <f aca="false">IF('Survey Response'!$D450="","",LOWER(TRIM('Survey Response'!$D450)))</f>
        <v/>
      </c>
      <c r="I452" s="46" t="str">
        <f aca="false">IF($H452="","",'Survey Response'!$I450)</f>
        <v/>
      </c>
      <c r="J452" s="46" t="str">
        <f aca="false">IF($H452="","",'Survey Response'!$K450)</f>
        <v/>
      </c>
      <c r="K452" s="46" t="str">
        <f aca="false">IF($J452="","",IF(COUNTIF('Skill Mapping'!$A$2:$A$7,TRIM($J452))=0,"",INDEX('Skill Mapping'!$B$2:$B$7,MATCH(TRIM($J452),'Skill Mapping'!$A$2:$A$7,0))))</f>
        <v/>
      </c>
      <c r="L452" s="46" t="str">
        <f aca="false">IF($H452="","",'Survey Response'!$L450)</f>
        <v/>
      </c>
      <c r="M452" s="46" t="str">
        <f aca="false">IF($L452="","",IF(COUNTIF('Skill Mapping'!$A$2:$A$7,TRIM($L452))=0,"",INDEX('Skill Mapping'!$B$2:$B$7,MATCH(TRIM($L452),'Skill Mapping'!$A$2:$A$7,0))))</f>
        <v/>
      </c>
      <c r="N452" s="46" t="str">
        <f aca="false">IF($H452="","",'Survey Response'!$M450)</f>
        <v/>
      </c>
      <c r="O452" s="46" t="str">
        <f aca="false">IF($H452="","",IF('Survey Response'!$M450="Manager","R2","R1"))</f>
        <v/>
      </c>
      <c r="P452" s="46" t="str">
        <f aca="false">IF($K452="","No",IF(COUNTIFS(MasterPanel!$B:$B,$H452,MasterPanel!$I:$I,$K452,MasterPanel!$K:$K,"Y")&gt;0,"Yes","No"))</f>
        <v>No</v>
      </c>
      <c r="Q452" s="46" t="n">
        <f aca="false">IF($K452="",0,IF(COUNTIF('Gap Sheet'!$A$6:$A$11,TRIM($J452))=0,0,IF($O452="R1",INDEX('Gap Sheet'!$C$6:$C$11,MATCH(TRIM($J452),'Gap Sheet'!$A$6:$A$11,0)),INDEX('Gap Sheet'!$G$6:$G$11,MATCH(TRIM($J452),'Gap Sheet'!$A$6:$A$11,0)))))</f>
        <v>0</v>
      </c>
      <c r="R452" s="46" t="str">
        <f aca="false">IF($K452="","",$K452&amp;"|"&amp;$O452)</f>
        <v/>
      </c>
      <c r="S452" s="46" t="n">
        <f aca="false">IF($R452="",0,COUNTIF($AA$4:$AA451,$R452))</f>
        <v>0</v>
      </c>
      <c r="T452" s="46" t="str">
        <f aca="false">IF(OR($I452&lt;&gt;"Yes, I'm available for in-person interviews at Chennai",$E452&lt;&gt;"Yes",$P452&lt;&gt;"Yes"),"No",IF(($Q452-$S452)&gt;0,"Yes","No"))</f>
        <v>No</v>
      </c>
      <c r="U452" s="46" t="str">
        <f aca="false">IF($M452="","No",IF(COUNTIFS(MasterPanel!$B:$B,$H452,MasterPanel!$I:$I,$M452,MasterPanel!$K:$K,"Y")&gt;0,"Yes","No"))</f>
        <v>No</v>
      </c>
      <c r="V452" s="46" t="n">
        <f aca="false">IF($M452="",0,IF(COUNTIF('Gap Sheet'!$A$6:$A$11,TRIM($L452))=0,0,IF($O452="R1",INDEX('Gap Sheet'!$C$6:$C$11,MATCH(TRIM($L452),'Gap Sheet'!$A$6:$A$11,0)),INDEX('Gap Sheet'!$G$6:$G$11,MATCH(TRIM($L452),'Gap Sheet'!$A$6:$A$11,0)))))</f>
        <v>0</v>
      </c>
      <c r="W452" s="46" t="str">
        <f aca="false">IF($M452="","",$M452&amp;"|"&amp;$O452)</f>
        <v/>
      </c>
      <c r="X452" s="46" t="n">
        <f aca="false">IF($W452="",0,COUNTIF($AA$4:$AA451,$W452))</f>
        <v>0</v>
      </c>
      <c r="Y452" s="46" t="str">
        <f aca="false">IF(OR($I452&lt;&gt;"Yes, I'm available for in-person interviews at Chennai",$E452&lt;&gt;"Yes",$T452="Yes",$U452&lt;&gt;"Yes"),"No",IF(($V452-$X452)&gt;0,"Yes","No"))</f>
        <v>No</v>
      </c>
      <c r="Z452" s="46" t="str">
        <f aca="false">IF($T452="Yes","Primary",IF($Y452="Yes","Secondary",""))</f>
        <v/>
      </c>
      <c r="AA452" s="46" t="str">
        <f aca="false">IF($Z452="Primary",$R452,IF($Z452="Secondary",$W452,""))</f>
        <v/>
      </c>
      <c r="AB452" s="46" t="str">
        <f aca="false">IF($Z452="Primary","Matched on primary skill",IF($Z452="Secondary","Matched on secondary skill (primary not approved or not required)",""))</f>
        <v/>
      </c>
      <c r="AC452" s="47" t="str">
        <f aca="false">IF($D452="Panel Details",$F452,"")</f>
        <v/>
      </c>
      <c r="AD452" s="46" t="str">
        <f aca="false">IF($D452="Panel Details",'Survey Response'!$D450,"")</f>
        <v/>
      </c>
      <c r="AE452" s="46" t="str">
        <f aca="false">IF($D452="Panel Details",'Survey Response'!$E450,"")</f>
        <v/>
      </c>
      <c r="AF452" s="46" t="str">
        <f aca="false">IF($D452="Panel Details",'Survey Response'!$G450,"")</f>
        <v/>
      </c>
      <c r="AG452" s="46" t="str">
        <f aca="false">IF($D452="Panel Details",IF($Z452="Primary",$J452,$L452),"")</f>
        <v/>
      </c>
      <c r="AH452" s="46" t="str">
        <f aca="false">IF($D452="Panel Details",IF($Z452="Primary",$L452,$J452),"")</f>
        <v/>
      </c>
      <c r="AI452" s="46" t="str">
        <f aca="false">IF($D452="Panel Details",'Survey Response'!$H450,"")</f>
        <v/>
      </c>
      <c r="AJ452" s="46" t="str">
        <f aca="false">IF($D452="Panel Details",'Survey Response'!$M450,"")</f>
        <v/>
      </c>
      <c r="AK452" s="46" t="str">
        <f aca="false">IF($D452="Panel Details",$O452,"")</f>
        <v/>
      </c>
      <c r="AL452" s="46" t="str">
        <f aca="false">IF($D452="Panel Details",8,"")</f>
        <v/>
      </c>
      <c r="AM452" s="46" t="str">
        <f aca="false">IF($D452="Panel Details",$AB452,"")</f>
        <v/>
      </c>
      <c r="AN452" s="46" t="str">
        <f aca="false">IF($D452="Panel Details","Yes","")</f>
        <v/>
      </c>
      <c r="AO452" s="46"/>
      <c r="AP452" s="46" t="str">
        <f aca="false">IF($D452="Followup",'Survey Response'!$D450,"")</f>
        <v/>
      </c>
      <c r="AQ452" s="46" t="str">
        <f aca="false">IF($D452="Followup",'Survey Response'!$E450,"")</f>
        <v/>
      </c>
      <c r="AR452" s="46" t="str">
        <f aca="false">IF($D452="Followup",'Survey Response'!$G450,"")</f>
        <v/>
      </c>
      <c r="AS452" s="46" t="str">
        <f aca="false">IF($D452="Followup",'Survey Response'!$H450,"")</f>
        <v/>
      </c>
      <c r="AT452" s="46" t="str">
        <f aca="false">IF($D452="Followup",'Survey Response'!$M450,"")</f>
        <v/>
      </c>
      <c r="AU452" s="46" t="str">
        <f aca="false">IF($D452="Followup",'Survey Response'!$K450,"")</f>
        <v/>
      </c>
      <c r="AV452" s="46" t="str">
        <f aca="false">IF($D452="Followup",'Survey Response'!$L450,"")</f>
        <v/>
      </c>
      <c r="AW452" s="46" t="str">
        <f aca="false">IF($D452="Followup",IF(AND($P452&lt;&gt;"Yes",$U452&lt;&gt;"Yes"),"Not approved for primary or secondary skill","Approved, but skill(s) no longer have capacity (fully staffed)"),"")</f>
        <v/>
      </c>
    </row>
    <row r="453" customFormat="false" ht="15" hidden="false" customHeight="true" outlineLevel="0" collapsed="false">
      <c r="A453" s="46" t="str">
        <f aca="false">IF('Survey Response'!$D451="","",'Survey Response'!$A451&amp;"|"&amp;LOWER(TRIM('Survey Response'!$D451)))</f>
        <v/>
      </c>
      <c r="B453" s="46" t="str">
        <f aca="false">IF($H453="","",$F453&amp;"|"&amp;$H453)</f>
        <v/>
      </c>
      <c r="C453" s="46" t="str">
        <f aca="false">IF($H453="","",$A453=$B453)</f>
        <v/>
      </c>
      <c r="D453" s="46" t="str">
        <f aca="false">IF($H453="","",IF($E453&lt;&gt;"Yes","Superseded",IF($I453&lt;&gt;"Yes, I'm available for in-person interviews at Chennai","Not Available",IF($Z453&lt;&gt;"","Panel Details","Followup"))))</f>
        <v/>
      </c>
      <c r="E453" s="46" t="str">
        <f aca="false">IF($H453="","",IF(SUMPRODUCT(($H$4:$H$503=$H453)*(($G$4:$G$503&gt;$G453)+($G$4:$G$503=$G453)*($F$4:$F$503&gt;$F453)))=0,"Yes","No"))</f>
        <v/>
      </c>
      <c r="F453" s="47" t="str">
        <f aca="false">IF('Survey Response'!$D451="","",INT('Survey Response'!$A451))</f>
        <v/>
      </c>
      <c r="G453" s="46" t="str">
        <f aca="false">IF('Survey Response'!$D451="","",'Survey Response'!$C451)</f>
        <v/>
      </c>
      <c r="H453" s="46" t="str">
        <f aca="false">IF('Survey Response'!$D451="","",LOWER(TRIM('Survey Response'!$D451)))</f>
        <v/>
      </c>
      <c r="I453" s="46" t="str">
        <f aca="false">IF($H453="","",'Survey Response'!$I451)</f>
        <v/>
      </c>
      <c r="J453" s="46" t="str">
        <f aca="false">IF($H453="","",'Survey Response'!$K451)</f>
        <v/>
      </c>
      <c r="K453" s="46" t="str">
        <f aca="false">IF($J453="","",IF(COUNTIF('Skill Mapping'!$A$2:$A$7,TRIM($J453))=0,"",INDEX('Skill Mapping'!$B$2:$B$7,MATCH(TRIM($J453),'Skill Mapping'!$A$2:$A$7,0))))</f>
        <v/>
      </c>
      <c r="L453" s="46" t="str">
        <f aca="false">IF($H453="","",'Survey Response'!$L451)</f>
        <v/>
      </c>
      <c r="M453" s="46" t="str">
        <f aca="false">IF($L453="","",IF(COUNTIF('Skill Mapping'!$A$2:$A$7,TRIM($L453))=0,"",INDEX('Skill Mapping'!$B$2:$B$7,MATCH(TRIM($L453),'Skill Mapping'!$A$2:$A$7,0))))</f>
        <v/>
      </c>
      <c r="N453" s="46" t="str">
        <f aca="false">IF($H453="","",'Survey Response'!$M451)</f>
        <v/>
      </c>
      <c r="O453" s="46" t="str">
        <f aca="false">IF($H453="","",IF('Survey Response'!$M451="Manager","R2","R1"))</f>
        <v/>
      </c>
      <c r="P453" s="46" t="str">
        <f aca="false">IF($K453="","No",IF(COUNTIFS(MasterPanel!$B:$B,$H453,MasterPanel!$I:$I,$K453,MasterPanel!$K:$K,"Y")&gt;0,"Yes","No"))</f>
        <v>No</v>
      </c>
      <c r="Q453" s="46" t="n">
        <f aca="false">IF($K453="",0,IF(COUNTIF('Gap Sheet'!$A$6:$A$11,TRIM($J453))=0,0,IF($O453="R1",INDEX('Gap Sheet'!$C$6:$C$11,MATCH(TRIM($J453),'Gap Sheet'!$A$6:$A$11,0)),INDEX('Gap Sheet'!$G$6:$G$11,MATCH(TRIM($J453),'Gap Sheet'!$A$6:$A$11,0)))))</f>
        <v>0</v>
      </c>
      <c r="R453" s="46" t="str">
        <f aca="false">IF($K453="","",$K453&amp;"|"&amp;$O453)</f>
        <v/>
      </c>
      <c r="S453" s="46" t="n">
        <f aca="false">IF($R453="",0,COUNTIF($AA$4:$AA452,$R453))</f>
        <v>0</v>
      </c>
      <c r="T453" s="46" t="str">
        <f aca="false">IF(OR($I453&lt;&gt;"Yes, I'm available for in-person interviews at Chennai",$E453&lt;&gt;"Yes",$P453&lt;&gt;"Yes"),"No",IF(($Q453-$S453)&gt;0,"Yes","No"))</f>
        <v>No</v>
      </c>
      <c r="U453" s="46" t="str">
        <f aca="false">IF($M453="","No",IF(COUNTIFS(MasterPanel!$B:$B,$H453,MasterPanel!$I:$I,$M453,MasterPanel!$K:$K,"Y")&gt;0,"Yes","No"))</f>
        <v>No</v>
      </c>
      <c r="V453" s="46" t="n">
        <f aca="false">IF($M453="",0,IF(COUNTIF('Gap Sheet'!$A$6:$A$11,TRIM($L453))=0,0,IF($O453="R1",INDEX('Gap Sheet'!$C$6:$C$11,MATCH(TRIM($L453),'Gap Sheet'!$A$6:$A$11,0)),INDEX('Gap Sheet'!$G$6:$G$11,MATCH(TRIM($L453),'Gap Sheet'!$A$6:$A$11,0)))))</f>
        <v>0</v>
      </c>
      <c r="W453" s="46" t="str">
        <f aca="false">IF($M453="","",$M453&amp;"|"&amp;$O453)</f>
        <v/>
      </c>
      <c r="X453" s="46" t="n">
        <f aca="false">IF($W453="",0,COUNTIF($AA$4:$AA452,$W453))</f>
        <v>0</v>
      </c>
      <c r="Y453" s="46" t="str">
        <f aca="false">IF(OR($I453&lt;&gt;"Yes, I'm available for in-person interviews at Chennai",$E453&lt;&gt;"Yes",$T453="Yes",$U453&lt;&gt;"Yes"),"No",IF(($V453-$X453)&gt;0,"Yes","No"))</f>
        <v>No</v>
      </c>
      <c r="Z453" s="46" t="str">
        <f aca="false">IF($T453="Yes","Primary",IF($Y453="Yes","Secondary",""))</f>
        <v/>
      </c>
      <c r="AA453" s="46" t="str">
        <f aca="false">IF($Z453="Primary",$R453,IF($Z453="Secondary",$W453,""))</f>
        <v/>
      </c>
      <c r="AB453" s="46" t="str">
        <f aca="false">IF($Z453="Primary","Matched on primary skill",IF($Z453="Secondary","Matched on secondary skill (primary not approved or not required)",""))</f>
        <v/>
      </c>
      <c r="AC453" s="47" t="str">
        <f aca="false">IF($D453="Panel Details",$F453,"")</f>
        <v/>
      </c>
      <c r="AD453" s="46" t="str">
        <f aca="false">IF($D453="Panel Details",'Survey Response'!$D451,"")</f>
        <v/>
      </c>
      <c r="AE453" s="46" t="str">
        <f aca="false">IF($D453="Panel Details",'Survey Response'!$E451,"")</f>
        <v/>
      </c>
      <c r="AF453" s="46" t="str">
        <f aca="false">IF($D453="Panel Details",'Survey Response'!$G451,"")</f>
        <v/>
      </c>
      <c r="AG453" s="46" t="str">
        <f aca="false">IF($D453="Panel Details",IF($Z453="Primary",$J453,$L453),"")</f>
        <v/>
      </c>
      <c r="AH453" s="46" t="str">
        <f aca="false">IF($D453="Panel Details",IF($Z453="Primary",$L453,$J453),"")</f>
        <v/>
      </c>
      <c r="AI453" s="46" t="str">
        <f aca="false">IF($D453="Panel Details",'Survey Response'!$H451,"")</f>
        <v/>
      </c>
      <c r="AJ453" s="46" t="str">
        <f aca="false">IF($D453="Panel Details",'Survey Response'!$M451,"")</f>
        <v/>
      </c>
      <c r="AK453" s="46" t="str">
        <f aca="false">IF($D453="Panel Details",$O453,"")</f>
        <v/>
      </c>
      <c r="AL453" s="46" t="str">
        <f aca="false">IF($D453="Panel Details",8,"")</f>
        <v/>
      </c>
      <c r="AM453" s="46" t="str">
        <f aca="false">IF($D453="Panel Details",$AB453,"")</f>
        <v/>
      </c>
      <c r="AN453" s="46" t="str">
        <f aca="false">IF($D453="Panel Details","Yes","")</f>
        <v/>
      </c>
      <c r="AO453" s="46"/>
      <c r="AP453" s="46" t="str">
        <f aca="false">IF($D453="Followup",'Survey Response'!$D451,"")</f>
        <v/>
      </c>
      <c r="AQ453" s="46" t="str">
        <f aca="false">IF($D453="Followup",'Survey Response'!$E451,"")</f>
        <v/>
      </c>
      <c r="AR453" s="46" t="str">
        <f aca="false">IF($D453="Followup",'Survey Response'!$G451,"")</f>
        <v/>
      </c>
      <c r="AS453" s="46" t="str">
        <f aca="false">IF($D453="Followup",'Survey Response'!$H451,"")</f>
        <v/>
      </c>
      <c r="AT453" s="46" t="str">
        <f aca="false">IF($D453="Followup",'Survey Response'!$M451,"")</f>
        <v/>
      </c>
      <c r="AU453" s="46" t="str">
        <f aca="false">IF($D453="Followup",'Survey Response'!$K451,"")</f>
        <v/>
      </c>
      <c r="AV453" s="46" t="str">
        <f aca="false">IF($D453="Followup",'Survey Response'!$L451,"")</f>
        <v/>
      </c>
      <c r="AW453" s="46" t="str">
        <f aca="false">IF($D453="Followup",IF(AND($P453&lt;&gt;"Yes",$U453&lt;&gt;"Yes"),"Not approved for primary or secondary skill","Approved, but skill(s) no longer have capacity (fully staffed)"),"")</f>
        <v/>
      </c>
    </row>
    <row r="454" customFormat="false" ht="15" hidden="false" customHeight="true" outlineLevel="0" collapsed="false">
      <c r="A454" s="46" t="str">
        <f aca="false">IF('Survey Response'!$D452="","",'Survey Response'!$A452&amp;"|"&amp;LOWER(TRIM('Survey Response'!$D452)))</f>
        <v/>
      </c>
      <c r="B454" s="46" t="str">
        <f aca="false">IF($H454="","",$F454&amp;"|"&amp;$H454)</f>
        <v/>
      </c>
      <c r="C454" s="46" t="str">
        <f aca="false">IF($H454="","",$A454=$B454)</f>
        <v/>
      </c>
      <c r="D454" s="46" t="str">
        <f aca="false">IF($H454="","",IF($E454&lt;&gt;"Yes","Superseded",IF($I454&lt;&gt;"Yes, I'm available for in-person interviews at Chennai","Not Available",IF($Z454&lt;&gt;"","Panel Details","Followup"))))</f>
        <v/>
      </c>
      <c r="E454" s="46" t="str">
        <f aca="false">IF($H454="","",IF(SUMPRODUCT(($H$4:$H$503=$H454)*(($G$4:$G$503&gt;$G454)+($G$4:$G$503=$G454)*($F$4:$F$503&gt;$F454)))=0,"Yes","No"))</f>
        <v/>
      </c>
      <c r="F454" s="47" t="str">
        <f aca="false">IF('Survey Response'!$D452="","",INT('Survey Response'!$A452))</f>
        <v/>
      </c>
      <c r="G454" s="46" t="str">
        <f aca="false">IF('Survey Response'!$D452="","",'Survey Response'!$C452)</f>
        <v/>
      </c>
      <c r="H454" s="46" t="str">
        <f aca="false">IF('Survey Response'!$D452="","",LOWER(TRIM('Survey Response'!$D452)))</f>
        <v/>
      </c>
      <c r="I454" s="46" t="str">
        <f aca="false">IF($H454="","",'Survey Response'!$I452)</f>
        <v/>
      </c>
      <c r="J454" s="46" t="str">
        <f aca="false">IF($H454="","",'Survey Response'!$K452)</f>
        <v/>
      </c>
      <c r="K454" s="46" t="str">
        <f aca="false">IF($J454="","",IF(COUNTIF('Skill Mapping'!$A$2:$A$7,TRIM($J454))=0,"",INDEX('Skill Mapping'!$B$2:$B$7,MATCH(TRIM($J454),'Skill Mapping'!$A$2:$A$7,0))))</f>
        <v/>
      </c>
      <c r="L454" s="46" t="str">
        <f aca="false">IF($H454="","",'Survey Response'!$L452)</f>
        <v/>
      </c>
      <c r="M454" s="46" t="str">
        <f aca="false">IF($L454="","",IF(COUNTIF('Skill Mapping'!$A$2:$A$7,TRIM($L454))=0,"",INDEX('Skill Mapping'!$B$2:$B$7,MATCH(TRIM($L454),'Skill Mapping'!$A$2:$A$7,0))))</f>
        <v/>
      </c>
      <c r="N454" s="46" t="str">
        <f aca="false">IF($H454="","",'Survey Response'!$M452)</f>
        <v/>
      </c>
      <c r="O454" s="46" t="str">
        <f aca="false">IF($H454="","",IF('Survey Response'!$M452="Manager","R2","R1"))</f>
        <v/>
      </c>
      <c r="P454" s="46" t="str">
        <f aca="false">IF($K454="","No",IF(COUNTIFS(MasterPanel!$B:$B,$H454,MasterPanel!$I:$I,$K454,MasterPanel!$K:$K,"Y")&gt;0,"Yes","No"))</f>
        <v>No</v>
      </c>
      <c r="Q454" s="46" t="n">
        <f aca="false">IF($K454="",0,IF(COUNTIF('Gap Sheet'!$A$6:$A$11,TRIM($J454))=0,0,IF($O454="R1",INDEX('Gap Sheet'!$C$6:$C$11,MATCH(TRIM($J454),'Gap Sheet'!$A$6:$A$11,0)),INDEX('Gap Sheet'!$G$6:$G$11,MATCH(TRIM($J454),'Gap Sheet'!$A$6:$A$11,0)))))</f>
        <v>0</v>
      </c>
      <c r="R454" s="46" t="str">
        <f aca="false">IF($K454="","",$K454&amp;"|"&amp;$O454)</f>
        <v/>
      </c>
      <c r="S454" s="46" t="n">
        <f aca="false">IF($R454="",0,COUNTIF($AA$4:$AA453,$R454))</f>
        <v>0</v>
      </c>
      <c r="T454" s="46" t="str">
        <f aca="false">IF(OR($I454&lt;&gt;"Yes, I'm available for in-person interviews at Chennai",$E454&lt;&gt;"Yes",$P454&lt;&gt;"Yes"),"No",IF(($Q454-$S454)&gt;0,"Yes","No"))</f>
        <v>No</v>
      </c>
      <c r="U454" s="46" t="str">
        <f aca="false">IF($M454="","No",IF(COUNTIFS(MasterPanel!$B:$B,$H454,MasterPanel!$I:$I,$M454,MasterPanel!$K:$K,"Y")&gt;0,"Yes","No"))</f>
        <v>No</v>
      </c>
      <c r="V454" s="46" t="n">
        <f aca="false">IF($M454="",0,IF(COUNTIF('Gap Sheet'!$A$6:$A$11,TRIM($L454))=0,0,IF($O454="R1",INDEX('Gap Sheet'!$C$6:$C$11,MATCH(TRIM($L454),'Gap Sheet'!$A$6:$A$11,0)),INDEX('Gap Sheet'!$G$6:$G$11,MATCH(TRIM($L454),'Gap Sheet'!$A$6:$A$11,0)))))</f>
        <v>0</v>
      </c>
      <c r="W454" s="46" t="str">
        <f aca="false">IF($M454="","",$M454&amp;"|"&amp;$O454)</f>
        <v/>
      </c>
      <c r="X454" s="46" t="n">
        <f aca="false">IF($W454="",0,COUNTIF($AA$4:$AA453,$W454))</f>
        <v>0</v>
      </c>
      <c r="Y454" s="46" t="str">
        <f aca="false">IF(OR($I454&lt;&gt;"Yes, I'm available for in-person interviews at Chennai",$E454&lt;&gt;"Yes",$T454="Yes",$U454&lt;&gt;"Yes"),"No",IF(($V454-$X454)&gt;0,"Yes","No"))</f>
        <v>No</v>
      </c>
      <c r="Z454" s="46" t="str">
        <f aca="false">IF($T454="Yes","Primary",IF($Y454="Yes","Secondary",""))</f>
        <v/>
      </c>
      <c r="AA454" s="46" t="str">
        <f aca="false">IF($Z454="Primary",$R454,IF($Z454="Secondary",$W454,""))</f>
        <v/>
      </c>
      <c r="AB454" s="46" t="str">
        <f aca="false">IF($Z454="Primary","Matched on primary skill",IF($Z454="Secondary","Matched on secondary skill (primary not approved or not required)",""))</f>
        <v/>
      </c>
      <c r="AC454" s="47" t="str">
        <f aca="false">IF($D454="Panel Details",$F454,"")</f>
        <v/>
      </c>
      <c r="AD454" s="46" t="str">
        <f aca="false">IF($D454="Panel Details",'Survey Response'!$D452,"")</f>
        <v/>
      </c>
      <c r="AE454" s="46" t="str">
        <f aca="false">IF($D454="Panel Details",'Survey Response'!$E452,"")</f>
        <v/>
      </c>
      <c r="AF454" s="46" t="str">
        <f aca="false">IF($D454="Panel Details",'Survey Response'!$G452,"")</f>
        <v/>
      </c>
      <c r="AG454" s="46" t="str">
        <f aca="false">IF($D454="Panel Details",IF($Z454="Primary",$J454,$L454),"")</f>
        <v/>
      </c>
      <c r="AH454" s="46" t="str">
        <f aca="false">IF($D454="Panel Details",IF($Z454="Primary",$L454,$J454),"")</f>
        <v/>
      </c>
      <c r="AI454" s="46" t="str">
        <f aca="false">IF($D454="Panel Details",'Survey Response'!$H452,"")</f>
        <v/>
      </c>
      <c r="AJ454" s="46" t="str">
        <f aca="false">IF($D454="Panel Details",'Survey Response'!$M452,"")</f>
        <v/>
      </c>
      <c r="AK454" s="46" t="str">
        <f aca="false">IF($D454="Panel Details",$O454,"")</f>
        <v/>
      </c>
      <c r="AL454" s="46" t="str">
        <f aca="false">IF($D454="Panel Details",8,"")</f>
        <v/>
      </c>
      <c r="AM454" s="46" t="str">
        <f aca="false">IF($D454="Panel Details",$AB454,"")</f>
        <v/>
      </c>
      <c r="AN454" s="46" t="str">
        <f aca="false">IF($D454="Panel Details","Yes","")</f>
        <v/>
      </c>
      <c r="AO454" s="46"/>
      <c r="AP454" s="46" t="str">
        <f aca="false">IF($D454="Followup",'Survey Response'!$D452,"")</f>
        <v/>
      </c>
      <c r="AQ454" s="46" t="str">
        <f aca="false">IF($D454="Followup",'Survey Response'!$E452,"")</f>
        <v/>
      </c>
      <c r="AR454" s="46" t="str">
        <f aca="false">IF($D454="Followup",'Survey Response'!$G452,"")</f>
        <v/>
      </c>
      <c r="AS454" s="46" t="str">
        <f aca="false">IF($D454="Followup",'Survey Response'!$H452,"")</f>
        <v/>
      </c>
      <c r="AT454" s="46" t="str">
        <f aca="false">IF($D454="Followup",'Survey Response'!$M452,"")</f>
        <v/>
      </c>
      <c r="AU454" s="46" t="str">
        <f aca="false">IF($D454="Followup",'Survey Response'!$K452,"")</f>
        <v/>
      </c>
      <c r="AV454" s="46" t="str">
        <f aca="false">IF($D454="Followup",'Survey Response'!$L452,"")</f>
        <v/>
      </c>
      <c r="AW454" s="46" t="str">
        <f aca="false">IF($D454="Followup",IF(AND($P454&lt;&gt;"Yes",$U454&lt;&gt;"Yes"),"Not approved for primary or secondary skill","Approved, but skill(s) no longer have capacity (fully staffed)"),"")</f>
        <v/>
      </c>
    </row>
    <row r="455" customFormat="false" ht="15" hidden="false" customHeight="true" outlineLevel="0" collapsed="false">
      <c r="A455" s="46" t="str">
        <f aca="false">IF('Survey Response'!$D453="","",'Survey Response'!$A453&amp;"|"&amp;LOWER(TRIM('Survey Response'!$D453)))</f>
        <v/>
      </c>
      <c r="B455" s="46" t="str">
        <f aca="false">IF($H455="","",$F455&amp;"|"&amp;$H455)</f>
        <v/>
      </c>
      <c r="C455" s="46" t="str">
        <f aca="false">IF($H455="","",$A455=$B455)</f>
        <v/>
      </c>
      <c r="D455" s="46" t="str">
        <f aca="false">IF($H455="","",IF($E455&lt;&gt;"Yes","Superseded",IF($I455&lt;&gt;"Yes, I'm available for in-person interviews at Chennai","Not Available",IF($Z455&lt;&gt;"","Panel Details","Followup"))))</f>
        <v/>
      </c>
      <c r="E455" s="46" t="str">
        <f aca="false">IF($H455="","",IF(SUMPRODUCT(($H$4:$H$503=$H455)*(($G$4:$G$503&gt;$G455)+($G$4:$G$503=$G455)*($F$4:$F$503&gt;$F455)))=0,"Yes","No"))</f>
        <v/>
      </c>
      <c r="F455" s="47" t="str">
        <f aca="false">IF('Survey Response'!$D453="","",INT('Survey Response'!$A453))</f>
        <v/>
      </c>
      <c r="G455" s="46" t="str">
        <f aca="false">IF('Survey Response'!$D453="","",'Survey Response'!$C453)</f>
        <v/>
      </c>
      <c r="H455" s="46" t="str">
        <f aca="false">IF('Survey Response'!$D453="","",LOWER(TRIM('Survey Response'!$D453)))</f>
        <v/>
      </c>
      <c r="I455" s="46" t="str">
        <f aca="false">IF($H455="","",'Survey Response'!$I453)</f>
        <v/>
      </c>
      <c r="J455" s="46" t="str">
        <f aca="false">IF($H455="","",'Survey Response'!$K453)</f>
        <v/>
      </c>
      <c r="K455" s="46" t="str">
        <f aca="false">IF($J455="","",IF(COUNTIF('Skill Mapping'!$A$2:$A$7,TRIM($J455))=0,"",INDEX('Skill Mapping'!$B$2:$B$7,MATCH(TRIM($J455),'Skill Mapping'!$A$2:$A$7,0))))</f>
        <v/>
      </c>
      <c r="L455" s="46" t="str">
        <f aca="false">IF($H455="","",'Survey Response'!$L453)</f>
        <v/>
      </c>
      <c r="M455" s="46" t="str">
        <f aca="false">IF($L455="","",IF(COUNTIF('Skill Mapping'!$A$2:$A$7,TRIM($L455))=0,"",INDEX('Skill Mapping'!$B$2:$B$7,MATCH(TRIM($L455),'Skill Mapping'!$A$2:$A$7,0))))</f>
        <v/>
      </c>
      <c r="N455" s="46" t="str">
        <f aca="false">IF($H455="","",'Survey Response'!$M453)</f>
        <v/>
      </c>
      <c r="O455" s="46" t="str">
        <f aca="false">IF($H455="","",IF('Survey Response'!$M453="Manager","R2","R1"))</f>
        <v/>
      </c>
      <c r="P455" s="46" t="str">
        <f aca="false">IF($K455="","No",IF(COUNTIFS(MasterPanel!$B:$B,$H455,MasterPanel!$I:$I,$K455,MasterPanel!$K:$K,"Y")&gt;0,"Yes","No"))</f>
        <v>No</v>
      </c>
      <c r="Q455" s="46" t="n">
        <f aca="false">IF($K455="",0,IF(COUNTIF('Gap Sheet'!$A$6:$A$11,TRIM($J455))=0,0,IF($O455="R1",INDEX('Gap Sheet'!$C$6:$C$11,MATCH(TRIM($J455),'Gap Sheet'!$A$6:$A$11,0)),INDEX('Gap Sheet'!$G$6:$G$11,MATCH(TRIM($J455),'Gap Sheet'!$A$6:$A$11,0)))))</f>
        <v>0</v>
      </c>
      <c r="R455" s="46" t="str">
        <f aca="false">IF($K455="","",$K455&amp;"|"&amp;$O455)</f>
        <v/>
      </c>
      <c r="S455" s="46" t="n">
        <f aca="false">IF($R455="",0,COUNTIF($AA$4:$AA454,$R455))</f>
        <v>0</v>
      </c>
      <c r="T455" s="46" t="str">
        <f aca="false">IF(OR($I455&lt;&gt;"Yes, I'm available for in-person interviews at Chennai",$E455&lt;&gt;"Yes",$P455&lt;&gt;"Yes"),"No",IF(($Q455-$S455)&gt;0,"Yes","No"))</f>
        <v>No</v>
      </c>
      <c r="U455" s="46" t="str">
        <f aca="false">IF($M455="","No",IF(COUNTIFS(MasterPanel!$B:$B,$H455,MasterPanel!$I:$I,$M455,MasterPanel!$K:$K,"Y")&gt;0,"Yes","No"))</f>
        <v>No</v>
      </c>
      <c r="V455" s="46" t="n">
        <f aca="false">IF($M455="",0,IF(COUNTIF('Gap Sheet'!$A$6:$A$11,TRIM($L455))=0,0,IF($O455="R1",INDEX('Gap Sheet'!$C$6:$C$11,MATCH(TRIM($L455),'Gap Sheet'!$A$6:$A$11,0)),INDEX('Gap Sheet'!$G$6:$G$11,MATCH(TRIM($L455),'Gap Sheet'!$A$6:$A$11,0)))))</f>
        <v>0</v>
      </c>
      <c r="W455" s="46" t="str">
        <f aca="false">IF($M455="","",$M455&amp;"|"&amp;$O455)</f>
        <v/>
      </c>
      <c r="X455" s="46" t="n">
        <f aca="false">IF($W455="",0,COUNTIF($AA$4:$AA454,$W455))</f>
        <v>0</v>
      </c>
      <c r="Y455" s="46" t="str">
        <f aca="false">IF(OR($I455&lt;&gt;"Yes, I'm available for in-person interviews at Chennai",$E455&lt;&gt;"Yes",$T455="Yes",$U455&lt;&gt;"Yes"),"No",IF(($V455-$X455)&gt;0,"Yes","No"))</f>
        <v>No</v>
      </c>
      <c r="Z455" s="46" t="str">
        <f aca="false">IF($T455="Yes","Primary",IF($Y455="Yes","Secondary",""))</f>
        <v/>
      </c>
      <c r="AA455" s="46" t="str">
        <f aca="false">IF($Z455="Primary",$R455,IF($Z455="Secondary",$W455,""))</f>
        <v/>
      </c>
      <c r="AB455" s="46" t="str">
        <f aca="false">IF($Z455="Primary","Matched on primary skill",IF($Z455="Secondary","Matched on secondary skill (primary not approved or not required)",""))</f>
        <v/>
      </c>
      <c r="AC455" s="47" t="str">
        <f aca="false">IF($D455="Panel Details",$F455,"")</f>
        <v/>
      </c>
      <c r="AD455" s="46" t="str">
        <f aca="false">IF($D455="Panel Details",'Survey Response'!$D453,"")</f>
        <v/>
      </c>
      <c r="AE455" s="46" t="str">
        <f aca="false">IF($D455="Panel Details",'Survey Response'!$E453,"")</f>
        <v/>
      </c>
      <c r="AF455" s="46" t="str">
        <f aca="false">IF($D455="Panel Details",'Survey Response'!$G453,"")</f>
        <v/>
      </c>
      <c r="AG455" s="46" t="str">
        <f aca="false">IF($D455="Panel Details",IF($Z455="Primary",$J455,$L455),"")</f>
        <v/>
      </c>
      <c r="AH455" s="46" t="str">
        <f aca="false">IF($D455="Panel Details",IF($Z455="Primary",$L455,$J455),"")</f>
        <v/>
      </c>
      <c r="AI455" s="46" t="str">
        <f aca="false">IF($D455="Panel Details",'Survey Response'!$H453,"")</f>
        <v/>
      </c>
      <c r="AJ455" s="46" t="str">
        <f aca="false">IF($D455="Panel Details",'Survey Response'!$M453,"")</f>
        <v/>
      </c>
      <c r="AK455" s="46" t="str">
        <f aca="false">IF($D455="Panel Details",$O455,"")</f>
        <v/>
      </c>
      <c r="AL455" s="46" t="str">
        <f aca="false">IF($D455="Panel Details",8,"")</f>
        <v/>
      </c>
      <c r="AM455" s="46" t="str">
        <f aca="false">IF($D455="Panel Details",$AB455,"")</f>
        <v/>
      </c>
      <c r="AN455" s="46" t="str">
        <f aca="false">IF($D455="Panel Details","Yes","")</f>
        <v/>
      </c>
      <c r="AO455" s="46"/>
      <c r="AP455" s="46" t="str">
        <f aca="false">IF($D455="Followup",'Survey Response'!$D453,"")</f>
        <v/>
      </c>
      <c r="AQ455" s="46" t="str">
        <f aca="false">IF($D455="Followup",'Survey Response'!$E453,"")</f>
        <v/>
      </c>
      <c r="AR455" s="46" t="str">
        <f aca="false">IF($D455="Followup",'Survey Response'!$G453,"")</f>
        <v/>
      </c>
      <c r="AS455" s="46" t="str">
        <f aca="false">IF($D455="Followup",'Survey Response'!$H453,"")</f>
        <v/>
      </c>
      <c r="AT455" s="46" t="str">
        <f aca="false">IF($D455="Followup",'Survey Response'!$M453,"")</f>
        <v/>
      </c>
      <c r="AU455" s="46" t="str">
        <f aca="false">IF($D455="Followup",'Survey Response'!$K453,"")</f>
        <v/>
      </c>
      <c r="AV455" s="46" t="str">
        <f aca="false">IF($D455="Followup",'Survey Response'!$L453,"")</f>
        <v/>
      </c>
      <c r="AW455" s="46" t="str">
        <f aca="false">IF($D455="Followup",IF(AND($P455&lt;&gt;"Yes",$U455&lt;&gt;"Yes"),"Not approved for primary or secondary skill","Approved, but skill(s) no longer have capacity (fully staffed)"),"")</f>
        <v/>
      </c>
    </row>
    <row r="456" customFormat="false" ht="15" hidden="false" customHeight="true" outlineLevel="0" collapsed="false">
      <c r="A456" s="46" t="str">
        <f aca="false">IF('Survey Response'!$D454="","",'Survey Response'!$A454&amp;"|"&amp;LOWER(TRIM('Survey Response'!$D454)))</f>
        <v/>
      </c>
      <c r="B456" s="46" t="str">
        <f aca="false">IF($H456="","",$F456&amp;"|"&amp;$H456)</f>
        <v/>
      </c>
      <c r="C456" s="46" t="str">
        <f aca="false">IF($H456="","",$A456=$B456)</f>
        <v/>
      </c>
      <c r="D456" s="46" t="str">
        <f aca="false">IF($H456="","",IF($E456&lt;&gt;"Yes","Superseded",IF($I456&lt;&gt;"Yes, I'm available for in-person interviews at Chennai","Not Available",IF($Z456&lt;&gt;"","Panel Details","Followup"))))</f>
        <v/>
      </c>
      <c r="E456" s="46" t="str">
        <f aca="false">IF($H456="","",IF(SUMPRODUCT(($H$4:$H$503=$H456)*(($G$4:$G$503&gt;$G456)+($G$4:$G$503=$G456)*($F$4:$F$503&gt;$F456)))=0,"Yes","No"))</f>
        <v/>
      </c>
      <c r="F456" s="47" t="str">
        <f aca="false">IF('Survey Response'!$D454="","",INT('Survey Response'!$A454))</f>
        <v/>
      </c>
      <c r="G456" s="46" t="str">
        <f aca="false">IF('Survey Response'!$D454="","",'Survey Response'!$C454)</f>
        <v/>
      </c>
      <c r="H456" s="46" t="str">
        <f aca="false">IF('Survey Response'!$D454="","",LOWER(TRIM('Survey Response'!$D454)))</f>
        <v/>
      </c>
      <c r="I456" s="46" t="str">
        <f aca="false">IF($H456="","",'Survey Response'!$I454)</f>
        <v/>
      </c>
      <c r="J456" s="46" t="str">
        <f aca="false">IF($H456="","",'Survey Response'!$K454)</f>
        <v/>
      </c>
      <c r="K456" s="46" t="str">
        <f aca="false">IF($J456="","",IF(COUNTIF('Skill Mapping'!$A$2:$A$7,TRIM($J456))=0,"",INDEX('Skill Mapping'!$B$2:$B$7,MATCH(TRIM($J456),'Skill Mapping'!$A$2:$A$7,0))))</f>
        <v/>
      </c>
      <c r="L456" s="46" t="str">
        <f aca="false">IF($H456="","",'Survey Response'!$L454)</f>
        <v/>
      </c>
      <c r="M456" s="46" t="str">
        <f aca="false">IF($L456="","",IF(COUNTIF('Skill Mapping'!$A$2:$A$7,TRIM($L456))=0,"",INDEX('Skill Mapping'!$B$2:$B$7,MATCH(TRIM($L456),'Skill Mapping'!$A$2:$A$7,0))))</f>
        <v/>
      </c>
      <c r="N456" s="46" t="str">
        <f aca="false">IF($H456="","",'Survey Response'!$M454)</f>
        <v/>
      </c>
      <c r="O456" s="46" t="str">
        <f aca="false">IF($H456="","",IF('Survey Response'!$M454="Manager","R2","R1"))</f>
        <v/>
      </c>
      <c r="P456" s="46" t="str">
        <f aca="false">IF($K456="","No",IF(COUNTIFS(MasterPanel!$B:$B,$H456,MasterPanel!$I:$I,$K456,MasterPanel!$K:$K,"Y")&gt;0,"Yes","No"))</f>
        <v>No</v>
      </c>
      <c r="Q456" s="46" t="n">
        <f aca="false">IF($K456="",0,IF(COUNTIF('Gap Sheet'!$A$6:$A$11,TRIM($J456))=0,0,IF($O456="R1",INDEX('Gap Sheet'!$C$6:$C$11,MATCH(TRIM($J456),'Gap Sheet'!$A$6:$A$11,0)),INDEX('Gap Sheet'!$G$6:$G$11,MATCH(TRIM($J456),'Gap Sheet'!$A$6:$A$11,0)))))</f>
        <v>0</v>
      </c>
      <c r="R456" s="46" t="str">
        <f aca="false">IF($K456="","",$K456&amp;"|"&amp;$O456)</f>
        <v/>
      </c>
      <c r="S456" s="46" t="n">
        <f aca="false">IF($R456="",0,COUNTIF($AA$4:$AA455,$R456))</f>
        <v>0</v>
      </c>
      <c r="T456" s="46" t="str">
        <f aca="false">IF(OR($I456&lt;&gt;"Yes, I'm available for in-person interviews at Chennai",$E456&lt;&gt;"Yes",$P456&lt;&gt;"Yes"),"No",IF(($Q456-$S456)&gt;0,"Yes","No"))</f>
        <v>No</v>
      </c>
      <c r="U456" s="46" t="str">
        <f aca="false">IF($M456="","No",IF(COUNTIFS(MasterPanel!$B:$B,$H456,MasterPanel!$I:$I,$M456,MasterPanel!$K:$K,"Y")&gt;0,"Yes","No"))</f>
        <v>No</v>
      </c>
      <c r="V456" s="46" t="n">
        <f aca="false">IF($M456="",0,IF(COUNTIF('Gap Sheet'!$A$6:$A$11,TRIM($L456))=0,0,IF($O456="R1",INDEX('Gap Sheet'!$C$6:$C$11,MATCH(TRIM($L456),'Gap Sheet'!$A$6:$A$11,0)),INDEX('Gap Sheet'!$G$6:$G$11,MATCH(TRIM($L456),'Gap Sheet'!$A$6:$A$11,0)))))</f>
        <v>0</v>
      </c>
      <c r="W456" s="46" t="str">
        <f aca="false">IF($M456="","",$M456&amp;"|"&amp;$O456)</f>
        <v/>
      </c>
      <c r="X456" s="46" t="n">
        <f aca="false">IF($W456="",0,COUNTIF($AA$4:$AA455,$W456))</f>
        <v>0</v>
      </c>
      <c r="Y456" s="46" t="str">
        <f aca="false">IF(OR($I456&lt;&gt;"Yes, I'm available for in-person interviews at Chennai",$E456&lt;&gt;"Yes",$T456="Yes",$U456&lt;&gt;"Yes"),"No",IF(($V456-$X456)&gt;0,"Yes","No"))</f>
        <v>No</v>
      </c>
      <c r="Z456" s="46" t="str">
        <f aca="false">IF($T456="Yes","Primary",IF($Y456="Yes","Secondary",""))</f>
        <v/>
      </c>
      <c r="AA456" s="46" t="str">
        <f aca="false">IF($Z456="Primary",$R456,IF($Z456="Secondary",$W456,""))</f>
        <v/>
      </c>
      <c r="AB456" s="46" t="str">
        <f aca="false">IF($Z456="Primary","Matched on primary skill",IF($Z456="Secondary","Matched on secondary skill (primary not approved or not required)",""))</f>
        <v/>
      </c>
      <c r="AC456" s="47" t="str">
        <f aca="false">IF($D456="Panel Details",$F456,"")</f>
        <v/>
      </c>
      <c r="AD456" s="46" t="str">
        <f aca="false">IF($D456="Panel Details",'Survey Response'!$D454,"")</f>
        <v/>
      </c>
      <c r="AE456" s="46" t="str">
        <f aca="false">IF($D456="Panel Details",'Survey Response'!$E454,"")</f>
        <v/>
      </c>
      <c r="AF456" s="46" t="str">
        <f aca="false">IF($D456="Panel Details",'Survey Response'!$G454,"")</f>
        <v/>
      </c>
      <c r="AG456" s="46" t="str">
        <f aca="false">IF($D456="Panel Details",IF($Z456="Primary",$J456,$L456),"")</f>
        <v/>
      </c>
      <c r="AH456" s="46" t="str">
        <f aca="false">IF($D456="Panel Details",IF($Z456="Primary",$L456,$J456),"")</f>
        <v/>
      </c>
      <c r="AI456" s="46" t="str">
        <f aca="false">IF($D456="Panel Details",'Survey Response'!$H454,"")</f>
        <v/>
      </c>
      <c r="AJ456" s="46" t="str">
        <f aca="false">IF($D456="Panel Details",'Survey Response'!$M454,"")</f>
        <v/>
      </c>
      <c r="AK456" s="46" t="str">
        <f aca="false">IF($D456="Panel Details",$O456,"")</f>
        <v/>
      </c>
      <c r="AL456" s="46" t="str">
        <f aca="false">IF($D456="Panel Details",8,"")</f>
        <v/>
      </c>
      <c r="AM456" s="46" t="str">
        <f aca="false">IF($D456="Panel Details",$AB456,"")</f>
        <v/>
      </c>
      <c r="AN456" s="46" t="str">
        <f aca="false">IF($D456="Panel Details","Yes","")</f>
        <v/>
      </c>
      <c r="AO456" s="46"/>
      <c r="AP456" s="46" t="str">
        <f aca="false">IF($D456="Followup",'Survey Response'!$D454,"")</f>
        <v/>
      </c>
      <c r="AQ456" s="46" t="str">
        <f aca="false">IF($D456="Followup",'Survey Response'!$E454,"")</f>
        <v/>
      </c>
      <c r="AR456" s="46" t="str">
        <f aca="false">IF($D456="Followup",'Survey Response'!$G454,"")</f>
        <v/>
      </c>
      <c r="AS456" s="46" t="str">
        <f aca="false">IF($D456="Followup",'Survey Response'!$H454,"")</f>
        <v/>
      </c>
      <c r="AT456" s="46" t="str">
        <f aca="false">IF($D456="Followup",'Survey Response'!$M454,"")</f>
        <v/>
      </c>
      <c r="AU456" s="46" t="str">
        <f aca="false">IF($D456="Followup",'Survey Response'!$K454,"")</f>
        <v/>
      </c>
      <c r="AV456" s="46" t="str">
        <f aca="false">IF($D456="Followup",'Survey Response'!$L454,"")</f>
        <v/>
      </c>
      <c r="AW456" s="46" t="str">
        <f aca="false">IF($D456="Followup",IF(AND($P456&lt;&gt;"Yes",$U456&lt;&gt;"Yes"),"Not approved for primary or secondary skill","Approved, but skill(s) no longer have capacity (fully staffed)"),"")</f>
        <v/>
      </c>
    </row>
    <row r="457" customFormat="false" ht="15" hidden="false" customHeight="true" outlineLevel="0" collapsed="false">
      <c r="A457" s="46" t="str">
        <f aca="false">IF('Survey Response'!$D455="","",'Survey Response'!$A455&amp;"|"&amp;LOWER(TRIM('Survey Response'!$D455)))</f>
        <v/>
      </c>
      <c r="B457" s="46" t="str">
        <f aca="false">IF($H457="","",$F457&amp;"|"&amp;$H457)</f>
        <v/>
      </c>
      <c r="C457" s="46" t="str">
        <f aca="false">IF($H457="","",$A457=$B457)</f>
        <v/>
      </c>
      <c r="D457" s="46" t="str">
        <f aca="false">IF($H457="","",IF($E457&lt;&gt;"Yes","Superseded",IF($I457&lt;&gt;"Yes, I'm available for in-person interviews at Chennai","Not Available",IF($Z457&lt;&gt;"","Panel Details","Followup"))))</f>
        <v/>
      </c>
      <c r="E457" s="46" t="str">
        <f aca="false">IF($H457="","",IF(SUMPRODUCT(($H$4:$H$503=$H457)*(($G$4:$G$503&gt;$G457)+($G$4:$G$503=$G457)*($F$4:$F$503&gt;$F457)))=0,"Yes","No"))</f>
        <v/>
      </c>
      <c r="F457" s="47" t="str">
        <f aca="false">IF('Survey Response'!$D455="","",INT('Survey Response'!$A455))</f>
        <v/>
      </c>
      <c r="G457" s="46" t="str">
        <f aca="false">IF('Survey Response'!$D455="","",'Survey Response'!$C455)</f>
        <v/>
      </c>
      <c r="H457" s="46" t="str">
        <f aca="false">IF('Survey Response'!$D455="","",LOWER(TRIM('Survey Response'!$D455)))</f>
        <v/>
      </c>
      <c r="I457" s="46" t="str">
        <f aca="false">IF($H457="","",'Survey Response'!$I455)</f>
        <v/>
      </c>
      <c r="J457" s="46" t="str">
        <f aca="false">IF($H457="","",'Survey Response'!$K455)</f>
        <v/>
      </c>
      <c r="K457" s="46" t="str">
        <f aca="false">IF($J457="","",IF(COUNTIF('Skill Mapping'!$A$2:$A$7,TRIM($J457))=0,"",INDEX('Skill Mapping'!$B$2:$B$7,MATCH(TRIM($J457),'Skill Mapping'!$A$2:$A$7,0))))</f>
        <v/>
      </c>
      <c r="L457" s="46" t="str">
        <f aca="false">IF($H457="","",'Survey Response'!$L455)</f>
        <v/>
      </c>
      <c r="M457" s="46" t="str">
        <f aca="false">IF($L457="","",IF(COUNTIF('Skill Mapping'!$A$2:$A$7,TRIM($L457))=0,"",INDEX('Skill Mapping'!$B$2:$B$7,MATCH(TRIM($L457),'Skill Mapping'!$A$2:$A$7,0))))</f>
        <v/>
      </c>
      <c r="N457" s="46" t="str">
        <f aca="false">IF($H457="","",'Survey Response'!$M455)</f>
        <v/>
      </c>
      <c r="O457" s="46" t="str">
        <f aca="false">IF($H457="","",IF('Survey Response'!$M455="Manager","R2","R1"))</f>
        <v/>
      </c>
      <c r="P457" s="46" t="str">
        <f aca="false">IF($K457="","No",IF(COUNTIFS(MasterPanel!$B:$B,$H457,MasterPanel!$I:$I,$K457,MasterPanel!$K:$K,"Y")&gt;0,"Yes","No"))</f>
        <v>No</v>
      </c>
      <c r="Q457" s="46" t="n">
        <f aca="false">IF($K457="",0,IF(COUNTIF('Gap Sheet'!$A$6:$A$11,TRIM($J457))=0,0,IF($O457="R1",INDEX('Gap Sheet'!$C$6:$C$11,MATCH(TRIM($J457),'Gap Sheet'!$A$6:$A$11,0)),INDEX('Gap Sheet'!$G$6:$G$11,MATCH(TRIM($J457),'Gap Sheet'!$A$6:$A$11,0)))))</f>
        <v>0</v>
      </c>
      <c r="R457" s="46" t="str">
        <f aca="false">IF($K457="","",$K457&amp;"|"&amp;$O457)</f>
        <v/>
      </c>
      <c r="S457" s="46" t="n">
        <f aca="false">IF($R457="",0,COUNTIF($AA$4:$AA456,$R457))</f>
        <v>0</v>
      </c>
      <c r="T457" s="46" t="str">
        <f aca="false">IF(OR($I457&lt;&gt;"Yes, I'm available for in-person interviews at Chennai",$E457&lt;&gt;"Yes",$P457&lt;&gt;"Yes"),"No",IF(($Q457-$S457)&gt;0,"Yes","No"))</f>
        <v>No</v>
      </c>
      <c r="U457" s="46" t="str">
        <f aca="false">IF($M457="","No",IF(COUNTIFS(MasterPanel!$B:$B,$H457,MasterPanel!$I:$I,$M457,MasterPanel!$K:$K,"Y")&gt;0,"Yes","No"))</f>
        <v>No</v>
      </c>
      <c r="V457" s="46" t="n">
        <f aca="false">IF($M457="",0,IF(COUNTIF('Gap Sheet'!$A$6:$A$11,TRIM($L457))=0,0,IF($O457="R1",INDEX('Gap Sheet'!$C$6:$C$11,MATCH(TRIM($L457),'Gap Sheet'!$A$6:$A$11,0)),INDEX('Gap Sheet'!$G$6:$G$11,MATCH(TRIM($L457),'Gap Sheet'!$A$6:$A$11,0)))))</f>
        <v>0</v>
      </c>
      <c r="W457" s="46" t="str">
        <f aca="false">IF($M457="","",$M457&amp;"|"&amp;$O457)</f>
        <v/>
      </c>
      <c r="X457" s="46" t="n">
        <f aca="false">IF($W457="",0,COUNTIF($AA$4:$AA456,$W457))</f>
        <v>0</v>
      </c>
      <c r="Y457" s="46" t="str">
        <f aca="false">IF(OR($I457&lt;&gt;"Yes, I'm available for in-person interviews at Chennai",$E457&lt;&gt;"Yes",$T457="Yes",$U457&lt;&gt;"Yes"),"No",IF(($V457-$X457)&gt;0,"Yes","No"))</f>
        <v>No</v>
      </c>
      <c r="Z457" s="46" t="str">
        <f aca="false">IF($T457="Yes","Primary",IF($Y457="Yes","Secondary",""))</f>
        <v/>
      </c>
      <c r="AA457" s="46" t="str">
        <f aca="false">IF($Z457="Primary",$R457,IF($Z457="Secondary",$W457,""))</f>
        <v/>
      </c>
      <c r="AB457" s="46" t="str">
        <f aca="false">IF($Z457="Primary","Matched on primary skill",IF($Z457="Secondary","Matched on secondary skill (primary not approved or not required)",""))</f>
        <v/>
      </c>
      <c r="AC457" s="47" t="str">
        <f aca="false">IF($D457="Panel Details",$F457,"")</f>
        <v/>
      </c>
      <c r="AD457" s="46" t="str">
        <f aca="false">IF($D457="Panel Details",'Survey Response'!$D455,"")</f>
        <v/>
      </c>
      <c r="AE457" s="46" t="str">
        <f aca="false">IF($D457="Panel Details",'Survey Response'!$E455,"")</f>
        <v/>
      </c>
      <c r="AF457" s="46" t="str">
        <f aca="false">IF($D457="Panel Details",'Survey Response'!$G455,"")</f>
        <v/>
      </c>
      <c r="AG457" s="46" t="str">
        <f aca="false">IF($D457="Panel Details",IF($Z457="Primary",$J457,$L457),"")</f>
        <v/>
      </c>
      <c r="AH457" s="46" t="str">
        <f aca="false">IF($D457="Panel Details",IF($Z457="Primary",$L457,$J457),"")</f>
        <v/>
      </c>
      <c r="AI457" s="46" t="str">
        <f aca="false">IF($D457="Panel Details",'Survey Response'!$H455,"")</f>
        <v/>
      </c>
      <c r="AJ457" s="46" t="str">
        <f aca="false">IF($D457="Panel Details",'Survey Response'!$M455,"")</f>
        <v/>
      </c>
      <c r="AK457" s="46" t="str">
        <f aca="false">IF($D457="Panel Details",$O457,"")</f>
        <v/>
      </c>
      <c r="AL457" s="46" t="str">
        <f aca="false">IF($D457="Panel Details",8,"")</f>
        <v/>
      </c>
      <c r="AM457" s="46" t="str">
        <f aca="false">IF($D457="Panel Details",$AB457,"")</f>
        <v/>
      </c>
      <c r="AN457" s="46" t="str">
        <f aca="false">IF($D457="Panel Details","Yes","")</f>
        <v/>
      </c>
      <c r="AO457" s="46"/>
      <c r="AP457" s="46" t="str">
        <f aca="false">IF($D457="Followup",'Survey Response'!$D455,"")</f>
        <v/>
      </c>
      <c r="AQ457" s="46" t="str">
        <f aca="false">IF($D457="Followup",'Survey Response'!$E455,"")</f>
        <v/>
      </c>
      <c r="AR457" s="46" t="str">
        <f aca="false">IF($D457="Followup",'Survey Response'!$G455,"")</f>
        <v/>
      </c>
      <c r="AS457" s="46" t="str">
        <f aca="false">IF($D457="Followup",'Survey Response'!$H455,"")</f>
        <v/>
      </c>
      <c r="AT457" s="46" t="str">
        <f aca="false">IF($D457="Followup",'Survey Response'!$M455,"")</f>
        <v/>
      </c>
      <c r="AU457" s="46" t="str">
        <f aca="false">IF($D457="Followup",'Survey Response'!$K455,"")</f>
        <v/>
      </c>
      <c r="AV457" s="46" t="str">
        <f aca="false">IF($D457="Followup",'Survey Response'!$L455,"")</f>
        <v/>
      </c>
      <c r="AW457" s="46" t="str">
        <f aca="false">IF($D457="Followup",IF(AND($P457&lt;&gt;"Yes",$U457&lt;&gt;"Yes"),"Not approved for primary or secondary skill","Approved, but skill(s) no longer have capacity (fully staffed)"),"")</f>
        <v/>
      </c>
    </row>
    <row r="458" customFormat="false" ht="15" hidden="false" customHeight="true" outlineLevel="0" collapsed="false">
      <c r="A458" s="46" t="str">
        <f aca="false">IF('Survey Response'!$D456="","",'Survey Response'!$A456&amp;"|"&amp;LOWER(TRIM('Survey Response'!$D456)))</f>
        <v/>
      </c>
      <c r="B458" s="46" t="str">
        <f aca="false">IF($H458="","",$F458&amp;"|"&amp;$H458)</f>
        <v/>
      </c>
      <c r="C458" s="46" t="str">
        <f aca="false">IF($H458="","",$A458=$B458)</f>
        <v/>
      </c>
      <c r="D458" s="46" t="str">
        <f aca="false">IF($H458="","",IF($E458&lt;&gt;"Yes","Superseded",IF($I458&lt;&gt;"Yes, I'm available for in-person interviews at Chennai","Not Available",IF($Z458&lt;&gt;"","Panel Details","Followup"))))</f>
        <v/>
      </c>
      <c r="E458" s="46" t="str">
        <f aca="false">IF($H458="","",IF(SUMPRODUCT(($H$4:$H$503=$H458)*(($G$4:$G$503&gt;$G458)+($G$4:$G$503=$G458)*($F$4:$F$503&gt;$F458)))=0,"Yes","No"))</f>
        <v/>
      </c>
      <c r="F458" s="47" t="str">
        <f aca="false">IF('Survey Response'!$D456="","",INT('Survey Response'!$A456))</f>
        <v/>
      </c>
      <c r="G458" s="46" t="str">
        <f aca="false">IF('Survey Response'!$D456="","",'Survey Response'!$C456)</f>
        <v/>
      </c>
      <c r="H458" s="46" t="str">
        <f aca="false">IF('Survey Response'!$D456="","",LOWER(TRIM('Survey Response'!$D456)))</f>
        <v/>
      </c>
      <c r="I458" s="46" t="str">
        <f aca="false">IF($H458="","",'Survey Response'!$I456)</f>
        <v/>
      </c>
      <c r="J458" s="46" t="str">
        <f aca="false">IF($H458="","",'Survey Response'!$K456)</f>
        <v/>
      </c>
      <c r="K458" s="46" t="str">
        <f aca="false">IF($J458="","",IF(COUNTIF('Skill Mapping'!$A$2:$A$7,TRIM($J458))=0,"",INDEX('Skill Mapping'!$B$2:$B$7,MATCH(TRIM($J458),'Skill Mapping'!$A$2:$A$7,0))))</f>
        <v/>
      </c>
      <c r="L458" s="46" t="str">
        <f aca="false">IF($H458="","",'Survey Response'!$L456)</f>
        <v/>
      </c>
      <c r="M458" s="46" t="str">
        <f aca="false">IF($L458="","",IF(COUNTIF('Skill Mapping'!$A$2:$A$7,TRIM($L458))=0,"",INDEX('Skill Mapping'!$B$2:$B$7,MATCH(TRIM($L458),'Skill Mapping'!$A$2:$A$7,0))))</f>
        <v/>
      </c>
      <c r="N458" s="46" t="str">
        <f aca="false">IF($H458="","",'Survey Response'!$M456)</f>
        <v/>
      </c>
      <c r="O458" s="46" t="str">
        <f aca="false">IF($H458="","",IF('Survey Response'!$M456="Manager","R2","R1"))</f>
        <v/>
      </c>
      <c r="P458" s="46" t="str">
        <f aca="false">IF($K458="","No",IF(COUNTIFS(MasterPanel!$B:$B,$H458,MasterPanel!$I:$I,$K458,MasterPanel!$K:$K,"Y")&gt;0,"Yes","No"))</f>
        <v>No</v>
      </c>
      <c r="Q458" s="46" t="n">
        <f aca="false">IF($K458="",0,IF(COUNTIF('Gap Sheet'!$A$6:$A$11,TRIM($J458))=0,0,IF($O458="R1",INDEX('Gap Sheet'!$C$6:$C$11,MATCH(TRIM($J458),'Gap Sheet'!$A$6:$A$11,0)),INDEX('Gap Sheet'!$G$6:$G$11,MATCH(TRIM($J458),'Gap Sheet'!$A$6:$A$11,0)))))</f>
        <v>0</v>
      </c>
      <c r="R458" s="46" t="str">
        <f aca="false">IF($K458="","",$K458&amp;"|"&amp;$O458)</f>
        <v/>
      </c>
      <c r="S458" s="46" t="n">
        <f aca="false">IF($R458="",0,COUNTIF($AA$4:$AA457,$R458))</f>
        <v>0</v>
      </c>
      <c r="T458" s="46" t="str">
        <f aca="false">IF(OR($I458&lt;&gt;"Yes, I'm available for in-person interviews at Chennai",$E458&lt;&gt;"Yes",$P458&lt;&gt;"Yes"),"No",IF(($Q458-$S458)&gt;0,"Yes","No"))</f>
        <v>No</v>
      </c>
      <c r="U458" s="46" t="str">
        <f aca="false">IF($M458="","No",IF(COUNTIFS(MasterPanel!$B:$B,$H458,MasterPanel!$I:$I,$M458,MasterPanel!$K:$K,"Y")&gt;0,"Yes","No"))</f>
        <v>No</v>
      </c>
      <c r="V458" s="46" t="n">
        <f aca="false">IF($M458="",0,IF(COUNTIF('Gap Sheet'!$A$6:$A$11,TRIM($L458))=0,0,IF($O458="R1",INDEX('Gap Sheet'!$C$6:$C$11,MATCH(TRIM($L458),'Gap Sheet'!$A$6:$A$11,0)),INDEX('Gap Sheet'!$G$6:$G$11,MATCH(TRIM($L458),'Gap Sheet'!$A$6:$A$11,0)))))</f>
        <v>0</v>
      </c>
      <c r="W458" s="46" t="str">
        <f aca="false">IF($M458="","",$M458&amp;"|"&amp;$O458)</f>
        <v/>
      </c>
      <c r="X458" s="46" t="n">
        <f aca="false">IF($W458="",0,COUNTIF($AA$4:$AA457,$W458))</f>
        <v>0</v>
      </c>
      <c r="Y458" s="46" t="str">
        <f aca="false">IF(OR($I458&lt;&gt;"Yes, I'm available for in-person interviews at Chennai",$E458&lt;&gt;"Yes",$T458="Yes",$U458&lt;&gt;"Yes"),"No",IF(($V458-$X458)&gt;0,"Yes","No"))</f>
        <v>No</v>
      </c>
      <c r="Z458" s="46" t="str">
        <f aca="false">IF($T458="Yes","Primary",IF($Y458="Yes","Secondary",""))</f>
        <v/>
      </c>
      <c r="AA458" s="46" t="str">
        <f aca="false">IF($Z458="Primary",$R458,IF($Z458="Secondary",$W458,""))</f>
        <v/>
      </c>
      <c r="AB458" s="46" t="str">
        <f aca="false">IF($Z458="Primary","Matched on primary skill",IF($Z458="Secondary","Matched on secondary skill (primary not approved or not required)",""))</f>
        <v/>
      </c>
      <c r="AC458" s="47" t="str">
        <f aca="false">IF($D458="Panel Details",$F458,"")</f>
        <v/>
      </c>
      <c r="AD458" s="46" t="str">
        <f aca="false">IF($D458="Panel Details",'Survey Response'!$D456,"")</f>
        <v/>
      </c>
      <c r="AE458" s="46" t="str">
        <f aca="false">IF($D458="Panel Details",'Survey Response'!$E456,"")</f>
        <v/>
      </c>
      <c r="AF458" s="46" t="str">
        <f aca="false">IF($D458="Panel Details",'Survey Response'!$G456,"")</f>
        <v/>
      </c>
      <c r="AG458" s="46" t="str">
        <f aca="false">IF($D458="Panel Details",IF($Z458="Primary",$J458,$L458),"")</f>
        <v/>
      </c>
      <c r="AH458" s="46" t="str">
        <f aca="false">IF($D458="Panel Details",IF($Z458="Primary",$L458,$J458),"")</f>
        <v/>
      </c>
      <c r="AI458" s="46" t="str">
        <f aca="false">IF($D458="Panel Details",'Survey Response'!$H456,"")</f>
        <v/>
      </c>
      <c r="AJ458" s="46" t="str">
        <f aca="false">IF($D458="Panel Details",'Survey Response'!$M456,"")</f>
        <v/>
      </c>
      <c r="AK458" s="46" t="str">
        <f aca="false">IF($D458="Panel Details",$O458,"")</f>
        <v/>
      </c>
      <c r="AL458" s="46" t="str">
        <f aca="false">IF($D458="Panel Details",8,"")</f>
        <v/>
      </c>
      <c r="AM458" s="46" t="str">
        <f aca="false">IF($D458="Panel Details",$AB458,"")</f>
        <v/>
      </c>
      <c r="AN458" s="46" t="str">
        <f aca="false">IF($D458="Panel Details","Yes","")</f>
        <v/>
      </c>
      <c r="AO458" s="46"/>
      <c r="AP458" s="46" t="str">
        <f aca="false">IF($D458="Followup",'Survey Response'!$D456,"")</f>
        <v/>
      </c>
      <c r="AQ458" s="46" t="str">
        <f aca="false">IF($D458="Followup",'Survey Response'!$E456,"")</f>
        <v/>
      </c>
      <c r="AR458" s="46" t="str">
        <f aca="false">IF($D458="Followup",'Survey Response'!$G456,"")</f>
        <v/>
      </c>
      <c r="AS458" s="46" t="str">
        <f aca="false">IF($D458="Followup",'Survey Response'!$H456,"")</f>
        <v/>
      </c>
      <c r="AT458" s="46" t="str">
        <f aca="false">IF($D458="Followup",'Survey Response'!$M456,"")</f>
        <v/>
      </c>
      <c r="AU458" s="46" t="str">
        <f aca="false">IF($D458="Followup",'Survey Response'!$K456,"")</f>
        <v/>
      </c>
      <c r="AV458" s="46" t="str">
        <f aca="false">IF($D458="Followup",'Survey Response'!$L456,"")</f>
        <v/>
      </c>
      <c r="AW458" s="46" t="str">
        <f aca="false">IF($D458="Followup",IF(AND($P458&lt;&gt;"Yes",$U458&lt;&gt;"Yes"),"Not approved for primary or secondary skill","Approved, but skill(s) no longer have capacity (fully staffed)"),"")</f>
        <v/>
      </c>
    </row>
    <row r="459" customFormat="false" ht="15" hidden="false" customHeight="true" outlineLevel="0" collapsed="false">
      <c r="A459" s="46" t="str">
        <f aca="false">IF('Survey Response'!$D457="","",'Survey Response'!$A457&amp;"|"&amp;LOWER(TRIM('Survey Response'!$D457)))</f>
        <v/>
      </c>
      <c r="B459" s="46" t="str">
        <f aca="false">IF($H459="","",$F459&amp;"|"&amp;$H459)</f>
        <v/>
      </c>
      <c r="C459" s="46" t="str">
        <f aca="false">IF($H459="","",$A459=$B459)</f>
        <v/>
      </c>
      <c r="D459" s="46" t="str">
        <f aca="false">IF($H459="","",IF($E459&lt;&gt;"Yes","Superseded",IF($I459&lt;&gt;"Yes, I'm available for in-person interviews at Chennai","Not Available",IF($Z459&lt;&gt;"","Panel Details","Followup"))))</f>
        <v/>
      </c>
      <c r="E459" s="46" t="str">
        <f aca="false">IF($H459="","",IF(SUMPRODUCT(($H$4:$H$503=$H459)*(($G$4:$G$503&gt;$G459)+($G$4:$G$503=$G459)*($F$4:$F$503&gt;$F459)))=0,"Yes","No"))</f>
        <v/>
      </c>
      <c r="F459" s="47" t="str">
        <f aca="false">IF('Survey Response'!$D457="","",INT('Survey Response'!$A457))</f>
        <v/>
      </c>
      <c r="G459" s="46" t="str">
        <f aca="false">IF('Survey Response'!$D457="","",'Survey Response'!$C457)</f>
        <v/>
      </c>
      <c r="H459" s="46" t="str">
        <f aca="false">IF('Survey Response'!$D457="","",LOWER(TRIM('Survey Response'!$D457)))</f>
        <v/>
      </c>
      <c r="I459" s="46" t="str">
        <f aca="false">IF($H459="","",'Survey Response'!$I457)</f>
        <v/>
      </c>
      <c r="J459" s="46" t="str">
        <f aca="false">IF($H459="","",'Survey Response'!$K457)</f>
        <v/>
      </c>
      <c r="K459" s="46" t="str">
        <f aca="false">IF($J459="","",IF(COUNTIF('Skill Mapping'!$A$2:$A$7,TRIM($J459))=0,"",INDEX('Skill Mapping'!$B$2:$B$7,MATCH(TRIM($J459),'Skill Mapping'!$A$2:$A$7,0))))</f>
        <v/>
      </c>
      <c r="L459" s="46" t="str">
        <f aca="false">IF($H459="","",'Survey Response'!$L457)</f>
        <v/>
      </c>
      <c r="M459" s="46" t="str">
        <f aca="false">IF($L459="","",IF(COUNTIF('Skill Mapping'!$A$2:$A$7,TRIM($L459))=0,"",INDEX('Skill Mapping'!$B$2:$B$7,MATCH(TRIM($L459),'Skill Mapping'!$A$2:$A$7,0))))</f>
        <v/>
      </c>
      <c r="N459" s="46" t="str">
        <f aca="false">IF($H459="","",'Survey Response'!$M457)</f>
        <v/>
      </c>
      <c r="O459" s="46" t="str">
        <f aca="false">IF($H459="","",IF('Survey Response'!$M457="Manager","R2","R1"))</f>
        <v/>
      </c>
      <c r="P459" s="46" t="str">
        <f aca="false">IF($K459="","No",IF(COUNTIFS(MasterPanel!$B:$B,$H459,MasterPanel!$I:$I,$K459,MasterPanel!$K:$K,"Y")&gt;0,"Yes","No"))</f>
        <v>No</v>
      </c>
      <c r="Q459" s="46" t="n">
        <f aca="false">IF($K459="",0,IF(COUNTIF('Gap Sheet'!$A$6:$A$11,TRIM($J459))=0,0,IF($O459="R1",INDEX('Gap Sheet'!$C$6:$C$11,MATCH(TRIM($J459),'Gap Sheet'!$A$6:$A$11,0)),INDEX('Gap Sheet'!$G$6:$G$11,MATCH(TRIM($J459),'Gap Sheet'!$A$6:$A$11,0)))))</f>
        <v>0</v>
      </c>
      <c r="R459" s="46" t="str">
        <f aca="false">IF($K459="","",$K459&amp;"|"&amp;$O459)</f>
        <v/>
      </c>
      <c r="S459" s="46" t="n">
        <f aca="false">IF($R459="",0,COUNTIF($AA$4:$AA458,$R459))</f>
        <v>0</v>
      </c>
      <c r="T459" s="46" t="str">
        <f aca="false">IF(OR($I459&lt;&gt;"Yes, I'm available for in-person interviews at Chennai",$E459&lt;&gt;"Yes",$P459&lt;&gt;"Yes"),"No",IF(($Q459-$S459)&gt;0,"Yes","No"))</f>
        <v>No</v>
      </c>
      <c r="U459" s="46" t="str">
        <f aca="false">IF($M459="","No",IF(COUNTIFS(MasterPanel!$B:$B,$H459,MasterPanel!$I:$I,$M459,MasterPanel!$K:$K,"Y")&gt;0,"Yes","No"))</f>
        <v>No</v>
      </c>
      <c r="V459" s="46" t="n">
        <f aca="false">IF($M459="",0,IF(COUNTIF('Gap Sheet'!$A$6:$A$11,TRIM($L459))=0,0,IF($O459="R1",INDEX('Gap Sheet'!$C$6:$C$11,MATCH(TRIM($L459),'Gap Sheet'!$A$6:$A$11,0)),INDEX('Gap Sheet'!$G$6:$G$11,MATCH(TRIM($L459),'Gap Sheet'!$A$6:$A$11,0)))))</f>
        <v>0</v>
      </c>
      <c r="W459" s="46" t="str">
        <f aca="false">IF($M459="","",$M459&amp;"|"&amp;$O459)</f>
        <v/>
      </c>
      <c r="X459" s="46" t="n">
        <f aca="false">IF($W459="",0,COUNTIF($AA$4:$AA458,$W459))</f>
        <v>0</v>
      </c>
      <c r="Y459" s="46" t="str">
        <f aca="false">IF(OR($I459&lt;&gt;"Yes, I'm available for in-person interviews at Chennai",$E459&lt;&gt;"Yes",$T459="Yes",$U459&lt;&gt;"Yes"),"No",IF(($V459-$X459)&gt;0,"Yes","No"))</f>
        <v>No</v>
      </c>
      <c r="Z459" s="46" t="str">
        <f aca="false">IF($T459="Yes","Primary",IF($Y459="Yes","Secondary",""))</f>
        <v/>
      </c>
      <c r="AA459" s="46" t="str">
        <f aca="false">IF($Z459="Primary",$R459,IF($Z459="Secondary",$W459,""))</f>
        <v/>
      </c>
      <c r="AB459" s="46" t="str">
        <f aca="false">IF($Z459="Primary","Matched on primary skill",IF($Z459="Secondary","Matched on secondary skill (primary not approved or not required)",""))</f>
        <v/>
      </c>
      <c r="AC459" s="47" t="str">
        <f aca="false">IF($D459="Panel Details",$F459,"")</f>
        <v/>
      </c>
      <c r="AD459" s="46" t="str">
        <f aca="false">IF($D459="Panel Details",'Survey Response'!$D457,"")</f>
        <v/>
      </c>
      <c r="AE459" s="46" t="str">
        <f aca="false">IF($D459="Panel Details",'Survey Response'!$E457,"")</f>
        <v/>
      </c>
      <c r="AF459" s="46" t="str">
        <f aca="false">IF($D459="Panel Details",'Survey Response'!$G457,"")</f>
        <v/>
      </c>
      <c r="AG459" s="46" t="str">
        <f aca="false">IF($D459="Panel Details",IF($Z459="Primary",$J459,$L459),"")</f>
        <v/>
      </c>
      <c r="AH459" s="46" t="str">
        <f aca="false">IF($D459="Panel Details",IF($Z459="Primary",$L459,$J459),"")</f>
        <v/>
      </c>
      <c r="AI459" s="46" t="str">
        <f aca="false">IF($D459="Panel Details",'Survey Response'!$H457,"")</f>
        <v/>
      </c>
      <c r="AJ459" s="46" t="str">
        <f aca="false">IF($D459="Panel Details",'Survey Response'!$M457,"")</f>
        <v/>
      </c>
      <c r="AK459" s="46" t="str">
        <f aca="false">IF($D459="Panel Details",$O459,"")</f>
        <v/>
      </c>
      <c r="AL459" s="46" t="str">
        <f aca="false">IF($D459="Panel Details",8,"")</f>
        <v/>
      </c>
      <c r="AM459" s="46" t="str">
        <f aca="false">IF($D459="Panel Details",$AB459,"")</f>
        <v/>
      </c>
      <c r="AN459" s="46" t="str">
        <f aca="false">IF($D459="Panel Details","Yes","")</f>
        <v/>
      </c>
      <c r="AO459" s="46"/>
      <c r="AP459" s="46" t="str">
        <f aca="false">IF($D459="Followup",'Survey Response'!$D457,"")</f>
        <v/>
      </c>
      <c r="AQ459" s="46" t="str">
        <f aca="false">IF($D459="Followup",'Survey Response'!$E457,"")</f>
        <v/>
      </c>
      <c r="AR459" s="46" t="str">
        <f aca="false">IF($D459="Followup",'Survey Response'!$G457,"")</f>
        <v/>
      </c>
      <c r="AS459" s="46" t="str">
        <f aca="false">IF($D459="Followup",'Survey Response'!$H457,"")</f>
        <v/>
      </c>
      <c r="AT459" s="46" t="str">
        <f aca="false">IF($D459="Followup",'Survey Response'!$M457,"")</f>
        <v/>
      </c>
      <c r="AU459" s="46" t="str">
        <f aca="false">IF($D459="Followup",'Survey Response'!$K457,"")</f>
        <v/>
      </c>
      <c r="AV459" s="46" t="str">
        <f aca="false">IF($D459="Followup",'Survey Response'!$L457,"")</f>
        <v/>
      </c>
      <c r="AW459" s="46" t="str">
        <f aca="false">IF($D459="Followup",IF(AND($P459&lt;&gt;"Yes",$U459&lt;&gt;"Yes"),"Not approved for primary or secondary skill","Approved, but skill(s) no longer have capacity (fully staffed)"),"")</f>
        <v/>
      </c>
    </row>
    <row r="460" customFormat="false" ht="15" hidden="false" customHeight="true" outlineLevel="0" collapsed="false">
      <c r="A460" s="46" t="str">
        <f aca="false">IF('Survey Response'!$D458="","",'Survey Response'!$A458&amp;"|"&amp;LOWER(TRIM('Survey Response'!$D458)))</f>
        <v/>
      </c>
      <c r="B460" s="46" t="str">
        <f aca="false">IF($H460="","",$F460&amp;"|"&amp;$H460)</f>
        <v/>
      </c>
      <c r="C460" s="46" t="str">
        <f aca="false">IF($H460="","",$A460=$B460)</f>
        <v/>
      </c>
      <c r="D460" s="46" t="str">
        <f aca="false">IF($H460="","",IF($E460&lt;&gt;"Yes","Superseded",IF($I460&lt;&gt;"Yes, I'm available for in-person interviews at Chennai","Not Available",IF($Z460&lt;&gt;"","Panel Details","Followup"))))</f>
        <v/>
      </c>
      <c r="E460" s="46" t="str">
        <f aca="false">IF($H460="","",IF(SUMPRODUCT(($H$4:$H$503=$H460)*(($G$4:$G$503&gt;$G460)+($G$4:$G$503=$G460)*($F$4:$F$503&gt;$F460)))=0,"Yes","No"))</f>
        <v/>
      </c>
      <c r="F460" s="47" t="str">
        <f aca="false">IF('Survey Response'!$D458="","",INT('Survey Response'!$A458))</f>
        <v/>
      </c>
      <c r="G460" s="46" t="str">
        <f aca="false">IF('Survey Response'!$D458="","",'Survey Response'!$C458)</f>
        <v/>
      </c>
      <c r="H460" s="46" t="str">
        <f aca="false">IF('Survey Response'!$D458="","",LOWER(TRIM('Survey Response'!$D458)))</f>
        <v/>
      </c>
      <c r="I460" s="46" t="str">
        <f aca="false">IF($H460="","",'Survey Response'!$I458)</f>
        <v/>
      </c>
      <c r="J460" s="46" t="str">
        <f aca="false">IF($H460="","",'Survey Response'!$K458)</f>
        <v/>
      </c>
      <c r="K460" s="46" t="str">
        <f aca="false">IF($J460="","",IF(COUNTIF('Skill Mapping'!$A$2:$A$7,TRIM($J460))=0,"",INDEX('Skill Mapping'!$B$2:$B$7,MATCH(TRIM($J460),'Skill Mapping'!$A$2:$A$7,0))))</f>
        <v/>
      </c>
      <c r="L460" s="46" t="str">
        <f aca="false">IF($H460="","",'Survey Response'!$L458)</f>
        <v/>
      </c>
      <c r="M460" s="46" t="str">
        <f aca="false">IF($L460="","",IF(COUNTIF('Skill Mapping'!$A$2:$A$7,TRIM($L460))=0,"",INDEX('Skill Mapping'!$B$2:$B$7,MATCH(TRIM($L460),'Skill Mapping'!$A$2:$A$7,0))))</f>
        <v/>
      </c>
      <c r="N460" s="46" t="str">
        <f aca="false">IF($H460="","",'Survey Response'!$M458)</f>
        <v/>
      </c>
      <c r="O460" s="46" t="str">
        <f aca="false">IF($H460="","",IF('Survey Response'!$M458="Manager","R2","R1"))</f>
        <v/>
      </c>
      <c r="P460" s="46" t="str">
        <f aca="false">IF($K460="","No",IF(COUNTIFS(MasterPanel!$B:$B,$H460,MasterPanel!$I:$I,$K460,MasterPanel!$K:$K,"Y")&gt;0,"Yes","No"))</f>
        <v>No</v>
      </c>
      <c r="Q460" s="46" t="n">
        <f aca="false">IF($K460="",0,IF(COUNTIF('Gap Sheet'!$A$6:$A$11,TRIM($J460))=0,0,IF($O460="R1",INDEX('Gap Sheet'!$C$6:$C$11,MATCH(TRIM($J460),'Gap Sheet'!$A$6:$A$11,0)),INDEX('Gap Sheet'!$G$6:$G$11,MATCH(TRIM($J460),'Gap Sheet'!$A$6:$A$11,0)))))</f>
        <v>0</v>
      </c>
      <c r="R460" s="46" t="str">
        <f aca="false">IF($K460="","",$K460&amp;"|"&amp;$O460)</f>
        <v/>
      </c>
      <c r="S460" s="46" t="n">
        <f aca="false">IF($R460="",0,COUNTIF($AA$4:$AA459,$R460))</f>
        <v>0</v>
      </c>
      <c r="T460" s="46" t="str">
        <f aca="false">IF(OR($I460&lt;&gt;"Yes, I'm available for in-person interviews at Chennai",$E460&lt;&gt;"Yes",$P460&lt;&gt;"Yes"),"No",IF(($Q460-$S460)&gt;0,"Yes","No"))</f>
        <v>No</v>
      </c>
      <c r="U460" s="46" t="str">
        <f aca="false">IF($M460="","No",IF(COUNTIFS(MasterPanel!$B:$B,$H460,MasterPanel!$I:$I,$M460,MasterPanel!$K:$K,"Y")&gt;0,"Yes","No"))</f>
        <v>No</v>
      </c>
      <c r="V460" s="46" t="n">
        <f aca="false">IF($M460="",0,IF(COUNTIF('Gap Sheet'!$A$6:$A$11,TRIM($L460))=0,0,IF($O460="R1",INDEX('Gap Sheet'!$C$6:$C$11,MATCH(TRIM($L460),'Gap Sheet'!$A$6:$A$11,0)),INDEX('Gap Sheet'!$G$6:$G$11,MATCH(TRIM($L460),'Gap Sheet'!$A$6:$A$11,0)))))</f>
        <v>0</v>
      </c>
      <c r="W460" s="46" t="str">
        <f aca="false">IF($M460="","",$M460&amp;"|"&amp;$O460)</f>
        <v/>
      </c>
      <c r="X460" s="46" t="n">
        <f aca="false">IF($W460="",0,COUNTIF($AA$4:$AA459,$W460))</f>
        <v>0</v>
      </c>
      <c r="Y460" s="46" t="str">
        <f aca="false">IF(OR($I460&lt;&gt;"Yes, I'm available for in-person interviews at Chennai",$E460&lt;&gt;"Yes",$T460="Yes",$U460&lt;&gt;"Yes"),"No",IF(($V460-$X460)&gt;0,"Yes","No"))</f>
        <v>No</v>
      </c>
      <c r="Z460" s="46" t="str">
        <f aca="false">IF($T460="Yes","Primary",IF($Y460="Yes","Secondary",""))</f>
        <v/>
      </c>
      <c r="AA460" s="46" t="str">
        <f aca="false">IF($Z460="Primary",$R460,IF($Z460="Secondary",$W460,""))</f>
        <v/>
      </c>
      <c r="AB460" s="46" t="str">
        <f aca="false">IF($Z460="Primary","Matched on primary skill",IF($Z460="Secondary","Matched on secondary skill (primary not approved or not required)",""))</f>
        <v/>
      </c>
      <c r="AC460" s="47" t="str">
        <f aca="false">IF($D460="Panel Details",$F460,"")</f>
        <v/>
      </c>
      <c r="AD460" s="46" t="str">
        <f aca="false">IF($D460="Panel Details",'Survey Response'!$D458,"")</f>
        <v/>
      </c>
      <c r="AE460" s="46" t="str">
        <f aca="false">IF($D460="Panel Details",'Survey Response'!$E458,"")</f>
        <v/>
      </c>
      <c r="AF460" s="46" t="str">
        <f aca="false">IF($D460="Panel Details",'Survey Response'!$G458,"")</f>
        <v/>
      </c>
      <c r="AG460" s="46" t="str">
        <f aca="false">IF($D460="Panel Details",IF($Z460="Primary",$J460,$L460),"")</f>
        <v/>
      </c>
      <c r="AH460" s="46" t="str">
        <f aca="false">IF($D460="Panel Details",IF($Z460="Primary",$L460,$J460),"")</f>
        <v/>
      </c>
      <c r="AI460" s="46" t="str">
        <f aca="false">IF($D460="Panel Details",'Survey Response'!$H458,"")</f>
        <v/>
      </c>
      <c r="AJ460" s="46" t="str">
        <f aca="false">IF($D460="Panel Details",'Survey Response'!$M458,"")</f>
        <v/>
      </c>
      <c r="AK460" s="46" t="str">
        <f aca="false">IF($D460="Panel Details",$O460,"")</f>
        <v/>
      </c>
      <c r="AL460" s="46" t="str">
        <f aca="false">IF($D460="Panel Details",8,"")</f>
        <v/>
      </c>
      <c r="AM460" s="46" t="str">
        <f aca="false">IF($D460="Panel Details",$AB460,"")</f>
        <v/>
      </c>
      <c r="AN460" s="46" t="str">
        <f aca="false">IF($D460="Panel Details","Yes","")</f>
        <v/>
      </c>
      <c r="AO460" s="46"/>
      <c r="AP460" s="46" t="str">
        <f aca="false">IF($D460="Followup",'Survey Response'!$D458,"")</f>
        <v/>
      </c>
      <c r="AQ460" s="46" t="str">
        <f aca="false">IF($D460="Followup",'Survey Response'!$E458,"")</f>
        <v/>
      </c>
      <c r="AR460" s="46" t="str">
        <f aca="false">IF($D460="Followup",'Survey Response'!$G458,"")</f>
        <v/>
      </c>
      <c r="AS460" s="46" t="str">
        <f aca="false">IF($D460="Followup",'Survey Response'!$H458,"")</f>
        <v/>
      </c>
      <c r="AT460" s="46" t="str">
        <f aca="false">IF($D460="Followup",'Survey Response'!$M458,"")</f>
        <v/>
      </c>
      <c r="AU460" s="46" t="str">
        <f aca="false">IF($D460="Followup",'Survey Response'!$K458,"")</f>
        <v/>
      </c>
      <c r="AV460" s="46" t="str">
        <f aca="false">IF($D460="Followup",'Survey Response'!$L458,"")</f>
        <v/>
      </c>
      <c r="AW460" s="46" t="str">
        <f aca="false">IF($D460="Followup",IF(AND($P460&lt;&gt;"Yes",$U460&lt;&gt;"Yes"),"Not approved for primary or secondary skill","Approved, but skill(s) no longer have capacity (fully staffed)"),"")</f>
        <v/>
      </c>
    </row>
    <row r="461" customFormat="false" ht="15" hidden="false" customHeight="true" outlineLevel="0" collapsed="false">
      <c r="A461" s="46" t="str">
        <f aca="false">IF('Survey Response'!$D459="","",'Survey Response'!$A459&amp;"|"&amp;LOWER(TRIM('Survey Response'!$D459)))</f>
        <v/>
      </c>
      <c r="B461" s="46" t="str">
        <f aca="false">IF($H461="","",$F461&amp;"|"&amp;$H461)</f>
        <v/>
      </c>
      <c r="C461" s="46" t="str">
        <f aca="false">IF($H461="","",$A461=$B461)</f>
        <v/>
      </c>
      <c r="D461" s="46" t="str">
        <f aca="false">IF($H461="","",IF($E461&lt;&gt;"Yes","Superseded",IF($I461&lt;&gt;"Yes, I'm available for in-person interviews at Chennai","Not Available",IF($Z461&lt;&gt;"","Panel Details","Followup"))))</f>
        <v/>
      </c>
      <c r="E461" s="46" t="str">
        <f aca="false">IF($H461="","",IF(SUMPRODUCT(($H$4:$H$503=$H461)*(($G$4:$G$503&gt;$G461)+($G$4:$G$503=$G461)*($F$4:$F$503&gt;$F461)))=0,"Yes","No"))</f>
        <v/>
      </c>
      <c r="F461" s="47" t="str">
        <f aca="false">IF('Survey Response'!$D459="","",INT('Survey Response'!$A459))</f>
        <v/>
      </c>
      <c r="G461" s="46" t="str">
        <f aca="false">IF('Survey Response'!$D459="","",'Survey Response'!$C459)</f>
        <v/>
      </c>
      <c r="H461" s="46" t="str">
        <f aca="false">IF('Survey Response'!$D459="","",LOWER(TRIM('Survey Response'!$D459)))</f>
        <v/>
      </c>
      <c r="I461" s="46" t="str">
        <f aca="false">IF($H461="","",'Survey Response'!$I459)</f>
        <v/>
      </c>
      <c r="J461" s="46" t="str">
        <f aca="false">IF($H461="","",'Survey Response'!$K459)</f>
        <v/>
      </c>
      <c r="K461" s="46" t="str">
        <f aca="false">IF($J461="","",IF(COUNTIF('Skill Mapping'!$A$2:$A$7,TRIM($J461))=0,"",INDEX('Skill Mapping'!$B$2:$B$7,MATCH(TRIM($J461),'Skill Mapping'!$A$2:$A$7,0))))</f>
        <v/>
      </c>
      <c r="L461" s="46" t="str">
        <f aca="false">IF($H461="","",'Survey Response'!$L459)</f>
        <v/>
      </c>
      <c r="M461" s="46" t="str">
        <f aca="false">IF($L461="","",IF(COUNTIF('Skill Mapping'!$A$2:$A$7,TRIM($L461))=0,"",INDEX('Skill Mapping'!$B$2:$B$7,MATCH(TRIM($L461),'Skill Mapping'!$A$2:$A$7,0))))</f>
        <v/>
      </c>
      <c r="N461" s="46" t="str">
        <f aca="false">IF($H461="","",'Survey Response'!$M459)</f>
        <v/>
      </c>
      <c r="O461" s="46" t="str">
        <f aca="false">IF($H461="","",IF('Survey Response'!$M459="Manager","R2","R1"))</f>
        <v/>
      </c>
      <c r="P461" s="46" t="str">
        <f aca="false">IF($K461="","No",IF(COUNTIFS(MasterPanel!$B:$B,$H461,MasterPanel!$I:$I,$K461,MasterPanel!$K:$K,"Y")&gt;0,"Yes","No"))</f>
        <v>No</v>
      </c>
      <c r="Q461" s="46" t="n">
        <f aca="false">IF($K461="",0,IF(COUNTIF('Gap Sheet'!$A$6:$A$11,TRIM($J461))=0,0,IF($O461="R1",INDEX('Gap Sheet'!$C$6:$C$11,MATCH(TRIM($J461),'Gap Sheet'!$A$6:$A$11,0)),INDEX('Gap Sheet'!$G$6:$G$11,MATCH(TRIM($J461),'Gap Sheet'!$A$6:$A$11,0)))))</f>
        <v>0</v>
      </c>
      <c r="R461" s="46" t="str">
        <f aca="false">IF($K461="","",$K461&amp;"|"&amp;$O461)</f>
        <v/>
      </c>
      <c r="S461" s="46" t="n">
        <f aca="false">IF($R461="",0,COUNTIF($AA$4:$AA460,$R461))</f>
        <v>0</v>
      </c>
      <c r="T461" s="46" t="str">
        <f aca="false">IF(OR($I461&lt;&gt;"Yes, I'm available for in-person interviews at Chennai",$E461&lt;&gt;"Yes",$P461&lt;&gt;"Yes"),"No",IF(($Q461-$S461)&gt;0,"Yes","No"))</f>
        <v>No</v>
      </c>
      <c r="U461" s="46" t="str">
        <f aca="false">IF($M461="","No",IF(COUNTIFS(MasterPanel!$B:$B,$H461,MasterPanel!$I:$I,$M461,MasterPanel!$K:$K,"Y")&gt;0,"Yes","No"))</f>
        <v>No</v>
      </c>
      <c r="V461" s="46" t="n">
        <f aca="false">IF($M461="",0,IF(COUNTIF('Gap Sheet'!$A$6:$A$11,TRIM($L461))=0,0,IF($O461="R1",INDEX('Gap Sheet'!$C$6:$C$11,MATCH(TRIM($L461),'Gap Sheet'!$A$6:$A$11,0)),INDEX('Gap Sheet'!$G$6:$G$11,MATCH(TRIM($L461),'Gap Sheet'!$A$6:$A$11,0)))))</f>
        <v>0</v>
      </c>
      <c r="W461" s="46" t="str">
        <f aca="false">IF($M461="","",$M461&amp;"|"&amp;$O461)</f>
        <v/>
      </c>
      <c r="X461" s="46" t="n">
        <f aca="false">IF($W461="",0,COUNTIF($AA$4:$AA460,$W461))</f>
        <v>0</v>
      </c>
      <c r="Y461" s="46" t="str">
        <f aca="false">IF(OR($I461&lt;&gt;"Yes, I'm available for in-person interviews at Chennai",$E461&lt;&gt;"Yes",$T461="Yes",$U461&lt;&gt;"Yes"),"No",IF(($V461-$X461)&gt;0,"Yes","No"))</f>
        <v>No</v>
      </c>
      <c r="Z461" s="46" t="str">
        <f aca="false">IF($T461="Yes","Primary",IF($Y461="Yes","Secondary",""))</f>
        <v/>
      </c>
      <c r="AA461" s="46" t="str">
        <f aca="false">IF($Z461="Primary",$R461,IF($Z461="Secondary",$W461,""))</f>
        <v/>
      </c>
      <c r="AB461" s="46" t="str">
        <f aca="false">IF($Z461="Primary","Matched on primary skill",IF($Z461="Secondary","Matched on secondary skill (primary not approved or not required)",""))</f>
        <v/>
      </c>
      <c r="AC461" s="47" t="str">
        <f aca="false">IF($D461="Panel Details",$F461,"")</f>
        <v/>
      </c>
      <c r="AD461" s="46" t="str">
        <f aca="false">IF($D461="Panel Details",'Survey Response'!$D459,"")</f>
        <v/>
      </c>
      <c r="AE461" s="46" t="str">
        <f aca="false">IF($D461="Panel Details",'Survey Response'!$E459,"")</f>
        <v/>
      </c>
      <c r="AF461" s="46" t="str">
        <f aca="false">IF($D461="Panel Details",'Survey Response'!$G459,"")</f>
        <v/>
      </c>
      <c r="AG461" s="46" t="str">
        <f aca="false">IF($D461="Panel Details",IF($Z461="Primary",$J461,$L461),"")</f>
        <v/>
      </c>
      <c r="AH461" s="46" t="str">
        <f aca="false">IF($D461="Panel Details",IF($Z461="Primary",$L461,$J461),"")</f>
        <v/>
      </c>
      <c r="AI461" s="46" t="str">
        <f aca="false">IF($D461="Panel Details",'Survey Response'!$H459,"")</f>
        <v/>
      </c>
      <c r="AJ461" s="46" t="str">
        <f aca="false">IF($D461="Panel Details",'Survey Response'!$M459,"")</f>
        <v/>
      </c>
      <c r="AK461" s="46" t="str">
        <f aca="false">IF($D461="Panel Details",$O461,"")</f>
        <v/>
      </c>
      <c r="AL461" s="46" t="str">
        <f aca="false">IF($D461="Panel Details",8,"")</f>
        <v/>
      </c>
      <c r="AM461" s="46" t="str">
        <f aca="false">IF($D461="Panel Details",$AB461,"")</f>
        <v/>
      </c>
      <c r="AN461" s="46" t="str">
        <f aca="false">IF($D461="Panel Details","Yes","")</f>
        <v/>
      </c>
      <c r="AO461" s="46"/>
      <c r="AP461" s="46" t="str">
        <f aca="false">IF($D461="Followup",'Survey Response'!$D459,"")</f>
        <v/>
      </c>
      <c r="AQ461" s="46" t="str">
        <f aca="false">IF($D461="Followup",'Survey Response'!$E459,"")</f>
        <v/>
      </c>
      <c r="AR461" s="46" t="str">
        <f aca="false">IF($D461="Followup",'Survey Response'!$G459,"")</f>
        <v/>
      </c>
      <c r="AS461" s="46" t="str">
        <f aca="false">IF($D461="Followup",'Survey Response'!$H459,"")</f>
        <v/>
      </c>
      <c r="AT461" s="46" t="str">
        <f aca="false">IF($D461="Followup",'Survey Response'!$M459,"")</f>
        <v/>
      </c>
      <c r="AU461" s="46" t="str">
        <f aca="false">IF($D461="Followup",'Survey Response'!$K459,"")</f>
        <v/>
      </c>
      <c r="AV461" s="46" t="str">
        <f aca="false">IF($D461="Followup",'Survey Response'!$L459,"")</f>
        <v/>
      </c>
      <c r="AW461" s="46" t="str">
        <f aca="false">IF($D461="Followup",IF(AND($P461&lt;&gt;"Yes",$U461&lt;&gt;"Yes"),"Not approved for primary or secondary skill","Approved, but skill(s) no longer have capacity (fully staffed)"),"")</f>
        <v/>
      </c>
    </row>
    <row r="462" customFormat="false" ht="15" hidden="false" customHeight="true" outlineLevel="0" collapsed="false">
      <c r="A462" s="46" t="str">
        <f aca="false">IF('Survey Response'!$D460="","",'Survey Response'!$A460&amp;"|"&amp;LOWER(TRIM('Survey Response'!$D460)))</f>
        <v/>
      </c>
      <c r="B462" s="46" t="str">
        <f aca="false">IF($H462="","",$F462&amp;"|"&amp;$H462)</f>
        <v/>
      </c>
      <c r="C462" s="46" t="str">
        <f aca="false">IF($H462="","",$A462=$B462)</f>
        <v/>
      </c>
      <c r="D462" s="46" t="str">
        <f aca="false">IF($H462="","",IF($E462&lt;&gt;"Yes","Superseded",IF($I462&lt;&gt;"Yes, I'm available for in-person interviews at Chennai","Not Available",IF($Z462&lt;&gt;"","Panel Details","Followup"))))</f>
        <v/>
      </c>
      <c r="E462" s="46" t="str">
        <f aca="false">IF($H462="","",IF(SUMPRODUCT(($H$4:$H$503=$H462)*(($G$4:$G$503&gt;$G462)+($G$4:$G$503=$G462)*($F$4:$F$503&gt;$F462)))=0,"Yes","No"))</f>
        <v/>
      </c>
      <c r="F462" s="47" t="str">
        <f aca="false">IF('Survey Response'!$D460="","",INT('Survey Response'!$A460))</f>
        <v/>
      </c>
      <c r="G462" s="46" t="str">
        <f aca="false">IF('Survey Response'!$D460="","",'Survey Response'!$C460)</f>
        <v/>
      </c>
      <c r="H462" s="46" t="str">
        <f aca="false">IF('Survey Response'!$D460="","",LOWER(TRIM('Survey Response'!$D460)))</f>
        <v/>
      </c>
      <c r="I462" s="46" t="str">
        <f aca="false">IF($H462="","",'Survey Response'!$I460)</f>
        <v/>
      </c>
      <c r="J462" s="46" t="str">
        <f aca="false">IF($H462="","",'Survey Response'!$K460)</f>
        <v/>
      </c>
      <c r="K462" s="46" t="str">
        <f aca="false">IF($J462="","",IF(COUNTIF('Skill Mapping'!$A$2:$A$7,TRIM($J462))=0,"",INDEX('Skill Mapping'!$B$2:$B$7,MATCH(TRIM($J462),'Skill Mapping'!$A$2:$A$7,0))))</f>
        <v/>
      </c>
      <c r="L462" s="46" t="str">
        <f aca="false">IF($H462="","",'Survey Response'!$L460)</f>
        <v/>
      </c>
      <c r="M462" s="46" t="str">
        <f aca="false">IF($L462="","",IF(COUNTIF('Skill Mapping'!$A$2:$A$7,TRIM($L462))=0,"",INDEX('Skill Mapping'!$B$2:$B$7,MATCH(TRIM($L462),'Skill Mapping'!$A$2:$A$7,0))))</f>
        <v/>
      </c>
      <c r="N462" s="46" t="str">
        <f aca="false">IF($H462="","",'Survey Response'!$M460)</f>
        <v/>
      </c>
      <c r="O462" s="46" t="str">
        <f aca="false">IF($H462="","",IF('Survey Response'!$M460="Manager","R2","R1"))</f>
        <v/>
      </c>
      <c r="P462" s="46" t="str">
        <f aca="false">IF($K462="","No",IF(COUNTIFS(MasterPanel!$B:$B,$H462,MasterPanel!$I:$I,$K462,MasterPanel!$K:$K,"Y")&gt;0,"Yes","No"))</f>
        <v>No</v>
      </c>
      <c r="Q462" s="46" t="n">
        <f aca="false">IF($K462="",0,IF(COUNTIF('Gap Sheet'!$A$6:$A$11,TRIM($J462))=0,0,IF($O462="R1",INDEX('Gap Sheet'!$C$6:$C$11,MATCH(TRIM($J462),'Gap Sheet'!$A$6:$A$11,0)),INDEX('Gap Sheet'!$G$6:$G$11,MATCH(TRIM($J462),'Gap Sheet'!$A$6:$A$11,0)))))</f>
        <v>0</v>
      </c>
      <c r="R462" s="46" t="str">
        <f aca="false">IF($K462="","",$K462&amp;"|"&amp;$O462)</f>
        <v/>
      </c>
      <c r="S462" s="46" t="n">
        <f aca="false">IF($R462="",0,COUNTIF($AA$4:$AA461,$R462))</f>
        <v>0</v>
      </c>
      <c r="T462" s="46" t="str">
        <f aca="false">IF(OR($I462&lt;&gt;"Yes, I'm available for in-person interviews at Chennai",$E462&lt;&gt;"Yes",$P462&lt;&gt;"Yes"),"No",IF(($Q462-$S462)&gt;0,"Yes","No"))</f>
        <v>No</v>
      </c>
      <c r="U462" s="46" t="str">
        <f aca="false">IF($M462="","No",IF(COUNTIFS(MasterPanel!$B:$B,$H462,MasterPanel!$I:$I,$M462,MasterPanel!$K:$K,"Y")&gt;0,"Yes","No"))</f>
        <v>No</v>
      </c>
      <c r="V462" s="46" t="n">
        <f aca="false">IF($M462="",0,IF(COUNTIF('Gap Sheet'!$A$6:$A$11,TRIM($L462))=0,0,IF($O462="R1",INDEX('Gap Sheet'!$C$6:$C$11,MATCH(TRIM($L462),'Gap Sheet'!$A$6:$A$11,0)),INDEX('Gap Sheet'!$G$6:$G$11,MATCH(TRIM($L462),'Gap Sheet'!$A$6:$A$11,0)))))</f>
        <v>0</v>
      </c>
      <c r="W462" s="46" t="str">
        <f aca="false">IF($M462="","",$M462&amp;"|"&amp;$O462)</f>
        <v/>
      </c>
      <c r="X462" s="46" t="n">
        <f aca="false">IF($W462="",0,COUNTIF($AA$4:$AA461,$W462))</f>
        <v>0</v>
      </c>
      <c r="Y462" s="46" t="str">
        <f aca="false">IF(OR($I462&lt;&gt;"Yes, I'm available for in-person interviews at Chennai",$E462&lt;&gt;"Yes",$T462="Yes",$U462&lt;&gt;"Yes"),"No",IF(($V462-$X462)&gt;0,"Yes","No"))</f>
        <v>No</v>
      </c>
      <c r="Z462" s="46" t="str">
        <f aca="false">IF($T462="Yes","Primary",IF($Y462="Yes","Secondary",""))</f>
        <v/>
      </c>
      <c r="AA462" s="46" t="str">
        <f aca="false">IF($Z462="Primary",$R462,IF($Z462="Secondary",$W462,""))</f>
        <v/>
      </c>
      <c r="AB462" s="46" t="str">
        <f aca="false">IF($Z462="Primary","Matched on primary skill",IF($Z462="Secondary","Matched on secondary skill (primary not approved or not required)",""))</f>
        <v/>
      </c>
      <c r="AC462" s="47" t="str">
        <f aca="false">IF($D462="Panel Details",$F462,"")</f>
        <v/>
      </c>
      <c r="AD462" s="46" t="str">
        <f aca="false">IF($D462="Panel Details",'Survey Response'!$D460,"")</f>
        <v/>
      </c>
      <c r="AE462" s="46" t="str">
        <f aca="false">IF($D462="Panel Details",'Survey Response'!$E460,"")</f>
        <v/>
      </c>
      <c r="AF462" s="46" t="str">
        <f aca="false">IF($D462="Panel Details",'Survey Response'!$G460,"")</f>
        <v/>
      </c>
      <c r="AG462" s="46" t="str">
        <f aca="false">IF($D462="Panel Details",IF($Z462="Primary",$J462,$L462),"")</f>
        <v/>
      </c>
      <c r="AH462" s="46" t="str">
        <f aca="false">IF($D462="Panel Details",IF($Z462="Primary",$L462,$J462),"")</f>
        <v/>
      </c>
      <c r="AI462" s="46" t="str">
        <f aca="false">IF($D462="Panel Details",'Survey Response'!$H460,"")</f>
        <v/>
      </c>
      <c r="AJ462" s="46" t="str">
        <f aca="false">IF($D462="Panel Details",'Survey Response'!$M460,"")</f>
        <v/>
      </c>
      <c r="AK462" s="46" t="str">
        <f aca="false">IF($D462="Panel Details",$O462,"")</f>
        <v/>
      </c>
      <c r="AL462" s="46" t="str">
        <f aca="false">IF($D462="Panel Details",8,"")</f>
        <v/>
      </c>
      <c r="AM462" s="46" t="str">
        <f aca="false">IF($D462="Panel Details",$AB462,"")</f>
        <v/>
      </c>
      <c r="AN462" s="46" t="str">
        <f aca="false">IF($D462="Panel Details","Yes","")</f>
        <v/>
      </c>
      <c r="AO462" s="46"/>
      <c r="AP462" s="46" t="str">
        <f aca="false">IF($D462="Followup",'Survey Response'!$D460,"")</f>
        <v/>
      </c>
      <c r="AQ462" s="46" t="str">
        <f aca="false">IF($D462="Followup",'Survey Response'!$E460,"")</f>
        <v/>
      </c>
      <c r="AR462" s="46" t="str">
        <f aca="false">IF($D462="Followup",'Survey Response'!$G460,"")</f>
        <v/>
      </c>
      <c r="AS462" s="46" t="str">
        <f aca="false">IF($D462="Followup",'Survey Response'!$H460,"")</f>
        <v/>
      </c>
      <c r="AT462" s="46" t="str">
        <f aca="false">IF($D462="Followup",'Survey Response'!$M460,"")</f>
        <v/>
      </c>
      <c r="AU462" s="46" t="str">
        <f aca="false">IF($D462="Followup",'Survey Response'!$K460,"")</f>
        <v/>
      </c>
      <c r="AV462" s="46" t="str">
        <f aca="false">IF($D462="Followup",'Survey Response'!$L460,"")</f>
        <v/>
      </c>
      <c r="AW462" s="46" t="str">
        <f aca="false">IF($D462="Followup",IF(AND($P462&lt;&gt;"Yes",$U462&lt;&gt;"Yes"),"Not approved for primary or secondary skill","Approved, but skill(s) no longer have capacity (fully staffed)"),"")</f>
        <v/>
      </c>
    </row>
    <row r="463" customFormat="false" ht="15" hidden="false" customHeight="true" outlineLevel="0" collapsed="false">
      <c r="A463" s="46" t="str">
        <f aca="false">IF('Survey Response'!$D461="","",'Survey Response'!$A461&amp;"|"&amp;LOWER(TRIM('Survey Response'!$D461)))</f>
        <v/>
      </c>
      <c r="B463" s="46" t="str">
        <f aca="false">IF($H463="","",$F463&amp;"|"&amp;$H463)</f>
        <v/>
      </c>
      <c r="C463" s="46" t="str">
        <f aca="false">IF($H463="","",$A463=$B463)</f>
        <v/>
      </c>
      <c r="D463" s="46" t="str">
        <f aca="false">IF($H463="","",IF($E463&lt;&gt;"Yes","Superseded",IF($I463&lt;&gt;"Yes, I'm available for in-person interviews at Chennai","Not Available",IF($Z463&lt;&gt;"","Panel Details","Followup"))))</f>
        <v/>
      </c>
      <c r="E463" s="46" t="str">
        <f aca="false">IF($H463="","",IF(SUMPRODUCT(($H$4:$H$503=$H463)*(($G$4:$G$503&gt;$G463)+($G$4:$G$503=$G463)*($F$4:$F$503&gt;$F463)))=0,"Yes","No"))</f>
        <v/>
      </c>
      <c r="F463" s="47" t="str">
        <f aca="false">IF('Survey Response'!$D461="","",INT('Survey Response'!$A461))</f>
        <v/>
      </c>
      <c r="G463" s="46" t="str">
        <f aca="false">IF('Survey Response'!$D461="","",'Survey Response'!$C461)</f>
        <v/>
      </c>
      <c r="H463" s="46" t="str">
        <f aca="false">IF('Survey Response'!$D461="","",LOWER(TRIM('Survey Response'!$D461)))</f>
        <v/>
      </c>
      <c r="I463" s="46" t="str">
        <f aca="false">IF($H463="","",'Survey Response'!$I461)</f>
        <v/>
      </c>
      <c r="J463" s="46" t="str">
        <f aca="false">IF($H463="","",'Survey Response'!$K461)</f>
        <v/>
      </c>
      <c r="K463" s="46" t="str">
        <f aca="false">IF($J463="","",IF(COUNTIF('Skill Mapping'!$A$2:$A$7,TRIM($J463))=0,"",INDEX('Skill Mapping'!$B$2:$B$7,MATCH(TRIM($J463),'Skill Mapping'!$A$2:$A$7,0))))</f>
        <v/>
      </c>
      <c r="L463" s="46" t="str">
        <f aca="false">IF($H463="","",'Survey Response'!$L461)</f>
        <v/>
      </c>
      <c r="M463" s="46" t="str">
        <f aca="false">IF($L463="","",IF(COUNTIF('Skill Mapping'!$A$2:$A$7,TRIM($L463))=0,"",INDEX('Skill Mapping'!$B$2:$B$7,MATCH(TRIM($L463),'Skill Mapping'!$A$2:$A$7,0))))</f>
        <v/>
      </c>
      <c r="N463" s="46" t="str">
        <f aca="false">IF($H463="","",'Survey Response'!$M461)</f>
        <v/>
      </c>
      <c r="O463" s="46" t="str">
        <f aca="false">IF($H463="","",IF('Survey Response'!$M461="Manager","R2","R1"))</f>
        <v/>
      </c>
      <c r="P463" s="46" t="str">
        <f aca="false">IF($K463="","No",IF(COUNTIFS(MasterPanel!$B:$B,$H463,MasterPanel!$I:$I,$K463,MasterPanel!$K:$K,"Y")&gt;0,"Yes","No"))</f>
        <v>No</v>
      </c>
      <c r="Q463" s="46" t="n">
        <f aca="false">IF($K463="",0,IF(COUNTIF('Gap Sheet'!$A$6:$A$11,TRIM($J463))=0,0,IF($O463="R1",INDEX('Gap Sheet'!$C$6:$C$11,MATCH(TRIM($J463),'Gap Sheet'!$A$6:$A$11,0)),INDEX('Gap Sheet'!$G$6:$G$11,MATCH(TRIM($J463),'Gap Sheet'!$A$6:$A$11,0)))))</f>
        <v>0</v>
      </c>
      <c r="R463" s="46" t="str">
        <f aca="false">IF($K463="","",$K463&amp;"|"&amp;$O463)</f>
        <v/>
      </c>
      <c r="S463" s="46" t="n">
        <f aca="false">IF($R463="",0,COUNTIF($AA$4:$AA462,$R463))</f>
        <v>0</v>
      </c>
      <c r="T463" s="46" t="str">
        <f aca="false">IF(OR($I463&lt;&gt;"Yes, I'm available for in-person interviews at Chennai",$E463&lt;&gt;"Yes",$P463&lt;&gt;"Yes"),"No",IF(($Q463-$S463)&gt;0,"Yes","No"))</f>
        <v>No</v>
      </c>
      <c r="U463" s="46" t="str">
        <f aca="false">IF($M463="","No",IF(COUNTIFS(MasterPanel!$B:$B,$H463,MasterPanel!$I:$I,$M463,MasterPanel!$K:$K,"Y")&gt;0,"Yes","No"))</f>
        <v>No</v>
      </c>
      <c r="V463" s="46" t="n">
        <f aca="false">IF($M463="",0,IF(COUNTIF('Gap Sheet'!$A$6:$A$11,TRIM($L463))=0,0,IF($O463="R1",INDEX('Gap Sheet'!$C$6:$C$11,MATCH(TRIM($L463),'Gap Sheet'!$A$6:$A$11,0)),INDEX('Gap Sheet'!$G$6:$G$11,MATCH(TRIM($L463),'Gap Sheet'!$A$6:$A$11,0)))))</f>
        <v>0</v>
      </c>
      <c r="W463" s="46" t="str">
        <f aca="false">IF($M463="","",$M463&amp;"|"&amp;$O463)</f>
        <v/>
      </c>
      <c r="X463" s="46" t="n">
        <f aca="false">IF($W463="",0,COUNTIF($AA$4:$AA462,$W463))</f>
        <v>0</v>
      </c>
      <c r="Y463" s="46" t="str">
        <f aca="false">IF(OR($I463&lt;&gt;"Yes, I'm available for in-person interviews at Chennai",$E463&lt;&gt;"Yes",$T463="Yes",$U463&lt;&gt;"Yes"),"No",IF(($V463-$X463)&gt;0,"Yes","No"))</f>
        <v>No</v>
      </c>
      <c r="Z463" s="46" t="str">
        <f aca="false">IF($T463="Yes","Primary",IF($Y463="Yes","Secondary",""))</f>
        <v/>
      </c>
      <c r="AA463" s="46" t="str">
        <f aca="false">IF($Z463="Primary",$R463,IF($Z463="Secondary",$W463,""))</f>
        <v/>
      </c>
      <c r="AB463" s="46" t="str">
        <f aca="false">IF($Z463="Primary","Matched on primary skill",IF($Z463="Secondary","Matched on secondary skill (primary not approved or not required)",""))</f>
        <v/>
      </c>
      <c r="AC463" s="47" t="str">
        <f aca="false">IF($D463="Panel Details",$F463,"")</f>
        <v/>
      </c>
      <c r="AD463" s="46" t="str">
        <f aca="false">IF($D463="Panel Details",'Survey Response'!$D461,"")</f>
        <v/>
      </c>
      <c r="AE463" s="46" t="str">
        <f aca="false">IF($D463="Panel Details",'Survey Response'!$E461,"")</f>
        <v/>
      </c>
      <c r="AF463" s="46" t="str">
        <f aca="false">IF($D463="Panel Details",'Survey Response'!$G461,"")</f>
        <v/>
      </c>
      <c r="AG463" s="46" t="str">
        <f aca="false">IF($D463="Panel Details",IF($Z463="Primary",$J463,$L463),"")</f>
        <v/>
      </c>
      <c r="AH463" s="46" t="str">
        <f aca="false">IF($D463="Panel Details",IF($Z463="Primary",$L463,$J463),"")</f>
        <v/>
      </c>
      <c r="AI463" s="46" t="str">
        <f aca="false">IF($D463="Panel Details",'Survey Response'!$H461,"")</f>
        <v/>
      </c>
      <c r="AJ463" s="46" t="str">
        <f aca="false">IF($D463="Panel Details",'Survey Response'!$M461,"")</f>
        <v/>
      </c>
      <c r="AK463" s="46" t="str">
        <f aca="false">IF($D463="Panel Details",$O463,"")</f>
        <v/>
      </c>
      <c r="AL463" s="46" t="str">
        <f aca="false">IF($D463="Panel Details",8,"")</f>
        <v/>
      </c>
      <c r="AM463" s="46" t="str">
        <f aca="false">IF($D463="Panel Details",$AB463,"")</f>
        <v/>
      </c>
      <c r="AN463" s="46" t="str">
        <f aca="false">IF($D463="Panel Details","Yes","")</f>
        <v/>
      </c>
      <c r="AO463" s="46"/>
      <c r="AP463" s="46" t="str">
        <f aca="false">IF($D463="Followup",'Survey Response'!$D461,"")</f>
        <v/>
      </c>
      <c r="AQ463" s="46" t="str">
        <f aca="false">IF($D463="Followup",'Survey Response'!$E461,"")</f>
        <v/>
      </c>
      <c r="AR463" s="46" t="str">
        <f aca="false">IF($D463="Followup",'Survey Response'!$G461,"")</f>
        <v/>
      </c>
      <c r="AS463" s="46" t="str">
        <f aca="false">IF($D463="Followup",'Survey Response'!$H461,"")</f>
        <v/>
      </c>
      <c r="AT463" s="46" t="str">
        <f aca="false">IF($D463="Followup",'Survey Response'!$M461,"")</f>
        <v/>
      </c>
      <c r="AU463" s="46" t="str">
        <f aca="false">IF($D463="Followup",'Survey Response'!$K461,"")</f>
        <v/>
      </c>
      <c r="AV463" s="46" t="str">
        <f aca="false">IF($D463="Followup",'Survey Response'!$L461,"")</f>
        <v/>
      </c>
      <c r="AW463" s="46" t="str">
        <f aca="false">IF($D463="Followup",IF(AND($P463&lt;&gt;"Yes",$U463&lt;&gt;"Yes"),"Not approved for primary or secondary skill","Approved, but skill(s) no longer have capacity (fully staffed)"),"")</f>
        <v/>
      </c>
    </row>
    <row r="464" customFormat="false" ht="15" hidden="false" customHeight="true" outlineLevel="0" collapsed="false">
      <c r="A464" s="46" t="str">
        <f aca="false">IF('Survey Response'!$D462="","",'Survey Response'!$A462&amp;"|"&amp;LOWER(TRIM('Survey Response'!$D462)))</f>
        <v/>
      </c>
      <c r="B464" s="46" t="str">
        <f aca="false">IF($H464="","",$F464&amp;"|"&amp;$H464)</f>
        <v/>
      </c>
      <c r="C464" s="46" t="str">
        <f aca="false">IF($H464="","",$A464=$B464)</f>
        <v/>
      </c>
      <c r="D464" s="46" t="str">
        <f aca="false">IF($H464="","",IF($E464&lt;&gt;"Yes","Superseded",IF($I464&lt;&gt;"Yes, I'm available for in-person interviews at Chennai","Not Available",IF($Z464&lt;&gt;"","Panel Details","Followup"))))</f>
        <v/>
      </c>
      <c r="E464" s="46" t="str">
        <f aca="false">IF($H464="","",IF(SUMPRODUCT(($H$4:$H$503=$H464)*(($G$4:$G$503&gt;$G464)+($G$4:$G$503=$G464)*($F$4:$F$503&gt;$F464)))=0,"Yes","No"))</f>
        <v/>
      </c>
      <c r="F464" s="47" t="str">
        <f aca="false">IF('Survey Response'!$D462="","",INT('Survey Response'!$A462))</f>
        <v/>
      </c>
      <c r="G464" s="46" t="str">
        <f aca="false">IF('Survey Response'!$D462="","",'Survey Response'!$C462)</f>
        <v/>
      </c>
      <c r="H464" s="46" t="str">
        <f aca="false">IF('Survey Response'!$D462="","",LOWER(TRIM('Survey Response'!$D462)))</f>
        <v/>
      </c>
      <c r="I464" s="46" t="str">
        <f aca="false">IF($H464="","",'Survey Response'!$I462)</f>
        <v/>
      </c>
      <c r="J464" s="46" t="str">
        <f aca="false">IF($H464="","",'Survey Response'!$K462)</f>
        <v/>
      </c>
      <c r="K464" s="46" t="str">
        <f aca="false">IF($J464="","",IF(COUNTIF('Skill Mapping'!$A$2:$A$7,TRIM($J464))=0,"",INDEX('Skill Mapping'!$B$2:$B$7,MATCH(TRIM($J464),'Skill Mapping'!$A$2:$A$7,0))))</f>
        <v/>
      </c>
      <c r="L464" s="46" t="str">
        <f aca="false">IF($H464="","",'Survey Response'!$L462)</f>
        <v/>
      </c>
      <c r="M464" s="46" t="str">
        <f aca="false">IF($L464="","",IF(COUNTIF('Skill Mapping'!$A$2:$A$7,TRIM($L464))=0,"",INDEX('Skill Mapping'!$B$2:$B$7,MATCH(TRIM($L464),'Skill Mapping'!$A$2:$A$7,0))))</f>
        <v/>
      </c>
      <c r="N464" s="46" t="str">
        <f aca="false">IF($H464="","",'Survey Response'!$M462)</f>
        <v/>
      </c>
      <c r="O464" s="46" t="str">
        <f aca="false">IF($H464="","",IF('Survey Response'!$M462="Manager","R2","R1"))</f>
        <v/>
      </c>
      <c r="P464" s="46" t="str">
        <f aca="false">IF($K464="","No",IF(COUNTIFS(MasterPanel!$B:$B,$H464,MasterPanel!$I:$I,$K464,MasterPanel!$K:$K,"Y")&gt;0,"Yes","No"))</f>
        <v>No</v>
      </c>
      <c r="Q464" s="46" t="n">
        <f aca="false">IF($K464="",0,IF(COUNTIF('Gap Sheet'!$A$6:$A$11,TRIM($J464))=0,0,IF($O464="R1",INDEX('Gap Sheet'!$C$6:$C$11,MATCH(TRIM($J464),'Gap Sheet'!$A$6:$A$11,0)),INDEX('Gap Sheet'!$G$6:$G$11,MATCH(TRIM($J464),'Gap Sheet'!$A$6:$A$11,0)))))</f>
        <v>0</v>
      </c>
      <c r="R464" s="46" t="str">
        <f aca="false">IF($K464="","",$K464&amp;"|"&amp;$O464)</f>
        <v/>
      </c>
      <c r="S464" s="46" t="n">
        <f aca="false">IF($R464="",0,COUNTIF($AA$4:$AA463,$R464))</f>
        <v>0</v>
      </c>
      <c r="T464" s="46" t="str">
        <f aca="false">IF(OR($I464&lt;&gt;"Yes, I'm available for in-person interviews at Chennai",$E464&lt;&gt;"Yes",$P464&lt;&gt;"Yes"),"No",IF(($Q464-$S464)&gt;0,"Yes","No"))</f>
        <v>No</v>
      </c>
      <c r="U464" s="46" t="str">
        <f aca="false">IF($M464="","No",IF(COUNTIFS(MasterPanel!$B:$B,$H464,MasterPanel!$I:$I,$M464,MasterPanel!$K:$K,"Y")&gt;0,"Yes","No"))</f>
        <v>No</v>
      </c>
      <c r="V464" s="46" t="n">
        <f aca="false">IF($M464="",0,IF(COUNTIF('Gap Sheet'!$A$6:$A$11,TRIM($L464))=0,0,IF($O464="R1",INDEX('Gap Sheet'!$C$6:$C$11,MATCH(TRIM($L464),'Gap Sheet'!$A$6:$A$11,0)),INDEX('Gap Sheet'!$G$6:$G$11,MATCH(TRIM($L464),'Gap Sheet'!$A$6:$A$11,0)))))</f>
        <v>0</v>
      </c>
      <c r="W464" s="46" t="str">
        <f aca="false">IF($M464="","",$M464&amp;"|"&amp;$O464)</f>
        <v/>
      </c>
      <c r="X464" s="46" t="n">
        <f aca="false">IF($W464="",0,COUNTIF($AA$4:$AA463,$W464))</f>
        <v>0</v>
      </c>
      <c r="Y464" s="46" t="str">
        <f aca="false">IF(OR($I464&lt;&gt;"Yes, I'm available for in-person interviews at Chennai",$E464&lt;&gt;"Yes",$T464="Yes",$U464&lt;&gt;"Yes"),"No",IF(($V464-$X464)&gt;0,"Yes","No"))</f>
        <v>No</v>
      </c>
      <c r="Z464" s="46" t="str">
        <f aca="false">IF($T464="Yes","Primary",IF($Y464="Yes","Secondary",""))</f>
        <v/>
      </c>
      <c r="AA464" s="46" t="str">
        <f aca="false">IF($Z464="Primary",$R464,IF($Z464="Secondary",$W464,""))</f>
        <v/>
      </c>
      <c r="AB464" s="46" t="str">
        <f aca="false">IF($Z464="Primary","Matched on primary skill",IF($Z464="Secondary","Matched on secondary skill (primary not approved or not required)",""))</f>
        <v/>
      </c>
      <c r="AC464" s="47" t="str">
        <f aca="false">IF($D464="Panel Details",$F464,"")</f>
        <v/>
      </c>
      <c r="AD464" s="46" t="str">
        <f aca="false">IF($D464="Panel Details",'Survey Response'!$D462,"")</f>
        <v/>
      </c>
      <c r="AE464" s="46" t="str">
        <f aca="false">IF($D464="Panel Details",'Survey Response'!$E462,"")</f>
        <v/>
      </c>
      <c r="AF464" s="46" t="str">
        <f aca="false">IF($D464="Panel Details",'Survey Response'!$G462,"")</f>
        <v/>
      </c>
      <c r="AG464" s="46" t="str">
        <f aca="false">IF($D464="Panel Details",IF($Z464="Primary",$J464,$L464),"")</f>
        <v/>
      </c>
      <c r="AH464" s="46" t="str">
        <f aca="false">IF($D464="Panel Details",IF($Z464="Primary",$L464,$J464),"")</f>
        <v/>
      </c>
      <c r="AI464" s="46" t="str">
        <f aca="false">IF($D464="Panel Details",'Survey Response'!$H462,"")</f>
        <v/>
      </c>
      <c r="AJ464" s="46" t="str">
        <f aca="false">IF($D464="Panel Details",'Survey Response'!$M462,"")</f>
        <v/>
      </c>
      <c r="AK464" s="46" t="str">
        <f aca="false">IF($D464="Panel Details",$O464,"")</f>
        <v/>
      </c>
      <c r="AL464" s="46" t="str">
        <f aca="false">IF($D464="Panel Details",8,"")</f>
        <v/>
      </c>
      <c r="AM464" s="46" t="str">
        <f aca="false">IF($D464="Panel Details",$AB464,"")</f>
        <v/>
      </c>
      <c r="AN464" s="46" t="str">
        <f aca="false">IF($D464="Panel Details","Yes","")</f>
        <v/>
      </c>
      <c r="AO464" s="46"/>
      <c r="AP464" s="46" t="str">
        <f aca="false">IF($D464="Followup",'Survey Response'!$D462,"")</f>
        <v/>
      </c>
      <c r="AQ464" s="46" t="str">
        <f aca="false">IF($D464="Followup",'Survey Response'!$E462,"")</f>
        <v/>
      </c>
      <c r="AR464" s="46" t="str">
        <f aca="false">IF($D464="Followup",'Survey Response'!$G462,"")</f>
        <v/>
      </c>
      <c r="AS464" s="46" t="str">
        <f aca="false">IF($D464="Followup",'Survey Response'!$H462,"")</f>
        <v/>
      </c>
      <c r="AT464" s="46" t="str">
        <f aca="false">IF($D464="Followup",'Survey Response'!$M462,"")</f>
        <v/>
      </c>
      <c r="AU464" s="46" t="str">
        <f aca="false">IF($D464="Followup",'Survey Response'!$K462,"")</f>
        <v/>
      </c>
      <c r="AV464" s="46" t="str">
        <f aca="false">IF($D464="Followup",'Survey Response'!$L462,"")</f>
        <v/>
      </c>
      <c r="AW464" s="46" t="str">
        <f aca="false">IF($D464="Followup",IF(AND($P464&lt;&gt;"Yes",$U464&lt;&gt;"Yes"),"Not approved for primary or secondary skill","Approved, but skill(s) no longer have capacity (fully staffed)"),"")</f>
        <v/>
      </c>
    </row>
    <row r="465" customFormat="false" ht="15" hidden="false" customHeight="true" outlineLevel="0" collapsed="false">
      <c r="A465" s="46" t="str">
        <f aca="false">IF('Survey Response'!$D463="","",'Survey Response'!$A463&amp;"|"&amp;LOWER(TRIM('Survey Response'!$D463)))</f>
        <v/>
      </c>
      <c r="B465" s="46" t="str">
        <f aca="false">IF($H465="","",$F465&amp;"|"&amp;$H465)</f>
        <v/>
      </c>
      <c r="C465" s="46" t="str">
        <f aca="false">IF($H465="","",$A465=$B465)</f>
        <v/>
      </c>
      <c r="D465" s="46" t="str">
        <f aca="false">IF($H465="","",IF($E465&lt;&gt;"Yes","Superseded",IF($I465&lt;&gt;"Yes, I'm available for in-person interviews at Chennai","Not Available",IF($Z465&lt;&gt;"","Panel Details","Followup"))))</f>
        <v/>
      </c>
      <c r="E465" s="46" t="str">
        <f aca="false">IF($H465="","",IF(SUMPRODUCT(($H$4:$H$503=$H465)*(($G$4:$G$503&gt;$G465)+($G$4:$G$503=$G465)*($F$4:$F$503&gt;$F465)))=0,"Yes","No"))</f>
        <v/>
      </c>
      <c r="F465" s="47" t="str">
        <f aca="false">IF('Survey Response'!$D463="","",INT('Survey Response'!$A463))</f>
        <v/>
      </c>
      <c r="G465" s="46" t="str">
        <f aca="false">IF('Survey Response'!$D463="","",'Survey Response'!$C463)</f>
        <v/>
      </c>
      <c r="H465" s="46" t="str">
        <f aca="false">IF('Survey Response'!$D463="","",LOWER(TRIM('Survey Response'!$D463)))</f>
        <v/>
      </c>
      <c r="I465" s="46" t="str">
        <f aca="false">IF($H465="","",'Survey Response'!$I463)</f>
        <v/>
      </c>
      <c r="J465" s="46" t="str">
        <f aca="false">IF($H465="","",'Survey Response'!$K463)</f>
        <v/>
      </c>
      <c r="K465" s="46" t="str">
        <f aca="false">IF($J465="","",IF(COUNTIF('Skill Mapping'!$A$2:$A$7,TRIM($J465))=0,"",INDEX('Skill Mapping'!$B$2:$B$7,MATCH(TRIM($J465),'Skill Mapping'!$A$2:$A$7,0))))</f>
        <v/>
      </c>
      <c r="L465" s="46" t="str">
        <f aca="false">IF($H465="","",'Survey Response'!$L463)</f>
        <v/>
      </c>
      <c r="M465" s="46" t="str">
        <f aca="false">IF($L465="","",IF(COUNTIF('Skill Mapping'!$A$2:$A$7,TRIM($L465))=0,"",INDEX('Skill Mapping'!$B$2:$B$7,MATCH(TRIM($L465),'Skill Mapping'!$A$2:$A$7,0))))</f>
        <v/>
      </c>
      <c r="N465" s="46" t="str">
        <f aca="false">IF($H465="","",'Survey Response'!$M463)</f>
        <v/>
      </c>
      <c r="O465" s="46" t="str">
        <f aca="false">IF($H465="","",IF('Survey Response'!$M463="Manager","R2","R1"))</f>
        <v/>
      </c>
      <c r="P465" s="46" t="str">
        <f aca="false">IF($K465="","No",IF(COUNTIFS(MasterPanel!$B:$B,$H465,MasterPanel!$I:$I,$K465,MasterPanel!$K:$K,"Y")&gt;0,"Yes","No"))</f>
        <v>No</v>
      </c>
      <c r="Q465" s="46" t="n">
        <f aca="false">IF($K465="",0,IF(COUNTIF('Gap Sheet'!$A$6:$A$11,TRIM($J465))=0,0,IF($O465="R1",INDEX('Gap Sheet'!$C$6:$C$11,MATCH(TRIM($J465),'Gap Sheet'!$A$6:$A$11,0)),INDEX('Gap Sheet'!$G$6:$G$11,MATCH(TRIM($J465),'Gap Sheet'!$A$6:$A$11,0)))))</f>
        <v>0</v>
      </c>
      <c r="R465" s="46" t="str">
        <f aca="false">IF($K465="","",$K465&amp;"|"&amp;$O465)</f>
        <v/>
      </c>
      <c r="S465" s="46" t="n">
        <f aca="false">IF($R465="",0,COUNTIF($AA$4:$AA464,$R465))</f>
        <v>0</v>
      </c>
      <c r="T465" s="46" t="str">
        <f aca="false">IF(OR($I465&lt;&gt;"Yes, I'm available for in-person interviews at Chennai",$E465&lt;&gt;"Yes",$P465&lt;&gt;"Yes"),"No",IF(($Q465-$S465)&gt;0,"Yes","No"))</f>
        <v>No</v>
      </c>
      <c r="U465" s="46" t="str">
        <f aca="false">IF($M465="","No",IF(COUNTIFS(MasterPanel!$B:$B,$H465,MasterPanel!$I:$I,$M465,MasterPanel!$K:$K,"Y")&gt;0,"Yes","No"))</f>
        <v>No</v>
      </c>
      <c r="V465" s="46" t="n">
        <f aca="false">IF($M465="",0,IF(COUNTIF('Gap Sheet'!$A$6:$A$11,TRIM($L465))=0,0,IF($O465="R1",INDEX('Gap Sheet'!$C$6:$C$11,MATCH(TRIM($L465),'Gap Sheet'!$A$6:$A$11,0)),INDEX('Gap Sheet'!$G$6:$G$11,MATCH(TRIM($L465),'Gap Sheet'!$A$6:$A$11,0)))))</f>
        <v>0</v>
      </c>
      <c r="W465" s="46" t="str">
        <f aca="false">IF($M465="","",$M465&amp;"|"&amp;$O465)</f>
        <v/>
      </c>
      <c r="X465" s="46" t="n">
        <f aca="false">IF($W465="",0,COUNTIF($AA$4:$AA464,$W465))</f>
        <v>0</v>
      </c>
      <c r="Y465" s="46" t="str">
        <f aca="false">IF(OR($I465&lt;&gt;"Yes, I'm available for in-person interviews at Chennai",$E465&lt;&gt;"Yes",$T465="Yes",$U465&lt;&gt;"Yes"),"No",IF(($V465-$X465)&gt;0,"Yes","No"))</f>
        <v>No</v>
      </c>
      <c r="Z465" s="46" t="str">
        <f aca="false">IF($T465="Yes","Primary",IF($Y465="Yes","Secondary",""))</f>
        <v/>
      </c>
      <c r="AA465" s="46" t="str">
        <f aca="false">IF($Z465="Primary",$R465,IF($Z465="Secondary",$W465,""))</f>
        <v/>
      </c>
      <c r="AB465" s="46" t="str">
        <f aca="false">IF($Z465="Primary","Matched on primary skill",IF($Z465="Secondary","Matched on secondary skill (primary not approved or not required)",""))</f>
        <v/>
      </c>
      <c r="AC465" s="47" t="str">
        <f aca="false">IF($D465="Panel Details",$F465,"")</f>
        <v/>
      </c>
      <c r="AD465" s="46" t="str">
        <f aca="false">IF($D465="Panel Details",'Survey Response'!$D463,"")</f>
        <v/>
      </c>
      <c r="AE465" s="46" t="str">
        <f aca="false">IF($D465="Panel Details",'Survey Response'!$E463,"")</f>
        <v/>
      </c>
      <c r="AF465" s="46" t="str">
        <f aca="false">IF($D465="Panel Details",'Survey Response'!$G463,"")</f>
        <v/>
      </c>
      <c r="AG465" s="46" t="str">
        <f aca="false">IF($D465="Panel Details",IF($Z465="Primary",$J465,$L465),"")</f>
        <v/>
      </c>
      <c r="AH465" s="46" t="str">
        <f aca="false">IF($D465="Panel Details",IF($Z465="Primary",$L465,$J465),"")</f>
        <v/>
      </c>
      <c r="AI465" s="46" t="str">
        <f aca="false">IF($D465="Panel Details",'Survey Response'!$H463,"")</f>
        <v/>
      </c>
      <c r="AJ465" s="46" t="str">
        <f aca="false">IF($D465="Panel Details",'Survey Response'!$M463,"")</f>
        <v/>
      </c>
      <c r="AK465" s="46" t="str">
        <f aca="false">IF($D465="Panel Details",$O465,"")</f>
        <v/>
      </c>
      <c r="AL465" s="46" t="str">
        <f aca="false">IF($D465="Panel Details",8,"")</f>
        <v/>
      </c>
      <c r="AM465" s="46" t="str">
        <f aca="false">IF($D465="Panel Details",$AB465,"")</f>
        <v/>
      </c>
      <c r="AN465" s="46" t="str">
        <f aca="false">IF($D465="Panel Details","Yes","")</f>
        <v/>
      </c>
      <c r="AO465" s="46"/>
      <c r="AP465" s="46" t="str">
        <f aca="false">IF($D465="Followup",'Survey Response'!$D463,"")</f>
        <v/>
      </c>
      <c r="AQ465" s="46" t="str">
        <f aca="false">IF($D465="Followup",'Survey Response'!$E463,"")</f>
        <v/>
      </c>
      <c r="AR465" s="46" t="str">
        <f aca="false">IF($D465="Followup",'Survey Response'!$G463,"")</f>
        <v/>
      </c>
      <c r="AS465" s="46" t="str">
        <f aca="false">IF($D465="Followup",'Survey Response'!$H463,"")</f>
        <v/>
      </c>
      <c r="AT465" s="46" t="str">
        <f aca="false">IF($D465="Followup",'Survey Response'!$M463,"")</f>
        <v/>
      </c>
      <c r="AU465" s="46" t="str">
        <f aca="false">IF($D465="Followup",'Survey Response'!$K463,"")</f>
        <v/>
      </c>
      <c r="AV465" s="46" t="str">
        <f aca="false">IF($D465="Followup",'Survey Response'!$L463,"")</f>
        <v/>
      </c>
      <c r="AW465" s="46" t="str">
        <f aca="false">IF($D465="Followup",IF(AND($P465&lt;&gt;"Yes",$U465&lt;&gt;"Yes"),"Not approved for primary or secondary skill","Approved, but skill(s) no longer have capacity (fully staffed)"),"")</f>
        <v/>
      </c>
    </row>
    <row r="466" customFormat="false" ht="15" hidden="false" customHeight="true" outlineLevel="0" collapsed="false">
      <c r="A466" s="46" t="str">
        <f aca="false">IF('Survey Response'!$D464="","",'Survey Response'!$A464&amp;"|"&amp;LOWER(TRIM('Survey Response'!$D464)))</f>
        <v/>
      </c>
      <c r="B466" s="46" t="str">
        <f aca="false">IF($H466="","",$F466&amp;"|"&amp;$H466)</f>
        <v/>
      </c>
      <c r="C466" s="46" t="str">
        <f aca="false">IF($H466="","",$A466=$B466)</f>
        <v/>
      </c>
      <c r="D466" s="46" t="str">
        <f aca="false">IF($H466="","",IF($E466&lt;&gt;"Yes","Superseded",IF($I466&lt;&gt;"Yes, I'm available for in-person interviews at Chennai","Not Available",IF($Z466&lt;&gt;"","Panel Details","Followup"))))</f>
        <v/>
      </c>
      <c r="E466" s="46" t="str">
        <f aca="false">IF($H466="","",IF(SUMPRODUCT(($H$4:$H$503=$H466)*(($G$4:$G$503&gt;$G466)+($G$4:$G$503=$G466)*($F$4:$F$503&gt;$F466)))=0,"Yes","No"))</f>
        <v/>
      </c>
      <c r="F466" s="47" t="str">
        <f aca="false">IF('Survey Response'!$D464="","",INT('Survey Response'!$A464))</f>
        <v/>
      </c>
      <c r="G466" s="46" t="str">
        <f aca="false">IF('Survey Response'!$D464="","",'Survey Response'!$C464)</f>
        <v/>
      </c>
      <c r="H466" s="46" t="str">
        <f aca="false">IF('Survey Response'!$D464="","",LOWER(TRIM('Survey Response'!$D464)))</f>
        <v/>
      </c>
      <c r="I466" s="46" t="str">
        <f aca="false">IF($H466="","",'Survey Response'!$I464)</f>
        <v/>
      </c>
      <c r="J466" s="46" t="str">
        <f aca="false">IF($H466="","",'Survey Response'!$K464)</f>
        <v/>
      </c>
      <c r="K466" s="46" t="str">
        <f aca="false">IF($J466="","",IF(COUNTIF('Skill Mapping'!$A$2:$A$7,TRIM($J466))=0,"",INDEX('Skill Mapping'!$B$2:$B$7,MATCH(TRIM($J466),'Skill Mapping'!$A$2:$A$7,0))))</f>
        <v/>
      </c>
      <c r="L466" s="46" t="str">
        <f aca="false">IF($H466="","",'Survey Response'!$L464)</f>
        <v/>
      </c>
      <c r="M466" s="46" t="str">
        <f aca="false">IF($L466="","",IF(COUNTIF('Skill Mapping'!$A$2:$A$7,TRIM($L466))=0,"",INDEX('Skill Mapping'!$B$2:$B$7,MATCH(TRIM($L466),'Skill Mapping'!$A$2:$A$7,0))))</f>
        <v/>
      </c>
      <c r="N466" s="46" t="str">
        <f aca="false">IF($H466="","",'Survey Response'!$M464)</f>
        <v/>
      </c>
      <c r="O466" s="46" t="str">
        <f aca="false">IF($H466="","",IF('Survey Response'!$M464="Manager","R2","R1"))</f>
        <v/>
      </c>
      <c r="P466" s="46" t="str">
        <f aca="false">IF($K466="","No",IF(COUNTIFS(MasterPanel!$B:$B,$H466,MasterPanel!$I:$I,$K466,MasterPanel!$K:$K,"Y")&gt;0,"Yes","No"))</f>
        <v>No</v>
      </c>
      <c r="Q466" s="46" t="n">
        <f aca="false">IF($K466="",0,IF(COUNTIF('Gap Sheet'!$A$6:$A$11,TRIM($J466))=0,0,IF($O466="R1",INDEX('Gap Sheet'!$C$6:$C$11,MATCH(TRIM($J466),'Gap Sheet'!$A$6:$A$11,0)),INDEX('Gap Sheet'!$G$6:$G$11,MATCH(TRIM($J466),'Gap Sheet'!$A$6:$A$11,0)))))</f>
        <v>0</v>
      </c>
      <c r="R466" s="46" t="str">
        <f aca="false">IF($K466="","",$K466&amp;"|"&amp;$O466)</f>
        <v/>
      </c>
      <c r="S466" s="46" t="n">
        <f aca="false">IF($R466="",0,COUNTIF($AA$4:$AA465,$R466))</f>
        <v>0</v>
      </c>
      <c r="T466" s="46" t="str">
        <f aca="false">IF(OR($I466&lt;&gt;"Yes, I'm available for in-person interviews at Chennai",$E466&lt;&gt;"Yes",$P466&lt;&gt;"Yes"),"No",IF(($Q466-$S466)&gt;0,"Yes","No"))</f>
        <v>No</v>
      </c>
      <c r="U466" s="46" t="str">
        <f aca="false">IF($M466="","No",IF(COUNTIFS(MasterPanel!$B:$B,$H466,MasterPanel!$I:$I,$M466,MasterPanel!$K:$K,"Y")&gt;0,"Yes","No"))</f>
        <v>No</v>
      </c>
      <c r="V466" s="46" t="n">
        <f aca="false">IF($M466="",0,IF(COUNTIF('Gap Sheet'!$A$6:$A$11,TRIM($L466))=0,0,IF($O466="R1",INDEX('Gap Sheet'!$C$6:$C$11,MATCH(TRIM($L466),'Gap Sheet'!$A$6:$A$11,0)),INDEX('Gap Sheet'!$G$6:$G$11,MATCH(TRIM($L466),'Gap Sheet'!$A$6:$A$11,0)))))</f>
        <v>0</v>
      </c>
      <c r="W466" s="46" t="str">
        <f aca="false">IF($M466="","",$M466&amp;"|"&amp;$O466)</f>
        <v/>
      </c>
      <c r="X466" s="46" t="n">
        <f aca="false">IF($W466="",0,COUNTIF($AA$4:$AA465,$W466))</f>
        <v>0</v>
      </c>
      <c r="Y466" s="46" t="str">
        <f aca="false">IF(OR($I466&lt;&gt;"Yes, I'm available for in-person interviews at Chennai",$E466&lt;&gt;"Yes",$T466="Yes",$U466&lt;&gt;"Yes"),"No",IF(($V466-$X466)&gt;0,"Yes","No"))</f>
        <v>No</v>
      </c>
      <c r="Z466" s="46" t="str">
        <f aca="false">IF($T466="Yes","Primary",IF($Y466="Yes","Secondary",""))</f>
        <v/>
      </c>
      <c r="AA466" s="46" t="str">
        <f aca="false">IF($Z466="Primary",$R466,IF($Z466="Secondary",$W466,""))</f>
        <v/>
      </c>
      <c r="AB466" s="46" t="str">
        <f aca="false">IF($Z466="Primary","Matched on primary skill",IF($Z466="Secondary","Matched on secondary skill (primary not approved or not required)",""))</f>
        <v/>
      </c>
      <c r="AC466" s="47" t="str">
        <f aca="false">IF($D466="Panel Details",$F466,"")</f>
        <v/>
      </c>
      <c r="AD466" s="46" t="str">
        <f aca="false">IF($D466="Panel Details",'Survey Response'!$D464,"")</f>
        <v/>
      </c>
      <c r="AE466" s="46" t="str">
        <f aca="false">IF($D466="Panel Details",'Survey Response'!$E464,"")</f>
        <v/>
      </c>
      <c r="AF466" s="46" t="str">
        <f aca="false">IF($D466="Panel Details",'Survey Response'!$G464,"")</f>
        <v/>
      </c>
      <c r="AG466" s="46" t="str">
        <f aca="false">IF($D466="Panel Details",IF($Z466="Primary",$J466,$L466),"")</f>
        <v/>
      </c>
      <c r="AH466" s="46" t="str">
        <f aca="false">IF($D466="Panel Details",IF($Z466="Primary",$L466,$J466),"")</f>
        <v/>
      </c>
      <c r="AI466" s="46" t="str">
        <f aca="false">IF($D466="Panel Details",'Survey Response'!$H464,"")</f>
        <v/>
      </c>
      <c r="AJ466" s="46" t="str">
        <f aca="false">IF($D466="Panel Details",'Survey Response'!$M464,"")</f>
        <v/>
      </c>
      <c r="AK466" s="46" t="str">
        <f aca="false">IF($D466="Panel Details",$O466,"")</f>
        <v/>
      </c>
      <c r="AL466" s="46" t="str">
        <f aca="false">IF($D466="Panel Details",8,"")</f>
        <v/>
      </c>
      <c r="AM466" s="46" t="str">
        <f aca="false">IF($D466="Panel Details",$AB466,"")</f>
        <v/>
      </c>
      <c r="AN466" s="46" t="str">
        <f aca="false">IF($D466="Panel Details","Yes","")</f>
        <v/>
      </c>
      <c r="AO466" s="46"/>
      <c r="AP466" s="46" t="str">
        <f aca="false">IF($D466="Followup",'Survey Response'!$D464,"")</f>
        <v/>
      </c>
      <c r="AQ466" s="46" t="str">
        <f aca="false">IF($D466="Followup",'Survey Response'!$E464,"")</f>
        <v/>
      </c>
      <c r="AR466" s="46" t="str">
        <f aca="false">IF($D466="Followup",'Survey Response'!$G464,"")</f>
        <v/>
      </c>
      <c r="AS466" s="46" t="str">
        <f aca="false">IF($D466="Followup",'Survey Response'!$H464,"")</f>
        <v/>
      </c>
      <c r="AT466" s="46" t="str">
        <f aca="false">IF($D466="Followup",'Survey Response'!$M464,"")</f>
        <v/>
      </c>
      <c r="AU466" s="46" t="str">
        <f aca="false">IF($D466="Followup",'Survey Response'!$K464,"")</f>
        <v/>
      </c>
      <c r="AV466" s="46" t="str">
        <f aca="false">IF($D466="Followup",'Survey Response'!$L464,"")</f>
        <v/>
      </c>
      <c r="AW466" s="46" t="str">
        <f aca="false">IF($D466="Followup",IF(AND($P466&lt;&gt;"Yes",$U466&lt;&gt;"Yes"),"Not approved for primary or secondary skill","Approved, but skill(s) no longer have capacity (fully staffed)"),"")</f>
        <v/>
      </c>
    </row>
    <row r="467" customFormat="false" ht="15" hidden="false" customHeight="true" outlineLevel="0" collapsed="false">
      <c r="A467" s="46" t="str">
        <f aca="false">IF('Survey Response'!$D465="","",'Survey Response'!$A465&amp;"|"&amp;LOWER(TRIM('Survey Response'!$D465)))</f>
        <v/>
      </c>
      <c r="B467" s="46" t="str">
        <f aca="false">IF($H467="","",$F467&amp;"|"&amp;$H467)</f>
        <v/>
      </c>
      <c r="C467" s="46" t="str">
        <f aca="false">IF($H467="","",$A467=$B467)</f>
        <v/>
      </c>
      <c r="D467" s="46" t="str">
        <f aca="false">IF($H467="","",IF($E467&lt;&gt;"Yes","Superseded",IF($I467&lt;&gt;"Yes, I'm available for in-person interviews at Chennai","Not Available",IF($Z467&lt;&gt;"","Panel Details","Followup"))))</f>
        <v/>
      </c>
      <c r="E467" s="46" t="str">
        <f aca="false">IF($H467="","",IF(SUMPRODUCT(($H$4:$H$503=$H467)*(($G$4:$G$503&gt;$G467)+($G$4:$G$503=$G467)*($F$4:$F$503&gt;$F467)))=0,"Yes","No"))</f>
        <v/>
      </c>
      <c r="F467" s="47" t="str">
        <f aca="false">IF('Survey Response'!$D465="","",INT('Survey Response'!$A465))</f>
        <v/>
      </c>
      <c r="G467" s="46" t="str">
        <f aca="false">IF('Survey Response'!$D465="","",'Survey Response'!$C465)</f>
        <v/>
      </c>
      <c r="H467" s="46" t="str">
        <f aca="false">IF('Survey Response'!$D465="","",LOWER(TRIM('Survey Response'!$D465)))</f>
        <v/>
      </c>
      <c r="I467" s="46" t="str">
        <f aca="false">IF($H467="","",'Survey Response'!$I465)</f>
        <v/>
      </c>
      <c r="J467" s="46" t="str">
        <f aca="false">IF($H467="","",'Survey Response'!$K465)</f>
        <v/>
      </c>
      <c r="K467" s="46" t="str">
        <f aca="false">IF($J467="","",IF(COUNTIF('Skill Mapping'!$A$2:$A$7,TRIM($J467))=0,"",INDEX('Skill Mapping'!$B$2:$B$7,MATCH(TRIM($J467),'Skill Mapping'!$A$2:$A$7,0))))</f>
        <v/>
      </c>
      <c r="L467" s="46" t="str">
        <f aca="false">IF($H467="","",'Survey Response'!$L465)</f>
        <v/>
      </c>
      <c r="M467" s="46" t="str">
        <f aca="false">IF($L467="","",IF(COUNTIF('Skill Mapping'!$A$2:$A$7,TRIM($L467))=0,"",INDEX('Skill Mapping'!$B$2:$B$7,MATCH(TRIM($L467),'Skill Mapping'!$A$2:$A$7,0))))</f>
        <v/>
      </c>
      <c r="N467" s="46" t="str">
        <f aca="false">IF($H467="","",'Survey Response'!$M465)</f>
        <v/>
      </c>
      <c r="O467" s="46" t="str">
        <f aca="false">IF($H467="","",IF('Survey Response'!$M465="Manager","R2","R1"))</f>
        <v/>
      </c>
      <c r="P467" s="46" t="str">
        <f aca="false">IF($K467="","No",IF(COUNTIFS(MasterPanel!$B:$B,$H467,MasterPanel!$I:$I,$K467,MasterPanel!$K:$K,"Y")&gt;0,"Yes","No"))</f>
        <v>No</v>
      </c>
      <c r="Q467" s="46" t="n">
        <f aca="false">IF($K467="",0,IF(COUNTIF('Gap Sheet'!$A$6:$A$11,TRIM($J467))=0,0,IF($O467="R1",INDEX('Gap Sheet'!$C$6:$C$11,MATCH(TRIM($J467),'Gap Sheet'!$A$6:$A$11,0)),INDEX('Gap Sheet'!$G$6:$G$11,MATCH(TRIM($J467),'Gap Sheet'!$A$6:$A$11,0)))))</f>
        <v>0</v>
      </c>
      <c r="R467" s="46" t="str">
        <f aca="false">IF($K467="","",$K467&amp;"|"&amp;$O467)</f>
        <v/>
      </c>
      <c r="S467" s="46" t="n">
        <f aca="false">IF($R467="",0,COUNTIF($AA$4:$AA466,$R467))</f>
        <v>0</v>
      </c>
      <c r="T467" s="46" t="str">
        <f aca="false">IF(OR($I467&lt;&gt;"Yes, I'm available for in-person interviews at Chennai",$E467&lt;&gt;"Yes",$P467&lt;&gt;"Yes"),"No",IF(($Q467-$S467)&gt;0,"Yes","No"))</f>
        <v>No</v>
      </c>
      <c r="U467" s="46" t="str">
        <f aca="false">IF($M467="","No",IF(COUNTIFS(MasterPanel!$B:$B,$H467,MasterPanel!$I:$I,$M467,MasterPanel!$K:$K,"Y")&gt;0,"Yes","No"))</f>
        <v>No</v>
      </c>
      <c r="V467" s="46" t="n">
        <f aca="false">IF($M467="",0,IF(COUNTIF('Gap Sheet'!$A$6:$A$11,TRIM($L467))=0,0,IF($O467="R1",INDEX('Gap Sheet'!$C$6:$C$11,MATCH(TRIM($L467),'Gap Sheet'!$A$6:$A$11,0)),INDEX('Gap Sheet'!$G$6:$G$11,MATCH(TRIM($L467),'Gap Sheet'!$A$6:$A$11,0)))))</f>
        <v>0</v>
      </c>
      <c r="W467" s="46" t="str">
        <f aca="false">IF($M467="","",$M467&amp;"|"&amp;$O467)</f>
        <v/>
      </c>
      <c r="X467" s="46" t="n">
        <f aca="false">IF($W467="",0,COUNTIF($AA$4:$AA466,$W467))</f>
        <v>0</v>
      </c>
      <c r="Y467" s="46" t="str">
        <f aca="false">IF(OR($I467&lt;&gt;"Yes, I'm available for in-person interviews at Chennai",$E467&lt;&gt;"Yes",$T467="Yes",$U467&lt;&gt;"Yes"),"No",IF(($V467-$X467)&gt;0,"Yes","No"))</f>
        <v>No</v>
      </c>
      <c r="Z467" s="46" t="str">
        <f aca="false">IF($T467="Yes","Primary",IF($Y467="Yes","Secondary",""))</f>
        <v/>
      </c>
      <c r="AA467" s="46" t="str">
        <f aca="false">IF($Z467="Primary",$R467,IF($Z467="Secondary",$W467,""))</f>
        <v/>
      </c>
      <c r="AB467" s="46" t="str">
        <f aca="false">IF($Z467="Primary","Matched on primary skill",IF($Z467="Secondary","Matched on secondary skill (primary not approved or not required)",""))</f>
        <v/>
      </c>
      <c r="AC467" s="47" t="str">
        <f aca="false">IF($D467="Panel Details",$F467,"")</f>
        <v/>
      </c>
      <c r="AD467" s="46" t="str">
        <f aca="false">IF($D467="Panel Details",'Survey Response'!$D465,"")</f>
        <v/>
      </c>
      <c r="AE467" s="46" t="str">
        <f aca="false">IF($D467="Panel Details",'Survey Response'!$E465,"")</f>
        <v/>
      </c>
      <c r="AF467" s="46" t="str">
        <f aca="false">IF($D467="Panel Details",'Survey Response'!$G465,"")</f>
        <v/>
      </c>
      <c r="AG467" s="46" t="str">
        <f aca="false">IF($D467="Panel Details",IF($Z467="Primary",$J467,$L467),"")</f>
        <v/>
      </c>
      <c r="AH467" s="46" t="str">
        <f aca="false">IF($D467="Panel Details",IF($Z467="Primary",$L467,$J467),"")</f>
        <v/>
      </c>
      <c r="AI467" s="46" t="str">
        <f aca="false">IF($D467="Panel Details",'Survey Response'!$H465,"")</f>
        <v/>
      </c>
      <c r="AJ467" s="46" t="str">
        <f aca="false">IF($D467="Panel Details",'Survey Response'!$M465,"")</f>
        <v/>
      </c>
      <c r="AK467" s="46" t="str">
        <f aca="false">IF($D467="Panel Details",$O467,"")</f>
        <v/>
      </c>
      <c r="AL467" s="46" t="str">
        <f aca="false">IF($D467="Panel Details",8,"")</f>
        <v/>
      </c>
      <c r="AM467" s="46" t="str">
        <f aca="false">IF($D467="Panel Details",$AB467,"")</f>
        <v/>
      </c>
      <c r="AN467" s="46" t="str">
        <f aca="false">IF($D467="Panel Details","Yes","")</f>
        <v/>
      </c>
      <c r="AO467" s="46"/>
      <c r="AP467" s="46" t="str">
        <f aca="false">IF($D467="Followup",'Survey Response'!$D465,"")</f>
        <v/>
      </c>
      <c r="AQ467" s="46" t="str">
        <f aca="false">IF($D467="Followup",'Survey Response'!$E465,"")</f>
        <v/>
      </c>
      <c r="AR467" s="46" t="str">
        <f aca="false">IF($D467="Followup",'Survey Response'!$G465,"")</f>
        <v/>
      </c>
      <c r="AS467" s="46" t="str">
        <f aca="false">IF($D467="Followup",'Survey Response'!$H465,"")</f>
        <v/>
      </c>
      <c r="AT467" s="46" t="str">
        <f aca="false">IF($D467="Followup",'Survey Response'!$M465,"")</f>
        <v/>
      </c>
      <c r="AU467" s="46" t="str">
        <f aca="false">IF($D467="Followup",'Survey Response'!$K465,"")</f>
        <v/>
      </c>
      <c r="AV467" s="46" t="str">
        <f aca="false">IF($D467="Followup",'Survey Response'!$L465,"")</f>
        <v/>
      </c>
      <c r="AW467" s="46" t="str">
        <f aca="false">IF($D467="Followup",IF(AND($P467&lt;&gt;"Yes",$U467&lt;&gt;"Yes"),"Not approved for primary or secondary skill","Approved, but skill(s) no longer have capacity (fully staffed)"),"")</f>
        <v/>
      </c>
    </row>
    <row r="468" customFormat="false" ht="15" hidden="false" customHeight="true" outlineLevel="0" collapsed="false">
      <c r="A468" s="46" t="str">
        <f aca="false">IF('Survey Response'!$D466="","",'Survey Response'!$A466&amp;"|"&amp;LOWER(TRIM('Survey Response'!$D466)))</f>
        <v/>
      </c>
      <c r="B468" s="46" t="str">
        <f aca="false">IF($H468="","",$F468&amp;"|"&amp;$H468)</f>
        <v/>
      </c>
      <c r="C468" s="46" t="str">
        <f aca="false">IF($H468="","",$A468=$B468)</f>
        <v/>
      </c>
      <c r="D468" s="46" t="str">
        <f aca="false">IF($H468="","",IF($E468&lt;&gt;"Yes","Superseded",IF($I468&lt;&gt;"Yes, I'm available for in-person interviews at Chennai","Not Available",IF($Z468&lt;&gt;"","Panel Details","Followup"))))</f>
        <v/>
      </c>
      <c r="E468" s="46" t="str">
        <f aca="false">IF($H468="","",IF(SUMPRODUCT(($H$4:$H$503=$H468)*(($G$4:$G$503&gt;$G468)+($G$4:$G$503=$G468)*($F$4:$F$503&gt;$F468)))=0,"Yes","No"))</f>
        <v/>
      </c>
      <c r="F468" s="47" t="str">
        <f aca="false">IF('Survey Response'!$D466="","",INT('Survey Response'!$A466))</f>
        <v/>
      </c>
      <c r="G468" s="46" t="str">
        <f aca="false">IF('Survey Response'!$D466="","",'Survey Response'!$C466)</f>
        <v/>
      </c>
      <c r="H468" s="46" t="str">
        <f aca="false">IF('Survey Response'!$D466="","",LOWER(TRIM('Survey Response'!$D466)))</f>
        <v/>
      </c>
      <c r="I468" s="46" t="str">
        <f aca="false">IF($H468="","",'Survey Response'!$I466)</f>
        <v/>
      </c>
      <c r="J468" s="46" t="str">
        <f aca="false">IF($H468="","",'Survey Response'!$K466)</f>
        <v/>
      </c>
      <c r="K468" s="46" t="str">
        <f aca="false">IF($J468="","",IF(COUNTIF('Skill Mapping'!$A$2:$A$7,TRIM($J468))=0,"",INDEX('Skill Mapping'!$B$2:$B$7,MATCH(TRIM($J468),'Skill Mapping'!$A$2:$A$7,0))))</f>
        <v/>
      </c>
      <c r="L468" s="46" t="str">
        <f aca="false">IF($H468="","",'Survey Response'!$L466)</f>
        <v/>
      </c>
      <c r="M468" s="46" t="str">
        <f aca="false">IF($L468="","",IF(COUNTIF('Skill Mapping'!$A$2:$A$7,TRIM($L468))=0,"",INDEX('Skill Mapping'!$B$2:$B$7,MATCH(TRIM($L468),'Skill Mapping'!$A$2:$A$7,0))))</f>
        <v/>
      </c>
      <c r="N468" s="46" t="str">
        <f aca="false">IF($H468="","",'Survey Response'!$M466)</f>
        <v/>
      </c>
      <c r="O468" s="46" t="str">
        <f aca="false">IF($H468="","",IF('Survey Response'!$M466="Manager","R2","R1"))</f>
        <v/>
      </c>
      <c r="P468" s="46" t="str">
        <f aca="false">IF($K468="","No",IF(COUNTIFS(MasterPanel!$B:$B,$H468,MasterPanel!$I:$I,$K468,MasterPanel!$K:$K,"Y")&gt;0,"Yes","No"))</f>
        <v>No</v>
      </c>
      <c r="Q468" s="46" t="n">
        <f aca="false">IF($K468="",0,IF(COUNTIF('Gap Sheet'!$A$6:$A$11,TRIM($J468))=0,0,IF($O468="R1",INDEX('Gap Sheet'!$C$6:$C$11,MATCH(TRIM($J468),'Gap Sheet'!$A$6:$A$11,0)),INDEX('Gap Sheet'!$G$6:$G$11,MATCH(TRIM($J468),'Gap Sheet'!$A$6:$A$11,0)))))</f>
        <v>0</v>
      </c>
      <c r="R468" s="46" t="str">
        <f aca="false">IF($K468="","",$K468&amp;"|"&amp;$O468)</f>
        <v/>
      </c>
      <c r="S468" s="46" t="n">
        <f aca="false">IF($R468="",0,COUNTIF($AA$4:$AA467,$R468))</f>
        <v>0</v>
      </c>
      <c r="T468" s="46" t="str">
        <f aca="false">IF(OR($I468&lt;&gt;"Yes, I'm available for in-person interviews at Chennai",$E468&lt;&gt;"Yes",$P468&lt;&gt;"Yes"),"No",IF(($Q468-$S468)&gt;0,"Yes","No"))</f>
        <v>No</v>
      </c>
      <c r="U468" s="46" t="str">
        <f aca="false">IF($M468="","No",IF(COUNTIFS(MasterPanel!$B:$B,$H468,MasterPanel!$I:$I,$M468,MasterPanel!$K:$K,"Y")&gt;0,"Yes","No"))</f>
        <v>No</v>
      </c>
      <c r="V468" s="46" t="n">
        <f aca="false">IF($M468="",0,IF(COUNTIF('Gap Sheet'!$A$6:$A$11,TRIM($L468))=0,0,IF($O468="R1",INDEX('Gap Sheet'!$C$6:$C$11,MATCH(TRIM($L468),'Gap Sheet'!$A$6:$A$11,0)),INDEX('Gap Sheet'!$G$6:$G$11,MATCH(TRIM($L468),'Gap Sheet'!$A$6:$A$11,0)))))</f>
        <v>0</v>
      </c>
      <c r="W468" s="46" t="str">
        <f aca="false">IF($M468="","",$M468&amp;"|"&amp;$O468)</f>
        <v/>
      </c>
      <c r="X468" s="46" t="n">
        <f aca="false">IF($W468="",0,COUNTIF($AA$4:$AA467,$W468))</f>
        <v>0</v>
      </c>
      <c r="Y468" s="46" t="str">
        <f aca="false">IF(OR($I468&lt;&gt;"Yes, I'm available for in-person interviews at Chennai",$E468&lt;&gt;"Yes",$T468="Yes",$U468&lt;&gt;"Yes"),"No",IF(($V468-$X468)&gt;0,"Yes","No"))</f>
        <v>No</v>
      </c>
      <c r="Z468" s="46" t="str">
        <f aca="false">IF($T468="Yes","Primary",IF($Y468="Yes","Secondary",""))</f>
        <v/>
      </c>
      <c r="AA468" s="46" t="str">
        <f aca="false">IF($Z468="Primary",$R468,IF($Z468="Secondary",$W468,""))</f>
        <v/>
      </c>
      <c r="AB468" s="46" t="str">
        <f aca="false">IF($Z468="Primary","Matched on primary skill",IF($Z468="Secondary","Matched on secondary skill (primary not approved or not required)",""))</f>
        <v/>
      </c>
      <c r="AC468" s="47" t="str">
        <f aca="false">IF($D468="Panel Details",$F468,"")</f>
        <v/>
      </c>
      <c r="AD468" s="46" t="str">
        <f aca="false">IF($D468="Panel Details",'Survey Response'!$D466,"")</f>
        <v/>
      </c>
      <c r="AE468" s="46" t="str">
        <f aca="false">IF($D468="Panel Details",'Survey Response'!$E466,"")</f>
        <v/>
      </c>
      <c r="AF468" s="46" t="str">
        <f aca="false">IF($D468="Panel Details",'Survey Response'!$G466,"")</f>
        <v/>
      </c>
      <c r="AG468" s="46" t="str">
        <f aca="false">IF($D468="Panel Details",IF($Z468="Primary",$J468,$L468),"")</f>
        <v/>
      </c>
      <c r="AH468" s="46" t="str">
        <f aca="false">IF($D468="Panel Details",IF($Z468="Primary",$L468,$J468),"")</f>
        <v/>
      </c>
      <c r="AI468" s="46" t="str">
        <f aca="false">IF($D468="Panel Details",'Survey Response'!$H466,"")</f>
        <v/>
      </c>
      <c r="AJ468" s="46" t="str">
        <f aca="false">IF($D468="Panel Details",'Survey Response'!$M466,"")</f>
        <v/>
      </c>
      <c r="AK468" s="46" t="str">
        <f aca="false">IF($D468="Panel Details",$O468,"")</f>
        <v/>
      </c>
      <c r="AL468" s="46" t="str">
        <f aca="false">IF($D468="Panel Details",8,"")</f>
        <v/>
      </c>
      <c r="AM468" s="46" t="str">
        <f aca="false">IF($D468="Panel Details",$AB468,"")</f>
        <v/>
      </c>
      <c r="AN468" s="46" t="str">
        <f aca="false">IF($D468="Panel Details","Yes","")</f>
        <v/>
      </c>
      <c r="AO468" s="46"/>
      <c r="AP468" s="46" t="str">
        <f aca="false">IF($D468="Followup",'Survey Response'!$D466,"")</f>
        <v/>
      </c>
      <c r="AQ468" s="46" t="str">
        <f aca="false">IF($D468="Followup",'Survey Response'!$E466,"")</f>
        <v/>
      </c>
      <c r="AR468" s="46" t="str">
        <f aca="false">IF($D468="Followup",'Survey Response'!$G466,"")</f>
        <v/>
      </c>
      <c r="AS468" s="46" t="str">
        <f aca="false">IF($D468="Followup",'Survey Response'!$H466,"")</f>
        <v/>
      </c>
      <c r="AT468" s="46" t="str">
        <f aca="false">IF($D468="Followup",'Survey Response'!$M466,"")</f>
        <v/>
      </c>
      <c r="AU468" s="46" t="str">
        <f aca="false">IF($D468="Followup",'Survey Response'!$K466,"")</f>
        <v/>
      </c>
      <c r="AV468" s="46" t="str">
        <f aca="false">IF($D468="Followup",'Survey Response'!$L466,"")</f>
        <v/>
      </c>
      <c r="AW468" s="46" t="str">
        <f aca="false">IF($D468="Followup",IF(AND($P468&lt;&gt;"Yes",$U468&lt;&gt;"Yes"),"Not approved for primary or secondary skill","Approved, but skill(s) no longer have capacity (fully staffed)"),"")</f>
        <v/>
      </c>
    </row>
    <row r="469" customFormat="false" ht="15" hidden="false" customHeight="true" outlineLevel="0" collapsed="false">
      <c r="A469" s="46" t="str">
        <f aca="false">IF('Survey Response'!$D467="","",'Survey Response'!$A467&amp;"|"&amp;LOWER(TRIM('Survey Response'!$D467)))</f>
        <v/>
      </c>
      <c r="B469" s="46" t="str">
        <f aca="false">IF($H469="","",$F469&amp;"|"&amp;$H469)</f>
        <v/>
      </c>
      <c r="C469" s="46" t="str">
        <f aca="false">IF($H469="","",$A469=$B469)</f>
        <v/>
      </c>
      <c r="D469" s="46" t="str">
        <f aca="false">IF($H469="","",IF($E469&lt;&gt;"Yes","Superseded",IF($I469&lt;&gt;"Yes, I'm available for in-person interviews at Chennai","Not Available",IF($Z469&lt;&gt;"","Panel Details","Followup"))))</f>
        <v/>
      </c>
      <c r="E469" s="46" t="str">
        <f aca="false">IF($H469="","",IF(SUMPRODUCT(($H$4:$H$503=$H469)*(($G$4:$G$503&gt;$G469)+($G$4:$G$503=$G469)*($F$4:$F$503&gt;$F469)))=0,"Yes","No"))</f>
        <v/>
      </c>
      <c r="F469" s="47" t="str">
        <f aca="false">IF('Survey Response'!$D467="","",INT('Survey Response'!$A467))</f>
        <v/>
      </c>
      <c r="G469" s="46" t="str">
        <f aca="false">IF('Survey Response'!$D467="","",'Survey Response'!$C467)</f>
        <v/>
      </c>
      <c r="H469" s="46" t="str">
        <f aca="false">IF('Survey Response'!$D467="","",LOWER(TRIM('Survey Response'!$D467)))</f>
        <v/>
      </c>
      <c r="I469" s="46" t="str">
        <f aca="false">IF($H469="","",'Survey Response'!$I467)</f>
        <v/>
      </c>
      <c r="J469" s="46" t="str">
        <f aca="false">IF($H469="","",'Survey Response'!$K467)</f>
        <v/>
      </c>
      <c r="K469" s="46" t="str">
        <f aca="false">IF($J469="","",IF(COUNTIF('Skill Mapping'!$A$2:$A$7,TRIM($J469))=0,"",INDEX('Skill Mapping'!$B$2:$B$7,MATCH(TRIM($J469),'Skill Mapping'!$A$2:$A$7,0))))</f>
        <v/>
      </c>
      <c r="L469" s="46" t="str">
        <f aca="false">IF($H469="","",'Survey Response'!$L467)</f>
        <v/>
      </c>
      <c r="M469" s="46" t="str">
        <f aca="false">IF($L469="","",IF(COUNTIF('Skill Mapping'!$A$2:$A$7,TRIM($L469))=0,"",INDEX('Skill Mapping'!$B$2:$B$7,MATCH(TRIM($L469),'Skill Mapping'!$A$2:$A$7,0))))</f>
        <v/>
      </c>
      <c r="N469" s="46" t="str">
        <f aca="false">IF($H469="","",'Survey Response'!$M467)</f>
        <v/>
      </c>
      <c r="O469" s="46" t="str">
        <f aca="false">IF($H469="","",IF('Survey Response'!$M467="Manager","R2","R1"))</f>
        <v/>
      </c>
      <c r="P469" s="46" t="str">
        <f aca="false">IF($K469="","No",IF(COUNTIFS(MasterPanel!$B:$B,$H469,MasterPanel!$I:$I,$K469,MasterPanel!$K:$K,"Y")&gt;0,"Yes","No"))</f>
        <v>No</v>
      </c>
      <c r="Q469" s="46" t="n">
        <f aca="false">IF($K469="",0,IF(COUNTIF('Gap Sheet'!$A$6:$A$11,TRIM($J469))=0,0,IF($O469="R1",INDEX('Gap Sheet'!$C$6:$C$11,MATCH(TRIM($J469),'Gap Sheet'!$A$6:$A$11,0)),INDEX('Gap Sheet'!$G$6:$G$11,MATCH(TRIM($J469),'Gap Sheet'!$A$6:$A$11,0)))))</f>
        <v>0</v>
      </c>
      <c r="R469" s="46" t="str">
        <f aca="false">IF($K469="","",$K469&amp;"|"&amp;$O469)</f>
        <v/>
      </c>
      <c r="S469" s="46" t="n">
        <f aca="false">IF($R469="",0,COUNTIF($AA$4:$AA468,$R469))</f>
        <v>0</v>
      </c>
      <c r="T469" s="46" t="str">
        <f aca="false">IF(OR($I469&lt;&gt;"Yes, I'm available for in-person interviews at Chennai",$E469&lt;&gt;"Yes",$P469&lt;&gt;"Yes"),"No",IF(($Q469-$S469)&gt;0,"Yes","No"))</f>
        <v>No</v>
      </c>
      <c r="U469" s="46" t="str">
        <f aca="false">IF($M469="","No",IF(COUNTIFS(MasterPanel!$B:$B,$H469,MasterPanel!$I:$I,$M469,MasterPanel!$K:$K,"Y")&gt;0,"Yes","No"))</f>
        <v>No</v>
      </c>
      <c r="V469" s="46" t="n">
        <f aca="false">IF($M469="",0,IF(COUNTIF('Gap Sheet'!$A$6:$A$11,TRIM($L469))=0,0,IF($O469="R1",INDEX('Gap Sheet'!$C$6:$C$11,MATCH(TRIM($L469),'Gap Sheet'!$A$6:$A$11,0)),INDEX('Gap Sheet'!$G$6:$G$11,MATCH(TRIM($L469),'Gap Sheet'!$A$6:$A$11,0)))))</f>
        <v>0</v>
      </c>
      <c r="W469" s="46" t="str">
        <f aca="false">IF($M469="","",$M469&amp;"|"&amp;$O469)</f>
        <v/>
      </c>
      <c r="X469" s="46" t="n">
        <f aca="false">IF($W469="",0,COUNTIF($AA$4:$AA468,$W469))</f>
        <v>0</v>
      </c>
      <c r="Y469" s="46" t="str">
        <f aca="false">IF(OR($I469&lt;&gt;"Yes, I'm available for in-person interviews at Chennai",$E469&lt;&gt;"Yes",$T469="Yes",$U469&lt;&gt;"Yes"),"No",IF(($V469-$X469)&gt;0,"Yes","No"))</f>
        <v>No</v>
      </c>
      <c r="Z469" s="46" t="str">
        <f aca="false">IF($T469="Yes","Primary",IF($Y469="Yes","Secondary",""))</f>
        <v/>
      </c>
      <c r="AA469" s="46" t="str">
        <f aca="false">IF($Z469="Primary",$R469,IF($Z469="Secondary",$W469,""))</f>
        <v/>
      </c>
      <c r="AB469" s="46" t="str">
        <f aca="false">IF($Z469="Primary","Matched on primary skill",IF($Z469="Secondary","Matched on secondary skill (primary not approved or not required)",""))</f>
        <v/>
      </c>
      <c r="AC469" s="47" t="str">
        <f aca="false">IF($D469="Panel Details",$F469,"")</f>
        <v/>
      </c>
      <c r="AD469" s="46" t="str">
        <f aca="false">IF($D469="Panel Details",'Survey Response'!$D467,"")</f>
        <v/>
      </c>
      <c r="AE469" s="46" t="str">
        <f aca="false">IF($D469="Panel Details",'Survey Response'!$E467,"")</f>
        <v/>
      </c>
      <c r="AF469" s="46" t="str">
        <f aca="false">IF($D469="Panel Details",'Survey Response'!$G467,"")</f>
        <v/>
      </c>
      <c r="AG469" s="46" t="str">
        <f aca="false">IF($D469="Panel Details",IF($Z469="Primary",$J469,$L469),"")</f>
        <v/>
      </c>
      <c r="AH469" s="46" t="str">
        <f aca="false">IF($D469="Panel Details",IF($Z469="Primary",$L469,$J469),"")</f>
        <v/>
      </c>
      <c r="AI469" s="46" t="str">
        <f aca="false">IF($D469="Panel Details",'Survey Response'!$H467,"")</f>
        <v/>
      </c>
      <c r="AJ469" s="46" t="str">
        <f aca="false">IF($D469="Panel Details",'Survey Response'!$M467,"")</f>
        <v/>
      </c>
      <c r="AK469" s="46" t="str">
        <f aca="false">IF($D469="Panel Details",$O469,"")</f>
        <v/>
      </c>
      <c r="AL469" s="46" t="str">
        <f aca="false">IF($D469="Panel Details",8,"")</f>
        <v/>
      </c>
      <c r="AM469" s="46" t="str">
        <f aca="false">IF($D469="Panel Details",$AB469,"")</f>
        <v/>
      </c>
      <c r="AN469" s="46" t="str">
        <f aca="false">IF($D469="Panel Details","Yes","")</f>
        <v/>
      </c>
      <c r="AO469" s="46"/>
      <c r="AP469" s="46" t="str">
        <f aca="false">IF($D469="Followup",'Survey Response'!$D467,"")</f>
        <v/>
      </c>
      <c r="AQ469" s="46" t="str">
        <f aca="false">IF($D469="Followup",'Survey Response'!$E467,"")</f>
        <v/>
      </c>
      <c r="AR469" s="46" t="str">
        <f aca="false">IF($D469="Followup",'Survey Response'!$G467,"")</f>
        <v/>
      </c>
      <c r="AS469" s="46" t="str">
        <f aca="false">IF($D469="Followup",'Survey Response'!$H467,"")</f>
        <v/>
      </c>
      <c r="AT469" s="46" t="str">
        <f aca="false">IF($D469="Followup",'Survey Response'!$M467,"")</f>
        <v/>
      </c>
      <c r="AU469" s="46" t="str">
        <f aca="false">IF($D469="Followup",'Survey Response'!$K467,"")</f>
        <v/>
      </c>
      <c r="AV469" s="46" t="str">
        <f aca="false">IF($D469="Followup",'Survey Response'!$L467,"")</f>
        <v/>
      </c>
      <c r="AW469" s="46" t="str">
        <f aca="false">IF($D469="Followup",IF(AND($P469&lt;&gt;"Yes",$U469&lt;&gt;"Yes"),"Not approved for primary or secondary skill","Approved, but skill(s) no longer have capacity (fully staffed)"),"")</f>
        <v/>
      </c>
    </row>
    <row r="470" customFormat="false" ht="15" hidden="false" customHeight="true" outlineLevel="0" collapsed="false">
      <c r="A470" s="46" t="str">
        <f aca="false">IF('Survey Response'!$D468="","",'Survey Response'!$A468&amp;"|"&amp;LOWER(TRIM('Survey Response'!$D468)))</f>
        <v/>
      </c>
      <c r="B470" s="46" t="str">
        <f aca="false">IF($H470="","",$F470&amp;"|"&amp;$H470)</f>
        <v/>
      </c>
      <c r="C470" s="46" t="str">
        <f aca="false">IF($H470="","",$A470=$B470)</f>
        <v/>
      </c>
      <c r="D470" s="46" t="str">
        <f aca="false">IF($H470="","",IF($E470&lt;&gt;"Yes","Superseded",IF($I470&lt;&gt;"Yes, I'm available for in-person interviews at Chennai","Not Available",IF($Z470&lt;&gt;"","Panel Details","Followup"))))</f>
        <v/>
      </c>
      <c r="E470" s="46" t="str">
        <f aca="false">IF($H470="","",IF(SUMPRODUCT(($H$4:$H$503=$H470)*(($G$4:$G$503&gt;$G470)+($G$4:$G$503=$G470)*($F$4:$F$503&gt;$F470)))=0,"Yes","No"))</f>
        <v/>
      </c>
      <c r="F470" s="47" t="str">
        <f aca="false">IF('Survey Response'!$D468="","",INT('Survey Response'!$A468))</f>
        <v/>
      </c>
      <c r="G470" s="46" t="str">
        <f aca="false">IF('Survey Response'!$D468="","",'Survey Response'!$C468)</f>
        <v/>
      </c>
      <c r="H470" s="46" t="str">
        <f aca="false">IF('Survey Response'!$D468="","",LOWER(TRIM('Survey Response'!$D468)))</f>
        <v/>
      </c>
      <c r="I470" s="46" t="str">
        <f aca="false">IF($H470="","",'Survey Response'!$I468)</f>
        <v/>
      </c>
      <c r="J470" s="46" t="str">
        <f aca="false">IF($H470="","",'Survey Response'!$K468)</f>
        <v/>
      </c>
      <c r="K470" s="46" t="str">
        <f aca="false">IF($J470="","",IF(COUNTIF('Skill Mapping'!$A$2:$A$7,TRIM($J470))=0,"",INDEX('Skill Mapping'!$B$2:$B$7,MATCH(TRIM($J470),'Skill Mapping'!$A$2:$A$7,0))))</f>
        <v/>
      </c>
      <c r="L470" s="46" t="str">
        <f aca="false">IF($H470="","",'Survey Response'!$L468)</f>
        <v/>
      </c>
      <c r="M470" s="46" t="str">
        <f aca="false">IF($L470="","",IF(COUNTIF('Skill Mapping'!$A$2:$A$7,TRIM($L470))=0,"",INDEX('Skill Mapping'!$B$2:$B$7,MATCH(TRIM($L470),'Skill Mapping'!$A$2:$A$7,0))))</f>
        <v/>
      </c>
      <c r="N470" s="46" t="str">
        <f aca="false">IF($H470="","",'Survey Response'!$M468)</f>
        <v/>
      </c>
      <c r="O470" s="46" t="str">
        <f aca="false">IF($H470="","",IF('Survey Response'!$M468="Manager","R2","R1"))</f>
        <v/>
      </c>
      <c r="P470" s="46" t="str">
        <f aca="false">IF($K470="","No",IF(COUNTIFS(MasterPanel!$B:$B,$H470,MasterPanel!$I:$I,$K470,MasterPanel!$K:$K,"Y")&gt;0,"Yes","No"))</f>
        <v>No</v>
      </c>
      <c r="Q470" s="46" t="n">
        <f aca="false">IF($K470="",0,IF(COUNTIF('Gap Sheet'!$A$6:$A$11,TRIM($J470))=0,0,IF($O470="R1",INDEX('Gap Sheet'!$C$6:$C$11,MATCH(TRIM($J470),'Gap Sheet'!$A$6:$A$11,0)),INDEX('Gap Sheet'!$G$6:$G$11,MATCH(TRIM($J470),'Gap Sheet'!$A$6:$A$11,0)))))</f>
        <v>0</v>
      </c>
      <c r="R470" s="46" t="str">
        <f aca="false">IF($K470="","",$K470&amp;"|"&amp;$O470)</f>
        <v/>
      </c>
      <c r="S470" s="46" t="n">
        <f aca="false">IF($R470="",0,COUNTIF($AA$4:$AA469,$R470))</f>
        <v>0</v>
      </c>
      <c r="T470" s="46" t="str">
        <f aca="false">IF(OR($I470&lt;&gt;"Yes, I'm available for in-person interviews at Chennai",$E470&lt;&gt;"Yes",$P470&lt;&gt;"Yes"),"No",IF(($Q470-$S470)&gt;0,"Yes","No"))</f>
        <v>No</v>
      </c>
      <c r="U470" s="46" t="str">
        <f aca="false">IF($M470="","No",IF(COUNTIFS(MasterPanel!$B:$B,$H470,MasterPanel!$I:$I,$M470,MasterPanel!$K:$K,"Y")&gt;0,"Yes","No"))</f>
        <v>No</v>
      </c>
      <c r="V470" s="46" t="n">
        <f aca="false">IF($M470="",0,IF(COUNTIF('Gap Sheet'!$A$6:$A$11,TRIM($L470))=0,0,IF($O470="R1",INDEX('Gap Sheet'!$C$6:$C$11,MATCH(TRIM($L470),'Gap Sheet'!$A$6:$A$11,0)),INDEX('Gap Sheet'!$G$6:$G$11,MATCH(TRIM($L470),'Gap Sheet'!$A$6:$A$11,0)))))</f>
        <v>0</v>
      </c>
      <c r="W470" s="46" t="str">
        <f aca="false">IF($M470="","",$M470&amp;"|"&amp;$O470)</f>
        <v/>
      </c>
      <c r="X470" s="46" t="n">
        <f aca="false">IF($W470="",0,COUNTIF($AA$4:$AA469,$W470))</f>
        <v>0</v>
      </c>
      <c r="Y470" s="46" t="str">
        <f aca="false">IF(OR($I470&lt;&gt;"Yes, I'm available for in-person interviews at Chennai",$E470&lt;&gt;"Yes",$T470="Yes",$U470&lt;&gt;"Yes"),"No",IF(($V470-$X470)&gt;0,"Yes","No"))</f>
        <v>No</v>
      </c>
      <c r="Z470" s="46" t="str">
        <f aca="false">IF($T470="Yes","Primary",IF($Y470="Yes","Secondary",""))</f>
        <v/>
      </c>
      <c r="AA470" s="46" t="str">
        <f aca="false">IF($Z470="Primary",$R470,IF($Z470="Secondary",$W470,""))</f>
        <v/>
      </c>
      <c r="AB470" s="46" t="str">
        <f aca="false">IF($Z470="Primary","Matched on primary skill",IF($Z470="Secondary","Matched on secondary skill (primary not approved or not required)",""))</f>
        <v/>
      </c>
      <c r="AC470" s="47" t="str">
        <f aca="false">IF($D470="Panel Details",$F470,"")</f>
        <v/>
      </c>
      <c r="AD470" s="46" t="str">
        <f aca="false">IF($D470="Panel Details",'Survey Response'!$D468,"")</f>
        <v/>
      </c>
      <c r="AE470" s="46" t="str">
        <f aca="false">IF($D470="Panel Details",'Survey Response'!$E468,"")</f>
        <v/>
      </c>
      <c r="AF470" s="46" t="str">
        <f aca="false">IF($D470="Panel Details",'Survey Response'!$G468,"")</f>
        <v/>
      </c>
      <c r="AG470" s="46" t="str">
        <f aca="false">IF($D470="Panel Details",IF($Z470="Primary",$J470,$L470),"")</f>
        <v/>
      </c>
      <c r="AH470" s="46" t="str">
        <f aca="false">IF($D470="Panel Details",IF($Z470="Primary",$L470,$J470),"")</f>
        <v/>
      </c>
      <c r="AI470" s="46" t="str">
        <f aca="false">IF($D470="Panel Details",'Survey Response'!$H468,"")</f>
        <v/>
      </c>
      <c r="AJ470" s="46" t="str">
        <f aca="false">IF($D470="Panel Details",'Survey Response'!$M468,"")</f>
        <v/>
      </c>
      <c r="AK470" s="46" t="str">
        <f aca="false">IF($D470="Panel Details",$O470,"")</f>
        <v/>
      </c>
      <c r="AL470" s="46" t="str">
        <f aca="false">IF($D470="Panel Details",8,"")</f>
        <v/>
      </c>
      <c r="AM470" s="46" t="str">
        <f aca="false">IF($D470="Panel Details",$AB470,"")</f>
        <v/>
      </c>
      <c r="AN470" s="46" t="str">
        <f aca="false">IF($D470="Panel Details","Yes","")</f>
        <v/>
      </c>
      <c r="AO470" s="46"/>
      <c r="AP470" s="46" t="str">
        <f aca="false">IF($D470="Followup",'Survey Response'!$D468,"")</f>
        <v/>
      </c>
      <c r="AQ470" s="46" t="str">
        <f aca="false">IF($D470="Followup",'Survey Response'!$E468,"")</f>
        <v/>
      </c>
      <c r="AR470" s="46" t="str">
        <f aca="false">IF($D470="Followup",'Survey Response'!$G468,"")</f>
        <v/>
      </c>
      <c r="AS470" s="46" t="str">
        <f aca="false">IF($D470="Followup",'Survey Response'!$H468,"")</f>
        <v/>
      </c>
      <c r="AT470" s="46" t="str">
        <f aca="false">IF($D470="Followup",'Survey Response'!$M468,"")</f>
        <v/>
      </c>
      <c r="AU470" s="46" t="str">
        <f aca="false">IF($D470="Followup",'Survey Response'!$K468,"")</f>
        <v/>
      </c>
      <c r="AV470" s="46" t="str">
        <f aca="false">IF($D470="Followup",'Survey Response'!$L468,"")</f>
        <v/>
      </c>
      <c r="AW470" s="46" t="str">
        <f aca="false">IF($D470="Followup",IF(AND($P470&lt;&gt;"Yes",$U470&lt;&gt;"Yes"),"Not approved for primary or secondary skill","Approved, but skill(s) no longer have capacity (fully staffed)"),"")</f>
        <v/>
      </c>
    </row>
    <row r="471" customFormat="false" ht="15" hidden="false" customHeight="true" outlineLevel="0" collapsed="false">
      <c r="A471" s="46" t="str">
        <f aca="false">IF('Survey Response'!$D469="","",'Survey Response'!$A469&amp;"|"&amp;LOWER(TRIM('Survey Response'!$D469)))</f>
        <v/>
      </c>
      <c r="B471" s="46" t="str">
        <f aca="false">IF($H471="","",$F471&amp;"|"&amp;$H471)</f>
        <v/>
      </c>
      <c r="C471" s="46" t="str">
        <f aca="false">IF($H471="","",$A471=$B471)</f>
        <v/>
      </c>
      <c r="D471" s="46" t="str">
        <f aca="false">IF($H471="","",IF($E471&lt;&gt;"Yes","Superseded",IF($I471&lt;&gt;"Yes, I'm available for in-person interviews at Chennai","Not Available",IF($Z471&lt;&gt;"","Panel Details","Followup"))))</f>
        <v/>
      </c>
      <c r="E471" s="46" t="str">
        <f aca="false">IF($H471="","",IF(SUMPRODUCT(($H$4:$H$503=$H471)*(($G$4:$G$503&gt;$G471)+($G$4:$G$503=$G471)*($F$4:$F$503&gt;$F471)))=0,"Yes","No"))</f>
        <v/>
      </c>
      <c r="F471" s="47" t="str">
        <f aca="false">IF('Survey Response'!$D469="","",INT('Survey Response'!$A469))</f>
        <v/>
      </c>
      <c r="G471" s="46" t="str">
        <f aca="false">IF('Survey Response'!$D469="","",'Survey Response'!$C469)</f>
        <v/>
      </c>
      <c r="H471" s="46" t="str">
        <f aca="false">IF('Survey Response'!$D469="","",LOWER(TRIM('Survey Response'!$D469)))</f>
        <v/>
      </c>
      <c r="I471" s="46" t="str">
        <f aca="false">IF($H471="","",'Survey Response'!$I469)</f>
        <v/>
      </c>
      <c r="J471" s="46" t="str">
        <f aca="false">IF($H471="","",'Survey Response'!$K469)</f>
        <v/>
      </c>
      <c r="K471" s="46" t="str">
        <f aca="false">IF($J471="","",IF(COUNTIF('Skill Mapping'!$A$2:$A$7,TRIM($J471))=0,"",INDEX('Skill Mapping'!$B$2:$B$7,MATCH(TRIM($J471),'Skill Mapping'!$A$2:$A$7,0))))</f>
        <v/>
      </c>
      <c r="L471" s="46" t="str">
        <f aca="false">IF($H471="","",'Survey Response'!$L469)</f>
        <v/>
      </c>
      <c r="M471" s="46" t="str">
        <f aca="false">IF($L471="","",IF(COUNTIF('Skill Mapping'!$A$2:$A$7,TRIM($L471))=0,"",INDEX('Skill Mapping'!$B$2:$B$7,MATCH(TRIM($L471),'Skill Mapping'!$A$2:$A$7,0))))</f>
        <v/>
      </c>
      <c r="N471" s="46" t="str">
        <f aca="false">IF($H471="","",'Survey Response'!$M469)</f>
        <v/>
      </c>
      <c r="O471" s="46" t="str">
        <f aca="false">IF($H471="","",IF('Survey Response'!$M469="Manager","R2","R1"))</f>
        <v/>
      </c>
      <c r="P471" s="46" t="str">
        <f aca="false">IF($K471="","No",IF(COUNTIFS(MasterPanel!$B:$B,$H471,MasterPanel!$I:$I,$K471,MasterPanel!$K:$K,"Y")&gt;0,"Yes","No"))</f>
        <v>No</v>
      </c>
      <c r="Q471" s="46" t="n">
        <f aca="false">IF($K471="",0,IF(COUNTIF('Gap Sheet'!$A$6:$A$11,TRIM($J471))=0,0,IF($O471="R1",INDEX('Gap Sheet'!$C$6:$C$11,MATCH(TRIM($J471),'Gap Sheet'!$A$6:$A$11,0)),INDEX('Gap Sheet'!$G$6:$G$11,MATCH(TRIM($J471),'Gap Sheet'!$A$6:$A$11,0)))))</f>
        <v>0</v>
      </c>
      <c r="R471" s="46" t="str">
        <f aca="false">IF($K471="","",$K471&amp;"|"&amp;$O471)</f>
        <v/>
      </c>
      <c r="S471" s="46" t="n">
        <f aca="false">IF($R471="",0,COUNTIF($AA$4:$AA470,$R471))</f>
        <v>0</v>
      </c>
      <c r="T471" s="46" t="str">
        <f aca="false">IF(OR($I471&lt;&gt;"Yes, I'm available for in-person interviews at Chennai",$E471&lt;&gt;"Yes",$P471&lt;&gt;"Yes"),"No",IF(($Q471-$S471)&gt;0,"Yes","No"))</f>
        <v>No</v>
      </c>
      <c r="U471" s="46" t="str">
        <f aca="false">IF($M471="","No",IF(COUNTIFS(MasterPanel!$B:$B,$H471,MasterPanel!$I:$I,$M471,MasterPanel!$K:$K,"Y")&gt;0,"Yes","No"))</f>
        <v>No</v>
      </c>
      <c r="V471" s="46" t="n">
        <f aca="false">IF($M471="",0,IF(COUNTIF('Gap Sheet'!$A$6:$A$11,TRIM($L471))=0,0,IF($O471="R1",INDEX('Gap Sheet'!$C$6:$C$11,MATCH(TRIM($L471),'Gap Sheet'!$A$6:$A$11,0)),INDEX('Gap Sheet'!$G$6:$G$11,MATCH(TRIM($L471),'Gap Sheet'!$A$6:$A$11,0)))))</f>
        <v>0</v>
      </c>
      <c r="W471" s="46" t="str">
        <f aca="false">IF($M471="","",$M471&amp;"|"&amp;$O471)</f>
        <v/>
      </c>
      <c r="X471" s="46" t="n">
        <f aca="false">IF($W471="",0,COUNTIF($AA$4:$AA470,$W471))</f>
        <v>0</v>
      </c>
      <c r="Y471" s="46" t="str">
        <f aca="false">IF(OR($I471&lt;&gt;"Yes, I'm available for in-person interviews at Chennai",$E471&lt;&gt;"Yes",$T471="Yes",$U471&lt;&gt;"Yes"),"No",IF(($V471-$X471)&gt;0,"Yes","No"))</f>
        <v>No</v>
      </c>
      <c r="Z471" s="46" t="str">
        <f aca="false">IF($T471="Yes","Primary",IF($Y471="Yes","Secondary",""))</f>
        <v/>
      </c>
      <c r="AA471" s="46" t="str">
        <f aca="false">IF($Z471="Primary",$R471,IF($Z471="Secondary",$W471,""))</f>
        <v/>
      </c>
      <c r="AB471" s="46" t="str">
        <f aca="false">IF($Z471="Primary","Matched on primary skill",IF($Z471="Secondary","Matched on secondary skill (primary not approved or not required)",""))</f>
        <v/>
      </c>
      <c r="AC471" s="47" t="str">
        <f aca="false">IF($D471="Panel Details",$F471,"")</f>
        <v/>
      </c>
      <c r="AD471" s="46" t="str">
        <f aca="false">IF($D471="Panel Details",'Survey Response'!$D469,"")</f>
        <v/>
      </c>
      <c r="AE471" s="46" t="str">
        <f aca="false">IF($D471="Panel Details",'Survey Response'!$E469,"")</f>
        <v/>
      </c>
      <c r="AF471" s="46" t="str">
        <f aca="false">IF($D471="Panel Details",'Survey Response'!$G469,"")</f>
        <v/>
      </c>
      <c r="AG471" s="46" t="str">
        <f aca="false">IF($D471="Panel Details",IF($Z471="Primary",$J471,$L471),"")</f>
        <v/>
      </c>
      <c r="AH471" s="46" t="str">
        <f aca="false">IF($D471="Panel Details",IF($Z471="Primary",$L471,$J471),"")</f>
        <v/>
      </c>
      <c r="AI471" s="46" t="str">
        <f aca="false">IF($D471="Panel Details",'Survey Response'!$H469,"")</f>
        <v/>
      </c>
      <c r="AJ471" s="46" t="str">
        <f aca="false">IF($D471="Panel Details",'Survey Response'!$M469,"")</f>
        <v/>
      </c>
      <c r="AK471" s="46" t="str">
        <f aca="false">IF($D471="Panel Details",$O471,"")</f>
        <v/>
      </c>
      <c r="AL471" s="46" t="str">
        <f aca="false">IF($D471="Panel Details",8,"")</f>
        <v/>
      </c>
      <c r="AM471" s="46" t="str">
        <f aca="false">IF($D471="Panel Details",$AB471,"")</f>
        <v/>
      </c>
      <c r="AN471" s="46" t="str">
        <f aca="false">IF($D471="Panel Details","Yes","")</f>
        <v/>
      </c>
      <c r="AO471" s="46"/>
      <c r="AP471" s="46" t="str">
        <f aca="false">IF($D471="Followup",'Survey Response'!$D469,"")</f>
        <v/>
      </c>
      <c r="AQ471" s="46" t="str">
        <f aca="false">IF($D471="Followup",'Survey Response'!$E469,"")</f>
        <v/>
      </c>
      <c r="AR471" s="46" t="str">
        <f aca="false">IF($D471="Followup",'Survey Response'!$G469,"")</f>
        <v/>
      </c>
      <c r="AS471" s="46" t="str">
        <f aca="false">IF($D471="Followup",'Survey Response'!$H469,"")</f>
        <v/>
      </c>
      <c r="AT471" s="46" t="str">
        <f aca="false">IF($D471="Followup",'Survey Response'!$M469,"")</f>
        <v/>
      </c>
      <c r="AU471" s="46" t="str">
        <f aca="false">IF($D471="Followup",'Survey Response'!$K469,"")</f>
        <v/>
      </c>
      <c r="AV471" s="46" t="str">
        <f aca="false">IF($D471="Followup",'Survey Response'!$L469,"")</f>
        <v/>
      </c>
      <c r="AW471" s="46" t="str">
        <f aca="false">IF($D471="Followup",IF(AND($P471&lt;&gt;"Yes",$U471&lt;&gt;"Yes"),"Not approved for primary or secondary skill","Approved, but skill(s) no longer have capacity (fully staffed)"),"")</f>
        <v/>
      </c>
    </row>
    <row r="472" customFormat="false" ht="15" hidden="false" customHeight="true" outlineLevel="0" collapsed="false">
      <c r="A472" s="46" t="str">
        <f aca="false">IF('Survey Response'!$D470="","",'Survey Response'!$A470&amp;"|"&amp;LOWER(TRIM('Survey Response'!$D470)))</f>
        <v/>
      </c>
      <c r="B472" s="46" t="str">
        <f aca="false">IF($H472="","",$F472&amp;"|"&amp;$H472)</f>
        <v/>
      </c>
      <c r="C472" s="46" t="str">
        <f aca="false">IF($H472="","",$A472=$B472)</f>
        <v/>
      </c>
      <c r="D472" s="46" t="str">
        <f aca="false">IF($H472="","",IF($E472&lt;&gt;"Yes","Superseded",IF($I472&lt;&gt;"Yes, I'm available for in-person interviews at Chennai","Not Available",IF($Z472&lt;&gt;"","Panel Details","Followup"))))</f>
        <v/>
      </c>
      <c r="E472" s="46" t="str">
        <f aca="false">IF($H472="","",IF(SUMPRODUCT(($H$4:$H$503=$H472)*(($G$4:$G$503&gt;$G472)+($G$4:$G$503=$G472)*($F$4:$F$503&gt;$F472)))=0,"Yes","No"))</f>
        <v/>
      </c>
      <c r="F472" s="47" t="str">
        <f aca="false">IF('Survey Response'!$D470="","",INT('Survey Response'!$A470))</f>
        <v/>
      </c>
      <c r="G472" s="46" t="str">
        <f aca="false">IF('Survey Response'!$D470="","",'Survey Response'!$C470)</f>
        <v/>
      </c>
      <c r="H472" s="46" t="str">
        <f aca="false">IF('Survey Response'!$D470="","",LOWER(TRIM('Survey Response'!$D470)))</f>
        <v/>
      </c>
      <c r="I472" s="46" t="str">
        <f aca="false">IF($H472="","",'Survey Response'!$I470)</f>
        <v/>
      </c>
      <c r="J472" s="46" t="str">
        <f aca="false">IF($H472="","",'Survey Response'!$K470)</f>
        <v/>
      </c>
      <c r="K472" s="46" t="str">
        <f aca="false">IF($J472="","",IF(COUNTIF('Skill Mapping'!$A$2:$A$7,TRIM($J472))=0,"",INDEX('Skill Mapping'!$B$2:$B$7,MATCH(TRIM($J472),'Skill Mapping'!$A$2:$A$7,0))))</f>
        <v/>
      </c>
      <c r="L472" s="46" t="str">
        <f aca="false">IF($H472="","",'Survey Response'!$L470)</f>
        <v/>
      </c>
      <c r="M472" s="46" t="str">
        <f aca="false">IF($L472="","",IF(COUNTIF('Skill Mapping'!$A$2:$A$7,TRIM($L472))=0,"",INDEX('Skill Mapping'!$B$2:$B$7,MATCH(TRIM($L472),'Skill Mapping'!$A$2:$A$7,0))))</f>
        <v/>
      </c>
      <c r="N472" s="46" t="str">
        <f aca="false">IF($H472="","",'Survey Response'!$M470)</f>
        <v/>
      </c>
      <c r="O472" s="46" t="str">
        <f aca="false">IF($H472="","",IF('Survey Response'!$M470="Manager","R2","R1"))</f>
        <v/>
      </c>
      <c r="P472" s="46" t="str">
        <f aca="false">IF($K472="","No",IF(COUNTIFS(MasterPanel!$B:$B,$H472,MasterPanel!$I:$I,$K472,MasterPanel!$K:$K,"Y")&gt;0,"Yes","No"))</f>
        <v>No</v>
      </c>
      <c r="Q472" s="46" t="n">
        <f aca="false">IF($K472="",0,IF(COUNTIF('Gap Sheet'!$A$6:$A$11,TRIM($J472))=0,0,IF($O472="R1",INDEX('Gap Sheet'!$C$6:$C$11,MATCH(TRIM($J472),'Gap Sheet'!$A$6:$A$11,0)),INDEX('Gap Sheet'!$G$6:$G$11,MATCH(TRIM($J472),'Gap Sheet'!$A$6:$A$11,0)))))</f>
        <v>0</v>
      </c>
      <c r="R472" s="46" t="str">
        <f aca="false">IF($K472="","",$K472&amp;"|"&amp;$O472)</f>
        <v/>
      </c>
      <c r="S472" s="46" t="n">
        <f aca="false">IF($R472="",0,COUNTIF($AA$4:$AA471,$R472))</f>
        <v>0</v>
      </c>
      <c r="T472" s="46" t="str">
        <f aca="false">IF(OR($I472&lt;&gt;"Yes, I'm available for in-person interviews at Chennai",$E472&lt;&gt;"Yes",$P472&lt;&gt;"Yes"),"No",IF(($Q472-$S472)&gt;0,"Yes","No"))</f>
        <v>No</v>
      </c>
      <c r="U472" s="46" t="str">
        <f aca="false">IF($M472="","No",IF(COUNTIFS(MasterPanel!$B:$B,$H472,MasterPanel!$I:$I,$M472,MasterPanel!$K:$K,"Y")&gt;0,"Yes","No"))</f>
        <v>No</v>
      </c>
      <c r="V472" s="46" t="n">
        <f aca="false">IF($M472="",0,IF(COUNTIF('Gap Sheet'!$A$6:$A$11,TRIM($L472))=0,0,IF($O472="R1",INDEX('Gap Sheet'!$C$6:$C$11,MATCH(TRIM($L472),'Gap Sheet'!$A$6:$A$11,0)),INDEX('Gap Sheet'!$G$6:$G$11,MATCH(TRIM($L472),'Gap Sheet'!$A$6:$A$11,0)))))</f>
        <v>0</v>
      </c>
      <c r="W472" s="46" t="str">
        <f aca="false">IF($M472="","",$M472&amp;"|"&amp;$O472)</f>
        <v/>
      </c>
      <c r="X472" s="46" t="n">
        <f aca="false">IF($W472="",0,COUNTIF($AA$4:$AA471,$W472))</f>
        <v>0</v>
      </c>
      <c r="Y472" s="46" t="str">
        <f aca="false">IF(OR($I472&lt;&gt;"Yes, I'm available for in-person interviews at Chennai",$E472&lt;&gt;"Yes",$T472="Yes",$U472&lt;&gt;"Yes"),"No",IF(($V472-$X472)&gt;0,"Yes","No"))</f>
        <v>No</v>
      </c>
      <c r="Z472" s="46" t="str">
        <f aca="false">IF($T472="Yes","Primary",IF($Y472="Yes","Secondary",""))</f>
        <v/>
      </c>
      <c r="AA472" s="46" t="str">
        <f aca="false">IF($Z472="Primary",$R472,IF($Z472="Secondary",$W472,""))</f>
        <v/>
      </c>
      <c r="AB472" s="46" t="str">
        <f aca="false">IF($Z472="Primary","Matched on primary skill",IF($Z472="Secondary","Matched on secondary skill (primary not approved or not required)",""))</f>
        <v/>
      </c>
      <c r="AC472" s="47" t="str">
        <f aca="false">IF($D472="Panel Details",$F472,"")</f>
        <v/>
      </c>
      <c r="AD472" s="46" t="str">
        <f aca="false">IF($D472="Panel Details",'Survey Response'!$D470,"")</f>
        <v/>
      </c>
      <c r="AE472" s="46" t="str">
        <f aca="false">IF($D472="Panel Details",'Survey Response'!$E470,"")</f>
        <v/>
      </c>
      <c r="AF472" s="46" t="str">
        <f aca="false">IF($D472="Panel Details",'Survey Response'!$G470,"")</f>
        <v/>
      </c>
      <c r="AG472" s="46" t="str">
        <f aca="false">IF($D472="Panel Details",IF($Z472="Primary",$J472,$L472),"")</f>
        <v/>
      </c>
      <c r="AH472" s="46" t="str">
        <f aca="false">IF($D472="Panel Details",IF($Z472="Primary",$L472,$J472),"")</f>
        <v/>
      </c>
      <c r="AI472" s="46" t="str">
        <f aca="false">IF($D472="Panel Details",'Survey Response'!$H470,"")</f>
        <v/>
      </c>
      <c r="AJ472" s="46" t="str">
        <f aca="false">IF($D472="Panel Details",'Survey Response'!$M470,"")</f>
        <v/>
      </c>
      <c r="AK472" s="46" t="str">
        <f aca="false">IF($D472="Panel Details",$O472,"")</f>
        <v/>
      </c>
      <c r="AL472" s="46" t="str">
        <f aca="false">IF($D472="Panel Details",8,"")</f>
        <v/>
      </c>
      <c r="AM472" s="46" t="str">
        <f aca="false">IF($D472="Panel Details",$AB472,"")</f>
        <v/>
      </c>
      <c r="AN472" s="46" t="str">
        <f aca="false">IF($D472="Panel Details","Yes","")</f>
        <v/>
      </c>
      <c r="AO472" s="46"/>
      <c r="AP472" s="46" t="str">
        <f aca="false">IF($D472="Followup",'Survey Response'!$D470,"")</f>
        <v/>
      </c>
      <c r="AQ472" s="46" t="str">
        <f aca="false">IF($D472="Followup",'Survey Response'!$E470,"")</f>
        <v/>
      </c>
      <c r="AR472" s="46" t="str">
        <f aca="false">IF($D472="Followup",'Survey Response'!$G470,"")</f>
        <v/>
      </c>
      <c r="AS472" s="46" t="str">
        <f aca="false">IF($D472="Followup",'Survey Response'!$H470,"")</f>
        <v/>
      </c>
      <c r="AT472" s="46" t="str">
        <f aca="false">IF($D472="Followup",'Survey Response'!$M470,"")</f>
        <v/>
      </c>
      <c r="AU472" s="46" t="str">
        <f aca="false">IF($D472="Followup",'Survey Response'!$K470,"")</f>
        <v/>
      </c>
      <c r="AV472" s="46" t="str">
        <f aca="false">IF($D472="Followup",'Survey Response'!$L470,"")</f>
        <v/>
      </c>
      <c r="AW472" s="46" t="str">
        <f aca="false">IF($D472="Followup",IF(AND($P472&lt;&gt;"Yes",$U472&lt;&gt;"Yes"),"Not approved for primary or secondary skill","Approved, but skill(s) no longer have capacity (fully staffed)"),"")</f>
        <v/>
      </c>
    </row>
    <row r="473" customFormat="false" ht="15" hidden="false" customHeight="true" outlineLevel="0" collapsed="false">
      <c r="A473" s="46" t="str">
        <f aca="false">IF('Survey Response'!$D471="","",'Survey Response'!$A471&amp;"|"&amp;LOWER(TRIM('Survey Response'!$D471)))</f>
        <v/>
      </c>
      <c r="B473" s="46" t="str">
        <f aca="false">IF($H473="","",$F473&amp;"|"&amp;$H473)</f>
        <v/>
      </c>
      <c r="C473" s="46" t="str">
        <f aca="false">IF($H473="","",$A473=$B473)</f>
        <v/>
      </c>
      <c r="D473" s="46" t="str">
        <f aca="false">IF($H473="","",IF($E473&lt;&gt;"Yes","Superseded",IF($I473&lt;&gt;"Yes, I'm available for in-person interviews at Chennai","Not Available",IF($Z473&lt;&gt;"","Panel Details","Followup"))))</f>
        <v/>
      </c>
      <c r="E473" s="46" t="str">
        <f aca="false">IF($H473="","",IF(SUMPRODUCT(($H$4:$H$503=$H473)*(($G$4:$G$503&gt;$G473)+($G$4:$G$503=$G473)*($F$4:$F$503&gt;$F473)))=0,"Yes","No"))</f>
        <v/>
      </c>
      <c r="F473" s="47" t="str">
        <f aca="false">IF('Survey Response'!$D471="","",INT('Survey Response'!$A471))</f>
        <v/>
      </c>
      <c r="G473" s="46" t="str">
        <f aca="false">IF('Survey Response'!$D471="","",'Survey Response'!$C471)</f>
        <v/>
      </c>
      <c r="H473" s="46" t="str">
        <f aca="false">IF('Survey Response'!$D471="","",LOWER(TRIM('Survey Response'!$D471)))</f>
        <v/>
      </c>
      <c r="I473" s="46" t="str">
        <f aca="false">IF($H473="","",'Survey Response'!$I471)</f>
        <v/>
      </c>
      <c r="J473" s="46" t="str">
        <f aca="false">IF($H473="","",'Survey Response'!$K471)</f>
        <v/>
      </c>
      <c r="K473" s="46" t="str">
        <f aca="false">IF($J473="","",IF(COUNTIF('Skill Mapping'!$A$2:$A$7,TRIM($J473))=0,"",INDEX('Skill Mapping'!$B$2:$B$7,MATCH(TRIM($J473),'Skill Mapping'!$A$2:$A$7,0))))</f>
        <v/>
      </c>
      <c r="L473" s="46" t="str">
        <f aca="false">IF($H473="","",'Survey Response'!$L471)</f>
        <v/>
      </c>
      <c r="M473" s="46" t="str">
        <f aca="false">IF($L473="","",IF(COUNTIF('Skill Mapping'!$A$2:$A$7,TRIM($L473))=0,"",INDEX('Skill Mapping'!$B$2:$B$7,MATCH(TRIM($L473),'Skill Mapping'!$A$2:$A$7,0))))</f>
        <v/>
      </c>
      <c r="N473" s="46" t="str">
        <f aca="false">IF($H473="","",'Survey Response'!$M471)</f>
        <v/>
      </c>
      <c r="O473" s="46" t="str">
        <f aca="false">IF($H473="","",IF('Survey Response'!$M471="Manager","R2","R1"))</f>
        <v/>
      </c>
      <c r="P473" s="46" t="str">
        <f aca="false">IF($K473="","No",IF(COUNTIFS(MasterPanel!$B:$B,$H473,MasterPanel!$I:$I,$K473,MasterPanel!$K:$K,"Y")&gt;0,"Yes","No"))</f>
        <v>No</v>
      </c>
      <c r="Q473" s="46" t="n">
        <f aca="false">IF($K473="",0,IF(COUNTIF('Gap Sheet'!$A$6:$A$11,TRIM($J473))=0,0,IF($O473="R1",INDEX('Gap Sheet'!$C$6:$C$11,MATCH(TRIM($J473),'Gap Sheet'!$A$6:$A$11,0)),INDEX('Gap Sheet'!$G$6:$G$11,MATCH(TRIM($J473),'Gap Sheet'!$A$6:$A$11,0)))))</f>
        <v>0</v>
      </c>
      <c r="R473" s="46" t="str">
        <f aca="false">IF($K473="","",$K473&amp;"|"&amp;$O473)</f>
        <v/>
      </c>
      <c r="S473" s="46" t="n">
        <f aca="false">IF($R473="",0,COUNTIF($AA$4:$AA472,$R473))</f>
        <v>0</v>
      </c>
      <c r="T473" s="46" t="str">
        <f aca="false">IF(OR($I473&lt;&gt;"Yes, I'm available for in-person interviews at Chennai",$E473&lt;&gt;"Yes",$P473&lt;&gt;"Yes"),"No",IF(($Q473-$S473)&gt;0,"Yes","No"))</f>
        <v>No</v>
      </c>
      <c r="U473" s="46" t="str">
        <f aca="false">IF($M473="","No",IF(COUNTIFS(MasterPanel!$B:$B,$H473,MasterPanel!$I:$I,$M473,MasterPanel!$K:$K,"Y")&gt;0,"Yes","No"))</f>
        <v>No</v>
      </c>
      <c r="V473" s="46" t="n">
        <f aca="false">IF($M473="",0,IF(COUNTIF('Gap Sheet'!$A$6:$A$11,TRIM($L473))=0,0,IF($O473="R1",INDEX('Gap Sheet'!$C$6:$C$11,MATCH(TRIM($L473),'Gap Sheet'!$A$6:$A$11,0)),INDEX('Gap Sheet'!$G$6:$G$11,MATCH(TRIM($L473),'Gap Sheet'!$A$6:$A$11,0)))))</f>
        <v>0</v>
      </c>
      <c r="W473" s="46" t="str">
        <f aca="false">IF($M473="","",$M473&amp;"|"&amp;$O473)</f>
        <v/>
      </c>
      <c r="X473" s="46" t="n">
        <f aca="false">IF($W473="",0,COUNTIF($AA$4:$AA472,$W473))</f>
        <v>0</v>
      </c>
      <c r="Y473" s="46" t="str">
        <f aca="false">IF(OR($I473&lt;&gt;"Yes, I'm available for in-person interviews at Chennai",$E473&lt;&gt;"Yes",$T473="Yes",$U473&lt;&gt;"Yes"),"No",IF(($V473-$X473)&gt;0,"Yes","No"))</f>
        <v>No</v>
      </c>
      <c r="Z473" s="46" t="str">
        <f aca="false">IF($T473="Yes","Primary",IF($Y473="Yes","Secondary",""))</f>
        <v/>
      </c>
      <c r="AA473" s="46" t="str">
        <f aca="false">IF($Z473="Primary",$R473,IF($Z473="Secondary",$W473,""))</f>
        <v/>
      </c>
      <c r="AB473" s="46" t="str">
        <f aca="false">IF($Z473="Primary","Matched on primary skill",IF($Z473="Secondary","Matched on secondary skill (primary not approved or not required)",""))</f>
        <v/>
      </c>
      <c r="AC473" s="47" t="str">
        <f aca="false">IF($D473="Panel Details",$F473,"")</f>
        <v/>
      </c>
      <c r="AD473" s="46" t="str">
        <f aca="false">IF($D473="Panel Details",'Survey Response'!$D471,"")</f>
        <v/>
      </c>
      <c r="AE473" s="46" t="str">
        <f aca="false">IF($D473="Panel Details",'Survey Response'!$E471,"")</f>
        <v/>
      </c>
      <c r="AF473" s="46" t="str">
        <f aca="false">IF($D473="Panel Details",'Survey Response'!$G471,"")</f>
        <v/>
      </c>
      <c r="AG473" s="46" t="str">
        <f aca="false">IF($D473="Panel Details",IF($Z473="Primary",$J473,$L473),"")</f>
        <v/>
      </c>
      <c r="AH473" s="46" t="str">
        <f aca="false">IF($D473="Panel Details",IF($Z473="Primary",$L473,$J473),"")</f>
        <v/>
      </c>
      <c r="AI473" s="46" t="str">
        <f aca="false">IF($D473="Panel Details",'Survey Response'!$H471,"")</f>
        <v/>
      </c>
      <c r="AJ473" s="46" t="str">
        <f aca="false">IF($D473="Panel Details",'Survey Response'!$M471,"")</f>
        <v/>
      </c>
      <c r="AK473" s="46" t="str">
        <f aca="false">IF($D473="Panel Details",$O473,"")</f>
        <v/>
      </c>
      <c r="AL473" s="46" t="str">
        <f aca="false">IF($D473="Panel Details",8,"")</f>
        <v/>
      </c>
      <c r="AM473" s="46" t="str">
        <f aca="false">IF($D473="Panel Details",$AB473,"")</f>
        <v/>
      </c>
      <c r="AN473" s="46" t="str">
        <f aca="false">IF($D473="Panel Details","Yes","")</f>
        <v/>
      </c>
      <c r="AO473" s="46"/>
      <c r="AP473" s="46" t="str">
        <f aca="false">IF($D473="Followup",'Survey Response'!$D471,"")</f>
        <v/>
      </c>
      <c r="AQ473" s="46" t="str">
        <f aca="false">IF($D473="Followup",'Survey Response'!$E471,"")</f>
        <v/>
      </c>
      <c r="AR473" s="46" t="str">
        <f aca="false">IF($D473="Followup",'Survey Response'!$G471,"")</f>
        <v/>
      </c>
      <c r="AS473" s="46" t="str">
        <f aca="false">IF($D473="Followup",'Survey Response'!$H471,"")</f>
        <v/>
      </c>
      <c r="AT473" s="46" t="str">
        <f aca="false">IF($D473="Followup",'Survey Response'!$M471,"")</f>
        <v/>
      </c>
      <c r="AU473" s="46" t="str">
        <f aca="false">IF($D473="Followup",'Survey Response'!$K471,"")</f>
        <v/>
      </c>
      <c r="AV473" s="46" t="str">
        <f aca="false">IF($D473="Followup",'Survey Response'!$L471,"")</f>
        <v/>
      </c>
      <c r="AW473" s="46" t="str">
        <f aca="false">IF($D473="Followup",IF(AND($P473&lt;&gt;"Yes",$U473&lt;&gt;"Yes"),"Not approved for primary or secondary skill","Approved, but skill(s) no longer have capacity (fully staffed)"),"")</f>
        <v/>
      </c>
    </row>
    <row r="474" customFormat="false" ht="15" hidden="false" customHeight="true" outlineLevel="0" collapsed="false">
      <c r="A474" s="46" t="str">
        <f aca="false">IF('Survey Response'!$D472="","",'Survey Response'!$A472&amp;"|"&amp;LOWER(TRIM('Survey Response'!$D472)))</f>
        <v/>
      </c>
      <c r="B474" s="46" t="str">
        <f aca="false">IF($H474="","",$F474&amp;"|"&amp;$H474)</f>
        <v/>
      </c>
      <c r="C474" s="46" t="str">
        <f aca="false">IF($H474="","",$A474=$B474)</f>
        <v/>
      </c>
      <c r="D474" s="46" t="str">
        <f aca="false">IF($H474="","",IF($E474&lt;&gt;"Yes","Superseded",IF($I474&lt;&gt;"Yes, I'm available for in-person interviews at Chennai","Not Available",IF($Z474&lt;&gt;"","Panel Details","Followup"))))</f>
        <v/>
      </c>
      <c r="E474" s="46" t="str">
        <f aca="false">IF($H474="","",IF(SUMPRODUCT(($H$4:$H$503=$H474)*(($G$4:$G$503&gt;$G474)+($G$4:$G$503=$G474)*($F$4:$F$503&gt;$F474)))=0,"Yes","No"))</f>
        <v/>
      </c>
      <c r="F474" s="47" t="str">
        <f aca="false">IF('Survey Response'!$D472="","",INT('Survey Response'!$A472))</f>
        <v/>
      </c>
      <c r="G474" s="46" t="str">
        <f aca="false">IF('Survey Response'!$D472="","",'Survey Response'!$C472)</f>
        <v/>
      </c>
      <c r="H474" s="46" t="str">
        <f aca="false">IF('Survey Response'!$D472="","",LOWER(TRIM('Survey Response'!$D472)))</f>
        <v/>
      </c>
      <c r="I474" s="46" t="str">
        <f aca="false">IF($H474="","",'Survey Response'!$I472)</f>
        <v/>
      </c>
      <c r="J474" s="46" t="str">
        <f aca="false">IF($H474="","",'Survey Response'!$K472)</f>
        <v/>
      </c>
      <c r="K474" s="46" t="str">
        <f aca="false">IF($J474="","",IF(COUNTIF('Skill Mapping'!$A$2:$A$7,TRIM($J474))=0,"",INDEX('Skill Mapping'!$B$2:$B$7,MATCH(TRIM($J474),'Skill Mapping'!$A$2:$A$7,0))))</f>
        <v/>
      </c>
      <c r="L474" s="46" t="str">
        <f aca="false">IF($H474="","",'Survey Response'!$L472)</f>
        <v/>
      </c>
      <c r="M474" s="46" t="str">
        <f aca="false">IF($L474="","",IF(COUNTIF('Skill Mapping'!$A$2:$A$7,TRIM($L474))=0,"",INDEX('Skill Mapping'!$B$2:$B$7,MATCH(TRIM($L474),'Skill Mapping'!$A$2:$A$7,0))))</f>
        <v/>
      </c>
      <c r="N474" s="46" t="str">
        <f aca="false">IF($H474="","",'Survey Response'!$M472)</f>
        <v/>
      </c>
      <c r="O474" s="46" t="str">
        <f aca="false">IF($H474="","",IF('Survey Response'!$M472="Manager","R2","R1"))</f>
        <v/>
      </c>
      <c r="P474" s="46" t="str">
        <f aca="false">IF($K474="","No",IF(COUNTIFS(MasterPanel!$B:$B,$H474,MasterPanel!$I:$I,$K474,MasterPanel!$K:$K,"Y")&gt;0,"Yes","No"))</f>
        <v>No</v>
      </c>
      <c r="Q474" s="46" t="n">
        <f aca="false">IF($K474="",0,IF(COUNTIF('Gap Sheet'!$A$6:$A$11,TRIM($J474))=0,0,IF($O474="R1",INDEX('Gap Sheet'!$C$6:$C$11,MATCH(TRIM($J474),'Gap Sheet'!$A$6:$A$11,0)),INDEX('Gap Sheet'!$G$6:$G$11,MATCH(TRIM($J474),'Gap Sheet'!$A$6:$A$11,0)))))</f>
        <v>0</v>
      </c>
      <c r="R474" s="46" t="str">
        <f aca="false">IF($K474="","",$K474&amp;"|"&amp;$O474)</f>
        <v/>
      </c>
      <c r="S474" s="46" t="n">
        <f aca="false">IF($R474="",0,COUNTIF($AA$4:$AA473,$R474))</f>
        <v>0</v>
      </c>
      <c r="T474" s="46" t="str">
        <f aca="false">IF(OR($I474&lt;&gt;"Yes, I'm available for in-person interviews at Chennai",$E474&lt;&gt;"Yes",$P474&lt;&gt;"Yes"),"No",IF(($Q474-$S474)&gt;0,"Yes","No"))</f>
        <v>No</v>
      </c>
      <c r="U474" s="46" t="str">
        <f aca="false">IF($M474="","No",IF(COUNTIFS(MasterPanel!$B:$B,$H474,MasterPanel!$I:$I,$M474,MasterPanel!$K:$K,"Y")&gt;0,"Yes","No"))</f>
        <v>No</v>
      </c>
      <c r="V474" s="46" t="n">
        <f aca="false">IF($M474="",0,IF(COUNTIF('Gap Sheet'!$A$6:$A$11,TRIM($L474))=0,0,IF($O474="R1",INDEX('Gap Sheet'!$C$6:$C$11,MATCH(TRIM($L474),'Gap Sheet'!$A$6:$A$11,0)),INDEX('Gap Sheet'!$G$6:$G$11,MATCH(TRIM($L474),'Gap Sheet'!$A$6:$A$11,0)))))</f>
        <v>0</v>
      </c>
      <c r="W474" s="46" t="str">
        <f aca="false">IF($M474="","",$M474&amp;"|"&amp;$O474)</f>
        <v/>
      </c>
      <c r="X474" s="46" t="n">
        <f aca="false">IF($W474="",0,COUNTIF($AA$4:$AA473,$W474))</f>
        <v>0</v>
      </c>
      <c r="Y474" s="46" t="str">
        <f aca="false">IF(OR($I474&lt;&gt;"Yes, I'm available for in-person interviews at Chennai",$E474&lt;&gt;"Yes",$T474="Yes",$U474&lt;&gt;"Yes"),"No",IF(($V474-$X474)&gt;0,"Yes","No"))</f>
        <v>No</v>
      </c>
      <c r="Z474" s="46" t="str">
        <f aca="false">IF($T474="Yes","Primary",IF($Y474="Yes","Secondary",""))</f>
        <v/>
      </c>
      <c r="AA474" s="46" t="str">
        <f aca="false">IF($Z474="Primary",$R474,IF($Z474="Secondary",$W474,""))</f>
        <v/>
      </c>
      <c r="AB474" s="46" t="str">
        <f aca="false">IF($Z474="Primary","Matched on primary skill",IF($Z474="Secondary","Matched on secondary skill (primary not approved or not required)",""))</f>
        <v/>
      </c>
      <c r="AC474" s="47" t="str">
        <f aca="false">IF($D474="Panel Details",$F474,"")</f>
        <v/>
      </c>
      <c r="AD474" s="46" t="str">
        <f aca="false">IF($D474="Panel Details",'Survey Response'!$D472,"")</f>
        <v/>
      </c>
      <c r="AE474" s="46" t="str">
        <f aca="false">IF($D474="Panel Details",'Survey Response'!$E472,"")</f>
        <v/>
      </c>
      <c r="AF474" s="46" t="str">
        <f aca="false">IF($D474="Panel Details",'Survey Response'!$G472,"")</f>
        <v/>
      </c>
      <c r="AG474" s="46" t="str">
        <f aca="false">IF($D474="Panel Details",IF($Z474="Primary",$J474,$L474),"")</f>
        <v/>
      </c>
      <c r="AH474" s="46" t="str">
        <f aca="false">IF($D474="Panel Details",IF($Z474="Primary",$L474,$J474),"")</f>
        <v/>
      </c>
      <c r="AI474" s="46" t="str">
        <f aca="false">IF($D474="Panel Details",'Survey Response'!$H472,"")</f>
        <v/>
      </c>
      <c r="AJ474" s="46" t="str">
        <f aca="false">IF($D474="Panel Details",'Survey Response'!$M472,"")</f>
        <v/>
      </c>
      <c r="AK474" s="46" t="str">
        <f aca="false">IF($D474="Panel Details",$O474,"")</f>
        <v/>
      </c>
      <c r="AL474" s="46" t="str">
        <f aca="false">IF($D474="Panel Details",8,"")</f>
        <v/>
      </c>
      <c r="AM474" s="46" t="str">
        <f aca="false">IF($D474="Panel Details",$AB474,"")</f>
        <v/>
      </c>
      <c r="AN474" s="46" t="str">
        <f aca="false">IF($D474="Panel Details","Yes","")</f>
        <v/>
      </c>
      <c r="AO474" s="46"/>
      <c r="AP474" s="46" t="str">
        <f aca="false">IF($D474="Followup",'Survey Response'!$D472,"")</f>
        <v/>
      </c>
      <c r="AQ474" s="46" t="str">
        <f aca="false">IF($D474="Followup",'Survey Response'!$E472,"")</f>
        <v/>
      </c>
      <c r="AR474" s="46" t="str">
        <f aca="false">IF($D474="Followup",'Survey Response'!$G472,"")</f>
        <v/>
      </c>
      <c r="AS474" s="46" t="str">
        <f aca="false">IF($D474="Followup",'Survey Response'!$H472,"")</f>
        <v/>
      </c>
      <c r="AT474" s="46" t="str">
        <f aca="false">IF($D474="Followup",'Survey Response'!$M472,"")</f>
        <v/>
      </c>
      <c r="AU474" s="46" t="str">
        <f aca="false">IF($D474="Followup",'Survey Response'!$K472,"")</f>
        <v/>
      </c>
      <c r="AV474" s="46" t="str">
        <f aca="false">IF($D474="Followup",'Survey Response'!$L472,"")</f>
        <v/>
      </c>
      <c r="AW474" s="46" t="str">
        <f aca="false">IF($D474="Followup",IF(AND($P474&lt;&gt;"Yes",$U474&lt;&gt;"Yes"),"Not approved for primary or secondary skill","Approved, but skill(s) no longer have capacity (fully staffed)"),"")</f>
        <v/>
      </c>
    </row>
    <row r="475" customFormat="false" ht="15" hidden="false" customHeight="true" outlineLevel="0" collapsed="false">
      <c r="A475" s="46" t="str">
        <f aca="false">IF('Survey Response'!$D473="","",'Survey Response'!$A473&amp;"|"&amp;LOWER(TRIM('Survey Response'!$D473)))</f>
        <v/>
      </c>
      <c r="B475" s="46" t="str">
        <f aca="false">IF($H475="","",$F475&amp;"|"&amp;$H475)</f>
        <v/>
      </c>
      <c r="C475" s="46" t="str">
        <f aca="false">IF($H475="","",$A475=$B475)</f>
        <v/>
      </c>
      <c r="D475" s="46" t="str">
        <f aca="false">IF($H475="","",IF($E475&lt;&gt;"Yes","Superseded",IF($I475&lt;&gt;"Yes, I'm available for in-person interviews at Chennai","Not Available",IF($Z475&lt;&gt;"","Panel Details","Followup"))))</f>
        <v/>
      </c>
      <c r="E475" s="46" t="str">
        <f aca="false">IF($H475="","",IF(SUMPRODUCT(($H$4:$H$503=$H475)*(($G$4:$G$503&gt;$G475)+($G$4:$G$503=$G475)*($F$4:$F$503&gt;$F475)))=0,"Yes","No"))</f>
        <v/>
      </c>
      <c r="F475" s="47" t="str">
        <f aca="false">IF('Survey Response'!$D473="","",INT('Survey Response'!$A473))</f>
        <v/>
      </c>
      <c r="G475" s="46" t="str">
        <f aca="false">IF('Survey Response'!$D473="","",'Survey Response'!$C473)</f>
        <v/>
      </c>
      <c r="H475" s="46" t="str">
        <f aca="false">IF('Survey Response'!$D473="","",LOWER(TRIM('Survey Response'!$D473)))</f>
        <v/>
      </c>
      <c r="I475" s="46" t="str">
        <f aca="false">IF($H475="","",'Survey Response'!$I473)</f>
        <v/>
      </c>
      <c r="J475" s="46" t="str">
        <f aca="false">IF($H475="","",'Survey Response'!$K473)</f>
        <v/>
      </c>
      <c r="K475" s="46" t="str">
        <f aca="false">IF($J475="","",IF(COUNTIF('Skill Mapping'!$A$2:$A$7,TRIM($J475))=0,"",INDEX('Skill Mapping'!$B$2:$B$7,MATCH(TRIM($J475),'Skill Mapping'!$A$2:$A$7,0))))</f>
        <v/>
      </c>
      <c r="L475" s="46" t="str">
        <f aca="false">IF($H475="","",'Survey Response'!$L473)</f>
        <v/>
      </c>
      <c r="M475" s="46" t="str">
        <f aca="false">IF($L475="","",IF(COUNTIF('Skill Mapping'!$A$2:$A$7,TRIM($L475))=0,"",INDEX('Skill Mapping'!$B$2:$B$7,MATCH(TRIM($L475),'Skill Mapping'!$A$2:$A$7,0))))</f>
        <v/>
      </c>
      <c r="N475" s="46" t="str">
        <f aca="false">IF($H475="","",'Survey Response'!$M473)</f>
        <v/>
      </c>
      <c r="O475" s="46" t="str">
        <f aca="false">IF($H475="","",IF('Survey Response'!$M473="Manager","R2","R1"))</f>
        <v/>
      </c>
      <c r="P475" s="46" t="str">
        <f aca="false">IF($K475="","No",IF(COUNTIFS(MasterPanel!$B:$B,$H475,MasterPanel!$I:$I,$K475,MasterPanel!$K:$K,"Y")&gt;0,"Yes","No"))</f>
        <v>No</v>
      </c>
      <c r="Q475" s="46" t="n">
        <f aca="false">IF($K475="",0,IF(COUNTIF('Gap Sheet'!$A$6:$A$11,TRIM($J475))=0,0,IF($O475="R1",INDEX('Gap Sheet'!$C$6:$C$11,MATCH(TRIM($J475),'Gap Sheet'!$A$6:$A$11,0)),INDEX('Gap Sheet'!$G$6:$G$11,MATCH(TRIM($J475),'Gap Sheet'!$A$6:$A$11,0)))))</f>
        <v>0</v>
      </c>
      <c r="R475" s="46" t="str">
        <f aca="false">IF($K475="","",$K475&amp;"|"&amp;$O475)</f>
        <v/>
      </c>
      <c r="S475" s="46" t="n">
        <f aca="false">IF($R475="",0,COUNTIF($AA$4:$AA474,$R475))</f>
        <v>0</v>
      </c>
      <c r="T475" s="46" t="str">
        <f aca="false">IF(OR($I475&lt;&gt;"Yes, I'm available for in-person interviews at Chennai",$E475&lt;&gt;"Yes",$P475&lt;&gt;"Yes"),"No",IF(($Q475-$S475)&gt;0,"Yes","No"))</f>
        <v>No</v>
      </c>
      <c r="U475" s="46" t="str">
        <f aca="false">IF($M475="","No",IF(COUNTIFS(MasterPanel!$B:$B,$H475,MasterPanel!$I:$I,$M475,MasterPanel!$K:$K,"Y")&gt;0,"Yes","No"))</f>
        <v>No</v>
      </c>
      <c r="V475" s="46" t="n">
        <f aca="false">IF($M475="",0,IF(COUNTIF('Gap Sheet'!$A$6:$A$11,TRIM($L475))=0,0,IF($O475="R1",INDEX('Gap Sheet'!$C$6:$C$11,MATCH(TRIM($L475),'Gap Sheet'!$A$6:$A$11,0)),INDEX('Gap Sheet'!$G$6:$G$11,MATCH(TRIM($L475),'Gap Sheet'!$A$6:$A$11,0)))))</f>
        <v>0</v>
      </c>
      <c r="W475" s="46" t="str">
        <f aca="false">IF($M475="","",$M475&amp;"|"&amp;$O475)</f>
        <v/>
      </c>
      <c r="X475" s="46" t="n">
        <f aca="false">IF($W475="",0,COUNTIF($AA$4:$AA474,$W475))</f>
        <v>0</v>
      </c>
      <c r="Y475" s="46" t="str">
        <f aca="false">IF(OR($I475&lt;&gt;"Yes, I'm available for in-person interviews at Chennai",$E475&lt;&gt;"Yes",$T475="Yes",$U475&lt;&gt;"Yes"),"No",IF(($V475-$X475)&gt;0,"Yes","No"))</f>
        <v>No</v>
      </c>
      <c r="Z475" s="46" t="str">
        <f aca="false">IF($T475="Yes","Primary",IF($Y475="Yes","Secondary",""))</f>
        <v/>
      </c>
      <c r="AA475" s="46" t="str">
        <f aca="false">IF($Z475="Primary",$R475,IF($Z475="Secondary",$W475,""))</f>
        <v/>
      </c>
      <c r="AB475" s="46" t="str">
        <f aca="false">IF($Z475="Primary","Matched on primary skill",IF($Z475="Secondary","Matched on secondary skill (primary not approved or not required)",""))</f>
        <v/>
      </c>
      <c r="AC475" s="47" t="str">
        <f aca="false">IF($D475="Panel Details",$F475,"")</f>
        <v/>
      </c>
      <c r="AD475" s="46" t="str">
        <f aca="false">IF($D475="Panel Details",'Survey Response'!$D473,"")</f>
        <v/>
      </c>
      <c r="AE475" s="46" t="str">
        <f aca="false">IF($D475="Panel Details",'Survey Response'!$E473,"")</f>
        <v/>
      </c>
      <c r="AF475" s="46" t="str">
        <f aca="false">IF($D475="Panel Details",'Survey Response'!$G473,"")</f>
        <v/>
      </c>
      <c r="AG475" s="46" t="str">
        <f aca="false">IF($D475="Panel Details",IF($Z475="Primary",$J475,$L475),"")</f>
        <v/>
      </c>
      <c r="AH475" s="46" t="str">
        <f aca="false">IF($D475="Panel Details",IF($Z475="Primary",$L475,$J475),"")</f>
        <v/>
      </c>
      <c r="AI475" s="46" t="str">
        <f aca="false">IF($D475="Panel Details",'Survey Response'!$H473,"")</f>
        <v/>
      </c>
      <c r="AJ475" s="46" t="str">
        <f aca="false">IF($D475="Panel Details",'Survey Response'!$M473,"")</f>
        <v/>
      </c>
      <c r="AK475" s="46" t="str">
        <f aca="false">IF($D475="Panel Details",$O475,"")</f>
        <v/>
      </c>
      <c r="AL475" s="46" t="str">
        <f aca="false">IF($D475="Panel Details",8,"")</f>
        <v/>
      </c>
      <c r="AM475" s="46" t="str">
        <f aca="false">IF($D475="Panel Details",$AB475,"")</f>
        <v/>
      </c>
      <c r="AN475" s="46" t="str">
        <f aca="false">IF($D475="Panel Details","Yes","")</f>
        <v/>
      </c>
      <c r="AO475" s="46"/>
      <c r="AP475" s="46" t="str">
        <f aca="false">IF($D475="Followup",'Survey Response'!$D473,"")</f>
        <v/>
      </c>
      <c r="AQ475" s="46" t="str">
        <f aca="false">IF($D475="Followup",'Survey Response'!$E473,"")</f>
        <v/>
      </c>
      <c r="AR475" s="46" t="str">
        <f aca="false">IF($D475="Followup",'Survey Response'!$G473,"")</f>
        <v/>
      </c>
      <c r="AS475" s="46" t="str">
        <f aca="false">IF($D475="Followup",'Survey Response'!$H473,"")</f>
        <v/>
      </c>
      <c r="AT475" s="46" t="str">
        <f aca="false">IF($D475="Followup",'Survey Response'!$M473,"")</f>
        <v/>
      </c>
      <c r="AU475" s="46" t="str">
        <f aca="false">IF($D475="Followup",'Survey Response'!$K473,"")</f>
        <v/>
      </c>
      <c r="AV475" s="46" t="str">
        <f aca="false">IF($D475="Followup",'Survey Response'!$L473,"")</f>
        <v/>
      </c>
      <c r="AW475" s="46" t="str">
        <f aca="false">IF($D475="Followup",IF(AND($P475&lt;&gt;"Yes",$U475&lt;&gt;"Yes"),"Not approved for primary or secondary skill","Approved, but skill(s) no longer have capacity (fully staffed)"),"")</f>
        <v/>
      </c>
    </row>
    <row r="476" customFormat="false" ht="15" hidden="false" customHeight="true" outlineLevel="0" collapsed="false">
      <c r="A476" s="46" t="str">
        <f aca="false">IF('Survey Response'!$D474="","",'Survey Response'!$A474&amp;"|"&amp;LOWER(TRIM('Survey Response'!$D474)))</f>
        <v/>
      </c>
      <c r="B476" s="46" t="str">
        <f aca="false">IF($H476="","",$F476&amp;"|"&amp;$H476)</f>
        <v/>
      </c>
      <c r="C476" s="46" t="str">
        <f aca="false">IF($H476="","",$A476=$B476)</f>
        <v/>
      </c>
      <c r="D476" s="46" t="str">
        <f aca="false">IF($H476="","",IF($E476&lt;&gt;"Yes","Superseded",IF($I476&lt;&gt;"Yes, I'm available for in-person interviews at Chennai","Not Available",IF($Z476&lt;&gt;"","Panel Details","Followup"))))</f>
        <v/>
      </c>
      <c r="E476" s="46" t="str">
        <f aca="false">IF($H476="","",IF(SUMPRODUCT(($H$4:$H$503=$H476)*(($G$4:$G$503&gt;$G476)+($G$4:$G$503=$G476)*($F$4:$F$503&gt;$F476)))=0,"Yes","No"))</f>
        <v/>
      </c>
      <c r="F476" s="47" t="str">
        <f aca="false">IF('Survey Response'!$D474="","",INT('Survey Response'!$A474))</f>
        <v/>
      </c>
      <c r="G476" s="46" t="str">
        <f aca="false">IF('Survey Response'!$D474="","",'Survey Response'!$C474)</f>
        <v/>
      </c>
      <c r="H476" s="46" t="str">
        <f aca="false">IF('Survey Response'!$D474="","",LOWER(TRIM('Survey Response'!$D474)))</f>
        <v/>
      </c>
      <c r="I476" s="46" t="str">
        <f aca="false">IF($H476="","",'Survey Response'!$I474)</f>
        <v/>
      </c>
      <c r="J476" s="46" t="str">
        <f aca="false">IF($H476="","",'Survey Response'!$K474)</f>
        <v/>
      </c>
      <c r="K476" s="46" t="str">
        <f aca="false">IF($J476="","",IF(COUNTIF('Skill Mapping'!$A$2:$A$7,TRIM($J476))=0,"",INDEX('Skill Mapping'!$B$2:$B$7,MATCH(TRIM($J476),'Skill Mapping'!$A$2:$A$7,0))))</f>
        <v/>
      </c>
      <c r="L476" s="46" t="str">
        <f aca="false">IF($H476="","",'Survey Response'!$L474)</f>
        <v/>
      </c>
      <c r="M476" s="46" t="str">
        <f aca="false">IF($L476="","",IF(COUNTIF('Skill Mapping'!$A$2:$A$7,TRIM($L476))=0,"",INDEX('Skill Mapping'!$B$2:$B$7,MATCH(TRIM($L476),'Skill Mapping'!$A$2:$A$7,0))))</f>
        <v/>
      </c>
      <c r="N476" s="46" t="str">
        <f aca="false">IF($H476="","",'Survey Response'!$M474)</f>
        <v/>
      </c>
      <c r="O476" s="46" t="str">
        <f aca="false">IF($H476="","",IF('Survey Response'!$M474="Manager","R2","R1"))</f>
        <v/>
      </c>
      <c r="P476" s="46" t="str">
        <f aca="false">IF($K476="","No",IF(COUNTIFS(MasterPanel!$B:$B,$H476,MasterPanel!$I:$I,$K476,MasterPanel!$K:$K,"Y")&gt;0,"Yes","No"))</f>
        <v>No</v>
      </c>
      <c r="Q476" s="46" t="n">
        <f aca="false">IF($K476="",0,IF(COUNTIF('Gap Sheet'!$A$6:$A$11,TRIM($J476))=0,0,IF($O476="R1",INDEX('Gap Sheet'!$C$6:$C$11,MATCH(TRIM($J476),'Gap Sheet'!$A$6:$A$11,0)),INDEX('Gap Sheet'!$G$6:$G$11,MATCH(TRIM($J476),'Gap Sheet'!$A$6:$A$11,0)))))</f>
        <v>0</v>
      </c>
      <c r="R476" s="46" t="str">
        <f aca="false">IF($K476="","",$K476&amp;"|"&amp;$O476)</f>
        <v/>
      </c>
      <c r="S476" s="46" t="n">
        <f aca="false">IF($R476="",0,COUNTIF($AA$4:$AA475,$R476))</f>
        <v>0</v>
      </c>
      <c r="T476" s="46" t="str">
        <f aca="false">IF(OR($I476&lt;&gt;"Yes, I'm available for in-person interviews at Chennai",$E476&lt;&gt;"Yes",$P476&lt;&gt;"Yes"),"No",IF(($Q476-$S476)&gt;0,"Yes","No"))</f>
        <v>No</v>
      </c>
      <c r="U476" s="46" t="str">
        <f aca="false">IF($M476="","No",IF(COUNTIFS(MasterPanel!$B:$B,$H476,MasterPanel!$I:$I,$M476,MasterPanel!$K:$K,"Y")&gt;0,"Yes","No"))</f>
        <v>No</v>
      </c>
      <c r="V476" s="46" t="n">
        <f aca="false">IF($M476="",0,IF(COUNTIF('Gap Sheet'!$A$6:$A$11,TRIM($L476))=0,0,IF($O476="R1",INDEX('Gap Sheet'!$C$6:$C$11,MATCH(TRIM($L476),'Gap Sheet'!$A$6:$A$11,0)),INDEX('Gap Sheet'!$G$6:$G$11,MATCH(TRIM($L476),'Gap Sheet'!$A$6:$A$11,0)))))</f>
        <v>0</v>
      </c>
      <c r="W476" s="46" t="str">
        <f aca="false">IF($M476="","",$M476&amp;"|"&amp;$O476)</f>
        <v/>
      </c>
      <c r="X476" s="46" t="n">
        <f aca="false">IF($W476="",0,COUNTIF($AA$4:$AA475,$W476))</f>
        <v>0</v>
      </c>
      <c r="Y476" s="46" t="str">
        <f aca="false">IF(OR($I476&lt;&gt;"Yes, I'm available for in-person interviews at Chennai",$E476&lt;&gt;"Yes",$T476="Yes",$U476&lt;&gt;"Yes"),"No",IF(($V476-$X476)&gt;0,"Yes","No"))</f>
        <v>No</v>
      </c>
      <c r="Z476" s="46" t="str">
        <f aca="false">IF($T476="Yes","Primary",IF($Y476="Yes","Secondary",""))</f>
        <v/>
      </c>
      <c r="AA476" s="46" t="str">
        <f aca="false">IF($Z476="Primary",$R476,IF($Z476="Secondary",$W476,""))</f>
        <v/>
      </c>
      <c r="AB476" s="46" t="str">
        <f aca="false">IF($Z476="Primary","Matched on primary skill",IF($Z476="Secondary","Matched on secondary skill (primary not approved or not required)",""))</f>
        <v/>
      </c>
      <c r="AC476" s="47" t="str">
        <f aca="false">IF($D476="Panel Details",$F476,"")</f>
        <v/>
      </c>
      <c r="AD476" s="46" t="str">
        <f aca="false">IF($D476="Panel Details",'Survey Response'!$D474,"")</f>
        <v/>
      </c>
      <c r="AE476" s="46" t="str">
        <f aca="false">IF($D476="Panel Details",'Survey Response'!$E474,"")</f>
        <v/>
      </c>
      <c r="AF476" s="46" t="str">
        <f aca="false">IF($D476="Panel Details",'Survey Response'!$G474,"")</f>
        <v/>
      </c>
      <c r="AG476" s="46" t="str">
        <f aca="false">IF($D476="Panel Details",IF($Z476="Primary",$J476,$L476),"")</f>
        <v/>
      </c>
      <c r="AH476" s="46" t="str">
        <f aca="false">IF($D476="Panel Details",IF($Z476="Primary",$L476,$J476),"")</f>
        <v/>
      </c>
      <c r="AI476" s="46" t="str">
        <f aca="false">IF($D476="Panel Details",'Survey Response'!$H474,"")</f>
        <v/>
      </c>
      <c r="AJ476" s="46" t="str">
        <f aca="false">IF($D476="Panel Details",'Survey Response'!$M474,"")</f>
        <v/>
      </c>
      <c r="AK476" s="46" t="str">
        <f aca="false">IF($D476="Panel Details",$O476,"")</f>
        <v/>
      </c>
      <c r="AL476" s="46" t="str">
        <f aca="false">IF($D476="Panel Details",8,"")</f>
        <v/>
      </c>
      <c r="AM476" s="46" t="str">
        <f aca="false">IF($D476="Panel Details",$AB476,"")</f>
        <v/>
      </c>
      <c r="AN476" s="46" t="str">
        <f aca="false">IF($D476="Panel Details","Yes","")</f>
        <v/>
      </c>
      <c r="AO476" s="46"/>
      <c r="AP476" s="46" t="str">
        <f aca="false">IF($D476="Followup",'Survey Response'!$D474,"")</f>
        <v/>
      </c>
      <c r="AQ476" s="46" t="str">
        <f aca="false">IF($D476="Followup",'Survey Response'!$E474,"")</f>
        <v/>
      </c>
      <c r="AR476" s="46" t="str">
        <f aca="false">IF($D476="Followup",'Survey Response'!$G474,"")</f>
        <v/>
      </c>
      <c r="AS476" s="46" t="str">
        <f aca="false">IF($D476="Followup",'Survey Response'!$H474,"")</f>
        <v/>
      </c>
      <c r="AT476" s="46" t="str">
        <f aca="false">IF($D476="Followup",'Survey Response'!$M474,"")</f>
        <v/>
      </c>
      <c r="AU476" s="46" t="str">
        <f aca="false">IF($D476="Followup",'Survey Response'!$K474,"")</f>
        <v/>
      </c>
      <c r="AV476" s="46" t="str">
        <f aca="false">IF($D476="Followup",'Survey Response'!$L474,"")</f>
        <v/>
      </c>
      <c r="AW476" s="46" t="str">
        <f aca="false">IF($D476="Followup",IF(AND($P476&lt;&gt;"Yes",$U476&lt;&gt;"Yes"),"Not approved for primary or secondary skill","Approved, but skill(s) no longer have capacity (fully staffed)"),"")</f>
        <v/>
      </c>
    </row>
    <row r="477" customFormat="false" ht="15" hidden="false" customHeight="true" outlineLevel="0" collapsed="false">
      <c r="A477" s="46" t="str">
        <f aca="false">IF('Survey Response'!$D475="","",'Survey Response'!$A475&amp;"|"&amp;LOWER(TRIM('Survey Response'!$D475)))</f>
        <v/>
      </c>
      <c r="B477" s="46" t="str">
        <f aca="false">IF($H477="","",$F477&amp;"|"&amp;$H477)</f>
        <v/>
      </c>
      <c r="C477" s="46" t="str">
        <f aca="false">IF($H477="","",$A477=$B477)</f>
        <v/>
      </c>
      <c r="D477" s="46" t="str">
        <f aca="false">IF($H477="","",IF($E477&lt;&gt;"Yes","Superseded",IF($I477&lt;&gt;"Yes, I'm available for in-person interviews at Chennai","Not Available",IF($Z477&lt;&gt;"","Panel Details","Followup"))))</f>
        <v/>
      </c>
      <c r="E477" s="46" t="str">
        <f aca="false">IF($H477="","",IF(SUMPRODUCT(($H$4:$H$503=$H477)*(($G$4:$G$503&gt;$G477)+($G$4:$G$503=$G477)*($F$4:$F$503&gt;$F477)))=0,"Yes","No"))</f>
        <v/>
      </c>
      <c r="F477" s="47" t="str">
        <f aca="false">IF('Survey Response'!$D475="","",INT('Survey Response'!$A475))</f>
        <v/>
      </c>
      <c r="G477" s="46" t="str">
        <f aca="false">IF('Survey Response'!$D475="","",'Survey Response'!$C475)</f>
        <v/>
      </c>
      <c r="H477" s="46" t="str">
        <f aca="false">IF('Survey Response'!$D475="","",LOWER(TRIM('Survey Response'!$D475)))</f>
        <v/>
      </c>
      <c r="I477" s="46" t="str">
        <f aca="false">IF($H477="","",'Survey Response'!$I475)</f>
        <v/>
      </c>
      <c r="J477" s="46" t="str">
        <f aca="false">IF($H477="","",'Survey Response'!$K475)</f>
        <v/>
      </c>
      <c r="K477" s="46" t="str">
        <f aca="false">IF($J477="","",IF(COUNTIF('Skill Mapping'!$A$2:$A$7,TRIM($J477))=0,"",INDEX('Skill Mapping'!$B$2:$B$7,MATCH(TRIM($J477),'Skill Mapping'!$A$2:$A$7,0))))</f>
        <v/>
      </c>
      <c r="L477" s="46" t="str">
        <f aca="false">IF($H477="","",'Survey Response'!$L475)</f>
        <v/>
      </c>
      <c r="M477" s="46" t="str">
        <f aca="false">IF($L477="","",IF(COUNTIF('Skill Mapping'!$A$2:$A$7,TRIM($L477))=0,"",INDEX('Skill Mapping'!$B$2:$B$7,MATCH(TRIM($L477),'Skill Mapping'!$A$2:$A$7,0))))</f>
        <v/>
      </c>
      <c r="N477" s="46" t="str">
        <f aca="false">IF($H477="","",'Survey Response'!$M475)</f>
        <v/>
      </c>
      <c r="O477" s="46" t="str">
        <f aca="false">IF($H477="","",IF('Survey Response'!$M475="Manager","R2","R1"))</f>
        <v/>
      </c>
      <c r="P477" s="46" t="str">
        <f aca="false">IF($K477="","No",IF(COUNTIFS(MasterPanel!$B:$B,$H477,MasterPanel!$I:$I,$K477,MasterPanel!$K:$K,"Y")&gt;0,"Yes","No"))</f>
        <v>No</v>
      </c>
      <c r="Q477" s="46" t="n">
        <f aca="false">IF($K477="",0,IF(COUNTIF('Gap Sheet'!$A$6:$A$11,TRIM($J477))=0,0,IF($O477="R1",INDEX('Gap Sheet'!$C$6:$C$11,MATCH(TRIM($J477),'Gap Sheet'!$A$6:$A$11,0)),INDEX('Gap Sheet'!$G$6:$G$11,MATCH(TRIM($J477),'Gap Sheet'!$A$6:$A$11,0)))))</f>
        <v>0</v>
      </c>
      <c r="R477" s="46" t="str">
        <f aca="false">IF($K477="","",$K477&amp;"|"&amp;$O477)</f>
        <v/>
      </c>
      <c r="S477" s="46" t="n">
        <f aca="false">IF($R477="",0,COUNTIF($AA$4:$AA476,$R477))</f>
        <v>0</v>
      </c>
      <c r="T477" s="46" t="str">
        <f aca="false">IF(OR($I477&lt;&gt;"Yes, I'm available for in-person interviews at Chennai",$E477&lt;&gt;"Yes",$P477&lt;&gt;"Yes"),"No",IF(($Q477-$S477)&gt;0,"Yes","No"))</f>
        <v>No</v>
      </c>
      <c r="U477" s="46" t="str">
        <f aca="false">IF($M477="","No",IF(COUNTIFS(MasterPanel!$B:$B,$H477,MasterPanel!$I:$I,$M477,MasterPanel!$K:$K,"Y")&gt;0,"Yes","No"))</f>
        <v>No</v>
      </c>
      <c r="V477" s="46" t="n">
        <f aca="false">IF($M477="",0,IF(COUNTIF('Gap Sheet'!$A$6:$A$11,TRIM($L477))=0,0,IF($O477="R1",INDEX('Gap Sheet'!$C$6:$C$11,MATCH(TRIM($L477),'Gap Sheet'!$A$6:$A$11,0)),INDEX('Gap Sheet'!$G$6:$G$11,MATCH(TRIM($L477),'Gap Sheet'!$A$6:$A$11,0)))))</f>
        <v>0</v>
      </c>
      <c r="W477" s="46" t="str">
        <f aca="false">IF($M477="","",$M477&amp;"|"&amp;$O477)</f>
        <v/>
      </c>
      <c r="X477" s="46" t="n">
        <f aca="false">IF($W477="",0,COUNTIF($AA$4:$AA476,$W477))</f>
        <v>0</v>
      </c>
      <c r="Y477" s="46" t="str">
        <f aca="false">IF(OR($I477&lt;&gt;"Yes, I'm available for in-person interviews at Chennai",$E477&lt;&gt;"Yes",$T477="Yes",$U477&lt;&gt;"Yes"),"No",IF(($V477-$X477)&gt;0,"Yes","No"))</f>
        <v>No</v>
      </c>
      <c r="Z477" s="46" t="str">
        <f aca="false">IF($T477="Yes","Primary",IF($Y477="Yes","Secondary",""))</f>
        <v/>
      </c>
      <c r="AA477" s="46" t="str">
        <f aca="false">IF($Z477="Primary",$R477,IF($Z477="Secondary",$W477,""))</f>
        <v/>
      </c>
      <c r="AB477" s="46" t="str">
        <f aca="false">IF($Z477="Primary","Matched on primary skill",IF($Z477="Secondary","Matched on secondary skill (primary not approved or not required)",""))</f>
        <v/>
      </c>
      <c r="AC477" s="47" t="str">
        <f aca="false">IF($D477="Panel Details",$F477,"")</f>
        <v/>
      </c>
      <c r="AD477" s="46" t="str">
        <f aca="false">IF($D477="Panel Details",'Survey Response'!$D475,"")</f>
        <v/>
      </c>
      <c r="AE477" s="46" t="str">
        <f aca="false">IF($D477="Panel Details",'Survey Response'!$E475,"")</f>
        <v/>
      </c>
      <c r="AF477" s="46" t="str">
        <f aca="false">IF($D477="Panel Details",'Survey Response'!$G475,"")</f>
        <v/>
      </c>
      <c r="AG477" s="46" t="str">
        <f aca="false">IF($D477="Panel Details",IF($Z477="Primary",$J477,$L477),"")</f>
        <v/>
      </c>
      <c r="AH477" s="46" t="str">
        <f aca="false">IF($D477="Panel Details",IF($Z477="Primary",$L477,$J477),"")</f>
        <v/>
      </c>
      <c r="AI477" s="46" t="str">
        <f aca="false">IF($D477="Panel Details",'Survey Response'!$H475,"")</f>
        <v/>
      </c>
      <c r="AJ477" s="46" t="str">
        <f aca="false">IF($D477="Panel Details",'Survey Response'!$M475,"")</f>
        <v/>
      </c>
      <c r="AK477" s="46" t="str">
        <f aca="false">IF($D477="Panel Details",$O477,"")</f>
        <v/>
      </c>
      <c r="AL477" s="46" t="str">
        <f aca="false">IF($D477="Panel Details",8,"")</f>
        <v/>
      </c>
      <c r="AM477" s="46" t="str">
        <f aca="false">IF($D477="Panel Details",$AB477,"")</f>
        <v/>
      </c>
      <c r="AN477" s="46" t="str">
        <f aca="false">IF($D477="Panel Details","Yes","")</f>
        <v/>
      </c>
      <c r="AO477" s="46"/>
      <c r="AP477" s="46" t="str">
        <f aca="false">IF($D477="Followup",'Survey Response'!$D475,"")</f>
        <v/>
      </c>
      <c r="AQ477" s="46" t="str">
        <f aca="false">IF($D477="Followup",'Survey Response'!$E475,"")</f>
        <v/>
      </c>
      <c r="AR477" s="46" t="str">
        <f aca="false">IF($D477="Followup",'Survey Response'!$G475,"")</f>
        <v/>
      </c>
      <c r="AS477" s="46" t="str">
        <f aca="false">IF($D477="Followup",'Survey Response'!$H475,"")</f>
        <v/>
      </c>
      <c r="AT477" s="46" t="str">
        <f aca="false">IF($D477="Followup",'Survey Response'!$M475,"")</f>
        <v/>
      </c>
      <c r="AU477" s="46" t="str">
        <f aca="false">IF($D477="Followup",'Survey Response'!$K475,"")</f>
        <v/>
      </c>
      <c r="AV477" s="46" t="str">
        <f aca="false">IF($D477="Followup",'Survey Response'!$L475,"")</f>
        <v/>
      </c>
      <c r="AW477" s="46" t="str">
        <f aca="false">IF($D477="Followup",IF(AND($P477&lt;&gt;"Yes",$U477&lt;&gt;"Yes"),"Not approved for primary or secondary skill","Approved, but skill(s) no longer have capacity (fully staffed)"),"")</f>
        <v/>
      </c>
    </row>
    <row r="478" customFormat="false" ht="15" hidden="false" customHeight="true" outlineLevel="0" collapsed="false">
      <c r="A478" s="46" t="str">
        <f aca="false">IF('Survey Response'!$D476="","",'Survey Response'!$A476&amp;"|"&amp;LOWER(TRIM('Survey Response'!$D476)))</f>
        <v/>
      </c>
      <c r="B478" s="46" t="str">
        <f aca="false">IF($H478="","",$F478&amp;"|"&amp;$H478)</f>
        <v/>
      </c>
      <c r="C478" s="46" t="str">
        <f aca="false">IF($H478="","",$A478=$B478)</f>
        <v/>
      </c>
      <c r="D478" s="46" t="str">
        <f aca="false">IF($H478="","",IF($E478&lt;&gt;"Yes","Superseded",IF($I478&lt;&gt;"Yes, I'm available for in-person interviews at Chennai","Not Available",IF($Z478&lt;&gt;"","Panel Details","Followup"))))</f>
        <v/>
      </c>
      <c r="E478" s="46" t="str">
        <f aca="false">IF($H478="","",IF(SUMPRODUCT(($H$4:$H$503=$H478)*(($G$4:$G$503&gt;$G478)+($G$4:$G$503=$G478)*($F$4:$F$503&gt;$F478)))=0,"Yes","No"))</f>
        <v/>
      </c>
      <c r="F478" s="47" t="str">
        <f aca="false">IF('Survey Response'!$D476="","",INT('Survey Response'!$A476))</f>
        <v/>
      </c>
      <c r="G478" s="46" t="str">
        <f aca="false">IF('Survey Response'!$D476="","",'Survey Response'!$C476)</f>
        <v/>
      </c>
      <c r="H478" s="46" t="str">
        <f aca="false">IF('Survey Response'!$D476="","",LOWER(TRIM('Survey Response'!$D476)))</f>
        <v/>
      </c>
      <c r="I478" s="46" t="str">
        <f aca="false">IF($H478="","",'Survey Response'!$I476)</f>
        <v/>
      </c>
      <c r="J478" s="46" t="str">
        <f aca="false">IF($H478="","",'Survey Response'!$K476)</f>
        <v/>
      </c>
      <c r="K478" s="46" t="str">
        <f aca="false">IF($J478="","",IF(COUNTIF('Skill Mapping'!$A$2:$A$7,TRIM($J478))=0,"",INDEX('Skill Mapping'!$B$2:$B$7,MATCH(TRIM($J478),'Skill Mapping'!$A$2:$A$7,0))))</f>
        <v/>
      </c>
      <c r="L478" s="46" t="str">
        <f aca="false">IF($H478="","",'Survey Response'!$L476)</f>
        <v/>
      </c>
      <c r="M478" s="46" t="str">
        <f aca="false">IF($L478="","",IF(COUNTIF('Skill Mapping'!$A$2:$A$7,TRIM($L478))=0,"",INDEX('Skill Mapping'!$B$2:$B$7,MATCH(TRIM($L478),'Skill Mapping'!$A$2:$A$7,0))))</f>
        <v/>
      </c>
      <c r="N478" s="46" t="str">
        <f aca="false">IF($H478="","",'Survey Response'!$M476)</f>
        <v/>
      </c>
      <c r="O478" s="46" t="str">
        <f aca="false">IF($H478="","",IF('Survey Response'!$M476="Manager","R2","R1"))</f>
        <v/>
      </c>
      <c r="P478" s="46" t="str">
        <f aca="false">IF($K478="","No",IF(COUNTIFS(MasterPanel!$B:$B,$H478,MasterPanel!$I:$I,$K478,MasterPanel!$K:$K,"Y")&gt;0,"Yes","No"))</f>
        <v>No</v>
      </c>
      <c r="Q478" s="46" t="n">
        <f aca="false">IF($K478="",0,IF(COUNTIF('Gap Sheet'!$A$6:$A$11,TRIM($J478))=0,0,IF($O478="R1",INDEX('Gap Sheet'!$C$6:$C$11,MATCH(TRIM($J478),'Gap Sheet'!$A$6:$A$11,0)),INDEX('Gap Sheet'!$G$6:$G$11,MATCH(TRIM($J478),'Gap Sheet'!$A$6:$A$11,0)))))</f>
        <v>0</v>
      </c>
      <c r="R478" s="46" t="str">
        <f aca="false">IF($K478="","",$K478&amp;"|"&amp;$O478)</f>
        <v/>
      </c>
      <c r="S478" s="46" t="n">
        <f aca="false">IF($R478="",0,COUNTIF($AA$4:$AA477,$R478))</f>
        <v>0</v>
      </c>
      <c r="T478" s="46" t="str">
        <f aca="false">IF(OR($I478&lt;&gt;"Yes, I'm available for in-person interviews at Chennai",$E478&lt;&gt;"Yes",$P478&lt;&gt;"Yes"),"No",IF(($Q478-$S478)&gt;0,"Yes","No"))</f>
        <v>No</v>
      </c>
      <c r="U478" s="46" t="str">
        <f aca="false">IF($M478="","No",IF(COUNTIFS(MasterPanel!$B:$B,$H478,MasterPanel!$I:$I,$M478,MasterPanel!$K:$K,"Y")&gt;0,"Yes","No"))</f>
        <v>No</v>
      </c>
      <c r="V478" s="46" t="n">
        <f aca="false">IF($M478="",0,IF(COUNTIF('Gap Sheet'!$A$6:$A$11,TRIM($L478))=0,0,IF($O478="R1",INDEX('Gap Sheet'!$C$6:$C$11,MATCH(TRIM($L478),'Gap Sheet'!$A$6:$A$11,0)),INDEX('Gap Sheet'!$G$6:$G$11,MATCH(TRIM($L478),'Gap Sheet'!$A$6:$A$11,0)))))</f>
        <v>0</v>
      </c>
      <c r="W478" s="46" t="str">
        <f aca="false">IF($M478="","",$M478&amp;"|"&amp;$O478)</f>
        <v/>
      </c>
      <c r="X478" s="46" t="n">
        <f aca="false">IF($W478="",0,COUNTIF($AA$4:$AA477,$W478))</f>
        <v>0</v>
      </c>
      <c r="Y478" s="46" t="str">
        <f aca="false">IF(OR($I478&lt;&gt;"Yes, I'm available for in-person interviews at Chennai",$E478&lt;&gt;"Yes",$T478="Yes",$U478&lt;&gt;"Yes"),"No",IF(($V478-$X478)&gt;0,"Yes","No"))</f>
        <v>No</v>
      </c>
      <c r="Z478" s="46" t="str">
        <f aca="false">IF($T478="Yes","Primary",IF($Y478="Yes","Secondary",""))</f>
        <v/>
      </c>
      <c r="AA478" s="46" t="str">
        <f aca="false">IF($Z478="Primary",$R478,IF($Z478="Secondary",$W478,""))</f>
        <v/>
      </c>
      <c r="AB478" s="46" t="str">
        <f aca="false">IF($Z478="Primary","Matched on primary skill",IF($Z478="Secondary","Matched on secondary skill (primary not approved or not required)",""))</f>
        <v/>
      </c>
      <c r="AC478" s="47" t="str">
        <f aca="false">IF($D478="Panel Details",$F478,"")</f>
        <v/>
      </c>
      <c r="AD478" s="46" t="str">
        <f aca="false">IF($D478="Panel Details",'Survey Response'!$D476,"")</f>
        <v/>
      </c>
      <c r="AE478" s="46" t="str">
        <f aca="false">IF($D478="Panel Details",'Survey Response'!$E476,"")</f>
        <v/>
      </c>
      <c r="AF478" s="46" t="str">
        <f aca="false">IF($D478="Panel Details",'Survey Response'!$G476,"")</f>
        <v/>
      </c>
      <c r="AG478" s="46" t="str">
        <f aca="false">IF($D478="Panel Details",IF($Z478="Primary",$J478,$L478),"")</f>
        <v/>
      </c>
      <c r="AH478" s="46" t="str">
        <f aca="false">IF($D478="Panel Details",IF($Z478="Primary",$L478,$J478),"")</f>
        <v/>
      </c>
      <c r="AI478" s="46" t="str">
        <f aca="false">IF($D478="Panel Details",'Survey Response'!$H476,"")</f>
        <v/>
      </c>
      <c r="AJ478" s="46" t="str">
        <f aca="false">IF($D478="Panel Details",'Survey Response'!$M476,"")</f>
        <v/>
      </c>
      <c r="AK478" s="46" t="str">
        <f aca="false">IF($D478="Panel Details",$O478,"")</f>
        <v/>
      </c>
      <c r="AL478" s="46" t="str">
        <f aca="false">IF($D478="Panel Details",8,"")</f>
        <v/>
      </c>
      <c r="AM478" s="46" t="str">
        <f aca="false">IF($D478="Panel Details",$AB478,"")</f>
        <v/>
      </c>
      <c r="AN478" s="46" t="str">
        <f aca="false">IF($D478="Panel Details","Yes","")</f>
        <v/>
      </c>
      <c r="AO478" s="46"/>
      <c r="AP478" s="46" t="str">
        <f aca="false">IF($D478="Followup",'Survey Response'!$D476,"")</f>
        <v/>
      </c>
      <c r="AQ478" s="46" t="str">
        <f aca="false">IF($D478="Followup",'Survey Response'!$E476,"")</f>
        <v/>
      </c>
      <c r="AR478" s="46" t="str">
        <f aca="false">IF($D478="Followup",'Survey Response'!$G476,"")</f>
        <v/>
      </c>
      <c r="AS478" s="46" t="str">
        <f aca="false">IF($D478="Followup",'Survey Response'!$H476,"")</f>
        <v/>
      </c>
      <c r="AT478" s="46" t="str">
        <f aca="false">IF($D478="Followup",'Survey Response'!$M476,"")</f>
        <v/>
      </c>
      <c r="AU478" s="46" t="str">
        <f aca="false">IF($D478="Followup",'Survey Response'!$K476,"")</f>
        <v/>
      </c>
      <c r="AV478" s="46" t="str">
        <f aca="false">IF($D478="Followup",'Survey Response'!$L476,"")</f>
        <v/>
      </c>
      <c r="AW478" s="46" t="str">
        <f aca="false">IF($D478="Followup",IF(AND($P478&lt;&gt;"Yes",$U478&lt;&gt;"Yes"),"Not approved for primary or secondary skill","Approved, but skill(s) no longer have capacity (fully staffed)"),"")</f>
        <v/>
      </c>
    </row>
    <row r="479" customFormat="false" ht="15" hidden="false" customHeight="true" outlineLevel="0" collapsed="false">
      <c r="A479" s="46" t="str">
        <f aca="false">IF('Survey Response'!$D477="","",'Survey Response'!$A477&amp;"|"&amp;LOWER(TRIM('Survey Response'!$D477)))</f>
        <v/>
      </c>
      <c r="B479" s="46" t="str">
        <f aca="false">IF($H479="","",$F479&amp;"|"&amp;$H479)</f>
        <v/>
      </c>
      <c r="C479" s="46" t="str">
        <f aca="false">IF($H479="","",$A479=$B479)</f>
        <v/>
      </c>
      <c r="D479" s="46" t="str">
        <f aca="false">IF($H479="","",IF($E479&lt;&gt;"Yes","Superseded",IF($I479&lt;&gt;"Yes, I'm available for in-person interviews at Chennai","Not Available",IF($Z479&lt;&gt;"","Panel Details","Followup"))))</f>
        <v/>
      </c>
      <c r="E479" s="46" t="str">
        <f aca="false">IF($H479="","",IF(SUMPRODUCT(($H$4:$H$503=$H479)*(($G$4:$G$503&gt;$G479)+($G$4:$G$503=$G479)*($F$4:$F$503&gt;$F479)))=0,"Yes","No"))</f>
        <v/>
      </c>
      <c r="F479" s="47" t="str">
        <f aca="false">IF('Survey Response'!$D477="","",INT('Survey Response'!$A477))</f>
        <v/>
      </c>
      <c r="G479" s="46" t="str">
        <f aca="false">IF('Survey Response'!$D477="","",'Survey Response'!$C477)</f>
        <v/>
      </c>
      <c r="H479" s="46" t="str">
        <f aca="false">IF('Survey Response'!$D477="","",LOWER(TRIM('Survey Response'!$D477)))</f>
        <v/>
      </c>
      <c r="I479" s="46" t="str">
        <f aca="false">IF($H479="","",'Survey Response'!$I477)</f>
        <v/>
      </c>
      <c r="J479" s="46" t="str">
        <f aca="false">IF($H479="","",'Survey Response'!$K477)</f>
        <v/>
      </c>
      <c r="K479" s="46" t="str">
        <f aca="false">IF($J479="","",IF(COUNTIF('Skill Mapping'!$A$2:$A$7,TRIM($J479))=0,"",INDEX('Skill Mapping'!$B$2:$B$7,MATCH(TRIM($J479),'Skill Mapping'!$A$2:$A$7,0))))</f>
        <v/>
      </c>
      <c r="L479" s="46" t="str">
        <f aca="false">IF($H479="","",'Survey Response'!$L477)</f>
        <v/>
      </c>
      <c r="M479" s="46" t="str">
        <f aca="false">IF($L479="","",IF(COUNTIF('Skill Mapping'!$A$2:$A$7,TRIM($L479))=0,"",INDEX('Skill Mapping'!$B$2:$B$7,MATCH(TRIM($L479),'Skill Mapping'!$A$2:$A$7,0))))</f>
        <v/>
      </c>
      <c r="N479" s="46" t="str">
        <f aca="false">IF($H479="","",'Survey Response'!$M477)</f>
        <v/>
      </c>
      <c r="O479" s="46" t="str">
        <f aca="false">IF($H479="","",IF('Survey Response'!$M477="Manager","R2","R1"))</f>
        <v/>
      </c>
      <c r="P479" s="46" t="str">
        <f aca="false">IF($K479="","No",IF(COUNTIFS(MasterPanel!$B:$B,$H479,MasterPanel!$I:$I,$K479,MasterPanel!$K:$K,"Y")&gt;0,"Yes","No"))</f>
        <v>No</v>
      </c>
      <c r="Q479" s="46" t="n">
        <f aca="false">IF($K479="",0,IF(COUNTIF('Gap Sheet'!$A$6:$A$11,TRIM($J479))=0,0,IF($O479="R1",INDEX('Gap Sheet'!$C$6:$C$11,MATCH(TRIM($J479),'Gap Sheet'!$A$6:$A$11,0)),INDEX('Gap Sheet'!$G$6:$G$11,MATCH(TRIM($J479),'Gap Sheet'!$A$6:$A$11,0)))))</f>
        <v>0</v>
      </c>
      <c r="R479" s="46" t="str">
        <f aca="false">IF($K479="","",$K479&amp;"|"&amp;$O479)</f>
        <v/>
      </c>
      <c r="S479" s="46" t="n">
        <f aca="false">IF($R479="",0,COUNTIF($AA$4:$AA478,$R479))</f>
        <v>0</v>
      </c>
      <c r="T479" s="46" t="str">
        <f aca="false">IF(OR($I479&lt;&gt;"Yes, I'm available for in-person interviews at Chennai",$E479&lt;&gt;"Yes",$P479&lt;&gt;"Yes"),"No",IF(($Q479-$S479)&gt;0,"Yes","No"))</f>
        <v>No</v>
      </c>
      <c r="U479" s="46" t="str">
        <f aca="false">IF($M479="","No",IF(COUNTIFS(MasterPanel!$B:$B,$H479,MasterPanel!$I:$I,$M479,MasterPanel!$K:$K,"Y")&gt;0,"Yes","No"))</f>
        <v>No</v>
      </c>
      <c r="V479" s="46" t="n">
        <f aca="false">IF($M479="",0,IF(COUNTIF('Gap Sheet'!$A$6:$A$11,TRIM($L479))=0,0,IF($O479="R1",INDEX('Gap Sheet'!$C$6:$C$11,MATCH(TRIM($L479),'Gap Sheet'!$A$6:$A$11,0)),INDEX('Gap Sheet'!$G$6:$G$11,MATCH(TRIM($L479),'Gap Sheet'!$A$6:$A$11,0)))))</f>
        <v>0</v>
      </c>
      <c r="W479" s="46" t="str">
        <f aca="false">IF($M479="","",$M479&amp;"|"&amp;$O479)</f>
        <v/>
      </c>
      <c r="X479" s="46" t="n">
        <f aca="false">IF($W479="",0,COUNTIF($AA$4:$AA478,$W479))</f>
        <v>0</v>
      </c>
      <c r="Y479" s="46" t="str">
        <f aca="false">IF(OR($I479&lt;&gt;"Yes, I'm available for in-person interviews at Chennai",$E479&lt;&gt;"Yes",$T479="Yes",$U479&lt;&gt;"Yes"),"No",IF(($V479-$X479)&gt;0,"Yes","No"))</f>
        <v>No</v>
      </c>
      <c r="Z479" s="46" t="str">
        <f aca="false">IF($T479="Yes","Primary",IF($Y479="Yes","Secondary",""))</f>
        <v/>
      </c>
      <c r="AA479" s="46" t="str">
        <f aca="false">IF($Z479="Primary",$R479,IF($Z479="Secondary",$W479,""))</f>
        <v/>
      </c>
      <c r="AB479" s="46" t="str">
        <f aca="false">IF($Z479="Primary","Matched on primary skill",IF($Z479="Secondary","Matched on secondary skill (primary not approved or not required)",""))</f>
        <v/>
      </c>
      <c r="AC479" s="47" t="str">
        <f aca="false">IF($D479="Panel Details",$F479,"")</f>
        <v/>
      </c>
      <c r="AD479" s="46" t="str">
        <f aca="false">IF($D479="Panel Details",'Survey Response'!$D477,"")</f>
        <v/>
      </c>
      <c r="AE479" s="46" t="str">
        <f aca="false">IF($D479="Panel Details",'Survey Response'!$E477,"")</f>
        <v/>
      </c>
      <c r="AF479" s="46" t="str">
        <f aca="false">IF($D479="Panel Details",'Survey Response'!$G477,"")</f>
        <v/>
      </c>
      <c r="AG479" s="46" t="str">
        <f aca="false">IF($D479="Panel Details",IF($Z479="Primary",$J479,$L479),"")</f>
        <v/>
      </c>
      <c r="AH479" s="46" t="str">
        <f aca="false">IF($D479="Panel Details",IF($Z479="Primary",$L479,$J479),"")</f>
        <v/>
      </c>
      <c r="AI479" s="46" t="str">
        <f aca="false">IF($D479="Panel Details",'Survey Response'!$H477,"")</f>
        <v/>
      </c>
      <c r="AJ479" s="46" t="str">
        <f aca="false">IF($D479="Panel Details",'Survey Response'!$M477,"")</f>
        <v/>
      </c>
      <c r="AK479" s="46" t="str">
        <f aca="false">IF($D479="Panel Details",$O479,"")</f>
        <v/>
      </c>
      <c r="AL479" s="46" t="str">
        <f aca="false">IF($D479="Panel Details",8,"")</f>
        <v/>
      </c>
      <c r="AM479" s="46" t="str">
        <f aca="false">IF($D479="Panel Details",$AB479,"")</f>
        <v/>
      </c>
      <c r="AN479" s="46" t="str">
        <f aca="false">IF($D479="Panel Details","Yes","")</f>
        <v/>
      </c>
      <c r="AO479" s="46"/>
      <c r="AP479" s="46" t="str">
        <f aca="false">IF($D479="Followup",'Survey Response'!$D477,"")</f>
        <v/>
      </c>
      <c r="AQ479" s="46" t="str">
        <f aca="false">IF($D479="Followup",'Survey Response'!$E477,"")</f>
        <v/>
      </c>
      <c r="AR479" s="46" t="str">
        <f aca="false">IF($D479="Followup",'Survey Response'!$G477,"")</f>
        <v/>
      </c>
      <c r="AS479" s="46" t="str">
        <f aca="false">IF($D479="Followup",'Survey Response'!$H477,"")</f>
        <v/>
      </c>
      <c r="AT479" s="46" t="str">
        <f aca="false">IF($D479="Followup",'Survey Response'!$M477,"")</f>
        <v/>
      </c>
      <c r="AU479" s="46" t="str">
        <f aca="false">IF($D479="Followup",'Survey Response'!$K477,"")</f>
        <v/>
      </c>
      <c r="AV479" s="46" t="str">
        <f aca="false">IF($D479="Followup",'Survey Response'!$L477,"")</f>
        <v/>
      </c>
      <c r="AW479" s="46" t="str">
        <f aca="false">IF($D479="Followup",IF(AND($P479&lt;&gt;"Yes",$U479&lt;&gt;"Yes"),"Not approved for primary or secondary skill","Approved, but skill(s) no longer have capacity (fully staffed)"),"")</f>
        <v/>
      </c>
    </row>
    <row r="480" customFormat="false" ht="15" hidden="false" customHeight="true" outlineLevel="0" collapsed="false">
      <c r="A480" s="46" t="str">
        <f aca="false">IF('Survey Response'!$D478="","",'Survey Response'!$A478&amp;"|"&amp;LOWER(TRIM('Survey Response'!$D478)))</f>
        <v/>
      </c>
      <c r="B480" s="46" t="str">
        <f aca="false">IF($H480="","",$F480&amp;"|"&amp;$H480)</f>
        <v/>
      </c>
      <c r="C480" s="46" t="str">
        <f aca="false">IF($H480="","",$A480=$B480)</f>
        <v/>
      </c>
      <c r="D480" s="46" t="str">
        <f aca="false">IF($H480="","",IF($E480&lt;&gt;"Yes","Superseded",IF($I480&lt;&gt;"Yes, I'm available for in-person interviews at Chennai","Not Available",IF($Z480&lt;&gt;"","Panel Details","Followup"))))</f>
        <v/>
      </c>
      <c r="E480" s="46" t="str">
        <f aca="false">IF($H480="","",IF(SUMPRODUCT(($H$4:$H$503=$H480)*(($G$4:$G$503&gt;$G480)+($G$4:$G$503=$G480)*($F$4:$F$503&gt;$F480)))=0,"Yes","No"))</f>
        <v/>
      </c>
      <c r="F480" s="47" t="str">
        <f aca="false">IF('Survey Response'!$D478="","",INT('Survey Response'!$A478))</f>
        <v/>
      </c>
      <c r="G480" s="46" t="str">
        <f aca="false">IF('Survey Response'!$D478="","",'Survey Response'!$C478)</f>
        <v/>
      </c>
      <c r="H480" s="46" t="str">
        <f aca="false">IF('Survey Response'!$D478="","",LOWER(TRIM('Survey Response'!$D478)))</f>
        <v/>
      </c>
      <c r="I480" s="46" t="str">
        <f aca="false">IF($H480="","",'Survey Response'!$I478)</f>
        <v/>
      </c>
      <c r="J480" s="46" t="str">
        <f aca="false">IF($H480="","",'Survey Response'!$K478)</f>
        <v/>
      </c>
      <c r="K480" s="46" t="str">
        <f aca="false">IF($J480="","",IF(COUNTIF('Skill Mapping'!$A$2:$A$7,TRIM($J480))=0,"",INDEX('Skill Mapping'!$B$2:$B$7,MATCH(TRIM($J480),'Skill Mapping'!$A$2:$A$7,0))))</f>
        <v/>
      </c>
      <c r="L480" s="46" t="str">
        <f aca="false">IF($H480="","",'Survey Response'!$L478)</f>
        <v/>
      </c>
      <c r="M480" s="46" t="str">
        <f aca="false">IF($L480="","",IF(COUNTIF('Skill Mapping'!$A$2:$A$7,TRIM($L480))=0,"",INDEX('Skill Mapping'!$B$2:$B$7,MATCH(TRIM($L480),'Skill Mapping'!$A$2:$A$7,0))))</f>
        <v/>
      </c>
      <c r="N480" s="46" t="str">
        <f aca="false">IF($H480="","",'Survey Response'!$M478)</f>
        <v/>
      </c>
      <c r="O480" s="46" t="str">
        <f aca="false">IF($H480="","",IF('Survey Response'!$M478="Manager","R2","R1"))</f>
        <v/>
      </c>
      <c r="P480" s="46" t="str">
        <f aca="false">IF($K480="","No",IF(COUNTIFS(MasterPanel!$B:$B,$H480,MasterPanel!$I:$I,$K480,MasterPanel!$K:$K,"Y")&gt;0,"Yes","No"))</f>
        <v>No</v>
      </c>
      <c r="Q480" s="46" t="n">
        <f aca="false">IF($K480="",0,IF(COUNTIF('Gap Sheet'!$A$6:$A$11,TRIM($J480))=0,0,IF($O480="R1",INDEX('Gap Sheet'!$C$6:$C$11,MATCH(TRIM($J480),'Gap Sheet'!$A$6:$A$11,0)),INDEX('Gap Sheet'!$G$6:$G$11,MATCH(TRIM($J480),'Gap Sheet'!$A$6:$A$11,0)))))</f>
        <v>0</v>
      </c>
      <c r="R480" s="46" t="str">
        <f aca="false">IF($K480="","",$K480&amp;"|"&amp;$O480)</f>
        <v/>
      </c>
      <c r="S480" s="46" t="n">
        <f aca="false">IF($R480="",0,COUNTIF($AA$4:$AA479,$R480))</f>
        <v>0</v>
      </c>
      <c r="T480" s="46" t="str">
        <f aca="false">IF(OR($I480&lt;&gt;"Yes, I'm available for in-person interviews at Chennai",$E480&lt;&gt;"Yes",$P480&lt;&gt;"Yes"),"No",IF(($Q480-$S480)&gt;0,"Yes","No"))</f>
        <v>No</v>
      </c>
      <c r="U480" s="46" t="str">
        <f aca="false">IF($M480="","No",IF(COUNTIFS(MasterPanel!$B:$B,$H480,MasterPanel!$I:$I,$M480,MasterPanel!$K:$K,"Y")&gt;0,"Yes","No"))</f>
        <v>No</v>
      </c>
      <c r="V480" s="46" t="n">
        <f aca="false">IF($M480="",0,IF(COUNTIF('Gap Sheet'!$A$6:$A$11,TRIM($L480))=0,0,IF($O480="R1",INDEX('Gap Sheet'!$C$6:$C$11,MATCH(TRIM($L480),'Gap Sheet'!$A$6:$A$11,0)),INDEX('Gap Sheet'!$G$6:$G$11,MATCH(TRIM($L480),'Gap Sheet'!$A$6:$A$11,0)))))</f>
        <v>0</v>
      </c>
      <c r="W480" s="46" t="str">
        <f aca="false">IF($M480="","",$M480&amp;"|"&amp;$O480)</f>
        <v/>
      </c>
      <c r="X480" s="46" t="n">
        <f aca="false">IF($W480="",0,COUNTIF($AA$4:$AA479,$W480))</f>
        <v>0</v>
      </c>
      <c r="Y480" s="46" t="str">
        <f aca="false">IF(OR($I480&lt;&gt;"Yes, I'm available for in-person interviews at Chennai",$E480&lt;&gt;"Yes",$T480="Yes",$U480&lt;&gt;"Yes"),"No",IF(($V480-$X480)&gt;0,"Yes","No"))</f>
        <v>No</v>
      </c>
      <c r="Z480" s="46" t="str">
        <f aca="false">IF($T480="Yes","Primary",IF($Y480="Yes","Secondary",""))</f>
        <v/>
      </c>
      <c r="AA480" s="46" t="str">
        <f aca="false">IF($Z480="Primary",$R480,IF($Z480="Secondary",$W480,""))</f>
        <v/>
      </c>
      <c r="AB480" s="46" t="str">
        <f aca="false">IF($Z480="Primary","Matched on primary skill",IF($Z480="Secondary","Matched on secondary skill (primary not approved or not required)",""))</f>
        <v/>
      </c>
      <c r="AC480" s="47" t="str">
        <f aca="false">IF($D480="Panel Details",$F480,"")</f>
        <v/>
      </c>
      <c r="AD480" s="46" t="str">
        <f aca="false">IF($D480="Panel Details",'Survey Response'!$D478,"")</f>
        <v/>
      </c>
      <c r="AE480" s="46" t="str">
        <f aca="false">IF($D480="Panel Details",'Survey Response'!$E478,"")</f>
        <v/>
      </c>
      <c r="AF480" s="46" t="str">
        <f aca="false">IF($D480="Panel Details",'Survey Response'!$G478,"")</f>
        <v/>
      </c>
      <c r="AG480" s="46" t="str">
        <f aca="false">IF($D480="Panel Details",IF($Z480="Primary",$J480,$L480),"")</f>
        <v/>
      </c>
      <c r="AH480" s="46" t="str">
        <f aca="false">IF($D480="Panel Details",IF($Z480="Primary",$L480,$J480),"")</f>
        <v/>
      </c>
      <c r="AI480" s="46" t="str">
        <f aca="false">IF($D480="Panel Details",'Survey Response'!$H478,"")</f>
        <v/>
      </c>
      <c r="AJ480" s="46" t="str">
        <f aca="false">IF($D480="Panel Details",'Survey Response'!$M478,"")</f>
        <v/>
      </c>
      <c r="AK480" s="46" t="str">
        <f aca="false">IF($D480="Panel Details",$O480,"")</f>
        <v/>
      </c>
      <c r="AL480" s="46" t="str">
        <f aca="false">IF($D480="Panel Details",8,"")</f>
        <v/>
      </c>
      <c r="AM480" s="46" t="str">
        <f aca="false">IF($D480="Panel Details",$AB480,"")</f>
        <v/>
      </c>
      <c r="AN480" s="46" t="str">
        <f aca="false">IF($D480="Panel Details","Yes","")</f>
        <v/>
      </c>
      <c r="AO480" s="46"/>
      <c r="AP480" s="46" t="str">
        <f aca="false">IF($D480="Followup",'Survey Response'!$D478,"")</f>
        <v/>
      </c>
      <c r="AQ480" s="46" t="str">
        <f aca="false">IF($D480="Followup",'Survey Response'!$E478,"")</f>
        <v/>
      </c>
      <c r="AR480" s="46" t="str">
        <f aca="false">IF($D480="Followup",'Survey Response'!$G478,"")</f>
        <v/>
      </c>
      <c r="AS480" s="46" t="str">
        <f aca="false">IF($D480="Followup",'Survey Response'!$H478,"")</f>
        <v/>
      </c>
      <c r="AT480" s="46" t="str">
        <f aca="false">IF($D480="Followup",'Survey Response'!$M478,"")</f>
        <v/>
      </c>
      <c r="AU480" s="46" t="str">
        <f aca="false">IF($D480="Followup",'Survey Response'!$K478,"")</f>
        <v/>
      </c>
      <c r="AV480" s="46" t="str">
        <f aca="false">IF($D480="Followup",'Survey Response'!$L478,"")</f>
        <v/>
      </c>
      <c r="AW480" s="46" t="str">
        <f aca="false">IF($D480="Followup",IF(AND($P480&lt;&gt;"Yes",$U480&lt;&gt;"Yes"),"Not approved for primary or secondary skill","Approved, but skill(s) no longer have capacity (fully staffed)"),"")</f>
        <v/>
      </c>
    </row>
    <row r="481" customFormat="false" ht="15" hidden="false" customHeight="true" outlineLevel="0" collapsed="false">
      <c r="A481" s="46" t="str">
        <f aca="false">IF('Survey Response'!$D479="","",'Survey Response'!$A479&amp;"|"&amp;LOWER(TRIM('Survey Response'!$D479)))</f>
        <v/>
      </c>
      <c r="B481" s="46" t="str">
        <f aca="false">IF($H481="","",$F481&amp;"|"&amp;$H481)</f>
        <v/>
      </c>
      <c r="C481" s="46" t="str">
        <f aca="false">IF($H481="","",$A481=$B481)</f>
        <v/>
      </c>
      <c r="D481" s="46" t="str">
        <f aca="false">IF($H481="","",IF($E481&lt;&gt;"Yes","Superseded",IF($I481&lt;&gt;"Yes, I'm available for in-person interviews at Chennai","Not Available",IF($Z481&lt;&gt;"","Panel Details","Followup"))))</f>
        <v/>
      </c>
      <c r="E481" s="46" t="str">
        <f aca="false">IF($H481="","",IF(SUMPRODUCT(($H$4:$H$503=$H481)*(($G$4:$G$503&gt;$G481)+($G$4:$G$503=$G481)*($F$4:$F$503&gt;$F481)))=0,"Yes","No"))</f>
        <v/>
      </c>
      <c r="F481" s="47" t="str">
        <f aca="false">IF('Survey Response'!$D479="","",INT('Survey Response'!$A479))</f>
        <v/>
      </c>
      <c r="G481" s="46" t="str">
        <f aca="false">IF('Survey Response'!$D479="","",'Survey Response'!$C479)</f>
        <v/>
      </c>
      <c r="H481" s="46" t="str">
        <f aca="false">IF('Survey Response'!$D479="","",LOWER(TRIM('Survey Response'!$D479)))</f>
        <v/>
      </c>
      <c r="I481" s="46" t="str">
        <f aca="false">IF($H481="","",'Survey Response'!$I479)</f>
        <v/>
      </c>
      <c r="J481" s="46" t="str">
        <f aca="false">IF($H481="","",'Survey Response'!$K479)</f>
        <v/>
      </c>
      <c r="K481" s="46" t="str">
        <f aca="false">IF($J481="","",IF(COUNTIF('Skill Mapping'!$A$2:$A$7,TRIM($J481))=0,"",INDEX('Skill Mapping'!$B$2:$B$7,MATCH(TRIM($J481),'Skill Mapping'!$A$2:$A$7,0))))</f>
        <v/>
      </c>
      <c r="L481" s="46" t="str">
        <f aca="false">IF($H481="","",'Survey Response'!$L479)</f>
        <v/>
      </c>
      <c r="M481" s="46" t="str">
        <f aca="false">IF($L481="","",IF(COUNTIF('Skill Mapping'!$A$2:$A$7,TRIM($L481))=0,"",INDEX('Skill Mapping'!$B$2:$B$7,MATCH(TRIM($L481),'Skill Mapping'!$A$2:$A$7,0))))</f>
        <v/>
      </c>
      <c r="N481" s="46" t="str">
        <f aca="false">IF($H481="","",'Survey Response'!$M479)</f>
        <v/>
      </c>
      <c r="O481" s="46" t="str">
        <f aca="false">IF($H481="","",IF('Survey Response'!$M479="Manager","R2","R1"))</f>
        <v/>
      </c>
      <c r="P481" s="46" t="str">
        <f aca="false">IF($K481="","No",IF(COUNTIFS(MasterPanel!$B:$B,$H481,MasterPanel!$I:$I,$K481,MasterPanel!$K:$K,"Y")&gt;0,"Yes","No"))</f>
        <v>No</v>
      </c>
      <c r="Q481" s="46" t="n">
        <f aca="false">IF($K481="",0,IF(COUNTIF('Gap Sheet'!$A$6:$A$11,TRIM($J481))=0,0,IF($O481="R1",INDEX('Gap Sheet'!$C$6:$C$11,MATCH(TRIM($J481),'Gap Sheet'!$A$6:$A$11,0)),INDEX('Gap Sheet'!$G$6:$G$11,MATCH(TRIM($J481),'Gap Sheet'!$A$6:$A$11,0)))))</f>
        <v>0</v>
      </c>
      <c r="R481" s="46" t="str">
        <f aca="false">IF($K481="","",$K481&amp;"|"&amp;$O481)</f>
        <v/>
      </c>
      <c r="S481" s="46" t="n">
        <f aca="false">IF($R481="",0,COUNTIF($AA$4:$AA480,$R481))</f>
        <v>0</v>
      </c>
      <c r="T481" s="46" t="str">
        <f aca="false">IF(OR($I481&lt;&gt;"Yes, I'm available for in-person interviews at Chennai",$E481&lt;&gt;"Yes",$P481&lt;&gt;"Yes"),"No",IF(($Q481-$S481)&gt;0,"Yes","No"))</f>
        <v>No</v>
      </c>
      <c r="U481" s="46" t="str">
        <f aca="false">IF($M481="","No",IF(COUNTIFS(MasterPanel!$B:$B,$H481,MasterPanel!$I:$I,$M481,MasterPanel!$K:$K,"Y")&gt;0,"Yes","No"))</f>
        <v>No</v>
      </c>
      <c r="V481" s="46" t="n">
        <f aca="false">IF($M481="",0,IF(COUNTIF('Gap Sheet'!$A$6:$A$11,TRIM($L481))=0,0,IF($O481="R1",INDEX('Gap Sheet'!$C$6:$C$11,MATCH(TRIM($L481),'Gap Sheet'!$A$6:$A$11,0)),INDEX('Gap Sheet'!$G$6:$G$11,MATCH(TRIM($L481),'Gap Sheet'!$A$6:$A$11,0)))))</f>
        <v>0</v>
      </c>
      <c r="W481" s="46" t="str">
        <f aca="false">IF($M481="","",$M481&amp;"|"&amp;$O481)</f>
        <v/>
      </c>
      <c r="X481" s="46" t="n">
        <f aca="false">IF($W481="",0,COUNTIF($AA$4:$AA480,$W481))</f>
        <v>0</v>
      </c>
      <c r="Y481" s="46" t="str">
        <f aca="false">IF(OR($I481&lt;&gt;"Yes, I'm available for in-person interviews at Chennai",$E481&lt;&gt;"Yes",$T481="Yes",$U481&lt;&gt;"Yes"),"No",IF(($V481-$X481)&gt;0,"Yes","No"))</f>
        <v>No</v>
      </c>
      <c r="Z481" s="46" t="str">
        <f aca="false">IF($T481="Yes","Primary",IF($Y481="Yes","Secondary",""))</f>
        <v/>
      </c>
      <c r="AA481" s="46" t="str">
        <f aca="false">IF($Z481="Primary",$R481,IF($Z481="Secondary",$W481,""))</f>
        <v/>
      </c>
      <c r="AB481" s="46" t="str">
        <f aca="false">IF($Z481="Primary","Matched on primary skill",IF($Z481="Secondary","Matched on secondary skill (primary not approved or not required)",""))</f>
        <v/>
      </c>
      <c r="AC481" s="47" t="str">
        <f aca="false">IF($D481="Panel Details",$F481,"")</f>
        <v/>
      </c>
      <c r="AD481" s="46" t="str">
        <f aca="false">IF($D481="Panel Details",'Survey Response'!$D479,"")</f>
        <v/>
      </c>
      <c r="AE481" s="46" t="str">
        <f aca="false">IF($D481="Panel Details",'Survey Response'!$E479,"")</f>
        <v/>
      </c>
      <c r="AF481" s="46" t="str">
        <f aca="false">IF($D481="Panel Details",'Survey Response'!$G479,"")</f>
        <v/>
      </c>
      <c r="AG481" s="46" t="str">
        <f aca="false">IF($D481="Panel Details",IF($Z481="Primary",$J481,$L481),"")</f>
        <v/>
      </c>
      <c r="AH481" s="46" t="str">
        <f aca="false">IF($D481="Panel Details",IF($Z481="Primary",$L481,$J481),"")</f>
        <v/>
      </c>
      <c r="AI481" s="46" t="str">
        <f aca="false">IF($D481="Panel Details",'Survey Response'!$H479,"")</f>
        <v/>
      </c>
      <c r="AJ481" s="46" t="str">
        <f aca="false">IF($D481="Panel Details",'Survey Response'!$M479,"")</f>
        <v/>
      </c>
      <c r="AK481" s="46" t="str">
        <f aca="false">IF($D481="Panel Details",$O481,"")</f>
        <v/>
      </c>
      <c r="AL481" s="46" t="str">
        <f aca="false">IF($D481="Panel Details",8,"")</f>
        <v/>
      </c>
      <c r="AM481" s="46" t="str">
        <f aca="false">IF($D481="Panel Details",$AB481,"")</f>
        <v/>
      </c>
      <c r="AN481" s="46" t="str">
        <f aca="false">IF($D481="Panel Details","Yes","")</f>
        <v/>
      </c>
      <c r="AO481" s="46"/>
      <c r="AP481" s="46" t="str">
        <f aca="false">IF($D481="Followup",'Survey Response'!$D479,"")</f>
        <v/>
      </c>
      <c r="AQ481" s="46" t="str">
        <f aca="false">IF($D481="Followup",'Survey Response'!$E479,"")</f>
        <v/>
      </c>
      <c r="AR481" s="46" t="str">
        <f aca="false">IF($D481="Followup",'Survey Response'!$G479,"")</f>
        <v/>
      </c>
      <c r="AS481" s="46" t="str">
        <f aca="false">IF($D481="Followup",'Survey Response'!$H479,"")</f>
        <v/>
      </c>
      <c r="AT481" s="46" t="str">
        <f aca="false">IF($D481="Followup",'Survey Response'!$M479,"")</f>
        <v/>
      </c>
      <c r="AU481" s="46" t="str">
        <f aca="false">IF($D481="Followup",'Survey Response'!$K479,"")</f>
        <v/>
      </c>
      <c r="AV481" s="46" t="str">
        <f aca="false">IF($D481="Followup",'Survey Response'!$L479,"")</f>
        <v/>
      </c>
      <c r="AW481" s="46" t="str">
        <f aca="false">IF($D481="Followup",IF(AND($P481&lt;&gt;"Yes",$U481&lt;&gt;"Yes"),"Not approved for primary or secondary skill","Approved, but skill(s) no longer have capacity (fully staffed)"),"")</f>
        <v/>
      </c>
    </row>
    <row r="482" customFormat="false" ht="15" hidden="false" customHeight="true" outlineLevel="0" collapsed="false">
      <c r="A482" s="46" t="str">
        <f aca="false">IF('Survey Response'!$D480="","",'Survey Response'!$A480&amp;"|"&amp;LOWER(TRIM('Survey Response'!$D480)))</f>
        <v/>
      </c>
      <c r="B482" s="46" t="str">
        <f aca="false">IF($H482="","",$F482&amp;"|"&amp;$H482)</f>
        <v/>
      </c>
      <c r="C482" s="46" t="str">
        <f aca="false">IF($H482="","",$A482=$B482)</f>
        <v/>
      </c>
      <c r="D482" s="46" t="str">
        <f aca="false">IF($H482="","",IF($E482&lt;&gt;"Yes","Superseded",IF($I482&lt;&gt;"Yes, I'm available for in-person interviews at Chennai","Not Available",IF($Z482&lt;&gt;"","Panel Details","Followup"))))</f>
        <v/>
      </c>
      <c r="E482" s="46" t="str">
        <f aca="false">IF($H482="","",IF(SUMPRODUCT(($H$4:$H$503=$H482)*(($G$4:$G$503&gt;$G482)+($G$4:$G$503=$G482)*($F$4:$F$503&gt;$F482)))=0,"Yes","No"))</f>
        <v/>
      </c>
      <c r="F482" s="47" t="str">
        <f aca="false">IF('Survey Response'!$D480="","",INT('Survey Response'!$A480))</f>
        <v/>
      </c>
      <c r="G482" s="46" t="str">
        <f aca="false">IF('Survey Response'!$D480="","",'Survey Response'!$C480)</f>
        <v/>
      </c>
      <c r="H482" s="46" t="str">
        <f aca="false">IF('Survey Response'!$D480="","",LOWER(TRIM('Survey Response'!$D480)))</f>
        <v/>
      </c>
      <c r="I482" s="46" t="str">
        <f aca="false">IF($H482="","",'Survey Response'!$I480)</f>
        <v/>
      </c>
      <c r="J482" s="46" t="str">
        <f aca="false">IF($H482="","",'Survey Response'!$K480)</f>
        <v/>
      </c>
      <c r="K482" s="46" t="str">
        <f aca="false">IF($J482="","",IF(COUNTIF('Skill Mapping'!$A$2:$A$7,TRIM($J482))=0,"",INDEX('Skill Mapping'!$B$2:$B$7,MATCH(TRIM($J482),'Skill Mapping'!$A$2:$A$7,0))))</f>
        <v/>
      </c>
      <c r="L482" s="46" t="str">
        <f aca="false">IF($H482="","",'Survey Response'!$L480)</f>
        <v/>
      </c>
      <c r="M482" s="46" t="str">
        <f aca="false">IF($L482="","",IF(COUNTIF('Skill Mapping'!$A$2:$A$7,TRIM($L482))=0,"",INDEX('Skill Mapping'!$B$2:$B$7,MATCH(TRIM($L482),'Skill Mapping'!$A$2:$A$7,0))))</f>
        <v/>
      </c>
      <c r="N482" s="46" t="str">
        <f aca="false">IF($H482="","",'Survey Response'!$M480)</f>
        <v/>
      </c>
      <c r="O482" s="46" t="str">
        <f aca="false">IF($H482="","",IF('Survey Response'!$M480="Manager","R2","R1"))</f>
        <v/>
      </c>
      <c r="P482" s="46" t="str">
        <f aca="false">IF($K482="","No",IF(COUNTIFS(MasterPanel!$B:$B,$H482,MasterPanel!$I:$I,$K482,MasterPanel!$K:$K,"Y")&gt;0,"Yes","No"))</f>
        <v>No</v>
      </c>
      <c r="Q482" s="46" t="n">
        <f aca="false">IF($K482="",0,IF(COUNTIF('Gap Sheet'!$A$6:$A$11,TRIM($J482))=0,0,IF($O482="R1",INDEX('Gap Sheet'!$C$6:$C$11,MATCH(TRIM($J482),'Gap Sheet'!$A$6:$A$11,0)),INDEX('Gap Sheet'!$G$6:$G$11,MATCH(TRIM($J482),'Gap Sheet'!$A$6:$A$11,0)))))</f>
        <v>0</v>
      </c>
      <c r="R482" s="46" t="str">
        <f aca="false">IF($K482="","",$K482&amp;"|"&amp;$O482)</f>
        <v/>
      </c>
      <c r="S482" s="46" t="n">
        <f aca="false">IF($R482="",0,COUNTIF($AA$4:$AA481,$R482))</f>
        <v>0</v>
      </c>
      <c r="T482" s="46" t="str">
        <f aca="false">IF(OR($I482&lt;&gt;"Yes, I'm available for in-person interviews at Chennai",$E482&lt;&gt;"Yes",$P482&lt;&gt;"Yes"),"No",IF(($Q482-$S482)&gt;0,"Yes","No"))</f>
        <v>No</v>
      </c>
      <c r="U482" s="46" t="str">
        <f aca="false">IF($M482="","No",IF(COUNTIFS(MasterPanel!$B:$B,$H482,MasterPanel!$I:$I,$M482,MasterPanel!$K:$K,"Y")&gt;0,"Yes","No"))</f>
        <v>No</v>
      </c>
      <c r="V482" s="46" t="n">
        <f aca="false">IF($M482="",0,IF(COUNTIF('Gap Sheet'!$A$6:$A$11,TRIM($L482))=0,0,IF($O482="R1",INDEX('Gap Sheet'!$C$6:$C$11,MATCH(TRIM($L482),'Gap Sheet'!$A$6:$A$11,0)),INDEX('Gap Sheet'!$G$6:$G$11,MATCH(TRIM($L482),'Gap Sheet'!$A$6:$A$11,0)))))</f>
        <v>0</v>
      </c>
      <c r="W482" s="46" t="str">
        <f aca="false">IF($M482="","",$M482&amp;"|"&amp;$O482)</f>
        <v/>
      </c>
      <c r="X482" s="46" t="n">
        <f aca="false">IF($W482="",0,COUNTIF($AA$4:$AA481,$W482))</f>
        <v>0</v>
      </c>
      <c r="Y482" s="46" t="str">
        <f aca="false">IF(OR($I482&lt;&gt;"Yes, I'm available for in-person interviews at Chennai",$E482&lt;&gt;"Yes",$T482="Yes",$U482&lt;&gt;"Yes"),"No",IF(($V482-$X482)&gt;0,"Yes","No"))</f>
        <v>No</v>
      </c>
      <c r="Z482" s="46" t="str">
        <f aca="false">IF($T482="Yes","Primary",IF($Y482="Yes","Secondary",""))</f>
        <v/>
      </c>
      <c r="AA482" s="46" t="str">
        <f aca="false">IF($Z482="Primary",$R482,IF($Z482="Secondary",$W482,""))</f>
        <v/>
      </c>
      <c r="AB482" s="46" t="str">
        <f aca="false">IF($Z482="Primary","Matched on primary skill",IF($Z482="Secondary","Matched on secondary skill (primary not approved or not required)",""))</f>
        <v/>
      </c>
      <c r="AC482" s="47" t="str">
        <f aca="false">IF($D482="Panel Details",$F482,"")</f>
        <v/>
      </c>
      <c r="AD482" s="46" t="str">
        <f aca="false">IF($D482="Panel Details",'Survey Response'!$D480,"")</f>
        <v/>
      </c>
      <c r="AE482" s="46" t="str">
        <f aca="false">IF($D482="Panel Details",'Survey Response'!$E480,"")</f>
        <v/>
      </c>
      <c r="AF482" s="46" t="str">
        <f aca="false">IF($D482="Panel Details",'Survey Response'!$G480,"")</f>
        <v/>
      </c>
      <c r="AG482" s="46" t="str">
        <f aca="false">IF($D482="Panel Details",IF($Z482="Primary",$J482,$L482),"")</f>
        <v/>
      </c>
      <c r="AH482" s="46" t="str">
        <f aca="false">IF($D482="Panel Details",IF($Z482="Primary",$L482,$J482),"")</f>
        <v/>
      </c>
      <c r="AI482" s="46" t="str">
        <f aca="false">IF($D482="Panel Details",'Survey Response'!$H480,"")</f>
        <v/>
      </c>
      <c r="AJ482" s="46" t="str">
        <f aca="false">IF($D482="Panel Details",'Survey Response'!$M480,"")</f>
        <v/>
      </c>
      <c r="AK482" s="46" t="str">
        <f aca="false">IF($D482="Panel Details",$O482,"")</f>
        <v/>
      </c>
      <c r="AL482" s="46" t="str">
        <f aca="false">IF($D482="Panel Details",8,"")</f>
        <v/>
      </c>
      <c r="AM482" s="46" t="str">
        <f aca="false">IF($D482="Panel Details",$AB482,"")</f>
        <v/>
      </c>
      <c r="AN482" s="46" t="str">
        <f aca="false">IF($D482="Panel Details","Yes","")</f>
        <v/>
      </c>
      <c r="AO482" s="46"/>
      <c r="AP482" s="46" t="str">
        <f aca="false">IF($D482="Followup",'Survey Response'!$D480,"")</f>
        <v/>
      </c>
      <c r="AQ482" s="46" t="str">
        <f aca="false">IF($D482="Followup",'Survey Response'!$E480,"")</f>
        <v/>
      </c>
      <c r="AR482" s="46" t="str">
        <f aca="false">IF($D482="Followup",'Survey Response'!$G480,"")</f>
        <v/>
      </c>
      <c r="AS482" s="46" t="str">
        <f aca="false">IF($D482="Followup",'Survey Response'!$H480,"")</f>
        <v/>
      </c>
      <c r="AT482" s="46" t="str">
        <f aca="false">IF($D482="Followup",'Survey Response'!$M480,"")</f>
        <v/>
      </c>
      <c r="AU482" s="46" t="str">
        <f aca="false">IF($D482="Followup",'Survey Response'!$K480,"")</f>
        <v/>
      </c>
      <c r="AV482" s="46" t="str">
        <f aca="false">IF($D482="Followup",'Survey Response'!$L480,"")</f>
        <v/>
      </c>
      <c r="AW482" s="46" t="str">
        <f aca="false">IF($D482="Followup",IF(AND($P482&lt;&gt;"Yes",$U482&lt;&gt;"Yes"),"Not approved for primary or secondary skill","Approved, but skill(s) no longer have capacity (fully staffed)"),"")</f>
        <v/>
      </c>
    </row>
    <row r="483" customFormat="false" ht="15" hidden="false" customHeight="true" outlineLevel="0" collapsed="false">
      <c r="A483" s="46" t="str">
        <f aca="false">IF('Survey Response'!$D481="","",'Survey Response'!$A481&amp;"|"&amp;LOWER(TRIM('Survey Response'!$D481)))</f>
        <v/>
      </c>
      <c r="B483" s="46" t="str">
        <f aca="false">IF($H483="","",$F483&amp;"|"&amp;$H483)</f>
        <v/>
      </c>
      <c r="C483" s="46" t="str">
        <f aca="false">IF($H483="","",$A483=$B483)</f>
        <v/>
      </c>
      <c r="D483" s="46" t="str">
        <f aca="false">IF($H483="","",IF($E483&lt;&gt;"Yes","Superseded",IF($I483&lt;&gt;"Yes, I'm available for in-person interviews at Chennai","Not Available",IF($Z483&lt;&gt;"","Panel Details","Followup"))))</f>
        <v/>
      </c>
      <c r="E483" s="46" t="str">
        <f aca="false">IF($H483="","",IF(SUMPRODUCT(($H$4:$H$503=$H483)*(($G$4:$G$503&gt;$G483)+($G$4:$G$503=$G483)*($F$4:$F$503&gt;$F483)))=0,"Yes","No"))</f>
        <v/>
      </c>
      <c r="F483" s="47" t="str">
        <f aca="false">IF('Survey Response'!$D481="","",INT('Survey Response'!$A481))</f>
        <v/>
      </c>
      <c r="G483" s="46" t="str">
        <f aca="false">IF('Survey Response'!$D481="","",'Survey Response'!$C481)</f>
        <v/>
      </c>
      <c r="H483" s="46" t="str">
        <f aca="false">IF('Survey Response'!$D481="","",LOWER(TRIM('Survey Response'!$D481)))</f>
        <v/>
      </c>
      <c r="I483" s="46" t="str">
        <f aca="false">IF($H483="","",'Survey Response'!$I481)</f>
        <v/>
      </c>
      <c r="J483" s="46" t="str">
        <f aca="false">IF($H483="","",'Survey Response'!$K481)</f>
        <v/>
      </c>
      <c r="K483" s="46" t="str">
        <f aca="false">IF($J483="","",IF(COUNTIF('Skill Mapping'!$A$2:$A$7,TRIM($J483))=0,"",INDEX('Skill Mapping'!$B$2:$B$7,MATCH(TRIM($J483),'Skill Mapping'!$A$2:$A$7,0))))</f>
        <v/>
      </c>
      <c r="L483" s="46" t="str">
        <f aca="false">IF($H483="","",'Survey Response'!$L481)</f>
        <v/>
      </c>
      <c r="M483" s="46" t="str">
        <f aca="false">IF($L483="","",IF(COUNTIF('Skill Mapping'!$A$2:$A$7,TRIM($L483))=0,"",INDEX('Skill Mapping'!$B$2:$B$7,MATCH(TRIM($L483),'Skill Mapping'!$A$2:$A$7,0))))</f>
        <v/>
      </c>
      <c r="N483" s="46" t="str">
        <f aca="false">IF($H483="","",'Survey Response'!$M481)</f>
        <v/>
      </c>
      <c r="O483" s="46" t="str">
        <f aca="false">IF($H483="","",IF('Survey Response'!$M481="Manager","R2","R1"))</f>
        <v/>
      </c>
      <c r="P483" s="46" t="str">
        <f aca="false">IF($K483="","No",IF(COUNTIFS(MasterPanel!$B:$B,$H483,MasterPanel!$I:$I,$K483,MasterPanel!$K:$K,"Y")&gt;0,"Yes","No"))</f>
        <v>No</v>
      </c>
      <c r="Q483" s="46" t="n">
        <f aca="false">IF($K483="",0,IF(COUNTIF('Gap Sheet'!$A$6:$A$11,TRIM($J483))=0,0,IF($O483="R1",INDEX('Gap Sheet'!$C$6:$C$11,MATCH(TRIM($J483),'Gap Sheet'!$A$6:$A$11,0)),INDEX('Gap Sheet'!$G$6:$G$11,MATCH(TRIM($J483),'Gap Sheet'!$A$6:$A$11,0)))))</f>
        <v>0</v>
      </c>
      <c r="R483" s="46" t="str">
        <f aca="false">IF($K483="","",$K483&amp;"|"&amp;$O483)</f>
        <v/>
      </c>
      <c r="S483" s="46" t="n">
        <f aca="false">IF($R483="",0,COUNTIF($AA$4:$AA482,$R483))</f>
        <v>0</v>
      </c>
      <c r="T483" s="46" t="str">
        <f aca="false">IF(OR($I483&lt;&gt;"Yes, I'm available for in-person interviews at Chennai",$E483&lt;&gt;"Yes",$P483&lt;&gt;"Yes"),"No",IF(($Q483-$S483)&gt;0,"Yes","No"))</f>
        <v>No</v>
      </c>
      <c r="U483" s="46" t="str">
        <f aca="false">IF($M483="","No",IF(COUNTIFS(MasterPanel!$B:$B,$H483,MasterPanel!$I:$I,$M483,MasterPanel!$K:$K,"Y")&gt;0,"Yes","No"))</f>
        <v>No</v>
      </c>
      <c r="V483" s="46" t="n">
        <f aca="false">IF($M483="",0,IF(COUNTIF('Gap Sheet'!$A$6:$A$11,TRIM($L483))=0,0,IF($O483="R1",INDEX('Gap Sheet'!$C$6:$C$11,MATCH(TRIM($L483),'Gap Sheet'!$A$6:$A$11,0)),INDEX('Gap Sheet'!$G$6:$G$11,MATCH(TRIM($L483),'Gap Sheet'!$A$6:$A$11,0)))))</f>
        <v>0</v>
      </c>
      <c r="W483" s="46" t="str">
        <f aca="false">IF($M483="","",$M483&amp;"|"&amp;$O483)</f>
        <v/>
      </c>
      <c r="X483" s="46" t="n">
        <f aca="false">IF($W483="",0,COUNTIF($AA$4:$AA482,$W483))</f>
        <v>0</v>
      </c>
      <c r="Y483" s="46" t="str">
        <f aca="false">IF(OR($I483&lt;&gt;"Yes, I'm available for in-person interviews at Chennai",$E483&lt;&gt;"Yes",$T483="Yes",$U483&lt;&gt;"Yes"),"No",IF(($V483-$X483)&gt;0,"Yes","No"))</f>
        <v>No</v>
      </c>
      <c r="Z483" s="46" t="str">
        <f aca="false">IF($T483="Yes","Primary",IF($Y483="Yes","Secondary",""))</f>
        <v/>
      </c>
      <c r="AA483" s="46" t="str">
        <f aca="false">IF($Z483="Primary",$R483,IF($Z483="Secondary",$W483,""))</f>
        <v/>
      </c>
      <c r="AB483" s="46" t="str">
        <f aca="false">IF($Z483="Primary","Matched on primary skill",IF($Z483="Secondary","Matched on secondary skill (primary not approved or not required)",""))</f>
        <v/>
      </c>
      <c r="AC483" s="47" t="str">
        <f aca="false">IF($D483="Panel Details",$F483,"")</f>
        <v/>
      </c>
      <c r="AD483" s="46" t="str">
        <f aca="false">IF($D483="Panel Details",'Survey Response'!$D481,"")</f>
        <v/>
      </c>
      <c r="AE483" s="46" t="str">
        <f aca="false">IF($D483="Panel Details",'Survey Response'!$E481,"")</f>
        <v/>
      </c>
      <c r="AF483" s="46" t="str">
        <f aca="false">IF($D483="Panel Details",'Survey Response'!$G481,"")</f>
        <v/>
      </c>
      <c r="AG483" s="46" t="str">
        <f aca="false">IF($D483="Panel Details",IF($Z483="Primary",$J483,$L483),"")</f>
        <v/>
      </c>
      <c r="AH483" s="46" t="str">
        <f aca="false">IF($D483="Panel Details",IF($Z483="Primary",$L483,$J483),"")</f>
        <v/>
      </c>
      <c r="AI483" s="46" t="str">
        <f aca="false">IF($D483="Panel Details",'Survey Response'!$H481,"")</f>
        <v/>
      </c>
      <c r="AJ483" s="46" t="str">
        <f aca="false">IF($D483="Panel Details",'Survey Response'!$M481,"")</f>
        <v/>
      </c>
      <c r="AK483" s="46" t="str">
        <f aca="false">IF($D483="Panel Details",$O483,"")</f>
        <v/>
      </c>
      <c r="AL483" s="46" t="str">
        <f aca="false">IF($D483="Panel Details",8,"")</f>
        <v/>
      </c>
      <c r="AM483" s="46" t="str">
        <f aca="false">IF($D483="Panel Details",$AB483,"")</f>
        <v/>
      </c>
      <c r="AN483" s="46" t="str">
        <f aca="false">IF($D483="Panel Details","Yes","")</f>
        <v/>
      </c>
      <c r="AO483" s="46"/>
      <c r="AP483" s="46" t="str">
        <f aca="false">IF($D483="Followup",'Survey Response'!$D481,"")</f>
        <v/>
      </c>
      <c r="AQ483" s="46" t="str">
        <f aca="false">IF($D483="Followup",'Survey Response'!$E481,"")</f>
        <v/>
      </c>
      <c r="AR483" s="46" t="str">
        <f aca="false">IF($D483="Followup",'Survey Response'!$G481,"")</f>
        <v/>
      </c>
      <c r="AS483" s="46" t="str">
        <f aca="false">IF($D483="Followup",'Survey Response'!$H481,"")</f>
        <v/>
      </c>
      <c r="AT483" s="46" t="str">
        <f aca="false">IF($D483="Followup",'Survey Response'!$M481,"")</f>
        <v/>
      </c>
      <c r="AU483" s="46" t="str">
        <f aca="false">IF($D483="Followup",'Survey Response'!$K481,"")</f>
        <v/>
      </c>
      <c r="AV483" s="46" t="str">
        <f aca="false">IF($D483="Followup",'Survey Response'!$L481,"")</f>
        <v/>
      </c>
      <c r="AW483" s="46" t="str">
        <f aca="false">IF($D483="Followup",IF(AND($P483&lt;&gt;"Yes",$U483&lt;&gt;"Yes"),"Not approved for primary or secondary skill","Approved, but skill(s) no longer have capacity (fully staffed)"),"")</f>
        <v/>
      </c>
    </row>
    <row r="484" customFormat="false" ht="15" hidden="false" customHeight="true" outlineLevel="0" collapsed="false">
      <c r="A484" s="46" t="str">
        <f aca="false">IF('Survey Response'!$D482="","",'Survey Response'!$A482&amp;"|"&amp;LOWER(TRIM('Survey Response'!$D482)))</f>
        <v/>
      </c>
      <c r="B484" s="46" t="str">
        <f aca="false">IF($H484="","",$F484&amp;"|"&amp;$H484)</f>
        <v/>
      </c>
      <c r="C484" s="46" t="str">
        <f aca="false">IF($H484="","",$A484=$B484)</f>
        <v/>
      </c>
      <c r="D484" s="46" t="str">
        <f aca="false">IF($H484="","",IF($E484&lt;&gt;"Yes","Superseded",IF($I484&lt;&gt;"Yes, I'm available for in-person interviews at Chennai","Not Available",IF($Z484&lt;&gt;"","Panel Details","Followup"))))</f>
        <v/>
      </c>
      <c r="E484" s="46" t="str">
        <f aca="false">IF($H484="","",IF(SUMPRODUCT(($H$4:$H$503=$H484)*(($G$4:$G$503&gt;$G484)+($G$4:$G$503=$G484)*($F$4:$F$503&gt;$F484)))=0,"Yes","No"))</f>
        <v/>
      </c>
      <c r="F484" s="47" t="str">
        <f aca="false">IF('Survey Response'!$D482="","",INT('Survey Response'!$A482))</f>
        <v/>
      </c>
      <c r="G484" s="46" t="str">
        <f aca="false">IF('Survey Response'!$D482="","",'Survey Response'!$C482)</f>
        <v/>
      </c>
      <c r="H484" s="46" t="str">
        <f aca="false">IF('Survey Response'!$D482="","",LOWER(TRIM('Survey Response'!$D482)))</f>
        <v/>
      </c>
      <c r="I484" s="46" t="str">
        <f aca="false">IF($H484="","",'Survey Response'!$I482)</f>
        <v/>
      </c>
      <c r="J484" s="46" t="str">
        <f aca="false">IF($H484="","",'Survey Response'!$K482)</f>
        <v/>
      </c>
      <c r="K484" s="46" t="str">
        <f aca="false">IF($J484="","",IF(COUNTIF('Skill Mapping'!$A$2:$A$7,TRIM($J484))=0,"",INDEX('Skill Mapping'!$B$2:$B$7,MATCH(TRIM($J484),'Skill Mapping'!$A$2:$A$7,0))))</f>
        <v/>
      </c>
      <c r="L484" s="46" t="str">
        <f aca="false">IF($H484="","",'Survey Response'!$L482)</f>
        <v/>
      </c>
      <c r="M484" s="46" t="str">
        <f aca="false">IF($L484="","",IF(COUNTIF('Skill Mapping'!$A$2:$A$7,TRIM($L484))=0,"",INDEX('Skill Mapping'!$B$2:$B$7,MATCH(TRIM($L484),'Skill Mapping'!$A$2:$A$7,0))))</f>
        <v/>
      </c>
      <c r="N484" s="46" t="str">
        <f aca="false">IF($H484="","",'Survey Response'!$M482)</f>
        <v/>
      </c>
      <c r="O484" s="46" t="str">
        <f aca="false">IF($H484="","",IF('Survey Response'!$M482="Manager","R2","R1"))</f>
        <v/>
      </c>
      <c r="P484" s="46" t="str">
        <f aca="false">IF($K484="","No",IF(COUNTIFS(MasterPanel!$B:$B,$H484,MasterPanel!$I:$I,$K484,MasterPanel!$K:$K,"Y")&gt;0,"Yes","No"))</f>
        <v>No</v>
      </c>
      <c r="Q484" s="46" t="n">
        <f aca="false">IF($K484="",0,IF(COUNTIF('Gap Sheet'!$A$6:$A$11,TRIM($J484))=0,0,IF($O484="R1",INDEX('Gap Sheet'!$C$6:$C$11,MATCH(TRIM($J484),'Gap Sheet'!$A$6:$A$11,0)),INDEX('Gap Sheet'!$G$6:$G$11,MATCH(TRIM($J484),'Gap Sheet'!$A$6:$A$11,0)))))</f>
        <v>0</v>
      </c>
      <c r="R484" s="46" t="str">
        <f aca="false">IF($K484="","",$K484&amp;"|"&amp;$O484)</f>
        <v/>
      </c>
      <c r="S484" s="46" t="n">
        <f aca="false">IF($R484="",0,COUNTIF($AA$4:$AA483,$R484))</f>
        <v>0</v>
      </c>
      <c r="T484" s="46" t="str">
        <f aca="false">IF(OR($I484&lt;&gt;"Yes, I'm available for in-person interviews at Chennai",$E484&lt;&gt;"Yes",$P484&lt;&gt;"Yes"),"No",IF(($Q484-$S484)&gt;0,"Yes","No"))</f>
        <v>No</v>
      </c>
      <c r="U484" s="46" t="str">
        <f aca="false">IF($M484="","No",IF(COUNTIFS(MasterPanel!$B:$B,$H484,MasterPanel!$I:$I,$M484,MasterPanel!$K:$K,"Y")&gt;0,"Yes","No"))</f>
        <v>No</v>
      </c>
      <c r="V484" s="46" t="n">
        <f aca="false">IF($M484="",0,IF(COUNTIF('Gap Sheet'!$A$6:$A$11,TRIM($L484))=0,0,IF($O484="R1",INDEX('Gap Sheet'!$C$6:$C$11,MATCH(TRIM($L484),'Gap Sheet'!$A$6:$A$11,0)),INDEX('Gap Sheet'!$G$6:$G$11,MATCH(TRIM($L484),'Gap Sheet'!$A$6:$A$11,0)))))</f>
        <v>0</v>
      </c>
      <c r="W484" s="46" t="str">
        <f aca="false">IF($M484="","",$M484&amp;"|"&amp;$O484)</f>
        <v/>
      </c>
      <c r="X484" s="46" t="n">
        <f aca="false">IF($W484="",0,COUNTIF($AA$4:$AA483,$W484))</f>
        <v>0</v>
      </c>
      <c r="Y484" s="46" t="str">
        <f aca="false">IF(OR($I484&lt;&gt;"Yes, I'm available for in-person interviews at Chennai",$E484&lt;&gt;"Yes",$T484="Yes",$U484&lt;&gt;"Yes"),"No",IF(($V484-$X484)&gt;0,"Yes","No"))</f>
        <v>No</v>
      </c>
      <c r="Z484" s="46" t="str">
        <f aca="false">IF($T484="Yes","Primary",IF($Y484="Yes","Secondary",""))</f>
        <v/>
      </c>
      <c r="AA484" s="46" t="str">
        <f aca="false">IF($Z484="Primary",$R484,IF($Z484="Secondary",$W484,""))</f>
        <v/>
      </c>
      <c r="AB484" s="46" t="str">
        <f aca="false">IF($Z484="Primary","Matched on primary skill",IF($Z484="Secondary","Matched on secondary skill (primary not approved or not required)",""))</f>
        <v/>
      </c>
      <c r="AC484" s="47" t="str">
        <f aca="false">IF($D484="Panel Details",$F484,"")</f>
        <v/>
      </c>
      <c r="AD484" s="46" t="str">
        <f aca="false">IF($D484="Panel Details",'Survey Response'!$D482,"")</f>
        <v/>
      </c>
      <c r="AE484" s="46" t="str">
        <f aca="false">IF($D484="Panel Details",'Survey Response'!$E482,"")</f>
        <v/>
      </c>
      <c r="AF484" s="46" t="str">
        <f aca="false">IF($D484="Panel Details",'Survey Response'!$G482,"")</f>
        <v/>
      </c>
      <c r="AG484" s="46" t="str">
        <f aca="false">IF($D484="Panel Details",IF($Z484="Primary",$J484,$L484),"")</f>
        <v/>
      </c>
      <c r="AH484" s="46" t="str">
        <f aca="false">IF($D484="Panel Details",IF($Z484="Primary",$L484,$J484),"")</f>
        <v/>
      </c>
      <c r="AI484" s="46" t="str">
        <f aca="false">IF($D484="Panel Details",'Survey Response'!$H482,"")</f>
        <v/>
      </c>
      <c r="AJ484" s="46" t="str">
        <f aca="false">IF($D484="Panel Details",'Survey Response'!$M482,"")</f>
        <v/>
      </c>
      <c r="AK484" s="46" t="str">
        <f aca="false">IF($D484="Panel Details",$O484,"")</f>
        <v/>
      </c>
      <c r="AL484" s="46" t="str">
        <f aca="false">IF($D484="Panel Details",8,"")</f>
        <v/>
      </c>
      <c r="AM484" s="46" t="str">
        <f aca="false">IF($D484="Panel Details",$AB484,"")</f>
        <v/>
      </c>
      <c r="AN484" s="46" t="str">
        <f aca="false">IF($D484="Panel Details","Yes","")</f>
        <v/>
      </c>
      <c r="AO484" s="46"/>
      <c r="AP484" s="46" t="str">
        <f aca="false">IF($D484="Followup",'Survey Response'!$D482,"")</f>
        <v/>
      </c>
      <c r="AQ484" s="46" t="str">
        <f aca="false">IF($D484="Followup",'Survey Response'!$E482,"")</f>
        <v/>
      </c>
      <c r="AR484" s="46" t="str">
        <f aca="false">IF($D484="Followup",'Survey Response'!$G482,"")</f>
        <v/>
      </c>
      <c r="AS484" s="46" t="str">
        <f aca="false">IF($D484="Followup",'Survey Response'!$H482,"")</f>
        <v/>
      </c>
      <c r="AT484" s="46" t="str">
        <f aca="false">IF($D484="Followup",'Survey Response'!$M482,"")</f>
        <v/>
      </c>
      <c r="AU484" s="46" t="str">
        <f aca="false">IF($D484="Followup",'Survey Response'!$K482,"")</f>
        <v/>
      </c>
      <c r="AV484" s="46" t="str">
        <f aca="false">IF($D484="Followup",'Survey Response'!$L482,"")</f>
        <v/>
      </c>
      <c r="AW484" s="46" t="str">
        <f aca="false">IF($D484="Followup",IF(AND($P484&lt;&gt;"Yes",$U484&lt;&gt;"Yes"),"Not approved for primary or secondary skill","Approved, but skill(s) no longer have capacity (fully staffed)"),"")</f>
        <v/>
      </c>
    </row>
    <row r="485" customFormat="false" ht="15" hidden="false" customHeight="true" outlineLevel="0" collapsed="false">
      <c r="A485" s="46" t="str">
        <f aca="false">IF('Survey Response'!$D483="","",'Survey Response'!$A483&amp;"|"&amp;LOWER(TRIM('Survey Response'!$D483)))</f>
        <v/>
      </c>
      <c r="B485" s="46" t="str">
        <f aca="false">IF($H485="","",$F485&amp;"|"&amp;$H485)</f>
        <v/>
      </c>
      <c r="C485" s="46" t="str">
        <f aca="false">IF($H485="","",$A485=$B485)</f>
        <v/>
      </c>
      <c r="D485" s="46" t="str">
        <f aca="false">IF($H485="","",IF($E485&lt;&gt;"Yes","Superseded",IF($I485&lt;&gt;"Yes, I'm available for in-person interviews at Chennai","Not Available",IF($Z485&lt;&gt;"","Panel Details","Followup"))))</f>
        <v/>
      </c>
      <c r="E485" s="46" t="str">
        <f aca="false">IF($H485="","",IF(SUMPRODUCT(($H$4:$H$503=$H485)*(($G$4:$G$503&gt;$G485)+($G$4:$G$503=$G485)*($F$4:$F$503&gt;$F485)))=0,"Yes","No"))</f>
        <v/>
      </c>
      <c r="F485" s="47" t="str">
        <f aca="false">IF('Survey Response'!$D483="","",INT('Survey Response'!$A483))</f>
        <v/>
      </c>
      <c r="G485" s="46" t="str">
        <f aca="false">IF('Survey Response'!$D483="","",'Survey Response'!$C483)</f>
        <v/>
      </c>
      <c r="H485" s="46" t="str">
        <f aca="false">IF('Survey Response'!$D483="","",LOWER(TRIM('Survey Response'!$D483)))</f>
        <v/>
      </c>
      <c r="I485" s="46" t="str">
        <f aca="false">IF($H485="","",'Survey Response'!$I483)</f>
        <v/>
      </c>
      <c r="J485" s="46" t="str">
        <f aca="false">IF($H485="","",'Survey Response'!$K483)</f>
        <v/>
      </c>
      <c r="K485" s="46" t="str">
        <f aca="false">IF($J485="","",IF(COUNTIF('Skill Mapping'!$A$2:$A$7,TRIM($J485))=0,"",INDEX('Skill Mapping'!$B$2:$B$7,MATCH(TRIM($J485),'Skill Mapping'!$A$2:$A$7,0))))</f>
        <v/>
      </c>
      <c r="L485" s="46" t="str">
        <f aca="false">IF($H485="","",'Survey Response'!$L483)</f>
        <v/>
      </c>
      <c r="M485" s="46" t="str">
        <f aca="false">IF($L485="","",IF(COUNTIF('Skill Mapping'!$A$2:$A$7,TRIM($L485))=0,"",INDEX('Skill Mapping'!$B$2:$B$7,MATCH(TRIM($L485),'Skill Mapping'!$A$2:$A$7,0))))</f>
        <v/>
      </c>
      <c r="N485" s="46" t="str">
        <f aca="false">IF($H485="","",'Survey Response'!$M483)</f>
        <v/>
      </c>
      <c r="O485" s="46" t="str">
        <f aca="false">IF($H485="","",IF('Survey Response'!$M483="Manager","R2","R1"))</f>
        <v/>
      </c>
      <c r="P485" s="46" t="str">
        <f aca="false">IF($K485="","No",IF(COUNTIFS(MasterPanel!$B:$B,$H485,MasterPanel!$I:$I,$K485,MasterPanel!$K:$K,"Y")&gt;0,"Yes","No"))</f>
        <v>No</v>
      </c>
      <c r="Q485" s="46" t="n">
        <f aca="false">IF($K485="",0,IF(COUNTIF('Gap Sheet'!$A$6:$A$11,TRIM($J485))=0,0,IF($O485="R1",INDEX('Gap Sheet'!$C$6:$C$11,MATCH(TRIM($J485),'Gap Sheet'!$A$6:$A$11,0)),INDEX('Gap Sheet'!$G$6:$G$11,MATCH(TRIM($J485),'Gap Sheet'!$A$6:$A$11,0)))))</f>
        <v>0</v>
      </c>
      <c r="R485" s="46" t="str">
        <f aca="false">IF($K485="","",$K485&amp;"|"&amp;$O485)</f>
        <v/>
      </c>
      <c r="S485" s="46" t="n">
        <f aca="false">IF($R485="",0,COUNTIF($AA$4:$AA484,$R485))</f>
        <v>0</v>
      </c>
      <c r="T485" s="46" t="str">
        <f aca="false">IF(OR($I485&lt;&gt;"Yes, I'm available for in-person interviews at Chennai",$E485&lt;&gt;"Yes",$P485&lt;&gt;"Yes"),"No",IF(($Q485-$S485)&gt;0,"Yes","No"))</f>
        <v>No</v>
      </c>
      <c r="U485" s="46" t="str">
        <f aca="false">IF($M485="","No",IF(COUNTIFS(MasterPanel!$B:$B,$H485,MasterPanel!$I:$I,$M485,MasterPanel!$K:$K,"Y")&gt;0,"Yes","No"))</f>
        <v>No</v>
      </c>
      <c r="V485" s="46" t="n">
        <f aca="false">IF($M485="",0,IF(COUNTIF('Gap Sheet'!$A$6:$A$11,TRIM($L485))=0,0,IF($O485="R1",INDEX('Gap Sheet'!$C$6:$C$11,MATCH(TRIM($L485),'Gap Sheet'!$A$6:$A$11,0)),INDEX('Gap Sheet'!$G$6:$G$11,MATCH(TRIM($L485),'Gap Sheet'!$A$6:$A$11,0)))))</f>
        <v>0</v>
      </c>
      <c r="W485" s="46" t="str">
        <f aca="false">IF($M485="","",$M485&amp;"|"&amp;$O485)</f>
        <v/>
      </c>
      <c r="X485" s="46" t="n">
        <f aca="false">IF($W485="",0,COUNTIF($AA$4:$AA484,$W485))</f>
        <v>0</v>
      </c>
      <c r="Y485" s="46" t="str">
        <f aca="false">IF(OR($I485&lt;&gt;"Yes, I'm available for in-person interviews at Chennai",$E485&lt;&gt;"Yes",$T485="Yes",$U485&lt;&gt;"Yes"),"No",IF(($V485-$X485)&gt;0,"Yes","No"))</f>
        <v>No</v>
      </c>
      <c r="Z485" s="46" t="str">
        <f aca="false">IF($T485="Yes","Primary",IF($Y485="Yes","Secondary",""))</f>
        <v/>
      </c>
      <c r="AA485" s="46" t="str">
        <f aca="false">IF($Z485="Primary",$R485,IF($Z485="Secondary",$W485,""))</f>
        <v/>
      </c>
      <c r="AB485" s="46" t="str">
        <f aca="false">IF($Z485="Primary","Matched on primary skill",IF($Z485="Secondary","Matched on secondary skill (primary not approved or not required)",""))</f>
        <v/>
      </c>
      <c r="AC485" s="47" t="str">
        <f aca="false">IF($D485="Panel Details",$F485,"")</f>
        <v/>
      </c>
      <c r="AD485" s="46" t="str">
        <f aca="false">IF($D485="Panel Details",'Survey Response'!$D483,"")</f>
        <v/>
      </c>
      <c r="AE485" s="46" t="str">
        <f aca="false">IF($D485="Panel Details",'Survey Response'!$E483,"")</f>
        <v/>
      </c>
      <c r="AF485" s="46" t="str">
        <f aca="false">IF($D485="Panel Details",'Survey Response'!$G483,"")</f>
        <v/>
      </c>
      <c r="AG485" s="46" t="str">
        <f aca="false">IF($D485="Panel Details",IF($Z485="Primary",$J485,$L485),"")</f>
        <v/>
      </c>
      <c r="AH485" s="46" t="str">
        <f aca="false">IF($D485="Panel Details",IF($Z485="Primary",$L485,$J485),"")</f>
        <v/>
      </c>
      <c r="AI485" s="46" t="str">
        <f aca="false">IF($D485="Panel Details",'Survey Response'!$H483,"")</f>
        <v/>
      </c>
      <c r="AJ485" s="46" t="str">
        <f aca="false">IF($D485="Panel Details",'Survey Response'!$M483,"")</f>
        <v/>
      </c>
      <c r="AK485" s="46" t="str">
        <f aca="false">IF($D485="Panel Details",$O485,"")</f>
        <v/>
      </c>
      <c r="AL485" s="46" t="str">
        <f aca="false">IF($D485="Panel Details",8,"")</f>
        <v/>
      </c>
      <c r="AM485" s="46" t="str">
        <f aca="false">IF($D485="Panel Details",$AB485,"")</f>
        <v/>
      </c>
      <c r="AN485" s="46" t="str">
        <f aca="false">IF($D485="Panel Details","Yes","")</f>
        <v/>
      </c>
      <c r="AO485" s="46"/>
      <c r="AP485" s="46" t="str">
        <f aca="false">IF($D485="Followup",'Survey Response'!$D483,"")</f>
        <v/>
      </c>
      <c r="AQ485" s="46" t="str">
        <f aca="false">IF($D485="Followup",'Survey Response'!$E483,"")</f>
        <v/>
      </c>
      <c r="AR485" s="46" t="str">
        <f aca="false">IF($D485="Followup",'Survey Response'!$G483,"")</f>
        <v/>
      </c>
      <c r="AS485" s="46" t="str">
        <f aca="false">IF($D485="Followup",'Survey Response'!$H483,"")</f>
        <v/>
      </c>
      <c r="AT485" s="46" t="str">
        <f aca="false">IF($D485="Followup",'Survey Response'!$M483,"")</f>
        <v/>
      </c>
      <c r="AU485" s="46" t="str">
        <f aca="false">IF($D485="Followup",'Survey Response'!$K483,"")</f>
        <v/>
      </c>
      <c r="AV485" s="46" t="str">
        <f aca="false">IF($D485="Followup",'Survey Response'!$L483,"")</f>
        <v/>
      </c>
      <c r="AW485" s="46" t="str">
        <f aca="false">IF($D485="Followup",IF(AND($P485&lt;&gt;"Yes",$U485&lt;&gt;"Yes"),"Not approved for primary or secondary skill","Approved, but skill(s) no longer have capacity (fully staffed)"),"")</f>
        <v/>
      </c>
    </row>
    <row r="486" customFormat="false" ht="15" hidden="false" customHeight="true" outlineLevel="0" collapsed="false">
      <c r="A486" s="46" t="str">
        <f aca="false">IF('Survey Response'!$D484="","",'Survey Response'!$A484&amp;"|"&amp;LOWER(TRIM('Survey Response'!$D484)))</f>
        <v/>
      </c>
      <c r="B486" s="46" t="str">
        <f aca="false">IF($H486="","",$F486&amp;"|"&amp;$H486)</f>
        <v/>
      </c>
      <c r="C486" s="46" t="str">
        <f aca="false">IF($H486="","",$A486=$B486)</f>
        <v/>
      </c>
      <c r="D486" s="46" t="str">
        <f aca="false">IF($H486="","",IF($E486&lt;&gt;"Yes","Superseded",IF($I486&lt;&gt;"Yes, I'm available for in-person interviews at Chennai","Not Available",IF($Z486&lt;&gt;"","Panel Details","Followup"))))</f>
        <v/>
      </c>
      <c r="E486" s="46" t="str">
        <f aca="false">IF($H486="","",IF(SUMPRODUCT(($H$4:$H$503=$H486)*(($G$4:$G$503&gt;$G486)+($G$4:$G$503=$G486)*($F$4:$F$503&gt;$F486)))=0,"Yes","No"))</f>
        <v/>
      </c>
      <c r="F486" s="47" t="str">
        <f aca="false">IF('Survey Response'!$D484="","",INT('Survey Response'!$A484))</f>
        <v/>
      </c>
      <c r="G486" s="46" t="str">
        <f aca="false">IF('Survey Response'!$D484="","",'Survey Response'!$C484)</f>
        <v/>
      </c>
      <c r="H486" s="46" t="str">
        <f aca="false">IF('Survey Response'!$D484="","",LOWER(TRIM('Survey Response'!$D484)))</f>
        <v/>
      </c>
      <c r="I486" s="46" t="str">
        <f aca="false">IF($H486="","",'Survey Response'!$I484)</f>
        <v/>
      </c>
      <c r="J486" s="46" t="str">
        <f aca="false">IF($H486="","",'Survey Response'!$K484)</f>
        <v/>
      </c>
      <c r="K486" s="46" t="str">
        <f aca="false">IF($J486="","",IF(COUNTIF('Skill Mapping'!$A$2:$A$7,TRIM($J486))=0,"",INDEX('Skill Mapping'!$B$2:$B$7,MATCH(TRIM($J486),'Skill Mapping'!$A$2:$A$7,0))))</f>
        <v/>
      </c>
      <c r="L486" s="46" t="str">
        <f aca="false">IF($H486="","",'Survey Response'!$L484)</f>
        <v/>
      </c>
      <c r="M486" s="46" t="str">
        <f aca="false">IF($L486="","",IF(COUNTIF('Skill Mapping'!$A$2:$A$7,TRIM($L486))=0,"",INDEX('Skill Mapping'!$B$2:$B$7,MATCH(TRIM($L486),'Skill Mapping'!$A$2:$A$7,0))))</f>
        <v/>
      </c>
      <c r="N486" s="46" t="str">
        <f aca="false">IF($H486="","",'Survey Response'!$M484)</f>
        <v/>
      </c>
      <c r="O486" s="46" t="str">
        <f aca="false">IF($H486="","",IF('Survey Response'!$M484="Manager","R2","R1"))</f>
        <v/>
      </c>
      <c r="P486" s="46" t="str">
        <f aca="false">IF($K486="","No",IF(COUNTIFS(MasterPanel!$B:$B,$H486,MasterPanel!$I:$I,$K486,MasterPanel!$K:$K,"Y")&gt;0,"Yes","No"))</f>
        <v>No</v>
      </c>
      <c r="Q486" s="46" t="n">
        <f aca="false">IF($K486="",0,IF(COUNTIF('Gap Sheet'!$A$6:$A$11,TRIM($J486))=0,0,IF($O486="R1",INDEX('Gap Sheet'!$C$6:$C$11,MATCH(TRIM($J486),'Gap Sheet'!$A$6:$A$11,0)),INDEX('Gap Sheet'!$G$6:$G$11,MATCH(TRIM($J486),'Gap Sheet'!$A$6:$A$11,0)))))</f>
        <v>0</v>
      </c>
      <c r="R486" s="46" t="str">
        <f aca="false">IF($K486="","",$K486&amp;"|"&amp;$O486)</f>
        <v/>
      </c>
      <c r="S486" s="46" t="n">
        <f aca="false">IF($R486="",0,COUNTIF($AA$4:$AA485,$R486))</f>
        <v>0</v>
      </c>
      <c r="T486" s="46" t="str">
        <f aca="false">IF(OR($I486&lt;&gt;"Yes, I'm available for in-person interviews at Chennai",$E486&lt;&gt;"Yes",$P486&lt;&gt;"Yes"),"No",IF(($Q486-$S486)&gt;0,"Yes","No"))</f>
        <v>No</v>
      </c>
      <c r="U486" s="46" t="str">
        <f aca="false">IF($M486="","No",IF(COUNTIFS(MasterPanel!$B:$B,$H486,MasterPanel!$I:$I,$M486,MasterPanel!$K:$K,"Y")&gt;0,"Yes","No"))</f>
        <v>No</v>
      </c>
      <c r="V486" s="46" t="n">
        <f aca="false">IF($M486="",0,IF(COUNTIF('Gap Sheet'!$A$6:$A$11,TRIM($L486))=0,0,IF($O486="R1",INDEX('Gap Sheet'!$C$6:$C$11,MATCH(TRIM($L486),'Gap Sheet'!$A$6:$A$11,0)),INDEX('Gap Sheet'!$G$6:$G$11,MATCH(TRIM($L486),'Gap Sheet'!$A$6:$A$11,0)))))</f>
        <v>0</v>
      </c>
      <c r="W486" s="46" t="str">
        <f aca="false">IF($M486="","",$M486&amp;"|"&amp;$O486)</f>
        <v/>
      </c>
      <c r="X486" s="46" t="n">
        <f aca="false">IF($W486="",0,COUNTIF($AA$4:$AA485,$W486))</f>
        <v>0</v>
      </c>
      <c r="Y486" s="46" t="str">
        <f aca="false">IF(OR($I486&lt;&gt;"Yes, I'm available for in-person interviews at Chennai",$E486&lt;&gt;"Yes",$T486="Yes",$U486&lt;&gt;"Yes"),"No",IF(($V486-$X486)&gt;0,"Yes","No"))</f>
        <v>No</v>
      </c>
      <c r="Z486" s="46" t="str">
        <f aca="false">IF($T486="Yes","Primary",IF($Y486="Yes","Secondary",""))</f>
        <v/>
      </c>
      <c r="AA486" s="46" t="str">
        <f aca="false">IF($Z486="Primary",$R486,IF($Z486="Secondary",$W486,""))</f>
        <v/>
      </c>
      <c r="AB486" s="46" t="str">
        <f aca="false">IF($Z486="Primary","Matched on primary skill",IF($Z486="Secondary","Matched on secondary skill (primary not approved or not required)",""))</f>
        <v/>
      </c>
      <c r="AC486" s="47" t="str">
        <f aca="false">IF($D486="Panel Details",$F486,"")</f>
        <v/>
      </c>
      <c r="AD486" s="46" t="str">
        <f aca="false">IF($D486="Panel Details",'Survey Response'!$D484,"")</f>
        <v/>
      </c>
      <c r="AE486" s="46" t="str">
        <f aca="false">IF($D486="Panel Details",'Survey Response'!$E484,"")</f>
        <v/>
      </c>
      <c r="AF486" s="46" t="str">
        <f aca="false">IF($D486="Panel Details",'Survey Response'!$G484,"")</f>
        <v/>
      </c>
      <c r="AG486" s="46" t="str">
        <f aca="false">IF($D486="Panel Details",IF($Z486="Primary",$J486,$L486),"")</f>
        <v/>
      </c>
      <c r="AH486" s="46" t="str">
        <f aca="false">IF($D486="Panel Details",IF($Z486="Primary",$L486,$J486),"")</f>
        <v/>
      </c>
      <c r="AI486" s="46" t="str">
        <f aca="false">IF($D486="Panel Details",'Survey Response'!$H484,"")</f>
        <v/>
      </c>
      <c r="AJ486" s="46" t="str">
        <f aca="false">IF($D486="Panel Details",'Survey Response'!$M484,"")</f>
        <v/>
      </c>
      <c r="AK486" s="46" t="str">
        <f aca="false">IF($D486="Panel Details",$O486,"")</f>
        <v/>
      </c>
      <c r="AL486" s="46" t="str">
        <f aca="false">IF($D486="Panel Details",8,"")</f>
        <v/>
      </c>
      <c r="AM486" s="46" t="str">
        <f aca="false">IF($D486="Panel Details",$AB486,"")</f>
        <v/>
      </c>
      <c r="AN486" s="46" t="str">
        <f aca="false">IF($D486="Panel Details","Yes","")</f>
        <v/>
      </c>
      <c r="AO486" s="46"/>
      <c r="AP486" s="46" t="str">
        <f aca="false">IF($D486="Followup",'Survey Response'!$D484,"")</f>
        <v/>
      </c>
      <c r="AQ486" s="46" t="str">
        <f aca="false">IF($D486="Followup",'Survey Response'!$E484,"")</f>
        <v/>
      </c>
      <c r="AR486" s="46" t="str">
        <f aca="false">IF($D486="Followup",'Survey Response'!$G484,"")</f>
        <v/>
      </c>
      <c r="AS486" s="46" t="str">
        <f aca="false">IF($D486="Followup",'Survey Response'!$H484,"")</f>
        <v/>
      </c>
      <c r="AT486" s="46" t="str">
        <f aca="false">IF($D486="Followup",'Survey Response'!$M484,"")</f>
        <v/>
      </c>
      <c r="AU486" s="46" t="str">
        <f aca="false">IF($D486="Followup",'Survey Response'!$K484,"")</f>
        <v/>
      </c>
      <c r="AV486" s="46" t="str">
        <f aca="false">IF($D486="Followup",'Survey Response'!$L484,"")</f>
        <v/>
      </c>
      <c r="AW486" s="46" t="str">
        <f aca="false">IF($D486="Followup",IF(AND($P486&lt;&gt;"Yes",$U486&lt;&gt;"Yes"),"Not approved for primary or secondary skill","Approved, but skill(s) no longer have capacity (fully staffed)"),"")</f>
        <v/>
      </c>
    </row>
    <row r="487" customFormat="false" ht="15" hidden="false" customHeight="true" outlineLevel="0" collapsed="false">
      <c r="A487" s="46" t="str">
        <f aca="false">IF('Survey Response'!$D485="","",'Survey Response'!$A485&amp;"|"&amp;LOWER(TRIM('Survey Response'!$D485)))</f>
        <v/>
      </c>
      <c r="B487" s="46" t="str">
        <f aca="false">IF($H487="","",$F487&amp;"|"&amp;$H487)</f>
        <v/>
      </c>
      <c r="C487" s="46" t="str">
        <f aca="false">IF($H487="","",$A487=$B487)</f>
        <v/>
      </c>
      <c r="D487" s="46" t="str">
        <f aca="false">IF($H487="","",IF($E487&lt;&gt;"Yes","Superseded",IF($I487&lt;&gt;"Yes, I'm available for in-person interviews at Chennai","Not Available",IF($Z487&lt;&gt;"","Panel Details","Followup"))))</f>
        <v/>
      </c>
      <c r="E487" s="46" t="str">
        <f aca="false">IF($H487="","",IF(SUMPRODUCT(($H$4:$H$503=$H487)*(($G$4:$G$503&gt;$G487)+($G$4:$G$503=$G487)*($F$4:$F$503&gt;$F487)))=0,"Yes","No"))</f>
        <v/>
      </c>
      <c r="F487" s="47" t="str">
        <f aca="false">IF('Survey Response'!$D485="","",INT('Survey Response'!$A485))</f>
        <v/>
      </c>
      <c r="G487" s="46" t="str">
        <f aca="false">IF('Survey Response'!$D485="","",'Survey Response'!$C485)</f>
        <v/>
      </c>
      <c r="H487" s="46" t="str">
        <f aca="false">IF('Survey Response'!$D485="","",LOWER(TRIM('Survey Response'!$D485)))</f>
        <v/>
      </c>
      <c r="I487" s="46" t="str">
        <f aca="false">IF($H487="","",'Survey Response'!$I485)</f>
        <v/>
      </c>
      <c r="J487" s="46" t="str">
        <f aca="false">IF($H487="","",'Survey Response'!$K485)</f>
        <v/>
      </c>
      <c r="K487" s="46" t="str">
        <f aca="false">IF($J487="","",IF(COUNTIF('Skill Mapping'!$A$2:$A$7,TRIM($J487))=0,"",INDEX('Skill Mapping'!$B$2:$B$7,MATCH(TRIM($J487),'Skill Mapping'!$A$2:$A$7,0))))</f>
        <v/>
      </c>
      <c r="L487" s="46" t="str">
        <f aca="false">IF($H487="","",'Survey Response'!$L485)</f>
        <v/>
      </c>
      <c r="M487" s="46" t="str">
        <f aca="false">IF($L487="","",IF(COUNTIF('Skill Mapping'!$A$2:$A$7,TRIM($L487))=0,"",INDEX('Skill Mapping'!$B$2:$B$7,MATCH(TRIM($L487),'Skill Mapping'!$A$2:$A$7,0))))</f>
        <v/>
      </c>
      <c r="N487" s="46" t="str">
        <f aca="false">IF($H487="","",'Survey Response'!$M485)</f>
        <v/>
      </c>
      <c r="O487" s="46" t="str">
        <f aca="false">IF($H487="","",IF('Survey Response'!$M485="Manager","R2","R1"))</f>
        <v/>
      </c>
      <c r="P487" s="46" t="str">
        <f aca="false">IF($K487="","No",IF(COUNTIFS(MasterPanel!$B:$B,$H487,MasterPanel!$I:$I,$K487,MasterPanel!$K:$K,"Y")&gt;0,"Yes","No"))</f>
        <v>No</v>
      </c>
      <c r="Q487" s="46" t="n">
        <f aca="false">IF($K487="",0,IF(COUNTIF('Gap Sheet'!$A$6:$A$11,TRIM($J487))=0,0,IF($O487="R1",INDEX('Gap Sheet'!$C$6:$C$11,MATCH(TRIM($J487),'Gap Sheet'!$A$6:$A$11,0)),INDEX('Gap Sheet'!$G$6:$G$11,MATCH(TRIM($J487),'Gap Sheet'!$A$6:$A$11,0)))))</f>
        <v>0</v>
      </c>
      <c r="R487" s="46" t="str">
        <f aca="false">IF($K487="","",$K487&amp;"|"&amp;$O487)</f>
        <v/>
      </c>
      <c r="S487" s="46" t="n">
        <f aca="false">IF($R487="",0,COUNTIF($AA$4:$AA486,$R487))</f>
        <v>0</v>
      </c>
      <c r="T487" s="46" t="str">
        <f aca="false">IF(OR($I487&lt;&gt;"Yes, I'm available for in-person interviews at Chennai",$E487&lt;&gt;"Yes",$P487&lt;&gt;"Yes"),"No",IF(($Q487-$S487)&gt;0,"Yes","No"))</f>
        <v>No</v>
      </c>
      <c r="U487" s="46" t="str">
        <f aca="false">IF($M487="","No",IF(COUNTIFS(MasterPanel!$B:$B,$H487,MasterPanel!$I:$I,$M487,MasterPanel!$K:$K,"Y")&gt;0,"Yes","No"))</f>
        <v>No</v>
      </c>
      <c r="V487" s="46" t="n">
        <f aca="false">IF($M487="",0,IF(COUNTIF('Gap Sheet'!$A$6:$A$11,TRIM($L487))=0,0,IF($O487="R1",INDEX('Gap Sheet'!$C$6:$C$11,MATCH(TRIM($L487),'Gap Sheet'!$A$6:$A$11,0)),INDEX('Gap Sheet'!$G$6:$G$11,MATCH(TRIM($L487),'Gap Sheet'!$A$6:$A$11,0)))))</f>
        <v>0</v>
      </c>
      <c r="W487" s="46" t="str">
        <f aca="false">IF($M487="","",$M487&amp;"|"&amp;$O487)</f>
        <v/>
      </c>
      <c r="X487" s="46" t="n">
        <f aca="false">IF($W487="",0,COUNTIF($AA$4:$AA486,$W487))</f>
        <v>0</v>
      </c>
      <c r="Y487" s="46" t="str">
        <f aca="false">IF(OR($I487&lt;&gt;"Yes, I'm available for in-person interviews at Chennai",$E487&lt;&gt;"Yes",$T487="Yes",$U487&lt;&gt;"Yes"),"No",IF(($V487-$X487)&gt;0,"Yes","No"))</f>
        <v>No</v>
      </c>
      <c r="Z487" s="46" t="str">
        <f aca="false">IF($T487="Yes","Primary",IF($Y487="Yes","Secondary",""))</f>
        <v/>
      </c>
      <c r="AA487" s="46" t="str">
        <f aca="false">IF($Z487="Primary",$R487,IF($Z487="Secondary",$W487,""))</f>
        <v/>
      </c>
      <c r="AB487" s="46" t="str">
        <f aca="false">IF($Z487="Primary","Matched on primary skill",IF($Z487="Secondary","Matched on secondary skill (primary not approved or not required)",""))</f>
        <v/>
      </c>
      <c r="AC487" s="47" t="str">
        <f aca="false">IF($D487="Panel Details",$F487,"")</f>
        <v/>
      </c>
      <c r="AD487" s="46" t="str">
        <f aca="false">IF($D487="Panel Details",'Survey Response'!$D485,"")</f>
        <v/>
      </c>
      <c r="AE487" s="46" t="str">
        <f aca="false">IF($D487="Panel Details",'Survey Response'!$E485,"")</f>
        <v/>
      </c>
      <c r="AF487" s="46" t="str">
        <f aca="false">IF($D487="Panel Details",'Survey Response'!$G485,"")</f>
        <v/>
      </c>
      <c r="AG487" s="46" t="str">
        <f aca="false">IF($D487="Panel Details",IF($Z487="Primary",$J487,$L487),"")</f>
        <v/>
      </c>
      <c r="AH487" s="46" t="str">
        <f aca="false">IF($D487="Panel Details",IF($Z487="Primary",$L487,$J487),"")</f>
        <v/>
      </c>
      <c r="AI487" s="46" t="str">
        <f aca="false">IF($D487="Panel Details",'Survey Response'!$H485,"")</f>
        <v/>
      </c>
      <c r="AJ487" s="46" t="str">
        <f aca="false">IF($D487="Panel Details",'Survey Response'!$M485,"")</f>
        <v/>
      </c>
      <c r="AK487" s="46" t="str">
        <f aca="false">IF($D487="Panel Details",$O487,"")</f>
        <v/>
      </c>
      <c r="AL487" s="46" t="str">
        <f aca="false">IF($D487="Panel Details",8,"")</f>
        <v/>
      </c>
      <c r="AM487" s="46" t="str">
        <f aca="false">IF($D487="Panel Details",$AB487,"")</f>
        <v/>
      </c>
      <c r="AN487" s="46" t="str">
        <f aca="false">IF($D487="Panel Details","Yes","")</f>
        <v/>
      </c>
      <c r="AO487" s="46"/>
      <c r="AP487" s="46" t="str">
        <f aca="false">IF($D487="Followup",'Survey Response'!$D485,"")</f>
        <v/>
      </c>
      <c r="AQ487" s="46" t="str">
        <f aca="false">IF($D487="Followup",'Survey Response'!$E485,"")</f>
        <v/>
      </c>
      <c r="AR487" s="46" t="str">
        <f aca="false">IF($D487="Followup",'Survey Response'!$G485,"")</f>
        <v/>
      </c>
      <c r="AS487" s="46" t="str">
        <f aca="false">IF($D487="Followup",'Survey Response'!$H485,"")</f>
        <v/>
      </c>
      <c r="AT487" s="46" t="str">
        <f aca="false">IF($D487="Followup",'Survey Response'!$M485,"")</f>
        <v/>
      </c>
      <c r="AU487" s="46" t="str">
        <f aca="false">IF($D487="Followup",'Survey Response'!$K485,"")</f>
        <v/>
      </c>
      <c r="AV487" s="46" t="str">
        <f aca="false">IF($D487="Followup",'Survey Response'!$L485,"")</f>
        <v/>
      </c>
      <c r="AW487" s="46" t="str">
        <f aca="false">IF($D487="Followup",IF(AND($P487&lt;&gt;"Yes",$U487&lt;&gt;"Yes"),"Not approved for primary or secondary skill","Approved, but skill(s) no longer have capacity (fully staffed)"),"")</f>
        <v/>
      </c>
    </row>
    <row r="488" customFormat="false" ht="15" hidden="false" customHeight="true" outlineLevel="0" collapsed="false">
      <c r="A488" s="46" t="str">
        <f aca="false">IF('Survey Response'!$D486="","",'Survey Response'!$A486&amp;"|"&amp;LOWER(TRIM('Survey Response'!$D486)))</f>
        <v/>
      </c>
      <c r="B488" s="46" t="str">
        <f aca="false">IF($H488="","",$F488&amp;"|"&amp;$H488)</f>
        <v/>
      </c>
      <c r="C488" s="46" t="str">
        <f aca="false">IF($H488="","",$A488=$B488)</f>
        <v/>
      </c>
      <c r="D488" s="46" t="str">
        <f aca="false">IF($H488="","",IF($E488&lt;&gt;"Yes","Superseded",IF($I488&lt;&gt;"Yes, I'm available for in-person interviews at Chennai","Not Available",IF($Z488&lt;&gt;"","Panel Details","Followup"))))</f>
        <v/>
      </c>
      <c r="E488" s="46" t="str">
        <f aca="false">IF($H488="","",IF(SUMPRODUCT(($H$4:$H$503=$H488)*(($G$4:$G$503&gt;$G488)+($G$4:$G$503=$G488)*($F$4:$F$503&gt;$F488)))=0,"Yes","No"))</f>
        <v/>
      </c>
      <c r="F488" s="47" t="str">
        <f aca="false">IF('Survey Response'!$D486="","",INT('Survey Response'!$A486))</f>
        <v/>
      </c>
      <c r="G488" s="46" t="str">
        <f aca="false">IF('Survey Response'!$D486="","",'Survey Response'!$C486)</f>
        <v/>
      </c>
      <c r="H488" s="46" t="str">
        <f aca="false">IF('Survey Response'!$D486="","",LOWER(TRIM('Survey Response'!$D486)))</f>
        <v/>
      </c>
      <c r="I488" s="46" t="str">
        <f aca="false">IF($H488="","",'Survey Response'!$I486)</f>
        <v/>
      </c>
      <c r="J488" s="46" t="str">
        <f aca="false">IF($H488="","",'Survey Response'!$K486)</f>
        <v/>
      </c>
      <c r="K488" s="46" t="str">
        <f aca="false">IF($J488="","",IF(COUNTIF('Skill Mapping'!$A$2:$A$7,TRIM($J488))=0,"",INDEX('Skill Mapping'!$B$2:$B$7,MATCH(TRIM($J488),'Skill Mapping'!$A$2:$A$7,0))))</f>
        <v/>
      </c>
      <c r="L488" s="46" t="str">
        <f aca="false">IF($H488="","",'Survey Response'!$L486)</f>
        <v/>
      </c>
      <c r="M488" s="46" t="str">
        <f aca="false">IF($L488="","",IF(COUNTIF('Skill Mapping'!$A$2:$A$7,TRIM($L488))=0,"",INDEX('Skill Mapping'!$B$2:$B$7,MATCH(TRIM($L488),'Skill Mapping'!$A$2:$A$7,0))))</f>
        <v/>
      </c>
      <c r="N488" s="46" t="str">
        <f aca="false">IF($H488="","",'Survey Response'!$M486)</f>
        <v/>
      </c>
      <c r="O488" s="46" t="str">
        <f aca="false">IF($H488="","",IF('Survey Response'!$M486="Manager","R2","R1"))</f>
        <v/>
      </c>
      <c r="P488" s="46" t="str">
        <f aca="false">IF($K488="","No",IF(COUNTIFS(MasterPanel!$B:$B,$H488,MasterPanel!$I:$I,$K488,MasterPanel!$K:$K,"Y")&gt;0,"Yes","No"))</f>
        <v>No</v>
      </c>
      <c r="Q488" s="46" t="n">
        <f aca="false">IF($K488="",0,IF(COUNTIF('Gap Sheet'!$A$6:$A$11,TRIM($J488))=0,0,IF($O488="R1",INDEX('Gap Sheet'!$C$6:$C$11,MATCH(TRIM($J488),'Gap Sheet'!$A$6:$A$11,0)),INDEX('Gap Sheet'!$G$6:$G$11,MATCH(TRIM($J488),'Gap Sheet'!$A$6:$A$11,0)))))</f>
        <v>0</v>
      </c>
      <c r="R488" s="46" t="str">
        <f aca="false">IF($K488="","",$K488&amp;"|"&amp;$O488)</f>
        <v/>
      </c>
      <c r="S488" s="46" t="n">
        <f aca="false">IF($R488="",0,COUNTIF($AA$4:$AA487,$R488))</f>
        <v>0</v>
      </c>
      <c r="T488" s="46" t="str">
        <f aca="false">IF(OR($I488&lt;&gt;"Yes, I'm available for in-person interviews at Chennai",$E488&lt;&gt;"Yes",$P488&lt;&gt;"Yes"),"No",IF(($Q488-$S488)&gt;0,"Yes","No"))</f>
        <v>No</v>
      </c>
      <c r="U488" s="46" t="str">
        <f aca="false">IF($M488="","No",IF(COUNTIFS(MasterPanel!$B:$B,$H488,MasterPanel!$I:$I,$M488,MasterPanel!$K:$K,"Y")&gt;0,"Yes","No"))</f>
        <v>No</v>
      </c>
      <c r="V488" s="46" t="n">
        <f aca="false">IF($M488="",0,IF(COUNTIF('Gap Sheet'!$A$6:$A$11,TRIM($L488))=0,0,IF($O488="R1",INDEX('Gap Sheet'!$C$6:$C$11,MATCH(TRIM($L488),'Gap Sheet'!$A$6:$A$11,0)),INDEX('Gap Sheet'!$G$6:$G$11,MATCH(TRIM($L488),'Gap Sheet'!$A$6:$A$11,0)))))</f>
        <v>0</v>
      </c>
      <c r="W488" s="46" t="str">
        <f aca="false">IF($M488="","",$M488&amp;"|"&amp;$O488)</f>
        <v/>
      </c>
      <c r="X488" s="46" t="n">
        <f aca="false">IF($W488="",0,COUNTIF($AA$4:$AA487,$W488))</f>
        <v>0</v>
      </c>
      <c r="Y488" s="46" t="str">
        <f aca="false">IF(OR($I488&lt;&gt;"Yes, I'm available for in-person interviews at Chennai",$E488&lt;&gt;"Yes",$T488="Yes",$U488&lt;&gt;"Yes"),"No",IF(($V488-$X488)&gt;0,"Yes","No"))</f>
        <v>No</v>
      </c>
      <c r="Z488" s="46" t="str">
        <f aca="false">IF($T488="Yes","Primary",IF($Y488="Yes","Secondary",""))</f>
        <v/>
      </c>
      <c r="AA488" s="46" t="str">
        <f aca="false">IF($Z488="Primary",$R488,IF($Z488="Secondary",$W488,""))</f>
        <v/>
      </c>
      <c r="AB488" s="46" t="str">
        <f aca="false">IF($Z488="Primary","Matched on primary skill",IF($Z488="Secondary","Matched on secondary skill (primary not approved or not required)",""))</f>
        <v/>
      </c>
      <c r="AC488" s="47" t="str">
        <f aca="false">IF($D488="Panel Details",$F488,"")</f>
        <v/>
      </c>
      <c r="AD488" s="46" t="str">
        <f aca="false">IF($D488="Panel Details",'Survey Response'!$D486,"")</f>
        <v/>
      </c>
      <c r="AE488" s="46" t="str">
        <f aca="false">IF($D488="Panel Details",'Survey Response'!$E486,"")</f>
        <v/>
      </c>
      <c r="AF488" s="46" t="str">
        <f aca="false">IF($D488="Panel Details",'Survey Response'!$G486,"")</f>
        <v/>
      </c>
      <c r="AG488" s="46" t="str">
        <f aca="false">IF($D488="Panel Details",IF($Z488="Primary",$J488,$L488),"")</f>
        <v/>
      </c>
      <c r="AH488" s="46" t="str">
        <f aca="false">IF($D488="Panel Details",IF($Z488="Primary",$L488,$J488),"")</f>
        <v/>
      </c>
      <c r="AI488" s="46" t="str">
        <f aca="false">IF($D488="Panel Details",'Survey Response'!$H486,"")</f>
        <v/>
      </c>
      <c r="AJ488" s="46" t="str">
        <f aca="false">IF($D488="Panel Details",'Survey Response'!$M486,"")</f>
        <v/>
      </c>
      <c r="AK488" s="46" t="str">
        <f aca="false">IF($D488="Panel Details",$O488,"")</f>
        <v/>
      </c>
      <c r="AL488" s="46" t="str">
        <f aca="false">IF($D488="Panel Details",8,"")</f>
        <v/>
      </c>
      <c r="AM488" s="46" t="str">
        <f aca="false">IF($D488="Panel Details",$AB488,"")</f>
        <v/>
      </c>
      <c r="AN488" s="46" t="str">
        <f aca="false">IF($D488="Panel Details","Yes","")</f>
        <v/>
      </c>
      <c r="AO488" s="46"/>
      <c r="AP488" s="46" t="str">
        <f aca="false">IF($D488="Followup",'Survey Response'!$D486,"")</f>
        <v/>
      </c>
      <c r="AQ488" s="46" t="str">
        <f aca="false">IF($D488="Followup",'Survey Response'!$E486,"")</f>
        <v/>
      </c>
      <c r="AR488" s="46" t="str">
        <f aca="false">IF($D488="Followup",'Survey Response'!$G486,"")</f>
        <v/>
      </c>
      <c r="AS488" s="46" t="str">
        <f aca="false">IF($D488="Followup",'Survey Response'!$H486,"")</f>
        <v/>
      </c>
      <c r="AT488" s="46" t="str">
        <f aca="false">IF($D488="Followup",'Survey Response'!$M486,"")</f>
        <v/>
      </c>
      <c r="AU488" s="46" t="str">
        <f aca="false">IF($D488="Followup",'Survey Response'!$K486,"")</f>
        <v/>
      </c>
      <c r="AV488" s="46" t="str">
        <f aca="false">IF($D488="Followup",'Survey Response'!$L486,"")</f>
        <v/>
      </c>
      <c r="AW488" s="46" t="str">
        <f aca="false">IF($D488="Followup",IF(AND($P488&lt;&gt;"Yes",$U488&lt;&gt;"Yes"),"Not approved for primary or secondary skill","Approved, but skill(s) no longer have capacity (fully staffed)"),"")</f>
        <v/>
      </c>
    </row>
    <row r="489" customFormat="false" ht="15" hidden="false" customHeight="true" outlineLevel="0" collapsed="false">
      <c r="A489" s="46" t="str">
        <f aca="false">IF('Survey Response'!$D487="","",'Survey Response'!$A487&amp;"|"&amp;LOWER(TRIM('Survey Response'!$D487)))</f>
        <v/>
      </c>
      <c r="B489" s="46" t="str">
        <f aca="false">IF($H489="","",$F489&amp;"|"&amp;$H489)</f>
        <v/>
      </c>
      <c r="C489" s="46" t="str">
        <f aca="false">IF($H489="","",$A489=$B489)</f>
        <v/>
      </c>
      <c r="D489" s="46" t="str">
        <f aca="false">IF($H489="","",IF($E489&lt;&gt;"Yes","Superseded",IF($I489&lt;&gt;"Yes, I'm available for in-person interviews at Chennai","Not Available",IF($Z489&lt;&gt;"","Panel Details","Followup"))))</f>
        <v/>
      </c>
      <c r="E489" s="46" t="str">
        <f aca="false">IF($H489="","",IF(SUMPRODUCT(($H$4:$H$503=$H489)*(($G$4:$G$503&gt;$G489)+($G$4:$G$503=$G489)*($F$4:$F$503&gt;$F489)))=0,"Yes","No"))</f>
        <v/>
      </c>
      <c r="F489" s="47" t="str">
        <f aca="false">IF('Survey Response'!$D487="","",INT('Survey Response'!$A487))</f>
        <v/>
      </c>
      <c r="G489" s="46" t="str">
        <f aca="false">IF('Survey Response'!$D487="","",'Survey Response'!$C487)</f>
        <v/>
      </c>
      <c r="H489" s="46" t="str">
        <f aca="false">IF('Survey Response'!$D487="","",LOWER(TRIM('Survey Response'!$D487)))</f>
        <v/>
      </c>
      <c r="I489" s="46" t="str">
        <f aca="false">IF($H489="","",'Survey Response'!$I487)</f>
        <v/>
      </c>
      <c r="J489" s="46" t="str">
        <f aca="false">IF($H489="","",'Survey Response'!$K487)</f>
        <v/>
      </c>
      <c r="K489" s="46" t="str">
        <f aca="false">IF($J489="","",IF(COUNTIF('Skill Mapping'!$A$2:$A$7,TRIM($J489))=0,"",INDEX('Skill Mapping'!$B$2:$B$7,MATCH(TRIM($J489),'Skill Mapping'!$A$2:$A$7,0))))</f>
        <v/>
      </c>
      <c r="L489" s="46" t="str">
        <f aca="false">IF($H489="","",'Survey Response'!$L487)</f>
        <v/>
      </c>
      <c r="M489" s="46" t="str">
        <f aca="false">IF($L489="","",IF(COUNTIF('Skill Mapping'!$A$2:$A$7,TRIM($L489))=0,"",INDEX('Skill Mapping'!$B$2:$B$7,MATCH(TRIM($L489),'Skill Mapping'!$A$2:$A$7,0))))</f>
        <v/>
      </c>
      <c r="N489" s="46" t="str">
        <f aca="false">IF($H489="","",'Survey Response'!$M487)</f>
        <v/>
      </c>
      <c r="O489" s="46" t="str">
        <f aca="false">IF($H489="","",IF('Survey Response'!$M487="Manager","R2","R1"))</f>
        <v/>
      </c>
      <c r="P489" s="46" t="str">
        <f aca="false">IF($K489="","No",IF(COUNTIFS(MasterPanel!$B:$B,$H489,MasterPanel!$I:$I,$K489,MasterPanel!$K:$K,"Y")&gt;0,"Yes","No"))</f>
        <v>No</v>
      </c>
      <c r="Q489" s="46" t="n">
        <f aca="false">IF($K489="",0,IF(COUNTIF('Gap Sheet'!$A$6:$A$11,TRIM($J489))=0,0,IF($O489="R1",INDEX('Gap Sheet'!$C$6:$C$11,MATCH(TRIM($J489),'Gap Sheet'!$A$6:$A$11,0)),INDEX('Gap Sheet'!$G$6:$G$11,MATCH(TRIM($J489),'Gap Sheet'!$A$6:$A$11,0)))))</f>
        <v>0</v>
      </c>
      <c r="R489" s="46" t="str">
        <f aca="false">IF($K489="","",$K489&amp;"|"&amp;$O489)</f>
        <v/>
      </c>
      <c r="S489" s="46" t="n">
        <f aca="false">IF($R489="",0,COUNTIF($AA$4:$AA488,$R489))</f>
        <v>0</v>
      </c>
      <c r="T489" s="46" t="str">
        <f aca="false">IF(OR($I489&lt;&gt;"Yes, I'm available for in-person interviews at Chennai",$E489&lt;&gt;"Yes",$P489&lt;&gt;"Yes"),"No",IF(($Q489-$S489)&gt;0,"Yes","No"))</f>
        <v>No</v>
      </c>
      <c r="U489" s="46" t="str">
        <f aca="false">IF($M489="","No",IF(COUNTIFS(MasterPanel!$B:$B,$H489,MasterPanel!$I:$I,$M489,MasterPanel!$K:$K,"Y")&gt;0,"Yes","No"))</f>
        <v>No</v>
      </c>
      <c r="V489" s="46" t="n">
        <f aca="false">IF($M489="",0,IF(COUNTIF('Gap Sheet'!$A$6:$A$11,TRIM($L489))=0,0,IF($O489="R1",INDEX('Gap Sheet'!$C$6:$C$11,MATCH(TRIM($L489),'Gap Sheet'!$A$6:$A$11,0)),INDEX('Gap Sheet'!$G$6:$G$11,MATCH(TRIM($L489),'Gap Sheet'!$A$6:$A$11,0)))))</f>
        <v>0</v>
      </c>
      <c r="W489" s="46" t="str">
        <f aca="false">IF($M489="","",$M489&amp;"|"&amp;$O489)</f>
        <v/>
      </c>
      <c r="X489" s="46" t="n">
        <f aca="false">IF($W489="",0,COUNTIF($AA$4:$AA488,$W489))</f>
        <v>0</v>
      </c>
      <c r="Y489" s="46" t="str">
        <f aca="false">IF(OR($I489&lt;&gt;"Yes, I'm available for in-person interviews at Chennai",$E489&lt;&gt;"Yes",$T489="Yes",$U489&lt;&gt;"Yes"),"No",IF(($V489-$X489)&gt;0,"Yes","No"))</f>
        <v>No</v>
      </c>
      <c r="Z489" s="46" t="str">
        <f aca="false">IF($T489="Yes","Primary",IF($Y489="Yes","Secondary",""))</f>
        <v/>
      </c>
      <c r="AA489" s="46" t="str">
        <f aca="false">IF($Z489="Primary",$R489,IF($Z489="Secondary",$W489,""))</f>
        <v/>
      </c>
      <c r="AB489" s="46" t="str">
        <f aca="false">IF($Z489="Primary","Matched on primary skill",IF($Z489="Secondary","Matched on secondary skill (primary not approved or not required)",""))</f>
        <v/>
      </c>
      <c r="AC489" s="47" t="str">
        <f aca="false">IF($D489="Panel Details",$F489,"")</f>
        <v/>
      </c>
      <c r="AD489" s="46" t="str">
        <f aca="false">IF($D489="Panel Details",'Survey Response'!$D487,"")</f>
        <v/>
      </c>
      <c r="AE489" s="46" t="str">
        <f aca="false">IF($D489="Panel Details",'Survey Response'!$E487,"")</f>
        <v/>
      </c>
      <c r="AF489" s="46" t="str">
        <f aca="false">IF($D489="Panel Details",'Survey Response'!$G487,"")</f>
        <v/>
      </c>
      <c r="AG489" s="46" t="str">
        <f aca="false">IF($D489="Panel Details",IF($Z489="Primary",$J489,$L489),"")</f>
        <v/>
      </c>
      <c r="AH489" s="46" t="str">
        <f aca="false">IF($D489="Panel Details",IF($Z489="Primary",$L489,$J489),"")</f>
        <v/>
      </c>
      <c r="AI489" s="46" t="str">
        <f aca="false">IF($D489="Panel Details",'Survey Response'!$H487,"")</f>
        <v/>
      </c>
      <c r="AJ489" s="46" t="str">
        <f aca="false">IF($D489="Panel Details",'Survey Response'!$M487,"")</f>
        <v/>
      </c>
      <c r="AK489" s="46" t="str">
        <f aca="false">IF($D489="Panel Details",$O489,"")</f>
        <v/>
      </c>
      <c r="AL489" s="46" t="str">
        <f aca="false">IF($D489="Panel Details",8,"")</f>
        <v/>
      </c>
      <c r="AM489" s="46" t="str">
        <f aca="false">IF($D489="Panel Details",$AB489,"")</f>
        <v/>
      </c>
      <c r="AN489" s="46" t="str">
        <f aca="false">IF($D489="Panel Details","Yes","")</f>
        <v/>
      </c>
      <c r="AO489" s="46"/>
      <c r="AP489" s="46" t="str">
        <f aca="false">IF($D489="Followup",'Survey Response'!$D487,"")</f>
        <v/>
      </c>
      <c r="AQ489" s="46" t="str">
        <f aca="false">IF($D489="Followup",'Survey Response'!$E487,"")</f>
        <v/>
      </c>
      <c r="AR489" s="46" t="str">
        <f aca="false">IF($D489="Followup",'Survey Response'!$G487,"")</f>
        <v/>
      </c>
      <c r="AS489" s="46" t="str">
        <f aca="false">IF($D489="Followup",'Survey Response'!$H487,"")</f>
        <v/>
      </c>
      <c r="AT489" s="46" t="str">
        <f aca="false">IF($D489="Followup",'Survey Response'!$M487,"")</f>
        <v/>
      </c>
      <c r="AU489" s="46" t="str">
        <f aca="false">IF($D489="Followup",'Survey Response'!$K487,"")</f>
        <v/>
      </c>
      <c r="AV489" s="46" t="str">
        <f aca="false">IF($D489="Followup",'Survey Response'!$L487,"")</f>
        <v/>
      </c>
      <c r="AW489" s="46" t="str">
        <f aca="false">IF($D489="Followup",IF(AND($P489&lt;&gt;"Yes",$U489&lt;&gt;"Yes"),"Not approved for primary or secondary skill","Approved, but skill(s) no longer have capacity (fully staffed)"),"")</f>
        <v/>
      </c>
    </row>
    <row r="490" customFormat="false" ht="15" hidden="false" customHeight="true" outlineLevel="0" collapsed="false">
      <c r="A490" s="46" t="str">
        <f aca="false">IF('Survey Response'!$D488="","",'Survey Response'!$A488&amp;"|"&amp;LOWER(TRIM('Survey Response'!$D488)))</f>
        <v/>
      </c>
      <c r="B490" s="46" t="str">
        <f aca="false">IF($H490="","",$F490&amp;"|"&amp;$H490)</f>
        <v/>
      </c>
      <c r="C490" s="46" t="str">
        <f aca="false">IF($H490="","",$A490=$B490)</f>
        <v/>
      </c>
      <c r="D490" s="46" t="str">
        <f aca="false">IF($H490="","",IF($E490&lt;&gt;"Yes","Superseded",IF($I490&lt;&gt;"Yes, I'm available for in-person interviews at Chennai","Not Available",IF($Z490&lt;&gt;"","Panel Details","Followup"))))</f>
        <v/>
      </c>
      <c r="E490" s="46" t="str">
        <f aca="false">IF($H490="","",IF(SUMPRODUCT(($H$4:$H$503=$H490)*(($G$4:$G$503&gt;$G490)+($G$4:$G$503=$G490)*($F$4:$F$503&gt;$F490)))=0,"Yes","No"))</f>
        <v/>
      </c>
      <c r="F490" s="47" t="str">
        <f aca="false">IF('Survey Response'!$D488="","",INT('Survey Response'!$A488))</f>
        <v/>
      </c>
      <c r="G490" s="46" t="str">
        <f aca="false">IF('Survey Response'!$D488="","",'Survey Response'!$C488)</f>
        <v/>
      </c>
      <c r="H490" s="46" t="str">
        <f aca="false">IF('Survey Response'!$D488="","",LOWER(TRIM('Survey Response'!$D488)))</f>
        <v/>
      </c>
      <c r="I490" s="46" t="str">
        <f aca="false">IF($H490="","",'Survey Response'!$I488)</f>
        <v/>
      </c>
      <c r="J490" s="46" t="str">
        <f aca="false">IF($H490="","",'Survey Response'!$K488)</f>
        <v/>
      </c>
      <c r="K490" s="46" t="str">
        <f aca="false">IF($J490="","",IF(COUNTIF('Skill Mapping'!$A$2:$A$7,TRIM($J490))=0,"",INDEX('Skill Mapping'!$B$2:$B$7,MATCH(TRIM($J490),'Skill Mapping'!$A$2:$A$7,0))))</f>
        <v/>
      </c>
      <c r="L490" s="46" t="str">
        <f aca="false">IF($H490="","",'Survey Response'!$L488)</f>
        <v/>
      </c>
      <c r="M490" s="46" t="str">
        <f aca="false">IF($L490="","",IF(COUNTIF('Skill Mapping'!$A$2:$A$7,TRIM($L490))=0,"",INDEX('Skill Mapping'!$B$2:$B$7,MATCH(TRIM($L490),'Skill Mapping'!$A$2:$A$7,0))))</f>
        <v/>
      </c>
      <c r="N490" s="46" t="str">
        <f aca="false">IF($H490="","",'Survey Response'!$M488)</f>
        <v/>
      </c>
      <c r="O490" s="46" t="str">
        <f aca="false">IF($H490="","",IF('Survey Response'!$M488="Manager","R2","R1"))</f>
        <v/>
      </c>
      <c r="P490" s="46" t="str">
        <f aca="false">IF($K490="","No",IF(COUNTIFS(MasterPanel!$B:$B,$H490,MasterPanel!$I:$I,$K490,MasterPanel!$K:$K,"Y")&gt;0,"Yes","No"))</f>
        <v>No</v>
      </c>
      <c r="Q490" s="46" t="n">
        <f aca="false">IF($K490="",0,IF(COUNTIF('Gap Sheet'!$A$6:$A$11,TRIM($J490))=0,0,IF($O490="R1",INDEX('Gap Sheet'!$C$6:$C$11,MATCH(TRIM($J490),'Gap Sheet'!$A$6:$A$11,0)),INDEX('Gap Sheet'!$G$6:$G$11,MATCH(TRIM($J490),'Gap Sheet'!$A$6:$A$11,0)))))</f>
        <v>0</v>
      </c>
      <c r="R490" s="46" t="str">
        <f aca="false">IF($K490="","",$K490&amp;"|"&amp;$O490)</f>
        <v/>
      </c>
      <c r="S490" s="46" t="n">
        <f aca="false">IF($R490="",0,COUNTIF($AA$4:$AA489,$R490))</f>
        <v>0</v>
      </c>
      <c r="T490" s="46" t="str">
        <f aca="false">IF(OR($I490&lt;&gt;"Yes, I'm available for in-person interviews at Chennai",$E490&lt;&gt;"Yes",$P490&lt;&gt;"Yes"),"No",IF(($Q490-$S490)&gt;0,"Yes","No"))</f>
        <v>No</v>
      </c>
      <c r="U490" s="46" t="str">
        <f aca="false">IF($M490="","No",IF(COUNTIFS(MasterPanel!$B:$B,$H490,MasterPanel!$I:$I,$M490,MasterPanel!$K:$K,"Y")&gt;0,"Yes","No"))</f>
        <v>No</v>
      </c>
      <c r="V490" s="46" t="n">
        <f aca="false">IF($M490="",0,IF(COUNTIF('Gap Sheet'!$A$6:$A$11,TRIM($L490))=0,0,IF($O490="R1",INDEX('Gap Sheet'!$C$6:$C$11,MATCH(TRIM($L490),'Gap Sheet'!$A$6:$A$11,0)),INDEX('Gap Sheet'!$G$6:$G$11,MATCH(TRIM($L490),'Gap Sheet'!$A$6:$A$11,0)))))</f>
        <v>0</v>
      </c>
      <c r="W490" s="46" t="str">
        <f aca="false">IF($M490="","",$M490&amp;"|"&amp;$O490)</f>
        <v/>
      </c>
      <c r="X490" s="46" t="n">
        <f aca="false">IF($W490="",0,COUNTIF($AA$4:$AA489,$W490))</f>
        <v>0</v>
      </c>
      <c r="Y490" s="46" t="str">
        <f aca="false">IF(OR($I490&lt;&gt;"Yes, I'm available for in-person interviews at Chennai",$E490&lt;&gt;"Yes",$T490="Yes",$U490&lt;&gt;"Yes"),"No",IF(($V490-$X490)&gt;0,"Yes","No"))</f>
        <v>No</v>
      </c>
      <c r="Z490" s="46" t="str">
        <f aca="false">IF($T490="Yes","Primary",IF($Y490="Yes","Secondary",""))</f>
        <v/>
      </c>
      <c r="AA490" s="46" t="str">
        <f aca="false">IF($Z490="Primary",$R490,IF($Z490="Secondary",$W490,""))</f>
        <v/>
      </c>
      <c r="AB490" s="46" t="str">
        <f aca="false">IF($Z490="Primary","Matched on primary skill",IF($Z490="Secondary","Matched on secondary skill (primary not approved or not required)",""))</f>
        <v/>
      </c>
      <c r="AC490" s="47" t="str">
        <f aca="false">IF($D490="Panel Details",$F490,"")</f>
        <v/>
      </c>
      <c r="AD490" s="46" t="str">
        <f aca="false">IF($D490="Panel Details",'Survey Response'!$D488,"")</f>
        <v/>
      </c>
      <c r="AE490" s="46" t="str">
        <f aca="false">IF($D490="Panel Details",'Survey Response'!$E488,"")</f>
        <v/>
      </c>
      <c r="AF490" s="46" t="str">
        <f aca="false">IF($D490="Panel Details",'Survey Response'!$G488,"")</f>
        <v/>
      </c>
      <c r="AG490" s="46" t="str">
        <f aca="false">IF($D490="Panel Details",IF($Z490="Primary",$J490,$L490),"")</f>
        <v/>
      </c>
      <c r="AH490" s="46" t="str">
        <f aca="false">IF($D490="Panel Details",IF($Z490="Primary",$L490,$J490),"")</f>
        <v/>
      </c>
      <c r="AI490" s="46" t="str">
        <f aca="false">IF($D490="Panel Details",'Survey Response'!$H488,"")</f>
        <v/>
      </c>
      <c r="AJ490" s="46" t="str">
        <f aca="false">IF($D490="Panel Details",'Survey Response'!$M488,"")</f>
        <v/>
      </c>
      <c r="AK490" s="46" t="str">
        <f aca="false">IF($D490="Panel Details",$O490,"")</f>
        <v/>
      </c>
      <c r="AL490" s="46" t="str">
        <f aca="false">IF($D490="Panel Details",8,"")</f>
        <v/>
      </c>
      <c r="AM490" s="46" t="str">
        <f aca="false">IF($D490="Panel Details",$AB490,"")</f>
        <v/>
      </c>
      <c r="AN490" s="46" t="str">
        <f aca="false">IF($D490="Panel Details","Yes","")</f>
        <v/>
      </c>
      <c r="AO490" s="46"/>
      <c r="AP490" s="46" t="str">
        <f aca="false">IF($D490="Followup",'Survey Response'!$D488,"")</f>
        <v/>
      </c>
      <c r="AQ490" s="46" t="str">
        <f aca="false">IF($D490="Followup",'Survey Response'!$E488,"")</f>
        <v/>
      </c>
      <c r="AR490" s="46" t="str">
        <f aca="false">IF($D490="Followup",'Survey Response'!$G488,"")</f>
        <v/>
      </c>
      <c r="AS490" s="46" t="str">
        <f aca="false">IF($D490="Followup",'Survey Response'!$H488,"")</f>
        <v/>
      </c>
      <c r="AT490" s="46" t="str">
        <f aca="false">IF($D490="Followup",'Survey Response'!$M488,"")</f>
        <v/>
      </c>
      <c r="AU490" s="46" t="str">
        <f aca="false">IF($D490="Followup",'Survey Response'!$K488,"")</f>
        <v/>
      </c>
      <c r="AV490" s="46" t="str">
        <f aca="false">IF($D490="Followup",'Survey Response'!$L488,"")</f>
        <v/>
      </c>
      <c r="AW490" s="46" t="str">
        <f aca="false">IF($D490="Followup",IF(AND($P490&lt;&gt;"Yes",$U490&lt;&gt;"Yes"),"Not approved for primary or secondary skill","Approved, but skill(s) no longer have capacity (fully staffed)"),"")</f>
        <v/>
      </c>
    </row>
    <row r="491" customFormat="false" ht="15" hidden="false" customHeight="true" outlineLevel="0" collapsed="false">
      <c r="A491" s="46" t="str">
        <f aca="false">IF('Survey Response'!$D489="","",'Survey Response'!$A489&amp;"|"&amp;LOWER(TRIM('Survey Response'!$D489)))</f>
        <v/>
      </c>
      <c r="B491" s="46" t="str">
        <f aca="false">IF($H491="","",$F491&amp;"|"&amp;$H491)</f>
        <v/>
      </c>
      <c r="C491" s="46" t="str">
        <f aca="false">IF($H491="","",$A491=$B491)</f>
        <v/>
      </c>
      <c r="D491" s="46" t="str">
        <f aca="false">IF($H491="","",IF($E491&lt;&gt;"Yes","Superseded",IF($I491&lt;&gt;"Yes, I'm available for in-person interviews at Chennai","Not Available",IF($Z491&lt;&gt;"","Panel Details","Followup"))))</f>
        <v/>
      </c>
      <c r="E491" s="46" t="str">
        <f aca="false">IF($H491="","",IF(SUMPRODUCT(($H$4:$H$503=$H491)*(($G$4:$G$503&gt;$G491)+($G$4:$G$503=$G491)*($F$4:$F$503&gt;$F491)))=0,"Yes","No"))</f>
        <v/>
      </c>
      <c r="F491" s="47" t="str">
        <f aca="false">IF('Survey Response'!$D489="","",INT('Survey Response'!$A489))</f>
        <v/>
      </c>
      <c r="G491" s="46" t="str">
        <f aca="false">IF('Survey Response'!$D489="","",'Survey Response'!$C489)</f>
        <v/>
      </c>
      <c r="H491" s="46" t="str">
        <f aca="false">IF('Survey Response'!$D489="","",LOWER(TRIM('Survey Response'!$D489)))</f>
        <v/>
      </c>
      <c r="I491" s="46" t="str">
        <f aca="false">IF($H491="","",'Survey Response'!$I489)</f>
        <v/>
      </c>
      <c r="J491" s="46" t="str">
        <f aca="false">IF($H491="","",'Survey Response'!$K489)</f>
        <v/>
      </c>
      <c r="K491" s="46" t="str">
        <f aca="false">IF($J491="","",IF(COUNTIF('Skill Mapping'!$A$2:$A$7,TRIM($J491))=0,"",INDEX('Skill Mapping'!$B$2:$B$7,MATCH(TRIM($J491),'Skill Mapping'!$A$2:$A$7,0))))</f>
        <v/>
      </c>
      <c r="L491" s="46" t="str">
        <f aca="false">IF($H491="","",'Survey Response'!$L489)</f>
        <v/>
      </c>
      <c r="M491" s="46" t="str">
        <f aca="false">IF($L491="","",IF(COUNTIF('Skill Mapping'!$A$2:$A$7,TRIM($L491))=0,"",INDEX('Skill Mapping'!$B$2:$B$7,MATCH(TRIM($L491),'Skill Mapping'!$A$2:$A$7,0))))</f>
        <v/>
      </c>
      <c r="N491" s="46" t="str">
        <f aca="false">IF($H491="","",'Survey Response'!$M489)</f>
        <v/>
      </c>
      <c r="O491" s="46" t="str">
        <f aca="false">IF($H491="","",IF('Survey Response'!$M489="Manager","R2","R1"))</f>
        <v/>
      </c>
      <c r="P491" s="46" t="str">
        <f aca="false">IF($K491="","No",IF(COUNTIFS(MasterPanel!$B:$B,$H491,MasterPanel!$I:$I,$K491,MasterPanel!$K:$K,"Y")&gt;0,"Yes","No"))</f>
        <v>No</v>
      </c>
      <c r="Q491" s="46" t="n">
        <f aca="false">IF($K491="",0,IF(COUNTIF('Gap Sheet'!$A$6:$A$11,TRIM($J491))=0,0,IF($O491="R1",INDEX('Gap Sheet'!$C$6:$C$11,MATCH(TRIM($J491),'Gap Sheet'!$A$6:$A$11,0)),INDEX('Gap Sheet'!$G$6:$G$11,MATCH(TRIM($J491),'Gap Sheet'!$A$6:$A$11,0)))))</f>
        <v>0</v>
      </c>
      <c r="R491" s="46" t="str">
        <f aca="false">IF($K491="","",$K491&amp;"|"&amp;$O491)</f>
        <v/>
      </c>
      <c r="S491" s="46" t="n">
        <f aca="false">IF($R491="",0,COUNTIF($AA$4:$AA490,$R491))</f>
        <v>0</v>
      </c>
      <c r="T491" s="46" t="str">
        <f aca="false">IF(OR($I491&lt;&gt;"Yes, I'm available for in-person interviews at Chennai",$E491&lt;&gt;"Yes",$P491&lt;&gt;"Yes"),"No",IF(($Q491-$S491)&gt;0,"Yes","No"))</f>
        <v>No</v>
      </c>
      <c r="U491" s="46" t="str">
        <f aca="false">IF($M491="","No",IF(COUNTIFS(MasterPanel!$B:$B,$H491,MasterPanel!$I:$I,$M491,MasterPanel!$K:$K,"Y")&gt;0,"Yes","No"))</f>
        <v>No</v>
      </c>
      <c r="V491" s="46" t="n">
        <f aca="false">IF($M491="",0,IF(COUNTIF('Gap Sheet'!$A$6:$A$11,TRIM($L491))=0,0,IF($O491="R1",INDEX('Gap Sheet'!$C$6:$C$11,MATCH(TRIM($L491),'Gap Sheet'!$A$6:$A$11,0)),INDEX('Gap Sheet'!$G$6:$G$11,MATCH(TRIM($L491),'Gap Sheet'!$A$6:$A$11,0)))))</f>
        <v>0</v>
      </c>
      <c r="W491" s="46" t="str">
        <f aca="false">IF($M491="","",$M491&amp;"|"&amp;$O491)</f>
        <v/>
      </c>
      <c r="X491" s="46" t="n">
        <f aca="false">IF($W491="",0,COUNTIF($AA$4:$AA490,$W491))</f>
        <v>0</v>
      </c>
      <c r="Y491" s="46" t="str">
        <f aca="false">IF(OR($I491&lt;&gt;"Yes, I'm available for in-person interviews at Chennai",$E491&lt;&gt;"Yes",$T491="Yes",$U491&lt;&gt;"Yes"),"No",IF(($V491-$X491)&gt;0,"Yes","No"))</f>
        <v>No</v>
      </c>
      <c r="Z491" s="46" t="str">
        <f aca="false">IF($T491="Yes","Primary",IF($Y491="Yes","Secondary",""))</f>
        <v/>
      </c>
      <c r="AA491" s="46" t="str">
        <f aca="false">IF($Z491="Primary",$R491,IF($Z491="Secondary",$W491,""))</f>
        <v/>
      </c>
      <c r="AB491" s="46" t="str">
        <f aca="false">IF($Z491="Primary","Matched on primary skill",IF($Z491="Secondary","Matched on secondary skill (primary not approved or not required)",""))</f>
        <v/>
      </c>
      <c r="AC491" s="47" t="str">
        <f aca="false">IF($D491="Panel Details",$F491,"")</f>
        <v/>
      </c>
      <c r="AD491" s="46" t="str">
        <f aca="false">IF($D491="Panel Details",'Survey Response'!$D489,"")</f>
        <v/>
      </c>
      <c r="AE491" s="46" t="str">
        <f aca="false">IF($D491="Panel Details",'Survey Response'!$E489,"")</f>
        <v/>
      </c>
      <c r="AF491" s="46" t="str">
        <f aca="false">IF($D491="Panel Details",'Survey Response'!$G489,"")</f>
        <v/>
      </c>
      <c r="AG491" s="46" t="str">
        <f aca="false">IF($D491="Panel Details",IF($Z491="Primary",$J491,$L491),"")</f>
        <v/>
      </c>
      <c r="AH491" s="46" t="str">
        <f aca="false">IF($D491="Panel Details",IF($Z491="Primary",$L491,$J491),"")</f>
        <v/>
      </c>
      <c r="AI491" s="46" t="str">
        <f aca="false">IF($D491="Panel Details",'Survey Response'!$H489,"")</f>
        <v/>
      </c>
      <c r="AJ491" s="46" t="str">
        <f aca="false">IF($D491="Panel Details",'Survey Response'!$M489,"")</f>
        <v/>
      </c>
      <c r="AK491" s="46" t="str">
        <f aca="false">IF($D491="Panel Details",$O491,"")</f>
        <v/>
      </c>
      <c r="AL491" s="46" t="str">
        <f aca="false">IF($D491="Panel Details",8,"")</f>
        <v/>
      </c>
      <c r="AM491" s="46" t="str">
        <f aca="false">IF($D491="Panel Details",$AB491,"")</f>
        <v/>
      </c>
      <c r="AN491" s="46" t="str">
        <f aca="false">IF($D491="Panel Details","Yes","")</f>
        <v/>
      </c>
      <c r="AO491" s="46"/>
      <c r="AP491" s="46" t="str">
        <f aca="false">IF($D491="Followup",'Survey Response'!$D489,"")</f>
        <v/>
      </c>
      <c r="AQ491" s="46" t="str">
        <f aca="false">IF($D491="Followup",'Survey Response'!$E489,"")</f>
        <v/>
      </c>
      <c r="AR491" s="46" t="str">
        <f aca="false">IF($D491="Followup",'Survey Response'!$G489,"")</f>
        <v/>
      </c>
      <c r="AS491" s="46" t="str">
        <f aca="false">IF($D491="Followup",'Survey Response'!$H489,"")</f>
        <v/>
      </c>
      <c r="AT491" s="46" t="str">
        <f aca="false">IF($D491="Followup",'Survey Response'!$M489,"")</f>
        <v/>
      </c>
      <c r="AU491" s="46" t="str">
        <f aca="false">IF($D491="Followup",'Survey Response'!$K489,"")</f>
        <v/>
      </c>
      <c r="AV491" s="46" t="str">
        <f aca="false">IF($D491="Followup",'Survey Response'!$L489,"")</f>
        <v/>
      </c>
      <c r="AW491" s="46" t="str">
        <f aca="false">IF($D491="Followup",IF(AND($P491&lt;&gt;"Yes",$U491&lt;&gt;"Yes"),"Not approved for primary or secondary skill","Approved, but skill(s) no longer have capacity (fully staffed)"),"")</f>
        <v/>
      </c>
    </row>
    <row r="492" customFormat="false" ht="15" hidden="false" customHeight="true" outlineLevel="0" collapsed="false">
      <c r="A492" s="46" t="str">
        <f aca="false">IF('Survey Response'!$D490="","",'Survey Response'!$A490&amp;"|"&amp;LOWER(TRIM('Survey Response'!$D490)))</f>
        <v/>
      </c>
      <c r="B492" s="46" t="str">
        <f aca="false">IF($H492="","",$F492&amp;"|"&amp;$H492)</f>
        <v/>
      </c>
      <c r="C492" s="46" t="str">
        <f aca="false">IF($H492="","",$A492=$B492)</f>
        <v/>
      </c>
      <c r="D492" s="46" t="str">
        <f aca="false">IF($H492="","",IF($E492&lt;&gt;"Yes","Superseded",IF($I492&lt;&gt;"Yes, I'm available for in-person interviews at Chennai","Not Available",IF($Z492&lt;&gt;"","Panel Details","Followup"))))</f>
        <v/>
      </c>
      <c r="E492" s="46" t="str">
        <f aca="false">IF($H492="","",IF(SUMPRODUCT(($H$4:$H$503=$H492)*(($G$4:$G$503&gt;$G492)+($G$4:$G$503=$G492)*($F$4:$F$503&gt;$F492)))=0,"Yes","No"))</f>
        <v/>
      </c>
      <c r="F492" s="47" t="str">
        <f aca="false">IF('Survey Response'!$D490="","",INT('Survey Response'!$A490))</f>
        <v/>
      </c>
      <c r="G492" s="46" t="str">
        <f aca="false">IF('Survey Response'!$D490="","",'Survey Response'!$C490)</f>
        <v/>
      </c>
      <c r="H492" s="46" t="str">
        <f aca="false">IF('Survey Response'!$D490="","",LOWER(TRIM('Survey Response'!$D490)))</f>
        <v/>
      </c>
      <c r="I492" s="46" t="str">
        <f aca="false">IF($H492="","",'Survey Response'!$I490)</f>
        <v/>
      </c>
      <c r="J492" s="46" t="str">
        <f aca="false">IF($H492="","",'Survey Response'!$K490)</f>
        <v/>
      </c>
      <c r="K492" s="46" t="str">
        <f aca="false">IF($J492="","",IF(COUNTIF('Skill Mapping'!$A$2:$A$7,TRIM($J492))=0,"",INDEX('Skill Mapping'!$B$2:$B$7,MATCH(TRIM($J492),'Skill Mapping'!$A$2:$A$7,0))))</f>
        <v/>
      </c>
      <c r="L492" s="46" t="str">
        <f aca="false">IF($H492="","",'Survey Response'!$L490)</f>
        <v/>
      </c>
      <c r="M492" s="46" t="str">
        <f aca="false">IF($L492="","",IF(COUNTIF('Skill Mapping'!$A$2:$A$7,TRIM($L492))=0,"",INDEX('Skill Mapping'!$B$2:$B$7,MATCH(TRIM($L492),'Skill Mapping'!$A$2:$A$7,0))))</f>
        <v/>
      </c>
      <c r="N492" s="46" t="str">
        <f aca="false">IF($H492="","",'Survey Response'!$M490)</f>
        <v/>
      </c>
      <c r="O492" s="46" t="str">
        <f aca="false">IF($H492="","",IF('Survey Response'!$M490="Manager","R2","R1"))</f>
        <v/>
      </c>
      <c r="P492" s="46" t="str">
        <f aca="false">IF($K492="","No",IF(COUNTIFS(MasterPanel!$B:$B,$H492,MasterPanel!$I:$I,$K492,MasterPanel!$K:$K,"Y")&gt;0,"Yes","No"))</f>
        <v>No</v>
      </c>
      <c r="Q492" s="46" t="n">
        <f aca="false">IF($K492="",0,IF(COUNTIF('Gap Sheet'!$A$6:$A$11,TRIM($J492))=0,0,IF($O492="R1",INDEX('Gap Sheet'!$C$6:$C$11,MATCH(TRIM($J492),'Gap Sheet'!$A$6:$A$11,0)),INDEX('Gap Sheet'!$G$6:$G$11,MATCH(TRIM($J492),'Gap Sheet'!$A$6:$A$11,0)))))</f>
        <v>0</v>
      </c>
      <c r="R492" s="46" t="str">
        <f aca="false">IF($K492="","",$K492&amp;"|"&amp;$O492)</f>
        <v/>
      </c>
      <c r="S492" s="46" t="n">
        <f aca="false">IF($R492="",0,COUNTIF($AA$4:$AA491,$R492))</f>
        <v>0</v>
      </c>
      <c r="T492" s="46" t="str">
        <f aca="false">IF(OR($I492&lt;&gt;"Yes, I'm available for in-person interviews at Chennai",$E492&lt;&gt;"Yes",$P492&lt;&gt;"Yes"),"No",IF(($Q492-$S492)&gt;0,"Yes","No"))</f>
        <v>No</v>
      </c>
      <c r="U492" s="46" t="str">
        <f aca="false">IF($M492="","No",IF(COUNTIFS(MasterPanel!$B:$B,$H492,MasterPanel!$I:$I,$M492,MasterPanel!$K:$K,"Y")&gt;0,"Yes","No"))</f>
        <v>No</v>
      </c>
      <c r="V492" s="46" t="n">
        <f aca="false">IF($M492="",0,IF(COUNTIF('Gap Sheet'!$A$6:$A$11,TRIM($L492))=0,0,IF($O492="R1",INDEX('Gap Sheet'!$C$6:$C$11,MATCH(TRIM($L492),'Gap Sheet'!$A$6:$A$11,0)),INDEX('Gap Sheet'!$G$6:$G$11,MATCH(TRIM($L492),'Gap Sheet'!$A$6:$A$11,0)))))</f>
        <v>0</v>
      </c>
      <c r="W492" s="46" t="str">
        <f aca="false">IF($M492="","",$M492&amp;"|"&amp;$O492)</f>
        <v/>
      </c>
      <c r="X492" s="46" t="n">
        <f aca="false">IF($W492="",0,COUNTIF($AA$4:$AA491,$W492))</f>
        <v>0</v>
      </c>
      <c r="Y492" s="46" t="str">
        <f aca="false">IF(OR($I492&lt;&gt;"Yes, I'm available for in-person interviews at Chennai",$E492&lt;&gt;"Yes",$T492="Yes",$U492&lt;&gt;"Yes"),"No",IF(($V492-$X492)&gt;0,"Yes","No"))</f>
        <v>No</v>
      </c>
      <c r="Z492" s="46" t="str">
        <f aca="false">IF($T492="Yes","Primary",IF($Y492="Yes","Secondary",""))</f>
        <v/>
      </c>
      <c r="AA492" s="46" t="str">
        <f aca="false">IF($Z492="Primary",$R492,IF($Z492="Secondary",$W492,""))</f>
        <v/>
      </c>
      <c r="AB492" s="46" t="str">
        <f aca="false">IF($Z492="Primary","Matched on primary skill",IF($Z492="Secondary","Matched on secondary skill (primary not approved or not required)",""))</f>
        <v/>
      </c>
      <c r="AC492" s="47" t="str">
        <f aca="false">IF($D492="Panel Details",$F492,"")</f>
        <v/>
      </c>
      <c r="AD492" s="46" t="str">
        <f aca="false">IF($D492="Panel Details",'Survey Response'!$D490,"")</f>
        <v/>
      </c>
      <c r="AE492" s="46" t="str">
        <f aca="false">IF($D492="Panel Details",'Survey Response'!$E490,"")</f>
        <v/>
      </c>
      <c r="AF492" s="46" t="str">
        <f aca="false">IF($D492="Panel Details",'Survey Response'!$G490,"")</f>
        <v/>
      </c>
      <c r="AG492" s="46" t="str">
        <f aca="false">IF($D492="Panel Details",IF($Z492="Primary",$J492,$L492),"")</f>
        <v/>
      </c>
      <c r="AH492" s="46" t="str">
        <f aca="false">IF($D492="Panel Details",IF($Z492="Primary",$L492,$J492),"")</f>
        <v/>
      </c>
      <c r="AI492" s="46" t="str">
        <f aca="false">IF($D492="Panel Details",'Survey Response'!$H490,"")</f>
        <v/>
      </c>
      <c r="AJ492" s="46" t="str">
        <f aca="false">IF($D492="Panel Details",'Survey Response'!$M490,"")</f>
        <v/>
      </c>
      <c r="AK492" s="46" t="str">
        <f aca="false">IF($D492="Panel Details",$O492,"")</f>
        <v/>
      </c>
      <c r="AL492" s="46" t="str">
        <f aca="false">IF($D492="Panel Details",8,"")</f>
        <v/>
      </c>
      <c r="AM492" s="46" t="str">
        <f aca="false">IF($D492="Panel Details",$AB492,"")</f>
        <v/>
      </c>
      <c r="AN492" s="46" t="str">
        <f aca="false">IF($D492="Panel Details","Yes","")</f>
        <v/>
      </c>
      <c r="AO492" s="46"/>
      <c r="AP492" s="46" t="str">
        <f aca="false">IF($D492="Followup",'Survey Response'!$D490,"")</f>
        <v/>
      </c>
      <c r="AQ492" s="46" t="str">
        <f aca="false">IF($D492="Followup",'Survey Response'!$E490,"")</f>
        <v/>
      </c>
      <c r="AR492" s="46" t="str">
        <f aca="false">IF($D492="Followup",'Survey Response'!$G490,"")</f>
        <v/>
      </c>
      <c r="AS492" s="46" t="str">
        <f aca="false">IF($D492="Followup",'Survey Response'!$H490,"")</f>
        <v/>
      </c>
      <c r="AT492" s="46" t="str">
        <f aca="false">IF($D492="Followup",'Survey Response'!$M490,"")</f>
        <v/>
      </c>
      <c r="AU492" s="46" t="str">
        <f aca="false">IF($D492="Followup",'Survey Response'!$K490,"")</f>
        <v/>
      </c>
      <c r="AV492" s="46" t="str">
        <f aca="false">IF($D492="Followup",'Survey Response'!$L490,"")</f>
        <v/>
      </c>
      <c r="AW492" s="46" t="str">
        <f aca="false">IF($D492="Followup",IF(AND($P492&lt;&gt;"Yes",$U492&lt;&gt;"Yes"),"Not approved for primary or secondary skill","Approved, but skill(s) no longer have capacity (fully staffed)"),"")</f>
        <v/>
      </c>
    </row>
    <row r="493" customFormat="false" ht="15" hidden="false" customHeight="true" outlineLevel="0" collapsed="false">
      <c r="A493" s="46" t="str">
        <f aca="false">IF('Survey Response'!$D491="","",'Survey Response'!$A491&amp;"|"&amp;LOWER(TRIM('Survey Response'!$D491)))</f>
        <v/>
      </c>
      <c r="B493" s="46" t="str">
        <f aca="false">IF($H493="","",$F493&amp;"|"&amp;$H493)</f>
        <v/>
      </c>
      <c r="C493" s="46" t="str">
        <f aca="false">IF($H493="","",$A493=$B493)</f>
        <v/>
      </c>
      <c r="D493" s="46" t="str">
        <f aca="false">IF($H493="","",IF($E493&lt;&gt;"Yes","Superseded",IF($I493&lt;&gt;"Yes, I'm available for in-person interviews at Chennai","Not Available",IF($Z493&lt;&gt;"","Panel Details","Followup"))))</f>
        <v/>
      </c>
      <c r="E493" s="46" t="str">
        <f aca="false">IF($H493="","",IF(SUMPRODUCT(($H$4:$H$503=$H493)*(($G$4:$G$503&gt;$G493)+($G$4:$G$503=$G493)*($F$4:$F$503&gt;$F493)))=0,"Yes","No"))</f>
        <v/>
      </c>
      <c r="F493" s="47" t="str">
        <f aca="false">IF('Survey Response'!$D491="","",INT('Survey Response'!$A491))</f>
        <v/>
      </c>
      <c r="G493" s="46" t="str">
        <f aca="false">IF('Survey Response'!$D491="","",'Survey Response'!$C491)</f>
        <v/>
      </c>
      <c r="H493" s="46" t="str">
        <f aca="false">IF('Survey Response'!$D491="","",LOWER(TRIM('Survey Response'!$D491)))</f>
        <v/>
      </c>
      <c r="I493" s="46" t="str">
        <f aca="false">IF($H493="","",'Survey Response'!$I491)</f>
        <v/>
      </c>
      <c r="J493" s="46" t="str">
        <f aca="false">IF($H493="","",'Survey Response'!$K491)</f>
        <v/>
      </c>
      <c r="K493" s="46" t="str">
        <f aca="false">IF($J493="","",IF(COUNTIF('Skill Mapping'!$A$2:$A$7,TRIM($J493))=0,"",INDEX('Skill Mapping'!$B$2:$B$7,MATCH(TRIM($J493),'Skill Mapping'!$A$2:$A$7,0))))</f>
        <v/>
      </c>
      <c r="L493" s="46" t="str">
        <f aca="false">IF($H493="","",'Survey Response'!$L491)</f>
        <v/>
      </c>
      <c r="M493" s="46" t="str">
        <f aca="false">IF($L493="","",IF(COUNTIF('Skill Mapping'!$A$2:$A$7,TRIM($L493))=0,"",INDEX('Skill Mapping'!$B$2:$B$7,MATCH(TRIM($L493),'Skill Mapping'!$A$2:$A$7,0))))</f>
        <v/>
      </c>
      <c r="N493" s="46" t="str">
        <f aca="false">IF($H493="","",'Survey Response'!$M491)</f>
        <v/>
      </c>
      <c r="O493" s="46" t="str">
        <f aca="false">IF($H493="","",IF('Survey Response'!$M491="Manager","R2","R1"))</f>
        <v/>
      </c>
      <c r="P493" s="46" t="str">
        <f aca="false">IF($K493="","No",IF(COUNTIFS(MasterPanel!$B:$B,$H493,MasterPanel!$I:$I,$K493,MasterPanel!$K:$K,"Y")&gt;0,"Yes","No"))</f>
        <v>No</v>
      </c>
      <c r="Q493" s="46" t="n">
        <f aca="false">IF($K493="",0,IF(COUNTIF('Gap Sheet'!$A$6:$A$11,TRIM($J493))=0,0,IF($O493="R1",INDEX('Gap Sheet'!$C$6:$C$11,MATCH(TRIM($J493),'Gap Sheet'!$A$6:$A$11,0)),INDEX('Gap Sheet'!$G$6:$G$11,MATCH(TRIM($J493),'Gap Sheet'!$A$6:$A$11,0)))))</f>
        <v>0</v>
      </c>
      <c r="R493" s="46" t="str">
        <f aca="false">IF($K493="","",$K493&amp;"|"&amp;$O493)</f>
        <v/>
      </c>
      <c r="S493" s="46" t="n">
        <f aca="false">IF($R493="",0,COUNTIF($AA$4:$AA492,$R493))</f>
        <v>0</v>
      </c>
      <c r="T493" s="46" t="str">
        <f aca="false">IF(OR($I493&lt;&gt;"Yes, I'm available for in-person interviews at Chennai",$E493&lt;&gt;"Yes",$P493&lt;&gt;"Yes"),"No",IF(($Q493-$S493)&gt;0,"Yes","No"))</f>
        <v>No</v>
      </c>
      <c r="U493" s="46" t="str">
        <f aca="false">IF($M493="","No",IF(COUNTIFS(MasterPanel!$B:$B,$H493,MasterPanel!$I:$I,$M493,MasterPanel!$K:$K,"Y")&gt;0,"Yes","No"))</f>
        <v>No</v>
      </c>
      <c r="V493" s="46" t="n">
        <f aca="false">IF($M493="",0,IF(COUNTIF('Gap Sheet'!$A$6:$A$11,TRIM($L493))=0,0,IF($O493="R1",INDEX('Gap Sheet'!$C$6:$C$11,MATCH(TRIM($L493),'Gap Sheet'!$A$6:$A$11,0)),INDEX('Gap Sheet'!$G$6:$G$11,MATCH(TRIM($L493),'Gap Sheet'!$A$6:$A$11,0)))))</f>
        <v>0</v>
      </c>
      <c r="W493" s="46" t="str">
        <f aca="false">IF($M493="","",$M493&amp;"|"&amp;$O493)</f>
        <v/>
      </c>
      <c r="X493" s="46" t="n">
        <f aca="false">IF($W493="",0,COUNTIF($AA$4:$AA492,$W493))</f>
        <v>0</v>
      </c>
      <c r="Y493" s="46" t="str">
        <f aca="false">IF(OR($I493&lt;&gt;"Yes, I'm available for in-person interviews at Chennai",$E493&lt;&gt;"Yes",$T493="Yes",$U493&lt;&gt;"Yes"),"No",IF(($V493-$X493)&gt;0,"Yes","No"))</f>
        <v>No</v>
      </c>
      <c r="Z493" s="46" t="str">
        <f aca="false">IF($T493="Yes","Primary",IF($Y493="Yes","Secondary",""))</f>
        <v/>
      </c>
      <c r="AA493" s="46" t="str">
        <f aca="false">IF($Z493="Primary",$R493,IF($Z493="Secondary",$W493,""))</f>
        <v/>
      </c>
      <c r="AB493" s="46" t="str">
        <f aca="false">IF($Z493="Primary","Matched on primary skill",IF($Z493="Secondary","Matched on secondary skill (primary not approved or not required)",""))</f>
        <v/>
      </c>
      <c r="AC493" s="47" t="str">
        <f aca="false">IF($D493="Panel Details",$F493,"")</f>
        <v/>
      </c>
      <c r="AD493" s="46" t="str">
        <f aca="false">IF($D493="Panel Details",'Survey Response'!$D491,"")</f>
        <v/>
      </c>
      <c r="AE493" s="46" t="str">
        <f aca="false">IF($D493="Panel Details",'Survey Response'!$E491,"")</f>
        <v/>
      </c>
      <c r="AF493" s="46" t="str">
        <f aca="false">IF($D493="Panel Details",'Survey Response'!$G491,"")</f>
        <v/>
      </c>
      <c r="AG493" s="46" t="str">
        <f aca="false">IF($D493="Panel Details",IF($Z493="Primary",$J493,$L493),"")</f>
        <v/>
      </c>
      <c r="AH493" s="46" t="str">
        <f aca="false">IF($D493="Panel Details",IF($Z493="Primary",$L493,$J493),"")</f>
        <v/>
      </c>
      <c r="AI493" s="46" t="str">
        <f aca="false">IF($D493="Panel Details",'Survey Response'!$H491,"")</f>
        <v/>
      </c>
      <c r="AJ493" s="46" t="str">
        <f aca="false">IF($D493="Panel Details",'Survey Response'!$M491,"")</f>
        <v/>
      </c>
      <c r="AK493" s="46" t="str">
        <f aca="false">IF($D493="Panel Details",$O493,"")</f>
        <v/>
      </c>
      <c r="AL493" s="46" t="str">
        <f aca="false">IF($D493="Panel Details",8,"")</f>
        <v/>
      </c>
      <c r="AM493" s="46" t="str">
        <f aca="false">IF($D493="Panel Details",$AB493,"")</f>
        <v/>
      </c>
      <c r="AN493" s="46" t="str">
        <f aca="false">IF($D493="Panel Details","Yes","")</f>
        <v/>
      </c>
      <c r="AO493" s="46"/>
      <c r="AP493" s="46" t="str">
        <f aca="false">IF($D493="Followup",'Survey Response'!$D491,"")</f>
        <v/>
      </c>
      <c r="AQ493" s="46" t="str">
        <f aca="false">IF($D493="Followup",'Survey Response'!$E491,"")</f>
        <v/>
      </c>
      <c r="AR493" s="46" t="str">
        <f aca="false">IF($D493="Followup",'Survey Response'!$G491,"")</f>
        <v/>
      </c>
      <c r="AS493" s="46" t="str">
        <f aca="false">IF($D493="Followup",'Survey Response'!$H491,"")</f>
        <v/>
      </c>
      <c r="AT493" s="46" t="str">
        <f aca="false">IF($D493="Followup",'Survey Response'!$M491,"")</f>
        <v/>
      </c>
      <c r="AU493" s="46" t="str">
        <f aca="false">IF($D493="Followup",'Survey Response'!$K491,"")</f>
        <v/>
      </c>
      <c r="AV493" s="46" t="str">
        <f aca="false">IF($D493="Followup",'Survey Response'!$L491,"")</f>
        <v/>
      </c>
      <c r="AW493" s="46" t="str">
        <f aca="false">IF($D493="Followup",IF(AND($P493&lt;&gt;"Yes",$U493&lt;&gt;"Yes"),"Not approved for primary or secondary skill","Approved, but skill(s) no longer have capacity (fully staffed)"),"")</f>
        <v/>
      </c>
    </row>
    <row r="494" customFormat="false" ht="15" hidden="false" customHeight="true" outlineLevel="0" collapsed="false">
      <c r="A494" s="46" t="str">
        <f aca="false">IF('Survey Response'!$D492="","",'Survey Response'!$A492&amp;"|"&amp;LOWER(TRIM('Survey Response'!$D492)))</f>
        <v/>
      </c>
      <c r="B494" s="46" t="str">
        <f aca="false">IF($H494="","",$F494&amp;"|"&amp;$H494)</f>
        <v/>
      </c>
      <c r="C494" s="46" t="str">
        <f aca="false">IF($H494="","",$A494=$B494)</f>
        <v/>
      </c>
      <c r="D494" s="46" t="str">
        <f aca="false">IF($H494="","",IF($E494&lt;&gt;"Yes","Superseded",IF($I494&lt;&gt;"Yes, I'm available for in-person interviews at Chennai","Not Available",IF($Z494&lt;&gt;"","Panel Details","Followup"))))</f>
        <v/>
      </c>
      <c r="E494" s="46" t="str">
        <f aca="false">IF($H494="","",IF(SUMPRODUCT(($H$4:$H$503=$H494)*(($G$4:$G$503&gt;$G494)+($G$4:$G$503=$G494)*($F$4:$F$503&gt;$F494)))=0,"Yes","No"))</f>
        <v/>
      </c>
      <c r="F494" s="47" t="str">
        <f aca="false">IF('Survey Response'!$D492="","",INT('Survey Response'!$A492))</f>
        <v/>
      </c>
      <c r="G494" s="46" t="str">
        <f aca="false">IF('Survey Response'!$D492="","",'Survey Response'!$C492)</f>
        <v/>
      </c>
      <c r="H494" s="46" t="str">
        <f aca="false">IF('Survey Response'!$D492="","",LOWER(TRIM('Survey Response'!$D492)))</f>
        <v/>
      </c>
      <c r="I494" s="46" t="str">
        <f aca="false">IF($H494="","",'Survey Response'!$I492)</f>
        <v/>
      </c>
      <c r="J494" s="46" t="str">
        <f aca="false">IF($H494="","",'Survey Response'!$K492)</f>
        <v/>
      </c>
      <c r="K494" s="46" t="str">
        <f aca="false">IF($J494="","",IF(COUNTIF('Skill Mapping'!$A$2:$A$7,TRIM($J494))=0,"",INDEX('Skill Mapping'!$B$2:$B$7,MATCH(TRIM($J494),'Skill Mapping'!$A$2:$A$7,0))))</f>
        <v/>
      </c>
      <c r="L494" s="46" t="str">
        <f aca="false">IF($H494="","",'Survey Response'!$L492)</f>
        <v/>
      </c>
      <c r="M494" s="46" t="str">
        <f aca="false">IF($L494="","",IF(COUNTIF('Skill Mapping'!$A$2:$A$7,TRIM($L494))=0,"",INDEX('Skill Mapping'!$B$2:$B$7,MATCH(TRIM($L494),'Skill Mapping'!$A$2:$A$7,0))))</f>
        <v/>
      </c>
      <c r="N494" s="46" t="str">
        <f aca="false">IF($H494="","",'Survey Response'!$M492)</f>
        <v/>
      </c>
      <c r="O494" s="46" t="str">
        <f aca="false">IF($H494="","",IF('Survey Response'!$M492="Manager","R2","R1"))</f>
        <v/>
      </c>
      <c r="P494" s="46" t="str">
        <f aca="false">IF($K494="","No",IF(COUNTIFS(MasterPanel!$B:$B,$H494,MasterPanel!$I:$I,$K494,MasterPanel!$K:$K,"Y")&gt;0,"Yes","No"))</f>
        <v>No</v>
      </c>
      <c r="Q494" s="46" t="n">
        <f aca="false">IF($K494="",0,IF(COUNTIF('Gap Sheet'!$A$6:$A$11,TRIM($J494))=0,0,IF($O494="R1",INDEX('Gap Sheet'!$C$6:$C$11,MATCH(TRIM($J494),'Gap Sheet'!$A$6:$A$11,0)),INDEX('Gap Sheet'!$G$6:$G$11,MATCH(TRIM($J494),'Gap Sheet'!$A$6:$A$11,0)))))</f>
        <v>0</v>
      </c>
      <c r="R494" s="46" t="str">
        <f aca="false">IF($K494="","",$K494&amp;"|"&amp;$O494)</f>
        <v/>
      </c>
      <c r="S494" s="46" t="n">
        <f aca="false">IF($R494="",0,COUNTIF($AA$4:$AA493,$R494))</f>
        <v>0</v>
      </c>
      <c r="T494" s="46" t="str">
        <f aca="false">IF(OR($I494&lt;&gt;"Yes, I'm available for in-person interviews at Chennai",$E494&lt;&gt;"Yes",$P494&lt;&gt;"Yes"),"No",IF(($Q494-$S494)&gt;0,"Yes","No"))</f>
        <v>No</v>
      </c>
      <c r="U494" s="46" t="str">
        <f aca="false">IF($M494="","No",IF(COUNTIFS(MasterPanel!$B:$B,$H494,MasterPanel!$I:$I,$M494,MasterPanel!$K:$K,"Y")&gt;0,"Yes","No"))</f>
        <v>No</v>
      </c>
      <c r="V494" s="46" t="n">
        <f aca="false">IF($M494="",0,IF(COUNTIF('Gap Sheet'!$A$6:$A$11,TRIM($L494))=0,0,IF($O494="R1",INDEX('Gap Sheet'!$C$6:$C$11,MATCH(TRIM($L494),'Gap Sheet'!$A$6:$A$11,0)),INDEX('Gap Sheet'!$G$6:$G$11,MATCH(TRIM($L494),'Gap Sheet'!$A$6:$A$11,0)))))</f>
        <v>0</v>
      </c>
      <c r="W494" s="46" t="str">
        <f aca="false">IF($M494="","",$M494&amp;"|"&amp;$O494)</f>
        <v/>
      </c>
      <c r="X494" s="46" t="n">
        <f aca="false">IF($W494="",0,COUNTIF($AA$4:$AA493,$W494))</f>
        <v>0</v>
      </c>
      <c r="Y494" s="46" t="str">
        <f aca="false">IF(OR($I494&lt;&gt;"Yes, I'm available for in-person interviews at Chennai",$E494&lt;&gt;"Yes",$T494="Yes",$U494&lt;&gt;"Yes"),"No",IF(($V494-$X494)&gt;0,"Yes","No"))</f>
        <v>No</v>
      </c>
      <c r="Z494" s="46" t="str">
        <f aca="false">IF($T494="Yes","Primary",IF($Y494="Yes","Secondary",""))</f>
        <v/>
      </c>
      <c r="AA494" s="46" t="str">
        <f aca="false">IF($Z494="Primary",$R494,IF($Z494="Secondary",$W494,""))</f>
        <v/>
      </c>
      <c r="AB494" s="46" t="str">
        <f aca="false">IF($Z494="Primary","Matched on primary skill",IF($Z494="Secondary","Matched on secondary skill (primary not approved or not required)",""))</f>
        <v/>
      </c>
      <c r="AC494" s="47" t="str">
        <f aca="false">IF($D494="Panel Details",$F494,"")</f>
        <v/>
      </c>
      <c r="AD494" s="46" t="str">
        <f aca="false">IF($D494="Panel Details",'Survey Response'!$D492,"")</f>
        <v/>
      </c>
      <c r="AE494" s="46" t="str">
        <f aca="false">IF($D494="Panel Details",'Survey Response'!$E492,"")</f>
        <v/>
      </c>
      <c r="AF494" s="46" t="str">
        <f aca="false">IF($D494="Panel Details",'Survey Response'!$G492,"")</f>
        <v/>
      </c>
      <c r="AG494" s="46" t="str">
        <f aca="false">IF($D494="Panel Details",IF($Z494="Primary",$J494,$L494),"")</f>
        <v/>
      </c>
      <c r="AH494" s="46" t="str">
        <f aca="false">IF($D494="Panel Details",IF($Z494="Primary",$L494,$J494),"")</f>
        <v/>
      </c>
      <c r="AI494" s="46" t="str">
        <f aca="false">IF($D494="Panel Details",'Survey Response'!$H492,"")</f>
        <v/>
      </c>
      <c r="AJ494" s="46" t="str">
        <f aca="false">IF($D494="Panel Details",'Survey Response'!$M492,"")</f>
        <v/>
      </c>
      <c r="AK494" s="46" t="str">
        <f aca="false">IF($D494="Panel Details",$O494,"")</f>
        <v/>
      </c>
      <c r="AL494" s="46" t="str">
        <f aca="false">IF($D494="Panel Details",8,"")</f>
        <v/>
      </c>
      <c r="AM494" s="46" t="str">
        <f aca="false">IF($D494="Panel Details",$AB494,"")</f>
        <v/>
      </c>
      <c r="AN494" s="46" t="str">
        <f aca="false">IF($D494="Panel Details","Yes","")</f>
        <v/>
      </c>
      <c r="AO494" s="46"/>
      <c r="AP494" s="46" t="str">
        <f aca="false">IF($D494="Followup",'Survey Response'!$D492,"")</f>
        <v/>
      </c>
      <c r="AQ494" s="46" t="str">
        <f aca="false">IF($D494="Followup",'Survey Response'!$E492,"")</f>
        <v/>
      </c>
      <c r="AR494" s="46" t="str">
        <f aca="false">IF($D494="Followup",'Survey Response'!$G492,"")</f>
        <v/>
      </c>
      <c r="AS494" s="46" t="str">
        <f aca="false">IF($D494="Followup",'Survey Response'!$H492,"")</f>
        <v/>
      </c>
      <c r="AT494" s="46" t="str">
        <f aca="false">IF($D494="Followup",'Survey Response'!$M492,"")</f>
        <v/>
      </c>
      <c r="AU494" s="46" t="str">
        <f aca="false">IF($D494="Followup",'Survey Response'!$K492,"")</f>
        <v/>
      </c>
      <c r="AV494" s="46" t="str">
        <f aca="false">IF($D494="Followup",'Survey Response'!$L492,"")</f>
        <v/>
      </c>
      <c r="AW494" s="46" t="str">
        <f aca="false">IF($D494="Followup",IF(AND($P494&lt;&gt;"Yes",$U494&lt;&gt;"Yes"),"Not approved for primary or secondary skill","Approved, but skill(s) no longer have capacity (fully staffed)"),"")</f>
        <v/>
      </c>
    </row>
    <row r="495" customFormat="false" ht="15" hidden="false" customHeight="true" outlineLevel="0" collapsed="false">
      <c r="A495" s="46" t="str">
        <f aca="false">IF('Survey Response'!$D493="","",'Survey Response'!$A493&amp;"|"&amp;LOWER(TRIM('Survey Response'!$D493)))</f>
        <v/>
      </c>
      <c r="B495" s="46" t="str">
        <f aca="false">IF($H495="","",$F495&amp;"|"&amp;$H495)</f>
        <v/>
      </c>
      <c r="C495" s="46" t="str">
        <f aca="false">IF($H495="","",$A495=$B495)</f>
        <v/>
      </c>
      <c r="D495" s="46" t="str">
        <f aca="false">IF($H495="","",IF($E495&lt;&gt;"Yes","Superseded",IF($I495&lt;&gt;"Yes, I'm available for in-person interviews at Chennai","Not Available",IF($Z495&lt;&gt;"","Panel Details","Followup"))))</f>
        <v/>
      </c>
      <c r="E495" s="46" t="str">
        <f aca="false">IF($H495="","",IF(SUMPRODUCT(($H$4:$H$503=$H495)*(($G$4:$G$503&gt;$G495)+($G$4:$G$503=$G495)*($F$4:$F$503&gt;$F495)))=0,"Yes","No"))</f>
        <v/>
      </c>
      <c r="F495" s="47" t="str">
        <f aca="false">IF('Survey Response'!$D493="","",INT('Survey Response'!$A493))</f>
        <v/>
      </c>
      <c r="G495" s="46" t="str">
        <f aca="false">IF('Survey Response'!$D493="","",'Survey Response'!$C493)</f>
        <v/>
      </c>
      <c r="H495" s="46" t="str">
        <f aca="false">IF('Survey Response'!$D493="","",LOWER(TRIM('Survey Response'!$D493)))</f>
        <v/>
      </c>
      <c r="I495" s="46" t="str">
        <f aca="false">IF($H495="","",'Survey Response'!$I493)</f>
        <v/>
      </c>
      <c r="J495" s="46" t="str">
        <f aca="false">IF($H495="","",'Survey Response'!$K493)</f>
        <v/>
      </c>
      <c r="K495" s="46" t="str">
        <f aca="false">IF($J495="","",IF(COUNTIF('Skill Mapping'!$A$2:$A$7,TRIM($J495))=0,"",INDEX('Skill Mapping'!$B$2:$B$7,MATCH(TRIM($J495),'Skill Mapping'!$A$2:$A$7,0))))</f>
        <v/>
      </c>
      <c r="L495" s="46" t="str">
        <f aca="false">IF($H495="","",'Survey Response'!$L493)</f>
        <v/>
      </c>
      <c r="M495" s="46" t="str">
        <f aca="false">IF($L495="","",IF(COUNTIF('Skill Mapping'!$A$2:$A$7,TRIM($L495))=0,"",INDEX('Skill Mapping'!$B$2:$B$7,MATCH(TRIM($L495),'Skill Mapping'!$A$2:$A$7,0))))</f>
        <v/>
      </c>
      <c r="N495" s="46" t="str">
        <f aca="false">IF($H495="","",'Survey Response'!$M493)</f>
        <v/>
      </c>
      <c r="O495" s="46" t="str">
        <f aca="false">IF($H495="","",IF('Survey Response'!$M493="Manager","R2","R1"))</f>
        <v/>
      </c>
      <c r="P495" s="46" t="str">
        <f aca="false">IF($K495="","No",IF(COUNTIFS(MasterPanel!$B:$B,$H495,MasterPanel!$I:$I,$K495,MasterPanel!$K:$K,"Y")&gt;0,"Yes","No"))</f>
        <v>No</v>
      </c>
      <c r="Q495" s="46" t="n">
        <f aca="false">IF($K495="",0,IF(COUNTIF('Gap Sheet'!$A$6:$A$11,TRIM($J495))=0,0,IF($O495="R1",INDEX('Gap Sheet'!$C$6:$C$11,MATCH(TRIM($J495),'Gap Sheet'!$A$6:$A$11,0)),INDEX('Gap Sheet'!$G$6:$G$11,MATCH(TRIM($J495),'Gap Sheet'!$A$6:$A$11,0)))))</f>
        <v>0</v>
      </c>
      <c r="R495" s="46" t="str">
        <f aca="false">IF($K495="","",$K495&amp;"|"&amp;$O495)</f>
        <v/>
      </c>
      <c r="S495" s="46" t="n">
        <f aca="false">IF($R495="",0,COUNTIF($AA$4:$AA494,$R495))</f>
        <v>0</v>
      </c>
      <c r="T495" s="46" t="str">
        <f aca="false">IF(OR($I495&lt;&gt;"Yes, I'm available for in-person interviews at Chennai",$E495&lt;&gt;"Yes",$P495&lt;&gt;"Yes"),"No",IF(($Q495-$S495)&gt;0,"Yes","No"))</f>
        <v>No</v>
      </c>
      <c r="U495" s="46" t="str">
        <f aca="false">IF($M495="","No",IF(COUNTIFS(MasterPanel!$B:$B,$H495,MasterPanel!$I:$I,$M495,MasterPanel!$K:$K,"Y")&gt;0,"Yes","No"))</f>
        <v>No</v>
      </c>
      <c r="V495" s="46" t="n">
        <f aca="false">IF($M495="",0,IF(COUNTIF('Gap Sheet'!$A$6:$A$11,TRIM($L495))=0,0,IF($O495="R1",INDEX('Gap Sheet'!$C$6:$C$11,MATCH(TRIM($L495),'Gap Sheet'!$A$6:$A$11,0)),INDEX('Gap Sheet'!$G$6:$G$11,MATCH(TRIM($L495),'Gap Sheet'!$A$6:$A$11,0)))))</f>
        <v>0</v>
      </c>
      <c r="W495" s="46" t="str">
        <f aca="false">IF($M495="","",$M495&amp;"|"&amp;$O495)</f>
        <v/>
      </c>
      <c r="X495" s="46" t="n">
        <f aca="false">IF($W495="",0,COUNTIF($AA$4:$AA494,$W495))</f>
        <v>0</v>
      </c>
      <c r="Y495" s="46" t="str">
        <f aca="false">IF(OR($I495&lt;&gt;"Yes, I'm available for in-person interviews at Chennai",$E495&lt;&gt;"Yes",$T495="Yes",$U495&lt;&gt;"Yes"),"No",IF(($V495-$X495)&gt;0,"Yes","No"))</f>
        <v>No</v>
      </c>
      <c r="Z495" s="46" t="str">
        <f aca="false">IF($T495="Yes","Primary",IF($Y495="Yes","Secondary",""))</f>
        <v/>
      </c>
      <c r="AA495" s="46" t="str">
        <f aca="false">IF($Z495="Primary",$R495,IF($Z495="Secondary",$W495,""))</f>
        <v/>
      </c>
      <c r="AB495" s="46" t="str">
        <f aca="false">IF($Z495="Primary","Matched on primary skill",IF($Z495="Secondary","Matched on secondary skill (primary not approved or not required)",""))</f>
        <v/>
      </c>
      <c r="AC495" s="47" t="str">
        <f aca="false">IF($D495="Panel Details",$F495,"")</f>
        <v/>
      </c>
      <c r="AD495" s="46" t="str">
        <f aca="false">IF($D495="Panel Details",'Survey Response'!$D493,"")</f>
        <v/>
      </c>
      <c r="AE495" s="46" t="str">
        <f aca="false">IF($D495="Panel Details",'Survey Response'!$E493,"")</f>
        <v/>
      </c>
      <c r="AF495" s="46" t="str">
        <f aca="false">IF($D495="Panel Details",'Survey Response'!$G493,"")</f>
        <v/>
      </c>
      <c r="AG495" s="46" t="str">
        <f aca="false">IF($D495="Panel Details",IF($Z495="Primary",$J495,$L495),"")</f>
        <v/>
      </c>
      <c r="AH495" s="46" t="str">
        <f aca="false">IF($D495="Panel Details",IF($Z495="Primary",$L495,$J495),"")</f>
        <v/>
      </c>
      <c r="AI495" s="46" t="str">
        <f aca="false">IF($D495="Panel Details",'Survey Response'!$H493,"")</f>
        <v/>
      </c>
      <c r="AJ495" s="46" t="str">
        <f aca="false">IF($D495="Panel Details",'Survey Response'!$M493,"")</f>
        <v/>
      </c>
      <c r="AK495" s="46" t="str">
        <f aca="false">IF($D495="Panel Details",$O495,"")</f>
        <v/>
      </c>
      <c r="AL495" s="46" t="str">
        <f aca="false">IF($D495="Panel Details",8,"")</f>
        <v/>
      </c>
      <c r="AM495" s="46" t="str">
        <f aca="false">IF($D495="Panel Details",$AB495,"")</f>
        <v/>
      </c>
      <c r="AN495" s="46" t="str">
        <f aca="false">IF($D495="Panel Details","Yes","")</f>
        <v/>
      </c>
      <c r="AO495" s="46"/>
      <c r="AP495" s="46" t="str">
        <f aca="false">IF($D495="Followup",'Survey Response'!$D493,"")</f>
        <v/>
      </c>
      <c r="AQ495" s="46" t="str">
        <f aca="false">IF($D495="Followup",'Survey Response'!$E493,"")</f>
        <v/>
      </c>
      <c r="AR495" s="46" t="str">
        <f aca="false">IF($D495="Followup",'Survey Response'!$G493,"")</f>
        <v/>
      </c>
      <c r="AS495" s="46" t="str">
        <f aca="false">IF($D495="Followup",'Survey Response'!$H493,"")</f>
        <v/>
      </c>
      <c r="AT495" s="46" t="str">
        <f aca="false">IF($D495="Followup",'Survey Response'!$M493,"")</f>
        <v/>
      </c>
      <c r="AU495" s="46" t="str">
        <f aca="false">IF($D495="Followup",'Survey Response'!$K493,"")</f>
        <v/>
      </c>
      <c r="AV495" s="46" t="str">
        <f aca="false">IF($D495="Followup",'Survey Response'!$L493,"")</f>
        <v/>
      </c>
      <c r="AW495" s="46" t="str">
        <f aca="false">IF($D495="Followup",IF(AND($P495&lt;&gt;"Yes",$U495&lt;&gt;"Yes"),"Not approved for primary or secondary skill","Approved, but skill(s) no longer have capacity (fully staffed)"),"")</f>
        <v/>
      </c>
    </row>
    <row r="496" customFormat="false" ht="15" hidden="false" customHeight="true" outlineLevel="0" collapsed="false">
      <c r="A496" s="46" t="str">
        <f aca="false">IF('Survey Response'!$D494="","",'Survey Response'!$A494&amp;"|"&amp;LOWER(TRIM('Survey Response'!$D494)))</f>
        <v/>
      </c>
      <c r="B496" s="46" t="str">
        <f aca="false">IF($H496="","",$F496&amp;"|"&amp;$H496)</f>
        <v/>
      </c>
      <c r="C496" s="46" t="str">
        <f aca="false">IF($H496="","",$A496=$B496)</f>
        <v/>
      </c>
      <c r="D496" s="46" t="str">
        <f aca="false">IF($H496="","",IF($E496&lt;&gt;"Yes","Superseded",IF($I496&lt;&gt;"Yes, I'm available for in-person interviews at Chennai","Not Available",IF($Z496&lt;&gt;"","Panel Details","Followup"))))</f>
        <v/>
      </c>
      <c r="E496" s="46" t="str">
        <f aca="false">IF($H496="","",IF(SUMPRODUCT(($H$4:$H$503=$H496)*(($G$4:$G$503&gt;$G496)+($G$4:$G$503=$G496)*($F$4:$F$503&gt;$F496)))=0,"Yes","No"))</f>
        <v/>
      </c>
      <c r="F496" s="47" t="str">
        <f aca="false">IF('Survey Response'!$D494="","",INT('Survey Response'!$A494))</f>
        <v/>
      </c>
      <c r="G496" s="46" t="str">
        <f aca="false">IF('Survey Response'!$D494="","",'Survey Response'!$C494)</f>
        <v/>
      </c>
      <c r="H496" s="46" t="str">
        <f aca="false">IF('Survey Response'!$D494="","",LOWER(TRIM('Survey Response'!$D494)))</f>
        <v/>
      </c>
      <c r="I496" s="46" t="str">
        <f aca="false">IF($H496="","",'Survey Response'!$I494)</f>
        <v/>
      </c>
      <c r="J496" s="46" t="str">
        <f aca="false">IF($H496="","",'Survey Response'!$K494)</f>
        <v/>
      </c>
      <c r="K496" s="46" t="str">
        <f aca="false">IF($J496="","",IF(COUNTIF('Skill Mapping'!$A$2:$A$7,TRIM($J496))=0,"",INDEX('Skill Mapping'!$B$2:$B$7,MATCH(TRIM($J496),'Skill Mapping'!$A$2:$A$7,0))))</f>
        <v/>
      </c>
      <c r="L496" s="46" t="str">
        <f aca="false">IF($H496="","",'Survey Response'!$L494)</f>
        <v/>
      </c>
      <c r="M496" s="46" t="str">
        <f aca="false">IF($L496="","",IF(COUNTIF('Skill Mapping'!$A$2:$A$7,TRIM($L496))=0,"",INDEX('Skill Mapping'!$B$2:$B$7,MATCH(TRIM($L496),'Skill Mapping'!$A$2:$A$7,0))))</f>
        <v/>
      </c>
      <c r="N496" s="46" t="str">
        <f aca="false">IF($H496="","",'Survey Response'!$M494)</f>
        <v/>
      </c>
      <c r="O496" s="46" t="str">
        <f aca="false">IF($H496="","",IF('Survey Response'!$M494="Manager","R2","R1"))</f>
        <v/>
      </c>
      <c r="P496" s="46" t="str">
        <f aca="false">IF($K496="","No",IF(COUNTIFS(MasterPanel!$B:$B,$H496,MasterPanel!$I:$I,$K496,MasterPanel!$K:$K,"Y")&gt;0,"Yes","No"))</f>
        <v>No</v>
      </c>
      <c r="Q496" s="46" t="n">
        <f aca="false">IF($K496="",0,IF(COUNTIF('Gap Sheet'!$A$6:$A$11,TRIM($J496))=0,0,IF($O496="R1",INDEX('Gap Sheet'!$C$6:$C$11,MATCH(TRIM($J496),'Gap Sheet'!$A$6:$A$11,0)),INDEX('Gap Sheet'!$G$6:$G$11,MATCH(TRIM($J496),'Gap Sheet'!$A$6:$A$11,0)))))</f>
        <v>0</v>
      </c>
      <c r="R496" s="46" t="str">
        <f aca="false">IF($K496="","",$K496&amp;"|"&amp;$O496)</f>
        <v/>
      </c>
      <c r="S496" s="46" t="n">
        <f aca="false">IF($R496="",0,COUNTIF($AA$4:$AA495,$R496))</f>
        <v>0</v>
      </c>
      <c r="T496" s="46" t="str">
        <f aca="false">IF(OR($I496&lt;&gt;"Yes, I'm available for in-person interviews at Chennai",$E496&lt;&gt;"Yes",$P496&lt;&gt;"Yes"),"No",IF(($Q496-$S496)&gt;0,"Yes","No"))</f>
        <v>No</v>
      </c>
      <c r="U496" s="46" t="str">
        <f aca="false">IF($M496="","No",IF(COUNTIFS(MasterPanel!$B:$B,$H496,MasterPanel!$I:$I,$M496,MasterPanel!$K:$K,"Y")&gt;0,"Yes","No"))</f>
        <v>No</v>
      </c>
      <c r="V496" s="46" t="n">
        <f aca="false">IF($M496="",0,IF(COUNTIF('Gap Sheet'!$A$6:$A$11,TRIM($L496))=0,0,IF($O496="R1",INDEX('Gap Sheet'!$C$6:$C$11,MATCH(TRIM($L496),'Gap Sheet'!$A$6:$A$11,0)),INDEX('Gap Sheet'!$G$6:$G$11,MATCH(TRIM($L496),'Gap Sheet'!$A$6:$A$11,0)))))</f>
        <v>0</v>
      </c>
      <c r="W496" s="46" t="str">
        <f aca="false">IF($M496="","",$M496&amp;"|"&amp;$O496)</f>
        <v/>
      </c>
      <c r="X496" s="46" t="n">
        <f aca="false">IF($W496="",0,COUNTIF($AA$4:$AA495,$W496))</f>
        <v>0</v>
      </c>
      <c r="Y496" s="46" t="str">
        <f aca="false">IF(OR($I496&lt;&gt;"Yes, I'm available for in-person interviews at Chennai",$E496&lt;&gt;"Yes",$T496="Yes",$U496&lt;&gt;"Yes"),"No",IF(($V496-$X496)&gt;0,"Yes","No"))</f>
        <v>No</v>
      </c>
      <c r="Z496" s="46" t="str">
        <f aca="false">IF($T496="Yes","Primary",IF($Y496="Yes","Secondary",""))</f>
        <v/>
      </c>
      <c r="AA496" s="46" t="str">
        <f aca="false">IF($Z496="Primary",$R496,IF($Z496="Secondary",$W496,""))</f>
        <v/>
      </c>
      <c r="AB496" s="46" t="str">
        <f aca="false">IF($Z496="Primary","Matched on primary skill",IF($Z496="Secondary","Matched on secondary skill (primary not approved or not required)",""))</f>
        <v/>
      </c>
      <c r="AC496" s="47" t="str">
        <f aca="false">IF($D496="Panel Details",$F496,"")</f>
        <v/>
      </c>
      <c r="AD496" s="46" t="str">
        <f aca="false">IF($D496="Panel Details",'Survey Response'!$D494,"")</f>
        <v/>
      </c>
      <c r="AE496" s="46" t="str">
        <f aca="false">IF($D496="Panel Details",'Survey Response'!$E494,"")</f>
        <v/>
      </c>
      <c r="AF496" s="46" t="str">
        <f aca="false">IF($D496="Panel Details",'Survey Response'!$G494,"")</f>
        <v/>
      </c>
      <c r="AG496" s="46" t="str">
        <f aca="false">IF($D496="Panel Details",IF($Z496="Primary",$J496,$L496),"")</f>
        <v/>
      </c>
      <c r="AH496" s="46" t="str">
        <f aca="false">IF($D496="Panel Details",IF($Z496="Primary",$L496,$J496),"")</f>
        <v/>
      </c>
      <c r="AI496" s="46" t="str">
        <f aca="false">IF($D496="Panel Details",'Survey Response'!$H494,"")</f>
        <v/>
      </c>
      <c r="AJ496" s="46" t="str">
        <f aca="false">IF($D496="Panel Details",'Survey Response'!$M494,"")</f>
        <v/>
      </c>
      <c r="AK496" s="46" t="str">
        <f aca="false">IF($D496="Panel Details",$O496,"")</f>
        <v/>
      </c>
      <c r="AL496" s="46" t="str">
        <f aca="false">IF($D496="Panel Details",8,"")</f>
        <v/>
      </c>
      <c r="AM496" s="46" t="str">
        <f aca="false">IF($D496="Panel Details",$AB496,"")</f>
        <v/>
      </c>
      <c r="AN496" s="46" t="str">
        <f aca="false">IF($D496="Panel Details","Yes","")</f>
        <v/>
      </c>
      <c r="AO496" s="46"/>
      <c r="AP496" s="46" t="str">
        <f aca="false">IF($D496="Followup",'Survey Response'!$D494,"")</f>
        <v/>
      </c>
      <c r="AQ496" s="46" t="str">
        <f aca="false">IF($D496="Followup",'Survey Response'!$E494,"")</f>
        <v/>
      </c>
      <c r="AR496" s="46" t="str">
        <f aca="false">IF($D496="Followup",'Survey Response'!$G494,"")</f>
        <v/>
      </c>
      <c r="AS496" s="46" t="str">
        <f aca="false">IF($D496="Followup",'Survey Response'!$H494,"")</f>
        <v/>
      </c>
      <c r="AT496" s="46" t="str">
        <f aca="false">IF($D496="Followup",'Survey Response'!$M494,"")</f>
        <v/>
      </c>
      <c r="AU496" s="46" t="str">
        <f aca="false">IF($D496="Followup",'Survey Response'!$K494,"")</f>
        <v/>
      </c>
      <c r="AV496" s="46" t="str">
        <f aca="false">IF($D496="Followup",'Survey Response'!$L494,"")</f>
        <v/>
      </c>
      <c r="AW496" s="46" t="str">
        <f aca="false">IF($D496="Followup",IF(AND($P496&lt;&gt;"Yes",$U496&lt;&gt;"Yes"),"Not approved for primary or secondary skill","Approved, but skill(s) no longer have capacity (fully staffed)"),"")</f>
        <v/>
      </c>
    </row>
    <row r="497" customFormat="false" ht="15" hidden="false" customHeight="true" outlineLevel="0" collapsed="false">
      <c r="A497" s="46" t="str">
        <f aca="false">IF('Survey Response'!$D495="","",'Survey Response'!$A495&amp;"|"&amp;LOWER(TRIM('Survey Response'!$D495)))</f>
        <v/>
      </c>
      <c r="B497" s="46" t="str">
        <f aca="false">IF($H497="","",$F497&amp;"|"&amp;$H497)</f>
        <v/>
      </c>
      <c r="C497" s="46" t="str">
        <f aca="false">IF($H497="","",$A497=$B497)</f>
        <v/>
      </c>
      <c r="D497" s="46" t="str">
        <f aca="false">IF($H497="","",IF($E497&lt;&gt;"Yes","Superseded",IF($I497&lt;&gt;"Yes, I'm available for in-person interviews at Chennai","Not Available",IF($Z497&lt;&gt;"","Panel Details","Followup"))))</f>
        <v/>
      </c>
      <c r="E497" s="46" t="str">
        <f aca="false">IF($H497="","",IF(SUMPRODUCT(($H$4:$H$503=$H497)*(($G$4:$G$503&gt;$G497)+($G$4:$G$503=$G497)*($F$4:$F$503&gt;$F497)))=0,"Yes","No"))</f>
        <v/>
      </c>
      <c r="F497" s="47" t="str">
        <f aca="false">IF('Survey Response'!$D495="","",INT('Survey Response'!$A495))</f>
        <v/>
      </c>
      <c r="G497" s="46" t="str">
        <f aca="false">IF('Survey Response'!$D495="","",'Survey Response'!$C495)</f>
        <v/>
      </c>
      <c r="H497" s="46" t="str">
        <f aca="false">IF('Survey Response'!$D495="","",LOWER(TRIM('Survey Response'!$D495)))</f>
        <v/>
      </c>
      <c r="I497" s="46" t="str">
        <f aca="false">IF($H497="","",'Survey Response'!$I495)</f>
        <v/>
      </c>
      <c r="J497" s="46" t="str">
        <f aca="false">IF($H497="","",'Survey Response'!$K495)</f>
        <v/>
      </c>
      <c r="K497" s="46" t="str">
        <f aca="false">IF($J497="","",IF(COUNTIF('Skill Mapping'!$A$2:$A$7,TRIM($J497))=0,"",INDEX('Skill Mapping'!$B$2:$B$7,MATCH(TRIM($J497),'Skill Mapping'!$A$2:$A$7,0))))</f>
        <v/>
      </c>
      <c r="L497" s="46" t="str">
        <f aca="false">IF($H497="","",'Survey Response'!$L495)</f>
        <v/>
      </c>
      <c r="M497" s="46" t="str">
        <f aca="false">IF($L497="","",IF(COUNTIF('Skill Mapping'!$A$2:$A$7,TRIM($L497))=0,"",INDEX('Skill Mapping'!$B$2:$B$7,MATCH(TRIM($L497),'Skill Mapping'!$A$2:$A$7,0))))</f>
        <v/>
      </c>
      <c r="N497" s="46" t="str">
        <f aca="false">IF($H497="","",'Survey Response'!$M495)</f>
        <v/>
      </c>
      <c r="O497" s="46" t="str">
        <f aca="false">IF($H497="","",IF('Survey Response'!$M495="Manager","R2","R1"))</f>
        <v/>
      </c>
      <c r="P497" s="46" t="str">
        <f aca="false">IF($K497="","No",IF(COUNTIFS(MasterPanel!$B:$B,$H497,MasterPanel!$I:$I,$K497,MasterPanel!$K:$K,"Y")&gt;0,"Yes","No"))</f>
        <v>No</v>
      </c>
      <c r="Q497" s="46" t="n">
        <f aca="false">IF($K497="",0,IF(COUNTIF('Gap Sheet'!$A$6:$A$11,TRIM($J497))=0,0,IF($O497="R1",INDEX('Gap Sheet'!$C$6:$C$11,MATCH(TRIM($J497),'Gap Sheet'!$A$6:$A$11,0)),INDEX('Gap Sheet'!$G$6:$G$11,MATCH(TRIM($J497),'Gap Sheet'!$A$6:$A$11,0)))))</f>
        <v>0</v>
      </c>
      <c r="R497" s="46" t="str">
        <f aca="false">IF($K497="","",$K497&amp;"|"&amp;$O497)</f>
        <v/>
      </c>
      <c r="S497" s="46" t="n">
        <f aca="false">IF($R497="",0,COUNTIF($AA$4:$AA496,$R497))</f>
        <v>0</v>
      </c>
      <c r="T497" s="46" t="str">
        <f aca="false">IF(OR($I497&lt;&gt;"Yes, I'm available for in-person interviews at Chennai",$E497&lt;&gt;"Yes",$P497&lt;&gt;"Yes"),"No",IF(($Q497-$S497)&gt;0,"Yes","No"))</f>
        <v>No</v>
      </c>
      <c r="U497" s="46" t="str">
        <f aca="false">IF($M497="","No",IF(COUNTIFS(MasterPanel!$B:$B,$H497,MasterPanel!$I:$I,$M497,MasterPanel!$K:$K,"Y")&gt;0,"Yes","No"))</f>
        <v>No</v>
      </c>
      <c r="V497" s="46" t="n">
        <f aca="false">IF($M497="",0,IF(COUNTIF('Gap Sheet'!$A$6:$A$11,TRIM($L497))=0,0,IF($O497="R1",INDEX('Gap Sheet'!$C$6:$C$11,MATCH(TRIM($L497),'Gap Sheet'!$A$6:$A$11,0)),INDEX('Gap Sheet'!$G$6:$G$11,MATCH(TRIM($L497),'Gap Sheet'!$A$6:$A$11,0)))))</f>
        <v>0</v>
      </c>
      <c r="W497" s="46" t="str">
        <f aca="false">IF($M497="","",$M497&amp;"|"&amp;$O497)</f>
        <v/>
      </c>
      <c r="X497" s="46" t="n">
        <f aca="false">IF($W497="",0,COUNTIF($AA$4:$AA496,$W497))</f>
        <v>0</v>
      </c>
      <c r="Y497" s="46" t="str">
        <f aca="false">IF(OR($I497&lt;&gt;"Yes, I'm available for in-person interviews at Chennai",$E497&lt;&gt;"Yes",$T497="Yes",$U497&lt;&gt;"Yes"),"No",IF(($V497-$X497)&gt;0,"Yes","No"))</f>
        <v>No</v>
      </c>
      <c r="Z497" s="46" t="str">
        <f aca="false">IF($T497="Yes","Primary",IF($Y497="Yes","Secondary",""))</f>
        <v/>
      </c>
      <c r="AA497" s="46" t="str">
        <f aca="false">IF($Z497="Primary",$R497,IF($Z497="Secondary",$W497,""))</f>
        <v/>
      </c>
      <c r="AB497" s="46" t="str">
        <f aca="false">IF($Z497="Primary","Matched on primary skill",IF($Z497="Secondary","Matched on secondary skill (primary not approved or not required)",""))</f>
        <v/>
      </c>
      <c r="AC497" s="47" t="str">
        <f aca="false">IF($D497="Panel Details",$F497,"")</f>
        <v/>
      </c>
      <c r="AD497" s="46" t="str">
        <f aca="false">IF($D497="Panel Details",'Survey Response'!$D495,"")</f>
        <v/>
      </c>
      <c r="AE497" s="46" t="str">
        <f aca="false">IF($D497="Panel Details",'Survey Response'!$E495,"")</f>
        <v/>
      </c>
      <c r="AF497" s="46" t="str">
        <f aca="false">IF($D497="Panel Details",'Survey Response'!$G495,"")</f>
        <v/>
      </c>
      <c r="AG497" s="46" t="str">
        <f aca="false">IF($D497="Panel Details",IF($Z497="Primary",$J497,$L497),"")</f>
        <v/>
      </c>
      <c r="AH497" s="46" t="str">
        <f aca="false">IF($D497="Panel Details",IF($Z497="Primary",$L497,$J497),"")</f>
        <v/>
      </c>
      <c r="AI497" s="46" t="str">
        <f aca="false">IF($D497="Panel Details",'Survey Response'!$H495,"")</f>
        <v/>
      </c>
      <c r="AJ497" s="46" t="str">
        <f aca="false">IF($D497="Panel Details",'Survey Response'!$M495,"")</f>
        <v/>
      </c>
      <c r="AK497" s="46" t="str">
        <f aca="false">IF($D497="Panel Details",$O497,"")</f>
        <v/>
      </c>
      <c r="AL497" s="46" t="str">
        <f aca="false">IF($D497="Panel Details",8,"")</f>
        <v/>
      </c>
      <c r="AM497" s="46" t="str">
        <f aca="false">IF($D497="Panel Details",$AB497,"")</f>
        <v/>
      </c>
      <c r="AN497" s="46" t="str">
        <f aca="false">IF($D497="Panel Details","Yes","")</f>
        <v/>
      </c>
      <c r="AO497" s="46"/>
      <c r="AP497" s="46" t="str">
        <f aca="false">IF($D497="Followup",'Survey Response'!$D495,"")</f>
        <v/>
      </c>
      <c r="AQ497" s="46" t="str">
        <f aca="false">IF($D497="Followup",'Survey Response'!$E495,"")</f>
        <v/>
      </c>
      <c r="AR497" s="46" t="str">
        <f aca="false">IF($D497="Followup",'Survey Response'!$G495,"")</f>
        <v/>
      </c>
      <c r="AS497" s="46" t="str">
        <f aca="false">IF($D497="Followup",'Survey Response'!$H495,"")</f>
        <v/>
      </c>
      <c r="AT497" s="46" t="str">
        <f aca="false">IF($D497="Followup",'Survey Response'!$M495,"")</f>
        <v/>
      </c>
      <c r="AU497" s="46" t="str">
        <f aca="false">IF($D497="Followup",'Survey Response'!$K495,"")</f>
        <v/>
      </c>
      <c r="AV497" s="46" t="str">
        <f aca="false">IF($D497="Followup",'Survey Response'!$L495,"")</f>
        <v/>
      </c>
      <c r="AW497" s="46" t="str">
        <f aca="false">IF($D497="Followup",IF(AND($P497&lt;&gt;"Yes",$U497&lt;&gt;"Yes"),"Not approved for primary or secondary skill","Approved, but skill(s) no longer have capacity (fully staffed)"),"")</f>
        <v/>
      </c>
    </row>
    <row r="498" customFormat="false" ht="15" hidden="false" customHeight="true" outlineLevel="0" collapsed="false">
      <c r="A498" s="46" t="str">
        <f aca="false">IF('Survey Response'!$D496="","",'Survey Response'!$A496&amp;"|"&amp;LOWER(TRIM('Survey Response'!$D496)))</f>
        <v/>
      </c>
      <c r="B498" s="46" t="str">
        <f aca="false">IF($H498="","",$F498&amp;"|"&amp;$H498)</f>
        <v/>
      </c>
      <c r="C498" s="46" t="str">
        <f aca="false">IF($H498="","",$A498=$B498)</f>
        <v/>
      </c>
      <c r="D498" s="46" t="str">
        <f aca="false">IF($H498="","",IF($E498&lt;&gt;"Yes","Superseded",IF($I498&lt;&gt;"Yes, I'm available for in-person interviews at Chennai","Not Available",IF($Z498&lt;&gt;"","Panel Details","Followup"))))</f>
        <v/>
      </c>
      <c r="E498" s="46" t="str">
        <f aca="false">IF($H498="","",IF(SUMPRODUCT(($H$4:$H$503=$H498)*(($G$4:$G$503&gt;$G498)+($G$4:$G$503=$G498)*($F$4:$F$503&gt;$F498)))=0,"Yes","No"))</f>
        <v/>
      </c>
      <c r="F498" s="47" t="str">
        <f aca="false">IF('Survey Response'!$D496="","",INT('Survey Response'!$A496))</f>
        <v/>
      </c>
      <c r="G498" s="46" t="str">
        <f aca="false">IF('Survey Response'!$D496="","",'Survey Response'!$C496)</f>
        <v/>
      </c>
      <c r="H498" s="46" t="str">
        <f aca="false">IF('Survey Response'!$D496="","",LOWER(TRIM('Survey Response'!$D496)))</f>
        <v/>
      </c>
      <c r="I498" s="46" t="str">
        <f aca="false">IF($H498="","",'Survey Response'!$I496)</f>
        <v/>
      </c>
      <c r="J498" s="46" t="str">
        <f aca="false">IF($H498="","",'Survey Response'!$K496)</f>
        <v/>
      </c>
      <c r="K498" s="46" t="str">
        <f aca="false">IF($J498="","",IF(COUNTIF('Skill Mapping'!$A$2:$A$7,TRIM($J498))=0,"",INDEX('Skill Mapping'!$B$2:$B$7,MATCH(TRIM($J498),'Skill Mapping'!$A$2:$A$7,0))))</f>
        <v/>
      </c>
      <c r="L498" s="46" t="str">
        <f aca="false">IF($H498="","",'Survey Response'!$L496)</f>
        <v/>
      </c>
      <c r="M498" s="46" t="str">
        <f aca="false">IF($L498="","",IF(COUNTIF('Skill Mapping'!$A$2:$A$7,TRIM($L498))=0,"",INDEX('Skill Mapping'!$B$2:$B$7,MATCH(TRIM($L498),'Skill Mapping'!$A$2:$A$7,0))))</f>
        <v/>
      </c>
      <c r="N498" s="46" t="str">
        <f aca="false">IF($H498="","",'Survey Response'!$M496)</f>
        <v/>
      </c>
      <c r="O498" s="46" t="str">
        <f aca="false">IF($H498="","",IF('Survey Response'!$M496="Manager","R2","R1"))</f>
        <v/>
      </c>
      <c r="P498" s="46" t="str">
        <f aca="false">IF($K498="","No",IF(COUNTIFS(MasterPanel!$B:$B,$H498,MasterPanel!$I:$I,$K498,MasterPanel!$K:$K,"Y")&gt;0,"Yes","No"))</f>
        <v>No</v>
      </c>
      <c r="Q498" s="46" t="n">
        <f aca="false">IF($K498="",0,IF(COUNTIF('Gap Sheet'!$A$6:$A$11,TRIM($J498))=0,0,IF($O498="R1",INDEX('Gap Sheet'!$C$6:$C$11,MATCH(TRIM($J498),'Gap Sheet'!$A$6:$A$11,0)),INDEX('Gap Sheet'!$G$6:$G$11,MATCH(TRIM($J498),'Gap Sheet'!$A$6:$A$11,0)))))</f>
        <v>0</v>
      </c>
      <c r="R498" s="46" t="str">
        <f aca="false">IF($K498="","",$K498&amp;"|"&amp;$O498)</f>
        <v/>
      </c>
      <c r="S498" s="46" t="n">
        <f aca="false">IF($R498="",0,COUNTIF($AA$4:$AA497,$R498))</f>
        <v>0</v>
      </c>
      <c r="T498" s="46" t="str">
        <f aca="false">IF(OR($I498&lt;&gt;"Yes, I'm available for in-person interviews at Chennai",$E498&lt;&gt;"Yes",$P498&lt;&gt;"Yes"),"No",IF(($Q498-$S498)&gt;0,"Yes","No"))</f>
        <v>No</v>
      </c>
      <c r="U498" s="46" t="str">
        <f aca="false">IF($M498="","No",IF(COUNTIFS(MasterPanel!$B:$B,$H498,MasterPanel!$I:$I,$M498,MasterPanel!$K:$K,"Y")&gt;0,"Yes","No"))</f>
        <v>No</v>
      </c>
      <c r="V498" s="46" t="n">
        <f aca="false">IF($M498="",0,IF(COUNTIF('Gap Sheet'!$A$6:$A$11,TRIM($L498))=0,0,IF($O498="R1",INDEX('Gap Sheet'!$C$6:$C$11,MATCH(TRIM($L498),'Gap Sheet'!$A$6:$A$11,0)),INDEX('Gap Sheet'!$G$6:$G$11,MATCH(TRIM($L498),'Gap Sheet'!$A$6:$A$11,0)))))</f>
        <v>0</v>
      </c>
      <c r="W498" s="46" t="str">
        <f aca="false">IF($M498="","",$M498&amp;"|"&amp;$O498)</f>
        <v/>
      </c>
      <c r="X498" s="46" t="n">
        <f aca="false">IF($W498="",0,COUNTIF($AA$4:$AA497,$W498))</f>
        <v>0</v>
      </c>
      <c r="Y498" s="46" t="str">
        <f aca="false">IF(OR($I498&lt;&gt;"Yes, I'm available for in-person interviews at Chennai",$E498&lt;&gt;"Yes",$T498="Yes",$U498&lt;&gt;"Yes"),"No",IF(($V498-$X498)&gt;0,"Yes","No"))</f>
        <v>No</v>
      </c>
      <c r="Z498" s="46" t="str">
        <f aca="false">IF($T498="Yes","Primary",IF($Y498="Yes","Secondary",""))</f>
        <v/>
      </c>
      <c r="AA498" s="46" t="str">
        <f aca="false">IF($Z498="Primary",$R498,IF($Z498="Secondary",$W498,""))</f>
        <v/>
      </c>
      <c r="AB498" s="46" t="str">
        <f aca="false">IF($Z498="Primary","Matched on primary skill",IF($Z498="Secondary","Matched on secondary skill (primary not approved or not required)",""))</f>
        <v/>
      </c>
      <c r="AC498" s="47" t="str">
        <f aca="false">IF($D498="Panel Details",$F498,"")</f>
        <v/>
      </c>
      <c r="AD498" s="46" t="str">
        <f aca="false">IF($D498="Panel Details",'Survey Response'!$D496,"")</f>
        <v/>
      </c>
      <c r="AE498" s="46" t="str">
        <f aca="false">IF($D498="Panel Details",'Survey Response'!$E496,"")</f>
        <v/>
      </c>
      <c r="AF498" s="46" t="str">
        <f aca="false">IF($D498="Panel Details",'Survey Response'!$G496,"")</f>
        <v/>
      </c>
      <c r="AG498" s="46" t="str">
        <f aca="false">IF($D498="Panel Details",IF($Z498="Primary",$J498,$L498),"")</f>
        <v/>
      </c>
      <c r="AH498" s="46" t="str">
        <f aca="false">IF($D498="Panel Details",IF($Z498="Primary",$L498,$J498),"")</f>
        <v/>
      </c>
      <c r="AI498" s="46" t="str">
        <f aca="false">IF($D498="Panel Details",'Survey Response'!$H496,"")</f>
        <v/>
      </c>
      <c r="AJ498" s="46" t="str">
        <f aca="false">IF($D498="Panel Details",'Survey Response'!$M496,"")</f>
        <v/>
      </c>
      <c r="AK498" s="46" t="str">
        <f aca="false">IF($D498="Panel Details",$O498,"")</f>
        <v/>
      </c>
      <c r="AL498" s="46" t="str">
        <f aca="false">IF($D498="Panel Details",8,"")</f>
        <v/>
      </c>
      <c r="AM498" s="46" t="str">
        <f aca="false">IF($D498="Panel Details",$AB498,"")</f>
        <v/>
      </c>
      <c r="AN498" s="46" t="str">
        <f aca="false">IF($D498="Panel Details","Yes","")</f>
        <v/>
      </c>
      <c r="AO498" s="46"/>
      <c r="AP498" s="46" t="str">
        <f aca="false">IF($D498="Followup",'Survey Response'!$D496,"")</f>
        <v/>
      </c>
      <c r="AQ498" s="46" t="str">
        <f aca="false">IF($D498="Followup",'Survey Response'!$E496,"")</f>
        <v/>
      </c>
      <c r="AR498" s="46" t="str">
        <f aca="false">IF($D498="Followup",'Survey Response'!$G496,"")</f>
        <v/>
      </c>
      <c r="AS498" s="46" t="str">
        <f aca="false">IF($D498="Followup",'Survey Response'!$H496,"")</f>
        <v/>
      </c>
      <c r="AT498" s="46" t="str">
        <f aca="false">IF($D498="Followup",'Survey Response'!$M496,"")</f>
        <v/>
      </c>
      <c r="AU498" s="46" t="str">
        <f aca="false">IF($D498="Followup",'Survey Response'!$K496,"")</f>
        <v/>
      </c>
      <c r="AV498" s="46" t="str">
        <f aca="false">IF($D498="Followup",'Survey Response'!$L496,"")</f>
        <v/>
      </c>
      <c r="AW498" s="46" t="str">
        <f aca="false">IF($D498="Followup",IF(AND($P498&lt;&gt;"Yes",$U498&lt;&gt;"Yes"),"Not approved for primary or secondary skill","Approved, but skill(s) no longer have capacity (fully staffed)"),"")</f>
        <v/>
      </c>
    </row>
    <row r="499" customFormat="false" ht="15" hidden="false" customHeight="true" outlineLevel="0" collapsed="false">
      <c r="A499" s="46" t="str">
        <f aca="false">IF('Survey Response'!$D497="","",'Survey Response'!$A497&amp;"|"&amp;LOWER(TRIM('Survey Response'!$D497)))</f>
        <v/>
      </c>
      <c r="B499" s="46" t="str">
        <f aca="false">IF($H499="","",$F499&amp;"|"&amp;$H499)</f>
        <v/>
      </c>
      <c r="C499" s="46" t="str">
        <f aca="false">IF($H499="","",$A499=$B499)</f>
        <v/>
      </c>
      <c r="D499" s="46" t="str">
        <f aca="false">IF($H499="","",IF($E499&lt;&gt;"Yes","Superseded",IF($I499&lt;&gt;"Yes, I'm available for in-person interviews at Chennai","Not Available",IF($Z499&lt;&gt;"","Panel Details","Followup"))))</f>
        <v/>
      </c>
      <c r="E499" s="46" t="str">
        <f aca="false">IF($H499="","",IF(SUMPRODUCT(($H$4:$H$503=$H499)*(($G$4:$G$503&gt;$G499)+($G$4:$G$503=$G499)*($F$4:$F$503&gt;$F499)))=0,"Yes","No"))</f>
        <v/>
      </c>
      <c r="F499" s="47" t="str">
        <f aca="false">IF('Survey Response'!$D497="","",INT('Survey Response'!$A497))</f>
        <v/>
      </c>
      <c r="G499" s="46" t="str">
        <f aca="false">IF('Survey Response'!$D497="","",'Survey Response'!$C497)</f>
        <v/>
      </c>
      <c r="H499" s="46" t="str">
        <f aca="false">IF('Survey Response'!$D497="","",LOWER(TRIM('Survey Response'!$D497)))</f>
        <v/>
      </c>
      <c r="I499" s="46" t="str">
        <f aca="false">IF($H499="","",'Survey Response'!$I497)</f>
        <v/>
      </c>
      <c r="J499" s="46" t="str">
        <f aca="false">IF($H499="","",'Survey Response'!$K497)</f>
        <v/>
      </c>
      <c r="K499" s="46" t="str">
        <f aca="false">IF($J499="","",IF(COUNTIF('Skill Mapping'!$A$2:$A$7,TRIM($J499))=0,"",INDEX('Skill Mapping'!$B$2:$B$7,MATCH(TRIM($J499),'Skill Mapping'!$A$2:$A$7,0))))</f>
        <v/>
      </c>
      <c r="L499" s="46" t="str">
        <f aca="false">IF($H499="","",'Survey Response'!$L497)</f>
        <v/>
      </c>
      <c r="M499" s="46" t="str">
        <f aca="false">IF($L499="","",IF(COUNTIF('Skill Mapping'!$A$2:$A$7,TRIM($L499))=0,"",INDEX('Skill Mapping'!$B$2:$B$7,MATCH(TRIM($L499),'Skill Mapping'!$A$2:$A$7,0))))</f>
        <v/>
      </c>
      <c r="N499" s="46" t="str">
        <f aca="false">IF($H499="","",'Survey Response'!$M497)</f>
        <v/>
      </c>
      <c r="O499" s="46" t="str">
        <f aca="false">IF($H499="","",IF('Survey Response'!$M497="Manager","R2","R1"))</f>
        <v/>
      </c>
      <c r="P499" s="46" t="str">
        <f aca="false">IF($K499="","No",IF(COUNTIFS(MasterPanel!$B:$B,$H499,MasterPanel!$I:$I,$K499,MasterPanel!$K:$K,"Y")&gt;0,"Yes","No"))</f>
        <v>No</v>
      </c>
      <c r="Q499" s="46" t="n">
        <f aca="false">IF($K499="",0,IF(COUNTIF('Gap Sheet'!$A$6:$A$11,TRIM($J499))=0,0,IF($O499="R1",INDEX('Gap Sheet'!$C$6:$C$11,MATCH(TRIM($J499),'Gap Sheet'!$A$6:$A$11,0)),INDEX('Gap Sheet'!$G$6:$G$11,MATCH(TRIM($J499),'Gap Sheet'!$A$6:$A$11,0)))))</f>
        <v>0</v>
      </c>
      <c r="R499" s="46" t="str">
        <f aca="false">IF($K499="","",$K499&amp;"|"&amp;$O499)</f>
        <v/>
      </c>
      <c r="S499" s="46" t="n">
        <f aca="false">IF($R499="",0,COUNTIF($AA$4:$AA498,$R499))</f>
        <v>0</v>
      </c>
      <c r="T499" s="46" t="str">
        <f aca="false">IF(OR($I499&lt;&gt;"Yes, I'm available for in-person interviews at Chennai",$E499&lt;&gt;"Yes",$P499&lt;&gt;"Yes"),"No",IF(($Q499-$S499)&gt;0,"Yes","No"))</f>
        <v>No</v>
      </c>
      <c r="U499" s="46" t="str">
        <f aca="false">IF($M499="","No",IF(COUNTIFS(MasterPanel!$B:$B,$H499,MasterPanel!$I:$I,$M499,MasterPanel!$K:$K,"Y")&gt;0,"Yes","No"))</f>
        <v>No</v>
      </c>
      <c r="V499" s="46" t="n">
        <f aca="false">IF($M499="",0,IF(COUNTIF('Gap Sheet'!$A$6:$A$11,TRIM($L499))=0,0,IF($O499="R1",INDEX('Gap Sheet'!$C$6:$C$11,MATCH(TRIM($L499),'Gap Sheet'!$A$6:$A$11,0)),INDEX('Gap Sheet'!$G$6:$G$11,MATCH(TRIM($L499),'Gap Sheet'!$A$6:$A$11,0)))))</f>
        <v>0</v>
      </c>
      <c r="W499" s="46" t="str">
        <f aca="false">IF($M499="","",$M499&amp;"|"&amp;$O499)</f>
        <v/>
      </c>
      <c r="X499" s="46" t="n">
        <f aca="false">IF($W499="",0,COUNTIF($AA$4:$AA498,$W499))</f>
        <v>0</v>
      </c>
      <c r="Y499" s="46" t="str">
        <f aca="false">IF(OR($I499&lt;&gt;"Yes, I'm available for in-person interviews at Chennai",$E499&lt;&gt;"Yes",$T499="Yes",$U499&lt;&gt;"Yes"),"No",IF(($V499-$X499)&gt;0,"Yes","No"))</f>
        <v>No</v>
      </c>
      <c r="Z499" s="46" t="str">
        <f aca="false">IF($T499="Yes","Primary",IF($Y499="Yes","Secondary",""))</f>
        <v/>
      </c>
      <c r="AA499" s="46" t="str">
        <f aca="false">IF($Z499="Primary",$R499,IF($Z499="Secondary",$W499,""))</f>
        <v/>
      </c>
      <c r="AB499" s="46" t="str">
        <f aca="false">IF($Z499="Primary","Matched on primary skill",IF($Z499="Secondary","Matched on secondary skill (primary not approved or not required)",""))</f>
        <v/>
      </c>
      <c r="AC499" s="47" t="str">
        <f aca="false">IF($D499="Panel Details",$F499,"")</f>
        <v/>
      </c>
      <c r="AD499" s="46" t="str">
        <f aca="false">IF($D499="Panel Details",'Survey Response'!$D497,"")</f>
        <v/>
      </c>
      <c r="AE499" s="46" t="str">
        <f aca="false">IF($D499="Panel Details",'Survey Response'!$E497,"")</f>
        <v/>
      </c>
      <c r="AF499" s="46" t="str">
        <f aca="false">IF($D499="Panel Details",'Survey Response'!$G497,"")</f>
        <v/>
      </c>
      <c r="AG499" s="46" t="str">
        <f aca="false">IF($D499="Panel Details",IF($Z499="Primary",$J499,$L499),"")</f>
        <v/>
      </c>
      <c r="AH499" s="46" t="str">
        <f aca="false">IF($D499="Panel Details",IF($Z499="Primary",$L499,$J499),"")</f>
        <v/>
      </c>
      <c r="AI499" s="46" t="str">
        <f aca="false">IF($D499="Panel Details",'Survey Response'!$H497,"")</f>
        <v/>
      </c>
      <c r="AJ499" s="46" t="str">
        <f aca="false">IF($D499="Panel Details",'Survey Response'!$M497,"")</f>
        <v/>
      </c>
      <c r="AK499" s="46" t="str">
        <f aca="false">IF($D499="Panel Details",$O499,"")</f>
        <v/>
      </c>
      <c r="AL499" s="46" t="str">
        <f aca="false">IF($D499="Panel Details",8,"")</f>
        <v/>
      </c>
      <c r="AM499" s="46" t="str">
        <f aca="false">IF($D499="Panel Details",$AB499,"")</f>
        <v/>
      </c>
      <c r="AN499" s="46" t="str">
        <f aca="false">IF($D499="Panel Details","Yes","")</f>
        <v/>
      </c>
      <c r="AO499" s="46"/>
      <c r="AP499" s="46" t="str">
        <f aca="false">IF($D499="Followup",'Survey Response'!$D497,"")</f>
        <v/>
      </c>
      <c r="AQ499" s="46" t="str">
        <f aca="false">IF($D499="Followup",'Survey Response'!$E497,"")</f>
        <v/>
      </c>
      <c r="AR499" s="46" t="str">
        <f aca="false">IF($D499="Followup",'Survey Response'!$G497,"")</f>
        <v/>
      </c>
      <c r="AS499" s="46" t="str">
        <f aca="false">IF($D499="Followup",'Survey Response'!$H497,"")</f>
        <v/>
      </c>
      <c r="AT499" s="46" t="str">
        <f aca="false">IF($D499="Followup",'Survey Response'!$M497,"")</f>
        <v/>
      </c>
      <c r="AU499" s="46" t="str">
        <f aca="false">IF($D499="Followup",'Survey Response'!$K497,"")</f>
        <v/>
      </c>
      <c r="AV499" s="46" t="str">
        <f aca="false">IF($D499="Followup",'Survey Response'!$L497,"")</f>
        <v/>
      </c>
      <c r="AW499" s="46" t="str">
        <f aca="false">IF($D499="Followup",IF(AND($P499&lt;&gt;"Yes",$U499&lt;&gt;"Yes"),"Not approved for primary or secondary skill","Approved, but skill(s) no longer have capacity (fully staffed)"),"")</f>
        <v/>
      </c>
    </row>
    <row r="500" customFormat="false" ht="15" hidden="false" customHeight="true" outlineLevel="0" collapsed="false">
      <c r="A500" s="46" t="str">
        <f aca="false">IF('Survey Response'!$D498="","",'Survey Response'!$A498&amp;"|"&amp;LOWER(TRIM('Survey Response'!$D498)))</f>
        <v/>
      </c>
      <c r="B500" s="46" t="str">
        <f aca="false">IF($H500="","",$F500&amp;"|"&amp;$H500)</f>
        <v/>
      </c>
      <c r="C500" s="46" t="str">
        <f aca="false">IF($H500="","",$A500=$B500)</f>
        <v/>
      </c>
      <c r="D500" s="46" t="str">
        <f aca="false">IF($H500="","",IF($E500&lt;&gt;"Yes","Superseded",IF($I500&lt;&gt;"Yes, I'm available for in-person interviews at Chennai","Not Available",IF($Z500&lt;&gt;"","Panel Details","Followup"))))</f>
        <v/>
      </c>
      <c r="E500" s="46" t="str">
        <f aca="false">IF($H500="","",IF(SUMPRODUCT(($H$4:$H$503=$H500)*(($G$4:$G$503&gt;$G500)+($G$4:$G$503=$G500)*($F$4:$F$503&gt;$F500)))=0,"Yes","No"))</f>
        <v/>
      </c>
      <c r="F500" s="47" t="str">
        <f aca="false">IF('Survey Response'!$D498="","",INT('Survey Response'!$A498))</f>
        <v/>
      </c>
      <c r="G500" s="46" t="str">
        <f aca="false">IF('Survey Response'!$D498="","",'Survey Response'!$C498)</f>
        <v/>
      </c>
      <c r="H500" s="46" t="str">
        <f aca="false">IF('Survey Response'!$D498="","",LOWER(TRIM('Survey Response'!$D498)))</f>
        <v/>
      </c>
      <c r="I500" s="46" t="str">
        <f aca="false">IF($H500="","",'Survey Response'!$I498)</f>
        <v/>
      </c>
      <c r="J500" s="46" t="str">
        <f aca="false">IF($H500="","",'Survey Response'!$K498)</f>
        <v/>
      </c>
      <c r="K500" s="46" t="str">
        <f aca="false">IF($J500="","",IF(COUNTIF('Skill Mapping'!$A$2:$A$7,TRIM($J500))=0,"",INDEX('Skill Mapping'!$B$2:$B$7,MATCH(TRIM($J500),'Skill Mapping'!$A$2:$A$7,0))))</f>
        <v/>
      </c>
      <c r="L500" s="46" t="str">
        <f aca="false">IF($H500="","",'Survey Response'!$L498)</f>
        <v/>
      </c>
      <c r="M500" s="46" t="str">
        <f aca="false">IF($L500="","",IF(COUNTIF('Skill Mapping'!$A$2:$A$7,TRIM($L500))=0,"",INDEX('Skill Mapping'!$B$2:$B$7,MATCH(TRIM($L500),'Skill Mapping'!$A$2:$A$7,0))))</f>
        <v/>
      </c>
      <c r="N500" s="46" t="str">
        <f aca="false">IF($H500="","",'Survey Response'!$M498)</f>
        <v/>
      </c>
      <c r="O500" s="46" t="str">
        <f aca="false">IF($H500="","",IF('Survey Response'!$M498="Manager","R2","R1"))</f>
        <v/>
      </c>
      <c r="P500" s="46" t="str">
        <f aca="false">IF($K500="","No",IF(COUNTIFS(MasterPanel!$B:$B,$H500,MasterPanel!$I:$I,$K500,MasterPanel!$K:$K,"Y")&gt;0,"Yes","No"))</f>
        <v>No</v>
      </c>
      <c r="Q500" s="46" t="n">
        <f aca="false">IF($K500="",0,IF(COUNTIF('Gap Sheet'!$A$6:$A$11,TRIM($J500))=0,0,IF($O500="R1",INDEX('Gap Sheet'!$C$6:$C$11,MATCH(TRIM($J500),'Gap Sheet'!$A$6:$A$11,0)),INDEX('Gap Sheet'!$G$6:$G$11,MATCH(TRIM($J500),'Gap Sheet'!$A$6:$A$11,0)))))</f>
        <v>0</v>
      </c>
      <c r="R500" s="46" t="str">
        <f aca="false">IF($K500="","",$K500&amp;"|"&amp;$O500)</f>
        <v/>
      </c>
      <c r="S500" s="46" t="n">
        <f aca="false">IF($R500="",0,COUNTIF($AA$4:$AA499,$R500))</f>
        <v>0</v>
      </c>
      <c r="T500" s="46" t="str">
        <f aca="false">IF(OR($I500&lt;&gt;"Yes, I'm available for in-person interviews at Chennai",$E500&lt;&gt;"Yes",$P500&lt;&gt;"Yes"),"No",IF(($Q500-$S500)&gt;0,"Yes","No"))</f>
        <v>No</v>
      </c>
      <c r="U500" s="46" t="str">
        <f aca="false">IF($M500="","No",IF(COUNTIFS(MasterPanel!$B:$B,$H500,MasterPanel!$I:$I,$M500,MasterPanel!$K:$K,"Y")&gt;0,"Yes","No"))</f>
        <v>No</v>
      </c>
      <c r="V500" s="46" t="n">
        <f aca="false">IF($M500="",0,IF(COUNTIF('Gap Sheet'!$A$6:$A$11,TRIM($L500))=0,0,IF($O500="R1",INDEX('Gap Sheet'!$C$6:$C$11,MATCH(TRIM($L500),'Gap Sheet'!$A$6:$A$11,0)),INDEX('Gap Sheet'!$G$6:$G$11,MATCH(TRIM($L500),'Gap Sheet'!$A$6:$A$11,0)))))</f>
        <v>0</v>
      </c>
      <c r="W500" s="46" t="str">
        <f aca="false">IF($M500="","",$M500&amp;"|"&amp;$O500)</f>
        <v/>
      </c>
      <c r="X500" s="46" t="n">
        <f aca="false">IF($W500="",0,COUNTIF($AA$4:$AA499,$W500))</f>
        <v>0</v>
      </c>
      <c r="Y500" s="46" t="str">
        <f aca="false">IF(OR($I500&lt;&gt;"Yes, I'm available for in-person interviews at Chennai",$E500&lt;&gt;"Yes",$T500="Yes",$U500&lt;&gt;"Yes"),"No",IF(($V500-$X500)&gt;0,"Yes","No"))</f>
        <v>No</v>
      </c>
      <c r="Z500" s="46" t="str">
        <f aca="false">IF($T500="Yes","Primary",IF($Y500="Yes","Secondary",""))</f>
        <v/>
      </c>
      <c r="AA500" s="46" t="str">
        <f aca="false">IF($Z500="Primary",$R500,IF($Z500="Secondary",$W500,""))</f>
        <v/>
      </c>
      <c r="AB500" s="46" t="str">
        <f aca="false">IF($Z500="Primary","Matched on primary skill",IF($Z500="Secondary","Matched on secondary skill (primary not approved or not required)",""))</f>
        <v/>
      </c>
      <c r="AC500" s="47" t="str">
        <f aca="false">IF($D500="Panel Details",$F500,"")</f>
        <v/>
      </c>
      <c r="AD500" s="46" t="str">
        <f aca="false">IF($D500="Panel Details",'Survey Response'!$D498,"")</f>
        <v/>
      </c>
      <c r="AE500" s="46" t="str">
        <f aca="false">IF($D500="Panel Details",'Survey Response'!$E498,"")</f>
        <v/>
      </c>
      <c r="AF500" s="46" t="str">
        <f aca="false">IF($D500="Panel Details",'Survey Response'!$G498,"")</f>
        <v/>
      </c>
      <c r="AG500" s="46" t="str">
        <f aca="false">IF($D500="Panel Details",IF($Z500="Primary",$J500,$L500),"")</f>
        <v/>
      </c>
      <c r="AH500" s="46" t="str">
        <f aca="false">IF($D500="Panel Details",IF($Z500="Primary",$L500,$J500),"")</f>
        <v/>
      </c>
      <c r="AI500" s="46" t="str">
        <f aca="false">IF($D500="Panel Details",'Survey Response'!$H498,"")</f>
        <v/>
      </c>
      <c r="AJ500" s="46" t="str">
        <f aca="false">IF($D500="Panel Details",'Survey Response'!$M498,"")</f>
        <v/>
      </c>
      <c r="AK500" s="46" t="str">
        <f aca="false">IF($D500="Panel Details",$O500,"")</f>
        <v/>
      </c>
      <c r="AL500" s="46" t="str">
        <f aca="false">IF($D500="Panel Details",8,"")</f>
        <v/>
      </c>
      <c r="AM500" s="46" t="str">
        <f aca="false">IF($D500="Panel Details",$AB500,"")</f>
        <v/>
      </c>
      <c r="AN500" s="46" t="str">
        <f aca="false">IF($D500="Panel Details","Yes","")</f>
        <v/>
      </c>
      <c r="AO500" s="46"/>
      <c r="AP500" s="46" t="str">
        <f aca="false">IF($D500="Followup",'Survey Response'!$D498,"")</f>
        <v/>
      </c>
      <c r="AQ500" s="46" t="str">
        <f aca="false">IF($D500="Followup",'Survey Response'!$E498,"")</f>
        <v/>
      </c>
      <c r="AR500" s="46" t="str">
        <f aca="false">IF($D500="Followup",'Survey Response'!$G498,"")</f>
        <v/>
      </c>
      <c r="AS500" s="46" t="str">
        <f aca="false">IF($D500="Followup",'Survey Response'!$H498,"")</f>
        <v/>
      </c>
      <c r="AT500" s="46" t="str">
        <f aca="false">IF($D500="Followup",'Survey Response'!$M498,"")</f>
        <v/>
      </c>
      <c r="AU500" s="46" t="str">
        <f aca="false">IF($D500="Followup",'Survey Response'!$K498,"")</f>
        <v/>
      </c>
      <c r="AV500" s="46" t="str">
        <f aca="false">IF($D500="Followup",'Survey Response'!$L498,"")</f>
        <v/>
      </c>
      <c r="AW500" s="46" t="str">
        <f aca="false">IF($D500="Followup",IF(AND($P500&lt;&gt;"Yes",$U500&lt;&gt;"Yes"),"Not approved for primary or secondary skill","Approved, but skill(s) no longer have capacity (fully staffed)"),"")</f>
        <v/>
      </c>
    </row>
    <row r="501" customFormat="false" ht="15" hidden="false" customHeight="true" outlineLevel="0" collapsed="false">
      <c r="A501" s="46" t="str">
        <f aca="false">IF('Survey Response'!$D499="","",'Survey Response'!$A499&amp;"|"&amp;LOWER(TRIM('Survey Response'!$D499)))</f>
        <v/>
      </c>
      <c r="B501" s="46" t="str">
        <f aca="false">IF($H501="","",$F501&amp;"|"&amp;$H501)</f>
        <v/>
      </c>
      <c r="C501" s="46" t="str">
        <f aca="false">IF($H501="","",$A501=$B501)</f>
        <v/>
      </c>
      <c r="D501" s="46" t="str">
        <f aca="false">IF($H501="","",IF($E501&lt;&gt;"Yes","Superseded",IF($I501&lt;&gt;"Yes, I'm available for in-person interviews at Chennai","Not Available",IF($Z501&lt;&gt;"","Panel Details","Followup"))))</f>
        <v/>
      </c>
      <c r="E501" s="46" t="str">
        <f aca="false">IF($H501="","",IF(SUMPRODUCT(($H$4:$H$503=$H501)*(($G$4:$G$503&gt;$G501)+($G$4:$G$503=$G501)*($F$4:$F$503&gt;$F501)))=0,"Yes","No"))</f>
        <v/>
      </c>
      <c r="F501" s="47" t="str">
        <f aca="false">IF('Survey Response'!$D499="","",INT('Survey Response'!$A499))</f>
        <v/>
      </c>
      <c r="G501" s="46" t="str">
        <f aca="false">IF('Survey Response'!$D499="","",'Survey Response'!$C499)</f>
        <v/>
      </c>
      <c r="H501" s="46" t="str">
        <f aca="false">IF('Survey Response'!$D499="","",LOWER(TRIM('Survey Response'!$D499)))</f>
        <v/>
      </c>
      <c r="I501" s="46" t="str">
        <f aca="false">IF($H501="","",'Survey Response'!$I499)</f>
        <v/>
      </c>
      <c r="J501" s="46" t="str">
        <f aca="false">IF($H501="","",'Survey Response'!$K499)</f>
        <v/>
      </c>
      <c r="K501" s="46" t="str">
        <f aca="false">IF($J501="","",IF(COUNTIF('Skill Mapping'!$A$2:$A$7,TRIM($J501))=0,"",INDEX('Skill Mapping'!$B$2:$B$7,MATCH(TRIM($J501),'Skill Mapping'!$A$2:$A$7,0))))</f>
        <v/>
      </c>
      <c r="L501" s="46" t="str">
        <f aca="false">IF($H501="","",'Survey Response'!$L499)</f>
        <v/>
      </c>
      <c r="M501" s="46" t="str">
        <f aca="false">IF($L501="","",IF(COUNTIF('Skill Mapping'!$A$2:$A$7,TRIM($L501))=0,"",INDEX('Skill Mapping'!$B$2:$B$7,MATCH(TRIM($L501),'Skill Mapping'!$A$2:$A$7,0))))</f>
        <v/>
      </c>
      <c r="N501" s="46" t="str">
        <f aca="false">IF($H501="","",'Survey Response'!$M499)</f>
        <v/>
      </c>
      <c r="O501" s="46" t="str">
        <f aca="false">IF($H501="","",IF('Survey Response'!$M499="Manager","R2","R1"))</f>
        <v/>
      </c>
      <c r="P501" s="46" t="str">
        <f aca="false">IF($K501="","No",IF(COUNTIFS(MasterPanel!$B:$B,$H501,MasterPanel!$I:$I,$K501,MasterPanel!$K:$K,"Y")&gt;0,"Yes","No"))</f>
        <v>No</v>
      </c>
      <c r="Q501" s="46" t="n">
        <f aca="false">IF($K501="",0,IF(COUNTIF('Gap Sheet'!$A$6:$A$11,TRIM($J501))=0,0,IF($O501="R1",INDEX('Gap Sheet'!$C$6:$C$11,MATCH(TRIM($J501),'Gap Sheet'!$A$6:$A$11,0)),INDEX('Gap Sheet'!$G$6:$G$11,MATCH(TRIM($J501),'Gap Sheet'!$A$6:$A$11,0)))))</f>
        <v>0</v>
      </c>
      <c r="R501" s="46" t="str">
        <f aca="false">IF($K501="","",$K501&amp;"|"&amp;$O501)</f>
        <v/>
      </c>
      <c r="S501" s="46" t="n">
        <f aca="false">IF($R501="",0,COUNTIF($AA$4:$AA500,$R501))</f>
        <v>0</v>
      </c>
      <c r="T501" s="46" t="str">
        <f aca="false">IF(OR($I501&lt;&gt;"Yes, I'm available for in-person interviews at Chennai",$E501&lt;&gt;"Yes",$P501&lt;&gt;"Yes"),"No",IF(($Q501-$S501)&gt;0,"Yes","No"))</f>
        <v>No</v>
      </c>
      <c r="U501" s="46" t="str">
        <f aca="false">IF($M501="","No",IF(COUNTIFS(MasterPanel!$B:$B,$H501,MasterPanel!$I:$I,$M501,MasterPanel!$K:$K,"Y")&gt;0,"Yes","No"))</f>
        <v>No</v>
      </c>
      <c r="V501" s="46" t="n">
        <f aca="false">IF($M501="",0,IF(COUNTIF('Gap Sheet'!$A$6:$A$11,TRIM($L501))=0,0,IF($O501="R1",INDEX('Gap Sheet'!$C$6:$C$11,MATCH(TRIM($L501),'Gap Sheet'!$A$6:$A$11,0)),INDEX('Gap Sheet'!$G$6:$G$11,MATCH(TRIM($L501),'Gap Sheet'!$A$6:$A$11,0)))))</f>
        <v>0</v>
      </c>
      <c r="W501" s="46" t="str">
        <f aca="false">IF($M501="","",$M501&amp;"|"&amp;$O501)</f>
        <v/>
      </c>
      <c r="X501" s="46" t="n">
        <f aca="false">IF($W501="",0,COUNTIF($AA$4:$AA500,$W501))</f>
        <v>0</v>
      </c>
      <c r="Y501" s="46" t="str">
        <f aca="false">IF(OR($I501&lt;&gt;"Yes, I'm available for in-person interviews at Chennai",$E501&lt;&gt;"Yes",$T501="Yes",$U501&lt;&gt;"Yes"),"No",IF(($V501-$X501)&gt;0,"Yes","No"))</f>
        <v>No</v>
      </c>
      <c r="Z501" s="46" t="str">
        <f aca="false">IF($T501="Yes","Primary",IF($Y501="Yes","Secondary",""))</f>
        <v/>
      </c>
      <c r="AA501" s="46" t="str">
        <f aca="false">IF($Z501="Primary",$R501,IF($Z501="Secondary",$W501,""))</f>
        <v/>
      </c>
      <c r="AB501" s="46" t="str">
        <f aca="false">IF($Z501="Primary","Matched on primary skill",IF($Z501="Secondary","Matched on secondary skill (primary not approved or not required)",""))</f>
        <v/>
      </c>
      <c r="AC501" s="47" t="str">
        <f aca="false">IF($D501="Panel Details",$F501,"")</f>
        <v/>
      </c>
      <c r="AD501" s="46" t="str">
        <f aca="false">IF($D501="Panel Details",'Survey Response'!$D499,"")</f>
        <v/>
      </c>
      <c r="AE501" s="46" t="str">
        <f aca="false">IF($D501="Panel Details",'Survey Response'!$E499,"")</f>
        <v/>
      </c>
      <c r="AF501" s="46" t="str">
        <f aca="false">IF($D501="Panel Details",'Survey Response'!$G499,"")</f>
        <v/>
      </c>
      <c r="AG501" s="46" t="str">
        <f aca="false">IF($D501="Panel Details",IF($Z501="Primary",$J501,$L501),"")</f>
        <v/>
      </c>
      <c r="AH501" s="46" t="str">
        <f aca="false">IF($D501="Panel Details",IF($Z501="Primary",$L501,$J501),"")</f>
        <v/>
      </c>
      <c r="AI501" s="46" t="str">
        <f aca="false">IF($D501="Panel Details",'Survey Response'!$H499,"")</f>
        <v/>
      </c>
      <c r="AJ501" s="46" t="str">
        <f aca="false">IF($D501="Panel Details",'Survey Response'!$M499,"")</f>
        <v/>
      </c>
      <c r="AK501" s="46" t="str">
        <f aca="false">IF($D501="Panel Details",$O501,"")</f>
        <v/>
      </c>
      <c r="AL501" s="46" t="str">
        <f aca="false">IF($D501="Panel Details",8,"")</f>
        <v/>
      </c>
      <c r="AM501" s="46" t="str">
        <f aca="false">IF($D501="Panel Details",$AB501,"")</f>
        <v/>
      </c>
      <c r="AN501" s="46" t="str">
        <f aca="false">IF($D501="Panel Details","Yes","")</f>
        <v/>
      </c>
      <c r="AO501" s="46"/>
      <c r="AP501" s="46" t="str">
        <f aca="false">IF($D501="Followup",'Survey Response'!$D499,"")</f>
        <v/>
      </c>
      <c r="AQ501" s="46" t="str">
        <f aca="false">IF($D501="Followup",'Survey Response'!$E499,"")</f>
        <v/>
      </c>
      <c r="AR501" s="46" t="str">
        <f aca="false">IF($D501="Followup",'Survey Response'!$G499,"")</f>
        <v/>
      </c>
      <c r="AS501" s="46" t="str">
        <f aca="false">IF($D501="Followup",'Survey Response'!$H499,"")</f>
        <v/>
      </c>
      <c r="AT501" s="46" t="str">
        <f aca="false">IF($D501="Followup",'Survey Response'!$M499,"")</f>
        <v/>
      </c>
      <c r="AU501" s="46" t="str">
        <f aca="false">IF($D501="Followup",'Survey Response'!$K499,"")</f>
        <v/>
      </c>
      <c r="AV501" s="46" t="str">
        <f aca="false">IF($D501="Followup",'Survey Response'!$L499,"")</f>
        <v/>
      </c>
      <c r="AW501" s="46" t="str">
        <f aca="false">IF($D501="Followup",IF(AND($P501&lt;&gt;"Yes",$U501&lt;&gt;"Yes"),"Not approved for primary or secondary skill","Approved, but skill(s) no longer have capacity (fully staffed)"),"")</f>
        <v/>
      </c>
    </row>
    <row r="502" customFormat="false" ht="15" hidden="false" customHeight="true" outlineLevel="0" collapsed="false">
      <c r="A502" s="46" t="str">
        <f aca="false">IF('Survey Response'!$D500="","",'Survey Response'!$A500&amp;"|"&amp;LOWER(TRIM('Survey Response'!$D500)))</f>
        <v/>
      </c>
      <c r="B502" s="46" t="str">
        <f aca="false">IF($H502="","",$F502&amp;"|"&amp;$H502)</f>
        <v/>
      </c>
      <c r="C502" s="46" t="str">
        <f aca="false">IF($H502="","",$A502=$B502)</f>
        <v/>
      </c>
      <c r="D502" s="46" t="str">
        <f aca="false">IF($H502="","",IF($E502&lt;&gt;"Yes","Superseded",IF($I502&lt;&gt;"Yes, I'm available for in-person interviews at Chennai","Not Available",IF($Z502&lt;&gt;"","Panel Details","Followup"))))</f>
        <v/>
      </c>
      <c r="E502" s="46" t="str">
        <f aca="false">IF($H502="","",IF(SUMPRODUCT(($H$4:$H$503=$H502)*(($G$4:$G$503&gt;$G502)+($G$4:$G$503=$G502)*($F$4:$F$503&gt;$F502)))=0,"Yes","No"))</f>
        <v/>
      </c>
      <c r="F502" s="47" t="str">
        <f aca="false">IF('Survey Response'!$D500="","",INT('Survey Response'!$A500))</f>
        <v/>
      </c>
      <c r="G502" s="46" t="str">
        <f aca="false">IF('Survey Response'!$D500="","",'Survey Response'!$C500)</f>
        <v/>
      </c>
      <c r="H502" s="46" t="str">
        <f aca="false">IF('Survey Response'!$D500="","",LOWER(TRIM('Survey Response'!$D500)))</f>
        <v/>
      </c>
      <c r="I502" s="46" t="str">
        <f aca="false">IF($H502="","",'Survey Response'!$I500)</f>
        <v/>
      </c>
      <c r="J502" s="46" t="str">
        <f aca="false">IF($H502="","",'Survey Response'!$K500)</f>
        <v/>
      </c>
      <c r="K502" s="46" t="str">
        <f aca="false">IF($J502="","",IF(COUNTIF('Skill Mapping'!$A$2:$A$7,TRIM($J502))=0,"",INDEX('Skill Mapping'!$B$2:$B$7,MATCH(TRIM($J502),'Skill Mapping'!$A$2:$A$7,0))))</f>
        <v/>
      </c>
      <c r="L502" s="46" t="str">
        <f aca="false">IF($H502="","",'Survey Response'!$L500)</f>
        <v/>
      </c>
      <c r="M502" s="46" t="str">
        <f aca="false">IF($L502="","",IF(COUNTIF('Skill Mapping'!$A$2:$A$7,TRIM($L502))=0,"",INDEX('Skill Mapping'!$B$2:$B$7,MATCH(TRIM($L502),'Skill Mapping'!$A$2:$A$7,0))))</f>
        <v/>
      </c>
      <c r="N502" s="46" t="str">
        <f aca="false">IF($H502="","",'Survey Response'!$M500)</f>
        <v/>
      </c>
      <c r="O502" s="46" t="str">
        <f aca="false">IF($H502="","",IF('Survey Response'!$M500="Manager","R2","R1"))</f>
        <v/>
      </c>
      <c r="P502" s="46" t="str">
        <f aca="false">IF($K502="","No",IF(COUNTIFS(MasterPanel!$B:$B,$H502,MasterPanel!$I:$I,$K502,MasterPanel!$K:$K,"Y")&gt;0,"Yes","No"))</f>
        <v>No</v>
      </c>
      <c r="Q502" s="46" t="n">
        <f aca="false">IF($K502="",0,IF(COUNTIF('Gap Sheet'!$A$6:$A$11,TRIM($J502))=0,0,IF($O502="R1",INDEX('Gap Sheet'!$C$6:$C$11,MATCH(TRIM($J502),'Gap Sheet'!$A$6:$A$11,0)),INDEX('Gap Sheet'!$G$6:$G$11,MATCH(TRIM($J502),'Gap Sheet'!$A$6:$A$11,0)))))</f>
        <v>0</v>
      </c>
      <c r="R502" s="46" t="str">
        <f aca="false">IF($K502="","",$K502&amp;"|"&amp;$O502)</f>
        <v/>
      </c>
      <c r="S502" s="46" t="n">
        <f aca="false">IF($R502="",0,COUNTIF($AA$4:$AA501,$R502))</f>
        <v>0</v>
      </c>
      <c r="T502" s="46" t="str">
        <f aca="false">IF(OR($I502&lt;&gt;"Yes, I'm available for in-person interviews at Chennai",$E502&lt;&gt;"Yes",$P502&lt;&gt;"Yes"),"No",IF(($Q502-$S502)&gt;0,"Yes","No"))</f>
        <v>No</v>
      </c>
      <c r="U502" s="46" t="str">
        <f aca="false">IF($M502="","No",IF(COUNTIFS(MasterPanel!$B:$B,$H502,MasterPanel!$I:$I,$M502,MasterPanel!$K:$K,"Y")&gt;0,"Yes","No"))</f>
        <v>No</v>
      </c>
      <c r="V502" s="46" t="n">
        <f aca="false">IF($M502="",0,IF(COUNTIF('Gap Sheet'!$A$6:$A$11,TRIM($L502))=0,0,IF($O502="R1",INDEX('Gap Sheet'!$C$6:$C$11,MATCH(TRIM($L502),'Gap Sheet'!$A$6:$A$11,0)),INDEX('Gap Sheet'!$G$6:$G$11,MATCH(TRIM($L502),'Gap Sheet'!$A$6:$A$11,0)))))</f>
        <v>0</v>
      </c>
      <c r="W502" s="46" t="str">
        <f aca="false">IF($M502="","",$M502&amp;"|"&amp;$O502)</f>
        <v/>
      </c>
      <c r="X502" s="46" t="n">
        <f aca="false">IF($W502="",0,COUNTIF($AA$4:$AA501,$W502))</f>
        <v>0</v>
      </c>
      <c r="Y502" s="46" t="str">
        <f aca="false">IF(OR($I502&lt;&gt;"Yes, I'm available for in-person interviews at Chennai",$E502&lt;&gt;"Yes",$T502="Yes",$U502&lt;&gt;"Yes"),"No",IF(($V502-$X502)&gt;0,"Yes","No"))</f>
        <v>No</v>
      </c>
      <c r="Z502" s="46" t="str">
        <f aca="false">IF($T502="Yes","Primary",IF($Y502="Yes","Secondary",""))</f>
        <v/>
      </c>
      <c r="AA502" s="46" t="str">
        <f aca="false">IF($Z502="Primary",$R502,IF($Z502="Secondary",$W502,""))</f>
        <v/>
      </c>
      <c r="AB502" s="46" t="str">
        <f aca="false">IF($Z502="Primary","Matched on primary skill",IF($Z502="Secondary","Matched on secondary skill (primary not approved or not required)",""))</f>
        <v/>
      </c>
      <c r="AC502" s="47" t="str">
        <f aca="false">IF($D502="Panel Details",$F502,"")</f>
        <v/>
      </c>
      <c r="AD502" s="46" t="str">
        <f aca="false">IF($D502="Panel Details",'Survey Response'!$D500,"")</f>
        <v/>
      </c>
      <c r="AE502" s="46" t="str">
        <f aca="false">IF($D502="Panel Details",'Survey Response'!$E500,"")</f>
        <v/>
      </c>
      <c r="AF502" s="46" t="str">
        <f aca="false">IF($D502="Panel Details",'Survey Response'!$G500,"")</f>
        <v/>
      </c>
      <c r="AG502" s="46" t="str">
        <f aca="false">IF($D502="Panel Details",IF($Z502="Primary",$J502,$L502),"")</f>
        <v/>
      </c>
      <c r="AH502" s="46" t="str">
        <f aca="false">IF($D502="Panel Details",IF($Z502="Primary",$L502,$J502),"")</f>
        <v/>
      </c>
      <c r="AI502" s="46" t="str">
        <f aca="false">IF($D502="Panel Details",'Survey Response'!$H500,"")</f>
        <v/>
      </c>
      <c r="AJ502" s="46" t="str">
        <f aca="false">IF($D502="Panel Details",'Survey Response'!$M500,"")</f>
        <v/>
      </c>
      <c r="AK502" s="46" t="str">
        <f aca="false">IF($D502="Panel Details",$O502,"")</f>
        <v/>
      </c>
      <c r="AL502" s="46" t="str">
        <f aca="false">IF($D502="Panel Details",8,"")</f>
        <v/>
      </c>
      <c r="AM502" s="46" t="str">
        <f aca="false">IF($D502="Panel Details",$AB502,"")</f>
        <v/>
      </c>
      <c r="AN502" s="46" t="str">
        <f aca="false">IF($D502="Panel Details","Yes","")</f>
        <v/>
      </c>
      <c r="AO502" s="46"/>
      <c r="AP502" s="46" t="str">
        <f aca="false">IF($D502="Followup",'Survey Response'!$D500,"")</f>
        <v/>
      </c>
      <c r="AQ502" s="46" t="str">
        <f aca="false">IF($D502="Followup",'Survey Response'!$E500,"")</f>
        <v/>
      </c>
      <c r="AR502" s="46" t="str">
        <f aca="false">IF($D502="Followup",'Survey Response'!$G500,"")</f>
        <v/>
      </c>
      <c r="AS502" s="46" t="str">
        <f aca="false">IF($D502="Followup",'Survey Response'!$H500,"")</f>
        <v/>
      </c>
      <c r="AT502" s="46" t="str">
        <f aca="false">IF($D502="Followup",'Survey Response'!$M500,"")</f>
        <v/>
      </c>
      <c r="AU502" s="46" t="str">
        <f aca="false">IF($D502="Followup",'Survey Response'!$K500,"")</f>
        <v/>
      </c>
      <c r="AV502" s="46" t="str">
        <f aca="false">IF($D502="Followup",'Survey Response'!$L500,"")</f>
        <v/>
      </c>
      <c r="AW502" s="46" t="str">
        <f aca="false">IF($D502="Followup",IF(AND($P502&lt;&gt;"Yes",$U502&lt;&gt;"Yes"),"Not approved for primary or secondary skill","Approved, but skill(s) no longer have capacity (fully staffed)"),"")</f>
        <v/>
      </c>
    </row>
    <row r="503" customFormat="false" ht="15" hidden="false" customHeight="true" outlineLevel="0" collapsed="false">
      <c r="A503" s="46" t="str">
        <f aca="false">IF('Survey Response'!$D501="","",'Survey Response'!$A501&amp;"|"&amp;LOWER(TRIM('Survey Response'!$D501)))</f>
        <v/>
      </c>
      <c r="B503" s="46" t="str">
        <f aca="false">IF($H503="","",$F503&amp;"|"&amp;$H503)</f>
        <v/>
      </c>
      <c r="C503" s="46" t="str">
        <f aca="false">IF($H503="","",$A503=$B503)</f>
        <v/>
      </c>
      <c r="D503" s="46" t="str">
        <f aca="false">IF($H503="","",IF($E503&lt;&gt;"Yes","Superseded",IF($I503&lt;&gt;"Yes, I'm available for in-person interviews at Chennai","Not Available",IF($Z503&lt;&gt;"","Panel Details","Followup"))))</f>
        <v/>
      </c>
      <c r="E503" s="46" t="str">
        <f aca="false">IF($H503="","",IF(SUMPRODUCT(($H$4:$H$503=$H503)*(($G$4:$G$503&gt;$G503)+($G$4:$G$503=$G503)*($F$4:$F$503&gt;$F503)))=0,"Yes","No"))</f>
        <v/>
      </c>
      <c r="F503" s="47" t="str">
        <f aca="false">IF('Survey Response'!$D501="","",INT('Survey Response'!$A501))</f>
        <v/>
      </c>
      <c r="G503" s="46" t="str">
        <f aca="false">IF('Survey Response'!$D501="","",'Survey Response'!$C501)</f>
        <v/>
      </c>
      <c r="H503" s="46" t="str">
        <f aca="false">IF('Survey Response'!$D501="","",LOWER(TRIM('Survey Response'!$D501)))</f>
        <v/>
      </c>
      <c r="I503" s="46" t="str">
        <f aca="false">IF($H503="","",'Survey Response'!$I501)</f>
        <v/>
      </c>
      <c r="J503" s="46" t="str">
        <f aca="false">IF($H503="","",'Survey Response'!$K501)</f>
        <v/>
      </c>
      <c r="K503" s="46" t="str">
        <f aca="false">IF($J503="","",IF(COUNTIF('Skill Mapping'!$A$2:$A$7,TRIM($J503))=0,"",INDEX('Skill Mapping'!$B$2:$B$7,MATCH(TRIM($J503),'Skill Mapping'!$A$2:$A$7,0))))</f>
        <v/>
      </c>
      <c r="L503" s="46" t="str">
        <f aca="false">IF($H503="","",'Survey Response'!$L501)</f>
        <v/>
      </c>
      <c r="M503" s="46" t="str">
        <f aca="false">IF($L503="","",IF(COUNTIF('Skill Mapping'!$A$2:$A$7,TRIM($L503))=0,"",INDEX('Skill Mapping'!$B$2:$B$7,MATCH(TRIM($L503),'Skill Mapping'!$A$2:$A$7,0))))</f>
        <v/>
      </c>
      <c r="N503" s="46" t="str">
        <f aca="false">IF($H503="","",'Survey Response'!$M501)</f>
        <v/>
      </c>
      <c r="O503" s="46" t="str">
        <f aca="false">IF($H503="","",IF('Survey Response'!$M501="Manager","R2","R1"))</f>
        <v/>
      </c>
      <c r="P503" s="46" t="str">
        <f aca="false">IF($K503="","No",IF(COUNTIFS(MasterPanel!$B:$B,$H503,MasterPanel!$I:$I,$K503,MasterPanel!$K:$K,"Y")&gt;0,"Yes","No"))</f>
        <v>No</v>
      </c>
      <c r="Q503" s="46" t="n">
        <f aca="false">IF($K503="",0,IF(COUNTIF('Gap Sheet'!$A$6:$A$11,TRIM($J503))=0,0,IF($O503="R1",INDEX('Gap Sheet'!$C$6:$C$11,MATCH(TRIM($J503),'Gap Sheet'!$A$6:$A$11,0)),INDEX('Gap Sheet'!$G$6:$G$11,MATCH(TRIM($J503),'Gap Sheet'!$A$6:$A$11,0)))))</f>
        <v>0</v>
      </c>
      <c r="R503" s="46" t="str">
        <f aca="false">IF($K503="","",$K503&amp;"|"&amp;$O503)</f>
        <v/>
      </c>
      <c r="S503" s="46" t="n">
        <f aca="false">IF($R503="",0,COUNTIF($AA$4:$AA502,$R503))</f>
        <v>0</v>
      </c>
      <c r="T503" s="46" t="str">
        <f aca="false">IF(OR($I503&lt;&gt;"Yes, I'm available for in-person interviews at Chennai",$E503&lt;&gt;"Yes",$P503&lt;&gt;"Yes"),"No",IF(($Q503-$S503)&gt;0,"Yes","No"))</f>
        <v>No</v>
      </c>
      <c r="U503" s="46" t="str">
        <f aca="false">IF($M503="","No",IF(COUNTIFS(MasterPanel!$B:$B,$H503,MasterPanel!$I:$I,$M503,MasterPanel!$K:$K,"Y")&gt;0,"Yes","No"))</f>
        <v>No</v>
      </c>
      <c r="V503" s="46" t="n">
        <f aca="false">IF($M503="",0,IF(COUNTIF('Gap Sheet'!$A$6:$A$11,TRIM($L503))=0,0,IF($O503="R1",INDEX('Gap Sheet'!$C$6:$C$11,MATCH(TRIM($L503),'Gap Sheet'!$A$6:$A$11,0)),INDEX('Gap Sheet'!$G$6:$G$11,MATCH(TRIM($L503),'Gap Sheet'!$A$6:$A$11,0)))))</f>
        <v>0</v>
      </c>
      <c r="W503" s="46" t="str">
        <f aca="false">IF($M503="","",$M503&amp;"|"&amp;$O503)</f>
        <v/>
      </c>
      <c r="X503" s="46" t="n">
        <f aca="false">IF($W503="",0,COUNTIF($AA$4:$AA502,$W503))</f>
        <v>0</v>
      </c>
      <c r="Y503" s="46" t="str">
        <f aca="false">IF(OR($I503&lt;&gt;"Yes, I'm available for in-person interviews at Chennai",$E503&lt;&gt;"Yes",$T503="Yes",$U503&lt;&gt;"Yes"),"No",IF(($V503-$X503)&gt;0,"Yes","No"))</f>
        <v>No</v>
      </c>
      <c r="Z503" s="46" t="str">
        <f aca="false">IF($T503="Yes","Primary",IF($Y503="Yes","Secondary",""))</f>
        <v/>
      </c>
      <c r="AA503" s="46" t="str">
        <f aca="false">IF($Z503="Primary",$R503,IF($Z503="Secondary",$W503,""))</f>
        <v/>
      </c>
      <c r="AB503" s="46" t="str">
        <f aca="false">IF($Z503="Primary","Matched on primary skill",IF($Z503="Secondary","Matched on secondary skill (primary not approved or not required)",""))</f>
        <v/>
      </c>
      <c r="AC503" s="47" t="str">
        <f aca="false">IF($D503="Panel Details",$F503,"")</f>
        <v/>
      </c>
      <c r="AD503" s="46" t="str">
        <f aca="false">IF($D503="Panel Details",'Survey Response'!$D501,"")</f>
        <v/>
      </c>
      <c r="AE503" s="46" t="str">
        <f aca="false">IF($D503="Panel Details",'Survey Response'!$E501,"")</f>
        <v/>
      </c>
      <c r="AF503" s="46" t="str">
        <f aca="false">IF($D503="Panel Details",'Survey Response'!$G501,"")</f>
        <v/>
      </c>
      <c r="AG503" s="46" t="str">
        <f aca="false">IF($D503="Panel Details",IF($Z503="Primary",$J503,$L503),"")</f>
        <v/>
      </c>
      <c r="AH503" s="46" t="str">
        <f aca="false">IF($D503="Panel Details",IF($Z503="Primary",$L503,$J503),"")</f>
        <v/>
      </c>
      <c r="AI503" s="46" t="str">
        <f aca="false">IF($D503="Panel Details",'Survey Response'!$H501,"")</f>
        <v/>
      </c>
      <c r="AJ503" s="46" t="str">
        <f aca="false">IF($D503="Panel Details",'Survey Response'!$M501,"")</f>
        <v/>
      </c>
      <c r="AK503" s="46" t="str">
        <f aca="false">IF($D503="Panel Details",$O503,"")</f>
        <v/>
      </c>
      <c r="AL503" s="46" t="str">
        <f aca="false">IF($D503="Panel Details",8,"")</f>
        <v/>
      </c>
      <c r="AM503" s="46" t="str">
        <f aca="false">IF($D503="Panel Details",$AB503,"")</f>
        <v/>
      </c>
      <c r="AN503" s="46" t="str">
        <f aca="false">IF($D503="Panel Details","Yes","")</f>
        <v/>
      </c>
      <c r="AO503" s="46"/>
      <c r="AP503" s="46" t="str">
        <f aca="false">IF($D503="Followup",'Survey Response'!$D501,"")</f>
        <v/>
      </c>
      <c r="AQ503" s="46" t="str">
        <f aca="false">IF($D503="Followup",'Survey Response'!$E501,"")</f>
        <v/>
      </c>
      <c r="AR503" s="46" t="str">
        <f aca="false">IF($D503="Followup",'Survey Response'!$G501,"")</f>
        <v/>
      </c>
      <c r="AS503" s="46" t="str">
        <f aca="false">IF($D503="Followup",'Survey Response'!$H501,"")</f>
        <v/>
      </c>
      <c r="AT503" s="46" t="str">
        <f aca="false">IF($D503="Followup",'Survey Response'!$M501,"")</f>
        <v/>
      </c>
      <c r="AU503" s="46" t="str">
        <f aca="false">IF($D503="Followup",'Survey Response'!$K501,"")</f>
        <v/>
      </c>
      <c r="AV503" s="46" t="str">
        <f aca="false">IF($D503="Followup",'Survey Response'!$L501,"")</f>
        <v/>
      </c>
      <c r="AW503" s="46" t="str">
        <f aca="false">IF($D503="Followup",IF(AND($P503&lt;&gt;"Yes",$U503&lt;&gt;"Yes"),"Not approved for primary or secondary skill","Approved, but skill(s) no longer have capacity (fully staffed)"),"")</f>
        <v/>
      </c>
    </row>
  </sheetData>
  <mergeCells count="1">
    <mergeCell ref="A1:AW2"/>
  </mergeCells>
  <conditionalFormatting sqref="C4:C503">
    <cfRule type="expression" priority="2" aboveAverage="0" equalAverage="0" bottom="0" percent="0" rank="0" text="" dxfId="3">
      <formula>C4=0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6BC25"/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7" activeCellId="0" sqref="A67"/>
    </sheetView>
  </sheetViews>
  <sheetFormatPr defaultColWidth="8.79296875" defaultRowHeight="12" zeroHeight="false" outlineLevelRow="0" outlineLevelCol="0"/>
  <cols>
    <col collapsed="false" customWidth="false" hidden="false" outlineLevel="0" max="4" min="1" style="39" width="8.79"/>
    <col collapsed="false" customWidth="true" hidden="false" outlineLevel="0" max="5" min="5" style="39" width="9.5"/>
    <col collapsed="false" customWidth="false" hidden="false" outlineLevel="0" max="8" min="6" style="39" width="8.79"/>
    <col collapsed="false" customWidth="true" hidden="false" outlineLevel="0" max="9" min="9" style="39" width="10.07"/>
    <col collapsed="false" customWidth="false" hidden="false" outlineLevel="0" max="10" min="10" style="39" width="8.79"/>
    <col collapsed="false" customWidth="true" hidden="false" outlineLevel="0" max="11" min="11" style="39" width="12.57"/>
    <col collapsed="false" customWidth="true" hidden="false" outlineLevel="0" max="12" min="12" style="39" width="9.57"/>
    <col collapsed="false" customWidth="true" hidden="false" outlineLevel="0" max="13" min="13" style="39" width="12.93"/>
    <col collapsed="false" customWidth="false" hidden="false" outlineLevel="0" max="16384" min="14" style="39" width="8.79"/>
  </cols>
  <sheetData>
    <row r="1" customFormat="false" ht="12" hidden="false" customHeight="true" outlineLevel="0" collapsed="false">
      <c r="A1" s="49" t="s">
        <v>32</v>
      </c>
      <c r="B1" s="50" t="s">
        <v>33</v>
      </c>
      <c r="C1" s="50" t="s">
        <v>34</v>
      </c>
      <c r="D1" s="50" t="s">
        <v>3721</v>
      </c>
      <c r="E1" s="50" t="s">
        <v>3722</v>
      </c>
      <c r="F1" s="50" t="s">
        <v>37</v>
      </c>
      <c r="G1" s="50" t="s">
        <v>38</v>
      </c>
      <c r="H1" s="50" t="s">
        <v>39</v>
      </c>
      <c r="I1" s="51" t="s">
        <v>40</v>
      </c>
      <c r="J1" s="51" t="s">
        <v>41</v>
      </c>
      <c r="K1" s="51" t="s">
        <v>3723</v>
      </c>
      <c r="L1" s="51" t="s">
        <v>43</v>
      </c>
      <c r="M1" s="52" t="s">
        <v>3724</v>
      </c>
    </row>
    <row r="2" customFormat="false" ht="12" hidden="false" customHeight="true" outlineLevel="0" collapsed="false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</row>
    <row r="3" customFormat="false" ht="12" hidden="false" customHeight="true" outlineLevel="0" collapsed="false"/>
    <row r="4" customFormat="false" ht="12" hidden="false" customHeight="true" outlineLevel="0" collapsed="false"/>
    <row r="5" customFormat="false" ht="12" hidden="false" customHeight="true" outlineLevel="0" collapsed="false"/>
    <row r="6" customFormat="false" ht="12" hidden="false" customHeight="true" outlineLevel="0" collapsed="false"/>
    <row r="7" customFormat="false" ht="12" hidden="false" customHeight="true" outlineLevel="0" collapsed="false"/>
    <row r="8" customFormat="false" ht="12" hidden="false" customHeight="true" outlineLevel="0" collapsed="false"/>
    <row r="9" customFormat="false" ht="12" hidden="false" customHeight="true" outlineLevel="0" collapsed="false"/>
    <row r="10" customFormat="false" ht="12" hidden="false" customHeight="true" outlineLevel="0" collapsed="false"/>
    <row r="11" customFormat="false" ht="12" hidden="false" customHeight="true" outlineLevel="0" collapsed="false"/>
    <row r="12" customFormat="false" ht="12" hidden="false" customHeight="true" outlineLevel="0" collapsed="false"/>
    <row r="13" customFormat="false" ht="12" hidden="false" customHeight="true" outlineLevel="0" collapsed="false"/>
    <row r="14" customFormat="false" ht="12" hidden="false" customHeight="true" outlineLevel="0" collapsed="false"/>
    <row r="15" customFormat="false" ht="12" hidden="false" customHeight="true" outlineLevel="0" collapsed="false"/>
    <row r="16" customFormat="false" ht="12" hidden="false" customHeight="true" outlineLevel="0" collapsed="false"/>
    <row r="17" customFormat="false" ht="12" hidden="false" customHeight="true" outlineLevel="0" collapsed="false"/>
    <row r="18" customFormat="false" ht="12" hidden="false" customHeight="true" outlineLevel="0" collapsed="false"/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  <row r="22" customFormat="false" ht="12" hidden="false" customHeight="true" outlineLevel="0" collapsed="false"/>
    <row r="23" customFormat="false" ht="12" hidden="false" customHeight="true" outlineLevel="0" collapsed="false"/>
    <row r="24" customFormat="false" ht="12" hidden="false" customHeight="true" outlineLevel="0" collapsed="false"/>
    <row r="25" customFormat="false" ht="12" hidden="false" customHeight="true" outlineLevel="0" collapsed="false"/>
    <row r="26" customFormat="false" ht="12" hidden="false" customHeight="true" outlineLevel="0" collapsed="false"/>
    <row r="27" customFormat="false" ht="12" hidden="false" customHeight="true" outlineLevel="0" collapsed="false"/>
    <row r="28" customFormat="false" ht="12" hidden="false" customHeight="true" outlineLevel="0" collapsed="false"/>
    <row r="29" customFormat="false" ht="12" hidden="false" customHeight="true" outlineLevel="0" collapsed="false"/>
    <row r="30" customFormat="false" ht="12" hidden="false" customHeight="true" outlineLevel="0" collapsed="false"/>
    <row r="31" customFormat="false" ht="12" hidden="false" customHeight="true" outlineLevel="0" collapsed="false"/>
    <row r="32" customFormat="false" ht="12" hidden="false" customHeight="true" outlineLevel="0" collapsed="false"/>
    <row r="33" customFormat="false" ht="12" hidden="false" customHeight="true" outlineLevel="0" collapsed="false"/>
    <row r="34" customFormat="false" ht="12" hidden="false" customHeight="true" outlineLevel="0" collapsed="false"/>
    <row r="35" customFormat="false" ht="12" hidden="false" customHeight="true" outlineLevel="0" collapsed="false"/>
    <row r="36" customFormat="false" ht="12" hidden="false" customHeight="true" outlineLevel="0" collapsed="false"/>
    <row r="37" customFormat="false" ht="12" hidden="false" customHeight="true" outlineLevel="0" collapsed="false"/>
    <row r="38" customFormat="false" ht="12" hidden="false" customHeight="true" outlineLevel="0" collapsed="false"/>
    <row r="39" customFormat="false" ht="12" hidden="false" customHeight="true" outlineLevel="0" collapsed="false"/>
    <row r="40" customFormat="false" ht="12" hidden="false" customHeight="true" outlineLevel="0" collapsed="false"/>
    <row r="41" customFormat="false" ht="12" hidden="false" customHeight="true" outlineLevel="0" collapsed="false"/>
    <row r="42" customFormat="false" ht="12" hidden="false" customHeight="true" outlineLevel="0" collapsed="false"/>
    <row r="43" customFormat="false" ht="12" hidden="false" customHeight="true" outlineLevel="0" collapsed="false"/>
    <row r="44" customFormat="false" ht="12" hidden="false" customHeight="true" outlineLevel="0" collapsed="false"/>
    <row r="45" customFormat="false" ht="12" hidden="false" customHeight="true" outlineLevel="0" collapsed="false"/>
    <row r="46" customFormat="false" ht="12" hidden="false" customHeight="true" outlineLevel="0" collapsed="false"/>
    <row r="47" customFormat="false" ht="12" hidden="false" customHeight="true" outlineLevel="0" collapsed="false"/>
    <row r="48" customFormat="false" ht="12" hidden="false" customHeight="true" outlineLevel="0" collapsed="false"/>
    <row r="49" customFormat="false" ht="12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2021-08-27T07:29:01Z</dcterms:created>
  <dc:creator>Bhatia, Garima</dc:creator>
  <dc:description/>
  <dc:language>en-US</dc:language>
  <cp:lastModifiedBy>Kumar, Anand</cp:lastModifiedBy>
  <dcterms:modified xsi:type="dcterms:W3CDTF">2026-10-21T10:29:42Z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0x0101003617FF8BEAFCC248AC9EE53E05C03727</vt:lpwstr>
  </property>
  <property fmtid="{D5CDD505-2E9C-101B-9397-08002B2CF9AE}" pid="3" name="MSIP_Label_ea60d57e-af5b-4752-ac57-3e4f28ca11dc_ActionId">
    <vt:lpwstr>1014889c-f3b0-47d8-8bf8-069048ff561b</vt:lpwstr>
  </property>
  <property fmtid="{D5CDD505-2E9C-101B-9397-08002B2CF9AE}" pid="4" name="MSIP_Label_ea60d57e-af5b-4752-ac57-3e4f28ca11dc_ContentBits">
    <vt:lpwstr>0</vt:lpwstr>
  </property>
  <property fmtid="{D5CDD505-2E9C-101B-9397-08002B2CF9AE}" pid="5" name="MSIP_Label_ea60d57e-af5b-4752-ac57-3e4f28ca11dc_Enabled">
    <vt:lpwstr>true</vt:lpwstr>
  </property>
  <property fmtid="{D5CDD505-2E9C-101B-9397-08002B2CF9AE}" pid="6" name="MSIP_Label_ea60d57e-af5b-4752-ac57-3e4f28ca11dc_Method">
    <vt:lpwstr>Standard</vt:lpwstr>
  </property>
  <property fmtid="{D5CDD505-2E9C-101B-9397-08002B2CF9AE}" pid="7" name="MSIP_Label_ea60d57e-af5b-4752-ac57-3e4f28ca11dc_Name">
    <vt:lpwstr>ea60d57e-af5b-4752-ac57-3e4f28ca11dc</vt:lpwstr>
  </property>
  <property fmtid="{D5CDD505-2E9C-101B-9397-08002B2CF9AE}" pid="8" name="MSIP_Label_ea60d57e-af5b-4752-ac57-3e4f28ca11dc_SetDate">
    <vt:lpwstr>2021-08-27T12:03:14Z</vt:lpwstr>
  </property>
  <property fmtid="{D5CDD505-2E9C-101B-9397-08002B2CF9AE}" pid="9" name="MSIP_Label_ea60d57e-af5b-4752-ac57-3e4f28ca11dc_SiteId">
    <vt:lpwstr>36da45f1-dd2c-4d1f-af13-5abe46b99921</vt:lpwstr>
  </property>
  <property fmtid="{D5CDD505-2E9C-101B-9397-08002B2CF9AE}" pid="10" name="WorkbookGuid">
    <vt:lpwstr>1a358666-8af7-4dd7-b02e-0fd967ae41e3</vt:lpwstr>
  </property>
</Properties>
</file>